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E5F70F23-7B9A-C84D-8E8B-34975ABEE644}" xr6:coauthVersionLast="47" xr6:coauthVersionMax="47" xr10:uidLastSave="{00000000-0000-0000-0000-000000000000}"/>
  <bookViews>
    <workbookView xWindow="160" yWindow="900" windowWidth="14440" windowHeight="17040" xr2:uid="{C3ADB0BE-7A80-7F44-999C-93B5C5D7E48D}"/>
  </bookViews>
  <sheets>
    <sheet name="analysis" sheetId="21" r:id="rId1"/>
    <sheet name="best" sheetId="19" r:id="rId2"/>
    <sheet name="magma" sheetId="17" r:id="rId3"/>
    <sheet name="magmaMinWeight" sheetId="14" r:id="rId4"/>
    <sheet name="CLISAT" sheetId="1" r:id="rId5"/>
    <sheet name="CCStim" sheetId="2" r:id="rId6"/>
    <sheet name="bposd" sheetId="3" r:id="rId7"/>
    <sheet name="bposdO8I10" sheetId="15" r:id="rId8"/>
    <sheet name="m4ri_CC-start1" sheetId="4" r:id="rId9"/>
    <sheet name="m4ri_CC" sheetId="18" r:id="rId10"/>
    <sheet name="m4ri_RW" sheetId="5" r:id="rId11"/>
    <sheet name="GEStim" sheetId="6" r:id="rId12"/>
    <sheet name="Gurobi" sheetId="7" r:id="rId13"/>
    <sheet name="MIP-SCIP" sheetId="8" r:id="rId14"/>
    <sheet name="QDistEvol20251221" sheetId="9" r:id="rId15"/>
    <sheet name="QDistEvol" sheetId="22" r:id="rId16"/>
    <sheet name="QDistRndMW20251221" sheetId="10" r:id="rId17"/>
    <sheet name="QDistRndMW" sheetId="23" r:id="rId18"/>
    <sheet name="UEStim" sheetId="11" r:id="rId19"/>
  </sheets>
  <definedNames>
    <definedName name="_xleta.MATCH" hidden="1">#NAME?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N67" i="21" l="1"/>
  <c r="HJ67" i="21"/>
  <c r="HI67" i="21"/>
  <c r="HH67" i="21"/>
  <c r="HG67" i="21"/>
  <c r="HB67" i="21"/>
  <c r="GZ67" i="21"/>
  <c r="GY67" i="21"/>
  <c r="HM67" i="21" s="1"/>
  <c r="GX67" i="21"/>
  <c r="HL67" i="21" s="1"/>
  <c r="GW67" i="21"/>
  <c r="HK67" i="21" s="1"/>
  <c r="GV67" i="21"/>
  <c r="GU67" i="21"/>
  <c r="GT67" i="21"/>
  <c r="GS67" i="21"/>
  <c r="GR67" i="21"/>
  <c r="HF67" i="21" s="1"/>
  <c r="GQ67" i="21"/>
  <c r="HE67" i="21" s="1"/>
  <c r="GP67" i="21"/>
  <c r="HD67" i="21" s="1"/>
  <c r="GO67" i="21"/>
  <c r="HC67" i="21" s="1"/>
  <c r="FZ67" i="21"/>
  <c r="EM67" i="21"/>
  <c r="FD67" i="21" s="1"/>
  <c r="DE67" i="21"/>
  <c r="DV67" i="21" s="1"/>
  <c r="CE67" i="21"/>
  <c r="CV67" i="21" s="1"/>
  <c r="DM67" i="21" s="1"/>
  <c r="BW67" i="21"/>
  <c r="CN67" i="21" s="1"/>
  <c r="BN67" i="21"/>
  <c r="BM67" i="21"/>
  <c r="CD67" i="21" s="1"/>
  <c r="CU67" i="21" s="1"/>
  <c r="BL67" i="21"/>
  <c r="BK67" i="21"/>
  <c r="CB67" i="21" s="1"/>
  <c r="CS67" i="21" s="1"/>
  <c r="BF67" i="21"/>
  <c r="BE67" i="21"/>
  <c r="BV67" i="21" s="1"/>
  <c r="CM67" i="21" s="1"/>
  <c r="DD67" i="21" s="1"/>
  <c r="DU67" i="21" s="1"/>
  <c r="EL67" i="21" s="1"/>
  <c r="FC67" i="21" s="1"/>
  <c r="BD67" i="21"/>
  <c r="BU67" i="21" s="1"/>
  <c r="CL67" i="21" s="1"/>
  <c r="DC67" i="21" s="1"/>
  <c r="DT67" i="21" s="1"/>
  <c r="EK67" i="21" s="1"/>
  <c r="FB67" i="21" s="1"/>
  <c r="AZ67" i="21"/>
  <c r="AY67" i="21"/>
  <c r="AQ67" i="21"/>
  <c r="AP67" i="21"/>
  <c r="AO67" i="21"/>
  <c r="AX67" i="21" s="1"/>
  <c r="AN67" i="21"/>
  <c r="AW67" i="21" s="1"/>
  <c r="AM67" i="21"/>
  <c r="AV67" i="21" s="1"/>
  <c r="AG67" i="21"/>
  <c r="BO67" i="21" s="1"/>
  <c r="AF67" i="21"/>
  <c r="AE67" i="21"/>
  <c r="AD67" i="21"/>
  <c r="AC67" i="21"/>
  <c r="AB67" i="21"/>
  <c r="BJ67" i="21" s="1"/>
  <c r="AA67" i="21"/>
  <c r="BI67" i="21" s="1"/>
  <c r="Z67" i="21"/>
  <c r="BH67" i="21" s="1"/>
  <c r="BY67" i="21" s="1"/>
  <c r="CP67" i="21" s="1"/>
  <c r="DG67" i="21" s="1"/>
  <c r="DX67" i="21" s="1"/>
  <c r="EO67" i="21" s="1"/>
  <c r="FF67" i="21" s="1"/>
  <c r="Y67" i="21"/>
  <c r="BG67" i="21" s="1"/>
  <c r="BX67" i="21" s="1"/>
  <c r="CO67" i="21" s="1"/>
  <c r="DF67" i="21" s="1"/>
  <c r="DW67" i="21" s="1"/>
  <c r="EN67" i="21" s="1"/>
  <c r="FE67" i="21" s="1"/>
  <c r="X67" i="21"/>
  <c r="W67" i="21"/>
  <c r="V67" i="21"/>
  <c r="FT66" i="21"/>
  <c r="FT65" i="21"/>
  <c r="A55" i="21"/>
  <c r="M54" i="21"/>
  <c r="A54" i="21"/>
  <c r="M53" i="21"/>
  <c r="A53" i="21"/>
  <c r="M52" i="21"/>
  <c r="A52" i="21"/>
  <c r="M51" i="21"/>
  <c r="A51" i="21"/>
  <c r="M50" i="21"/>
  <c r="A50" i="21"/>
  <c r="M49" i="21"/>
  <c r="A49" i="21"/>
  <c r="M48" i="21"/>
  <c r="A48" i="21"/>
  <c r="M47" i="21"/>
  <c r="A47" i="21"/>
  <c r="M46" i="21"/>
  <c r="A46" i="21"/>
  <c r="R45" i="21"/>
  <c r="Q45" i="21"/>
  <c r="P45" i="21"/>
  <c r="O45" i="21" s="1"/>
  <c r="N45" i="21" s="1"/>
  <c r="M45" i="21"/>
  <c r="H45" i="21"/>
  <c r="G45" i="21"/>
  <c r="F45" i="21"/>
  <c r="E45" i="21"/>
  <c r="D45" i="21" s="1"/>
  <c r="C45" i="21" s="1"/>
  <c r="B45" i="21" s="1"/>
  <c r="A45" i="21"/>
  <c r="FX38" i="21"/>
  <c r="FX37" i="21"/>
  <c r="FX36" i="21"/>
  <c r="FX35" i="21"/>
  <c r="FX34" i="21"/>
  <c r="U15" i="21"/>
  <c r="N3" i="21"/>
  <c r="A1" i="21" a="1"/>
  <c r="A1" i="21" s="1"/>
  <c r="B64" i="21"/>
  <c r="DL67" i="21" l="1"/>
  <c r="BZ67" i="21"/>
  <c r="CQ67" i="21" s="1"/>
  <c r="CA67" i="21"/>
  <c r="CR67" i="21" s="1"/>
  <c r="DJ67" i="21"/>
  <c r="ED67" i="21"/>
  <c r="CC67" i="21"/>
  <c r="CT67" i="21" s="1"/>
  <c r="CF67" i="21"/>
  <c r="CW67" i="21" s="1"/>
  <c r="DK67" i="21" l="1"/>
  <c r="DI67" i="21"/>
  <c r="EU67" i="21"/>
  <c r="FL67" i="21" s="1"/>
  <c r="EC67" i="21"/>
  <c r="DH67" i="21"/>
  <c r="EA67" i="21"/>
  <c r="DN67" i="21"/>
  <c r="A144" i="21" a="1"/>
  <c r="A143" i="21" a="1"/>
  <c r="A106" i="21" a="1"/>
  <c r="B166" i="21" a="1"/>
  <c r="B137" i="21" a="1"/>
  <c r="B144" i="21" a="1"/>
  <c r="A79" i="21" a="1"/>
  <c r="B187" i="21" a="1"/>
  <c r="A129" i="21" a="1"/>
  <c r="B120" i="21" a="1"/>
  <c r="B176" i="21" a="1"/>
  <c r="A147" i="21" a="1"/>
  <c r="A132" i="21" a="1"/>
  <c r="B163" i="21" a="1"/>
  <c r="B184" i="21" a="1"/>
  <c r="A71" i="21" a="1"/>
  <c r="A135" i="21" a="1"/>
  <c r="B90" i="21" a="1"/>
  <c r="A114" i="21" a="1"/>
  <c r="A165" i="21" a="1"/>
  <c r="A185" i="21" a="1"/>
  <c r="A131" i="21" a="1"/>
  <c r="B180" i="21" a="1"/>
  <c r="B119" i="21" a="1"/>
  <c r="A159" i="21" a="1"/>
  <c r="B128" i="21" a="1"/>
  <c r="B164" i="21" a="1"/>
  <c r="B159" i="21" a="1"/>
  <c r="B68" i="21" a="1"/>
  <c r="B168" i="21" a="1"/>
  <c r="A169" i="21" a="1"/>
  <c r="B174" i="21" a="1"/>
  <c r="A90" i="21" a="1"/>
  <c r="B117" i="21" a="1"/>
  <c r="B79" i="21" a="1"/>
  <c r="B169" i="21" a="1"/>
  <c r="A124" i="21" a="1"/>
  <c r="B181" i="21" a="1"/>
  <c r="B139" i="21" a="1"/>
  <c r="B171" i="21" a="1"/>
  <c r="B110" i="21" a="1"/>
  <c r="B77" i="21" a="1"/>
  <c r="B146" i="21" a="1"/>
  <c r="B177" i="21" a="1"/>
  <c r="A138" i="21" a="1"/>
  <c r="A172" i="21" a="1"/>
  <c r="B97" i="21" a="1"/>
  <c r="A75" i="21" a="1"/>
  <c r="A120" i="21" a="1"/>
  <c r="B70" i="21" a="1"/>
  <c r="A176" i="21" a="1"/>
  <c r="B138" i="21" a="1"/>
  <c r="A182" i="21" a="1"/>
  <c r="A94" i="21" a="1"/>
  <c r="B156" i="21" a="1"/>
  <c r="A112" i="21" a="1"/>
  <c r="B142" i="21" a="1"/>
  <c r="B101" i="21" a="1"/>
  <c r="A87" i="21" a="1"/>
  <c r="A81" i="21" a="1"/>
  <c r="B74" i="21" a="1"/>
  <c r="A95" i="21" a="1"/>
  <c r="B143" i="21" a="1"/>
  <c r="A183" i="21" a="1"/>
  <c r="A161" i="21" a="1"/>
  <c r="B108" i="21" a="1"/>
  <c r="A133" i="21" a="1"/>
  <c r="A108" i="21" a="1"/>
  <c r="A77" i="21" a="1"/>
  <c r="A123" i="21" a="1"/>
  <c r="A98" i="21" a="1"/>
  <c r="B135" i="21" a="1"/>
  <c r="B113" i="21" a="1"/>
  <c r="A158" i="21" a="1"/>
  <c r="B84" i="21" a="1"/>
  <c r="A140" i="21" a="1"/>
  <c r="A68" i="21" a="1"/>
  <c r="A166" i="21" a="1"/>
  <c r="B71" i="21" a="1"/>
  <c r="B172" i="21" a="1"/>
  <c r="A80" i="21" a="1"/>
  <c r="A154" i="21" a="1"/>
  <c r="B153" i="21" a="1"/>
  <c r="A146" i="21" a="1"/>
  <c r="B89" i="21" a="1"/>
  <c r="A178" i="21" a="1"/>
  <c r="B82" i="21" a="1"/>
  <c r="A139" i="21" a="1"/>
  <c r="B173" i="21" a="1"/>
  <c r="A110" i="21" a="1"/>
  <c r="B130" i="21" a="1"/>
  <c r="A85" i="21" a="1"/>
  <c r="A111" i="21" a="1"/>
  <c r="B118" i="21" a="1"/>
  <c r="B100" i="21" a="1"/>
  <c r="B109" i="21" a="1"/>
  <c r="B170" i="21" a="1"/>
  <c r="A175" i="21" a="1"/>
  <c r="A162" i="21" a="1"/>
  <c r="B107" i="21" a="1"/>
  <c r="A105" i="21" a="1"/>
  <c r="A136" i="21" a="1"/>
  <c r="B147" i="21" a="1"/>
  <c r="B125" i="21" a="1"/>
  <c r="A126" i="21" a="1"/>
  <c r="B91" i="21" a="1"/>
  <c r="A74" i="21" a="1"/>
  <c r="A188" i="21" a="1"/>
  <c r="B98" i="21" a="1"/>
  <c r="B73" i="21" a="1"/>
  <c r="A142" i="21" a="1"/>
  <c r="A103" i="21" a="1"/>
  <c r="A157" i="21" a="1"/>
  <c r="A88" i="21" a="1"/>
  <c r="B145" i="21" a="1"/>
  <c r="B129" i="21" a="1"/>
  <c r="B99" i="21" a="1"/>
  <c r="A151" i="21" a="1"/>
  <c r="A86" i="21" a="1"/>
  <c r="A173" i="21" a="1"/>
  <c r="B87" i="21" a="1"/>
  <c r="B182" i="21" a="1"/>
  <c r="B106" i="21" a="1"/>
  <c r="B112" i="21" a="1"/>
  <c r="A181" i="21" a="1"/>
  <c r="B105" i="21" a="1"/>
  <c r="B165" i="21" a="1"/>
  <c r="B80" i="21" a="1"/>
  <c r="B95" i="21" a="1"/>
  <c r="A76" i="21" a="1"/>
  <c r="B162" i="21" a="1"/>
  <c r="B88" i="21" a="1"/>
  <c r="B186" i="21" a="1"/>
  <c r="B86" i="21" a="1"/>
  <c r="A179" i="21" a="1"/>
  <c r="A177" i="21" a="1"/>
  <c r="B161" i="21" a="1"/>
  <c r="A118" i="21" a="1"/>
  <c r="A150" i="21" a="1"/>
  <c r="A104" i="21" a="1"/>
  <c r="B69" i="21" a="1"/>
  <c r="A163" i="21" a="1"/>
  <c r="A167" i="21" a="1"/>
  <c r="A69" i="21" a="1"/>
  <c r="B150" i="21" a="1"/>
  <c r="A134" i="21" a="1"/>
  <c r="B175" i="21" a="1"/>
  <c r="B123" i="21" a="1"/>
  <c r="B83" i="21" a="1"/>
  <c r="A184" i="21" a="1"/>
  <c r="A116" i="21" a="1"/>
  <c r="B151" i="21" a="1"/>
  <c r="A153" i="21" a="1"/>
  <c r="B111" i="21" a="1"/>
  <c r="B94" i="21" a="1"/>
  <c r="A180" i="21" a="1"/>
  <c r="A92" i="21" a="1"/>
  <c r="B92" i="21" a="1"/>
  <c r="B114" i="21" a="1"/>
  <c r="A100" i="21" a="1"/>
  <c r="A101" i="21" a="1"/>
  <c r="B81" i="21" a="1"/>
  <c r="A170" i="21" a="1"/>
  <c r="A128" i="21" a="1"/>
  <c r="B155" i="21" a="1"/>
  <c r="A99" i="21" a="1"/>
  <c r="A82" i="21" a="1"/>
  <c r="A145" i="21" a="1"/>
  <c r="A91" i="21" a="1"/>
  <c r="A78" i="21" a="1"/>
  <c r="A109" i="21" a="1"/>
  <c r="A187" i="21" a="1"/>
  <c r="A160" i="21" a="1"/>
  <c r="A96" i="21" a="1"/>
  <c r="A93" i="21" a="1"/>
  <c r="A119" i="21" a="1"/>
  <c r="B140" i="21" a="1"/>
  <c r="A121" i="21" a="1"/>
  <c r="B185" i="21" a="1"/>
  <c r="A70" i="21" a="1"/>
  <c r="B179" i="21" a="1"/>
  <c r="B122" i="21" a="1"/>
  <c r="A130" i="21" a="1"/>
  <c r="A84" i="21" a="1"/>
  <c r="B85" i="21" a="1"/>
  <c r="A97" i="21" a="1"/>
  <c r="B131" i="21" a="1"/>
  <c r="A152" i="21" a="1"/>
  <c r="B183" i="21" a="1"/>
  <c r="A155" i="21" a="1"/>
  <c r="A113" i="21" a="1"/>
  <c r="A102" i="21" a="1"/>
  <c r="B154" i="21" a="1"/>
  <c r="B104" i="21" a="1"/>
  <c r="B133" i="21" a="1"/>
  <c r="A89" i="21" a="1"/>
  <c r="B121" i="21" a="1"/>
  <c r="B188" i="21" a="1"/>
  <c r="A107" i="21" a="1"/>
  <c r="B136" i="21" a="1"/>
  <c r="B149" i="21" a="1"/>
  <c r="B134" i="21" a="1"/>
  <c r="B76" i="21" a="1"/>
  <c r="A156" i="21" a="1"/>
  <c r="B178" i="21" a="1"/>
  <c r="A117" i="21" a="1"/>
  <c r="A127" i="21" a="1"/>
  <c r="A148" i="21" a="1"/>
  <c r="B167" i="21" a="1"/>
  <c r="A83" i="21" a="1"/>
  <c r="B72" i="21" a="1"/>
  <c r="A137" i="21" a="1"/>
  <c r="B127" i="21" a="1"/>
  <c r="B160" i="21" a="1"/>
  <c r="B103" i="21" a="1"/>
  <c r="A73" i="21" a="1"/>
  <c r="B132" i="21" a="1"/>
  <c r="A122" i="21" a="1"/>
  <c r="A171" i="21" a="1"/>
  <c r="B158" i="21" a="1"/>
  <c r="A174" i="21" a="1"/>
  <c r="B157" i="21" a="1"/>
  <c r="B152" i="21" a="1"/>
  <c r="B126" i="21" a="1"/>
  <c r="A72" i="21" a="1"/>
  <c r="B124" i="21" a="1"/>
  <c r="A115" i="21" a="1"/>
  <c r="B102" i="21" a="1"/>
  <c r="A125" i="21" a="1"/>
  <c r="A141" i="21" a="1"/>
  <c r="B78" i="21" a="1"/>
  <c r="B96" i="21" a="1"/>
  <c r="B116" i="21" a="1"/>
  <c r="A186" i="21" a="1"/>
  <c r="A164" i="21" a="1"/>
  <c r="B115" i="21" a="1"/>
  <c r="B148" i="21" a="1"/>
  <c r="B75" i="21" a="1"/>
  <c r="A168" i="21" a="1"/>
  <c r="B93" i="21" a="1"/>
  <c r="A149" i="21" a="1"/>
  <c r="B141" i="21" a="1"/>
  <c r="B178" i="21" l="1"/>
  <c r="A84" i="21"/>
  <c r="A83" i="21"/>
  <c r="B83" i="21"/>
  <c r="FS83" i="21" s="1"/>
  <c r="A155" i="21"/>
  <c r="A112" i="21"/>
  <c r="B150" i="21"/>
  <c r="A167" i="21"/>
  <c r="B119" i="21"/>
  <c r="B142" i="21"/>
  <c r="GN142" i="21" s="1"/>
  <c r="B169" i="21"/>
  <c r="B132" i="21"/>
  <c r="FS132" i="21" s="1"/>
  <c r="B157" i="21"/>
  <c r="GN157" i="21" s="1"/>
  <c r="A142" i="21"/>
  <c r="B124" i="21"/>
  <c r="GN124" i="21" s="1"/>
  <c r="B152" i="21"/>
  <c r="FS152" i="21" s="1"/>
  <c r="A108" i="21"/>
  <c r="B146" i="21"/>
  <c r="GN146" i="21" s="1"/>
  <c r="A168" i="21"/>
  <c r="A115" i="21"/>
  <c r="A109" i="21"/>
  <c r="A153" i="21"/>
  <c r="A182" i="21"/>
  <c r="A177" i="21"/>
  <c r="B75" i="21"/>
  <c r="B88" i="21"/>
  <c r="FS88" i="21" s="1"/>
  <c r="B112" i="21"/>
  <c r="FS112" i="21" s="1"/>
  <c r="B140" i="21"/>
  <c r="GN140" i="21" s="1"/>
  <c r="B130" i="21"/>
  <c r="FS130" i="21" s="1"/>
  <c r="B128" i="21"/>
  <c r="GN128" i="21" s="1"/>
  <c r="B123" i="21"/>
  <c r="GN123" i="21" s="1"/>
  <c r="B159" i="21"/>
  <c r="A129" i="21"/>
  <c r="A136" i="21"/>
  <c r="A158" i="21"/>
  <c r="A90" i="21"/>
  <c r="B153" i="21"/>
  <c r="GN153" i="21" s="1"/>
  <c r="B106" i="21"/>
  <c r="FS106" i="21" s="1"/>
  <c r="A159" i="21"/>
  <c r="A178" i="21"/>
  <c r="B188" i="21"/>
  <c r="A187" i="21"/>
  <c r="A89" i="21"/>
  <c r="A80" i="21"/>
  <c r="A86" i="21"/>
  <c r="A81" i="21"/>
  <c r="A71" i="21"/>
  <c r="B162" i="21"/>
  <c r="A118" i="21"/>
  <c r="B144" i="21"/>
  <c r="GN144" i="21" s="1"/>
  <c r="B102" i="21"/>
  <c r="B148" i="21"/>
  <c r="GN148" i="21" s="1"/>
  <c r="B118" i="21"/>
  <c r="FS118" i="21" s="1"/>
  <c r="A165" i="21"/>
  <c r="A170" i="21"/>
  <c r="A93" i="21"/>
  <c r="A139" i="21"/>
  <c r="A161" i="21"/>
  <c r="B126" i="21"/>
  <c r="A148" i="21"/>
  <c r="B113" i="21"/>
  <c r="FS113" i="21" s="1"/>
  <c r="B125" i="21"/>
  <c r="GN125" i="21" s="1"/>
  <c r="A160" i="21"/>
  <c r="A120" i="21"/>
  <c r="B167" i="21"/>
  <c r="A95" i="21"/>
  <c r="B129" i="21"/>
  <c r="GN129" i="21" s="1"/>
  <c r="B160" i="21"/>
  <c r="FS160" i="21" s="1"/>
  <c r="B174" i="21"/>
  <c r="FS174" i="21" s="1"/>
  <c r="B172" i="21"/>
  <c r="FS172" i="21" s="1"/>
  <c r="A180" i="21"/>
  <c r="B176" i="21"/>
  <c r="B184" i="21"/>
  <c r="B87" i="21"/>
  <c r="FS87" i="21" s="1"/>
  <c r="B79" i="21"/>
  <c r="B89" i="21"/>
  <c r="FS89" i="21" s="1"/>
  <c r="A169" i="21"/>
  <c r="B94" i="21"/>
  <c r="FS94" i="21" s="1"/>
  <c r="B105" i="21"/>
  <c r="GN105" i="21" s="1"/>
  <c r="A156" i="21"/>
  <c r="B122" i="21"/>
  <c r="FS122" i="21" s="1"/>
  <c r="A154" i="21"/>
  <c r="B156" i="21"/>
  <c r="GN156" i="21" s="1"/>
  <c r="B116" i="21"/>
  <c r="FS116" i="21" s="1"/>
  <c r="B69" i="21"/>
  <c r="GN69" i="21" s="1"/>
  <c r="A76" i="21"/>
  <c r="B76" i="21"/>
  <c r="GN76" i="21" s="1"/>
  <c r="B71" i="21"/>
  <c r="FS71" i="21" s="1"/>
  <c r="B70" i="21"/>
  <c r="A106" i="21"/>
  <c r="A110" i="21"/>
  <c r="A157" i="21"/>
  <c r="A113" i="21"/>
  <c r="A152" i="21"/>
  <c r="B141" i="21"/>
  <c r="FS141" i="21" s="1"/>
  <c r="B110" i="21"/>
  <c r="GN110" i="21" s="1"/>
  <c r="A103" i="21"/>
  <c r="A101" i="21"/>
  <c r="A143" i="21"/>
  <c r="A166" i="21"/>
  <c r="A133" i="21"/>
  <c r="A163" i="21"/>
  <c r="A94" i="21"/>
  <c r="A145" i="21"/>
  <c r="A164" i="21"/>
  <c r="A127" i="21"/>
  <c r="A119" i="21"/>
  <c r="B103" i="21"/>
  <c r="GN103" i="21" s="1"/>
  <c r="A141" i="21"/>
  <c r="B166" i="21"/>
  <c r="FS166" i="21" s="1"/>
  <c r="B181" i="21"/>
  <c r="GN181" i="21" s="1"/>
  <c r="B183" i="21"/>
  <c r="GN183" i="21" s="1"/>
  <c r="A176" i="21"/>
  <c r="A179" i="21"/>
  <c r="A105" i="21"/>
  <c r="B179" i="21"/>
  <c r="FS179" i="21" s="1"/>
  <c r="B68" i="21"/>
  <c r="A125" i="21"/>
  <c r="B72" i="21"/>
  <c r="GN72" i="21" s="1"/>
  <c r="A75" i="21"/>
  <c r="B82" i="21"/>
  <c r="A88" i="21"/>
  <c r="A68" i="21"/>
  <c r="A74" i="21"/>
  <c r="A98" i="21"/>
  <c r="B120" i="21"/>
  <c r="GN120" i="21" s="1"/>
  <c r="B168" i="21"/>
  <c r="FS168" i="21" s="1"/>
  <c r="B131" i="21"/>
  <c r="GN131" i="21" s="1"/>
  <c r="B149" i="21"/>
  <c r="FS149" i="21" s="1"/>
  <c r="B151" i="21"/>
  <c r="GN151" i="21" s="1"/>
  <c r="A99" i="21"/>
  <c r="B90" i="21"/>
  <c r="FS90" i="21" s="1"/>
  <c r="B91" i="21"/>
  <c r="FS91" i="21" s="1"/>
  <c r="B143" i="21"/>
  <c r="FS143" i="21" s="1"/>
  <c r="B171" i="21"/>
  <c r="FS171" i="21" s="1"/>
  <c r="A144" i="21"/>
  <c r="A100" i="21"/>
  <c r="A102" i="21"/>
  <c r="B127" i="21"/>
  <c r="FS127" i="21" s="1"/>
  <c r="B170" i="21"/>
  <c r="GN170" i="21" s="1"/>
  <c r="A135" i="21"/>
  <c r="B98" i="21"/>
  <c r="B93" i="21"/>
  <c r="FS93" i="21" s="1"/>
  <c r="B133" i="21"/>
  <c r="GN133" i="21" s="1"/>
  <c r="A183" i="21"/>
  <c r="A172" i="21"/>
  <c r="B186" i="21"/>
  <c r="FS186" i="21" s="1"/>
  <c r="A185" i="21"/>
  <c r="A82" i="21"/>
  <c r="A72" i="21"/>
  <c r="B85" i="21"/>
  <c r="A69" i="21"/>
  <c r="A73" i="21"/>
  <c r="B77" i="21"/>
  <c r="FS77" i="21" s="1"/>
  <c r="A114" i="21"/>
  <c r="A130" i="21"/>
  <c r="B104" i="21"/>
  <c r="GN104" i="21" s="1"/>
  <c r="A111" i="21"/>
  <c r="B154" i="21"/>
  <c r="B163" i="21"/>
  <c r="GN163" i="21" s="1"/>
  <c r="A122" i="21"/>
  <c r="A126" i="21"/>
  <c r="B99" i="21"/>
  <c r="FS99" i="21" s="1"/>
  <c r="B136" i="21"/>
  <c r="GN136" i="21" s="1"/>
  <c r="A123" i="21"/>
  <c r="B147" i="21"/>
  <c r="FS147" i="21" s="1"/>
  <c r="B107" i="21"/>
  <c r="B92" i="21"/>
  <c r="FS92" i="21" s="1"/>
  <c r="A149" i="21"/>
  <c r="A97" i="21"/>
  <c r="A162" i="21"/>
  <c r="A128" i="21"/>
  <c r="B101" i="21"/>
  <c r="FS101" i="21" s="1"/>
  <c r="B138" i="21"/>
  <c r="GN138" i="21" s="1"/>
  <c r="A175" i="21"/>
  <c r="A173" i="21"/>
  <c r="B187" i="21"/>
  <c r="FS187" i="21" s="1"/>
  <c r="A186" i="21"/>
  <c r="A184" i="21"/>
  <c r="B175" i="21"/>
  <c r="GN175" i="21" s="1"/>
  <c r="B74" i="21"/>
  <c r="FS74" i="21" s="1"/>
  <c r="A79" i="21"/>
  <c r="B73" i="21"/>
  <c r="FS73" i="21" s="1"/>
  <c r="B84" i="21"/>
  <c r="FS84" i="21" s="1"/>
  <c r="B78" i="21"/>
  <c r="B86" i="21"/>
  <c r="GN86" i="21" s="1"/>
  <c r="A78" i="21"/>
  <c r="B155" i="21"/>
  <c r="FS155" i="21" s="1"/>
  <c r="B165" i="21"/>
  <c r="GN165" i="21" s="1"/>
  <c r="A117" i="21"/>
  <c r="B117" i="21"/>
  <c r="FS117" i="21" s="1"/>
  <c r="B164" i="21"/>
  <c r="FS164" i="21" s="1"/>
  <c r="B115" i="21"/>
  <c r="FS115" i="21" s="1"/>
  <c r="A138" i="21"/>
  <c r="A140" i="21"/>
  <c r="B108" i="21"/>
  <c r="GN108" i="21" s="1"/>
  <c r="B139" i="21"/>
  <c r="FS139" i="21" s="1"/>
  <c r="B95" i="21"/>
  <c r="FS95" i="21" s="1"/>
  <c r="A91" i="21"/>
  <c r="B121" i="21"/>
  <c r="FS121" i="21" s="1"/>
  <c r="B100" i="21"/>
  <c r="B137" i="21"/>
  <c r="A116" i="21"/>
  <c r="A171" i="21"/>
  <c r="B135" i="21"/>
  <c r="FS135" i="21" s="1"/>
  <c r="B111" i="21"/>
  <c r="GN111" i="21" s="1"/>
  <c r="A150" i="21"/>
  <c r="A188" i="21"/>
  <c r="B182" i="21"/>
  <c r="FS182" i="21" s="1"/>
  <c r="A181" i="21"/>
  <c r="A87" i="21"/>
  <c r="B81" i="21"/>
  <c r="B80" i="21"/>
  <c r="A77" i="21"/>
  <c r="A70" i="21"/>
  <c r="A85" i="21"/>
  <c r="A147" i="21"/>
  <c r="A92" i="21"/>
  <c r="A96" i="21"/>
  <c r="A124" i="21"/>
  <c r="B161" i="21"/>
  <c r="B96" i="21"/>
  <c r="FS96" i="21" s="1"/>
  <c r="A137" i="21"/>
  <c r="B158" i="21"/>
  <c r="FS158" i="21" s="1"/>
  <c r="A107" i="21"/>
  <c r="A151" i="21"/>
  <c r="B114" i="21"/>
  <c r="B97" i="21"/>
  <c r="A134" i="21"/>
  <c r="B109" i="21"/>
  <c r="GN109" i="21" s="1"/>
  <c r="B145" i="21"/>
  <c r="FS145" i="21" s="1"/>
  <c r="A132" i="21"/>
  <c r="A121" i="21"/>
  <c r="A104" i="21"/>
  <c r="A131" i="21"/>
  <c r="A146" i="21"/>
  <c r="A174" i="21"/>
  <c r="B185" i="21"/>
  <c r="GN185" i="21" s="1"/>
  <c r="B173" i="21"/>
  <c r="FS173" i="21" s="1"/>
  <c r="B180" i="21"/>
  <c r="FS180" i="21" s="1"/>
  <c r="B134" i="21"/>
  <c r="GN134" i="21" s="1"/>
  <c r="B177" i="21"/>
  <c r="GN177" i="21" s="1"/>
  <c r="GN178" i="21"/>
  <c r="FS178" i="21"/>
  <c r="GN174" i="21"/>
  <c r="GN188" i="21"/>
  <c r="FS188" i="21"/>
  <c r="FS151" i="21"/>
  <c r="GN149" i="21"/>
  <c r="GN115" i="21"/>
  <c r="FS146" i="21"/>
  <c r="FS119" i="21"/>
  <c r="GN119" i="21"/>
  <c r="GN70" i="21"/>
  <c r="FS70" i="21"/>
  <c r="DY67" i="21"/>
  <c r="EP67" i="21" s="1"/>
  <c r="FG67" i="21" s="1"/>
  <c r="DZ67" i="21"/>
  <c r="GN75" i="21"/>
  <c r="FS75" i="21"/>
  <c r="ET67" i="21"/>
  <c r="FK67" i="21" s="1"/>
  <c r="EB67" i="21"/>
  <c r="EE67" i="21"/>
  <c r="ER67" i="21"/>
  <c r="FI67" i="21" s="1"/>
  <c r="FS82" i="21"/>
  <c r="GN82" i="21"/>
  <c r="P97" i="21"/>
  <c r="I126" i="21"/>
  <c r="I181" i="21"/>
  <c r="O151" i="21"/>
  <c r="G102" i="21"/>
  <c r="F83" i="21"/>
  <c r="G181" i="21"/>
  <c r="M164" i="21"/>
  <c r="J107" i="21"/>
  <c r="H122" i="21"/>
  <c r="M126" i="21"/>
  <c r="I164" i="21"/>
  <c r="G183" i="21"/>
  <c r="N164" i="21"/>
  <c r="L100" i="21"/>
  <c r="G164" i="21"/>
  <c r="E106" i="21"/>
  <c r="I151" i="21"/>
  <c r="K181" i="21"/>
  <c r="J103" i="21"/>
  <c r="E108" i="21"/>
  <c r="M84" i="21"/>
  <c r="M168" i="21"/>
  <c r="H138" i="21"/>
  <c r="H126" i="21"/>
  <c r="N88" i="21"/>
  <c r="K97" i="21"/>
  <c r="P154" i="21"/>
  <c r="I104" i="21"/>
  <c r="M114" i="21"/>
  <c r="F110" i="21"/>
  <c r="K186" i="21"/>
  <c r="P103" i="21"/>
  <c r="M102" i="21"/>
  <c r="G83" i="21"/>
  <c r="F151" i="21"/>
  <c r="K125" i="21"/>
  <c r="I89" i="21"/>
  <c r="N154" i="21"/>
  <c r="P78" i="21"/>
  <c r="F187" i="21"/>
  <c r="L147" i="21"/>
  <c r="P186" i="21"/>
  <c r="M152" i="21"/>
  <c r="G151" i="21"/>
  <c r="E119" i="21"/>
  <c r="K88" i="21"/>
  <c r="J102" i="21"/>
  <c r="N92" i="21"/>
  <c r="I154" i="21"/>
  <c r="L179" i="21"/>
  <c r="E73" i="21"/>
  <c r="M136" i="21"/>
  <c r="J176" i="21"/>
  <c r="J92" i="21"/>
  <c r="G126" i="21"/>
  <c r="F104" i="21"/>
  <c r="L161" i="21"/>
  <c r="K158" i="21"/>
  <c r="E176" i="21"/>
  <c r="H108" i="21"/>
  <c r="N179" i="21"/>
  <c r="G176" i="21"/>
  <c r="O149" i="21"/>
  <c r="L97" i="21"/>
  <c r="K73" i="21"/>
  <c r="G107" i="21"/>
  <c r="O121" i="21"/>
  <c r="H107" i="21"/>
  <c r="I103" i="21"/>
  <c r="P151" i="21"/>
  <c r="I179" i="21"/>
  <c r="E139" i="21"/>
  <c r="E129" i="21"/>
  <c r="G154" i="21"/>
  <c r="E161" i="21"/>
  <c r="I127" i="21"/>
  <c r="M172" i="21"/>
  <c r="J126" i="21"/>
  <c r="H83" i="21"/>
  <c r="P172" i="21"/>
  <c r="O150" i="21"/>
  <c r="H147" i="21"/>
  <c r="G146" i="21"/>
  <c r="H176" i="21"/>
  <c r="J88" i="21"/>
  <c r="O161" i="21"/>
  <c r="F116" i="21"/>
  <c r="M187" i="21"/>
  <c r="J122" i="21"/>
  <c r="M101" i="21"/>
  <c r="N95" i="21"/>
  <c r="N107" i="21"/>
  <c r="M176" i="21"/>
  <c r="N100" i="21"/>
  <c r="K100" i="21"/>
  <c r="E172" i="21"/>
  <c r="H129" i="21"/>
  <c r="K106" i="21"/>
  <c r="J154" i="21"/>
  <c r="M127" i="21"/>
  <c r="E118" i="21"/>
  <c r="H92" i="21"/>
  <c r="H102" i="21"/>
  <c r="O164" i="21"/>
  <c r="H127" i="21"/>
  <c r="K151" i="21"/>
  <c r="G92" i="21"/>
  <c r="F172" i="21"/>
  <c r="P84" i="21"/>
  <c r="N161" i="21"/>
  <c r="I107" i="21"/>
  <c r="J121" i="21"/>
  <c r="N97" i="21"/>
  <c r="K92" i="21"/>
  <c r="F89" i="21"/>
  <c r="M104" i="21"/>
  <c r="E187" i="21"/>
  <c r="J129" i="21"/>
  <c r="G139" i="21"/>
  <c r="L126" i="21"/>
  <c r="O108" i="21"/>
  <c r="I102" i="21"/>
  <c r="H95" i="21"/>
  <c r="P147" i="21"/>
  <c r="F127" i="21"/>
  <c r="I138" i="21"/>
  <c r="M181" i="21"/>
  <c r="P83" i="21"/>
  <c r="I161" i="21"/>
  <c r="F102" i="21"/>
  <c r="L111" i="21"/>
  <c r="I95" i="21"/>
  <c r="N131" i="21"/>
  <c r="I172" i="21"/>
  <c r="K68" i="21"/>
  <c r="G129" i="21"/>
  <c r="J168" i="21"/>
  <c r="K72" i="21"/>
  <c r="O138" i="21"/>
  <c r="F105" i="21"/>
  <c r="O102" i="21"/>
  <c r="L73" i="21"/>
  <c r="N104" i="21"/>
  <c r="G104" i="21"/>
  <c r="K126" i="21"/>
  <c r="N186" i="21"/>
  <c r="G186" i="21"/>
  <c r="L118" i="21"/>
  <c r="P106" i="21"/>
  <c r="H73" i="21"/>
  <c r="L107" i="21"/>
  <c r="N136" i="21"/>
  <c r="E101" i="21"/>
  <c r="K136" i="21"/>
  <c r="L92" i="21"/>
  <c r="E181" i="21"/>
  <c r="P122" i="21"/>
  <c r="M100" i="21"/>
  <c r="L136" i="21"/>
  <c r="G84" i="21"/>
  <c r="O99" i="21"/>
  <c r="L102" i="21"/>
  <c r="O129" i="21"/>
  <c r="E183" i="21"/>
  <c r="F118" i="21"/>
  <c r="L149" i="21"/>
  <c r="J147" i="21"/>
  <c r="K139" i="21"/>
  <c r="G100" i="21"/>
  <c r="J68" i="21"/>
  <c r="G88" i="21"/>
  <c r="H84" i="21"/>
  <c r="E147" i="21"/>
  <c r="P139" i="21"/>
  <c r="F139" i="21"/>
  <c r="J136" i="21"/>
  <c r="I84" i="21"/>
  <c r="P164" i="21"/>
  <c r="I121" i="21"/>
  <c r="K154" i="21"/>
  <c r="F186" i="21"/>
  <c r="M88" i="21"/>
  <c r="K121" i="21"/>
  <c r="P127" i="21"/>
  <c r="L154" i="21"/>
  <c r="O186" i="21"/>
  <c r="J108" i="21"/>
  <c r="H118" i="21"/>
  <c r="F101" i="21"/>
  <c r="N129" i="21"/>
  <c r="J84" i="21"/>
  <c r="F88" i="21"/>
  <c r="G95" i="21"/>
  <c r="K138" i="21"/>
  <c r="H164" i="21"/>
  <c r="F176" i="21"/>
  <c r="P138" i="21"/>
  <c r="E103" i="21"/>
  <c r="F162" i="21"/>
  <c r="K149" i="21"/>
  <c r="N101" i="21"/>
  <c r="L172" i="21"/>
  <c r="I108" i="21"/>
  <c r="G106" i="21"/>
  <c r="F154" i="21"/>
  <c r="F73" i="21"/>
  <c r="L184" i="21"/>
  <c r="K164" i="21"/>
  <c r="J95" i="21"/>
  <c r="P118" i="21"/>
  <c r="K99" i="21"/>
  <c r="O136" i="21"/>
  <c r="J105" i="21"/>
  <c r="I187" i="21"/>
  <c r="K103" i="21"/>
  <c r="L122" i="21"/>
  <c r="G187" i="21"/>
  <c r="N73" i="21"/>
  <c r="F183" i="21"/>
  <c r="F117" i="21"/>
  <c r="M118" i="21"/>
  <c r="E68" i="21"/>
  <c r="I136" i="21"/>
  <c r="K84" i="21"/>
  <c r="P68" i="21"/>
  <c r="P129" i="21"/>
  <c r="H136" i="21"/>
  <c r="M95" i="21"/>
  <c r="H151" i="21"/>
  <c r="H100" i="21"/>
  <c r="E158" i="21"/>
  <c r="O104" i="21"/>
  <c r="L163" i="21"/>
  <c r="L186" i="21"/>
  <c r="J97" i="21"/>
  <c r="P136" i="21"/>
  <c r="H139" i="21"/>
  <c r="O154" i="21"/>
  <c r="P126" i="21"/>
  <c r="I97" i="21"/>
  <c r="O92" i="21"/>
  <c r="E107" i="21"/>
  <c r="P181" i="21"/>
  <c r="M154" i="21"/>
  <c r="L168" i="21"/>
  <c r="M92" i="21"/>
  <c r="N151" i="21"/>
  <c r="L80" i="21"/>
  <c r="H186" i="21"/>
  <c r="I100" i="21"/>
  <c r="N170" i="21"/>
  <c r="F179" i="21"/>
  <c r="N187" i="21"/>
  <c r="J161" i="21"/>
  <c r="E154" i="21"/>
  <c r="K176" i="21"/>
  <c r="M147" i="21"/>
  <c r="K183" i="21"/>
  <c r="L139" i="21"/>
  <c r="G122" i="21"/>
  <c r="L151" i="21"/>
  <c r="I73" i="21"/>
  <c r="I122" i="21"/>
  <c r="I92" i="21"/>
  <c r="H154" i="21"/>
  <c r="I186" i="21"/>
  <c r="F122" i="21"/>
  <c r="J186" i="21"/>
  <c r="N108" i="21"/>
  <c r="O103" i="21"/>
  <c r="J149" i="21"/>
  <c r="P88" i="21"/>
  <c r="N138" i="21"/>
  <c r="P102" i="21"/>
  <c r="N139" i="21"/>
  <c r="E151" i="21"/>
  <c r="O181" i="21"/>
  <c r="O73" i="21"/>
  <c r="O126" i="21"/>
  <c r="E164" i="21"/>
  <c r="E126" i="21"/>
  <c r="N176" i="21"/>
  <c r="K101" i="21"/>
  <c r="K107" i="21"/>
  <c r="L183" i="21"/>
  <c r="F147" i="21"/>
  <c r="L84" i="21"/>
  <c r="M161" i="21"/>
  <c r="E121" i="21"/>
  <c r="K122" i="21"/>
  <c r="K147" i="21"/>
  <c r="P100" i="21"/>
  <c r="M97" i="21"/>
  <c r="K104" i="21"/>
  <c r="L108" i="21"/>
  <c r="N103" i="21"/>
  <c r="L138" i="21"/>
  <c r="J151" i="21"/>
  <c r="F164" i="21"/>
  <c r="M183" i="21"/>
  <c r="O95" i="21"/>
  <c r="M151" i="21"/>
  <c r="P131" i="21"/>
  <c r="P87" i="21"/>
  <c r="J89" i="21"/>
  <c r="O162" i="21"/>
  <c r="O176" i="21"/>
  <c r="J73" i="21"/>
  <c r="J101" i="21"/>
  <c r="F103" i="21"/>
  <c r="H142" i="21"/>
  <c r="G138" i="21"/>
  <c r="H161" i="21"/>
  <c r="P73" i="21"/>
  <c r="P95" i="21"/>
  <c r="E100" i="21"/>
  <c r="M179" i="21"/>
  <c r="L148" i="21"/>
  <c r="O119" i="21"/>
  <c r="M73" i="21"/>
  <c r="H103" i="21"/>
  <c r="K108" i="21"/>
  <c r="I88" i="21"/>
  <c r="P187" i="21"/>
  <c r="P175" i="21"/>
  <c r="L104" i="21"/>
  <c r="H106" i="21"/>
  <c r="P108" i="21"/>
  <c r="P115" i="21"/>
  <c r="O127" i="21"/>
  <c r="H88" i="21"/>
  <c r="G172" i="21"/>
  <c r="O100" i="21"/>
  <c r="G161" i="21"/>
  <c r="I183" i="21"/>
  <c r="E92" i="21"/>
  <c r="I129" i="21"/>
  <c r="E136" i="21"/>
  <c r="M129" i="21"/>
  <c r="N149" i="21"/>
  <c r="O83" i="21"/>
  <c r="H97" i="21"/>
  <c r="G147" i="21"/>
  <c r="F91" i="21"/>
  <c r="L181" i="21"/>
  <c r="E104" i="21"/>
  <c r="F92" i="21"/>
  <c r="N121" i="21"/>
  <c r="J187" i="21"/>
  <c r="F97" i="21"/>
  <c r="F99" i="21"/>
  <c r="F106" i="21"/>
  <c r="G108" i="21"/>
  <c r="O84" i="21"/>
  <c r="F121" i="21"/>
  <c r="M80" i="21"/>
  <c r="K102" i="21"/>
  <c r="K155" i="21"/>
  <c r="N87" i="21"/>
  <c r="P92" i="21"/>
  <c r="P107" i="21"/>
  <c r="E84" i="21"/>
  <c r="E168" i="21"/>
  <c r="J183" i="21"/>
  <c r="H187" i="21"/>
  <c r="M70" i="21"/>
  <c r="K165" i="21"/>
  <c r="H87" i="21"/>
  <c r="M122" i="21"/>
  <c r="P162" i="21"/>
  <c r="E87" i="21"/>
  <c r="F95" i="21"/>
  <c r="J172" i="21"/>
  <c r="E179" i="21"/>
  <c r="E88" i="21"/>
  <c r="N78" i="21"/>
  <c r="E82" i="21"/>
  <c r="K115" i="21"/>
  <c r="H166" i="21"/>
  <c r="L121" i="21"/>
  <c r="L129" i="21"/>
  <c r="J110" i="21"/>
  <c r="F161" i="21"/>
  <c r="L176" i="21"/>
  <c r="O155" i="21"/>
  <c r="I113" i="21"/>
  <c r="O172" i="21"/>
  <c r="J138" i="21"/>
  <c r="G136" i="21"/>
  <c r="J134" i="21"/>
  <c r="K95" i="21"/>
  <c r="F107" i="21"/>
  <c r="H150" i="21"/>
  <c r="I149" i="21"/>
  <c r="P176" i="21"/>
  <c r="G97" i="21"/>
  <c r="F126" i="21"/>
  <c r="G118" i="21"/>
  <c r="K145" i="21"/>
  <c r="M186" i="21"/>
  <c r="M170" i="21"/>
  <c r="L114" i="21"/>
  <c r="E186" i="21"/>
  <c r="E102" i="21"/>
  <c r="O183" i="21"/>
  <c r="P183" i="21"/>
  <c r="N102" i="21"/>
  <c r="M149" i="21"/>
  <c r="H149" i="21"/>
  <c r="O187" i="21"/>
  <c r="G160" i="21"/>
  <c r="P161" i="21"/>
  <c r="J114" i="21"/>
  <c r="K187" i="21"/>
  <c r="O179" i="21"/>
  <c r="K118" i="21"/>
  <c r="L166" i="21"/>
  <c r="K127" i="21"/>
  <c r="J100" i="21"/>
  <c r="E149" i="21"/>
  <c r="M121" i="21"/>
  <c r="E79" i="21"/>
  <c r="K148" i="21"/>
  <c r="G185" i="21"/>
  <c r="M171" i="21"/>
  <c r="J118" i="21"/>
  <c r="H104" i="21"/>
  <c r="K129" i="21"/>
  <c r="G73" i="21"/>
  <c r="O106" i="21"/>
  <c r="G86" i="21"/>
  <c r="O141" i="21"/>
  <c r="J182" i="21"/>
  <c r="J119" i="21"/>
  <c r="F136" i="21"/>
  <c r="M96" i="21"/>
  <c r="F100" i="21"/>
  <c r="H121" i="21"/>
  <c r="K159" i="21"/>
  <c r="I106" i="21"/>
  <c r="M103" i="21"/>
  <c r="L95" i="21"/>
  <c r="M157" i="21"/>
  <c r="O97" i="21"/>
  <c r="H144" i="21"/>
  <c r="F188" i="21"/>
  <c r="L187" i="21"/>
  <c r="E114" i="21"/>
  <c r="J71" i="21"/>
  <c r="F129" i="21"/>
  <c r="K76" i="21"/>
  <c r="L164" i="21"/>
  <c r="J127" i="21"/>
  <c r="P104" i="21"/>
  <c r="G119" i="21"/>
  <c r="H183" i="21"/>
  <c r="N122" i="21"/>
  <c r="I171" i="21"/>
  <c r="N181" i="21"/>
  <c r="M107" i="21"/>
  <c r="H101" i="21"/>
  <c r="F84" i="21"/>
  <c r="K77" i="21"/>
  <c r="F108" i="21"/>
  <c r="N123" i="21"/>
  <c r="G90" i="21"/>
  <c r="J80" i="21"/>
  <c r="K157" i="21"/>
  <c r="N172" i="21"/>
  <c r="J106" i="21"/>
  <c r="H172" i="21"/>
  <c r="H155" i="21"/>
  <c r="I147" i="21"/>
  <c r="E97" i="21"/>
  <c r="H109" i="21"/>
  <c r="O135" i="21"/>
  <c r="E122" i="21"/>
  <c r="O147" i="21"/>
  <c r="K179" i="21"/>
  <c r="G105" i="21"/>
  <c r="L158" i="21"/>
  <c r="N126" i="21"/>
  <c r="L103" i="21"/>
  <c r="E127" i="21"/>
  <c r="O107" i="21"/>
  <c r="G103" i="21"/>
  <c r="O143" i="21"/>
  <c r="N119" i="21"/>
  <c r="N84" i="21"/>
  <c r="N147" i="21"/>
  <c r="K172" i="21"/>
  <c r="G120" i="21"/>
  <c r="L162" i="21"/>
  <c r="L88" i="21"/>
  <c r="J104" i="21"/>
  <c r="J164" i="21"/>
  <c r="G121" i="21"/>
  <c r="O88" i="21"/>
  <c r="F149" i="21"/>
  <c r="N183" i="21"/>
  <c r="K175" i="21"/>
  <c r="J179" i="21"/>
  <c r="L110" i="21"/>
  <c r="M108" i="21"/>
  <c r="M68" i="21"/>
  <c r="F80" i="21"/>
  <c r="J139" i="21"/>
  <c r="K161" i="21"/>
  <c r="N89" i="21"/>
  <c r="G182" i="21"/>
  <c r="L175" i="21"/>
  <c r="L127" i="21"/>
  <c r="J184" i="21"/>
  <c r="E95" i="21"/>
  <c r="I176" i="21"/>
  <c r="K169" i="21"/>
  <c r="E109" i="21"/>
  <c r="J132" i="21"/>
  <c r="P121" i="21"/>
  <c r="N167" i="21"/>
  <c r="E144" i="21"/>
  <c r="O132" i="21"/>
  <c r="P177" i="21"/>
  <c r="G75" i="21"/>
  <c r="E85" i="21"/>
  <c r="GN88" i="21" l="1"/>
  <c r="FS134" i="21"/>
  <c r="GN112" i="21"/>
  <c r="GN87" i="21"/>
  <c r="HB87" i="21" s="1"/>
  <c r="GN77" i="21"/>
  <c r="FS144" i="21"/>
  <c r="FS86" i="21"/>
  <c r="FS142" i="21"/>
  <c r="GN168" i="21"/>
  <c r="HB168" i="21" s="1"/>
  <c r="GN173" i="21"/>
  <c r="HB173" i="21" s="1"/>
  <c r="GN171" i="21"/>
  <c r="FZ171" i="21" s="1"/>
  <c r="GN79" i="21"/>
  <c r="FZ79" i="21" s="1"/>
  <c r="FS79" i="21"/>
  <c r="FS126" i="21"/>
  <c r="GN126" i="21"/>
  <c r="HB126" i="21" s="1"/>
  <c r="FS102" i="21"/>
  <c r="GN102" i="21"/>
  <c r="FZ102" i="21" s="1"/>
  <c r="GN169" i="21"/>
  <c r="HB169" i="21" s="1"/>
  <c r="FS169" i="21"/>
  <c r="FS156" i="21"/>
  <c r="GN114" i="21"/>
  <c r="HB114" i="21" s="1"/>
  <c r="FS114" i="21"/>
  <c r="GN117" i="21"/>
  <c r="HB117" i="21" s="1"/>
  <c r="FS124" i="21"/>
  <c r="FS105" i="21"/>
  <c r="GN141" i="21"/>
  <c r="HB141" i="21" s="1"/>
  <c r="FS123" i="21"/>
  <c r="GN99" i="21"/>
  <c r="HB99" i="21" s="1"/>
  <c r="FS136" i="21"/>
  <c r="FS128" i="21"/>
  <c r="FS108" i="21"/>
  <c r="GN147" i="21"/>
  <c r="FZ147" i="21" s="1"/>
  <c r="GN186" i="21"/>
  <c r="HB186" i="21" s="1"/>
  <c r="GN172" i="21"/>
  <c r="HB172" i="21" s="1"/>
  <c r="GN94" i="21"/>
  <c r="FZ94" i="21" s="1"/>
  <c r="FS125" i="21"/>
  <c r="GN132" i="21"/>
  <c r="FZ132" i="21" s="1"/>
  <c r="FS170" i="21"/>
  <c r="GN158" i="21"/>
  <c r="FZ158" i="21" s="1"/>
  <c r="GN166" i="21"/>
  <c r="FZ166" i="21" s="1"/>
  <c r="FS111" i="21"/>
  <c r="FS185" i="21"/>
  <c r="GN143" i="21"/>
  <c r="FZ143" i="21" s="1"/>
  <c r="GN113" i="21"/>
  <c r="HB113" i="21" s="1"/>
  <c r="GN106" i="21"/>
  <c r="HB106" i="21" s="1"/>
  <c r="GN74" i="21"/>
  <c r="FZ74" i="21" s="1"/>
  <c r="GN135" i="21"/>
  <c r="HB135" i="21" s="1"/>
  <c r="GN118" i="21"/>
  <c r="FZ118" i="21" s="1"/>
  <c r="GN89" i="21"/>
  <c r="FZ89" i="21" s="1"/>
  <c r="GN116" i="21"/>
  <c r="FZ116" i="21" s="1"/>
  <c r="GN90" i="21"/>
  <c r="HB90" i="21" s="1"/>
  <c r="FS103" i="21"/>
  <c r="GN101" i="21"/>
  <c r="HB101" i="21" s="1"/>
  <c r="GN145" i="21"/>
  <c r="FZ145" i="21" s="1"/>
  <c r="GN71" i="21"/>
  <c r="HB71" i="21" s="1"/>
  <c r="GN179" i="21"/>
  <c r="HB179" i="21" s="1"/>
  <c r="GN155" i="21"/>
  <c r="FZ155" i="21" s="1"/>
  <c r="GN95" i="21"/>
  <c r="HB95" i="21" s="1"/>
  <c r="FS153" i="21"/>
  <c r="GN127" i="21"/>
  <c r="FZ127" i="21" s="1"/>
  <c r="FS129" i="21"/>
  <c r="FS120" i="21"/>
  <c r="FS138" i="21"/>
  <c r="FS69" i="21"/>
  <c r="GN139" i="21"/>
  <c r="FZ139" i="21" s="1"/>
  <c r="FS72" i="21"/>
  <c r="GN73" i="21"/>
  <c r="HB73" i="21" s="1"/>
  <c r="GN130" i="21"/>
  <c r="HB130" i="21" s="1"/>
  <c r="FS148" i="21"/>
  <c r="FS104" i="21"/>
  <c r="FS175" i="21"/>
  <c r="FS133" i="21"/>
  <c r="GN152" i="21"/>
  <c r="HB152" i="21" s="1"/>
  <c r="FS165" i="21"/>
  <c r="GN92" i="21"/>
  <c r="FZ92" i="21" s="1"/>
  <c r="FS183" i="21"/>
  <c r="FS76" i="21"/>
  <c r="FS157" i="21"/>
  <c r="GN164" i="21"/>
  <c r="FZ164" i="21" s="1"/>
  <c r="FS131" i="21"/>
  <c r="GN93" i="21"/>
  <c r="HB93" i="21" s="1"/>
  <c r="GN160" i="21"/>
  <c r="HB160" i="21" s="1"/>
  <c r="FS163" i="21"/>
  <c r="GN83" i="21"/>
  <c r="FZ83" i="21" s="1"/>
  <c r="GN121" i="21"/>
  <c r="HB121" i="21" s="1"/>
  <c r="FS140" i="21"/>
  <c r="FS110" i="21"/>
  <c r="FS181" i="21"/>
  <c r="GN180" i="21"/>
  <c r="FZ180" i="21" s="1"/>
  <c r="FS161" i="21"/>
  <c r="GN161" i="21"/>
  <c r="HB161" i="21" s="1"/>
  <c r="FS80" i="21"/>
  <c r="GN80" i="21"/>
  <c r="HB80" i="21" s="1"/>
  <c r="FS100" i="21"/>
  <c r="GN100" i="21"/>
  <c r="HB100" i="21" s="1"/>
  <c r="FS78" i="21"/>
  <c r="GN78" i="21"/>
  <c r="FZ78" i="21" s="1"/>
  <c r="GN107" i="21"/>
  <c r="HB107" i="21" s="1"/>
  <c r="FS107" i="21"/>
  <c r="GN154" i="21"/>
  <c r="HB154" i="21" s="1"/>
  <c r="FS154" i="21"/>
  <c r="FS85" i="21"/>
  <c r="GN85" i="21"/>
  <c r="HB85" i="21" s="1"/>
  <c r="GN68" i="21"/>
  <c r="HB68" i="21" s="1"/>
  <c r="F3" i="21"/>
  <c r="FS68" i="21"/>
  <c r="D3" i="21"/>
  <c r="GN91" i="21"/>
  <c r="FZ91" i="21" s="1"/>
  <c r="GN182" i="21"/>
  <c r="HB182" i="21" s="1"/>
  <c r="FS97" i="21"/>
  <c r="GN97" i="21"/>
  <c r="FZ97" i="21" s="1"/>
  <c r="GN81" i="21"/>
  <c r="FZ81" i="21" s="1"/>
  <c r="FS81" i="21"/>
  <c r="FS137" i="21"/>
  <c r="GN137" i="21"/>
  <c r="HB137" i="21" s="1"/>
  <c r="FS98" i="21"/>
  <c r="GN98" i="21"/>
  <c r="FZ98" i="21" s="1"/>
  <c r="GN184" i="21"/>
  <c r="HB184" i="21" s="1"/>
  <c r="FS184" i="21"/>
  <c r="FS167" i="21"/>
  <c r="GN167" i="21"/>
  <c r="HB167" i="21" s="1"/>
  <c r="FS159" i="21"/>
  <c r="GN159" i="21"/>
  <c r="HB159" i="21" s="1"/>
  <c r="GN150" i="21"/>
  <c r="FZ150" i="21" s="1"/>
  <c r="FS150" i="21"/>
  <c r="GN176" i="21"/>
  <c r="FZ176" i="21" s="1"/>
  <c r="FS176" i="21"/>
  <c r="FS162" i="21"/>
  <c r="GN162" i="21"/>
  <c r="FZ162" i="21" s="1"/>
  <c r="GN122" i="21"/>
  <c r="FZ122" i="21" s="1"/>
  <c r="GN187" i="21"/>
  <c r="HB187" i="21" s="1"/>
  <c r="GN84" i="21"/>
  <c r="FZ84" i="21" s="1"/>
  <c r="GN96" i="21"/>
  <c r="FZ96" i="21" s="1"/>
  <c r="FS109" i="21"/>
  <c r="FS177" i="21"/>
  <c r="FD183" i="21" a="1"/>
  <c r="FD183" i="21" s="1"/>
  <c r="HE183" i="21" s="1"/>
  <c r="EM183" i="21" a="1"/>
  <c r="EM183" i="21" s="1"/>
  <c r="X183" i="21" a="1"/>
  <c r="X183" i="21" s="1"/>
  <c r="BF183" i="21" s="1"/>
  <c r="DE183" i="21" a="1"/>
  <c r="DE183" i="21" s="1"/>
  <c r="EM176" i="21" a="1"/>
  <c r="EM176" i="21" s="1"/>
  <c r="DE176" i="21" a="1"/>
  <c r="DE176" i="21" s="1"/>
  <c r="FD176" i="21" a="1"/>
  <c r="FD176" i="21" s="1"/>
  <c r="HE176" i="21" s="1"/>
  <c r="X176" i="21" a="1"/>
  <c r="X176" i="21" s="1"/>
  <c r="BF176" i="21" s="1"/>
  <c r="FC179" i="21" a="1"/>
  <c r="FC179" i="21" s="1"/>
  <c r="HD179" i="21" s="1"/>
  <c r="EL179" i="21" a="1"/>
  <c r="EL179" i="21" s="1"/>
  <c r="DD179" i="21" a="1"/>
  <c r="DD179" i="21" s="1"/>
  <c r="W179" i="21" a="1"/>
  <c r="W179" i="21" s="1"/>
  <c r="BE179" i="21" s="1"/>
  <c r="W187" i="21" a="1"/>
  <c r="W187" i="21" s="1"/>
  <c r="BE187" i="21" s="1"/>
  <c r="DD187" i="21" a="1"/>
  <c r="DD187" i="21" s="1"/>
  <c r="FC187" i="21" a="1"/>
  <c r="FC187" i="21" s="1"/>
  <c r="HD187" i="21" s="1"/>
  <c r="EL187" i="21" a="1"/>
  <c r="EL187" i="21" s="1"/>
  <c r="EN176" i="21" a="1"/>
  <c r="EN176" i="21" s="1"/>
  <c r="Y176" i="21" a="1"/>
  <c r="Y176" i="21" s="1"/>
  <c r="BG176" i="21" s="1"/>
  <c r="FE176" i="21" a="1"/>
  <c r="FE176" i="21" s="1"/>
  <c r="HF176" i="21" s="1"/>
  <c r="DF176" i="21" a="1"/>
  <c r="DF176" i="21" s="1"/>
  <c r="FB181" i="21" a="1"/>
  <c r="FB181" i="21" s="1"/>
  <c r="HC181" i="21" s="1"/>
  <c r="DC181" i="21" a="1"/>
  <c r="DC181" i="21" s="1"/>
  <c r="V181" i="21" a="1"/>
  <c r="V181" i="21" s="1"/>
  <c r="BD181" i="21" s="1"/>
  <c r="EK181" i="21" a="1"/>
  <c r="EK181" i="21" s="1"/>
  <c r="W186" i="21" a="1"/>
  <c r="W186" i="21" s="1"/>
  <c r="BE186" i="21" s="1"/>
  <c r="DD186" i="21" a="1"/>
  <c r="DD186" i="21" s="1"/>
  <c r="EL186" i="21" a="1"/>
  <c r="EL186" i="21" s="1"/>
  <c r="FC186" i="21" a="1"/>
  <c r="FC186" i="21" s="1"/>
  <c r="HD186" i="21" s="1"/>
  <c r="FD182" i="21" a="1"/>
  <c r="FD182" i="21" s="1"/>
  <c r="HE182" i="21" s="1"/>
  <c r="EM182" i="21" a="1"/>
  <c r="EM182" i="21" s="1"/>
  <c r="X182" i="21" a="1"/>
  <c r="X182" i="21" s="1"/>
  <c r="BF182" i="21" s="1"/>
  <c r="DE182" i="21" a="1"/>
  <c r="DE182" i="21" s="1"/>
  <c r="DE187" i="21" a="1"/>
  <c r="DE187" i="21" s="1"/>
  <c r="X187" i="21" a="1"/>
  <c r="X187" i="21" s="1"/>
  <c r="BF187" i="21" s="1"/>
  <c r="FD187" i="21" a="1"/>
  <c r="FD187" i="21" s="1"/>
  <c r="HE187" i="21" s="1"/>
  <c r="EM187" i="21" a="1"/>
  <c r="EM187" i="21" s="1"/>
  <c r="DE186" i="21" a="1"/>
  <c r="DE186" i="21" s="1"/>
  <c r="EM186" i="21" a="1"/>
  <c r="EM186" i="21" s="1"/>
  <c r="X186" i="21" a="1"/>
  <c r="X186" i="21" s="1"/>
  <c r="BF186" i="21" s="1"/>
  <c r="FD186" i="21" a="1"/>
  <c r="FD186" i="21" s="1"/>
  <c r="HE186" i="21" s="1"/>
  <c r="FC172" i="21" a="1"/>
  <c r="FC172" i="21" s="1"/>
  <c r="HD172" i="21" s="1"/>
  <c r="W172" i="21" a="1"/>
  <c r="W172" i="21" s="1"/>
  <c r="BE172" i="21" s="1"/>
  <c r="DD172" i="21" a="1"/>
  <c r="DD172" i="21" s="1"/>
  <c r="EL172" i="21" a="1"/>
  <c r="EL172" i="21" s="1"/>
  <c r="FD185" i="21" a="1"/>
  <c r="FD185" i="21" s="1"/>
  <c r="HE185" i="21" s="1"/>
  <c r="EM185" i="21" a="1"/>
  <c r="EM185" i="21" s="1"/>
  <c r="X185" i="21" a="1"/>
  <c r="X185" i="21" s="1"/>
  <c r="BF185" i="21" s="1"/>
  <c r="DE185" i="21" a="1"/>
  <c r="DE185" i="21" s="1"/>
  <c r="FD172" i="21" a="1"/>
  <c r="FD172" i="21" s="1"/>
  <c r="HE172" i="21" s="1"/>
  <c r="X172" i="21" a="1"/>
  <c r="X172" i="21" s="1"/>
  <c r="BF172" i="21" s="1"/>
  <c r="EM172" i="21" a="1"/>
  <c r="EM172" i="21" s="1"/>
  <c r="DE172" i="21" a="1"/>
  <c r="DE172" i="21" s="1"/>
  <c r="V176" i="21" a="1"/>
  <c r="V176" i="21" s="1"/>
  <c r="BD176" i="21" s="1"/>
  <c r="FB176" i="21" a="1"/>
  <c r="FB176" i="21" s="1"/>
  <c r="HC176" i="21" s="1"/>
  <c r="DC176" i="21" a="1"/>
  <c r="DC176" i="21" s="1"/>
  <c r="EK176" i="21" a="1"/>
  <c r="EK176" i="21" s="1"/>
  <c r="FE186" i="21" a="1"/>
  <c r="FE186" i="21" s="1"/>
  <c r="HF186" i="21" s="1"/>
  <c r="EN186" i="21" a="1"/>
  <c r="EN186" i="21" s="1"/>
  <c r="DF186" i="21" a="1"/>
  <c r="DF186" i="21" s="1"/>
  <c r="Y186" i="21" a="1"/>
  <c r="Y186" i="21" s="1"/>
  <c r="BG186" i="21" s="1"/>
  <c r="FE187" i="21" a="1"/>
  <c r="FE187" i="21" s="1"/>
  <c r="HF187" i="21" s="1"/>
  <c r="EN187" i="21" a="1"/>
  <c r="EN187" i="21" s="1"/>
  <c r="Y187" i="21" a="1"/>
  <c r="Y187" i="21" s="1"/>
  <c r="BG187" i="21" s="1"/>
  <c r="DF187" i="21" a="1"/>
  <c r="DF187" i="21" s="1"/>
  <c r="DC183" i="21" a="1"/>
  <c r="DC183" i="21" s="1"/>
  <c r="V183" i="21" a="1"/>
  <c r="V183" i="21" s="1"/>
  <c r="BD183" i="21" s="1"/>
  <c r="EK183" i="21" a="1"/>
  <c r="EK183" i="21" s="1"/>
  <c r="FB183" i="21" a="1"/>
  <c r="FB183" i="21" s="1"/>
  <c r="HC183" i="21" s="1"/>
  <c r="Y183" i="21" a="1"/>
  <c r="Y183" i="21" s="1"/>
  <c r="BG183" i="21" s="1"/>
  <c r="DF183" i="21" a="1"/>
  <c r="DF183" i="21" s="1"/>
  <c r="FE183" i="21" a="1"/>
  <c r="FE183" i="21" s="1"/>
  <c r="HF183" i="21" s="1"/>
  <c r="EN183" i="21" a="1"/>
  <c r="EN183" i="21" s="1"/>
  <c r="FC183" i="21" a="1"/>
  <c r="FC183" i="21" s="1"/>
  <c r="HD183" i="21" s="1"/>
  <c r="EL183" i="21" a="1"/>
  <c r="EL183" i="21" s="1"/>
  <c r="DD183" i="21" a="1"/>
  <c r="DD183" i="21" s="1"/>
  <c r="W183" i="21" a="1"/>
  <c r="W183" i="21" s="1"/>
  <c r="BE183" i="21" s="1"/>
  <c r="FB179" i="21" a="1"/>
  <c r="FB179" i="21" s="1"/>
  <c r="HC179" i="21" s="1"/>
  <c r="V179" i="21" a="1"/>
  <c r="V179" i="21" s="1"/>
  <c r="BD179" i="21" s="1"/>
  <c r="DC179" i="21" a="1"/>
  <c r="DC179" i="21" s="1"/>
  <c r="EK179" i="21" a="1"/>
  <c r="EK179" i="21" s="1"/>
  <c r="DE181" i="21" a="1"/>
  <c r="DE181" i="21" s="1"/>
  <c r="X181" i="21" a="1"/>
  <c r="X181" i="21" s="1"/>
  <c r="BF181" i="21" s="1"/>
  <c r="EM181" i="21" a="1"/>
  <c r="EM181" i="21" s="1"/>
  <c r="FD181" i="21" a="1"/>
  <c r="FD181" i="21" s="1"/>
  <c r="HE181" i="21" s="1"/>
  <c r="Y172" i="21" a="1"/>
  <c r="Y172" i="21" s="1"/>
  <c r="BG172" i="21" s="1"/>
  <c r="DF172" i="21" a="1"/>
  <c r="DF172" i="21" s="1"/>
  <c r="EN172" i="21" a="1"/>
  <c r="EN172" i="21" s="1"/>
  <c r="FE172" i="21" a="1"/>
  <c r="FE172" i="21" s="1"/>
  <c r="HF172" i="21" s="1"/>
  <c r="FB186" i="21" a="1"/>
  <c r="FB186" i="21" s="1"/>
  <c r="HC186" i="21" s="1"/>
  <c r="EK186" i="21" a="1"/>
  <c r="EK186" i="21" s="1"/>
  <c r="V186" i="21" a="1"/>
  <c r="V186" i="21" s="1"/>
  <c r="BD186" i="21" s="1"/>
  <c r="DC186" i="21" a="1"/>
  <c r="DC186" i="21" s="1"/>
  <c r="FC176" i="21" a="1"/>
  <c r="FC176" i="21" s="1"/>
  <c r="HD176" i="21" s="1"/>
  <c r="DD176" i="21" a="1"/>
  <c r="DD176" i="21" s="1"/>
  <c r="EL176" i="21" a="1"/>
  <c r="EL176" i="21" s="1"/>
  <c r="W176" i="21" a="1"/>
  <c r="W176" i="21" s="1"/>
  <c r="BE176" i="21" s="1"/>
  <c r="EL188" i="21" a="1"/>
  <c r="EL188" i="21" s="1"/>
  <c r="DD188" i="21" a="1"/>
  <c r="DD188" i="21" s="1"/>
  <c r="W188" i="21" a="1"/>
  <c r="W188" i="21" s="1"/>
  <c r="BE188" i="21" s="1"/>
  <c r="FC188" i="21" a="1"/>
  <c r="FC188" i="21" s="1"/>
  <c r="HD188" i="21" s="1"/>
  <c r="FB187" i="21" a="1"/>
  <c r="FB187" i="21" s="1"/>
  <c r="HC187" i="21" s="1"/>
  <c r="EK187" i="21" a="1"/>
  <c r="EK187" i="21" s="1"/>
  <c r="V187" i="21" a="1"/>
  <c r="V187" i="21" s="1"/>
  <c r="BD187" i="21" s="1"/>
  <c r="DC187" i="21" a="1"/>
  <c r="DC187" i="21" s="1"/>
  <c r="FZ175" i="21"/>
  <c r="HB175" i="21"/>
  <c r="HB177" i="21"/>
  <c r="FZ177" i="21"/>
  <c r="FZ174" i="21"/>
  <c r="HB174" i="21"/>
  <c r="FZ181" i="21"/>
  <c r="HB181" i="21"/>
  <c r="HB185" i="21"/>
  <c r="FZ185" i="21"/>
  <c r="FZ183" i="21"/>
  <c r="HB183" i="21"/>
  <c r="HB188" i="21"/>
  <c r="FZ188" i="21"/>
  <c r="FZ178" i="21"/>
  <c r="HB178" i="21"/>
  <c r="Y164" i="21" a="1"/>
  <c r="Y164" i="21" s="1"/>
  <c r="BG164" i="21" s="1"/>
  <c r="EN164" i="21" a="1"/>
  <c r="EN164" i="21" s="1"/>
  <c r="FE164" i="21" a="1"/>
  <c r="FE164" i="21" s="1"/>
  <c r="HF164" i="21" s="1"/>
  <c r="DF164" i="21" a="1"/>
  <c r="DF164" i="21" s="1"/>
  <c r="EN166" i="21" a="1"/>
  <c r="EN166" i="21" s="1"/>
  <c r="FE166" i="21" a="1"/>
  <c r="FE166" i="21" s="1"/>
  <c r="HF166" i="21" s="1"/>
  <c r="DF166" i="21" a="1"/>
  <c r="DF166" i="21" s="1"/>
  <c r="Y166" i="21" a="1"/>
  <c r="Y166" i="21" s="1"/>
  <c r="BG166" i="21" s="1"/>
  <c r="FZ151" i="21"/>
  <c r="HB151" i="21"/>
  <c r="HB119" i="21"/>
  <c r="FZ119" i="21"/>
  <c r="FZ105" i="21"/>
  <c r="HB105" i="21"/>
  <c r="HB124" i="21"/>
  <c r="FZ124" i="21"/>
  <c r="HB111" i="21"/>
  <c r="FZ111" i="21"/>
  <c r="FZ104" i="21"/>
  <c r="HB104" i="21"/>
  <c r="HB125" i="21"/>
  <c r="FZ125" i="21"/>
  <c r="HB120" i="21"/>
  <c r="FZ120" i="21"/>
  <c r="HB129" i="21"/>
  <c r="FZ129" i="21"/>
  <c r="HB142" i="21"/>
  <c r="FZ142" i="21"/>
  <c r="HB140" i="21"/>
  <c r="FZ140" i="21"/>
  <c r="FZ128" i="21"/>
  <c r="HB128" i="21"/>
  <c r="FZ103" i="21"/>
  <c r="HB103" i="21"/>
  <c r="FZ131" i="21"/>
  <c r="HB131" i="21"/>
  <c r="FZ109" i="21"/>
  <c r="HB109" i="21"/>
  <c r="FZ146" i="21"/>
  <c r="HB146" i="21"/>
  <c r="FZ165" i="21"/>
  <c r="HB165" i="21"/>
  <c r="HB115" i="21"/>
  <c r="FZ115" i="21"/>
  <c r="HB134" i="21"/>
  <c r="FZ134" i="21"/>
  <c r="HB133" i="21"/>
  <c r="FZ133" i="21"/>
  <c r="HB163" i="21"/>
  <c r="FZ163" i="21"/>
  <c r="HB136" i="21"/>
  <c r="FZ136" i="21"/>
  <c r="FZ156" i="21"/>
  <c r="HB156" i="21"/>
  <c r="HB123" i="21"/>
  <c r="FZ123" i="21"/>
  <c r="FZ157" i="21"/>
  <c r="HB157" i="21"/>
  <c r="HB148" i="21"/>
  <c r="FZ148" i="21"/>
  <c r="FZ108" i="21"/>
  <c r="HB108" i="21"/>
  <c r="FZ112" i="21"/>
  <c r="HB112" i="21"/>
  <c r="HB153" i="21"/>
  <c r="FZ153" i="21"/>
  <c r="FZ149" i="21"/>
  <c r="HB149" i="21"/>
  <c r="HB170" i="21"/>
  <c r="FZ170" i="21"/>
  <c r="FZ144" i="21"/>
  <c r="HB144" i="21"/>
  <c r="FZ110" i="21"/>
  <c r="HB110" i="21"/>
  <c r="FZ138" i="21"/>
  <c r="HB138" i="21"/>
  <c r="HB72" i="21"/>
  <c r="FZ72" i="21"/>
  <c r="EV67" i="21"/>
  <c r="FM67" i="21" s="1"/>
  <c r="FZ76" i="21"/>
  <c r="HB76" i="21"/>
  <c r="HB75" i="21"/>
  <c r="FZ75" i="21"/>
  <c r="FZ69" i="21"/>
  <c r="HB69" i="21"/>
  <c r="EQ67" i="21"/>
  <c r="FH67" i="21" s="1"/>
  <c r="ES67" i="21"/>
  <c r="FJ67" i="21" s="1"/>
  <c r="P4" i="21"/>
  <c r="FZ86" i="21"/>
  <c r="HB86" i="21"/>
  <c r="FZ88" i="21"/>
  <c r="HB88" i="21"/>
  <c r="FZ70" i="21"/>
  <c r="HB70" i="21"/>
  <c r="HB82" i="21"/>
  <c r="FZ82" i="21"/>
  <c r="FZ87" i="21"/>
  <c r="E69" i="21"/>
  <c r="L156" i="21"/>
  <c r="O145" i="21"/>
  <c r="P167" i="21"/>
  <c r="H93" i="21"/>
  <c r="K75" i="21"/>
  <c r="H120" i="21"/>
  <c r="P79" i="21"/>
  <c r="M86" i="21"/>
  <c r="G158" i="21"/>
  <c r="K170" i="21"/>
  <c r="N142" i="21"/>
  <c r="E111" i="21"/>
  <c r="O89" i="21"/>
  <c r="FH122" i="21" a="1"/>
  <c r="H69" i="21"/>
  <c r="E156" i="21"/>
  <c r="P145" i="21"/>
  <c r="E167" i="21"/>
  <c r="J177" i="21"/>
  <c r="I75" i="21"/>
  <c r="L120" i="21"/>
  <c r="K69" i="21"/>
  <c r="P132" i="21"/>
  <c r="G145" i="21"/>
  <c r="L167" i="21"/>
  <c r="K177" i="21"/>
  <c r="N75" i="21"/>
  <c r="K85" i="21"/>
  <c r="G171" i="21"/>
  <c r="M146" i="21"/>
  <c r="K150" i="21"/>
  <c r="J142" i="21"/>
  <c r="N72" i="21"/>
  <c r="M79" i="21"/>
  <c r="M76" i="21"/>
  <c r="I159" i="21"/>
  <c r="H115" i="21"/>
  <c r="L109" i="21"/>
  <c r="G178" i="21"/>
  <c r="E81" i="21"/>
  <c r="P159" i="21"/>
  <c r="K71" i="21"/>
  <c r="J166" i="21"/>
  <c r="H185" i="21"/>
  <c r="G127" i="21"/>
  <c r="L124" i="21"/>
  <c r="L178" i="21"/>
  <c r="FF183" i="21" a="1"/>
  <c r="DF136" i="21" a="1"/>
  <c r="H74" i="21"/>
  <c r="E152" i="21"/>
  <c r="P125" i="21"/>
  <c r="K137" i="21"/>
  <c r="K152" i="21"/>
  <c r="O69" i="21"/>
  <c r="H80" i="21"/>
  <c r="H123" i="21"/>
  <c r="AD114" i="21" a="1"/>
  <c r="DD95" i="21" a="1"/>
  <c r="FF186" i="21" a="1"/>
  <c r="I117" i="21"/>
  <c r="F168" i="21"/>
  <c r="DC95" i="21" a="1"/>
  <c r="AG122" i="21" a="1"/>
  <c r="FE126" i="21" a="1"/>
  <c r="L152" i="21"/>
  <c r="F70" i="21"/>
  <c r="F76" i="21"/>
  <c r="P156" i="21"/>
  <c r="I78" i="21"/>
  <c r="F123" i="21"/>
  <c r="G141" i="21"/>
  <c r="AE149" i="21" a="1"/>
  <c r="AA183" i="21" a="1"/>
  <c r="L82" i="21"/>
  <c r="DI158" i="21" a="1"/>
  <c r="W104" i="21" a="1"/>
  <c r="FH73" i="21" a="1"/>
  <c r="FB109" i="21" a="1"/>
  <c r="DC109" i="21" a="1"/>
  <c r="DI169" i="21" a="1"/>
  <c r="J74" i="21"/>
  <c r="H98" i="21"/>
  <c r="E145" i="21"/>
  <c r="H180" i="21"/>
  <c r="O72" i="21"/>
  <c r="I131" i="21"/>
  <c r="DL97" i="21" a="1"/>
  <c r="AB151" i="21" a="1"/>
  <c r="O163" i="21"/>
  <c r="AF121" i="21" a="1"/>
  <c r="DC114" i="21" a="1"/>
  <c r="FF127" i="21" a="1"/>
  <c r="DC172" i="21" a="1"/>
  <c r="K70" i="21"/>
  <c r="H169" i="21"/>
  <c r="P93" i="21"/>
  <c r="J163" i="21"/>
  <c r="J96" i="21"/>
  <c r="DF139" i="21" a="1"/>
  <c r="E131" i="21"/>
  <c r="AC147" i="21" a="1"/>
  <c r="AB169" i="21" a="1"/>
  <c r="DL167" i="21" a="1"/>
  <c r="H116" i="21"/>
  <c r="K153" i="21"/>
  <c r="FI121" i="21" a="1"/>
  <c r="FI95" i="21" a="1"/>
  <c r="J188" i="21"/>
  <c r="DH122" i="21" a="1"/>
  <c r="AG88" i="21" a="1"/>
  <c r="FM107" i="21" a="1"/>
  <c r="P119" i="21"/>
  <c r="L81" i="21"/>
  <c r="L182" i="21"/>
  <c r="E123" i="21"/>
  <c r="DG103" i="21" a="1"/>
  <c r="H135" i="21"/>
  <c r="F146" i="21"/>
  <c r="FH95" i="21" a="1"/>
  <c r="DE160" i="21" a="1"/>
  <c r="O87" i="21"/>
  <c r="FK186" i="21" a="1"/>
  <c r="AC122" i="21" a="1"/>
  <c r="M85" i="21"/>
  <c r="DJ168" i="21" a="1"/>
  <c r="P152" i="21"/>
  <c r="I90" i="21"/>
  <c r="J131" i="21"/>
  <c r="FG176" i="21" a="1"/>
  <c r="DG138" i="21" a="1"/>
  <c r="DI155" i="21" a="1"/>
  <c r="DH102" i="21" a="1"/>
  <c r="DJ100" i="21" a="1"/>
  <c r="V95" i="21" a="1"/>
  <c r="K116" i="21"/>
  <c r="F69" i="21"/>
  <c r="E132" i="21"/>
  <c r="N178" i="21"/>
  <c r="K167" i="21"/>
  <c r="N177" i="21"/>
  <c r="L75" i="21"/>
  <c r="O85" i="21"/>
  <c r="O128" i="21"/>
  <c r="J157" i="21"/>
  <c r="O159" i="21"/>
  <c r="J180" i="21"/>
  <c r="I178" i="21"/>
  <c r="H153" i="21"/>
  <c r="G74" i="21"/>
  <c r="H163" i="21"/>
  <c r="I188" i="21"/>
  <c r="Z103" i="21" a="1"/>
  <c r="P150" i="21"/>
  <c r="H75" i="21"/>
  <c r="I76" i="21"/>
  <c r="J72" i="21"/>
  <c r="DI175" i="21" a="1"/>
  <c r="FG179" i="21" a="1"/>
  <c r="DK186" i="21" a="1"/>
  <c r="G124" i="21"/>
  <c r="G125" i="21"/>
  <c r="AF151" i="21" a="1"/>
  <c r="W107" i="21" a="1"/>
  <c r="H158" i="21"/>
  <c r="L83" i="21"/>
  <c r="I173" i="21"/>
  <c r="F182" i="21"/>
  <c r="J69" i="21"/>
  <c r="F150" i="21"/>
  <c r="H168" i="21"/>
  <c r="O148" i="21"/>
  <c r="K141" i="21"/>
  <c r="O115" i="21"/>
  <c r="DC107" i="21" a="1"/>
  <c r="M135" i="21"/>
  <c r="X108" i="21" a="1"/>
  <c r="FK187" i="21" a="1"/>
  <c r="AC80" i="21" a="1"/>
  <c r="V104" i="21" a="1"/>
  <c r="N144" i="21"/>
  <c r="O117" i="21"/>
  <c r="J144" i="21"/>
  <c r="I91" i="21"/>
  <c r="I99" i="21"/>
  <c r="K114" i="21"/>
  <c r="P146" i="21"/>
  <c r="P90" i="21"/>
  <c r="FH92" i="21" a="1"/>
  <c r="G68" i="21"/>
  <c r="DM106" i="21" a="1"/>
  <c r="AG102" i="21" a="1"/>
  <c r="DE138" i="21" a="1"/>
  <c r="DC158" i="21" a="1"/>
  <c r="DG176" i="21" a="1"/>
  <c r="L134" i="21"/>
  <c r="L135" i="21"/>
  <c r="F94" i="21"/>
  <c r="O111" i="21"/>
  <c r="E159" i="21"/>
  <c r="N128" i="21"/>
  <c r="DE118" i="21" a="1"/>
  <c r="E173" i="21"/>
  <c r="H165" i="21"/>
  <c r="FF187" i="21" a="1"/>
  <c r="DI145" i="21" a="1"/>
  <c r="FK92" i="21" a="1"/>
  <c r="FL151" i="21" a="1"/>
  <c r="N165" i="21"/>
  <c r="E143" i="21"/>
  <c r="F71" i="21"/>
  <c r="K93" i="21"/>
  <c r="DD100" i="21" a="1"/>
  <c r="DE104" i="21" a="1"/>
  <c r="AC181" i="21" a="1"/>
  <c r="FB85" i="21" a="1"/>
  <c r="FJ104" i="21" a="1"/>
  <c r="DG187" i="21" a="1"/>
  <c r="AC175" i="21" a="1"/>
  <c r="FH103" i="21" a="1"/>
  <c r="FM103" i="21" a="1"/>
  <c r="DM155" i="21" a="1"/>
  <c r="FC88" i="21" a="1"/>
  <c r="FI154" i="21" a="1"/>
  <c r="K113" i="21"/>
  <c r="J170" i="21"/>
  <c r="K182" i="21"/>
  <c r="N80" i="21"/>
  <c r="AC163" i="21" a="1"/>
  <c r="M75" i="21"/>
  <c r="FL141" i="21" a="1"/>
  <c r="DN100" i="21" a="1"/>
  <c r="O96" i="21"/>
  <c r="G99" i="21"/>
  <c r="M105" i="21"/>
  <c r="FF149" i="21" a="1"/>
  <c r="AB157" i="21" a="1"/>
  <c r="O182" i="21"/>
  <c r="O137" i="21"/>
  <c r="H105" i="21"/>
  <c r="M159" i="21"/>
  <c r="DD110" i="21" a="1"/>
  <c r="J120" i="21"/>
  <c r="DG113" i="21" a="1"/>
  <c r="DH164" i="21" a="1"/>
  <c r="AA127" i="21" a="1"/>
  <c r="AE100" i="21" a="1"/>
  <c r="G69" i="21"/>
  <c r="H132" i="21"/>
  <c r="F178" i="21"/>
  <c r="M167" i="21"/>
  <c r="E177" i="21"/>
  <c r="E75" i="21"/>
  <c r="O86" i="21"/>
  <c r="M83" i="21"/>
  <c r="N77" i="21"/>
  <c r="F152" i="21"/>
  <c r="F79" i="21"/>
  <c r="P91" i="21"/>
  <c r="N156" i="21"/>
  <c r="P128" i="21"/>
  <c r="F180" i="21"/>
  <c r="F74" i="21"/>
  <c r="G133" i="21"/>
  <c r="J159" i="21"/>
  <c r="F137" i="21"/>
  <c r="L173" i="21"/>
  <c r="H152" i="21"/>
  <c r="M89" i="21"/>
  <c r="AG154" i="21" a="1"/>
  <c r="F155" i="21"/>
  <c r="I139" i="21"/>
  <c r="AB92" i="21" a="1"/>
  <c r="O134" i="21"/>
  <c r="FI114" i="21" a="1"/>
  <c r="M158" i="21"/>
  <c r="N83" i="21"/>
  <c r="H148" i="21"/>
  <c r="G153" i="21"/>
  <c r="P70" i="21"/>
  <c r="I77" i="21"/>
  <c r="V129" i="21" a="1"/>
  <c r="P123" i="21"/>
  <c r="P168" i="21"/>
  <c r="G143" i="21"/>
  <c r="AF100" i="21" a="1"/>
  <c r="H173" i="21"/>
  <c r="AD172" i="21" a="1"/>
  <c r="FJ96" i="21" a="1"/>
  <c r="F184" i="21"/>
  <c r="FD107" i="21" a="1"/>
  <c r="J158" i="21"/>
  <c r="I112" i="21"/>
  <c r="G91" i="21"/>
  <c r="G117" i="21"/>
  <c r="F171" i="21"/>
  <c r="L99" i="21"/>
  <c r="G166" i="21"/>
  <c r="DH119" i="21" a="1"/>
  <c r="FC103" i="21" a="1"/>
  <c r="X164" i="21" a="1"/>
  <c r="F90" i="21"/>
  <c r="FC100" i="21" a="1"/>
  <c r="AF132" i="21" a="1"/>
  <c r="H91" i="21"/>
  <c r="H113" i="21"/>
  <c r="H94" i="21"/>
  <c r="M111" i="21"/>
  <c r="H156" i="21"/>
  <c r="F132" i="21"/>
  <c r="M178" i="21"/>
  <c r="F167" i="21"/>
  <c r="O144" i="21"/>
  <c r="E120" i="21"/>
  <c r="L86" i="21"/>
  <c r="I137" i="21"/>
  <c r="M166" i="21"/>
  <c r="N132" i="21"/>
  <c r="E153" i="21"/>
  <c r="M182" i="21"/>
  <c r="H70" i="21"/>
  <c r="E163" i="21"/>
  <c r="J156" i="21"/>
  <c r="L132" i="21"/>
  <c r="P178" i="21"/>
  <c r="M69" i="21"/>
  <c r="N85" i="21"/>
  <c r="N120" i="21"/>
  <c r="M156" i="21"/>
  <c r="N145" i="21"/>
  <c r="K178" i="21"/>
  <c r="G93" i="21"/>
  <c r="I85" i="21"/>
  <c r="F120" i="21"/>
  <c r="L72" i="21"/>
  <c r="FH183" i="21" a="1"/>
  <c r="FI107" i="21" a="1"/>
  <c r="L137" i="21"/>
  <c r="K188" i="21"/>
  <c r="M163" i="21"/>
  <c r="E89" i="21"/>
  <c r="I68" i="21"/>
  <c r="F170" i="21"/>
  <c r="O170" i="21"/>
  <c r="H188" i="21"/>
  <c r="I175" i="21"/>
  <c r="I135" i="21"/>
  <c r="K89" i="21"/>
  <c r="J185" i="21"/>
  <c r="I125" i="21"/>
  <c r="AC95" i="21" a="1"/>
  <c r="F181" i="21"/>
  <c r="DJ102" i="21" a="1"/>
  <c r="DM147" i="21" a="1"/>
  <c r="Y73" i="21" a="1"/>
  <c r="P148" i="21"/>
  <c r="J162" i="21"/>
  <c r="P158" i="21"/>
  <c r="I80" i="21"/>
  <c r="M110" i="21"/>
  <c r="G167" i="21"/>
  <c r="E170" i="21"/>
  <c r="O152" i="21"/>
  <c r="I185" i="21"/>
  <c r="FJ181" i="21" a="1"/>
  <c r="Y154" i="21" a="1"/>
  <c r="K146" i="21"/>
  <c r="G87" i="21"/>
  <c r="FC139" i="21" a="1"/>
  <c r="FB139" i="21" a="1"/>
  <c r="DH161" i="21" a="1"/>
  <c r="Y100" i="21" a="1"/>
  <c r="L185" i="21"/>
  <c r="O74" i="21"/>
  <c r="I142" i="21"/>
  <c r="N71" i="21"/>
  <c r="N76" i="21"/>
  <c r="J143" i="21"/>
  <c r="DK122" i="21" a="1"/>
  <c r="AF149" i="21" a="1"/>
  <c r="E110" i="21"/>
  <c r="O116" i="21"/>
  <c r="DD104" i="21" a="1"/>
  <c r="AC103" i="21" a="1"/>
  <c r="H124" i="21"/>
  <c r="DL95" i="21" a="1"/>
  <c r="O78" i="21"/>
  <c r="E86" i="21"/>
  <c r="P76" i="21"/>
  <c r="M142" i="21"/>
  <c r="N182" i="21"/>
  <c r="K124" i="21"/>
  <c r="N68" i="21"/>
  <c r="H112" i="21"/>
  <c r="P113" i="21"/>
  <c r="DN181" i="21" a="1"/>
  <c r="DI122" i="21" a="1"/>
  <c r="AB159" i="21" a="1"/>
  <c r="AF107" i="21" a="1"/>
  <c r="FB168" i="21" a="1"/>
  <c r="FG132" i="21" a="1"/>
  <c r="H90" i="21"/>
  <c r="P111" i="21"/>
  <c r="FM100" i="21" a="1"/>
  <c r="P133" i="21"/>
  <c r="FG183" i="21" a="1"/>
  <c r="I133" i="21"/>
  <c r="AA182" i="21" a="1"/>
  <c r="FB119" i="21" a="1"/>
  <c r="Z147" i="21" a="1"/>
  <c r="E115" i="21"/>
  <c r="FH157" i="21" a="1"/>
  <c r="FF102" i="21" a="1"/>
  <c r="F158" i="21"/>
  <c r="AA139" i="21" a="1"/>
  <c r="I134" i="21"/>
  <c r="Y136" i="21" a="1"/>
  <c r="FM126" i="21" a="1"/>
  <c r="J91" i="21"/>
  <c r="J115" i="21"/>
  <c r="H178" i="21"/>
  <c r="J81" i="21"/>
  <c r="I123" i="21"/>
  <c r="FE129" i="21" a="1"/>
  <c r="DH172" i="21" a="1"/>
  <c r="AB179" i="21" a="1"/>
  <c r="E135" i="21"/>
  <c r="FC101" i="21" a="1"/>
  <c r="DK118" i="21" a="1"/>
  <c r="AB154" i="21" a="1"/>
  <c r="Z129" i="21" a="1"/>
  <c r="H71" i="21"/>
  <c r="G150" i="21"/>
  <c r="P169" i="21"/>
  <c r="L90" i="21"/>
  <c r="J83" i="21"/>
  <c r="I86" i="21"/>
  <c r="Z104" i="21" a="1"/>
  <c r="W147" i="21" a="1"/>
  <c r="X97" i="21" a="1"/>
  <c r="AE181" i="21" a="1"/>
  <c r="DL172" i="21" a="1"/>
  <c r="J165" i="21"/>
  <c r="P130" i="21"/>
  <c r="FK170" i="21" a="1"/>
  <c r="K130" i="21"/>
  <c r="G109" i="21"/>
  <c r="H140" i="21"/>
  <c r="N141" i="21"/>
  <c r="L170" i="21"/>
  <c r="E76" i="21"/>
  <c r="I132" i="21"/>
  <c r="G76" i="21"/>
  <c r="K91" i="21"/>
  <c r="G128" i="21"/>
  <c r="FI92" i="21" a="1"/>
  <c r="F130" i="21"/>
  <c r="FI129" i="21" a="1"/>
  <c r="H81" i="21"/>
  <c r="P180" i="21"/>
  <c r="E160" i="21"/>
  <c r="F75" i="21"/>
  <c r="V172" i="21" a="1"/>
  <c r="DG179" i="21" a="1"/>
  <c r="FF95" i="21" a="1"/>
  <c r="DC126" i="21" a="1"/>
  <c r="P160" i="21"/>
  <c r="O71" i="21"/>
  <c r="K156" i="21"/>
  <c r="K96" i="21"/>
  <c r="W121" i="21" a="1"/>
  <c r="FM118" i="21" a="1"/>
  <c r="H179" i="21"/>
  <c r="O165" i="21"/>
  <c r="I115" i="21"/>
  <c r="J148" i="21"/>
  <c r="K166" i="21"/>
  <c r="DL149" i="21" a="1"/>
  <c r="DF101" i="21" a="1"/>
  <c r="N115" i="21"/>
  <c r="O77" i="21"/>
  <c r="N143" i="21"/>
  <c r="FJ118" i="21" a="1"/>
  <c r="O118" i="21"/>
  <c r="DH182" i="21" a="1"/>
  <c r="AA154" i="21" a="1"/>
  <c r="AG121" i="21" a="1"/>
  <c r="M143" i="21"/>
  <c r="FH175" i="21" a="1"/>
  <c r="FL127" i="21" a="1"/>
  <c r="L113" i="21"/>
  <c r="I79" i="21"/>
  <c r="M90" i="21"/>
  <c r="FG172" i="21" a="1"/>
  <c r="FM115" i="21" a="1"/>
  <c r="AD168" i="21" a="1"/>
  <c r="V144" i="21" a="1"/>
  <c r="H146" i="21"/>
  <c r="E188" i="21"/>
  <c r="G177" i="21"/>
  <c r="O114" i="21"/>
  <c r="E80" i="21"/>
  <c r="AD154" i="21" a="1"/>
  <c r="DE129" i="21" a="1"/>
  <c r="DG186" i="21" a="1"/>
  <c r="DE126" i="21" a="1"/>
  <c r="DH105" i="21" a="1"/>
  <c r="N171" i="21"/>
  <c r="P75" i="21"/>
  <c r="P80" i="21"/>
  <c r="FL104" i="21" a="1"/>
  <c r="I130" i="21"/>
  <c r="DE73" i="21" a="1"/>
  <c r="DC121" i="21" a="1"/>
  <c r="DM154" i="21" a="1"/>
  <c r="H162" i="21"/>
  <c r="FI166" i="21" a="1"/>
  <c r="AC107" i="21" a="1"/>
  <c r="FK102" i="21" a="1"/>
  <c r="DN115" i="21" a="1"/>
  <c r="DI138" i="21" a="1"/>
  <c r="DL161" i="21" a="1"/>
  <c r="X73" i="21" a="1"/>
  <c r="M77" i="21"/>
  <c r="L188" i="21"/>
  <c r="L141" i="21"/>
  <c r="FM129" i="21" a="1"/>
  <c r="DM99" i="21" a="1"/>
  <c r="AF136" i="21" a="1"/>
  <c r="Z187" i="21" a="1"/>
  <c r="DI101" i="21" a="1"/>
  <c r="L125" i="21"/>
  <c r="DI103" i="21" a="1"/>
  <c r="FG104" i="21" a="1"/>
  <c r="DL108" i="21" a="1"/>
  <c r="AB149" i="21" a="1"/>
  <c r="AE104" i="21" a="1"/>
  <c r="FE155" i="21" a="1"/>
  <c r="F153" i="21"/>
  <c r="G144" i="21"/>
  <c r="X160" i="21" a="1"/>
  <c r="FB95" i="21" a="1"/>
  <c r="E105" i="21"/>
  <c r="AC92" i="21" a="1"/>
  <c r="I124" i="21"/>
  <c r="AE102" i="21" a="1"/>
  <c r="M180" i="21"/>
  <c r="N163" i="21"/>
  <c r="FK87" i="21" a="1"/>
  <c r="DI92" i="21" a="1"/>
  <c r="AF141" i="21" a="1"/>
  <c r="FM78" i="21" a="1"/>
  <c r="FL102" i="21" a="1"/>
  <c r="V109" i="21" a="1"/>
  <c r="O94" i="21"/>
  <c r="L98" i="21"/>
  <c r="G110" i="21"/>
  <c r="FI151" i="21" a="1"/>
  <c r="O185" i="21"/>
  <c r="J178" i="21"/>
  <c r="J160" i="21"/>
  <c r="N118" i="21"/>
  <c r="I152" i="21"/>
  <c r="H133" i="21"/>
  <c r="FE92" i="21" a="1"/>
  <c r="M131" i="21"/>
  <c r="F128" i="21"/>
  <c r="E112" i="21"/>
  <c r="K81" i="21"/>
  <c r="E166" i="21"/>
  <c r="E77" i="21"/>
  <c r="M137" i="21"/>
  <c r="FK139" i="21" a="1"/>
  <c r="M82" i="21"/>
  <c r="DM129" i="21" a="1"/>
  <c r="N148" i="21"/>
  <c r="P94" i="21"/>
  <c r="L117" i="21"/>
  <c r="N70" i="21"/>
  <c r="FE144" i="21" a="1"/>
  <c r="I114" i="21"/>
  <c r="N105" i="21"/>
  <c r="M109" i="21"/>
  <c r="AF154" i="21" a="1"/>
  <c r="F142" i="21"/>
  <c r="N152" i="21"/>
  <c r="H160" i="21"/>
  <c r="DI149" i="21" a="1"/>
  <c r="L106" i="21"/>
  <c r="DL139" i="21" a="1"/>
  <c r="AA126" i="21" a="1"/>
  <c r="L119" i="21"/>
  <c r="O173" i="21"/>
  <c r="DN172" i="21" a="1"/>
  <c r="FK179" i="21" a="1"/>
  <c r="AG164" i="21" a="1"/>
  <c r="I116" i="21"/>
  <c r="DE119" i="21" a="1"/>
  <c r="G115" i="21"/>
  <c r="V103" i="21" a="1"/>
  <c r="AC168" i="21" a="1"/>
  <c r="DC100" i="21" a="1"/>
  <c r="G155" i="21"/>
  <c r="G71" i="21"/>
  <c r="O109" i="21"/>
  <c r="X90" i="21" a="1"/>
  <c r="FL106" i="21" a="1"/>
  <c r="FG108" i="21" a="1"/>
  <c r="N174" i="21"/>
  <c r="M81" i="21"/>
  <c r="O82" i="21"/>
  <c r="N124" i="21"/>
  <c r="X138" i="21" a="1"/>
  <c r="DL147" i="21" a="1"/>
  <c r="AE151" i="21" a="1"/>
  <c r="FM181" i="21" a="1"/>
  <c r="N135" i="21"/>
  <c r="FD97" i="21" a="1"/>
  <c r="DJ184" i="21" a="1"/>
  <c r="M153" i="21"/>
  <c r="DK114" i="21" a="1"/>
  <c r="V139" i="21" a="1"/>
  <c r="AG162" i="21" a="1"/>
  <c r="J90" i="21"/>
  <c r="FL100" i="21" a="1"/>
  <c r="AA179" i="21" a="1"/>
  <c r="Y129" i="21" a="1"/>
  <c r="X106" i="21" a="1"/>
  <c r="DG122" i="21" a="1"/>
  <c r="FE107" i="21" a="1"/>
  <c r="AB165" i="21" a="1"/>
  <c r="DN131" i="21" a="1"/>
  <c r="DM135" i="21" a="1"/>
  <c r="DE102" i="21" a="1"/>
  <c r="DM121" i="21" a="1"/>
  <c r="M72" i="21"/>
  <c r="O146" i="21"/>
  <c r="AE121" i="21" a="1"/>
  <c r="AC172" i="21" a="1"/>
  <c r="DL181" i="21" a="1"/>
  <c r="AC97" i="21" a="1"/>
  <c r="DN106" i="21" a="1"/>
  <c r="DG104" i="21" a="1"/>
  <c r="DI181" i="21" a="1"/>
  <c r="AA101" i="21" a="1"/>
  <c r="DL138" i="21" a="1"/>
  <c r="FI183" i="21" a="1"/>
  <c r="DL103" i="21" a="1"/>
  <c r="FE149" i="21" a="1"/>
  <c r="I146" i="21"/>
  <c r="G163" i="21"/>
  <c r="DG129" i="21" a="1"/>
  <c r="M140" i="21"/>
  <c r="DH126" i="21" a="1"/>
  <c r="O139" i="21"/>
  <c r="Z136" i="21" a="1"/>
  <c r="J141" i="21"/>
  <c r="FJ168" i="21" a="1"/>
  <c r="DI126" i="21" a="1"/>
  <c r="DK95" i="21" a="1"/>
  <c r="FK172" i="21" a="1"/>
  <c r="AC161" i="21" a="1"/>
  <c r="N79" i="21"/>
  <c r="DK107" i="21" a="1"/>
  <c r="DI97" i="21" a="1"/>
  <c r="FJ183" i="21" a="1"/>
  <c r="O113" i="21"/>
  <c r="H157" i="21"/>
  <c r="FG122" i="21" a="1"/>
  <c r="DG73" i="21" a="1"/>
  <c r="DD117" i="21" a="1"/>
  <c r="P134" i="21"/>
  <c r="DH149" i="21" a="1"/>
  <c r="X86" i="21" a="1"/>
  <c r="AB88" i="21" a="1"/>
  <c r="DJ162" i="21" a="1"/>
  <c r="DJ114" i="21" a="1"/>
  <c r="J98" i="21"/>
  <c r="L159" i="21"/>
  <c r="K94" i="21"/>
  <c r="J85" i="21"/>
  <c r="G142" i="21"/>
  <c r="AG118" i="21" a="1"/>
  <c r="V108" i="21" a="1"/>
  <c r="DG172" i="21" a="1"/>
  <c r="FI102" i="21" a="1"/>
  <c r="N81" i="21"/>
  <c r="FB104" i="21" a="1"/>
  <c r="P153" i="21"/>
  <c r="N159" i="21"/>
  <c r="AA184" i="21" a="1"/>
  <c r="K128" i="21"/>
  <c r="AC154" i="21" a="1"/>
  <c r="F82" i="21"/>
  <c r="F72" i="21"/>
  <c r="I182" i="21"/>
  <c r="FG105" i="21" a="1"/>
  <c r="J99" i="21"/>
  <c r="FK119" i="21" a="1"/>
  <c r="Y155" i="21" a="1"/>
  <c r="I170" i="21"/>
  <c r="N137" i="21"/>
  <c r="G173" i="21"/>
  <c r="AG187" i="21" a="1"/>
  <c r="DN138" i="21" a="1"/>
  <c r="AC148" i="21" a="1"/>
  <c r="DL78" i="21" a="1"/>
  <c r="AF181" i="21" a="1"/>
  <c r="L91" i="21"/>
  <c r="I160" i="21"/>
  <c r="G162" i="21"/>
  <c r="F109" i="21"/>
  <c r="FD95" i="21" a="1"/>
  <c r="DC127" i="21" a="1"/>
  <c r="Y103" i="21" a="1"/>
  <c r="N157" i="21"/>
  <c r="FI149" i="21" a="1"/>
  <c r="AA89" i="21" a="1"/>
  <c r="N94" i="21"/>
  <c r="I144" i="21"/>
  <c r="M98" i="21"/>
  <c r="H110" i="21"/>
  <c r="DH183" i="21" a="1"/>
  <c r="DN107" i="21" a="1"/>
  <c r="DC104" i="21" a="1"/>
  <c r="G131" i="21"/>
  <c r="P188" i="21"/>
  <c r="O91" i="21"/>
  <c r="N93" i="21"/>
  <c r="M106" i="21"/>
  <c r="P98" i="21"/>
  <c r="H82" i="21"/>
  <c r="AE172" i="21" a="1"/>
  <c r="FG184" i="21" a="1"/>
  <c r="V122" i="21" a="1"/>
  <c r="P72" i="21"/>
  <c r="N150" i="21"/>
  <c r="E113" i="21"/>
  <c r="P171" i="21"/>
  <c r="AA105" i="21" a="1"/>
  <c r="P140" i="21"/>
  <c r="O105" i="21"/>
  <c r="F157" i="21"/>
  <c r="DJ175" i="21" a="1"/>
  <c r="FH179" i="21" a="1"/>
  <c r="AF127" i="21" a="1"/>
  <c r="X129" i="21" a="1"/>
  <c r="FC83" i="21" a="1"/>
  <c r="AA80" i="21" a="1"/>
  <c r="FJ114" i="21" a="1"/>
  <c r="FM102" i="21" a="1"/>
  <c r="FC162" i="21" a="1"/>
  <c r="E141" i="21"/>
  <c r="L180" i="21"/>
  <c r="N169" i="21"/>
  <c r="O110" i="21"/>
  <c r="DH104" i="21" a="1"/>
  <c r="FB79" i="21" a="1"/>
  <c r="AD152" i="21" a="1"/>
  <c r="N74" i="21"/>
  <c r="FJ126" i="21" a="1"/>
  <c r="DK172" i="21" a="1"/>
  <c r="Y127" i="21" a="1"/>
  <c r="AG97" i="21" a="1"/>
  <c r="G140" i="21"/>
  <c r="AB104" i="21" a="1"/>
  <c r="E90" i="21"/>
  <c r="G111" i="21"/>
  <c r="FL149" i="21" a="1"/>
  <c r="DF138" i="21" a="1"/>
  <c r="AF147" i="21" a="1"/>
  <c r="FM186" i="21" a="1"/>
  <c r="O131" i="21"/>
  <c r="DN162" i="21" a="1"/>
  <c r="FM97" i="21" a="1"/>
  <c r="FH169" i="21" a="1"/>
  <c r="P120" i="21"/>
  <c r="AG73" i="21" a="1"/>
  <c r="FM106" i="21" a="1"/>
  <c r="G79" i="21"/>
  <c r="DL187" i="21" a="1"/>
  <c r="DJ108" i="21" a="1"/>
  <c r="FD108" i="21" a="1"/>
  <c r="AC102" i="21" a="1"/>
  <c r="FL162" i="21" a="1"/>
  <c r="O156" i="21"/>
  <c r="F165" i="21"/>
  <c r="O180" i="21"/>
  <c r="N173" i="21"/>
  <c r="I105" i="21"/>
  <c r="DG102" i="21" a="1"/>
  <c r="K105" i="21"/>
  <c r="FG107" i="21" a="1"/>
  <c r="G89" i="21"/>
  <c r="Z106" i="21" a="1"/>
  <c r="N160" i="21"/>
  <c r="P173" i="21"/>
  <c r="FB103" i="21" a="1"/>
  <c r="H141" i="21"/>
  <c r="G135" i="21"/>
  <c r="K173" i="21"/>
  <c r="K133" i="21"/>
  <c r="M71" i="21"/>
  <c r="F144" i="21"/>
  <c r="O166" i="21"/>
  <c r="W161" i="21" a="1"/>
  <c r="DN129" i="21" a="1"/>
  <c r="E174" i="21"/>
  <c r="J145" i="21"/>
  <c r="M165" i="21"/>
  <c r="FK181" i="21" a="1"/>
  <c r="L143" i="21"/>
  <c r="AB95" i="21" a="1"/>
  <c r="L69" i="21"/>
  <c r="M74" i="21"/>
  <c r="P69" i="21"/>
  <c r="M117" i="21"/>
  <c r="G70" i="21"/>
  <c r="L128" i="21"/>
  <c r="AG183" i="21" a="1"/>
  <c r="F124" i="21"/>
  <c r="M115" i="21"/>
  <c r="I163" i="21"/>
  <c r="N133" i="21"/>
  <c r="AD181" i="21" a="1"/>
  <c r="J117" i="21"/>
  <c r="L131" i="21"/>
  <c r="AC183" i="21" a="1"/>
  <c r="K111" i="21"/>
  <c r="J152" i="21"/>
  <c r="G80" i="21"/>
  <c r="AE122" i="21" a="1"/>
  <c r="W92" i="21" a="1"/>
  <c r="G96" i="21"/>
  <c r="FI175" i="21" a="1"/>
  <c r="Z172" i="21" a="1"/>
  <c r="N184" i="21"/>
  <c r="E93" i="21"/>
  <c r="E185" i="21"/>
  <c r="Y107" i="21" a="1"/>
  <c r="H184" i="21"/>
  <c r="Y144" i="21" a="1"/>
  <c r="L70" i="21"/>
  <c r="FB144" i="21" a="1"/>
  <c r="P71" i="21"/>
  <c r="L177" i="21"/>
  <c r="AE179" i="21" a="1"/>
  <c r="O124" i="21"/>
  <c r="FG154" i="21" a="1"/>
  <c r="E124" i="21"/>
  <c r="O178" i="21"/>
  <c r="I153" i="21"/>
  <c r="N69" i="21"/>
  <c r="L171" i="21"/>
  <c r="AC110" i="21" a="1"/>
  <c r="Z126" i="21" a="1"/>
  <c r="H134" i="21"/>
  <c r="F177" i="21"/>
  <c r="H76" i="21"/>
  <c r="L133" i="21"/>
  <c r="K117" i="21"/>
  <c r="E140" i="21"/>
  <c r="FB87" i="21" a="1"/>
  <c r="DF107" i="21" a="1"/>
  <c r="N117" i="21"/>
  <c r="I111" i="21"/>
  <c r="F85" i="21"/>
  <c r="K120" i="21"/>
  <c r="N99" i="21"/>
  <c r="H145" i="21"/>
  <c r="G156" i="21"/>
  <c r="P137" i="21"/>
  <c r="H72" i="21"/>
  <c r="P77" i="21"/>
  <c r="O140" i="21"/>
  <c r="E116" i="21"/>
  <c r="H167" i="21"/>
  <c r="I128" i="21"/>
  <c r="H174" i="21"/>
  <c r="O75" i="21"/>
  <c r="N127" i="21"/>
  <c r="H68" i="21"/>
  <c r="FD147" i="21" a="1"/>
  <c r="FL73" i="21" a="1"/>
  <c r="FL147" i="21" a="1"/>
  <c r="O174" i="21"/>
  <c r="E142" i="21"/>
  <c r="G149" i="21"/>
  <c r="M184" i="21"/>
  <c r="N96" i="21"/>
  <c r="AE139" i="21" a="1"/>
  <c r="L76" i="21"/>
  <c r="I72" i="21"/>
  <c r="FM187" i="21" a="1"/>
  <c r="G72" i="21"/>
  <c r="E178" i="21"/>
  <c r="F131" i="21"/>
  <c r="DG181" i="21" a="1"/>
  <c r="K184" i="21"/>
  <c r="FG182" i="21" a="1"/>
  <c r="J113" i="21"/>
  <c r="O171" i="21"/>
  <c r="O68" i="21"/>
  <c r="G152" i="21"/>
  <c r="K140" i="21"/>
  <c r="M125" i="21"/>
  <c r="O122" i="21"/>
  <c r="Z181" i="21" a="1"/>
  <c r="E128" i="21"/>
  <c r="E148" i="21"/>
  <c r="G165" i="21"/>
  <c r="DI179" i="21" a="1"/>
  <c r="FL186" i="21" a="1"/>
  <c r="FL129" i="21" a="1"/>
  <c r="Y122" i="21" a="1"/>
  <c r="G82" i="21"/>
  <c r="I71" i="21"/>
  <c r="O169" i="21"/>
  <c r="E184" i="21"/>
  <c r="J109" i="21"/>
  <c r="DC149" i="21" a="1"/>
  <c r="FB107" i="21" a="1"/>
  <c r="DJ181" i="21" a="1"/>
  <c r="I177" i="21"/>
  <c r="L93" i="21"/>
  <c r="FJ121" i="21" a="1"/>
  <c r="W106" i="21" a="1"/>
  <c r="E162" i="21"/>
  <c r="FH126" i="21" a="1"/>
  <c r="K123" i="21"/>
  <c r="FK129" i="21" a="1"/>
  <c r="F98" i="21"/>
  <c r="AE123" i="21" a="1"/>
  <c r="DE164" i="21" a="1"/>
  <c r="O81" i="21"/>
  <c r="K142" i="21"/>
  <c r="L68" i="21"/>
  <c r="AB172" i="21" a="1"/>
  <c r="Y109" i="21" a="1"/>
  <c r="DJ139" i="21" a="1"/>
  <c r="FF176" i="21" a="1"/>
  <c r="X121" i="21" a="1"/>
  <c r="DN104" i="21" a="1"/>
  <c r="L79" i="21"/>
  <c r="I81" i="21"/>
  <c r="P166" i="21"/>
  <c r="AD101" i="21" a="1"/>
  <c r="DF102" i="21" a="1"/>
  <c r="H159" i="21"/>
  <c r="DM187" i="21" a="1"/>
  <c r="DM136" i="21" a="1"/>
  <c r="J140" i="21"/>
  <c r="F111" i="21"/>
  <c r="G94" i="21"/>
  <c r="K134" i="21"/>
  <c r="K98" i="21"/>
  <c r="DI72" i="21" a="1"/>
  <c r="DH187" i="21" a="1"/>
  <c r="M162" i="21"/>
  <c r="FC161" i="21" a="1"/>
  <c r="DK136" i="21" a="1"/>
  <c r="V158" i="21" a="1"/>
  <c r="AD171" i="21" a="1"/>
  <c r="DJ149" i="21" a="1"/>
  <c r="DI165" i="21" a="1"/>
  <c r="FH159" i="21" a="1"/>
  <c r="FD119" i="21" a="1"/>
  <c r="FK151" i="21" a="1"/>
  <c r="DJ95" i="21" a="1"/>
  <c r="K132" i="21"/>
  <c r="I145" i="21"/>
  <c r="AA172" i="21" a="1"/>
  <c r="K74" i="21"/>
  <c r="Z186" i="21" a="1"/>
  <c r="G78" i="21"/>
  <c r="L174" i="21"/>
  <c r="N188" i="21"/>
  <c r="F113" i="21"/>
  <c r="DJ176" i="21" a="1"/>
  <c r="P179" i="21"/>
  <c r="FH148" i="21" a="1"/>
  <c r="FH102" i="21" a="1"/>
  <c r="K180" i="21"/>
  <c r="J82" i="21"/>
  <c r="AF103" i="21" a="1"/>
  <c r="J128" i="21"/>
  <c r="DI187" i="21" a="1"/>
  <c r="F115" i="21"/>
  <c r="P143" i="21"/>
  <c r="FF136" i="21" a="1"/>
  <c r="O158" i="21"/>
  <c r="DD99" i="21" a="1"/>
  <c r="AB118" i="21" a="1"/>
  <c r="FI186" i="21" a="1"/>
  <c r="FE118" i="21" a="1"/>
  <c r="DN103" i="21" a="1"/>
  <c r="FG71" i="21" a="1"/>
  <c r="I167" i="21"/>
  <c r="M124" i="21"/>
  <c r="FB118" i="21" a="1"/>
  <c r="AE129" i="21" a="1"/>
  <c r="AB108" i="21" a="1"/>
  <c r="G132" i="21"/>
  <c r="FM177" i="21" a="1"/>
  <c r="DE83" i="21" a="1"/>
  <c r="E91" i="21"/>
  <c r="DI102" i="21" a="1"/>
  <c r="DJ84" i="21" a="1"/>
  <c r="Y147" i="21" a="1"/>
  <c r="FH108" i="21" a="1"/>
  <c r="M91" i="21"/>
  <c r="O133" i="21"/>
  <c r="K86" i="21"/>
  <c r="DH176" i="21" a="1"/>
  <c r="N153" i="21"/>
  <c r="DJ136" i="21" a="1"/>
  <c r="W108" i="21" a="1"/>
  <c r="M119" i="21"/>
  <c r="FD164" i="21" a="1"/>
  <c r="P81" i="21"/>
  <c r="AB139" i="21" a="1"/>
  <c r="FM151" i="21" a="1"/>
  <c r="N106" i="21"/>
  <c r="V100" i="21" a="1"/>
  <c r="DM108" i="21" a="1"/>
  <c r="AB122" i="21" a="1"/>
  <c r="AA106" i="21" a="1"/>
  <c r="V106" i="21" a="1"/>
  <c r="K79" i="21"/>
  <c r="FK176" i="21" a="1"/>
  <c r="X154" i="21" a="1"/>
  <c r="AE119" i="21" a="1"/>
  <c r="FL176" i="21" a="1"/>
  <c r="W103" i="21" a="1"/>
  <c r="FE97" i="21" a="1"/>
  <c r="FI184" i="21" a="1"/>
  <c r="FJ152" i="21" a="1"/>
  <c r="F143" i="21"/>
  <c r="DF118" i="21" a="1"/>
  <c r="W83" i="21" a="1"/>
  <c r="V118" i="21" a="1"/>
  <c r="FH155" i="21" a="1"/>
  <c r="J153" i="21"/>
  <c r="FK101" i="21" a="1"/>
  <c r="P89" i="21"/>
  <c r="F185" i="21"/>
  <c r="DN122" i="21" a="1"/>
  <c r="AD108" i="21" a="1"/>
  <c r="DN78" i="21" a="1"/>
  <c r="FM161" i="21" a="1"/>
  <c r="DC84" i="21" a="1"/>
  <c r="DC119" i="21" a="1"/>
  <c r="AC118" i="21" a="1"/>
  <c r="H181" i="21"/>
  <c r="AB100" i="21" a="1"/>
  <c r="DK101" i="21" a="1"/>
  <c r="AC104" i="21" a="1"/>
  <c r="I70" i="21"/>
  <c r="DG106" i="21" a="1"/>
  <c r="FH158" i="21" a="1"/>
  <c r="AD187" i="21" a="1"/>
  <c r="DM104" i="21" a="1"/>
  <c r="AA161" i="21" a="1"/>
  <c r="DD154" i="21" a="1"/>
  <c r="FF179" i="21" a="1"/>
  <c r="DK80" i="21" a="1"/>
  <c r="FH129" i="21" a="1"/>
  <c r="DE151" i="21" a="1"/>
  <c r="P110" i="21"/>
  <c r="J112" i="21"/>
  <c r="E72" i="21"/>
  <c r="FC127" i="21" a="1"/>
  <c r="M175" i="21"/>
  <c r="DI176" i="21" a="1"/>
  <c r="DI161" i="21" a="1"/>
  <c r="DH151" i="21" a="1"/>
  <c r="FH138" i="21" a="1"/>
  <c r="FI163" i="21" a="1"/>
  <c r="AF83" i="21" a="1"/>
  <c r="FH127" i="21" a="1"/>
  <c r="AC73" i="21" a="1"/>
  <c r="DF88" i="21" a="1"/>
  <c r="FM83" i="21" a="1"/>
  <c r="Z92" i="21" a="1"/>
  <c r="DD129" i="21" a="1"/>
  <c r="DI151" i="21" a="1"/>
  <c r="DI73" i="21" a="1"/>
  <c r="FL84" i="21" a="1"/>
  <c r="FI164" i="21" a="1"/>
  <c r="DH84" i="21" a="1"/>
  <c r="K174" i="21"/>
  <c r="DJ154" i="21" a="1"/>
  <c r="L89" i="21"/>
  <c r="FC107" i="21" a="1"/>
  <c r="DN136" i="21" a="1"/>
  <c r="FK164" i="21" a="1"/>
  <c r="N180" i="21"/>
  <c r="G130" i="21"/>
  <c r="FK123" i="21" a="1"/>
  <c r="DL131" i="21" a="1"/>
  <c r="L101" i="21"/>
  <c r="AG177" i="21" a="1"/>
  <c r="AB106" i="21" a="1"/>
  <c r="AE187" i="21" a="1"/>
  <c r="DF122" i="21" a="1"/>
  <c r="AA68" i="21" a="1"/>
  <c r="FL103" i="21" a="1"/>
  <c r="FH101" i="21" a="1"/>
  <c r="AA71" i="21" a="1"/>
  <c r="FI139" i="21" a="1"/>
  <c r="FK89" i="21" a="1"/>
  <c r="N86" i="21"/>
  <c r="FL183" i="21" a="1"/>
  <c r="J173" i="21"/>
  <c r="AD186" i="21" a="1"/>
  <c r="FB106" i="21" a="1"/>
  <c r="AG172" i="21" a="1"/>
  <c r="AD122" i="21" a="1"/>
  <c r="DD108" i="21" a="1"/>
  <c r="DG164" i="21" a="1"/>
  <c r="FG88" i="21" a="1"/>
  <c r="AB68" i="21" a="1"/>
  <c r="DH106" i="21" a="1"/>
  <c r="H119" i="21"/>
  <c r="H143" i="21"/>
  <c r="O157" i="21"/>
  <c r="M128" i="21"/>
  <c r="K135" i="21"/>
  <c r="DE108" i="21" a="1"/>
  <c r="M87" i="21"/>
  <c r="P163" i="21"/>
  <c r="N90" i="21"/>
  <c r="DJ122" i="21" a="1"/>
  <c r="DN161" i="21" a="1"/>
  <c r="E70" i="21"/>
  <c r="FL181" i="21" a="1"/>
  <c r="FD105" i="21" a="1"/>
  <c r="J130" i="21"/>
  <c r="AA168" i="21" a="1"/>
  <c r="H182" i="21"/>
  <c r="E133" i="21"/>
  <c r="DK129" i="21" a="1"/>
  <c r="AB175" i="21" a="1"/>
  <c r="DM138" i="21" a="1"/>
  <c r="AF119" i="21" a="1"/>
  <c r="V73" i="21" a="1"/>
  <c r="W89" i="21" a="1"/>
  <c r="G180" i="21"/>
  <c r="DH101" i="21" a="1"/>
  <c r="DL123" i="21" a="1"/>
  <c r="FJ147" i="21" a="1"/>
  <c r="X147" i="21" a="1"/>
  <c r="I168" i="21"/>
  <c r="Z127" i="21" a="1"/>
  <c r="H117" i="21"/>
  <c r="L157" i="21"/>
  <c r="M155" i="21"/>
  <c r="Z108" i="21" a="1"/>
  <c r="DJ172" i="21" a="1"/>
  <c r="Y88" i="21" a="1"/>
  <c r="X104" i="21" a="1"/>
  <c r="DG108" i="21" a="1"/>
  <c r="DK183" i="21" a="1"/>
  <c r="I74" i="21"/>
  <c r="X102" i="21" a="1"/>
  <c r="W127" i="21" a="1"/>
  <c r="DH129" i="21" a="1"/>
  <c r="FL107" i="21" a="1"/>
  <c r="Y142" i="21" a="1"/>
  <c r="AA119" i="21" a="1"/>
  <c r="AE131" i="21" a="1"/>
  <c r="AB77" i="21" a="1"/>
  <c r="AE167" i="21" a="1"/>
  <c r="W73" i="21" a="1"/>
  <c r="FB147" i="21" a="1"/>
  <c r="Y161" i="21" a="1"/>
  <c r="H137" i="21"/>
  <c r="AA176" i="21" a="1"/>
  <c r="DF95" i="21" a="1"/>
  <c r="H125" i="21"/>
  <c r="M132" i="21"/>
  <c r="V85" i="21" a="1"/>
  <c r="Z121" i="21" a="1"/>
  <c r="FF172" i="21" a="1"/>
  <c r="FE139" i="21" a="1"/>
  <c r="DK152" i="21" a="1"/>
  <c r="H79" i="21"/>
  <c r="F156" i="21"/>
  <c r="K109" i="21"/>
  <c r="N146" i="21"/>
  <c r="DC102" i="21" a="1"/>
  <c r="AB176" i="21" a="1"/>
  <c r="DM179" i="21" a="1"/>
  <c r="FG118" i="21" a="1"/>
  <c r="K112" i="21"/>
  <c r="FI126" i="21" a="1"/>
  <c r="V87" i="21" a="1"/>
  <c r="DL119" i="21" a="1"/>
  <c r="FE87" i="21" a="1"/>
  <c r="AB76" i="21" a="1"/>
  <c r="DL102" i="21" a="1"/>
  <c r="DI121" i="21" a="1"/>
  <c r="DK84" i="21" a="1"/>
  <c r="X84" i="21" a="1"/>
  <c r="DM95" i="21" a="1"/>
  <c r="DH118" i="21" a="1"/>
  <c r="FC97" i="21" a="1"/>
  <c r="AE108" i="21" a="1"/>
  <c r="G123" i="21"/>
  <c r="M113" i="21"/>
  <c r="G116" i="21"/>
  <c r="DK149" i="21" a="1"/>
  <c r="DN186" i="21" a="1"/>
  <c r="FB154" i="21" a="1"/>
  <c r="G170" i="21"/>
  <c r="L87" i="21"/>
  <c r="N111" i="21"/>
  <c r="DF97" i="21" a="1"/>
  <c r="FM154" i="21" a="1"/>
  <c r="L123" i="21"/>
  <c r="FH154" i="21" a="1"/>
  <c r="FB121" i="21" a="1"/>
  <c r="AE101" i="21" a="1"/>
  <c r="AG95" i="21" a="1"/>
  <c r="AB155" i="21" a="1"/>
  <c r="DG126" i="21" a="1"/>
  <c r="DM162" i="21" a="1"/>
  <c r="V88" i="21" a="1"/>
  <c r="E155" i="21"/>
  <c r="FF126" i="21" a="1"/>
  <c r="DF129" i="21" a="1"/>
  <c r="N134" i="21"/>
  <c r="X88" i="21" a="1"/>
  <c r="W110" i="21" a="1"/>
  <c r="M144" i="21"/>
  <c r="FG95" i="21" a="1"/>
  <c r="F125" i="21"/>
  <c r="AG186" i="21" a="1"/>
  <c r="FK108" i="21" a="1"/>
  <c r="AB136" i="21" a="1"/>
  <c r="AD151" i="21" a="1"/>
  <c r="DM141" i="21" a="1"/>
  <c r="N168" i="21"/>
  <c r="DE97" i="21" a="1"/>
  <c r="P170" i="21"/>
  <c r="FE151" i="21" a="1"/>
  <c r="DN183" i="21" a="1"/>
  <c r="DN108" i="21" a="1"/>
  <c r="FG187" i="21" a="1"/>
  <c r="H85" i="21"/>
  <c r="AC139" i="21" a="1"/>
  <c r="AC136" i="21" a="1"/>
  <c r="E96" i="21"/>
  <c r="FI110" i="21" a="1"/>
  <c r="AA102" i="21" a="1"/>
  <c r="DG88" i="21" a="1"/>
  <c r="DN84" i="21" a="1"/>
  <c r="N110" i="21"/>
  <c r="AD164" i="21" a="1"/>
  <c r="FK97" i="21" a="1"/>
  <c r="DD118" i="21" a="1"/>
  <c r="AG151" i="21" a="1"/>
  <c r="AB102" i="21" a="1"/>
  <c r="Z149" i="21" a="1"/>
  <c r="DL183" i="21" a="1"/>
  <c r="L150" i="21"/>
  <c r="N114" i="21"/>
  <c r="DC92" i="21" a="1"/>
  <c r="K162" i="21"/>
  <c r="AC149" i="21" a="1"/>
  <c r="DJ163" i="21" a="1"/>
  <c r="DJ151" i="21" a="1"/>
  <c r="E180" i="21"/>
  <c r="E83" i="21"/>
  <c r="DM92" i="21" a="1"/>
  <c r="DN118" i="21" a="1"/>
  <c r="DL151" i="21" a="1"/>
  <c r="W80" i="21" a="1"/>
  <c r="X126" i="21" a="1"/>
  <c r="FF122" i="21" a="1"/>
  <c r="K119" i="21"/>
  <c r="FD88" i="21" a="1"/>
  <c r="AE84" i="21" a="1"/>
  <c r="DD126" i="21" a="1"/>
  <c r="FB126" i="21" a="1"/>
  <c r="M177" i="21"/>
  <c r="I162" i="21"/>
  <c r="K78" i="21"/>
  <c r="DJ179" i="21" a="1"/>
  <c r="DF144" i="21" a="1"/>
  <c r="DM102" i="21" a="1"/>
  <c r="AD84" i="21" a="1"/>
  <c r="F96" i="21"/>
  <c r="W122" i="21" a="1"/>
  <c r="AF179" i="21" a="1"/>
  <c r="AG100" i="21" a="1"/>
  <c r="I156" i="21"/>
  <c r="P82" i="21"/>
  <c r="DD97" i="21" a="1"/>
  <c r="AB158" i="21" a="1"/>
  <c r="AF176" i="21" a="1"/>
  <c r="FG103" i="21" a="1"/>
  <c r="AG136" i="21" a="1"/>
  <c r="AA103" i="21" a="1"/>
  <c r="Z100" i="21" a="1"/>
  <c r="FF104" i="21" a="1"/>
  <c r="DI157" i="21" a="1"/>
  <c r="AF164" i="21" a="1"/>
  <c r="AC84" i="21" a="1"/>
  <c r="AG139" i="21" a="1"/>
  <c r="FE109" i="21" a="1"/>
  <c r="FG161" i="21" a="1"/>
  <c r="DF155" i="21" a="1"/>
  <c r="DN177" i="21" a="1"/>
  <c r="O125" i="21"/>
  <c r="N98" i="21"/>
  <c r="DJ183" i="21" a="1"/>
  <c r="AA104" i="21" a="1"/>
  <c r="FD154" i="21" a="1"/>
  <c r="O160" i="21"/>
  <c r="FM164" i="21" a="1"/>
  <c r="FD160" i="21" a="1"/>
  <c r="F87" i="21"/>
  <c r="DE147" i="21" a="1"/>
  <c r="M116" i="21"/>
  <c r="W100" i="21" a="1"/>
  <c r="FD103" i="21" a="1"/>
  <c r="AA92" i="21" a="1"/>
  <c r="DH95" i="21" a="1"/>
  <c r="DH134" i="21" a="1"/>
  <c r="FC73" i="21" a="1"/>
  <c r="P116" i="21"/>
  <c r="DH127" i="21" a="1"/>
  <c r="AB126" i="21" a="1"/>
  <c r="FM104" i="21" a="1"/>
  <c r="DH147" i="21" a="1"/>
  <c r="O123" i="21"/>
  <c r="AB183" i="21" a="1"/>
  <c r="X75" i="21" a="1"/>
  <c r="FB122" i="21" a="1"/>
  <c r="FL108" i="21" a="1"/>
  <c r="I98" i="21"/>
  <c r="FM138" i="21" a="1"/>
  <c r="J150" i="21"/>
  <c r="FJ186" i="21" a="1"/>
  <c r="DD102" i="21" a="1"/>
  <c r="M99" i="21"/>
  <c r="DJ187" i="21" a="1"/>
  <c r="DJ161" i="21" a="1"/>
  <c r="I94" i="21"/>
  <c r="AD100" i="21" a="1"/>
  <c r="DK168" i="21" a="1"/>
  <c r="P182" i="21"/>
  <c r="F135" i="21"/>
  <c r="E78" i="21"/>
  <c r="DL170" i="21" a="1"/>
  <c r="I180" i="21"/>
  <c r="F145" i="21"/>
  <c r="DL100" i="21" a="1"/>
  <c r="FM139" i="21" a="1"/>
  <c r="FM127" i="21" a="1"/>
  <c r="I83" i="21"/>
  <c r="FJ101" i="21" a="1"/>
  <c r="L165" i="21"/>
  <c r="X139" i="21" a="1"/>
  <c r="J171" i="21"/>
  <c r="N82" i="21"/>
  <c r="E134" i="21"/>
  <c r="DE95" i="21" a="1"/>
  <c r="E94" i="21"/>
  <c r="DC129" i="21" a="1"/>
  <c r="AA118" i="21" a="1"/>
  <c r="J146" i="21"/>
  <c r="F141" i="21"/>
  <c r="FC164" i="21" a="1"/>
  <c r="L169" i="21"/>
  <c r="N166" i="21"/>
  <c r="DD136" i="21" a="1"/>
  <c r="W102" i="21" a="1"/>
  <c r="G101" i="21"/>
  <c r="N113" i="21"/>
  <c r="FB108" i="21" a="1"/>
  <c r="I120" i="21"/>
  <c r="K82" i="21"/>
  <c r="E99" i="21"/>
  <c r="FC151" i="21" a="1"/>
  <c r="DK157" i="21" a="1"/>
  <c r="FD90" i="21" a="1"/>
  <c r="L145" i="21"/>
  <c r="AF183" i="21" a="1"/>
  <c r="G157" i="21"/>
  <c r="I155" i="21"/>
  <c r="H175" i="21"/>
  <c r="FM122" i="21" a="1"/>
  <c r="FF151" i="21" a="1"/>
  <c r="DG149" i="21" a="1"/>
  <c r="G137" i="21"/>
  <c r="P105" i="21"/>
  <c r="DN154" i="21" a="1"/>
  <c r="E165" i="21"/>
  <c r="W164" i="21" a="1"/>
  <c r="F133" i="21"/>
  <c r="P101" i="21"/>
  <c r="J137" i="21"/>
  <c r="L74" i="21"/>
  <c r="AD179" i="21" a="1"/>
  <c r="DJ129" i="21" a="1"/>
  <c r="FE122" i="21" a="1"/>
  <c r="G81" i="21"/>
  <c r="FI127" i="21" a="1"/>
  <c r="DN102" i="21" a="1"/>
  <c r="O130" i="21"/>
  <c r="L160" i="21"/>
  <c r="K143" i="21"/>
  <c r="I174" i="21"/>
  <c r="M139" i="21"/>
  <c r="J86" i="21"/>
  <c r="K163" i="21"/>
  <c r="H89" i="21"/>
  <c r="I166" i="21"/>
  <c r="H171" i="21"/>
  <c r="FJ171" i="21" a="1"/>
  <c r="FI108" i="21" a="1"/>
  <c r="J111" i="21"/>
  <c r="FH186" i="21" a="1"/>
  <c r="DE139" i="21" a="1"/>
  <c r="F119" i="21"/>
  <c r="N91" i="21"/>
  <c r="I96" i="21"/>
  <c r="DL129" i="21" a="1"/>
  <c r="F78" i="21"/>
  <c r="F86" i="21"/>
  <c r="O177" i="21"/>
  <c r="N116" i="21"/>
  <c r="FE136" i="21" a="1"/>
  <c r="AB181" i="21" a="1"/>
  <c r="AC126" i="21" a="1"/>
  <c r="FG106" i="21" a="1"/>
  <c r="FB68" i="21" a="1"/>
  <c r="DF84" i="21" a="1"/>
  <c r="P112" i="21"/>
  <c r="DG183" i="21" a="1"/>
  <c r="DE146" i="21" a="1"/>
  <c r="I101" i="21"/>
  <c r="FG114" i="21" a="1"/>
  <c r="FL126" i="21" a="1"/>
  <c r="FG149" i="21" a="1"/>
  <c r="P144" i="21"/>
  <c r="E175" i="21"/>
  <c r="FH161" i="21" a="1"/>
  <c r="J181" i="21"/>
  <c r="DI172" i="21" a="1"/>
  <c r="FC116" i="21" a="1"/>
  <c r="FD118" i="21" a="1"/>
  <c r="K80" i="21"/>
  <c r="AG129" i="21" a="1"/>
  <c r="DG147" i="21" a="1"/>
  <c r="AG68" i="21" a="1"/>
  <c r="DL73" i="21" a="1"/>
  <c r="W101" i="21" a="1"/>
  <c r="FF100" i="21" a="1"/>
  <c r="FJ161" i="21" a="1"/>
  <c r="FH107" i="21" a="1"/>
  <c r="AC100" i="21" a="1"/>
  <c r="FD151" i="21" a="1"/>
  <c r="X136" i="21" a="1"/>
  <c r="DK73" i="21" a="1"/>
  <c r="DN121" i="21" a="1"/>
  <c r="G148" i="21"/>
  <c r="K83" i="21"/>
  <c r="AE183" i="21" a="1"/>
  <c r="X92" i="21" a="1"/>
  <c r="F175" i="21"/>
  <c r="DI159" i="21" a="1"/>
  <c r="FF171" i="21" a="1"/>
  <c r="DN126" i="21" a="1"/>
  <c r="FL95" i="21" a="1"/>
  <c r="FF154" i="21" a="1"/>
  <c r="DJ166" i="21" a="1"/>
  <c r="M145" i="21"/>
  <c r="DF154" i="21" a="1"/>
  <c r="F163" i="21"/>
  <c r="E157" i="21"/>
  <c r="FE138" i="21" a="1"/>
  <c r="F173" i="21"/>
  <c r="FH115" i="21" a="1"/>
  <c r="AD104" i="21" a="1"/>
  <c r="FB97" i="21" a="1"/>
  <c r="FK95" i="21" a="1"/>
  <c r="DG100" i="21" a="1"/>
  <c r="X146" i="21" a="1"/>
  <c r="AE89" i="21" a="1"/>
  <c r="FF121" i="21" a="1"/>
  <c r="Z97" i="21" a="1"/>
  <c r="DD101" i="21" a="1"/>
  <c r="FF103" i="21" a="1"/>
  <c r="DH71" i="21" a="1"/>
  <c r="Z89" i="21" a="1"/>
  <c r="DF127" i="21" a="1"/>
  <c r="H130" i="21"/>
  <c r="DJ110" i="21" a="1"/>
  <c r="AC179" i="21" a="1"/>
  <c r="DM161" i="21" a="1"/>
  <c r="DF126" i="21" a="1"/>
  <c r="DF83" i="21" a="1"/>
  <c r="P74" i="21"/>
  <c r="I110" i="21"/>
  <c r="J155" i="21"/>
  <c r="F138" i="21"/>
  <c r="I118" i="21"/>
  <c r="FI187" i="21" a="1"/>
  <c r="AE147" i="21" a="1"/>
  <c r="FE100" i="21" a="1"/>
  <c r="FB82" i="21" a="1"/>
  <c r="Z122" i="21" a="1"/>
  <c r="AF88" i="21" a="1"/>
  <c r="L112" i="21"/>
  <c r="AA129" i="21" a="1"/>
  <c r="AG138" i="21" a="1"/>
  <c r="M185" i="21"/>
  <c r="FI73" i="21" a="1"/>
  <c r="AB121" i="21" a="1"/>
  <c r="E171" i="21"/>
  <c r="AC186" i="21" a="1"/>
  <c r="FJ157" i="21" a="1"/>
  <c r="P165" i="21"/>
  <c r="FI181" i="21" a="1"/>
  <c r="DJ186" i="21" a="1"/>
  <c r="DF103" i="21" a="1"/>
  <c r="DJ104" i="21" a="1"/>
  <c r="Z154" i="21" a="1"/>
  <c r="AG147" i="21" a="1"/>
  <c r="DC87" i="21" a="1"/>
  <c r="H77" i="21"/>
  <c r="FJ136" i="21" a="1"/>
  <c r="AB115" i="21" a="1"/>
  <c r="J175" i="21"/>
  <c r="DC151" i="21" a="1"/>
  <c r="FC129" i="21" a="1"/>
  <c r="O79" i="21"/>
  <c r="FL187" i="21" a="1"/>
  <c r="L155" i="21"/>
  <c r="FM175" i="21" a="1"/>
  <c r="DM132" i="21" a="1"/>
  <c r="X95" i="21" a="1"/>
  <c r="FF84" i="21" a="1"/>
  <c r="DF100" i="21" a="1"/>
  <c r="I93" i="21"/>
  <c r="H128" i="21"/>
  <c r="FI80" i="21" a="1"/>
  <c r="AA187" i="21" a="1"/>
  <c r="DD147" i="21" a="1"/>
  <c r="FB136" i="21" a="1"/>
  <c r="V127" i="21" a="1"/>
  <c r="FL150" i="21" a="1"/>
  <c r="Y108" i="21" a="1"/>
  <c r="DJ148" i="21" a="1"/>
  <c r="DM181" i="21" a="1"/>
  <c r="I165" i="21"/>
  <c r="J169" i="21"/>
  <c r="Y118" i="21" a="1"/>
  <c r="FL161" i="21" a="1"/>
  <c r="P155" i="21"/>
  <c r="AD127" i="21" a="1"/>
  <c r="FE84" i="21" a="1"/>
  <c r="FF97" i="21" a="1"/>
  <c r="DI147" i="21" a="1"/>
  <c r="DD164" i="21" a="1"/>
  <c r="AE107" i="21" a="1"/>
  <c r="G174" i="21"/>
  <c r="AD149" i="21" a="1"/>
  <c r="FE121" i="21" a="1"/>
  <c r="DM143" i="21" a="1"/>
  <c r="DC103" i="21" a="1"/>
  <c r="DH184" i="21" a="1"/>
  <c r="AD96" i="21" a="1"/>
  <c r="L116" i="21"/>
  <c r="M123" i="21"/>
  <c r="H111" i="21"/>
  <c r="DF147" i="21" a="1"/>
  <c r="DC144" i="21" a="1"/>
  <c r="FJ151" i="21" a="1"/>
  <c r="DE86" i="21" a="1"/>
  <c r="FG100" i="21" a="1"/>
  <c r="DN73" i="21" a="1"/>
  <c r="DK147" i="21" a="1"/>
  <c r="DM150" i="21" a="1"/>
  <c r="DM100" i="21" a="1"/>
  <c r="AF95" i="21" a="1"/>
  <c r="FF89" i="21" a="1"/>
  <c r="AE87" i="21" a="1"/>
  <c r="DN147" i="21" a="1"/>
  <c r="Y149" i="21" a="1"/>
  <c r="FH145" i="21" a="1"/>
  <c r="FH104" i="21" a="1"/>
  <c r="L115" i="21"/>
  <c r="DC73" i="21" a="1"/>
  <c r="DH132" i="21" a="1"/>
  <c r="DF109" i="21" a="1"/>
  <c r="FD84" i="21" a="1"/>
  <c r="DD105" i="21" a="1"/>
  <c r="DC164" i="21" a="1"/>
  <c r="AE154" i="21" a="1"/>
  <c r="DH92" i="21" a="1"/>
  <c r="DH154" i="21" a="1"/>
  <c r="DI108" i="21" a="1"/>
  <c r="AE186" i="21" a="1"/>
  <c r="M141" i="21"/>
  <c r="E125" i="21"/>
  <c r="O80" i="21"/>
  <c r="DE122" i="21" a="1"/>
  <c r="Z95" i="21" a="1"/>
  <c r="DG89" i="21" a="1"/>
  <c r="DM88" i="21" a="1"/>
  <c r="L144" i="21"/>
  <c r="DD151" i="21" a="1"/>
  <c r="DI154" i="21" a="1"/>
  <c r="AB148" i="21" a="1"/>
  <c r="FL179" i="21" a="1"/>
  <c r="FC147" i="21" a="1"/>
  <c r="K131" i="21"/>
  <c r="DE107" i="21" a="1"/>
  <c r="FC105" i="21" a="1"/>
  <c r="W105" i="21" a="1"/>
  <c r="E169" i="21"/>
  <c r="X119" i="21" a="1"/>
  <c r="DM119" i="21" a="1"/>
  <c r="DF151" i="21" a="1"/>
  <c r="DD83" i="21" a="1"/>
  <c r="DI183" i="21" a="1"/>
  <c r="J174" i="21"/>
  <c r="DE100" i="21" a="1"/>
  <c r="DI139" i="21" a="1"/>
  <c r="AA164" i="21" a="1"/>
  <c r="Z102" i="21" a="1"/>
  <c r="P86" i="21"/>
  <c r="W129" i="21" a="1"/>
  <c r="DK126" i="21" a="1"/>
  <c r="V97" i="21" a="1"/>
  <c r="FG119" i="21" a="1"/>
  <c r="FF181" i="21" a="1"/>
  <c r="P185" i="21"/>
  <c r="FK121" i="21" a="1"/>
  <c r="DF87" i="21" a="1"/>
  <c r="Y138" i="21" a="1"/>
  <c r="I87" i="21"/>
  <c r="Z171" i="21" a="1"/>
  <c r="M112" i="21"/>
  <c r="AB187" i="21" a="1"/>
  <c r="O101" i="21"/>
  <c r="DC79" i="21" a="1"/>
  <c r="Z88" i="21" a="1"/>
  <c r="FH147" i="21" a="1"/>
  <c r="AE103" i="21" a="1"/>
  <c r="M130" i="21"/>
  <c r="DM151" i="21" a="1"/>
  <c r="L105" i="21"/>
  <c r="K185" i="21"/>
  <c r="DF121" i="21" a="1"/>
  <c r="W118" i="21" a="1"/>
  <c r="L130" i="21"/>
  <c r="H131" i="21"/>
  <c r="G168" i="21"/>
  <c r="AD97" i="21" a="1"/>
  <c r="AD161" i="21" a="1"/>
  <c r="I158" i="21"/>
  <c r="DC68" i="21" a="1"/>
  <c r="DH100" i="21" a="1"/>
  <c r="AF104" i="21" a="1"/>
  <c r="E182" i="21"/>
  <c r="FG139" i="21" a="1"/>
  <c r="Z84" i="21" a="1"/>
  <c r="L146" i="21"/>
  <c r="DF150" i="21" a="1"/>
  <c r="X105" i="21" a="1"/>
  <c r="AG92" i="21" a="1"/>
  <c r="DE92" i="21" a="1"/>
  <c r="Z107" i="21" a="1"/>
  <c r="FE73" i="21" a="1"/>
  <c r="FE108" i="21" a="1"/>
  <c r="AD170" i="21" a="1"/>
  <c r="M188" i="21"/>
  <c r="P135" i="21"/>
  <c r="AA132" i="21" a="1"/>
  <c r="AF126" i="21" a="1"/>
  <c r="FH136" i="21" a="1"/>
  <c r="X118" i="21" a="1"/>
  <c r="DH139" i="21" a="1"/>
  <c r="FG102" i="21" a="1"/>
  <c r="FF107" i="21" a="1"/>
  <c r="Y150" i="21" a="1"/>
  <c r="AE73" i="21" a="1"/>
  <c r="FC118" i="21" a="1"/>
  <c r="N155" i="21"/>
  <c r="FD120" i="21" a="1"/>
  <c r="DD73" i="21" a="1"/>
  <c r="AG106" i="21" a="1"/>
  <c r="FK122" i="21" a="1"/>
  <c r="FJ68" i="21" a="1"/>
  <c r="FE142" i="21" a="1"/>
  <c r="FH149" i="21" a="1"/>
  <c r="FK154" i="21" a="1"/>
  <c r="AD183" i="21" a="1"/>
  <c r="AB125" i="21" a="1"/>
  <c r="DK176" i="21" a="1"/>
  <c r="X103" i="21" a="1"/>
  <c r="FE147" i="21" a="1"/>
  <c r="F134" i="21"/>
  <c r="DI104" i="21" a="1"/>
  <c r="FI103" i="21" a="1"/>
  <c r="O90" i="21"/>
  <c r="AA151" i="21" a="1"/>
  <c r="FJ100" i="21" a="1"/>
  <c r="DL176" i="21" a="1"/>
  <c r="DL121" i="21" a="1"/>
  <c r="FK88" i="21" a="1"/>
  <c r="V154" i="21" a="1"/>
  <c r="G159" i="21"/>
  <c r="FG92" i="21" a="1"/>
  <c r="Z179" i="21" a="1"/>
  <c r="DM103" i="21" a="1"/>
  <c r="FL155" i="21" a="1"/>
  <c r="FI162" i="21" a="1"/>
  <c r="FM136" i="21" a="1"/>
  <c r="FB84" i="21" a="1"/>
  <c r="FL143" i="21" a="1"/>
  <c r="FL92" i="21" a="1"/>
  <c r="DH121" i="21" a="1"/>
  <c r="FJ129" i="21" a="1"/>
  <c r="N158" i="21"/>
  <c r="AF102" i="21" a="1"/>
  <c r="FI118" i="21" a="1"/>
  <c r="DG84" i="21" a="1"/>
  <c r="AB138" i="21" a="1"/>
  <c r="DC154" i="21" a="1"/>
  <c r="V107" i="21" a="1"/>
  <c r="FG151" i="21" a="1"/>
  <c r="DN127" i="21" a="1"/>
  <c r="DM73" i="21" a="1"/>
  <c r="DM83" i="21" a="1"/>
  <c r="FE102" i="21" a="1"/>
  <c r="FH172" i="21" a="1"/>
  <c r="AA97" i="21" a="1"/>
  <c r="DF92" i="21" a="1"/>
  <c r="FD122" i="21" a="1"/>
  <c r="DL104" i="21" a="1"/>
  <c r="AB84" i="21" a="1"/>
  <c r="FI147" i="21" a="1"/>
  <c r="DE105" i="21" a="1"/>
  <c r="FK136" i="21" a="1"/>
  <c r="DK68" i="21" a="1"/>
  <c r="M150" i="21"/>
  <c r="H177" i="21"/>
  <c r="DD162" i="21" a="1"/>
  <c r="DN151" i="21" a="1"/>
  <c r="DL186" i="21" a="1"/>
  <c r="AA138" i="21" a="1"/>
  <c r="H78" i="21"/>
  <c r="P184" i="21"/>
  <c r="Z183" i="21" a="1"/>
  <c r="AD157" i="21" a="1"/>
  <c r="FD129" i="21" a="1"/>
  <c r="O93" i="21"/>
  <c r="DK121" i="21" a="1"/>
  <c r="Y92" i="21" a="1"/>
  <c r="I69" i="21"/>
  <c r="FD138" i="21" a="1"/>
  <c r="I109" i="21"/>
  <c r="FI84" i="21" a="1"/>
  <c r="X100" i="21" a="1"/>
  <c r="V168" i="21" a="1"/>
  <c r="DK170" i="21" a="1"/>
  <c r="W116" i="21" a="1"/>
  <c r="O153" i="21"/>
  <c r="FM176" i="21" a="1"/>
  <c r="P157" i="21"/>
  <c r="FH97" i="21" a="1"/>
  <c r="M148" i="21"/>
  <c r="J94" i="21"/>
  <c r="DD91" i="21" a="1"/>
  <c r="G179" i="21"/>
  <c r="V92" i="21" a="1"/>
  <c r="AF143" i="21" a="1"/>
  <c r="L96" i="21"/>
  <c r="AB127" i="21" a="1"/>
  <c r="AD70" i="21" a="1"/>
  <c r="FI111" i="21" a="1"/>
  <c r="Y87" i="21" a="1"/>
  <c r="L153" i="21"/>
  <c r="G175" i="21"/>
  <c r="DK104" i="21" a="1"/>
  <c r="L142" i="21"/>
  <c r="O175" i="21"/>
  <c r="FL136" i="21" a="1"/>
  <c r="N175" i="21"/>
  <c r="FH106" i="21" a="1"/>
  <c r="FH164" i="21" a="1"/>
  <c r="FH76" i="21" a="1"/>
  <c r="FH121" i="21" a="1"/>
  <c r="FJ154" i="21" a="1"/>
  <c r="FK100" i="21" a="1"/>
  <c r="N125" i="21"/>
  <c r="K168" i="21"/>
  <c r="DE103" i="21" a="1"/>
  <c r="DL136" i="21" a="1"/>
  <c r="O184" i="21"/>
  <c r="DI136" i="21" a="1"/>
  <c r="FL83" i="21" a="1"/>
  <c r="Y106" i="21" a="1"/>
  <c r="DE161" i="21" a="1"/>
  <c r="DJ126" i="21" a="1"/>
  <c r="FD102" i="21" a="1"/>
  <c r="W139" i="21" a="1"/>
  <c r="Z176" i="21" a="1"/>
  <c r="FC102" i="21" a="1"/>
  <c r="P141" i="21"/>
  <c r="FK161" i="21" a="1"/>
  <c r="V84" i="21" a="1"/>
  <c r="DF106" i="21" a="1"/>
  <c r="DM186" i="21" a="1"/>
  <c r="AD118" i="21" a="1"/>
  <c r="J133" i="21"/>
  <c r="M174" i="21"/>
  <c r="DI95" i="21" a="1"/>
  <c r="AA95" i="21" a="1"/>
  <c r="DK179" i="21" a="1"/>
  <c r="FH139" i="21" a="1"/>
  <c r="FC149" i="21" a="1"/>
  <c r="FF88" i="21" a="1"/>
  <c r="FF106" i="21" a="1"/>
  <c r="O76" i="21"/>
  <c r="DE84" i="21" a="1"/>
  <c r="FI104" i="21" a="1"/>
  <c r="AD107" i="21" a="1"/>
  <c r="DG92" i="21" a="1"/>
  <c r="V151" i="21" a="1"/>
  <c r="FK149" i="21" a="1"/>
  <c r="DF161" i="21" a="1"/>
  <c r="J87" i="21"/>
  <c r="FE88" i="21" a="1"/>
  <c r="DK151" i="21" a="1"/>
  <c r="AD68" i="21" a="1"/>
  <c r="FJ172" i="21" a="1"/>
  <c r="FM147" i="21" a="1"/>
  <c r="DI84" i="21" a="1"/>
  <c r="FK107" i="21" a="1"/>
  <c r="FJ108" i="21" a="1"/>
  <c r="FI88" i="21" a="1"/>
  <c r="Y151" i="21" a="1"/>
  <c r="Y83" i="21" a="1"/>
  <c r="DD121" i="21" a="1"/>
  <c r="FC122" i="21" a="1"/>
  <c r="DD88" i="21" a="1"/>
  <c r="DC106" i="21" a="1"/>
  <c r="DG136" i="21" a="1"/>
  <c r="DD122" i="21" a="1"/>
  <c r="FG84" i="21" a="1"/>
  <c r="L71" i="21"/>
  <c r="AG107" i="21" a="1"/>
  <c r="DN97" i="21" a="1"/>
  <c r="AF129" i="21" a="1"/>
  <c r="FG101" i="21" a="1"/>
  <c r="FG147" i="21" a="1"/>
  <c r="W84" i="21" a="1"/>
  <c r="AG83" i="21" a="1"/>
  <c r="DH80" i="21" a="1"/>
  <c r="DM84" i="21" a="1"/>
  <c r="L78" i="21"/>
  <c r="FL172" i="21" a="1"/>
  <c r="FB114" i="21" a="1"/>
  <c r="DG121" i="21" a="1"/>
  <c r="AG126" i="21" a="1"/>
  <c r="J77" i="21"/>
  <c r="AG103" i="21" a="1"/>
  <c r="M78" i="21"/>
  <c r="FJ149" i="21" a="1"/>
  <c r="FI158" i="21" a="1"/>
  <c r="I184" i="21"/>
  <c r="N140" i="21"/>
  <c r="FC106" i="21" a="1"/>
  <c r="E150" i="21"/>
  <c r="AA108" i="21" a="1"/>
  <c r="FE154" i="21" a="1"/>
  <c r="DM97" i="21" a="1"/>
  <c r="FC92" i="21" a="1"/>
  <c r="AD121" i="21" a="1"/>
  <c r="W88" i="21" a="1"/>
  <c r="M173" i="21"/>
  <c r="F112" i="21"/>
  <c r="AB72" i="21" a="1"/>
  <c r="M138" i="21"/>
  <c r="F148" i="21"/>
  <c r="FE161" i="21" a="1"/>
  <c r="M160" i="21"/>
  <c r="DK108" i="21" a="1"/>
  <c r="DI76" i="21" a="1"/>
  <c r="I150" i="21"/>
  <c r="DL92" i="21" a="1"/>
  <c r="AE126" i="21" a="1"/>
  <c r="V147" i="21" a="1"/>
  <c r="J93" i="21"/>
  <c r="DK92" i="21" a="1"/>
  <c r="FC104" i="21" a="1"/>
  <c r="V136" i="21" a="1"/>
  <c r="F93" i="21"/>
  <c r="DK96" i="21" a="1"/>
  <c r="DH186" i="21" a="1"/>
  <c r="DE75" i="21" a="1"/>
  <c r="FG89" i="21" a="1"/>
  <c r="FI148" i="21" a="1"/>
  <c r="DJ111" i="21" a="1"/>
  <c r="FF161" i="21" a="1"/>
  <c r="DJ92" i="21" a="1"/>
  <c r="DG161" i="21" a="1"/>
  <c r="FK103" i="21" a="1"/>
  <c r="DI118" i="21" a="1"/>
  <c r="M93" i="21"/>
  <c r="O188" i="21"/>
  <c r="W126" i="21" a="1"/>
  <c r="AG176" i="21" a="1"/>
  <c r="DI107" i="21" a="1"/>
  <c r="DC136" i="21" a="1"/>
  <c r="I148" i="21"/>
  <c r="F114" i="21"/>
  <c r="DK103" i="21" a="1"/>
  <c r="DJ127" i="21" a="1"/>
  <c r="DF104" i="21" a="1"/>
  <c r="P114" i="21"/>
  <c r="FG186" i="21" a="1"/>
  <c r="DH114" i="21" a="1"/>
  <c r="E138" i="21"/>
  <c r="FE103" i="21" a="1"/>
  <c r="FG110" i="21" a="1"/>
  <c r="DJ164" i="21" a="1"/>
  <c r="AF99" i="21" a="1"/>
  <c r="DD84" i="21" a="1"/>
  <c r="J167" i="21"/>
  <c r="FL99" i="21" a="1"/>
  <c r="DD92" i="21" a="1"/>
  <c r="AE92" i="21" a="1"/>
  <c r="FD73" i="21" a="1"/>
  <c r="O70" i="21"/>
  <c r="N162" i="21"/>
  <c r="E98" i="21"/>
  <c r="FH176" i="21" a="1"/>
  <c r="FG136" i="21" a="1"/>
  <c r="DM176" i="21" a="1"/>
  <c r="F159" i="21"/>
  <c r="FB92" i="21" a="1"/>
  <c r="I157" i="21"/>
  <c r="DN95" i="21" a="1"/>
  <c r="G77" i="21"/>
  <c r="AC138" i="21" a="1"/>
  <c r="FJ122" i="21" a="1"/>
  <c r="AC129" i="21" a="1"/>
  <c r="AD103" i="21" a="1"/>
  <c r="AD95" i="21" a="1"/>
  <c r="DG171" i="21" a="1"/>
  <c r="FC91" i="21" a="1"/>
  <c r="FJ179" i="21" a="1"/>
  <c r="FI172" i="21" a="1"/>
  <c r="O112" i="21"/>
  <c r="AF162" i="21" a="1"/>
  <c r="N109" i="21"/>
  <c r="I82" i="21"/>
  <c r="M94" i="21"/>
  <c r="FE101" i="21" a="1"/>
  <c r="AG78" i="21" a="1"/>
  <c r="P85" i="21"/>
  <c r="FC136" i="21" a="1"/>
  <c r="FG168" i="21" a="1"/>
  <c r="DE154" i="21" a="1"/>
  <c r="K171" i="21"/>
  <c r="AD147" i="21" a="1"/>
  <c r="DE120" i="21" a="1"/>
  <c r="DH108" i="21" a="1"/>
  <c r="FF147" i="21" a="1"/>
  <c r="AF92" i="21" a="1"/>
  <c r="FB161" i="21" a="1"/>
  <c r="FM183" i="21" a="1"/>
  <c r="DH88" i="21" a="1"/>
  <c r="AB145" i="21" a="1"/>
  <c r="DL122" i="21" a="1"/>
  <c r="F160" i="21"/>
  <c r="P124" i="21"/>
  <c r="DM183" i="21" a="1"/>
  <c r="FE95" i="21" a="1"/>
  <c r="DC161" i="21" a="1"/>
  <c r="FL164" i="21" a="1"/>
  <c r="P117" i="21"/>
  <c r="FM108" i="21" a="1"/>
  <c r="FI176" i="21" a="1"/>
  <c r="FH118" i="21" a="1"/>
  <c r="FF129" i="21" a="1"/>
  <c r="FB73" i="21" a="1"/>
  <c r="DK154" i="21" a="1"/>
  <c r="AB107" i="21" a="1"/>
  <c r="DL107" i="21" a="1"/>
  <c r="DL88" i="21" a="1"/>
  <c r="FM87" i="21" a="1"/>
  <c r="J124" i="21"/>
  <c r="W99" i="21" a="1"/>
  <c r="AG175" i="21" a="1"/>
  <c r="DI99" i="21" a="1"/>
  <c r="FI97" i="21" a="1"/>
  <c r="FG134" i="21" a="1"/>
  <c r="X83" i="21" a="1"/>
  <c r="AC151" i="21" a="1"/>
  <c r="J70" i="21"/>
  <c r="W154" i="21" a="1"/>
  <c r="DH136" i="21" a="1"/>
  <c r="FM131" i="21" a="1"/>
  <c r="L85" i="21"/>
  <c r="P96" i="21"/>
  <c r="V79" i="21" a="1"/>
  <c r="AA84" i="21" a="1"/>
  <c r="DG154" i="21" a="1"/>
  <c r="DK88" i="21" a="1"/>
  <c r="FM95" i="21" a="1"/>
  <c r="DL84" i="21" a="1"/>
  <c r="P99" i="21"/>
  <c r="AA134" i="21" a="1"/>
  <c r="FC126" i="21" a="1"/>
  <c r="FG164" i="21" a="1"/>
  <c r="DN88" i="21" a="1"/>
  <c r="Y84" i="21" a="1"/>
  <c r="DM127" i="21" a="1"/>
  <c r="FF164" i="21" a="1"/>
  <c r="V119" i="21" a="1"/>
  <c r="FJ127" i="21" a="1"/>
  <c r="I169" i="21"/>
  <c r="F140" i="21"/>
  <c r="DI100" i="21" a="1"/>
  <c r="FH165" i="21" a="1"/>
  <c r="P142" i="21"/>
  <c r="AF106" i="21" a="1"/>
  <c r="DD80" i="21" a="1"/>
  <c r="F169" i="21"/>
  <c r="DI115" i="21" a="1"/>
  <c r="AE170" i="21" a="1"/>
  <c r="FK126" i="21" a="1"/>
  <c r="AD73" i="21" a="1"/>
  <c r="DC108" i="21" a="1"/>
  <c r="FB172" i="21" a="1"/>
  <c r="FD86" i="21" a="1"/>
  <c r="FK183" i="21" a="1"/>
  <c r="FI168" i="21" a="1"/>
  <c r="DL164" i="21" a="1"/>
  <c r="DD127" i="21" a="1"/>
  <c r="AA107" i="21" a="1"/>
  <c r="X120" i="21" a="1"/>
  <c r="AA88" i="21" a="1"/>
  <c r="DI68" i="21" a="1"/>
  <c r="FK84" i="21" a="1"/>
  <c r="AD102" i="21" a="1"/>
  <c r="H114" i="21"/>
  <c r="FD75" i="21" a="1"/>
  <c r="W162" i="21" a="1"/>
  <c r="DD103" i="21" a="1"/>
  <c r="FB151" i="21" a="1"/>
  <c r="V102" i="21" a="1"/>
  <c r="AF172" i="21" a="1"/>
  <c r="O167" i="21"/>
  <c r="DD107" i="21" a="1"/>
  <c r="DH68" i="21" a="1"/>
  <c r="F77" i="21"/>
  <c r="DK181" i="21" a="1"/>
  <c r="DI77" i="21" a="1"/>
  <c r="FC154" i="21" a="1"/>
  <c r="FG97" i="21" a="1"/>
  <c r="FE83" i="21" a="1"/>
  <c r="AC158" i="21" a="1"/>
  <c r="FK104" i="21" a="1"/>
  <c r="L77" i="21"/>
  <c r="K87" i="21"/>
  <c r="FJ92" i="21" a="1"/>
  <c r="FC95" i="21" a="1"/>
  <c r="DN176" i="21" a="1"/>
  <c r="AG84" i="21" a="1"/>
  <c r="Y102" i="21" a="1"/>
  <c r="AD80" i="21" a="1"/>
  <c r="FF92" i="21" a="1"/>
  <c r="V114" i="21" a="1"/>
  <c r="FF73" i="21" a="1"/>
  <c r="AC184" i="21" a="1"/>
  <c r="AC176" i="21" a="1"/>
  <c r="FL121" i="21" a="1"/>
  <c r="AF84" i="21" a="1"/>
  <c r="Y139" i="21" a="1"/>
  <c r="J75" i="21"/>
  <c r="M120" i="21"/>
  <c r="Y101" i="21" a="1"/>
  <c r="DK102" i="21" a="1"/>
  <c r="E130" i="21"/>
  <c r="K110" i="21"/>
  <c r="FB102" i="21" a="1"/>
  <c r="AB73" i="21" a="1"/>
  <c r="AF186" i="21" a="1"/>
  <c r="AF161" i="21" a="1"/>
  <c r="Y97" i="21" a="1"/>
  <c r="DE88" i="21" a="1"/>
  <c r="DK127" i="21" a="1"/>
  <c r="J116" i="21"/>
  <c r="DE106" i="21" a="1"/>
  <c r="DM107" i="21" a="1"/>
  <c r="FH181" i="21" a="1"/>
  <c r="DL101" i="21" a="1"/>
  <c r="DK100" i="21" a="1"/>
  <c r="FJ103" i="21" a="1"/>
  <c r="AE88" i="21" a="1"/>
  <c r="FJ170" i="21" a="1"/>
  <c r="FD161" i="21" a="1"/>
  <c r="DH168" i="21" a="1"/>
  <c r="AC166" i="21" a="1"/>
  <c r="V121" i="21" a="1"/>
  <c r="E71" i="21"/>
  <c r="FB100" i="21" a="1"/>
  <c r="DC97" i="21" a="1"/>
  <c r="DG107" i="21" a="1"/>
  <c r="FC80" i="21" a="1"/>
  <c r="X151" i="21" a="1"/>
  <c r="FI136" i="21" a="1"/>
  <c r="DF73" i="21" a="1"/>
  <c r="AB103" i="21" a="1"/>
  <c r="DK70" i="21" a="1"/>
  <c r="DI148" i="21" a="1"/>
  <c r="FH187" i="21" a="1"/>
  <c r="FG126" i="21" a="1"/>
  <c r="FK138" i="21" a="1"/>
  <c r="FD136" i="21" a="1"/>
  <c r="DD161" i="21" a="1"/>
  <c r="DI125" i="21" a="1"/>
  <c r="DN68" i="21" a="1"/>
  <c r="FK78" i="21" a="1"/>
  <c r="DF108" i="21" a="1"/>
  <c r="AF138" i="21" a="1"/>
  <c r="AG108" i="21" a="1"/>
  <c r="DC139" i="21" a="1"/>
  <c r="FM172" i="21" a="1"/>
  <c r="AG181" i="21" a="1"/>
  <c r="FM92" i="21" a="1"/>
  <c r="AC187" i="21" a="1"/>
  <c r="FF108" i="21" a="1"/>
  <c r="FK167" i="21" a="1"/>
  <c r="Z164" i="21" a="1"/>
  <c r="I141" i="21"/>
  <c r="AE136" i="21" a="1"/>
  <c r="AA110" i="21" a="1"/>
  <c r="AG131" i="21" a="1"/>
  <c r="FL88" i="21" a="1"/>
  <c r="P149" i="21"/>
  <c r="DJ147" i="21" a="1"/>
  <c r="DL89" i="21" a="1"/>
  <c r="DC147" i="21" a="1"/>
  <c r="FG80" i="21" a="1"/>
  <c r="FH125" i="21" a="1"/>
  <c r="K160" i="21"/>
  <c r="DJ73" i="21" a="1"/>
  <c r="AC88" i="21" a="1"/>
  <c r="W136" i="21" a="1"/>
  <c r="J135" i="21"/>
  <c r="FH151" i="21" a="1"/>
  <c r="FB127" i="21" a="1"/>
  <c r="V101" i="21" a="1"/>
  <c r="G98" i="21"/>
  <c r="DE136" i="21" a="1"/>
  <c r="DM149" i="21" a="1"/>
  <c r="W97" i="21" a="1"/>
  <c r="G85" i="21"/>
  <c r="DH138" i="21" a="1"/>
  <c r="AE161" i="21" a="1"/>
  <c r="DK171" i="21" a="1"/>
  <c r="H86" i="21"/>
  <c r="W91" i="21" a="1"/>
  <c r="FG73" i="21" a="1"/>
  <c r="FD106" i="21" a="1"/>
  <c r="DD89" i="21" a="1"/>
  <c r="DI106" i="21" a="1"/>
  <c r="FC99" i="21" a="1"/>
  <c r="AD126" i="21" a="1"/>
  <c r="FD146" i="21" a="1"/>
  <c r="FF138" i="21" a="1"/>
  <c r="G188" i="21"/>
  <c r="DC118" i="21" a="1"/>
  <c r="AG87" i="21" a="1"/>
  <c r="FD83" i="21" a="1"/>
  <c r="DD139" i="21" a="1"/>
  <c r="FD126" i="21" a="1"/>
  <c r="DN83" i="21" a="1"/>
  <c r="FJ95" i="21" a="1"/>
  <c r="W117" i="21" a="1"/>
  <c r="Z151" i="21" a="1"/>
  <c r="DJ103" i="21" a="1"/>
  <c r="FG129" i="21" a="1"/>
  <c r="AA136" i="21" a="1"/>
  <c r="I119" i="21"/>
  <c r="AE95" i="21" a="1"/>
  <c r="DN92" i="21" a="1"/>
  <c r="FE106" i="21" a="1"/>
  <c r="N130" i="21"/>
  <c r="FG138" i="21" a="1"/>
  <c r="DC85" i="21" a="1"/>
  <c r="AA149" i="21" a="1"/>
  <c r="M133" i="21"/>
  <c r="FI122" i="21" a="1"/>
  <c r="DH179" i="21" a="1"/>
  <c r="DK97" i="21" a="1"/>
  <c r="DE121" i="21" a="1"/>
  <c r="E137" i="21"/>
  <c r="G114" i="21"/>
  <c r="P109" i="21"/>
  <c r="V68" i="21" a="1"/>
  <c r="AA186" i="21" a="1"/>
  <c r="FC84" i="21" a="1"/>
  <c r="AD176" i="21" a="1"/>
  <c r="V82" i="21" a="1"/>
  <c r="O98" i="21"/>
  <c r="N185" i="21"/>
  <c r="AC114" i="21" a="1"/>
  <c r="DC101" i="21" a="1"/>
  <c r="DL87" i="21" a="1"/>
  <c r="FG121" i="21" a="1"/>
  <c r="AD136" i="21" a="1"/>
  <c r="X107" i="21" a="1"/>
  <c r="O120" i="21"/>
  <c r="AD88" i="21" a="1"/>
  <c r="AF97" i="21" a="1"/>
  <c r="FG68" i="21" a="1"/>
  <c r="FI100" i="21" a="1"/>
  <c r="K144" i="21"/>
  <c r="DI88" i="21" a="1"/>
  <c r="FM121" i="21" a="1"/>
  <c r="FJ102" i="21" a="1"/>
  <c r="AB101" i="21" a="1"/>
  <c r="Z138" i="21" a="1"/>
  <c r="X122" i="21" a="1"/>
  <c r="DD106" i="21" a="1"/>
  <c r="DM164" i="21" a="1"/>
  <c r="DJ97" i="21" a="1"/>
  <c r="FC117" i="21" a="1"/>
  <c r="FD100" i="21" a="1"/>
  <c r="J78" i="21"/>
  <c r="J79" i="21"/>
  <c r="AD129" i="21" a="1"/>
  <c r="DC168" i="21" a="1"/>
  <c r="AF150" i="21" a="1"/>
  <c r="L140" i="21"/>
  <c r="DG151" i="21" a="1"/>
  <c r="DF149" i="21" a="1"/>
  <c r="M169" i="21"/>
  <c r="DC88" i="21" a="1"/>
  <c r="FD121" i="21" a="1"/>
  <c r="H99" i="21"/>
  <c r="DH97" i="21" a="1"/>
  <c r="DL179" i="21" a="1"/>
  <c r="FK131" i="21" a="1"/>
  <c r="AB164" i="21" a="1"/>
  <c r="I143" i="21"/>
  <c r="FF113" i="21" a="1"/>
  <c r="DJ107" i="21" a="1"/>
  <c r="DJ158" i="21" a="1"/>
  <c r="DE90" i="21" a="1"/>
  <c r="AF108" i="21" a="1"/>
  <c r="FC121" i="21" a="1"/>
  <c r="O168" i="21"/>
  <c r="AB99" i="21" a="1"/>
  <c r="DJ80" i="21" a="1"/>
  <c r="AB129" i="21" a="1"/>
  <c r="AB147" i="21" a="1"/>
  <c r="E117" i="21"/>
  <c r="FJ164" i="21" a="1"/>
  <c r="N112" i="21"/>
  <c r="AE97" i="21" a="1"/>
  <c r="DG97" i="21" a="1"/>
  <c r="DC82" i="21" a="1"/>
  <c r="FD92" i="21" a="1"/>
  <c r="FK147" i="21" a="1"/>
  <c r="Z113" i="21" a="1"/>
  <c r="AB186" i="21" a="1"/>
  <c r="DM172" i="21" a="1"/>
  <c r="AE138" i="21" a="1"/>
  <c r="J125" i="21"/>
  <c r="AG104" i="21" a="1"/>
  <c r="AC127" i="21" a="1"/>
  <c r="AB161" i="21" a="1"/>
  <c r="AA121" i="21" a="1"/>
  <c r="AG161" i="21" a="1"/>
  <c r="G113" i="21"/>
  <c r="FJ176" i="21" a="1"/>
  <c r="DN175" i="21" a="1"/>
  <c r="P174" i="21"/>
  <c r="X161" i="21" a="1"/>
  <c r="FJ97" i="21" a="1"/>
  <c r="FB149" i="21" a="1"/>
  <c r="DD149" i="21" a="1"/>
  <c r="FB129" i="21" a="1"/>
  <c r="FD139" i="21" a="1"/>
  <c r="H96" i="21"/>
  <c r="FJ187" i="21" a="1"/>
  <c r="E74" i="21"/>
  <c r="DN164" i="21" a="1"/>
  <c r="FG127" i="21" a="1"/>
  <c r="FL119" i="21" a="1"/>
  <c r="DH73" i="21" a="1"/>
  <c r="I140" i="21"/>
  <c r="FD104" i="21" a="1"/>
  <c r="DL154" i="21" a="1"/>
  <c r="AE164" i="21" a="1"/>
  <c r="FI138" i="21" a="1"/>
  <c r="FK73" i="21" a="1"/>
  <c r="AC111" i="21" a="1"/>
  <c r="W151" i="21" a="1"/>
  <c r="FB164" i="21" a="1"/>
  <c r="J123" i="21"/>
  <c r="DG95" i="21" a="1"/>
  <c r="F166" i="21"/>
  <c r="DI164" i="21" a="1"/>
  <c r="DI186" i="21" a="1"/>
  <c r="DD116" i="21" a="1"/>
  <c r="FB88" i="21" a="1"/>
  <c r="AF73" i="21" a="1"/>
  <c r="AA122" i="21" a="1"/>
  <c r="FL154" i="21" a="1"/>
  <c r="Y104" i="21" a="1"/>
  <c r="AE78" i="21" a="1"/>
  <c r="J76" i="21"/>
  <c r="Y121" i="21" a="1"/>
  <c r="K90" i="21"/>
  <c r="FE104" i="21" a="1"/>
  <c r="AA114" i="21" a="1"/>
  <c r="DI127" i="21" a="1"/>
  <c r="F68" i="21"/>
  <c r="DJ88" i="21" a="1"/>
  <c r="AA147" i="21" a="1"/>
  <c r="DK161" i="21" a="1"/>
  <c r="W149" i="21" a="1"/>
  <c r="FL138" i="21" a="1"/>
  <c r="DM126" i="21" a="1"/>
  <c r="DJ118" i="21" a="1"/>
  <c r="AC121" i="21" a="1"/>
  <c r="AC108" i="21" a="1"/>
  <c r="FL132" i="21" a="1"/>
  <c r="AG127" i="21" a="1"/>
  <c r="DF142" i="21" a="1"/>
  <c r="DN187" i="21" a="1"/>
  <c r="FI161" i="21" a="1"/>
  <c r="Y126" i="21" a="1"/>
  <c r="FC89" i="21" a="1"/>
  <c r="F81" i="21"/>
  <c r="FC110" i="21" a="1"/>
  <c r="V149" i="21" a="1"/>
  <c r="FE127" i="21" a="1"/>
  <c r="H170" i="21"/>
  <c r="DN139" i="21" a="1"/>
  <c r="V161" i="21" a="1"/>
  <c r="O142" i="21"/>
  <c r="W95" i="21" a="1"/>
  <c r="G184" i="21"/>
  <c r="AE176" i="21" a="1"/>
  <c r="V126" i="21" a="1"/>
  <c r="FH99" i="21" a="1"/>
  <c r="G169" i="21"/>
  <c r="FM162" i="21" a="1"/>
  <c r="DH103" i="21" a="1"/>
  <c r="FJ107" i="21" a="1"/>
  <c r="FH100" i="21" a="1"/>
  <c r="F174" i="21"/>
  <c r="DG127" i="21" a="1"/>
  <c r="Y95" i="21" a="1"/>
  <c r="DH107" i="21" a="1"/>
  <c r="AF135" i="21" a="1"/>
  <c r="DI129" i="21" a="1"/>
  <c r="DH89" i="21" a="1"/>
  <c r="DH110" i="21" a="1"/>
  <c r="AC164" i="21" a="1"/>
  <c r="AA73" i="21" a="1"/>
  <c r="E146" i="21"/>
  <c r="FI179" i="21" a="1"/>
  <c r="AC162" i="21" a="1"/>
  <c r="AB97" i="21" a="1"/>
  <c r="FL97" i="21" a="1"/>
  <c r="FC108" i="21" a="1"/>
  <c r="G112" i="21"/>
  <c r="DJ121" i="21" a="1"/>
  <c r="V164" i="21" a="1"/>
  <c r="FB158" i="21" a="1"/>
  <c r="G134" i="21"/>
  <c r="L94" i="21"/>
  <c r="AG115" i="21" a="1"/>
  <c r="DL126" i="21" a="1"/>
  <c r="Z161" i="21" a="1"/>
  <c r="FE150" i="21" a="1"/>
  <c r="AF187" i="21" a="1"/>
  <c r="AA100" i="21" a="1"/>
  <c r="DJ138" i="21" a="1"/>
  <c r="DK164" i="21" a="1"/>
  <c r="FL135" i="21" a="1"/>
  <c r="FB101" i="21" a="1"/>
  <c r="DK187" i="21" a="1"/>
  <c r="DN87" i="21" a="1"/>
  <c r="AD92" i="21" a="1"/>
  <c r="M134" i="21"/>
  <c r="AF155" i="21" a="1"/>
  <c r="Z73" i="21" a="1"/>
  <c r="DC122" i="21" a="1"/>
  <c r="W167" i="21" l="1" a="1"/>
  <c r="W167" i="21" s="1"/>
  <c r="BE167" i="21" s="1"/>
  <c r="EL167" i="21" a="1"/>
  <c r="EL167" i="21" s="1"/>
  <c r="DD167" i="21" a="1"/>
  <c r="DD167" i="21" s="1"/>
  <c r="FC167" i="21" a="1"/>
  <c r="FC167" i="21" s="1"/>
  <c r="HD167" i="21" s="1"/>
  <c r="V177" i="21" a="1"/>
  <c r="V177" i="21" s="1"/>
  <c r="BD177" i="21" s="1"/>
  <c r="GA177" i="21" s="1"/>
  <c r="EK177" i="21" a="1"/>
  <c r="EK177" i="21" s="1"/>
  <c r="FB177" i="21" a="1"/>
  <c r="FB177" i="21" s="1"/>
  <c r="HC177" i="21" s="1"/>
  <c r="DC177" i="21" a="1"/>
  <c r="DC177" i="21" s="1"/>
  <c r="FC178" i="21" a="1"/>
  <c r="FC178" i="21" s="1"/>
  <c r="HD178" i="21" s="1"/>
  <c r="EL178" i="21" a="1"/>
  <c r="EL178" i="21" s="1"/>
  <c r="DD178" i="21" a="1"/>
  <c r="DD178" i="21" s="1"/>
  <c r="W178" i="21" a="1"/>
  <c r="W178" i="21" s="1"/>
  <c r="BE178" i="21" s="1"/>
  <c r="BV178" i="21" s="1"/>
  <c r="FD171" i="21" a="1"/>
  <c r="FD171" i="21" s="1"/>
  <c r="HE171" i="21" s="1"/>
  <c r="EM171" i="21" a="1"/>
  <c r="EM171" i="21" s="1"/>
  <c r="X171" i="21" a="1"/>
  <c r="X171" i="21" s="1"/>
  <c r="BF171" i="21" s="1"/>
  <c r="GC171" i="21" s="1"/>
  <c r="DE171" i="21" a="1"/>
  <c r="DE171" i="21" s="1"/>
  <c r="FZ77" i="21"/>
  <c r="HB77" i="21"/>
  <c r="DE173" i="21" a="1"/>
  <c r="DE173" i="21" s="1"/>
  <c r="FD173" i="21" a="1"/>
  <c r="FD173" i="21" s="1"/>
  <c r="HE173" i="21" s="1"/>
  <c r="X173" i="21" a="1"/>
  <c r="X173" i="21" s="1"/>
  <c r="BF173" i="21" s="1"/>
  <c r="GC173" i="21" s="1"/>
  <c r="EM173" i="21" a="1"/>
  <c r="EM173" i="21" s="1"/>
  <c r="DF170" i="21" a="1"/>
  <c r="DF170" i="21" s="1"/>
  <c r="EN170" i="21" a="1"/>
  <c r="EN170" i="21" s="1"/>
  <c r="FE170" i="21" a="1"/>
  <c r="FE170" i="21" s="1"/>
  <c r="HF170" i="21" s="1"/>
  <c r="Y170" i="21" a="1"/>
  <c r="Y170" i="21" s="1"/>
  <c r="BG170" i="21" s="1"/>
  <c r="DE180" i="21" a="1"/>
  <c r="DE180" i="21" s="1"/>
  <c r="FD180" i="21" a="1"/>
  <c r="FD180" i="21" s="1"/>
  <c r="HE180" i="21" s="1"/>
  <c r="EM180" i="21" a="1"/>
  <c r="EM180" i="21" s="1"/>
  <c r="X180" i="21" a="1"/>
  <c r="X180" i="21" s="1"/>
  <c r="BF180" i="21" s="1"/>
  <c r="BW180" i="21" s="1"/>
  <c r="FD177" i="21" a="1"/>
  <c r="FD177" i="21" s="1"/>
  <c r="HE177" i="21" s="1"/>
  <c r="EM177" i="21" a="1"/>
  <c r="EM177" i="21" s="1"/>
  <c r="DE177" i="21" a="1"/>
  <c r="DE177" i="21" s="1"/>
  <c r="X177" i="21" a="1"/>
  <c r="X177" i="21" s="1"/>
  <c r="BF177" i="21" s="1"/>
  <c r="FE180" i="21" a="1"/>
  <c r="FE180" i="21" s="1"/>
  <c r="HF180" i="21" s="1"/>
  <c r="Y180" i="21" a="1"/>
  <c r="Y180" i="21" s="1"/>
  <c r="BG180" i="21" s="1"/>
  <c r="GD180" i="21" s="1"/>
  <c r="EN180" i="21" a="1"/>
  <c r="EN180" i="21" s="1"/>
  <c r="DF180" i="21" a="1"/>
  <c r="DF180" i="21" s="1"/>
  <c r="FB178" i="21" a="1"/>
  <c r="FB178" i="21" s="1"/>
  <c r="HC178" i="21" s="1"/>
  <c r="V178" i="21" a="1"/>
  <c r="V178" i="21" s="1"/>
  <c r="BD178" i="21" s="1"/>
  <c r="BU178" i="21" s="1"/>
  <c r="EK178" i="21" a="1"/>
  <c r="EK178" i="21" s="1"/>
  <c r="DC178" i="21" a="1"/>
  <c r="DC178" i="21" s="1"/>
  <c r="DF178" i="21" a="1"/>
  <c r="DF178" i="21" s="1"/>
  <c r="EN178" i="21" a="1"/>
  <c r="EN178" i="21" s="1"/>
  <c r="FE178" i="21" a="1"/>
  <c r="FE178" i="21" s="1"/>
  <c r="HF178" i="21" s="1"/>
  <c r="Y178" i="21" a="1"/>
  <c r="Y178" i="21" s="1"/>
  <c r="BG178" i="21" s="1"/>
  <c r="EN182" i="21" a="1"/>
  <c r="EN182" i="21" s="1"/>
  <c r="Y182" i="21" a="1"/>
  <c r="Y182" i="21" s="1"/>
  <c r="BG182" i="21" s="1"/>
  <c r="BX182" i="21" s="1"/>
  <c r="FE182" i="21" a="1"/>
  <c r="FE182" i="21" s="1"/>
  <c r="HF182" i="21" s="1"/>
  <c r="DF182" i="21" a="1"/>
  <c r="DF182" i="21" s="1"/>
  <c r="FE188" i="21" a="1"/>
  <c r="FE188" i="21" s="1"/>
  <c r="HF188" i="21" s="1"/>
  <c r="EN188" i="21" a="1"/>
  <c r="EN188" i="21" s="1"/>
  <c r="DF188" i="21" a="1"/>
  <c r="DF188" i="21" s="1"/>
  <c r="Y188" i="21" a="1"/>
  <c r="Y188" i="21" s="1"/>
  <c r="BG188" i="21" s="1"/>
  <c r="GD188" i="21" s="1"/>
  <c r="FB182" i="21" a="1"/>
  <c r="FB182" i="21" s="1"/>
  <c r="HC182" i="21" s="1"/>
  <c r="V182" i="21" a="1"/>
  <c r="V182" i="21" s="1"/>
  <c r="BD182" i="21" s="1"/>
  <c r="GA182" i="21" s="1"/>
  <c r="DC182" i="21" a="1"/>
  <c r="DC182" i="21" s="1"/>
  <c r="EK182" i="21" a="1"/>
  <c r="EK182" i="21" s="1"/>
  <c r="EM178" i="21" a="1"/>
  <c r="EM178" i="21" s="1"/>
  <c r="DE178" i="21" a="1"/>
  <c r="DE178" i="21" s="1"/>
  <c r="FD178" i="21" a="1"/>
  <c r="FD178" i="21" s="1"/>
  <c r="HE178" i="21" s="1"/>
  <c r="X178" i="21" a="1"/>
  <c r="X178" i="21" s="1"/>
  <c r="BF178" i="21" s="1"/>
  <c r="GC178" i="21" s="1"/>
  <c r="EM170" i="21" a="1"/>
  <c r="EM170" i="21" s="1"/>
  <c r="DE170" i="21" a="1"/>
  <c r="DE170" i="21" s="1"/>
  <c r="FD170" i="21" a="1"/>
  <c r="FD170" i="21" s="1"/>
  <c r="HE170" i="21" s="1"/>
  <c r="X170" i="21" a="1"/>
  <c r="X170" i="21" s="1"/>
  <c r="BF170" i="21" s="1"/>
  <c r="EL177" i="21" a="1"/>
  <c r="EL177" i="21" s="1"/>
  <c r="W177" i="21" a="1"/>
  <c r="W177" i="21" s="1"/>
  <c r="BE177" i="21" s="1"/>
  <c r="BV177" i="21" s="1"/>
  <c r="DD177" i="21" a="1"/>
  <c r="DD177" i="21" s="1"/>
  <c r="FC177" i="21" a="1"/>
  <c r="FC177" i="21" s="1"/>
  <c r="HD177" i="21" s="1"/>
  <c r="V188" i="21" a="1"/>
  <c r="V188" i="21" s="1"/>
  <c r="BD188" i="21" s="1"/>
  <c r="EK188" i="21" a="1"/>
  <c r="EK188" i="21" s="1"/>
  <c r="DC188" i="21" a="1"/>
  <c r="DC188" i="21" s="1"/>
  <c r="FB188" i="21" a="1"/>
  <c r="FB188" i="21" s="1"/>
  <c r="HC188" i="21" s="1"/>
  <c r="EL170" i="21" a="1"/>
  <c r="EL170" i="21" s="1"/>
  <c r="W170" i="21" a="1"/>
  <c r="W170" i="21" s="1"/>
  <c r="BE170" i="21" s="1"/>
  <c r="BV170" i="21" s="1"/>
  <c r="FC170" i="21" a="1"/>
  <c r="FC170" i="21" s="1"/>
  <c r="HD170" i="21" s="1"/>
  <c r="DD170" i="21" a="1"/>
  <c r="DD170" i="21" s="1"/>
  <c r="EL182" i="21" a="1"/>
  <c r="EL182" i="21" s="1"/>
  <c r="DD182" i="21" a="1"/>
  <c r="DD182" i="21" s="1"/>
  <c r="FC182" i="21" a="1"/>
  <c r="FC182" i="21" s="1"/>
  <c r="HD182" i="21" s="1"/>
  <c r="W182" i="21" a="1"/>
  <c r="W182" i="21" s="1"/>
  <c r="BE182" i="21" s="1"/>
  <c r="GB182" i="21" s="1"/>
  <c r="FB180" i="21" a="1"/>
  <c r="FB180" i="21" s="1"/>
  <c r="HC180" i="21" s="1"/>
  <c r="EK180" i="21" a="1"/>
  <c r="EK180" i="21" s="1"/>
  <c r="V180" i="21" a="1"/>
  <c r="V180" i="21" s="1"/>
  <c r="BD180" i="21" s="1"/>
  <c r="GA180" i="21" s="1"/>
  <c r="DC180" i="21" a="1"/>
  <c r="DC180" i="21" s="1"/>
  <c r="DF177" i="21" a="1"/>
  <c r="DF177" i="21" s="1"/>
  <c r="EN177" i="21" a="1"/>
  <c r="EN177" i="21" s="1"/>
  <c r="FE177" i="21" a="1"/>
  <c r="FE177" i="21" s="1"/>
  <c r="HF177" i="21" s="1"/>
  <c r="Y177" i="21" a="1"/>
  <c r="Y177" i="21" s="1"/>
  <c r="BG177" i="21" s="1"/>
  <c r="GD177" i="21" s="1"/>
  <c r="EL180" i="21" a="1"/>
  <c r="EL180" i="21" s="1"/>
  <c r="DD180" i="21" a="1"/>
  <c r="DD180" i="21" s="1"/>
  <c r="FC180" i="21" a="1"/>
  <c r="FC180" i="21" s="1"/>
  <c r="HD180" i="21" s="1"/>
  <c r="W180" i="21" a="1"/>
  <c r="W180" i="21" s="1"/>
  <c r="BE180" i="21" s="1"/>
  <c r="GB180" i="21" s="1"/>
  <c r="FZ168" i="21"/>
  <c r="HB127" i="21"/>
  <c r="HB79" i="21"/>
  <c r="FZ141" i="21"/>
  <c r="HB91" i="21"/>
  <c r="HB84" i="21"/>
  <c r="FZ154" i="21"/>
  <c r="HB150" i="21"/>
  <c r="FZ99" i="21"/>
  <c r="FZ130" i="21"/>
  <c r="FZ169" i="21"/>
  <c r="FZ186" i="21"/>
  <c r="HB89" i="21"/>
  <c r="FZ173" i="21"/>
  <c r="HB78" i="21"/>
  <c r="HB155" i="21"/>
  <c r="FZ137" i="21"/>
  <c r="HB102" i="21"/>
  <c r="HB171" i="21"/>
  <c r="FZ159" i="21"/>
  <c r="HB122" i="21"/>
  <c r="HB143" i="21"/>
  <c r="FZ172" i="21"/>
  <c r="AP176" i="21"/>
  <c r="AY176" i="21" s="1"/>
  <c r="HB83" i="21"/>
  <c r="FZ113" i="21"/>
  <c r="HB147" i="21"/>
  <c r="FZ117" i="21"/>
  <c r="FZ106" i="21"/>
  <c r="HB81" i="21"/>
  <c r="FZ126" i="21"/>
  <c r="HB166" i="21"/>
  <c r="FZ68" i="21"/>
  <c r="DF171" i="21" a="1"/>
  <c r="DF171" i="21" s="1"/>
  <c r="FE171" i="21" a="1"/>
  <c r="FE171" i="21" s="1"/>
  <c r="HF171" i="21" s="1"/>
  <c r="Y171" i="21" a="1"/>
  <c r="Y171" i="21" s="1"/>
  <c r="BG171" i="21" s="1"/>
  <c r="EN171" i="21" a="1"/>
  <c r="EN171" i="21" s="1"/>
  <c r="FD168" i="21" a="1"/>
  <c r="FD168" i="21" s="1"/>
  <c r="HE168" i="21" s="1"/>
  <c r="EM168" i="21" a="1"/>
  <c r="EM168" i="21" s="1"/>
  <c r="DE168" i="21" a="1"/>
  <c r="DE168" i="21" s="1"/>
  <c r="X168" i="21" a="1"/>
  <c r="X168" i="21" s="1"/>
  <c r="BF168" i="21" s="1"/>
  <c r="GC168" i="21" s="1"/>
  <c r="DF167" i="21" a="1"/>
  <c r="DF167" i="21" s="1"/>
  <c r="Y167" i="21" a="1"/>
  <c r="Y167" i="21" s="1"/>
  <c r="BG167" i="21" s="1"/>
  <c r="BX167" i="21" s="1"/>
  <c r="FE167" i="21" a="1"/>
  <c r="FE167" i="21" s="1"/>
  <c r="HF167" i="21" s="1"/>
  <c r="EN167" i="21" a="1"/>
  <c r="EN167" i="21" s="1"/>
  <c r="Y185" i="21" a="1"/>
  <c r="Y185" i="21" s="1"/>
  <c r="BG185" i="21" s="1"/>
  <c r="GD185" i="21" s="1"/>
  <c r="EN185" i="21" a="1"/>
  <c r="EN185" i="21" s="1"/>
  <c r="FE185" i="21" a="1"/>
  <c r="FE185" i="21" s="1"/>
  <c r="HF185" i="21" s="1"/>
  <c r="DF185" i="21" a="1"/>
  <c r="DF185" i="21" s="1"/>
  <c r="DD169" i="21" a="1"/>
  <c r="DD169" i="21" s="1"/>
  <c r="W169" i="21" a="1"/>
  <c r="W169" i="21" s="1"/>
  <c r="BE169" i="21" s="1"/>
  <c r="EL169" i="21" a="1"/>
  <c r="EL169" i="21" s="1"/>
  <c r="FC169" i="21" a="1"/>
  <c r="FC169" i="21" s="1"/>
  <c r="HD169" i="21" s="1"/>
  <c r="EM184" i="21" a="1"/>
  <c r="EM184" i="21" s="1"/>
  <c r="DE184" i="21" a="1"/>
  <c r="DE184" i="21" s="1"/>
  <c r="X184" i="21" a="1"/>
  <c r="X184" i="21" s="1"/>
  <c r="BF184" i="21" s="1"/>
  <c r="GC184" i="21" s="1"/>
  <c r="FD184" i="21" a="1"/>
  <c r="FD184" i="21" s="1"/>
  <c r="HE184" i="21" s="1"/>
  <c r="EL184" i="21" a="1"/>
  <c r="EL184" i="21" s="1"/>
  <c r="W184" i="21" a="1"/>
  <c r="W184" i="21" s="1"/>
  <c r="BE184" i="21" s="1"/>
  <c r="DD184" i="21" a="1"/>
  <c r="DD184" i="21" s="1"/>
  <c r="FC184" i="21" a="1"/>
  <c r="FC184" i="21" s="1"/>
  <c r="HD184" i="21" s="1"/>
  <c r="EL171" i="21" a="1"/>
  <c r="EL171" i="21" s="1"/>
  <c r="DD171" i="21" a="1"/>
  <c r="DD171" i="21" s="1"/>
  <c r="FC171" i="21" a="1"/>
  <c r="FC171" i="21" s="1"/>
  <c r="HD171" i="21" s="1"/>
  <c r="W171" i="21" a="1"/>
  <c r="W171" i="21" s="1"/>
  <c r="BE171" i="21" s="1"/>
  <c r="BV171" i="21" s="1"/>
  <c r="DD173" i="21" a="1"/>
  <c r="DD173" i="21" s="1"/>
  <c r="FC173" i="21" a="1"/>
  <c r="FC173" i="21" s="1"/>
  <c r="HD173" i="21" s="1"/>
  <c r="W173" i="21" a="1"/>
  <c r="W173" i="21" s="1"/>
  <c r="BE173" i="21" s="1"/>
  <c r="BV173" i="21" s="1"/>
  <c r="EL173" i="21" a="1"/>
  <c r="EL173" i="21" s="1"/>
  <c r="FB184" i="21" a="1"/>
  <c r="FB184" i="21" s="1"/>
  <c r="HC184" i="21" s="1"/>
  <c r="EK184" i="21" a="1"/>
  <c r="EK184" i="21" s="1"/>
  <c r="DC184" i="21" a="1"/>
  <c r="DC184" i="21" s="1"/>
  <c r="V184" i="21" a="1"/>
  <c r="V184" i="21" s="1"/>
  <c r="BD184" i="21" s="1"/>
  <c r="GA184" i="21" s="1"/>
  <c r="W168" i="21" a="1"/>
  <c r="W168" i="21" s="1"/>
  <c r="BE168" i="21" s="1"/>
  <c r="GB168" i="21" s="1"/>
  <c r="FC168" i="21" a="1"/>
  <c r="FC168" i="21" s="1"/>
  <c r="HD168" i="21" s="1"/>
  <c r="DD168" i="21" a="1"/>
  <c r="DD168" i="21" s="1"/>
  <c r="EL168" i="21" a="1"/>
  <c r="EL168" i="21" s="1"/>
  <c r="FB185" i="21" a="1"/>
  <c r="FB185" i="21" s="1"/>
  <c r="HC185" i="21" s="1"/>
  <c r="EK185" i="21" a="1"/>
  <c r="EK185" i="21" s="1"/>
  <c r="DC185" i="21" a="1"/>
  <c r="DC185" i="21" s="1"/>
  <c r="V185" i="21" a="1"/>
  <c r="V185" i="21" s="1"/>
  <c r="BD185" i="21" s="1"/>
  <c r="BU185" i="21" s="1"/>
  <c r="FE165" i="21" a="1"/>
  <c r="FE165" i="21" s="1"/>
  <c r="HF165" i="21" s="1"/>
  <c r="DF165" i="21" a="1"/>
  <c r="DF165" i="21" s="1"/>
  <c r="EN165" i="21" a="1"/>
  <c r="EN165" i="21" s="1"/>
  <c r="Y165" i="21" a="1"/>
  <c r="Y165" i="21" s="1"/>
  <c r="BG165" i="21" s="1"/>
  <c r="DF184" i="21" a="1"/>
  <c r="DF184" i="21" s="1"/>
  <c r="EN184" i="21" a="1"/>
  <c r="EN184" i="21" s="1"/>
  <c r="Y184" i="21" a="1"/>
  <c r="Y184" i="21" s="1"/>
  <c r="BG184" i="21" s="1"/>
  <c r="GD184" i="21" s="1"/>
  <c r="FE184" i="21" a="1"/>
  <c r="FE184" i="21" s="1"/>
  <c r="HF184" i="21" s="1"/>
  <c r="EN168" i="21" a="1"/>
  <c r="EN168" i="21" s="1"/>
  <c r="DF168" i="21" a="1"/>
  <c r="DF168" i="21" s="1"/>
  <c r="FE168" i="21" a="1"/>
  <c r="FE168" i="21" s="1"/>
  <c r="HF168" i="21" s="1"/>
  <c r="Y168" i="21" a="1"/>
  <c r="Y168" i="21" s="1"/>
  <c r="BG168" i="21" s="1"/>
  <c r="EL185" i="21" a="1"/>
  <c r="EL185" i="21" s="1"/>
  <c r="W185" i="21" a="1"/>
  <c r="W185" i="21" s="1"/>
  <c r="BE185" i="21" s="1"/>
  <c r="FC185" i="21" a="1"/>
  <c r="FC185" i="21" s="1"/>
  <c r="HD185" i="21" s="1"/>
  <c r="DD185" i="21" a="1"/>
  <c r="DD185" i="21" s="1"/>
  <c r="FD169" i="21" a="1"/>
  <c r="FD169" i="21" s="1"/>
  <c r="HE169" i="21" s="1"/>
  <c r="DE169" i="21" a="1"/>
  <c r="DE169" i="21" s="1"/>
  <c r="EM169" i="21" a="1"/>
  <c r="EM169" i="21" s="1"/>
  <c r="X169" i="21" a="1"/>
  <c r="X169" i="21" s="1"/>
  <c r="BF169" i="21" s="1"/>
  <c r="Y169" i="21" a="1"/>
  <c r="Y169" i="21" s="1"/>
  <c r="BG169" i="21" s="1"/>
  <c r="GD169" i="21" s="1"/>
  <c r="DF169" i="21" a="1"/>
  <c r="DF169" i="21" s="1"/>
  <c r="FE169" i="21" a="1"/>
  <c r="FE169" i="21" s="1"/>
  <c r="HF169" i="21" s="1"/>
  <c r="EN169" i="21" a="1"/>
  <c r="EN169" i="21" s="1"/>
  <c r="FZ114" i="21"/>
  <c r="FZ100" i="21"/>
  <c r="FZ71" i="21"/>
  <c r="HB74" i="21"/>
  <c r="HB145" i="21"/>
  <c r="FZ135" i="21"/>
  <c r="HB176" i="21"/>
  <c r="FZ184" i="21"/>
  <c r="HB96" i="21"/>
  <c r="HB158" i="21"/>
  <c r="FZ85" i="21"/>
  <c r="FZ121" i="21"/>
  <c r="HB94" i="21"/>
  <c r="FZ161" i="21"/>
  <c r="FZ73" i="21"/>
  <c r="FZ93" i="21"/>
  <c r="FZ152" i="21"/>
  <c r="FZ90" i="21"/>
  <c r="FZ167" i="21"/>
  <c r="FZ95" i="21"/>
  <c r="HB118" i="21"/>
  <c r="FZ107" i="21"/>
  <c r="FZ160" i="21"/>
  <c r="HB139" i="21"/>
  <c r="HB162" i="21"/>
  <c r="HB180" i="21"/>
  <c r="HB116" i="21"/>
  <c r="HB92" i="21"/>
  <c r="FZ179" i="21"/>
  <c r="FZ187" i="21"/>
  <c r="FZ101" i="21"/>
  <c r="HB97" i="21"/>
  <c r="HB132" i="21"/>
  <c r="FZ182" i="21"/>
  <c r="FZ80" i="21"/>
  <c r="HB164" i="21"/>
  <c r="HB98" i="21"/>
  <c r="FC175" i="21" a="1"/>
  <c r="FC175" i="21" s="1"/>
  <c r="HD175" i="21" s="1"/>
  <c r="EL175" i="21" a="1"/>
  <c r="EL175" i="21" s="1"/>
  <c r="W175" i="21" a="1"/>
  <c r="W175" i="21" s="1"/>
  <c r="BE175" i="21" s="1"/>
  <c r="BV175" i="21" s="1"/>
  <c r="DD175" i="21" a="1"/>
  <c r="DD175" i="21" s="1"/>
  <c r="FD188" i="21" a="1"/>
  <c r="FD188" i="21" s="1"/>
  <c r="HE188" i="21" s="1"/>
  <c r="EM188" i="21" a="1"/>
  <c r="EM188" i="21" s="1"/>
  <c r="DE188" i="21" a="1"/>
  <c r="DE188" i="21" s="1"/>
  <c r="X188" i="21" a="1"/>
  <c r="X188" i="21" s="1"/>
  <c r="BF188" i="21" s="1"/>
  <c r="DF181" i="21" a="1"/>
  <c r="DF181" i="21" s="1"/>
  <c r="EN181" i="21" a="1"/>
  <c r="EN181" i="21" s="1"/>
  <c r="FE181" i="21" a="1"/>
  <c r="FE181" i="21" s="1"/>
  <c r="HF181" i="21" s="1"/>
  <c r="Y181" i="21" a="1"/>
  <c r="Y181" i="21" s="1"/>
  <c r="BG181" i="21" s="1"/>
  <c r="BX181" i="21" s="1"/>
  <c r="EN175" i="21" a="1"/>
  <c r="EN175" i="21" s="1"/>
  <c r="Y175" i="21" a="1"/>
  <c r="Y175" i="21" s="1"/>
  <c r="BG175" i="21" s="1"/>
  <c r="GD175" i="21" s="1"/>
  <c r="FE175" i="21" a="1"/>
  <c r="FE175" i="21" s="1"/>
  <c r="HF175" i="21" s="1"/>
  <c r="DF175" i="21" a="1"/>
  <c r="DF175" i="21" s="1"/>
  <c r="DD174" i="21" a="1"/>
  <c r="DD174" i="21" s="1"/>
  <c r="EL174" i="21" a="1"/>
  <c r="EL174" i="21" s="1"/>
  <c r="FC174" i="21" a="1"/>
  <c r="FC174" i="21" s="1"/>
  <c r="HD174" i="21" s="1"/>
  <c r="W174" i="21" a="1"/>
  <c r="W174" i="21" s="1"/>
  <c r="BE174" i="21" s="1"/>
  <c r="BV174" i="21" s="1"/>
  <c r="Y173" i="21" a="1"/>
  <c r="Y173" i="21" s="1"/>
  <c r="BG173" i="21" s="1"/>
  <c r="GD173" i="21" s="1"/>
  <c r="DF173" i="21" a="1"/>
  <c r="DF173" i="21" s="1"/>
  <c r="EN173" i="21" a="1"/>
  <c r="EN173" i="21" s="1"/>
  <c r="FE173" i="21" a="1"/>
  <c r="FE173" i="21" s="1"/>
  <c r="HF173" i="21" s="1"/>
  <c r="X175" i="21" a="1"/>
  <c r="X175" i="21" s="1"/>
  <c r="BF175" i="21" s="1"/>
  <c r="BW175" i="21" s="1"/>
  <c r="EM175" i="21" a="1"/>
  <c r="EM175" i="21" s="1"/>
  <c r="FD175" i="21" a="1"/>
  <c r="FD175" i="21" s="1"/>
  <c r="HE175" i="21" s="1"/>
  <c r="DE175" i="21" a="1"/>
  <c r="DE175" i="21" s="1"/>
  <c r="EL181" i="21" a="1"/>
  <c r="EL181" i="21" s="1"/>
  <c r="DD181" i="21" a="1"/>
  <c r="DD181" i="21" s="1"/>
  <c r="W181" i="21" a="1"/>
  <c r="W181" i="21" s="1"/>
  <c r="BE181" i="21" s="1"/>
  <c r="GB181" i="21" s="1"/>
  <c r="FC181" i="21" a="1"/>
  <c r="FC181" i="21" s="1"/>
  <c r="HD181" i="21" s="1"/>
  <c r="X179" i="21" a="1"/>
  <c r="X179" i="21" s="1"/>
  <c r="BF179" i="21" s="1"/>
  <c r="BW179" i="21" s="1"/>
  <c r="EM179" i="21" a="1"/>
  <c r="EM179" i="21" s="1"/>
  <c r="FD179" i="21" a="1"/>
  <c r="FD179" i="21" s="1"/>
  <c r="HE179" i="21" s="1"/>
  <c r="DE179" i="21" a="1"/>
  <c r="DE179" i="21" s="1"/>
  <c r="Y174" i="21" a="1"/>
  <c r="Y174" i="21" s="1"/>
  <c r="BG174" i="21" s="1"/>
  <c r="GD174" i="21" s="1"/>
  <c r="FE174" i="21" a="1"/>
  <c r="FE174" i="21" s="1"/>
  <c r="HF174" i="21" s="1"/>
  <c r="DF174" i="21" a="1"/>
  <c r="DF174" i="21" s="1"/>
  <c r="EN174" i="21" a="1"/>
  <c r="EN174" i="21" s="1"/>
  <c r="DF179" i="21" a="1"/>
  <c r="DF179" i="21" s="1"/>
  <c r="FE179" i="21" a="1"/>
  <c r="FE179" i="21" s="1"/>
  <c r="HF179" i="21" s="1"/>
  <c r="Y179" i="21" a="1"/>
  <c r="Y179" i="21" s="1"/>
  <c r="BG179" i="21" s="1"/>
  <c r="GD179" i="21" s="1"/>
  <c r="EN179" i="21" a="1"/>
  <c r="EN179" i="21" s="1"/>
  <c r="EK175" i="21" a="1"/>
  <c r="EK175" i="21" s="1"/>
  <c r="DC175" i="21" a="1"/>
  <c r="DC175" i="21" s="1"/>
  <c r="FB175" i="21" a="1"/>
  <c r="FB175" i="21" s="1"/>
  <c r="HC175" i="21" s="1"/>
  <c r="V175" i="21" a="1"/>
  <c r="V175" i="21" s="1"/>
  <c r="BD175" i="21" s="1"/>
  <c r="GA175" i="21" s="1"/>
  <c r="FD174" i="21" a="1"/>
  <c r="FD174" i="21" s="1"/>
  <c r="HE174" i="21" s="1"/>
  <c r="X174" i="21" a="1"/>
  <c r="X174" i="21" s="1"/>
  <c r="BF174" i="21" s="1"/>
  <c r="GC174" i="21" s="1"/>
  <c r="DE174" i="21" a="1"/>
  <c r="DE174" i="21" s="1"/>
  <c r="EM174" i="21" a="1"/>
  <c r="EM174" i="21" s="1"/>
  <c r="AP172" i="21"/>
  <c r="AY172" i="21" s="1"/>
  <c r="AM176" i="21"/>
  <c r="AV176" i="21" s="1"/>
  <c r="AN172" i="21"/>
  <c r="AW172" i="21" s="1"/>
  <c r="AM187" i="21"/>
  <c r="AV187" i="21" s="1"/>
  <c r="AM186" i="21"/>
  <c r="AV186" i="21" s="1"/>
  <c r="AO182" i="21"/>
  <c r="AX182" i="21" s="1"/>
  <c r="AN187" i="21"/>
  <c r="AW187" i="21" s="1"/>
  <c r="AO186" i="21"/>
  <c r="AX186" i="21" s="1"/>
  <c r="AO176" i="21"/>
  <c r="AX176" i="21" s="1"/>
  <c r="AP187" i="21"/>
  <c r="AY187" i="21" s="1"/>
  <c r="AO185" i="21"/>
  <c r="AX185" i="21" s="1"/>
  <c r="AO183" i="21"/>
  <c r="AX183" i="21" s="1"/>
  <c r="AN188" i="21"/>
  <c r="AW188" i="21" s="1"/>
  <c r="AM183" i="21"/>
  <c r="AV183" i="21" s="1"/>
  <c r="AO172" i="21"/>
  <c r="AX172" i="21" s="1"/>
  <c r="AO181" i="21"/>
  <c r="AX181" i="21" s="1"/>
  <c r="FH186" i="21"/>
  <c r="FI183" i="21"/>
  <c r="AC176" i="21"/>
  <c r="BK176" i="21" s="1"/>
  <c r="FI186" i="21"/>
  <c r="DL176" i="21"/>
  <c r="DJ175" i="21"/>
  <c r="DK187" i="21"/>
  <c r="DN176" i="21"/>
  <c r="FM183" i="21"/>
  <c r="DJ187" i="21"/>
  <c r="AG186" i="21"/>
  <c r="BO186" i="21" s="1"/>
  <c r="AA179" i="21"/>
  <c r="BI179" i="21" s="1"/>
  <c r="DN172" i="21"/>
  <c r="DG179" i="21"/>
  <c r="AE172" i="21"/>
  <c r="BM172" i="21" s="1"/>
  <c r="AA184" i="21"/>
  <c r="BI184" i="21" s="1"/>
  <c r="AB176" i="21"/>
  <c r="BJ176" i="21" s="1"/>
  <c r="DM172" i="21"/>
  <c r="Z181" i="21"/>
  <c r="BH181" i="21" s="1"/>
  <c r="FJ172" i="21"/>
  <c r="DH183" i="21"/>
  <c r="Z183" i="21"/>
  <c r="BH183" i="21" s="1"/>
  <c r="Z172" i="21"/>
  <c r="BH172" i="21" s="1"/>
  <c r="FL186" i="21"/>
  <c r="FH181" i="21"/>
  <c r="DL179" i="21"/>
  <c r="AA172" i="21"/>
  <c r="BI172" i="21" s="1"/>
  <c r="AB186" i="21"/>
  <c r="BJ186" i="21" s="1"/>
  <c r="FI179" i="21"/>
  <c r="DJ172" i="21"/>
  <c r="DJ176" i="21"/>
  <c r="AC186" i="21"/>
  <c r="BK186" i="21" s="1"/>
  <c r="AD187" i="21"/>
  <c r="BL187" i="21" s="1"/>
  <c r="AC187" i="21"/>
  <c r="BK187" i="21" s="1"/>
  <c r="FM186" i="21"/>
  <c r="DH179" i="21"/>
  <c r="DI175" i="21"/>
  <c r="FT175" i="21" s="1"/>
  <c r="FJ183" i="21"/>
  <c r="FK172" i="21"/>
  <c r="DH184" i="21"/>
  <c r="FL179" i="21"/>
  <c r="DG181" i="21"/>
  <c r="AA183" i="21"/>
  <c r="BI183" i="21" s="1"/>
  <c r="FF183" i="21"/>
  <c r="FF172" i="21"/>
  <c r="AE179" i="21"/>
  <c r="BM179" i="21" s="1"/>
  <c r="FG172" i="21"/>
  <c r="AG176" i="21"/>
  <c r="BO176" i="21" s="1"/>
  <c r="Z179" i="21"/>
  <c r="BH179" i="21" s="1"/>
  <c r="DK172" i="21"/>
  <c r="AF186" i="21"/>
  <c r="BN186" i="21" s="1"/>
  <c r="DI181" i="21"/>
  <c r="FT181" i="21" s="1"/>
  <c r="DH172" i="21"/>
  <c r="AD172" i="21"/>
  <c r="BL172" i="21" s="1"/>
  <c r="DG172" i="21"/>
  <c r="DM186" i="21"/>
  <c r="AB181" i="21"/>
  <c r="BJ181" i="21" s="1"/>
  <c r="FK179" i="21"/>
  <c r="AG181" i="21"/>
  <c r="BO181" i="21" s="1"/>
  <c r="AC179" i="21"/>
  <c r="BK179" i="21" s="1"/>
  <c r="FK176" i="21"/>
  <c r="AB175" i="21"/>
  <c r="BJ175" i="21" s="1"/>
  <c r="DI186" i="21"/>
  <c r="FT186" i="21" s="1"/>
  <c r="AC175" i="21"/>
  <c r="BK175" i="21" s="1"/>
  <c r="FJ187" i="21"/>
  <c r="AG183" i="21"/>
  <c r="BO183" i="21" s="1"/>
  <c r="FG179" i="21"/>
  <c r="DK183" i="21"/>
  <c r="DI176" i="21"/>
  <c r="FT176" i="21" s="1"/>
  <c r="DK186" i="21"/>
  <c r="DK179" i="21"/>
  <c r="AF187" i="21"/>
  <c r="BN187" i="21" s="1"/>
  <c r="DK176" i="21"/>
  <c r="DN177" i="21"/>
  <c r="AB187" i="21"/>
  <c r="BJ187" i="21" s="1"/>
  <c r="DI183" i="21"/>
  <c r="FT183" i="21" s="1"/>
  <c r="DL186" i="21"/>
  <c r="DM183" i="21"/>
  <c r="AG187" i="21"/>
  <c r="BO187" i="21" s="1"/>
  <c r="AD186" i="21"/>
  <c r="BL186" i="21" s="1"/>
  <c r="AD179" i="21"/>
  <c r="BL179" i="21" s="1"/>
  <c r="DL183" i="21"/>
  <c r="FL181" i="21"/>
  <c r="Z187" i="21"/>
  <c r="BH187" i="21" s="1"/>
  <c r="DK181" i="21"/>
  <c r="FL187" i="21"/>
  <c r="DG186" i="21"/>
  <c r="DI179" i="21"/>
  <c r="FT179" i="21" s="1"/>
  <c r="FG186" i="21"/>
  <c r="FJ176" i="21"/>
  <c r="FM177" i="21"/>
  <c r="FH187" i="21"/>
  <c r="DH182" i="21"/>
  <c r="DL181" i="21"/>
  <c r="FK187" i="21"/>
  <c r="FB172" i="21"/>
  <c r="AB183" i="21"/>
  <c r="BJ183" i="21" s="1"/>
  <c r="AC181" i="21"/>
  <c r="BK181" i="21" s="1"/>
  <c r="AA176" i="21"/>
  <c r="BI176" i="21" s="1"/>
  <c r="AF183" i="21"/>
  <c r="BN183" i="21" s="1"/>
  <c r="DN187" i="21"/>
  <c r="FI184" i="21"/>
  <c r="FM181" i="21"/>
  <c r="AC172" i="21"/>
  <c r="BK172" i="21" s="1"/>
  <c r="DJ183" i="21"/>
  <c r="DJ186" i="21"/>
  <c r="DN183" i="21"/>
  <c r="AG172" i="21"/>
  <c r="BO172" i="21" s="1"/>
  <c r="DM179" i="21"/>
  <c r="AF172" i="21"/>
  <c r="BN172" i="21" s="1"/>
  <c r="DJ179" i="21"/>
  <c r="FI176" i="21"/>
  <c r="FM172" i="21"/>
  <c r="FF179" i="21"/>
  <c r="AF179" i="21"/>
  <c r="BN179" i="21" s="1"/>
  <c r="FF181" i="21"/>
  <c r="FG183" i="21"/>
  <c r="DG183" i="21"/>
  <c r="DG187" i="21"/>
  <c r="FG187" i="21"/>
  <c r="AA182" i="21"/>
  <c r="BI182" i="21" s="1"/>
  <c r="V172" i="21"/>
  <c r="BD172" i="21" s="1"/>
  <c r="DG176" i="21"/>
  <c r="DM181" i="21"/>
  <c r="AD181" i="21"/>
  <c r="BL181" i="21" s="1"/>
  <c r="FH179" i="21"/>
  <c r="AB172" i="21"/>
  <c r="BJ172" i="21" s="1"/>
  <c r="DH186" i="21"/>
  <c r="AD176" i="21"/>
  <c r="BL176" i="21" s="1"/>
  <c r="DH187" i="21"/>
  <c r="FK181" i="21"/>
  <c r="DL187" i="21"/>
  <c r="FK186" i="21"/>
  <c r="FI181" i="21"/>
  <c r="DH176" i="21"/>
  <c r="AG175" i="21"/>
  <c r="BO175" i="21" s="1"/>
  <c r="FL176" i="21"/>
  <c r="DJ184" i="21"/>
  <c r="FF176" i="21"/>
  <c r="FI175" i="21"/>
  <c r="DN186" i="21"/>
  <c r="AD183" i="21"/>
  <c r="BL183" i="21" s="1"/>
  <c r="DL172" i="21"/>
  <c r="FH176" i="21"/>
  <c r="FI172" i="21"/>
  <c r="AC183" i="21"/>
  <c r="BK183" i="21" s="1"/>
  <c r="AE176" i="21"/>
  <c r="BM176" i="21" s="1"/>
  <c r="FM176" i="21"/>
  <c r="FI187" i="21"/>
  <c r="FH175" i="21"/>
  <c r="FG184" i="21"/>
  <c r="FL172" i="21"/>
  <c r="AE183" i="21"/>
  <c r="BM183" i="21" s="1"/>
  <c r="Z186" i="21"/>
  <c r="BH186" i="21" s="1"/>
  <c r="DI172" i="21"/>
  <c r="FT172" i="21" s="1"/>
  <c r="DJ181" i="21"/>
  <c r="DN175" i="21"/>
  <c r="AF176" i="21"/>
  <c r="BN176" i="21" s="1"/>
  <c r="FJ186" i="21"/>
  <c r="FJ179" i="21"/>
  <c r="FK183" i="21"/>
  <c r="AF181" i="21"/>
  <c r="BN181" i="21" s="1"/>
  <c r="FF187" i="21"/>
  <c r="FJ181" i="21"/>
  <c r="DM187" i="21"/>
  <c r="FF186" i="21"/>
  <c r="AB179" i="21"/>
  <c r="BJ179" i="21" s="1"/>
  <c r="FH172" i="21"/>
  <c r="AA186" i="21"/>
  <c r="BI186" i="21" s="1"/>
  <c r="AG177" i="21"/>
  <c r="BO177" i="21" s="1"/>
  <c r="DI187" i="21"/>
  <c r="FT187" i="21" s="1"/>
  <c r="AA187" i="21"/>
  <c r="BI187" i="21" s="1"/>
  <c r="FG182" i="21"/>
  <c r="AE181" i="21"/>
  <c r="BM181" i="21" s="1"/>
  <c r="AE187" i="21"/>
  <c r="BM187" i="21" s="1"/>
  <c r="DC172" i="21"/>
  <c r="AM172" i="21" s="1"/>
  <c r="FH183" i="21"/>
  <c r="AE186" i="21"/>
  <c r="BM186" i="21" s="1"/>
  <c r="FG176" i="21"/>
  <c r="FM175" i="21"/>
  <c r="FL183" i="21"/>
  <c r="DM176" i="21"/>
  <c r="FM187" i="21"/>
  <c r="AC184" i="21"/>
  <c r="BK184" i="21" s="1"/>
  <c r="DN181" i="21"/>
  <c r="Z176" i="21"/>
  <c r="BH176" i="21" s="1"/>
  <c r="GB183" i="21"/>
  <c r="BV183" i="21"/>
  <c r="GC176" i="21"/>
  <c r="BW176" i="21"/>
  <c r="GA187" i="21"/>
  <c r="BU187" i="21"/>
  <c r="GB188" i="21"/>
  <c r="BV188" i="21"/>
  <c r="BU186" i="21"/>
  <c r="GA186" i="21"/>
  <c r="AM179" i="21"/>
  <c r="AN183" i="21"/>
  <c r="BX187" i="21"/>
  <c r="GD187" i="21"/>
  <c r="GC185" i="21"/>
  <c r="BW185" i="21"/>
  <c r="BW186" i="21"/>
  <c r="GC186" i="21"/>
  <c r="GC182" i="21"/>
  <c r="BW182" i="21"/>
  <c r="AP186" i="21"/>
  <c r="BU181" i="21"/>
  <c r="GA181" i="21"/>
  <c r="AN179" i="21"/>
  <c r="GC183" i="21"/>
  <c r="BW183" i="21"/>
  <c r="BU179" i="21"/>
  <c r="GA179" i="21"/>
  <c r="BW187" i="21"/>
  <c r="GC187" i="21"/>
  <c r="AO187" i="21"/>
  <c r="GB187" i="21"/>
  <c r="BV187" i="21"/>
  <c r="BV176" i="21"/>
  <c r="GB176" i="21"/>
  <c r="GD186" i="21"/>
  <c r="BX186" i="21"/>
  <c r="AP164" i="21"/>
  <c r="AY164" i="21" s="1"/>
  <c r="AN176" i="21"/>
  <c r="GC181" i="21"/>
  <c r="BW181" i="21"/>
  <c r="AP183" i="21"/>
  <c r="BU183" i="21"/>
  <c r="GA183" i="21"/>
  <c r="BW172" i="21"/>
  <c r="GC172" i="21"/>
  <c r="BV172" i="21"/>
  <c r="GB172" i="21"/>
  <c r="AN186" i="21"/>
  <c r="AM181" i="21"/>
  <c r="GD176" i="21"/>
  <c r="BX176" i="21"/>
  <c r="BX172" i="21"/>
  <c r="GD172" i="21"/>
  <c r="GB179" i="21"/>
  <c r="BV179" i="21"/>
  <c r="AP166" i="21"/>
  <c r="AY166" i="21" s="1"/>
  <c r="GD183" i="21"/>
  <c r="BX183" i="21"/>
  <c r="GA176" i="21"/>
  <c r="BU176" i="21"/>
  <c r="GB186" i="21"/>
  <c r="BV186" i="21"/>
  <c r="X119" i="21"/>
  <c r="BF119" i="21" s="1"/>
  <c r="FH164" i="21"/>
  <c r="DM143" i="21"/>
  <c r="DN121" i="21"/>
  <c r="FE95" i="21"/>
  <c r="FD126" i="21"/>
  <c r="FH102" i="21"/>
  <c r="FD146" i="21"/>
  <c r="DL147" i="21"/>
  <c r="V109" i="21"/>
  <c r="BD109" i="21" s="1"/>
  <c r="Y102" i="21"/>
  <c r="BG102" i="21" s="1"/>
  <c r="DE119" i="21"/>
  <c r="AF143" i="21"/>
  <c r="BN143" i="21" s="1"/>
  <c r="FJ92" i="21"/>
  <c r="AD129" i="21"/>
  <c r="BL129" i="21" s="1"/>
  <c r="FD154" i="21"/>
  <c r="FH97" i="21"/>
  <c r="FD151" i="21"/>
  <c r="AE147" i="21"/>
  <c r="BM147" i="21" s="1"/>
  <c r="AC118" i="21"/>
  <c r="BK118" i="21" s="1"/>
  <c r="AF135" i="21"/>
  <c r="BN135" i="21" s="1"/>
  <c r="Y108" i="21"/>
  <c r="BG108" i="21" s="1"/>
  <c r="DF161" i="21"/>
  <c r="AP161" i="21" s="1"/>
  <c r="AD127" i="21"/>
  <c r="BL127" i="21" s="1"/>
  <c r="DI108" i="21"/>
  <c r="FT108" i="21" s="1"/>
  <c r="FK107" i="21"/>
  <c r="V164" i="21"/>
  <c r="BD164" i="21" s="1"/>
  <c r="DG107" i="21"/>
  <c r="FI108" i="21"/>
  <c r="V122" i="21"/>
  <c r="BD122" i="21" s="1"/>
  <c r="AG95" i="21"/>
  <c r="BO95" i="21" s="1"/>
  <c r="DF142" i="21"/>
  <c r="AP142" i="21" s="1"/>
  <c r="FB97" i="21"/>
  <c r="DH100" i="21"/>
  <c r="AD92" i="21"/>
  <c r="BL92" i="21" s="1"/>
  <c r="FK92" i="21"/>
  <c r="DH101" i="21"/>
  <c r="FG118" i="21"/>
  <c r="DD117" i="21"/>
  <c r="FE102" i="21"/>
  <c r="AC114" i="21"/>
  <c r="BK114" i="21" s="1"/>
  <c r="AE92" i="21"/>
  <c r="BM92" i="21" s="1"/>
  <c r="DI100" i="21"/>
  <c r="FT100" i="21" s="1"/>
  <c r="W110" i="21"/>
  <c r="BE110" i="21" s="1"/>
  <c r="AA118" i="21"/>
  <c r="BI118" i="21" s="1"/>
  <c r="AG136" i="21"/>
  <c r="BO136" i="21" s="1"/>
  <c r="AB127" i="21"/>
  <c r="BJ127" i="21" s="1"/>
  <c r="DG171" i="21"/>
  <c r="FG110" i="21"/>
  <c r="AE104" i="21"/>
  <c r="BM104" i="21" s="1"/>
  <c r="AG107" i="21"/>
  <c r="BO107" i="21" s="1"/>
  <c r="FE161" i="21"/>
  <c r="X100" i="21"/>
  <c r="BF100" i="21" s="1"/>
  <c r="AB101" i="21"/>
  <c r="BJ101" i="21" s="1"/>
  <c r="FI111" i="21"/>
  <c r="AF164" i="21"/>
  <c r="BN164" i="21" s="1"/>
  <c r="AG103" i="21"/>
  <c r="BO103" i="21" s="1"/>
  <c r="Z136" i="21"/>
  <c r="BH136" i="21" s="1"/>
  <c r="DD97" i="21"/>
  <c r="FG106" i="21"/>
  <c r="FH125" i="21"/>
  <c r="AA127" i="21"/>
  <c r="BI127" i="21" s="1"/>
  <c r="FB101" i="21"/>
  <c r="FH100" i="21"/>
  <c r="DH129" i="21"/>
  <c r="V101" i="21"/>
  <c r="BD101" i="21" s="1"/>
  <c r="FG136" i="21"/>
  <c r="FB122" i="21"/>
  <c r="FM95" i="21"/>
  <c r="DJ114" i="21"/>
  <c r="DC119" i="21"/>
  <c r="DL92" i="21"/>
  <c r="X161" i="21"/>
  <c r="BF161" i="21" s="1"/>
  <c r="FD136" i="21"/>
  <c r="FG138" i="21"/>
  <c r="DM161" i="21"/>
  <c r="DN136" i="21"/>
  <c r="Z126" i="21"/>
  <c r="BH126" i="21" s="1"/>
  <c r="DI127" i="21"/>
  <c r="FT127" i="21" s="1"/>
  <c r="W162" i="21"/>
  <c r="BE162" i="21" s="1"/>
  <c r="Y106" i="21"/>
  <c r="BG106" i="21" s="1"/>
  <c r="DL104" i="21"/>
  <c r="FD100" i="21"/>
  <c r="DD126" i="21"/>
  <c r="FH101" i="21"/>
  <c r="DJ111" i="21"/>
  <c r="FL164" i="21"/>
  <c r="FG121" i="21"/>
  <c r="W101" i="21"/>
  <c r="BE101" i="21" s="1"/>
  <c r="AB129" i="21"/>
  <c r="BJ129" i="21" s="1"/>
  <c r="V127" i="21"/>
  <c r="BD127" i="21" s="1"/>
  <c r="FB109" i="21"/>
  <c r="Z107" i="21"/>
  <c r="BH107" i="21" s="1"/>
  <c r="FG101" i="21"/>
  <c r="DI125" i="21"/>
  <c r="FT125" i="21" s="1"/>
  <c r="DH106" i="21"/>
  <c r="AA101" i="21"/>
  <c r="BI101" i="21" s="1"/>
  <c r="DM95" i="21"/>
  <c r="AE167" i="21"/>
  <c r="BM167" i="21" s="1"/>
  <c r="AF161" i="21"/>
  <c r="BN161" i="21" s="1"/>
  <c r="AA136" i="21"/>
  <c r="BI136" i="21" s="1"/>
  <c r="FC104" i="21"/>
  <c r="FM126" i="21"/>
  <c r="DD110" i="21"/>
  <c r="X136" i="21"/>
  <c r="BF136" i="21" s="1"/>
  <c r="W116" i="21"/>
  <c r="BE116" i="21" s="1"/>
  <c r="AC108" i="21"/>
  <c r="BK108" i="21" s="1"/>
  <c r="FG127" i="21"/>
  <c r="DH110" i="21"/>
  <c r="DI164" i="21"/>
  <c r="FT164" i="21" s="1"/>
  <c r="FM107" i="21"/>
  <c r="Y95" i="21"/>
  <c r="BG95" i="21" s="1"/>
  <c r="FE155" i="21"/>
  <c r="DH114" i="21"/>
  <c r="AF126" i="21"/>
  <c r="BN126" i="21" s="1"/>
  <c r="DD104" i="21"/>
  <c r="FL95" i="21"/>
  <c r="FK167" i="21"/>
  <c r="FM102" i="21"/>
  <c r="DG121" i="21"/>
  <c r="AA129" i="21"/>
  <c r="BI129" i="21" s="1"/>
  <c r="AA100" i="21"/>
  <c r="BI100" i="21" s="1"/>
  <c r="DD129" i="21"/>
  <c r="DC164" i="21"/>
  <c r="AM164" i="21" s="1"/>
  <c r="W117" i="21"/>
  <c r="BE117" i="21" s="1"/>
  <c r="FF171" i="21"/>
  <c r="V97" i="21"/>
  <c r="BD97" i="21" s="1"/>
  <c r="FF121" i="21"/>
  <c r="AA138" i="21"/>
  <c r="BI138" i="21" s="1"/>
  <c r="FM136" i="21"/>
  <c r="AG126" i="21"/>
  <c r="BO126" i="21" s="1"/>
  <c r="W97" i="21"/>
  <c r="BE97" i="21" s="1"/>
  <c r="AG102" i="21"/>
  <c r="BO102" i="21" s="1"/>
  <c r="FB119" i="21"/>
  <c r="FF107" i="21"/>
  <c r="DE161" i="21"/>
  <c r="AO161" i="21" s="1"/>
  <c r="DE136" i="21"/>
  <c r="AO136" i="21" s="1"/>
  <c r="FC116" i="21"/>
  <c r="DC109" i="21"/>
  <c r="AB125" i="21"/>
  <c r="BJ125" i="21" s="1"/>
  <c r="Y142" i="21"/>
  <c r="BG142" i="21" s="1"/>
  <c r="FF126" i="21"/>
  <c r="DH127" i="21"/>
  <c r="FC129" i="21"/>
  <c r="DD162" i="21"/>
  <c r="AN162" i="21" s="1"/>
  <c r="FD119" i="21"/>
  <c r="FE106" i="21"/>
  <c r="AG121" i="21"/>
  <c r="BO121" i="21" s="1"/>
  <c r="FC136" i="21"/>
  <c r="Y155" i="21"/>
  <c r="BG155" i="21" s="1"/>
  <c r="AA114" i="21"/>
  <c r="BI114" i="21" s="1"/>
  <c r="DC106" i="21"/>
  <c r="DM132" i="21"/>
  <c r="FL126" i="21"/>
  <c r="FF154" i="21"/>
  <c r="DE100" i="21"/>
  <c r="W136" i="21"/>
  <c r="BE136" i="21" s="1"/>
  <c r="DF155" i="21"/>
  <c r="AP155" i="21" s="1"/>
  <c r="FG114" i="21"/>
  <c r="V106" i="21"/>
  <c r="BD106" i="21" s="1"/>
  <c r="DL107" i="21"/>
  <c r="DM135" i="21"/>
  <c r="DD101" i="21"/>
  <c r="FF136" i="21"/>
  <c r="DK154" i="21"/>
  <c r="AE103" i="21"/>
  <c r="BM103" i="21" s="1"/>
  <c r="AC121" i="21"/>
  <c r="BK121" i="21" s="1"/>
  <c r="X95" i="21"/>
  <c r="BF95" i="21" s="1"/>
  <c r="DN154" i="21"/>
  <c r="DK168" i="21"/>
  <c r="DM151" i="21"/>
  <c r="V147" i="21"/>
  <c r="BD147" i="21" s="1"/>
  <c r="DG161" i="21"/>
  <c r="DD118" i="21"/>
  <c r="DC144" i="21"/>
  <c r="AM144" i="21" s="1"/>
  <c r="DI157" i="21"/>
  <c r="FT157" i="21" s="1"/>
  <c r="DE108" i="21"/>
  <c r="FB154" i="21"/>
  <c r="DF109" i="21"/>
  <c r="Y101" i="21"/>
  <c r="BG101" i="21" s="1"/>
  <c r="DM103" i="21"/>
  <c r="FC97" i="21"/>
  <c r="DC122" i="21"/>
  <c r="FI114" i="21"/>
  <c r="DN102" i="21"/>
  <c r="V119" i="21"/>
  <c r="BD119" i="21" s="1"/>
  <c r="FB164" i="21"/>
  <c r="AA106" i="21"/>
  <c r="BI106" i="21" s="1"/>
  <c r="W104" i="21"/>
  <c r="BE104" i="21" s="1"/>
  <c r="Z121" i="21"/>
  <c r="BH121" i="21" s="1"/>
  <c r="DN95" i="21"/>
  <c r="FD161" i="21"/>
  <c r="DN126" i="21"/>
  <c r="AB100" i="21"/>
  <c r="BJ100" i="21" s="1"/>
  <c r="FC110" i="21"/>
  <c r="FG129" i="21"/>
  <c r="DD116" i="21"/>
  <c r="DH138" i="21"/>
  <c r="DJ108" i="21"/>
  <c r="AF95" i="21"/>
  <c r="BN95" i="21" s="1"/>
  <c r="FL161" i="21"/>
  <c r="DH118" i="21"/>
  <c r="DC101" i="21"/>
  <c r="FE142" i="21"/>
  <c r="DG126" i="21"/>
  <c r="FG100" i="21"/>
  <c r="FH127" i="21"/>
  <c r="DH136" i="21"/>
  <c r="FC117" i="21"/>
  <c r="DL167" i="21"/>
  <c r="W129" i="21"/>
  <c r="BE129" i="21" s="1"/>
  <c r="Z171" i="21"/>
  <c r="BH171" i="21" s="1"/>
  <c r="AA110" i="21"/>
  <c r="BI110" i="21" s="1"/>
  <c r="FC162" i="21"/>
  <c r="DC97" i="21"/>
  <c r="DF102" i="21"/>
  <c r="AB164" i="21"/>
  <c r="BJ164" i="21" s="1"/>
  <c r="FL143" i="21"/>
  <c r="DF106" i="21"/>
  <c r="FK104" i="21"/>
  <c r="FM121" i="21"/>
  <c r="DN107" i="21"/>
  <c r="DK92" i="21"/>
  <c r="DF95" i="21"/>
  <c r="Y161" i="21"/>
  <c r="BG161" i="21" s="1"/>
  <c r="X126" i="21"/>
  <c r="BF126" i="21" s="1"/>
  <c r="DK127" i="21"/>
  <c r="DD136" i="21"/>
  <c r="DK129" i="21"/>
  <c r="AB108" i="21"/>
  <c r="BJ108" i="21" s="1"/>
  <c r="FC126" i="21"/>
  <c r="DE154" i="21"/>
  <c r="AO154" i="21" s="1"/>
  <c r="AB97" i="21"/>
  <c r="BJ97" i="21" s="1"/>
  <c r="AC111" i="21"/>
  <c r="BK111" i="21" s="1"/>
  <c r="AB102" i="21"/>
  <c r="BJ102" i="21" s="1"/>
  <c r="DM164" i="21"/>
  <c r="DN103" i="21"/>
  <c r="FB106" i="21"/>
  <c r="X146" i="21"/>
  <c r="BF146" i="21" s="1"/>
  <c r="DH121" i="21"/>
  <c r="FL132" i="21"/>
  <c r="DE151" i="21"/>
  <c r="AO151" i="21" s="1"/>
  <c r="AE107" i="21"/>
  <c r="BM107" i="21" s="1"/>
  <c r="FK147" i="21"/>
  <c r="FI118" i="21"/>
  <c r="FL135" i="21"/>
  <c r="FC101" i="21"/>
  <c r="DG136" i="21"/>
  <c r="FH129" i="21"/>
  <c r="FC91" i="21"/>
  <c r="DF108" i="21"/>
  <c r="DC100" i="21"/>
  <c r="DC127" i="21"/>
  <c r="Z154" i="21"/>
  <c r="BH154" i="21" s="1"/>
  <c r="DM108" i="21"/>
  <c r="DI155" i="21"/>
  <c r="FT155" i="21" s="1"/>
  <c r="FJ154" i="21"/>
  <c r="DD149" i="21"/>
  <c r="AN149" i="21" s="1"/>
  <c r="Z122" i="21"/>
  <c r="BH122" i="21" s="1"/>
  <c r="V114" i="21"/>
  <c r="BD114" i="21" s="1"/>
  <c r="DJ164" i="21"/>
  <c r="FK131" i="21"/>
  <c r="DF104" i="21"/>
  <c r="DL121" i="21"/>
  <c r="AF107" i="21"/>
  <c r="BN107" i="21" s="1"/>
  <c r="DJ162" i="21"/>
  <c r="FK97" i="21"/>
  <c r="AA149" i="21"/>
  <c r="BI149" i="21" s="1"/>
  <c r="AG122" i="21"/>
  <c r="BO122" i="21" s="1"/>
  <c r="DL164" i="21"/>
  <c r="AC166" i="21"/>
  <c r="BK166" i="21" s="1"/>
  <c r="AA103" i="21"/>
  <c r="BI103" i="21" s="1"/>
  <c r="DJ104" i="21"/>
  <c r="DL151" i="21"/>
  <c r="X107" i="21"/>
  <c r="BF107" i="21" s="1"/>
  <c r="DJ147" i="21"/>
  <c r="DG113" i="21"/>
  <c r="DE139" i="21"/>
  <c r="AE170" i="21"/>
  <c r="BM170" i="21" s="1"/>
  <c r="Y118" i="21"/>
  <c r="BG118" i="21" s="1"/>
  <c r="AC138" i="21"/>
  <c r="BK138" i="21" s="1"/>
  <c r="DK97" i="21"/>
  <c r="FF149" i="21"/>
  <c r="Y122" i="21"/>
  <c r="BG122" i="21" s="1"/>
  <c r="DD164" i="21"/>
  <c r="AN164" i="21" s="1"/>
  <c r="Y103" i="21"/>
  <c r="BG103" i="21" s="1"/>
  <c r="DH134" i="21"/>
  <c r="DD151" i="21"/>
  <c r="AN151" i="21" s="1"/>
  <c r="FG107" i="21"/>
  <c r="DK96" i="21"/>
  <c r="DK147" i="21"/>
  <c r="DC161" i="21"/>
  <c r="AM161" i="21" s="1"/>
  <c r="DD139" i="21"/>
  <c r="AN139" i="21" s="1"/>
  <c r="FD118" i="21"/>
  <c r="DG100" i="21"/>
  <c r="FD122" i="21"/>
  <c r="DC102" i="21"/>
  <c r="DH119" i="21"/>
  <c r="AA164" i="21"/>
  <c r="BI164" i="21" s="1"/>
  <c r="DE103" i="21"/>
  <c r="AG131" i="21"/>
  <c r="BO131" i="21" s="1"/>
  <c r="AB104" i="21"/>
  <c r="BJ104" i="21" s="1"/>
  <c r="AB107" i="21"/>
  <c r="BJ107" i="21" s="1"/>
  <c r="FG92" i="21"/>
  <c r="AB147" i="21"/>
  <c r="BJ147" i="21" s="1"/>
  <c r="FC95" i="21"/>
  <c r="FD120" i="21"/>
  <c r="DI148" i="21"/>
  <c r="FT148" i="21" s="1"/>
  <c r="DK161" i="21"/>
  <c r="AD170" i="21"/>
  <c r="BL170" i="21" s="1"/>
  <c r="FK101" i="21"/>
  <c r="DG97" i="21"/>
  <c r="DM149" i="21"/>
  <c r="DD122" i="21"/>
  <c r="AF102" i="21"/>
  <c r="BN102" i="21" s="1"/>
  <c r="FG104" i="21"/>
  <c r="DG92" i="21"/>
  <c r="AA147" i="21"/>
  <c r="BI147" i="21" s="1"/>
  <c r="DK95" i="21"/>
  <c r="AB165" i="21"/>
  <c r="BJ165" i="21" s="1"/>
  <c r="Y126" i="21"/>
  <c r="BG126" i="21" s="1"/>
  <c r="DF100" i="21"/>
  <c r="AF127" i="21"/>
  <c r="BN127" i="21" s="1"/>
  <c r="DJ154" i="21"/>
  <c r="DM150" i="21"/>
  <c r="FH138" i="21"/>
  <c r="FE139" i="21"/>
  <c r="DJ127" i="21"/>
  <c r="FB158" i="21"/>
  <c r="Y127" i="21"/>
  <c r="BG127" i="21" s="1"/>
  <c r="DC168" i="21"/>
  <c r="AM168" i="21" s="1"/>
  <c r="FD105" i="21"/>
  <c r="DG127" i="21"/>
  <c r="V136" i="21"/>
  <c r="BD136" i="21" s="1"/>
  <c r="FK108" i="21"/>
  <c r="AF108" i="21"/>
  <c r="BN108" i="21" s="1"/>
  <c r="AB155" i="21"/>
  <c r="BJ155" i="21" s="1"/>
  <c r="AD154" i="21"/>
  <c r="BL154" i="21" s="1"/>
  <c r="W149" i="21"/>
  <c r="BE149" i="21" s="1"/>
  <c r="DG122" i="21"/>
  <c r="DC114" i="21"/>
  <c r="DE106" i="21"/>
  <c r="AE131" i="21"/>
  <c r="BM131" i="21" s="1"/>
  <c r="Y104" i="21"/>
  <c r="BG104" i="21" s="1"/>
  <c r="DM107" i="21"/>
  <c r="AC162" i="21"/>
  <c r="BK162" i="21" s="1"/>
  <c r="DH149" i="21"/>
  <c r="FK102" i="21"/>
  <c r="FK164" i="21"/>
  <c r="FI166" i="21"/>
  <c r="AC104" i="21"/>
  <c r="BK104" i="21" s="1"/>
  <c r="AE151" i="21"/>
  <c r="BM151" i="21" s="1"/>
  <c r="DE107" i="21"/>
  <c r="AC147" i="21"/>
  <c r="BK147" i="21" s="1"/>
  <c r="FK161" i="21"/>
  <c r="DL170" i="21"/>
  <c r="FK100" i="21"/>
  <c r="FI138" i="21"/>
  <c r="Z149" i="21"/>
  <c r="BH149" i="21" s="1"/>
  <c r="FC102" i="21"/>
  <c r="W164" i="21"/>
  <c r="BE164" i="21" s="1"/>
  <c r="DF103" i="21"/>
  <c r="DK104" i="21"/>
  <c r="W151" i="21"/>
  <c r="BE151" i="21" s="1"/>
  <c r="FJ147" i="21"/>
  <c r="V161" i="21"/>
  <c r="BD161" i="21" s="1"/>
  <c r="W139" i="21"/>
  <c r="BE139" i="21" s="1"/>
  <c r="DJ158" i="21"/>
  <c r="FG97" i="21"/>
  <c r="FI149" i="21"/>
  <c r="DH164" i="21"/>
  <c r="DN131" i="21"/>
  <c r="FH104" i="21"/>
  <c r="AD151" i="21"/>
  <c r="BL151" i="21" s="1"/>
  <c r="DI107" i="21"/>
  <c r="FT107" i="21" s="1"/>
  <c r="FH147" i="21"/>
  <c r="AB148" i="21"/>
  <c r="BJ148" i="21" s="1"/>
  <c r="AD161" i="21"/>
  <c r="BL161" i="21" s="1"/>
  <c r="FJ170" i="21"/>
  <c r="FH126" i="21"/>
  <c r="FC105" i="21"/>
  <c r="Z164" i="21"/>
  <c r="BH164" i="21" s="1"/>
  <c r="W103" i="21"/>
  <c r="BE103" i="21" s="1"/>
  <c r="AA104" i="21"/>
  <c r="BI104" i="21" s="1"/>
  <c r="V151" i="21"/>
  <c r="BD151" i="21" s="1"/>
  <c r="W107" i="21"/>
  <c r="BE107" i="21" s="1"/>
  <c r="FG147" i="21"/>
  <c r="FC161" i="21"/>
  <c r="FH165" i="21"/>
  <c r="DF126" i="21"/>
  <c r="AP126" i="21" s="1"/>
  <c r="Y100" i="21"/>
  <c r="BG100" i="21" s="1"/>
  <c r="FL127" i="21"/>
  <c r="FE136" i="21"/>
  <c r="AB138" i="21"/>
  <c r="BJ138" i="21" s="1"/>
  <c r="FJ108" i="21"/>
  <c r="X92" i="21"/>
  <c r="BF92" i="21" s="1"/>
  <c r="Y139" i="21"/>
  <c r="BG139" i="21" s="1"/>
  <c r="AC127" i="21"/>
  <c r="BK127" i="21" s="1"/>
  <c r="V158" i="21"/>
  <c r="BD158" i="21" s="1"/>
  <c r="DF127" i="21"/>
  <c r="AP127" i="21" s="1"/>
  <c r="DD154" i="21"/>
  <c r="AN154" i="21" s="1"/>
  <c r="FE150" i="21"/>
  <c r="V168" i="21"/>
  <c r="BD168" i="21" s="1"/>
  <c r="X105" i="21"/>
  <c r="BF105" i="21" s="1"/>
  <c r="Z127" i="21"/>
  <c r="BH127" i="21" s="1"/>
  <c r="DC136" i="21"/>
  <c r="W91" i="21"/>
  <c r="BE91" i="21" s="1"/>
  <c r="FB100" i="21"/>
  <c r="FH155" i="21"/>
  <c r="FI164" i="21"/>
  <c r="X106" i="21"/>
  <c r="BF106" i="21" s="1"/>
  <c r="FK121" i="21"/>
  <c r="AE97" i="21"/>
  <c r="BM97" i="21" s="1"/>
  <c r="FM122" i="21"/>
  <c r="AE102" i="21"/>
  <c r="BM102" i="21" s="1"/>
  <c r="AE164" i="21"/>
  <c r="BM164" i="21" s="1"/>
  <c r="DJ166" i="21"/>
  <c r="FG103" i="21"/>
  <c r="FF113" i="21"/>
  <c r="DL161" i="21"/>
  <c r="FD139" i="21"/>
  <c r="FE118" i="21"/>
  <c r="AE100" i="21"/>
  <c r="BM100" i="21" s="1"/>
  <c r="FJ97" i="21"/>
  <c r="FE122" i="21"/>
  <c r="W102" i="21"/>
  <c r="BE102" i="21" s="1"/>
  <c r="FJ104" i="21"/>
  <c r="FG134" i="21"/>
  <c r="AA107" i="21"/>
  <c r="BI107" i="21" s="1"/>
  <c r="FJ96" i="21"/>
  <c r="AD147" i="21"/>
  <c r="BL147" i="21" s="1"/>
  <c r="X118" i="21"/>
  <c r="BF118" i="21" s="1"/>
  <c r="FF100" i="21"/>
  <c r="AC158" i="21"/>
  <c r="BK158" i="21" s="1"/>
  <c r="AA97" i="21"/>
  <c r="BI97" i="21" s="1"/>
  <c r="AC149" i="21"/>
  <c r="BK149" i="21" s="1"/>
  <c r="X122" i="21"/>
  <c r="BF122" i="21" s="1"/>
  <c r="FB102" i="21"/>
  <c r="FG119" i="21"/>
  <c r="FD103" i="21"/>
  <c r="DI104" i="21"/>
  <c r="FT104" i="21" s="1"/>
  <c r="FJ151" i="21"/>
  <c r="AA92" i="21"/>
  <c r="BI92" i="21" s="1"/>
  <c r="W95" i="21"/>
  <c r="BE95" i="21" s="1"/>
  <c r="X120" i="21"/>
  <c r="BF120" i="21" s="1"/>
  <c r="AB126" i="21"/>
  <c r="BJ126" i="21" s="1"/>
  <c r="AE101" i="21"/>
  <c r="BM101" i="21" s="1"/>
  <c r="W105" i="21"/>
  <c r="BE105" i="21" s="1"/>
  <c r="FF97" i="21"/>
  <c r="FL149" i="21"/>
  <c r="FC122" i="21"/>
  <c r="FL102" i="21"/>
  <c r="FF164" i="21"/>
  <c r="FC103" i="21"/>
  <c r="FB151" i="21"/>
  <c r="FC107" i="21"/>
  <c r="FF92" i="21"/>
  <c r="FJ95" i="21"/>
  <c r="DD161" i="21"/>
  <c r="AN161" i="21" s="1"/>
  <c r="Y136" i="21"/>
  <c r="BG136" i="21" s="1"/>
  <c r="FI154" i="21"/>
  <c r="FL150" i="21"/>
  <c r="DK108" i="21"/>
  <c r="FD92" i="21"/>
  <c r="DC158" i="21"/>
  <c r="AM158" i="21" s="1"/>
  <c r="W154" i="21"/>
  <c r="BE154" i="21" s="1"/>
  <c r="Y150" i="21"/>
  <c r="BG150" i="21" s="1"/>
  <c r="DE105" i="21"/>
  <c r="AE108" i="21"/>
  <c r="BM108" i="21" s="1"/>
  <c r="FH108" i="21"/>
  <c r="AF132" i="21"/>
  <c r="BN132" i="21" s="1"/>
  <c r="FE108" i="21"/>
  <c r="V100" i="21"/>
  <c r="BD100" i="21" s="1"/>
  <c r="FB127" i="21"/>
  <c r="DG154" i="21"/>
  <c r="FC149" i="21"/>
  <c r="FF122" i="21"/>
  <c r="FB114" i="21"/>
  <c r="AC164" i="21"/>
  <c r="BK164" i="21" s="1"/>
  <c r="FD106" i="21"/>
  <c r="DL131" i="21"/>
  <c r="FE104" i="21"/>
  <c r="AE121" i="21"/>
  <c r="BM121" i="21" s="1"/>
  <c r="FL107" i="21"/>
  <c r="FI162" i="21"/>
  <c r="DL97" i="21"/>
  <c r="FG149" i="21"/>
  <c r="DN122" i="21"/>
  <c r="DL102" i="21"/>
  <c r="DH103" i="21"/>
  <c r="FI104" i="21"/>
  <c r="FK151" i="21"/>
  <c r="FD107" i="21"/>
  <c r="FI147" i="21"/>
  <c r="Z113" i="21"/>
  <c r="BH113" i="21" s="1"/>
  <c r="AE161" i="21"/>
  <c r="BM161" i="21" s="1"/>
  <c r="X139" i="21"/>
  <c r="BF139" i="21" s="1"/>
  <c r="FK170" i="21"/>
  <c r="DF118" i="21"/>
  <c r="DL100" i="21"/>
  <c r="DJ138" i="21"/>
  <c r="AD97" i="21"/>
  <c r="BL97" i="21" s="1"/>
  <c r="DG149" i="21"/>
  <c r="DF122" i="21"/>
  <c r="AP122" i="21" s="1"/>
  <c r="DD102" i="21"/>
  <c r="FC164" i="21"/>
  <c r="FE103" i="21"/>
  <c r="AD104" i="21"/>
  <c r="BL104" i="21" s="1"/>
  <c r="AA134" i="21"/>
  <c r="BI134" i="21" s="1"/>
  <c r="FC151" i="21"/>
  <c r="DH107" i="21"/>
  <c r="AD96" i="21"/>
  <c r="BL96" i="21" s="1"/>
  <c r="FB161" i="21"/>
  <c r="FC139" i="21"/>
  <c r="DE118" i="21"/>
  <c r="Z100" i="21"/>
  <c r="BH100" i="21" s="1"/>
  <c r="FI158" i="21"/>
  <c r="DH97" i="21"/>
  <c r="DJ149" i="21"/>
  <c r="DE122" i="21"/>
  <c r="V102" i="21"/>
  <c r="BD102" i="21" s="1"/>
  <c r="AA119" i="21"/>
  <c r="BI119" i="21" s="1"/>
  <c r="FG164" i="21"/>
  <c r="X103" i="21"/>
  <c r="BF103" i="21" s="1"/>
  <c r="FM131" i="21"/>
  <c r="DK151" i="21"/>
  <c r="FH107" i="21"/>
  <c r="DH92" i="21"/>
  <c r="DI147" i="21"/>
  <c r="FT147" i="21" s="1"/>
  <c r="DD95" i="21"/>
  <c r="DE120" i="21"/>
  <c r="FH148" i="21"/>
  <c r="FJ161" i="21"/>
  <c r="DK170" i="21"/>
  <c r="DI126" i="21"/>
  <c r="FT126" i="21" s="1"/>
  <c r="DL101" i="21"/>
  <c r="DD105" i="21"/>
  <c r="Z97" i="21"/>
  <c r="BH97" i="21" s="1"/>
  <c r="AF149" i="21"/>
  <c r="BN149" i="21" s="1"/>
  <c r="W122" i="21"/>
  <c r="BE122" i="21" s="1"/>
  <c r="DM102" i="21"/>
  <c r="DG164" i="21"/>
  <c r="DD103" i="21"/>
  <c r="DH104" i="21"/>
  <c r="DC151" i="21"/>
  <c r="AM151" i="21" s="1"/>
  <c r="DD107" i="21"/>
  <c r="Z92" i="21"/>
  <c r="BH92" i="21" s="1"/>
  <c r="DH147" i="21"/>
  <c r="AD95" i="21"/>
  <c r="BL95" i="21" s="1"/>
  <c r="W161" i="21"/>
  <c r="BE161" i="21" s="1"/>
  <c r="DI165" i="21"/>
  <c r="FT165" i="21" s="1"/>
  <c r="FE126" i="21"/>
  <c r="FE100" i="21"/>
  <c r="DM127" i="21"/>
  <c r="DF136" i="21"/>
  <c r="AP136" i="21" s="1"/>
  <c r="AC154" i="21"/>
  <c r="BK154" i="21" s="1"/>
  <c r="AF150" i="21"/>
  <c r="BN150" i="21" s="1"/>
  <c r="DI138" i="21"/>
  <c r="FT138" i="21" s="1"/>
  <c r="AD108" i="21"/>
  <c r="BL108" i="21" s="1"/>
  <c r="DE92" i="21"/>
  <c r="DF139" i="21"/>
  <c r="AP139" i="21" s="1"/>
  <c r="FI127" i="21"/>
  <c r="FE127" i="21"/>
  <c r="FC154" i="21"/>
  <c r="DF150" i="21"/>
  <c r="AP150" i="21" s="1"/>
  <c r="FB168" i="21"/>
  <c r="FF127" i="21"/>
  <c r="FB136" i="21"/>
  <c r="DL108" i="21"/>
  <c r="AD121" i="21"/>
  <c r="BL121" i="21" s="1"/>
  <c r="FJ103" i="21"/>
  <c r="DI106" i="21"/>
  <c r="FT106" i="21" s="1"/>
  <c r="AG104" i="21"/>
  <c r="BO104" i="21" s="1"/>
  <c r="FM151" i="21"/>
  <c r="DC92" i="21"/>
  <c r="AG147" i="21"/>
  <c r="BO147" i="21" s="1"/>
  <c r="FK95" i="21"/>
  <c r="DC118" i="21"/>
  <c r="FK126" i="21"/>
  <c r="AC100" i="21"/>
  <c r="BK100" i="21" s="1"/>
  <c r="DJ97" i="21"/>
  <c r="DH122" i="21"/>
  <c r="FG102" i="21"/>
  <c r="DL119" i="21"/>
  <c r="DJ103" i="21"/>
  <c r="DK152" i="21"/>
  <c r="AF106" i="21"/>
  <c r="BN106" i="21" s="1"/>
  <c r="X104" i="21"/>
  <c r="BF104" i="21" s="1"/>
  <c r="DD121" i="21"/>
  <c r="DI151" i="21"/>
  <c r="FT151" i="21" s="1"/>
  <c r="DJ161" i="21"/>
  <c r="DH139" i="21"/>
  <c r="AD126" i="21"/>
  <c r="BL126" i="21" s="1"/>
  <c r="AF100" i="21"/>
  <c r="BN100" i="21" s="1"/>
  <c r="AB99" i="21"/>
  <c r="BJ99" i="21" s="1"/>
  <c r="X97" i="21"/>
  <c r="BF97" i="21" s="1"/>
  <c r="AD122" i="21"/>
  <c r="BL122" i="21" s="1"/>
  <c r="DG102" i="21"/>
  <c r="DI103" i="21"/>
  <c r="FT103" i="21" s="1"/>
  <c r="W106" i="21"/>
  <c r="BE106" i="21" s="1"/>
  <c r="AF104" i="21"/>
  <c r="BN104" i="21" s="1"/>
  <c r="FE121" i="21"/>
  <c r="AA151" i="21"/>
  <c r="BI151" i="21" s="1"/>
  <c r="DJ92" i="21"/>
  <c r="DG95" i="21"/>
  <c r="AE139" i="21"/>
  <c r="BM139" i="21" s="1"/>
  <c r="AD118" i="21"/>
  <c r="BL118" i="21" s="1"/>
  <c r="AC126" i="21"/>
  <c r="BK126" i="21" s="1"/>
  <c r="DK100" i="21"/>
  <c r="AF99" i="21"/>
  <c r="BN99" i="21" s="1"/>
  <c r="X90" i="21"/>
  <c r="BF90" i="21" s="1"/>
  <c r="AB158" i="21"/>
  <c r="BJ158" i="21" s="1"/>
  <c r="DC129" i="21"/>
  <c r="AF154" i="21"/>
  <c r="BN154" i="21" s="1"/>
  <c r="FM138" i="21"/>
  <c r="FJ157" i="21"/>
  <c r="AF155" i="21"/>
  <c r="BN155" i="21" s="1"/>
  <c r="FL129" i="21"/>
  <c r="DJ163" i="21"/>
  <c r="DL136" i="21"/>
  <c r="DN100" i="21"/>
  <c r="DG138" i="21"/>
  <c r="X154" i="21"/>
  <c r="BF154" i="21" s="1"/>
  <c r="DI97" i="21"/>
  <c r="FT97" i="21" s="1"/>
  <c r="DI102" i="21"/>
  <c r="FT102" i="21" s="1"/>
  <c r="AA121" i="21"/>
  <c r="BI121" i="21" s="1"/>
  <c r="DI129" i="21"/>
  <c r="FT129" i="21" s="1"/>
  <c r="DD91" i="21"/>
  <c r="DN92" i="21"/>
  <c r="DK101" i="21"/>
  <c r="AC129" i="21"/>
  <c r="BK129" i="21" s="1"/>
  <c r="FL138" i="21"/>
  <c r="FE149" i="21"/>
  <c r="DK102" i="21"/>
  <c r="DH132" i="21"/>
  <c r="DC95" i="21"/>
  <c r="FC99" i="21"/>
  <c r="DF129" i="21"/>
  <c r="AP129" i="21" s="1"/>
  <c r="DN108" i="21"/>
  <c r="FH159" i="21"/>
  <c r="FD138" i="21"/>
  <c r="FJ164" i="21"/>
  <c r="FE144" i="21"/>
  <c r="FH145" i="21"/>
  <c r="FC108" i="21"/>
  <c r="Y138" i="21"/>
  <c r="BG138" i="21" s="1"/>
  <c r="AF97" i="21"/>
  <c r="BN97" i="21" s="1"/>
  <c r="FJ107" i="21"/>
  <c r="DJ95" i="21"/>
  <c r="AG97" i="21"/>
  <c r="BO97" i="21" s="1"/>
  <c r="FK103" i="21"/>
  <c r="FI151" i="21"/>
  <c r="AG92" i="21"/>
  <c r="BO92" i="21" s="1"/>
  <c r="FL147" i="21"/>
  <c r="FD95" i="21"/>
  <c r="FM139" i="21"/>
  <c r="FG126" i="21"/>
  <c r="DJ129" i="21"/>
  <c r="FG168" i="21"/>
  <c r="AD168" i="21"/>
  <c r="BL168" i="21" s="1"/>
  <c r="DK136" i="21"/>
  <c r="DJ168" i="21"/>
  <c r="AD171" i="21"/>
  <c r="BL171" i="21" s="1"/>
  <c r="Y97" i="21"/>
  <c r="BG97" i="21" s="1"/>
  <c r="DC103" i="21"/>
  <c r="AC107" i="21"/>
  <c r="BK107" i="21" s="1"/>
  <c r="Y92" i="21"/>
  <c r="BG92" i="21" s="1"/>
  <c r="Z161" i="21"/>
  <c r="BH161" i="21" s="1"/>
  <c r="V126" i="21"/>
  <c r="BD126" i="21" s="1"/>
  <c r="V144" i="21"/>
  <c r="BD144" i="21" s="1"/>
  <c r="FK154" i="21"/>
  <c r="AE138" i="21"/>
  <c r="BM138" i="21" s="1"/>
  <c r="AB157" i="21"/>
  <c r="BJ157" i="21" s="1"/>
  <c r="AG108" i="21"/>
  <c r="BO108" i="21" s="1"/>
  <c r="W147" i="21"/>
  <c r="BE147" i="21" s="1"/>
  <c r="DC139" i="21"/>
  <c r="FD129" i="21"/>
  <c r="FB108" i="21"/>
  <c r="FL136" i="21"/>
  <c r="X138" i="21"/>
  <c r="BF138" i="21" s="1"/>
  <c r="X108" i="21"/>
  <c r="BF108" i="21" s="1"/>
  <c r="DH154" i="21"/>
  <c r="AE149" i="21"/>
  <c r="BM149" i="21" s="1"/>
  <c r="AD164" i="21"/>
  <c r="BL164" i="21" s="1"/>
  <c r="AG106" i="21"/>
  <c r="BO106" i="21" s="1"/>
  <c r="FB104" i="21"/>
  <c r="FL121" i="21"/>
  <c r="Y107" i="21"/>
  <c r="BG107" i="21" s="1"/>
  <c r="FH92" i="21"/>
  <c r="DG147" i="21"/>
  <c r="AB95" i="21"/>
  <c r="BJ95" i="21" s="1"/>
  <c r="DJ148" i="21"/>
  <c r="DN161" i="21"/>
  <c r="FH118" i="21"/>
  <c r="FC100" i="21"/>
  <c r="Y144" i="21"/>
  <c r="BG144" i="21" s="1"/>
  <c r="AG127" i="21"/>
  <c r="BO127" i="21" s="1"/>
  <c r="AB145" i="21"/>
  <c r="BJ145" i="21" s="1"/>
  <c r="FI136" i="21"/>
  <c r="FM129" i="21"/>
  <c r="V154" i="21"/>
  <c r="BD154" i="21" s="1"/>
  <c r="FE109" i="21"/>
  <c r="AA105" i="21"/>
  <c r="BI105" i="21" s="1"/>
  <c r="FE147" i="21"/>
  <c r="DF101" i="21"/>
  <c r="DF138" i="21"/>
  <c r="AP138" i="21" s="1"/>
  <c r="DI169" i="21"/>
  <c r="FT169" i="21" s="1"/>
  <c r="FL97" i="21"/>
  <c r="X102" i="21"/>
  <c r="BF102" i="21" s="1"/>
  <c r="X164" i="21"/>
  <c r="BF164" i="21" s="1"/>
  <c r="DK121" i="21"/>
  <c r="AF162" i="21"/>
  <c r="BN162" i="21" s="1"/>
  <c r="AD149" i="21"/>
  <c r="BL149" i="21" s="1"/>
  <c r="FJ114" i="21"/>
  <c r="DG104" i="21"/>
  <c r="DC121" i="21"/>
  <c r="FF151" i="21"/>
  <c r="FC92" i="21"/>
  <c r="AC95" i="21"/>
  <c r="BK95" i="21" s="1"/>
  <c r="FI139" i="21"/>
  <c r="DJ110" i="21"/>
  <c r="AG162" i="21"/>
  <c r="BO162" i="21" s="1"/>
  <c r="V149" i="21"/>
  <c r="BD149" i="21" s="1"/>
  <c r="FH122" i="21"/>
  <c r="FL119" i="21"/>
  <c r="DN104" i="21"/>
  <c r="FD121" i="21"/>
  <c r="DI139" i="21"/>
  <c r="FT139" i="21" s="1"/>
  <c r="V118" i="21"/>
  <c r="BD118" i="21" s="1"/>
  <c r="DJ100" i="21"/>
  <c r="FE154" i="21"/>
  <c r="AC97" i="21"/>
  <c r="BK97" i="21" s="1"/>
  <c r="AC103" i="21"/>
  <c r="BK103" i="21" s="1"/>
  <c r="AD152" i="21"/>
  <c r="BL152" i="21" s="1"/>
  <c r="DM106" i="21"/>
  <c r="DE104" i="21"/>
  <c r="AF92" i="21"/>
  <c r="BN92" i="21" s="1"/>
  <c r="FG95" i="21"/>
  <c r="AC161" i="21"/>
  <c r="BK161" i="21" s="1"/>
  <c r="AA139" i="21"/>
  <c r="BI139" i="21" s="1"/>
  <c r="DK126" i="21"/>
  <c r="FD97" i="21"/>
  <c r="DK122" i="21"/>
  <c r="FL104" i="21"/>
  <c r="DH151" i="21"/>
  <c r="AC92" i="21"/>
  <c r="BK92" i="21" s="1"/>
  <c r="X160" i="21"/>
  <c r="BF160" i="21" s="1"/>
  <c r="AB161" i="21"/>
  <c r="BJ161" i="21" s="1"/>
  <c r="DL139" i="21"/>
  <c r="DK118" i="21"/>
  <c r="FK123" i="21"/>
  <c r="DJ126" i="21"/>
  <c r="FL99" i="21"/>
  <c r="FC127" i="21"/>
  <c r="FH158" i="21"/>
  <c r="DM154" i="21"/>
  <c r="AG138" i="21"/>
  <c r="BO138" i="21" s="1"/>
  <c r="DL129" i="21"/>
  <c r="AF129" i="21"/>
  <c r="BN129" i="21" s="1"/>
  <c r="AB115" i="21"/>
  <c r="BJ115" i="21" s="1"/>
  <c r="AC163" i="21"/>
  <c r="BK163" i="21" s="1"/>
  <c r="AG100" i="21"/>
  <c r="BO100" i="21" s="1"/>
  <c r="FJ127" i="21"/>
  <c r="FJ129" i="21"/>
  <c r="FM103" i="21"/>
  <c r="FB107" i="21"/>
  <c r="AF147" i="21"/>
  <c r="BN147" i="21" s="1"/>
  <c r="DF97" i="21"/>
  <c r="FB103" i="21"/>
  <c r="FH121" i="21"/>
  <c r="X129" i="21"/>
  <c r="BF129" i="21" s="1"/>
  <c r="AA154" i="21"/>
  <c r="BI154" i="21" s="1"/>
  <c r="DL149" i="21"/>
  <c r="DN106" i="21"/>
  <c r="DF107" i="21"/>
  <c r="FF147" i="21"/>
  <c r="AG161" i="21"/>
  <c r="BO161" i="21" s="1"/>
  <c r="DN127" i="21"/>
  <c r="AG129" i="21"/>
  <c r="BO129" i="21" s="1"/>
  <c r="AB169" i="21"/>
  <c r="BJ169" i="21" s="1"/>
  <c r="DI149" i="21"/>
  <c r="FT149" i="21" s="1"/>
  <c r="DG129" i="21"/>
  <c r="FI122" i="21"/>
  <c r="FF103" i="21"/>
  <c r="DN162" i="21"/>
  <c r="AG164" i="21"/>
  <c r="BO164" i="21" s="1"/>
  <c r="DH161" i="21"/>
  <c r="DH126" i="21"/>
  <c r="FJ101" i="21"/>
  <c r="DG108" i="21"/>
  <c r="DH168" i="21"/>
  <c r="AG154" i="21"/>
  <c r="BO154" i="21" s="1"/>
  <c r="FJ171" i="21"/>
  <c r="Y149" i="21"/>
  <c r="BG149" i="21" s="1"/>
  <c r="FJ102" i="21"/>
  <c r="DM141" i="21"/>
  <c r="AB121" i="21"/>
  <c r="BJ121" i="21" s="1"/>
  <c r="FG132" i="21"/>
  <c r="FL151" i="21"/>
  <c r="FE92" i="21"/>
  <c r="FB147" i="21"/>
  <c r="FB95" i="21"/>
  <c r="FC118" i="21"/>
  <c r="W99" i="21"/>
  <c r="BE99" i="21" s="1"/>
  <c r="Y129" i="21"/>
  <c r="BG129" i="21" s="1"/>
  <c r="DL154" i="21"/>
  <c r="DD147" i="21"/>
  <c r="AN147" i="21" s="1"/>
  <c r="DE129" i="21"/>
  <c r="AO129" i="21" s="1"/>
  <c r="DC108" i="21"/>
  <c r="AB159" i="21"/>
  <c r="BJ159" i="21" s="1"/>
  <c r="AF136" i="21"/>
  <c r="BN136" i="21" s="1"/>
  <c r="DE138" i="21"/>
  <c r="AO138" i="21" s="1"/>
  <c r="FG108" i="21"/>
  <c r="FK122" i="21"/>
  <c r="DC104" i="21"/>
  <c r="AF121" i="21"/>
  <c r="BN121" i="21" s="1"/>
  <c r="Z147" i="21"/>
  <c r="BH147" i="21" s="1"/>
  <c r="FH95" i="21"/>
  <c r="AB118" i="21"/>
  <c r="BJ118" i="21" s="1"/>
  <c r="W100" i="21"/>
  <c r="BE100" i="21" s="1"/>
  <c r="DI145" i="21"/>
  <c r="FT145" i="21" s="1"/>
  <c r="DN129" i="21"/>
  <c r="DC154" i="21"/>
  <c r="AM154" i="21" s="1"/>
  <c r="Y109" i="21"/>
  <c r="BG109" i="21" s="1"/>
  <c r="FM115" i="21"/>
  <c r="W108" i="21"/>
  <c r="BE108" i="21" s="1"/>
  <c r="FG105" i="21"/>
  <c r="Y147" i="21"/>
  <c r="BG147" i="21" s="1"/>
  <c r="AB136" i="21"/>
  <c r="BJ136" i="21" s="1"/>
  <c r="FH149" i="21"/>
  <c r="FD102" i="21"/>
  <c r="AF103" i="21"/>
  <c r="BN103" i="21" s="1"/>
  <c r="Y151" i="21"/>
  <c r="BG151" i="21" s="1"/>
  <c r="DK107" i="21"/>
  <c r="FF129" i="21"/>
  <c r="FJ149" i="21"/>
  <c r="AC122" i="21"/>
  <c r="BK122" i="21" s="1"/>
  <c r="DK114" i="21"/>
  <c r="DG103" i="21"/>
  <c r="FF104" i="21"/>
  <c r="W92" i="21"/>
  <c r="BE92" i="21" s="1"/>
  <c r="X147" i="21"/>
  <c r="BF147" i="21" s="1"/>
  <c r="AC139" i="21"/>
  <c r="BK139" i="21" s="1"/>
  <c r="AC110" i="21"/>
  <c r="BK110" i="21" s="1"/>
  <c r="FB149" i="21"/>
  <c r="AB122" i="21"/>
  <c r="BJ122" i="21" s="1"/>
  <c r="AF119" i="21"/>
  <c r="BN119" i="21" s="1"/>
  <c r="DK103" i="21"/>
  <c r="AB106" i="21"/>
  <c r="BJ106" i="21" s="1"/>
  <c r="X121" i="21"/>
  <c r="BF121" i="21" s="1"/>
  <c r="AG151" i="21"/>
  <c r="BO151" i="21" s="1"/>
  <c r="FB92" i="21"/>
  <c r="FM147" i="21"/>
  <c r="AE95" i="21"/>
  <c r="BM95" i="21" s="1"/>
  <c r="FH139" i="21"/>
  <c r="DL126" i="21"/>
  <c r="Y154" i="21"/>
  <c r="BG154" i="21" s="1"/>
  <c r="FG122" i="21"/>
  <c r="AA102" i="21"/>
  <c r="BI102" i="21" s="1"/>
  <c r="FK119" i="21"/>
  <c r="FC121" i="21"/>
  <c r="FH151" i="21"/>
  <c r="FL92" i="21"/>
  <c r="AA95" i="21"/>
  <c r="BI95" i="21" s="1"/>
  <c r="FL100" i="21"/>
  <c r="FH99" i="21"/>
  <c r="FF102" i="21"/>
  <c r="AB103" i="21"/>
  <c r="BJ103" i="21" s="1"/>
  <c r="FC106" i="21"/>
  <c r="DM104" i="21"/>
  <c r="Y121" i="21"/>
  <c r="BG121" i="21" s="1"/>
  <c r="FF95" i="21"/>
  <c r="FD160" i="21"/>
  <c r="FH161" i="21"/>
  <c r="DL123" i="21"/>
  <c r="FJ100" i="21"/>
  <c r="DD127" i="21"/>
  <c r="FD90" i="21"/>
  <c r="DI158" i="21"/>
  <c r="FT158" i="21" s="1"/>
  <c r="FB129" i="21"/>
  <c r="AD157" i="21"/>
  <c r="BL157" i="21" s="1"/>
  <c r="DM155" i="21"/>
  <c r="FK129" i="21"/>
  <c r="DI115" i="21"/>
  <c r="FT115" i="21" s="1"/>
  <c r="FI163" i="21"/>
  <c r="FK136" i="21"/>
  <c r="Z138" i="21"/>
  <c r="BH138" i="21" s="1"/>
  <c r="DE126" i="21"/>
  <c r="W126" i="21"/>
  <c r="BE126" i="21" s="1"/>
  <c r="DI101" i="21"/>
  <c r="FT101" i="21" s="1"/>
  <c r="DE146" i="21"/>
  <c r="X151" i="21"/>
  <c r="BF151" i="21" s="1"/>
  <c r="DJ118" i="21"/>
  <c r="DM126" i="21"/>
  <c r="FL108" i="21"/>
  <c r="DN97" i="21"/>
  <c r="DJ102" i="21"/>
  <c r="FF106" i="21"/>
  <c r="FG161" i="21"/>
  <c r="AG118" i="21"/>
  <c r="BO118" i="21" s="1"/>
  <c r="DI154" i="21"/>
  <c r="FT154" i="21" s="1"/>
  <c r="FF108" i="21"/>
  <c r="AD136" i="21"/>
  <c r="BL136" i="21" s="1"/>
  <c r="AC168" i="21"/>
  <c r="BK168" i="21" s="1"/>
  <c r="FL141" i="21"/>
  <c r="DJ107" i="21"/>
  <c r="DF92" i="21"/>
  <c r="DC126" i="21"/>
  <c r="AE154" i="21"/>
  <c r="BM154" i="21" s="1"/>
  <c r="DL138" i="21"/>
  <c r="V139" i="21"/>
  <c r="BD139" i="21" s="1"/>
  <c r="AA108" i="21"/>
  <c r="BI108" i="21" s="1"/>
  <c r="DL122" i="21"/>
  <c r="AB92" i="21"/>
  <c r="BJ92" i="21" s="1"/>
  <c r="FI148" i="21"/>
  <c r="AC136" i="21"/>
  <c r="BK136" i="21" s="1"/>
  <c r="AG115" i="21"/>
  <c r="BO115" i="21" s="1"/>
  <c r="DF147" i="21"/>
  <c r="AP147" i="21" s="1"/>
  <c r="FH136" i="21"/>
  <c r="DE164" i="21"/>
  <c r="AO164" i="21" s="1"/>
  <c r="FE151" i="21"/>
  <c r="DM162" i="21"/>
  <c r="AD114" i="21"/>
  <c r="BL114" i="21" s="1"/>
  <c r="V121" i="21"/>
  <c r="BD121" i="21" s="1"/>
  <c r="Z151" i="21"/>
  <c r="BH151" i="21" s="1"/>
  <c r="DE147" i="21"/>
  <c r="AO147" i="21" s="1"/>
  <c r="AC102" i="21"/>
  <c r="BK102" i="21" s="1"/>
  <c r="DN164" i="21"/>
  <c r="DG106" i="21"/>
  <c r="FI121" i="21"/>
  <c r="AC151" i="21"/>
  <c r="BK151" i="21" s="1"/>
  <c r="DC107" i="21"/>
  <c r="FM92" i="21"/>
  <c r="AG139" i="21"/>
  <c r="BO139" i="21" s="1"/>
  <c r="FM118" i="21"/>
  <c r="AB154" i="21"/>
  <c r="BJ154" i="21" s="1"/>
  <c r="AF138" i="21"/>
  <c r="BN138" i="21" s="1"/>
  <c r="FM97" i="21"/>
  <c r="FI102" i="21"/>
  <c r="FM164" i="21"/>
  <c r="DL103" i="21"/>
  <c r="Z106" i="21"/>
  <c r="BH106" i="21" s="1"/>
  <c r="DJ121" i="21"/>
  <c r="DJ151" i="21"/>
  <c r="V107" i="21"/>
  <c r="BD107" i="21" s="1"/>
  <c r="DM147" i="21"/>
  <c r="DE95" i="21"/>
  <c r="AA161" i="21"/>
  <c r="BI161" i="21" s="1"/>
  <c r="DN139" i="21"/>
  <c r="DN118" i="21"/>
  <c r="AA126" i="21"/>
  <c r="BI126" i="21" s="1"/>
  <c r="AD101" i="21"/>
  <c r="BL101" i="21" s="1"/>
  <c r="FI129" i="21"/>
  <c r="FH154" i="21"/>
  <c r="DM138" i="21"/>
  <c r="Z108" i="21"/>
  <c r="BH108" i="21" s="1"/>
  <c r="AA168" i="21"/>
  <c r="BI168" i="21" s="1"/>
  <c r="FM154" i="21"/>
  <c r="FJ168" i="21"/>
  <c r="FJ136" i="21"/>
  <c r="FI168" i="21"/>
  <c r="DK171" i="21"/>
  <c r="FE97" i="21"/>
  <c r="DF149" i="21"/>
  <c r="AP149" i="21" s="1"/>
  <c r="AD102" i="21"/>
  <c r="BL102" i="21" s="1"/>
  <c r="AF141" i="21"/>
  <c r="BN141" i="21" s="1"/>
  <c r="V103" i="21"/>
  <c r="BD103" i="21" s="1"/>
  <c r="DI121" i="21"/>
  <c r="FT121" i="21" s="1"/>
  <c r="AA132" i="21"/>
  <c r="BI132" i="21" s="1"/>
  <c r="AF151" i="21"/>
  <c r="BN151" i="21" s="1"/>
  <c r="FI107" i="21"/>
  <c r="DC147" i="21"/>
  <c r="AM147" i="21" s="1"/>
  <c r="V95" i="21"/>
  <c r="BD95" i="21" s="1"/>
  <c r="FF161" i="21"/>
  <c r="W118" i="21"/>
  <c r="BE118" i="21" s="1"/>
  <c r="FB126" i="21"/>
  <c r="FB144" i="21"/>
  <c r="DD99" i="21"/>
  <c r="FE129" i="21"/>
  <c r="FK138" i="21"/>
  <c r="FH157" i="21"/>
  <c r="FM108" i="21"/>
  <c r="FC147" i="21"/>
  <c r="FB139" i="21"/>
  <c r="V108" i="21"/>
  <c r="BD108" i="21" s="1"/>
  <c r="DI159" i="21"/>
  <c r="FT159" i="21" s="1"/>
  <c r="DM136" i="21"/>
  <c r="FD108" i="21"/>
  <c r="DH108" i="21"/>
  <c r="FG154" i="21"/>
  <c r="FK149" i="21"/>
  <c r="AE122" i="21"/>
  <c r="BM122" i="21" s="1"/>
  <c r="DK164" i="21"/>
  <c r="FM106" i="21"/>
  <c r="V104" i="21"/>
  <c r="BD104" i="21" s="1"/>
  <c r="DM121" i="21"/>
  <c r="FE107" i="21"/>
  <c r="DI92" i="21"/>
  <c r="FT92" i="21" s="1"/>
  <c r="DI95" i="21"/>
  <c r="FT95" i="21" s="1"/>
  <c r="AC148" i="21"/>
  <c r="BK148" i="21" s="1"/>
  <c r="FM161" i="21"/>
  <c r="DI118" i="21"/>
  <c r="FT118" i="21" s="1"/>
  <c r="DD100" i="21"/>
  <c r="DF144" i="21"/>
  <c r="AP144" i="21" s="1"/>
  <c r="FM127" i="21"/>
  <c r="DJ136" i="21"/>
  <c r="DN115" i="21"/>
  <c r="DD108" i="21"/>
  <c r="DH105" i="21"/>
  <c r="FE101" i="21"/>
  <c r="DI136" i="21"/>
  <c r="FT136" i="21" s="1"/>
  <c r="FE138" i="21"/>
  <c r="FH169" i="21"/>
  <c r="DM97" i="21"/>
  <c r="AB149" i="21"/>
  <c r="BJ149" i="21" s="1"/>
  <c r="DE102" i="21"/>
  <c r="FD164" i="21"/>
  <c r="FL103" i="21"/>
  <c r="FJ121" i="21"/>
  <c r="DF151" i="21"/>
  <c r="AP151" i="21" s="1"/>
  <c r="AD107" i="21"/>
  <c r="BL107" i="21" s="1"/>
  <c r="Z129" i="21"/>
  <c r="BH129" i="21" s="1"/>
  <c r="FL162" i="21"/>
  <c r="DK149" i="21"/>
  <c r="DJ122" i="21"/>
  <c r="Z103" i="21"/>
  <c r="BH103" i="21" s="1"/>
  <c r="Z104" i="21"/>
  <c r="BH104" i="21" s="1"/>
  <c r="FB121" i="21"/>
  <c r="DG151" i="21"/>
  <c r="DD92" i="21"/>
  <c r="FD147" i="21"/>
  <c r="FI95" i="21"/>
  <c r="DJ139" i="21"/>
  <c r="FI110" i="21"/>
  <c r="FM162" i="21"/>
  <c r="DC149" i="21"/>
  <c r="AM149" i="21" s="1"/>
  <c r="DI122" i="21"/>
  <c r="FT122" i="21" s="1"/>
  <c r="DM119" i="21"/>
  <c r="AD103" i="21"/>
  <c r="BL103" i="21" s="1"/>
  <c r="FH106" i="21"/>
  <c r="FM104" i="21"/>
  <c r="DE121" i="21"/>
  <c r="DN151" i="21"/>
  <c r="V92" i="21"/>
  <c r="BD92" i="21" s="1"/>
  <c r="DN147" i="21"/>
  <c r="DL95" i="21"/>
  <c r="AB139" i="21"/>
  <c r="BJ139" i="21" s="1"/>
  <c r="FB118" i="21"/>
  <c r="AE126" i="21"/>
  <c r="BM126" i="21" s="1"/>
  <c r="FI100" i="21"/>
  <c r="DF154" i="21"/>
  <c r="AP154" i="21" s="1"/>
  <c r="FI97" i="21"/>
  <c r="AA122" i="21"/>
  <c r="BI122" i="21" s="1"/>
  <c r="DH102" i="21"/>
  <c r="AE119" i="21"/>
  <c r="BM119" i="21" s="1"/>
  <c r="FI103" i="21"/>
  <c r="FJ152" i="21"/>
  <c r="FL106" i="21"/>
  <c r="FD104" i="21"/>
  <c r="W121" i="21"/>
  <c r="BE121" i="21" s="1"/>
  <c r="AB151" i="21"/>
  <c r="BJ151" i="21" s="1"/>
  <c r="DM92" i="21"/>
  <c r="DH95" i="21"/>
  <c r="FI161" i="21"/>
  <c r="FG139" i="21"/>
  <c r="FJ126" i="21"/>
  <c r="DM100" i="21"/>
  <c r="DI99" i="21"/>
  <c r="FT99" i="21" s="1"/>
  <c r="DE97" i="21"/>
  <c r="FJ122" i="21"/>
  <c r="Z102" i="21"/>
  <c r="BH102" i="21" s="1"/>
  <c r="FH103" i="21"/>
  <c r="DD106" i="21"/>
  <c r="DF121" i="21"/>
  <c r="AP121" i="21" s="1"/>
  <c r="FG151" i="21"/>
  <c r="FI92" i="21"/>
  <c r="Z95" i="21"/>
  <c r="BH95" i="21" s="1"/>
  <c r="DE160" i="21"/>
  <c r="AO160" i="21" s="1"/>
  <c r="DI161" i="21"/>
  <c r="FT161" i="21" s="1"/>
  <c r="FK139" i="21"/>
  <c r="FJ118" i="21"/>
  <c r="AE123" i="21"/>
  <c r="BM123" i="21" s="1"/>
  <c r="FI126" i="21"/>
  <c r="AD100" i="21"/>
  <c r="BL100" i="21" s="1"/>
  <c r="DM99" i="21"/>
  <c r="W127" i="21"/>
  <c r="BE127" i="21" s="1"/>
  <c r="DE90" i="21"/>
  <c r="V129" i="21"/>
  <c r="BD129" i="21" s="1"/>
  <c r="FL154" i="21"/>
  <c r="DN138" i="21"/>
  <c r="DK157" i="21"/>
  <c r="FL155" i="21"/>
  <c r="AE129" i="21"/>
  <c r="BM129" i="21" s="1"/>
  <c r="DM129" i="21"/>
  <c r="FH115" i="21"/>
  <c r="AE136" i="21"/>
  <c r="BM136" i="21" s="1"/>
  <c r="FM100" i="21"/>
  <c r="FF138" i="21"/>
  <c r="BX166" i="21"/>
  <c r="GD166" i="21"/>
  <c r="GB167" i="21"/>
  <c r="BV167" i="21"/>
  <c r="BX164" i="21"/>
  <c r="GD164" i="21"/>
  <c r="DI73" i="21"/>
  <c r="FT73" i="21" s="1"/>
  <c r="DG89" i="21"/>
  <c r="AD84" i="21"/>
  <c r="BL84" i="21" s="1"/>
  <c r="DK88" i="21"/>
  <c r="DH88" i="21"/>
  <c r="FM83" i="21"/>
  <c r="AD70" i="21"/>
  <c r="BL70" i="21" s="1"/>
  <c r="FI80" i="21"/>
  <c r="DJ84" i="21"/>
  <c r="FB82" i="21"/>
  <c r="FH73" i="21"/>
  <c r="FG68" i="21"/>
  <c r="FG84" i="21"/>
  <c r="DN87" i="21"/>
  <c r="FB85" i="21"/>
  <c r="W73" i="21"/>
  <c r="BE73" i="21" s="1"/>
  <c r="AG88" i="21"/>
  <c r="BO88" i="21" s="1"/>
  <c r="AA71" i="21"/>
  <c r="BI71" i="21" s="1"/>
  <c r="V87" i="21"/>
  <c r="BD87" i="21" s="1"/>
  <c r="AA89" i="21"/>
  <c r="BI89" i="21" s="1"/>
  <c r="AC80" i="21"/>
  <c r="BK80" i="21" s="1"/>
  <c r="AE78" i="21"/>
  <c r="BM78" i="21" s="1"/>
  <c r="AC84" i="21"/>
  <c r="BK84" i="21" s="1"/>
  <c r="V82" i="21"/>
  <c r="BD82" i="21" s="1"/>
  <c r="DG88" i="21"/>
  <c r="AD68" i="21"/>
  <c r="BL68" i="21" s="1"/>
  <c r="AB73" i="21"/>
  <c r="BJ73" i="21" s="1"/>
  <c r="DH68" i="21"/>
  <c r="DE86" i="21"/>
  <c r="FF89" i="21"/>
  <c r="X75" i="21"/>
  <c r="BF75" i="21" s="1"/>
  <c r="AA84" i="21"/>
  <c r="BI84" i="21" s="1"/>
  <c r="DL87" i="21"/>
  <c r="FB68" i="21"/>
  <c r="AA88" i="21"/>
  <c r="BI88" i="21" s="1"/>
  <c r="FC80" i="21"/>
  <c r="DH73" i="21"/>
  <c r="AG87" i="21"/>
  <c r="BO87" i="21" s="1"/>
  <c r="FB79" i="21"/>
  <c r="AF84" i="21"/>
  <c r="BN84" i="21" s="1"/>
  <c r="AC88" i="21"/>
  <c r="BK88" i="21" s="1"/>
  <c r="DF73" i="21"/>
  <c r="V85" i="21"/>
  <c r="BD85" i="21" s="1"/>
  <c r="FM78" i="21"/>
  <c r="AF83" i="21"/>
  <c r="BN83" i="21" s="1"/>
  <c r="DM84" i="21"/>
  <c r="DI68" i="21"/>
  <c r="DI77" i="21"/>
  <c r="FT77" i="21" s="1"/>
  <c r="DK68" i="21"/>
  <c r="AA73" i="21"/>
  <c r="BI73" i="21" s="1"/>
  <c r="FM87" i="21"/>
  <c r="V79" i="21"/>
  <c r="BD79" i="21" s="1"/>
  <c r="DC85" i="21"/>
  <c r="DN78" i="21"/>
  <c r="FL83" i="21"/>
  <c r="FI88" i="21"/>
  <c r="Y73" i="21"/>
  <c r="BG73" i="21" s="1"/>
  <c r="AB77" i="21"/>
  <c r="BJ77" i="21" s="1"/>
  <c r="DM83" i="21"/>
  <c r="FL84" i="21"/>
  <c r="DJ88" i="21"/>
  <c r="FE73" i="21"/>
  <c r="AB68" i="21"/>
  <c r="FJ68" i="21"/>
  <c r="Y84" i="21"/>
  <c r="BG84" i="21" s="1"/>
  <c r="DN73" i="21"/>
  <c r="AB72" i="21"/>
  <c r="BJ72" i="21" s="1"/>
  <c r="X73" i="21"/>
  <c r="BF73" i="21" s="1"/>
  <c r="FB88" i="21"/>
  <c r="DJ80" i="21"/>
  <c r="FI84" i="21"/>
  <c r="DC82" i="21"/>
  <c r="AA68" i="21"/>
  <c r="BI68" i="21" s="1"/>
  <c r="DH84" i="21"/>
  <c r="DC68" i="21"/>
  <c r="W80" i="21"/>
  <c r="BE80" i="21" s="1"/>
  <c r="DL78" i="21"/>
  <c r="FF88" i="21"/>
  <c r="DN84" i="21"/>
  <c r="AG83" i="21"/>
  <c r="BO83" i="21" s="1"/>
  <c r="DK70" i="21"/>
  <c r="X86" i="21"/>
  <c r="BF86" i="21" s="1"/>
  <c r="AG84" i="21"/>
  <c r="BO84" i="21" s="1"/>
  <c r="FG73" i="21"/>
  <c r="DC79" i="21"/>
  <c r="AB76" i="21"/>
  <c r="BJ76" i="21" s="1"/>
  <c r="DI88" i="21"/>
  <c r="FT88" i="21" s="1"/>
  <c r="DG84" i="21"/>
  <c r="DM73" i="21"/>
  <c r="AG68" i="21"/>
  <c r="BO68" i="21" s="1"/>
  <c r="FC84" i="21"/>
  <c r="AD73" i="21"/>
  <c r="BL73" i="21" s="1"/>
  <c r="W88" i="21"/>
  <c r="BE88" i="21" s="1"/>
  <c r="FL88" i="21"/>
  <c r="DK80" i="21"/>
  <c r="FH76" i="21"/>
  <c r="DL84" i="21"/>
  <c r="FC73" i="21"/>
  <c r="DL88" i="21"/>
  <c r="Z84" i="21"/>
  <c r="BH84" i="21" s="1"/>
  <c r="FD88" i="21"/>
  <c r="AF73" i="21"/>
  <c r="BN73" i="21" s="1"/>
  <c r="FG80" i="21"/>
  <c r="Y87" i="21"/>
  <c r="BG87" i="21" s="1"/>
  <c r="DD88" i="21"/>
  <c r="FB73" i="21"/>
  <c r="AB84" i="21"/>
  <c r="BJ84" i="21" s="1"/>
  <c r="DJ73" i="21"/>
  <c r="DL89" i="21"/>
  <c r="DC87" i="21"/>
  <c r="DD89" i="21"/>
  <c r="FD83" i="21"/>
  <c r="DH89" i="21"/>
  <c r="FC83" i="21"/>
  <c r="FE84" i="21"/>
  <c r="FK73" i="21"/>
  <c r="DF83" i="21"/>
  <c r="DI72" i="21"/>
  <c r="FT72" i="21" s="1"/>
  <c r="Z73" i="21"/>
  <c r="BH73" i="21" s="1"/>
  <c r="DE73" i="21"/>
  <c r="DC88" i="21"/>
  <c r="DE75" i="21"/>
  <c r="DK84" i="21"/>
  <c r="Z88" i="21"/>
  <c r="BH88" i="21" s="1"/>
  <c r="Z89" i="21"/>
  <c r="BH89" i="21" s="1"/>
  <c r="FG88" i="21"/>
  <c r="DD80" i="21"/>
  <c r="AG78" i="21"/>
  <c r="BO78" i="21" s="1"/>
  <c r="AE84" i="21"/>
  <c r="BM84" i="21" s="1"/>
  <c r="Y88" i="21"/>
  <c r="BG88" i="21" s="1"/>
  <c r="V84" i="21"/>
  <c r="BD84" i="21" s="1"/>
  <c r="AE89" i="21"/>
  <c r="BM89" i="21" s="1"/>
  <c r="X83" i="21"/>
  <c r="BF83" i="21" s="1"/>
  <c r="AE73" i="21"/>
  <c r="BM73" i="21" s="1"/>
  <c r="DD73" i="21"/>
  <c r="DE88" i="21"/>
  <c r="DF87" i="21"/>
  <c r="DD84" i="21"/>
  <c r="DK73" i="21"/>
  <c r="FE88" i="21"/>
  <c r="DM88" i="21"/>
  <c r="AD80" i="21"/>
  <c r="BL80" i="21" s="1"/>
  <c r="FI73" i="21"/>
  <c r="DC84" i="21"/>
  <c r="DH71" i="21"/>
  <c r="FB87" i="21"/>
  <c r="X84" i="21"/>
  <c r="BF84" i="21" s="1"/>
  <c r="DD83" i="21"/>
  <c r="DL73" i="21"/>
  <c r="AG73" i="21"/>
  <c r="BO73" i="21" s="1"/>
  <c r="Y83" i="21"/>
  <c r="BG83" i="21" s="1"/>
  <c r="FF73" i="21"/>
  <c r="DN83" i="21"/>
  <c r="FD86" i="21"/>
  <c r="AE87" i="21"/>
  <c r="BM87" i="21" s="1"/>
  <c r="FK78" i="21"/>
  <c r="FD75" i="21"/>
  <c r="AD88" i="21"/>
  <c r="BL88" i="21" s="1"/>
  <c r="FK87" i="21"/>
  <c r="V68" i="21"/>
  <c r="BD68" i="21" s="1"/>
  <c r="AE88" i="21"/>
  <c r="BM88" i="21" s="1"/>
  <c r="AA80" i="21"/>
  <c r="BI80" i="21" s="1"/>
  <c r="V73" i="21"/>
  <c r="BD73" i="21" s="1"/>
  <c r="W89" i="21"/>
  <c r="BE89" i="21" s="1"/>
  <c r="FD84" i="21"/>
  <c r="DI76" i="21"/>
  <c r="FT76" i="21" s="1"/>
  <c r="FK84" i="21"/>
  <c r="AB88" i="21"/>
  <c r="BJ88" i="21" s="1"/>
  <c r="FK88" i="21"/>
  <c r="FF84" i="21"/>
  <c r="X88" i="21"/>
  <c r="BF88" i="21" s="1"/>
  <c r="FL73" i="21"/>
  <c r="DN88" i="21"/>
  <c r="DN68" i="21"/>
  <c r="DH80" i="21"/>
  <c r="FE87" i="21"/>
  <c r="W84" i="21"/>
  <c r="BE84" i="21" s="1"/>
  <c r="DF88" i="21"/>
  <c r="FC88" i="21"/>
  <c r="DC73" i="21"/>
  <c r="AF88" i="21"/>
  <c r="BN88" i="21" s="1"/>
  <c r="DI84" i="21"/>
  <c r="FT84" i="21" s="1"/>
  <c r="AC73" i="21"/>
  <c r="BK73" i="21" s="1"/>
  <c r="FB84" i="21"/>
  <c r="FG71" i="21"/>
  <c r="FK89" i="21"/>
  <c r="FC89" i="21"/>
  <c r="DE83" i="21"/>
  <c r="DE84" i="21"/>
  <c r="FG89" i="21"/>
  <c r="W83" i="21"/>
  <c r="BE83" i="21" s="1"/>
  <c r="DF84" i="21"/>
  <c r="FE83" i="21"/>
  <c r="DG73" i="21"/>
  <c r="FD73" i="21"/>
  <c r="V88" i="21"/>
  <c r="BD88" i="21" s="1"/>
  <c r="DD120" i="21" a="1"/>
  <c r="FD93" i="21" a="1"/>
  <c r="FJ156" i="21" a="1"/>
  <c r="AD69" i="21" a="1"/>
  <c r="FI132" i="21" a="1"/>
  <c r="V120" i="21" a="1"/>
  <c r="Y156" i="21" a="1"/>
  <c r="FD69" i="21" a="1"/>
  <c r="DL177" i="21" a="1"/>
  <c r="FB132" i="21" a="1"/>
  <c r="DL75" i="21" a="1"/>
  <c r="AC167" i="21" a="1"/>
  <c r="DI69" i="21" a="1"/>
  <c r="FG177" i="21" a="1"/>
  <c r="DC156" i="21" a="1"/>
  <c r="Y120" i="21" a="1"/>
  <c r="AG167" i="21" a="1"/>
  <c r="V69" i="21" a="1"/>
  <c r="DC152" i="21" a="1"/>
  <c r="FH156" i="21" a="1"/>
  <c r="FF93" i="21" a="1"/>
  <c r="DF75" i="21" a="1"/>
  <c r="DG145" i="21" a="1"/>
  <c r="X76" i="21" a="1"/>
  <c r="V71" i="21" a="1"/>
  <c r="FJ165" i="21" a="1"/>
  <c r="DN173" i="21" a="1"/>
  <c r="AC137" i="21" a="1"/>
  <c r="AF94" i="21" a="1"/>
  <c r="DG170" i="21" a="1"/>
  <c r="DN114" i="21" a="1"/>
  <c r="W158" i="21" a="1"/>
  <c r="FM150" i="21" a="1"/>
  <c r="FH162" i="21" a="1"/>
  <c r="AE135" i="21" a="1"/>
  <c r="FE163" i="21" a="1"/>
  <c r="FF86" i="21" a="1"/>
  <c r="DG141" i="21" a="1"/>
  <c r="DN117" i="21" a="1"/>
  <c r="AD130" i="21" a="1"/>
  <c r="DN141" i="21" a="1"/>
  <c r="AE124" i="21" a="1"/>
  <c r="AD139" i="21" a="1"/>
  <c r="FL174" i="21" a="1"/>
  <c r="DI80" i="21" a="1"/>
  <c r="FF146" i="21" a="1"/>
  <c r="FC134" i="21" a="1"/>
  <c r="AF157" i="21" a="1"/>
  <c r="AG128" i="21" a="1"/>
  <c r="AG81" i="21" a="1"/>
  <c r="AG112" i="21" a="1"/>
  <c r="FF112" i="21" a="1"/>
  <c r="DH152" i="21" a="1"/>
  <c r="AF75" i="21" a="1"/>
  <c r="DE77" i="21" a="1"/>
  <c r="FI165" i="21" a="1"/>
  <c r="AB188" i="21" a="1"/>
  <c r="FM173" i="21" a="1"/>
  <c r="DG120" i="21" a="1"/>
  <c r="AG146" i="21" a="1"/>
  <c r="FC155" i="21" a="1"/>
  <c r="V113" i="21" a="1"/>
  <c r="FH79" i="21" a="1"/>
  <c r="AA86" i="21" a="1"/>
  <c r="DD165" i="21" a="1"/>
  <c r="FF159" i="21" a="1"/>
  <c r="FH130" i="21" a="1"/>
  <c r="DG83" i="21" a="1"/>
  <c r="DF89" i="21" a="1"/>
  <c r="AF124" i="21" a="1"/>
  <c r="DI111" i="21" a="1"/>
  <c r="AC101" i="21" a="1"/>
  <c r="AG90" i="21" a="1"/>
  <c r="FH112" i="21" a="1"/>
  <c r="DM82" i="21" a="1"/>
  <c r="DK148" i="21" a="1"/>
  <c r="AG149" i="21" a="1"/>
  <c r="DF74" i="21" a="1"/>
  <c r="DD124" i="21" a="1"/>
  <c r="V128" i="21" a="1"/>
  <c r="FD74" i="21" a="1"/>
  <c r="DF158" i="21" a="1"/>
  <c r="AE156" i="21" a="1"/>
  <c r="FJ145" i="21" a="1"/>
  <c r="DH85" i="21" a="1"/>
  <c r="FH182" i="21" a="1"/>
  <c r="FC144" i="21" a="1"/>
  <c r="DC77" i="21" a="1"/>
  <c r="AE153" i="21" a="1"/>
  <c r="FG93" i="21" a="1"/>
  <c r="DF94" i="21" a="1"/>
  <c r="AA160" i="21" a="1"/>
  <c r="FM180" i="21" a="1"/>
  <c r="DH113" i="21" a="1"/>
  <c r="X141" i="21" a="1"/>
  <c r="FC119" i="21" a="1"/>
  <c r="DK89" i="21" a="1"/>
  <c r="FM124" i="21" a="1"/>
  <c r="DN76" i="21" a="1"/>
  <c r="FF148" i="21" a="1"/>
  <c r="DE131" i="21" a="1"/>
  <c r="DE156" i="21" a="1"/>
  <c r="V133" i="21" a="1"/>
  <c r="V116" i="21" a="1"/>
  <c r="FD115" i="21" a="1"/>
  <c r="DG131" i="21" a="1"/>
  <c r="DN165" i="21" a="1"/>
  <c r="DD134" i="21" a="1"/>
  <c r="DE124" i="21" a="1"/>
  <c r="FD87" i="21" a="1"/>
  <c r="AC83" i="21" a="1"/>
  <c r="AD76" i="21" a="1"/>
  <c r="DG173" i="21" a="1"/>
  <c r="W120" i="21" a="1"/>
  <c r="AB178" i="21" a="1"/>
  <c r="DK156" i="21" a="1"/>
  <c r="FJ69" i="21" a="1"/>
  <c r="FG156" i="21" a="1"/>
  <c r="FB120" i="21" a="1"/>
  <c r="AD178" i="21" a="1"/>
  <c r="FE156" i="21" a="1"/>
  <c r="DM85" i="21" a="1"/>
  <c r="FK177" i="21" a="1"/>
  <c r="DC132" i="21" a="1"/>
  <c r="AE75" i="21" a="1"/>
  <c r="FD145" i="21" a="1"/>
  <c r="AC120" i="21" a="1"/>
  <c r="AA177" i="21" a="1"/>
  <c r="V156" i="21" a="1"/>
  <c r="AB75" i="21" a="1"/>
  <c r="FL145" i="21" a="1"/>
  <c r="DC69" i="21" a="1"/>
  <c r="DE89" i="21" a="1"/>
  <c r="AC159" i="21" a="1"/>
  <c r="Z170" i="21" a="1"/>
  <c r="DM180" i="21" a="1"/>
  <c r="FB91" i="21" a="1"/>
  <c r="DK91" i="21" a="1"/>
  <c r="FK91" i="21" a="1"/>
  <c r="AE142" i="21" a="1"/>
  <c r="Y160" i="21" a="1"/>
  <c r="AA125" i="21" a="1"/>
  <c r="AA76" i="21" a="1"/>
  <c r="FK165" i="21" a="1"/>
  <c r="Z119" i="21" a="1"/>
  <c r="DL168" i="21" a="1"/>
  <c r="DJ152" i="21" a="1"/>
  <c r="FM109" i="21" a="1"/>
  <c r="DG118" i="21" a="1"/>
  <c r="FL77" i="21" a="1"/>
  <c r="DE133" i="21" a="1"/>
  <c r="Z146" i="21" a="1"/>
  <c r="AA145" i="21" a="1"/>
  <c r="FH119" i="21" a="1"/>
  <c r="FH84" i="21" a="1"/>
  <c r="AC155" i="21" a="1"/>
  <c r="FG175" i="21" a="1"/>
  <c r="FI99" i="21" a="1"/>
  <c r="FM174" i="21" a="1"/>
  <c r="DH185" i="21" a="1"/>
  <c r="FK125" i="21" a="1"/>
  <c r="FM158" i="21" a="1"/>
  <c r="DK83" i="21" a="1"/>
  <c r="Z120" i="21" a="1"/>
  <c r="DF70" i="21" a="1"/>
  <c r="AB137" i="21" a="1"/>
  <c r="FF69" i="21" a="1"/>
  <c r="FF77" i="21" a="1"/>
  <c r="DD85" i="21" a="1"/>
  <c r="FG75" i="21" a="1"/>
  <c r="AD160" i="21" a="1"/>
  <c r="DF160" i="21" a="1"/>
  <c r="DD79" i="21" a="1"/>
  <c r="FI90" i="21" a="1"/>
  <c r="X109" i="21" a="1"/>
  <c r="DK180" i="21" a="1"/>
  <c r="AF120" i="21" a="1"/>
  <c r="FF109" i="21" a="1"/>
  <c r="AC70" i="21" a="1"/>
  <c r="DM146" i="21" a="1"/>
  <c r="FF80" i="21" a="1"/>
  <c r="DG90" i="21" a="1"/>
  <c r="W114" i="21" a="1"/>
  <c r="DL184" i="21" a="1"/>
  <c r="FI109" i="21" a="1"/>
  <c r="FG173" i="21" a="1"/>
  <c r="FD68" i="21" a="1"/>
  <c r="DM185" i="21" a="1"/>
  <c r="DD166" i="21" a="1"/>
  <c r="Y124" i="21" a="1"/>
  <c r="FF134" i="21" a="1"/>
  <c r="FB89" i="21" a="1"/>
  <c r="DH162" i="21" a="1"/>
  <c r="Z128" i="21" a="1"/>
  <c r="FL128" i="21" a="1"/>
  <c r="DF81" i="21" a="1"/>
  <c r="DN71" i="21" a="1"/>
  <c r="DJ170" i="21" a="1"/>
  <c r="DI180" i="21" a="1"/>
  <c r="FB137" i="21" a="1"/>
  <c r="DH81" i="21" a="1"/>
  <c r="FG144" i="21" a="1"/>
  <c r="DM70" i="21" a="1"/>
  <c r="DJ159" i="21" a="1"/>
  <c r="AG72" i="21" a="1"/>
  <c r="DC76" i="21" a="1"/>
  <c r="FF167" i="21" a="1"/>
  <c r="FJ169" i="21" a="1"/>
  <c r="AD146" i="21" a="1"/>
  <c r="FF184" i="21" a="1"/>
  <c r="FC120" i="21" a="1"/>
  <c r="FH178" i="21" a="1"/>
  <c r="DL120" i="21" a="1"/>
  <c r="DK69" i="21" a="1"/>
  <c r="AA156" i="21" a="1"/>
  <c r="DM144" i="21" a="1"/>
  <c r="DK178" i="21" a="1"/>
  <c r="AF86" i="21" a="1"/>
  <c r="FL85" i="21" a="1"/>
  <c r="DI167" i="21" a="1"/>
  <c r="V132" i="21" a="1"/>
  <c r="FK75" i="21" a="1"/>
  <c r="DE145" i="21" a="1"/>
  <c r="FI120" i="21" a="1"/>
  <c r="FB167" i="21" a="1"/>
  <c r="FB156" i="21" a="1"/>
  <c r="DI75" i="21" a="1"/>
  <c r="DM145" i="21" a="1"/>
  <c r="DI81" i="21" a="1"/>
  <c r="FE153" i="21" a="1"/>
  <c r="FC153" i="21" a="1"/>
  <c r="Z152" i="21" a="1"/>
  <c r="DC72" i="21" a="1"/>
  <c r="FI145" i="21" a="1"/>
  <c r="FG94" i="21" a="1"/>
  <c r="FF79" i="21" a="1"/>
  <c r="DH137" i="21" a="1"/>
  <c r="DM178" i="21" a="1"/>
  <c r="DL142" i="21" a="1"/>
  <c r="FI142" i="21" a="1"/>
  <c r="DM90" i="21" a="1"/>
  <c r="DK105" i="21" a="1"/>
  <c r="DI120" i="21" a="1"/>
  <c r="Y115" i="21" a="1"/>
  <c r="DL82" i="21" a="1"/>
  <c r="V150" i="21" a="1"/>
  <c r="V169" i="21" a="1"/>
  <c r="FL130" i="21" a="1"/>
  <c r="DJ72" i="21" a="1"/>
  <c r="Z99" i="21" a="1"/>
  <c r="V83" i="21" a="1"/>
  <c r="DH143" i="21" a="1"/>
  <c r="AC96" i="21" a="1"/>
  <c r="AA146" i="21" a="1"/>
  <c r="DG78" i="21" a="1"/>
  <c r="FC123" i="21" a="1"/>
  <c r="FL93" i="21" a="1"/>
  <c r="DC124" i="21" a="1"/>
  <c r="FB117" i="21" a="1"/>
  <c r="FL182" i="21" a="1"/>
  <c r="FD117" i="21" a="1"/>
  <c r="DL117" i="21" a="1"/>
  <c r="AF160" i="21" a="1"/>
  <c r="DM69" i="21" a="1"/>
  <c r="AC150" i="21" a="1"/>
  <c r="FE71" i="21" a="1"/>
  <c r="AG153" i="21" a="1"/>
  <c r="FM112" i="21" a="1"/>
  <c r="FM144" i="21" a="1"/>
  <c r="FH117" i="21" a="1"/>
  <c r="DD155" i="21" a="1"/>
  <c r="AE150" i="21" a="1"/>
  <c r="DG135" i="21" a="1"/>
  <c r="DH167" i="21" a="1"/>
  <c r="DJ81" i="21" a="1"/>
  <c r="FC166" i="21" a="1"/>
  <c r="FJ132" i="21" a="1"/>
  <c r="AF185" i="21" a="1"/>
  <c r="AA90" i="21" a="1"/>
  <c r="FH184" i="21" a="1"/>
  <c r="FE146" i="21" a="1"/>
  <c r="DL148" i="21" a="1"/>
  <c r="Z110" i="21" a="1"/>
  <c r="DM122" i="21" a="1"/>
  <c r="W111" i="21" a="1"/>
  <c r="FB98" i="21" a="1"/>
  <c r="FL157" i="21" a="1"/>
  <c r="FM128" i="21" a="1"/>
  <c r="AD158" i="21" a="1"/>
  <c r="DL83" i="21" a="1"/>
  <c r="FI76" i="21" a="1"/>
  <c r="AD74" i="21" a="1"/>
  <c r="DC81" i="21" a="1"/>
  <c r="AF153" i="21" a="1"/>
  <c r="W76" i="21" a="1"/>
  <c r="X117" i="21" a="1"/>
  <c r="DH93" i="21" a="1"/>
  <c r="V160" i="21" a="1"/>
  <c r="AG163" i="21" a="1"/>
  <c r="Y76" i="21" a="1"/>
  <c r="DM112" i="21" a="1"/>
  <c r="DG178" i="21" a="1"/>
  <c r="FE79" i="21" a="1"/>
  <c r="DM110" i="21" a="1"/>
  <c r="AG142" i="21" a="1"/>
  <c r="V162" i="21" a="1"/>
  <c r="Z85" i="21" a="1"/>
  <c r="DI178" i="21" a="1"/>
  <c r="FK120" i="21" a="1"/>
  <c r="AG178" i="21" a="1"/>
  <c r="DH156" i="21" a="1"/>
  <c r="AF144" i="21" a="1"/>
  <c r="FJ178" i="21" a="1"/>
  <c r="FL86" i="21" a="1"/>
  <c r="Y132" i="21" a="1"/>
  <c r="AF85" i="21" a="1"/>
  <c r="AB167" i="21" a="1"/>
  <c r="FC69" i="21" a="1"/>
  <c r="FH177" i="21" a="1"/>
  <c r="X145" i="21" a="1"/>
  <c r="DJ120" i="21" a="1"/>
  <c r="DC167" i="21" a="1"/>
  <c r="Y69" i="21" a="1"/>
  <c r="Y93" i="21" a="1"/>
  <c r="AF145" i="21" a="1"/>
  <c r="DG85" i="21" a="1"/>
  <c r="DL145" i="21" a="1"/>
  <c r="AE120" i="21" a="1"/>
  <c r="DN178" i="21" a="1"/>
  <c r="DJ86" i="21" a="1"/>
  <c r="FL144" i="21" a="1"/>
  <c r="DD132" i="21" a="1"/>
  <c r="DM86" i="21" a="1"/>
  <c r="DK167" i="21" a="1"/>
  <c r="FE132" i="21" a="1"/>
  <c r="AC75" i="21" a="1"/>
  <c r="FH167" i="21" a="1"/>
  <c r="FF85" i="21" a="1"/>
  <c r="FK145" i="21" a="1"/>
  <c r="DL85" i="21" a="1"/>
  <c r="FM178" i="21" a="1"/>
  <c r="FI86" i="21" a="1"/>
  <c r="FC132" i="21" a="1"/>
  <c r="DE93" i="21" a="1"/>
  <c r="AE145" i="21" a="1"/>
  <c r="AE85" i="21" a="1"/>
  <c r="DJ132" i="21" a="1"/>
  <c r="AC86" i="21" a="1"/>
  <c r="W132" i="21" a="1"/>
  <c r="DC75" i="21" a="1"/>
  <c r="FJ167" i="21" a="1"/>
  <c r="DE69" i="21" a="1"/>
  <c r="DJ75" i="21" a="1"/>
  <c r="AE178" i="21" a="1"/>
  <c r="AB85" i="21" a="1"/>
  <c r="DJ167" i="21" a="1"/>
  <c r="DN132" i="21" a="1"/>
  <c r="DG75" i="21" a="1"/>
  <c r="AG145" i="21" a="1"/>
  <c r="DF120" i="21" a="1"/>
  <c r="FM167" i="21" a="1"/>
  <c r="AC156" i="21" a="1"/>
  <c r="FL171" i="21" a="1"/>
  <c r="DK76" i="21" a="1"/>
  <c r="DJ137" i="21" a="1"/>
  <c r="DI91" i="21" a="1"/>
  <c r="FH150" i="21" a="1"/>
  <c r="AC93" i="21" a="1"/>
  <c r="X111" i="21" a="1"/>
  <c r="AB144" i="21" a="1"/>
  <c r="AA150" i="21" a="1"/>
  <c r="FB71" i="21" a="1"/>
  <c r="AB71" i="21" a="1"/>
  <c r="FG125" i="21" a="1"/>
  <c r="DN82" i="21" a="1"/>
  <c r="AD119" i="21" a="1"/>
  <c r="FF115" i="21" a="1"/>
  <c r="DF114" i="21" a="1"/>
  <c r="AE143" i="21" a="1"/>
  <c r="DN160" i="21" a="1"/>
  <c r="DF99" i="21" a="1"/>
  <c r="FF141" i="21" a="1"/>
  <c r="AC171" i="21" a="1"/>
  <c r="Z135" i="21" a="1"/>
  <c r="DE113" i="21" a="1"/>
  <c r="FE135" i="21" a="1"/>
  <c r="FI101" i="21" a="1"/>
  <c r="DC112" i="21" a="1"/>
  <c r="AD106" i="21" a="1"/>
  <c r="FJ124" i="21" a="1"/>
  <c r="AF175" i="21" a="1"/>
  <c r="AD78" i="21" a="1"/>
  <c r="FE74" i="21" a="1"/>
  <c r="DK177" i="21" a="1"/>
  <c r="DJ177" i="21" a="1"/>
  <c r="FE145" i="21" a="1"/>
  <c r="DG175" i="21" a="1"/>
  <c r="AE159" i="21" a="1"/>
  <c r="AB152" i="21" a="1"/>
  <c r="AC188" i="21" a="1"/>
  <c r="DM137" i="21" a="1"/>
  <c r="W70" i="21" a="1"/>
  <c r="DK71" i="21" a="1"/>
  <c r="DH144" i="21" a="1"/>
  <c r="DF115" i="21" a="1"/>
  <c r="AG120" i="21" a="1"/>
  <c r="AB89" i="21" a="1"/>
  <c r="AD180" i="21" a="1"/>
  <c r="AE162" i="21" a="1"/>
  <c r="FB72" i="21" a="1"/>
  <c r="FK111" i="21" a="1"/>
  <c r="FK184" i="21" a="1"/>
  <c r="AF130" i="21" a="1"/>
  <c r="DM124" i="21" a="1"/>
  <c r="FI105" i="21" a="1"/>
  <c r="Z130" i="21" a="1"/>
  <c r="DC105" i="21" a="1"/>
  <c r="FC78" i="21" a="1"/>
  <c r="DI150" i="21" a="1"/>
  <c r="DF148" i="21" a="1"/>
  <c r="DI82" i="21" a="1"/>
  <c r="FG162" i="21" a="1"/>
  <c r="AG158" i="21" a="1"/>
  <c r="AF128" i="21" a="1"/>
  <c r="FE81" i="21" a="1"/>
  <c r="W124" i="21" a="1"/>
  <c r="DC91" i="21" a="1"/>
  <c r="DH70" i="21" a="1"/>
  <c r="DD150" i="21" a="1"/>
  <c r="AA91" i="21" a="1"/>
  <c r="DI132" i="21" a="1"/>
  <c r="Z163" i="21" a="1"/>
  <c r="DG144" i="21" a="1"/>
  <c r="X156" i="21" a="1"/>
  <c r="DG71" i="21" a="1"/>
  <c r="FE77" i="21" a="1"/>
  <c r="DD152" i="21" a="1"/>
  <c r="W109" i="21" a="1"/>
  <c r="DI86" i="21" a="1"/>
  <c r="X93" i="21" a="1"/>
  <c r="AD156" i="21" a="1"/>
  <c r="FK85" i="21" a="1"/>
  <c r="AC132" i="21" a="1"/>
  <c r="FB75" i="21" a="1"/>
  <c r="W69" i="21" a="1"/>
  <c r="AB69" i="21" a="1"/>
  <c r="FE69" i="21" a="1"/>
  <c r="DH72" i="21" a="1"/>
  <c r="DF72" i="21" a="1"/>
  <c r="AA159" i="21" a="1"/>
  <c r="V170" i="21" a="1"/>
  <c r="DL72" i="21" a="1"/>
  <c r="AF178" i="21" a="1"/>
  <c r="FI128" i="21" a="1"/>
  <c r="DH171" i="21" a="1"/>
  <c r="FH132" i="21" a="1"/>
  <c r="DM169" i="21" a="1"/>
  <c r="FH133" i="21" a="1"/>
  <c r="DG133" i="21" a="1"/>
  <c r="FB105" i="21" a="1"/>
  <c r="DL111" i="21" a="1"/>
  <c r="DD141" i="21" a="1"/>
  <c r="AD71" i="21" a="1"/>
  <c r="DM170" i="21" a="1"/>
  <c r="AD153" i="21" a="1"/>
  <c r="DH94" i="21" a="1"/>
  <c r="FD137" i="21" a="1"/>
  <c r="DL79" i="21" a="1"/>
  <c r="DH120" i="21" a="1"/>
  <c r="Z117" i="21" a="1"/>
  <c r="DL180" i="21" a="1"/>
  <c r="AA116" i="21" a="1"/>
  <c r="AA165" i="21" a="1"/>
  <c r="DH124" i="21" a="1"/>
  <c r="DG99" i="21" a="1"/>
  <c r="DJ106" i="21" a="1"/>
  <c r="DK158" i="21" a="1"/>
  <c r="DJ76" i="21" a="1"/>
  <c r="FK81" i="21" a="1"/>
  <c r="FC152" i="21" a="1"/>
  <c r="DM72" i="21" a="1"/>
  <c r="DE167" i="21" a="1"/>
  <c r="FD79" i="21" a="1"/>
  <c r="AF173" i="21" a="1"/>
  <c r="Y112" i="21" a="1"/>
  <c r="DL160" i="21" a="1"/>
  <c r="Y111" i="21" a="1"/>
  <c r="DJ93" i="21" a="1"/>
  <c r="X123" i="21" a="1"/>
  <c r="AA99" i="21" a="1"/>
  <c r="DF134" i="21" a="1"/>
  <c r="AD89" i="21" a="1"/>
  <c r="FB116" i="21" a="1"/>
  <c r="AD148" i="21" a="1"/>
  <c r="FC86" i="21" a="1"/>
  <c r="V141" i="21" a="1"/>
  <c r="DG80" i="21" a="1"/>
  <c r="DJ178" i="21" a="1"/>
  <c r="FF128" i="21" a="1"/>
  <c r="AG173" i="21" a="1"/>
  <c r="DJ173" i="21" a="1"/>
  <c r="DK153" i="21" a="1"/>
  <c r="X94" i="21" a="1"/>
  <c r="DN153" i="21" a="1"/>
  <c r="FL177" i="21" a="1"/>
  <c r="FD91" i="21" a="1"/>
  <c r="DE162" i="21" a="1"/>
  <c r="AG105" i="21" a="1"/>
  <c r="DH165" i="21" a="1"/>
  <c r="FM160" i="21" a="1"/>
  <c r="V146" i="21" a="1"/>
  <c r="FG178" i="21" a="1"/>
  <c r="DJ169" i="21" a="1"/>
  <c r="DJ128" i="21" a="1"/>
  <c r="DF110" i="21" a="1"/>
  <c r="DK185" i="21" a="1"/>
  <c r="DF159" i="21" a="1"/>
  <c r="DF146" i="21" a="1"/>
  <c r="DK78" i="21" a="1"/>
  <c r="DM158" i="21" a="1"/>
  <c r="DG87" i="21" a="1"/>
  <c r="FE134" i="21" a="1"/>
  <c r="FB134" i="21" a="1"/>
  <c r="FL153" i="21" a="1"/>
  <c r="Y152" i="21" a="1"/>
  <c r="DM153" i="21" a="1"/>
  <c r="V93" i="21" a="1"/>
  <c r="DG163" i="21" a="1"/>
  <c r="FB145" i="21" a="1"/>
  <c r="FE137" i="21" a="1"/>
  <c r="FM165" i="21" a="1"/>
  <c r="FI113" i="21" a="1"/>
  <c r="Z155" i="21" a="1"/>
  <c r="AF70" i="21" a="1"/>
  <c r="FC128" i="21" a="1"/>
  <c r="FC150" i="21" a="1"/>
  <c r="DD135" i="21" a="1"/>
  <c r="AF115" i="21" a="1"/>
  <c r="AC128" i="21" a="1"/>
  <c r="DF130" i="21" a="1"/>
  <c r="DL110" i="21" a="1"/>
  <c r="DL124" i="21" a="1"/>
  <c r="DL137" i="21" a="1"/>
  <c r="AC124" i="21" a="1"/>
  <c r="Z101" i="21" a="1"/>
  <c r="DI135" i="21" a="1"/>
  <c r="FC146" i="21" a="1"/>
  <c r="AG114" i="21" a="1"/>
  <c r="DJ83" i="21" a="1"/>
  <c r="DN125" i="21" a="1"/>
  <c r="AC152" i="21" a="1"/>
  <c r="W75" i="21" a="1"/>
  <c r="W71" i="21" a="1"/>
  <c r="DL153" i="21" a="1"/>
  <c r="DI188" i="21" a="1"/>
  <c r="FD155" i="21" a="1"/>
  <c r="AE118" i="21" a="1"/>
  <c r="DH155" i="21" a="1"/>
  <c r="FB150" i="21" a="1"/>
  <c r="AC74" i="21" a="1"/>
  <c r="FG98" i="21" a="1"/>
  <c r="FG133" i="21" a="1"/>
  <c r="DN184" i="21" a="1"/>
  <c r="X82" i="21" a="1"/>
  <c r="DL140" i="21" a="1"/>
  <c r="DK116" i="21" a="1"/>
  <c r="FF130" i="21" a="1"/>
  <c r="FE114" i="21" a="1"/>
  <c r="AA133" i="21" a="1"/>
  <c r="AG135" i="21" a="1"/>
  <c r="DD114" i="21" a="1"/>
  <c r="AB96" i="21" a="1"/>
  <c r="FD89" i="21" a="1"/>
  <c r="AF159" i="21" a="1"/>
  <c r="FL94" i="21" a="1"/>
  <c r="AE70" i="21" a="1"/>
  <c r="FD70" i="21" a="1"/>
  <c r="DD75" i="21" a="1"/>
  <c r="FC71" i="21" a="1"/>
  <c r="X167" i="21" a="1"/>
  <c r="FI160" i="21" a="1"/>
  <c r="DJ117" i="21" a="1"/>
  <c r="FH141" i="21" a="1"/>
  <c r="FM179" i="21" a="1"/>
  <c r="AG94" i="21" a="1"/>
  <c r="FK144" i="21" a="1"/>
  <c r="DD146" i="21" a="1"/>
  <c r="DD160" i="21" a="1"/>
  <c r="AC113" i="21" a="1"/>
  <c r="DD115" i="21" a="1"/>
  <c r="W79" i="21" a="1"/>
  <c r="DL150" i="21" a="1"/>
  <c r="FD165" i="21" a="1"/>
  <c r="FK148" i="21" a="1"/>
  <c r="DL113" i="21" a="1"/>
  <c r="AG98" i="21" a="1"/>
  <c r="DL69" i="21" a="1"/>
  <c r="FJ105" i="21" a="1"/>
  <c r="DI105" i="21" a="1"/>
  <c r="DG140" i="21" a="1"/>
  <c r="DG124" i="21" a="1"/>
  <c r="FH90" i="21" a="1"/>
  <c r="DD123" i="21" a="1"/>
  <c r="DG134" i="21" a="1"/>
  <c r="AD81" i="21" a="1"/>
  <c r="FI157" i="21" a="1"/>
  <c r="DK98" i="21" a="1"/>
  <c r="FD123" i="21" a="1"/>
  <c r="DD112" i="21" a="1"/>
  <c r="Z87" i="21" a="1"/>
  <c r="AE99" i="21" a="1"/>
  <c r="AE68" i="21" a="1"/>
  <c r="FH88" i="21" a="1"/>
  <c r="AA148" i="21" a="1"/>
  <c r="DK82" i="21" a="1"/>
  <c r="AF184" i="21" a="1"/>
  <c r="FF142" i="21" a="1"/>
  <c r="FJ90" i="21" a="1"/>
  <c r="DN86" i="21" a="1"/>
  <c r="FG78" i="21" a="1"/>
  <c r="FJ116" i="21" a="1"/>
  <c r="DH74" i="21" a="1"/>
  <c r="FC142" i="21" a="1"/>
  <c r="DD158" i="21" a="1"/>
  <c r="FI146" i="21" a="1"/>
  <c r="DJ74" i="21" a="1"/>
  <c r="AF71" i="21" a="1"/>
  <c r="X152" i="21" a="1"/>
  <c r="DG79" i="21" a="1"/>
  <c r="DK75" i="21" a="1"/>
  <c r="FM119" i="21" a="1"/>
  <c r="FK74" i="21" a="1"/>
  <c r="FF185" i="21" a="1"/>
  <c r="DH116" i="21" a="1"/>
  <c r="FB143" i="21" a="1"/>
  <c r="AE111" i="21" a="1"/>
  <c r="DI119" i="21" a="1"/>
  <c r="FH68" i="21" a="1"/>
  <c r="AF87" i="21" a="1"/>
  <c r="DH111" i="21" a="1"/>
  <c r="FC131" i="21" a="1"/>
  <c r="DJ119" i="21" a="1"/>
  <c r="AB153" i="21" a="1"/>
  <c r="AD110" i="21" a="1"/>
  <c r="FE96" i="21" a="1"/>
  <c r="FL166" i="21" a="1"/>
  <c r="AB109" i="21" a="1"/>
  <c r="FL137" i="21" a="1"/>
  <c r="W119" i="21" a="1"/>
  <c r="FD98" i="21" a="1"/>
  <c r="W133" i="21" a="1"/>
  <c r="DI174" i="21" a="1"/>
  <c r="DH166" i="21" a="1"/>
  <c r="AF91" i="21" a="1"/>
  <c r="DL157" i="21" a="1"/>
  <c r="Z157" i="21" a="1"/>
  <c r="FF99" i="21" a="1"/>
  <c r="Z139" i="21" a="1"/>
  <c r="FH142" i="21" a="1"/>
  <c r="X132" i="21" a="1"/>
  <c r="DN180" i="21" a="1"/>
  <c r="AE86" i="21" a="1"/>
  <c r="DK81" i="21" a="1"/>
  <c r="DD130" i="21" a="1"/>
  <c r="FI174" i="21" a="1"/>
  <c r="FB155" i="21" a="1"/>
  <c r="FH72" i="21" a="1"/>
  <c r="AE171" i="21" a="1"/>
  <c r="AF114" i="21" a="1"/>
  <c r="DG116" i="21" a="1"/>
  <c r="DD86" i="21" a="1"/>
  <c r="DE142" i="21" a="1"/>
  <c r="FG74" i="21" a="1"/>
  <c r="AG157" i="21" a="1"/>
  <c r="FC115" i="21" a="1"/>
  <c r="DH150" i="21" a="1"/>
  <c r="FB99" i="21" a="1"/>
  <c r="W87" i="21" a="1"/>
  <c r="FE148" i="21" a="1"/>
  <c r="DG98" i="21" a="1"/>
  <c r="FL79" i="21" a="1"/>
  <c r="DC170" i="21" a="1"/>
  <c r="DC120" i="21" a="1"/>
  <c r="DD69" i="21" a="1"/>
  <c r="Z75" i="21" a="1"/>
  <c r="FE120" i="21" a="1"/>
  <c r="FC137" i="21" a="1"/>
  <c r="FF120" i="21" a="1"/>
  <c r="FD77" i="21" a="1"/>
  <c r="V145" i="21" a="1"/>
  <c r="DJ91" i="21" a="1"/>
  <c r="AA94" i="21" a="1"/>
  <c r="DC131" i="21" a="1"/>
  <c r="AA157" i="21" a="1"/>
  <c r="AF152" i="21" a="1"/>
  <c r="FD113" i="21" a="1"/>
  <c r="FJ123" i="21" a="1"/>
  <c r="DL128" i="21" a="1"/>
  <c r="FL122" i="21" a="1"/>
  <c r="FH82" i="21" a="1"/>
  <c r="V152" i="21" a="1"/>
  <c r="DN144" i="21" a="1"/>
  <c r="Y85" i="21" a="1"/>
  <c r="FJ160" i="21" a="1"/>
  <c r="FB159" i="21" a="1"/>
  <c r="FE70" i="21" a="1"/>
  <c r="Y98" i="21" a="1"/>
  <c r="FD132" i="21" a="1"/>
  <c r="V105" i="21" a="1"/>
  <c r="FM146" i="21" a="1"/>
  <c r="V137" i="21" a="1"/>
  <c r="FL80" i="21" a="1"/>
  <c r="FF139" i="21" a="1"/>
  <c r="Z68" i="21" a="1"/>
  <c r="FD140" i="21" a="1"/>
  <c r="AD83" i="21" a="1"/>
  <c r="FC124" i="21" a="1"/>
  <c r="X74" i="21" a="1"/>
  <c r="FJ150" i="21" a="1"/>
  <c r="FE75" i="21" a="1"/>
  <c r="AA112" i="21" a="1"/>
  <c r="Z91" i="21" a="1"/>
  <c r="DI170" i="21" a="1"/>
  <c r="AE163" i="21" a="1"/>
  <c r="DD70" i="21" a="1"/>
  <c r="FF94" i="21" a="1"/>
  <c r="AG79" i="21" a="1"/>
  <c r="X128" i="21" a="1"/>
  <c r="AE148" i="21" a="1"/>
  <c r="FL165" i="21" a="1"/>
  <c r="FM89" i="21" a="1"/>
  <c r="AF74" i="21" a="1"/>
  <c r="FE116" i="21" a="1"/>
  <c r="AG141" i="21" a="1"/>
  <c r="DK139" i="21" a="1"/>
  <c r="FB113" i="21" a="1"/>
  <c r="AC87" i="21" a="1"/>
  <c r="X89" i="21" a="1"/>
  <c r="FB111" i="21" a="1"/>
  <c r="FL173" i="21" a="1"/>
  <c r="FM152" i="21" a="1"/>
  <c r="W94" i="21" a="1"/>
  <c r="DE132" i="21" a="1"/>
  <c r="AA70" i="21" a="1"/>
  <c r="AA180" i="21" a="1"/>
  <c r="FD114" i="21" a="1"/>
  <c r="DK94" i="21" a="1"/>
  <c r="FK86" i="21" a="1"/>
  <c r="Y71" i="21" a="1"/>
  <c r="DN169" i="21" a="1"/>
  <c r="FB115" i="21" a="1"/>
  <c r="DL133" i="21" a="1"/>
  <c r="FJ87" i="21" a="1"/>
  <c r="W96" i="21" a="1"/>
  <c r="DE110" i="21" a="1"/>
  <c r="FI119" i="21" a="1"/>
  <c r="FK127" i="21" a="1"/>
  <c r="FM114" i="21" a="1"/>
  <c r="FM99" i="21" a="1"/>
  <c r="DC173" i="21" a="1"/>
  <c r="AF93" i="21" a="1"/>
  <c r="W135" i="21" a="1"/>
  <c r="DN112" i="21" a="1"/>
  <c r="FF76" i="21" a="1"/>
  <c r="DG76" i="21" a="1"/>
  <c r="FK137" i="21" a="1"/>
  <c r="FL76" i="21" a="1"/>
  <c r="AD93" i="21" a="1"/>
  <c r="AF177" i="21" a="1"/>
  <c r="DN123" i="21" a="1"/>
  <c r="DI173" i="21" a="1"/>
  <c r="DG185" i="21" a="1"/>
  <c r="FI70" i="21" a="1"/>
  <c r="DM87" i="21" a="1"/>
  <c r="FL81" i="21" a="1"/>
  <c r="W113" i="21" a="1"/>
  <c r="DL68" i="21" a="1"/>
  <c r="AE155" i="21" a="1"/>
  <c r="AE133" i="21" a="1"/>
  <c r="FK110" i="21" a="1"/>
  <c r="FE131" i="21" a="1"/>
  <c r="DN69" i="21" a="1"/>
  <c r="FF166" i="21" a="1"/>
  <c r="FJ85" i="21" a="1"/>
  <c r="X96" i="21" a="1"/>
  <c r="DM160" i="21" a="1"/>
  <c r="AE127" i="21" a="1"/>
  <c r="DL76" i="21" a="1"/>
  <c r="DM152" i="21" a="1"/>
  <c r="FL152" i="21" a="1"/>
  <c r="Z144" i="21" a="1"/>
  <c r="DC71" i="21" a="1"/>
  <c r="DJ188" i="21" a="1"/>
  <c r="X144" i="21" a="1"/>
  <c r="AC157" i="21" a="1"/>
  <c r="Z80" i="21" a="1"/>
  <c r="FC157" i="21" a="1"/>
  <c r="Z69" i="21" a="1"/>
  <c r="AE157" i="21" a="1"/>
  <c r="AF69" i="21" a="1"/>
  <c r="DK166" i="21" a="1"/>
  <c r="DD113" i="21" a="1"/>
  <c r="AA158" i="21" a="1"/>
  <c r="FF180" i="21" a="1"/>
  <c r="FK106" i="21" a="1"/>
  <c r="V90" i="21" a="1"/>
  <c r="DD159" i="21" a="1"/>
  <c r="FB166" i="21" a="1"/>
  <c r="FJ83" i="21" a="1"/>
  <c r="DH174" i="21" a="1"/>
  <c r="FJ173" i="21" a="1"/>
  <c r="AB81" i="21" a="1"/>
  <c r="FM182" i="21" a="1"/>
  <c r="DJ180" i="21" a="1"/>
  <c r="Y70" i="21" a="1"/>
  <c r="V142" i="21" a="1"/>
  <c r="DN75" i="21" a="1"/>
  <c r="Z79" i="21" a="1"/>
  <c r="DM177" i="21" a="1"/>
  <c r="DM71" i="21" a="1"/>
  <c r="FC77" i="21" a="1"/>
  <c r="DK135" i="21" a="1"/>
  <c r="FD167" i="21" a="1"/>
  <c r="FJ148" i="21" a="1"/>
  <c r="FH152" i="21" a="1"/>
  <c r="AA113" i="21" a="1"/>
  <c r="DI133" i="21" a="1"/>
  <c r="FD133" i="21" a="1"/>
  <c r="W93" i="21" a="1"/>
  <c r="AG182" i="21" a="1"/>
  <c r="FD94" i="21" a="1"/>
  <c r="AE112" i="21" a="1"/>
  <c r="FH78" i="21" a="1"/>
  <c r="AE144" i="21" a="1"/>
  <c r="AB105" i="21" a="1"/>
  <c r="FB165" i="21" a="1"/>
  <c r="FI143" i="21" a="1"/>
  <c r="AC68" i="21" a="1"/>
  <c r="DG112" i="21" a="1"/>
  <c r="FJ155" i="21" a="1"/>
  <c r="DD109" i="21" a="1"/>
  <c r="DC90" i="21" a="1"/>
  <c r="DK159" i="21" a="1"/>
  <c r="DF132" i="21" a="1"/>
  <c r="DI85" i="21" a="1"/>
  <c r="FF75" i="21" a="1"/>
  <c r="DF93" i="21" a="1"/>
  <c r="AD117" i="21" a="1"/>
  <c r="AF182" i="21" a="1"/>
  <c r="AA137" i="21" a="1"/>
  <c r="AC160" i="21" a="1"/>
  <c r="AE79" i="21" a="1"/>
  <c r="AE165" i="21" a="1"/>
  <c r="DG125" i="21" a="1"/>
  <c r="AF146" i="21" a="1"/>
  <c r="FG145" i="21" a="1"/>
  <c r="AG140" i="21" a="1"/>
  <c r="FC133" i="21" a="1"/>
  <c r="AA115" i="21" a="1"/>
  <c r="FG90" i="21" a="1"/>
  <c r="FH128" i="21" a="1"/>
  <c r="AA162" i="21" a="1"/>
  <c r="FK94" i="21" a="1"/>
  <c r="X70" i="21" a="1"/>
  <c r="FM153" i="21" a="1"/>
  <c r="V94" i="21" a="1"/>
  <c r="DD163" i="21" a="1"/>
  <c r="Z86" i="21" a="1"/>
  <c r="AD77" i="21" a="1"/>
  <c r="FB90" i="21" a="1"/>
  <c r="Y110" i="21" a="1"/>
  <c r="AE180" i="21" a="1"/>
  <c r="FF174" i="21" a="1"/>
  <c r="AF142" i="21" a="1"/>
  <c r="FC68" i="21" a="1"/>
  <c r="FB135" i="21" a="1"/>
  <c r="AC76" i="21" a="1"/>
  <c r="DL81" i="21" a="1"/>
  <c r="DM128" i="21" a="1"/>
  <c r="AG159" i="21" a="1"/>
  <c r="DD94" i="21" a="1"/>
  <c r="DK137" i="21" a="1"/>
  <c r="FF163" i="21" a="1"/>
  <c r="FF70" i="21" a="1"/>
  <c r="FH109" i="21" a="1"/>
  <c r="DG180" i="21" a="1"/>
  <c r="DH109" i="21" a="1"/>
  <c r="AD111" i="21" a="1"/>
  <c r="FK158" i="21" a="1"/>
  <c r="DG162" i="21" a="1"/>
  <c r="DF113" i="21" a="1"/>
  <c r="AF148" i="21" a="1"/>
  <c r="DG188" i="21" a="1"/>
  <c r="DJ113" i="21" a="1"/>
  <c r="AD173" i="21" a="1"/>
  <c r="AC125" i="21" a="1"/>
  <c r="DC113" i="21" a="1"/>
  <c r="AE80" i="21" a="1"/>
  <c r="AE81" i="21" a="1"/>
  <c r="DM173" i="21" a="1"/>
  <c r="DL112" i="21" a="1"/>
  <c r="X163" i="21" a="1"/>
  <c r="Z71" i="21" a="1"/>
  <c r="FF150" i="21" a="1"/>
  <c r="FC156" i="21" a="1"/>
  <c r="FH137" i="21" a="1"/>
  <c r="W81" i="21" a="1"/>
  <c r="AD86" i="21" a="1"/>
  <c r="FL158" i="21" a="1"/>
  <c r="DE85" i="21" a="1"/>
  <c r="AE113" i="21" a="1"/>
  <c r="DG143" i="21" a="1"/>
  <c r="FI131" i="21" a="1"/>
  <c r="AF116" i="21" a="1"/>
  <c r="DL173" i="21" a="1"/>
  <c r="AE141" i="21" a="1"/>
  <c r="FC140" i="21" a="1"/>
  <c r="DE166" i="21" a="1"/>
  <c r="FI171" i="21" a="1"/>
  <c r="AB140" i="21" a="1"/>
  <c r="AB184" i="21" a="1"/>
  <c r="DC80" i="21" a="1"/>
  <c r="X124" i="21" a="1"/>
  <c r="Z175" i="21" a="1"/>
  <c r="AC153" i="21" a="1"/>
  <c r="Y72" i="21" a="1"/>
  <c r="FL70" i="21" a="1"/>
  <c r="DI152" i="21" a="1"/>
  <c r="DJ69" i="21" a="1"/>
  <c r="FG70" i="21" a="1"/>
  <c r="FF132" i="21" a="1"/>
  <c r="FD153" i="21" a="1"/>
  <c r="FF110" i="21" a="1"/>
  <c r="DL94" i="21" a="1"/>
  <c r="FL113" i="21" a="1"/>
  <c r="DF125" i="21" a="1"/>
  <c r="FG130" i="21" a="1"/>
  <c r="FB138" i="21" a="1"/>
  <c r="FI78" i="21" a="1"/>
  <c r="X162" i="21" a="1"/>
  <c r="DC83" i="21" a="1"/>
  <c r="FK174" i="21" a="1"/>
  <c r="FJ128" i="21" a="1"/>
  <c r="DM74" i="21" a="1"/>
  <c r="AD140" i="21" a="1"/>
  <c r="FG140" i="21" a="1"/>
  <c r="FD141" i="21" a="1"/>
  <c r="FG86" i="21" a="1"/>
  <c r="Z76" i="21" a="1"/>
  <c r="V72" i="21" a="1"/>
  <c r="DN159" i="21" a="1"/>
  <c r="Z167" i="21" a="1"/>
  <c r="FG79" i="21" a="1"/>
  <c r="FG69" i="21" a="1"/>
  <c r="Y145" i="21" a="1"/>
  <c r="FD148" i="21" a="1"/>
  <c r="AA181" i="21" a="1"/>
  <c r="Y128" i="21" a="1"/>
  <c r="FG81" i="21" a="1"/>
  <c r="FG143" i="21" a="1"/>
  <c r="DJ94" i="21" a="1"/>
  <c r="DL80" i="21" a="1"/>
  <c r="AB128" i="21" a="1"/>
  <c r="FM185" i="21" a="1"/>
  <c r="AD169" i="21" a="1"/>
  <c r="FK134" i="21" a="1"/>
  <c r="DJ87" i="21" a="1"/>
  <c r="FK79" i="21" a="1"/>
  <c r="V166" i="21" a="1"/>
  <c r="DF143" i="21" a="1"/>
  <c r="DD78" i="21" a="1"/>
  <c r="W156" i="21" a="1"/>
  <c r="DI71" i="21" a="1"/>
  <c r="FH71" i="21" a="1"/>
  <c r="FD150" i="21" a="1"/>
  <c r="DG91" i="21" a="1"/>
  <c r="DD137" i="21" a="1"/>
  <c r="FM93" i="21" a="1"/>
  <c r="FM163" i="21" a="1"/>
  <c r="FL178" i="21" a="1"/>
  <c r="FF170" i="21" a="1"/>
  <c r="DM79" i="21" a="1"/>
  <c r="Z185" i="21" a="1"/>
  <c r="DJ70" i="21" a="1"/>
  <c r="FF168" i="21" a="1"/>
  <c r="AB70" i="21" a="1"/>
  <c r="FK109" i="21" a="1"/>
  <c r="DF112" i="21" a="1"/>
  <c r="FL116" i="21" a="1"/>
  <c r="DM131" i="21" a="1"/>
  <c r="DL71" i="21" a="1"/>
  <c r="FF71" i="21" a="1"/>
  <c r="DH69" i="21" a="1"/>
  <c r="W85" i="21" a="1"/>
  <c r="AG75" i="21" a="1"/>
  <c r="DM125" i="21" a="1"/>
  <c r="FG185" i="21" a="1"/>
  <c r="DC134" i="21" a="1"/>
  <c r="FE143" i="21" a="1"/>
  <c r="FH86" i="21" a="1"/>
  <c r="FL142" i="21" a="1"/>
  <c r="DJ98" i="21" a="1"/>
  <c r="FM130" i="21" a="1"/>
  <c r="FF125" i="21" a="1"/>
  <c r="X69" i="21" a="1"/>
  <c r="DI177" i="21" a="1"/>
  <c r="DH177" i="21" a="1"/>
  <c r="FE93" i="21" a="1"/>
  <c r="FI75" i="21" a="1"/>
  <c r="AB177" i="21" a="1"/>
  <c r="V167" i="21" a="1"/>
  <c r="DN167" i="21" a="1"/>
  <c r="AD167" i="21" a="1"/>
  <c r="AE177" i="21" a="1"/>
  <c r="FI167" i="21" a="1"/>
  <c r="FM145" i="21" a="1"/>
  <c r="DJ156" i="21" a="1"/>
  <c r="DF156" i="21" a="1"/>
  <c r="FK178" i="21" a="1"/>
  <c r="FM132" i="21" a="1"/>
  <c r="DN145" i="21" a="1"/>
  <c r="FI156" i="21" a="1"/>
  <c r="V75" i="21" a="1"/>
  <c r="DL178" i="21" a="1"/>
  <c r="AG132" i="21" a="1"/>
  <c r="DF69" i="21" a="1"/>
  <c r="FB69" i="21" a="1"/>
  <c r="FB163" i="21" a="1"/>
  <c r="DI182" i="21" a="1"/>
  <c r="FB81" i="21" a="1"/>
  <c r="DE79" i="21" a="1"/>
  <c r="FM156" i="21" a="1"/>
  <c r="FI137" i="21" a="1"/>
  <c r="FB157" i="21" a="1"/>
  <c r="DK124" i="21" a="1"/>
  <c r="FG150" i="21" a="1"/>
  <c r="DG68" i="21" a="1"/>
  <c r="DM120" i="21" a="1"/>
  <c r="AF125" i="21" a="1"/>
  <c r="DC74" i="21" a="1"/>
  <c r="AA169" i="21" a="1"/>
  <c r="FG99" i="21" a="1"/>
  <c r="DH76" i="21" a="1"/>
  <c r="DN111" i="21" a="1"/>
  <c r="AB93" i="21" a="1"/>
  <c r="FJ182" i="21" a="1"/>
  <c r="AG144" i="21" a="1"/>
  <c r="FF182" i="21" a="1"/>
  <c r="DH86" i="21" a="1"/>
  <c r="FI125" i="21" a="1"/>
  <c r="AA178" i="21" a="1"/>
  <c r="FG166" i="21" a="1"/>
  <c r="FL169" i="21" a="1"/>
  <c r="FI169" i="21" a="1"/>
  <c r="DN148" i="21" a="1"/>
  <c r="X80" i="21" a="1"/>
  <c r="FB152" i="21" a="1"/>
  <c r="DN128" i="21" a="1"/>
  <c r="FI83" i="21" a="1"/>
  <c r="V153" i="21" a="1"/>
  <c r="FH163" i="21" a="1"/>
  <c r="FB70" i="21" a="1"/>
  <c r="DE153" i="21" a="1"/>
  <c r="AF156" i="21" a="1"/>
  <c r="AG185" i="21" a="1"/>
  <c r="FJ143" i="21" a="1"/>
  <c r="DG94" i="21" a="1"/>
  <c r="W131" i="21" a="1"/>
  <c r="FF177" i="21" a="1"/>
  <c r="DI110" i="21" a="1"/>
  <c r="DH117" i="21" a="1"/>
  <c r="DJ77" i="21" a="1"/>
  <c r="FF87" i="21" a="1"/>
  <c r="DE115" i="21" a="1"/>
  <c r="Y78" i="21" a="1"/>
  <c r="DM184" i="21" a="1"/>
  <c r="AB168" i="21" a="1"/>
  <c r="V173" i="21" a="1"/>
  <c r="DM171" i="21" a="1"/>
  <c r="AF171" i="21" a="1"/>
  <c r="FE85" i="21" a="1"/>
  <c r="AG170" i="21" a="1"/>
  <c r="FI150" i="21" a="1"/>
  <c r="Z165" i="21" a="1"/>
  <c r="DG142" i="21" a="1"/>
  <c r="AG91" i="21" a="1"/>
  <c r="W166" i="21" a="1"/>
  <c r="DD98" i="21" a="1"/>
  <c r="AE90" i="21" a="1"/>
  <c r="AE182" i="21" a="1"/>
  <c r="FE112" i="21" a="1"/>
  <c r="FF153" i="21" a="1"/>
  <c r="DL143" i="21" a="1"/>
  <c r="FB130" i="21" a="1"/>
  <c r="DL98" i="21" a="1"/>
  <c r="X131" i="21" a="1"/>
  <c r="DH175" i="21" a="1"/>
  <c r="FF123" i="21" a="1"/>
  <c r="X77" i="21" a="1"/>
  <c r="DG115" i="21" a="1"/>
  <c r="DL93" i="21" a="1"/>
  <c r="AC169" i="21" a="1"/>
  <c r="Y131" i="21" a="1"/>
  <c r="V124" i="21" a="1"/>
  <c r="DI163" i="21" a="1"/>
  <c r="DD153" i="21" a="1"/>
  <c r="FJ188" i="21" a="1"/>
  <c r="Z77" i="21" a="1"/>
  <c r="AE152" i="21" a="1"/>
  <c r="W137" i="21" a="1"/>
  <c r="FC74" i="21" a="1"/>
  <c r="DM140" i="21" a="1"/>
  <c r="DL74" i="21" a="1"/>
  <c r="DF79" i="21" a="1"/>
  <c r="Y90" i="21" a="1"/>
  <c r="FG158" i="21" a="1"/>
  <c r="FL133" i="21" a="1"/>
  <c r="DN166" i="21" a="1"/>
  <c r="DH98" i="21" a="1"/>
  <c r="FH153" i="21" a="1"/>
  <c r="FB112" i="21" a="1"/>
  <c r="AC131" i="21" a="1"/>
  <c r="DE157" i="21" a="1"/>
  <c r="AC135" i="21" a="1"/>
  <c r="DL118" i="21" a="1"/>
  <c r="FD134" i="21" a="1"/>
  <c r="FG123" i="21" a="1"/>
  <c r="DF105" i="21" a="1"/>
  <c r="FI87" i="21" a="1"/>
  <c r="X81" i="21" a="1"/>
  <c r="W152" i="21" a="1"/>
  <c r="DD144" i="21" a="1"/>
  <c r="AC182" i="21" a="1"/>
  <c r="Y153" i="21" a="1"/>
  <c r="FK156" i="21" a="1"/>
  <c r="DD90" i="21" a="1"/>
  <c r="FL168" i="21" a="1"/>
  <c r="DC133" i="21" a="1"/>
  <c r="FB173" i="21" a="1"/>
  <c r="AE169" i="21" a="1"/>
  <c r="FM105" i="21" a="1"/>
  <c r="AD132" i="21" a="1"/>
  <c r="DK130" i="21" a="1"/>
  <c r="AD159" i="21" a="1"/>
  <c r="DF111" i="21" a="1"/>
  <c r="DJ124" i="21" a="1"/>
  <c r="Z188" i="21" a="1"/>
  <c r="FH135" i="21" a="1"/>
  <c r="FC87" i="21" a="1"/>
  <c r="FJ84" i="21" a="1"/>
  <c r="FE78" i="21" a="1"/>
  <c r="DG86" i="21" a="1"/>
  <c r="FK124" i="21" a="1"/>
  <c r="DH180" i="21" a="1"/>
  <c r="FE160" i="21" a="1"/>
  <c r="AC177" i="21" a="1"/>
  <c r="FG91" i="21" a="1"/>
  <c r="Z137" i="21" a="1"/>
  <c r="AG117" i="21" a="1"/>
  <c r="FL69" i="21" a="1"/>
  <c r="FM91" i="21" a="1"/>
  <c r="FJ117" i="21" a="1"/>
  <c r="AF110" i="21" a="1"/>
  <c r="FJ74" i="21" a="1"/>
  <c r="W148" i="21" a="1"/>
  <c r="DK188" i="21" a="1"/>
  <c r="DC165" i="21" a="1"/>
  <c r="AE134" i="21" a="1"/>
  <c r="FG109" i="21" a="1"/>
  <c r="X134" i="21" a="1"/>
  <c r="AD177" i="21" a="1"/>
  <c r="AB132" i="21" a="1"/>
  <c r="FM125" i="21" a="1"/>
  <c r="DE143" i="21" a="1"/>
  <c r="DG110" i="21" a="1"/>
  <c r="FM82" i="21" a="1"/>
  <c r="FH80" i="21" a="1"/>
  <c r="FD131" i="21" a="1"/>
  <c r="DJ96" i="21" a="1"/>
  <c r="DI141" i="21" a="1"/>
  <c r="DJ89" i="21" a="1"/>
  <c r="FE123" i="21" a="1"/>
  <c r="AB112" i="21" a="1"/>
  <c r="AF118" i="21" a="1"/>
  <c r="Y74" i="21" a="1"/>
  <c r="X85" i="21" a="1"/>
  <c r="DJ150" i="21" a="1"/>
  <c r="DI171" i="21" a="1"/>
  <c r="W82" i="21" a="1"/>
  <c r="DH90" i="21" a="1"/>
  <c r="V131" i="21" a="1"/>
  <c r="DN109" i="21" a="1"/>
  <c r="FI85" i="21" a="1"/>
  <c r="FC163" i="21" a="1"/>
  <c r="AC91" i="21" a="1"/>
  <c r="FI74" i="21" a="1"/>
  <c r="AE166" i="21" a="1"/>
  <c r="DL158" i="21" a="1"/>
  <c r="DM114" i="21" a="1"/>
  <c r="Y81" i="21" a="1"/>
  <c r="FF178" i="21" a="1"/>
  <c r="FI182" i="21" a="1"/>
  <c r="DI70" i="21" a="1"/>
  <c r="FM77" i="21" a="1"/>
  <c r="FI106" i="21" a="1"/>
  <c r="DL163" i="21" a="1"/>
  <c r="Z184" i="21" a="1"/>
  <c r="DI143" i="21" a="1"/>
  <c r="DD96" i="21" a="1"/>
  <c r="DI140" i="21" a="1"/>
  <c r="DC163" i="21" a="1"/>
  <c r="AG69" i="21" a="1"/>
  <c r="DE152" i="21" a="1"/>
  <c r="AF137" i="21" a="1"/>
  <c r="DG166" i="21" a="1"/>
  <c r="FJ70" i="21" a="1"/>
  <c r="AD174" i="21" a="1"/>
  <c r="DM130" i="21" a="1"/>
  <c r="Z124" i="21" a="1"/>
  <c r="X140" i="21" a="1"/>
  <c r="AG184" i="21" a="1"/>
  <c r="DN174" i="21" a="1"/>
  <c r="FG124" i="21" a="1"/>
  <c r="FB153" i="21" a="1"/>
  <c r="FK159" i="21" a="1"/>
  <c r="AB156" i="21" a="1"/>
  <c r="FL109" i="21" a="1"/>
  <c r="AB173" i="21" a="1"/>
  <c r="FE162" i="21" a="1"/>
  <c r="DE155" i="21" a="1"/>
  <c r="DJ78" i="21" a="1"/>
  <c r="FC145" i="21" a="1"/>
  <c r="FB148" i="21" a="1"/>
  <c r="Z141" i="21" a="1"/>
  <c r="FG117" i="21" a="1"/>
  <c r="Z72" i="21" a="1"/>
  <c r="FB77" i="21" a="1"/>
  <c r="AA163" i="21" a="1"/>
  <c r="FC75" i="21" a="1"/>
  <c r="DI185" i="21" a="1"/>
  <c r="FL125" i="21" a="1"/>
  <c r="DN171" i="21" a="1"/>
  <c r="FD142" i="21" a="1"/>
  <c r="DD145" i="21" a="1"/>
  <c r="AD135" i="21" a="1"/>
  <c r="FI123" i="21" a="1"/>
  <c r="DH158" i="21" a="1"/>
  <c r="FL180" i="21" a="1"/>
  <c r="FI91" i="21" a="1"/>
  <c r="DN137" i="21" a="1"/>
  <c r="FG137" i="21" a="1"/>
  <c r="FI159" i="21" a="1"/>
  <c r="FK113" i="21" a="1"/>
  <c r="DJ109" i="21" a="1"/>
  <c r="AG179" i="21" a="1"/>
  <c r="Y113" i="21" a="1"/>
  <c r="FC85" i="21" a="1"/>
  <c r="AE114" i="21" a="1"/>
  <c r="FK155" i="21" a="1"/>
  <c r="FI112" i="21" a="1"/>
  <c r="DC123" i="21" a="1"/>
  <c r="FM79" i="21" a="1"/>
  <c r="DE80" i="21" a="1"/>
  <c r="FM85" i="21" a="1"/>
  <c r="DL86" i="21" a="1"/>
  <c r="FM141" i="21" a="1"/>
  <c r="AF167" i="21" a="1"/>
  <c r="DN149" i="21" a="1"/>
  <c r="AB111" i="21" a="1"/>
  <c r="DL144" i="21" a="1"/>
  <c r="AE69" i="21" a="1"/>
  <c r="FI185" i="21" a="1"/>
  <c r="FF82" i="21" a="1"/>
  <c r="AA170" i="21" a="1"/>
  <c r="DI83" i="21" a="1"/>
  <c r="FG115" i="21" a="1"/>
  <c r="AD143" i="21" a="1"/>
  <c r="FE86" i="21" a="1"/>
  <c r="FI117" i="21" a="1"/>
  <c r="FF105" i="21" a="1"/>
  <c r="DK143" i="21" a="1"/>
  <c r="FH87" i="21" a="1"/>
  <c r="DJ79" i="21" a="1"/>
  <c r="DE163" i="21" a="1"/>
  <c r="AC71" i="21" a="1"/>
  <c r="DL109" i="21" a="1"/>
  <c r="Y163" i="21" a="1"/>
  <c r="DK115" i="21" a="1"/>
  <c r="DL162" i="21" a="1"/>
  <c r="FE68" i="21" a="1"/>
  <c r="DC96" i="21" a="1"/>
  <c r="AB166" i="21" a="1"/>
  <c r="AA155" i="21" a="1"/>
  <c r="DK99" i="21" a="1"/>
  <c r="DM134" i="21" a="1"/>
  <c r="FJ146" i="21" a="1"/>
  <c r="X166" i="21" a="1"/>
  <c r="X101" i="21" a="1"/>
  <c r="FK82" i="21" a="1"/>
  <c r="X155" i="21" a="1"/>
  <c r="FF68" i="21" a="1"/>
  <c r="DG158" i="21" a="1"/>
  <c r="FH185" i="21" a="1"/>
  <c r="DN113" i="21" a="1"/>
  <c r="DJ134" i="21" a="1"/>
  <c r="DK140" i="21" a="1"/>
  <c r="AA79" i="21" a="1"/>
  <c r="FH91" i="21" a="1"/>
  <c r="AA117" i="21" a="1"/>
  <c r="FF143" i="21" a="1"/>
  <c r="DI156" i="21" a="1"/>
  <c r="AA93" i="21" a="1"/>
  <c r="DK72" i="21" a="1"/>
  <c r="DG165" i="21" a="1"/>
  <c r="DF71" i="21" a="1"/>
  <c r="AC89" i="21" a="1"/>
  <c r="DL99" i="21" a="1"/>
  <c r="AG148" i="21" a="1"/>
  <c r="FM73" i="21" a="1"/>
  <c r="AC174" i="21" a="1"/>
  <c r="DL175" i="21" a="1"/>
  <c r="Z105" i="21" a="1"/>
  <c r="Z131" i="21" a="1"/>
  <c r="FG77" i="21" a="1"/>
  <c r="FF74" i="21" a="1"/>
  <c r="DK165" i="21" a="1"/>
  <c r="FG159" i="21" a="1"/>
  <c r="FJ80" i="21" a="1"/>
  <c r="V125" i="21" a="1"/>
  <c r="FI68" i="21" a="1"/>
  <c r="FC72" i="21" a="1"/>
  <c r="AG85" i="21" a="1"/>
  <c r="FH123" i="21" a="1"/>
  <c r="Z90" i="21" a="1"/>
  <c r="AA173" i="21" a="1"/>
  <c r="DC117" i="21" a="1"/>
  <c r="DL156" i="21" a="1"/>
  <c r="DG69" i="21" a="1"/>
  <c r="FM76" i="21" a="1"/>
  <c r="FL82" i="21" a="1"/>
  <c r="DK131" i="21" a="1"/>
  <c r="AG80" i="21" a="1"/>
  <c r="FJ71" i="21" a="1"/>
  <c r="DF131" i="21" a="1"/>
  <c r="X98" i="21" a="1"/>
  <c r="FM101" i="21" a="1"/>
  <c r="W128" i="21" a="1"/>
  <c r="DD82" i="21" a="1"/>
  <c r="Z116" i="21" a="1"/>
  <c r="DN124" i="21" a="1"/>
  <c r="AF105" i="21" a="1"/>
  <c r="FJ144" i="21" a="1"/>
  <c r="AF165" i="21" a="1"/>
  <c r="X143" i="21" a="1"/>
  <c r="V115" i="21" a="1"/>
  <c r="DN143" i="21" a="1"/>
  <c r="DC86" i="21" a="1"/>
  <c r="AG113" i="21" a="1"/>
  <c r="AA81" i="21" a="1"/>
  <c r="DH170" i="21" a="1"/>
  <c r="DE114" i="21" a="1"/>
  <c r="FH69" i="21" a="1"/>
  <c r="DF157" i="21" a="1"/>
  <c r="AF96" i="21" a="1"/>
  <c r="DL127" i="21" a="1"/>
  <c r="FH160" i="21" a="1"/>
  <c r="DG156" i="21" a="1"/>
  <c r="AD98" i="21" a="1"/>
  <c r="FJ185" i="21" a="1"/>
  <c r="FF98" i="21" a="1"/>
  <c r="AB134" i="21" a="1"/>
  <c r="AE116" i="21" a="1"/>
  <c r="FH70" i="21" a="1"/>
  <c r="DE123" i="21" a="1"/>
  <c r="Y135" i="21" a="1"/>
  <c r="DH78" i="21" a="1"/>
  <c r="Z81" i="21" a="1"/>
  <c r="AC90" i="21" a="1"/>
  <c r="X135" i="21" a="1"/>
  <c r="AE105" i="21" a="1"/>
  <c r="FD124" i="21" a="1"/>
  <c r="X78" i="21" a="1"/>
  <c r="DL70" i="21" a="1"/>
  <c r="FH74" i="21" a="1"/>
  <c r="Y140" i="21" a="1"/>
  <c r="DN179" i="21" a="1"/>
  <c r="W130" i="21" a="1"/>
  <c r="FL159" i="21" a="1"/>
  <c r="FF173" i="21" a="1"/>
  <c r="DI98" i="21" a="1"/>
  <c r="DC166" i="21" a="1"/>
  <c r="FM111" i="21" a="1"/>
  <c r="FK133" i="21" a="1"/>
  <c r="V143" i="21" a="1"/>
  <c r="DM93" i="21" a="1"/>
  <c r="Y86" i="21" a="1"/>
  <c r="DH123" i="21" a="1"/>
  <c r="DE141" i="21" a="1"/>
  <c r="AA144" i="21" a="1"/>
  <c r="DL155" i="21" a="1"/>
  <c r="DH115" i="21" a="1"/>
  <c r="X116" i="21" a="1"/>
  <c r="DN168" i="21" a="1"/>
  <c r="DK160" i="21" a="1"/>
  <c r="V135" i="21" a="1"/>
  <c r="DK134" i="21" a="1"/>
  <c r="FG181" i="21" a="1"/>
  <c r="AD133" i="21" a="1"/>
  <c r="FM155" i="21" a="1"/>
  <c r="FD112" i="21" a="1"/>
  <c r="AF174" i="21" a="1"/>
  <c r="DK175" i="21" a="1"/>
  <c r="DM118" i="21" a="1"/>
  <c r="AD115" i="21" a="1"/>
  <c r="DC142" i="21" a="1"/>
  <c r="DE109" i="21" a="1"/>
  <c r="FK173" i="21" a="1"/>
  <c r="DK87" i="21" a="1"/>
  <c r="DN130" i="21" a="1"/>
  <c r="DE112" i="21" a="1"/>
  <c r="AB174" i="21" a="1"/>
  <c r="Z182" i="21" a="1"/>
  <c r="W165" i="21" a="1"/>
  <c r="FG96" i="21" a="1"/>
  <c r="DH130" i="21" a="1"/>
  <c r="AA152" i="21" a="1"/>
  <c r="FH140" i="21" a="1"/>
  <c r="FH116" i="21" a="1"/>
  <c r="Z180" i="21" a="1"/>
  <c r="DM175" i="21" a="1"/>
  <c r="FJ94" i="21" a="1"/>
  <c r="W143" i="21" a="1"/>
  <c r="AC144" i="21" a="1"/>
  <c r="DM94" i="21" a="1"/>
  <c r="DG82" i="21" a="1"/>
  <c r="DN90" i="21" a="1"/>
  <c r="AG101" i="21" a="1"/>
  <c r="Y116" i="21" a="1"/>
  <c r="AG134" i="21" a="1"/>
  <c r="AG160" i="21" a="1"/>
  <c r="FL156" i="21" a="1"/>
  <c r="AB185" i="21" a="1"/>
  <c r="DG123" i="21" a="1"/>
  <c r="W160" i="21" a="1"/>
  <c r="Z168" i="21" a="1"/>
  <c r="FI153" i="21" a="1"/>
  <c r="AB131" i="21" a="1"/>
  <c r="FM96" i="21" a="1"/>
  <c r="FB170" i="21" a="1"/>
  <c r="FB169" i="21" a="1"/>
  <c r="DK174" i="21" a="1"/>
  <c r="DH153" i="21" a="1"/>
  <c r="AC123" i="21" a="1"/>
  <c r="FE128" i="21" a="1"/>
  <c r="AE137" i="21" a="1"/>
  <c r="DF163" i="21" a="1"/>
  <c r="FF157" i="21" a="1"/>
  <c r="FF114" i="21" a="1"/>
  <c r="AG180" i="21" a="1"/>
  <c r="FF96" i="21" a="1"/>
  <c r="AG74" i="21" a="1"/>
  <c r="DN94" i="21" a="1"/>
  <c r="AF89" i="21" a="1"/>
  <c r="AC180" i="21" a="1"/>
  <c r="W163" i="21" a="1"/>
  <c r="DF82" i="21" a="1"/>
  <c r="DE70" i="21" a="1"/>
  <c r="X158" i="21" a="1"/>
  <c r="AA87" i="21" a="1"/>
  <c r="AA141" i="21" a="1"/>
  <c r="X150" i="21" a="1"/>
  <c r="DG167" i="21" a="1"/>
  <c r="AG125" i="21" a="1"/>
  <c r="DK119" i="21" a="1"/>
  <c r="FK146" i="21" a="1"/>
  <c r="FM133" i="21" a="1"/>
  <c r="FD80" i="21" a="1"/>
  <c r="DC89" i="21" a="1"/>
  <c r="AB170" i="21" a="1"/>
  <c r="DG153" i="21" a="1"/>
  <c r="FG72" i="21" a="1"/>
  <c r="FM110" i="21" a="1"/>
  <c r="Z109" i="21" a="1"/>
  <c r="FM169" i="21" a="1"/>
  <c r="Y157" i="21" a="1"/>
  <c r="FK171" i="21" a="1"/>
  <c r="FK188" i="21" a="1"/>
  <c r="Z125" i="21" a="1"/>
  <c r="DE74" i="21" a="1"/>
  <c r="AD85" i="21" a="1"/>
  <c r="FD111" i="21" a="1"/>
  <c r="FF91" i="21" a="1"/>
  <c r="FJ175" i="21" a="1"/>
  <c r="FD76" i="21" a="1"/>
  <c r="DJ144" i="21" a="1"/>
  <c r="FM168" i="21" a="1"/>
  <c r="FD159" i="21" a="1"/>
  <c r="FK96" i="21" a="1"/>
  <c r="DF86" i="21" a="1"/>
  <c r="AG109" i="21" a="1"/>
  <c r="FK185" i="21" a="1"/>
  <c r="FC165" i="21" a="1"/>
  <c r="Y77" i="21" a="1"/>
  <c r="DN85" i="21" a="1"/>
  <c r="FL123" i="21" a="1"/>
  <c r="FJ72" i="21" a="1"/>
  <c r="Y146" i="21" a="1"/>
  <c r="V80" i="21" a="1"/>
  <c r="FH124" i="21" a="1"/>
  <c r="FE115" i="21" a="1"/>
  <c r="FD166" i="21" a="1"/>
  <c r="DC138" i="21" a="1"/>
  <c r="DG157" i="21" a="1"/>
  <c r="DH125" i="21" a="1"/>
  <c r="FE117" i="21" a="1"/>
  <c r="AD163" i="21" a="1"/>
  <c r="AB150" i="21" a="1"/>
  <c r="DF80" i="21" a="1"/>
  <c r="AD124" i="21" a="1"/>
  <c r="W74" i="21" a="1"/>
  <c r="Y143" i="21" a="1"/>
  <c r="DM109" i="21" a="1"/>
  <c r="FM68" i="21" a="1"/>
  <c r="FG87" i="21" a="1"/>
  <c r="DH188" i="21" a="1"/>
  <c r="AB180" i="21" a="1"/>
  <c r="FL89" i="21" a="1"/>
  <c r="Z177" i="21" a="1"/>
  <c r="DF76" i="21" a="1"/>
  <c r="FD71" i="21" a="1"/>
  <c r="DI116" i="21" a="1"/>
  <c r="FC94" i="21" a="1"/>
  <c r="FF155" i="21" a="1"/>
  <c r="FL110" i="21" a="1"/>
  <c r="FK152" i="21" a="1"/>
  <c r="AF82" i="21" a="1"/>
  <c r="DK109" i="21" a="1"/>
  <c r="DH157" i="21" a="1"/>
  <c r="FC111" i="21" a="1"/>
  <c r="FI155" i="21" a="1"/>
  <c r="AB87" i="21" a="1"/>
  <c r="FJ99" i="21" a="1"/>
  <c r="V138" i="21" a="1"/>
  <c r="AG130" i="21" a="1"/>
  <c r="FL134" i="21" a="1"/>
  <c r="DM78" i="21" a="1"/>
  <c r="FM94" i="21" a="1"/>
  <c r="Z132" i="21" a="1"/>
  <c r="AA111" i="21" a="1"/>
  <c r="DE127" i="21" a="1"/>
  <c r="Z82" i="21" a="1"/>
  <c r="DN152" i="21" a="1"/>
  <c r="Y133" i="21" a="1"/>
  <c r="DH87" i="21" a="1"/>
  <c r="AD87" i="21" a="1"/>
  <c r="FM166" i="21" a="1"/>
  <c r="AD145" i="21" a="1"/>
  <c r="FC135" i="21" a="1"/>
  <c r="FB146" i="21" a="1"/>
  <c r="AD109" i="21" a="1"/>
  <c r="V91" i="21" a="1"/>
  <c r="DK93" i="21" a="1"/>
  <c r="FJ163" i="21" a="1"/>
  <c r="X113" i="21" a="1"/>
  <c r="AB160" i="21" a="1"/>
  <c r="FB133" i="21" a="1"/>
  <c r="AB116" i="21" a="1"/>
  <c r="AC106" i="21" a="1"/>
  <c r="FL115" i="21" a="1"/>
  <c r="DN146" i="21" a="1"/>
  <c r="AF131" i="21" a="1"/>
  <c r="DL90" i="21" a="1"/>
  <c r="AG171" i="21" a="1"/>
  <c r="FH111" i="21" a="1"/>
  <c r="FJ81" i="21" a="1"/>
  <c r="DH178" i="21" a="1"/>
  <c r="FJ134" i="21" a="1"/>
  <c r="FE80" i="21" a="1"/>
  <c r="DN89" i="21" a="1"/>
  <c r="FM148" i="21" a="1"/>
  <c r="AC98" i="21" a="1"/>
  <c r="FD143" i="21" a="1"/>
  <c r="DL188" i="21" a="1"/>
  <c r="FD116" i="21" a="1"/>
  <c r="AE91" i="21" a="1"/>
  <c r="AE168" i="21" a="1"/>
  <c r="AE96" i="21" a="1"/>
  <c r="Z134" i="21" a="1"/>
  <c r="FJ91" i="21" a="1"/>
  <c r="AG156" i="21" a="1"/>
  <c r="AC165" i="21" a="1"/>
  <c r="AD113" i="21" a="1"/>
  <c r="FL167" i="21" a="1"/>
  <c r="AA143" i="21" a="1"/>
  <c r="FD135" i="21" a="1"/>
  <c r="AD138" i="21" a="1"/>
  <c r="DD87" i="21" a="1"/>
  <c r="Z123" i="21" a="1"/>
  <c r="DG81" i="21" a="1"/>
  <c r="V96" i="21" a="1"/>
  <c r="AF168" i="21" a="1"/>
  <c r="DI131" i="21" a="1"/>
  <c r="AG143" i="21" a="1"/>
  <c r="FE76" i="21" a="1"/>
  <c r="DF68" i="21" a="1"/>
  <c r="AF163" i="21" a="1"/>
  <c r="AB119" i="21" a="1"/>
  <c r="DN150" i="21" a="1"/>
  <c r="DI93" i="21" a="1"/>
  <c r="Y137" i="21" a="1"/>
  <c r="V123" i="21" a="1"/>
  <c r="FK141" i="21" a="1"/>
  <c r="FH110" i="21" a="1"/>
  <c r="FH170" i="21" a="1"/>
  <c r="X79" i="21" a="1"/>
  <c r="Z174" i="21" a="1"/>
  <c r="FL185" i="21" a="1"/>
  <c r="DC110" i="21" a="1"/>
  <c r="FK140" i="21" a="1"/>
  <c r="FB93" i="21" a="1"/>
  <c r="FC93" i="21" a="1"/>
  <c r="DH145" i="21" a="1"/>
  <c r="FK115" i="21" a="1"/>
  <c r="FG153" i="21" a="1"/>
  <c r="X91" i="21" a="1"/>
  <c r="AE98" i="21" a="1"/>
  <c r="AA124" i="21" a="1"/>
  <c r="FG160" i="21" a="1"/>
  <c r="FG85" i="21" a="1"/>
  <c r="DD76" i="21" a="1"/>
  <c r="FL188" i="21" a="1"/>
  <c r="AA175" i="21" a="1"/>
  <c r="FK76" i="21" a="1"/>
  <c r="AD141" i="21" a="1"/>
  <c r="DD133" i="21" a="1"/>
  <c r="DK142" i="21" a="1"/>
  <c r="FJ113" i="21" a="1"/>
  <c r="DL116" i="21" a="1"/>
  <c r="DF145" i="21" a="1"/>
  <c r="X114" i="21" a="1"/>
  <c r="AD150" i="21" a="1"/>
  <c r="AF68" i="21" a="1"/>
  <c r="FG188" i="21" a="1"/>
  <c r="DE101" i="21" a="1"/>
  <c r="FK118" i="21" a="1"/>
  <c r="FI98" i="21" a="1"/>
  <c r="DM133" i="21" a="1"/>
  <c r="DC153" i="21" a="1"/>
  <c r="FF83" i="21" a="1"/>
  <c r="FH96" i="21" a="1"/>
  <c r="DJ171" i="21" a="1"/>
  <c r="DK169" i="21" a="1"/>
  <c r="FL146" i="21" a="1"/>
  <c r="FK70" i="21" a="1"/>
  <c r="DD142" i="21" a="1"/>
  <c r="AF123" i="21" a="1"/>
  <c r="DG105" i="21" a="1"/>
  <c r="DK125" i="21" a="1"/>
  <c r="FF169" i="21" a="1"/>
  <c r="FI79" i="21" a="1"/>
  <c r="Z78" i="21" a="1"/>
  <c r="DN91" i="21" a="1"/>
  <c r="X130" i="21" a="1"/>
  <c r="V86" i="21" a="1"/>
  <c r="DE87" i="21" a="1"/>
  <c r="DI128" i="21" a="1"/>
  <c r="AG71" i="21" a="1"/>
  <c r="Y141" i="21" a="1"/>
  <c r="FF116" i="21" a="1"/>
  <c r="AE140" i="21" a="1"/>
  <c r="DK106" i="21" a="1"/>
  <c r="DN119" i="21" a="1"/>
  <c r="Z93" i="21" a="1"/>
  <c r="AB123" i="21" a="1"/>
  <c r="V76" i="21" a="1"/>
  <c r="Y114" i="21" a="1"/>
  <c r="AA166" i="21" a="1"/>
  <c r="FL120" i="21" a="1"/>
  <c r="DI153" i="21" a="1"/>
  <c r="DM80" i="21" a="1"/>
  <c r="DD81" i="21" a="1"/>
  <c r="W153" i="21" a="1"/>
  <c r="DC155" i="21" a="1"/>
  <c r="DG117" i="21" a="1"/>
  <c r="DC148" i="21" a="1"/>
  <c r="AG123" i="21" a="1"/>
  <c r="FF158" i="21" a="1"/>
  <c r="FL131" i="21" a="1"/>
  <c r="DM188" i="21" a="1"/>
  <c r="DC98" i="21" a="1"/>
  <c r="DF78" i="21" a="1"/>
  <c r="AE128" i="21" a="1"/>
  <c r="AF109" i="21" a="1"/>
  <c r="DE144" i="21" a="1"/>
  <c r="FI77" i="21" a="1"/>
  <c r="FB160" i="21" a="1"/>
  <c r="Y80" i="21" a="1"/>
  <c r="Z96" i="21" a="1"/>
  <c r="DM142" i="21" a="1"/>
  <c r="DM91" i="21" a="1"/>
  <c r="FJ115" i="21" a="1"/>
  <c r="FD101" i="21" a="1"/>
  <c r="AE106" i="21" a="1"/>
  <c r="DI137" i="21" a="1"/>
  <c r="AE72" i="21" a="1"/>
  <c r="DC137" i="21" a="1"/>
  <c r="FF156" i="21" a="1"/>
  <c r="DI78" i="21" a="1"/>
  <c r="AC72" i="21" a="1"/>
  <c r="DG109" i="21" a="1"/>
  <c r="FG111" i="21" a="1"/>
  <c r="FH81" i="21" a="1"/>
  <c r="FM117" i="21" a="1"/>
  <c r="DE165" i="21" a="1"/>
  <c r="DH133" i="21" a="1"/>
  <c r="DL171" i="21" a="1"/>
  <c r="DG159" i="21" a="1"/>
  <c r="FD125" i="21" a="1"/>
  <c r="AG96" i="21" a="1"/>
  <c r="FJ158" i="21" a="1"/>
  <c r="FF175" i="21" a="1"/>
  <c r="FL111" i="21" a="1"/>
  <c r="Y94" i="21" a="1"/>
  <c r="AB83" i="21" a="1"/>
  <c r="DC150" i="21" a="1"/>
  <c r="AB124" i="21" a="1"/>
  <c r="FJ131" i="21" a="1"/>
  <c r="DE159" i="21" a="1"/>
  <c r="FK77" i="21" a="1"/>
  <c r="FI135" i="21" a="1"/>
  <c r="FH188" i="21" a="1"/>
  <c r="DM165" i="21" a="1"/>
  <c r="DH112" i="21" a="1"/>
  <c r="DH91" i="21" a="1"/>
  <c r="AF80" i="21" a="1"/>
  <c r="AF81" i="21" a="1"/>
  <c r="AC109" i="21" a="1"/>
  <c r="DM115" i="21" a="1"/>
  <c r="AE185" i="21" a="1"/>
  <c r="DN77" i="21" a="1"/>
  <c r="FK99" i="21" a="1"/>
  <c r="AF134" i="21" a="1"/>
  <c r="FK112" i="21" a="1"/>
  <c r="DK111" i="21" a="1"/>
  <c r="AG76" i="21" a="1"/>
  <c r="W142" i="21" a="1"/>
  <c r="Z143" i="21" a="1"/>
  <c r="DE94" i="21" a="1"/>
  <c r="AC82" i="21" a="1"/>
  <c r="FF188" i="21" a="1"/>
  <c r="FG141" i="21" a="1"/>
  <c r="AD90" i="21" a="1"/>
  <c r="DN120" i="21" a="1"/>
  <c r="FD99" i="21" a="1"/>
  <c r="FF140" i="21" a="1"/>
  <c r="FG76" i="21" a="1"/>
  <c r="Z142" i="21" a="1"/>
  <c r="DG150" i="21" a="1"/>
  <c r="DI109" i="21" a="1"/>
  <c r="AA82" i="21" a="1"/>
  <c r="DF162" i="21" a="1"/>
  <c r="DG146" i="21" a="1"/>
  <c r="FC98" i="21" a="1"/>
  <c r="AA120" i="21" a="1"/>
  <c r="DF119" i="21" a="1"/>
  <c r="FG135" i="21" a="1"/>
  <c r="FF135" i="21" a="1"/>
  <c r="AE71" i="21" a="1"/>
  <c r="DF137" i="21" a="1"/>
  <c r="AA85" i="21" a="1"/>
  <c r="DJ145" i="21" a="1"/>
  <c r="DN182" i="21" a="1"/>
  <c r="AF90" i="21" a="1"/>
  <c r="FH94" i="21" a="1"/>
  <c r="DF135" i="21" a="1"/>
  <c r="V163" i="21" a="1"/>
  <c r="DI94" i="21" a="1"/>
  <c r="DL166" i="21" a="1"/>
  <c r="DK133" i="21" a="1"/>
  <c r="DN185" i="21" a="1"/>
  <c r="DI168" i="21" a="1"/>
  <c r="DE99" i="21" a="1"/>
  <c r="DI96" i="21" a="1"/>
  <c r="Z83" i="21" a="1"/>
  <c r="DJ123" i="21" a="1"/>
  <c r="FJ153" i="21" a="1"/>
  <c r="FJ98" i="21" a="1"/>
  <c r="DG148" i="21" a="1"/>
  <c r="FE133" i="21" a="1"/>
  <c r="DM101" i="21" a="1"/>
  <c r="AB82" i="21" a="1"/>
  <c r="FG171" i="21" a="1"/>
  <c r="AA188" i="21" a="1"/>
  <c r="W144" i="21" a="1"/>
  <c r="FH120" i="21" a="1"/>
  <c r="V157" i="21" a="1"/>
  <c r="AE77" i="21" a="1"/>
  <c r="DF91" i="21" a="1"/>
  <c r="FK150" i="21" a="1"/>
  <c r="FL112" i="21" a="1"/>
  <c r="FJ73" i="21" a="1"/>
  <c r="FM69" i="21" a="1"/>
  <c r="DK117" i="21" a="1"/>
  <c r="DM156" i="21" a="1"/>
  <c r="FK153" i="21" a="1"/>
  <c r="DE111" i="21" a="1"/>
  <c r="W125" i="21" a="1"/>
  <c r="FC81" i="21" a="1"/>
  <c r="DC78" i="21" a="1"/>
  <c r="FB125" i="21" a="1"/>
  <c r="DG139" i="21" a="1"/>
  <c r="FJ88" i="21" a="1"/>
  <c r="AA78" i="21" a="1"/>
  <c r="FB110" i="21" a="1"/>
  <c r="FG165" i="21" a="1"/>
  <c r="FJ106" i="21" a="1"/>
  <c r="AB117" i="21" a="1"/>
  <c r="W146" i="21" a="1"/>
  <c r="AG169" i="21" a="1"/>
  <c r="DL174" i="21" a="1"/>
  <c r="DI184" i="21" a="1"/>
  <c r="DJ146" i="21" a="1"/>
  <c r="FL78" i="21" a="1"/>
  <c r="DC125" i="21" a="1"/>
  <c r="FK69" i="21" a="1"/>
  <c r="DK113" i="21" a="1"/>
  <c r="V70" i="21" a="1"/>
  <c r="DK86" i="21" a="1"/>
  <c r="DN163" i="21" a="1"/>
  <c r="AG77" i="21" a="1"/>
  <c r="AC94" i="21" a="1"/>
  <c r="FJ142" i="21" a="1"/>
  <c r="AE117" i="21" a="1"/>
  <c r="FK163" i="21" a="1"/>
  <c r="FD128" i="21" a="1"/>
  <c r="FG146" i="21" a="1"/>
  <c r="DJ155" i="21" a="1"/>
  <c r="DH169" i="21" a="1"/>
  <c r="DM81" i="21" a="1"/>
  <c r="AF122" i="21" a="1"/>
  <c r="AD125" i="21" a="1"/>
  <c r="W112" i="21" a="1"/>
  <c r="DI89" i="21" a="1"/>
  <c r="FJ75" i="21" a="1"/>
  <c r="DF116" i="21" a="1"/>
  <c r="DL132" i="21" a="1"/>
  <c r="V110" i="21" a="1"/>
  <c r="FC96" i="21" a="1"/>
  <c r="Z114" i="21" a="1"/>
  <c r="DE117" i="21" a="1"/>
  <c r="AF77" i="21" a="1"/>
  <c r="DC160" i="21" a="1"/>
  <c r="FD149" i="21" a="1"/>
  <c r="DL130" i="21" a="1"/>
  <c r="DH173" i="21" a="1"/>
  <c r="FH180" i="21" a="1"/>
  <c r="FC160" i="21" a="1"/>
  <c r="FL75" i="21" a="1"/>
  <c r="DF153" i="21" a="1"/>
  <c r="FC143" i="21" a="1"/>
  <c r="DG77" i="21" a="1"/>
  <c r="FI116" i="21" a="1"/>
  <c r="V74" i="21" a="1"/>
  <c r="X99" i="21" a="1"/>
  <c r="Z140" i="21" a="1"/>
  <c r="DL96" i="21" a="1"/>
  <c r="DG96" i="21" a="1"/>
  <c r="X112" i="21" a="1"/>
  <c r="FC114" i="21" a="1"/>
  <c r="DM116" i="21" a="1"/>
  <c r="Y148" i="21" a="1"/>
  <c r="AF139" i="21" a="1"/>
  <c r="FE94" i="21" a="1"/>
  <c r="Y105" i="21" a="1"/>
  <c r="W155" i="21" a="1"/>
  <c r="DE140" i="21" a="1"/>
  <c r="FM80" i="21" a="1"/>
  <c r="DE96" i="21" a="1"/>
  <c r="FJ133" i="21" a="1"/>
  <c r="DH75" i="21" a="1"/>
  <c r="FM149" i="21" a="1"/>
  <c r="FF152" i="21" a="1"/>
  <c r="DG137" i="21" a="1"/>
  <c r="FM98" i="21" a="1"/>
  <c r="FE105" i="21" a="1"/>
  <c r="FG152" i="21" a="1"/>
  <c r="FE98" i="21" a="1"/>
  <c r="FC138" i="21" a="1"/>
  <c r="FM71" i="21" a="1"/>
  <c r="FJ137" i="21" a="1"/>
  <c r="FB80" i="21" a="1"/>
  <c r="Z74" i="21" a="1"/>
  <c r="Z115" i="21" a="1"/>
  <c r="DJ141" i="21" a="1"/>
  <c r="AF140" i="21" a="1"/>
  <c r="DD71" i="21" a="1"/>
  <c r="Z153" i="21" a="1"/>
  <c r="FG180" i="21" a="1"/>
  <c r="DG114" i="21" a="1"/>
  <c r="FD156" i="21" a="1"/>
  <c r="AC134" i="21" a="1"/>
  <c r="X159" i="21" a="1"/>
  <c r="AG137" i="21" a="1"/>
  <c r="FH105" i="21" a="1"/>
  <c r="DN135" i="21" a="1"/>
  <c r="X110" i="21" a="1"/>
  <c r="DK138" i="21" a="1"/>
  <c r="AG89" i="21" a="1"/>
  <c r="FM171" i="21" a="1"/>
  <c r="DJ142" i="21" a="1"/>
  <c r="V159" i="21" a="1"/>
  <c r="DM76" i="21" a="1"/>
  <c r="Y117" i="21" a="1"/>
  <c r="DH128" i="21" a="1"/>
  <c r="X142" i="21" a="1"/>
  <c r="DH79" i="21" a="1"/>
  <c r="FF118" i="21" a="1"/>
  <c r="AA109" i="21" a="1"/>
  <c r="DM163" i="21" a="1"/>
  <c r="FG112" i="21" a="1"/>
  <c r="DJ157" i="21" a="1"/>
  <c r="AE160" i="21" a="1"/>
  <c r="AC142" i="21" a="1"/>
  <c r="FM188" i="21" a="1"/>
  <c r="DH146" i="21" a="1"/>
  <c r="DE116" i="21" a="1"/>
  <c r="Y123" i="21" a="1"/>
  <c r="FJ174" i="21" a="1"/>
  <c r="FB131" i="21" a="1"/>
  <c r="DC141" i="21" a="1"/>
  <c r="AC170" i="21" a="1"/>
  <c r="FL175" i="21" a="1"/>
  <c r="Z94" i="21" a="1"/>
  <c r="DC135" i="21" a="1"/>
  <c r="FF90" i="21" a="1"/>
  <c r="AE125" i="21" a="1"/>
  <c r="AF117" i="21" a="1"/>
  <c r="DI142" i="21" a="1"/>
  <c r="FK116" i="21" a="1"/>
  <c r="DL141" i="21" a="1"/>
  <c r="DC130" i="21" a="1"/>
  <c r="W68" i="21" a="1"/>
  <c r="DG160" i="21" a="1"/>
  <c r="FD85" i="21" a="1"/>
  <c r="DN79" i="21" a="1"/>
  <c r="FK162" i="21" a="1"/>
  <c r="W115" i="21" a="1"/>
  <c r="DJ131" i="21" a="1"/>
  <c r="AA140" i="21" a="1"/>
  <c r="FL170" i="21" a="1"/>
  <c r="DM105" i="21" a="1"/>
  <c r="Y158" i="21" a="1"/>
  <c r="FC79" i="21" a="1"/>
  <c r="DN93" i="21" a="1"/>
  <c r="V111" i="21" a="1"/>
  <c r="DM139" i="21" a="1"/>
  <c r="DI79" i="21" a="1"/>
  <c r="Z169" i="21" a="1"/>
  <c r="AD120" i="21" a="1"/>
  <c r="V89" i="21" a="1"/>
  <c r="W150" i="21" a="1"/>
  <c r="DK79" i="21" a="1"/>
  <c r="X148" i="21" a="1"/>
  <c r="AB182" i="21" a="1"/>
  <c r="AA185" i="21" a="1"/>
  <c r="FM75" i="21" a="1"/>
  <c r="AC141" i="21" a="1"/>
  <c r="DK74" i="21" a="1"/>
  <c r="FJ111" i="21" a="1"/>
  <c r="FD152" i="21" a="1"/>
  <c r="FI96" i="21" a="1"/>
  <c r="FM72" i="21" a="1"/>
  <c r="AC178" i="21" a="1"/>
  <c r="DJ115" i="21" a="1"/>
  <c r="DN98" i="21" a="1"/>
  <c r="DM148" i="21" a="1"/>
  <c r="FF137" i="21" a="1"/>
  <c r="AC81" i="21" a="1"/>
  <c r="AD182" i="21" a="1"/>
  <c r="X133" i="21" a="1"/>
  <c r="DL115" i="21" a="1"/>
  <c r="FH113" i="21" a="1"/>
  <c r="AC85" i="21" a="1"/>
  <c r="FI173" i="21" a="1"/>
  <c r="FI81" i="21" a="1"/>
  <c r="AD142" i="21" a="1"/>
  <c r="FD82" i="21" a="1"/>
  <c r="X137" i="21" a="1"/>
  <c r="FD158" i="21" a="1"/>
  <c r="FE124" i="21" a="1"/>
  <c r="DN158" i="21" a="1"/>
  <c r="DC128" i="21" a="1"/>
  <c r="FG142" i="21" a="1"/>
  <c r="FJ93" i="21" a="1"/>
  <c r="FM157" i="21" a="1"/>
  <c r="DN133" i="21" a="1"/>
  <c r="DE137" i="21" a="1"/>
  <c r="FJ78" i="21" a="1"/>
  <c r="DK162" i="21" a="1"/>
  <c r="DH96" i="21" a="1"/>
  <c r="FF81" i="21" a="1"/>
  <c r="DJ112" i="21" a="1"/>
  <c r="Z70" i="21" a="1"/>
  <c r="DF85" i="21" a="1"/>
  <c r="DC93" i="21" a="1"/>
  <c r="AD131" i="21" a="1"/>
  <c r="DC171" i="21" a="1"/>
  <c r="AB141" i="21" a="1"/>
  <c r="FL148" i="21" a="1"/>
  <c r="FM140" i="21" a="1"/>
  <c r="DC116" i="21" a="1"/>
  <c r="DN142" i="21" a="1"/>
  <c r="FF78" i="21" a="1"/>
  <c r="FH171" i="21" a="1"/>
  <c r="FC76" i="21" a="1"/>
  <c r="FD72" i="21" a="1"/>
  <c r="DC111" i="21" a="1"/>
  <c r="X153" i="21" a="1"/>
  <c r="DI130" i="21" a="1"/>
  <c r="DN155" i="21" a="1"/>
  <c r="FH83" i="21" a="1"/>
  <c r="DE149" i="21" a="1"/>
  <c r="Z118" i="21" a="1"/>
  <c r="AC117" i="21" a="1"/>
  <c r="FJ130" i="21" a="1"/>
  <c r="FM184" i="21" a="1"/>
  <c r="X157" i="21" a="1"/>
  <c r="V117" i="21" a="1"/>
  <c r="AA75" i="21" a="1"/>
  <c r="FK72" i="21" a="1"/>
  <c r="FB74" i="21" a="1"/>
  <c r="AG110" i="21" a="1"/>
  <c r="FM90" i="21" a="1"/>
  <c r="DF98" i="21" a="1"/>
  <c r="FF160" i="21" a="1"/>
  <c r="FM137" i="21" a="1"/>
  <c r="DG111" i="21" a="1"/>
  <c r="DJ82" i="21" a="1"/>
  <c r="AB142" i="21" a="1"/>
  <c r="AA98" i="21" a="1"/>
  <c r="DK155" i="21" a="1"/>
  <c r="FK83" i="21" a="1"/>
  <c r="DG128" i="21" a="1"/>
  <c r="DM159" i="21" a="1"/>
  <c r="W159" i="21" a="1"/>
  <c r="DN99" i="21" a="1"/>
  <c r="FL68" i="21" a="1"/>
  <c r="AG93" i="21" a="1"/>
  <c r="DJ116" i="21" a="1"/>
  <c r="Z162" i="21" a="1"/>
  <c r="DL135" i="21" a="1"/>
  <c r="FM113" i="21" a="1"/>
  <c r="AD162" i="21" a="1"/>
  <c r="FK132" i="21" a="1"/>
  <c r="AD137" i="21" a="1"/>
  <c r="FK142" i="21" a="1"/>
  <c r="FC130" i="21" a="1"/>
  <c r="DJ185" i="21" a="1"/>
  <c r="FE113" i="21" a="1"/>
  <c r="FJ166" i="21" a="1"/>
  <c r="AC130" i="21" a="1"/>
  <c r="FJ79" i="21" a="1"/>
  <c r="FC125" i="21" a="1"/>
  <c r="AE175" i="21" a="1"/>
  <c r="AF188" i="21" a="1"/>
  <c r="Z112" i="21" a="1"/>
  <c r="FM170" i="21" a="1"/>
  <c r="FF144" i="21" a="1"/>
  <c r="FI133" i="21" a="1"/>
  <c r="DG184" i="21" a="1"/>
  <c r="FC90" i="21" a="1"/>
  <c r="FG169" i="21" a="1"/>
  <c r="DH181" i="21" a="1"/>
  <c r="FC141" i="21" a="1"/>
  <c r="W98" i="21" a="1"/>
  <c r="DL105" i="21" a="1"/>
  <c r="AB79" i="21" a="1"/>
  <c r="X125" i="21" a="1"/>
  <c r="DE72" i="21" a="1"/>
  <c r="FB94" i="21" a="1"/>
  <c r="FH144" i="21" a="1"/>
  <c r="DN157" i="21" a="1"/>
  <c r="AA123" i="21" a="1"/>
  <c r="FJ86" i="21" a="1"/>
  <c r="DI117" i="21" a="1"/>
  <c r="FK98" i="21" a="1"/>
  <c r="FI178" i="21" a="1"/>
  <c r="AG119" i="21" a="1"/>
  <c r="DF96" i="21" a="1"/>
  <c r="DH160" i="21" a="1"/>
  <c r="Z133" i="21" a="1"/>
  <c r="DM157" i="21" a="1"/>
  <c r="AE132" i="21" a="1"/>
  <c r="AD112" i="21" a="1"/>
  <c r="AE109" i="21" a="1"/>
  <c r="AD105" i="21" a="1"/>
  <c r="AG133" i="21" a="1"/>
  <c r="DJ105" i="21" a="1"/>
  <c r="AB78" i="21" a="1"/>
  <c r="FI152" i="21" a="1"/>
  <c r="DN70" i="21" a="1"/>
  <c r="DN156" i="21" a="1"/>
  <c r="FE89" i="21" a="1"/>
  <c r="AB162" i="21" a="1"/>
  <c r="X115" i="21" a="1"/>
  <c r="DM174" i="21" a="1"/>
  <c r="FB128" i="21" a="1"/>
  <c r="DF152" i="21" a="1"/>
  <c r="DG152" i="21" a="1"/>
  <c r="Z178" i="21" a="1"/>
  <c r="FB83" i="21" a="1"/>
  <c r="FC82" i="21" a="1"/>
  <c r="FD162" i="21" a="1"/>
  <c r="DL185" i="21" a="1"/>
  <c r="FC109" i="21" a="1"/>
  <c r="DL106" i="21" a="1"/>
  <c r="AE93" i="21" a="1"/>
  <c r="FE158" i="21" a="1"/>
  <c r="DD72" i="21" a="1"/>
  <c r="DF117" i="21" a="1"/>
  <c r="FI177" i="21" a="1"/>
  <c r="DG130" i="21" a="1"/>
  <c r="FL118" i="21" a="1"/>
  <c r="DN74" i="21" a="1"/>
  <c r="DE82" i="21" a="1"/>
  <c r="DJ99" i="21" a="1"/>
  <c r="Z166" i="21" a="1"/>
  <c r="DE130" i="21" a="1"/>
  <c r="FG120" i="21" a="1"/>
  <c r="FI89" i="21" a="1"/>
  <c r="V81" i="21" a="1"/>
  <c r="FL160" i="21" a="1"/>
  <c r="Z173" i="21" a="1"/>
  <c r="AC119" i="21" a="1"/>
  <c r="DK110" i="21" a="1"/>
  <c r="AB90" i="21" a="1"/>
  <c r="DG101" i="21" a="1"/>
  <c r="DH135" i="21" a="1"/>
  <c r="FI140" i="21" a="1"/>
  <c r="AE146" i="21" a="1"/>
  <c r="FB124" i="21" a="1"/>
  <c r="FI72" i="21" a="1"/>
  <c r="DM117" i="21" a="1"/>
  <c r="DG74" i="21" a="1"/>
  <c r="AD128" i="21" a="1"/>
  <c r="FI141" i="21" a="1"/>
  <c r="DG132" i="21" a="1"/>
  <c r="FI134" i="21" a="1"/>
  <c r="DG182" i="21" a="1"/>
  <c r="AC145" i="21" a="1"/>
  <c r="DN81" i="21" a="1"/>
  <c r="AB171" i="21" a="1"/>
  <c r="DK123" i="21" a="1"/>
  <c r="DF133" i="21" a="1"/>
  <c r="AA167" i="21" a="1"/>
  <c r="AE83" i="21" a="1"/>
  <c r="DK163" i="21" a="1"/>
  <c r="DM182" i="21" a="1"/>
  <c r="DG70" i="21" a="1"/>
  <c r="DI123" i="21" a="1"/>
  <c r="Y119" i="21" a="1"/>
  <c r="FG155" i="21" a="1"/>
  <c r="DD119" i="21" a="1"/>
  <c r="DC115" i="21" a="1"/>
  <c r="DJ135" i="21" a="1"/>
  <c r="FK90" i="21" a="1"/>
  <c r="DM89" i="21" a="1"/>
  <c r="DE76" i="21" a="1"/>
  <c r="DH163" i="21" a="1"/>
  <c r="DK150" i="21" a="1"/>
  <c r="DM166" i="21" a="1"/>
  <c r="DK120" i="21" a="1"/>
  <c r="AG86" i="21" a="1"/>
  <c r="DD93" i="21" a="1"/>
  <c r="DL125" i="21" a="1"/>
  <c r="FI144" i="21" a="1"/>
  <c r="DG168" i="21" a="1"/>
  <c r="AD116" i="21" a="1"/>
  <c r="AC77" i="21" a="1"/>
  <c r="FM81" i="21" a="1"/>
  <c r="FC159" i="21" a="1"/>
  <c r="FE152" i="21" a="1"/>
  <c r="DE68" i="21" a="1"/>
  <c r="X87" i="21" a="1"/>
  <c r="Y99" i="21" a="1"/>
  <c r="AC99" i="21" a="1"/>
  <c r="AG155" i="21" a="1"/>
  <c r="DE158" i="21" a="1"/>
  <c r="AD185" i="21" a="1"/>
  <c r="FE82" i="21" a="1"/>
  <c r="V148" i="21" a="1"/>
  <c r="FB76" i="21" a="1"/>
  <c r="DM77" i="21" a="1"/>
  <c r="DN72" i="21" a="1"/>
  <c r="DD156" i="21" a="1"/>
  <c r="FI82" i="21" a="1"/>
  <c r="W72" i="21" a="1"/>
  <c r="V171" i="21" a="1"/>
  <c r="AB135" i="21" a="1"/>
  <c r="AC133" i="21" a="1"/>
  <c r="AB98" i="21" a="1"/>
  <c r="W138" i="21" a="1"/>
  <c r="DD111" i="21" a="1"/>
  <c r="X71" i="21" a="1"/>
  <c r="AD91" i="21" a="1"/>
  <c r="FG170" i="21" a="1"/>
  <c r="DC159" i="21" a="1"/>
  <c r="DC94" i="21" a="1"/>
  <c r="FI124" i="21" a="1"/>
  <c r="V78" i="21" a="1"/>
  <c r="DJ90" i="21" a="1"/>
  <c r="FD127" i="21" a="1"/>
  <c r="AF170" i="21" a="1"/>
  <c r="DK145" i="21" a="1"/>
  <c r="AG165" i="21" a="1"/>
  <c r="AE110" i="21" a="1"/>
  <c r="AC112" i="21" a="1"/>
  <c r="DJ174" i="21" a="1"/>
  <c r="X127" i="21" a="1"/>
  <c r="FL124" i="21" a="1"/>
  <c r="DF141" i="21" a="1"/>
  <c r="DI90" i="21" a="1"/>
  <c r="FM88" i="21" a="1"/>
  <c r="FE119" i="21" a="1"/>
  <c r="FM86" i="21" a="1"/>
  <c r="FK71" i="21" a="1"/>
  <c r="FJ89" i="21" a="1"/>
  <c r="AE158" i="21" a="1"/>
  <c r="DE135" i="21" a="1"/>
  <c r="AD188" i="21" a="1"/>
  <c r="FF162" i="21" a="1"/>
  <c r="DN116" i="21" a="1"/>
  <c r="FK130" i="21" a="1"/>
  <c r="V174" i="21" a="1"/>
  <c r="FG113" i="21" a="1"/>
  <c r="DM123" i="21" a="1"/>
  <c r="FG148" i="21" a="1"/>
  <c r="FJ159" i="21" a="1"/>
  <c r="DL146" i="21" a="1"/>
  <c r="AD94" i="21" a="1"/>
  <c r="DJ165" i="21" a="1"/>
  <c r="Z158" i="21" a="1"/>
  <c r="AC105" i="21" a="1"/>
  <c r="FB140" i="21" a="1"/>
  <c r="FH134" i="21" a="1"/>
  <c r="AB86" i="21" a="1"/>
  <c r="DD140" i="21" a="1"/>
  <c r="AC146" i="21" a="1"/>
  <c r="FK175" i="21" a="1"/>
  <c r="AC115" i="21" a="1"/>
  <c r="FH89" i="21" a="1"/>
  <c r="DN105" i="21" a="1"/>
  <c r="DC140" i="21" a="1"/>
  <c r="AD123" i="21" a="1"/>
  <c r="FH75" i="21" a="1"/>
  <c r="DC157" i="21" a="1"/>
  <c r="AA83" i="21" a="1"/>
  <c r="DL169" i="21" a="1"/>
  <c r="AF133" i="21" a="1"/>
  <c r="FK143" i="21" a="1"/>
  <c r="FC112" i="21" a="1"/>
  <c r="FE157" i="21" a="1"/>
  <c r="DJ85" i="21" a="1"/>
  <c r="AE188" i="21" a="1"/>
  <c r="AF166" i="21" a="1"/>
  <c r="DH83" i="21" a="1"/>
  <c r="FI69" i="21" a="1"/>
  <c r="FF165" i="21" a="1"/>
  <c r="AC79" i="21" a="1"/>
  <c r="W78" i="21" a="1"/>
  <c r="DL91" i="21" a="1"/>
  <c r="AA171" i="21" a="1"/>
  <c r="AA174" i="21" a="1"/>
  <c r="DI74" i="21" a="1"/>
  <c r="FB96" i="21" a="1"/>
  <c r="DH148" i="21" a="1"/>
  <c r="FF124" i="21" a="1"/>
  <c r="AA130" i="21" a="1"/>
  <c r="AB130" i="21" a="1"/>
  <c r="AF98" i="21" a="1"/>
  <c r="DI166" i="21" a="1"/>
  <c r="Y130" i="21" a="1"/>
  <c r="DD128" i="21" a="1"/>
  <c r="DC174" i="21" a="1"/>
  <c r="Y125" i="21" a="1"/>
  <c r="AB113" i="21" a="1"/>
  <c r="DJ153" i="21" a="1"/>
  <c r="Z156" i="21" a="1"/>
  <c r="DJ71" i="21" a="1"/>
  <c r="V140" i="21" a="1"/>
  <c r="AA153" i="21" a="1"/>
  <c r="AF79" i="21" a="1"/>
  <c r="FK117" i="21" a="1"/>
  <c r="AD165" i="21" a="1"/>
  <c r="FF72" i="21" a="1"/>
  <c r="DK144" i="21" a="1"/>
  <c r="DM68" i="21" a="1"/>
  <c r="FB171" i="21" a="1"/>
  <c r="AF113" i="21" a="1"/>
  <c r="DJ133" i="21" a="1"/>
  <c r="FJ76" i="21" a="1"/>
  <c r="AA77" i="21" a="1"/>
  <c r="AG168" i="21" a="1"/>
  <c r="AC140" i="21" a="1"/>
  <c r="DC146" i="21" a="1"/>
  <c r="FK93" i="21" a="1"/>
  <c r="V130" i="21" a="1"/>
  <c r="FL96" i="21" a="1"/>
  <c r="FG163" i="21" a="1"/>
  <c r="FD110" i="21" a="1"/>
  <c r="DD125" i="21" a="1"/>
  <c r="DM96" i="21" a="1"/>
  <c r="FJ125" i="21" a="1"/>
  <c r="AA135" i="21" a="1"/>
  <c r="DN188" i="21" a="1"/>
  <c r="AD184" i="21" a="1"/>
  <c r="FM116" i="21" a="1"/>
  <c r="FK169" i="21" a="1"/>
  <c r="DM168" i="21" a="1"/>
  <c r="FL114" i="21" a="1"/>
  <c r="AB94" i="21" a="1"/>
  <c r="FL74" i="21" a="1"/>
  <c r="DI144" i="21" a="1"/>
  <c r="AF169" i="21" a="1"/>
  <c r="FB174" i="21" a="1"/>
  <c r="FI94" i="21" a="1"/>
  <c r="FF117" i="21" a="1"/>
  <c r="DL165" i="21" a="1"/>
  <c r="DF128" i="21" a="1"/>
  <c r="AE115" i="21" a="1"/>
  <c r="AG111" i="21" a="1"/>
  <c r="AF111" i="21" a="1"/>
  <c r="DM75" i="21" a="1"/>
  <c r="DI162" i="21" a="1"/>
  <c r="AF112" i="21" a="1"/>
  <c r="FL87" i="21" a="1"/>
  <c r="AD82" i="21" a="1"/>
  <c r="DC70" i="21" a="1"/>
  <c r="DN140" i="21" a="1"/>
  <c r="DE78" i="21" a="1"/>
  <c r="AF72" i="21" a="1"/>
  <c r="AC185" i="21" a="1"/>
  <c r="AE173" i="21" a="1"/>
  <c r="FE91" i="21" a="1"/>
  <c r="FL139" i="21" a="1"/>
  <c r="AG99" i="21" a="1"/>
  <c r="Y68" i="21" a="1"/>
  <c r="Z111" i="21" a="1"/>
  <c r="Y75" i="21" a="1"/>
  <c r="DM113" i="21" a="1"/>
  <c r="DK132" i="21" a="1"/>
  <c r="Y82" i="21" a="1"/>
  <c r="Z145" i="21" a="1"/>
  <c r="FC113" i="21" a="1"/>
  <c r="DI114" i="21" a="1"/>
  <c r="DJ140" i="21" a="1"/>
  <c r="DD131" i="21" a="1"/>
  <c r="FL163" i="21" a="1"/>
  <c r="W86" i="21" a="1"/>
  <c r="DH142" i="21" a="1"/>
  <c r="Y89" i="21" a="1"/>
  <c r="FH98" i="21" a="1"/>
  <c r="FK105" i="21" a="1"/>
  <c r="DD77" i="21" a="1"/>
  <c r="FL117" i="21" a="1"/>
  <c r="FJ82" i="21" a="1"/>
  <c r="AG70" i="21" a="1"/>
  <c r="AD75" i="21" a="1"/>
  <c r="DD157" i="21" a="1"/>
  <c r="Y96" i="21" a="1"/>
  <c r="FL91" i="21" a="1"/>
  <c r="FF101" i="21" a="1"/>
  <c r="Z148" i="21" a="1"/>
  <c r="FH143" i="21" a="1"/>
  <c r="DG169" i="21" a="1"/>
  <c r="AF101" i="21" a="1"/>
  <c r="AG174" i="21" a="1"/>
  <c r="X165" i="21" a="1"/>
  <c r="DG177" i="21" a="1"/>
  <c r="Z150" i="21" a="1"/>
  <c r="AE174" i="21" a="1"/>
  <c r="DC162" i="21" a="1"/>
  <c r="AE130" i="21" a="1"/>
  <c r="AA96" i="21" a="1"/>
  <c r="V112" i="21" a="1"/>
  <c r="FL72" i="21" a="1"/>
  <c r="AB80" i="21" a="1"/>
  <c r="Y79" i="21" a="1"/>
  <c r="FM159" i="21" a="1"/>
  <c r="V99" i="21" a="1"/>
  <c r="X72" i="21" a="1"/>
  <c r="FK114" i="21" a="1"/>
  <c r="AB133" i="21" a="1"/>
  <c r="DE134" i="21" a="1"/>
  <c r="FD81" i="21" a="1"/>
  <c r="AB143" i="21" a="1"/>
  <c r="DC99" i="21" a="1"/>
  <c r="DH82" i="21" a="1"/>
  <c r="W145" i="21" a="1"/>
  <c r="FB78" i="21" a="1"/>
  <c r="FJ140" i="21" a="1"/>
  <c r="DC143" i="21" a="1"/>
  <c r="FI180" i="21" a="1"/>
  <c r="FB142" i="21" a="1"/>
  <c r="DK77" i="21" a="1"/>
  <c r="FK80" i="21" a="1"/>
  <c r="FK180" i="21" a="1"/>
  <c r="X149" i="21" a="1"/>
  <c r="FH93" i="21" a="1"/>
  <c r="DH99" i="21" a="1"/>
  <c r="DE71" i="21" a="1"/>
  <c r="AD144" i="21" a="1"/>
  <c r="W123" i="21" a="1"/>
  <c r="FE141" i="21" a="1"/>
  <c r="AG82" i="21" a="1"/>
  <c r="AG188" i="21" a="1"/>
  <c r="AB110" i="21" a="1"/>
  <c r="DK90" i="21" a="1"/>
  <c r="W90" i="21" a="1"/>
  <c r="FI115" i="21" a="1"/>
  <c r="DM167" i="21" a="1"/>
  <c r="AA72" i="21" a="1"/>
  <c r="FG157" i="21" a="1"/>
  <c r="V98" i="21" a="1"/>
  <c r="FL98" i="21" a="1"/>
  <c r="FL101" i="21" a="1"/>
  <c r="FH168" i="21" a="1"/>
  <c r="AB74" i="21" a="1"/>
  <c r="FH114" i="21" a="1"/>
  <c r="AD175" i="21" a="1"/>
  <c r="DM98" i="21" a="1"/>
  <c r="AF78" i="21" a="1"/>
  <c r="DD138" i="21" a="1"/>
  <c r="AD72" i="21" a="1"/>
  <c r="FJ177" i="21" a="1"/>
  <c r="DI160" i="21" a="1"/>
  <c r="AF76" i="21" a="1"/>
  <c r="FI71" i="21" a="1"/>
  <c r="DE81" i="21" a="1"/>
  <c r="FG82" i="21" a="1"/>
  <c r="FI170" i="21" a="1"/>
  <c r="FM134" i="21" a="1"/>
  <c r="DD68" i="21" a="1"/>
  <c r="AD134" i="21" a="1"/>
  <c r="FB162" i="21" a="1"/>
  <c r="V77" i="21" a="1"/>
  <c r="FF119" i="21" a="1"/>
  <c r="FI130" i="21" a="1"/>
  <c r="FL105" i="21" a="1"/>
  <c r="DK85" i="21" a="1"/>
  <c r="DE91" i="21" a="1"/>
  <c r="DN110" i="21" a="1"/>
  <c r="FD130" i="21" a="1"/>
  <c r="AA131" i="21" a="1"/>
  <c r="DK184" i="21" a="1"/>
  <c r="FJ110" i="21" a="1"/>
  <c r="DF123" i="21" a="1"/>
  <c r="DJ160" i="21" a="1"/>
  <c r="AB91" i="21" a="1"/>
  <c r="Y162" i="21" a="1"/>
  <c r="FK68" i="21" a="1"/>
  <c r="FH166" i="21" a="1"/>
  <c r="DH141" i="21" a="1"/>
  <c r="FJ77" i="21" a="1"/>
  <c r="FE159" i="21" a="1"/>
  <c r="AA142" i="21" a="1"/>
  <c r="DJ101" i="21" a="1"/>
  <c r="DK128" i="21" a="1"/>
  <c r="FJ141" i="21" a="1"/>
  <c r="FK128" i="21" a="1"/>
  <c r="DL152" i="21" a="1"/>
  <c r="Z160" i="21" a="1"/>
  <c r="AG152" i="21" a="1"/>
  <c r="Z98" i="21" a="1"/>
  <c r="W140" i="21" a="1"/>
  <c r="DK141" i="21" a="1"/>
  <c r="W134" i="21" a="1"/>
  <c r="FJ112" i="21" a="1"/>
  <c r="DD143" i="21" a="1"/>
  <c r="FC70" i="21" a="1"/>
  <c r="AC78" i="21" a="1"/>
  <c r="DK182" i="21" a="1"/>
  <c r="DI134" i="21" a="1"/>
  <c r="DI146" i="21" a="1"/>
  <c r="FF131" i="21" a="1"/>
  <c r="Y91" i="21" a="1"/>
  <c r="DH131" i="21" a="1"/>
  <c r="DF77" i="21" a="1"/>
  <c r="DN101" i="21" a="1"/>
  <c r="W77" i="21" a="1"/>
  <c r="FL71" i="21" a="1"/>
  <c r="DI113" i="21" a="1"/>
  <c r="Y134" i="21" a="1"/>
  <c r="DJ68" i="21" a="1"/>
  <c r="FD157" i="21" a="1"/>
  <c r="DJ125" i="21" a="1"/>
  <c r="FL184" i="21" a="1"/>
  <c r="FL140" i="21" a="1"/>
  <c r="FJ162" i="21" a="1"/>
  <c r="AE74" i="21" a="1"/>
  <c r="AE76" i="21" a="1"/>
  <c r="DN80" i="21" a="1"/>
  <c r="FI188" i="21" a="1"/>
  <c r="FJ180" i="21" a="1"/>
  <c r="FL90" i="21" a="1"/>
  <c r="FE111" i="21" a="1"/>
  <c r="DI112" i="21" a="1"/>
  <c r="DL77" i="21" a="1"/>
  <c r="FI93" i="21" a="1"/>
  <c r="DK173" i="21" a="1"/>
  <c r="DI124" i="21" a="1"/>
  <c r="DE98" i="21" a="1"/>
  <c r="DL114" i="21" a="1"/>
  <c r="FH146" i="21" a="1"/>
  <c r="AE82" i="21" a="1"/>
  <c r="AE184" i="21" a="1"/>
  <c r="DE150" i="21" a="1"/>
  <c r="DF124" i="21" a="1"/>
  <c r="Z159" i="21" a="1"/>
  <c r="AG124" i="21" a="1"/>
  <c r="DN134" i="21" a="1"/>
  <c r="FH77" i="21" a="1"/>
  <c r="DC169" i="21" a="1"/>
  <c r="DM111" i="21" a="1"/>
  <c r="DF90" i="21" a="1"/>
  <c r="DG155" i="21" a="1"/>
  <c r="DK146" i="21" a="1"/>
  <c r="W141" i="21" a="1"/>
  <c r="AA69" i="21" a="1"/>
  <c r="DH159" i="21" a="1"/>
  <c r="FM123" i="21" a="1"/>
  <c r="FH174" i="21" a="1"/>
  <c r="FM70" i="21" a="1"/>
  <c r="FE140" i="21" a="1"/>
  <c r="FM135" i="21" a="1"/>
  <c r="FK157" i="21" a="1"/>
  <c r="AB114" i="21" a="1"/>
  <c r="AC116" i="21" a="1"/>
  <c r="FJ139" i="21" a="1"/>
  <c r="FH131" i="21" a="1"/>
  <c r="AF180" i="21" a="1"/>
  <c r="Y159" i="21" a="1"/>
  <c r="FE99" i="21" a="1"/>
  <c r="DJ130" i="21" a="1"/>
  <c r="AB146" i="21" a="1"/>
  <c r="DJ182" i="21" a="1"/>
  <c r="FM74" i="21" a="1"/>
  <c r="DG174" i="21" a="1"/>
  <c r="FC148" i="21" a="1"/>
  <c r="DG119" i="21" a="1"/>
  <c r="FD96" i="21" a="1"/>
  <c r="DD74" i="21" a="1"/>
  <c r="AG150" i="21" a="1"/>
  <c r="DG72" i="21" a="1"/>
  <c r="DI87" i="21" a="1"/>
  <c r="V155" i="21" a="1"/>
  <c r="DH77" i="21" a="1"/>
  <c r="DJ143" i="21" a="1"/>
  <c r="FE90" i="21" a="1"/>
  <c r="DE125" i="21" a="1"/>
  <c r="X68" i="21" a="1"/>
  <c r="FE72" i="21" a="1"/>
  <c r="FM120" i="21" a="1"/>
  <c r="FK182" i="21" a="1"/>
  <c r="FK135" i="21" a="1"/>
  <c r="DD148" i="21" a="1"/>
  <c r="FB86" i="21" a="1"/>
  <c r="FF111" i="21" a="1"/>
  <c r="FC158" i="21" a="1"/>
  <c r="DN96" i="21" a="1"/>
  <c r="AB163" i="21" a="1"/>
  <c r="FG174" i="21" a="1"/>
  <c r="FK166" i="21" a="1"/>
  <c r="AC69" i="21" a="1"/>
  <c r="AF158" i="21" a="1"/>
  <c r="FG128" i="21" a="1"/>
  <c r="FE130" i="21" a="1"/>
  <c r="AA128" i="21" a="1"/>
  <c r="AB120" i="21" a="1"/>
  <c r="FM143" i="21" a="1"/>
  <c r="AD79" i="21" a="1"/>
  <c r="AC143" i="21" a="1"/>
  <c r="FJ184" i="21" a="1"/>
  <c r="W157" i="21" a="1"/>
  <c r="FG116" i="21" a="1"/>
  <c r="V134" i="21" a="1"/>
  <c r="FK168" i="21" a="1"/>
  <c r="FE125" i="21" a="1"/>
  <c r="AA74" i="21" a="1"/>
  <c r="DL134" i="21" a="1"/>
  <c r="FJ119" i="21" a="1"/>
  <c r="AG116" i="21" a="1"/>
  <c r="FG83" i="21" a="1"/>
  <c r="FE110" i="21" a="1"/>
  <c r="DG93" i="21" a="1"/>
  <c r="AC173" i="21" a="1"/>
  <c r="DL159" i="21" a="1"/>
  <c r="AD99" i="21" a="1"/>
  <c r="DE148" i="21" a="1"/>
  <c r="FJ109" i="21" a="1"/>
  <c r="FB141" i="21" a="1"/>
  <c r="FF145" i="21" a="1"/>
  <c r="FD78" i="21" a="1"/>
  <c r="DE128" i="21" a="1"/>
  <c r="FG131" i="21" a="1"/>
  <c r="DF140" i="21" a="1"/>
  <c r="FB123" i="21" a="1"/>
  <c r="FJ138" i="21" a="1"/>
  <c r="FF133" i="21" a="1"/>
  <c r="DC145" i="21" a="1"/>
  <c r="AE94" i="21" a="1"/>
  <c r="FK160" i="21" a="1"/>
  <c r="FH85" i="21" a="1"/>
  <c r="AD155" i="21" a="1"/>
  <c r="FJ135" i="21" a="1"/>
  <c r="V165" i="21" a="1"/>
  <c r="FD109" i="21" a="1"/>
  <c r="AG166" i="21" a="1"/>
  <c r="DK112" i="21" a="1"/>
  <c r="FD144" i="21" a="1"/>
  <c r="FH173" i="21" a="1"/>
  <c r="FG167" i="21" a="1"/>
  <c r="FJ120" i="21" a="1"/>
  <c r="AD166" i="21" a="1"/>
  <c r="DL182" i="21" a="1"/>
  <c r="FM142" i="21" a="1"/>
  <c r="FM84" i="21" a="1"/>
  <c r="DH140" i="21" a="1"/>
  <c r="DN170" i="21" a="1"/>
  <c r="FD163" i="21" a="1"/>
  <c r="AM177" i="21" l="1"/>
  <c r="AM180" i="21"/>
  <c r="AV180" i="21" s="1"/>
  <c r="BW173" i="21"/>
  <c r="AN167" i="21"/>
  <c r="AW167" i="21" s="1"/>
  <c r="BU177" i="21"/>
  <c r="AN178" i="21"/>
  <c r="AW178" i="21" s="1"/>
  <c r="AO171" i="21"/>
  <c r="AX171" i="21" s="1"/>
  <c r="BU180" i="21"/>
  <c r="AO173" i="21"/>
  <c r="AX173" i="21" s="1"/>
  <c r="BW171" i="21"/>
  <c r="GB178" i="21"/>
  <c r="GB170" i="21"/>
  <c r="FB69" i="21"/>
  <c r="DF69" i="21"/>
  <c r="AG132" i="21"/>
  <c r="BO132" i="21" s="1"/>
  <c r="DL178" i="21"/>
  <c r="V75" i="21"/>
  <c r="BD75" i="21" s="1"/>
  <c r="FI156" i="21"/>
  <c r="DN145" i="21"/>
  <c r="FM132" i="21"/>
  <c r="FK178" i="21"/>
  <c r="DF156" i="21"/>
  <c r="AP156" i="21" s="1"/>
  <c r="DJ156" i="21"/>
  <c r="FM145" i="21"/>
  <c r="FI167" i="21"/>
  <c r="AE177" i="21"/>
  <c r="BM177" i="21" s="1"/>
  <c r="AD167" i="21"/>
  <c r="BL167" i="21" s="1"/>
  <c r="DN167" i="21"/>
  <c r="V167" i="21"/>
  <c r="BD167" i="21" s="1"/>
  <c r="AB177" i="21"/>
  <c r="BJ177" i="21" s="1"/>
  <c r="FI75" i="21"/>
  <c r="FE93" i="21"/>
  <c r="DH177" i="21"/>
  <c r="DI177" i="21"/>
  <c r="FT177" i="21" s="1"/>
  <c r="X69" i="21"/>
  <c r="BF69" i="21" s="1"/>
  <c r="DF93" i="21"/>
  <c r="FF75" i="21"/>
  <c r="DI85" i="21"/>
  <c r="FT85" i="21" s="1"/>
  <c r="DF132" i="21"/>
  <c r="AP132" i="21" s="1"/>
  <c r="FE120" i="21"/>
  <c r="Z75" i="21"/>
  <c r="BH75" i="21" s="1"/>
  <c r="DD69" i="21"/>
  <c r="DC120" i="21"/>
  <c r="FE69" i="21"/>
  <c r="AB69" i="21"/>
  <c r="BJ69" i="21" s="1"/>
  <c r="W69" i="21"/>
  <c r="BE69" i="21" s="1"/>
  <c r="FB75" i="21"/>
  <c r="AC132" i="21"/>
  <c r="BK132" i="21" s="1"/>
  <c r="FK85" i="21"/>
  <c r="AD156" i="21"/>
  <c r="BL156" i="21" s="1"/>
  <c r="X93" i="21"/>
  <c r="BF93" i="21" s="1"/>
  <c r="AC156" i="21"/>
  <c r="BK156" i="21" s="1"/>
  <c r="FM167" i="21"/>
  <c r="DF120" i="21"/>
  <c r="AP120" i="21" s="1"/>
  <c r="AG145" i="21"/>
  <c r="BO145" i="21" s="1"/>
  <c r="DG75" i="21"/>
  <c r="DN132" i="21"/>
  <c r="DJ167" i="21"/>
  <c r="AB85" i="21"/>
  <c r="BJ85" i="21" s="1"/>
  <c r="AE178" i="21"/>
  <c r="BM178" i="21" s="1"/>
  <c r="DJ75" i="21"/>
  <c r="DE69" i="21"/>
  <c r="FJ167" i="21"/>
  <c r="DC75" i="21"/>
  <c r="W132" i="21"/>
  <c r="BE132" i="21" s="1"/>
  <c r="AC86" i="21"/>
  <c r="BK86" i="21" s="1"/>
  <c r="DJ132" i="21"/>
  <c r="AE85" i="21"/>
  <c r="BM85" i="21" s="1"/>
  <c r="AE145" i="21"/>
  <c r="BM145" i="21" s="1"/>
  <c r="DE93" i="21"/>
  <c r="FC132" i="21"/>
  <c r="FI86" i="21"/>
  <c r="FM178" i="21"/>
  <c r="DL85" i="21"/>
  <c r="FK145" i="21"/>
  <c r="FF85" i="21"/>
  <c r="FH167" i="21"/>
  <c r="AC75" i="21"/>
  <c r="BK75" i="21" s="1"/>
  <c r="FE132" i="21"/>
  <c r="DK167" i="21"/>
  <c r="DM86" i="21"/>
  <c r="DD132" i="21"/>
  <c r="AN132" i="21" s="1"/>
  <c r="FL144" i="21"/>
  <c r="DJ86" i="21"/>
  <c r="DN178" i="21"/>
  <c r="AE120" i="21"/>
  <c r="BM120" i="21" s="1"/>
  <c r="DL145" i="21"/>
  <c r="DG85" i="21"/>
  <c r="AF145" i="21"/>
  <c r="BN145" i="21" s="1"/>
  <c r="Y93" i="21"/>
  <c r="BG93" i="21" s="1"/>
  <c r="Y69" i="21"/>
  <c r="BG69" i="21" s="1"/>
  <c r="DC167" i="21"/>
  <c r="AM167" i="21" s="1"/>
  <c r="DJ120" i="21"/>
  <c r="X145" i="21"/>
  <c r="BF145" i="21" s="1"/>
  <c r="FH177" i="21"/>
  <c r="FC69" i="21"/>
  <c r="AB167" i="21"/>
  <c r="BJ167" i="21" s="1"/>
  <c r="AF85" i="21"/>
  <c r="BN85" i="21" s="1"/>
  <c r="Y132" i="21"/>
  <c r="BG132" i="21" s="1"/>
  <c r="FL86" i="21"/>
  <c r="FJ178" i="21"/>
  <c r="AF144" i="21"/>
  <c r="BN144" i="21" s="1"/>
  <c r="DH156" i="21"/>
  <c r="AG178" i="21"/>
  <c r="BO178" i="21" s="1"/>
  <c r="FK120" i="21"/>
  <c r="DI178" i="21"/>
  <c r="FT178" i="21" s="1"/>
  <c r="Z85" i="21"/>
  <c r="BH85" i="21" s="1"/>
  <c r="DM145" i="21"/>
  <c r="DI75" i="21"/>
  <c r="FT75" i="21" s="1"/>
  <c r="FB156" i="21"/>
  <c r="FB167" i="21"/>
  <c r="FI120" i="21"/>
  <c r="DE145" i="21"/>
  <c r="FK75" i="21"/>
  <c r="V132" i="21"/>
  <c r="BD132" i="21" s="1"/>
  <c r="DI167" i="21"/>
  <c r="FT167" i="21" s="1"/>
  <c r="FL85" i="21"/>
  <c r="AF86" i="21"/>
  <c r="BN86" i="21" s="1"/>
  <c r="DK178" i="21"/>
  <c r="DM144" i="21"/>
  <c r="AA156" i="21"/>
  <c r="BI156" i="21" s="1"/>
  <c r="DK69" i="21"/>
  <c r="DL120" i="21"/>
  <c r="FH178" i="21"/>
  <c r="FC120" i="21"/>
  <c r="DC69" i="21"/>
  <c r="FL145" i="21"/>
  <c r="AB75" i="21"/>
  <c r="BJ75" i="21" s="1"/>
  <c r="V156" i="21"/>
  <c r="BD156" i="21" s="1"/>
  <c r="AA177" i="21"/>
  <c r="BI177" i="21" s="1"/>
  <c r="AC120" i="21"/>
  <c r="BK120" i="21" s="1"/>
  <c r="FD145" i="21"/>
  <c r="AE75" i="21"/>
  <c r="BM75" i="21" s="1"/>
  <c r="DC132" i="21"/>
  <c r="FK177" i="21"/>
  <c r="DM85" i="21"/>
  <c r="FE156" i="21"/>
  <c r="AD178" i="21"/>
  <c r="BL178" i="21" s="1"/>
  <c r="FB120" i="21"/>
  <c r="FG156" i="21"/>
  <c r="FJ69" i="21"/>
  <c r="DK156" i="21"/>
  <c r="AB178" i="21"/>
  <c r="BJ178" i="21" s="1"/>
  <c r="W120" i="21"/>
  <c r="BE120" i="21" s="1"/>
  <c r="V69" i="21"/>
  <c r="BD69" i="21" s="1"/>
  <c r="AG167" i="21"/>
  <c r="BO167" i="21" s="1"/>
  <c r="Y120" i="21"/>
  <c r="BG120" i="21" s="1"/>
  <c r="DC156" i="21"/>
  <c r="AM156" i="21" s="1"/>
  <c r="FG177" i="21"/>
  <c r="DI69" i="21"/>
  <c r="FT69" i="21" s="1"/>
  <c r="AC167" i="21"/>
  <c r="BK167" i="21" s="1"/>
  <c r="DL75" i="21"/>
  <c r="FB132" i="21"/>
  <c r="DL177" i="21"/>
  <c r="FD69" i="21"/>
  <c r="Y156" i="21"/>
  <c r="BG156" i="21" s="1"/>
  <c r="V120" i="21"/>
  <c r="BD120" i="21" s="1"/>
  <c r="FI132" i="21"/>
  <c r="AD69" i="21"/>
  <c r="BL69" i="21" s="1"/>
  <c r="FJ156" i="21"/>
  <c r="FD93" i="21"/>
  <c r="DD120" i="21"/>
  <c r="GC170" i="21"/>
  <c r="BW170" i="21"/>
  <c r="GD170" i="21"/>
  <c r="BX170" i="21"/>
  <c r="BU188" i="21"/>
  <c r="AM188" i="21"/>
  <c r="BV168" i="21"/>
  <c r="AO180" i="21"/>
  <c r="AN177" i="21"/>
  <c r="BX180" i="21"/>
  <c r="AN170" i="21"/>
  <c r="AW170" i="21" s="1"/>
  <c r="AP180" i="21"/>
  <c r="AY180" i="21" s="1"/>
  <c r="V163" i="21"/>
  <c r="BD163" i="21" s="1"/>
  <c r="FL89" i="21"/>
  <c r="Y158" i="21"/>
  <c r="BG158" i="21" s="1"/>
  <c r="AB81" i="21"/>
  <c r="BJ81" i="21" s="1"/>
  <c r="FD89" i="21"/>
  <c r="DJ83" i="21"/>
  <c r="V124" i="21"/>
  <c r="BD124" i="21" s="1"/>
  <c r="AD76" i="21"/>
  <c r="BL76" i="21" s="1"/>
  <c r="CC76" i="21" s="1"/>
  <c r="AF171" i="21"/>
  <c r="BN171" i="21" s="1"/>
  <c r="DE74" i="21"/>
  <c r="DC163" i="21"/>
  <c r="AM163" i="21" s="1"/>
  <c r="DM89" i="21"/>
  <c r="FE158" i="21"/>
  <c r="AE81" i="21"/>
  <c r="BM81" i="21" s="1"/>
  <c r="X89" i="21"/>
  <c r="BF89" i="21" s="1"/>
  <c r="AC83" i="21"/>
  <c r="BK83" i="21" s="1"/>
  <c r="CB83" i="21" s="1"/>
  <c r="FF128" i="21"/>
  <c r="DM171" i="21"/>
  <c r="DM128" i="21"/>
  <c r="X74" i="21"/>
  <c r="BF74" i="21" s="1"/>
  <c r="AD74" i="21"/>
  <c r="BL74" i="21" s="1"/>
  <c r="DF81" i="21"/>
  <c r="DF158" i="21"/>
  <c r="AP158" i="21" s="1"/>
  <c r="FK81" i="21"/>
  <c r="W124" i="21"/>
  <c r="BE124" i="21" s="1"/>
  <c r="FI83" i="21"/>
  <c r="DG128" i="21"/>
  <c r="DC128" i="21"/>
  <c r="FI76" i="21"/>
  <c r="FL128" i="21"/>
  <c r="FD74" i="21"/>
  <c r="DK74" i="21"/>
  <c r="FE81" i="21"/>
  <c r="FJ158" i="21"/>
  <c r="DL81" i="21"/>
  <c r="FC124" i="21"/>
  <c r="DL83" i="21"/>
  <c r="Z128" i="21"/>
  <c r="BH128" i="21" s="1"/>
  <c r="V128" i="21"/>
  <c r="BD128" i="21" s="1"/>
  <c r="DJ76" i="21"/>
  <c r="AF128" i="21"/>
  <c r="BN128" i="21" s="1"/>
  <c r="DN128" i="21"/>
  <c r="DC89" i="21"/>
  <c r="Y81" i="21"/>
  <c r="BG81" i="21" s="1"/>
  <c r="AD158" i="21"/>
  <c r="BL158" i="21" s="1"/>
  <c r="DH162" i="21"/>
  <c r="DD124" i="21"/>
  <c r="AE83" i="21"/>
  <c r="BM83" i="21" s="1"/>
  <c r="GJ83" i="21" s="1"/>
  <c r="AG158" i="21"/>
  <c r="BO158" i="21" s="1"/>
  <c r="FB128" i="21"/>
  <c r="AC76" i="21"/>
  <c r="BK76" i="21" s="1"/>
  <c r="AD83" i="21"/>
  <c r="BL83" i="21" s="1"/>
  <c r="FM128" i="21"/>
  <c r="FB89" i="21"/>
  <c r="DF74" i="21"/>
  <c r="DK158" i="21"/>
  <c r="FG162" i="21"/>
  <c r="FB152" i="21"/>
  <c r="FK83" i="21"/>
  <c r="DN158" i="21"/>
  <c r="FL157" i="21"/>
  <c r="DK83" i="21"/>
  <c r="AG128" i="21"/>
  <c r="BO128" i="21" s="1"/>
  <c r="V89" i="21"/>
  <c r="BD89" i="21" s="1"/>
  <c r="BU89" i="21" s="1"/>
  <c r="FE74" i="21"/>
  <c r="FH81" i="21"/>
  <c r="AA162" i="21"/>
  <c r="BI162" i="21" s="1"/>
  <c r="V152" i="21"/>
  <c r="BD152" i="21" s="1"/>
  <c r="DC124" i="21"/>
  <c r="FM158" i="21"/>
  <c r="AF157" i="21"/>
  <c r="BN157" i="21" s="1"/>
  <c r="DK76" i="21"/>
  <c r="FB163" i="21"/>
  <c r="AF89" i="21"/>
  <c r="BN89" i="21" s="1"/>
  <c r="Y74" i="21"/>
  <c r="BG74" i="21" s="1"/>
  <c r="DI81" i="21"/>
  <c r="FT81" i="21" s="1"/>
  <c r="DE89" i="21"/>
  <c r="DC152" i="21"/>
  <c r="AM152" i="21" s="1"/>
  <c r="FB124" i="21"/>
  <c r="FL171" i="21"/>
  <c r="DM157" i="21"/>
  <c r="GD165" i="21"/>
  <c r="BX165" i="21"/>
  <c r="BW169" i="21"/>
  <c r="GC169" i="21"/>
  <c r="AO170" i="21"/>
  <c r="AX170" i="21" s="1"/>
  <c r="BX177" i="21"/>
  <c r="AP177" i="21"/>
  <c r="AY177" i="21" s="1"/>
  <c r="AP178" i="21"/>
  <c r="AY178" i="21" s="1"/>
  <c r="BX188" i="21"/>
  <c r="AP182" i="21"/>
  <c r="GC180" i="21"/>
  <c r="AM182" i="21"/>
  <c r="AV182" i="21" s="1"/>
  <c r="GD182" i="21"/>
  <c r="GD167" i="21"/>
  <c r="GD178" i="21"/>
  <c r="BU182" i="21"/>
  <c r="AM178" i="21"/>
  <c r="AP170" i="21"/>
  <c r="AY170" i="21" s="1"/>
  <c r="GA178" i="21"/>
  <c r="AN180" i="21"/>
  <c r="AW180" i="21" s="1"/>
  <c r="AP188" i="21"/>
  <c r="AY188" i="21" s="1"/>
  <c r="BX178" i="21"/>
  <c r="AN182" i="21"/>
  <c r="AW182" i="21" s="1"/>
  <c r="GA188" i="21"/>
  <c r="BV180" i="21"/>
  <c r="BV182" i="21"/>
  <c r="DF91" i="21"/>
  <c r="W156" i="21"/>
  <c r="BE156" i="21" s="1"/>
  <c r="DM160" i="21"/>
  <c r="Z159" i="21"/>
  <c r="BH159" i="21" s="1"/>
  <c r="DM75" i="21"/>
  <c r="FK79" i="21"/>
  <c r="DN69" i="21"/>
  <c r="DM81" i="21"/>
  <c r="W160" i="21"/>
  <c r="BE160" i="21" s="1"/>
  <c r="DD159" i="21"/>
  <c r="AN159" i="21" s="1"/>
  <c r="DL137" i="21"/>
  <c r="X77" i="21"/>
  <c r="BF77" i="21" s="1"/>
  <c r="FC125" i="21"/>
  <c r="FI153" i="21"/>
  <c r="FD156" i="21"/>
  <c r="DG112" i="21"/>
  <c r="DN163" i="21"/>
  <c r="DI150" i="21"/>
  <c r="FT150" i="21" s="1"/>
  <c r="AC85" i="21"/>
  <c r="BK85" i="21" s="1"/>
  <c r="DJ182" i="21"/>
  <c r="AF125" i="21"/>
  <c r="BN125" i="21" s="1"/>
  <c r="GK125" i="21" s="1"/>
  <c r="DM125" i="21"/>
  <c r="DJ94" i="21"/>
  <c r="DG159" i="21"/>
  <c r="DJ72" i="21"/>
  <c r="FL81" i="21"/>
  <c r="FG178" i="21"/>
  <c r="DE156" i="21"/>
  <c r="AO156" i="21" s="1"/>
  <c r="AB94" i="21"/>
  <c r="BJ94" i="21" s="1"/>
  <c r="CA94" i="21" s="1"/>
  <c r="DD160" i="21"/>
  <c r="AN160" i="21" s="1"/>
  <c r="DD125" i="21"/>
  <c r="AE180" i="21"/>
  <c r="BM180" i="21" s="1"/>
  <c r="CD180" i="21" s="1"/>
  <c r="AA145" i="21"/>
  <c r="BI145" i="21" s="1"/>
  <c r="Y117" i="21"/>
  <c r="BG117" i="21" s="1"/>
  <c r="FG159" i="21"/>
  <c r="FL165" i="21"/>
  <c r="AF69" i="21"/>
  <c r="BN69" i="21" s="1"/>
  <c r="CE69" i="21" s="1"/>
  <c r="FC150" i="21"/>
  <c r="FF153" i="21"/>
  <c r="V137" i="21"/>
  <c r="BD137" i="21" s="1"/>
  <c r="DN117" i="21"/>
  <c r="AF72" i="21"/>
  <c r="BN72" i="21" s="1"/>
  <c r="FL125" i="21"/>
  <c r="FI94" i="21"/>
  <c r="FF159" i="21"/>
  <c r="AC72" i="21"/>
  <c r="BK72" i="21" s="1"/>
  <c r="AF81" i="21"/>
  <c r="BN81" i="21" s="1"/>
  <c r="DH178" i="21"/>
  <c r="FF177" i="21"/>
  <c r="FH94" i="21"/>
  <c r="DF71" i="21"/>
  <c r="W125" i="21"/>
  <c r="BE125" i="21" s="1"/>
  <c r="DL180" i="21"/>
  <c r="FG145" i="21"/>
  <c r="X72" i="21"/>
  <c r="BF72" i="21" s="1"/>
  <c r="W72" i="21"/>
  <c r="BE72" i="21" s="1"/>
  <c r="AG93" i="21"/>
  <c r="BO93" i="21" s="1"/>
  <c r="DE94" i="21"/>
  <c r="DE85" i="21"/>
  <c r="FH91" i="21"/>
  <c r="FB72" i="21"/>
  <c r="AF152" i="21"/>
  <c r="BN152" i="21" s="1"/>
  <c r="AB70" i="21"/>
  <c r="BJ70" i="21" s="1"/>
  <c r="AG160" i="21"/>
  <c r="BO160" i="21" s="1"/>
  <c r="CF160" i="21" s="1"/>
  <c r="DE137" i="21"/>
  <c r="AO137" i="21" s="1"/>
  <c r="DF163" i="21"/>
  <c r="AP163" i="21" s="1"/>
  <c r="AF112" i="21"/>
  <c r="BN112" i="21" s="1"/>
  <c r="DK85" i="21"/>
  <c r="AA178" i="21"/>
  <c r="BI178" i="21" s="1"/>
  <c r="BZ178" i="21" s="1"/>
  <c r="V150" i="21"/>
  <c r="BD150" i="21" s="1"/>
  <c r="DL94" i="21"/>
  <c r="Y71" i="21"/>
  <c r="BG71" i="21" s="1"/>
  <c r="DN76" i="21"/>
  <c r="FK180" i="21"/>
  <c r="FH152" i="21"/>
  <c r="DL91" i="21"/>
  <c r="AB142" i="21"/>
  <c r="BJ142" i="21" s="1"/>
  <c r="CA142" i="21" s="1"/>
  <c r="FL77" i="21"/>
  <c r="AB160" i="21"/>
  <c r="BJ160" i="21" s="1"/>
  <c r="AG75" i="21"/>
  <c r="BO75" i="21" s="1"/>
  <c r="FD152" i="21"/>
  <c r="FG81" i="21"/>
  <c r="FI70" i="21"/>
  <c r="FM160" i="21"/>
  <c r="X137" i="21"/>
  <c r="BF137" i="21" s="1"/>
  <c r="BW137" i="21" s="1"/>
  <c r="FE163" i="21"/>
  <c r="FL112" i="21"/>
  <c r="FK144" i="21"/>
  <c r="DC150" i="21"/>
  <c r="AM150" i="21" s="1"/>
  <c r="AV150" i="21" s="1"/>
  <c r="FL159" i="21"/>
  <c r="W165" i="21"/>
  <c r="BE165" i="21" s="1"/>
  <c r="AG137" i="21"/>
  <c r="BO137" i="21" s="1"/>
  <c r="DJ81" i="21"/>
  <c r="FH132" i="21"/>
  <c r="Z69" i="21"/>
  <c r="BH69" i="21" s="1"/>
  <c r="AF70" i="21"/>
  <c r="BN70" i="21" s="1"/>
  <c r="AD111" i="21"/>
  <c r="BL111" i="21" s="1"/>
  <c r="AE182" i="21"/>
  <c r="BM182" i="21" s="1"/>
  <c r="GJ182" i="21" s="1"/>
  <c r="FJ153" i="21"/>
  <c r="DK188" i="21"/>
  <c r="AC70" i="21"/>
  <c r="BK70" i="21" s="1"/>
  <c r="CB70" i="21" s="1"/>
  <c r="DN160" i="21"/>
  <c r="DK77" i="21"/>
  <c r="Y163" i="21"/>
  <c r="BG163" i="21" s="1"/>
  <c r="AG79" i="21"/>
  <c r="BO79" i="21" s="1"/>
  <c r="AE144" i="21"/>
  <c r="BM144" i="21" s="1"/>
  <c r="GJ144" i="21" s="1"/>
  <c r="FB150" i="21"/>
  <c r="DF79" i="21"/>
  <c r="DD165" i="21"/>
  <c r="AN165" i="21" s="1"/>
  <c r="AW165" i="21" s="1"/>
  <c r="FG150" i="21"/>
  <c r="FD76" i="21"/>
  <c r="DH170" i="21"/>
  <c r="DJ93" i="21"/>
  <c r="FC94" i="21"/>
  <c r="AA152" i="21"/>
  <c r="BI152" i="21" s="1"/>
  <c r="DG77" i="21"/>
  <c r="AB182" i="21"/>
  <c r="BJ182" i="21" s="1"/>
  <c r="CA182" i="21" s="1"/>
  <c r="DE70" i="21"/>
  <c r="DJ70" i="21"/>
  <c r="FI170" i="21"/>
  <c r="AD77" i="21"/>
  <c r="BL77" i="21" s="1"/>
  <c r="DJ152" i="21"/>
  <c r="DN79" i="21"/>
  <c r="DL144" i="21"/>
  <c r="DD70" i="21"/>
  <c r="Y79" i="21"/>
  <c r="BG79" i="21" s="1"/>
  <c r="FD153" i="21"/>
  <c r="DK94" i="21"/>
  <c r="FD132" i="21"/>
  <c r="FM150" i="21"/>
  <c r="V77" i="21"/>
  <c r="BD77" i="21" s="1"/>
  <c r="FD167" i="21"/>
  <c r="DL160" i="21"/>
  <c r="DG165" i="21"/>
  <c r="DE111" i="21"/>
  <c r="W85" i="21"/>
  <c r="BE85" i="21" s="1"/>
  <c r="AE150" i="21"/>
  <c r="BM150" i="21" s="1"/>
  <c r="AC142" i="21"/>
  <c r="BK142" i="21" s="1"/>
  <c r="FE91" i="21"/>
  <c r="FI71" i="21"/>
  <c r="DL79" i="21"/>
  <c r="AE165" i="21"/>
  <c r="BM165" i="21" s="1"/>
  <c r="DK145" i="21"/>
  <c r="AB150" i="21"/>
  <c r="BJ150" i="21" s="1"/>
  <c r="CA150" i="21" s="1"/>
  <c r="FE79" i="21"/>
  <c r="X153" i="21"/>
  <c r="BF153" i="21" s="1"/>
  <c r="DH75" i="21"/>
  <c r="FL170" i="21"/>
  <c r="DH144" i="21"/>
  <c r="AA94" i="21"/>
  <c r="BI94" i="21" s="1"/>
  <c r="AG111" i="21"/>
  <c r="BO111" i="21" s="1"/>
  <c r="CF111" i="21" s="1"/>
  <c r="FD163" i="21"/>
  <c r="FF167" i="21"/>
  <c r="AG152" i="21"/>
  <c r="BO152" i="21" s="1"/>
  <c r="CF152" i="21" s="1"/>
  <c r="FK71" i="21"/>
  <c r="FC75" i="21"/>
  <c r="FF182" i="21"/>
  <c r="FI142" i="21"/>
  <c r="DG137" i="21"/>
  <c r="DH91" i="21"/>
  <c r="FM180" i="21"/>
  <c r="DJ71" i="21"/>
  <c r="DN182" i="21"/>
  <c r="AE117" i="21"/>
  <c r="BM117" i="21" s="1"/>
  <c r="AG125" i="21"/>
  <c r="BO125" i="21" s="1"/>
  <c r="GL125" i="21" s="1"/>
  <c r="FK165" i="21"/>
  <c r="W153" i="21"/>
  <c r="BE153" i="21" s="1"/>
  <c r="AB163" i="21"/>
  <c r="BJ163" i="21" s="1"/>
  <c r="CA163" i="21" s="1"/>
  <c r="FF173" i="21"/>
  <c r="DD156" i="21"/>
  <c r="AN156" i="21" s="1"/>
  <c r="W142" i="21"/>
  <c r="BE142" i="21" s="1"/>
  <c r="FH137" i="21"/>
  <c r="AC91" i="21"/>
  <c r="BK91" i="21" s="1"/>
  <c r="CB91" i="21" s="1"/>
  <c r="DG170" i="21"/>
  <c r="AF117" i="21"/>
  <c r="BN117" i="21" s="1"/>
  <c r="DM79" i="21"/>
  <c r="DD152" i="21"/>
  <c r="AN152" i="21" s="1"/>
  <c r="AW152" i="21" s="1"/>
  <c r="FD81" i="21"/>
  <c r="Z150" i="21"/>
  <c r="BH150" i="21" s="1"/>
  <c r="DL132" i="21"/>
  <c r="FM144" i="21"/>
  <c r="AF178" i="21"/>
  <c r="BN178" i="21" s="1"/>
  <c r="GK178" i="21" s="1"/>
  <c r="AC69" i="21"/>
  <c r="BK69" i="21" s="1"/>
  <c r="FG70" i="21"/>
  <c r="Y94" i="21"/>
  <c r="BG94" i="21" s="1"/>
  <c r="AA180" i="21"/>
  <c r="BI180" i="21" s="1"/>
  <c r="BZ180" i="21" s="1"/>
  <c r="FL71" i="21"/>
  <c r="FC77" i="21"/>
  <c r="DD79" i="21"/>
  <c r="FG125" i="21"/>
  <c r="AC165" i="21"/>
  <c r="BK165" i="21" s="1"/>
  <c r="DC153" i="21"/>
  <c r="AM153" i="21" s="1"/>
  <c r="AV153" i="21" s="1"/>
  <c r="FF70" i="21"/>
  <c r="DH69" i="21"/>
  <c r="Y145" i="21"/>
  <c r="BG145" i="21" s="1"/>
  <c r="AF177" i="21"/>
  <c r="BN177" i="21" s="1"/>
  <c r="GK177" i="21" s="1"/>
  <c r="DG120" i="21"/>
  <c r="FI137" i="21"/>
  <c r="FD91" i="21"/>
  <c r="DJ160" i="21"/>
  <c r="DI170" i="21"/>
  <c r="FT170" i="21" s="1"/>
  <c r="DJ117" i="21"/>
  <c r="DG72" i="21"/>
  <c r="DM76" i="21"/>
  <c r="DN81" i="21"/>
  <c r="FK72" i="21"/>
  <c r="FI188" i="21"/>
  <c r="X144" i="21"/>
  <c r="BF144" i="21" s="1"/>
  <c r="BW144" i="21" s="1"/>
  <c r="DG178" i="21"/>
  <c r="FE137" i="21"/>
  <c r="AG91" i="21"/>
  <c r="BO91" i="21" s="1"/>
  <c r="AF180" i="21"/>
  <c r="BN180" i="21" s="1"/>
  <c r="GK180" i="21" s="1"/>
  <c r="DK71" i="21"/>
  <c r="AD182" i="21"/>
  <c r="BL182" i="21" s="1"/>
  <c r="FJ117" i="21"/>
  <c r="DK72" i="21"/>
  <c r="DC76" i="21"/>
  <c r="FK153" i="21"/>
  <c r="AE112" i="21"/>
  <c r="BM112" i="21" s="1"/>
  <c r="DI188" i="21"/>
  <c r="FT188" i="21" s="1"/>
  <c r="DN156" i="21"/>
  <c r="DL142" i="21"/>
  <c r="W137" i="21"/>
  <c r="BE137" i="21" s="1"/>
  <c r="BV137" i="21" s="1"/>
  <c r="FF91" i="21"/>
  <c r="AA160" i="21"/>
  <c r="BI160" i="21" s="1"/>
  <c r="AG71" i="21"/>
  <c r="BO71" i="21" s="1"/>
  <c r="FD71" i="21"/>
  <c r="AD79" i="21"/>
  <c r="BL79" i="21" s="1"/>
  <c r="DD163" i="21"/>
  <c r="AN163" i="21" s="1"/>
  <c r="AW163" i="21" s="1"/>
  <c r="AA76" i="21"/>
  <c r="BI76" i="21" s="1"/>
  <c r="DF153" i="21"/>
  <c r="AP153" i="21" s="1"/>
  <c r="FE76" i="21"/>
  <c r="AF173" i="21"/>
  <c r="BN173" i="21" s="1"/>
  <c r="FK156" i="21"/>
  <c r="DN85" i="21"/>
  <c r="AF137" i="21"/>
  <c r="BN137" i="21" s="1"/>
  <c r="FE70" i="21"/>
  <c r="AF94" i="21"/>
  <c r="BN94" i="21" s="1"/>
  <c r="DG160" i="21"/>
  <c r="FI159" i="21"/>
  <c r="FE77" i="21"/>
  <c r="AC79" i="21"/>
  <c r="BK79" i="21" s="1"/>
  <c r="FJ163" i="21"/>
  <c r="FD165" i="21"/>
  <c r="FM112" i="21"/>
  <c r="V111" i="21"/>
  <c r="BD111" i="21" s="1"/>
  <c r="FH144" i="21"/>
  <c r="AB156" i="21"/>
  <c r="BJ156" i="21" s="1"/>
  <c r="CA156" i="21" s="1"/>
  <c r="AF156" i="21"/>
  <c r="BN156" i="21" s="1"/>
  <c r="DK150" i="21"/>
  <c r="FK70" i="21"/>
  <c r="DC94" i="21"/>
  <c r="DF160" i="21"/>
  <c r="AP160" i="21" s="1"/>
  <c r="AB71" i="21"/>
  <c r="BJ71" i="21" s="1"/>
  <c r="DM91" i="21"/>
  <c r="X79" i="21"/>
  <c r="BF79" i="21" s="1"/>
  <c r="FG72" i="21"/>
  <c r="AE76" i="21"/>
  <c r="BM76" i="21" s="1"/>
  <c r="FG112" i="21"/>
  <c r="FE152" i="21"/>
  <c r="FM173" i="21"/>
  <c r="FF156" i="21"/>
  <c r="FI177" i="21"/>
  <c r="DJ142" i="21"/>
  <c r="DI70" i="21"/>
  <c r="FT70" i="21" s="1"/>
  <c r="Y91" i="21"/>
  <c r="BG91" i="21" s="1"/>
  <c r="DN180" i="21"/>
  <c r="AC71" i="21"/>
  <c r="BK71" i="21" s="1"/>
  <c r="FD137" i="21"/>
  <c r="AE79" i="21"/>
  <c r="BM79" i="21" s="1"/>
  <c r="FM125" i="21"/>
  <c r="DL165" i="21"/>
  <c r="DM112" i="21"/>
  <c r="Z173" i="21"/>
  <c r="BH173" i="21" s="1"/>
  <c r="FC156" i="21"/>
  <c r="FC142" i="21"/>
  <c r="W70" i="21"/>
  <c r="BE70" i="21" s="1"/>
  <c r="BV70" i="21" s="1"/>
  <c r="DJ91" i="21"/>
  <c r="FF170" i="21"/>
  <c r="FL117" i="21"/>
  <c r="AG72" i="21"/>
  <c r="BO72" i="21" s="1"/>
  <c r="FM76" i="21"/>
  <c r="DE81" i="21"/>
  <c r="DG150" i="21"/>
  <c r="AG144" i="21"/>
  <c r="BO144" i="21" s="1"/>
  <c r="GL144" i="21" s="1"/>
  <c r="DM178" i="21"/>
  <c r="DJ69" i="21"/>
  <c r="AA70" i="21"/>
  <c r="BI70" i="21" s="1"/>
  <c r="DF94" i="21"/>
  <c r="DC160" i="21"/>
  <c r="AM160" i="21" s="1"/>
  <c r="DM71" i="21"/>
  <c r="W77" i="21"/>
  <c r="BE77" i="21" s="1"/>
  <c r="DG111" i="21"/>
  <c r="AA125" i="21"/>
  <c r="BI125" i="21" s="1"/>
  <c r="DJ165" i="21"/>
  <c r="DK112" i="21"/>
  <c r="DG70" i="21"/>
  <c r="FG69" i="21"/>
  <c r="AD93" i="21"/>
  <c r="BL93" i="21" s="1"/>
  <c r="FL177" i="21"/>
  <c r="AD142" i="21"/>
  <c r="BL142" i="21" s="1"/>
  <c r="CC142" i="21" s="1"/>
  <c r="AC137" i="21"/>
  <c r="BK137" i="21" s="1"/>
  <c r="X91" i="21"/>
  <c r="BF91" i="21" s="1"/>
  <c r="FI160" i="21"/>
  <c r="DG71" i="21"/>
  <c r="DH79" i="21"/>
  <c r="FF72" i="21"/>
  <c r="AF76" i="21"/>
  <c r="BN76" i="21" s="1"/>
  <c r="AG153" i="21"/>
  <c r="BO153" i="21" s="1"/>
  <c r="CF153" i="21" s="1"/>
  <c r="DL72" i="21"/>
  <c r="DJ188" i="21"/>
  <c r="FB145" i="21"/>
  <c r="Z178" i="21"/>
  <c r="BH178" i="21" s="1"/>
  <c r="BY178" i="21" s="1"/>
  <c r="DG142" i="21"/>
  <c r="Y137" i="21"/>
  <c r="BG137" i="21" s="1"/>
  <c r="FM91" i="21"/>
  <c r="AD160" i="21"/>
  <c r="BL160" i="21" s="1"/>
  <c r="CC160" i="21" s="1"/>
  <c r="FB71" i="21"/>
  <c r="DK182" i="21"/>
  <c r="DG79" i="21"/>
  <c r="FF163" i="21"/>
  <c r="V76" i="21"/>
  <c r="BD76" i="21" s="1"/>
  <c r="DL153" i="21"/>
  <c r="AE152" i="21"/>
  <c r="BM152" i="21" s="1"/>
  <c r="AB188" i="21"/>
  <c r="BJ188" i="21" s="1"/>
  <c r="CA188" i="21" s="1"/>
  <c r="FM156" i="21"/>
  <c r="FK142" i="21"/>
  <c r="V70" i="21"/>
  <c r="BD70" i="21" s="1"/>
  <c r="Z91" i="21"/>
  <c r="BH91" i="21" s="1"/>
  <c r="DH160" i="21"/>
  <c r="DD71" i="21"/>
  <c r="DE71" i="21"/>
  <c r="DK79" i="21"/>
  <c r="W163" i="21"/>
  <c r="BE163" i="21" s="1"/>
  <c r="DK165" i="21"/>
  <c r="Y153" i="21"/>
  <c r="BG153" i="21" s="1"/>
  <c r="BX153" i="21" s="1"/>
  <c r="Y76" i="21"/>
  <c r="BG76" i="21" s="1"/>
  <c r="FF144" i="21"/>
  <c r="DC93" i="21"/>
  <c r="AG85" i="21"/>
  <c r="BO85" i="21" s="1"/>
  <c r="DM137" i="21"/>
  <c r="DJ150" i="21"/>
  <c r="DM94" i="21"/>
  <c r="FB170" i="21"/>
  <c r="DJ159" i="21"/>
  <c r="DF77" i="21"/>
  <c r="AF111" i="21"/>
  <c r="BN111" i="21" s="1"/>
  <c r="AD163" i="21"/>
  <c r="BL163" i="21" s="1"/>
  <c r="CC163" i="21" s="1"/>
  <c r="DE165" i="21"/>
  <c r="AO165" i="21" s="1"/>
  <c r="AX165" i="21" s="1"/>
  <c r="DH137" i="21"/>
  <c r="DC111" i="21"/>
  <c r="DI144" i="21"/>
  <c r="FT144" i="21" s="1"/>
  <c r="FG93" i="21"/>
  <c r="FL156" i="21"/>
  <c r="FJ137" i="21"/>
  <c r="DL70" i="21"/>
  <c r="V94" i="21"/>
  <c r="BD94" i="21" s="1"/>
  <c r="BU94" i="21" s="1"/>
  <c r="Y160" i="21"/>
  <c r="BG160" i="21" s="1"/>
  <c r="BX160" i="21" s="1"/>
  <c r="DL159" i="21"/>
  <c r="FL91" i="21"/>
  <c r="FD79" i="21"/>
  <c r="AA163" i="21"/>
  <c r="BI163" i="21" s="1"/>
  <c r="FK76" i="21"/>
  <c r="DH112" i="21"/>
  <c r="FB159" i="21"/>
  <c r="DN173" i="21"/>
  <c r="Z156" i="21"/>
  <c r="BH156" i="21" s="1"/>
  <c r="DJ145" i="21"/>
  <c r="X156" i="21"/>
  <c r="BF156" i="21" s="1"/>
  <c r="DD142" i="21"/>
  <c r="AN142" i="21" s="1"/>
  <c r="AW142" i="21" s="1"/>
  <c r="FC70" i="21"/>
  <c r="DI94" i="21"/>
  <c r="FT94" i="21" s="1"/>
  <c r="FE71" i="21"/>
  <c r="DM117" i="21"/>
  <c r="DN72" i="21"/>
  <c r="AG76" i="21"/>
  <c r="BO76" i="21" s="1"/>
  <c r="DE153" i="21"/>
  <c r="AO153" i="21" s="1"/>
  <c r="FF150" i="21"/>
  <c r="DH145" i="21"/>
  <c r="FL178" i="21"/>
  <c r="FG75" i="21"/>
  <c r="AA150" i="21"/>
  <c r="BI150" i="21" s="1"/>
  <c r="FE94" i="21"/>
  <c r="FB160" i="21"/>
  <c r="W159" i="21"/>
  <c r="BE159" i="21" s="1"/>
  <c r="BV159" i="21" s="1"/>
  <c r="DD77" i="21"/>
  <c r="FF111" i="21"/>
  <c r="DI152" i="21"/>
  <c r="FT152" i="21" s="1"/>
  <c r="FI165" i="21"/>
  <c r="AD112" i="21"/>
  <c r="BL112" i="21" s="1"/>
  <c r="DE132" i="21"/>
  <c r="AO132" i="21" s="1"/>
  <c r="AX132" i="21" s="1"/>
  <c r="AA69" i="21"/>
  <c r="BI69" i="21" s="1"/>
  <c r="FJ93" i="21"/>
  <c r="DM177" i="21"/>
  <c r="FJ142" i="21"/>
  <c r="AG70" i="21"/>
  <c r="BO70" i="21" s="1"/>
  <c r="DH94" i="21"/>
  <c r="AC160" i="21"/>
  <c r="BK160" i="21" s="1"/>
  <c r="FF71" i="21"/>
  <c r="FG79" i="21"/>
  <c r="AG163" i="21"/>
  <c r="BO163" i="21" s="1"/>
  <c r="CF163" i="21" s="1"/>
  <c r="FL76" i="21"/>
  <c r="DN153" i="21"/>
  <c r="AE91" i="21"/>
  <c r="BM91" i="21" s="1"/>
  <c r="AC188" i="21"/>
  <c r="BK188" i="21" s="1"/>
  <c r="CB188" i="21" s="1"/>
  <c r="V145" i="21"/>
  <c r="BD145" i="21" s="1"/>
  <c r="X167" i="21"/>
  <c r="BF167" i="21" s="1"/>
  <c r="FF142" i="21"/>
  <c r="DM70" i="21"/>
  <c r="DN91" i="21"/>
  <c r="DK160" i="21"/>
  <c r="DC71" i="21"/>
  <c r="FJ182" i="21"/>
  <c r="FF79" i="21"/>
  <c r="DG163" i="21"/>
  <c r="Z165" i="21"/>
  <c r="BH165" i="21" s="1"/>
  <c r="AE153" i="21"/>
  <c r="BM153" i="21" s="1"/>
  <c r="CD153" i="21" s="1"/>
  <c r="DL152" i="21"/>
  <c r="FL69" i="21"/>
  <c r="AG156" i="21"/>
  <c r="BO156" i="21" s="1"/>
  <c r="GL156" i="21" s="1"/>
  <c r="DG167" i="21"/>
  <c r="AE142" i="21"/>
  <c r="BM142" i="21" s="1"/>
  <c r="DC70" i="21"/>
  <c r="FD94" i="21"/>
  <c r="FG160" i="21"/>
  <c r="W71" i="21"/>
  <c r="BE71" i="21" s="1"/>
  <c r="Z77" i="21"/>
  <c r="BH77" i="21" s="1"/>
  <c r="FD111" i="21"/>
  <c r="FC163" i="21"/>
  <c r="FJ165" i="21"/>
  <c r="Z153" i="21"/>
  <c r="BH153" i="21" s="1"/>
  <c r="DF76" i="21"/>
  <c r="AP76" i="21" s="1"/>
  <c r="DG144" i="21"/>
  <c r="FB93" i="21"/>
  <c r="FL75" i="21"/>
  <c r="FL137" i="21"/>
  <c r="AC150" i="21"/>
  <c r="BK150" i="21" s="1"/>
  <c r="CB150" i="21" s="1"/>
  <c r="V170" i="21"/>
  <c r="BD170" i="21" s="1"/>
  <c r="AC182" i="21"/>
  <c r="BK182" i="21" s="1"/>
  <c r="CB182" i="21" s="1"/>
  <c r="Y77" i="21"/>
  <c r="BG77" i="21" s="1"/>
  <c r="FL111" i="21"/>
  <c r="DE152" i="21"/>
  <c r="AO152" i="21" s="1"/>
  <c r="AX152" i="21" s="1"/>
  <c r="X165" i="21"/>
  <c r="BF165" i="21" s="1"/>
  <c r="FG137" i="21"/>
  <c r="DD85" i="21"/>
  <c r="AB144" i="21"/>
  <c r="BJ144" i="21" s="1"/>
  <c r="CA144" i="21" s="1"/>
  <c r="AA93" i="21"/>
  <c r="BI93" i="21" s="1"/>
  <c r="BZ93" i="21" s="1"/>
  <c r="DM156" i="21"/>
  <c r="DK137" i="21"/>
  <c r="DL150" i="21"/>
  <c r="FB94" i="21"/>
  <c r="FK159" i="21"/>
  <c r="DE77" i="21"/>
  <c r="DE79" i="21"/>
  <c r="DH163" i="21"/>
  <c r="AA81" i="21"/>
  <c r="BI81" i="21" s="1"/>
  <c r="AA112" i="21"/>
  <c r="BI112" i="21" s="1"/>
  <c r="BZ112" i="21" s="1"/>
  <c r="DC159" i="21"/>
  <c r="AM159" i="21" s="1"/>
  <c r="AV159" i="21" s="1"/>
  <c r="W144" i="21"/>
  <c r="BE144" i="21" s="1"/>
  <c r="DG156" i="21"/>
  <c r="AC145" i="21"/>
  <c r="BK145" i="21" s="1"/>
  <c r="CB145" i="21" s="1"/>
  <c r="AA75" i="21"/>
  <c r="BI75" i="21" s="1"/>
  <c r="DH150" i="21"/>
  <c r="FJ94" i="21"/>
  <c r="V160" i="21"/>
  <c r="BD160" i="21" s="1"/>
  <c r="FC159" i="21"/>
  <c r="DF117" i="21"/>
  <c r="AP117" i="21" s="1"/>
  <c r="AY117" i="21" s="1"/>
  <c r="Z111" i="21"/>
  <c r="BH111" i="21" s="1"/>
  <c r="BY111" i="21" s="1"/>
  <c r="AB152" i="21"/>
  <c r="BJ152" i="21" s="1"/>
  <c r="CA152" i="21" s="1"/>
  <c r="AC81" i="21"/>
  <c r="BK81" i="21" s="1"/>
  <c r="FJ112" i="21"/>
  <c r="X132" i="21"/>
  <c r="BF132" i="21" s="1"/>
  <c r="BW132" i="21" s="1"/>
  <c r="FG144" i="21"/>
  <c r="DK93" i="21"/>
  <c r="AB132" i="21"/>
  <c r="BJ132" i="21" s="1"/>
  <c r="DK142" i="21"/>
  <c r="DN70" i="21"/>
  <c r="FG94" i="21"/>
  <c r="FL160" i="21"/>
  <c r="Z71" i="21"/>
  <c r="BH71" i="21" s="1"/>
  <c r="AQ71" i="21" s="1"/>
  <c r="DC77" i="21"/>
  <c r="AM77" i="21" s="1"/>
  <c r="AA79" i="21"/>
  <c r="BI79" i="21" s="1"/>
  <c r="FM163" i="21"/>
  <c r="AF165" i="21"/>
  <c r="BN165" i="21" s="1"/>
  <c r="FM153" i="21"/>
  <c r="FK91" i="21"/>
  <c r="DG69" i="21"/>
  <c r="AQ69" i="21" s="1"/>
  <c r="DC145" i="21"/>
  <c r="DE167" i="21"/>
  <c r="AO167" i="21" s="1"/>
  <c r="AX167" i="21" s="1"/>
  <c r="Z142" i="21"/>
  <c r="BH142" i="21" s="1"/>
  <c r="BY142" i="21" s="1"/>
  <c r="FL70" i="21"/>
  <c r="W94" i="21"/>
  <c r="BE94" i="21" s="1"/>
  <c r="BV94" i="21" s="1"/>
  <c r="FJ160" i="21"/>
  <c r="V71" i="21"/>
  <c r="BD71" i="21" s="1"/>
  <c r="AF77" i="21"/>
  <c r="BN77" i="21" s="1"/>
  <c r="Z79" i="21"/>
  <c r="BH79" i="21" s="1"/>
  <c r="AQ79" i="21" s="1"/>
  <c r="Z163" i="21"/>
  <c r="BH163" i="21" s="1"/>
  <c r="BY163" i="21" s="1"/>
  <c r="FF165" i="21"/>
  <c r="DE163" i="21"/>
  <c r="AO163" i="21" s="1"/>
  <c r="FK152" i="21"/>
  <c r="DM69" i="21"/>
  <c r="DN93" i="21"/>
  <c r="Z167" i="21"/>
  <c r="BH167" i="21" s="1"/>
  <c r="BY167" i="21" s="1"/>
  <c r="FK137" i="21"/>
  <c r="FB70" i="21"/>
  <c r="X94" i="21"/>
  <c r="BF94" i="21" s="1"/>
  <c r="AO94" i="21" s="1"/>
  <c r="DI160" i="21"/>
  <c r="FT160" i="21" s="1"/>
  <c r="FC71" i="21"/>
  <c r="FF77" i="21"/>
  <c r="X111" i="21"/>
  <c r="BF111" i="21" s="1"/>
  <c r="BW111" i="21" s="1"/>
  <c r="DN152" i="21"/>
  <c r="AD165" i="21"/>
  <c r="BL165" i="21" s="1"/>
  <c r="DG153" i="21"/>
  <c r="FD85" i="21"/>
  <c r="Z144" i="21"/>
  <c r="BH144" i="21" s="1"/>
  <c r="BY144" i="21" s="1"/>
  <c r="V93" i="21"/>
  <c r="BD93" i="21" s="1"/>
  <c r="BU93" i="21" s="1"/>
  <c r="AF75" i="21"/>
  <c r="BN75" i="21" s="1"/>
  <c r="GK75" i="21" s="1"/>
  <c r="DC137" i="21"/>
  <c r="FI150" i="21"/>
  <c r="DC170" i="21"/>
  <c r="AM170" i="21" s="1"/>
  <c r="AV170" i="21" s="1"/>
  <c r="FI182" i="21"/>
  <c r="AG117" i="21"/>
  <c r="BO117" i="21" s="1"/>
  <c r="GL117" i="21" s="1"/>
  <c r="DM111" i="21"/>
  <c r="X152" i="21"/>
  <c r="BF152" i="21" s="1"/>
  <c r="BW152" i="21" s="1"/>
  <c r="AD153" i="21"/>
  <c r="BL153" i="21" s="1"/>
  <c r="AA137" i="21"/>
  <c r="BI137" i="21" s="1"/>
  <c r="FC85" i="21"/>
  <c r="W75" i="21"/>
  <c r="BE75" i="21" s="1"/>
  <c r="DH93" i="21"/>
  <c r="FJ188" i="21"/>
  <c r="AD137" i="21"/>
  <c r="BL137" i="21" s="1"/>
  <c r="FK150" i="21"/>
  <c r="AE159" i="21"/>
  <c r="BM159" i="21" s="1"/>
  <c r="GJ159" i="21" s="1"/>
  <c r="FD77" i="21"/>
  <c r="FL72" i="21"/>
  <c r="FG163" i="21"/>
  <c r="DH81" i="21"/>
  <c r="DN170" i="21"/>
  <c r="V159" i="21"/>
  <c r="BD159" i="21" s="1"/>
  <c r="BU159" i="21" s="1"/>
  <c r="DD144" i="21"/>
  <c r="AN144" i="21" s="1"/>
  <c r="AB93" i="21"/>
  <c r="BJ93" i="21" s="1"/>
  <c r="CA93" i="21" s="1"/>
  <c r="FI145" i="21"/>
  <c r="FM170" i="21"/>
  <c r="DF85" i="21"/>
  <c r="FC144" i="21"/>
  <c r="DI93" i="21"/>
  <c r="FT93" i="21" s="1"/>
  <c r="Z93" i="21"/>
  <c r="BH93" i="21" s="1"/>
  <c r="AA142" i="21"/>
  <c r="BI142" i="21" s="1"/>
  <c r="BZ142" i="21" s="1"/>
  <c r="FM137" i="21"/>
  <c r="DK91" i="21"/>
  <c r="AD94" i="21"/>
  <c r="BL94" i="21" s="1"/>
  <c r="CC94" i="21" s="1"/>
  <c r="AF170" i="21"/>
  <c r="BN170" i="21" s="1"/>
  <c r="DM182" i="21"/>
  <c r="FE117" i="21"/>
  <c r="FD72" i="21"/>
  <c r="DD76" i="21"/>
  <c r="FI81" i="21"/>
  <c r="X76" i="21"/>
  <c r="BF76" i="21" s="1"/>
  <c r="DN188" i="21"/>
  <c r="AA144" i="21"/>
  <c r="BI144" i="21" s="1"/>
  <c r="DI132" i="21"/>
  <c r="FT132" i="21" s="1"/>
  <c r="AA170" i="21"/>
  <c r="BI170" i="21" s="1"/>
  <c r="AG150" i="21"/>
  <c r="BO150" i="21" s="1"/>
  <c r="GL150" i="21" s="1"/>
  <c r="FH180" i="21"/>
  <c r="FV180" i="21" s="1"/>
  <c r="AF160" i="21"/>
  <c r="BN160" i="21" s="1"/>
  <c r="CE160" i="21" s="1"/>
  <c r="AA159" i="21"/>
  <c r="BI159" i="21" s="1"/>
  <c r="BZ159" i="21" s="1"/>
  <c r="FB77" i="21"/>
  <c r="FM111" i="21"/>
  <c r="DG152" i="21"/>
  <c r="DM165" i="21"/>
  <c r="FC72" i="21"/>
  <c r="AA85" i="21"/>
  <c r="BI85" i="21" s="1"/>
  <c r="FF69" i="21"/>
  <c r="AC93" i="21"/>
  <c r="BK93" i="21" s="1"/>
  <c r="CB93" i="21" s="1"/>
  <c r="DI142" i="21"/>
  <c r="FT142" i="21" s="1"/>
  <c r="DE150" i="21"/>
  <c r="AO150" i="21" s="1"/>
  <c r="AX150" i="21" s="1"/>
  <c r="DD94" i="21"/>
  <c r="FK160" i="21"/>
  <c r="DM77" i="21"/>
  <c r="DK111" i="21"/>
  <c r="DH152" i="21"/>
  <c r="FB81" i="21"/>
  <c r="X163" i="21"/>
  <c r="BF163" i="21" s="1"/>
  <c r="BW163" i="21" s="1"/>
  <c r="DJ85" i="21"/>
  <c r="FE75" i="21"/>
  <c r="FM93" i="21"/>
  <c r="FJ177" i="21"/>
  <c r="AE137" i="21"/>
  <c r="BM137" i="21" s="1"/>
  <c r="GJ137" i="21" s="1"/>
  <c r="W150" i="21"/>
  <c r="BE150" i="21" s="1"/>
  <c r="BV150" i="21" s="1"/>
  <c r="AC180" i="21"/>
  <c r="BK180" i="21" s="1"/>
  <c r="CB180" i="21" s="1"/>
  <c r="FH160" i="21"/>
  <c r="FV160" i="21" s="1"/>
  <c r="FK182" i="21"/>
  <c r="X117" i="21"/>
  <c r="BF117" i="21" s="1"/>
  <c r="Y72" i="21"/>
  <c r="BG72" i="21" s="1"/>
  <c r="BX72" i="21" s="1"/>
  <c r="FM152" i="21"/>
  <c r="DJ153" i="21"/>
  <c r="DG175" i="21"/>
  <c r="X85" i="21"/>
  <c r="BF85" i="21" s="1"/>
  <c r="AO85" i="21" s="1"/>
  <c r="DN75" i="21"/>
  <c r="DC142" i="21"/>
  <c r="AM142" i="21" s="1"/>
  <c r="AV142" i="21" s="1"/>
  <c r="FB137" i="21"/>
  <c r="AB91" i="21"/>
  <c r="BJ91" i="21" s="1"/>
  <c r="CA91" i="21" s="1"/>
  <c r="DL71" i="21"/>
  <c r="DN159" i="21"/>
  <c r="FM117" i="21"/>
  <c r="DC72" i="21"/>
  <c r="DG76" i="21"/>
  <c r="DK153" i="21"/>
  <c r="FH182" i="21"/>
  <c r="FV182" i="21" s="1"/>
  <c r="AC173" i="21"/>
  <c r="BK173" i="21" s="1"/>
  <c r="CB173" i="21" s="1"/>
  <c r="DD75" i="21"/>
  <c r="AD188" i="21"/>
  <c r="BL188" i="21" s="1"/>
  <c r="X70" i="21"/>
  <c r="BF70" i="21" s="1"/>
  <c r="BW70" i="21" s="1"/>
  <c r="FB91" i="21"/>
  <c r="Z182" i="21"/>
  <c r="BH182" i="21" s="1"/>
  <c r="BY182" i="21" s="1"/>
  <c r="DC117" i="21"/>
  <c r="DM72" i="21"/>
  <c r="FL152" i="21"/>
  <c r="DM153" i="21"/>
  <c r="AG170" i="21"/>
  <c r="BO170" i="21" s="1"/>
  <c r="CF170" i="21" s="1"/>
  <c r="Y85" i="21"/>
  <c r="BG85" i="21" s="1"/>
  <c r="BX85" i="21" s="1"/>
  <c r="DG145" i="21"/>
  <c r="FH93" i="21"/>
  <c r="FV93" i="21" s="1"/>
  <c r="Z137" i="21"/>
  <c r="BH137" i="21" s="1"/>
  <c r="BY137" i="21" s="1"/>
  <c r="AA91" i="21"/>
  <c r="BI91" i="21" s="1"/>
  <c r="BZ91" i="21" s="1"/>
  <c r="AC94" i="21"/>
  <c r="BK94" i="21" s="1"/>
  <c r="CB94" i="21" s="1"/>
  <c r="AC170" i="21"/>
  <c r="BK170" i="21" s="1"/>
  <c r="AG182" i="21"/>
  <c r="BO182" i="21" s="1"/>
  <c r="GL182" i="21" s="1"/>
  <c r="DL117" i="21"/>
  <c r="FI72" i="21"/>
  <c r="AC152" i="21"/>
  <c r="BK152" i="21" s="1"/>
  <c r="CB152" i="21" s="1"/>
  <c r="DD153" i="21"/>
  <c r="AN153" i="21" s="1"/>
  <c r="AW153" i="21" s="1"/>
  <c r="FH163" i="21"/>
  <c r="FV163" i="21" s="1"/>
  <c r="AD85" i="21"/>
  <c r="BL85" i="21" s="1"/>
  <c r="AD145" i="21"/>
  <c r="BL145" i="21" s="1"/>
  <c r="Z177" i="21"/>
  <c r="BH177" i="21" s="1"/>
  <c r="BY177" i="21" s="1"/>
  <c r="AB137" i="21"/>
  <c r="BJ137" i="21" s="1"/>
  <c r="CA137" i="21" s="1"/>
  <c r="FH150" i="21"/>
  <c r="FV150" i="21" s="1"/>
  <c r="AE94" i="21"/>
  <c r="BM94" i="21" s="1"/>
  <c r="CD94" i="21" s="1"/>
  <c r="FC160" i="21"/>
  <c r="DM159" i="21"/>
  <c r="AF79" i="21"/>
  <c r="BN79" i="21" s="1"/>
  <c r="W152" i="21"/>
  <c r="BE152" i="21" s="1"/>
  <c r="BV152" i="21" s="1"/>
  <c r="FC165" i="21"/>
  <c r="FF112" i="21"/>
  <c r="AE132" i="21"/>
  <c r="BM132" i="21" s="1"/>
  <c r="CD132" i="21" s="1"/>
  <c r="AG69" i="21"/>
  <c r="BO69" i="21" s="1"/>
  <c r="CF69" i="21" s="1"/>
  <c r="DG93" i="21"/>
  <c r="AQ93" i="21" s="1"/>
  <c r="FG142" i="21"/>
  <c r="DN137" i="21"/>
  <c r="FJ91" i="21"/>
  <c r="FG180" i="21"/>
  <c r="DM170" i="21"/>
  <c r="AF182" i="21"/>
  <c r="BN182" i="21" s="1"/>
  <c r="GK182" i="21" s="1"/>
  <c r="W79" i="21"/>
  <c r="BE79" i="21" s="1"/>
  <c r="BV79" i="21" s="1"/>
  <c r="DE72" i="21"/>
  <c r="W76" i="21"/>
  <c r="BE76" i="21" s="1"/>
  <c r="BV76" i="21" s="1"/>
  <c r="FB153" i="21"/>
  <c r="DE76" i="21"/>
  <c r="AG188" i="21"/>
  <c r="BO188" i="21" s="1"/>
  <c r="CF188" i="21" s="1"/>
  <c r="FE145" i="21"/>
  <c r="FF120" i="21"/>
  <c r="FG170" i="21"/>
  <c r="DN150" i="21"/>
  <c r="DI180" i="21"/>
  <c r="FT180" i="21" s="1"/>
  <c r="FH170" i="21"/>
  <c r="DH159" i="21"/>
  <c r="AC117" i="21"/>
  <c r="BK117" i="21" s="1"/>
  <c r="CB117" i="21" s="1"/>
  <c r="DN111" i="21"/>
  <c r="Z152" i="21"/>
  <c r="BH152" i="21" s="1"/>
  <c r="FM81" i="21"/>
  <c r="DD72" i="21"/>
  <c r="AN72" i="21" s="1"/>
  <c r="DH85" i="21"/>
  <c r="DE144" i="21"/>
  <c r="AO144" i="21" s="1"/>
  <c r="FI93" i="21"/>
  <c r="FH142" i="21"/>
  <c r="FV142" i="21" s="1"/>
  <c r="X150" i="21"/>
  <c r="BF150" i="21" s="1"/>
  <c r="BW150" i="21" s="1"/>
  <c r="DM180" i="21"/>
  <c r="AE160" i="21"/>
  <c r="BM160" i="21" s="1"/>
  <c r="GJ160" i="21" s="1"/>
  <c r="DK117" i="21"/>
  <c r="FJ111" i="21"/>
  <c r="FG152" i="21"/>
  <c r="V81" i="21"/>
  <c r="BD81" i="21" s="1"/>
  <c r="DL112" i="21"/>
  <c r="FI85" i="21"/>
  <c r="DF75" i="21"/>
  <c r="AD177" i="21"/>
  <c r="BL177" i="21" s="1"/>
  <c r="CC177" i="21" s="1"/>
  <c r="DD137" i="21"/>
  <c r="AN137" i="21" s="1"/>
  <c r="AW137" i="21" s="1"/>
  <c r="DD150" i="21"/>
  <c r="AN150" i="21" s="1"/>
  <c r="AW150" i="21" s="1"/>
  <c r="FI180" i="21"/>
  <c r="FM71" i="21"/>
  <c r="DL182" i="21"/>
  <c r="FD117" i="21"/>
  <c r="DF72" i="21"/>
  <c r="FG76" i="21"/>
  <c r="AC153" i="21"/>
  <c r="BK153" i="21" s="1"/>
  <c r="FF175" i="21"/>
  <c r="FL173" i="21"/>
  <c r="DL156" i="21"/>
  <c r="V142" i="21"/>
  <c r="BD142" i="21" s="1"/>
  <c r="BU142" i="21" s="1"/>
  <c r="DF70" i="21"/>
  <c r="DI91" i="21"/>
  <c r="FT91" i="21" s="1"/>
  <c r="Z160" i="21"/>
  <c r="BH160" i="21" s="1"/>
  <c r="BY160" i="21" s="1"/>
  <c r="AE71" i="21"/>
  <c r="BM71" i="21" s="1"/>
  <c r="AG159" i="21"/>
  <c r="BO159" i="21" s="1"/>
  <c r="CF159" i="21" s="1"/>
  <c r="FI79" i="21"/>
  <c r="V72" i="21"/>
  <c r="BD72" i="21" s="1"/>
  <c r="FF76" i="21"/>
  <c r="AG112" i="21"/>
  <c r="BO112" i="21" s="1"/>
  <c r="GL112" i="21" s="1"/>
  <c r="DI182" i="21"/>
  <c r="FT182" i="21" s="1"/>
  <c r="DJ173" i="21"/>
  <c r="DI156" i="21"/>
  <c r="FT156" i="21" s="1"/>
  <c r="FJ150" i="21"/>
  <c r="FD70" i="21"/>
  <c r="V91" i="21"/>
  <c r="BD91" i="21" s="1"/>
  <c r="FH71" i="21"/>
  <c r="FV71" i="21" s="1"/>
  <c r="DG182" i="21"/>
  <c r="V117" i="21"/>
  <c r="BD117" i="21" s="1"/>
  <c r="BU117" i="21" s="1"/>
  <c r="AA72" i="21"/>
  <c r="BI72" i="21" s="1"/>
  <c r="BZ72" i="21" s="1"/>
  <c r="DM152" i="21"/>
  <c r="AF153" i="21"/>
  <c r="BN153" i="21" s="1"/>
  <c r="CE153" i="21" s="1"/>
  <c r="Y152" i="21"/>
  <c r="BG152" i="21" s="1"/>
  <c r="BX152" i="21" s="1"/>
  <c r="FE85" i="21"/>
  <c r="FF145" i="21"/>
  <c r="DJ177" i="21"/>
  <c r="FF137" i="21"/>
  <c r="FG91" i="21"/>
  <c r="AG180" i="21"/>
  <c r="BO180" i="21" s="1"/>
  <c r="CF180" i="21" s="1"/>
  <c r="DJ170" i="21"/>
  <c r="FM182" i="21"/>
  <c r="FK117" i="21"/>
  <c r="DN125" i="21"/>
  <c r="FI152" i="21"/>
  <c r="FC153" i="21"/>
  <c r="DI163" i="21"/>
  <c r="FT163" i="21" s="1"/>
  <c r="DG173" i="21"/>
  <c r="AQ173" i="21" s="1"/>
  <c r="FJ145" i="21"/>
  <c r="DG177" i="21"/>
  <c r="DI137" i="21"/>
  <c r="FT137" i="21" s="1"/>
  <c r="FI91" i="21"/>
  <c r="FK94" i="21"/>
  <c r="Z170" i="21"/>
  <c r="BH170" i="21" s="1"/>
  <c r="AQ170" i="21" s="1"/>
  <c r="AF159" i="21"/>
  <c r="BN159" i="21" s="1"/>
  <c r="CE159" i="21" s="1"/>
  <c r="FL79" i="21"/>
  <c r="FC152" i="21"/>
  <c r="X81" i="21"/>
  <c r="BF81" i="21" s="1"/>
  <c r="Z112" i="21"/>
  <c r="BH112" i="21" s="1"/>
  <c r="FK132" i="21"/>
  <c r="DN144" i="21"/>
  <c r="FF93" i="21"/>
  <c r="FI69" i="21"/>
  <c r="DH142" i="21"/>
  <c r="DH70" i="21"/>
  <c r="AD91" i="21"/>
  <c r="BL91" i="21" s="1"/>
  <c r="CC91" i="21" s="1"/>
  <c r="DH180" i="21"/>
  <c r="AF71" i="21"/>
  <c r="BN71" i="21" s="1"/>
  <c r="FL182" i="21"/>
  <c r="FC79" i="21"/>
  <c r="DH125" i="21"/>
  <c r="FC76" i="21"/>
  <c r="V153" i="21"/>
  <c r="BD153" i="21" s="1"/>
  <c r="BU153" i="21" s="1"/>
  <c r="Z70" i="21"/>
  <c r="BH70" i="21" s="1"/>
  <c r="FM188" i="21"/>
  <c r="DF145" i="21"/>
  <c r="AP145" i="21" s="1"/>
  <c r="AY145" i="21" s="1"/>
  <c r="Z120" i="21"/>
  <c r="BH120" i="21" s="1"/>
  <c r="BY120" i="21" s="1"/>
  <c r="DJ137" i="21"/>
  <c r="DE91" i="21"/>
  <c r="AO91" i="21" s="1"/>
  <c r="AB180" i="21"/>
  <c r="BJ180" i="21" s="1"/>
  <c r="CA180" i="21" s="1"/>
  <c r="AB170" i="21"/>
  <c r="BJ170" i="21" s="1"/>
  <c r="CA170" i="21" s="1"/>
  <c r="FI117" i="21"/>
  <c r="Z72" i="21"/>
  <c r="BH72" i="21" s="1"/>
  <c r="FF152" i="21"/>
  <c r="AG81" i="21"/>
  <c r="BO81" i="21" s="1"/>
  <c r="CF81" i="21" s="1"/>
  <c r="AE72" i="21"/>
  <c r="BM72" i="21" s="1"/>
  <c r="CD72" i="21" s="1"/>
  <c r="FG85" i="21"/>
  <c r="FD144" i="21"/>
  <c r="FF178" i="21"/>
  <c r="DF137" i="21"/>
  <c r="AP137" i="21" s="1"/>
  <c r="AY137" i="21" s="1"/>
  <c r="FD150" i="21"/>
  <c r="FL180" i="21"/>
  <c r="AD71" i="21"/>
  <c r="BL71" i="21" s="1"/>
  <c r="AD117" i="21"/>
  <c r="BL117" i="21" s="1"/>
  <c r="CC117" i="21" s="1"/>
  <c r="AD72" i="21"/>
  <c r="BL72" i="21" s="1"/>
  <c r="CC72" i="21" s="1"/>
  <c r="FB76" i="21"/>
  <c r="DC81" i="21"/>
  <c r="AM81" i="21" s="1"/>
  <c r="FK112" i="21"/>
  <c r="FH188" i="21"/>
  <c r="FV188" i="21" s="1"/>
  <c r="Y75" i="21"/>
  <c r="BG75" i="21" s="1"/>
  <c r="BX75" i="21" s="1"/>
  <c r="DK177" i="21"/>
  <c r="FC137" i="21"/>
  <c r="DG91" i="21"/>
  <c r="DJ180" i="21"/>
  <c r="DN71" i="21"/>
  <c r="X71" i="21"/>
  <c r="BF71" i="21" s="1"/>
  <c r="DE117" i="21"/>
  <c r="FE72" i="21"/>
  <c r="DH76" i="21"/>
  <c r="FE153" i="21"/>
  <c r="Z175" i="21"/>
  <c r="BH175" i="21" s="1"/>
  <c r="BY175" i="21" s="1"/>
  <c r="DM173" i="21"/>
  <c r="AE156" i="21"/>
  <c r="BM156" i="21" s="1"/>
  <c r="CD156" i="21" s="1"/>
  <c r="FB142" i="21"/>
  <c r="Y70" i="21"/>
  <c r="BG70" i="21" s="1"/>
  <c r="FL94" i="21"/>
  <c r="FF160" i="21"/>
  <c r="AC159" i="21"/>
  <c r="BK159" i="21" s="1"/>
  <c r="CB159" i="21" s="1"/>
  <c r="FM159" i="21"/>
  <c r="DJ79" i="21"/>
  <c r="DK163" i="21"/>
  <c r="Z76" i="21"/>
  <c r="BH76" i="21" s="1"/>
  <c r="DN112" i="21"/>
  <c r="FB111" i="21"/>
  <c r="FI173" i="21"/>
  <c r="FH156" i="21"/>
  <c r="FV156" i="21" s="1"/>
  <c r="AD150" i="21"/>
  <c r="BL150" i="21" s="1"/>
  <c r="CC150" i="21" s="1"/>
  <c r="AE70" i="21"/>
  <c r="BM70" i="21" s="1"/>
  <c r="GJ70" i="21" s="1"/>
  <c r="DC91" i="21"/>
  <c r="FE160" i="21"/>
  <c r="DI71" i="21"/>
  <c r="FT71" i="21" s="1"/>
  <c r="AF91" i="21"/>
  <c r="BN91" i="21" s="1"/>
  <c r="GK91" i="21" s="1"/>
  <c r="FB117" i="21"/>
  <c r="DH72" i="21"/>
  <c r="DL76" i="21"/>
  <c r="FL153" i="21"/>
  <c r="DF152" i="21"/>
  <c r="AP152" i="21" s="1"/>
  <c r="AY152" i="21" s="1"/>
  <c r="AG173" i="21"/>
  <c r="BO173" i="21" s="1"/>
  <c r="GL173" i="21" s="1"/>
  <c r="Z145" i="21"/>
  <c r="BH145" i="21" s="1"/>
  <c r="AC177" i="21"/>
  <c r="BK177" i="21" s="1"/>
  <c r="CB177" i="21" s="1"/>
  <c r="AO178" i="21"/>
  <c r="AX178" i="21" s="1"/>
  <c r="BW178" i="21"/>
  <c r="AO177" i="21"/>
  <c r="AX177" i="21" s="1"/>
  <c r="BW177" i="21"/>
  <c r="GC177" i="21"/>
  <c r="AP168" i="21"/>
  <c r="AY168" i="21" s="1"/>
  <c r="AP165" i="21"/>
  <c r="AY165" i="21" s="1"/>
  <c r="GD171" i="21"/>
  <c r="BX171" i="21"/>
  <c r="GB169" i="21"/>
  <c r="BV169" i="21"/>
  <c r="AP167" i="21"/>
  <c r="AY167" i="21" s="1"/>
  <c r="GB177" i="21"/>
  <c r="AN171" i="21"/>
  <c r="AW171" i="21" s="1"/>
  <c r="AM185" i="21"/>
  <c r="AV185" i="21" s="1"/>
  <c r="BU184" i="21"/>
  <c r="AN168" i="21"/>
  <c r="AW168" i="21" s="1"/>
  <c r="AN169" i="21"/>
  <c r="AW169" i="21" s="1"/>
  <c r="AP169" i="21"/>
  <c r="AY169" i="21" s="1"/>
  <c r="BX169" i="21"/>
  <c r="GB173" i="21"/>
  <c r="AN173" i="21"/>
  <c r="AW173" i="21" s="1"/>
  <c r="AP171" i="21"/>
  <c r="AY171" i="21" s="1"/>
  <c r="AN185" i="21"/>
  <c r="AW185" i="21" s="1"/>
  <c r="AP185" i="21"/>
  <c r="AY185" i="21" s="1"/>
  <c r="AO168" i="21"/>
  <c r="AX168" i="21" s="1"/>
  <c r="BW168" i="21"/>
  <c r="GB171" i="21"/>
  <c r="GC179" i="21"/>
  <c r="BX184" i="21"/>
  <c r="BW174" i="21"/>
  <c r="AP184" i="21"/>
  <c r="AY184" i="21" s="1"/>
  <c r="GA185" i="21"/>
  <c r="BX185" i="21"/>
  <c r="AO169" i="21"/>
  <c r="AX169" i="21" s="1"/>
  <c r="GB175" i="21"/>
  <c r="GD168" i="21"/>
  <c r="AM184" i="21"/>
  <c r="AV184" i="21" s="1"/>
  <c r="BX168" i="21"/>
  <c r="AO184" i="21"/>
  <c r="AX184" i="21" s="1"/>
  <c r="AM175" i="21"/>
  <c r="AV175" i="21" s="1"/>
  <c r="BW184" i="21"/>
  <c r="FB86" i="21"/>
  <c r="FL185" i="21"/>
  <c r="Z110" i="21"/>
  <c r="BH110" i="21" s="1"/>
  <c r="BY110" i="21" s="1"/>
  <c r="DK146" i="21"/>
  <c r="DM115" i="21"/>
  <c r="DL86" i="21"/>
  <c r="Z94" i="21"/>
  <c r="BH94" i="21" s="1"/>
  <c r="BY94" i="21" s="1"/>
  <c r="FC146" i="21"/>
  <c r="DD157" i="21"/>
  <c r="AN157" i="21" s="1"/>
  <c r="AW157" i="21" s="1"/>
  <c r="FE115" i="21"/>
  <c r="AB110" i="21"/>
  <c r="BJ110" i="21" s="1"/>
  <c r="CA110" i="21" s="1"/>
  <c r="DC86" i="21"/>
  <c r="FE133" i="21"/>
  <c r="DM185" i="21"/>
  <c r="FK128" i="21"/>
  <c r="AA158" i="21"/>
  <c r="BI158" i="21" s="1"/>
  <c r="BZ158" i="21" s="1"/>
  <c r="AF166" i="21"/>
  <c r="BN166" i="21" s="1"/>
  <c r="GK166" i="21" s="1"/>
  <c r="DL162" i="21"/>
  <c r="DE112" i="21"/>
  <c r="W115" i="21"/>
  <c r="BE115" i="21" s="1"/>
  <c r="BV115" i="21" s="1"/>
  <c r="DC166" i="21"/>
  <c r="AM166" i="21" s="1"/>
  <c r="AV166" i="21" s="1"/>
  <c r="DH77" i="21"/>
  <c r="Y82" i="21"/>
  <c r="BG82" i="21" s="1"/>
  <c r="BX82" i="21" s="1"/>
  <c r="V130" i="21"/>
  <c r="BD130" i="21" s="1"/>
  <c r="BU130" i="21" s="1"/>
  <c r="DJ124" i="21"/>
  <c r="DI124" i="21"/>
  <c r="FT124" i="21" s="1"/>
  <c r="AB109" i="21"/>
  <c r="BJ109" i="21" s="1"/>
  <c r="FD143" i="21"/>
  <c r="FJ98" i="21"/>
  <c r="DJ119" i="21"/>
  <c r="W155" i="21"/>
  <c r="BE155" i="21" s="1"/>
  <c r="BV155" i="21" s="1"/>
  <c r="AC128" i="21"/>
  <c r="BK128" i="21" s="1"/>
  <c r="CB128" i="21" s="1"/>
  <c r="FC141" i="21"/>
  <c r="DL148" i="21"/>
  <c r="DF141" i="21"/>
  <c r="AP141" i="21" s="1"/>
  <c r="AY141" i="21" s="1"/>
  <c r="AE128" i="21"/>
  <c r="BM128" i="21" s="1"/>
  <c r="GJ128" i="21" s="1"/>
  <c r="AA128" i="21"/>
  <c r="BI128" i="21" s="1"/>
  <c r="FC111" i="21"/>
  <c r="FF68" i="21"/>
  <c r="FG99" i="21"/>
  <c r="DK148" i="21"/>
  <c r="DG132" i="21"/>
  <c r="DG117" i="21"/>
  <c r="Z123" i="21"/>
  <c r="BH123" i="21" s="1"/>
  <c r="BY123" i="21" s="1"/>
  <c r="V86" i="21"/>
  <c r="BD86" i="21" s="1"/>
  <c r="BU86" i="21" s="1"/>
  <c r="DF133" i="21"/>
  <c r="AP133" i="21" s="1"/>
  <c r="AY133" i="21" s="1"/>
  <c r="AF185" i="21"/>
  <c r="BN185" i="21" s="1"/>
  <c r="GK185" i="21" s="1"/>
  <c r="FI157" i="21"/>
  <c r="DH158" i="21"/>
  <c r="DN148" i="21"/>
  <c r="AE162" i="21"/>
  <c r="BM162" i="21" s="1"/>
  <c r="GJ162" i="21" s="1"/>
  <c r="DK180" i="21"/>
  <c r="DH157" i="21"/>
  <c r="FM90" i="21"/>
  <c r="FI141" i="21"/>
  <c r="FH128" i="21"/>
  <c r="FV128" i="21" s="1"/>
  <c r="DM148" i="21"/>
  <c r="DH111" i="21"/>
  <c r="W82" i="21"/>
  <c r="BE82" i="21" s="1"/>
  <c r="BV82" i="21" s="1"/>
  <c r="FF115" i="21"/>
  <c r="FI123" i="21"/>
  <c r="V110" i="21"/>
  <c r="BD110" i="21" s="1"/>
  <c r="BU110" i="21" s="1"/>
  <c r="FG98" i="21"/>
  <c r="FC68" i="21"/>
  <c r="FC113" i="21"/>
  <c r="FF124" i="21"/>
  <c r="DJ109" i="21"/>
  <c r="Y133" i="21"/>
  <c r="BG133" i="21" s="1"/>
  <c r="DJ115" i="21"/>
  <c r="DJ157" i="21"/>
  <c r="FG158" i="21"/>
  <c r="AG148" i="21"/>
  <c r="BO148" i="21" s="1"/>
  <c r="CF148" i="21" s="1"/>
  <c r="FK162" i="21"/>
  <c r="FG86" i="21"/>
  <c r="FJ119" i="21"/>
  <c r="DM113" i="21"/>
  <c r="FE105" i="21"/>
  <c r="AF74" i="21"/>
  <c r="BN74" i="21" s="1"/>
  <c r="CE74" i="21" s="1"/>
  <c r="DH117" i="21"/>
  <c r="DM133" i="21"/>
  <c r="V141" i="21"/>
  <c r="BD141" i="21" s="1"/>
  <c r="BU141" i="21" s="1"/>
  <c r="FL124" i="21"/>
  <c r="Z109" i="21"/>
  <c r="BH109" i="21" s="1"/>
  <c r="BY109" i="21" s="1"/>
  <c r="FM110" i="21"/>
  <c r="DK87" i="21"/>
  <c r="AC99" i="21"/>
  <c r="BK99" i="21" s="1"/>
  <c r="CB99" i="21" s="1"/>
  <c r="DJ144" i="21"/>
  <c r="DM109" i="21"/>
  <c r="DJ113" i="21"/>
  <c r="DE80" i="21"/>
  <c r="AC105" i="21"/>
  <c r="BK105" i="21" s="1"/>
  <c r="CB105" i="21" s="1"/>
  <c r="FM148" i="21"/>
  <c r="FK99" i="21"/>
  <c r="DE82" i="21"/>
  <c r="DD158" i="21"/>
  <c r="AN158" i="21" s="1"/>
  <c r="AW158" i="21" s="1"/>
  <c r="DC146" i="21"/>
  <c r="FF158" i="21"/>
  <c r="AG169" i="21"/>
  <c r="BO169" i="21" s="1"/>
  <c r="CF169" i="21" s="1"/>
  <c r="DL113" i="21"/>
  <c r="Z80" i="21"/>
  <c r="BH80" i="21" s="1"/>
  <c r="BY80" i="21" s="1"/>
  <c r="Z141" i="21"/>
  <c r="BH141" i="21" s="1"/>
  <c r="BY141" i="21" s="1"/>
  <c r="FK168" i="21"/>
  <c r="FF155" i="21"/>
  <c r="FK90" i="21"/>
  <c r="FJ89" i="21"/>
  <c r="AA109" i="21"/>
  <c r="BI109" i="21" s="1"/>
  <c r="BZ109" i="21" s="1"/>
  <c r="AA123" i="21"/>
  <c r="BI123" i="21" s="1"/>
  <c r="BZ123" i="21" s="1"/>
  <c r="FI113" i="21"/>
  <c r="FE148" i="21"/>
  <c r="FI105" i="21"/>
  <c r="DG90" i="21"/>
  <c r="DL146" i="21"/>
  <c r="DD133" i="21"/>
  <c r="AN133" i="21" s="1"/>
  <c r="AW133" i="21" s="1"/>
  <c r="AA146" i="21"/>
  <c r="BI146" i="21" s="1"/>
  <c r="BZ146" i="21" s="1"/>
  <c r="DL171" i="21"/>
  <c r="V113" i="21"/>
  <c r="BD113" i="21" s="1"/>
  <c r="BU113" i="21" s="1"/>
  <c r="FG148" i="21"/>
  <c r="FH113" i="21"/>
  <c r="FV113" i="21" s="1"/>
  <c r="AC171" i="21"/>
  <c r="BK171" i="21" s="1"/>
  <c r="CB171" i="21" s="1"/>
  <c r="DM163" i="21"/>
  <c r="FK157" i="21"/>
  <c r="FE111" i="21"/>
  <c r="DL82" i="21"/>
  <c r="DH123" i="21"/>
  <c r="Y146" i="21"/>
  <c r="BG146" i="21" s="1"/>
  <c r="BX146" i="21" s="1"/>
  <c r="DF148" i="21"/>
  <c r="AP148" i="21" s="1"/>
  <c r="AY148" i="21" s="1"/>
  <c r="DJ105" i="21"/>
  <c r="FF90" i="21"/>
  <c r="FL87" i="21"/>
  <c r="X113" i="21"/>
  <c r="BF113" i="21" s="1"/>
  <c r="FJ155" i="21"/>
  <c r="X115" i="21"/>
  <c r="BF115" i="21" s="1"/>
  <c r="BW115" i="21" s="1"/>
  <c r="DG83" i="21"/>
  <c r="AA74" i="21"/>
  <c r="BI74" i="21" s="1"/>
  <c r="X99" i="21"/>
  <c r="BF99" i="21" s="1"/>
  <c r="BW99" i="21" s="1"/>
  <c r="DG169" i="21"/>
  <c r="FB90" i="21"/>
  <c r="DH120" i="21"/>
  <c r="FD68" i="21"/>
  <c r="V83" i="21"/>
  <c r="BD83" i="21" s="1"/>
  <c r="BU83" i="21" s="1"/>
  <c r="AG133" i="21"/>
  <c r="BO133" i="21" s="1"/>
  <c r="CF133" i="21" s="1"/>
  <c r="FG123" i="21"/>
  <c r="DF146" i="21"/>
  <c r="AP146" i="21" s="1"/>
  <c r="AY146" i="21" s="1"/>
  <c r="Y148" i="21"/>
  <c r="BG148" i="21" s="1"/>
  <c r="BX148" i="21" s="1"/>
  <c r="Y119" i="21"/>
  <c r="BG119" i="21" s="1"/>
  <c r="GD119" i="21" s="1"/>
  <c r="AD146" i="21"/>
  <c r="BL146" i="21" s="1"/>
  <c r="CC146" i="21" s="1"/>
  <c r="AG77" i="21"/>
  <c r="BO77" i="21" s="1"/>
  <c r="CF77" i="21" s="1"/>
  <c r="DG146" i="21"/>
  <c r="FE162" i="21"/>
  <c r="DD145" i="21"/>
  <c r="AN145" i="21" s="1"/>
  <c r="AW145" i="21" s="1"/>
  <c r="DH124" i="21"/>
  <c r="AD166" i="21"/>
  <c r="BL166" i="21" s="1"/>
  <c r="CC166" i="21" s="1"/>
  <c r="DK81" i="21"/>
  <c r="FC143" i="21"/>
  <c r="FI185" i="21"/>
  <c r="FG130" i="21"/>
  <c r="AG86" i="21"/>
  <c r="BO86" i="21" s="1"/>
  <c r="CF86" i="21" s="1"/>
  <c r="AD135" i="21"/>
  <c r="BL135" i="21" s="1"/>
  <c r="CC135" i="21" s="1"/>
  <c r="DN89" i="21"/>
  <c r="AC169" i="21"/>
  <c r="BK169" i="21" s="1"/>
  <c r="CB169" i="21" s="1"/>
  <c r="DH82" i="21"/>
  <c r="AF109" i="21"/>
  <c r="BN109" i="21" s="1"/>
  <c r="GK109" i="21" s="1"/>
  <c r="Y141" i="21"/>
  <c r="BG141" i="21" s="1"/>
  <c r="GD141" i="21" s="1"/>
  <c r="DL133" i="21"/>
  <c r="W130" i="21"/>
  <c r="BE130" i="21" s="1"/>
  <c r="BV130" i="21" s="1"/>
  <c r="X80" i="21"/>
  <c r="BF80" i="21" s="1"/>
  <c r="AA115" i="21"/>
  <c r="BI115" i="21" s="1"/>
  <c r="BZ115" i="21" s="1"/>
  <c r="Z114" i="21"/>
  <c r="BH114" i="21" s="1"/>
  <c r="BY114" i="21" s="1"/>
  <c r="DG110" i="21"/>
  <c r="FL168" i="21"/>
  <c r="FL166" i="21"/>
  <c r="FL80" i="21"/>
  <c r="FK184" i="21"/>
  <c r="AE146" i="21"/>
  <c r="BM146" i="21" s="1"/>
  <c r="CD146" i="21" s="1"/>
  <c r="FE80" i="21"/>
  <c r="DN165" i="21"/>
  <c r="DH167" i="21"/>
  <c r="DH86" i="21"/>
  <c r="FE123" i="21"/>
  <c r="DN141" i="21"/>
  <c r="FD113" i="21"/>
  <c r="FC123" i="21"/>
  <c r="FG185" i="21"/>
  <c r="FC115" i="21"/>
  <c r="AD128" i="21"/>
  <c r="BL128" i="21" s="1"/>
  <c r="CC128" i="21" s="1"/>
  <c r="DK105" i="21"/>
  <c r="FC158" i="21"/>
  <c r="DI89" i="21"/>
  <c r="FT89" i="21" s="1"/>
  <c r="DJ90" i="21"/>
  <c r="FI68" i="21"/>
  <c r="AA77" i="21"/>
  <c r="BI77" i="21" s="1"/>
  <c r="BZ77" i="21" s="1"/>
  <c r="FC145" i="21"/>
  <c r="FE98" i="21"/>
  <c r="FL123" i="21"/>
  <c r="AC141" i="21"/>
  <c r="BK141" i="21" s="1"/>
  <c r="CB141" i="21" s="1"/>
  <c r="FD133" i="21"/>
  <c r="AG82" i="21"/>
  <c r="BO82" i="21" s="1"/>
  <c r="CF82" i="21" s="1"/>
  <c r="V143" i="21"/>
  <c r="BD143" i="21" s="1"/>
  <c r="BU143" i="21" s="1"/>
  <c r="AB128" i="21"/>
  <c r="BJ128" i="21" s="1"/>
  <c r="CA128" i="21" s="1"/>
  <c r="AG114" i="21"/>
  <c r="BO114" i="21" s="1"/>
  <c r="DK110" i="21"/>
  <c r="DG166" i="21"/>
  <c r="DM74" i="21"/>
  <c r="Z162" i="21"/>
  <c r="BH162" i="21" s="1"/>
  <c r="BY162" i="21" s="1"/>
  <c r="AB124" i="21"/>
  <c r="BJ124" i="21" s="1"/>
  <c r="CA124" i="21" s="1"/>
  <c r="FK77" i="21"/>
  <c r="AG155" i="21"/>
  <c r="BO155" i="21" s="1"/>
  <c r="GL155" i="21" s="1"/>
  <c r="FH86" i="21"/>
  <c r="FV86" i="21" s="1"/>
  <c r="FC82" i="21"/>
  <c r="X141" i="21"/>
  <c r="BF141" i="21" s="1"/>
  <c r="BW141" i="21" s="1"/>
  <c r="DK113" i="21"/>
  <c r="FG146" i="21"/>
  <c r="FJ185" i="21"/>
  <c r="AE185" i="21"/>
  <c r="BM185" i="21" s="1"/>
  <c r="GJ185" i="21" s="1"/>
  <c r="AD148" i="21"/>
  <c r="BL148" i="21" s="1"/>
  <c r="CC148" i="21" s="1"/>
  <c r="Z105" i="21"/>
  <c r="BH105" i="21" s="1"/>
  <c r="BY105" i="21" s="1"/>
  <c r="FL158" i="21"/>
  <c r="DI90" i="21"/>
  <c r="FT90" i="21" s="1"/>
  <c r="FM99" i="21"/>
  <c r="FF83" i="21"/>
  <c r="FE125" i="21"/>
  <c r="AF188" i="21"/>
  <c r="BN188" i="21" s="1"/>
  <c r="CE188" i="21" s="1"/>
  <c r="DK98" i="21"/>
  <c r="DD109" i="21"/>
  <c r="FC135" i="21"/>
  <c r="FK113" i="21"/>
  <c r="FK169" i="21"/>
  <c r="FD130" i="21"/>
  <c r="W143" i="21"/>
  <c r="BE143" i="21" s="1"/>
  <c r="BV143" i="21" s="1"/>
  <c r="DE124" i="21"/>
  <c r="DL68" i="21"/>
  <c r="FB110" i="21"/>
  <c r="FF168" i="21"/>
  <c r="FK166" i="21"/>
  <c r="DH148" i="21"/>
  <c r="FH184" i="21"/>
  <c r="FV184" i="21" s="1"/>
  <c r="FG166" i="21"/>
  <c r="FF117" i="21"/>
  <c r="DG81" i="21"/>
  <c r="FK69" i="21"/>
  <c r="FF109" i="21"/>
  <c r="DJ82" i="21"/>
  <c r="DJ133" i="21"/>
  <c r="Z169" i="21"/>
  <c r="BH169" i="21" s="1"/>
  <c r="FL130" i="21"/>
  <c r="FL146" i="21"/>
  <c r="DJ128" i="21"/>
  <c r="FK114" i="21"/>
  <c r="AE143" i="21"/>
  <c r="BM143" i="21" s="1"/>
  <c r="GJ143" i="21" s="1"/>
  <c r="DL168" i="21"/>
  <c r="DN146" i="21"/>
  <c r="DL80" i="21"/>
  <c r="Y99" i="21"/>
  <c r="BG99" i="21" s="1"/>
  <c r="BX99" i="21" s="1"/>
  <c r="Y130" i="21"/>
  <c r="BG130" i="21" s="1"/>
  <c r="GD130" i="21" s="1"/>
  <c r="AF163" i="21"/>
  <c r="BN163" i="21" s="1"/>
  <c r="CE163" i="21" s="1"/>
  <c r="FB155" i="21"/>
  <c r="FH120" i="21"/>
  <c r="FV120" i="21" s="1"/>
  <c r="DL109" i="21"/>
  <c r="AA141" i="21"/>
  <c r="BI141" i="21" s="1"/>
  <c r="BZ141" i="21" s="1"/>
  <c r="W113" i="21"/>
  <c r="BE113" i="21" s="1"/>
  <c r="BV113" i="21" s="1"/>
  <c r="DN74" i="21"/>
  <c r="FE128" i="21"/>
  <c r="X68" i="21"/>
  <c r="BF68" i="21" s="1"/>
  <c r="FF143" i="21"/>
  <c r="DK131" i="21"/>
  <c r="FK148" i="21"/>
  <c r="DG124" i="21"/>
  <c r="DK162" i="21"/>
  <c r="DE131" i="21"/>
  <c r="DF111" i="21"/>
  <c r="FH112" i="21"/>
  <c r="FV112" i="21" s="1"/>
  <c r="FI144" i="21"/>
  <c r="DH109" i="21"/>
  <c r="DI123" i="21"/>
  <c r="FT123" i="21" s="1"/>
  <c r="FK141" i="21"/>
  <c r="DJ169" i="21"/>
  <c r="FD123" i="21"/>
  <c r="DI74" i="21"/>
  <c r="FT74" i="21" s="1"/>
  <c r="Z130" i="21"/>
  <c r="BH130" i="21" s="1"/>
  <c r="FL114" i="21"/>
  <c r="W119" i="21"/>
  <c r="BE119" i="21" s="1"/>
  <c r="BV119" i="21" s="1"/>
  <c r="DN157" i="21"/>
  <c r="DN80" i="21"/>
  <c r="AD115" i="21"/>
  <c r="BL115" i="21" s="1"/>
  <c r="CC115" i="21" s="1"/>
  <c r="V99" i="21"/>
  <c r="BD99" i="21" s="1"/>
  <c r="BU99" i="21" s="1"/>
  <c r="DI166" i="21"/>
  <c r="FT166" i="21" s="1"/>
  <c r="FH111" i="21"/>
  <c r="FV111" i="21" s="1"/>
  <c r="AA83" i="21"/>
  <c r="BI83" i="21" s="1"/>
  <c r="BZ83" i="21" s="1"/>
  <c r="AA82" i="21"/>
  <c r="BI82" i="21" s="1"/>
  <c r="BZ82" i="21" s="1"/>
  <c r="FL109" i="21"/>
  <c r="FE141" i="21"/>
  <c r="AC113" i="21"/>
  <c r="BK113" i="21" s="1"/>
  <c r="CB113" i="21" s="1"/>
  <c r="DD130" i="21"/>
  <c r="FD80" i="21"/>
  <c r="DL128" i="21"/>
  <c r="FF114" i="21"/>
  <c r="FF110" i="21"/>
  <c r="DM166" i="21"/>
  <c r="Z90" i="21"/>
  <c r="BH90" i="21" s="1"/>
  <c r="BY90" i="21" s="1"/>
  <c r="DL184" i="21"/>
  <c r="FK146" i="21"/>
  <c r="DN77" i="21"/>
  <c r="FD112" i="21"/>
  <c r="FG167" i="21"/>
  <c r="AA86" i="21"/>
  <c r="BI86" i="21" s="1"/>
  <c r="BZ86" i="21" s="1"/>
  <c r="FD82" i="21"/>
  <c r="AG141" i="21"/>
  <c r="BO141" i="21" s="1"/>
  <c r="CF141" i="21" s="1"/>
  <c r="DE113" i="21"/>
  <c r="Z146" i="21"/>
  <c r="BH146" i="21" s="1"/>
  <c r="BY146" i="21" s="1"/>
  <c r="DH185" i="21"/>
  <c r="DD115" i="21"/>
  <c r="FG157" i="21"/>
  <c r="AD105" i="21"/>
  <c r="BL105" i="21" s="1"/>
  <c r="CC105" i="21" s="1"/>
  <c r="W158" i="21"/>
  <c r="BE158" i="21" s="1"/>
  <c r="BV158" i="21" s="1"/>
  <c r="V166" i="21"/>
  <c r="BD166" i="21" s="1"/>
  <c r="BU166" i="21" s="1"/>
  <c r="AC90" i="21"/>
  <c r="BK90" i="21" s="1"/>
  <c r="CB90" i="21" s="1"/>
  <c r="Y162" i="21"/>
  <c r="BG162" i="21" s="1"/>
  <c r="BX162" i="21" s="1"/>
  <c r="DJ68" i="21"/>
  <c r="FG77" i="21"/>
  <c r="W145" i="21"/>
  <c r="BE145" i="21" s="1"/>
  <c r="BV145" i="21" s="1"/>
  <c r="FK86" i="21"/>
  <c r="DM123" i="21"/>
  <c r="DJ141" i="21"/>
  <c r="AF113" i="21"/>
  <c r="BN113" i="21" s="1"/>
  <c r="GK113" i="21" s="1"/>
  <c r="FM82" i="21"/>
  <c r="FB143" i="21"/>
  <c r="DI128" i="21"/>
  <c r="FT128" i="21" s="1"/>
  <c r="DF105" i="21"/>
  <c r="AD110" i="21"/>
  <c r="BL110" i="21" s="1"/>
  <c r="CC110" i="21" s="1"/>
  <c r="FI124" i="21"/>
  <c r="FF166" i="21"/>
  <c r="FL74" i="21"/>
  <c r="DG162" i="21"/>
  <c r="FH124" i="21"/>
  <c r="FV124" i="21" s="1"/>
  <c r="FG111" i="21"/>
  <c r="FM155" i="21"/>
  <c r="FF94" i="21"/>
  <c r="DI86" i="21"/>
  <c r="FT86" i="21" s="1"/>
  <c r="DD82" i="21"/>
  <c r="AN82" i="21" s="1"/>
  <c r="AF133" i="21"/>
  <c r="BN133" i="21" s="1"/>
  <c r="GK133" i="21" s="1"/>
  <c r="FJ113" i="21"/>
  <c r="DH146" i="21"/>
  <c r="DE115" i="21"/>
  <c r="FK185" i="21"/>
  <c r="FJ148" i="21"/>
  <c r="X143" i="21"/>
  <c r="BF143" i="21" s="1"/>
  <c r="BW143" i="21" s="1"/>
  <c r="DM158" i="21"/>
  <c r="DK166" i="21"/>
  <c r="AB90" i="21"/>
  <c r="BJ90" i="21" s="1"/>
  <c r="CA90" i="21" s="1"/>
  <c r="AG99" i="21"/>
  <c r="BO99" i="21" s="1"/>
  <c r="GL99" i="21" s="1"/>
  <c r="Z83" i="21"/>
  <c r="BH83" i="21" s="1"/>
  <c r="BY83" i="21" s="1"/>
  <c r="FJ81" i="21"/>
  <c r="DM188" i="21"/>
  <c r="AD98" i="21"/>
  <c r="BL98" i="21" s="1"/>
  <c r="CC98" i="21" s="1"/>
  <c r="AC123" i="21"/>
  <c r="BK123" i="21" s="1"/>
  <c r="CB123" i="21" s="1"/>
  <c r="DD135" i="21"/>
  <c r="AN135" i="21" s="1"/>
  <c r="AW135" i="21" s="1"/>
  <c r="AE113" i="21"/>
  <c r="BM113" i="21" s="1"/>
  <c r="CD113" i="21" s="1"/>
  <c r="DC113" i="21"/>
  <c r="X130" i="21"/>
  <c r="BF130" i="21" s="1"/>
  <c r="BW130" i="21" s="1"/>
  <c r="DD143" i="21"/>
  <c r="AN143" i="21" s="1"/>
  <c r="AW143" i="21" s="1"/>
  <c r="W157" i="21"/>
  <c r="BE157" i="21" s="1"/>
  <c r="BV157" i="21" s="1"/>
  <c r="AE68" i="21"/>
  <c r="BM68" i="21" s="1"/>
  <c r="CD68" i="21" s="1"/>
  <c r="DC110" i="21"/>
  <c r="AF124" i="21"/>
  <c r="BN124" i="21" s="1"/>
  <c r="CE124" i="21" s="1"/>
  <c r="AE166" i="21"/>
  <c r="BM166" i="21" s="1"/>
  <c r="CD166" i="21" s="1"/>
  <c r="AA148" i="21"/>
  <c r="BI148" i="21" s="1"/>
  <c r="BZ148" i="21" s="1"/>
  <c r="DE99" i="21"/>
  <c r="AO99" i="21" s="1"/>
  <c r="DH166" i="21"/>
  <c r="Z117" i="21"/>
  <c r="BH117" i="21" s="1"/>
  <c r="DD155" i="21"/>
  <c r="AN155" i="21" s="1"/>
  <c r="AW155" i="21" s="1"/>
  <c r="AE69" i="21"/>
  <c r="BM69" i="21" s="1"/>
  <c r="DG109" i="21"/>
  <c r="DG141" i="21"/>
  <c r="AQ141" i="21" s="1"/>
  <c r="AC133" i="21"/>
  <c r="BK133" i="21" s="1"/>
  <c r="CB133" i="21" s="1"/>
  <c r="FF169" i="21"/>
  <c r="AA130" i="21"/>
  <c r="BI130" i="21" s="1"/>
  <c r="BZ130" i="21" s="1"/>
  <c r="AF146" i="21"/>
  <c r="BN146" i="21" s="1"/>
  <c r="GK146" i="21" s="1"/>
  <c r="FI128" i="21"/>
  <c r="W68" i="21"/>
  <c r="BE68" i="21" s="1"/>
  <c r="BV68" i="21" s="1"/>
  <c r="DL143" i="21"/>
  <c r="AE168" i="21"/>
  <c r="BM168" i="21" s="1"/>
  <c r="CD168" i="21" s="1"/>
  <c r="DJ171" i="21"/>
  <c r="FK80" i="21"/>
  <c r="FE99" i="21"/>
  <c r="FE130" i="21"/>
  <c r="FL163" i="21"/>
  <c r="AA120" i="21"/>
  <c r="BI120" i="21" s="1"/>
  <c r="BZ120" i="21" s="1"/>
  <c r="AB120" i="21"/>
  <c r="BJ120" i="21" s="1"/>
  <c r="CA120" i="21" s="1"/>
  <c r="FK109" i="21"/>
  <c r="FG141" i="21"/>
  <c r="DD113" i="21"/>
  <c r="DL90" i="21"/>
  <c r="Y128" i="21"/>
  <c r="BG128" i="21" s="1"/>
  <c r="GD128" i="21" s="1"/>
  <c r="DE68" i="21"/>
  <c r="AG89" i="21"/>
  <c r="BO89" i="21" s="1"/>
  <c r="GL89" i="21" s="1"/>
  <c r="FJ131" i="21"/>
  <c r="AE148" i="21"/>
  <c r="BM148" i="21" s="1"/>
  <c r="GJ148" i="21" s="1"/>
  <c r="Z124" i="21"/>
  <c r="BH124" i="21" s="1"/>
  <c r="BY124" i="21" s="1"/>
  <c r="DJ99" i="21"/>
  <c r="FD131" i="21"/>
  <c r="Y111" i="21"/>
  <c r="BG111" i="21" s="1"/>
  <c r="BX111" i="21" s="1"/>
  <c r="FB83" i="21"/>
  <c r="AC144" i="21"/>
  <c r="BK144" i="21" s="1"/>
  <c r="CB144" i="21" s="1"/>
  <c r="FG109" i="21"/>
  <c r="AE82" i="21"/>
  <c r="BM82" i="21" s="1"/>
  <c r="CD82" i="21" s="1"/>
  <c r="AE141" i="21"/>
  <c r="BM141" i="21" s="1"/>
  <c r="GJ141" i="21" s="1"/>
  <c r="FI169" i="21"/>
  <c r="FM130" i="21"/>
  <c r="DG185" i="21"/>
  <c r="DG130" i="21"/>
  <c r="AF114" i="21"/>
  <c r="BN114" i="21" s="1"/>
  <c r="CE114" i="21" s="1"/>
  <c r="AA143" i="21"/>
  <c r="BI143" i="21" s="1"/>
  <c r="BZ143" i="21" s="1"/>
  <c r="AG80" i="21"/>
  <c r="BO80" i="21" s="1"/>
  <c r="DK184" i="21"/>
  <c r="DC99" i="21"/>
  <c r="FH166" i="21"/>
  <c r="FV166" i="21" s="1"/>
  <c r="DH165" i="21"/>
  <c r="FG83" i="21"/>
  <c r="DN130" i="21"/>
  <c r="FF185" i="21"/>
  <c r="DD128" i="21"/>
  <c r="DM114" i="21"/>
  <c r="DH143" i="21"/>
  <c r="FM80" i="21"/>
  <c r="AD184" i="21"/>
  <c r="BL184" i="21" s="1"/>
  <c r="CC184" i="21" s="1"/>
  <c r="DD148" i="21"/>
  <c r="AN148" i="21" s="1"/>
  <c r="AW148" i="21" s="1"/>
  <c r="AB166" i="21"/>
  <c r="BJ166" i="21" s="1"/>
  <c r="CA166" i="21" s="1"/>
  <c r="AA165" i="21"/>
  <c r="BI165" i="21" s="1"/>
  <c r="BZ165" i="21" s="1"/>
  <c r="FJ132" i="21"/>
  <c r="AF87" i="21"/>
  <c r="BN87" i="21" s="1"/>
  <c r="GK87" i="21" s="1"/>
  <c r="DD111" i="21"/>
  <c r="X112" i="21"/>
  <c r="BF112" i="21" s="1"/>
  <c r="BW112" i="21" s="1"/>
  <c r="AD180" i="21"/>
  <c r="BL180" i="21" s="1"/>
  <c r="CC180" i="21" s="1"/>
  <c r="X109" i="21"/>
  <c r="BF109" i="21" s="1"/>
  <c r="BW109" i="21" s="1"/>
  <c r="X82" i="21"/>
  <c r="BF82" i="21" s="1"/>
  <c r="BW82" i="21" s="1"/>
  <c r="FC133" i="21"/>
  <c r="DM169" i="21"/>
  <c r="FF146" i="21"/>
  <c r="AF115" i="21"/>
  <c r="BN115" i="21" s="1"/>
  <c r="GK115" i="21" s="1"/>
  <c r="FK124" i="21"/>
  <c r="AA157" i="21"/>
  <c r="BI157" i="21" s="1"/>
  <c r="BZ157" i="21" s="1"/>
  <c r="AD119" i="21"/>
  <c r="BL119" i="21" s="1"/>
  <c r="CC119" i="21" s="1"/>
  <c r="FB166" i="21"/>
  <c r="DN90" i="21"/>
  <c r="DF162" i="21"/>
  <c r="AP162" i="21" s="1"/>
  <c r="AY162" i="21" s="1"/>
  <c r="Z68" i="21"/>
  <c r="BH68" i="21" s="1"/>
  <c r="BY68" i="21" s="1"/>
  <c r="AE111" i="21"/>
  <c r="BM111" i="21" s="1"/>
  <c r="CD111" i="21" s="1"/>
  <c r="DK155" i="21"/>
  <c r="AG94" i="21"/>
  <c r="BO94" i="21" s="1"/>
  <c r="CF94" i="21" s="1"/>
  <c r="AE86" i="21"/>
  <c r="BM86" i="21" s="1"/>
  <c r="GJ86" i="21" s="1"/>
  <c r="FE82" i="21"/>
  <c r="FG133" i="21"/>
  <c r="FL113" i="21"/>
  <c r="FB146" i="21"/>
  <c r="FB130" i="21"/>
  <c r="DG157" i="21"/>
  <c r="Y105" i="21"/>
  <c r="BG105" i="21" s="1"/>
  <c r="BX105" i="21" s="1"/>
  <c r="Z158" i="21"/>
  <c r="BH158" i="21" s="1"/>
  <c r="BY158" i="21" s="1"/>
  <c r="AC124" i="21"/>
  <c r="BK124" i="21" s="1"/>
  <c r="CB124" i="21" s="1"/>
  <c r="AF148" i="21"/>
  <c r="BN148" i="21" s="1"/>
  <c r="GK148" i="21" s="1"/>
  <c r="AA99" i="21"/>
  <c r="BI99" i="21" s="1"/>
  <c r="BZ99" i="21" s="1"/>
  <c r="AB114" i="21"/>
  <c r="BJ114" i="21" s="1"/>
  <c r="CA114" i="21" s="1"/>
  <c r="AA111" i="21"/>
  <c r="BI111" i="21" s="1"/>
  <c r="BZ111" i="21" s="1"/>
  <c r="AA117" i="21"/>
  <c r="BI117" i="21" s="1"/>
  <c r="BZ117" i="21" s="1"/>
  <c r="DG94" i="21"/>
  <c r="FH109" i="21"/>
  <c r="FV109" i="21" s="1"/>
  <c r="FI135" i="21"/>
  <c r="FL133" i="21"/>
  <c r="DN169" i="21"/>
  <c r="FI130" i="21"/>
  <c r="FD115" i="21"/>
  <c r="FG124" i="21"/>
  <c r="DM68" i="21"/>
  <c r="DE143" i="21"/>
  <c r="AO143" i="21" s="1"/>
  <c r="AX143" i="21" s="1"/>
  <c r="DG115" i="21"/>
  <c r="FJ166" i="21"/>
  <c r="W146" i="21"/>
  <c r="BE146" i="21" s="1"/>
  <c r="BV146" i="21" s="1"/>
  <c r="AE171" i="21"/>
  <c r="BM171" i="21" s="1"/>
  <c r="CD171" i="21" s="1"/>
  <c r="FI77" i="21"/>
  <c r="AD81" i="21"/>
  <c r="BL81" i="21" s="1"/>
  <c r="CC81" i="21" s="1"/>
  <c r="Z132" i="21"/>
  <c r="BH132" i="21" s="1"/>
  <c r="BY132" i="21" s="1"/>
  <c r="Y86" i="21"/>
  <c r="BG86" i="21" s="1"/>
  <c r="BX86" i="21" s="1"/>
  <c r="DJ123" i="21"/>
  <c r="DC141" i="21"/>
  <c r="AA113" i="21"/>
  <c r="BI113" i="21" s="1"/>
  <c r="BZ113" i="21" s="1"/>
  <c r="FB113" i="21"/>
  <c r="FG74" i="21"/>
  <c r="AE74" i="21"/>
  <c r="BM74" i="21" s="1"/>
  <c r="GJ74" i="21" s="1"/>
  <c r="FC157" i="21"/>
  <c r="AC119" i="21"/>
  <c r="BK119" i="21" s="1"/>
  <c r="CB119" i="21" s="1"/>
  <c r="DJ89" i="21"/>
  <c r="DM124" i="21"/>
  <c r="FF80" i="21"/>
  <c r="FM184" i="21"/>
  <c r="FD99" i="21"/>
  <c r="AC185" i="21"/>
  <c r="BK185" i="21" s="1"/>
  <c r="CB185" i="21" s="1"/>
  <c r="FI125" i="21"/>
  <c r="FC155" i="21"/>
  <c r="DH98" i="21"/>
  <c r="FJ123" i="21"/>
  <c r="FF141" i="21"/>
  <c r="DI113" i="21"/>
  <c r="FT113" i="21" s="1"/>
  <c r="X134" i="21"/>
  <c r="BF134" i="21" s="1"/>
  <c r="BW134" i="21" s="1"/>
  <c r="DH130" i="21"/>
  <c r="Y115" i="21"/>
  <c r="BG115" i="21" s="1"/>
  <c r="BX115" i="21" s="1"/>
  <c r="FB157" i="21"/>
  <c r="DD68" i="21"/>
  <c r="AN68" i="21" s="1"/>
  <c r="DN110" i="21"/>
  <c r="X110" i="21"/>
  <c r="BF110" i="21" s="1"/>
  <c r="BW110" i="21" s="1"/>
  <c r="FI171" i="21"/>
  <c r="V90" i="21"/>
  <c r="BD90" i="21" s="1"/>
  <c r="BU90" i="21" s="1"/>
  <c r="AD87" i="21"/>
  <c r="BL87" i="21" s="1"/>
  <c r="CC87" i="21" s="1"/>
  <c r="Z155" i="21"/>
  <c r="BH155" i="21" s="1"/>
  <c r="BY155" i="21" s="1"/>
  <c r="W81" i="21"/>
  <c r="BE81" i="21" s="1"/>
  <c r="FG120" i="21"/>
  <c r="DN86" i="21"/>
  <c r="DG123" i="21"/>
  <c r="W141" i="21"/>
  <c r="BE141" i="21" s="1"/>
  <c r="BV141" i="21" s="1"/>
  <c r="FB169" i="21"/>
  <c r="FJ135" i="21"/>
  <c r="AE90" i="21"/>
  <c r="BM90" i="21" s="1"/>
  <c r="CD90" i="21" s="1"/>
  <c r="DL157" i="21"/>
  <c r="DG119" i="21"/>
  <c r="FM89" i="21"/>
  <c r="DI110" i="21"/>
  <c r="FT110" i="21" s="1"/>
  <c r="DI80" i="21"/>
  <c r="FT80" i="21" s="1"/>
  <c r="DM184" i="21"/>
  <c r="FI99" i="21"/>
  <c r="DK89" i="21"/>
  <c r="AE163" i="21"/>
  <c r="BM163" i="21" s="1"/>
  <c r="CD163" i="21" s="1"/>
  <c r="DC83" i="21"/>
  <c r="AD144" i="21"/>
  <c r="BL144" i="21" s="1"/>
  <c r="CC144" i="21" s="1"/>
  <c r="DK109" i="21"/>
  <c r="FK82" i="21"/>
  <c r="FM133" i="21"/>
  <c r="DK169" i="21"/>
  <c r="AG130" i="21"/>
  <c r="BO130" i="21" s="1"/>
  <c r="CF130" i="21" s="1"/>
  <c r="Z185" i="21"/>
  <c r="BH185" i="21" s="1"/>
  <c r="BY185" i="21" s="1"/>
  <c r="W128" i="21"/>
  <c r="BE128" i="21" s="1"/>
  <c r="BV128" i="21" s="1"/>
  <c r="DF68" i="21"/>
  <c r="FG143" i="21"/>
  <c r="DF157" i="21"/>
  <c r="AP157" i="21" s="1"/>
  <c r="AY157" i="21" s="1"/>
  <c r="DK90" i="21"/>
  <c r="FJ184" i="21"/>
  <c r="W148" i="21"/>
  <c r="BE148" i="21" s="1"/>
  <c r="BV148" i="21" s="1"/>
  <c r="DI83" i="21"/>
  <c r="FT83" i="21" s="1"/>
  <c r="FG165" i="21"/>
  <c r="AD132" i="21"/>
  <c r="BL132" i="21" s="1"/>
  <c r="CC132" i="21" s="1"/>
  <c r="DM87" i="21"/>
  <c r="W111" i="21"/>
  <c r="BE111" i="21" s="1"/>
  <c r="BV111" i="21" s="1"/>
  <c r="AC155" i="21"/>
  <c r="BK155" i="21" s="1"/>
  <c r="CB155" i="21" s="1"/>
  <c r="FJ180" i="21"/>
  <c r="DE109" i="21"/>
  <c r="FL82" i="21"/>
  <c r="W133" i="21"/>
  <c r="BE133" i="21" s="1"/>
  <c r="BV133" i="21" s="1"/>
  <c r="FL169" i="21"/>
  <c r="FH130" i="21"/>
  <c r="FV130" i="21" s="1"/>
  <c r="FL115" i="21"/>
  <c r="DL124" i="21"/>
  <c r="DD114" i="21"/>
  <c r="DK119" i="21"/>
  <c r="X148" i="21"/>
  <c r="BF148" i="21" s="1"/>
  <c r="BW148" i="21" s="1"/>
  <c r="AG90" i="21"/>
  <c r="BO90" i="21" s="1"/>
  <c r="CF90" i="21" s="1"/>
  <c r="Z99" i="21"/>
  <c r="BH99" i="21" s="1"/>
  <c r="DG68" i="21"/>
  <c r="DL111" i="21"/>
  <c r="AD155" i="21"/>
  <c r="BL155" i="21" s="1"/>
  <c r="CC155" i="21" s="1"/>
  <c r="DN94" i="21"/>
  <c r="FM109" i="21"/>
  <c r="DF82" i="21"/>
  <c r="AA133" i="21"/>
  <c r="BI133" i="21" s="1"/>
  <c r="BZ133" i="21" s="1"/>
  <c r="FG169" i="21"/>
  <c r="V146" i="21"/>
  <c r="BD146" i="21" s="1"/>
  <c r="FK115" i="21"/>
  <c r="DC130" i="21"/>
  <c r="FF157" i="21"/>
  <c r="FM119" i="21"/>
  <c r="DG158" i="21"/>
  <c r="FG171" i="21"/>
  <c r="FL148" i="21"/>
  <c r="DH99" i="21"/>
  <c r="FH114" i="21"/>
  <c r="FV114" i="21" s="1"/>
  <c r="FB165" i="21"/>
  <c r="FG117" i="21"/>
  <c r="FH98" i="21"/>
  <c r="FV98" i="21" s="1"/>
  <c r="DI109" i="21"/>
  <c r="FT109" i="21" s="1"/>
  <c r="AC135" i="21"/>
  <c r="BK135" i="21" s="1"/>
  <c r="CB135" i="21" s="1"/>
  <c r="V133" i="21"/>
  <c r="BD133" i="21" s="1"/>
  <c r="BU133" i="21" s="1"/>
  <c r="FM169" i="21"/>
  <c r="DJ130" i="21"/>
  <c r="DC80" i="21"/>
  <c r="AA124" i="21"/>
  <c r="BI124" i="21" s="1"/>
  <c r="BZ124" i="21" s="1"/>
  <c r="FL68" i="21"/>
  <c r="DM110" i="21"/>
  <c r="Z115" i="21"/>
  <c r="BH115" i="21" s="1"/>
  <c r="BY115" i="21" s="1"/>
  <c r="DC148" i="21"/>
  <c r="AM148" i="21" s="1"/>
  <c r="AV148" i="21" s="1"/>
  <c r="DD146" i="21"/>
  <c r="AN146" i="21" s="1"/>
  <c r="AW146" i="21" s="1"/>
  <c r="X162" i="21"/>
  <c r="BF162" i="21" s="1"/>
  <c r="BW162" i="21" s="1"/>
  <c r="FK171" i="21"/>
  <c r="AC77" i="21"/>
  <c r="BK77" i="21" s="1"/>
  <c r="CB77" i="21" s="1"/>
  <c r="DH155" i="21"/>
  <c r="FF132" i="21"/>
  <c r="DF86" i="21"/>
  <c r="DG82" i="21"/>
  <c r="FB141" i="21"/>
  <c r="FG113" i="21"/>
  <c r="FH146" i="21"/>
  <c r="FV146" i="21" s="1"/>
  <c r="DH74" i="21"/>
  <c r="DL74" i="21"/>
  <c r="FD114" i="21"/>
  <c r="FI119" i="21"/>
  <c r="AC89" i="21"/>
  <c r="BK89" i="21" s="1"/>
  <c r="CB89" i="21" s="1"/>
  <c r="FB171" i="21"/>
  <c r="DG80" i="21"/>
  <c r="DN184" i="21"/>
  <c r="DK99" i="21"/>
  <c r="DJ185" i="21"/>
  <c r="DJ125" i="21"/>
  <c r="FJ75" i="21"/>
  <c r="AA98" i="21"/>
  <c r="BI98" i="21" s="1"/>
  <c r="BZ98" i="21" s="1"/>
  <c r="DK123" i="21"/>
  <c r="DI141" i="21"/>
  <c r="FT141" i="21" s="1"/>
  <c r="AB113" i="21"/>
  <c r="BJ113" i="21" s="1"/>
  <c r="CA113" i="21" s="1"/>
  <c r="FD134" i="21"/>
  <c r="FI74" i="21"/>
  <c r="DF115" i="21"/>
  <c r="DC157" i="21"/>
  <c r="AM157" i="21" s="1"/>
  <c r="AV157" i="21" s="1"/>
  <c r="FH119" i="21"/>
  <c r="FV119" i="21" s="1"/>
  <c r="AG110" i="21"/>
  <c r="BO110" i="21" s="1"/>
  <c r="GL110" i="21" s="1"/>
  <c r="DE110" i="21"/>
  <c r="DN166" i="21"/>
  <c r="DC90" i="21"/>
  <c r="FH162" i="21"/>
  <c r="FV162" i="21" s="1"/>
  <c r="DI171" i="21"/>
  <c r="FT171" i="21" s="1"/>
  <c r="DG155" i="21"/>
  <c r="FC81" i="21"/>
  <c r="FL120" i="21"/>
  <c r="DG86" i="21"/>
  <c r="FF123" i="21"/>
  <c r="DD141" i="21"/>
  <c r="AN141" i="21" s="1"/>
  <c r="AW141" i="21" s="1"/>
  <c r="DC169" i="21"/>
  <c r="AM169" i="21" s="1"/>
  <c r="AV169" i="21" s="1"/>
  <c r="DK135" i="21"/>
  <c r="DC74" i="21"/>
  <c r="Z74" i="21"/>
  <c r="BH74" i="21" s="1"/>
  <c r="BY74" i="21" s="1"/>
  <c r="AE157" i="21"/>
  <c r="BM157" i="21" s="1"/>
  <c r="GJ157" i="21" s="1"/>
  <c r="FF119" i="21"/>
  <c r="FM168" i="21"/>
  <c r="FH110" i="21"/>
  <c r="FV110" i="21" s="1"/>
  <c r="AB80" i="21"/>
  <c r="BJ80" i="21" s="1"/>
  <c r="CA80" i="21" s="1"/>
  <c r="FL184" i="21"/>
  <c r="AC146" i="21"/>
  <c r="BK146" i="21" s="1"/>
  <c r="CB146" i="21" s="1"/>
  <c r="AD89" i="21"/>
  <c r="BL89" i="21" s="1"/>
  <c r="CC89" i="21" s="1"/>
  <c r="DL163" i="21"/>
  <c r="FJ144" i="21"/>
  <c r="AD109" i="21"/>
  <c r="BL109" i="21" s="1"/>
  <c r="CC109" i="21" s="1"/>
  <c r="DK141" i="21"/>
  <c r="DN133" i="21"/>
  <c r="FJ169" i="21"/>
  <c r="AB185" i="21"/>
  <c r="BJ185" i="21" s="1"/>
  <c r="CA185" i="21" s="1"/>
  <c r="W74" i="21"/>
  <c r="BE74" i="21" s="1"/>
  <c r="BV74" i="21" s="1"/>
  <c r="FC128" i="21"/>
  <c r="FE68" i="21"/>
  <c r="DL158" i="21"/>
  <c r="FE157" i="21"/>
  <c r="FJ90" i="21"/>
  <c r="FB162" i="21"/>
  <c r="FC148" i="21"/>
  <c r="FH83" i="21"/>
  <c r="FV83" i="21" s="1"/>
  <c r="FE112" i="21"/>
  <c r="DK132" i="21"/>
  <c r="DJ155" i="21"/>
  <c r="Y135" i="21"/>
  <c r="BG135" i="21" s="1"/>
  <c r="BX135" i="21" s="1"/>
  <c r="FD109" i="21"/>
  <c r="AF82" i="21"/>
  <c r="BN82" i="21" s="1"/>
  <c r="GK82" i="21" s="1"/>
  <c r="FF133" i="21"/>
  <c r="AF169" i="21"/>
  <c r="BN169" i="21" s="1"/>
  <c r="CE169" i="21" s="1"/>
  <c r="AB130" i="21"/>
  <c r="BJ130" i="21" s="1"/>
  <c r="CA130" i="21" s="1"/>
  <c r="DD166" i="21"/>
  <c r="AN166" i="21" s="1"/>
  <c r="AW166" i="21" s="1"/>
  <c r="AE124" i="21"/>
  <c r="BM124" i="21" s="1"/>
  <c r="GJ124" i="21" s="1"/>
  <c r="FC114" i="21"/>
  <c r="FE110" i="21"/>
  <c r="FD148" i="21"/>
  <c r="FF99" i="21"/>
  <c r="FD158" i="21"/>
  <c r="FK111" i="21"/>
  <c r="AB79" i="21"/>
  <c r="BJ79" i="21" s="1"/>
  <c r="CA79" i="21" s="1"/>
  <c r="FM94" i="21"/>
  <c r="AG109" i="21"/>
  <c r="BO109" i="21" s="1"/>
  <c r="CF109" i="21" s="1"/>
  <c r="DG135" i="21"/>
  <c r="DH133" i="21"/>
  <c r="DH169" i="21"/>
  <c r="AD130" i="21"/>
  <c r="BL130" i="21" s="1"/>
  <c r="CC130" i="21" s="1"/>
  <c r="DL115" i="21"/>
  <c r="FJ124" i="21"/>
  <c r="Z157" i="21"/>
  <c r="BH157" i="21" s="1"/>
  <c r="BY157" i="21" s="1"/>
  <c r="DN119" i="21"/>
  <c r="DH171" i="21"/>
  <c r="DM90" i="21"/>
  <c r="FC87" i="21"/>
  <c r="DI114" i="21"/>
  <c r="FT114" i="21" s="1"/>
  <c r="DC165" i="21"/>
  <c r="AM165" i="21" s="1"/>
  <c r="AV165" i="21" s="1"/>
  <c r="AB98" i="21"/>
  <c r="BJ98" i="21" s="1"/>
  <c r="CA98" i="21" s="1"/>
  <c r="DC123" i="21"/>
  <c r="DJ135" i="21"/>
  <c r="DC133" i="21"/>
  <c r="DN123" i="21"/>
  <c r="AC130" i="21"/>
  <c r="BK130" i="21" s="1"/>
  <c r="CB130" i="21" s="1"/>
  <c r="FB80" i="21"/>
  <c r="FD128" i="21"/>
  <c r="AF68" i="21"/>
  <c r="BN68" i="21" s="1"/>
  <c r="CE68" i="21" s="1"/>
  <c r="FL110" i="21"/>
  <c r="V148" i="21"/>
  <c r="BD148" i="21" s="1"/>
  <c r="BU148" i="21" s="1"/>
  <c r="DG184" i="21"/>
  <c r="DE162" i="21"/>
  <c r="AO162" i="21" s="1"/>
  <c r="AX162" i="21" s="1"/>
  <c r="FD166" i="21"/>
  <c r="DJ77" i="21"/>
  <c r="FG155" i="21"/>
  <c r="Z180" i="21"/>
  <c r="BH180" i="21" s="1"/>
  <c r="BY180" i="21" s="1"/>
  <c r="FE86" i="21"/>
  <c r="Z82" i="21"/>
  <c r="BH82" i="21" s="1"/>
  <c r="BY82" i="21" s="1"/>
  <c r="FJ133" i="21"/>
  <c r="DH113" i="21"/>
  <c r="AB146" i="21"/>
  <c r="BJ146" i="21" s="1"/>
  <c r="CA146" i="21" s="1"/>
  <c r="V115" i="21"/>
  <c r="BD115" i="21" s="1"/>
  <c r="BU115" i="21" s="1"/>
  <c r="FK74" i="21"/>
  <c r="DE114" i="21"/>
  <c r="DI143" i="21"/>
  <c r="FT143" i="21" s="1"/>
  <c r="FI89" i="21"/>
  <c r="DC171" i="21"/>
  <c r="AM171" i="21" s="1"/>
  <c r="AV171" i="21" s="1"/>
  <c r="W90" i="21"/>
  <c r="BE90" i="21" s="1"/>
  <c r="BV90" i="21" s="1"/>
  <c r="AG184" i="21"/>
  <c r="BO184" i="21" s="1"/>
  <c r="GL184" i="21" s="1"/>
  <c r="AD99" i="21"/>
  <c r="BL99" i="21" s="1"/>
  <c r="CC99" i="21" s="1"/>
  <c r="FK155" i="21"/>
  <c r="AC125" i="21"/>
  <c r="BK125" i="21" s="1"/>
  <c r="CB125" i="21" s="1"/>
  <c r="AD75" i="21"/>
  <c r="BL75" i="21" s="1"/>
  <c r="CC75" i="21" s="1"/>
  <c r="W86" i="21"/>
  <c r="BE86" i="21" s="1"/>
  <c r="BV86" i="21" s="1"/>
  <c r="AD123" i="21"/>
  <c r="BL123" i="21" s="1"/>
  <c r="CC123" i="21" s="1"/>
  <c r="FH141" i="21"/>
  <c r="FV141" i="21" s="1"/>
  <c r="AG113" i="21"/>
  <c r="BO113" i="21" s="1"/>
  <c r="GL113" i="21" s="1"/>
  <c r="DE134" i="21"/>
  <c r="AC74" i="21"/>
  <c r="BK74" i="21" s="1"/>
  <c r="CB74" i="21" s="1"/>
  <c r="AB168" i="21"/>
  <c r="BJ168" i="21" s="1"/>
  <c r="CA168" i="21" s="1"/>
  <c r="V157" i="21"/>
  <c r="BD157" i="21" s="1"/>
  <c r="BU157" i="21" s="1"/>
  <c r="AB119" i="21"/>
  <c r="BJ119" i="21" s="1"/>
  <c r="CA119" i="21" s="1"/>
  <c r="Y89" i="21"/>
  <c r="BG89" i="21" s="1"/>
  <c r="BX89" i="21" s="1"/>
  <c r="FD110" i="21"/>
  <c r="AG166" i="21"/>
  <c r="BO166" i="21" s="1"/>
  <c r="CF166" i="21" s="1"/>
  <c r="AA90" i="21"/>
  <c r="BI90" i="21" s="1"/>
  <c r="BZ90" i="21" s="1"/>
  <c r="AB162" i="21"/>
  <c r="BJ162" i="21" s="1"/>
  <c r="CA162" i="21" s="1"/>
  <c r="FH171" i="21"/>
  <c r="FV171" i="21" s="1"/>
  <c r="AB117" i="21"/>
  <c r="BJ117" i="21" s="1"/>
  <c r="CA117" i="21" s="1"/>
  <c r="DD81" i="21"/>
  <c r="AF120" i="21"/>
  <c r="BN120" i="21" s="1"/>
  <c r="GK120" i="21" s="1"/>
  <c r="Z86" i="21"/>
  <c r="BH86" i="21" s="1"/>
  <c r="BY86" i="21" s="1"/>
  <c r="DI82" i="21"/>
  <c r="FT82" i="21" s="1"/>
  <c r="FH133" i="21"/>
  <c r="FV133" i="21" s="1"/>
  <c r="V169" i="21"/>
  <c r="BD169" i="21" s="1"/>
  <c r="BU169" i="21" s="1"/>
  <c r="FK130" i="21"/>
  <c r="V74" i="21"/>
  <c r="BD74" i="21" s="1"/>
  <c r="BU74" i="21" s="1"/>
  <c r="FF74" i="21"/>
  <c r="DF114" i="21"/>
  <c r="Z119" i="21"/>
  <c r="BH119" i="21" s="1"/>
  <c r="AG168" i="21"/>
  <c r="BO168" i="21" s="1"/>
  <c r="CF168" i="21" s="1"/>
  <c r="DN171" i="21"/>
  <c r="Y90" i="21"/>
  <c r="BG90" i="21" s="1"/>
  <c r="BX90" i="21" s="1"/>
  <c r="AF184" i="21"/>
  <c r="BN184" i="21" s="1"/>
  <c r="CE184" i="21" s="1"/>
  <c r="FI146" i="21"/>
  <c r="X155" i="21"/>
  <c r="BF155" i="21" s="1"/>
  <c r="BW155" i="21" s="1"/>
  <c r="FK163" i="21"/>
  <c r="DK144" i="21"/>
  <c r="FJ109" i="21"/>
  <c r="AD141" i="21"/>
  <c r="BL141" i="21" s="1"/>
  <c r="CC141" i="21" s="1"/>
  <c r="FE113" i="21"/>
  <c r="AD169" i="21"/>
  <c r="BL169" i="21" s="1"/>
  <c r="CC169" i="21" s="1"/>
  <c r="FH185" i="21"/>
  <c r="FV185" i="21" s="1"/>
  <c r="DD74" i="21"/>
  <c r="X157" i="21"/>
  <c r="BF157" i="21" s="1"/>
  <c r="BW157" i="21" s="1"/>
  <c r="Y68" i="21"/>
  <c r="BG68" i="21" s="1"/>
  <c r="BX68" i="21" s="1"/>
  <c r="AE158" i="21"/>
  <c r="BM158" i="21" s="1"/>
  <c r="CD158" i="21" s="1"/>
  <c r="Y157" i="21"/>
  <c r="BG157" i="21" s="1"/>
  <c r="BX157" i="21" s="1"/>
  <c r="FF148" i="21"/>
  <c r="AD90" i="21"/>
  <c r="BL90" i="21" s="1"/>
  <c r="CC90" i="21" s="1"/>
  <c r="DC162" i="21"/>
  <c r="AM162" i="21" s="1"/>
  <c r="AV162" i="21" s="1"/>
  <c r="FM185" i="21"/>
  <c r="AB83" i="21"/>
  <c r="BJ83" i="21" s="1"/>
  <c r="CA83" i="21" s="1"/>
  <c r="Y112" i="21"/>
  <c r="BG112" i="21" s="1"/>
  <c r="BX112" i="21" s="1"/>
  <c r="AF167" i="21"/>
  <c r="BN167" i="21" s="1"/>
  <c r="CE167" i="21" s="1"/>
  <c r="AC109" i="21"/>
  <c r="BK109" i="21" s="1"/>
  <c r="CB109" i="21" s="1"/>
  <c r="AD82" i="21"/>
  <c r="BL82" i="21" s="1"/>
  <c r="CC82" i="21" s="1"/>
  <c r="AE133" i="21"/>
  <c r="BM133" i="21" s="1"/>
  <c r="GJ133" i="21" s="1"/>
  <c r="FE146" i="21"/>
  <c r="AC115" i="21"/>
  <c r="BK115" i="21" s="1"/>
  <c r="CB115" i="21" s="1"/>
  <c r="DH115" i="21"/>
  <c r="AC157" i="21"/>
  <c r="BK157" i="21" s="1"/>
  <c r="CB157" i="21" s="1"/>
  <c r="FE119" i="21"/>
  <c r="AF168" i="21"/>
  <c r="BN168" i="21" s="1"/>
  <c r="CE168" i="21" s="1"/>
  <c r="FG128" i="21"/>
  <c r="DM80" i="21"/>
  <c r="FJ146" i="21"/>
  <c r="AE99" i="21"/>
  <c r="BM99" i="21" s="1"/>
  <c r="CD99" i="21" s="1"/>
  <c r="DF80" i="21"/>
  <c r="FM165" i="21"/>
  <c r="FI155" i="21"/>
  <c r="DF135" i="21"/>
  <c r="AP135" i="21" s="1"/>
  <c r="AY135" i="21" s="1"/>
  <c r="DF123" i="21"/>
  <c r="AP123" i="21" s="1"/>
  <c r="AY123" i="21" s="1"/>
  <c r="DM82" i="21"/>
  <c r="DG133" i="21"/>
  <c r="DD123" i="21"/>
  <c r="DI130" i="21"/>
  <c r="FT130" i="21" s="1"/>
  <c r="W166" i="21"/>
  <c r="BE166" i="21" s="1"/>
  <c r="BV166" i="21" s="1"/>
  <c r="DK128" i="21"/>
  <c r="W114" i="21"/>
  <c r="BE114" i="21" s="1"/>
  <c r="Y110" i="21"/>
  <c r="BG110" i="21" s="1"/>
  <c r="BX110" i="21" s="1"/>
  <c r="DE148" i="21"/>
  <c r="AO148" i="21" s="1"/>
  <c r="AX148" i="21" s="1"/>
  <c r="DG99" i="21"/>
  <c r="DE158" i="21"/>
  <c r="AO158" i="21" s="1"/>
  <c r="AX158" i="21" s="1"/>
  <c r="FH79" i="21"/>
  <c r="FV79" i="21" s="1"/>
  <c r="Y98" i="21"/>
  <c r="BG98" i="21" s="1"/>
  <c r="BX98" i="21" s="1"/>
  <c r="DN109" i="21"/>
  <c r="Z135" i="21"/>
  <c r="BH135" i="21" s="1"/>
  <c r="BY135" i="21" s="1"/>
  <c r="DE133" i="21"/>
  <c r="AO133" i="21" s="1"/>
  <c r="AX133" i="21" s="1"/>
  <c r="AA169" i="21"/>
  <c r="BI169" i="21" s="1"/>
  <c r="BZ169" i="21" s="1"/>
  <c r="DK130" i="21"/>
  <c r="AE115" i="21"/>
  <c r="BM115" i="21" s="1"/>
  <c r="CD115" i="21" s="1"/>
  <c r="DK124" i="21"/>
  <c r="DN114" i="21"/>
  <c r="AG119" i="21"/>
  <c r="BO119" i="21" s="1"/>
  <c r="GL119" i="21" s="1"/>
  <c r="AA171" i="21"/>
  <c r="BI171" i="21" s="1"/>
  <c r="BZ171" i="21" s="1"/>
  <c r="FL90" i="21"/>
  <c r="W87" i="21"/>
  <c r="BE87" i="21" s="1"/>
  <c r="AE77" i="21"/>
  <c r="BM77" i="21" s="1"/>
  <c r="GJ77" i="21" s="1"/>
  <c r="V165" i="21"/>
  <c r="BD165" i="21" s="1"/>
  <c r="BU165" i="21" s="1"/>
  <c r="DI98" i="21"/>
  <c r="FT98" i="21" s="1"/>
  <c r="V123" i="21"/>
  <c r="BD123" i="21" s="1"/>
  <c r="BU123" i="21" s="1"/>
  <c r="DE141" i="21"/>
  <c r="AO141" i="21" s="1"/>
  <c r="AX141" i="21" s="1"/>
  <c r="FB133" i="21"/>
  <c r="AG123" i="21"/>
  <c r="BO123" i="21" s="1"/>
  <c r="CF123" i="21" s="1"/>
  <c r="DK185" i="21"/>
  <c r="V80" i="21"/>
  <c r="BD80" i="21" s="1"/>
  <c r="BU80" i="21" s="1"/>
  <c r="DE128" i="21"/>
  <c r="FF105" i="21"/>
  <c r="AF110" i="21"/>
  <c r="BN110" i="21" s="1"/>
  <c r="GK110" i="21" s="1"/>
  <c r="FB148" i="21"/>
  <c r="Z184" i="21"/>
  <c r="BH184" i="21" s="1"/>
  <c r="FD162" i="21"/>
  <c r="DE166" i="21"/>
  <c r="AO166" i="21" s="1"/>
  <c r="AX166" i="21" s="1"/>
  <c r="Y125" i="21"/>
  <c r="BG125" i="21" s="1"/>
  <c r="BX125" i="21" s="1"/>
  <c r="AA155" i="21"/>
  <c r="BI155" i="21" s="1"/>
  <c r="BZ155" i="21" s="1"/>
  <c r="DG180" i="21"/>
  <c r="W109" i="21"/>
  <c r="BE109" i="21" s="1"/>
  <c r="BV109" i="21" s="1"/>
  <c r="FF82" i="21"/>
  <c r="DK133" i="21"/>
  <c r="AE169" i="21"/>
  <c r="BM169" i="21" s="1"/>
  <c r="GJ169" i="21" s="1"/>
  <c r="DI146" i="21"/>
  <c r="FT146" i="21" s="1"/>
  <c r="DC115" i="21"/>
  <c r="X124" i="21"/>
  <c r="BF124" i="21" s="1"/>
  <c r="BW124" i="21" s="1"/>
  <c r="X114" i="21"/>
  <c r="BF114" i="21" s="1"/>
  <c r="BW114" i="21" s="1"/>
  <c r="FH143" i="21"/>
  <c r="FV143" i="21" s="1"/>
  <c r="DG168" i="21"/>
  <c r="V171" i="21"/>
  <c r="BD171" i="21" s="1"/>
  <c r="BU171" i="21" s="1"/>
  <c r="FC90" i="21"/>
  <c r="DI184" i="21"/>
  <c r="FT184" i="21" s="1"/>
  <c r="FJ99" i="21"/>
  <c r="AE155" i="21"/>
  <c r="BM155" i="21" s="1"/>
  <c r="GJ155" i="21" s="1"/>
  <c r="Z81" i="21"/>
  <c r="BH81" i="21" s="1"/>
  <c r="BY81" i="21" s="1"/>
  <c r="DK75" i="21"/>
  <c r="FC86" i="21"/>
  <c r="AC82" i="21"/>
  <c r="BK82" i="21" s="1"/>
  <c r="CB82" i="21" s="1"/>
  <c r="AB141" i="21"/>
  <c r="BJ141" i="21" s="1"/>
  <c r="CA141" i="21" s="1"/>
  <c r="FM113" i="21"/>
  <c r="DM130" i="21"/>
  <c r="DJ74" i="21"/>
  <c r="FH168" i="21"/>
  <c r="FV168" i="21" s="1"/>
  <c r="AE114" i="21"/>
  <c r="BM114" i="21" s="1"/>
  <c r="GJ114" i="21" s="1"/>
  <c r="DI119" i="21"/>
  <c r="FT119" i="21" s="1"/>
  <c r="DF89" i="21"/>
  <c r="FM146" i="21"/>
  <c r="FM166" i="21"/>
  <c r="FG90" i="21"/>
  <c r="DI162" i="21"/>
  <c r="FT162" i="21" s="1"/>
  <c r="AB171" i="21"/>
  <c r="BJ171" i="21" s="1"/>
  <c r="CA171" i="21" s="1"/>
  <c r="FH117" i="21"/>
  <c r="FV117" i="21" s="1"/>
  <c r="DC155" i="21"/>
  <c r="AM155" i="21" s="1"/>
  <c r="AV155" i="21" s="1"/>
  <c r="DM120" i="21"/>
  <c r="FF86" i="21"/>
  <c r="AB82" i="21"/>
  <c r="BJ82" i="21" s="1"/>
  <c r="CA82" i="21" s="1"/>
  <c r="AB133" i="21"/>
  <c r="BJ133" i="21" s="1"/>
  <c r="CA133" i="21" s="1"/>
  <c r="DL130" i="21"/>
  <c r="FB74" i="21"/>
  <c r="DG74" i="21"/>
  <c r="Y114" i="21"/>
  <c r="BG114" i="21" s="1"/>
  <c r="BX114" i="21" s="1"/>
  <c r="DG143" i="21"/>
  <c r="DN168" i="21"/>
  <c r="FM171" i="21"/>
  <c r="FE90" i="21"/>
  <c r="AD162" i="21"/>
  <c r="BL162" i="21" s="1"/>
  <c r="CC162" i="21" s="1"/>
  <c r="DJ146" i="21"/>
  <c r="FD155" i="21"/>
  <c r="DI112" i="21"/>
  <c r="FT112" i="21" s="1"/>
  <c r="DK86" i="21"/>
  <c r="AB123" i="21"/>
  <c r="BJ123" i="21" s="1"/>
  <c r="CA123" i="21" s="1"/>
  <c r="FJ141" i="21"/>
  <c r="Y113" i="21"/>
  <c r="BG113" i="21" s="1"/>
  <c r="BX113" i="21" s="1"/>
  <c r="DE123" i="21"/>
  <c r="DI185" i="21"/>
  <c r="FT185" i="21" s="1"/>
  <c r="FC74" i="21"/>
  <c r="FD157" i="21"/>
  <c r="DD119" i="21"/>
  <c r="FK158" i="21"/>
  <c r="AG157" i="21"/>
  <c r="BO157" i="21" s="1"/>
  <c r="GL157" i="21" s="1"/>
  <c r="DG148" i="21"/>
  <c r="FJ115" i="21"/>
  <c r="V162" i="21"/>
  <c r="BD162" i="21" s="1"/>
  <c r="BU162" i="21" s="1"/>
  <c r="AG185" i="21"/>
  <c r="BO185" i="21" s="1"/>
  <c r="CF185" i="21" s="1"/>
  <c r="AB111" i="21"/>
  <c r="BJ111" i="21" s="1"/>
  <c r="CA111" i="21" s="1"/>
  <c r="DF112" i="21"/>
  <c r="FL167" i="21"/>
  <c r="FG82" i="21"/>
  <c r="FI109" i="21"/>
  <c r="DK82" i="21"/>
  <c r="FK133" i="21"/>
  <c r="FC130" i="21"/>
  <c r="FI115" i="21"/>
  <c r="FG115" i="21"/>
  <c r="DG114" i="21"/>
  <c r="DF119" i="21"/>
  <c r="AP119" i="21" s="1"/>
  <c r="AY119" i="21" s="1"/>
  <c r="DM168" i="21"/>
  <c r="DH128" i="21"/>
  <c r="AF80" i="21"/>
  <c r="BN80" i="21" s="1"/>
  <c r="CE80" i="21" s="1"/>
  <c r="AE184" i="21"/>
  <c r="BM184" i="21" s="1"/>
  <c r="CD184" i="21" s="1"/>
  <c r="DL99" i="21"/>
  <c r="Y80" i="21"/>
  <c r="BG80" i="21" s="1"/>
  <c r="BX80" i="21" s="1"/>
  <c r="AG165" i="21"/>
  <c r="BO165" i="21" s="1"/>
  <c r="CF165" i="21" s="1"/>
  <c r="AA167" i="21"/>
  <c r="BI167" i="21" s="1"/>
  <c r="BZ167" i="21" s="1"/>
  <c r="FE135" i="21"/>
  <c r="Y123" i="21"/>
  <c r="BG123" i="21" s="1"/>
  <c r="GD123" i="21" s="1"/>
  <c r="FM141" i="21"/>
  <c r="Z133" i="21"/>
  <c r="BH133" i="21" s="1"/>
  <c r="BY133" i="21" s="1"/>
  <c r="W123" i="21"/>
  <c r="BE123" i="21" s="1"/>
  <c r="AA185" i="21"/>
  <c r="BI185" i="21" s="1"/>
  <c r="BZ185" i="21" s="1"/>
  <c r="FC166" i="21"/>
  <c r="FJ128" i="21"/>
  <c r="FJ105" i="21"/>
  <c r="DF110" i="21"/>
  <c r="AB89" i="21"/>
  <c r="BJ89" i="21" s="1"/>
  <c r="CA89" i="21" s="1"/>
  <c r="FI90" i="21"/>
  <c r="AC68" i="21"/>
  <c r="BK68" i="21" s="1"/>
  <c r="CB68" i="21" s="1"/>
  <c r="X158" i="21"/>
  <c r="BF158" i="21" s="1"/>
  <c r="BW158" i="21" s="1"/>
  <c r="DI79" i="21"/>
  <c r="FT79" i="21" s="1"/>
  <c r="DF98" i="21"/>
  <c r="AF123" i="21"/>
  <c r="BN123" i="21" s="1"/>
  <c r="CE123" i="21" s="1"/>
  <c r="FF135" i="21"/>
  <c r="X133" i="21"/>
  <c r="BF133" i="21" s="1"/>
  <c r="BW133" i="21" s="1"/>
  <c r="DN82" i="21"/>
  <c r="FJ130" i="21"/>
  <c r="DC143" i="21"/>
  <c r="AM143" i="21" s="1"/>
  <c r="AV143" i="21" s="1"/>
  <c r="AD124" i="21"/>
  <c r="BL124" i="21" s="1"/>
  <c r="CC124" i="21" s="1"/>
  <c r="FM114" i="21"/>
  <c r="FJ110" i="21"/>
  <c r="Z166" i="21"/>
  <c r="BH166" i="21" s="1"/>
  <c r="BY166" i="21" s="1"/>
  <c r="AF90" i="21"/>
  <c r="BN90" i="21" s="1"/>
  <c r="CE90" i="21" s="1"/>
  <c r="FF162" i="21"/>
  <c r="DD87" i="21"/>
  <c r="DL77" i="21"/>
  <c r="DN155" i="21"/>
  <c r="AB86" i="21"/>
  <c r="BJ86" i="21" s="1"/>
  <c r="CA86" i="21" s="1"/>
  <c r="FB123" i="21"/>
  <c r="FD141" i="21"/>
  <c r="AD113" i="21"/>
  <c r="BL113" i="21" s="1"/>
  <c r="CC113" i="21" s="1"/>
  <c r="FM123" i="21"/>
  <c r="AD185" i="21"/>
  <c r="BL185" i="21" s="1"/>
  <c r="CC185" i="21" s="1"/>
  <c r="DL185" i="21"/>
  <c r="X128" i="21"/>
  <c r="BF128" i="21" s="1"/>
  <c r="DG105" i="21"/>
  <c r="AF158" i="21"/>
  <c r="BN158" i="21" s="1"/>
  <c r="CE158" i="21" s="1"/>
  <c r="FH90" i="21"/>
  <c r="FV90" i="21" s="1"/>
  <c r="FF184" i="21"/>
  <c r="DN99" i="21"/>
  <c r="X166" i="21"/>
  <c r="BF166" i="21" s="1"/>
  <c r="BW166" i="21" s="1"/>
  <c r="DF125" i="21"/>
  <c r="AP125" i="21" s="1"/>
  <c r="AY125" i="21" s="1"/>
  <c r="FL188" i="21"/>
  <c r="FF180" i="21"/>
  <c r="FC109" i="21"/>
  <c r="W135" i="21"/>
  <c r="BE135" i="21" s="1"/>
  <c r="BV135" i="21" s="1"/>
  <c r="AD133" i="21"/>
  <c r="BL133" i="21" s="1"/>
  <c r="CC133" i="21" s="1"/>
  <c r="DL169" i="21"/>
  <c r="DE130" i="21"/>
  <c r="AO130" i="21" s="1"/>
  <c r="AX130" i="21" s="1"/>
  <c r="FB115" i="21"/>
  <c r="FD124" i="21"/>
  <c r="FK68" i="21"/>
  <c r="AB143" i="21"/>
  <c r="BJ143" i="21" s="1"/>
  <c r="CA143" i="21" s="1"/>
  <c r="Z168" i="21"/>
  <c r="BH168" i="21" s="1"/>
  <c r="BY168" i="21" s="1"/>
  <c r="DL166" i="21"/>
  <c r="DD90" i="21"/>
  <c r="AN90" i="21" s="1"/>
  <c r="AB184" i="21"/>
  <c r="BJ184" i="21" s="1"/>
  <c r="CA184" i="21" s="1"/>
  <c r="AA166" i="21"/>
  <c r="BI166" i="21" s="1"/>
  <c r="BZ166" i="21" s="1"/>
  <c r="DL155" i="21"/>
  <c r="FF81" i="21"/>
  <c r="DL69" i="21"/>
  <c r="DD86" i="21"/>
  <c r="AN86" i="21" s="1"/>
  <c r="FI82" i="21"/>
  <c r="FI133" i="21"/>
  <c r="DN113" i="21"/>
  <c r="AF130" i="21"/>
  <c r="BN130" i="21" s="1"/>
  <c r="GK130" i="21" s="1"/>
  <c r="DM146" i="21"/>
  <c r="DI168" i="21"/>
  <c r="FT168" i="21" s="1"/>
  <c r="DL114" i="21"/>
  <c r="FK143" i="21"/>
  <c r="FE89" i="21"/>
  <c r="AG146" i="21"/>
  <c r="BO146" i="21" s="1"/>
  <c r="CF146" i="21" s="1"/>
  <c r="AE80" i="21"/>
  <c r="BM80" i="21" s="1"/>
  <c r="GJ80" i="21" s="1"/>
  <c r="DH90" i="21"/>
  <c r="DF99" i="21"/>
  <c r="AP99" i="21" s="1"/>
  <c r="DF130" i="21"/>
  <c r="AP130" i="21" s="1"/>
  <c r="AY130" i="21" s="1"/>
  <c r="DI117" i="21"/>
  <c r="FT117" i="21" s="1"/>
  <c r="V155" i="21"/>
  <c r="BD155" i="21" s="1"/>
  <c r="BU155" i="21" s="1"/>
  <c r="DI120" i="21"/>
  <c r="FT120" i="21" s="1"/>
  <c r="AE109" i="21"/>
  <c r="BM109" i="21" s="1"/>
  <c r="CD109" i="21" s="1"/>
  <c r="DH141" i="21"/>
  <c r="DI133" i="21"/>
  <c r="FT133" i="21" s="1"/>
  <c r="AE130" i="21"/>
  <c r="BM130" i="21" s="1"/>
  <c r="CD130" i="21" s="1"/>
  <c r="AG74" i="21"/>
  <c r="BO74" i="21" s="1"/>
  <c r="DF128" i="21"/>
  <c r="AP128" i="21" s="1"/>
  <c r="AY128" i="21" s="1"/>
  <c r="FE114" i="21"/>
  <c r="Z143" i="21"/>
  <c r="BH143" i="21" s="1"/>
  <c r="BY143" i="21" s="1"/>
  <c r="AD131" i="21"/>
  <c r="BL131" i="21" s="1"/>
  <c r="CC131" i="21" s="1"/>
  <c r="AG171" i="21"/>
  <c r="BO171" i="21" s="1"/>
  <c r="GL171" i="21" s="1"/>
  <c r="DF90" i="21"/>
  <c r="FJ162" i="21"/>
  <c r="X131" i="21"/>
  <c r="BF131" i="21" s="1"/>
  <c r="BW131" i="21" s="1"/>
  <c r="DE155" i="21"/>
  <c r="AO155" i="21" s="1"/>
  <c r="AX155" i="21" s="1"/>
  <c r="AB112" i="21"/>
  <c r="BJ112" i="21" s="1"/>
  <c r="CA112" i="21" s="1"/>
  <c r="AD86" i="21"/>
  <c r="BL86" i="21" s="1"/>
  <c r="CC86" i="21" s="1"/>
  <c r="FH123" i="21"/>
  <c r="FV123" i="21" s="1"/>
  <c r="DL141" i="21"/>
  <c r="DF113" i="21"/>
  <c r="X123" i="21"/>
  <c r="BF123" i="21" s="1"/>
  <c r="AB74" i="21"/>
  <c r="BJ74" i="21" s="1"/>
  <c r="CA74" i="21" s="1"/>
  <c r="FF130" i="21"/>
  <c r="DE157" i="21"/>
  <c r="AO157" i="21" s="1"/>
  <c r="AX157" i="21" s="1"/>
  <c r="FC119" i="21"/>
  <c r="FM157" i="21"/>
  <c r="Z148" i="21"/>
  <c r="BH148" i="21" s="1"/>
  <c r="BY148" i="21" s="1"/>
  <c r="DK115" i="21"/>
  <c r="FB99" i="21"/>
  <c r="DN185" i="21"/>
  <c r="DI111" i="21"/>
  <c r="FT111" i="21" s="1"/>
  <c r="DH83" i="21"/>
  <c r="DM167" i="21"/>
  <c r="BU175" i="21"/>
  <c r="GC188" i="21"/>
  <c r="BW188" i="21"/>
  <c r="BV184" i="21"/>
  <c r="AN184" i="21"/>
  <c r="AW184" i="21" s="1"/>
  <c r="GB184" i="21"/>
  <c r="AO188" i="21"/>
  <c r="AX188" i="21" s="1"/>
  <c r="BV185" i="21"/>
  <c r="GB185" i="21"/>
  <c r="AO174" i="21"/>
  <c r="AX174" i="21" s="1"/>
  <c r="AO107" i="21"/>
  <c r="AP101" i="21"/>
  <c r="AP174" i="21"/>
  <c r="AY174" i="21" s="1"/>
  <c r="AN106" i="21"/>
  <c r="AP173" i="21"/>
  <c r="AY173" i="21" s="1"/>
  <c r="AO118" i="21"/>
  <c r="BX179" i="21"/>
  <c r="AO179" i="21"/>
  <c r="AX179" i="21" s="1"/>
  <c r="AP181" i="21"/>
  <c r="AY181" i="21" s="1"/>
  <c r="AO83" i="21"/>
  <c r="GC175" i="21"/>
  <c r="BX173" i="21"/>
  <c r="AO175" i="21"/>
  <c r="AX175" i="21" s="1"/>
  <c r="AO95" i="21"/>
  <c r="AP179" i="21"/>
  <c r="AY179" i="21" s="1"/>
  <c r="AO146" i="21"/>
  <c r="GB174" i="21"/>
  <c r="AN175" i="21"/>
  <c r="AW175" i="21" s="1"/>
  <c r="BX175" i="21"/>
  <c r="AP175" i="21"/>
  <c r="AY175" i="21" s="1"/>
  <c r="AN181" i="21"/>
  <c r="AW181" i="21" s="1"/>
  <c r="AN174" i="21"/>
  <c r="AW174" i="21" s="1"/>
  <c r="FL174" i="21"/>
  <c r="AE116" i="21"/>
  <c r="BM116" i="21" s="1"/>
  <c r="GJ116" i="21" s="1"/>
  <c r="DG78" i="21"/>
  <c r="Y96" i="21"/>
  <c r="BG96" i="21" s="1"/>
  <c r="BX96" i="21" s="1"/>
  <c r="DN98" i="21"/>
  <c r="DL125" i="21"/>
  <c r="FG153" i="21"/>
  <c r="DI134" i="21"/>
  <c r="FT134" i="21" s="1"/>
  <c r="DI78" i="21"/>
  <c r="FT78" i="21" s="1"/>
  <c r="FE131" i="21"/>
  <c r="DG98" i="21"/>
  <c r="FF139" i="21"/>
  <c r="AE106" i="21"/>
  <c r="BM106" i="21" s="1"/>
  <c r="CD106" i="21" s="1"/>
  <c r="DK174" i="21"/>
  <c r="DF116" i="21"/>
  <c r="AP116" i="21" s="1"/>
  <c r="AY116" i="21" s="1"/>
  <c r="FG140" i="21"/>
  <c r="V96" i="21"/>
  <c r="BD96" i="21" s="1"/>
  <c r="BU96" i="21" s="1"/>
  <c r="FH105" i="21"/>
  <c r="FV105" i="21" s="1"/>
  <c r="DK139" i="21"/>
  <c r="AD106" i="21"/>
  <c r="BL106" i="21" s="1"/>
  <c r="CC106" i="21" s="1"/>
  <c r="FM116" i="21"/>
  <c r="DF140" i="21"/>
  <c r="AP140" i="21" s="1"/>
  <c r="AY140" i="21" s="1"/>
  <c r="AG96" i="21"/>
  <c r="BO96" i="21" s="1"/>
  <c r="CF96" i="21" s="1"/>
  <c r="DL96" i="21"/>
  <c r="DG118" i="21"/>
  <c r="FI106" i="21"/>
  <c r="FK110" i="21"/>
  <c r="V134" i="21"/>
  <c r="BD134" i="21" s="1"/>
  <c r="BU134" i="21" s="1"/>
  <c r="DE116" i="21"/>
  <c r="DJ78" i="21"/>
  <c r="FD87" i="21"/>
  <c r="DH135" i="21"/>
  <c r="DN149" i="21"/>
  <c r="AG142" i="21"/>
  <c r="BO142" i="21" s="1"/>
  <c r="CF142" i="21" s="1"/>
  <c r="FL122" i="21"/>
  <c r="FL134" i="21"/>
  <c r="DG116" i="21"/>
  <c r="DC78" i="21"/>
  <c r="DI87" i="21"/>
  <c r="FT87" i="21" s="1"/>
  <c r="FK98" i="21"/>
  <c r="DG125" i="21"/>
  <c r="AG101" i="21"/>
  <c r="BO101" i="21" s="1"/>
  <c r="GL101" i="21" s="1"/>
  <c r="DF143" i="21"/>
  <c r="AP143" i="21" s="1"/>
  <c r="AY143" i="21" s="1"/>
  <c r="FG174" i="21"/>
  <c r="DI140" i="21"/>
  <c r="FT140" i="21" s="1"/>
  <c r="FC78" i="21"/>
  <c r="DG87" i="21"/>
  <c r="DE98" i="21"/>
  <c r="W138" i="21"/>
  <c r="BE138" i="21" s="1"/>
  <c r="BV138" i="21" s="1"/>
  <c r="FD101" i="21"/>
  <c r="DJ112" i="21"/>
  <c r="DL188" i="21"/>
  <c r="AF116" i="21"/>
  <c r="BN116" i="21" s="1"/>
  <c r="GK116" i="21" s="1"/>
  <c r="DK116" i="21"/>
  <c r="AA87" i="21"/>
  <c r="BI87" i="21" s="1"/>
  <c r="BZ87" i="21" s="1"/>
  <c r="FL98" i="21"/>
  <c r="DK173" i="21"/>
  <c r="AG179" i="21"/>
  <c r="BO179" i="21" s="1"/>
  <c r="GL179" i="21" s="1"/>
  <c r="AD159" i="21"/>
  <c r="BL159" i="21" s="1"/>
  <c r="CC159" i="21" s="1"/>
  <c r="DL116" i="21"/>
  <c r="DK140" i="21"/>
  <c r="FE96" i="21"/>
  <c r="FE124" i="21"/>
  <c r="AE125" i="21"/>
  <c r="BM125" i="21" s="1"/>
  <c r="CD125" i="21" s="1"/>
  <c r="DG101" i="21"/>
  <c r="AA153" i="21"/>
  <c r="BI153" i="21" s="1"/>
  <c r="BZ153" i="21" s="1"/>
  <c r="AB134" i="21"/>
  <c r="BJ134" i="21" s="1"/>
  <c r="CA134" i="21" s="1"/>
  <c r="AB78" i="21"/>
  <c r="BJ78" i="21" s="1"/>
  <c r="CA78" i="21" s="1"/>
  <c r="FH96" i="21"/>
  <c r="FV96" i="21" s="1"/>
  <c r="Z98" i="21"/>
  <c r="BH98" i="21" s="1"/>
  <c r="BY98" i="21" s="1"/>
  <c r="Z139" i="21"/>
  <c r="BH139" i="21" s="1"/>
  <c r="DL106" i="21"/>
  <c r="AD174" i="21"/>
  <c r="BL174" i="21" s="1"/>
  <c r="CC174" i="21" s="1"/>
  <c r="FE116" i="21"/>
  <c r="FL78" i="21"/>
  <c r="FB96" i="21"/>
  <c r="DC135" i="21"/>
  <c r="DI105" i="21"/>
  <c r="FT105" i="21" s="1"/>
  <c r="FJ139" i="21"/>
  <c r="FC93" i="21"/>
  <c r="DN116" i="21"/>
  <c r="DE78" i="21"/>
  <c r="FM96" i="21"/>
  <c r="AB135" i="21"/>
  <c r="BJ135" i="21" s="1"/>
  <c r="CA135" i="21" s="1"/>
  <c r="AE96" i="21"/>
  <c r="BM96" i="21" s="1"/>
  <c r="CD96" i="21" s="1"/>
  <c r="Z118" i="21"/>
  <c r="BH118" i="21" s="1"/>
  <c r="BY118" i="21" s="1"/>
  <c r="DM142" i="21"/>
  <c r="DL110" i="21"/>
  <c r="DC134" i="21"/>
  <c r="AE140" i="21"/>
  <c r="BM140" i="21" s="1"/>
  <c r="GJ140" i="21" s="1"/>
  <c r="AC78" i="21"/>
  <c r="BK78" i="21" s="1"/>
  <c r="CB78" i="21" s="1"/>
  <c r="DE87" i="21"/>
  <c r="FC98" i="21"/>
  <c r="FM149" i="21"/>
  <c r="DN142" i="21"/>
  <c r="DM122" i="21"/>
  <c r="AF134" i="21"/>
  <c r="BN134" i="21" s="1"/>
  <c r="GK134" i="21" s="1"/>
  <c r="DM140" i="21"/>
  <c r="FB78" i="21"/>
  <c r="AB87" i="21"/>
  <c r="BJ87" i="21" s="1"/>
  <c r="CA87" i="21" s="1"/>
  <c r="DL98" i="21"/>
  <c r="DL118" i="21"/>
  <c r="FM101" i="21"/>
  <c r="Y143" i="21"/>
  <c r="BG143" i="21" s="1"/>
  <c r="GD143" i="21" s="1"/>
  <c r="DH174" i="21"/>
  <c r="AB140" i="21"/>
  <c r="BJ140" i="21" s="1"/>
  <c r="CA140" i="21" s="1"/>
  <c r="FL131" i="21"/>
  <c r="Z87" i="21"/>
  <c r="BH87" i="21" s="1"/>
  <c r="BY87" i="21" s="1"/>
  <c r="X98" i="21"/>
  <c r="BF98" i="21" s="1"/>
  <c r="BW98" i="21" s="1"/>
  <c r="X125" i="21"/>
  <c r="BF125" i="21" s="1"/>
  <c r="BW125" i="21" s="1"/>
  <c r="DE101" i="21"/>
  <c r="FI112" i="21"/>
  <c r="FM174" i="21"/>
  <c r="FL116" i="21"/>
  <c r="FJ116" i="21"/>
  <c r="FG87" i="21"/>
  <c r="DM98" i="21"/>
  <c r="FJ173" i="21"/>
  <c r="FL101" i="21"/>
  <c r="DK159" i="21"/>
  <c r="Z174" i="21"/>
  <c r="BH174" i="21" s="1"/>
  <c r="BY174" i="21" s="1"/>
  <c r="FK116" i="21"/>
  <c r="AD140" i="21"/>
  <c r="BL140" i="21" s="1"/>
  <c r="CC140" i="21" s="1"/>
  <c r="Y124" i="21"/>
  <c r="BG124" i="21" s="1"/>
  <c r="BX124" i="21" s="1"/>
  <c r="DM139" i="21"/>
  <c r="Z101" i="21"/>
  <c r="BH101" i="21" s="1"/>
  <c r="DH181" i="21"/>
  <c r="DH116" i="21"/>
  <c r="FH78" i="21"/>
  <c r="FV78" i="21" s="1"/>
  <c r="AB96" i="21"/>
  <c r="BJ96" i="21" s="1"/>
  <c r="CA96" i="21" s="1"/>
  <c r="FH173" i="21"/>
  <c r="FV173" i="21" s="1"/>
  <c r="DG139" i="21"/>
  <c r="FK93" i="21"/>
  <c r="FB174" i="21"/>
  <c r="Y116" i="21"/>
  <c r="BG116" i="21" s="1"/>
  <c r="BX116" i="21" s="1"/>
  <c r="DM78" i="21"/>
  <c r="FG96" i="21"/>
  <c r="V135" i="21"/>
  <c r="BD135" i="21" s="1"/>
  <c r="BU135" i="21" s="1"/>
  <c r="DL173" i="21"/>
  <c r="AD139" i="21"/>
  <c r="BL139" i="21" s="1"/>
  <c r="CC139" i="21" s="1"/>
  <c r="DD93" i="21"/>
  <c r="DM174" i="21"/>
  <c r="AG116" i="21"/>
  <c r="BO116" i="21" s="1"/>
  <c r="GL116" i="21" s="1"/>
  <c r="FD78" i="21"/>
  <c r="DJ87" i="21"/>
  <c r="DI135" i="21"/>
  <c r="FT135" i="21" s="1"/>
  <c r="DE149" i="21"/>
  <c r="AO149" i="21" s="1"/>
  <c r="AX149" i="21" s="1"/>
  <c r="FF118" i="21"/>
  <c r="FL142" i="21"/>
  <c r="Z188" i="21"/>
  <c r="BH188" i="21" s="1"/>
  <c r="BY188" i="21" s="1"/>
  <c r="FB134" i="21"/>
  <c r="DL140" i="21"/>
  <c r="FI131" i="21"/>
  <c r="X87" i="21"/>
  <c r="BF87" i="21" s="1"/>
  <c r="BW87" i="21" s="1"/>
  <c r="W98" i="21"/>
  <c r="BE98" i="21" s="1"/>
  <c r="BV98" i="21" s="1"/>
  <c r="AF118" i="21"/>
  <c r="BN118" i="21" s="1"/>
  <c r="GK118" i="21" s="1"/>
  <c r="FM142" i="21"/>
  <c r="DH188" i="21"/>
  <c r="DM134" i="21"/>
  <c r="FL140" i="21"/>
  <c r="Z131" i="21"/>
  <c r="BH131" i="21" s="1"/>
  <c r="BY131" i="21" s="1"/>
  <c r="FJ175" i="21"/>
  <c r="AE98" i="21"/>
  <c r="BM98" i="21" s="1"/>
  <c r="CD98" i="21" s="1"/>
  <c r="FK118" i="21"/>
  <c r="Y159" i="21"/>
  <c r="BG159" i="21" s="1"/>
  <c r="BX159" i="21" s="1"/>
  <c r="FE143" i="21"/>
  <c r="FF134" i="21"/>
  <c r="FH140" i="21"/>
  <c r="FV140" i="21" s="1"/>
  <c r="AF131" i="21"/>
  <c r="BN131" i="21" s="1"/>
  <c r="GK131" i="21" s="1"/>
  <c r="FK175" i="21"/>
  <c r="FD98" i="21"/>
  <c r="DE125" i="21"/>
  <c r="FM120" i="21"/>
  <c r="AC112" i="21"/>
  <c r="BK112" i="21" s="1"/>
  <c r="CB112" i="21" s="1"/>
  <c r="DN174" i="21"/>
  <c r="AC140" i="21"/>
  <c r="BK140" i="21" s="1"/>
  <c r="CB140" i="21" s="1"/>
  <c r="FG131" i="21"/>
  <c r="DH87" i="21"/>
  <c r="FD135" i="21"/>
  <c r="AD173" i="21"/>
  <c r="BL173" i="21" s="1"/>
  <c r="CC173" i="21" s="1"/>
  <c r="DM101" i="21"/>
  <c r="FB112" i="21"/>
  <c r="DG174" i="21"/>
  <c r="DD140" i="21"/>
  <c r="FJ140" i="21"/>
  <c r="DF124" i="21"/>
  <c r="AP124" i="21" s="1"/>
  <c r="AY124" i="21" s="1"/>
  <c r="FL139" i="21"/>
  <c r="FF101" i="21"/>
  <c r="AA181" i="21"/>
  <c r="BI181" i="21" s="1"/>
  <c r="BZ181" i="21" s="1"/>
  <c r="FG116" i="21"/>
  <c r="DF78" i="21"/>
  <c r="DI96" i="21"/>
  <c r="FT96" i="21" s="1"/>
  <c r="AB173" i="21"/>
  <c r="BJ173" i="21" s="1"/>
  <c r="CA173" i="21" s="1"/>
  <c r="AE93" i="21"/>
  <c r="BM93" i="21" s="1"/>
  <c r="CD93" i="21" s="1"/>
  <c r="DC174" i="21"/>
  <c r="AM174" i="21" s="1"/>
  <c r="AV174" i="21" s="1"/>
  <c r="DC116" i="21"/>
  <c r="AF78" i="21"/>
  <c r="BN78" i="21" s="1"/>
  <c r="CE78" i="21" s="1"/>
  <c r="DH96" i="21"/>
  <c r="FB135" i="21"/>
  <c r="FK173" i="21"/>
  <c r="AE127" i="21"/>
  <c r="BM127" i="21" s="1"/>
  <c r="GJ127" i="21" s="1"/>
  <c r="W93" i="21"/>
  <c r="BE93" i="21" s="1"/>
  <c r="BV93" i="21" s="1"/>
  <c r="AD138" i="21"/>
  <c r="BL138" i="21" s="1"/>
  <c r="CC138" i="21" s="1"/>
  <c r="AF174" i="21"/>
  <c r="BN174" i="21" s="1"/>
  <c r="CE174" i="21" s="1"/>
  <c r="AC116" i="21"/>
  <c r="BK116" i="21" s="1"/>
  <c r="CB116" i="21" s="1"/>
  <c r="X78" i="21"/>
  <c r="BF78" i="21" s="1"/>
  <c r="BW78" i="21" s="1"/>
  <c r="AC87" i="21"/>
  <c r="BK87" i="21" s="1"/>
  <c r="CB87" i="21" s="1"/>
  <c r="FH135" i="21"/>
  <c r="FV135" i="21" s="1"/>
  <c r="X149" i="21"/>
  <c r="BF149" i="21" s="1"/>
  <c r="BW149" i="21" s="1"/>
  <c r="X127" i="21"/>
  <c r="BF127" i="21" s="1"/>
  <c r="BW127" i="21" s="1"/>
  <c r="AF142" i="21"/>
  <c r="BN142" i="21" s="1"/>
  <c r="GK142" i="21" s="1"/>
  <c r="FF188" i="21"/>
  <c r="AE134" i="21"/>
  <c r="BM134" i="21" s="1"/>
  <c r="GJ134" i="21" s="1"/>
  <c r="FK140" i="21"/>
  <c r="AC131" i="21"/>
  <c r="BK131" i="21" s="1"/>
  <c r="CB131" i="21" s="1"/>
  <c r="DH175" i="21"/>
  <c r="DD98" i="21"/>
  <c r="FL118" i="21"/>
  <c r="AA188" i="21"/>
  <c r="BI188" i="21" s="1"/>
  <c r="BZ188" i="21" s="1"/>
  <c r="FE134" i="21"/>
  <c r="AF140" i="21"/>
  <c r="BN140" i="21" s="1"/>
  <c r="GK140" i="21" s="1"/>
  <c r="DG131" i="21"/>
  <c r="DK175" i="21"/>
  <c r="DC138" i="21"/>
  <c r="AM138" i="21" s="1"/>
  <c r="AV138" i="21" s="1"/>
  <c r="AE118" i="21"/>
  <c r="BM118" i="21" s="1"/>
  <c r="GJ118" i="21" s="1"/>
  <c r="FE159" i="21"/>
  <c r="DG134" i="21"/>
  <c r="FF140" i="21"/>
  <c r="DM131" i="21"/>
  <c r="AE175" i="21"/>
  <c r="BM175" i="21" s="1"/>
  <c r="GJ175" i="21" s="1"/>
  <c r="V131" i="21"/>
  <c r="BD131" i="21" s="1"/>
  <c r="BU131" i="21" s="1"/>
  <c r="FD125" i="21"/>
  <c r="DN120" i="21"/>
  <c r="AA173" i="21"/>
  <c r="BI173" i="21" s="1"/>
  <c r="BZ173" i="21" s="1"/>
  <c r="AG174" i="21"/>
  <c r="BO174" i="21" s="1"/>
  <c r="CF174" i="21" s="1"/>
  <c r="FI140" i="21"/>
  <c r="DH131" i="21"/>
  <c r="DE135" i="21"/>
  <c r="AO135" i="21" s="1"/>
  <c r="AX135" i="21" s="1"/>
  <c r="DK125" i="21"/>
  <c r="AF101" i="21"/>
  <c r="BN101" i="21" s="1"/>
  <c r="CE101" i="21" s="1"/>
  <c r="V112" i="21"/>
  <c r="BD112" i="21" s="1"/>
  <c r="BU112" i="21" s="1"/>
  <c r="FF174" i="21"/>
  <c r="W140" i="21"/>
  <c r="BE140" i="21" s="1"/>
  <c r="BV140" i="21" s="1"/>
  <c r="DD131" i="21"/>
  <c r="FB173" i="21"/>
  <c r="AF139" i="21"/>
  <c r="BN139" i="21" s="1"/>
  <c r="CE139" i="21" s="1"/>
  <c r="AF93" i="21"/>
  <c r="BN93" i="21" s="1"/>
  <c r="CE93" i="21" s="1"/>
  <c r="FG181" i="21"/>
  <c r="FI174" i="21"/>
  <c r="AA116" i="21"/>
  <c r="BI116" i="21" s="1"/>
  <c r="BZ116" i="21" s="1"/>
  <c r="FE78" i="21"/>
  <c r="AF175" i="21"/>
  <c r="BN175" i="21" s="1"/>
  <c r="CE175" i="21" s="1"/>
  <c r="DI173" i="21"/>
  <c r="FT173" i="21" s="1"/>
  <c r="DL93" i="21"/>
  <c r="FK105" i="21"/>
  <c r="V174" i="21"/>
  <c r="BD174" i="21" s="1"/>
  <c r="BU174" i="21" s="1"/>
  <c r="V116" i="21"/>
  <c r="BD116" i="21" s="1"/>
  <c r="BU116" i="21" s="1"/>
  <c r="DH78" i="21"/>
  <c r="AA96" i="21"/>
  <c r="BI96" i="21" s="1"/>
  <c r="BZ96" i="21" s="1"/>
  <c r="DC98" i="21"/>
  <c r="AE173" i="21"/>
  <c r="BM173" i="21" s="1"/>
  <c r="CD173" i="21" s="1"/>
  <c r="FK127" i="21"/>
  <c r="X142" i="21"/>
  <c r="BF142" i="21" s="1"/>
  <c r="BW142" i="21" s="1"/>
  <c r="DK138" i="21"/>
  <c r="FI116" i="21"/>
  <c r="AB131" i="21"/>
  <c r="BJ131" i="21" s="1"/>
  <c r="CA131" i="21" s="1"/>
  <c r="FI87" i="21"/>
  <c r="AC98" i="21"/>
  <c r="BK98" i="21" s="1"/>
  <c r="CB98" i="21" s="1"/>
  <c r="DG188" i="21"/>
  <c r="DL134" i="21"/>
  <c r="DC140" i="21"/>
  <c r="DJ131" i="21"/>
  <c r="AA175" i="21"/>
  <c r="BI175" i="21" s="1"/>
  <c r="BZ175" i="21" s="1"/>
  <c r="W96" i="21"/>
  <c r="BE96" i="21" s="1"/>
  <c r="BV96" i="21" s="1"/>
  <c r="DM118" i="21"/>
  <c r="FG188" i="21"/>
  <c r="DF134" i="21"/>
  <c r="DE140" i="21"/>
  <c r="AO140" i="21" s="1"/>
  <c r="AX140" i="21" s="1"/>
  <c r="FF131" i="21"/>
  <c r="AD175" i="21"/>
  <c r="BL175" i="21" s="1"/>
  <c r="CC175" i="21" s="1"/>
  <c r="FB138" i="21"/>
  <c r="V105" i="21"/>
  <c r="BD105" i="21" s="1"/>
  <c r="BU105" i="21" s="1"/>
  <c r="DF159" i="21"/>
  <c r="AP159" i="21" s="1"/>
  <c r="AY159" i="21" s="1"/>
  <c r="Z134" i="21"/>
  <c r="BH134" i="21" s="1"/>
  <c r="BY134" i="21" s="1"/>
  <c r="DG140" i="21"/>
  <c r="FL96" i="21"/>
  <c r="DL175" i="21"/>
  <c r="FB131" i="21"/>
  <c r="FL105" i="21"/>
  <c r="AG120" i="21"/>
  <c r="BO120" i="21" s="1"/>
  <c r="GL120" i="21" s="1"/>
  <c r="DH173" i="21"/>
  <c r="FM134" i="21"/>
  <c r="DJ140" i="21"/>
  <c r="AA131" i="21"/>
  <c r="BI131" i="21" s="1"/>
  <c r="BZ131" i="21" s="1"/>
  <c r="X135" i="21"/>
  <c r="BF135" i="21" s="1"/>
  <c r="BW135" i="21" s="1"/>
  <c r="AD125" i="21"/>
  <c r="BL125" i="21" s="1"/>
  <c r="CC125" i="21" s="1"/>
  <c r="DK120" i="21"/>
  <c r="DC112" i="21"/>
  <c r="FD149" i="21"/>
  <c r="AC134" i="21"/>
  <c r="BK134" i="21" s="1"/>
  <c r="CB134" i="21" s="1"/>
  <c r="FC140" i="21"/>
  <c r="W131" i="21"/>
  <c r="BE131" i="21" s="1"/>
  <c r="BV131" i="21" s="1"/>
  <c r="V173" i="21"/>
  <c r="BD173" i="21" s="1"/>
  <c r="BU173" i="21" s="1"/>
  <c r="FL93" i="21"/>
  <c r="DN105" i="21"/>
  <c r="AC174" i="21"/>
  <c r="BK174" i="21" s="1"/>
  <c r="CB174" i="21" s="1"/>
  <c r="AG140" i="21"/>
  <c r="BO140" i="21" s="1"/>
  <c r="CF140" i="21" s="1"/>
  <c r="Y78" i="21"/>
  <c r="BG78" i="21" s="1"/>
  <c r="DM175" i="21"/>
  <c r="FJ143" i="21"/>
  <c r="AB153" i="21"/>
  <c r="BJ153" i="21" s="1"/>
  <c r="CA153" i="21" s="1"/>
  <c r="AE105" i="21"/>
  <c r="BM105" i="21" s="1"/>
  <c r="CD105" i="21" s="1"/>
  <c r="FJ134" i="21"/>
  <c r="FB116" i="21"/>
  <c r="FG78" i="21"/>
  <c r="FB98" i="21"/>
  <c r="DN143" i="21"/>
  <c r="DL127" i="21"/>
  <c r="FD142" i="21"/>
  <c r="FJ138" i="21"/>
  <c r="W134" i="21"/>
  <c r="BE134" i="21" s="1"/>
  <c r="BV134" i="21" s="1"/>
  <c r="DJ116" i="21"/>
  <c r="FH131" i="21"/>
  <c r="FV131" i="21" s="1"/>
  <c r="FI98" i="21"/>
  <c r="FI143" i="21"/>
  <c r="FD127" i="21"/>
  <c r="DJ178" i="21"/>
  <c r="DL174" i="21"/>
  <c r="FK134" i="21"/>
  <c r="V140" i="21"/>
  <c r="BD140" i="21" s="1"/>
  <c r="BU140" i="21" s="1"/>
  <c r="DE96" i="21"/>
  <c r="FG175" i="21"/>
  <c r="DD96" i="21"/>
  <c r="DJ101" i="21"/>
  <c r="DI174" i="21"/>
  <c r="FT174" i="21" s="1"/>
  <c r="Y134" i="21"/>
  <c r="BG134" i="21" s="1"/>
  <c r="BX134" i="21" s="1"/>
  <c r="FD140" i="21"/>
  <c r="Z96" i="21"/>
  <c r="BH96" i="21" s="1"/>
  <c r="BY96" i="21" s="1"/>
  <c r="AE135" i="21"/>
  <c r="BM135" i="21" s="1"/>
  <c r="CD135" i="21" s="1"/>
  <c r="V138" i="21"/>
  <c r="BD138" i="21" s="1"/>
  <c r="BU138" i="21" s="1"/>
  <c r="FB105" i="21"/>
  <c r="DD112" i="21"/>
  <c r="AB116" i="21"/>
  <c r="BJ116" i="21" s="1"/>
  <c r="CA116" i="21" s="1"/>
  <c r="Z140" i="21"/>
  <c r="BH140" i="21" s="1"/>
  <c r="BY140" i="21" s="1"/>
  <c r="DM96" i="21"/>
  <c r="DN135" i="21"/>
  <c r="DC131" i="21"/>
  <c r="DM105" i="21"/>
  <c r="DE159" i="21"/>
  <c r="AO159" i="21" s="1"/>
  <c r="AX159" i="21" s="1"/>
  <c r="FG173" i="21"/>
  <c r="DN134" i="21"/>
  <c r="DK78" i="21"/>
  <c r="AC96" i="21"/>
  <c r="BK96" i="21" s="1"/>
  <c r="CB96" i="21" s="1"/>
  <c r="FM124" i="21"/>
  <c r="FJ125" i="21"/>
  <c r="AD120" i="21"/>
  <c r="BL120" i="21" s="1"/>
  <c r="CC120" i="21" s="1"/>
  <c r="FB125" i="21"/>
  <c r="DE127" i="21"/>
  <c r="DJ134" i="21"/>
  <c r="Z78" i="21"/>
  <c r="BH78" i="21" s="1"/>
  <c r="BY78" i="21" s="1"/>
  <c r="FC131" i="21"/>
  <c r="AG98" i="21"/>
  <c r="BO98" i="21" s="1"/>
  <c r="GL98" i="21" s="1"/>
  <c r="DC173" i="21"/>
  <c r="AM173" i="21" s="1"/>
  <c r="AV173" i="21" s="1"/>
  <c r="DM93" i="21"/>
  <c r="AG105" i="21"/>
  <c r="BO105" i="21" s="1"/>
  <c r="CF105" i="21" s="1"/>
  <c r="DJ174" i="21"/>
  <c r="FM140" i="21"/>
  <c r="DF131" i="21"/>
  <c r="FL175" i="21"/>
  <c r="DK143" i="21"/>
  <c r="FH153" i="21"/>
  <c r="FV153" i="21" s="1"/>
  <c r="DL105" i="21"/>
  <c r="AD134" i="21"/>
  <c r="BL134" i="21" s="1"/>
  <c r="CC134" i="21" s="1"/>
  <c r="DH140" i="21"/>
  <c r="AA78" i="21"/>
  <c r="BI78" i="21" s="1"/>
  <c r="BZ78" i="21" s="1"/>
  <c r="V98" i="21"/>
  <c r="BD98" i="21" s="1"/>
  <c r="FM143" i="21"/>
  <c r="DK106" i="21"/>
  <c r="DE142" i="21"/>
  <c r="AO142" i="21" s="1"/>
  <c r="AX142" i="21" s="1"/>
  <c r="DD134" i="21"/>
  <c r="Y140" i="21"/>
  <c r="BG140" i="21" s="1"/>
  <c r="BX140" i="21" s="1"/>
  <c r="DI131" i="21"/>
  <c r="FT131" i="21" s="1"/>
  <c r="DJ98" i="21"/>
  <c r="AC143" i="21"/>
  <c r="BK143" i="21" s="1"/>
  <c r="CB143" i="21" s="1"/>
  <c r="AC106" i="21"/>
  <c r="BK106" i="21" s="1"/>
  <c r="CB106" i="21" s="1"/>
  <c r="FI178" i="21"/>
  <c r="FK174" i="21"/>
  <c r="X116" i="21"/>
  <c r="BF116" i="21" s="1"/>
  <c r="BW116" i="21" s="1"/>
  <c r="FB140" i="21"/>
  <c r="X96" i="21"/>
  <c r="BF96" i="21" s="1"/>
  <c r="FG135" i="21"/>
  <c r="FC96" i="21"/>
  <c r="AC101" i="21"/>
  <c r="BK101" i="21" s="1"/>
  <c r="CB101" i="21" s="1"/>
  <c r="AB174" i="21"/>
  <c r="BJ174" i="21" s="1"/>
  <c r="CA174" i="21" s="1"/>
  <c r="Z116" i="21"/>
  <c r="BH116" i="21" s="1"/>
  <c r="BY116" i="21" s="1"/>
  <c r="X140" i="21"/>
  <c r="BF140" i="21" s="1"/>
  <c r="BW140" i="21" s="1"/>
  <c r="FF96" i="21"/>
  <c r="FK135" i="21"/>
  <c r="FF125" i="21"/>
  <c r="DC105" i="21"/>
  <c r="FC112" i="21"/>
  <c r="DI116" i="21"/>
  <c r="FT116" i="21" s="1"/>
  <c r="DD78" i="21"/>
  <c r="AF96" i="21"/>
  <c r="BN96" i="21" s="1"/>
  <c r="CE96" i="21" s="1"/>
  <c r="FM135" i="21"/>
  <c r="FC138" i="21"/>
  <c r="AF105" i="21"/>
  <c r="BN105" i="21" s="1"/>
  <c r="CE105" i="21" s="1"/>
  <c r="X159" i="21"/>
  <c r="BF159" i="21" s="1"/>
  <c r="BW159" i="21" s="1"/>
  <c r="AE188" i="21"/>
  <c r="BM188" i="21" s="1"/>
  <c r="GJ188" i="21" s="1"/>
  <c r="AG134" i="21"/>
  <c r="BO134" i="21" s="1"/>
  <c r="CF134" i="21" s="1"/>
  <c r="AD78" i="21"/>
  <c r="BL78" i="21" s="1"/>
  <c r="CC78" i="21" s="1"/>
  <c r="DJ96" i="21"/>
  <c r="AG124" i="21"/>
  <c r="BO124" i="21" s="1"/>
  <c r="CF124" i="21" s="1"/>
  <c r="DN179" i="21"/>
  <c r="FJ120" i="21"/>
  <c r="DC125" i="21"/>
  <c r="AC178" i="21"/>
  <c r="BK178" i="21" s="1"/>
  <c r="CB178" i="21" s="1"/>
  <c r="FI134" i="21"/>
  <c r="FF78" i="21"/>
  <c r="DF96" i="21"/>
  <c r="AP96" i="21" s="1"/>
  <c r="FM98" i="21"/>
  <c r="FK125" i="21"/>
  <c r="DH153" i="21"/>
  <c r="FM105" i="21"/>
  <c r="FH134" i="21"/>
  <c r="FV134" i="21" s="1"/>
  <c r="DN140" i="21"/>
  <c r="Y131" i="21"/>
  <c r="BG131" i="21" s="1"/>
  <c r="BX131" i="21" s="1"/>
  <c r="FF98" i="21"/>
  <c r="AD143" i="21"/>
  <c r="BL143" i="21" s="1"/>
  <c r="CC143" i="21" s="1"/>
  <c r="FK106" i="21"/>
  <c r="DI153" i="21"/>
  <c r="FT153" i="21" s="1"/>
  <c r="FJ174" i="21"/>
  <c r="DK134" i="21"/>
  <c r="AA140" i="21"/>
  <c r="BI140" i="21" s="1"/>
  <c r="BZ140" i="21" s="1"/>
  <c r="DC96" i="21"/>
  <c r="AB105" i="21"/>
  <c r="BJ105" i="21" s="1"/>
  <c r="CA105" i="21" s="1"/>
  <c r="AG143" i="21"/>
  <c r="BO143" i="21" s="1"/>
  <c r="GL143" i="21" s="1"/>
  <c r="FJ106" i="21"/>
  <c r="FC134" i="21"/>
  <c r="FE140" i="21"/>
  <c r="DN96" i="21"/>
  <c r="FK96" i="21"/>
  <c r="DJ143" i="21"/>
  <c r="DJ106" i="21"/>
  <c r="AE110" i="21"/>
  <c r="BM110" i="21" s="1"/>
  <c r="GJ110" i="21" s="1"/>
  <c r="AE174" i="21"/>
  <c r="BM174" i="21" s="1"/>
  <c r="CD174" i="21" s="1"/>
  <c r="FD116" i="21"/>
  <c r="FI78" i="21"/>
  <c r="FD96" i="21"/>
  <c r="AA135" i="21"/>
  <c r="BI135" i="21" s="1"/>
  <c r="BZ135" i="21" s="1"/>
  <c r="AG149" i="21"/>
  <c r="BO149" i="21" s="1"/>
  <c r="GL149" i="21" s="1"/>
  <c r="FI101" i="21"/>
  <c r="AF122" i="21"/>
  <c r="BN122" i="21" s="1"/>
  <c r="CE122" i="21" s="1"/>
  <c r="FH174" i="21"/>
  <c r="FV174" i="21" s="1"/>
  <c r="FF116" i="21"/>
  <c r="V78" i="21"/>
  <c r="BD78" i="21" s="1"/>
  <c r="BU78" i="21" s="1"/>
  <c r="DG96" i="21"/>
  <c r="DL135" i="21"/>
  <c r="Z125" i="21"/>
  <c r="BH125" i="21" s="1"/>
  <c r="BY125" i="21" s="1"/>
  <c r="DN101" i="21"/>
  <c r="W112" i="21"/>
  <c r="BE112" i="21" s="1"/>
  <c r="BV112" i="21" s="1"/>
  <c r="AA174" i="21"/>
  <c r="BI174" i="21" s="1"/>
  <c r="BZ174" i="21" s="1"/>
  <c r="FH116" i="21"/>
  <c r="FV116" i="21" s="1"/>
  <c r="W78" i="21"/>
  <c r="BE78" i="21" s="1"/>
  <c r="BV78" i="21" s="1"/>
  <c r="FF87" i="21"/>
  <c r="AG135" i="21"/>
  <c r="BO135" i="21" s="1"/>
  <c r="CF135" i="21" s="1"/>
  <c r="DD138" i="21"/>
  <c r="AN138" i="21" s="1"/>
  <c r="AW138" i="21" s="1"/>
  <c r="X101" i="21"/>
  <c r="BF101" i="21" s="1"/>
  <c r="BW101" i="21" s="1"/>
  <c r="FD159" i="21"/>
  <c r="FK188" i="21"/>
  <c r="DM116" i="21"/>
  <c r="AD116" i="21"/>
  <c r="BL116" i="21" s="1"/>
  <c r="CC116" i="21" s="1"/>
  <c r="FI96" i="21"/>
  <c r="AF98" i="21"/>
  <c r="BN98" i="21" s="1"/>
  <c r="CE98" i="21" s="1"/>
  <c r="DN124" i="21"/>
  <c r="FM179" i="21"/>
  <c r="FJ159" i="21"/>
  <c r="V125" i="21"/>
  <c r="BD125" i="21" s="1"/>
  <c r="BU125" i="21" s="1"/>
  <c r="BV181" i="21"/>
  <c r="GD181" i="21"/>
  <c r="BX174" i="21"/>
  <c r="AQ183" i="21"/>
  <c r="AM128" i="21"/>
  <c r="AN105" i="21"/>
  <c r="AM126" i="21"/>
  <c r="AP97" i="21"/>
  <c r="AO74" i="21"/>
  <c r="AO90" i="21"/>
  <c r="AO97" i="21"/>
  <c r="AQ149" i="21"/>
  <c r="AM127" i="21"/>
  <c r="AQ73" i="21"/>
  <c r="AO88" i="21"/>
  <c r="AP118" i="21"/>
  <c r="AQ122" i="21"/>
  <c r="AQ172" i="21"/>
  <c r="AQ187" i="21"/>
  <c r="AQ128" i="21"/>
  <c r="AN108" i="21"/>
  <c r="AN100" i="21"/>
  <c r="AP102" i="21"/>
  <c r="AQ151" i="21"/>
  <c r="AQ138" i="21"/>
  <c r="AM132" i="21"/>
  <c r="AQ136" i="21"/>
  <c r="AQ181" i="21"/>
  <c r="AQ89" i="21"/>
  <c r="AO104" i="21"/>
  <c r="AN107" i="21"/>
  <c r="AM101" i="21"/>
  <c r="AN101" i="21"/>
  <c r="AP92" i="21"/>
  <c r="AQ179" i="21"/>
  <c r="AN129" i="21"/>
  <c r="AW179" i="21"/>
  <c r="BY176" i="21"/>
  <c r="FV183" i="21"/>
  <c r="CD181" i="21"/>
  <c r="GJ181" i="21"/>
  <c r="FV176" i="21"/>
  <c r="GL175" i="21"/>
  <c r="CF175" i="21"/>
  <c r="GK179" i="21"/>
  <c r="CE179" i="21"/>
  <c r="BZ177" i="21"/>
  <c r="CB181" i="21"/>
  <c r="AQ186" i="21"/>
  <c r="CF187" i="21"/>
  <c r="GL187" i="21"/>
  <c r="CA187" i="21"/>
  <c r="CA181" i="21"/>
  <c r="BY173" i="21"/>
  <c r="CC188" i="21"/>
  <c r="BZ172" i="21"/>
  <c r="CA176" i="21"/>
  <c r="FV186" i="21"/>
  <c r="FV178" i="21"/>
  <c r="BZ182" i="21"/>
  <c r="CB179" i="21"/>
  <c r="GJ179" i="21"/>
  <c r="CD179" i="21"/>
  <c r="AQ164" i="21"/>
  <c r="AO122" i="21"/>
  <c r="AW177" i="21"/>
  <c r="AM84" i="21"/>
  <c r="AO73" i="21"/>
  <c r="AM114" i="21"/>
  <c r="AM97" i="21"/>
  <c r="AN116" i="21"/>
  <c r="AV178" i="21"/>
  <c r="AW183" i="21"/>
  <c r="AV172" i="21"/>
  <c r="FV172" i="21"/>
  <c r="CD176" i="21"/>
  <c r="GJ176" i="21"/>
  <c r="CC183" i="21"/>
  <c r="CC181" i="21"/>
  <c r="GL178" i="21"/>
  <c r="CF178" i="21"/>
  <c r="CF172" i="21"/>
  <c r="GL172" i="21"/>
  <c r="CA178" i="21"/>
  <c r="CC179" i="21"/>
  <c r="CC178" i="21"/>
  <c r="FV181" i="21"/>
  <c r="AV177" i="21"/>
  <c r="AV179" i="21"/>
  <c r="CA179" i="21"/>
  <c r="CE176" i="21"/>
  <c r="GK176" i="21"/>
  <c r="BY186" i="21"/>
  <c r="CB183" i="21"/>
  <c r="CC176" i="21"/>
  <c r="GJ178" i="21"/>
  <c r="CD178" i="21"/>
  <c r="AQ176" i="21"/>
  <c r="FV177" i="21"/>
  <c r="CA183" i="21"/>
  <c r="GL183" i="21"/>
  <c r="CF183" i="21"/>
  <c r="CC172" i="21"/>
  <c r="CC187" i="21"/>
  <c r="CE173" i="21"/>
  <c r="GK173" i="21"/>
  <c r="BZ184" i="21"/>
  <c r="BZ179" i="21"/>
  <c r="AV188" i="21"/>
  <c r="AW176" i="21"/>
  <c r="CB184" i="21"/>
  <c r="CC182" i="21"/>
  <c r="CB172" i="21"/>
  <c r="CE183" i="21"/>
  <c r="GK183" i="21"/>
  <c r="FV187" i="21"/>
  <c r="GL181" i="21"/>
  <c r="CF181" i="21"/>
  <c r="CA177" i="21"/>
  <c r="CA186" i="21"/>
  <c r="BY181" i="21"/>
  <c r="CB176" i="21"/>
  <c r="AO121" i="21"/>
  <c r="AM139" i="21"/>
  <c r="AQ121" i="21"/>
  <c r="AN110" i="21"/>
  <c r="AY182" i="21"/>
  <c r="AX180" i="21"/>
  <c r="AY186" i="21"/>
  <c r="GJ186" i="21"/>
  <c r="CD186" i="21"/>
  <c r="GJ187" i="21"/>
  <c r="CD187" i="21"/>
  <c r="BZ187" i="21"/>
  <c r="GL177" i="21"/>
  <c r="CF177" i="21"/>
  <c r="CE181" i="21"/>
  <c r="GK181" i="21"/>
  <c r="CD183" i="21"/>
  <c r="GJ183" i="21"/>
  <c r="FV175" i="21"/>
  <c r="GK172" i="21"/>
  <c r="CE172" i="21"/>
  <c r="BY187" i="21"/>
  <c r="CC186" i="21"/>
  <c r="CE187" i="21"/>
  <c r="GK187" i="21"/>
  <c r="BY179" i="21"/>
  <c r="CB187" i="21"/>
  <c r="BY172" i="21"/>
  <c r="CD172" i="21"/>
  <c r="GJ172" i="21"/>
  <c r="AQ106" i="21"/>
  <c r="AQ129" i="21"/>
  <c r="AM103" i="21"/>
  <c r="AN124" i="21"/>
  <c r="AQ113" i="21"/>
  <c r="AP108" i="21"/>
  <c r="AM109" i="21"/>
  <c r="AQ171" i="21"/>
  <c r="AV181" i="21"/>
  <c r="AX187" i="21"/>
  <c r="BZ186" i="21"/>
  <c r="CA172" i="21"/>
  <c r="BU172" i="21"/>
  <c r="BZ176" i="21"/>
  <c r="CB175" i="21"/>
  <c r="CA175" i="21"/>
  <c r="GL176" i="21"/>
  <c r="CF176" i="21"/>
  <c r="BZ183" i="21"/>
  <c r="CB186" i="21"/>
  <c r="BY183" i="21"/>
  <c r="CF186" i="21"/>
  <c r="GL186" i="21"/>
  <c r="AO93" i="21"/>
  <c r="AN99" i="21"/>
  <c r="AM108" i="21"/>
  <c r="AN125" i="21"/>
  <c r="AO92" i="21"/>
  <c r="AQ154" i="21"/>
  <c r="AO106" i="21"/>
  <c r="AN122" i="21"/>
  <c r="AO103" i="21"/>
  <c r="AM100" i="21"/>
  <c r="AN136" i="21"/>
  <c r="AP95" i="21"/>
  <c r="AM122" i="21"/>
  <c r="AQ107" i="21"/>
  <c r="AW186" i="21"/>
  <c r="AY183" i="21"/>
  <c r="FV179" i="21"/>
  <c r="CE186" i="21"/>
  <c r="GK186" i="21"/>
  <c r="GJ180" i="21"/>
  <c r="CD177" i="21"/>
  <c r="GJ177" i="21"/>
  <c r="CE178" i="21"/>
  <c r="CF173" i="21"/>
  <c r="CC100" i="21"/>
  <c r="AX164" i="21"/>
  <c r="CD154" i="21"/>
  <c r="GJ154" i="21"/>
  <c r="GL154" i="21"/>
  <c r="CF154" i="21"/>
  <c r="CF100" i="21"/>
  <c r="GL100" i="21"/>
  <c r="GL139" i="21"/>
  <c r="CF139" i="21"/>
  <c r="GK145" i="21"/>
  <c r="CE145" i="21"/>
  <c r="BZ95" i="21"/>
  <c r="AX138" i="21"/>
  <c r="GJ120" i="21"/>
  <c r="CD120" i="21"/>
  <c r="BU118" i="21"/>
  <c r="FV157" i="21"/>
  <c r="AP88" i="21"/>
  <c r="AP79" i="21"/>
  <c r="AQ88" i="21"/>
  <c r="CC145" i="21"/>
  <c r="FV115" i="21"/>
  <c r="CD129" i="21"/>
  <c r="GJ129" i="21"/>
  <c r="AW132" i="21"/>
  <c r="GJ126" i="21"/>
  <c r="CD126" i="21"/>
  <c r="AN92" i="21"/>
  <c r="CC107" i="21"/>
  <c r="CA149" i="21"/>
  <c r="BU103" i="21"/>
  <c r="AY149" i="21"/>
  <c r="FV154" i="21"/>
  <c r="GK138" i="21"/>
  <c r="CE138" i="21"/>
  <c r="BU121" i="21"/>
  <c r="GL115" i="21"/>
  <c r="CF115" i="21"/>
  <c r="BV153" i="21"/>
  <c r="BW147" i="21"/>
  <c r="BV108" i="21"/>
  <c r="BV100" i="21"/>
  <c r="BY147" i="21"/>
  <c r="AW147" i="21"/>
  <c r="CF164" i="21"/>
  <c r="GL164" i="21"/>
  <c r="GL129" i="21"/>
  <c r="CF129" i="21"/>
  <c r="CF167" i="21"/>
  <c r="GL167" i="21"/>
  <c r="FV121" i="21"/>
  <c r="CA161" i="21"/>
  <c r="BZ139" i="21"/>
  <c r="BY128" i="21"/>
  <c r="BW164" i="21"/>
  <c r="AY138" i="21"/>
  <c r="BU154" i="21"/>
  <c r="CF127" i="21"/>
  <c r="GL127" i="21"/>
  <c r="BX107" i="21"/>
  <c r="CD149" i="21"/>
  <c r="GJ149" i="21"/>
  <c r="CD144" i="21"/>
  <c r="BY161" i="21"/>
  <c r="CC168" i="21"/>
  <c r="BZ156" i="21"/>
  <c r="AX156" i="21"/>
  <c r="CA158" i="21"/>
  <c r="BU152" i="21"/>
  <c r="AM118" i="21"/>
  <c r="AY136" i="21"/>
  <c r="BY93" i="21"/>
  <c r="AN103" i="21"/>
  <c r="BV122" i="21"/>
  <c r="AN95" i="21"/>
  <c r="AY122" i="21"/>
  <c r="GJ121" i="21"/>
  <c r="CD121" i="21"/>
  <c r="CB164" i="21"/>
  <c r="GK132" i="21"/>
  <c r="CE132" i="21"/>
  <c r="GD158" i="21"/>
  <c r="BX158" i="21"/>
  <c r="AY153" i="21"/>
  <c r="BZ97" i="21"/>
  <c r="AM136" i="21"/>
  <c r="BZ104" i="21"/>
  <c r="CA148" i="21"/>
  <c r="FV104" i="21"/>
  <c r="BV151" i="21"/>
  <c r="CB104" i="21"/>
  <c r="BX104" i="21"/>
  <c r="BV149" i="21"/>
  <c r="AP100" i="21"/>
  <c r="AN120" i="21"/>
  <c r="AM102" i="21"/>
  <c r="BX103" i="21"/>
  <c r="CB132" i="21"/>
  <c r="CB142" i="21"/>
  <c r="CA108" i="21"/>
  <c r="BU160" i="21"/>
  <c r="BZ110" i="21"/>
  <c r="BW160" i="21"/>
  <c r="CB161" i="21"/>
  <c r="CB97" i="21"/>
  <c r="FV122" i="21"/>
  <c r="CB95" i="21"/>
  <c r="BW102" i="21"/>
  <c r="BX144" i="21"/>
  <c r="GD144" i="21"/>
  <c r="BW108" i="21"/>
  <c r="BV147" i="21"/>
  <c r="CA157" i="21"/>
  <c r="GD163" i="21"/>
  <c r="BX163" i="21"/>
  <c r="CF97" i="21"/>
  <c r="GL97" i="21"/>
  <c r="GD138" i="21"/>
  <c r="BX138" i="21"/>
  <c r="AY129" i="21"/>
  <c r="BV165" i="21"/>
  <c r="BW90" i="21"/>
  <c r="CB126" i="21"/>
  <c r="BZ151" i="21"/>
  <c r="CC122" i="21"/>
  <c r="CC121" i="21"/>
  <c r="AY150" i="21"/>
  <c r="AY139" i="21"/>
  <c r="BV161" i="21"/>
  <c r="GK149" i="21"/>
  <c r="CE149" i="21"/>
  <c r="BW139" i="21"/>
  <c r="BU91" i="21"/>
  <c r="GD145" i="21"/>
  <c r="BX145" i="21"/>
  <c r="BV105" i="21"/>
  <c r="BW120" i="21"/>
  <c r="CB158" i="21"/>
  <c r="BZ152" i="21"/>
  <c r="CD97" i="21"/>
  <c r="GJ97" i="21"/>
  <c r="AY127" i="21"/>
  <c r="CC112" i="21"/>
  <c r="GD156" i="21"/>
  <c r="BX156" i="21"/>
  <c r="BX100" i="21"/>
  <c r="BU167" i="21"/>
  <c r="BV139" i="21"/>
  <c r="GJ131" i="21"/>
  <c r="CD131" i="21"/>
  <c r="BU136" i="21"/>
  <c r="BX127" i="21"/>
  <c r="GD127" i="21"/>
  <c r="AY156" i="21"/>
  <c r="CE102" i="21"/>
  <c r="GK102" i="21"/>
  <c r="GL152" i="21"/>
  <c r="CC111" i="21"/>
  <c r="BY153" i="21"/>
  <c r="GJ150" i="21"/>
  <c r="CD150" i="21"/>
  <c r="CA102" i="21"/>
  <c r="AX154" i="21"/>
  <c r="CA164" i="21"/>
  <c r="BX154" i="21"/>
  <c r="GD154" i="21"/>
  <c r="CF92" i="21"/>
  <c r="GL92" i="21"/>
  <c r="FV159" i="21"/>
  <c r="GL160" i="21"/>
  <c r="CC118" i="21"/>
  <c r="BW97" i="21"/>
  <c r="CB100" i="21"/>
  <c r="FV132" i="21"/>
  <c r="BV120" i="21"/>
  <c r="AV151" i="21"/>
  <c r="BY97" i="21"/>
  <c r="BZ119" i="21"/>
  <c r="BY100" i="21"/>
  <c r="BZ134" i="21"/>
  <c r="CC97" i="21"/>
  <c r="GJ161" i="21"/>
  <c r="CD161" i="21"/>
  <c r="FV108" i="21"/>
  <c r="AV158" i="21"/>
  <c r="CD101" i="21"/>
  <c r="GJ101" i="21"/>
  <c r="BV95" i="21"/>
  <c r="CC147" i="21"/>
  <c r="FV155" i="21"/>
  <c r="BY127" i="21"/>
  <c r="CA167" i="21"/>
  <c r="FV147" i="21"/>
  <c r="BU161" i="21"/>
  <c r="BY149" i="21"/>
  <c r="CB147" i="21"/>
  <c r="CB162" i="21"/>
  <c r="CC154" i="21"/>
  <c r="CC170" i="21"/>
  <c r="AW151" i="21"/>
  <c r="CF122" i="21"/>
  <c r="GL122" i="21"/>
  <c r="CF137" i="21"/>
  <c r="GL137" i="21"/>
  <c r="FV129" i="21"/>
  <c r="BW146" i="21"/>
  <c r="CB111" i="21"/>
  <c r="FV127" i="21"/>
  <c r="BX120" i="21"/>
  <c r="GD120" i="21"/>
  <c r="CF104" i="21"/>
  <c r="CC95" i="21"/>
  <c r="BU102" i="21"/>
  <c r="CD108" i="21"/>
  <c r="GJ108" i="21"/>
  <c r="AX144" i="21"/>
  <c r="BV102" i="21"/>
  <c r="CB120" i="21"/>
  <c r="BV91" i="21"/>
  <c r="BW105" i="21"/>
  <c r="GJ142" i="21"/>
  <c r="CD142" i="21"/>
  <c r="BU124" i="21"/>
  <c r="BV103" i="21"/>
  <c r="FV126" i="21"/>
  <c r="CA155" i="21"/>
  <c r="AQ127" i="21"/>
  <c r="GL158" i="21"/>
  <c r="CF158" i="21"/>
  <c r="BX126" i="21"/>
  <c r="GD126" i="21"/>
  <c r="BZ147" i="21"/>
  <c r="CA107" i="21"/>
  <c r="AV167" i="21"/>
  <c r="AW139" i="21"/>
  <c r="AM94" i="21"/>
  <c r="CB138" i="21"/>
  <c r="BZ149" i="21"/>
  <c r="CE107" i="21"/>
  <c r="GK107" i="21"/>
  <c r="BW126" i="21"/>
  <c r="BW113" i="21"/>
  <c r="BU129" i="21"/>
  <c r="BU92" i="21"/>
  <c r="CD95" i="21"/>
  <c r="GJ95" i="21"/>
  <c r="CE103" i="21"/>
  <c r="GK103" i="21"/>
  <c r="GJ119" i="21"/>
  <c r="CD119" i="21"/>
  <c r="BZ160" i="21"/>
  <c r="GK151" i="21"/>
  <c r="CE151" i="21"/>
  <c r="FV161" i="21"/>
  <c r="FV99" i="21"/>
  <c r="BZ94" i="21"/>
  <c r="BW94" i="21"/>
  <c r="BZ162" i="21"/>
  <c r="BY103" i="21"/>
  <c r="BY106" i="21"/>
  <c r="CB136" i="21"/>
  <c r="AV156" i="21"/>
  <c r="BZ154" i="21"/>
  <c r="CB92" i="21"/>
  <c r="CD138" i="21"/>
  <c r="GJ138" i="21"/>
  <c r="CA139" i="21"/>
  <c r="GJ123" i="21"/>
  <c r="CD123" i="21"/>
  <c r="AY121" i="21"/>
  <c r="FV103" i="21"/>
  <c r="BV121" i="21"/>
  <c r="AY144" i="21"/>
  <c r="CD165" i="21"/>
  <c r="GJ165" i="21"/>
  <c r="BZ126" i="21"/>
  <c r="CB102" i="21"/>
  <c r="CA92" i="21"/>
  <c r="CB167" i="21"/>
  <c r="AX160" i="21"/>
  <c r="FV106" i="21"/>
  <c r="BU104" i="21"/>
  <c r="GK137" i="21"/>
  <c r="CE137" i="21"/>
  <c r="AV154" i="21"/>
  <c r="BU149" i="21"/>
  <c r="AV149" i="21"/>
  <c r="BU108" i="21"/>
  <c r="CA154" i="21"/>
  <c r="BX109" i="21"/>
  <c r="CC156" i="21"/>
  <c r="BW138" i="21"/>
  <c r="BU144" i="21"/>
  <c r="CE155" i="21"/>
  <c r="GK155" i="21"/>
  <c r="GJ136" i="21"/>
  <c r="CD136" i="21"/>
  <c r="BY95" i="21"/>
  <c r="CC103" i="21"/>
  <c r="AO84" i="21"/>
  <c r="AM69" i="21"/>
  <c r="AQ84" i="21"/>
  <c r="AM79" i="21"/>
  <c r="AP73" i="21"/>
  <c r="AO89" i="21"/>
  <c r="BV127" i="21"/>
  <c r="CA151" i="21"/>
  <c r="BZ122" i="21"/>
  <c r="AY120" i="21"/>
  <c r="AY151" i="21"/>
  <c r="CB148" i="21"/>
  <c r="BZ168" i="21"/>
  <c r="BW151" i="21"/>
  <c r="BV92" i="21"/>
  <c r="GD129" i="21"/>
  <c r="BX129" i="21"/>
  <c r="BZ125" i="21"/>
  <c r="BX121" i="21"/>
  <c r="GD121" i="21"/>
  <c r="CA160" i="21"/>
  <c r="AY154" i="21"/>
  <c r="CF114" i="21"/>
  <c r="BZ132" i="21"/>
  <c r="CC114" i="21"/>
  <c r="CB110" i="21"/>
  <c r="CA136" i="21"/>
  <c r="GK121" i="21"/>
  <c r="CE121" i="21"/>
  <c r="AV152" i="21"/>
  <c r="GL162" i="21"/>
  <c r="CF162" i="21"/>
  <c r="BU132" i="21"/>
  <c r="AN73" i="21"/>
  <c r="AM82" i="21"/>
  <c r="BU120" i="21"/>
  <c r="AQ161" i="21"/>
  <c r="BZ114" i="21"/>
  <c r="CA125" i="21"/>
  <c r="BZ138" i="21"/>
  <c r="AN126" i="21"/>
  <c r="BX106" i="21"/>
  <c r="FV100" i="21"/>
  <c r="FV125" i="21"/>
  <c r="BV142" i="21"/>
  <c r="CF107" i="21"/>
  <c r="BZ118" i="21"/>
  <c r="BX102" i="21"/>
  <c r="BZ106" i="21"/>
  <c r="BX101" i="21"/>
  <c r="BU147" i="21"/>
  <c r="BW95" i="21"/>
  <c r="CE94" i="21"/>
  <c r="GK94" i="21"/>
  <c r="BY150" i="21"/>
  <c r="CB170" i="21"/>
  <c r="BY126" i="21"/>
  <c r="CD104" i="21"/>
  <c r="GJ104" i="21"/>
  <c r="CC127" i="21"/>
  <c r="GK135" i="21"/>
  <c r="CE135" i="21"/>
  <c r="BU128" i="21"/>
  <c r="CB121" i="21"/>
  <c r="AY155" i="21"/>
  <c r="BX155" i="21"/>
  <c r="GD155" i="21"/>
  <c r="AV164" i="21"/>
  <c r="BU127" i="21"/>
  <c r="BV162" i="21"/>
  <c r="AX153" i="21"/>
  <c r="BY145" i="21"/>
  <c r="CA101" i="21"/>
  <c r="AM120" i="21"/>
  <c r="CB118" i="21"/>
  <c r="CE156" i="21"/>
  <c r="GK156" i="21"/>
  <c r="GJ103" i="21"/>
  <c r="CD103" i="21"/>
  <c r="BV136" i="21"/>
  <c r="AW162" i="21"/>
  <c r="BZ136" i="21"/>
  <c r="GJ167" i="21"/>
  <c r="CD167" i="21"/>
  <c r="AW160" i="21"/>
  <c r="BW100" i="21"/>
  <c r="CD92" i="21"/>
  <c r="GJ92" i="21"/>
  <c r="BU164" i="21"/>
  <c r="AY161" i="21"/>
  <c r="BU109" i="21"/>
  <c r="FV102" i="21"/>
  <c r="FV164" i="21"/>
  <c r="BV125" i="21"/>
  <c r="FV169" i="21"/>
  <c r="GK141" i="21"/>
  <c r="CE141" i="21"/>
  <c r="CC101" i="21"/>
  <c r="CC93" i="21"/>
  <c r="GK111" i="21"/>
  <c r="CE111" i="21"/>
  <c r="BW93" i="21"/>
  <c r="BU139" i="21"/>
  <c r="CB168" i="21"/>
  <c r="AO126" i="21"/>
  <c r="AN127" i="21"/>
  <c r="BZ102" i="21"/>
  <c r="GD151" i="21"/>
  <c r="BX151" i="21"/>
  <c r="CA118" i="21"/>
  <c r="AM104" i="21"/>
  <c r="BU111" i="21"/>
  <c r="GK136" i="21"/>
  <c r="CE136" i="21"/>
  <c r="AX129" i="21"/>
  <c r="AQ108" i="21"/>
  <c r="CA169" i="21"/>
  <c r="CF161" i="21"/>
  <c r="GL161" i="21"/>
  <c r="CB163" i="21"/>
  <c r="BX91" i="21"/>
  <c r="CE92" i="21"/>
  <c r="GK92" i="21"/>
  <c r="CC152" i="21"/>
  <c r="BZ128" i="21"/>
  <c r="CA95" i="21"/>
  <c r="GK112" i="21"/>
  <c r="CE112" i="21"/>
  <c r="BX92" i="21"/>
  <c r="BZ145" i="21"/>
  <c r="CF91" i="21"/>
  <c r="GL91" i="21"/>
  <c r="CE91" i="21"/>
  <c r="GD146" i="21"/>
  <c r="FV170" i="21"/>
  <c r="CB156" i="21"/>
  <c r="GJ139" i="21"/>
  <c r="CD139" i="21"/>
  <c r="AP94" i="21"/>
  <c r="CA99" i="21"/>
  <c r="AN121" i="21"/>
  <c r="GK150" i="21"/>
  <c r="CE150" i="21"/>
  <c r="BV124" i="21"/>
  <c r="CC104" i="21"/>
  <c r="FV167" i="21"/>
  <c r="BZ92" i="21"/>
  <c r="BZ107" i="21"/>
  <c r="GJ94" i="21"/>
  <c r="BU168" i="21"/>
  <c r="BW145" i="21"/>
  <c r="AY126" i="21"/>
  <c r="BV144" i="21"/>
  <c r="CE108" i="21"/>
  <c r="GK108" i="21"/>
  <c r="AO145" i="21"/>
  <c r="BX117" i="21"/>
  <c r="GD117" i="21"/>
  <c r="CA165" i="21"/>
  <c r="AQ92" i="21"/>
  <c r="AQ97" i="21"/>
  <c r="AV161" i="21"/>
  <c r="AW164" i="21"/>
  <c r="BX118" i="21"/>
  <c r="BZ103" i="21"/>
  <c r="BU114" i="21"/>
  <c r="GK157" i="21"/>
  <c r="CE157" i="21"/>
  <c r="CA97" i="21"/>
  <c r="BU150" i="21"/>
  <c r="AW159" i="21"/>
  <c r="AP106" i="21"/>
  <c r="AQ126" i="21"/>
  <c r="CE95" i="21"/>
  <c r="GK95" i="21"/>
  <c r="AP109" i="21"/>
  <c r="GD142" i="21"/>
  <c r="BX142" i="21"/>
  <c r="AX136" i="21"/>
  <c r="CF102" i="21"/>
  <c r="GL102" i="21"/>
  <c r="CC167" i="21"/>
  <c r="BU97" i="21"/>
  <c r="BZ100" i="21"/>
  <c r="CA129" i="21"/>
  <c r="BY165" i="21"/>
  <c r="BZ144" i="21"/>
  <c r="CF103" i="21"/>
  <c r="CA127" i="21"/>
  <c r="AN117" i="21"/>
  <c r="CC92" i="21"/>
  <c r="BZ170" i="21"/>
  <c r="GJ147" i="21"/>
  <c r="CD147" i="21"/>
  <c r="BW119" i="21"/>
  <c r="BY129" i="21"/>
  <c r="AO102" i="21"/>
  <c r="GJ122" i="21"/>
  <c r="CD122" i="21"/>
  <c r="BU95" i="21"/>
  <c r="CC102" i="21"/>
  <c r="AX137" i="21"/>
  <c r="FV136" i="21"/>
  <c r="CC136" i="21"/>
  <c r="AX163" i="21"/>
  <c r="BV126" i="21"/>
  <c r="CC157" i="21"/>
  <c r="CA103" i="21"/>
  <c r="CB137" i="21"/>
  <c r="GL151" i="21"/>
  <c r="CF151" i="21"/>
  <c r="GK119" i="21"/>
  <c r="CE119" i="21"/>
  <c r="CB122" i="21"/>
  <c r="BX147" i="21"/>
  <c r="GD147" i="21"/>
  <c r="CA159" i="21"/>
  <c r="GD149" i="21"/>
  <c r="BX149" i="21"/>
  <c r="FV158" i="21"/>
  <c r="BX94" i="21"/>
  <c r="CB103" i="21"/>
  <c r="AM121" i="21"/>
  <c r="FV118" i="21"/>
  <c r="AQ147" i="21"/>
  <c r="GL106" i="21"/>
  <c r="CF106" i="21"/>
  <c r="BU126" i="21"/>
  <c r="BX97" i="21"/>
  <c r="GJ117" i="21"/>
  <c r="CD117" i="21"/>
  <c r="AM95" i="21"/>
  <c r="BW154" i="21"/>
  <c r="AW156" i="21"/>
  <c r="CE99" i="21"/>
  <c r="GK99" i="21"/>
  <c r="CE104" i="21"/>
  <c r="GK104" i="21"/>
  <c r="CE100" i="21"/>
  <c r="GK100" i="21"/>
  <c r="BW104" i="21"/>
  <c r="CF147" i="21"/>
  <c r="GL147" i="21"/>
  <c r="BW103" i="21"/>
  <c r="BY113" i="21"/>
  <c r="BU100" i="21"/>
  <c r="AO105" i="21"/>
  <c r="BU170" i="21"/>
  <c r="GJ164" i="21"/>
  <c r="CD164" i="21"/>
  <c r="BU156" i="21"/>
  <c r="GK117" i="21"/>
  <c r="CE117" i="21"/>
  <c r="BV163" i="21"/>
  <c r="BV107" i="21"/>
  <c r="CC151" i="21"/>
  <c r="AP103" i="21"/>
  <c r="AV168" i="21"/>
  <c r="FV138" i="21"/>
  <c r="AM124" i="21"/>
  <c r="GD132" i="21"/>
  <c r="BX132" i="21"/>
  <c r="AW144" i="21"/>
  <c r="AY160" i="21"/>
  <c r="CD170" i="21"/>
  <c r="GJ170" i="21"/>
  <c r="BW107" i="21"/>
  <c r="AP104" i="21"/>
  <c r="BY122" i="21"/>
  <c r="CD107" i="21"/>
  <c r="GJ107" i="21"/>
  <c r="BX93" i="21"/>
  <c r="GK152" i="21"/>
  <c r="CE152" i="21"/>
  <c r="BZ163" i="21"/>
  <c r="AY163" i="21"/>
  <c r="AO100" i="21"/>
  <c r="BV97" i="21"/>
  <c r="CE126" i="21"/>
  <c r="GK126" i="21"/>
  <c r="CB108" i="21"/>
  <c r="GK161" i="21"/>
  <c r="CE161" i="21"/>
  <c r="BV101" i="21"/>
  <c r="AP93" i="21"/>
  <c r="GL170" i="21"/>
  <c r="AM119" i="21"/>
  <c r="BU101" i="21"/>
  <c r="AN97" i="21"/>
  <c r="GK164" i="21"/>
  <c r="CE164" i="21"/>
  <c r="CB114" i="21"/>
  <c r="AY142" i="21"/>
  <c r="CC129" i="21"/>
  <c r="GK143" i="21"/>
  <c r="CE143" i="21"/>
  <c r="GK171" i="21"/>
  <c r="CE171" i="21"/>
  <c r="CC158" i="21"/>
  <c r="BY108" i="21"/>
  <c r="BZ161" i="21"/>
  <c r="BU107" i="21"/>
  <c r="AM107" i="21"/>
  <c r="AX147" i="21"/>
  <c r="AY147" i="21"/>
  <c r="FV151" i="21"/>
  <c r="BW121" i="21"/>
  <c r="CB139" i="21"/>
  <c r="CD152" i="21"/>
  <c r="GJ152" i="21"/>
  <c r="CD91" i="21"/>
  <c r="GJ91" i="21"/>
  <c r="CA121" i="21"/>
  <c r="AP107" i="21"/>
  <c r="BW129" i="21"/>
  <c r="BW165" i="21"/>
  <c r="CA115" i="21"/>
  <c r="GL138" i="21"/>
  <c r="CF138" i="21"/>
  <c r="FV137" i="21"/>
  <c r="AQ104" i="21"/>
  <c r="CC149" i="21"/>
  <c r="BZ105" i="21"/>
  <c r="GK165" i="21"/>
  <c r="CE165" i="21"/>
  <c r="FV92" i="21"/>
  <c r="CC164" i="21"/>
  <c r="CB107" i="21"/>
  <c r="GJ145" i="21"/>
  <c r="CD145" i="21"/>
  <c r="FV145" i="21"/>
  <c r="CB129" i="21"/>
  <c r="AP91" i="21"/>
  <c r="GK154" i="21"/>
  <c r="CE154" i="21"/>
  <c r="AQ95" i="21"/>
  <c r="CC126" i="21"/>
  <c r="CE106" i="21"/>
  <c r="GK106" i="21"/>
  <c r="AM92" i="21"/>
  <c r="CC108" i="21"/>
  <c r="BY92" i="21"/>
  <c r="FV148" i="21"/>
  <c r="FV107" i="21"/>
  <c r="CC96" i="21"/>
  <c r="AN102" i="21"/>
  <c r="GD150" i="21"/>
  <c r="BX150" i="21"/>
  <c r="BY169" i="21"/>
  <c r="BX136" i="21"/>
  <c r="GD136" i="21"/>
  <c r="CA126" i="21"/>
  <c r="BW122" i="21"/>
  <c r="GL128" i="21"/>
  <c r="CF128" i="21"/>
  <c r="BW106" i="21"/>
  <c r="BU158" i="21"/>
  <c r="GD139" i="21"/>
  <c r="BX139" i="21"/>
  <c r="CA138" i="21"/>
  <c r="FV165" i="21"/>
  <c r="BU151" i="21"/>
  <c r="BY164" i="21"/>
  <c r="CD151" i="21"/>
  <c r="GJ151" i="21"/>
  <c r="CE127" i="21"/>
  <c r="GK127" i="21"/>
  <c r="BX137" i="21"/>
  <c r="GD137" i="21"/>
  <c r="CA104" i="21"/>
  <c r="BZ164" i="21"/>
  <c r="AQ100" i="21"/>
  <c r="AO139" i="21"/>
  <c r="CB166" i="21"/>
  <c r="AW149" i="21"/>
  <c r="BY159" i="21"/>
  <c r="AX151" i="21"/>
  <c r="CA109" i="21"/>
  <c r="BX161" i="21"/>
  <c r="GD161" i="21"/>
  <c r="BY171" i="21"/>
  <c r="BW167" i="21"/>
  <c r="CE148" i="21"/>
  <c r="BY121" i="21"/>
  <c r="BU119" i="21"/>
  <c r="AO108" i="21"/>
  <c r="AV144" i="21"/>
  <c r="BU106" i="21"/>
  <c r="GK144" i="21"/>
  <c r="CE144" i="21"/>
  <c r="AM106" i="21"/>
  <c r="CC137" i="21"/>
  <c r="FV144" i="21"/>
  <c r="AX161" i="21"/>
  <c r="CF126" i="21"/>
  <c r="GL126" i="21"/>
  <c r="BV117" i="21"/>
  <c r="BZ129" i="21"/>
  <c r="BX95" i="21"/>
  <c r="BV116" i="21"/>
  <c r="BY107" i="21"/>
  <c r="FV91" i="21"/>
  <c r="BW161" i="21"/>
  <c r="BZ127" i="21"/>
  <c r="BW117" i="21"/>
  <c r="AV160" i="21"/>
  <c r="BV110" i="21"/>
  <c r="CF95" i="21"/>
  <c r="AV163" i="21"/>
  <c r="BX108" i="21"/>
  <c r="BX133" i="21"/>
  <c r="GD133" i="21"/>
  <c r="GL145" i="21"/>
  <c r="CF145" i="21"/>
  <c r="AQ150" i="21"/>
  <c r="BY102" i="21"/>
  <c r="BY104" i="21"/>
  <c r="BY91" i="21"/>
  <c r="BV118" i="21"/>
  <c r="AV147" i="21"/>
  <c r="CB151" i="21"/>
  <c r="FV94" i="21"/>
  <c r="BY151" i="21"/>
  <c r="AQ142" i="21"/>
  <c r="BZ108" i="21"/>
  <c r="CF118" i="21"/>
  <c r="GL118" i="21"/>
  <c r="BY138" i="21"/>
  <c r="CB165" i="21"/>
  <c r="BV132" i="21"/>
  <c r="FV139" i="21"/>
  <c r="CA106" i="21"/>
  <c r="CA122" i="21"/>
  <c r="AQ103" i="21"/>
  <c r="FV149" i="21"/>
  <c r="FV95" i="21"/>
  <c r="BY156" i="21"/>
  <c r="BV99" i="21"/>
  <c r="GK147" i="21"/>
  <c r="CE147" i="21"/>
  <c r="BU163" i="21"/>
  <c r="GK129" i="21"/>
  <c r="CE129" i="21"/>
  <c r="CA132" i="21"/>
  <c r="CE162" i="21"/>
  <c r="GK162" i="21"/>
  <c r="BZ150" i="21"/>
  <c r="CA145" i="21"/>
  <c r="CE170" i="21"/>
  <c r="GK170" i="21"/>
  <c r="BU137" i="21"/>
  <c r="BW156" i="21"/>
  <c r="CF108" i="21"/>
  <c r="CC171" i="21"/>
  <c r="BU145" i="21"/>
  <c r="CB160" i="21"/>
  <c r="CE97" i="21"/>
  <c r="GK97" i="21"/>
  <c r="GJ112" i="21"/>
  <c r="CD112" i="21"/>
  <c r="AN91" i="21"/>
  <c r="BZ121" i="21"/>
  <c r="CB153" i="21"/>
  <c r="AM129" i="21"/>
  <c r="BV106" i="21"/>
  <c r="AQ102" i="21"/>
  <c r="CB154" i="21"/>
  <c r="AO120" i="21"/>
  <c r="AO111" i="21"/>
  <c r="BV154" i="21"/>
  <c r="AW161" i="21"/>
  <c r="CC165" i="21"/>
  <c r="CB149" i="21"/>
  <c r="BW118" i="21"/>
  <c r="CD100" i="21"/>
  <c r="GJ100" i="21"/>
  <c r="CD102" i="21"/>
  <c r="GJ102" i="21"/>
  <c r="FV152" i="21"/>
  <c r="AW154" i="21"/>
  <c r="CB127" i="21"/>
  <c r="BW92" i="21"/>
  <c r="CF132" i="21"/>
  <c r="GL132" i="21"/>
  <c r="CC161" i="21"/>
  <c r="AY132" i="21"/>
  <c r="BV164" i="21"/>
  <c r="CC153" i="21"/>
  <c r="AY158" i="21"/>
  <c r="CA147" i="21"/>
  <c r="GL131" i="21"/>
  <c r="CF131" i="21"/>
  <c r="BY152" i="21"/>
  <c r="BX122" i="21"/>
  <c r="GD122" i="21"/>
  <c r="AQ160" i="21"/>
  <c r="BY154" i="21"/>
  <c r="BW91" i="21"/>
  <c r="BV129" i="21"/>
  <c r="BW153" i="21"/>
  <c r="CA100" i="21"/>
  <c r="BV104" i="21"/>
  <c r="AN118" i="21"/>
  <c r="CF121" i="21"/>
  <c r="GL121" i="21"/>
  <c r="BZ137" i="21"/>
  <c r="BV160" i="21"/>
  <c r="AN104" i="21"/>
  <c r="GK160" i="21"/>
  <c r="GK128" i="21"/>
  <c r="CE128" i="21"/>
  <c r="BW136" i="21"/>
  <c r="BZ101" i="21"/>
  <c r="FV101" i="21"/>
  <c r="BY136" i="21"/>
  <c r="CF136" i="21"/>
  <c r="BU122" i="21"/>
  <c r="BV156" i="21"/>
  <c r="FV97" i="21"/>
  <c r="AO119" i="21"/>
  <c r="CF93" i="21"/>
  <c r="FH72" i="21"/>
  <c r="FH85" i="21"/>
  <c r="FM74" i="21"/>
  <c r="FH89" i="21"/>
  <c r="FJ71" i="21"/>
  <c r="FM88" i="21"/>
  <c r="FJ86" i="21"/>
  <c r="FH70" i="21"/>
  <c r="FM69" i="21"/>
  <c r="FJ74" i="21"/>
  <c r="FH77" i="21"/>
  <c r="FJ70" i="21"/>
  <c r="FH82" i="21"/>
  <c r="FH69" i="21"/>
  <c r="FM84" i="21"/>
  <c r="FH68" i="21"/>
  <c r="FJ83" i="21"/>
  <c r="FJ85" i="21"/>
  <c r="FJ84" i="21"/>
  <c r="FJ77" i="21"/>
  <c r="FH87" i="21"/>
  <c r="FH84" i="21"/>
  <c r="FM68" i="21"/>
  <c r="FH75" i="21"/>
  <c r="FM79" i="21"/>
  <c r="FM73" i="21"/>
  <c r="FJ80" i="21"/>
  <c r="FM85" i="21"/>
  <c r="FJ79" i="21"/>
  <c r="FJ72" i="21"/>
  <c r="FJ82" i="21"/>
  <c r="FH80" i="21"/>
  <c r="FJ73" i="21"/>
  <c r="FM86" i="21"/>
  <c r="FM72" i="21"/>
  <c r="FM77" i="21"/>
  <c r="FJ78" i="21"/>
  <c r="FJ88" i="21"/>
  <c r="FH74" i="21"/>
  <c r="FJ76" i="21"/>
  <c r="FJ87" i="21"/>
  <c r="FH88" i="21"/>
  <c r="FM75" i="21"/>
  <c r="FM70" i="21"/>
  <c r="GJ88" i="21"/>
  <c r="CD88" i="21"/>
  <c r="BY70" i="21"/>
  <c r="BJ68" i="21"/>
  <c r="BW75" i="21"/>
  <c r="CB84" i="21"/>
  <c r="CD76" i="21"/>
  <c r="GJ76" i="21"/>
  <c r="BY75" i="21"/>
  <c r="AP74" i="21"/>
  <c r="GK81" i="21"/>
  <c r="CE81" i="21"/>
  <c r="BZ75" i="21"/>
  <c r="BU71" i="21"/>
  <c r="BU81" i="21"/>
  <c r="BV83" i="21"/>
  <c r="BU70" i="21"/>
  <c r="BW83" i="21"/>
  <c r="AP83" i="21"/>
  <c r="CE73" i="21"/>
  <c r="CF88" i="21"/>
  <c r="BU88" i="21"/>
  <c r="BW72" i="21"/>
  <c r="BV71" i="21"/>
  <c r="AO75" i="21"/>
  <c r="BW81" i="21"/>
  <c r="CC73" i="21"/>
  <c r="BX76" i="21"/>
  <c r="AO81" i="21"/>
  <c r="AM75" i="21"/>
  <c r="CB73" i="21"/>
  <c r="AM73" i="21"/>
  <c r="AQ75" i="21"/>
  <c r="CC71" i="21"/>
  <c r="CC88" i="21"/>
  <c r="AP87" i="21"/>
  <c r="BY72" i="21"/>
  <c r="BY89" i="21"/>
  <c r="CB79" i="21"/>
  <c r="FV76" i="21"/>
  <c r="BW86" i="21"/>
  <c r="BU69" i="21"/>
  <c r="BZ68" i="21"/>
  <c r="BV75" i="21"/>
  <c r="CF72" i="21"/>
  <c r="CA71" i="21"/>
  <c r="CE72" i="21"/>
  <c r="BU85" i="21"/>
  <c r="CE76" i="21"/>
  <c r="BV72" i="21"/>
  <c r="AO69" i="21"/>
  <c r="CE75" i="21"/>
  <c r="CB71" i="21"/>
  <c r="CB76" i="21"/>
  <c r="CA88" i="21"/>
  <c r="FV81" i="21"/>
  <c r="BY69" i="21"/>
  <c r="CC83" i="21"/>
  <c r="BW79" i="21"/>
  <c r="BX77" i="21"/>
  <c r="BX84" i="21"/>
  <c r="BU87" i="21"/>
  <c r="BV89" i="21"/>
  <c r="BW69" i="21"/>
  <c r="BV88" i="21"/>
  <c r="GJ81" i="21"/>
  <c r="CD81" i="21"/>
  <c r="CD78" i="21"/>
  <c r="GJ78" i="21"/>
  <c r="FV73" i="21"/>
  <c r="BW77" i="21"/>
  <c r="CB85" i="21"/>
  <c r="CD84" i="21"/>
  <c r="GJ84" i="21"/>
  <c r="AN89" i="21"/>
  <c r="CA75" i="21"/>
  <c r="CD75" i="21"/>
  <c r="GJ75" i="21"/>
  <c r="CF79" i="21"/>
  <c r="AN83" i="21"/>
  <c r="CF78" i="21"/>
  <c r="BX81" i="21"/>
  <c r="BV80" i="21"/>
  <c r="CD79" i="21"/>
  <c r="GJ79" i="21"/>
  <c r="CF87" i="21"/>
  <c r="CE70" i="21"/>
  <c r="AP69" i="21"/>
  <c r="GJ71" i="21"/>
  <c r="CD71" i="21"/>
  <c r="CB81" i="21"/>
  <c r="BU68" i="21"/>
  <c r="CF73" i="21"/>
  <c r="AP81" i="21"/>
  <c r="BX70" i="21"/>
  <c r="CE77" i="21"/>
  <c r="CD89" i="21"/>
  <c r="GJ89" i="21"/>
  <c r="AN80" i="21"/>
  <c r="AN71" i="21"/>
  <c r="AN88" i="21"/>
  <c r="CB75" i="21"/>
  <c r="AM70" i="21"/>
  <c r="CC69" i="21"/>
  <c r="BZ76" i="21"/>
  <c r="CA77" i="21"/>
  <c r="BV77" i="21"/>
  <c r="CB88" i="21"/>
  <c r="BZ88" i="21"/>
  <c r="BZ69" i="21"/>
  <c r="CA73" i="21"/>
  <c r="BU82" i="21"/>
  <c r="CF76" i="21"/>
  <c r="CB69" i="21"/>
  <c r="BX69" i="21"/>
  <c r="CF84" i="21"/>
  <c r="GL84" i="21"/>
  <c r="CA72" i="21"/>
  <c r="CD69" i="21"/>
  <c r="CC68" i="21"/>
  <c r="BU73" i="21"/>
  <c r="CF85" i="21"/>
  <c r="CC77" i="21"/>
  <c r="BV84" i="21"/>
  <c r="BX83" i="21"/>
  <c r="CC80" i="21"/>
  <c r="BZ79" i="21"/>
  <c r="CE71" i="21"/>
  <c r="CA70" i="21"/>
  <c r="CD87" i="21"/>
  <c r="GJ87" i="21"/>
  <c r="AM88" i="21"/>
  <c r="BX87" i="21"/>
  <c r="BY85" i="21"/>
  <c r="BW74" i="21"/>
  <c r="BX79" i="21"/>
  <c r="AP77" i="21"/>
  <c r="BZ80" i="21"/>
  <c r="CC85" i="21"/>
  <c r="BW84" i="21"/>
  <c r="CA85" i="21"/>
  <c r="BY88" i="21"/>
  <c r="BZ70" i="21"/>
  <c r="CA84" i="21"/>
  <c r="BY84" i="21"/>
  <c r="CA76" i="21"/>
  <c r="CF70" i="21"/>
  <c r="BW73" i="21"/>
  <c r="CB72" i="21"/>
  <c r="BX73" i="21"/>
  <c r="AM85" i="21"/>
  <c r="CF89" i="21"/>
  <c r="BU77" i="21"/>
  <c r="AO86" i="21"/>
  <c r="BV85" i="21"/>
  <c r="BZ89" i="21"/>
  <c r="CF71" i="21"/>
  <c r="CC70" i="21"/>
  <c r="BX74" i="21"/>
  <c r="CC79" i="21"/>
  <c r="CE79" i="21"/>
  <c r="FT68" i="21"/>
  <c r="CB86" i="21"/>
  <c r="AP84" i="21"/>
  <c r="BV69" i="21"/>
  <c r="CA81" i="21"/>
  <c r="BW89" i="21"/>
  <c r="BW80" i="21"/>
  <c r="CC84" i="21"/>
  <c r="GK86" i="21"/>
  <c r="CE86" i="21"/>
  <c r="CC74" i="21"/>
  <c r="BU75" i="21"/>
  <c r="GJ85" i="21"/>
  <c r="CD85" i="21"/>
  <c r="CE84" i="21"/>
  <c r="GK84" i="21"/>
  <c r="BZ71" i="21"/>
  <c r="CF75" i="21"/>
  <c r="BX88" i="21"/>
  <c r="AP75" i="21"/>
  <c r="BV81" i="21"/>
  <c r="BZ73" i="21"/>
  <c r="CB80" i="21"/>
  <c r="GK89" i="21"/>
  <c r="CE89" i="21"/>
  <c r="CA69" i="21"/>
  <c r="CE88" i="21"/>
  <c r="BW88" i="21"/>
  <c r="BW76" i="21"/>
  <c r="BZ74" i="21"/>
  <c r="AN84" i="21"/>
  <c r="CD73" i="21"/>
  <c r="GJ73" i="21"/>
  <c r="BU84" i="21"/>
  <c r="BZ81" i="21"/>
  <c r="BY71" i="21"/>
  <c r="BY73" i="21"/>
  <c r="AM87" i="21"/>
  <c r="BZ85" i="21"/>
  <c r="CF68" i="21"/>
  <c r="BU76" i="21"/>
  <c r="CF83" i="21"/>
  <c r="BW85" i="21"/>
  <c r="AM68" i="21"/>
  <c r="CF80" i="21"/>
  <c r="BU72" i="21"/>
  <c r="AQ85" i="21"/>
  <c r="CE85" i="21"/>
  <c r="BU79" i="21"/>
  <c r="GK83" i="21"/>
  <c r="CE83" i="21"/>
  <c r="BX71" i="21"/>
  <c r="BZ84" i="21"/>
  <c r="AN69" i="21"/>
  <c r="AO79" i="21"/>
  <c r="BV73" i="21"/>
  <c r="BY77" i="21"/>
  <c r="AM93" i="21" l="1"/>
  <c r="GJ72" i="21"/>
  <c r="CF156" i="21"/>
  <c r="AO72" i="21"/>
  <c r="AM117" i="21"/>
  <c r="AQ165" i="21"/>
  <c r="AQ159" i="21"/>
  <c r="CE177" i="21"/>
  <c r="AQ77" i="21"/>
  <c r="GJ132" i="21"/>
  <c r="GD160" i="21"/>
  <c r="CE182" i="21"/>
  <c r="AQ76" i="21"/>
  <c r="AQ152" i="21"/>
  <c r="AM71" i="21"/>
  <c r="AQ158" i="21"/>
  <c r="CD148" i="21"/>
  <c r="CE133" i="21"/>
  <c r="AQ109" i="21"/>
  <c r="AO71" i="21"/>
  <c r="AQ70" i="21"/>
  <c r="AN77" i="21"/>
  <c r="AQ178" i="21"/>
  <c r="AP71" i="21"/>
  <c r="CD137" i="21"/>
  <c r="CE180" i="21"/>
  <c r="AQ91" i="21"/>
  <c r="AQ119" i="21"/>
  <c r="GK74" i="21"/>
  <c r="CF182" i="21"/>
  <c r="CD70" i="21"/>
  <c r="GJ156" i="21"/>
  <c r="AP70" i="21"/>
  <c r="AO77" i="21"/>
  <c r="BY76" i="21"/>
  <c r="BW71" i="21"/>
  <c r="GD153" i="21"/>
  <c r="CF117" i="21"/>
  <c r="GL163" i="21"/>
  <c r="BY79" i="21"/>
  <c r="BX141" i="21"/>
  <c r="GJ153" i="21"/>
  <c r="GL180" i="21"/>
  <c r="CF119" i="21"/>
  <c r="CD80" i="21"/>
  <c r="CD162" i="21"/>
  <c r="GK167" i="21"/>
  <c r="GL90" i="21"/>
  <c r="CD182" i="21"/>
  <c r="CD114" i="21"/>
  <c r="AO117" i="21"/>
  <c r="AO113" i="21"/>
  <c r="AM76" i="21"/>
  <c r="GL148" i="21"/>
  <c r="AM112" i="21"/>
  <c r="AN85" i="21"/>
  <c r="AQ111" i="21"/>
  <c r="AQ120" i="21"/>
  <c r="AN70" i="21"/>
  <c r="GL169" i="21"/>
  <c r="CD160" i="21"/>
  <c r="GD152" i="21"/>
  <c r="GL185" i="21"/>
  <c r="AQ145" i="21"/>
  <c r="AQ112" i="21"/>
  <c r="CD159" i="21"/>
  <c r="CF144" i="21"/>
  <c r="CE125" i="21"/>
  <c r="AQ83" i="21"/>
  <c r="AM91" i="21"/>
  <c r="AN75" i="21"/>
  <c r="CF112" i="21"/>
  <c r="GL153" i="21"/>
  <c r="AO70" i="21"/>
  <c r="AM89" i="21"/>
  <c r="CD77" i="21"/>
  <c r="AP85" i="21"/>
  <c r="GK159" i="21"/>
  <c r="AM111" i="21"/>
  <c r="CD83" i="21"/>
  <c r="CF125" i="21"/>
  <c r="AN79" i="21"/>
  <c r="AP72" i="21"/>
  <c r="AM72" i="21"/>
  <c r="CE87" i="21"/>
  <c r="AQ144" i="21"/>
  <c r="AN130" i="21"/>
  <c r="AQ72" i="21"/>
  <c r="GL94" i="21"/>
  <c r="GD148" i="21"/>
  <c r="AP68" i="21"/>
  <c r="AO112" i="21"/>
  <c r="BX119" i="21"/>
  <c r="GL188" i="21"/>
  <c r="AQ177" i="21"/>
  <c r="AP86" i="21"/>
  <c r="AN76" i="21"/>
  <c r="AN94" i="21"/>
  <c r="GJ158" i="21"/>
  <c r="CD127" i="21"/>
  <c r="GK114" i="21"/>
  <c r="BY112" i="21"/>
  <c r="AM86" i="21"/>
  <c r="CD86" i="21"/>
  <c r="CE82" i="21"/>
  <c r="CE109" i="21"/>
  <c r="GK124" i="21"/>
  <c r="CE113" i="21"/>
  <c r="GL159" i="21"/>
  <c r="GJ109" i="21"/>
  <c r="CF113" i="21"/>
  <c r="GL133" i="21"/>
  <c r="AO109" i="21"/>
  <c r="AQ117" i="21"/>
  <c r="AQ110" i="21"/>
  <c r="AQ153" i="21"/>
  <c r="AQ163" i="21"/>
  <c r="AQ156" i="21"/>
  <c r="GJ82" i="21"/>
  <c r="GK169" i="21"/>
  <c r="BY119" i="21"/>
  <c r="CF150" i="21"/>
  <c r="GK153" i="21"/>
  <c r="CF184" i="21"/>
  <c r="AN81" i="21"/>
  <c r="AN109" i="21"/>
  <c r="AQ185" i="21"/>
  <c r="AQ137" i="21"/>
  <c r="AQ162" i="21"/>
  <c r="AM123" i="21"/>
  <c r="AM80" i="21"/>
  <c r="AN113" i="21"/>
  <c r="AN115" i="21"/>
  <c r="AQ130" i="21"/>
  <c r="AO68" i="21"/>
  <c r="AQ90" i="21"/>
  <c r="AO76" i="21"/>
  <c r="AM137" i="21"/>
  <c r="AM145" i="21"/>
  <c r="CD74" i="21"/>
  <c r="CE110" i="21"/>
  <c r="GL146" i="21"/>
  <c r="AP98" i="21"/>
  <c r="AN87" i="21"/>
  <c r="AQ86" i="21"/>
  <c r="AQ80" i="21"/>
  <c r="AO80" i="21"/>
  <c r="AQ182" i="21"/>
  <c r="AQ175" i="21"/>
  <c r="AQ167" i="21"/>
  <c r="CF116" i="21"/>
  <c r="GK168" i="21"/>
  <c r="CE130" i="21"/>
  <c r="AQ123" i="21"/>
  <c r="CD157" i="21"/>
  <c r="AN74" i="21"/>
  <c r="AM90" i="21"/>
  <c r="CF101" i="21"/>
  <c r="BY170" i="21"/>
  <c r="CE185" i="21"/>
  <c r="GK123" i="21"/>
  <c r="CE115" i="21"/>
  <c r="GL130" i="21"/>
  <c r="CE166" i="21"/>
  <c r="AQ81" i="21"/>
  <c r="BW68" i="21"/>
  <c r="GJ111" i="21"/>
  <c r="AQ143" i="21"/>
  <c r="AO116" i="21"/>
  <c r="GD125" i="21"/>
  <c r="AQ166" i="21"/>
  <c r="AO123" i="21"/>
  <c r="AO128" i="21"/>
  <c r="AQ114" i="21"/>
  <c r="AM146" i="21"/>
  <c r="AN128" i="21"/>
  <c r="GJ90" i="21"/>
  <c r="CD124" i="21"/>
  <c r="GK158" i="21"/>
  <c r="H17" i="21"/>
  <c r="GK80" i="21"/>
  <c r="O17" i="21"/>
  <c r="AQ105" i="21"/>
  <c r="AO114" i="21"/>
  <c r="AO82" i="21"/>
  <c r="GL109" i="21"/>
  <c r="C11" i="21"/>
  <c r="GJ99" i="21"/>
  <c r="CD143" i="21"/>
  <c r="BX128" i="21"/>
  <c r="AQ132" i="21"/>
  <c r="GL123" i="21"/>
  <c r="GK122" i="21"/>
  <c r="CD116" i="21"/>
  <c r="CD155" i="21"/>
  <c r="BY130" i="21"/>
  <c r="GJ168" i="21"/>
  <c r="AP80" i="21"/>
  <c r="AP114" i="21"/>
  <c r="D12" i="21"/>
  <c r="AQ155" i="21"/>
  <c r="AQ94" i="21"/>
  <c r="AP105" i="21"/>
  <c r="AO124" i="21"/>
  <c r="GD140" i="21"/>
  <c r="GL124" i="21"/>
  <c r="GK163" i="21"/>
  <c r="CF155" i="21"/>
  <c r="AP113" i="21"/>
  <c r="AN114" i="21"/>
  <c r="AO134" i="21"/>
  <c r="AM115" i="21"/>
  <c r="AQ99" i="21"/>
  <c r="AO115" i="21"/>
  <c r="CE116" i="21"/>
  <c r="CF143" i="21"/>
  <c r="GD135" i="21"/>
  <c r="AQ148" i="21"/>
  <c r="BV87" i="21"/>
  <c r="AQ133" i="21"/>
  <c r="AP82" i="21"/>
  <c r="H7" i="21"/>
  <c r="H46" i="21" s="1"/>
  <c r="AP111" i="21"/>
  <c r="F17" i="21"/>
  <c r="E11" i="21"/>
  <c r="P17" i="21"/>
  <c r="CF99" i="21"/>
  <c r="GJ163" i="21"/>
  <c r="AP90" i="21"/>
  <c r="AP112" i="21"/>
  <c r="AN119" i="21"/>
  <c r="AP89" i="21"/>
  <c r="D7" i="21"/>
  <c r="AQ184" i="21"/>
  <c r="AM141" i="21"/>
  <c r="AQ146" i="21"/>
  <c r="F12" i="21"/>
  <c r="B17" i="21"/>
  <c r="BX130" i="21"/>
  <c r="AM125" i="21"/>
  <c r="G12" i="21"/>
  <c r="CF74" i="21"/>
  <c r="BY117" i="21"/>
  <c r="GJ113" i="21"/>
  <c r="GJ98" i="21"/>
  <c r="GJ184" i="21"/>
  <c r="AP110" i="21"/>
  <c r="BU146" i="21"/>
  <c r="GJ166" i="21"/>
  <c r="GJ171" i="21"/>
  <c r="GL142" i="21"/>
  <c r="GJ106" i="21"/>
  <c r="O16" i="21"/>
  <c r="D17" i="21"/>
  <c r="AM99" i="21"/>
  <c r="E17" i="21"/>
  <c r="G17" i="21"/>
  <c r="F11" i="21"/>
  <c r="GK188" i="21"/>
  <c r="AP115" i="21"/>
  <c r="C17" i="21"/>
  <c r="R16" i="21"/>
  <c r="Q17" i="21"/>
  <c r="AN93" i="21"/>
  <c r="AQ68" i="21"/>
  <c r="GJ93" i="21"/>
  <c r="CD128" i="21"/>
  <c r="BV114" i="21"/>
  <c r="H11" i="21"/>
  <c r="H50" i="21" s="1"/>
  <c r="G11" i="21"/>
  <c r="G15" i="21" s="1"/>
  <c r="AP78" i="21"/>
  <c r="N16" i="21"/>
  <c r="AQ87" i="21"/>
  <c r="AO87" i="21"/>
  <c r="AQ157" i="21"/>
  <c r="AQ169" i="21"/>
  <c r="AM130" i="21"/>
  <c r="Q16" i="21"/>
  <c r="AN111" i="21"/>
  <c r="R17" i="21"/>
  <c r="CF98" i="21"/>
  <c r="AQ124" i="21"/>
  <c r="AQ96" i="21"/>
  <c r="AM116" i="21"/>
  <c r="CF120" i="21"/>
  <c r="BW123" i="21"/>
  <c r="AO131" i="21"/>
  <c r="AQ82" i="21"/>
  <c r="N17" i="21"/>
  <c r="D11" i="21"/>
  <c r="P16" i="21"/>
  <c r="E7" i="21"/>
  <c r="CE134" i="21"/>
  <c r="CF157" i="21"/>
  <c r="GD124" i="21"/>
  <c r="GJ115" i="21"/>
  <c r="BX143" i="21"/>
  <c r="CE131" i="21"/>
  <c r="AO101" i="21"/>
  <c r="CD118" i="21"/>
  <c r="GD162" i="21"/>
  <c r="GJ125" i="21"/>
  <c r="BY99" i="21"/>
  <c r="B7" i="21"/>
  <c r="AN123" i="21"/>
  <c r="AQ168" i="21"/>
  <c r="AM74" i="21"/>
  <c r="AM83" i="21"/>
  <c r="AQ115" i="21"/>
  <c r="AM110" i="21"/>
  <c r="GD157" i="21"/>
  <c r="CD141" i="21"/>
  <c r="BX123" i="21"/>
  <c r="AO96" i="21"/>
  <c r="AQ131" i="21"/>
  <c r="AO78" i="21"/>
  <c r="B11" i="21"/>
  <c r="BX78" i="21"/>
  <c r="GL165" i="21"/>
  <c r="AQ180" i="21"/>
  <c r="AM133" i="21"/>
  <c r="B3" i="21"/>
  <c r="GK175" i="21"/>
  <c r="AM135" i="21"/>
  <c r="GJ105" i="21"/>
  <c r="GK139" i="21"/>
  <c r="F7" i="21"/>
  <c r="CE120" i="21"/>
  <c r="GK90" i="21"/>
  <c r="GJ130" i="21"/>
  <c r="CF171" i="21"/>
  <c r="CE146" i="21"/>
  <c r="G7" i="21"/>
  <c r="BW128" i="21"/>
  <c r="BV123" i="21"/>
  <c r="BY184" i="21"/>
  <c r="AO110" i="21"/>
  <c r="AM113" i="21"/>
  <c r="GJ96" i="21"/>
  <c r="CE142" i="21"/>
  <c r="AQ98" i="21"/>
  <c r="CE118" i="21"/>
  <c r="GL168" i="21"/>
  <c r="CD169" i="21"/>
  <c r="GL166" i="21"/>
  <c r="CF110" i="21"/>
  <c r="CD185" i="21"/>
  <c r="GK96" i="21"/>
  <c r="GD159" i="21"/>
  <c r="AQ118" i="21"/>
  <c r="CD133" i="21"/>
  <c r="GJ146" i="21"/>
  <c r="GK184" i="21"/>
  <c r="AQ74" i="21"/>
  <c r="CF149" i="21"/>
  <c r="AQ135" i="21"/>
  <c r="AM105" i="21"/>
  <c r="AN96" i="21"/>
  <c r="AM134" i="21"/>
  <c r="AM96" i="21"/>
  <c r="AQ134" i="21"/>
  <c r="AN112" i="21"/>
  <c r="CD175" i="21"/>
  <c r="BW96" i="21"/>
  <c r="GJ135" i="21"/>
  <c r="GL174" i="21"/>
  <c r="GK93" i="21"/>
  <c r="GK174" i="21"/>
  <c r="AN98" i="21"/>
  <c r="AQ125" i="21"/>
  <c r="GJ173" i="21"/>
  <c r="AN78" i="21"/>
  <c r="AM78" i="21"/>
  <c r="AM98" i="21"/>
  <c r="AP131" i="21"/>
  <c r="AQ78" i="21"/>
  <c r="AP134" i="21"/>
  <c r="AN140" i="21"/>
  <c r="AO98" i="21"/>
  <c r="AM131" i="21"/>
  <c r="GK98" i="21"/>
  <c r="AQ139" i="21"/>
  <c r="CD188" i="21"/>
  <c r="AO127" i="21"/>
  <c r="AQ101" i="21"/>
  <c r="AM140" i="21"/>
  <c r="GL135" i="21"/>
  <c r="GL134" i="21"/>
  <c r="GJ174" i="21"/>
  <c r="AQ174" i="21"/>
  <c r="AQ140" i="21"/>
  <c r="AQ188" i="21"/>
  <c r="AQ116" i="21"/>
  <c r="CD140" i="21"/>
  <c r="AN134" i="21"/>
  <c r="CF179" i="21"/>
  <c r="FV80" i="21"/>
  <c r="FV75" i="21"/>
  <c r="FV68" i="21"/>
  <c r="C12" i="21"/>
  <c r="FV70" i="21"/>
  <c r="FV74" i="21"/>
  <c r="H12" i="21"/>
  <c r="FV84" i="21"/>
  <c r="FV69" i="21"/>
  <c r="FV87" i="21"/>
  <c r="FV82" i="21"/>
  <c r="FV89" i="21"/>
  <c r="FV77" i="21"/>
  <c r="FV88" i="21"/>
  <c r="FV85" i="21"/>
  <c r="E12" i="21"/>
  <c r="CA68" i="21"/>
  <c r="C7" i="21"/>
  <c r="FV72" i="21"/>
  <c r="C185" i="21"/>
  <c r="C136" i="21"/>
  <c r="C167" i="21"/>
  <c r="C168" i="21"/>
  <c r="C85" i="21"/>
  <c r="C153" i="21"/>
  <c r="C170" i="21"/>
  <c r="C154" i="21"/>
  <c r="C84" i="21"/>
  <c r="C131" i="21"/>
  <c r="C181" i="21"/>
  <c r="C89" i="21"/>
  <c r="C174" i="21"/>
  <c r="C99" i="21"/>
  <c r="C81" i="21"/>
  <c r="C114" i="21"/>
  <c r="C141" i="21"/>
  <c r="C177" i="21"/>
  <c r="C130" i="21"/>
  <c r="C113" i="21"/>
  <c r="C151" i="21"/>
  <c r="C138" i="21"/>
  <c r="C184" i="21"/>
  <c r="C152" i="21"/>
  <c r="C144" i="21"/>
  <c r="C80" i="21"/>
  <c r="C178" i="21"/>
  <c r="C86" i="21"/>
  <c r="C150" i="21"/>
  <c r="C107" i="21"/>
  <c r="C166" i="21"/>
  <c r="C72" i="21"/>
  <c r="C162" i="21"/>
  <c r="C176" i="21"/>
  <c r="C109" i="21"/>
  <c r="C125" i="21"/>
  <c r="C79" i="21"/>
  <c r="C91" i="21"/>
  <c r="C121" i="21"/>
  <c r="C73" i="21"/>
  <c r="C156" i="21"/>
  <c r="C137" i="21"/>
  <c r="C145" i="21"/>
  <c r="C175" i="21"/>
  <c r="C90" i="21"/>
  <c r="C104" i="21"/>
  <c r="C94" i="21"/>
  <c r="C132" i="21"/>
  <c r="C120" i="21"/>
  <c r="C118" i="21"/>
  <c r="C77" i="21"/>
  <c r="C188" i="21"/>
  <c r="C186" i="21"/>
  <c r="C124" i="21"/>
  <c r="C142" i="21"/>
  <c r="C172" i="21"/>
  <c r="C182" i="21"/>
  <c r="C82" i="21"/>
  <c r="C133" i="21"/>
  <c r="C127" i="21"/>
  <c r="C129" i="21"/>
  <c r="C115" i="21"/>
  <c r="C93" i="21"/>
  <c r="C128" i="21"/>
  <c r="C180" i="21"/>
  <c r="C100" i="21"/>
  <c r="C108" i="21"/>
  <c r="C69" i="21"/>
  <c r="C74" i="21"/>
  <c r="C112" i="21"/>
  <c r="C119" i="21"/>
  <c r="C148" i="21"/>
  <c r="C83" i="21"/>
  <c r="C143" i="21"/>
  <c r="C116" i="21"/>
  <c r="C173" i="21"/>
  <c r="C122" i="21"/>
  <c r="C179" i="21"/>
  <c r="C187" i="21"/>
  <c r="C92" i="21"/>
  <c r="C157" i="21"/>
  <c r="C159" i="21"/>
  <c r="C78" i="21"/>
  <c r="C96" i="21"/>
  <c r="C158" i="21"/>
  <c r="C126" i="21"/>
  <c r="C117" i="21"/>
  <c r="C169" i="21"/>
  <c r="C155" i="21"/>
  <c r="C161" i="21"/>
  <c r="C102" i="21"/>
  <c r="C103" i="21"/>
  <c r="C165" i="21"/>
  <c r="C163" i="21"/>
  <c r="C183" i="21"/>
  <c r="C97" i="21"/>
  <c r="C71" i="21"/>
  <c r="C76" i="21"/>
  <c r="C135" i="21"/>
  <c r="C106" i="21"/>
  <c r="C88" i="21"/>
  <c r="C105" i="21"/>
  <c r="C70" i="21"/>
  <c r="C164" i="21"/>
  <c r="C87" i="21"/>
  <c r="C146" i="21"/>
  <c r="C95" i="21"/>
  <c r="C160" i="21"/>
  <c r="C111" i="21"/>
  <c r="C149" i="21"/>
  <c r="C123" i="21"/>
  <c r="C75" i="21"/>
  <c r="C147" i="21"/>
  <c r="C171" i="21"/>
  <c r="C68" i="21"/>
  <c r="D15" i="21" l="1"/>
  <c r="F15" i="21"/>
  <c r="H8" i="21"/>
  <c r="H47" i="21" s="1"/>
  <c r="G46" i="21"/>
  <c r="F46" i="21" s="1"/>
  <c r="E46" i="21" s="1"/>
  <c r="D46" i="21" s="1"/>
  <c r="C46" i="21" s="1"/>
  <c r="B46" i="21" s="1"/>
  <c r="G50" i="21"/>
  <c r="F50" i="21" s="1"/>
  <c r="E50" i="21" s="1"/>
  <c r="D50" i="21" s="1"/>
  <c r="C50" i="21" s="1"/>
  <c r="B50" i="21" s="1"/>
  <c r="E8" i="21"/>
  <c r="D8" i="21"/>
  <c r="G8" i="21"/>
  <c r="G47" i="21" s="1"/>
  <c r="F47" i="21" s="1"/>
  <c r="E47" i="21" s="1"/>
  <c r="D47" i="21" s="1"/>
  <c r="B8" i="21"/>
  <c r="F8" i="21"/>
  <c r="CR85" i="21"/>
  <c r="GE85" i="21"/>
  <c r="GC85" i="21"/>
  <c r="GK85" i="21"/>
  <c r="GG85" i="21"/>
  <c r="GF85" i="21"/>
  <c r="CQ85" i="21"/>
  <c r="CS85" i="21"/>
  <c r="CN85" i="21"/>
  <c r="GL85" i="21"/>
  <c r="CM85" i="21"/>
  <c r="AW85" i="21" s="1"/>
  <c r="GH85" i="21"/>
  <c r="CV85" i="21"/>
  <c r="GD85" i="21"/>
  <c r="CP85" i="21"/>
  <c r="AZ85" i="21" s="1"/>
  <c r="GI85" i="21"/>
  <c r="CW85" i="21"/>
  <c r="GA85" i="21"/>
  <c r="CU85" i="21"/>
  <c r="EC85" i="21" s="1"/>
  <c r="CO85" i="21"/>
  <c r="GB85" i="21"/>
  <c r="CL85" i="21"/>
  <c r="CT85" i="21"/>
  <c r="GB164" i="21"/>
  <c r="GI164" i="21"/>
  <c r="CS164" i="21"/>
  <c r="GH164" i="21"/>
  <c r="CR164" i="21"/>
  <c r="CW164" i="21"/>
  <c r="EE164" i="21" s="1"/>
  <c r="GG164" i="21"/>
  <c r="CO164" i="21"/>
  <c r="DW164" i="21" s="1"/>
  <c r="GR164" i="21" s="1"/>
  <c r="GA164" i="21"/>
  <c r="CN164" i="21"/>
  <c r="CQ164" i="21"/>
  <c r="CV164" i="21"/>
  <c r="ED164" i="21" s="1"/>
  <c r="CP164" i="21"/>
  <c r="CM164" i="21"/>
  <c r="CU164" i="21"/>
  <c r="EC164" i="21" s="1"/>
  <c r="GC164" i="21"/>
  <c r="CL164" i="21"/>
  <c r="CT164" i="21"/>
  <c r="GE164" i="21"/>
  <c r="GF164" i="21"/>
  <c r="CM141" i="21"/>
  <c r="GB141" i="21"/>
  <c r="CR141" i="21"/>
  <c r="GG141" i="21"/>
  <c r="GC141" i="21"/>
  <c r="GI141" i="21"/>
  <c r="GE141" i="21"/>
  <c r="GH141" i="21"/>
  <c r="CN141" i="21"/>
  <c r="CU141" i="21"/>
  <c r="EC141" i="21" s="1"/>
  <c r="CL141" i="21"/>
  <c r="CW141" i="21"/>
  <c r="CT141" i="21"/>
  <c r="GL141" i="21"/>
  <c r="CS141" i="21"/>
  <c r="CO141" i="21"/>
  <c r="DW141" i="21" s="1"/>
  <c r="GF141" i="21"/>
  <c r="CP141" i="21"/>
  <c r="CQ141" i="21"/>
  <c r="CV141" i="21"/>
  <c r="GA141" i="21"/>
  <c r="GE169" i="21"/>
  <c r="GG169" i="21"/>
  <c r="GF169" i="21"/>
  <c r="CV169" i="21"/>
  <c r="GI169" i="21"/>
  <c r="CN169" i="21"/>
  <c r="DV169" i="21" s="1"/>
  <c r="GQ169" i="21" s="1"/>
  <c r="CM169" i="21"/>
  <c r="DU169" i="21" s="1"/>
  <c r="GP169" i="21" s="1"/>
  <c r="CO169" i="21"/>
  <c r="DW169" i="21" s="1"/>
  <c r="GR169" i="21" s="1"/>
  <c r="CL169" i="21"/>
  <c r="GA169" i="21"/>
  <c r="GH169" i="21"/>
  <c r="CU169" i="21"/>
  <c r="CW169" i="21"/>
  <c r="EE169" i="21" s="1"/>
  <c r="CQ169" i="21"/>
  <c r="CS169" i="21"/>
  <c r="CP169" i="21"/>
  <c r="CT169" i="21"/>
  <c r="CR169" i="21"/>
  <c r="GL114" i="21"/>
  <c r="GF114" i="21"/>
  <c r="CN114" i="21"/>
  <c r="AX114" i="21" s="1"/>
  <c r="GI114" i="21"/>
  <c r="CV114" i="21"/>
  <c r="ED114" i="21" s="1"/>
  <c r="CO114" i="21"/>
  <c r="AY114" i="21" s="1"/>
  <c r="GC114" i="21"/>
  <c r="CR114" i="21"/>
  <c r="GB114" i="21"/>
  <c r="GA114" i="21"/>
  <c r="GD114" i="21"/>
  <c r="GE114" i="21"/>
  <c r="GG114" i="21"/>
  <c r="CP114" i="21"/>
  <c r="AZ114" i="21" s="1"/>
  <c r="CS114" i="21"/>
  <c r="CT114" i="21"/>
  <c r="CL114" i="21"/>
  <c r="AV114" i="21" s="1"/>
  <c r="CW114" i="21"/>
  <c r="CM114" i="21"/>
  <c r="GH114" i="21"/>
  <c r="CU114" i="21"/>
  <c r="EC114" i="21" s="1"/>
  <c r="CQ114" i="21"/>
  <c r="CN90" i="21"/>
  <c r="AX90" i="21" s="1"/>
  <c r="CL90" i="21"/>
  <c r="AV90" i="21" s="1"/>
  <c r="GE90" i="21"/>
  <c r="CT90" i="21"/>
  <c r="GH90" i="21"/>
  <c r="CU90" i="21"/>
  <c r="EC90" i="21" s="1"/>
  <c r="GC90" i="21"/>
  <c r="GA90" i="21"/>
  <c r="CO90" i="21"/>
  <c r="AY90" i="21" s="1"/>
  <c r="GD90" i="21"/>
  <c r="CQ90" i="21"/>
  <c r="CR90" i="21"/>
  <c r="GG90" i="21"/>
  <c r="GF90" i="21"/>
  <c r="CP90" i="21"/>
  <c r="AZ90" i="21" s="1"/>
  <c r="CM90" i="21"/>
  <c r="GI90" i="21"/>
  <c r="GB90" i="21"/>
  <c r="CW90" i="21"/>
  <c r="EE90" i="21" s="1"/>
  <c r="CS90" i="21"/>
  <c r="CV90" i="21"/>
  <c r="ED90" i="21" s="1"/>
  <c r="CN182" i="21"/>
  <c r="DV182" i="21" s="1"/>
  <c r="GQ182" i="21" s="1"/>
  <c r="CV182" i="21"/>
  <c r="ED182" i="21" s="1"/>
  <c r="CT182" i="21"/>
  <c r="GH182" i="21"/>
  <c r="GF182" i="21"/>
  <c r="CP182" i="21"/>
  <c r="AZ182" i="21" s="1"/>
  <c r="CL182" i="21"/>
  <c r="DT182" i="21" s="1"/>
  <c r="GO182" i="21" s="1"/>
  <c r="CU182" i="21"/>
  <c r="EC182" i="21" s="1"/>
  <c r="CW182" i="21"/>
  <c r="EE182" i="21" s="1"/>
  <c r="CM182" i="21"/>
  <c r="DU182" i="21" s="1"/>
  <c r="GP182" i="21" s="1"/>
  <c r="GI182" i="21"/>
  <c r="CQ182" i="21"/>
  <c r="GE182" i="21"/>
  <c r="CR182" i="21"/>
  <c r="GG182" i="21"/>
  <c r="CO182" i="21"/>
  <c r="DW182" i="21" s="1"/>
  <c r="GR182" i="21" s="1"/>
  <c r="CS182" i="21"/>
  <c r="GL78" i="21"/>
  <c r="CP78" i="21"/>
  <c r="AZ78" i="21" s="1"/>
  <c r="GK78" i="21"/>
  <c r="GD78" i="21"/>
  <c r="CW78" i="21"/>
  <c r="CN78" i="21"/>
  <c r="GE78" i="21"/>
  <c r="GF78" i="21"/>
  <c r="CR78" i="21"/>
  <c r="GB78" i="21"/>
  <c r="CT78" i="21"/>
  <c r="CO78" i="21"/>
  <c r="CM78" i="21"/>
  <c r="AW78" i="21" s="1"/>
  <c r="CQ78" i="21"/>
  <c r="CU78" i="21"/>
  <c r="EC78" i="21" s="1"/>
  <c r="CL78" i="21"/>
  <c r="AV78" i="21" s="1"/>
  <c r="GA78" i="21"/>
  <c r="CS78" i="21"/>
  <c r="GC78" i="21"/>
  <c r="GI78" i="21"/>
  <c r="GH78" i="21"/>
  <c r="CV78" i="21"/>
  <c r="GG78" i="21"/>
  <c r="CM170" i="21"/>
  <c r="DU170" i="21" s="1"/>
  <c r="GP170" i="21" s="1"/>
  <c r="GI170" i="21"/>
  <c r="GG170" i="21"/>
  <c r="CQ170" i="21"/>
  <c r="GE170" i="21"/>
  <c r="CU170" i="21"/>
  <c r="EC170" i="21" s="1"/>
  <c r="GF170" i="21"/>
  <c r="GH170" i="21"/>
  <c r="GA170" i="21"/>
  <c r="CS170" i="21"/>
  <c r="CO170" i="21"/>
  <c r="DW170" i="21" s="1"/>
  <c r="GR170" i="21" s="1"/>
  <c r="CN170" i="21"/>
  <c r="DV170" i="21" s="1"/>
  <c r="GQ170" i="21" s="1"/>
  <c r="CP170" i="21"/>
  <c r="AZ170" i="21" s="1"/>
  <c r="CW170" i="21"/>
  <c r="EE170" i="21" s="1"/>
  <c r="CL170" i="21"/>
  <c r="CR170" i="21"/>
  <c r="CT170" i="21"/>
  <c r="CV170" i="21"/>
  <c r="ED170" i="21" s="1"/>
  <c r="GG120" i="21"/>
  <c r="GE120" i="21"/>
  <c r="GA120" i="21"/>
  <c r="CQ120" i="21"/>
  <c r="CM120" i="21"/>
  <c r="AW120" i="21" s="1"/>
  <c r="CR120" i="21"/>
  <c r="CW120" i="21"/>
  <c r="EE120" i="21" s="1"/>
  <c r="CT120" i="21"/>
  <c r="CO120" i="21"/>
  <c r="DW120" i="21" s="1"/>
  <c r="CN120" i="21"/>
  <c r="CL120" i="21"/>
  <c r="AV120" i="21" s="1"/>
  <c r="GI120" i="21"/>
  <c r="GF120" i="21"/>
  <c r="GB120" i="21"/>
  <c r="CS120" i="21"/>
  <c r="GH120" i="21"/>
  <c r="CU120" i="21"/>
  <c r="EC120" i="21" s="1"/>
  <c r="CV120" i="21"/>
  <c r="ED120" i="21" s="1"/>
  <c r="CP120" i="21"/>
  <c r="GC120" i="21"/>
  <c r="CU104" i="21"/>
  <c r="EC104" i="21" s="1"/>
  <c r="CS104" i="21"/>
  <c r="CL104" i="21"/>
  <c r="AV104" i="21" s="1"/>
  <c r="CT104" i="21"/>
  <c r="CR104" i="21"/>
  <c r="CV104" i="21"/>
  <c r="ED104" i="21" s="1"/>
  <c r="GG104" i="21"/>
  <c r="CO104" i="21"/>
  <c r="GC104" i="21"/>
  <c r="GB104" i="21"/>
  <c r="GD104" i="21"/>
  <c r="CW104" i="21"/>
  <c r="CM104" i="21"/>
  <c r="AW104" i="21" s="1"/>
  <c r="CP104" i="21"/>
  <c r="AZ104" i="21" s="1"/>
  <c r="GE104" i="21"/>
  <c r="GI104" i="21"/>
  <c r="CQ104" i="21"/>
  <c r="GF104" i="21"/>
  <c r="GL104" i="21"/>
  <c r="GA104" i="21"/>
  <c r="GH104" i="21"/>
  <c r="CN104" i="21"/>
  <c r="AX104" i="21" s="1"/>
  <c r="GH94" i="21"/>
  <c r="CM94" i="21"/>
  <c r="AW94" i="21" s="1"/>
  <c r="CT94" i="21"/>
  <c r="GD94" i="21"/>
  <c r="GG94" i="21"/>
  <c r="CN94" i="21"/>
  <c r="AX94" i="21" s="1"/>
  <c r="GE94" i="21"/>
  <c r="CP94" i="21"/>
  <c r="AZ94" i="21" s="1"/>
  <c r="GI94" i="21"/>
  <c r="GB94" i="21"/>
  <c r="GA94" i="21"/>
  <c r="GC94" i="21"/>
  <c r="GF94" i="21"/>
  <c r="CR94" i="21"/>
  <c r="CU94" i="21"/>
  <c r="EC94" i="21" s="1"/>
  <c r="CV94" i="21"/>
  <c r="ED94" i="21" s="1"/>
  <c r="CL94" i="21"/>
  <c r="AV94" i="21" s="1"/>
  <c r="CQ94" i="21"/>
  <c r="CO94" i="21"/>
  <c r="AY94" i="21" s="1"/>
  <c r="CW94" i="21"/>
  <c r="EE94" i="21" s="1"/>
  <c r="CS94" i="21"/>
  <c r="CT177" i="21"/>
  <c r="CP177" i="21"/>
  <c r="CW177" i="21"/>
  <c r="EE177" i="21" s="1"/>
  <c r="CN177" i="21"/>
  <c r="DV177" i="21" s="1"/>
  <c r="GQ177" i="21" s="1"/>
  <c r="GE177" i="21"/>
  <c r="GH177" i="21"/>
  <c r="CL177" i="21"/>
  <c r="DT177" i="21" s="1"/>
  <c r="GO177" i="21" s="1"/>
  <c r="CQ177" i="21"/>
  <c r="GI177" i="21"/>
  <c r="GG177" i="21"/>
  <c r="CM177" i="21"/>
  <c r="DU177" i="21" s="1"/>
  <c r="GP177" i="21" s="1"/>
  <c r="CU177" i="21"/>
  <c r="EC177" i="21" s="1"/>
  <c r="CS177" i="21"/>
  <c r="GF177" i="21"/>
  <c r="CR177" i="21"/>
  <c r="CV177" i="21"/>
  <c r="ED177" i="21" s="1"/>
  <c r="CO177" i="21"/>
  <c r="DW177" i="21" s="1"/>
  <c r="GR177" i="21" s="1"/>
  <c r="GF162" i="21"/>
  <c r="GB162" i="21"/>
  <c r="CU162" i="21"/>
  <c r="EC162" i="21" s="1"/>
  <c r="CV162" i="21"/>
  <c r="ED162" i="21" s="1"/>
  <c r="GI162" i="21"/>
  <c r="GE162" i="21"/>
  <c r="GC162" i="21"/>
  <c r="GA162" i="21"/>
  <c r="CT162" i="21"/>
  <c r="GH162" i="21"/>
  <c r="GG162" i="21"/>
  <c r="CM162" i="21"/>
  <c r="CL162" i="21"/>
  <c r="CQ162" i="21"/>
  <c r="CO162" i="21"/>
  <c r="DW162" i="21" s="1"/>
  <c r="CW162" i="21"/>
  <c r="EE162" i="21" s="1"/>
  <c r="CN162" i="21"/>
  <c r="DV162" i="21" s="1"/>
  <c r="CP162" i="21"/>
  <c r="AZ162" i="21" s="1"/>
  <c r="CR162" i="21"/>
  <c r="CS162" i="21"/>
  <c r="CM181" i="21"/>
  <c r="DU181" i="21" s="1"/>
  <c r="GP181" i="21" s="1"/>
  <c r="CS181" i="21"/>
  <c r="CQ181" i="21"/>
  <c r="CL181" i="21"/>
  <c r="DT181" i="21" s="1"/>
  <c r="GO181" i="21" s="1"/>
  <c r="CN181" i="21"/>
  <c r="DV181" i="21" s="1"/>
  <c r="GQ181" i="21" s="1"/>
  <c r="GH181" i="21"/>
  <c r="CV181" i="21"/>
  <c r="ED181" i="21" s="1"/>
  <c r="GE181" i="21"/>
  <c r="GF181" i="21"/>
  <c r="CU181" i="21"/>
  <c r="EC181" i="21" s="1"/>
  <c r="GG181" i="21"/>
  <c r="CO181" i="21"/>
  <c r="DW181" i="21" s="1"/>
  <c r="GR181" i="21" s="1"/>
  <c r="CW181" i="21"/>
  <c r="EE181" i="21" s="1"/>
  <c r="CP181" i="21"/>
  <c r="AZ181" i="21" s="1"/>
  <c r="CR181" i="21"/>
  <c r="CT181" i="21"/>
  <c r="GI181" i="21"/>
  <c r="CR133" i="21"/>
  <c r="CV133" i="21"/>
  <c r="ED133" i="21" s="1"/>
  <c r="CO133" i="21"/>
  <c r="DW133" i="21" s="1"/>
  <c r="CT133" i="21"/>
  <c r="GH133" i="21"/>
  <c r="CQ133" i="21"/>
  <c r="GE133" i="21"/>
  <c r="CN133" i="21"/>
  <c r="GG133" i="21"/>
  <c r="GF133" i="21"/>
  <c r="GB133" i="21"/>
  <c r="CP133" i="21"/>
  <c r="AZ133" i="21" s="1"/>
  <c r="CS133" i="21"/>
  <c r="GC133" i="21"/>
  <c r="GI133" i="21"/>
  <c r="CW133" i="21"/>
  <c r="EE133" i="21" s="1"/>
  <c r="GA133" i="21"/>
  <c r="CM133" i="21"/>
  <c r="CL133" i="21"/>
  <c r="AV133" i="21" s="1"/>
  <c r="CU133" i="21"/>
  <c r="EC133" i="21" s="1"/>
  <c r="CV136" i="21"/>
  <c r="ED136" i="21" s="1"/>
  <c r="GG136" i="21"/>
  <c r="CP136" i="21"/>
  <c r="AZ136" i="21" s="1"/>
  <c r="CS136" i="21"/>
  <c r="CO136" i="21"/>
  <c r="DW136" i="21" s="1"/>
  <c r="CQ136" i="21"/>
  <c r="GH136" i="21"/>
  <c r="GE136" i="21"/>
  <c r="GB136" i="21"/>
  <c r="GC136" i="21"/>
  <c r="CR136" i="21"/>
  <c r="CU136" i="21"/>
  <c r="EC136" i="21" s="1"/>
  <c r="GL136" i="21"/>
  <c r="GI136" i="21"/>
  <c r="CT136" i="21"/>
  <c r="GA136" i="21"/>
  <c r="CN136" i="21"/>
  <c r="GF136" i="21"/>
  <c r="CW136" i="21"/>
  <c r="CM136" i="21"/>
  <c r="AW136" i="21" s="1"/>
  <c r="CL136" i="21"/>
  <c r="GC92" i="21"/>
  <c r="GE92" i="21"/>
  <c r="GA92" i="21"/>
  <c r="GF92" i="21"/>
  <c r="GI92" i="21"/>
  <c r="GD92" i="21"/>
  <c r="CO92" i="21"/>
  <c r="AY92" i="21" s="1"/>
  <c r="CS92" i="21"/>
  <c r="CQ92" i="21"/>
  <c r="GH92" i="21"/>
  <c r="CP92" i="21"/>
  <c r="AZ92" i="21" s="1"/>
  <c r="CU92" i="21"/>
  <c r="EC92" i="21" s="1"/>
  <c r="CT92" i="21"/>
  <c r="CL92" i="21"/>
  <c r="AV92" i="21" s="1"/>
  <c r="GB92" i="21"/>
  <c r="CV92" i="21"/>
  <c r="ED92" i="21" s="1"/>
  <c r="CW92" i="21"/>
  <c r="EE92" i="21" s="1"/>
  <c r="CR92" i="21"/>
  <c r="GG92" i="21"/>
  <c r="CM92" i="21"/>
  <c r="CN92" i="21"/>
  <c r="AX92" i="21" s="1"/>
  <c r="CT84" i="21"/>
  <c r="CO84" i="21"/>
  <c r="GC84" i="21"/>
  <c r="GB84" i="21"/>
  <c r="GA84" i="21"/>
  <c r="GI84" i="21"/>
  <c r="CL84" i="21"/>
  <c r="AV84" i="21" s="1"/>
  <c r="GG84" i="21"/>
  <c r="CW84" i="21"/>
  <c r="EE84" i="21" s="1"/>
  <c r="CR84" i="21"/>
  <c r="GH84" i="21"/>
  <c r="GF84" i="21"/>
  <c r="GE84" i="21"/>
  <c r="GD84" i="21"/>
  <c r="CU84" i="21"/>
  <c r="EC84" i="21" s="1"/>
  <c r="CP84" i="21"/>
  <c r="AZ84" i="21" s="1"/>
  <c r="CN84" i="21"/>
  <c r="AX84" i="21" s="1"/>
  <c r="CV84" i="21"/>
  <c r="ED84" i="21" s="1"/>
  <c r="CS84" i="21"/>
  <c r="CQ84" i="21"/>
  <c r="CM84" i="21"/>
  <c r="GF117" i="21"/>
  <c r="CR117" i="21"/>
  <c r="CN117" i="21"/>
  <c r="AX117" i="21" s="1"/>
  <c r="GG117" i="21"/>
  <c r="CP117" i="21"/>
  <c r="AZ117" i="21" s="1"/>
  <c r="GA117" i="21"/>
  <c r="GC117" i="21"/>
  <c r="GE117" i="21"/>
  <c r="CQ117" i="21"/>
  <c r="CS117" i="21"/>
  <c r="GH117" i="21"/>
  <c r="CV117" i="21"/>
  <c r="ED117" i="21" s="1"/>
  <c r="CL117" i="21"/>
  <c r="CT117" i="21"/>
  <c r="CU117" i="21"/>
  <c r="EC117" i="21" s="1"/>
  <c r="CM117" i="21"/>
  <c r="AW117" i="21" s="1"/>
  <c r="GB117" i="21"/>
  <c r="GI117" i="21"/>
  <c r="CW117" i="21"/>
  <c r="EE117" i="21" s="1"/>
  <c r="CO117" i="21"/>
  <c r="DW117" i="21" s="1"/>
  <c r="CN106" i="21"/>
  <c r="AX106" i="21" s="1"/>
  <c r="CL106" i="21"/>
  <c r="AV106" i="21" s="1"/>
  <c r="GE106" i="21"/>
  <c r="CT106" i="21"/>
  <c r="CW106" i="21"/>
  <c r="EE106" i="21" s="1"/>
  <c r="CO106" i="21"/>
  <c r="GF106" i="21"/>
  <c r="GB106" i="21"/>
  <c r="GC106" i="21"/>
  <c r="CR106" i="21"/>
  <c r="GG106" i="21"/>
  <c r="CU106" i="21"/>
  <c r="EC106" i="21" s="1"/>
  <c r="GA106" i="21"/>
  <c r="CM106" i="21"/>
  <c r="AW106" i="21" s="1"/>
  <c r="GD106" i="21"/>
  <c r="GI106" i="21"/>
  <c r="CP106" i="21"/>
  <c r="AZ106" i="21" s="1"/>
  <c r="GH106" i="21"/>
  <c r="CS106" i="21"/>
  <c r="CV106" i="21"/>
  <c r="ED106" i="21" s="1"/>
  <c r="CQ106" i="21"/>
  <c r="GL73" i="21"/>
  <c r="CP73" i="21"/>
  <c r="AZ73" i="21" s="1"/>
  <c r="GK73" i="21"/>
  <c r="GH73" i="21"/>
  <c r="CU73" i="21"/>
  <c r="CR73" i="21"/>
  <c r="CO73" i="21"/>
  <c r="AY73" i="21" s="1"/>
  <c r="GD73" i="21"/>
  <c r="GG73" i="21"/>
  <c r="CW73" i="21"/>
  <c r="CN73" i="21"/>
  <c r="AX73" i="21" s="1"/>
  <c r="CV73" i="21"/>
  <c r="GC73" i="21"/>
  <c r="GF73" i="21"/>
  <c r="GA73" i="21"/>
  <c r="CQ73" i="21"/>
  <c r="CL73" i="21"/>
  <c r="GI73" i="21"/>
  <c r="GB73" i="21"/>
  <c r="GE73" i="21"/>
  <c r="CT73" i="21"/>
  <c r="CM73" i="21"/>
  <c r="AW73" i="21" s="1"/>
  <c r="CS73" i="21"/>
  <c r="GG144" i="21"/>
  <c r="GA144" i="21"/>
  <c r="CO144" i="21"/>
  <c r="DW144" i="21" s="1"/>
  <c r="GI144" i="21"/>
  <c r="GC144" i="21"/>
  <c r="CV144" i="21"/>
  <c r="ED144" i="21" s="1"/>
  <c r="CT144" i="21"/>
  <c r="CP144" i="21"/>
  <c r="GF144" i="21"/>
  <c r="CW144" i="21"/>
  <c r="EE144" i="21" s="1"/>
  <c r="CS144" i="21"/>
  <c r="GE144" i="21"/>
  <c r="CR144" i="21"/>
  <c r="CU144" i="21"/>
  <c r="EC144" i="21" s="1"/>
  <c r="GB144" i="21"/>
  <c r="CL144" i="21"/>
  <c r="CQ144" i="21"/>
  <c r="CN144" i="21"/>
  <c r="DV144" i="21" s="1"/>
  <c r="CM144" i="21"/>
  <c r="GH144" i="21"/>
  <c r="CN119" i="21"/>
  <c r="AX119" i="21" s="1"/>
  <c r="GE119" i="21"/>
  <c r="CR119" i="21"/>
  <c r="CS119" i="21"/>
  <c r="CO119" i="21"/>
  <c r="DW119" i="21" s="1"/>
  <c r="CL119" i="21"/>
  <c r="AV119" i="21" s="1"/>
  <c r="CW119" i="21"/>
  <c r="EE119" i="21" s="1"/>
  <c r="CP119" i="21"/>
  <c r="GH119" i="21"/>
  <c r="GG119" i="21"/>
  <c r="GI119" i="21"/>
  <c r="CQ119" i="21"/>
  <c r="GA119" i="21"/>
  <c r="GB119" i="21"/>
  <c r="GF119" i="21"/>
  <c r="CT119" i="21"/>
  <c r="CU119" i="21"/>
  <c r="EC119" i="21" s="1"/>
  <c r="GC119" i="21"/>
  <c r="CV119" i="21"/>
  <c r="ED119" i="21" s="1"/>
  <c r="CM119" i="21"/>
  <c r="GG160" i="21"/>
  <c r="CS160" i="21"/>
  <c r="CR160" i="21"/>
  <c r="CQ160" i="21"/>
  <c r="CU160" i="21"/>
  <c r="EC160" i="21" s="1"/>
  <c r="GE160" i="21"/>
  <c r="GI160" i="21"/>
  <c r="GF160" i="21"/>
  <c r="CW160" i="21"/>
  <c r="EE160" i="21" s="1"/>
  <c r="GA160" i="21"/>
  <c r="GC160" i="21"/>
  <c r="GH160" i="21"/>
  <c r="CL160" i="21"/>
  <c r="CT160" i="21"/>
  <c r="CV160" i="21"/>
  <c r="ED160" i="21" s="1"/>
  <c r="CO160" i="21"/>
  <c r="DW160" i="21" s="1"/>
  <c r="GB160" i="21"/>
  <c r="CM160" i="21"/>
  <c r="CP160" i="21"/>
  <c r="AZ160" i="21" s="1"/>
  <c r="CN160" i="21"/>
  <c r="DV160" i="21" s="1"/>
  <c r="GE89" i="21"/>
  <c r="GD89" i="21"/>
  <c r="GA89" i="21"/>
  <c r="GF89" i="21"/>
  <c r="GG89" i="21"/>
  <c r="CV89" i="21"/>
  <c r="ED89" i="21" s="1"/>
  <c r="CO89" i="21"/>
  <c r="GC89" i="21"/>
  <c r="CW89" i="21"/>
  <c r="EE89" i="21" s="1"/>
  <c r="CQ89" i="21"/>
  <c r="CS89" i="21"/>
  <c r="CU89" i="21"/>
  <c r="EC89" i="21" s="1"/>
  <c r="GB89" i="21"/>
  <c r="GH89" i="21"/>
  <c r="CR89" i="21"/>
  <c r="CL89" i="21"/>
  <c r="AV89" i="21" s="1"/>
  <c r="CN89" i="21"/>
  <c r="AX89" i="21" s="1"/>
  <c r="CM89" i="21"/>
  <c r="CT89" i="21"/>
  <c r="GI89" i="21"/>
  <c r="CP89" i="21"/>
  <c r="AZ89" i="21" s="1"/>
  <c r="GH69" i="21"/>
  <c r="CP69" i="21"/>
  <c r="GL69" i="21"/>
  <c r="GA69" i="21"/>
  <c r="GJ69" i="21"/>
  <c r="GD69" i="21"/>
  <c r="GB69" i="21"/>
  <c r="GC69" i="21"/>
  <c r="GK69" i="21"/>
  <c r="CW69" i="21"/>
  <c r="GF69" i="21"/>
  <c r="CN69" i="21"/>
  <c r="AX69" i="21" s="1"/>
  <c r="CO69" i="21"/>
  <c r="CV69" i="21"/>
  <c r="CU69" i="21"/>
  <c r="GE69" i="21"/>
  <c r="GI69" i="21"/>
  <c r="CT69" i="21"/>
  <c r="CS69" i="21"/>
  <c r="CR69" i="21"/>
  <c r="CQ69" i="21"/>
  <c r="GG69" i="21"/>
  <c r="CL69" i="21"/>
  <c r="AV69" i="21" s="1"/>
  <c r="CM69" i="21"/>
  <c r="GD112" i="21"/>
  <c r="CR112" i="21"/>
  <c r="CM112" i="21"/>
  <c r="CO112" i="21"/>
  <c r="CS112" i="21"/>
  <c r="GF112" i="21"/>
  <c r="GG112" i="21"/>
  <c r="GH112" i="21"/>
  <c r="CW112" i="21"/>
  <c r="EE112" i="21" s="1"/>
  <c r="CQ112" i="21"/>
  <c r="CP112" i="21"/>
  <c r="AZ112" i="21" s="1"/>
  <c r="CT112" i="21"/>
  <c r="CL112" i="21"/>
  <c r="AV112" i="21" s="1"/>
  <c r="GA112" i="21"/>
  <c r="CN112" i="21"/>
  <c r="GC112" i="21"/>
  <c r="CU112" i="21"/>
  <c r="EC112" i="21" s="1"/>
  <c r="GE112" i="21"/>
  <c r="GI112" i="21"/>
  <c r="CV112" i="21"/>
  <c r="ED112" i="21" s="1"/>
  <c r="GB112" i="21"/>
  <c r="CV154" i="21"/>
  <c r="ED154" i="21" s="1"/>
  <c r="CS154" i="21"/>
  <c r="CM154" i="21"/>
  <c r="CW154" i="21"/>
  <c r="EE154" i="21" s="1"/>
  <c r="GH154" i="21"/>
  <c r="CP154" i="21"/>
  <c r="AZ154" i="21" s="1"/>
  <c r="GG154" i="21"/>
  <c r="GC154" i="21"/>
  <c r="GF154" i="21"/>
  <c r="GE154" i="21"/>
  <c r="CN154" i="21"/>
  <c r="DV154" i="21" s="1"/>
  <c r="GB154" i="21"/>
  <c r="CQ154" i="21"/>
  <c r="GI154" i="21"/>
  <c r="CR154" i="21"/>
  <c r="CL154" i="21"/>
  <c r="CU154" i="21"/>
  <c r="EC154" i="21" s="1"/>
  <c r="CT154" i="21"/>
  <c r="CO154" i="21"/>
  <c r="DW154" i="21" s="1"/>
  <c r="GA154" i="21"/>
  <c r="CL126" i="21"/>
  <c r="AV126" i="21" s="1"/>
  <c r="GE126" i="21"/>
  <c r="CO126" i="21"/>
  <c r="DW126" i="21" s="1"/>
  <c r="GB126" i="21"/>
  <c r="CV126" i="21"/>
  <c r="ED126" i="21" s="1"/>
  <c r="CU126" i="21"/>
  <c r="EC126" i="21" s="1"/>
  <c r="CQ126" i="21"/>
  <c r="CM126" i="21"/>
  <c r="CW126" i="21"/>
  <c r="EE126" i="21" s="1"/>
  <c r="GH126" i="21"/>
  <c r="GA126" i="21"/>
  <c r="CR126" i="21"/>
  <c r="GF126" i="21"/>
  <c r="CS126" i="21"/>
  <c r="GI126" i="21"/>
  <c r="CT126" i="21"/>
  <c r="GG126" i="21"/>
  <c r="CP126" i="21"/>
  <c r="GC126" i="21"/>
  <c r="CN126" i="21"/>
  <c r="GH174" i="21"/>
  <c r="CV174" i="21"/>
  <c r="ED174" i="21" s="1"/>
  <c r="CP174" i="21"/>
  <c r="GA174" i="21"/>
  <c r="GI174" i="21"/>
  <c r="CW174" i="21"/>
  <c r="EE174" i="21" s="1"/>
  <c r="CM174" i="21"/>
  <c r="DU174" i="21" s="1"/>
  <c r="GP174" i="21" s="1"/>
  <c r="GE174" i="21"/>
  <c r="CN174" i="21"/>
  <c r="DV174" i="21" s="1"/>
  <c r="GQ174" i="21" s="1"/>
  <c r="CQ174" i="21"/>
  <c r="GF174" i="21"/>
  <c r="CR174" i="21"/>
  <c r="CT174" i="21"/>
  <c r="CU174" i="21"/>
  <c r="EC174" i="21" s="1"/>
  <c r="GG174" i="21"/>
  <c r="CS174" i="21"/>
  <c r="CO174" i="21"/>
  <c r="DW174" i="21" s="1"/>
  <c r="GR174" i="21" s="1"/>
  <c r="CL174" i="21"/>
  <c r="GF83" i="21"/>
  <c r="CS83" i="21"/>
  <c r="CN83" i="21"/>
  <c r="AX83" i="21" s="1"/>
  <c r="GE83" i="21"/>
  <c r="GH83" i="21"/>
  <c r="GD83" i="21"/>
  <c r="CO83" i="21"/>
  <c r="GB83" i="21"/>
  <c r="CL83" i="21"/>
  <c r="AV83" i="21" s="1"/>
  <c r="GI83" i="21"/>
  <c r="GL83" i="21"/>
  <c r="GC83" i="21"/>
  <c r="CT83" i="21"/>
  <c r="CW83" i="21"/>
  <c r="CV83" i="21"/>
  <c r="ED83" i="21" s="1"/>
  <c r="CP83" i="21"/>
  <c r="AZ83" i="21" s="1"/>
  <c r="CR83" i="21"/>
  <c r="GG83" i="21"/>
  <c r="GA83" i="21"/>
  <c r="CM83" i="21"/>
  <c r="CU83" i="21"/>
  <c r="EC83" i="21" s="1"/>
  <c r="CQ83" i="21"/>
  <c r="CQ107" i="21"/>
  <c r="GE107" i="21"/>
  <c r="CR107" i="21"/>
  <c r="GB107" i="21"/>
  <c r="CW107" i="21"/>
  <c r="CO107" i="21"/>
  <c r="CV107" i="21"/>
  <c r="ED107" i="21" s="1"/>
  <c r="CP107" i="21"/>
  <c r="AZ107" i="21" s="1"/>
  <c r="CT107" i="21"/>
  <c r="GA107" i="21"/>
  <c r="GC107" i="21"/>
  <c r="GL107" i="21"/>
  <c r="GH107" i="21"/>
  <c r="CS107" i="21"/>
  <c r="CL107" i="21"/>
  <c r="GF107" i="21"/>
  <c r="CM107" i="21"/>
  <c r="AW107" i="21" s="1"/>
  <c r="GI107" i="21"/>
  <c r="CU107" i="21"/>
  <c r="EC107" i="21" s="1"/>
  <c r="CN107" i="21"/>
  <c r="AX107" i="21" s="1"/>
  <c r="GD107" i="21"/>
  <c r="GG107" i="21"/>
  <c r="CW131" i="21"/>
  <c r="EE131" i="21" s="1"/>
  <c r="GD131" i="21"/>
  <c r="GB131" i="21"/>
  <c r="CU131" i="21"/>
  <c r="EC131" i="21" s="1"/>
  <c r="GC131" i="21"/>
  <c r="CN131" i="21"/>
  <c r="AX131" i="21" s="1"/>
  <c r="GF131" i="21"/>
  <c r="CO131" i="21"/>
  <c r="AY131" i="21" s="1"/>
  <c r="CR131" i="21"/>
  <c r="CP131" i="21"/>
  <c r="AZ131" i="21" s="1"/>
  <c r="CT131" i="21"/>
  <c r="GG131" i="21"/>
  <c r="GE131" i="21"/>
  <c r="CM131" i="21"/>
  <c r="CQ131" i="21"/>
  <c r="CV131" i="21"/>
  <c r="ED131" i="21" s="1"/>
  <c r="GH131" i="21"/>
  <c r="GI131" i="21"/>
  <c r="CL131" i="21"/>
  <c r="GA131" i="21"/>
  <c r="CS131" i="21"/>
  <c r="GH118" i="21"/>
  <c r="CU118" i="21"/>
  <c r="EC118" i="21" s="1"/>
  <c r="CL118" i="21"/>
  <c r="AV118" i="21" s="1"/>
  <c r="GA118" i="21"/>
  <c r="GG118" i="21"/>
  <c r="CV118" i="21"/>
  <c r="ED118" i="21" s="1"/>
  <c r="CT118" i="21"/>
  <c r="CR118" i="21"/>
  <c r="GC118" i="21"/>
  <c r="GD118" i="21"/>
  <c r="GF118" i="21"/>
  <c r="CQ118" i="21"/>
  <c r="GE118" i="21"/>
  <c r="GI118" i="21"/>
  <c r="CP118" i="21"/>
  <c r="CW118" i="21"/>
  <c r="EE118" i="21" s="1"/>
  <c r="CS118" i="21"/>
  <c r="CN118" i="21"/>
  <c r="AX118" i="21" s="1"/>
  <c r="GB118" i="21"/>
  <c r="CM118" i="21"/>
  <c r="AW118" i="21" s="1"/>
  <c r="CO118" i="21"/>
  <c r="AY118" i="21" s="1"/>
  <c r="CR168" i="21"/>
  <c r="GI168" i="21"/>
  <c r="CS168" i="21"/>
  <c r="CQ168" i="21"/>
  <c r="CN168" i="21"/>
  <c r="DV168" i="21" s="1"/>
  <c r="GQ168" i="21" s="1"/>
  <c r="GE168" i="21"/>
  <c r="GG168" i="21"/>
  <c r="CO168" i="21"/>
  <c r="DW168" i="21" s="1"/>
  <c r="GR168" i="21" s="1"/>
  <c r="CM168" i="21"/>
  <c r="DU168" i="21" s="1"/>
  <c r="GP168" i="21" s="1"/>
  <c r="CL168" i="21"/>
  <c r="GA168" i="21"/>
  <c r="GF168" i="21"/>
  <c r="GH168" i="21"/>
  <c r="CP168" i="21"/>
  <c r="AZ168" i="21" s="1"/>
  <c r="CU168" i="21"/>
  <c r="EC168" i="21" s="1"/>
  <c r="CT168" i="21"/>
  <c r="CW168" i="21"/>
  <c r="EE168" i="21" s="1"/>
  <c r="CV168" i="21"/>
  <c r="ED168" i="21" s="1"/>
  <c r="GG186" i="21"/>
  <c r="CO186" i="21"/>
  <c r="DW186" i="21" s="1"/>
  <c r="GR186" i="21" s="1"/>
  <c r="CM186" i="21"/>
  <c r="DU186" i="21" s="1"/>
  <c r="GP186" i="21" s="1"/>
  <c r="CS186" i="21"/>
  <c r="CU186" i="21"/>
  <c r="EC186" i="21" s="1"/>
  <c r="GH186" i="21"/>
  <c r="GF186" i="21"/>
  <c r="CV186" i="21"/>
  <c r="ED186" i="21" s="1"/>
  <c r="CN186" i="21"/>
  <c r="DV186" i="21" s="1"/>
  <c r="GQ186" i="21" s="1"/>
  <c r="CQ186" i="21"/>
  <c r="CW186" i="21"/>
  <c r="EE186" i="21" s="1"/>
  <c r="CT186" i="21"/>
  <c r="CL186" i="21"/>
  <c r="DT186" i="21" s="1"/>
  <c r="GO186" i="21" s="1"/>
  <c r="GI186" i="21"/>
  <c r="GE186" i="21"/>
  <c r="CP186" i="21"/>
  <c r="CR186" i="21"/>
  <c r="CN79" i="21"/>
  <c r="AX79" i="21" s="1"/>
  <c r="CQ79" i="21"/>
  <c r="CP79" i="21"/>
  <c r="AZ79" i="21" s="1"/>
  <c r="GD79" i="21"/>
  <c r="GG79" i="21"/>
  <c r="GK79" i="21"/>
  <c r="GA79" i="21"/>
  <c r="GC79" i="21"/>
  <c r="GB79" i="21"/>
  <c r="CO79" i="21"/>
  <c r="AY79" i="21" s="1"/>
  <c r="CT79" i="21"/>
  <c r="GE79" i="21"/>
  <c r="CU79" i="21"/>
  <c r="EC79" i="21" s="1"/>
  <c r="GI79" i="21"/>
  <c r="CM79" i="21"/>
  <c r="AW79" i="21" s="1"/>
  <c r="CL79" i="21"/>
  <c r="AV79" i="21" s="1"/>
  <c r="GF79" i="21"/>
  <c r="CS79" i="21"/>
  <c r="CR79" i="21"/>
  <c r="GL79" i="21"/>
  <c r="CW79" i="21"/>
  <c r="GH79" i="21"/>
  <c r="CV79" i="21"/>
  <c r="GG135" i="21"/>
  <c r="CM135" i="21"/>
  <c r="CL135" i="21"/>
  <c r="CV135" i="21"/>
  <c r="ED135" i="21" s="1"/>
  <c r="CQ135" i="21"/>
  <c r="GI135" i="21"/>
  <c r="GH135" i="21"/>
  <c r="CS135" i="21"/>
  <c r="GE135" i="21"/>
  <c r="CO135" i="21"/>
  <c r="DW135" i="21" s="1"/>
  <c r="GF135" i="21"/>
  <c r="CN135" i="21"/>
  <c r="GC135" i="21"/>
  <c r="GB135" i="21"/>
  <c r="CP135" i="21"/>
  <c r="AZ135" i="21" s="1"/>
  <c r="GA135" i="21"/>
  <c r="CW135" i="21"/>
  <c r="EE135" i="21" s="1"/>
  <c r="CU135" i="21"/>
  <c r="EC135" i="21" s="1"/>
  <c r="CR135" i="21"/>
  <c r="CT135" i="21"/>
  <c r="GD77" i="21"/>
  <c r="CP77" i="21"/>
  <c r="AZ77" i="21" s="1"/>
  <c r="CV77" i="21"/>
  <c r="CR77" i="21"/>
  <c r="GE77" i="21"/>
  <c r="GF77" i="21"/>
  <c r="GA77" i="21"/>
  <c r="CT77" i="21"/>
  <c r="GH77" i="21"/>
  <c r="GG77" i="21"/>
  <c r="CS77" i="21"/>
  <c r="CL77" i="21"/>
  <c r="AV77" i="21" s="1"/>
  <c r="CO77" i="21"/>
  <c r="CU77" i="21"/>
  <c r="EC77" i="21" s="1"/>
  <c r="CQ77" i="21"/>
  <c r="CN77" i="21"/>
  <c r="GC77" i="21"/>
  <c r="GB77" i="21"/>
  <c r="CW77" i="21"/>
  <c r="GK77" i="21"/>
  <c r="GL77" i="21"/>
  <c r="CM77" i="21"/>
  <c r="AW77" i="21" s="1"/>
  <c r="GI77" i="21"/>
  <c r="GG137" i="21"/>
  <c r="GE137" i="21"/>
  <c r="CL137" i="21"/>
  <c r="AV137" i="21" s="1"/>
  <c r="CR137" i="21"/>
  <c r="GI137" i="21"/>
  <c r="GA137" i="21"/>
  <c r="CQ137" i="21"/>
  <c r="GH137" i="21"/>
  <c r="GF137" i="21"/>
  <c r="CN137" i="21"/>
  <c r="DV137" i="21" s="1"/>
  <c r="CV137" i="21"/>
  <c r="ED137" i="21" s="1"/>
  <c r="CM137" i="21"/>
  <c r="GC137" i="21"/>
  <c r="CU137" i="21"/>
  <c r="EC137" i="21" s="1"/>
  <c r="CW137" i="21"/>
  <c r="EE137" i="21" s="1"/>
  <c r="CP137" i="21"/>
  <c r="AZ137" i="21" s="1"/>
  <c r="CS137" i="21"/>
  <c r="CT137" i="21"/>
  <c r="CO137" i="21"/>
  <c r="DW137" i="21" s="1"/>
  <c r="GB137" i="21"/>
  <c r="GI129" i="21"/>
  <c r="GE129" i="21"/>
  <c r="GF129" i="21"/>
  <c r="CM129" i="21"/>
  <c r="AW129" i="21" s="1"/>
  <c r="CU129" i="21"/>
  <c r="EC129" i="21" s="1"/>
  <c r="GG129" i="21"/>
  <c r="GC129" i="21"/>
  <c r="CL129" i="21"/>
  <c r="AV129" i="21" s="1"/>
  <c r="CN129" i="21"/>
  <c r="CV129" i="21"/>
  <c r="ED129" i="21" s="1"/>
  <c r="GH129" i="21"/>
  <c r="GB129" i="21"/>
  <c r="CR129" i="21"/>
  <c r="CW129" i="21"/>
  <c r="EE129" i="21" s="1"/>
  <c r="CT129" i="21"/>
  <c r="CO129" i="21"/>
  <c r="DW129" i="21" s="1"/>
  <c r="GA129" i="21"/>
  <c r="CQ129" i="21"/>
  <c r="CP129" i="21"/>
  <c r="AZ129" i="21" s="1"/>
  <c r="CS129" i="21"/>
  <c r="GF123" i="21"/>
  <c r="GC123" i="21"/>
  <c r="GG123" i="21"/>
  <c r="CP123" i="21"/>
  <c r="AZ123" i="21" s="1"/>
  <c r="CW123" i="21"/>
  <c r="EE123" i="21" s="1"/>
  <c r="CO123" i="21"/>
  <c r="DW123" i="21" s="1"/>
  <c r="CL123" i="21"/>
  <c r="GA123" i="21"/>
  <c r="GI123" i="21"/>
  <c r="CV123" i="21"/>
  <c r="ED123" i="21" s="1"/>
  <c r="CS123" i="21"/>
  <c r="CR123" i="21"/>
  <c r="CM123" i="21"/>
  <c r="GE123" i="21"/>
  <c r="CQ123" i="21"/>
  <c r="CT123" i="21"/>
  <c r="CN123" i="21"/>
  <c r="AX123" i="21" s="1"/>
  <c r="CU123" i="21"/>
  <c r="EC123" i="21" s="1"/>
  <c r="GB123" i="21"/>
  <c r="GH123" i="21"/>
  <c r="GD80" i="21"/>
  <c r="GL80" i="21"/>
  <c r="GG80" i="21"/>
  <c r="GF80" i="21"/>
  <c r="GE80" i="21"/>
  <c r="GA80" i="21"/>
  <c r="CU80" i="21"/>
  <c r="EC80" i="21" s="1"/>
  <c r="CS80" i="21"/>
  <c r="GH80" i="21"/>
  <c r="GI80" i="21"/>
  <c r="GB80" i="21"/>
  <c r="GC80" i="21"/>
  <c r="CN80" i="21"/>
  <c r="CO80" i="21"/>
  <c r="CL80" i="21"/>
  <c r="AV80" i="21" s="1"/>
  <c r="CW80" i="21"/>
  <c r="CV80" i="21"/>
  <c r="ED80" i="21" s="1"/>
  <c r="CM80" i="21"/>
  <c r="CT80" i="21"/>
  <c r="CR80" i="21"/>
  <c r="CP80" i="21"/>
  <c r="CQ80" i="21"/>
  <c r="GA163" i="21"/>
  <c r="CO163" i="21"/>
  <c r="DW163" i="21" s="1"/>
  <c r="GH163" i="21"/>
  <c r="GG163" i="21"/>
  <c r="GB163" i="21"/>
  <c r="CQ163" i="21"/>
  <c r="CP163" i="21"/>
  <c r="AZ163" i="21" s="1"/>
  <c r="CS163" i="21"/>
  <c r="GI163" i="21"/>
  <c r="CV163" i="21"/>
  <c r="ED163" i="21" s="1"/>
  <c r="GC163" i="21"/>
  <c r="CL163" i="21"/>
  <c r="GF163" i="21"/>
  <c r="GE163" i="21"/>
  <c r="CM163" i="21"/>
  <c r="CR163" i="21"/>
  <c r="CT163" i="21"/>
  <c r="CW163" i="21"/>
  <c r="EE163" i="21" s="1"/>
  <c r="CU163" i="21"/>
  <c r="EC163" i="21" s="1"/>
  <c r="CN163" i="21"/>
  <c r="DV163" i="21" s="1"/>
  <c r="GE166" i="21"/>
  <c r="CQ166" i="21"/>
  <c r="CV166" i="21"/>
  <c r="ED166" i="21" s="1"/>
  <c r="CS166" i="21"/>
  <c r="CO166" i="21"/>
  <c r="DW166" i="21" s="1"/>
  <c r="GR166" i="21" s="1"/>
  <c r="CW166" i="21"/>
  <c r="EE166" i="21" s="1"/>
  <c r="CN166" i="21"/>
  <c r="DV166" i="21" s="1"/>
  <c r="GI166" i="21"/>
  <c r="GG166" i="21"/>
  <c r="GC166" i="21"/>
  <c r="CU166" i="21"/>
  <c r="EC166" i="21" s="1"/>
  <c r="CM166" i="21"/>
  <c r="GF166" i="21"/>
  <c r="GH166" i="21"/>
  <c r="CR166" i="21"/>
  <c r="GA166" i="21"/>
  <c r="CP166" i="21"/>
  <c r="AZ166" i="21" s="1"/>
  <c r="CT166" i="21"/>
  <c r="CL166" i="21"/>
  <c r="GB166" i="21"/>
  <c r="GI87" i="21"/>
  <c r="CN87" i="21"/>
  <c r="CS87" i="21"/>
  <c r="GD87" i="21"/>
  <c r="GF87" i="21"/>
  <c r="CU87" i="21"/>
  <c r="EC87" i="21" s="1"/>
  <c r="CL87" i="21"/>
  <c r="CP87" i="21"/>
  <c r="CV87" i="21"/>
  <c r="ED87" i="21" s="1"/>
  <c r="GB87" i="21"/>
  <c r="CQ87" i="21"/>
  <c r="GA87" i="21"/>
  <c r="CO87" i="21"/>
  <c r="AY87" i="21" s="1"/>
  <c r="CW87" i="21"/>
  <c r="GH87" i="21"/>
  <c r="CR87" i="21"/>
  <c r="GL87" i="21"/>
  <c r="GG87" i="21"/>
  <c r="CT87" i="21"/>
  <c r="CM87" i="21"/>
  <c r="AW87" i="21" s="1"/>
  <c r="GE87" i="21"/>
  <c r="GC87" i="21"/>
  <c r="CW109" i="21"/>
  <c r="EE109" i="21" s="1"/>
  <c r="GC109" i="21"/>
  <c r="CL109" i="21"/>
  <c r="AV109" i="21" s="1"/>
  <c r="GA109" i="21"/>
  <c r="CS109" i="21"/>
  <c r="GB109" i="21"/>
  <c r="GF109" i="21"/>
  <c r="CV109" i="21"/>
  <c r="ED109" i="21" s="1"/>
  <c r="CO109" i="21"/>
  <c r="AY109" i="21" s="1"/>
  <c r="GI109" i="21"/>
  <c r="GH109" i="21"/>
  <c r="CP109" i="21"/>
  <c r="CR109" i="21"/>
  <c r="CM109" i="21"/>
  <c r="CT109" i="21"/>
  <c r="CQ109" i="21"/>
  <c r="CU109" i="21"/>
  <c r="EC109" i="21" s="1"/>
  <c r="CN109" i="21"/>
  <c r="AX109" i="21" s="1"/>
  <c r="GE109" i="21"/>
  <c r="GG109" i="21"/>
  <c r="GD109" i="21"/>
  <c r="GA122" i="21"/>
  <c r="GE122" i="21"/>
  <c r="CW122" i="21"/>
  <c r="EE122" i="21" s="1"/>
  <c r="GF122" i="21"/>
  <c r="CO122" i="21"/>
  <c r="DW122" i="21" s="1"/>
  <c r="CS122" i="21"/>
  <c r="GH122" i="21"/>
  <c r="CN122" i="21"/>
  <c r="AX122" i="21" s="1"/>
  <c r="GC122" i="21"/>
  <c r="CU122" i="21"/>
  <c r="EC122" i="21" s="1"/>
  <c r="GG122" i="21"/>
  <c r="CR122" i="21"/>
  <c r="CV122" i="21"/>
  <c r="ED122" i="21" s="1"/>
  <c r="CP122" i="21"/>
  <c r="AZ122" i="21" s="1"/>
  <c r="CQ122" i="21"/>
  <c r="CL122" i="21"/>
  <c r="AV122" i="21" s="1"/>
  <c r="CM122" i="21"/>
  <c r="AW122" i="21" s="1"/>
  <c r="GB122" i="21"/>
  <c r="GI122" i="21"/>
  <c r="CT122" i="21"/>
  <c r="GL103" i="21"/>
  <c r="CN103" i="21"/>
  <c r="AX103" i="21" s="1"/>
  <c r="CW103" i="21"/>
  <c r="CP103" i="21"/>
  <c r="GC103" i="21"/>
  <c r="CV103" i="21"/>
  <c r="ED103" i="21" s="1"/>
  <c r="GE103" i="21"/>
  <c r="GB103" i="21"/>
  <c r="GD103" i="21"/>
  <c r="CR103" i="21"/>
  <c r="CS103" i="21"/>
  <c r="GA103" i="21"/>
  <c r="GH103" i="21"/>
  <c r="GG103" i="21"/>
  <c r="CM103" i="21"/>
  <c r="AW103" i="21" s="1"/>
  <c r="GI103" i="21"/>
  <c r="CQ103" i="21"/>
  <c r="GF103" i="21"/>
  <c r="CL103" i="21"/>
  <c r="AV103" i="21" s="1"/>
  <c r="CU103" i="21"/>
  <c r="EC103" i="21" s="1"/>
  <c r="CO103" i="21"/>
  <c r="CT103" i="21"/>
  <c r="GH116" i="21"/>
  <c r="GG116" i="21"/>
  <c r="CL116" i="21"/>
  <c r="AV116" i="21" s="1"/>
  <c r="GA116" i="21"/>
  <c r="GE116" i="21"/>
  <c r="CM116" i="21"/>
  <c r="AW116" i="21" s="1"/>
  <c r="CP116" i="21"/>
  <c r="AZ116" i="21" s="1"/>
  <c r="GF116" i="21"/>
  <c r="GI116" i="21"/>
  <c r="GC116" i="21"/>
  <c r="CV116" i="21"/>
  <c r="ED116" i="21" s="1"/>
  <c r="CU116" i="21"/>
  <c r="EC116" i="21" s="1"/>
  <c r="GB116" i="21"/>
  <c r="CN116" i="21"/>
  <c r="CR116" i="21"/>
  <c r="CQ116" i="21"/>
  <c r="CW116" i="21"/>
  <c r="EE116" i="21" s="1"/>
  <c r="CS116" i="21"/>
  <c r="CT116" i="21"/>
  <c r="CO116" i="21"/>
  <c r="DW116" i="21" s="1"/>
  <c r="CV93" i="21"/>
  <c r="ED93" i="21" s="1"/>
  <c r="CN93" i="21"/>
  <c r="AX93" i="21" s="1"/>
  <c r="GE93" i="21"/>
  <c r="GF93" i="21"/>
  <c r="GC93" i="21"/>
  <c r="GD93" i="21"/>
  <c r="CT93" i="21"/>
  <c r="GG93" i="21"/>
  <c r="GH93" i="21"/>
  <c r="CR93" i="21"/>
  <c r="GL93" i="21"/>
  <c r="CW93" i="21"/>
  <c r="CU93" i="21"/>
  <c r="EC93" i="21" s="1"/>
  <c r="CQ93" i="21"/>
  <c r="CL93" i="21"/>
  <c r="CP93" i="21"/>
  <c r="CO93" i="21"/>
  <c r="AY93" i="21" s="1"/>
  <c r="GI93" i="21"/>
  <c r="CS93" i="21"/>
  <c r="CM93" i="21"/>
  <c r="GB93" i="21"/>
  <c r="GA93" i="21"/>
  <c r="CM173" i="21"/>
  <c r="DU173" i="21" s="1"/>
  <c r="GP173" i="21" s="1"/>
  <c r="CN173" i="21"/>
  <c r="DV173" i="21" s="1"/>
  <c r="GQ173" i="21" s="1"/>
  <c r="CL173" i="21"/>
  <c r="CO173" i="21"/>
  <c r="DW173" i="21" s="1"/>
  <c r="GR173" i="21" s="1"/>
  <c r="GG173" i="21"/>
  <c r="GI173" i="21"/>
  <c r="CQ173" i="21"/>
  <c r="GH173" i="21"/>
  <c r="GE173" i="21"/>
  <c r="CR173" i="21"/>
  <c r="CP173" i="21"/>
  <c r="AZ173" i="21" s="1"/>
  <c r="CS173" i="21"/>
  <c r="CT173" i="21"/>
  <c r="CW173" i="21"/>
  <c r="CU173" i="21"/>
  <c r="EC173" i="21" s="1"/>
  <c r="GA173" i="21"/>
  <c r="CV173" i="21"/>
  <c r="ED173" i="21" s="1"/>
  <c r="GF173" i="21"/>
  <c r="GF74" i="21"/>
  <c r="CL74" i="21"/>
  <c r="AV74" i="21" s="1"/>
  <c r="GA74" i="21"/>
  <c r="CR74" i="21"/>
  <c r="GI74" i="21"/>
  <c r="CT74" i="21"/>
  <c r="GC74" i="21"/>
  <c r="CW74" i="21"/>
  <c r="GB74" i="21"/>
  <c r="CU74" i="21"/>
  <c r="EC74" i="21" s="1"/>
  <c r="CS74" i="21"/>
  <c r="CQ74" i="21"/>
  <c r="CO74" i="21"/>
  <c r="AY74" i="21" s="1"/>
  <c r="GL74" i="21"/>
  <c r="GD74" i="21"/>
  <c r="GH74" i="21"/>
  <c r="GE74" i="21"/>
  <c r="CN74" i="21"/>
  <c r="AX74" i="21" s="1"/>
  <c r="CV74" i="21"/>
  <c r="ED74" i="21" s="1"/>
  <c r="GG74" i="21"/>
  <c r="CM74" i="21"/>
  <c r="CP74" i="21"/>
  <c r="AZ74" i="21" s="1"/>
  <c r="GH71" i="21"/>
  <c r="GK71" i="21"/>
  <c r="CQ71" i="21"/>
  <c r="GI71" i="21"/>
  <c r="GB71" i="21"/>
  <c r="GL71" i="21"/>
  <c r="CS71" i="21"/>
  <c r="CL71" i="21"/>
  <c r="AV71" i="21" s="1"/>
  <c r="GG71" i="21"/>
  <c r="CO71" i="21"/>
  <c r="AY71" i="21" s="1"/>
  <c r="GD71" i="21"/>
  <c r="GA71" i="21"/>
  <c r="CN71" i="21"/>
  <c r="AX71" i="21" s="1"/>
  <c r="CU71" i="21"/>
  <c r="CP71" i="21"/>
  <c r="AZ71" i="21" s="1"/>
  <c r="CW71" i="21"/>
  <c r="CR71" i="21"/>
  <c r="GE71" i="21"/>
  <c r="GC71" i="21"/>
  <c r="CM71" i="21"/>
  <c r="GF71" i="21"/>
  <c r="CV71" i="21"/>
  <c r="CT71" i="21"/>
  <c r="GC72" i="21"/>
  <c r="GH72" i="21"/>
  <c r="GD72" i="21"/>
  <c r="CS72" i="21"/>
  <c r="CR72" i="21"/>
  <c r="GA72" i="21"/>
  <c r="CM72" i="21"/>
  <c r="AW72" i="21" s="1"/>
  <c r="GL72" i="21"/>
  <c r="CV72" i="21"/>
  <c r="CN72" i="21"/>
  <c r="CL72" i="21"/>
  <c r="AV72" i="21" s="1"/>
  <c r="GE72" i="21"/>
  <c r="CQ72" i="21"/>
  <c r="GK72" i="21"/>
  <c r="GB72" i="21"/>
  <c r="CU72" i="21"/>
  <c r="EC72" i="21" s="1"/>
  <c r="CO72" i="21"/>
  <c r="AY72" i="21" s="1"/>
  <c r="GF72" i="21"/>
  <c r="CT72" i="21"/>
  <c r="GG72" i="21"/>
  <c r="GI72" i="21"/>
  <c r="CP72" i="21"/>
  <c r="AZ72" i="21" s="1"/>
  <c r="CW72" i="21"/>
  <c r="GG150" i="21"/>
  <c r="GH150" i="21"/>
  <c r="CP150" i="21"/>
  <c r="CU150" i="21"/>
  <c r="EC150" i="21" s="1"/>
  <c r="CW150" i="21"/>
  <c r="EE150" i="21" s="1"/>
  <c r="CN150" i="21"/>
  <c r="DV150" i="21" s="1"/>
  <c r="GC150" i="21"/>
  <c r="CO150" i="21"/>
  <c r="GE150" i="21"/>
  <c r="CL150" i="21"/>
  <c r="CV150" i="21"/>
  <c r="ED150" i="21" s="1"/>
  <c r="GA150" i="21"/>
  <c r="GI150" i="21"/>
  <c r="GB150" i="21"/>
  <c r="CQ150" i="21"/>
  <c r="CT150" i="21"/>
  <c r="CR150" i="21"/>
  <c r="GF150" i="21"/>
  <c r="CS150" i="21"/>
  <c r="CM150" i="21"/>
  <c r="CM146" i="21"/>
  <c r="CP146" i="21"/>
  <c r="AZ146" i="21" s="1"/>
  <c r="CO146" i="21"/>
  <c r="DW146" i="21" s="1"/>
  <c r="CR146" i="21"/>
  <c r="GG146" i="21"/>
  <c r="GH146" i="21"/>
  <c r="GB146" i="21"/>
  <c r="GA146" i="21"/>
  <c r="GI146" i="21"/>
  <c r="GE146" i="21"/>
  <c r="CQ146" i="21"/>
  <c r="GC146" i="21"/>
  <c r="CU146" i="21"/>
  <c r="EC146" i="21" s="1"/>
  <c r="CT146" i="21"/>
  <c r="CW146" i="21"/>
  <c r="EE146" i="21" s="1"/>
  <c r="CN146" i="21"/>
  <c r="AX146" i="21" s="1"/>
  <c r="CV146" i="21"/>
  <c r="ED146" i="21" s="1"/>
  <c r="CL146" i="21"/>
  <c r="AV146" i="21" s="1"/>
  <c r="CS146" i="21"/>
  <c r="GF146" i="21"/>
  <c r="GB95" i="21"/>
  <c r="GH95" i="21"/>
  <c r="CM95" i="21"/>
  <c r="AW95" i="21" s="1"/>
  <c r="CO95" i="21"/>
  <c r="AY95" i="21" s="1"/>
  <c r="CU95" i="21"/>
  <c r="EC95" i="21" s="1"/>
  <c r="GC95" i="21"/>
  <c r="CN95" i="21"/>
  <c r="AX95" i="21" s="1"/>
  <c r="CP95" i="21"/>
  <c r="AZ95" i="21" s="1"/>
  <c r="GF95" i="21"/>
  <c r="GG95" i="21"/>
  <c r="GL95" i="21"/>
  <c r="GA95" i="21"/>
  <c r="GD95" i="21"/>
  <c r="GI95" i="21"/>
  <c r="CQ95" i="21"/>
  <c r="CS95" i="21"/>
  <c r="CV95" i="21"/>
  <c r="ED95" i="21" s="1"/>
  <c r="CT95" i="21"/>
  <c r="GE95" i="21"/>
  <c r="CW95" i="21"/>
  <c r="CL95" i="21"/>
  <c r="CR95" i="21"/>
  <c r="CN96" i="21"/>
  <c r="AX96" i="21" s="1"/>
  <c r="CS96" i="21"/>
  <c r="CU96" i="21"/>
  <c r="EC96" i="21" s="1"/>
  <c r="GF96" i="21"/>
  <c r="CW96" i="21"/>
  <c r="EE96" i="21" s="1"/>
  <c r="CR96" i="21"/>
  <c r="GI96" i="21"/>
  <c r="GA96" i="21"/>
  <c r="CQ96" i="21"/>
  <c r="GG96" i="21"/>
  <c r="GB96" i="21"/>
  <c r="CM96" i="21"/>
  <c r="AW96" i="21" s="1"/>
  <c r="GC96" i="21"/>
  <c r="GE96" i="21"/>
  <c r="CL96" i="21"/>
  <c r="AV96" i="21" s="1"/>
  <c r="CV96" i="21"/>
  <c r="ED96" i="21" s="1"/>
  <c r="CP96" i="21"/>
  <c r="AZ96" i="21" s="1"/>
  <c r="CT96" i="21"/>
  <c r="GD96" i="21"/>
  <c r="CO96" i="21"/>
  <c r="GH96" i="21"/>
  <c r="CR138" i="21"/>
  <c r="CT138" i="21"/>
  <c r="CW138" i="21"/>
  <c r="EE138" i="21" s="1"/>
  <c r="GH138" i="21"/>
  <c r="GC138" i="21"/>
  <c r="CP138" i="21"/>
  <c r="AZ138" i="21" s="1"/>
  <c r="GE138" i="21"/>
  <c r="CO138" i="21"/>
  <c r="DW138" i="21" s="1"/>
  <c r="GF138" i="21"/>
  <c r="GB138" i="21"/>
  <c r="CS138" i="21"/>
  <c r="CM138" i="21"/>
  <c r="GA138" i="21"/>
  <c r="GI138" i="21"/>
  <c r="CQ138" i="21"/>
  <c r="CN138" i="21"/>
  <c r="GG138" i="21"/>
  <c r="CL138" i="21"/>
  <c r="CV138" i="21"/>
  <c r="ED138" i="21" s="1"/>
  <c r="CU138" i="21"/>
  <c r="EC138" i="21" s="1"/>
  <c r="GB145" i="21"/>
  <c r="CU145" i="21"/>
  <c r="EC145" i="21" s="1"/>
  <c r="GE145" i="21"/>
  <c r="CT145" i="21"/>
  <c r="CR145" i="21"/>
  <c r="CM145" i="21"/>
  <c r="CO145" i="21"/>
  <c r="DW145" i="21" s="1"/>
  <c r="CV145" i="21"/>
  <c r="ED145" i="21" s="1"/>
  <c r="CL145" i="21"/>
  <c r="AV145" i="21" s="1"/>
  <c r="GI145" i="21"/>
  <c r="GG145" i="21"/>
  <c r="GC145" i="21"/>
  <c r="CW145" i="21"/>
  <c r="EE145" i="21" s="1"/>
  <c r="CQ145" i="21"/>
  <c r="GH145" i="21"/>
  <c r="CP145" i="21"/>
  <c r="AZ145" i="21" s="1"/>
  <c r="GF145" i="21"/>
  <c r="CN145" i="21"/>
  <c r="AX145" i="21" s="1"/>
  <c r="CS145" i="21"/>
  <c r="GA145" i="21"/>
  <c r="GG113" i="21"/>
  <c r="CM113" i="21"/>
  <c r="CL113" i="21"/>
  <c r="AV113" i="21" s="1"/>
  <c r="CS113" i="21"/>
  <c r="GE113" i="21"/>
  <c r="GF113" i="21"/>
  <c r="GA113" i="21"/>
  <c r="GI113" i="21"/>
  <c r="CU113" i="21"/>
  <c r="EC113" i="21" s="1"/>
  <c r="CV113" i="21"/>
  <c r="ED113" i="21" s="1"/>
  <c r="GB113" i="21"/>
  <c r="GC113" i="21"/>
  <c r="GH113" i="21"/>
  <c r="CQ113" i="21"/>
  <c r="CO113" i="21"/>
  <c r="AY113" i="21" s="1"/>
  <c r="CW113" i="21"/>
  <c r="EE113" i="21" s="1"/>
  <c r="CR113" i="21"/>
  <c r="CN113" i="21"/>
  <c r="CT113" i="21"/>
  <c r="GD113" i="21"/>
  <c r="CP113" i="21"/>
  <c r="CO105" i="21"/>
  <c r="CQ105" i="21"/>
  <c r="CV105" i="21"/>
  <c r="ED105" i="21" s="1"/>
  <c r="GD105" i="21"/>
  <c r="CU105" i="21"/>
  <c r="EC105" i="21" s="1"/>
  <c r="CW105" i="21"/>
  <c r="GL105" i="21"/>
  <c r="GC105" i="21"/>
  <c r="GA105" i="21"/>
  <c r="GH105" i="21"/>
  <c r="CN105" i="21"/>
  <c r="GF105" i="21"/>
  <c r="GG105" i="21"/>
  <c r="CP105" i="21"/>
  <c r="CT105" i="21"/>
  <c r="CS105" i="21"/>
  <c r="CM105" i="21"/>
  <c r="AW105" i="21" s="1"/>
  <c r="GE105" i="21"/>
  <c r="CR105" i="21"/>
  <c r="CL105" i="21"/>
  <c r="AV105" i="21" s="1"/>
  <c r="GB105" i="21"/>
  <c r="GI105" i="21"/>
  <c r="CO172" i="21"/>
  <c r="DW172" i="21" s="1"/>
  <c r="GR172" i="21" s="1"/>
  <c r="CQ172" i="21"/>
  <c r="GA172" i="21"/>
  <c r="GH172" i="21"/>
  <c r="CL172" i="21"/>
  <c r="CR172" i="21"/>
  <c r="CW172" i="21"/>
  <c r="EE172" i="21" s="1"/>
  <c r="CU172" i="21"/>
  <c r="EC172" i="21" s="1"/>
  <c r="CP172" i="21"/>
  <c r="AZ172" i="21" s="1"/>
  <c r="CM172" i="21"/>
  <c r="DU172" i="21" s="1"/>
  <c r="GP172" i="21" s="1"/>
  <c r="GF172" i="21"/>
  <c r="GG172" i="21"/>
  <c r="GE172" i="21"/>
  <c r="CT172" i="21"/>
  <c r="GI172" i="21"/>
  <c r="CV172" i="21"/>
  <c r="CS172" i="21"/>
  <c r="CN172" i="21"/>
  <c r="DV172" i="21" s="1"/>
  <c r="GQ172" i="21" s="1"/>
  <c r="CL185" i="21"/>
  <c r="DT185" i="21" s="1"/>
  <c r="GO185" i="21" s="1"/>
  <c r="CP185" i="21"/>
  <c r="AZ185" i="21" s="1"/>
  <c r="GF185" i="21"/>
  <c r="GE185" i="21"/>
  <c r="CU185" i="21"/>
  <c r="EC185" i="21" s="1"/>
  <c r="CN185" i="21"/>
  <c r="DV185" i="21" s="1"/>
  <c r="GQ185" i="21" s="1"/>
  <c r="GI185" i="21"/>
  <c r="CW185" i="21"/>
  <c r="CO185" i="21"/>
  <c r="DW185" i="21" s="1"/>
  <c r="GR185" i="21" s="1"/>
  <c r="CV185" i="21"/>
  <c r="ED185" i="21" s="1"/>
  <c r="GG185" i="21"/>
  <c r="GH185" i="21"/>
  <c r="CM185" i="21"/>
  <c r="DU185" i="21" s="1"/>
  <c r="GP185" i="21" s="1"/>
  <c r="CS185" i="21"/>
  <c r="CQ185" i="21"/>
  <c r="CR185" i="21"/>
  <c r="CT185" i="21"/>
  <c r="GA156" i="21"/>
  <c r="CR156" i="21"/>
  <c r="GB156" i="21"/>
  <c r="GG156" i="21"/>
  <c r="CS156" i="21"/>
  <c r="CQ156" i="21"/>
  <c r="GH156" i="21"/>
  <c r="CN156" i="21"/>
  <c r="DV156" i="21" s="1"/>
  <c r="GI156" i="21"/>
  <c r="CW156" i="21"/>
  <c r="EE156" i="21" s="1"/>
  <c r="CL156" i="21"/>
  <c r="GC156" i="21"/>
  <c r="CU156" i="21"/>
  <c r="EC156" i="21" s="1"/>
  <c r="CM156" i="21"/>
  <c r="CO156" i="21"/>
  <c r="CP156" i="21"/>
  <c r="AZ156" i="21" s="1"/>
  <c r="CT156" i="21"/>
  <c r="GF156" i="21"/>
  <c r="CV156" i="21"/>
  <c r="ED156" i="21" s="1"/>
  <c r="GE156" i="21"/>
  <c r="GG159" i="21"/>
  <c r="CO159" i="21"/>
  <c r="DW159" i="21" s="1"/>
  <c r="CM159" i="21"/>
  <c r="GF159" i="21"/>
  <c r="GH159" i="21"/>
  <c r="GC159" i="21"/>
  <c r="CR159" i="21"/>
  <c r="GE159" i="21"/>
  <c r="GB159" i="21"/>
  <c r="GA159" i="21"/>
  <c r="CU159" i="21"/>
  <c r="CN159" i="21"/>
  <c r="DV159" i="21" s="1"/>
  <c r="CW159" i="21"/>
  <c r="EE159" i="21" s="1"/>
  <c r="CP159" i="21"/>
  <c r="AZ159" i="21" s="1"/>
  <c r="CS159" i="21"/>
  <c r="CQ159" i="21"/>
  <c r="CV159" i="21"/>
  <c r="ED159" i="21" s="1"/>
  <c r="CL159" i="21"/>
  <c r="GI159" i="21"/>
  <c r="CT159" i="21"/>
  <c r="CM183" i="21"/>
  <c r="DU183" i="21" s="1"/>
  <c r="GP183" i="21" s="1"/>
  <c r="CU183" i="21"/>
  <c r="EC183" i="21" s="1"/>
  <c r="CS183" i="21"/>
  <c r="CO183" i="21"/>
  <c r="DW183" i="21" s="1"/>
  <c r="GR183" i="21" s="1"/>
  <c r="GE183" i="21"/>
  <c r="GI183" i="21"/>
  <c r="GF183" i="21"/>
  <c r="CN183" i="21"/>
  <c r="DV183" i="21" s="1"/>
  <c r="GQ183" i="21" s="1"/>
  <c r="GG183" i="21"/>
  <c r="CP183" i="21"/>
  <c r="AZ183" i="21" s="1"/>
  <c r="CW183" i="21"/>
  <c r="EE183" i="21" s="1"/>
  <c r="CR183" i="21"/>
  <c r="CL183" i="21"/>
  <c r="DT183" i="21" s="1"/>
  <c r="GO183" i="21" s="1"/>
  <c r="GH183" i="21"/>
  <c r="CQ183" i="21"/>
  <c r="CT183" i="21"/>
  <c r="CV183" i="21"/>
  <c r="ED183" i="21" s="1"/>
  <c r="CL179" i="21"/>
  <c r="DT179" i="21" s="1"/>
  <c r="GO179" i="21" s="1"/>
  <c r="GH179" i="21"/>
  <c r="CV179" i="21"/>
  <c r="ED179" i="21" s="1"/>
  <c r="GE179" i="21"/>
  <c r="CW179" i="21"/>
  <c r="EE179" i="21" s="1"/>
  <c r="CR179" i="21"/>
  <c r="GG179" i="21"/>
  <c r="GI179" i="21"/>
  <c r="GF179" i="21"/>
  <c r="CM179" i="21"/>
  <c r="DU179" i="21" s="1"/>
  <c r="GP179" i="21" s="1"/>
  <c r="CU179" i="21"/>
  <c r="EC179" i="21" s="1"/>
  <c r="CQ179" i="21"/>
  <c r="CN179" i="21"/>
  <c r="DV179" i="21" s="1"/>
  <c r="GQ179" i="21" s="1"/>
  <c r="CT179" i="21"/>
  <c r="CP179" i="21"/>
  <c r="AZ179" i="21" s="1"/>
  <c r="CO179" i="21"/>
  <c r="DW179" i="21" s="1"/>
  <c r="GR179" i="21" s="1"/>
  <c r="CS179" i="21"/>
  <c r="GH86" i="21"/>
  <c r="CO86" i="21"/>
  <c r="GF86" i="21"/>
  <c r="CU86" i="21"/>
  <c r="EC86" i="21" s="1"/>
  <c r="GB86" i="21"/>
  <c r="CS86" i="21"/>
  <c r="CP86" i="21"/>
  <c r="AZ86" i="21" s="1"/>
  <c r="CM86" i="21"/>
  <c r="AW86" i="21" s="1"/>
  <c r="CV86" i="21"/>
  <c r="ED86" i="21" s="1"/>
  <c r="GC86" i="21"/>
  <c r="GL86" i="21"/>
  <c r="CR86" i="21"/>
  <c r="GD86" i="21"/>
  <c r="GI86" i="21"/>
  <c r="GG86" i="21"/>
  <c r="CN86" i="21"/>
  <c r="CW86" i="21"/>
  <c r="GE86" i="21"/>
  <c r="CT86" i="21"/>
  <c r="CL86" i="21"/>
  <c r="AV86" i="21" s="1"/>
  <c r="GA86" i="21"/>
  <c r="CQ86" i="21"/>
  <c r="GF81" i="21"/>
  <c r="CO81" i="21"/>
  <c r="GA81" i="21"/>
  <c r="GL81" i="21"/>
  <c r="CR81" i="21"/>
  <c r="GE81" i="21"/>
  <c r="GD81" i="21"/>
  <c r="GB81" i="21"/>
  <c r="CV81" i="21"/>
  <c r="ED81" i="21" s="1"/>
  <c r="CS81" i="21"/>
  <c r="CT81" i="21"/>
  <c r="CM81" i="21"/>
  <c r="AW81" i="21" s="1"/>
  <c r="CU81" i="21"/>
  <c r="EC81" i="21" s="1"/>
  <c r="GC81" i="21"/>
  <c r="CP81" i="21"/>
  <c r="AZ81" i="21" s="1"/>
  <c r="CW81" i="21"/>
  <c r="GG81" i="21"/>
  <c r="CL81" i="21"/>
  <c r="CQ81" i="21"/>
  <c r="GH81" i="21"/>
  <c r="CN81" i="21"/>
  <c r="GI81" i="21"/>
  <c r="GD82" i="21"/>
  <c r="CW82" i="21"/>
  <c r="GE82" i="21"/>
  <c r="CS82" i="21"/>
  <c r="GC82" i="21"/>
  <c r="CR82" i="21"/>
  <c r="CO82" i="21"/>
  <c r="CL82" i="21"/>
  <c r="AV82" i="21" s="1"/>
  <c r="GF82" i="21"/>
  <c r="CM82" i="21"/>
  <c r="GG82" i="21"/>
  <c r="GB82" i="21"/>
  <c r="CU82" i="21"/>
  <c r="EC82" i="21" s="1"/>
  <c r="CN82" i="21"/>
  <c r="GA82" i="21"/>
  <c r="GL82" i="21"/>
  <c r="CP82" i="21"/>
  <c r="AZ82" i="21" s="1"/>
  <c r="CQ82" i="21"/>
  <c r="CV82" i="21"/>
  <c r="ED82" i="21" s="1"/>
  <c r="GI82" i="21"/>
  <c r="GH82" i="21"/>
  <c r="CT82" i="21"/>
  <c r="GC115" i="21"/>
  <c r="CS115" i="21"/>
  <c r="CO115" i="21"/>
  <c r="AY115" i="21" s="1"/>
  <c r="CU115" i="21"/>
  <c r="EC115" i="21" s="1"/>
  <c r="CR115" i="21"/>
  <c r="CL115" i="21"/>
  <c r="AV115" i="21" s="1"/>
  <c r="GB115" i="21"/>
  <c r="GG115" i="21"/>
  <c r="CT115" i="21"/>
  <c r="GH115" i="21"/>
  <c r="GD115" i="21"/>
  <c r="GE115" i="21"/>
  <c r="CW115" i="21"/>
  <c r="EE115" i="21" s="1"/>
  <c r="CV115" i="21"/>
  <c r="ED115" i="21" s="1"/>
  <c r="CM115" i="21"/>
  <c r="AW115" i="21" s="1"/>
  <c r="CN115" i="21"/>
  <c r="AX115" i="21" s="1"/>
  <c r="GF115" i="21"/>
  <c r="GA115" i="21"/>
  <c r="GI115" i="21"/>
  <c r="CP115" i="21"/>
  <c r="AZ115" i="21" s="1"/>
  <c r="CQ115" i="21"/>
  <c r="GE97" i="21"/>
  <c r="CV97" i="21"/>
  <c r="ED97" i="21" s="1"/>
  <c r="GB97" i="21"/>
  <c r="GF97" i="21"/>
  <c r="GG97" i="21"/>
  <c r="GH97" i="21"/>
  <c r="CO97" i="21"/>
  <c r="AY97" i="21" s="1"/>
  <c r="CL97" i="21"/>
  <c r="AV97" i="21" s="1"/>
  <c r="GC97" i="21"/>
  <c r="CT97" i="21"/>
  <c r="CU97" i="21"/>
  <c r="EC97" i="21" s="1"/>
  <c r="CQ97" i="21"/>
  <c r="CR97" i="21"/>
  <c r="GA97" i="21"/>
  <c r="CM97" i="21"/>
  <c r="AW97" i="21" s="1"/>
  <c r="GI97" i="21"/>
  <c r="GD97" i="21"/>
  <c r="CS97" i="21"/>
  <c r="CP97" i="21"/>
  <c r="AZ97" i="21" s="1"/>
  <c r="CN97" i="21"/>
  <c r="AX97" i="21" s="1"/>
  <c r="CW97" i="21"/>
  <c r="EE97" i="21" s="1"/>
  <c r="GA127" i="21"/>
  <c r="CT127" i="21"/>
  <c r="GG127" i="21"/>
  <c r="GB127" i="21"/>
  <c r="GC127" i="21"/>
  <c r="CQ127" i="21"/>
  <c r="GE127" i="21"/>
  <c r="CS127" i="21"/>
  <c r="GI127" i="21"/>
  <c r="GH127" i="21"/>
  <c r="CN127" i="21"/>
  <c r="CL127" i="21"/>
  <c r="AV127" i="21" s="1"/>
  <c r="CO127" i="21"/>
  <c r="DW127" i="21" s="1"/>
  <c r="CM127" i="21"/>
  <c r="AW127" i="21" s="1"/>
  <c r="CP127" i="21"/>
  <c r="CW127" i="21"/>
  <c r="EE127" i="21" s="1"/>
  <c r="CV127" i="21"/>
  <c r="ED127" i="21" s="1"/>
  <c r="GF127" i="21"/>
  <c r="CU127" i="21"/>
  <c r="EC127" i="21" s="1"/>
  <c r="CR127" i="21"/>
  <c r="GE108" i="21"/>
  <c r="CN108" i="21"/>
  <c r="AX108" i="21" s="1"/>
  <c r="CM108" i="21"/>
  <c r="AW108" i="21" s="1"/>
  <c r="CW108" i="21"/>
  <c r="CS108" i="21"/>
  <c r="GC108" i="21"/>
  <c r="CT108" i="21"/>
  <c r="CP108" i="21"/>
  <c r="AZ108" i="21" s="1"/>
  <c r="GF108" i="21"/>
  <c r="GD108" i="21"/>
  <c r="GL108" i="21"/>
  <c r="GI108" i="21"/>
  <c r="CR108" i="21"/>
  <c r="CU108" i="21"/>
  <c r="EC108" i="21" s="1"/>
  <c r="GH108" i="21"/>
  <c r="CQ108" i="21"/>
  <c r="CV108" i="21"/>
  <c r="ED108" i="21" s="1"/>
  <c r="GB108" i="21"/>
  <c r="GA108" i="21"/>
  <c r="CL108" i="21"/>
  <c r="AV108" i="21" s="1"/>
  <c r="GG108" i="21"/>
  <c r="CO108" i="21"/>
  <c r="AY108" i="21" s="1"/>
  <c r="CN143" i="21"/>
  <c r="CT143" i="21"/>
  <c r="CR143" i="21"/>
  <c r="GG143" i="21"/>
  <c r="GC143" i="21"/>
  <c r="GB143" i="21"/>
  <c r="GE143" i="21"/>
  <c r="CV143" i="21"/>
  <c r="ED143" i="21" s="1"/>
  <c r="CO143" i="21"/>
  <c r="DW143" i="21" s="1"/>
  <c r="CM143" i="21"/>
  <c r="CL143" i="21"/>
  <c r="CP143" i="21"/>
  <c r="CQ143" i="21"/>
  <c r="CS143" i="21"/>
  <c r="CW143" i="21"/>
  <c r="EE143" i="21" s="1"/>
  <c r="GA143" i="21"/>
  <c r="GH143" i="21"/>
  <c r="GI143" i="21"/>
  <c r="CU143" i="21"/>
  <c r="EC143" i="21" s="1"/>
  <c r="GF143" i="21"/>
  <c r="CL165" i="21"/>
  <c r="CP165" i="21"/>
  <c r="GC165" i="21"/>
  <c r="CV165" i="21"/>
  <c r="ED165" i="21" s="1"/>
  <c r="CO165" i="21"/>
  <c r="DW165" i="21" s="1"/>
  <c r="GR165" i="21" s="1"/>
  <c r="GF165" i="21"/>
  <c r="GB165" i="21"/>
  <c r="GG165" i="21"/>
  <c r="CR165" i="21"/>
  <c r="GH165" i="21"/>
  <c r="GE165" i="21"/>
  <c r="GI165" i="21"/>
  <c r="CM165" i="21"/>
  <c r="CS165" i="21"/>
  <c r="CT165" i="21"/>
  <c r="GA165" i="21"/>
  <c r="CN165" i="21"/>
  <c r="DV165" i="21" s="1"/>
  <c r="CU165" i="21"/>
  <c r="EC165" i="21" s="1"/>
  <c r="CQ165" i="21"/>
  <c r="CW165" i="21"/>
  <c r="EE165" i="21" s="1"/>
  <c r="CS147" i="21"/>
  <c r="CN147" i="21"/>
  <c r="GI147" i="21"/>
  <c r="CU147" i="21"/>
  <c r="EC147" i="21" s="1"/>
  <c r="CT147" i="21"/>
  <c r="GB147" i="21"/>
  <c r="GF147" i="21"/>
  <c r="GA147" i="21"/>
  <c r="GH147" i="21"/>
  <c r="CW147" i="21"/>
  <c r="EE147" i="21" s="1"/>
  <c r="CR147" i="21"/>
  <c r="GG147" i="21"/>
  <c r="CV147" i="21"/>
  <c r="ED147" i="21" s="1"/>
  <c r="CQ147" i="21"/>
  <c r="CO147" i="21"/>
  <c r="DW147" i="21" s="1"/>
  <c r="CP147" i="21"/>
  <c r="CL147" i="21"/>
  <c r="GE147" i="21"/>
  <c r="GC147" i="21"/>
  <c r="CM147" i="21"/>
  <c r="GE158" i="21"/>
  <c r="CS158" i="21"/>
  <c r="CU158" i="21"/>
  <c r="EC158" i="21" s="1"/>
  <c r="CW158" i="21"/>
  <c r="EE158" i="21" s="1"/>
  <c r="CM158" i="21"/>
  <c r="CP158" i="21"/>
  <c r="AZ158" i="21" s="1"/>
  <c r="CO158" i="21"/>
  <c r="DW158" i="21" s="1"/>
  <c r="GH158" i="21"/>
  <c r="GG158" i="21"/>
  <c r="GB158" i="21"/>
  <c r="GC158" i="21"/>
  <c r="CT158" i="21"/>
  <c r="CR158" i="21"/>
  <c r="CV158" i="21"/>
  <c r="ED158" i="21" s="1"/>
  <c r="CQ158" i="21"/>
  <c r="GF158" i="21"/>
  <c r="CN158" i="21"/>
  <c r="DV158" i="21" s="1"/>
  <c r="CL158" i="21"/>
  <c r="GA158" i="21"/>
  <c r="GI158" i="21"/>
  <c r="GI99" i="21"/>
  <c r="GH99" i="21"/>
  <c r="CV99" i="21"/>
  <c r="ED99" i="21" s="1"/>
  <c r="GC99" i="21"/>
  <c r="CR99" i="21"/>
  <c r="GA99" i="21"/>
  <c r="GF99" i="21"/>
  <c r="CM99" i="21"/>
  <c r="AW99" i="21" s="1"/>
  <c r="GE99" i="21"/>
  <c r="CS99" i="21"/>
  <c r="CN99" i="21"/>
  <c r="AX99" i="21" s="1"/>
  <c r="GB99" i="21"/>
  <c r="CO99" i="21"/>
  <c r="AY99" i="21" s="1"/>
  <c r="CP99" i="21"/>
  <c r="GD99" i="21"/>
  <c r="CL99" i="21"/>
  <c r="AV99" i="21" s="1"/>
  <c r="CT99" i="21"/>
  <c r="GG99" i="21"/>
  <c r="CU99" i="21"/>
  <c r="EC99" i="21" s="1"/>
  <c r="CW99" i="21"/>
  <c r="EE99" i="21" s="1"/>
  <c r="CQ99" i="21"/>
  <c r="GG102" i="21"/>
  <c r="CQ102" i="21"/>
  <c r="GH102" i="21"/>
  <c r="GF102" i="21"/>
  <c r="CT102" i="21"/>
  <c r="GI102" i="21"/>
  <c r="CM102" i="21"/>
  <c r="AW102" i="21" s="1"/>
  <c r="GC102" i="21"/>
  <c r="GE102" i="21"/>
  <c r="GA102" i="21"/>
  <c r="GB102" i="21"/>
  <c r="CU102" i="21"/>
  <c r="EC102" i="21" s="1"/>
  <c r="CP102" i="21"/>
  <c r="AZ102" i="21" s="1"/>
  <c r="CN102" i="21"/>
  <c r="AX102" i="21" s="1"/>
  <c r="CO102" i="21"/>
  <c r="AY102" i="21" s="1"/>
  <c r="CL102" i="21"/>
  <c r="GD102" i="21"/>
  <c r="CR102" i="21"/>
  <c r="CV102" i="21"/>
  <c r="ED102" i="21" s="1"/>
  <c r="CW102" i="21"/>
  <c r="EE102" i="21" s="1"/>
  <c r="CS102" i="21"/>
  <c r="CM188" i="21"/>
  <c r="DU188" i="21" s="1"/>
  <c r="GP188" i="21" s="1"/>
  <c r="CU188" i="21"/>
  <c r="EC188" i="21" s="1"/>
  <c r="CT188" i="21"/>
  <c r="CS188" i="21"/>
  <c r="GH188" i="21"/>
  <c r="CQ188" i="21"/>
  <c r="GF188" i="21"/>
  <c r="GI188" i="21"/>
  <c r="GE188" i="21"/>
  <c r="CP188" i="21"/>
  <c r="CN188" i="21"/>
  <c r="DV188" i="21" s="1"/>
  <c r="GQ188" i="21" s="1"/>
  <c r="CW188" i="21"/>
  <c r="GG188" i="21"/>
  <c r="CO188" i="21"/>
  <c r="DW188" i="21" s="1"/>
  <c r="GR188" i="21" s="1"/>
  <c r="CV188" i="21"/>
  <c r="ED188" i="21" s="1"/>
  <c r="CR188" i="21"/>
  <c r="CL188" i="21"/>
  <c r="DT188" i="21" s="1"/>
  <c r="GO188" i="21" s="1"/>
  <c r="CO180" i="21"/>
  <c r="DW180" i="21" s="1"/>
  <c r="GR180" i="21" s="1"/>
  <c r="CN180" i="21"/>
  <c r="DV180" i="21" s="1"/>
  <c r="GQ180" i="21" s="1"/>
  <c r="CW180" i="21"/>
  <c r="EE180" i="21" s="1"/>
  <c r="GE180" i="21"/>
  <c r="CR180" i="21"/>
  <c r="GI180" i="21"/>
  <c r="CM180" i="21"/>
  <c r="DU180" i="21" s="1"/>
  <c r="GP180" i="21" s="1"/>
  <c r="CQ180" i="21"/>
  <c r="CL180" i="21"/>
  <c r="DT180" i="21" s="1"/>
  <c r="GO180" i="21" s="1"/>
  <c r="GF180" i="21"/>
  <c r="CV180" i="21"/>
  <c r="ED180" i="21" s="1"/>
  <c r="CP180" i="21"/>
  <c r="AZ180" i="21" s="1"/>
  <c r="GG180" i="21"/>
  <c r="CS180" i="21"/>
  <c r="GH180" i="21"/>
  <c r="CU180" i="21"/>
  <c r="CT180" i="21"/>
  <c r="CW88" i="21"/>
  <c r="GK88" i="21"/>
  <c r="CO88" i="21"/>
  <c r="GE88" i="21"/>
  <c r="CQ88" i="21"/>
  <c r="CN88" i="21"/>
  <c r="AX88" i="21" s="1"/>
  <c r="CR88" i="21"/>
  <c r="GC88" i="21"/>
  <c r="GB88" i="21"/>
  <c r="CP88" i="21"/>
  <c r="AZ88" i="21" s="1"/>
  <c r="CS88" i="21"/>
  <c r="GF88" i="21"/>
  <c r="CM88" i="21"/>
  <c r="AW88" i="21" s="1"/>
  <c r="CV88" i="21"/>
  <c r="CT88" i="21"/>
  <c r="GL88" i="21"/>
  <c r="CU88" i="21"/>
  <c r="EC88" i="21" s="1"/>
  <c r="GH88" i="21"/>
  <c r="GG88" i="21"/>
  <c r="GI88" i="21"/>
  <c r="CL88" i="21"/>
  <c r="GA88" i="21"/>
  <c r="GD88" i="21"/>
  <c r="GI75" i="21"/>
  <c r="GC75" i="21"/>
  <c r="GE75" i="21"/>
  <c r="GL75" i="21"/>
  <c r="CN75" i="21"/>
  <c r="CM75" i="21"/>
  <c r="AW75" i="21" s="1"/>
  <c r="CW75" i="21"/>
  <c r="CQ75" i="21"/>
  <c r="GA75" i="21"/>
  <c r="CO75" i="21"/>
  <c r="GD75" i="21"/>
  <c r="CR75" i="21"/>
  <c r="GB75" i="21"/>
  <c r="GF75" i="21"/>
  <c r="CS75" i="21"/>
  <c r="CL75" i="21"/>
  <c r="AV75" i="21" s="1"/>
  <c r="GH75" i="21"/>
  <c r="CV75" i="21"/>
  <c r="ED75" i="21" s="1"/>
  <c r="CP75" i="21"/>
  <c r="CU75" i="21"/>
  <c r="CT75" i="21"/>
  <c r="GG75" i="21"/>
  <c r="GH100" i="21"/>
  <c r="GC100" i="21"/>
  <c r="GA100" i="21"/>
  <c r="CV100" i="21"/>
  <c r="ED100" i="21" s="1"/>
  <c r="GD100" i="21"/>
  <c r="CQ100" i="21"/>
  <c r="GG100" i="21"/>
  <c r="CP100" i="21"/>
  <c r="GF100" i="21"/>
  <c r="GE100" i="21"/>
  <c r="GI100" i="21"/>
  <c r="GB100" i="21"/>
  <c r="CN100" i="21"/>
  <c r="CU100" i="21"/>
  <c r="CW100" i="21"/>
  <c r="CM100" i="21"/>
  <c r="AW100" i="21" s="1"/>
  <c r="CL100" i="21"/>
  <c r="AV100" i="21" s="1"/>
  <c r="CR100" i="21"/>
  <c r="CS100" i="21"/>
  <c r="CO100" i="21"/>
  <c r="CT100" i="21"/>
  <c r="GB132" i="21"/>
  <c r="CR132" i="21"/>
  <c r="GA132" i="21"/>
  <c r="CM132" i="21"/>
  <c r="GE132" i="21"/>
  <c r="GG132" i="21"/>
  <c r="CT132" i="21"/>
  <c r="CN132" i="21"/>
  <c r="CP132" i="21"/>
  <c r="GI132" i="21"/>
  <c r="CW132" i="21"/>
  <c r="EE132" i="21" s="1"/>
  <c r="CQ132" i="21"/>
  <c r="CO132" i="21"/>
  <c r="DW132" i="21" s="1"/>
  <c r="CS132" i="21"/>
  <c r="GH132" i="21"/>
  <c r="GC132" i="21"/>
  <c r="CV132" i="21"/>
  <c r="GF132" i="21"/>
  <c r="CL132" i="21"/>
  <c r="CU132" i="21"/>
  <c r="EC132" i="21" s="1"/>
  <c r="GA171" i="21"/>
  <c r="CT171" i="21"/>
  <c r="GH171" i="21"/>
  <c r="CN171" i="21"/>
  <c r="DV171" i="21" s="1"/>
  <c r="GQ171" i="21" s="1"/>
  <c r="GI171" i="21"/>
  <c r="CL171" i="21"/>
  <c r="CO171" i="21"/>
  <c r="DW171" i="21" s="1"/>
  <c r="GR171" i="21" s="1"/>
  <c r="CM171" i="21"/>
  <c r="DU171" i="21" s="1"/>
  <c r="GP171" i="21" s="1"/>
  <c r="GG171" i="21"/>
  <c r="CS171" i="21"/>
  <c r="CU171" i="21"/>
  <c r="EC171" i="21" s="1"/>
  <c r="CQ171" i="21"/>
  <c r="GF171" i="21"/>
  <c r="CR171" i="21"/>
  <c r="GE171" i="21"/>
  <c r="CV171" i="21"/>
  <c r="ED171" i="21" s="1"/>
  <c r="CW171" i="21"/>
  <c r="EE171" i="21" s="1"/>
  <c r="CP171" i="21"/>
  <c r="AZ171" i="21" s="1"/>
  <c r="GI167" i="21"/>
  <c r="GH167" i="21"/>
  <c r="CQ167" i="21"/>
  <c r="CP167" i="21"/>
  <c r="CO167" i="21"/>
  <c r="DW167" i="21" s="1"/>
  <c r="GR167" i="21" s="1"/>
  <c r="CM167" i="21"/>
  <c r="DU167" i="21" s="1"/>
  <c r="GP167" i="21" s="1"/>
  <c r="GG167" i="21"/>
  <c r="GA167" i="21"/>
  <c r="CS167" i="21"/>
  <c r="GC167" i="21"/>
  <c r="CN167" i="21"/>
  <c r="DV167" i="21" s="1"/>
  <c r="CW167" i="21"/>
  <c r="EE167" i="21" s="1"/>
  <c r="CV167" i="21"/>
  <c r="CT167" i="21"/>
  <c r="CU167" i="21"/>
  <c r="EC167" i="21" s="1"/>
  <c r="GF167" i="21"/>
  <c r="GE167" i="21"/>
  <c r="CR167" i="21"/>
  <c r="CL167" i="21"/>
  <c r="GC91" i="21"/>
  <c r="GG91" i="21"/>
  <c r="GH91" i="21"/>
  <c r="CM91" i="21"/>
  <c r="CR91" i="21"/>
  <c r="GB91" i="21"/>
  <c r="GI91" i="21"/>
  <c r="GE91" i="21"/>
  <c r="GD91" i="21"/>
  <c r="CP91" i="21"/>
  <c r="AZ91" i="21" s="1"/>
  <c r="CU91" i="21"/>
  <c r="EC91" i="21" s="1"/>
  <c r="CL91" i="21"/>
  <c r="GF91" i="21"/>
  <c r="GA91" i="21"/>
  <c r="CQ91" i="21"/>
  <c r="CO91" i="21"/>
  <c r="CV91" i="21"/>
  <c r="ED91" i="21" s="1"/>
  <c r="CS91" i="21"/>
  <c r="CT91" i="21"/>
  <c r="CN91" i="21"/>
  <c r="AX91" i="21" s="1"/>
  <c r="CW91" i="21"/>
  <c r="EE91" i="21" s="1"/>
  <c r="GA151" i="21"/>
  <c r="CO151" i="21"/>
  <c r="DW151" i="21" s="1"/>
  <c r="CN151" i="21"/>
  <c r="CV151" i="21"/>
  <c r="ED151" i="21" s="1"/>
  <c r="CQ151" i="21"/>
  <c r="CM151" i="21"/>
  <c r="CP151" i="21"/>
  <c r="AZ151" i="21" s="1"/>
  <c r="GE151" i="21"/>
  <c r="GG151" i="21"/>
  <c r="GF151" i="21"/>
  <c r="CU151" i="21"/>
  <c r="GH151" i="21"/>
  <c r="CR151" i="21"/>
  <c r="GC151" i="21"/>
  <c r="GI151" i="21"/>
  <c r="GB151" i="21"/>
  <c r="CL151" i="21"/>
  <c r="CS151" i="21"/>
  <c r="CT151" i="21"/>
  <c r="CW151" i="21"/>
  <c r="GA153" i="21"/>
  <c r="GB153" i="21"/>
  <c r="GF153" i="21"/>
  <c r="CM153" i="21"/>
  <c r="CU153" i="21"/>
  <c r="EC153" i="21" s="1"/>
  <c r="GC153" i="21"/>
  <c r="GH153" i="21"/>
  <c r="CT153" i="21"/>
  <c r="GI153" i="21"/>
  <c r="GG153" i="21"/>
  <c r="CP153" i="21"/>
  <c r="AZ153" i="21" s="1"/>
  <c r="CS153" i="21"/>
  <c r="CV153" i="21"/>
  <c r="ED153" i="21" s="1"/>
  <c r="CW153" i="21"/>
  <c r="EE153" i="21" s="1"/>
  <c r="GE153" i="21"/>
  <c r="CN153" i="21"/>
  <c r="CR153" i="21"/>
  <c r="CQ153" i="21"/>
  <c r="CL153" i="21"/>
  <c r="CO153" i="21"/>
  <c r="DW153" i="21" s="1"/>
  <c r="GH148" i="21"/>
  <c r="GF148" i="21"/>
  <c r="CW148" i="21"/>
  <c r="CM148" i="21"/>
  <c r="GG148" i="21"/>
  <c r="GB148" i="21"/>
  <c r="CT148" i="21"/>
  <c r="GI148" i="21"/>
  <c r="GE148" i="21"/>
  <c r="CV148" i="21"/>
  <c r="ED148" i="21" s="1"/>
  <c r="GA148" i="21"/>
  <c r="CU148" i="21"/>
  <c r="EC148" i="21" s="1"/>
  <c r="CP148" i="21"/>
  <c r="AZ148" i="21" s="1"/>
  <c r="CO148" i="21"/>
  <c r="DW148" i="21" s="1"/>
  <c r="CR148" i="21"/>
  <c r="CL148" i="21"/>
  <c r="CS148" i="21"/>
  <c r="CN148" i="21"/>
  <c r="DV148" i="21" s="1"/>
  <c r="CQ148" i="21"/>
  <c r="GC148" i="21"/>
  <c r="CV128" i="21"/>
  <c r="ED128" i="21" s="1"/>
  <c r="CO128" i="21"/>
  <c r="DW128" i="21" s="1"/>
  <c r="CP128" i="21"/>
  <c r="AZ128" i="21" s="1"/>
  <c r="CN128" i="21"/>
  <c r="CR128" i="21"/>
  <c r="CS128" i="21"/>
  <c r="GI128" i="21"/>
  <c r="GC128" i="21"/>
  <c r="GE128" i="21"/>
  <c r="GA128" i="21"/>
  <c r="GB128" i="21"/>
  <c r="GF128" i="21"/>
  <c r="GG128" i="21"/>
  <c r="CW128" i="21"/>
  <c r="EE128" i="21" s="1"/>
  <c r="CL128" i="21"/>
  <c r="CQ128" i="21"/>
  <c r="GH128" i="21"/>
  <c r="CT128" i="21"/>
  <c r="CM128" i="21"/>
  <c r="AW128" i="21" s="1"/>
  <c r="CU128" i="21"/>
  <c r="EC128" i="21" s="1"/>
  <c r="GA152" i="21"/>
  <c r="GH152" i="21"/>
  <c r="GI152" i="21"/>
  <c r="CO152" i="21"/>
  <c r="GG152" i="21"/>
  <c r="CR152" i="21"/>
  <c r="CM152" i="21"/>
  <c r="GE152" i="21"/>
  <c r="CQ152" i="21"/>
  <c r="CS152" i="21"/>
  <c r="CN152" i="21"/>
  <c r="CL152" i="21"/>
  <c r="GC152" i="21"/>
  <c r="GF152" i="21"/>
  <c r="CP152" i="21"/>
  <c r="AZ152" i="21" s="1"/>
  <c r="CT152" i="21"/>
  <c r="CW152" i="21"/>
  <c r="EE152" i="21" s="1"/>
  <c r="CU152" i="21"/>
  <c r="EC152" i="21" s="1"/>
  <c r="CV152" i="21"/>
  <c r="GB152" i="21"/>
  <c r="CL184" i="21"/>
  <c r="DT184" i="21" s="1"/>
  <c r="GO184" i="21" s="1"/>
  <c r="CS184" i="21"/>
  <c r="CM184" i="21"/>
  <c r="DU184" i="21" s="1"/>
  <c r="GP184" i="21" s="1"/>
  <c r="GI184" i="21"/>
  <c r="CQ184" i="21"/>
  <c r="CW184" i="21"/>
  <c r="EE184" i="21" s="1"/>
  <c r="GG184" i="21"/>
  <c r="GF184" i="21"/>
  <c r="GH184" i="21"/>
  <c r="CO184" i="21"/>
  <c r="DW184" i="21" s="1"/>
  <c r="GR184" i="21" s="1"/>
  <c r="CR184" i="21"/>
  <c r="CN184" i="21"/>
  <c r="DV184" i="21" s="1"/>
  <c r="GQ184" i="21" s="1"/>
  <c r="CP184" i="21"/>
  <c r="AZ184" i="21" s="1"/>
  <c r="CV184" i="21"/>
  <c r="ED184" i="21" s="1"/>
  <c r="GE184" i="21"/>
  <c r="CT184" i="21"/>
  <c r="CU184" i="21"/>
  <c r="EC184" i="21" s="1"/>
  <c r="CO175" i="21"/>
  <c r="DW175" i="21" s="1"/>
  <c r="GR175" i="21" s="1"/>
  <c r="CS175" i="21"/>
  <c r="CL175" i="21"/>
  <c r="DT175" i="21" s="1"/>
  <c r="GO175" i="21" s="1"/>
  <c r="GH175" i="21"/>
  <c r="CW175" i="21"/>
  <c r="EE175" i="21" s="1"/>
  <c r="CT175" i="21"/>
  <c r="GI175" i="21"/>
  <c r="CV175" i="21"/>
  <c r="CU175" i="21"/>
  <c r="CP175" i="21"/>
  <c r="AZ175" i="21" s="1"/>
  <c r="CM175" i="21"/>
  <c r="DU175" i="21" s="1"/>
  <c r="GP175" i="21" s="1"/>
  <c r="GE175" i="21"/>
  <c r="CN175" i="21"/>
  <c r="DV175" i="21" s="1"/>
  <c r="GQ175" i="21" s="1"/>
  <c r="CQ175" i="21"/>
  <c r="CR175" i="21"/>
  <c r="GG175" i="21"/>
  <c r="GF175" i="21"/>
  <c r="GF70" i="21"/>
  <c r="GB70" i="21"/>
  <c r="CS70" i="21"/>
  <c r="CL70" i="21"/>
  <c r="AV70" i="21" s="1"/>
  <c r="GI70" i="21"/>
  <c r="GA70" i="21"/>
  <c r="CU70" i="21"/>
  <c r="CP70" i="21"/>
  <c r="GL70" i="21"/>
  <c r="CQ70" i="21"/>
  <c r="GG70" i="21"/>
  <c r="GD70" i="21"/>
  <c r="CR70" i="21"/>
  <c r="CW70" i="21"/>
  <c r="CT70" i="21"/>
  <c r="GE70" i="21"/>
  <c r="CO70" i="21"/>
  <c r="AY70" i="21" s="1"/>
  <c r="CN70" i="21"/>
  <c r="AX70" i="21" s="1"/>
  <c r="GC70" i="21"/>
  <c r="GH70" i="21"/>
  <c r="CM70" i="21"/>
  <c r="CV70" i="21"/>
  <c r="GK70" i="21"/>
  <c r="GB76" i="21"/>
  <c r="GF76" i="21"/>
  <c r="GI76" i="21"/>
  <c r="GA76" i="21"/>
  <c r="GE76" i="21"/>
  <c r="GC76" i="21"/>
  <c r="CT76" i="21"/>
  <c r="CV76" i="21"/>
  <c r="CW76" i="21"/>
  <c r="GL76" i="21"/>
  <c r="CL76" i="21"/>
  <c r="AV76" i="21" s="1"/>
  <c r="CS76" i="21"/>
  <c r="GG76" i="21"/>
  <c r="GH76" i="21"/>
  <c r="CM76" i="21"/>
  <c r="AW76" i="21" s="1"/>
  <c r="CP76" i="21"/>
  <c r="CU76" i="21"/>
  <c r="CO76" i="21"/>
  <c r="AY76" i="21" s="1"/>
  <c r="GD76" i="21"/>
  <c r="GK76" i="21"/>
  <c r="CR76" i="21"/>
  <c r="CN76" i="21"/>
  <c r="AX76" i="21" s="1"/>
  <c r="CQ76" i="21"/>
  <c r="CR155" i="21"/>
  <c r="CS155" i="21"/>
  <c r="CN155" i="21"/>
  <c r="DV155" i="21" s="1"/>
  <c r="CT155" i="21"/>
  <c r="CP155" i="21"/>
  <c r="CM155" i="21"/>
  <c r="GI155" i="21"/>
  <c r="GB155" i="21"/>
  <c r="GC155" i="21"/>
  <c r="GG155" i="21"/>
  <c r="CO155" i="21"/>
  <c r="DW155" i="21" s="1"/>
  <c r="GE155" i="21"/>
  <c r="CL155" i="21"/>
  <c r="GF155" i="21"/>
  <c r="CU155" i="21"/>
  <c r="EC155" i="21" s="1"/>
  <c r="GH155" i="21"/>
  <c r="CW155" i="21"/>
  <c r="GA155" i="21"/>
  <c r="CV155" i="21"/>
  <c r="ED155" i="21" s="1"/>
  <c r="CQ155" i="21"/>
  <c r="CV157" i="21"/>
  <c r="ED157" i="21" s="1"/>
  <c r="GI157" i="21"/>
  <c r="CM157" i="21"/>
  <c r="CQ157" i="21"/>
  <c r="GB157" i="21"/>
  <c r="CU157" i="21"/>
  <c r="CL157" i="21"/>
  <c r="GG157" i="21"/>
  <c r="GH157" i="21"/>
  <c r="GA157" i="21"/>
  <c r="CN157" i="21"/>
  <c r="DV157" i="21" s="1"/>
  <c r="CP157" i="21"/>
  <c r="AZ157" i="21" s="1"/>
  <c r="CT157" i="21"/>
  <c r="GF157" i="21"/>
  <c r="CS157" i="21"/>
  <c r="GC157" i="21"/>
  <c r="CO157" i="21"/>
  <c r="DW157" i="21" s="1"/>
  <c r="CR157" i="21"/>
  <c r="GE157" i="21"/>
  <c r="CW157" i="21"/>
  <c r="EE157" i="21" s="1"/>
  <c r="GD111" i="21"/>
  <c r="CL111" i="21"/>
  <c r="AV111" i="21" s="1"/>
  <c r="GE111" i="21"/>
  <c r="GI111" i="21"/>
  <c r="CM111" i="21"/>
  <c r="GH111" i="21"/>
  <c r="CT111" i="21"/>
  <c r="GF111" i="21"/>
  <c r="CU111" i="21"/>
  <c r="CW111" i="21"/>
  <c r="CN111" i="21"/>
  <c r="AX111" i="21" s="1"/>
  <c r="CS111" i="21"/>
  <c r="GC111" i="21"/>
  <c r="GA111" i="21"/>
  <c r="GB111" i="21"/>
  <c r="CQ111" i="21"/>
  <c r="CO111" i="21"/>
  <c r="GG111" i="21"/>
  <c r="CP111" i="21"/>
  <c r="AZ111" i="21" s="1"/>
  <c r="CV111" i="21"/>
  <c r="ED111" i="21" s="1"/>
  <c r="CR111" i="21"/>
  <c r="GL111" i="21"/>
  <c r="CT124" i="21"/>
  <c r="GA124" i="21"/>
  <c r="CV124" i="21"/>
  <c r="CP124" i="21"/>
  <c r="GE124" i="21"/>
  <c r="GF124" i="21"/>
  <c r="CU124" i="21"/>
  <c r="EC124" i="21" s="1"/>
  <c r="GI124" i="21"/>
  <c r="GH124" i="21"/>
  <c r="GG124" i="21"/>
  <c r="CR124" i="21"/>
  <c r="CM124" i="21"/>
  <c r="CO124" i="21"/>
  <c r="DW124" i="21" s="1"/>
  <c r="GC124" i="21"/>
  <c r="GB124" i="21"/>
  <c r="CL124" i="21"/>
  <c r="CQ124" i="21"/>
  <c r="CW124" i="21"/>
  <c r="EE124" i="21" s="1"/>
  <c r="CN124" i="21"/>
  <c r="CS124" i="21"/>
  <c r="GH130" i="21"/>
  <c r="GI130" i="21"/>
  <c r="CM130" i="21"/>
  <c r="AW130" i="21" s="1"/>
  <c r="CV130" i="21"/>
  <c r="ED130" i="21" s="1"/>
  <c r="CR130" i="21"/>
  <c r="CP130" i="21"/>
  <c r="AZ130" i="21" s="1"/>
  <c r="CQ130" i="21"/>
  <c r="GE130" i="21"/>
  <c r="GA130" i="21"/>
  <c r="GB130" i="21"/>
  <c r="CS130" i="21"/>
  <c r="GF130" i="21"/>
  <c r="GC130" i="21"/>
  <c r="CT130" i="21"/>
  <c r="CO130" i="21"/>
  <c r="CN130" i="21"/>
  <c r="CL130" i="21"/>
  <c r="AV130" i="21" s="1"/>
  <c r="GG130" i="21"/>
  <c r="CU130" i="21"/>
  <c r="EC130" i="21" s="1"/>
  <c r="CW130" i="21"/>
  <c r="EE130" i="21" s="1"/>
  <c r="GG121" i="21"/>
  <c r="GC121" i="21"/>
  <c r="GH121" i="21"/>
  <c r="CN121" i="21"/>
  <c r="AX121" i="21" s="1"/>
  <c r="CU121" i="21"/>
  <c r="EC121" i="21" s="1"/>
  <c r="CQ121" i="21"/>
  <c r="CO121" i="21"/>
  <c r="DW121" i="21" s="1"/>
  <c r="CP121" i="21"/>
  <c r="AZ121" i="21" s="1"/>
  <c r="CW121" i="21"/>
  <c r="EE121" i="21" s="1"/>
  <c r="GF121" i="21"/>
  <c r="GI121" i="21"/>
  <c r="GB121" i="21"/>
  <c r="GA121" i="21"/>
  <c r="CS121" i="21"/>
  <c r="CM121" i="21"/>
  <c r="GE121" i="21"/>
  <c r="CL121" i="21"/>
  <c r="AV121" i="21" s="1"/>
  <c r="CR121" i="21"/>
  <c r="CV121" i="21"/>
  <c r="ED121" i="21" s="1"/>
  <c r="CT121" i="21"/>
  <c r="CQ142" i="21"/>
  <c r="GI142" i="21"/>
  <c r="CO142" i="21"/>
  <c r="DW142" i="21" s="1"/>
  <c r="CM142" i="21"/>
  <c r="CP142" i="21"/>
  <c r="AZ142" i="21" s="1"/>
  <c r="GG142" i="21"/>
  <c r="GE142" i="21"/>
  <c r="GF142" i="21"/>
  <c r="GB142" i="21"/>
  <c r="CS142" i="21"/>
  <c r="CU142" i="21"/>
  <c r="EC142" i="21" s="1"/>
  <c r="CV142" i="21"/>
  <c r="ED142" i="21" s="1"/>
  <c r="GC142" i="21"/>
  <c r="CT142" i="21"/>
  <c r="CR142" i="21"/>
  <c r="CW142" i="21"/>
  <c r="EE142" i="21" s="1"/>
  <c r="CN142" i="21"/>
  <c r="DV142" i="21" s="1"/>
  <c r="CL142" i="21"/>
  <c r="GA142" i="21"/>
  <c r="GH142" i="21"/>
  <c r="GI125" i="21"/>
  <c r="CP125" i="21"/>
  <c r="AZ125" i="21" s="1"/>
  <c r="CR125" i="21"/>
  <c r="CS125" i="21"/>
  <c r="GE125" i="21"/>
  <c r="CV125" i="21"/>
  <c r="ED125" i="21" s="1"/>
  <c r="GG125" i="21"/>
  <c r="GF125" i="21"/>
  <c r="CM125" i="21"/>
  <c r="AW125" i="21" s="1"/>
  <c r="GH125" i="21"/>
  <c r="CN125" i="21"/>
  <c r="GB125" i="21"/>
  <c r="GA125" i="21"/>
  <c r="CQ125" i="21"/>
  <c r="GC125" i="21"/>
  <c r="CU125" i="21"/>
  <c r="EC125" i="21" s="1"/>
  <c r="CW125" i="21"/>
  <c r="EE125" i="21" s="1"/>
  <c r="CL125" i="21"/>
  <c r="CT125" i="21"/>
  <c r="CO125" i="21"/>
  <c r="DW125" i="21" s="1"/>
  <c r="CU161" i="21"/>
  <c r="EC161" i="21" s="1"/>
  <c r="CQ161" i="21"/>
  <c r="CL161" i="21"/>
  <c r="GA161" i="21"/>
  <c r="CM161" i="21"/>
  <c r="GB161" i="21"/>
  <c r="GG161" i="21"/>
  <c r="CN161" i="21"/>
  <c r="DV161" i="21" s="1"/>
  <c r="GE161" i="21"/>
  <c r="GI161" i="21"/>
  <c r="GF161" i="21"/>
  <c r="CR161" i="21"/>
  <c r="CO161" i="21"/>
  <c r="DW161" i="21" s="1"/>
  <c r="CV161" i="21"/>
  <c r="ED161" i="21" s="1"/>
  <c r="CP161" i="21"/>
  <c r="CT161" i="21"/>
  <c r="GC161" i="21"/>
  <c r="CS161" i="21"/>
  <c r="CW161" i="21"/>
  <c r="EE161" i="21" s="1"/>
  <c r="GH161" i="21"/>
  <c r="GA149" i="21"/>
  <c r="CM149" i="21"/>
  <c r="CU149" i="21"/>
  <c r="CO149" i="21"/>
  <c r="GG149" i="21"/>
  <c r="CT149" i="21"/>
  <c r="GB149" i="21"/>
  <c r="GF149" i="21"/>
  <c r="GI149" i="21"/>
  <c r="GH149" i="21"/>
  <c r="GC149" i="21"/>
  <c r="CR149" i="21"/>
  <c r="CN149" i="21"/>
  <c r="DV149" i="21" s="1"/>
  <c r="CW149" i="21"/>
  <c r="EE149" i="21" s="1"/>
  <c r="CV149" i="21"/>
  <c r="ED149" i="21" s="1"/>
  <c r="CP149" i="21"/>
  <c r="AZ149" i="21" s="1"/>
  <c r="CQ149" i="21"/>
  <c r="CS149" i="21"/>
  <c r="CL149" i="21"/>
  <c r="GE149" i="21"/>
  <c r="CO178" i="21"/>
  <c r="DW178" i="21" s="1"/>
  <c r="GR178" i="21" s="1"/>
  <c r="CS178" i="21"/>
  <c r="GE178" i="21"/>
  <c r="CM178" i="21"/>
  <c r="DU178" i="21" s="1"/>
  <c r="GP178" i="21" s="1"/>
  <c r="CP178" i="21"/>
  <c r="AZ178" i="21" s="1"/>
  <c r="CR178" i="21"/>
  <c r="CL178" i="21"/>
  <c r="DT178" i="21" s="1"/>
  <c r="GO178" i="21" s="1"/>
  <c r="CQ178" i="21"/>
  <c r="CV178" i="21"/>
  <c r="ED178" i="21" s="1"/>
  <c r="CN178" i="21"/>
  <c r="DV178" i="21" s="1"/>
  <c r="GQ178" i="21" s="1"/>
  <c r="GH178" i="21"/>
  <c r="CT178" i="21"/>
  <c r="CW178" i="21"/>
  <c r="GF178" i="21"/>
  <c r="CU178" i="21"/>
  <c r="EC178" i="21" s="1"/>
  <c r="GG178" i="21"/>
  <c r="GI178" i="21"/>
  <c r="CQ187" i="21"/>
  <c r="CW187" i="21"/>
  <c r="GF187" i="21"/>
  <c r="CR187" i="21"/>
  <c r="CO187" i="21"/>
  <c r="DW187" i="21" s="1"/>
  <c r="GR187" i="21" s="1"/>
  <c r="GI187" i="21"/>
  <c r="CV187" i="21"/>
  <c r="CL187" i="21"/>
  <c r="DT187" i="21" s="1"/>
  <c r="GO187" i="21" s="1"/>
  <c r="CM187" i="21"/>
  <c r="DU187" i="21" s="1"/>
  <c r="GP187" i="21" s="1"/>
  <c r="CS187" i="21"/>
  <c r="CN187" i="21"/>
  <c r="DV187" i="21" s="1"/>
  <c r="GQ187" i="21" s="1"/>
  <c r="CT187" i="21"/>
  <c r="GE187" i="21"/>
  <c r="CU187" i="21"/>
  <c r="GH187" i="21"/>
  <c r="CP187" i="21"/>
  <c r="AZ187" i="21" s="1"/>
  <c r="GG187" i="21"/>
  <c r="CO176" i="21"/>
  <c r="DW176" i="21" s="1"/>
  <c r="GR176" i="21" s="1"/>
  <c r="CS176" i="21"/>
  <c r="GH176" i="21"/>
  <c r="CT176" i="21"/>
  <c r="CW176" i="21"/>
  <c r="EE176" i="21" s="1"/>
  <c r="CU176" i="21"/>
  <c r="GI176" i="21"/>
  <c r="GG176" i="21"/>
  <c r="CM176" i="21"/>
  <c r="DU176" i="21" s="1"/>
  <c r="GP176" i="21" s="1"/>
  <c r="CR176" i="21"/>
  <c r="GF176" i="21"/>
  <c r="CP176" i="21"/>
  <c r="AZ176" i="21" s="1"/>
  <c r="CL176" i="21"/>
  <c r="DT176" i="21" s="1"/>
  <c r="GO176" i="21" s="1"/>
  <c r="CQ176" i="21"/>
  <c r="CV176" i="21"/>
  <c r="ED176" i="21" s="1"/>
  <c r="CN176" i="21"/>
  <c r="DV176" i="21" s="1"/>
  <c r="GQ176" i="21" s="1"/>
  <c r="GE176" i="21"/>
  <c r="GK105" i="21"/>
  <c r="BU98" i="21"/>
  <c r="CD110" i="21"/>
  <c r="BY139" i="21"/>
  <c r="AN131" i="21"/>
  <c r="AO125" i="21"/>
  <c r="GK101" i="21"/>
  <c r="GD116" i="21"/>
  <c r="BY101" i="21"/>
  <c r="CD134" i="21"/>
  <c r="GL96" i="21"/>
  <c r="CE140" i="21"/>
  <c r="AZ177" i="21"/>
  <c r="ED169" i="21"/>
  <c r="AW90" i="21"/>
  <c r="AZ164" i="21"/>
  <c r="EC169" i="21"/>
  <c r="ED141" i="21"/>
  <c r="DV164" i="21"/>
  <c r="AV141" i="21"/>
  <c r="AZ169" i="21"/>
  <c r="GC68" i="21"/>
  <c r="GD68" i="21"/>
  <c r="GF68" i="21"/>
  <c r="GH68" i="21"/>
  <c r="GB68" i="21"/>
  <c r="GK68" i="21"/>
  <c r="GI68" i="21"/>
  <c r="GA68" i="21"/>
  <c r="GL68" i="21"/>
  <c r="CV68" i="21"/>
  <c r="CM68" i="21"/>
  <c r="CW68" i="21"/>
  <c r="GG68" i="21"/>
  <c r="CN68" i="21"/>
  <c r="CS68" i="21"/>
  <c r="CO68" i="21"/>
  <c r="GJ68" i="21"/>
  <c r="CT68" i="21"/>
  <c r="CU68" i="21"/>
  <c r="GE68" i="21"/>
  <c r="CL68" i="21"/>
  <c r="CQ68" i="21"/>
  <c r="CP68" i="21"/>
  <c r="H51" i="21"/>
  <c r="G51" i="21" s="1"/>
  <c r="F51" i="21" s="1"/>
  <c r="E51" i="21" s="1"/>
  <c r="D51" i="21" s="1"/>
  <c r="C51" i="21" s="1"/>
  <c r="B51" i="21" s="1"/>
  <c r="H15" i="21"/>
  <c r="H54" i="21" s="1"/>
  <c r="G54" i="21" s="1"/>
  <c r="F54" i="21" s="1"/>
  <c r="E15" i="21"/>
  <c r="AX85" i="21"/>
  <c r="C8" i="21"/>
  <c r="CR68" i="21"/>
  <c r="C15" i="21"/>
  <c r="AX78" i="21"/>
  <c r="AY85" i="21"/>
  <c r="EC73" i="21"/>
  <c r="EM118" i="21" a="1"/>
  <c r="ET127" i="21" a="1"/>
  <c r="EQ153" i="21" a="1"/>
  <c r="EO70" i="21" a="1"/>
  <c r="EM90" i="21" a="1"/>
  <c r="EL108" i="21" a="1"/>
  <c r="EU130" i="21" a="1"/>
  <c r="EK119" i="21" a="1"/>
  <c r="EL77" i="21" a="1"/>
  <c r="EN72" i="21" a="1"/>
  <c r="EQ175" i="21" a="1"/>
  <c r="EU108" i="21" a="1"/>
  <c r="EN123" i="21" a="1"/>
  <c r="ES185" i="21" a="1"/>
  <c r="EL74" i="21" a="1"/>
  <c r="ET160" i="21" a="1"/>
  <c r="ET133" i="21" a="1"/>
  <c r="EL162" i="21" a="1"/>
  <c r="EM69" i="21" a="1"/>
  <c r="EN147" i="21" a="1"/>
  <c r="ES167" i="21" a="1"/>
  <c r="EQ124" i="21" a="1"/>
  <c r="EU123" i="21" a="1"/>
  <c r="ES178" i="21" a="1"/>
  <c r="EQ109" i="21" a="1"/>
  <c r="ER166" i="21" a="1"/>
  <c r="ER128" i="21" a="1"/>
  <c r="EQ89" i="21" a="1"/>
  <c r="EN137" i="21" a="1"/>
  <c r="EM142" i="21" a="1"/>
  <c r="EV158" i="21" a="1"/>
  <c r="EN156" i="21" a="1"/>
  <c r="ES146" i="21" a="1"/>
  <c r="EV74" i="21" a="1"/>
  <c r="EM74" i="21" a="1"/>
  <c r="ER111" i="21" a="1"/>
  <c r="EK100" i="21" a="1"/>
  <c r="EV95" i="21" a="1"/>
  <c r="EP70" i="21" a="1"/>
  <c r="EQ70" i="21" a="1"/>
  <c r="EO95" i="21" a="1"/>
  <c r="EP90" i="21" a="1"/>
  <c r="EL113" i="21" a="1"/>
  <c r="ET119" i="21" a="1"/>
  <c r="EK111" i="21" a="1"/>
  <c r="EU186" i="21" a="1"/>
  <c r="EN122" i="21" a="1"/>
  <c r="EK116" i="21" a="1"/>
  <c r="ER177" i="21" a="1"/>
  <c r="EL158" i="21" a="1"/>
  <c r="EV94" i="21" a="1"/>
  <c r="EL112" i="21" a="1"/>
  <c r="ER174" i="21" a="1"/>
  <c r="C140" i="21"/>
  <c r="ET153" i="21" a="1"/>
  <c r="EU159" i="21" a="1"/>
  <c r="EP187" i="21" a="1"/>
  <c r="ER143" i="21" a="1"/>
  <c r="EO115" i="21" a="1"/>
  <c r="EO150" i="21" a="1"/>
  <c r="EM89" i="21" a="1"/>
  <c r="ES175" i="21" a="1"/>
  <c r="ES177" i="21" a="1"/>
  <c r="EV83" i="21" a="1"/>
  <c r="ET126" i="21" a="1"/>
  <c r="EV114" i="21" a="1"/>
  <c r="EO126" i="21" a="1"/>
  <c r="ES143" i="21" a="1"/>
  <c r="EL117" i="21" a="1"/>
  <c r="ES138" i="21" a="1"/>
  <c r="ES162" i="21" a="1"/>
  <c r="EQ120" i="21" a="1"/>
  <c r="EL103" i="21" a="1"/>
  <c r="EU177" i="21" a="1"/>
  <c r="EO173" i="21" a="1"/>
  <c r="ER92" i="21" a="1"/>
  <c r="EM145" i="21" a="1"/>
  <c r="EN116" i="21" a="1"/>
  <c r="EP84" i="21" a="1"/>
  <c r="ER147" i="21" a="1"/>
  <c r="EV188" i="21" a="1"/>
  <c r="ET138" i="21" a="1"/>
  <c r="EQ151" i="21" a="1"/>
  <c r="ER127" i="21" a="1"/>
  <c r="ET76" i="21" a="1"/>
  <c r="EQ135" i="21" a="1"/>
  <c r="EP176" i="21" a="1"/>
  <c r="ET185" i="21" a="1"/>
  <c r="EV102" i="21" a="1"/>
  <c r="ET161" i="21" a="1"/>
  <c r="EM153" i="21" a="1"/>
  <c r="EV116" i="21" a="1"/>
  <c r="EV127" i="21" a="1"/>
  <c r="EK133" i="21" a="1"/>
  <c r="EQ163" i="21" a="1"/>
  <c r="EK77" i="21" a="1"/>
  <c r="EO94" i="21" a="1"/>
  <c r="EQ157" i="21" a="1"/>
  <c r="EQ76" i="21" a="1"/>
  <c r="EP87" i="21" a="1"/>
  <c r="EU112" i="21" a="1"/>
  <c r="ES122" i="21" a="1"/>
  <c r="EP114" i="21" a="1"/>
  <c r="EP86" i="21" a="1"/>
  <c r="ET102" i="21" a="1"/>
  <c r="ER95" i="21" a="1"/>
  <c r="ET95" i="21" a="1"/>
  <c r="EP99" i="21" a="1"/>
  <c r="EQ142" i="21" a="1"/>
  <c r="ER85" i="21" a="1"/>
  <c r="EO90" i="21" a="1"/>
  <c r="EP85" i="21" a="1"/>
  <c r="ET89" i="21" a="1"/>
  <c r="EV112" i="21" a="1"/>
  <c r="EQ162" i="21" a="1"/>
  <c r="EP131" i="21" a="1"/>
  <c r="EO188" i="21" a="1"/>
  <c r="ER145" i="21" a="1"/>
  <c r="EU175" i="21" a="1"/>
  <c r="EV179" i="21" a="1"/>
  <c r="EQ99" i="21" a="1"/>
  <c r="EU164" i="21" a="1"/>
  <c r="ER187" i="21" a="1"/>
  <c r="EN154" i="21" a="1"/>
  <c r="EU188" i="21" a="1"/>
  <c r="EQ183" i="21" a="1"/>
  <c r="EQ121" i="21" a="1"/>
  <c r="EV174" i="21" a="1"/>
  <c r="ER70" i="21" a="1"/>
  <c r="ET146" i="21" a="1"/>
  <c r="EN103" i="21" a="1"/>
  <c r="EP158" i="21" a="1"/>
  <c r="EP148" i="21" a="1"/>
  <c r="EV163" i="21" a="1"/>
  <c r="ET84" i="21" a="1"/>
  <c r="EL122" i="21" a="1"/>
  <c r="EP108" i="21" a="1"/>
  <c r="EK70" i="21" a="1"/>
  <c r="ES77" i="21" a="1"/>
  <c r="EU89" i="21" a="1"/>
  <c r="EL128" i="21" a="1"/>
  <c r="EU99" i="21" a="1"/>
  <c r="ER183" i="21" a="1"/>
  <c r="ET188" i="21" a="1"/>
  <c r="EP73" i="21" a="1"/>
  <c r="EP93" i="21" a="1"/>
  <c r="EQ123" i="21" a="1"/>
  <c r="ET81" i="21" a="1"/>
  <c r="EM75" i="21" a="1"/>
  <c r="ET181" i="21" a="1"/>
  <c r="EV119" i="21" a="1"/>
  <c r="EL86" i="21" a="1"/>
  <c r="EO153" i="21" a="1"/>
  <c r="ER186" i="21" a="1"/>
  <c r="EU107" i="21" a="1"/>
  <c r="EO87" i="21" a="1"/>
  <c r="EU150" i="21" a="1"/>
  <c r="EU157" i="21" a="1"/>
  <c r="EO187" i="21" a="1"/>
  <c r="EV187" i="21" a="1"/>
  <c r="EO151" i="21" a="1"/>
  <c r="EU122" i="21" a="1"/>
  <c r="EL81" i="21" a="1"/>
  <c r="EV97" i="21" a="1"/>
  <c r="EL109" i="21" a="1"/>
  <c r="ES132" i="21" a="1"/>
  <c r="EN90" i="21" a="1"/>
  <c r="EN128" i="21" a="1"/>
  <c r="ET108" i="21" a="1"/>
  <c r="EM117" i="21" a="1"/>
  <c r="EU125" i="21" a="1"/>
  <c r="EQ152" i="21" a="1"/>
  <c r="EV117" i="21" a="1"/>
  <c r="EQ129" i="21" a="1"/>
  <c r="ET158" i="21" a="1"/>
  <c r="EU124" i="21" a="1"/>
  <c r="EQ173" i="21" a="1"/>
  <c r="EM82" i="21" a="1"/>
  <c r="EU118" i="21" a="1"/>
  <c r="EK157" i="21" a="1"/>
  <c r="EP151" i="21" a="1"/>
  <c r="EK165" i="21" a="1"/>
  <c r="ER153" i="21" a="1"/>
  <c r="EQ145" i="21" a="1"/>
  <c r="EV141" i="21" a="1"/>
  <c r="EN143" i="21" a="1"/>
  <c r="EM109" i="21" a="1"/>
  <c r="EN155" i="21" a="1"/>
  <c r="ES186" i="21" a="1"/>
  <c r="ET187" i="21" a="1"/>
  <c r="ET169" i="21" a="1"/>
  <c r="ES118" i="21" a="1"/>
  <c r="ET171" i="21" a="1"/>
  <c r="ET129" i="21" a="1"/>
  <c r="EM91" i="21" a="1"/>
  <c r="ER107" i="21" a="1"/>
  <c r="EM141" i="21" a="1"/>
  <c r="EN142" i="21" a="1"/>
  <c r="EP177" i="21" a="1"/>
  <c r="EQ138" i="21" a="1"/>
  <c r="EV77" i="21" a="1"/>
  <c r="EK71" i="21" a="1"/>
  <c r="EO133" i="21" a="1"/>
  <c r="EU155" i="21" a="1"/>
  <c r="EV108" i="21" a="1"/>
  <c r="EL83" i="21" a="1"/>
  <c r="ES72" i="21" a="1"/>
  <c r="EL142" i="21" a="1"/>
  <c r="ES109" i="21" a="1"/>
  <c r="ER108" i="21" a="1"/>
  <c r="EQ179" i="21" a="1"/>
  <c r="EU163" i="21" a="1"/>
  <c r="EQ117" i="21" a="1"/>
  <c r="ET130" i="21" a="1"/>
  <c r="EU74" i="21" a="1"/>
  <c r="EV149" i="21" a="1"/>
  <c r="EN77" i="21" a="1"/>
  <c r="ER173" i="21" a="1"/>
  <c r="EN127" i="21" a="1"/>
  <c r="EM136" i="21" a="1"/>
  <c r="EU183" i="21" a="1"/>
  <c r="EL92" i="21" a="1"/>
  <c r="EV73" i="21" a="1"/>
  <c r="EL84" i="21" a="1"/>
  <c r="EL156" i="21" a="1"/>
  <c r="ES89" i="21" a="1"/>
  <c r="ES145" i="21" a="1"/>
  <c r="EL144" i="21" a="1"/>
  <c r="EO118" i="21" a="1"/>
  <c r="EU180" i="21" a="1"/>
  <c r="EU91" i="21" a="1"/>
  <c r="EM167" i="21" a="1"/>
  <c r="EK105" i="21" a="1"/>
  <c r="EV120" i="21" a="1"/>
  <c r="EO107" i="21" a="1"/>
  <c r="EV113" i="21" a="1"/>
  <c r="EK115" i="21" a="1"/>
  <c r="C134" i="21"/>
  <c r="ET72" i="21" a="1"/>
  <c r="EQ104" i="21" a="1"/>
  <c r="EL131" i="21" a="1"/>
  <c r="ES105" i="21" a="1"/>
  <c r="EQ154" i="21" a="1"/>
  <c r="EK173" i="21" a="1"/>
  <c r="EP89" i="21" a="1"/>
  <c r="EQ73" i="21" a="1"/>
  <c r="ES107" i="21" a="1"/>
  <c r="ET166" i="21" a="1"/>
  <c r="ER170" i="21" a="1"/>
  <c r="EU133" i="21" a="1"/>
  <c r="EL69" i="21" a="1"/>
  <c r="ER100" i="21" a="1"/>
  <c r="EN76" i="21" a="1"/>
  <c r="EL148" i="21" a="1"/>
  <c r="EU136" i="21" a="1"/>
  <c r="ES174" i="21" a="1"/>
  <c r="EU120" i="21" a="1"/>
  <c r="EU142" i="21" a="1"/>
  <c r="EU75" i="21" a="1"/>
  <c r="EN102" i="21" a="1"/>
  <c r="EP78" i="21" a="1"/>
  <c r="EM132" i="21" a="1"/>
  <c r="EL151" i="21" a="1"/>
  <c r="EQ115" i="21" a="1"/>
  <c r="EU172" i="21" a="1"/>
  <c r="EP94" i="21" a="1"/>
  <c r="ER133" i="21" a="1"/>
  <c r="EU121" i="21" a="1"/>
  <c r="EP169" i="21" a="1"/>
  <c r="EV138" i="21" a="1"/>
  <c r="EM138" i="21" a="1"/>
  <c r="EK143" i="21" a="1"/>
  <c r="EN96" i="21" a="1"/>
  <c r="ES113" i="21" a="1"/>
  <c r="EV81" i="21" a="1"/>
  <c r="EO75" i="21" a="1"/>
  <c r="EN94" i="21" a="1"/>
  <c r="EU145" i="21" a="1"/>
  <c r="EM135" i="21" a="1"/>
  <c r="EK147" i="21" a="1"/>
  <c r="ES131" i="21" a="1"/>
  <c r="EQ118" i="21" a="1"/>
  <c r="ER103" i="21" a="1"/>
  <c r="EU87" i="21" a="1"/>
  <c r="ES121" i="21" a="1"/>
  <c r="ER77" i="21" a="1"/>
  <c r="EQ160" i="21" a="1"/>
  <c r="EL133" i="21" a="1"/>
  <c r="EV122" i="21" a="1"/>
  <c r="EV96" i="21" a="1"/>
  <c r="EQ169" i="21" a="1"/>
  <c r="ES155" i="21" a="1"/>
  <c r="EL75" i="21" a="1"/>
  <c r="EO71" i="21" a="1"/>
  <c r="EM115" i="21" a="1"/>
  <c r="EN83" i="21" a="1"/>
  <c r="EO121" i="21" a="1"/>
  <c r="ER97" i="21" a="1"/>
  <c r="ER116" i="21" a="1"/>
  <c r="EV150" i="21" a="1"/>
  <c r="EK144" i="21" a="1"/>
  <c r="EK171" i="21" a="1"/>
  <c r="EU104" i="21" a="1"/>
  <c r="EP109" i="21" a="1"/>
  <c r="ER156" i="21" a="1"/>
  <c r="EK158" i="21" a="1"/>
  <c r="EL146" i="21" a="1"/>
  <c r="ET113" i="21" a="1"/>
  <c r="EP122" i="21" a="1"/>
  <c r="EL91" i="21" a="1"/>
  <c r="EL93" i="21" a="1"/>
  <c r="EN113" i="21" a="1"/>
  <c r="EO180" i="21" a="1"/>
  <c r="EO158" i="21" a="1"/>
  <c r="EQ155" i="21" a="1"/>
  <c r="EL121" i="21" a="1"/>
  <c r="ER79" i="21" a="1"/>
  <c r="EV90" i="21" a="1"/>
  <c r="EP117" i="21" a="1"/>
  <c r="EU68" i="21" a="1"/>
  <c r="EK131" i="21" a="1"/>
  <c r="EQ188" i="21" a="1"/>
  <c r="EP153" i="21" a="1"/>
  <c r="EQ143" i="21" a="1"/>
  <c r="EM113" i="21" a="1"/>
  <c r="ER167" i="21" a="1"/>
  <c r="ER185" i="21" a="1"/>
  <c r="ER184" i="21" a="1"/>
  <c r="ER87" i="21" a="1"/>
  <c r="ER102" i="21" a="1"/>
  <c r="ES179" i="21" a="1"/>
  <c r="EP182" i="21" a="1"/>
  <c r="EQ127" i="21" a="1"/>
  <c r="EM146" i="21" a="1"/>
  <c r="EO186" i="21" a="1"/>
  <c r="ET70" i="21" a="1"/>
  <c r="EP175" i="21" a="1"/>
  <c r="EN106" i="21" a="1"/>
  <c r="EN133" i="21" a="1"/>
  <c r="EP186" i="21" a="1"/>
  <c r="EQ116" i="21" a="1"/>
  <c r="ES125" i="21" a="1"/>
  <c r="ET143" i="21" a="1"/>
  <c r="EK68" i="21" a="1"/>
  <c r="EV76" i="21" a="1"/>
  <c r="EP102" i="21" a="1"/>
  <c r="EU90" i="21" a="1"/>
  <c r="EV168" i="21" a="1"/>
  <c r="EU70" i="21" a="1"/>
  <c r="EV170" i="21" a="1"/>
  <c r="ER117" i="21" a="1"/>
  <c r="EM84" i="21" a="1"/>
  <c r="EP188" i="21" a="1"/>
  <c r="EM71" i="21" a="1"/>
  <c r="EU138" i="21" a="1"/>
  <c r="ER172" i="21" a="1"/>
  <c r="EV173" i="21" a="1"/>
  <c r="ET177" i="21" a="1"/>
  <c r="EQ93" i="21" a="1"/>
  <c r="EU86" i="21" a="1"/>
  <c r="ES165" i="21" a="1"/>
  <c r="EV84" i="21" a="1"/>
  <c r="EL120" i="21" a="1"/>
  <c r="EV171" i="21" a="1"/>
  <c r="EK136" i="21" a="1"/>
  <c r="ES130" i="21" a="1"/>
  <c r="EO69" i="21" a="1"/>
  <c r="EQ85" i="21" a="1"/>
  <c r="EP170" i="21" a="1"/>
  <c r="EO132" i="21" a="1"/>
  <c r="EN144" i="21" a="1"/>
  <c r="EP155" i="21" a="1"/>
  <c r="EN114" i="21" a="1"/>
  <c r="EO147" i="21" a="1"/>
  <c r="EO146" i="21" a="1"/>
  <c r="EO175" i="21" a="1"/>
  <c r="EQ105" i="21" a="1"/>
  <c r="EP81" i="21" a="1"/>
  <c r="ER176" i="21" a="1"/>
  <c r="EM165" i="21" a="1"/>
  <c r="EL88" i="21" a="1"/>
  <c r="EQ125" i="21" a="1"/>
  <c r="ET175" i="21" a="1"/>
  <c r="EK93" i="21" a="1"/>
  <c r="EV131" i="21" a="1"/>
  <c r="EO122" i="21" a="1"/>
  <c r="EK85" i="21" a="1"/>
  <c r="ES69" i="21" a="1"/>
  <c r="EU181" i="21" a="1"/>
  <c r="EU78" i="21" a="1"/>
  <c r="EQ90" i="21" a="1"/>
  <c r="EM88" i="21" a="1"/>
  <c r="ES141" i="21" a="1"/>
  <c r="EV184" i="21" a="1"/>
  <c r="EN118" i="21" a="1"/>
  <c r="EP161" i="21" a="1"/>
  <c r="EL85" i="21" a="1"/>
  <c r="EL104" i="21" a="1"/>
  <c r="EV148" i="21" a="1"/>
  <c r="EP104" i="21" a="1"/>
  <c r="EO111" i="21" a="1"/>
  <c r="EO138" i="21" a="1"/>
  <c r="ET176" i="21" a="1"/>
  <c r="ET157" i="21" a="1"/>
  <c r="EM116" i="21" a="1"/>
  <c r="EV147" i="21" a="1"/>
  <c r="EU135" i="21" a="1"/>
  <c r="EV133" i="21" a="1"/>
  <c r="ES180" i="21" a="1"/>
  <c r="EP83" i="21" a="1"/>
  <c r="EL152" i="21" a="1"/>
  <c r="ET184" i="21" a="1"/>
  <c r="ES151" i="21" a="1"/>
  <c r="EP68" i="21" a="1"/>
  <c r="EM163" i="21" a="1"/>
  <c r="ER113" i="21" a="1"/>
  <c r="ER151" i="21" a="1"/>
  <c r="ET149" i="21" a="1"/>
  <c r="EN148" i="21" a="1"/>
  <c r="ER136" i="21" a="1"/>
  <c r="EV142" i="21" a="1"/>
  <c r="EK117" i="21" a="1"/>
  <c r="EO159" i="21" a="1"/>
  <c r="EM87" i="21" a="1"/>
  <c r="EU173" i="21" a="1"/>
  <c r="ES127" i="21" a="1"/>
  <c r="EM152" i="21" a="1"/>
  <c r="EU109" i="21" a="1"/>
  <c r="EL105" i="21" a="1"/>
  <c r="EO169" i="21" a="1"/>
  <c r="EV146" i="21" a="1"/>
  <c r="EP147" i="21" a="1"/>
  <c r="ET128" i="21" a="1"/>
  <c r="EO166" i="21" a="1"/>
  <c r="EK126" i="21" a="1"/>
  <c r="EO78" i="21" a="1"/>
  <c r="ES160" i="21" a="1"/>
  <c r="EU171" i="21" a="1"/>
  <c r="EO130" i="21" a="1"/>
  <c r="EU146" i="21" a="1"/>
  <c r="EO144" i="21" a="1"/>
  <c r="ES79" i="21" a="1"/>
  <c r="EP142" i="21" a="1"/>
  <c r="EP183" i="21" a="1"/>
  <c r="EP97" i="21" a="1"/>
  <c r="ER165" i="21" a="1"/>
  <c r="EK74" i="21" a="1"/>
  <c r="EO97" i="21" a="1"/>
  <c r="EV160" i="21" a="1"/>
  <c r="EK148" i="21" a="1"/>
  <c r="EP174" i="21" a="1"/>
  <c r="EO174" i="21" a="1"/>
  <c r="EN69" i="21" a="1"/>
  <c r="EN159" i="21" a="1"/>
  <c r="EV115" i="21" a="1"/>
  <c r="ER125" i="21" a="1"/>
  <c r="EO86" i="21" a="1"/>
  <c r="EN71" i="21" a="1"/>
  <c r="EQ75" i="21" a="1"/>
  <c r="EU115" i="21" a="1"/>
  <c r="EN81" i="21" a="1"/>
  <c r="EV153" i="21" a="1"/>
  <c r="EL114" i="21" a="1"/>
  <c r="ES115" i="21" a="1"/>
  <c r="EN105" i="21" a="1"/>
  <c r="EK75" i="21" a="1"/>
  <c r="EO116" i="21" a="1"/>
  <c r="ES188" i="21" a="1"/>
  <c r="EK108" i="21" a="1"/>
  <c r="EK94" i="21" a="1"/>
  <c r="EK127" i="21" a="1"/>
  <c r="EN82" i="21" a="1"/>
  <c r="EQ186" i="21" a="1"/>
  <c r="EU187" i="21" a="1"/>
  <c r="EQ68" i="21" a="1"/>
  <c r="EL99" i="21" a="1"/>
  <c r="EL95" i="21" a="1"/>
  <c r="EL68" i="21" a="1"/>
  <c r="EV159" i="21" a="1"/>
  <c r="EN131" i="21" a="1"/>
  <c r="EV143" i="21" a="1"/>
  <c r="EL126" i="21" a="1"/>
  <c r="EN79" i="21" a="1"/>
  <c r="EK156" i="21" a="1"/>
  <c r="EO119" i="21" a="1"/>
  <c r="EQ119" i="21" a="1"/>
  <c r="EU148" i="21" a="1"/>
  <c r="EU80" i="21" a="1"/>
  <c r="EK102" i="21" a="1"/>
  <c r="ES128" i="21" a="1"/>
  <c r="EK154" i="21" a="1"/>
  <c r="EM114" i="21" a="1"/>
  <c r="EN68" i="21" a="1"/>
  <c r="EM103" i="21" a="1"/>
  <c r="ET183" i="21" a="1"/>
  <c r="EM151" i="21" a="1"/>
  <c r="EK72" i="21" a="1"/>
  <c r="EN73" i="21" a="1"/>
  <c r="EV161" i="21" a="1"/>
  <c r="EL94" i="21" a="1"/>
  <c r="EK73" i="21" a="1"/>
  <c r="EV124" i="21" a="1"/>
  <c r="EQ168" i="21" a="1"/>
  <c r="EP135" i="21" a="1"/>
  <c r="ET88" i="21" a="1"/>
  <c r="ER188" i="21" a="1"/>
  <c r="EU103" i="21" a="1"/>
  <c r="EM97" i="21" a="1"/>
  <c r="EM76" i="21" a="1"/>
  <c r="EK82" i="21" a="1"/>
  <c r="EV85" i="21" a="1"/>
  <c r="EO117" i="21" a="1"/>
  <c r="ER152" i="21" a="1"/>
  <c r="ET173" i="21" a="1"/>
  <c r="EV175" i="21" a="1"/>
  <c r="EP95" i="21" a="1"/>
  <c r="EV104" i="21" a="1"/>
  <c r="EK69" i="21" a="1"/>
  <c r="EN119" i="21" a="1"/>
  <c r="EQ148" i="21" a="1"/>
  <c r="EU114" i="21" a="1"/>
  <c r="EL129" i="21" a="1"/>
  <c r="EL161" i="21" a="1"/>
  <c r="EK142" i="21" a="1"/>
  <c r="EV135" i="21" a="1"/>
  <c r="EM102" i="21" a="1"/>
  <c r="ET147" i="21" a="1"/>
  <c r="EK138" i="21" a="1"/>
  <c r="EP91" i="21" a="1"/>
  <c r="ET93" i="21" a="1"/>
  <c r="EO68" i="21" a="1"/>
  <c r="EP145" i="21" a="1"/>
  <c r="EQ158" i="21" a="1"/>
  <c r="ET103" i="21" a="1"/>
  <c r="EU141" i="21" a="1"/>
  <c r="ES157" i="21" a="1"/>
  <c r="EK153" i="21" a="1"/>
  <c r="EP157" i="21" a="1"/>
  <c r="EP159" i="21" a="1"/>
  <c r="C139" i="21"/>
  <c r="EU169" i="21" a="1"/>
  <c r="EQ81" i="21" a="1"/>
  <c r="EP126" i="21" a="1"/>
  <c r="ER122" i="21" a="1"/>
  <c r="EL87" i="21" a="1"/>
  <c r="ER105" i="21" a="1"/>
  <c r="EU147" i="21" a="1"/>
  <c r="ET132" i="21" a="1"/>
  <c r="ER99" i="21" a="1"/>
  <c r="ET163" i="21" a="1"/>
  <c r="EU102" i="21" a="1"/>
  <c r="EV185" i="21" a="1"/>
  <c r="EO88" i="21" a="1"/>
  <c r="EQ122" i="21" a="1"/>
  <c r="ER150" i="21" a="1"/>
  <c r="EL125" i="21" a="1"/>
  <c r="EP150" i="21" a="1"/>
  <c r="EO80" i="21" a="1"/>
  <c r="EO183" i="21" a="1"/>
  <c r="EU166" i="21" a="1"/>
  <c r="EK162" i="21" a="1"/>
  <c r="EK128" i="21" a="1"/>
  <c r="ES70" i="21" a="1"/>
  <c r="ES184" i="21" a="1"/>
  <c r="EP163" i="21" a="1"/>
  <c r="EQ126" i="21" a="1"/>
  <c r="EL130" i="21" a="1"/>
  <c r="ET109" i="21" a="1"/>
  <c r="ES91" i="21" a="1"/>
  <c r="ES142" i="21" a="1"/>
  <c r="EP133" i="21" a="1"/>
  <c r="ES97" i="21" a="1"/>
  <c r="EP171" i="21" a="1"/>
  <c r="EU151" i="21" a="1"/>
  <c r="ER130" i="21" a="1"/>
  <c r="EP115" i="21" a="1"/>
  <c r="EN111" i="21" a="1"/>
  <c r="EP179" i="21" a="1"/>
  <c r="EL124" i="21" a="1"/>
  <c r="EK161" i="21" a="1"/>
  <c r="EU182" i="21" a="1"/>
  <c r="EP103" i="21" a="1"/>
  <c r="ER81" i="21" a="1"/>
  <c r="EM137" i="21" a="1"/>
  <c r="EU97" i="21" a="1"/>
  <c r="ET82" i="21" a="1"/>
  <c r="EM104" i="21" a="1"/>
  <c r="ES173" i="21" a="1"/>
  <c r="ER149" i="21" a="1"/>
  <c r="EO179" i="21" a="1"/>
  <c r="ER106" i="21" a="1"/>
  <c r="EK150" i="21" a="1"/>
  <c r="ES133" i="21" a="1"/>
  <c r="EK152" i="21" a="1"/>
  <c r="ET122" i="21" a="1"/>
  <c r="EV178" i="21" a="1"/>
  <c r="EP144" i="21" a="1"/>
  <c r="EO113" i="21" a="1"/>
  <c r="EO129" i="21" a="1"/>
  <c r="EU137" i="21" a="1"/>
  <c r="EM126" i="21" a="1"/>
  <c r="EP130" i="21" a="1"/>
  <c r="EQ107" i="21" a="1"/>
  <c r="EV151" i="21" a="1"/>
  <c r="EO149" i="21" a="1"/>
  <c r="EU129" i="21" a="1"/>
  <c r="ET80" i="21" a="1"/>
  <c r="EO112" i="21" a="1"/>
  <c r="EO142" i="21" a="1"/>
  <c r="ES182" i="21" a="1"/>
  <c r="ER171" i="21" a="1"/>
  <c r="EL147" i="21" a="1"/>
  <c r="EQ146" i="21" a="1"/>
  <c r="ET155" i="21" a="1"/>
  <c r="EU131" i="21" a="1"/>
  <c r="EQ111" i="21" a="1"/>
  <c r="EU95" i="21" a="1"/>
  <c r="EM127" i="21" a="1"/>
  <c r="EM120" i="21" a="1"/>
  <c r="ES99" i="21" a="1"/>
  <c r="EL150" i="21" a="1"/>
  <c r="EP74" i="21" a="1"/>
  <c r="EK146" i="21" a="1"/>
  <c r="EP82" i="21" a="1"/>
  <c r="EO178" i="21" a="1"/>
  <c r="ER119" i="21" a="1"/>
  <c r="EU85" i="21" a="1"/>
  <c r="EN162" i="21" a="1"/>
  <c r="EQ185" i="21" a="1"/>
  <c r="ER76" i="21" a="1"/>
  <c r="ET73" i="21" a="1"/>
  <c r="EM124" i="21" a="1"/>
  <c r="ER132" i="21" a="1"/>
  <c r="EO154" i="21" a="1"/>
  <c r="EM159" i="21" a="1"/>
  <c r="EL107" i="21" a="1"/>
  <c r="ET104" i="21" a="1"/>
  <c r="EK90" i="21" a="1"/>
  <c r="EU152" i="21" a="1"/>
  <c r="ER88" i="21" a="1"/>
  <c r="EL119" i="21" a="1"/>
  <c r="EQ97" i="21" a="1"/>
  <c r="EN136" i="21" a="1"/>
  <c r="EP181" i="21" a="1"/>
  <c r="EV172" i="21" a="1"/>
  <c r="EM157" i="21" a="1"/>
  <c r="ER91" i="21" a="1"/>
  <c r="EL138" i="21" a="1"/>
  <c r="EP185" i="21" a="1"/>
  <c r="EU170" i="21" a="1"/>
  <c r="EU154" i="21" a="1"/>
  <c r="EK163" i="21" a="1"/>
  <c r="EM77" i="21" a="1"/>
  <c r="EV157" i="21" a="1"/>
  <c r="ET167" i="21" a="1"/>
  <c r="EM122" i="21" a="1"/>
  <c r="EM143" i="21" a="1"/>
  <c r="EO72" i="21" a="1"/>
  <c r="EP132" i="21" a="1"/>
  <c r="EN108" i="21" a="1"/>
  <c r="ES93" i="21" a="1"/>
  <c r="EV88" i="21" a="1"/>
  <c r="EO184" i="21" a="1"/>
  <c r="EN152" i="21" a="1"/>
  <c r="ET120" i="21" a="1"/>
  <c r="EK86" i="21" a="1"/>
  <c r="EP137" i="21" a="1"/>
  <c r="EP69" i="21" a="1"/>
  <c r="EQ103" i="21" a="1"/>
  <c r="EO177" i="21" a="1"/>
  <c r="EQ172" i="21" a="1"/>
  <c r="EM92" i="21" a="1"/>
  <c r="EO131" i="21" a="1"/>
  <c r="ET136" i="21" a="1"/>
  <c r="EQ108" i="21" a="1"/>
  <c r="EQ80" i="21" a="1"/>
  <c r="EP76" i="21" a="1"/>
  <c r="EN161" i="21" a="1"/>
  <c r="ER142" i="21" a="1"/>
  <c r="EK114" i="21" a="1"/>
  <c r="ET156" i="21" a="1"/>
  <c r="EQ174" i="21" a="1"/>
  <c r="ET78" i="21" a="1"/>
  <c r="ET186" i="21" a="1"/>
  <c r="EM99" i="21" a="1"/>
  <c r="EV99" i="21" a="1"/>
  <c r="EU184" i="21" a="1"/>
  <c r="EK79" i="21" a="1"/>
  <c r="EV152" i="21" a="1"/>
  <c r="ES80" i="21" a="1"/>
  <c r="EP121" i="21" a="1"/>
  <c r="ES95" i="21" a="1"/>
  <c r="EQ166" i="21" a="1"/>
  <c r="ES88" i="21" a="1"/>
  <c r="ER162" i="21" a="1"/>
  <c r="EL136" i="21" a="1"/>
  <c r="EQ171" i="21" a="1"/>
  <c r="EN158" i="21" a="1"/>
  <c r="EV107" i="21" a="1"/>
  <c r="EN157" i="21" a="1"/>
  <c r="EO109" i="21" a="1"/>
  <c r="ES114" i="21" a="1"/>
  <c r="ET69" i="21" a="1"/>
  <c r="ET151" i="21" a="1"/>
  <c r="ET165" i="21" a="1"/>
  <c r="ET68" i="21" a="1"/>
  <c r="EM108" i="21" a="1"/>
  <c r="ES137" i="21" a="1"/>
  <c r="EK169" i="21" a="1"/>
  <c r="ER121" i="21" a="1"/>
  <c r="EV167" i="21" a="1"/>
  <c r="EP75" i="21" a="1"/>
  <c r="EL123" i="21" a="1"/>
  <c r="ET168" i="21" a="1"/>
  <c r="EN109" i="21" a="1"/>
  <c r="EK104" i="21" a="1"/>
  <c r="ES148" i="21" a="1"/>
  <c r="EO76" i="21" a="1"/>
  <c r="EQ181" i="21" a="1"/>
  <c r="ER141" i="21" a="1"/>
  <c r="EP113" i="21" a="1"/>
  <c r="EQ94" i="21" a="1"/>
  <c r="EP167" i="21" a="1"/>
  <c r="EV118" i="21" a="1"/>
  <c r="EU88" i="21" a="1"/>
  <c r="ET90" i="21" a="1"/>
  <c r="EQ84" i="21" a="1"/>
  <c r="EM78" i="21" a="1"/>
  <c r="ER158" i="21" a="1"/>
  <c r="ET87" i="21" a="1"/>
  <c r="EL78" i="21" a="1"/>
  <c r="EV129" i="21" a="1"/>
  <c r="EN70" i="21" a="1"/>
  <c r="EO93" i="21" a="1"/>
  <c r="EP178" i="21" a="1"/>
  <c r="EV144" i="21" a="1"/>
  <c r="ET118" i="21" a="1"/>
  <c r="EQ150" i="21" a="1"/>
  <c r="EL143" i="21" a="1"/>
  <c r="EK172" i="21" a="1"/>
  <c r="ET123" i="21" a="1"/>
  <c r="ER104" i="21" a="1"/>
  <c r="EO145" i="21" a="1"/>
  <c r="EU71" i="21" a="1"/>
  <c r="EM81" i="21" a="1"/>
  <c r="EO182" i="21" a="1"/>
  <c r="ET154" i="21" a="1"/>
  <c r="EM148" i="21" a="1"/>
  <c r="EK109" i="21" a="1"/>
  <c r="EL145" i="21" a="1"/>
  <c r="EV137" i="21" a="1"/>
  <c r="EU96" i="21" a="1"/>
  <c r="EU162" i="21" a="1"/>
  <c r="EN150" i="21" a="1"/>
  <c r="EQ113" i="21" a="1"/>
  <c r="EV136" i="21" a="1"/>
  <c r="ET180" i="21" a="1"/>
  <c r="EV103" i="21" a="1"/>
  <c r="EP141" i="21" a="1"/>
  <c r="EN88" i="21" a="1"/>
  <c r="ES116" i="21" a="1"/>
  <c r="ER129" i="21" a="1"/>
  <c r="ER181" i="21" a="1"/>
  <c r="EV155" i="21" a="1"/>
  <c r="ER84" i="21" a="1"/>
  <c r="EN84" i="21" a="1"/>
  <c r="ER123" i="21" a="1"/>
  <c r="EK84" i="21" a="1"/>
  <c r="EO143" i="21" a="1"/>
  <c r="EQ74" i="21" a="1"/>
  <c r="C101" i="21"/>
  <c r="EQ149" i="21" a="1"/>
  <c r="ES147" i="21" a="1"/>
  <c r="EU113" i="21" a="1"/>
  <c r="ET174" i="21" a="1"/>
  <c r="EK99" i="21" a="1"/>
  <c r="EL166" i="21" a="1"/>
  <c r="EU116" i="21" a="1"/>
  <c r="EU126" i="21" a="1"/>
  <c r="EV68" i="21" a="1"/>
  <c r="EK78" i="21" a="1"/>
  <c r="EK174" i="21" a="1"/>
  <c r="EV121" i="21" a="1"/>
  <c r="EN87" i="21" a="1"/>
  <c r="EU76" i="21" a="1"/>
  <c r="ET106" i="21" a="1"/>
  <c r="EN107" i="21" a="1"/>
  <c r="EM121" i="21" a="1"/>
  <c r="EL141" i="21" a="1"/>
  <c r="EO120" i="21" a="1"/>
  <c r="EQ77" i="21" a="1"/>
  <c r="ER180" i="21" a="1"/>
  <c r="EP77" i="21" a="1"/>
  <c r="ER118" i="21" a="1"/>
  <c r="EQ102" i="21" a="1"/>
  <c r="EK76" i="21" a="1"/>
  <c r="EM79" i="21" a="1"/>
  <c r="EV109" i="21" a="1"/>
  <c r="EM93" i="21" a="1"/>
  <c r="EL154" i="21" a="1"/>
  <c r="EU117" i="21" a="1"/>
  <c r="EM149" i="21" a="1"/>
  <c r="EP106" i="21" a="1"/>
  <c r="EV72" i="21" a="1"/>
  <c r="ET99" i="21" a="1"/>
  <c r="EM166" i="21" a="1"/>
  <c r="EV87" i="21" a="1"/>
  <c r="ES144" i="21" a="1"/>
  <c r="EM119" i="21" a="1"/>
  <c r="EK151" i="21" a="1"/>
  <c r="EQ106" i="21" a="1"/>
  <c r="EN135" i="21" a="1"/>
  <c r="EL157" i="21" a="1"/>
  <c r="EO84" i="21" a="1"/>
  <c r="EL73" i="21" a="1"/>
  <c r="EU160" i="21" a="1"/>
  <c r="EL135" i="21" a="1"/>
  <c r="EU93" i="21" a="1"/>
  <c r="ET96" i="21" a="1"/>
  <c r="EV181" i="21" a="1"/>
  <c r="ES164" i="21" a="1"/>
  <c r="ER73" i="21" a="1"/>
  <c r="EN99" i="21" a="1"/>
  <c r="EL160" i="21" a="1"/>
  <c r="EQ100" i="21" a="1"/>
  <c r="EN149" i="21" a="1"/>
  <c r="ER115" i="21" a="1"/>
  <c r="ES106" i="21" a="1"/>
  <c r="EM111" i="21" a="1"/>
  <c r="ET172" i="21" a="1"/>
  <c r="EM68" i="21" a="1"/>
  <c r="EV80" i="21" a="1"/>
  <c r="EO155" i="21" a="1"/>
  <c r="EK107" i="21" a="1"/>
  <c r="EK125" i="21" a="1"/>
  <c r="EU94" i="21" a="1"/>
  <c r="ET107" i="21" a="1"/>
  <c r="EN85" i="21" a="1"/>
  <c r="EP184" i="21" a="1"/>
  <c r="EK129" i="21" a="1"/>
  <c r="ET117" i="21" a="1"/>
  <c r="EO74" i="21" a="1"/>
  <c r="ER68" i="21" a="1"/>
  <c r="EO89" i="21" a="1"/>
  <c r="EO125" i="21" a="1"/>
  <c r="EK81" i="21" a="1"/>
  <c r="ET74" i="21" a="1"/>
  <c r="ET137" i="21" a="1"/>
  <c r="ET182" i="21" a="1"/>
  <c r="ER69" i="21" a="1"/>
  <c r="ES120" i="21" a="1"/>
  <c r="ET79" i="21" a="1"/>
  <c r="EQ69" i="21" a="1"/>
  <c r="EU128" i="21" a="1"/>
  <c r="EN151" i="21" a="1"/>
  <c r="ER114" i="21" a="1"/>
  <c r="EO105" i="21" a="1"/>
  <c r="C110" i="21"/>
  <c r="ES81" i="21" a="1"/>
  <c r="EO135" i="21" a="1"/>
  <c r="EO73" i="21" a="1"/>
  <c r="EM123" i="21" a="1"/>
  <c r="EM154" i="21" a="1"/>
  <c r="ET100" i="21" a="1"/>
  <c r="ES117" i="21" a="1"/>
  <c r="EP152" i="21" a="1"/>
  <c r="EV105" i="21" a="1"/>
  <c r="EP119" i="21" a="1"/>
  <c r="EL82" i="21" a="1"/>
  <c r="EQ132" i="21" a="1"/>
  <c r="EK164" i="21" a="1"/>
  <c r="EO170" i="21" a="1"/>
  <c r="EV156" i="21" a="1"/>
  <c r="EK130" i="21" a="1"/>
  <c r="ER86" i="21" a="1"/>
  <c r="EO124" i="21" a="1"/>
  <c r="EK159" i="21" a="1"/>
  <c r="EV91" i="21" a="1"/>
  <c r="ER164" i="21" a="1"/>
  <c r="EK89" i="21" a="1"/>
  <c r="EO148" i="21" a="1"/>
  <c r="EO92" i="21" a="1"/>
  <c r="EL159" i="21" a="1"/>
  <c r="EQ131" i="21" a="1"/>
  <c r="EO85" i="21" a="1"/>
  <c r="ET141" i="21" a="1"/>
  <c r="EQ130" i="21" a="1"/>
  <c r="EO168" i="21" a="1"/>
  <c r="EP136" i="21" a="1"/>
  <c r="ET94" i="21" a="1"/>
  <c r="EO114" i="21" a="1"/>
  <c r="EN126" i="21" a="1"/>
  <c r="EQ180" i="21" a="1"/>
  <c r="ET112" i="21" a="1"/>
  <c r="EQ136" i="21" a="1"/>
  <c r="EQ78" i="21" a="1"/>
  <c r="ET150" i="21" a="1"/>
  <c r="EO181" i="21" a="1"/>
  <c r="ER161" i="21" a="1"/>
  <c r="ES187" i="21" a="1"/>
  <c r="EU179" i="21" a="1"/>
  <c r="EM156" i="21" a="1"/>
  <c r="EN104" i="21" a="1"/>
  <c r="EM105" i="21" a="1"/>
  <c r="EO171" i="21" a="1"/>
  <c r="EP172" i="21" a="1"/>
  <c r="ER83" i="21" a="1"/>
  <c r="EV125" i="21" a="1"/>
  <c r="EP88" i="21" a="1"/>
  <c r="EN95" i="21" a="1"/>
  <c r="EQ92" i="21" a="1"/>
  <c r="EQ79" i="21" a="1"/>
  <c r="EP118" i="21" a="1"/>
  <c r="EO156" i="21" a="1"/>
  <c r="EM158" i="21" a="1"/>
  <c r="EO106" i="21" a="1"/>
  <c r="EN75" i="21" a="1"/>
  <c r="ES83" i="21" a="1"/>
  <c r="EP105" i="21" a="1"/>
  <c r="EN124" i="21" a="1"/>
  <c r="EL116" i="21" a="1"/>
  <c r="EO185" i="21" a="1"/>
  <c r="ES100" i="21" a="1"/>
  <c r="EK132" i="21" a="1"/>
  <c r="ES129" i="21" a="1"/>
  <c r="EQ133" i="21" a="1"/>
  <c r="EO167" i="21" a="1"/>
  <c r="EQ86" i="21" a="1"/>
  <c r="ER90" i="21" a="1"/>
  <c r="ES181" i="21" a="1"/>
  <c r="EK80" i="21" a="1"/>
  <c r="ET114" i="21" a="1"/>
  <c r="EV123" i="21" a="1"/>
  <c r="ET178" i="21" a="1"/>
  <c r="EV165" i="21" a="1"/>
  <c r="ET116" i="21" a="1"/>
  <c r="EM107" i="21" a="1"/>
  <c r="EP80" i="21" a="1"/>
  <c r="ES150" i="21" a="1"/>
  <c r="ES92" i="21" a="1"/>
  <c r="EV130" i="21" a="1"/>
  <c r="ES74" i="21" a="1"/>
  <c r="EP164" i="21" a="1"/>
  <c r="ER109" i="21" a="1"/>
  <c r="ES176" i="21" a="1"/>
  <c r="ET145" i="21" a="1"/>
  <c r="EP79" i="21" a="1"/>
  <c r="ES86" i="21" a="1"/>
  <c r="EK121" i="21" a="1"/>
  <c r="EM160" i="21" a="1"/>
  <c r="EU119" i="21" a="1"/>
  <c r="EO160" i="21" a="1"/>
  <c r="ET131" i="21" a="1"/>
  <c r="EQ114" i="21" a="1"/>
  <c r="EM72" i="21" a="1"/>
  <c r="EQ71" i="21" a="1"/>
  <c r="ER93" i="21" a="1"/>
  <c r="ES158" i="21" a="1"/>
  <c r="EK92" i="21" a="1"/>
  <c r="EK141" i="21" a="1"/>
  <c r="ES170" i="21" a="1"/>
  <c r="EP162" i="21" a="1"/>
  <c r="ES96" i="21" a="1"/>
  <c r="ES123" i="21" a="1"/>
  <c r="ES71" i="21" a="1"/>
  <c r="EP111" i="21" a="1"/>
  <c r="EK106" i="21" a="1"/>
  <c r="EV71" i="21" a="1"/>
  <c r="EO162" i="21" a="1"/>
  <c r="EN138" i="21" a="1"/>
  <c r="EN163" i="21" a="1"/>
  <c r="EQ156" i="21" a="1"/>
  <c r="EO82" i="21" a="1"/>
  <c r="ER138" i="21" a="1"/>
  <c r="EK124" i="21" a="1"/>
  <c r="ER131" i="21" a="1"/>
  <c r="ES171" i="21" a="1"/>
  <c r="ET85" i="21" a="1"/>
  <c r="EQ187" i="21" a="1"/>
  <c r="EK137" i="21" a="1"/>
  <c r="ES126" i="21" a="1"/>
  <c r="EM83" i="21" a="1"/>
  <c r="EV126" i="21" a="1"/>
  <c r="EQ170" i="21" a="1"/>
  <c r="EL153" i="21" a="1"/>
  <c r="ES149" i="21" a="1"/>
  <c r="EL70" i="21" a="1"/>
  <c r="EO165" i="21" a="1"/>
  <c r="EL127" i="21" a="1"/>
  <c r="ER82" i="21" a="1"/>
  <c r="EV176" i="21" a="1"/>
  <c r="EL76" i="21" a="1"/>
  <c r="EO103" i="21" a="1"/>
  <c r="EU84" i="21" a="1"/>
  <c r="EK145" i="21" a="1"/>
  <c r="ES172" i="21" a="1"/>
  <c r="EK166" i="21" a="1"/>
  <c r="EP146" i="21" a="1"/>
  <c r="ET71" i="21" a="1"/>
  <c r="EK118" i="21" a="1"/>
  <c r="ER74" i="21" a="1"/>
  <c r="EO81" i="21" a="1"/>
  <c r="EU156" i="21" a="1"/>
  <c r="EP72" i="21" a="1"/>
  <c r="ER169" i="21" a="1"/>
  <c r="EO83" i="21" a="1"/>
  <c r="EQ177" i="21" a="1"/>
  <c r="ET75" i="21" a="1"/>
  <c r="EN74" i="21" a="1"/>
  <c r="EO172" i="21" a="1"/>
  <c r="EL106" i="21" a="1"/>
  <c r="EV186" i="21" a="1"/>
  <c r="EU127" i="21" a="1"/>
  <c r="ES112" i="21" a="1"/>
  <c r="EL165" i="21" a="1"/>
  <c r="EL164" i="21" a="1"/>
  <c r="EM100" i="21" a="1"/>
  <c r="EV89" i="21" a="1"/>
  <c r="ET77" i="21" a="1"/>
  <c r="EV93" i="21" a="1"/>
  <c r="EU81" i="21" a="1"/>
  <c r="EM125" i="21" a="1"/>
  <c r="ER126" i="21" a="1"/>
  <c r="ET135" i="21" a="1"/>
  <c r="EQ159" i="21" a="1"/>
  <c r="ER146" i="21" a="1"/>
  <c r="EP166" i="21" a="1"/>
  <c r="EN145" i="21" a="1"/>
  <c r="EP168" i="21" a="1"/>
  <c r="EN115" i="21" a="1"/>
  <c r="EM164" i="21" a="1"/>
  <c r="EP96" i="21" a="1"/>
  <c r="EU132" i="21" a="1"/>
  <c r="EN89" i="21" a="1"/>
  <c r="EO99" i="21" a="1"/>
  <c r="EM112" i="21" a="1"/>
  <c r="EV166" i="21" a="1"/>
  <c r="EM96" i="21" a="1"/>
  <c r="EN125" i="21" a="1"/>
  <c r="EM94" i="21" a="1"/>
  <c r="ER159" i="21" a="1"/>
  <c r="EP154" i="21" a="1"/>
  <c r="EO123" i="21" a="1"/>
  <c r="EV70" i="21" a="1"/>
  <c r="EQ96" i="21" a="1"/>
  <c r="EU167" i="21" a="1"/>
  <c r="ES168" i="21" a="1"/>
  <c r="EV111" i="21" a="1"/>
  <c r="EQ161" i="21" a="1"/>
  <c r="EQ83" i="21" a="1"/>
  <c r="EL72" i="21" a="1"/>
  <c r="EO164" i="21" a="1"/>
  <c r="EO161" i="21" a="1"/>
  <c r="EQ137" i="21" a="1"/>
  <c r="EU73" i="21" a="1"/>
  <c r="ES159" i="21" a="1"/>
  <c r="EU176" i="21" a="1"/>
  <c r="EN153" i="21" a="1"/>
  <c r="EV183" i="21" a="1"/>
  <c r="EK149" i="21" a="1"/>
  <c r="EM147" i="21" a="1"/>
  <c r="EQ88" i="21" a="1"/>
  <c r="ET111" i="21" a="1"/>
  <c r="EO128" i="21" a="1"/>
  <c r="ET97" i="21" a="1"/>
  <c r="ER137" i="21" a="1"/>
  <c r="EM161" i="21" a="1"/>
  <c r="EN92" i="21" a="1"/>
  <c r="ET148" i="21" a="1"/>
  <c r="EM128" i="21" a="1"/>
  <c r="EK88" i="21" a="1"/>
  <c r="EQ164" i="21" a="1"/>
  <c r="ES153" i="21" a="1"/>
  <c r="ER155" i="21" a="1"/>
  <c r="ET162" i="21" a="1"/>
  <c r="ES90" i="21" a="1"/>
  <c r="EU82" i="21" a="1"/>
  <c r="EV154" i="21" a="1"/>
  <c r="ER75" i="21" a="1"/>
  <c r="EK167" i="21" a="1"/>
  <c r="EP160" i="21" a="1"/>
  <c r="EO104" i="21" a="1"/>
  <c r="EM95" i="21" a="1"/>
  <c r="EP129" i="21" a="1"/>
  <c r="ES85" i="21" a="1"/>
  <c r="EK83" i="21" a="1"/>
  <c r="ER124" i="21" a="1"/>
  <c r="EK160" i="21" a="1"/>
  <c r="EP156" i="21" a="1"/>
  <c r="EO136" i="21" a="1"/>
  <c r="EV78" i="21" a="1"/>
  <c r="ET125" i="21" a="1"/>
  <c r="EO137" i="21" a="1"/>
  <c r="EQ144" i="21" a="1"/>
  <c r="ES104" i="21" a="1"/>
  <c r="EK155" i="21" a="1"/>
  <c r="EN132" i="21" a="1"/>
  <c r="EN93" i="21" a="1"/>
  <c r="EV177" i="21" a="1"/>
  <c r="EL137" i="21" a="1"/>
  <c r="EN80" i="21" a="1"/>
  <c r="EP127" i="21" a="1"/>
  <c r="EK123" i="21" a="1"/>
  <c r="EU144" i="21" a="1"/>
  <c r="EU105" i="21" a="1"/>
  <c r="EM155" i="21" a="1"/>
  <c r="EQ147" i="21" a="1"/>
  <c r="EV182" i="21" a="1"/>
  <c r="ES82" i="21" a="1"/>
  <c r="ER78" i="21" a="1"/>
  <c r="EO141" i="21" a="1"/>
  <c r="ES166" i="21" a="1"/>
  <c r="EL89" i="21" a="1"/>
  <c r="EL96" i="21" a="1"/>
  <c r="EV132" i="21" a="1"/>
  <c r="EM131" i="21" a="1"/>
  <c r="EU72" i="21" a="1"/>
  <c r="ES163" i="21" a="1"/>
  <c r="EP165" i="21" a="1"/>
  <c r="EO96" i="21" a="1"/>
  <c r="EM133" i="21" a="1"/>
  <c r="EU100" i="21" a="1"/>
  <c r="EO127" i="21" a="1"/>
  <c r="ET164" i="21" a="1"/>
  <c r="EQ112" i="21" a="1"/>
  <c r="EV145" i="21" a="1"/>
  <c r="ER154" i="21" a="1"/>
  <c r="EU79" i="21" a="1"/>
  <c r="EV100" i="21" a="1"/>
  <c r="EL90" i="21" a="1"/>
  <c r="ES68" i="21" a="1"/>
  <c r="EP92" i="21" a="1"/>
  <c r="EQ182" i="21" a="1"/>
  <c r="EL111" i="21" a="1"/>
  <c r="ES161" i="21" a="1"/>
  <c r="EU69" i="21" a="1"/>
  <c r="EN160" i="21" a="1"/>
  <c r="ES78" i="21" a="1"/>
  <c r="EN112" i="21" a="1"/>
  <c r="EV86" i="21" a="1"/>
  <c r="EN100" i="21" a="1"/>
  <c r="ES183" i="21" a="1"/>
  <c r="EQ82" i="21" a="1"/>
  <c r="EK97" i="21" a="1"/>
  <c r="EM86" i="21" a="1"/>
  <c r="EN117" i="21" a="1"/>
  <c r="EL163" i="21" a="1"/>
  <c r="EP123" i="21" a="1"/>
  <c r="EQ72" i="21" a="1"/>
  <c r="ET83" i="21" a="1"/>
  <c r="EL149" i="21" a="1"/>
  <c r="EQ95" i="21" a="1"/>
  <c r="EQ128" i="21" a="1"/>
  <c r="EL102" i="21" a="1"/>
  <c r="EO102" i="21" a="1"/>
  <c r="EN146" i="21" a="1"/>
  <c r="EU83" i="21" a="1"/>
  <c r="EK95" i="21" a="1"/>
  <c r="ER72" i="21" a="1"/>
  <c r="EO79" i="21" a="1"/>
  <c r="EU161" i="21" a="1"/>
  <c r="EU149" i="21" a="1"/>
  <c r="EO152" i="21" a="1"/>
  <c r="EN129" i="21" a="1"/>
  <c r="EQ176" i="21" a="1"/>
  <c r="EN141" i="21" a="1"/>
  <c r="EP107" i="21" a="1"/>
  <c r="EU77" i="21" a="1"/>
  <c r="EL71" i="21" a="1"/>
  <c r="ER144" i="21" a="1"/>
  <c r="ES76" i="21" a="1"/>
  <c r="EP125" i="21" a="1"/>
  <c r="EQ87" i="21" a="1"/>
  <c r="ES124" i="21" a="1"/>
  <c r="EL97" i="21" a="1"/>
  <c r="ER94" i="21" a="1"/>
  <c r="EL100" i="21" a="1"/>
  <c r="ES119" i="21" a="1"/>
  <c r="EU158" i="21" a="1"/>
  <c r="EP116" i="21" a="1"/>
  <c r="EV162" i="21" a="1"/>
  <c r="EV92" i="21" a="1"/>
  <c r="EP128" i="21" a="1"/>
  <c r="EL132" i="21" a="1"/>
  <c r="ER71" i="21" a="1"/>
  <c r="EM70" i="21" a="1"/>
  <c r="EV128" i="21" a="1"/>
  <c r="EU153" i="21" a="1"/>
  <c r="EM73" i="21" a="1"/>
  <c r="ES154" i="21" a="1"/>
  <c r="ER135" i="21" a="1"/>
  <c r="EP71" i="21" a="1"/>
  <c r="EU178" i="21" a="1"/>
  <c r="EU106" i="21" a="1"/>
  <c r="EM80" i="21" a="1"/>
  <c r="ES103" i="21" a="1"/>
  <c r="EP100" i="21" a="1"/>
  <c r="EQ141" i="21" a="1"/>
  <c r="EU111" i="21" a="1"/>
  <c r="ES111" i="21" a="1"/>
  <c r="ET91" i="21" a="1"/>
  <c r="EU168" i="21" a="1"/>
  <c r="EK103" i="21" a="1"/>
  <c r="EO77" i="21" a="1"/>
  <c r="EV180" i="21" a="1"/>
  <c r="ES135" i="21" a="1"/>
  <c r="ET115" i="21" a="1"/>
  <c r="ER168" i="21" a="1"/>
  <c r="EP180" i="21" a="1"/>
  <c r="EP120" i="21" a="1"/>
  <c r="EV106" i="21" a="1"/>
  <c r="ES156" i="21" a="1"/>
  <c r="EO157" i="21" a="1"/>
  <c r="ET142" i="21" a="1"/>
  <c r="ES75" i="21" a="1"/>
  <c r="EK168" i="21" a="1"/>
  <c r="EK113" i="21" a="1"/>
  <c r="EK122" i="21" a="1"/>
  <c r="ER178" i="21" a="1"/>
  <c r="EL115" i="21" a="1"/>
  <c r="ET86" i="21" a="1"/>
  <c r="EP138" i="21" a="1"/>
  <c r="EN86" i="21" a="1"/>
  <c r="C98" i="21"/>
  <c r="EQ165" i="21" a="1"/>
  <c r="ER112" i="21" a="1"/>
  <c r="EK87" i="21" a="1"/>
  <c r="EO100" i="21" a="1"/>
  <c r="EV79" i="21" a="1"/>
  <c r="EM106" i="21" a="1"/>
  <c r="EQ178" i="21" a="1"/>
  <c r="ER179" i="21" a="1"/>
  <c r="ET159" i="21" a="1"/>
  <c r="ES73" i="21" a="1"/>
  <c r="EN78" i="21" a="1"/>
  <c r="EV75" i="21" a="1"/>
  <c r="ER96" i="21" a="1"/>
  <c r="EM85" i="21" a="1"/>
  <c r="ER160" i="21" a="1"/>
  <c r="ES102" i="21" a="1"/>
  <c r="ES84" i="21" a="1"/>
  <c r="EL79" i="21" a="1"/>
  <c r="EO108" i="21" a="1"/>
  <c r="EQ167" i="21" a="1"/>
  <c r="EM162" i="21" a="1"/>
  <c r="EN120" i="21" a="1"/>
  <c r="EV69" i="21" a="1"/>
  <c r="ET144" i="21" a="1"/>
  <c r="EK112" i="21" a="1"/>
  <c r="EQ91" i="21" a="1"/>
  <c r="ES87" i="21" a="1"/>
  <c r="EK120" i="21" a="1"/>
  <c r="ER157" i="21" a="1"/>
  <c r="EN91" i="21" a="1"/>
  <c r="EP173" i="21" a="1"/>
  <c r="EM144" i="21" a="1"/>
  <c r="EP124" i="21" a="1"/>
  <c r="EO91" i="21" a="1"/>
  <c r="ER120" i="21" a="1"/>
  <c r="ET92" i="21" a="1"/>
  <c r="EV82" i="21" a="1"/>
  <c r="ET124" i="21" a="1"/>
  <c r="ES136" i="21" a="1"/>
  <c r="EK96" i="21" a="1"/>
  <c r="ER163" i="21" a="1"/>
  <c r="ES108" i="21" a="1"/>
  <c r="EM150" i="21" a="1"/>
  <c r="EL155" i="21" a="1"/>
  <c r="EO163" i="21" a="1"/>
  <c r="ET121" i="21" a="1"/>
  <c r="EK91" i="21" a="1"/>
  <c r="ER89" i="21" a="1"/>
  <c r="EP112" i="21" a="1"/>
  <c r="ET152" i="21" a="1"/>
  <c r="ET179" i="21" a="1"/>
  <c r="EK170" i="21" a="1"/>
  <c r="EV164" i="21" a="1"/>
  <c r="EQ184" i="21" a="1"/>
  <c r="ER80" i="21" a="1"/>
  <c r="EV169" i="21" a="1"/>
  <c r="EL80" i="21" a="1"/>
  <c r="ER148" i="21" a="1"/>
  <c r="ES94" i="21" a="1"/>
  <c r="EM129" i="21" a="1"/>
  <c r="EK135" i="21" a="1"/>
  <c r="ES152" i="21" a="1"/>
  <c r="EU143" i="21" a="1"/>
  <c r="EO176" i="21" a="1"/>
  <c r="EU174" i="21" a="1"/>
  <c r="EN97" i="21" a="1"/>
  <c r="EN121" i="21" a="1"/>
  <c r="EP149" i="21" a="1"/>
  <c r="ER182" i="21" a="1"/>
  <c r="ET170" i="21" a="1"/>
  <c r="EP143" i="21" a="1"/>
  <c r="ER175" i="21" a="1"/>
  <c r="ES169" i="21" a="1"/>
  <c r="EU165" i="21" a="1"/>
  <c r="ET105" i="21" a="1"/>
  <c r="EL118" i="21" a="1"/>
  <c r="EU92" i="21" a="1"/>
  <c r="EM130" i="21" a="1"/>
  <c r="EN130" i="21" a="1"/>
  <c r="EU185" i="21" a="1"/>
  <c r="AW131" i="21" l="1"/>
  <c r="EP176" i="21"/>
  <c r="DY176" i="21" s="1"/>
  <c r="ET176" i="21"/>
  <c r="EU187" i="21"/>
  <c r="EP178" i="21"/>
  <c r="DY178" i="21" s="1"/>
  <c r="GT178" i="21" s="1"/>
  <c r="EQ149" i="21"/>
  <c r="DZ149" i="21" s="1"/>
  <c r="FU149" i="21" s="1"/>
  <c r="EN149" i="21"/>
  <c r="ES161" i="21"/>
  <c r="EB161" i="21" s="1"/>
  <c r="GW161" i="21" s="1"/>
  <c r="EM161" i="21"/>
  <c r="EN125" i="21"/>
  <c r="ER125" i="21"/>
  <c r="EA125" i="21" s="1"/>
  <c r="EV142" i="21"/>
  <c r="ES121" i="21"/>
  <c r="EB121" i="21" s="1"/>
  <c r="EM121" i="21"/>
  <c r="DV121" i="21" s="1"/>
  <c r="HE121" i="21" s="1"/>
  <c r="EM130" i="21"/>
  <c r="DV130" i="21" s="1"/>
  <c r="ER124" i="21"/>
  <c r="EA124" i="21" s="1"/>
  <c r="GV124" i="21" s="1"/>
  <c r="EL124" i="21"/>
  <c r="DU124" i="21" s="1"/>
  <c r="EO124" i="21"/>
  <c r="DX124" i="21" s="1"/>
  <c r="EV111" i="21"/>
  <c r="EE111" i="21" s="1"/>
  <c r="EK111" i="21"/>
  <c r="DT111" i="21" s="1"/>
  <c r="ET157" i="21"/>
  <c r="ER155" i="21"/>
  <c r="EA155" i="21" s="1"/>
  <c r="ET76" i="21"/>
  <c r="EV76" i="21"/>
  <c r="EE76" i="21" s="1"/>
  <c r="GZ76" i="21" s="1"/>
  <c r="EO70" i="21"/>
  <c r="DX70" i="21" s="1"/>
  <c r="EP175" i="21"/>
  <c r="DY175" i="21" s="1"/>
  <c r="ES175" i="21"/>
  <c r="EB175" i="21" s="1"/>
  <c r="EU152" i="21"/>
  <c r="EM152" i="21"/>
  <c r="EK128" i="21"/>
  <c r="DT128" i="21" s="1"/>
  <c r="HC128" i="21" s="1"/>
  <c r="EP148" i="21"/>
  <c r="DY148" i="21" s="1"/>
  <c r="GT148" i="21" s="1"/>
  <c r="EV148" i="21"/>
  <c r="ES151" i="21"/>
  <c r="EB151" i="21" s="1"/>
  <c r="ET151" i="21"/>
  <c r="EM151" i="21"/>
  <c r="DV151" i="21" s="1"/>
  <c r="EN91" i="21"/>
  <c r="DW91" i="21" s="1"/>
  <c r="GR91" i="21" s="1"/>
  <c r="EK167" i="21"/>
  <c r="DT167" i="21" s="1"/>
  <c r="GO167" i="21" s="1"/>
  <c r="EM167" i="21"/>
  <c r="EP167" i="21"/>
  <c r="DY167" i="21" s="1"/>
  <c r="EU132" i="21"/>
  <c r="EO132" i="21"/>
  <c r="DX132" i="21" s="1"/>
  <c r="GS132" i="21" s="1"/>
  <c r="ET100" i="21"/>
  <c r="EP100" i="21"/>
  <c r="DY100" i="21" s="1"/>
  <c r="ET75" i="21"/>
  <c r="EQ75" i="21"/>
  <c r="DZ75" i="21" s="1"/>
  <c r="HI75" i="21" s="1"/>
  <c r="ER88" i="21"/>
  <c r="EA88" i="21" s="1"/>
  <c r="GV88" i="21" s="1"/>
  <c r="EN88" i="21"/>
  <c r="DW88" i="21" s="1"/>
  <c r="GR88" i="21" s="1"/>
  <c r="CR140" i="21"/>
  <c r="CL140" i="21"/>
  <c r="CP140" i="21"/>
  <c r="GH140" i="21"/>
  <c r="GE140" i="21"/>
  <c r="GF140" i="21"/>
  <c r="GL140" i="21"/>
  <c r="GG140" i="21"/>
  <c r="CS140" i="21"/>
  <c r="GB140" i="21"/>
  <c r="GA140" i="21"/>
  <c r="GI140" i="21"/>
  <c r="CO140" i="21"/>
  <c r="GC140" i="21"/>
  <c r="CU140" i="21"/>
  <c r="CN140" i="21"/>
  <c r="CT140" i="21"/>
  <c r="CQ140" i="21"/>
  <c r="CM140" i="21"/>
  <c r="CW140" i="21"/>
  <c r="GB139" i="21"/>
  <c r="CR139" i="21"/>
  <c r="GI139" i="21"/>
  <c r="GA139" i="21"/>
  <c r="CV139" i="21"/>
  <c r="CW139" i="21"/>
  <c r="GH139" i="21"/>
  <c r="CS139" i="21"/>
  <c r="CM139" i="21"/>
  <c r="CO139" i="21"/>
  <c r="CN139" i="21"/>
  <c r="CT139" i="21"/>
  <c r="GF139" i="21"/>
  <c r="GC139" i="21"/>
  <c r="CU139" i="21"/>
  <c r="GG139" i="21"/>
  <c r="CQ139" i="21"/>
  <c r="CL139" i="21"/>
  <c r="EV176" i="21"/>
  <c r="ET187" i="21"/>
  <c r="ET178" i="21"/>
  <c r="EK149" i="21"/>
  <c r="DT149" i="21" s="1"/>
  <c r="ET149" i="21"/>
  <c r="EO161" i="21"/>
  <c r="DX161" i="21" s="1"/>
  <c r="ES125" i="21"/>
  <c r="EB125" i="21" s="1"/>
  <c r="HK125" i="21" s="1"/>
  <c r="EM125" i="21"/>
  <c r="DV125" i="21" s="1"/>
  <c r="EQ125" i="21"/>
  <c r="DZ125" i="21" s="1"/>
  <c r="GU125" i="21" s="1"/>
  <c r="EQ142" i="21"/>
  <c r="DZ142" i="21" s="1"/>
  <c r="FU142" i="21" s="1"/>
  <c r="EU121" i="21"/>
  <c r="EN130" i="21"/>
  <c r="EP130" i="21"/>
  <c r="DY130" i="21" s="1"/>
  <c r="EM124" i="21"/>
  <c r="DV124" i="21" s="1"/>
  <c r="EQ124" i="21"/>
  <c r="DZ124" i="21" s="1"/>
  <c r="EU124" i="21"/>
  <c r="EN111" i="21"/>
  <c r="DW111" i="21" s="1"/>
  <c r="HF111" i="21" s="1"/>
  <c r="ET111" i="21"/>
  <c r="ES157" i="21"/>
  <c r="EB157" i="21" s="1"/>
  <c r="HK157" i="21" s="1"/>
  <c r="EV155" i="21"/>
  <c r="EQ155" i="21"/>
  <c r="DZ155" i="21" s="1"/>
  <c r="EO76" i="21"/>
  <c r="DX76" i="21" s="1"/>
  <c r="EU76" i="21"/>
  <c r="ED76" i="21" s="1"/>
  <c r="GY76" i="21" s="1"/>
  <c r="ES70" i="21"/>
  <c r="EB70" i="21" s="1"/>
  <c r="ET70" i="21"/>
  <c r="ES179" i="21"/>
  <c r="EB179" i="21" s="1"/>
  <c r="GW179" i="21" s="1"/>
  <c r="EQ179" i="21"/>
  <c r="DZ179" i="21" s="1"/>
  <c r="HI179" i="21" s="1"/>
  <c r="EP183" i="21"/>
  <c r="DY183" i="21" s="1"/>
  <c r="GT183" i="21" s="1"/>
  <c r="ET159" i="21"/>
  <c r="EL159" i="21"/>
  <c r="DU159" i="21" s="1"/>
  <c r="EN156" i="21"/>
  <c r="EQ185" i="21"/>
  <c r="DZ185" i="21" s="1"/>
  <c r="GU185" i="21" s="1"/>
  <c r="EV185" i="21"/>
  <c r="EP172" i="21"/>
  <c r="DY172" i="21" s="1"/>
  <c r="GT172" i="21" s="1"/>
  <c r="ER105" i="21"/>
  <c r="EA105" i="21" s="1"/>
  <c r="HJ105" i="21" s="1"/>
  <c r="EO113" i="21"/>
  <c r="DX113" i="21" s="1"/>
  <c r="EK145" i="21"/>
  <c r="DT145" i="21" s="1"/>
  <c r="ES96" i="21"/>
  <c r="EB96" i="21" s="1"/>
  <c r="ER96" i="21"/>
  <c r="EA96" i="21" s="1"/>
  <c r="GV96" i="21" s="1"/>
  <c r="ER95" i="21"/>
  <c r="EA95" i="21" s="1"/>
  <c r="GV95" i="21" s="1"/>
  <c r="EO95" i="21"/>
  <c r="DX95" i="21" s="1"/>
  <c r="HG95" i="21" s="1"/>
  <c r="EQ146" i="21"/>
  <c r="DZ146" i="21" s="1"/>
  <c r="ES150" i="21"/>
  <c r="EB150" i="21" s="1"/>
  <c r="GW150" i="21" s="1"/>
  <c r="EN150" i="21"/>
  <c r="EU175" i="21"/>
  <c r="ET184" i="21"/>
  <c r="EU128" i="21"/>
  <c r="EO148" i="21"/>
  <c r="DX148" i="21" s="1"/>
  <c r="HG148" i="21" s="1"/>
  <c r="EQ153" i="21"/>
  <c r="DZ153" i="21" s="1"/>
  <c r="FU153" i="21" s="1"/>
  <c r="EQ151" i="21"/>
  <c r="DZ151" i="21" s="1"/>
  <c r="FU151" i="21" s="1"/>
  <c r="EP151" i="21"/>
  <c r="DY151" i="21" s="1"/>
  <c r="GT151" i="21" s="1"/>
  <c r="ER91" i="21"/>
  <c r="EA91" i="21" s="1"/>
  <c r="EO91" i="21"/>
  <c r="DX91" i="21" s="1"/>
  <c r="EU167" i="21"/>
  <c r="EK132" i="21"/>
  <c r="DT132" i="21" s="1"/>
  <c r="HC132" i="21" s="1"/>
  <c r="EV132" i="21"/>
  <c r="EL100" i="21"/>
  <c r="DU100" i="21" s="1"/>
  <c r="GP100" i="21" s="1"/>
  <c r="EO100" i="21"/>
  <c r="DX100" i="21" s="1"/>
  <c r="GS100" i="21" s="1"/>
  <c r="EL75" i="21"/>
  <c r="DU75" i="21" s="1"/>
  <c r="GP75" i="21" s="1"/>
  <c r="EK88" i="21"/>
  <c r="DT88" i="21" s="1"/>
  <c r="EL88" i="21"/>
  <c r="DU88" i="21" s="1"/>
  <c r="EP88" i="21"/>
  <c r="DY88" i="21" s="1"/>
  <c r="EQ175" i="21"/>
  <c r="DZ175" i="21" s="1"/>
  <c r="GU175" i="21" s="1"/>
  <c r="ES184" i="21"/>
  <c r="EB184" i="21" s="1"/>
  <c r="GW184" i="21" s="1"/>
  <c r="EK152" i="21"/>
  <c r="DT152" i="21" s="1"/>
  <c r="GO152" i="21" s="1"/>
  <c r="EN152" i="21"/>
  <c r="EP128" i="21"/>
  <c r="DY128" i="21" s="1"/>
  <c r="GT128" i="21" s="1"/>
  <c r="ET148" i="21"/>
  <c r="EL148" i="21"/>
  <c r="DU148" i="21" s="1"/>
  <c r="EM153" i="21"/>
  <c r="ES153" i="21"/>
  <c r="EB153" i="21" s="1"/>
  <c r="HK153" i="21" s="1"/>
  <c r="EV151" i="21"/>
  <c r="EU151" i="21"/>
  <c r="EU91" i="21"/>
  <c r="EV167" i="21"/>
  <c r="EO167" i="21"/>
  <c r="DX167" i="21" s="1"/>
  <c r="EQ171" i="21"/>
  <c r="DZ171" i="21" s="1"/>
  <c r="EK171" i="21"/>
  <c r="DT171" i="21" s="1"/>
  <c r="EQ132" i="21"/>
  <c r="DZ132" i="21" s="1"/>
  <c r="HI132" i="21" s="1"/>
  <c r="EV100" i="21"/>
  <c r="ES75" i="21"/>
  <c r="EB75" i="21" s="1"/>
  <c r="GW75" i="21" s="1"/>
  <c r="EM75" i="21"/>
  <c r="DV75" i="21" s="1"/>
  <c r="ET175" i="21"/>
  <c r="ER184" i="21"/>
  <c r="EA184" i="21" s="1"/>
  <c r="GV184" i="21" s="1"/>
  <c r="EQ152" i="21"/>
  <c r="DZ152" i="21" s="1"/>
  <c r="ES128" i="21"/>
  <c r="EB128" i="21" s="1"/>
  <c r="EN128" i="21"/>
  <c r="EN148" i="21"/>
  <c r="EP153" i="21"/>
  <c r="DY153" i="21" s="1"/>
  <c r="HH153" i="21" s="1"/>
  <c r="EL151" i="21"/>
  <c r="DU151" i="21" s="1"/>
  <c r="GP151" i="21" s="1"/>
  <c r="ES91" i="21"/>
  <c r="EB91" i="21" s="1"/>
  <c r="GW91" i="21" s="1"/>
  <c r="ET91" i="21"/>
  <c r="ES167" i="21"/>
  <c r="EB167" i="21" s="1"/>
  <c r="EU171" i="21"/>
  <c r="ET132" i="21"/>
  <c r="EP132" i="21"/>
  <c r="DY132" i="21" s="1"/>
  <c r="HH132" i="21" s="1"/>
  <c r="EL132" i="21"/>
  <c r="DU132" i="21" s="1"/>
  <c r="HD132" i="21" s="1"/>
  <c r="EK100" i="21"/>
  <c r="DT100" i="21" s="1"/>
  <c r="HC100" i="21" s="1"/>
  <c r="ER75" i="21"/>
  <c r="EA75" i="21" s="1"/>
  <c r="HJ75" i="21" s="1"/>
  <c r="EV75" i="21"/>
  <c r="EE75" i="21" s="1"/>
  <c r="EU88" i="21"/>
  <c r="ED88" i="21" s="1"/>
  <c r="EM88" i="21"/>
  <c r="DV88" i="21" s="1"/>
  <c r="ET180" i="21"/>
  <c r="EP180" i="21"/>
  <c r="DY180" i="21" s="1"/>
  <c r="GT180" i="21" s="1"/>
  <c r="EM102" i="21"/>
  <c r="DV102" i="21" s="1"/>
  <c r="HE102" i="21" s="1"/>
  <c r="ET99" i="21"/>
  <c r="EM99" i="21"/>
  <c r="DV99" i="21" s="1"/>
  <c r="GQ99" i="21" s="1"/>
  <c r="EU99" i="21"/>
  <c r="EP158" i="21"/>
  <c r="DY158" i="21" s="1"/>
  <c r="EN158" i="21"/>
  <c r="EQ147" i="21"/>
  <c r="DZ147" i="21" s="1"/>
  <c r="FU147" i="21" s="1"/>
  <c r="ES165" i="21"/>
  <c r="EB165" i="21" s="1"/>
  <c r="GW165" i="21" s="1"/>
  <c r="ET143" i="21"/>
  <c r="EK143" i="21"/>
  <c r="DT143" i="21" s="1"/>
  <c r="HC143" i="21" s="1"/>
  <c r="EQ143" i="21"/>
  <c r="DZ143" i="21" s="1"/>
  <c r="FU143" i="21" s="1"/>
  <c r="EU108" i="21"/>
  <c r="EN127" i="21"/>
  <c r="ER97" i="21"/>
  <c r="EA97" i="21" s="1"/>
  <c r="ES97" i="21"/>
  <c r="EB97" i="21" s="1"/>
  <c r="GW97" i="21" s="1"/>
  <c r="EU97" i="21"/>
  <c r="EL115" i="21"/>
  <c r="DU115" i="21" s="1"/>
  <c r="HD115" i="21" s="1"/>
  <c r="ET82" i="21"/>
  <c r="EP81" i="21"/>
  <c r="DY81" i="21" s="1"/>
  <c r="HH81" i="21" s="1"/>
  <c r="ES81" i="21"/>
  <c r="EB81" i="21" s="1"/>
  <c r="EV86" i="21"/>
  <c r="EE86" i="21" s="1"/>
  <c r="EU86" i="21"/>
  <c r="ES135" i="21"/>
  <c r="EB135" i="21" s="1"/>
  <c r="GW135" i="21" s="1"/>
  <c r="EM135" i="21"/>
  <c r="DV135" i="21" s="1"/>
  <c r="HE135" i="21" s="1"/>
  <c r="EU135" i="21"/>
  <c r="EQ79" i="21"/>
  <c r="DZ79" i="21" s="1"/>
  <c r="GU79" i="21" s="1"/>
  <c r="ES79" i="21"/>
  <c r="EB79" i="21" s="1"/>
  <c r="HK79" i="21" s="1"/>
  <c r="EO79" i="21"/>
  <c r="DX79" i="21" s="1"/>
  <c r="EO166" i="21"/>
  <c r="DX166" i="21" s="1"/>
  <c r="ES80" i="21"/>
  <c r="EB80" i="21" s="1"/>
  <c r="ER123" i="21"/>
  <c r="EA123" i="21" s="1"/>
  <c r="HJ123" i="21" s="1"/>
  <c r="ES129" i="21"/>
  <c r="EB129" i="21" s="1"/>
  <c r="GW129" i="21" s="1"/>
  <c r="EN137" i="21"/>
  <c r="EU137" i="21"/>
  <c r="EK137" i="21"/>
  <c r="DT137" i="21" s="1"/>
  <c r="GO137" i="21" s="1"/>
  <c r="EO77" i="21"/>
  <c r="DX77" i="21" s="1"/>
  <c r="EV186" i="21"/>
  <c r="EM118" i="21"/>
  <c r="DV118" i="21" s="1"/>
  <c r="ET118" i="21"/>
  <c r="EP131" i="21"/>
  <c r="DY131" i="21" s="1"/>
  <c r="GT131" i="21" s="1"/>
  <c r="EV107" i="21"/>
  <c r="EE107" i="21" s="1"/>
  <c r="HN107" i="21" s="1"/>
  <c r="EM83" i="21"/>
  <c r="DV83" i="21" s="1"/>
  <c r="HE83" i="21" s="1"/>
  <c r="EP186" i="21"/>
  <c r="DY186" i="21" s="1"/>
  <c r="GT186" i="21" s="1"/>
  <c r="EP168" i="21"/>
  <c r="DY168" i="21" s="1"/>
  <c r="GT168" i="21" s="1"/>
  <c r="ER118" i="21"/>
  <c r="EA118" i="21" s="1"/>
  <c r="EL131" i="21"/>
  <c r="DU131" i="21" s="1"/>
  <c r="EM131" i="21"/>
  <c r="DV131" i="21" s="1"/>
  <c r="GQ131" i="21" s="1"/>
  <c r="EM107" i="21"/>
  <c r="DV107" i="21" s="1"/>
  <c r="GQ107" i="21" s="1"/>
  <c r="ER83" i="21"/>
  <c r="EA83" i="21" s="1"/>
  <c r="EQ186" i="21"/>
  <c r="DZ186" i="21" s="1"/>
  <c r="FU186" i="21" s="1"/>
  <c r="ER168" i="21"/>
  <c r="EA168" i="21" s="1"/>
  <c r="GV168" i="21" s="1"/>
  <c r="EV118" i="21"/>
  <c r="EQ118" i="21"/>
  <c r="DZ118" i="21" s="1"/>
  <c r="ER131" i="21"/>
  <c r="EA131" i="21" s="1"/>
  <c r="ET107" i="21"/>
  <c r="EQ107" i="21"/>
  <c r="DZ107" i="21" s="1"/>
  <c r="FU107" i="21" s="1"/>
  <c r="EQ83" i="21"/>
  <c r="DZ83" i="21" s="1"/>
  <c r="GU83" i="21" s="1"/>
  <c r="EK83" i="21"/>
  <c r="DT83" i="21" s="1"/>
  <c r="GO83" i="21" s="1"/>
  <c r="EV72" i="21"/>
  <c r="EE72" i="21" s="1"/>
  <c r="GZ72" i="21" s="1"/>
  <c r="EL72" i="21"/>
  <c r="DU72" i="21" s="1"/>
  <c r="EU71" i="21"/>
  <c r="ED71" i="21" s="1"/>
  <c r="ET71" i="21"/>
  <c r="EP74" i="21"/>
  <c r="DY74" i="21" s="1"/>
  <c r="EQ74" i="21"/>
  <c r="DZ74" i="21" s="1"/>
  <c r="EV173" i="21"/>
  <c r="EL93" i="21"/>
  <c r="DU93" i="21" s="1"/>
  <c r="HD93" i="21" s="1"/>
  <c r="EV93" i="21"/>
  <c r="EE93" i="21" s="1"/>
  <c r="GZ93" i="21" s="1"/>
  <c r="EP116" i="21"/>
  <c r="DY116" i="21" s="1"/>
  <c r="ES103" i="21"/>
  <c r="EB103" i="21" s="1"/>
  <c r="EU103" i="21"/>
  <c r="ET122" i="21"/>
  <c r="ES109" i="21"/>
  <c r="EB109" i="21" s="1"/>
  <c r="HK109" i="21" s="1"/>
  <c r="EN87" i="21"/>
  <c r="DW87" i="21" s="1"/>
  <c r="HF87" i="21" s="1"/>
  <c r="EO186" i="21"/>
  <c r="DX186" i="21" s="1"/>
  <c r="HG186" i="21" s="1"/>
  <c r="EU186" i="21"/>
  <c r="EU168" i="21"/>
  <c r="EK168" i="21"/>
  <c r="DT168" i="21" s="1"/>
  <c r="EO118" i="21"/>
  <c r="DX118" i="21" s="1"/>
  <c r="HG118" i="21" s="1"/>
  <c r="ES118" i="21"/>
  <c r="EB118" i="21" s="1"/>
  <c r="GW118" i="21" s="1"/>
  <c r="ET131" i="21"/>
  <c r="EO83" i="21"/>
  <c r="DX83" i="21" s="1"/>
  <c r="HG83" i="21" s="1"/>
  <c r="GF110" i="21"/>
  <c r="GA110" i="21"/>
  <c r="CR110" i="21"/>
  <c r="CS110" i="21"/>
  <c r="CL110" i="21"/>
  <c r="CO110" i="21"/>
  <c r="GG110" i="21"/>
  <c r="GH110" i="21"/>
  <c r="CP110" i="21"/>
  <c r="GD110" i="21"/>
  <c r="GB110" i="21"/>
  <c r="GI110" i="21"/>
  <c r="CQ110" i="21"/>
  <c r="GC110" i="21"/>
  <c r="CN110" i="21"/>
  <c r="GE110" i="21"/>
  <c r="CV110" i="21"/>
  <c r="CW110" i="21"/>
  <c r="CT110" i="21"/>
  <c r="CM110" i="21"/>
  <c r="EO176" i="21"/>
  <c r="DX176" i="21" s="1"/>
  <c r="ES176" i="21"/>
  <c r="EB176" i="21" s="1"/>
  <c r="HK176" i="21" s="1"/>
  <c r="EQ178" i="21"/>
  <c r="DZ178" i="21" s="1"/>
  <c r="HI178" i="21" s="1"/>
  <c r="ER149" i="21"/>
  <c r="EA149" i="21" s="1"/>
  <c r="HJ149" i="21" s="1"/>
  <c r="EL149" i="21"/>
  <c r="DU149" i="21" s="1"/>
  <c r="HD149" i="21" s="1"/>
  <c r="EU161" i="21"/>
  <c r="EK125" i="21"/>
  <c r="DT125" i="21" s="1"/>
  <c r="HC125" i="21" s="1"/>
  <c r="EO125" i="21"/>
  <c r="DX125" i="21" s="1"/>
  <c r="ES142" i="21"/>
  <c r="EB142" i="21" s="1"/>
  <c r="EQ121" i="21"/>
  <c r="DZ121" i="21" s="1"/>
  <c r="GU121" i="21" s="1"/>
  <c r="ES130" i="21"/>
  <c r="EB130" i="21" s="1"/>
  <c r="GW130" i="21" s="1"/>
  <c r="EO130" i="21"/>
  <c r="DX130" i="21" s="1"/>
  <c r="HG130" i="21" s="1"/>
  <c r="EV124" i="21"/>
  <c r="EP111" i="21"/>
  <c r="DY111" i="21" s="1"/>
  <c r="GT111" i="21" s="1"/>
  <c r="EV157" i="21"/>
  <c r="EO157" i="21"/>
  <c r="DX157" i="21" s="1"/>
  <c r="EP157" i="21"/>
  <c r="DY157" i="21" s="1"/>
  <c r="EP76" i="21"/>
  <c r="DY76" i="21" s="1"/>
  <c r="EL76" i="21"/>
  <c r="DU76" i="21" s="1"/>
  <c r="ES76" i="21"/>
  <c r="EB76" i="21" s="1"/>
  <c r="GW76" i="21" s="1"/>
  <c r="EU70" i="21"/>
  <c r="ED70" i="21" s="1"/>
  <c r="GY70" i="21" s="1"/>
  <c r="EV70" i="21"/>
  <c r="EE70" i="21" s="1"/>
  <c r="HN70" i="21" s="1"/>
  <c r="EU180" i="21"/>
  <c r="EV180" i="21"/>
  <c r="EV188" i="21"/>
  <c r="ER188" i="21"/>
  <c r="EA188" i="21" s="1"/>
  <c r="HJ188" i="21" s="1"/>
  <c r="EO99" i="21"/>
  <c r="DX99" i="21" s="1"/>
  <c r="HG99" i="21" s="1"/>
  <c r="EK158" i="21"/>
  <c r="DT158" i="21" s="1"/>
  <c r="GO158" i="21" s="1"/>
  <c r="ER158" i="21"/>
  <c r="EA158" i="21" s="1"/>
  <c r="GV158" i="21" s="1"/>
  <c r="EP147" i="21"/>
  <c r="DY147" i="21" s="1"/>
  <c r="HH147" i="21" s="1"/>
  <c r="ET165" i="21"/>
  <c r="EO165" i="21"/>
  <c r="DX165" i="21" s="1"/>
  <c r="ER143" i="21"/>
  <c r="EA143" i="21" s="1"/>
  <c r="EK108" i="21"/>
  <c r="DT108" i="21" s="1"/>
  <c r="GO108" i="21" s="1"/>
  <c r="EV108" i="21"/>
  <c r="EE108" i="21" s="1"/>
  <c r="GZ108" i="21" s="1"/>
  <c r="EV127" i="21"/>
  <c r="ER127" i="21"/>
  <c r="EA127" i="21" s="1"/>
  <c r="GV127" i="21" s="1"/>
  <c r="EV97" i="21"/>
  <c r="EQ97" i="21"/>
  <c r="DZ97" i="21" s="1"/>
  <c r="ER115" i="21"/>
  <c r="EA115" i="21" s="1"/>
  <c r="EK82" i="21"/>
  <c r="DT82" i="21" s="1"/>
  <c r="EK86" i="21"/>
  <c r="DT86" i="21" s="1"/>
  <c r="EQ86" i="21"/>
  <c r="DZ86" i="21" s="1"/>
  <c r="GU86" i="21" s="1"/>
  <c r="ET86" i="21"/>
  <c r="EV179" i="21"/>
  <c r="EK159" i="21"/>
  <c r="DT159" i="21" s="1"/>
  <c r="GO159" i="21" s="1"/>
  <c r="EN159" i="21"/>
  <c r="EL156" i="21"/>
  <c r="DU156" i="21" s="1"/>
  <c r="EP156" i="21"/>
  <c r="DY156" i="21" s="1"/>
  <c r="EP185" i="21"/>
  <c r="DY185" i="21" s="1"/>
  <c r="GT185" i="21" s="1"/>
  <c r="ER172" i="21"/>
  <c r="EA172" i="21" s="1"/>
  <c r="GV172" i="21" s="1"/>
  <c r="EO172" i="21"/>
  <c r="DX172" i="21" s="1"/>
  <c r="GS172" i="21" s="1"/>
  <c r="ES105" i="21"/>
  <c r="EB105" i="21" s="1"/>
  <c r="HK105" i="21" s="1"/>
  <c r="ER113" i="21"/>
  <c r="EA113" i="21" s="1"/>
  <c r="GV113" i="21" s="1"/>
  <c r="EO145" i="21"/>
  <c r="DX145" i="21" s="1"/>
  <c r="GS145" i="21" s="1"/>
  <c r="EU145" i="21"/>
  <c r="ET138" i="21"/>
  <c r="EL138" i="21"/>
  <c r="DU138" i="21" s="1"/>
  <c r="HD138" i="21" s="1"/>
  <c r="EO96" i="21"/>
  <c r="DX96" i="21" s="1"/>
  <c r="HG96" i="21" s="1"/>
  <c r="EP96" i="21"/>
  <c r="DY96" i="21" s="1"/>
  <c r="GT96" i="21" s="1"/>
  <c r="EM96" i="21"/>
  <c r="DV96" i="21" s="1"/>
  <c r="HE96" i="21" s="1"/>
  <c r="EP95" i="21"/>
  <c r="DY95" i="21" s="1"/>
  <c r="GT95" i="21" s="1"/>
  <c r="EM95" i="21"/>
  <c r="DV95" i="21" s="1"/>
  <c r="HE95" i="21" s="1"/>
  <c r="ER146" i="21"/>
  <c r="EA146" i="21" s="1"/>
  <c r="EP146" i="21"/>
  <c r="DY146" i="21" s="1"/>
  <c r="EN146" i="21"/>
  <c r="EP150" i="21"/>
  <c r="DY150" i="21" s="1"/>
  <c r="GT150" i="21" s="1"/>
  <c r="EO135" i="21"/>
  <c r="DX135" i="21" s="1"/>
  <c r="HG135" i="21" s="1"/>
  <c r="GG134" i="21"/>
  <c r="CV134" i="21"/>
  <c r="CT134" i="21"/>
  <c r="GF134" i="21"/>
  <c r="CN134" i="21"/>
  <c r="GA134" i="21"/>
  <c r="GC134" i="21"/>
  <c r="GB134" i="21"/>
  <c r="GE134" i="21"/>
  <c r="CL134" i="21"/>
  <c r="GI134" i="21"/>
  <c r="CP134" i="21"/>
  <c r="CQ134" i="21"/>
  <c r="CM134" i="21"/>
  <c r="CR134" i="21"/>
  <c r="CO134" i="21"/>
  <c r="CW134" i="21"/>
  <c r="GD134" i="21"/>
  <c r="GH134" i="21"/>
  <c r="CS134" i="21"/>
  <c r="GB98" i="21"/>
  <c r="GH98" i="21"/>
  <c r="GC98" i="21"/>
  <c r="GD98" i="21"/>
  <c r="CT98" i="21"/>
  <c r="CP98" i="21"/>
  <c r="CW98" i="21"/>
  <c r="GE98" i="21"/>
  <c r="CO98" i="21"/>
  <c r="CM98" i="21"/>
  <c r="CN98" i="21"/>
  <c r="CQ98" i="21"/>
  <c r="B9" i="21" s="1"/>
  <c r="GG98" i="21"/>
  <c r="CU98" i="21"/>
  <c r="CS98" i="21"/>
  <c r="GI98" i="21"/>
  <c r="GF98" i="21"/>
  <c r="CR98" i="21"/>
  <c r="CV98" i="21"/>
  <c r="H3" i="21"/>
  <c r="F18" i="21" s="1"/>
  <c r="ES187" i="21"/>
  <c r="EB187" i="21" s="1"/>
  <c r="HK187" i="21" s="1"/>
  <c r="EQ187" i="21"/>
  <c r="DZ187" i="21" s="1"/>
  <c r="FU187" i="21" s="1"/>
  <c r="EV178" i="21"/>
  <c r="EO178" i="21"/>
  <c r="DX178" i="21" s="1"/>
  <c r="EP149" i="21"/>
  <c r="DY149" i="21" s="1"/>
  <c r="EN161" i="21"/>
  <c r="EL161" i="21"/>
  <c r="DU161" i="21" s="1"/>
  <c r="GP161" i="21" s="1"/>
  <c r="EV125" i="21"/>
  <c r="EL125" i="21"/>
  <c r="DU125" i="21" s="1"/>
  <c r="HD125" i="21" s="1"/>
  <c r="EO142" i="21"/>
  <c r="DX142" i="21" s="1"/>
  <c r="HG142" i="21" s="1"/>
  <c r="EK121" i="21"/>
  <c r="DT121" i="21" s="1"/>
  <c r="HC121" i="21" s="1"/>
  <c r="EV121" i="21"/>
  <c r="EQ130" i="21"/>
  <c r="DZ130" i="21" s="1"/>
  <c r="EP124" i="21"/>
  <c r="DY124" i="21" s="1"/>
  <c r="GT124" i="21" s="1"/>
  <c r="ES124" i="21"/>
  <c r="EB124" i="21" s="1"/>
  <c r="HK124" i="21" s="1"/>
  <c r="ES111" i="21"/>
  <c r="EB111" i="21" s="1"/>
  <c r="GW111" i="21" s="1"/>
  <c r="EM157" i="21"/>
  <c r="EL157" i="21"/>
  <c r="DU157" i="21" s="1"/>
  <c r="GP157" i="21" s="1"/>
  <c r="ET155" i="21"/>
  <c r="EM76" i="21"/>
  <c r="DV76" i="21" s="1"/>
  <c r="EL70" i="21"/>
  <c r="DU70" i="21" s="1"/>
  <c r="EQ70" i="21"/>
  <c r="DZ70" i="21" s="1"/>
  <c r="GU70" i="21" s="1"/>
  <c r="ES188" i="21"/>
  <c r="EB188" i="21" s="1"/>
  <c r="HK188" i="21" s="1"/>
  <c r="EK102" i="21"/>
  <c r="DT102" i="21" s="1"/>
  <c r="HC102" i="21" s="1"/>
  <c r="EP99" i="21"/>
  <c r="DY99" i="21" s="1"/>
  <c r="HH99" i="21" s="1"/>
  <c r="EN99" i="21"/>
  <c r="DW99" i="21" s="1"/>
  <c r="HF99" i="21" s="1"/>
  <c r="EQ99" i="21"/>
  <c r="DZ99" i="21" s="1"/>
  <c r="HI99" i="21" s="1"/>
  <c r="EM158" i="21"/>
  <c r="EU147" i="21"/>
  <c r="ES147" i="21"/>
  <c r="EB147" i="21" s="1"/>
  <c r="GW147" i="21" s="1"/>
  <c r="EM165" i="21"/>
  <c r="EQ165" i="21"/>
  <c r="DZ165" i="21" s="1"/>
  <c r="HI165" i="21" s="1"/>
  <c r="EK165" i="21"/>
  <c r="DT165" i="21" s="1"/>
  <c r="GO165" i="21" s="1"/>
  <c r="EP143" i="21"/>
  <c r="DY143" i="21" s="1"/>
  <c r="HH143" i="21" s="1"/>
  <c r="EL108" i="21"/>
  <c r="DU108" i="21" s="1"/>
  <c r="HD108" i="21" s="1"/>
  <c r="EO127" i="21"/>
  <c r="DX127" i="21" s="1"/>
  <c r="EM97" i="21"/>
  <c r="DV97" i="21" s="1"/>
  <c r="EP97" i="21"/>
  <c r="DY97" i="21" s="1"/>
  <c r="HH97" i="21" s="1"/>
  <c r="ES115" i="21"/>
  <c r="EB115" i="21" s="1"/>
  <c r="GW115" i="21" s="1"/>
  <c r="EN82" i="21"/>
  <c r="DW82" i="21" s="1"/>
  <c r="GR82" i="21" s="1"/>
  <c r="EM81" i="21"/>
  <c r="DV81" i="21" s="1"/>
  <c r="HE81" i="21" s="1"/>
  <c r="ET81" i="21"/>
  <c r="EQ81" i="21"/>
  <c r="DZ81" i="21" s="1"/>
  <c r="ES86" i="21"/>
  <c r="EB86" i="21" s="1"/>
  <c r="EP179" i="21"/>
  <c r="DY179" i="21" s="1"/>
  <c r="EU159" i="21"/>
  <c r="ET156" i="21"/>
  <c r="ER156" i="21"/>
  <c r="EA156" i="21" s="1"/>
  <c r="HJ156" i="21" s="1"/>
  <c r="ER185" i="21"/>
  <c r="EA185" i="21" s="1"/>
  <c r="GV185" i="21" s="1"/>
  <c r="EU172" i="21"/>
  <c r="ET172" i="21"/>
  <c r="EO105" i="21"/>
  <c r="DX105" i="21" s="1"/>
  <c r="EV105" i="21"/>
  <c r="EE105" i="21" s="1"/>
  <c r="ES113" i="21"/>
  <c r="EB113" i="21" s="1"/>
  <c r="GW113" i="21" s="1"/>
  <c r="EK113" i="21"/>
  <c r="DT113" i="21" s="1"/>
  <c r="HC113" i="21" s="1"/>
  <c r="EN145" i="21"/>
  <c r="EU138" i="21"/>
  <c r="ER138" i="21"/>
  <c r="EA138" i="21" s="1"/>
  <c r="GV138" i="21" s="1"/>
  <c r="EV138" i="21"/>
  <c r="EU96" i="21"/>
  <c r="EQ95" i="21"/>
  <c r="DZ95" i="21" s="1"/>
  <c r="GU95" i="21" s="1"/>
  <c r="EK146" i="21"/>
  <c r="DT146" i="21" s="1"/>
  <c r="GO146" i="21" s="1"/>
  <c r="EO146" i="21"/>
  <c r="DX146" i="21" s="1"/>
  <c r="HG146" i="21" s="1"/>
  <c r="EM150" i="21"/>
  <c r="EP72" i="21"/>
  <c r="DY72" i="21" s="1"/>
  <c r="HH72" i="21" s="1"/>
  <c r="EQ72" i="21"/>
  <c r="DZ72" i="21" s="1"/>
  <c r="FU72" i="21" s="1"/>
  <c r="EL71" i="21"/>
  <c r="DU71" i="21" s="1"/>
  <c r="EM74" i="21"/>
  <c r="DV74" i="21" s="1"/>
  <c r="ET74" i="21"/>
  <c r="EK74" i="21"/>
  <c r="DT74" i="21" s="1"/>
  <c r="HC74" i="21" s="1"/>
  <c r="ER173" i="21"/>
  <c r="EA173" i="21" s="1"/>
  <c r="GV173" i="21" s="1"/>
  <c r="EQ93" i="21"/>
  <c r="DZ93" i="21" s="1"/>
  <c r="HI93" i="21" s="1"/>
  <c r="EM93" i="21"/>
  <c r="DV93" i="21" s="1"/>
  <c r="GQ93" i="21" s="1"/>
  <c r="EM116" i="21"/>
  <c r="DV116" i="21" s="1"/>
  <c r="HE116" i="21" s="1"/>
  <c r="EL116" i="21"/>
  <c r="DU116" i="21" s="1"/>
  <c r="GP116" i="21" s="1"/>
  <c r="ET103" i="21"/>
  <c r="EO103" i="21"/>
  <c r="DX103" i="21" s="1"/>
  <c r="EK122" i="21"/>
  <c r="DT122" i="21" s="1"/>
  <c r="GO122" i="21" s="1"/>
  <c r="EM122" i="21"/>
  <c r="DV122" i="21" s="1"/>
  <c r="HE122" i="21" s="1"/>
  <c r="EQ109" i="21"/>
  <c r="DZ109" i="21" s="1"/>
  <c r="GU109" i="21" s="1"/>
  <c r="ER109" i="21"/>
  <c r="EA109" i="21" s="1"/>
  <c r="GV109" i="21" s="1"/>
  <c r="ES87" i="21"/>
  <c r="EB87" i="21" s="1"/>
  <c r="GW87" i="21" s="1"/>
  <c r="EP87" i="21"/>
  <c r="DY87" i="21" s="1"/>
  <c r="ER87" i="21"/>
  <c r="EA87" i="21" s="1"/>
  <c r="EV79" i="21"/>
  <c r="EE79" i="21" s="1"/>
  <c r="ET79" i="21"/>
  <c r="GG101" i="21"/>
  <c r="CO101" i="21"/>
  <c r="CW101" i="21"/>
  <c r="CT101" i="21"/>
  <c r="GH101" i="21"/>
  <c r="GD101" i="21"/>
  <c r="GB101" i="21"/>
  <c r="CR101" i="21"/>
  <c r="CM101" i="21"/>
  <c r="GA101" i="21"/>
  <c r="GC101" i="21"/>
  <c r="CN101" i="21"/>
  <c r="CL101" i="21"/>
  <c r="CQ101" i="21"/>
  <c r="CS101" i="21"/>
  <c r="CV101" i="21"/>
  <c r="GF101" i="21"/>
  <c r="CU101" i="21"/>
  <c r="GI101" i="21"/>
  <c r="EQ176" i="21"/>
  <c r="DZ176" i="21" s="1"/>
  <c r="GU176" i="21" s="1"/>
  <c r="ER176" i="21"/>
  <c r="EA176" i="21" s="1"/>
  <c r="GV176" i="21" s="1"/>
  <c r="ES178" i="21"/>
  <c r="EB178" i="21" s="1"/>
  <c r="EO149" i="21"/>
  <c r="DX149" i="21" s="1"/>
  <c r="EQ161" i="21"/>
  <c r="DZ161" i="21" s="1"/>
  <c r="FU161" i="21" s="1"/>
  <c r="ET125" i="21"/>
  <c r="EU142" i="21"/>
  <c r="EL142" i="21"/>
  <c r="DU142" i="21" s="1"/>
  <c r="GP142" i="21" s="1"/>
  <c r="EO121" i="21"/>
  <c r="DX121" i="21" s="1"/>
  <c r="HG121" i="21" s="1"/>
  <c r="EV130" i="21"/>
  <c r="EU130" i="21"/>
  <c r="EK124" i="21"/>
  <c r="DT124" i="21" s="1"/>
  <c r="EQ157" i="21"/>
  <c r="DZ157" i="21" s="1"/>
  <c r="GU157" i="21" s="1"/>
  <c r="EL155" i="21"/>
  <c r="DU155" i="21" s="1"/>
  <c r="GP155" i="21" s="1"/>
  <c r="EQ76" i="21"/>
  <c r="DZ76" i="21" s="1"/>
  <c r="HI76" i="21" s="1"/>
  <c r="EK70" i="21"/>
  <c r="DT70" i="21" s="1"/>
  <c r="HC70" i="21" s="1"/>
  <c r="ES180" i="21"/>
  <c r="EB180" i="21" s="1"/>
  <c r="GW180" i="21" s="1"/>
  <c r="EO188" i="21"/>
  <c r="DX188" i="21" s="1"/>
  <c r="HG188" i="21" s="1"/>
  <c r="ET188" i="21"/>
  <c r="EN102" i="21"/>
  <c r="DW102" i="21" s="1"/>
  <c r="EL102" i="21"/>
  <c r="DU102" i="21" s="1"/>
  <c r="HD102" i="21" s="1"/>
  <c r="EV99" i="21"/>
  <c r="EL147" i="21"/>
  <c r="DU147" i="21" s="1"/>
  <c r="GP147" i="21" s="1"/>
  <c r="ET147" i="21"/>
  <c r="EO143" i="21"/>
  <c r="DX143" i="21" s="1"/>
  <c r="HG143" i="21" s="1"/>
  <c r="EM108" i="21"/>
  <c r="DV108" i="21" s="1"/>
  <c r="GQ108" i="21" s="1"/>
  <c r="EL127" i="21"/>
  <c r="DU127" i="21" s="1"/>
  <c r="EP127" i="21"/>
  <c r="DY127" i="21" s="1"/>
  <c r="HH127" i="21" s="1"/>
  <c r="EO97" i="21"/>
  <c r="DX97" i="21" s="1"/>
  <c r="GS97" i="21" s="1"/>
  <c r="ET97" i="21"/>
  <c r="EM115" i="21"/>
  <c r="DV115" i="21" s="1"/>
  <c r="GQ115" i="21" s="1"/>
  <c r="ES82" i="21"/>
  <c r="EB82" i="21" s="1"/>
  <c r="GW82" i="21" s="1"/>
  <c r="EM82" i="21"/>
  <c r="DV82" i="21" s="1"/>
  <c r="HE82" i="21" s="1"/>
  <c r="EQ82" i="21"/>
  <c r="DZ82" i="21" s="1"/>
  <c r="EL81" i="21"/>
  <c r="DU81" i="21" s="1"/>
  <c r="EN86" i="21"/>
  <c r="DW86" i="21" s="1"/>
  <c r="EK166" i="21"/>
  <c r="DT166" i="21" s="1"/>
  <c r="HC166" i="21" s="1"/>
  <c r="ET166" i="21"/>
  <c r="EU166" i="21"/>
  <c r="EL163" i="21"/>
  <c r="DU163" i="21" s="1"/>
  <c r="GP163" i="21" s="1"/>
  <c r="EO163" i="21"/>
  <c r="DX163" i="21" s="1"/>
  <c r="HG163" i="21" s="1"/>
  <c r="EO80" i="21"/>
  <c r="DX80" i="21" s="1"/>
  <c r="EM80" i="21"/>
  <c r="DV80" i="21" s="1"/>
  <c r="EL123" i="21"/>
  <c r="DU123" i="21" s="1"/>
  <c r="EV123" i="21"/>
  <c r="EM129" i="21"/>
  <c r="DV129" i="21" s="1"/>
  <c r="GQ129" i="21" s="1"/>
  <c r="EK77" i="21"/>
  <c r="DT77" i="21" s="1"/>
  <c r="GO77" i="21" s="1"/>
  <c r="EQ77" i="21"/>
  <c r="DZ77" i="21" s="1"/>
  <c r="HI77" i="21" s="1"/>
  <c r="EP135" i="21"/>
  <c r="DY135" i="21" s="1"/>
  <c r="GT135" i="21" s="1"/>
  <c r="EO175" i="21"/>
  <c r="DX175" i="21" s="1"/>
  <c r="GS175" i="21" s="1"/>
  <c r="ER175" i="21"/>
  <c r="EA175" i="21" s="1"/>
  <c r="EQ184" i="21"/>
  <c r="DZ184" i="21" s="1"/>
  <c r="EO152" i="21"/>
  <c r="DX152" i="21" s="1"/>
  <c r="HG152" i="21" s="1"/>
  <c r="EL152" i="21"/>
  <c r="DU152" i="21" s="1"/>
  <c r="HD152" i="21" s="1"/>
  <c r="EL128" i="21"/>
  <c r="DU128" i="21" s="1"/>
  <c r="GP128" i="21" s="1"/>
  <c r="EO128" i="21"/>
  <c r="DX128" i="21" s="1"/>
  <c r="GS128" i="21" s="1"/>
  <c r="EQ148" i="21"/>
  <c r="DZ148" i="21" s="1"/>
  <c r="HI148" i="21" s="1"/>
  <c r="ES148" i="21"/>
  <c r="EB148" i="21" s="1"/>
  <c r="EK153" i="21"/>
  <c r="DT153" i="21" s="1"/>
  <c r="EO153" i="21"/>
  <c r="DX153" i="21" s="1"/>
  <c r="EO151" i="21"/>
  <c r="DX151" i="21" s="1"/>
  <c r="GS151" i="21" s="1"/>
  <c r="EM91" i="21"/>
  <c r="DV91" i="21" s="1"/>
  <c r="GQ91" i="21" s="1"/>
  <c r="EK91" i="21"/>
  <c r="DT91" i="21" s="1"/>
  <c r="HC91" i="21" s="1"/>
  <c r="EL91" i="21"/>
  <c r="DU91" i="21" s="1"/>
  <c r="HD91" i="21" s="1"/>
  <c r="ET167" i="21"/>
  <c r="EV171" i="21"/>
  <c r="EN132" i="21"/>
  <c r="EQ100" i="21"/>
  <c r="DZ100" i="21" s="1"/>
  <c r="EK75" i="21"/>
  <c r="DT75" i="21" s="1"/>
  <c r="HC75" i="21" s="1"/>
  <c r="EP75" i="21"/>
  <c r="DY75" i="21" s="1"/>
  <c r="HH75" i="21" s="1"/>
  <c r="ES88" i="21"/>
  <c r="EB88" i="21" s="1"/>
  <c r="HK88" i="21" s="1"/>
  <c r="EQ88" i="21"/>
  <c r="DZ88" i="21" s="1"/>
  <c r="HI88" i="21" s="1"/>
  <c r="EO180" i="21"/>
  <c r="DX180" i="21" s="1"/>
  <c r="HG180" i="21" s="1"/>
  <c r="EQ102" i="21"/>
  <c r="DZ102" i="21" s="1"/>
  <c r="GU102" i="21" s="1"/>
  <c r="EP102" i="21"/>
  <c r="DY102" i="21" s="1"/>
  <c r="ET158" i="21"/>
  <c r="EN147" i="21"/>
  <c r="EP165" i="21"/>
  <c r="DY165" i="21" s="1"/>
  <c r="GT165" i="21" s="1"/>
  <c r="EV143" i="21"/>
  <c r="EQ108" i="21"/>
  <c r="DZ108" i="21" s="1"/>
  <c r="FU108" i="21" s="1"/>
  <c r="ER108" i="21"/>
  <c r="EA108" i="21" s="1"/>
  <c r="GV108" i="21" s="1"/>
  <c r="EU127" i="21"/>
  <c r="EN115" i="21"/>
  <c r="DW115" i="21" s="1"/>
  <c r="EO82" i="21"/>
  <c r="DX82" i="21" s="1"/>
  <c r="EO81" i="21"/>
  <c r="DX81" i="21" s="1"/>
  <c r="HG81" i="21" s="1"/>
  <c r="EO179" i="21"/>
  <c r="DX179" i="21" s="1"/>
  <c r="HG179" i="21" s="1"/>
  <c r="ES183" i="21"/>
  <c r="EB183" i="21" s="1"/>
  <c r="GW183" i="21" s="1"/>
  <c r="ES159" i="21"/>
  <c r="EB159" i="21" s="1"/>
  <c r="GW159" i="21" s="1"/>
  <c r="EM159" i="21"/>
  <c r="EO156" i="21"/>
  <c r="DX156" i="21" s="1"/>
  <c r="HG156" i="21" s="1"/>
  <c r="EM156" i="21"/>
  <c r="ES185" i="21"/>
  <c r="EB185" i="21" s="1"/>
  <c r="HK185" i="21" s="1"/>
  <c r="EL105" i="21"/>
  <c r="DU105" i="21" s="1"/>
  <c r="HD105" i="21" s="1"/>
  <c r="EN105" i="21"/>
  <c r="DW105" i="21" s="1"/>
  <c r="HF105" i="21" s="1"/>
  <c r="EP113" i="21"/>
  <c r="DY113" i="21" s="1"/>
  <c r="HH113" i="21" s="1"/>
  <c r="EM145" i="21"/>
  <c r="DV145" i="21" s="1"/>
  <c r="HE145" i="21" s="1"/>
  <c r="ET145" i="21"/>
  <c r="EO138" i="21"/>
  <c r="DX138" i="21" s="1"/>
  <c r="GS138" i="21" s="1"/>
  <c r="ET96" i="21"/>
  <c r="EU95" i="21"/>
  <c r="ET146" i="21"/>
  <c r="EQ150" i="21"/>
  <c r="DZ150" i="21" s="1"/>
  <c r="HI150" i="21" s="1"/>
  <c r="ET72" i="21"/>
  <c r="ES71" i="21"/>
  <c r="EB71" i="21" s="1"/>
  <c r="GW71" i="21" s="1"/>
  <c r="EO71" i="21"/>
  <c r="DX71" i="21" s="1"/>
  <c r="GS71" i="21" s="1"/>
  <c r="ER71" i="21"/>
  <c r="EA71" i="21" s="1"/>
  <c r="EL74" i="21"/>
  <c r="DU74" i="21" s="1"/>
  <c r="EN74" i="21"/>
  <c r="DW74" i="21" s="1"/>
  <c r="ET173" i="21"/>
  <c r="EP173" i="21"/>
  <c r="DY173" i="21" s="1"/>
  <c r="HH173" i="21" s="1"/>
  <c r="ET93" i="21"/>
  <c r="EV116" i="21"/>
  <c r="EL103" i="21"/>
  <c r="DU103" i="21" s="1"/>
  <c r="HD103" i="21" s="1"/>
  <c r="EV122" i="21"/>
  <c r="EP109" i="21"/>
  <c r="DY109" i="21" s="1"/>
  <c r="EU109" i="21"/>
  <c r="EV87" i="21"/>
  <c r="EE87" i="21" s="1"/>
  <c r="GZ87" i="21" s="1"/>
  <c r="ET87" i="21"/>
  <c r="EL166" i="21"/>
  <c r="DU166" i="21" s="1"/>
  <c r="HD166" i="21" s="1"/>
  <c r="ER166" i="21"/>
  <c r="EA166" i="21" s="1"/>
  <c r="GV166" i="21" s="1"/>
  <c r="EQ163" i="21"/>
  <c r="DZ163" i="21" s="1"/>
  <c r="HI163" i="21" s="1"/>
  <c r="ER163" i="21"/>
  <c r="EA163" i="21" s="1"/>
  <c r="GV163" i="21" s="1"/>
  <c r="EP80" i="21"/>
  <c r="DY80" i="21" s="1"/>
  <c r="EN80" i="21"/>
  <c r="DW80" i="21" s="1"/>
  <c r="EP123" i="21"/>
  <c r="DY123" i="21" s="1"/>
  <c r="HH123" i="21" s="1"/>
  <c r="EK123" i="21"/>
  <c r="DT123" i="21" s="1"/>
  <c r="HC123" i="21" s="1"/>
  <c r="EO129" i="21"/>
  <c r="DX129" i="21" s="1"/>
  <c r="HG129" i="21" s="1"/>
  <c r="EV137" i="21"/>
  <c r="EP137" i="21"/>
  <c r="DY137" i="21" s="1"/>
  <c r="GT137" i="21" s="1"/>
  <c r="EL77" i="21"/>
  <c r="DU77" i="21" s="1"/>
  <c r="HD77" i="21" s="1"/>
  <c r="ET77" i="21"/>
  <c r="ES186" i="21"/>
  <c r="EB186" i="21" s="1"/>
  <c r="GW186" i="21" s="1"/>
  <c r="ER186" i="21"/>
  <c r="EA186" i="21" s="1"/>
  <c r="HJ186" i="21" s="1"/>
  <c r="EO168" i="21"/>
  <c r="DX168" i="21" s="1"/>
  <c r="GS168" i="21" s="1"/>
  <c r="EK118" i="21"/>
  <c r="DT118" i="21" s="1"/>
  <c r="GO118" i="21" s="1"/>
  <c r="EU131" i="21"/>
  <c r="EN131" i="21"/>
  <c r="DW131" i="21" s="1"/>
  <c r="HF131" i="21" s="1"/>
  <c r="ER107" i="21"/>
  <c r="EA107" i="21" s="1"/>
  <c r="HJ107" i="21" s="1"/>
  <c r="EN107" i="21"/>
  <c r="DW107" i="21" s="1"/>
  <c r="EL83" i="21"/>
  <c r="DU83" i="21" s="1"/>
  <c r="EQ174" i="21"/>
  <c r="DZ174" i="21" s="1"/>
  <c r="FU174" i="21" s="1"/>
  <c r="ES126" i="21"/>
  <c r="EB126" i="21" s="1"/>
  <c r="GW126" i="21" s="1"/>
  <c r="EL126" i="21"/>
  <c r="DU126" i="21" s="1"/>
  <c r="HD126" i="21" s="1"/>
  <c r="EV154" i="21"/>
  <c r="ET112" i="21"/>
  <c r="EV112" i="21"/>
  <c r="EU89" i="21"/>
  <c r="EN160" i="21"/>
  <c r="EL119" i="21"/>
  <c r="DU119" i="21" s="1"/>
  <c r="HD119" i="21" s="1"/>
  <c r="EP119" i="21"/>
  <c r="DY119" i="21" s="1"/>
  <c r="HH119" i="21" s="1"/>
  <c r="ER119" i="21"/>
  <c r="EA119" i="21" s="1"/>
  <c r="GV119" i="21" s="1"/>
  <c r="EK144" i="21"/>
  <c r="DT144" i="21" s="1"/>
  <c r="HC144" i="21" s="1"/>
  <c r="EO144" i="21"/>
  <c r="DX144" i="21" s="1"/>
  <c r="HG144" i="21" s="1"/>
  <c r="ER73" i="21"/>
  <c r="EA73" i="21" s="1"/>
  <c r="GV73" i="21" s="1"/>
  <c r="EN73" i="21"/>
  <c r="DW73" i="21" s="1"/>
  <c r="EQ92" i="21"/>
  <c r="DZ92" i="21" s="1"/>
  <c r="GU92" i="21" s="1"/>
  <c r="ES136" i="21"/>
  <c r="EB136" i="21" s="1"/>
  <c r="GW136" i="21" s="1"/>
  <c r="EK133" i="21"/>
  <c r="DT133" i="21" s="1"/>
  <c r="HC133" i="21" s="1"/>
  <c r="EN133" i="21"/>
  <c r="EN90" i="21"/>
  <c r="DW90" i="21" s="1"/>
  <c r="GR90" i="21" s="1"/>
  <c r="EM90" i="21"/>
  <c r="DV90" i="21" s="1"/>
  <c r="GQ90" i="21" s="1"/>
  <c r="EO174" i="21"/>
  <c r="DX174" i="21" s="1"/>
  <c r="HG174" i="21" s="1"/>
  <c r="EP126" i="21"/>
  <c r="DY126" i="21" s="1"/>
  <c r="EN154" i="21"/>
  <c r="EM154" i="21"/>
  <c r="EL154" i="21"/>
  <c r="DU154" i="21" s="1"/>
  <c r="GP154" i="21" s="1"/>
  <c r="EL69" i="21"/>
  <c r="DU69" i="21" s="1"/>
  <c r="GP69" i="21" s="1"/>
  <c r="EO89" i="21"/>
  <c r="DX89" i="21" s="1"/>
  <c r="GS89" i="21" s="1"/>
  <c r="EN117" i="21"/>
  <c r="EU117" i="21"/>
  <c r="EM84" i="21"/>
  <c r="DV84" i="21" s="1"/>
  <c r="EV84" i="21"/>
  <c r="ES84" i="21"/>
  <c r="EB84" i="21" s="1"/>
  <c r="HK84" i="21" s="1"/>
  <c r="ER177" i="21"/>
  <c r="EA177" i="21" s="1"/>
  <c r="HJ177" i="21" s="1"/>
  <c r="EP94" i="21"/>
  <c r="DY94" i="21" s="1"/>
  <c r="HH94" i="21" s="1"/>
  <c r="EL94" i="21"/>
  <c r="DU94" i="21" s="1"/>
  <c r="GP94" i="21" s="1"/>
  <c r="EN104" i="21"/>
  <c r="DW104" i="21" s="1"/>
  <c r="HF104" i="21" s="1"/>
  <c r="EP120" i="21"/>
  <c r="DY120" i="21" s="1"/>
  <c r="GT120" i="21" s="1"/>
  <c r="EV170" i="21"/>
  <c r="ET170" i="21"/>
  <c r="EL78" i="21"/>
  <c r="DU78" i="21" s="1"/>
  <c r="GP78" i="21" s="1"/>
  <c r="EV78" i="21"/>
  <c r="EE78" i="21" s="1"/>
  <c r="HN78" i="21" s="1"/>
  <c r="EQ182" i="21"/>
  <c r="DZ182" i="21" s="1"/>
  <c r="GU182" i="21" s="1"/>
  <c r="EO182" i="21"/>
  <c r="DX182" i="21" s="1"/>
  <c r="HG182" i="21" s="1"/>
  <c r="EL90" i="21"/>
  <c r="DU90" i="21" s="1"/>
  <c r="GP90" i="21" s="1"/>
  <c r="ET114" i="21"/>
  <c r="EU114" i="21"/>
  <c r="ES160" i="21"/>
  <c r="EB160" i="21" s="1"/>
  <c r="ET144" i="21"/>
  <c r="EU144" i="21"/>
  <c r="ES73" i="21"/>
  <c r="EB73" i="21" s="1"/>
  <c r="GW73" i="21" s="1"/>
  <c r="ET73" i="21"/>
  <c r="EV181" i="21"/>
  <c r="EM162" i="21"/>
  <c r="ES162" i="21"/>
  <c r="EB162" i="21" s="1"/>
  <c r="ET177" i="21"/>
  <c r="EK94" i="21"/>
  <c r="DT94" i="21" s="1"/>
  <c r="HC94" i="21" s="1"/>
  <c r="EO120" i="21"/>
  <c r="DX120" i="21" s="1"/>
  <c r="HG120" i="21" s="1"/>
  <c r="EK120" i="21"/>
  <c r="DT120" i="21" s="1"/>
  <c r="HC120" i="21" s="1"/>
  <c r="EO170" i="21"/>
  <c r="DX170" i="21" s="1"/>
  <c r="HG170" i="21" s="1"/>
  <c r="EN78" i="21"/>
  <c r="DW78" i="21" s="1"/>
  <c r="GR78" i="21" s="1"/>
  <c r="EU126" i="21"/>
  <c r="ET154" i="21"/>
  <c r="EU154" i="21"/>
  <c r="EU69" i="21"/>
  <c r="ED69" i="21" s="1"/>
  <c r="GY69" i="21" s="1"/>
  <c r="ES89" i="21"/>
  <c r="EB89" i="21" s="1"/>
  <c r="GW89" i="21" s="1"/>
  <c r="ER89" i="21"/>
  <c r="EA89" i="21" s="1"/>
  <c r="GV89" i="21" s="1"/>
  <c r="EK160" i="21"/>
  <c r="DT160" i="21" s="1"/>
  <c r="HC160" i="21" s="1"/>
  <c r="ET160" i="21"/>
  <c r="ET119" i="21"/>
  <c r="EM119" i="21"/>
  <c r="DV119" i="21" s="1"/>
  <c r="EQ144" i="21"/>
  <c r="DZ144" i="21" s="1"/>
  <c r="EU73" i="21"/>
  <c r="ED73" i="21" s="1"/>
  <c r="GY73" i="21" s="1"/>
  <c r="EV162" i="21"/>
  <c r="EP106" i="21"/>
  <c r="DY106" i="21" s="1"/>
  <c r="HH106" i="21" s="1"/>
  <c r="EV106" i="21"/>
  <c r="EO177" i="21"/>
  <c r="DX177" i="21" s="1"/>
  <c r="HG177" i="21" s="1"/>
  <c r="ET94" i="21"/>
  <c r="EL104" i="21"/>
  <c r="DU104" i="21" s="1"/>
  <c r="EQ104" i="21"/>
  <c r="DZ104" i="21" s="1"/>
  <c r="ET120" i="21"/>
  <c r="EN120" i="21"/>
  <c r="ER78" i="21"/>
  <c r="EA78" i="21" s="1"/>
  <c r="HJ78" i="21" s="1"/>
  <c r="EO78" i="21"/>
  <c r="DX78" i="21" s="1"/>
  <c r="HG78" i="21" s="1"/>
  <c r="ER187" i="21"/>
  <c r="EA187" i="21" s="1"/>
  <c r="GV187" i="21" s="1"/>
  <c r="EV187" i="21"/>
  <c r="EU149" i="21"/>
  <c r="EV161" i="21"/>
  <c r="EK161" i="21"/>
  <c r="DT161" i="21" s="1"/>
  <c r="GO161" i="21" s="1"/>
  <c r="ET142" i="21"/>
  <c r="EN142" i="21"/>
  <c r="EL121" i="21"/>
  <c r="DU121" i="21" s="1"/>
  <c r="GP121" i="21" s="1"/>
  <c r="EN121" i="21"/>
  <c r="ET130" i="21"/>
  <c r="ER130" i="21"/>
  <c r="EA130" i="21" s="1"/>
  <c r="EL130" i="21"/>
  <c r="DU130" i="21" s="1"/>
  <c r="ET124" i="21"/>
  <c r="EQ111" i="21"/>
  <c r="DZ111" i="21" s="1"/>
  <c r="FU111" i="21" s="1"/>
  <c r="EL111" i="21"/>
  <c r="DU111" i="21" s="1"/>
  <c r="GP111" i="21" s="1"/>
  <c r="EN157" i="21"/>
  <c r="EU157" i="21"/>
  <c r="EK155" i="21"/>
  <c r="DT155" i="21" s="1"/>
  <c r="HC155" i="21" s="1"/>
  <c r="EO155" i="21"/>
  <c r="DX155" i="21" s="1"/>
  <c r="ER76" i="21"/>
  <c r="EA76" i="21" s="1"/>
  <c r="ER70" i="21"/>
  <c r="EA70" i="21" s="1"/>
  <c r="HJ70" i="21" s="1"/>
  <c r="EV175" i="21"/>
  <c r="EU184" i="21"/>
  <c r="EV184" i="21"/>
  <c r="ET152" i="21"/>
  <c r="ER152" i="21"/>
  <c r="EA152" i="21" s="1"/>
  <c r="GV152" i="21" s="1"/>
  <c r="EV128" i="21"/>
  <c r="ER128" i="21"/>
  <c r="EA128" i="21" s="1"/>
  <c r="EM148" i="21"/>
  <c r="EU148" i="21"/>
  <c r="EV153" i="21"/>
  <c r="ER151" i="21"/>
  <c r="EA151" i="21" s="1"/>
  <c r="HJ151" i="21" s="1"/>
  <c r="EN151" i="21"/>
  <c r="EP91" i="21"/>
  <c r="DY91" i="21" s="1"/>
  <c r="GT91" i="21" s="1"/>
  <c r="EQ167" i="21"/>
  <c r="DZ167" i="21" s="1"/>
  <c r="EP171" i="21"/>
  <c r="DY171" i="21" s="1"/>
  <c r="EM132" i="21"/>
  <c r="DV132" i="21" s="1"/>
  <c r="HE132" i="21" s="1"/>
  <c r="ES100" i="21"/>
  <c r="EB100" i="21" s="1"/>
  <c r="GW100" i="21" s="1"/>
  <c r="EM100" i="21"/>
  <c r="DV100" i="21" s="1"/>
  <c r="HE100" i="21" s="1"/>
  <c r="EO75" i="21"/>
  <c r="DX75" i="21" s="1"/>
  <c r="HG75" i="21" s="1"/>
  <c r="EO88" i="21"/>
  <c r="DX88" i="21" s="1"/>
  <c r="GS88" i="21" s="1"/>
  <c r="EQ188" i="21"/>
  <c r="DZ188" i="21" s="1"/>
  <c r="FU188" i="21" s="1"/>
  <c r="ER102" i="21"/>
  <c r="EA102" i="21" s="1"/>
  <c r="EO102" i="21"/>
  <c r="DX102" i="21" s="1"/>
  <c r="GS102" i="21" s="1"/>
  <c r="ES102" i="21"/>
  <c r="EB102" i="21" s="1"/>
  <c r="GW102" i="21" s="1"/>
  <c r="ER99" i="21"/>
  <c r="EA99" i="21" s="1"/>
  <c r="GV99" i="21" s="1"/>
  <c r="EU158" i="21"/>
  <c r="EO158" i="21"/>
  <c r="DX158" i="21" s="1"/>
  <c r="HG158" i="21" s="1"/>
  <c r="EV147" i="21"/>
  <c r="EM147" i="21"/>
  <c r="DV147" i="21" s="1"/>
  <c r="HE147" i="21" s="1"/>
  <c r="ER165" i="21"/>
  <c r="EA165" i="21" s="1"/>
  <c r="EL143" i="21"/>
  <c r="DU143" i="21" s="1"/>
  <c r="HD143" i="21" s="1"/>
  <c r="ES143" i="21"/>
  <c r="EB143" i="21" s="1"/>
  <c r="HK143" i="21" s="1"/>
  <c r="EP108" i="21"/>
  <c r="DY108" i="21" s="1"/>
  <c r="HH108" i="21" s="1"/>
  <c r="EO108" i="21"/>
  <c r="DX108" i="21" s="1"/>
  <c r="HG108" i="21" s="1"/>
  <c r="EQ127" i="21"/>
  <c r="DZ127" i="21" s="1"/>
  <c r="HI127" i="21" s="1"/>
  <c r="EK127" i="21"/>
  <c r="DT127" i="21" s="1"/>
  <c r="GO127" i="21" s="1"/>
  <c r="EU115" i="21"/>
  <c r="EK115" i="21"/>
  <c r="DT115" i="21" s="1"/>
  <c r="ER82" i="21"/>
  <c r="EA82" i="21" s="1"/>
  <c r="EK81" i="21"/>
  <c r="DT81" i="21" s="1"/>
  <c r="HC81" i="21" s="1"/>
  <c r="ER81" i="21"/>
  <c r="EA81" i="21" s="1"/>
  <c r="GV81" i="21" s="1"/>
  <c r="EN81" i="21"/>
  <c r="DW81" i="21" s="1"/>
  <c r="HF81" i="21" s="1"/>
  <c r="EM86" i="21"/>
  <c r="DV86" i="21" s="1"/>
  <c r="HE86" i="21" s="1"/>
  <c r="EL86" i="21"/>
  <c r="DU86" i="21" s="1"/>
  <c r="HD86" i="21" s="1"/>
  <c r="EV183" i="21"/>
  <c r="ER183" i="21"/>
  <c r="EA183" i="21" s="1"/>
  <c r="ER159" i="21"/>
  <c r="EA159" i="21" s="1"/>
  <c r="EQ159" i="21"/>
  <c r="DZ159" i="21" s="1"/>
  <c r="FU159" i="21" s="1"/>
  <c r="EU156" i="21"/>
  <c r="EK156" i="21"/>
  <c r="DT156" i="21" s="1"/>
  <c r="GO156" i="21" s="1"/>
  <c r="ES172" i="21"/>
  <c r="EB172" i="21" s="1"/>
  <c r="GW172" i="21" s="1"/>
  <c r="EQ172" i="21"/>
  <c r="DZ172" i="21" s="1"/>
  <c r="GU172" i="21" s="1"/>
  <c r="EK105" i="21"/>
  <c r="DT105" i="21" s="1"/>
  <c r="HC105" i="21" s="1"/>
  <c r="EQ113" i="21"/>
  <c r="DZ113" i="21" s="1"/>
  <c r="ET113" i="21"/>
  <c r="EV145" i="21"/>
  <c r="EQ145" i="21"/>
  <c r="DZ145" i="21" s="1"/>
  <c r="GU145" i="21" s="1"/>
  <c r="EQ138" i="21"/>
  <c r="DZ138" i="21" s="1"/>
  <c r="GU138" i="21" s="1"/>
  <c r="EQ96" i="21"/>
  <c r="DZ96" i="21" s="1"/>
  <c r="FU96" i="21" s="1"/>
  <c r="EV95" i="21"/>
  <c r="EE95" i="21" s="1"/>
  <c r="GZ95" i="21" s="1"/>
  <c r="EN95" i="21"/>
  <c r="DW95" i="21" s="1"/>
  <c r="GR95" i="21" s="1"/>
  <c r="EM146" i="21"/>
  <c r="DV146" i="21" s="1"/>
  <c r="EL150" i="21"/>
  <c r="DU150" i="21" s="1"/>
  <c r="ET150" i="21"/>
  <c r="ES72" i="21"/>
  <c r="EB72" i="21" s="1"/>
  <c r="GW72" i="21" s="1"/>
  <c r="EK72" i="21"/>
  <c r="DT72" i="21" s="1"/>
  <c r="HC72" i="21" s="1"/>
  <c r="EN71" i="21"/>
  <c r="DW71" i="21" s="1"/>
  <c r="GR71" i="21" s="1"/>
  <c r="EV74" i="21"/>
  <c r="EE74" i="21" s="1"/>
  <c r="GZ74" i="21" s="1"/>
  <c r="EQ173" i="21"/>
  <c r="DZ173" i="21" s="1"/>
  <c r="GU173" i="21" s="1"/>
  <c r="EO93" i="21"/>
  <c r="DX93" i="21" s="1"/>
  <c r="EN116" i="21"/>
  <c r="ET116" i="21"/>
  <c r="EQ103" i="21"/>
  <c r="DZ103" i="21" s="1"/>
  <c r="GU103" i="21" s="1"/>
  <c r="EM103" i="21"/>
  <c r="DV103" i="21" s="1"/>
  <c r="HE103" i="21" s="1"/>
  <c r="EO122" i="21"/>
  <c r="DX122" i="21" s="1"/>
  <c r="GS122" i="21" s="1"/>
  <c r="ER122" i="21"/>
  <c r="EA122" i="21" s="1"/>
  <c r="HJ122" i="21" s="1"/>
  <c r="EK109" i="21"/>
  <c r="DT109" i="21" s="1"/>
  <c r="HC109" i="21" s="1"/>
  <c r="EU87" i="21"/>
  <c r="EQ166" i="21"/>
  <c r="DZ166" i="21" s="1"/>
  <c r="EM166" i="21"/>
  <c r="ET163" i="21"/>
  <c r="EU80" i="21"/>
  <c r="ET123" i="21"/>
  <c r="EU123" i="21"/>
  <c r="EV129" i="21"/>
  <c r="ES137" i="21"/>
  <c r="EB137" i="21" s="1"/>
  <c r="EM137" i="21"/>
  <c r="EQ135" i="21"/>
  <c r="DZ135" i="21" s="1"/>
  <c r="GU135" i="21" s="1"/>
  <c r="EK135" i="21"/>
  <c r="DT135" i="21" s="1"/>
  <c r="GO135" i="21" s="1"/>
  <c r="ER79" i="21"/>
  <c r="EA79" i="21" s="1"/>
  <c r="GV79" i="21" s="1"/>
  <c r="EN79" i="21"/>
  <c r="DW79" i="21" s="1"/>
  <c r="HF79" i="21" s="1"/>
  <c r="EP79" i="21"/>
  <c r="DY79" i="21" s="1"/>
  <c r="GT79" i="21" s="1"/>
  <c r="EN126" i="21"/>
  <c r="EQ154" i="21"/>
  <c r="DZ154" i="21" s="1"/>
  <c r="EU112" i="21"/>
  <c r="ES112" i="21"/>
  <c r="EB112" i="21" s="1"/>
  <c r="HK112" i="21" s="1"/>
  <c r="EN112" i="21"/>
  <c r="DW112" i="21" s="1"/>
  <c r="HF112" i="21" s="1"/>
  <c r="EQ69" i="21"/>
  <c r="DZ69" i="21" s="1"/>
  <c r="GU69" i="21" s="1"/>
  <c r="EM69" i="21"/>
  <c r="DV69" i="21" s="1"/>
  <c r="HE69" i="21" s="1"/>
  <c r="EM89" i="21"/>
  <c r="DV89" i="21" s="1"/>
  <c r="GQ89" i="21" s="1"/>
  <c r="EV89" i="21"/>
  <c r="EO160" i="21"/>
  <c r="DX160" i="21" s="1"/>
  <c r="EQ160" i="21"/>
  <c r="DZ160" i="21" s="1"/>
  <c r="GU160" i="21" s="1"/>
  <c r="EV119" i="21"/>
  <c r="EL144" i="21"/>
  <c r="DU144" i="21" s="1"/>
  <c r="GP144" i="21" s="1"/>
  <c r="ER144" i="21"/>
  <c r="EA144" i="21" s="1"/>
  <c r="GV144" i="21" s="1"/>
  <c r="EN144" i="21"/>
  <c r="EV73" i="21"/>
  <c r="EE73" i="21" s="1"/>
  <c r="GZ73" i="21" s="1"/>
  <c r="EO73" i="21"/>
  <c r="DX73" i="21" s="1"/>
  <c r="HG73" i="21" s="1"/>
  <c r="EM92" i="21"/>
  <c r="DV92" i="21" s="1"/>
  <c r="ES92" i="21"/>
  <c r="EB92" i="21" s="1"/>
  <c r="GW92" i="21" s="1"/>
  <c r="EP133" i="21"/>
  <c r="DY133" i="21" s="1"/>
  <c r="GT133" i="21" s="1"/>
  <c r="ET181" i="21"/>
  <c r="ER181" i="21"/>
  <c r="EA181" i="21" s="1"/>
  <c r="GV181" i="21" s="1"/>
  <c r="EP162" i="21"/>
  <c r="DY162" i="21" s="1"/>
  <c r="HH162" i="21" s="1"/>
  <c r="EP187" i="21"/>
  <c r="DY187" i="21" s="1"/>
  <c r="GT187" i="21" s="1"/>
  <c r="ER178" i="21"/>
  <c r="EA178" i="21" s="1"/>
  <c r="GV178" i="21" s="1"/>
  <c r="EV149" i="21"/>
  <c r="ES149" i="21"/>
  <c r="EB149" i="21" s="1"/>
  <c r="ER161" i="21"/>
  <c r="EA161" i="21" s="1"/>
  <c r="GV161" i="21" s="1"/>
  <c r="EP161" i="21"/>
  <c r="DY161" i="21" s="1"/>
  <c r="GT161" i="21" s="1"/>
  <c r="EP125" i="21"/>
  <c r="DY125" i="21" s="1"/>
  <c r="GT125" i="21" s="1"/>
  <c r="EU125" i="21"/>
  <c r="EK142" i="21"/>
  <c r="DT142" i="21" s="1"/>
  <c r="GO142" i="21" s="1"/>
  <c r="ER142" i="21"/>
  <c r="EA142" i="21" s="1"/>
  <c r="GV142" i="21" s="1"/>
  <c r="ER121" i="21"/>
  <c r="EA121" i="21" s="1"/>
  <c r="EP121" i="21"/>
  <c r="DY121" i="21" s="1"/>
  <c r="EU111" i="21"/>
  <c r="ER111" i="21"/>
  <c r="EA111" i="21" s="1"/>
  <c r="GV111" i="21" s="1"/>
  <c r="EP155" i="21"/>
  <c r="DY155" i="21" s="1"/>
  <c r="GT155" i="21" s="1"/>
  <c r="ES155" i="21"/>
  <c r="EB155" i="21" s="1"/>
  <c r="GW155" i="21" s="1"/>
  <c r="EK76" i="21"/>
  <c r="DT76" i="21" s="1"/>
  <c r="HC76" i="21" s="1"/>
  <c r="EM70" i="21"/>
  <c r="DV70" i="21" s="1"/>
  <c r="GQ70" i="21" s="1"/>
  <c r="EP70" i="21"/>
  <c r="DY70" i="21" s="1"/>
  <c r="EO184" i="21"/>
  <c r="DX184" i="21" s="1"/>
  <c r="HG184" i="21" s="1"/>
  <c r="EP184" i="21"/>
  <c r="DY184" i="21" s="1"/>
  <c r="GT184" i="21" s="1"/>
  <c r="EV152" i="21"/>
  <c r="EP152" i="21"/>
  <c r="DY152" i="21" s="1"/>
  <c r="GT152" i="21" s="1"/>
  <c r="EQ128" i="21"/>
  <c r="DZ128" i="21" s="1"/>
  <c r="GU128" i="21" s="1"/>
  <c r="ER148" i="21"/>
  <c r="EA148" i="21" s="1"/>
  <c r="GV148" i="21" s="1"/>
  <c r="EU153" i="21"/>
  <c r="ET153" i="21"/>
  <c r="EK151" i="21"/>
  <c r="DT151" i="21" s="1"/>
  <c r="ER167" i="21"/>
  <c r="EA167" i="21" s="1"/>
  <c r="HJ167" i="21" s="1"/>
  <c r="ET171" i="21"/>
  <c r="ES132" i="21"/>
  <c r="EB132" i="21" s="1"/>
  <c r="GW132" i="21" s="1"/>
  <c r="EN100" i="21"/>
  <c r="DW100" i="21" s="1"/>
  <c r="HF100" i="21" s="1"/>
  <c r="EU100" i="21"/>
  <c r="EU75" i="21"/>
  <c r="EN75" i="21"/>
  <c r="DW75" i="21" s="1"/>
  <c r="ET88" i="21"/>
  <c r="EV88" i="21"/>
  <c r="EE88" i="21" s="1"/>
  <c r="HN88" i="21" s="1"/>
  <c r="ER180" i="21"/>
  <c r="EA180" i="21" s="1"/>
  <c r="GV180" i="21" s="1"/>
  <c r="EU188" i="21"/>
  <c r="EV102" i="21"/>
  <c r="ET102" i="21"/>
  <c r="ES99" i="21"/>
  <c r="EB99" i="21" s="1"/>
  <c r="GW99" i="21" s="1"/>
  <c r="EQ158" i="21"/>
  <c r="DZ158" i="21" s="1"/>
  <c r="EL158" i="21"/>
  <c r="DU158" i="21" s="1"/>
  <c r="EK147" i="21"/>
  <c r="DT147" i="21" s="1"/>
  <c r="GO147" i="21" s="1"/>
  <c r="ER147" i="21"/>
  <c r="EA147" i="21" s="1"/>
  <c r="HJ147" i="21" s="1"/>
  <c r="EL165" i="21"/>
  <c r="DU165" i="21" s="1"/>
  <c r="HD165" i="21" s="1"/>
  <c r="EN143" i="21"/>
  <c r="EM143" i="21"/>
  <c r="DV143" i="21" s="1"/>
  <c r="GQ143" i="21" s="1"/>
  <c r="ES108" i="21"/>
  <c r="EB108" i="21" s="1"/>
  <c r="GW108" i="21" s="1"/>
  <c r="ET127" i="21"/>
  <c r="EM127" i="21"/>
  <c r="DV127" i="21" s="1"/>
  <c r="HE127" i="21" s="1"/>
  <c r="EK97" i="21"/>
  <c r="DT97" i="21" s="1"/>
  <c r="GO97" i="21" s="1"/>
  <c r="EP115" i="21"/>
  <c r="DY115" i="21" s="1"/>
  <c r="HH115" i="21" s="1"/>
  <c r="EV115" i="21"/>
  <c r="EQ115" i="21"/>
  <c r="DZ115" i="21" s="1"/>
  <c r="FU115" i="21" s="1"/>
  <c r="EU82" i="21"/>
  <c r="EU81" i="21"/>
  <c r="EO86" i="21"/>
  <c r="DX86" i="21" s="1"/>
  <c r="ER179" i="21"/>
  <c r="EA179" i="21" s="1"/>
  <c r="EO183" i="21"/>
  <c r="DX183" i="21" s="1"/>
  <c r="HG183" i="21" s="1"/>
  <c r="ET183" i="21"/>
  <c r="EO159" i="21"/>
  <c r="DX159" i="21" s="1"/>
  <c r="HG159" i="21" s="1"/>
  <c r="EV156" i="21"/>
  <c r="EQ156" i="21"/>
  <c r="DZ156" i="21" s="1"/>
  <c r="FU156" i="21" s="1"/>
  <c r="EK172" i="21"/>
  <c r="DT172" i="21" s="1"/>
  <c r="HC172" i="21" s="1"/>
  <c r="EQ105" i="21"/>
  <c r="DZ105" i="21" s="1"/>
  <c r="EM105" i="21"/>
  <c r="DV105" i="21" s="1"/>
  <c r="EU105" i="21"/>
  <c r="EV113" i="21"/>
  <c r="ES145" i="21"/>
  <c r="EB145" i="21" s="1"/>
  <c r="GW145" i="21" s="1"/>
  <c r="EM138" i="21"/>
  <c r="DV138" i="21" s="1"/>
  <c r="HE138" i="21" s="1"/>
  <c r="EN138" i="21"/>
  <c r="EV96" i="21"/>
  <c r="EL95" i="21"/>
  <c r="DU95" i="21" s="1"/>
  <c r="EV146" i="21"/>
  <c r="ER150" i="21"/>
  <c r="EA150" i="21" s="1"/>
  <c r="HJ150" i="21" s="1"/>
  <c r="EU150" i="21"/>
  <c r="EO150" i="21"/>
  <c r="DX150" i="21" s="1"/>
  <c r="HG150" i="21" s="1"/>
  <c r="EM72" i="21"/>
  <c r="DV72" i="21" s="1"/>
  <c r="HE72" i="21" s="1"/>
  <c r="EQ71" i="21"/>
  <c r="DZ71" i="21" s="1"/>
  <c r="GU71" i="21" s="1"/>
  <c r="EU173" i="21"/>
  <c r="EK93" i="21"/>
  <c r="DT93" i="21" s="1"/>
  <c r="ES93" i="21"/>
  <c r="EB93" i="21" s="1"/>
  <c r="ES116" i="21"/>
  <c r="EB116" i="21" s="1"/>
  <c r="HK116" i="21" s="1"/>
  <c r="EU116" i="21"/>
  <c r="EK116" i="21"/>
  <c r="DT116" i="21" s="1"/>
  <c r="HC116" i="21" s="1"/>
  <c r="EP103" i="21"/>
  <c r="DY103" i="21" s="1"/>
  <c r="GT103" i="21" s="1"/>
  <c r="EU122" i="21"/>
  <c r="EN122" i="21"/>
  <c r="EM109" i="21"/>
  <c r="DV109" i="21" s="1"/>
  <c r="EQ87" i="21"/>
  <c r="DZ87" i="21" s="1"/>
  <c r="EO87" i="21"/>
  <c r="DX87" i="21" s="1"/>
  <c r="HG87" i="21" s="1"/>
  <c r="EV166" i="21"/>
  <c r="EV163" i="21"/>
  <c r="EU163" i="21"/>
  <c r="EN163" i="21"/>
  <c r="EV80" i="21"/>
  <c r="EE80" i="21" s="1"/>
  <c r="GZ80" i="21" s="1"/>
  <c r="ER80" i="21"/>
  <c r="EA80" i="21" s="1"/>
  <c r="EM123" i="21"/>
  <c r="DV123" i="21" s="1"/>
  <c r="EQ129" i="21"/>
  <c r="DZ129" i="21" s="1"/>
  <c r="FU129" i="21" s="1"/>
  <c r="ET129" i="21"/>
  <c r="ER137" i="21"/>
  <c r="EA137" i="21" s="1"/>
  <c r="GV137" i="21" s="1"/>
  <c r="EM77" i="21"/>
  <c r="DV77" i="21" s="1"/>
  <c r="GQ77" i="21" s="1"/>
  <c r="ES77" i="21"/>
  <c r="EB77" i="21" s="1"/>
  <c r="HK77" i="21" s="1"/>
  <c r="ES168" i="21"/>
  <c r="EB168" i="21" s="1"/>
  <c r="GW168" i="21" s="1"/>
  <c r="EN118" i="21"/>
  <c r="DW118" i="21" s="1"/>
  <c r="EO131" i="21"/>
  <c r="DX131" i="21" s="1"/>
  <c r="HG131" i="21" s="1"/>
  <c r="EO107" i="21"/>
  <c r="DX107" i="21" s="1"/>
  <c r="HG107" i="21" s="1"/>
  <c r="EP83" i="21"/>
  <c r="DY83" i="21" s="1"/>
  <c r="HH83" i="21" s="1"/>
  <c r="EV83" i="21"/>
  <c r="EE83" i="21" s="1"/>
  <c r="HN83" i="21" s="1"/>
  <c r="ET174" i="21"/>
  <c r="EV174" i="21"/>
  <c r="EO126" i="21"/>
  <c r="DX126" i="21" s="1"/>
  <c r="HG126" i="21" s="1"/>
  <c r="EO154" i="21"/>
  <c r="DX154" i="21" s="1"/>
  <c r="EO112" i="21"/>
  <c r="DX112" i="21" s="1"/>
  <c r="EL112" i="21"/>
  <c r="DU112" i="21" s="1"/>
  <c r="HD112" i="21" s="1"/>
  <c r="ER69" i="21"/>
  <c r="EA69" i="21" s="1"/>
  <c r="GV69" i="21" s="1"/>
  <c r="EK89" i="21"/>
  <c r="DT89" i="21" s="1"/>
  <c r="HC89" i="21" s="1"/>
  <c r="ER106" i="21"/>
  <c r="EA106" i="21" s="1"/>
  <c r="GV106" i="21" s="1"/>
  <c r="ET117" i="21"/>
  <c r="EP84" i="21"/>
  <c r="DY84" i="21" s="1"/>
  <c r="GT84" i="21" s="1"/>
  <c r="EL92" i="21"/>
  <c r="DU92" i="21" s="1"/>
  <c r="ET92" i="21"/>
  <c r="EM136" i="21"/>
  <c r="DV136" i="21" s="1"/>
  <c r="GQ136" i="21" s="1"/>
  <c r="EU136" i="21"/>
  <c r="ER133" i="21"/>
  <c r="EA133" i="21" s="1"/>
  <c r="GV133" i="21" s="1"/>
  <c r="ER182" i="21"/>
  <c r="EA182" i="21" s="1"/>
  <c r="HJ182" i="21" s="1"/>
  <c r="EV182" i="21"/>
  <c r="EU176" i="21"/>
  <c r="EO187" i="21"/>
  <c r="DX187" i="21" s="1"/>
  <c r="EU178" i="21"/>
  <c r="EM149" i="21"/>
  <c r="ET161" i="21"/>
  <c r="EM142" i="21"/>
  <c r="EP142" i="21"/>
  <c r="DY142" i="21" s="1"/>
  <c r="HH142" i="21" s="1"/>
  <c r="ET121" i="21"/>
  <c r="EK130" i="21"/>
  <c r="DT130" i="21" s="1"/>
  <c r="HC130" i="21" s="1"/>
  <c r="EN124" i="21"/>
  <c r="EO111" i="21"/>
  <c r="DX111" i="21" s="1"/>
  <c r="EM111" i="21"/>
  <c r="DV111" i="21" s="1"/>
  <c r="GQ111" i="21" s="1"/>
  <c r="ER157" i="21"/>
  <c r="EA157" i="21" s="1"/>
  <c r="HJ157" i="21" s="1"/>
  <c r="EK157" i="21"/>
  <c r="DT157" i="21" s="1"/>
  <c r="HC157" i="21" s="1"/>
  <c r="EU155" i="21"/>
  <c r="EN155" i="21"/>
  <c r="EM155" i="21"/>
  <c r="EN76" i="21"/>
  <c r="DW76" i="21" s="1"/>
  <c r="EN70" i="21"/>
  <c r="DW70" i="21" s="1"/>
  <c r="ES152" i="21"/>
  <c r="EB152" i="21" s="1"/>
  <c r="GW152" i="21" s="1"/>
  <c r="ET128" i="21"/>
  <c r="EM128" i="21"/>
  <c r="DV128" i="21" s="1"/>
  <c r="HE128" i="21" s="1"/>
  <c r="EK148" i="21"/>
  <c r="DT148" i="21" s="1"/>
  <c r="GO148" i="21" s="1"/>
  <c r="EN153" i="21"/>
  <c r="ER153" i="21"/>
  <c r="EA153" i="21" s="1"/>
  <c r="HJ153" i="21" s="1"/>
  <c r="EL153" i="21"/>
  <c r="DU153" i="21" s="1"/>
  <c r="EV91" i="21"/>
  <c r="EQ91" i="21"/>
  <c r="DZ91" i="21" s="1"/>
  <c r="FU91" i="21" s="1"/>
  <c r="EO171" i="21"/>
  <c r="DX171" i="21" s="1"/>
  <c r="GS171" i="21" s="1"/>
  <c r="ER171" i="21"/>
  <c r="EA171" i="21" s="1"/>
  <c r="HJ171" i="21" s="1"/>
  <c r="ES171" i="21"/>
  <c r="EB171" i="21" s="1"/>
  <c r="GW171" i="21" s="1"/>
  <c r="ER132" i="21"/>
  <c r="EA132" i="21" s="1"/>
  <c r="GV132" i="21" s="1"/>
  <c r="ER100" i="21"/>
  <c r="EA100" i="21" s="1"/>
  <c r="HJ100" i="21" s="1"/>
  <c r="EQ180" i="21"/>
  <c r="DZ180" i="21" s="1"/>
  <c r="HI180" i="21" s="1"/>
  <c r="EP188" i="21"/>
  <c r="DY188" i="21" s="1"/>
  <c r="EU102" i="21"/>
  <c r="EK99" i="21"/>
  <c r="DT99" i="21" s="1"/>
  <c r="HC99" i="21" s="1"/>
  <c r="EL99" i="21"/>
  <c r="DU99" i="21" s="1"/>
  <c r="GP99" i="21" s="1"/>
  <c r="ES158" i="21"/>
  <c r="EB158" i="21" s="1"/>
  <c r="GW158" i="21" s="1"/>
  <c r="EV158" i="21"/>
  <c r="EO147" i="21"/>
  <c r="DX147" i="21" s="1"/>
  <c r="GS147" i="21" s="1"/>
  <c r="EV165" i="21"/>
  <c r="EU165" i="21"/>
  <c r="EU143" i="21"/>
  <c r="EN108" i="21"/>
  <c r="DW108" i="21" s="1"/>
  <c r="HF108" i="21" s="1"/>
  <c r="ET108" i="21"/>
  <c r="ES127" i="21"/>
  <c r="EB127" i="21" s="1"/>
  <c r="GW127" i="21" s="1"/>
  <c r="EL97" i="21"/>
  <c r="DU97" i="21" s="1"/>
  <c r="HD97" i="21" s="1"/>
  <c r="EN97" i="21"/>
  <c r="DW97" i="21" s="1"/>
  <c r="GR97" i="21" s="1"/>
  <c r="EO115" i="21"/>
  <c r="DX115" i="21" s="1"/>
  <c r="ET115" i="21"/>
  <c r="EP82" i="21"/>
  <c r="DY82" i="21" s="1"/>
  <c r="GT82" i="21" s="1"/>
  <c r="EL82" i="21"/>
  <c r="DU82" i="21" s="1"/>
  <c r="HD82" i="21" s="1"/>
  <c r="EV82" i="21"/>
  <c r="EE82" i="21" s="1"/>
  <c r="GZ82" i="21" s="1"/>
  <c r="EV81" i="21"/>
  <c r="EE81" i="21" s="1"/>
  <c r="GZ81" i="21" s="1"/>
  <c r="EP86" i="21"/>
  <c r="DY86" i="21" s="1"/>
  <c r="GT86" i="21" s="1"/>
  <c r="ER86" i="21"/>
  <c r="EA86" i="21" s="1"/>
  <c r="GV86" i="21" s="1"/>
  <c r="EU183" i="21"/>
  <c r="EV159" i="21"/>
  <c r="ES156" i="21"/>
  <c r="EB156" i="21" s="1"/>
  <c r="GW156" i="21" s="1"/>
  <c r="EU185" i="21"/>
  <c r="EO185" i="21"/>
  <c r="DX185" i="21" s="1"/>
  <c r="HG185" i="21" s="1"/>
  <c r="EP105" i="21"/>
  <c r="DY105" i="21" s="1"/>
  <c r="HH105" i="21" s="1"/>
  <c r="EN113" i="21"/>
  <c r="DW113" i="21" s="1"/>
  <c r="GR113" i="21" s="1"/>
  <c r="ER145" i="21"/>
  <c r="EA145" i="21" s="1"/>
  <c r="GV145" i="21" s="1"/>
  <c r="EP138" i="21"/>
  <c r="DY138" i="21" s="1"/>
  <c r="EN96" i="21"/>
  <c r="DW96" i="21" s="1"/>
  <c r="EL96" i="21"/>
  <c r="DU96" i="21" s="1"/>
  <c r="GP96" i="21" s="1"/>
  <c r="ES95" i="21"/>
  <c r="EB95" i="21" s="1"/>
  <c r="HK95" i="21" s="1"/>
  <c r="ES146" i="21"/>
  <c r="EB146" i="21" s="1"/>
  <c r="GW146" i="21" s="1"/>
  <c r="EK150" i="21"/>
  <c r="DT150" i="21" s="1"/>
  <c r="GO150" i="21" s="1"/>
  <c r="EN72" i="21"/>
  <c r="DW72" i="21" s="1"/>
  <c r="HF72" i="21" s="1"/>
  <c r="EU72" i="21"/>
  <c r="ED72" i="21" s="1"/>
  <c r="GY72" i="21" s="1"/>
  <c r="EV71" i="21"/>
  <c r="EE71" i="21" s="1"/>
  <c r="EK71" i="21"/>
  <c r="DT71" i="21" s="1"/>
  <c r="EO74" i="21"/>
  <c r="DX74" i="21" s="1"/>
  <c r="HG74" i="21" s="1"/>
  <c r="ES74" i="21"/>
  <c r="EB74" i="21" s="1"/>
  <c r="HK74" i="21" s="1"/>
  <c r="EP93" i="21"/>
  <c r="DY93" i="21" s="1"/>
  <c r="GT93" i="21" s="1"/>
  <c r="ER116" i="21"/>
  <c r="EA116" i="21" s="1"/>
  <c r="GV116" i="21" s="1"/>
  <c r="ES122" i="21"/>
  <c r="EB122" i="21" s="1"/>
  <c r="GW122" i="21" s="1"/>
  <c r="EQ122" i="21"/>
  <c r="DZ122" i="21" s="1"/>
  <c r="HI122" i="21" s="1"/>
  <c r="ET109" i="21"/>
  <c r="EN109" i="21"/>
  <c r="DW109" i="21" s="1"/>
  <c r="EV109" i="21"/>
  <c r="EK87" i="21"/>
  <c r="DT87" i="21" s="1"/>
  <c r="HC87" i="21" s="1"/>
  <c r="ES163" i="21"/>
  <c r="EB163" i="21" s="1"/>
  <c r="GW163" i="21" s="1"/>
  <c r="EK80" i="21"/>
  <c r="DT80" i="21" s="1"/>
  <c r="GO80" i="21" s="1"/>
  <c r="ET80" i="21"/>
  <c r="ES123" i="21"/>
  <c r="EB123" i="21" s="1"/>
  <c r="HK123" i="21" s="1"/>
  <c r="ER129" i="21"/>
  <c r="EA129" i="21" s="1"/>
  <c r="EL129" i="21"/>
  <c r="DU129" i="21" s="1"/>
  <c r="EO137" i="21"/>
  <c r="DX137" i="21" s="1"/>
  <c r="HG137" i="21" s="1"/>
  <c r="EP77" i="21"/>
  <c r="DY77" i="21" s="1"/>
  <c r="HH77" i="21" s="1"/>
  <c r="EV135" i="21"/>
  <c r="EK79" i="21"/>
  <c r="DT79" i="21" s="1"/>
  <c r="GO79" i="21" s="1"/>
  <c r="EQ106" i="21"/>
  <c r="DZ106" i="21" s="1"/>
  <c r="GU106" i="21" s="1"/>
  <c r="EK106" i="21"/>
  <c r="DT106" i="21" s="1"/>
  <c r="HC106" i="21" s="1"/>
  <c r="ES117" i="21"/>
  <c r="EB117" i="21" s="1"/>
  <c r="ER84" i="21"/>
  <c r="EA84" i="21" s="1"/>
  <c r="ET182" i="21"/>
  <c r="EP117" i="21"/>
  <c r="DY117" i="21" s="1"/>
  <c r="GT117" i="21" s="1"/>
  <c r="EN92" i="21"/>
  <c r="DW92" i="21" s="1"/>
  <c r="HF92" i="21" s="1"/>
  <c r="EL136" i="21"/>
  <c r="DU136" i="21" s="1"/>
  <c r="GP136" i="21" s="1"/>
  <c r="ET136" i="21"/>
  <c r="ER136" i="21"/>
  <c r="EA136" i="21" s="1"/>
  <c r="GV136" i="21" s="1"/>
  <c r="EV133" i="21"/>
  <c r="EM133" i="21"/>
  <c r="DV133" i="21" s="1"/>
  <c r="HE133" i="21" s="1"/>
  <c r="EQ181" i="21"/>
  <c r="DZ181" i="21" s="1"/>
  <c r="FU181" i="21" s="1"/>
  <c r="EU181" i="21"/>
  <c r="EQ162" i="21"/>
  <c r="DZ162" i="21" s="1"/>
  <c r="GU162" i="21" s="1"/>
  <c r="ET162" i="21"/>
  <c r="EQ177" i="21"/>
  <c r="DZ177" i="21" s="1"/>
  <c r="HI177" i="21" s="1"/>
  <c r="EV94" i="21"/>
  <c r="ER104" i="21"/>
  <c r="EA104" i="21" s="1"/>
  <c r="EQ120" i="21"/>
  <c r="DZ120" i="21" s="1"/>
  <c r="HI120" i="21" s="1"/>
  <c r="EQ170" i="21"/>
  <c r="DZ170" i="21" s="1"/>
  <c r="HI170" i="21" s="1"/>
  <c r="ET78" i="21"/>
  <c r="ES182" i="21"/>
  <c r="EB182" i="21" s="1"/>
  <c r="GW182" i="21" s="1"/>
  <c r="EV90" i="21"/>
  <c r="EP90" i="21"/>
  <c r="DY90" i="21" s="1"/>
  <c r="HH90" i="21" s="1"/>
  <c r="ER114" i="21"/>
  <c r="EA114" i="21" s="1"/>
  <c r="GV114" i="21" s="1"/>
  <c r="ES169" i="21"/>
  <c r="EB169" i="21" s="1"/>
  <c r="EK169" i="21"/>
  <c r="DT169" i="21" s="1"/>
  <c r="ES164" i="21"/>
  <c r="EB164" i="21" s="1"/>
  <c r="HK164" i="21" s="1"/>
  <c r="EM164" i="21"/>
  <c r="ES85" i="21"/>
  <c r="EB85" i="21" s="1"/>
  <c r="GW85" i="21" s="1"/>
  <c r="EO85" i="21"/>
  <c r="DX85" i="21" s="1"/>
  <c r="GS85" i="21" s="1"/>
  <c r="EP85" i="21"/>
  <c r="DY85" i="21" s="1"/>
  <c r="HH85" i="21" s="1"/>
  <c r="ES174" i="21"/>
  <c r="EB174" i="21" s="1"/>
  <c r="GW174" i="21" s="1"/>
  <c r="EV126" i="21"/>
  <c r="EK126" i="21"/>
  <c r="DT126" i="21" s="1"/>
  <c r="EP154" i="21"/>
  <c r="DY154" i="21" s="1"/>
  <c r="GT154" i="21" s="1"/>
  <c r="EP112" i="21"/>
  <c r="DY112" i="21" s="1"/>
  <c r="GT112" i="21" s="1"/>
  <c r="EQ112" i="21"/>
  <c r="DZ112" i="21" s="1"/>
  <c r="FU112" i="21" s="1"/>
  <c r="ES69" i="21"/>
  <c r="EB69" i="21" s="1"/>
  <c r="GW69" i="21" s="1"/>
  <c r="EV69" i="21"/>
  <c r="EE69" i="21" s="1"/>
  <c r="GZ69" i="21" s="1"/>
  <c r="EO69" i="21"/>
  <c r="DX69" i="21" s="1"/>
  <c r="GS69" i="21" s="1"/>
  <c r="EQ89" i="21"/>
  <c r="DZ89" i="21" s="1"/>
  <c r="EN89" i="21"/>
  <c r="DW89" i="21" s="1"/>
  <c r="EU160" i="21"/>
  <c r="EU119" i="21"/>
  <c r="EQ119" i="21"/>
  <c r="DZ119" i="21" s="1"/>
  <c r="HI119" i="21" s="1"/>
  <c r="ES144" i="21"/>
  <c r="EB144" i="21" s="1"/>
  <c r="GW144" i="21" s="1"/>
  <c r="EL73" i="21"/>
  <c r="DU73" i="21" s="1"/>
  <c r="GP73" i="21" s="1"/>
  <c r="EQ73" i="21"/>
  <c r="DZ73" i="21" s="1"/>
  <c r="FU73" i="21" s="1"/>
  <c r="EU106" i="21"/>
  <c r="ET106" i="21"/>
  <c r="ES106" i="21"/>
  <c r="EB106" i="21" s="1"/>
  <c r="HK106" i="21" s="1"/>
  <c r="EL117" i="21"/>
  <c r="DU117" i="21" s="1"/>
  <c r="GP117" i="21" s="1"/>
  <c r="EL84" i="21"/>
  <c r="DU84" i="21" s="1"/>
  <c r="GP84" i="21" s="1"/>
  <c r="EK92" i="21"/>
  <c r="DT92" i="21" s="1"/>
  <c r="HC92" i="21" s="1"/>
  <c r="EV136" i="21"/>
  <c r="EE136" i="21" s="1"/>
  <c r="GZ136" i="21" s="1"/>
  <c r="EQ136" i="21"/>
  <c r="DZ136" i="21" s="1"/>
  <c r="FU136" i="21" s="1"/>
  <c r="EO136" i="21"/>
  <c r="DX136" i="21" s="1"/>
  <c r="EO181" i="21"/>
  <c r="DX181" i="21" s="1"/>
  <c r="HG181" i="21" s="1"/>
  <c r="EO162" i="21"/>
  <c r="DX162" i="21" s="1"/>
  <c r="HG162" i="21" s="1"/>
  <c r="EN94" i="21"/>
  <c r="DW94" i="21" s="1"/>
  <c r="GR94" i="21" s="1"/>
  <c r="ES94" i="21"/>
  <c r="EB94" i="21" s="1"/>
  <c r="HK94" i="21" s="1"/>
  <c r="EP104" i="21"/>
  <c r="DY104" i="21" s="1"/>
  <c r="GT104" i="21" s="1"/>
  <c r="ET104" i="21"/>
  <c r="EL120" i="21"/>
  <c r="DU120" i="21" s="1"/>
  <c r="GP120" i="21" s="1"/>
  <c r="EK170" i="21"/>
  <c r="DT170" i="21" s="1"/>
  <c r="EU78" i="21"/>
  <c r="ED78" i="21" s="1"/>
  <c r="GY78" i="21" s="1"/>
  <c r="EP78" i="21"/>
  <c r="DY78" i="21" s="1"/>
  <c r="GT78" i="21" s="1"/>
  <c r="EM78" i="21"/>
  <c r="DV78" i="21" s="1"/>
  <c r="HE78" i="21" s="1"/>
  <c r="EU182" i="21"/>
  <c r="EK90" i="21"/>
  <c r="DT90" i="21" s="1"/>
  <c r="HC90" i="21" s="1"/>
  <c r="EP114" i="21"/>
  <c r="DY114" i="21" s="1"/>
  <c r="GT114" i="21" s="1"/>
  <c r="EO114" i="21"/>
  <c r="DX114" i="21" s="1"/>
  <c r="HG114" i="21" s="1"/>
  <c r="EN114" i="21"/>
  <c r="DW114" i="21" s="1"/>
  <c r="HF114" i="21" s="1"/>
  <c r="EO169" i="21"/>
  <c r="DX169" i="21" s="1"/>
  <c r="HG169" i="21" s="1"/>
  <c r="ES141" i="21"/>
  <c r="EB141" i="21" s="1"/>
  <c r="HK141" i="21" s="1"/>
  <c r="EK164" i="21"/>
  <c r="DT164" i="21" s="1"/>
  <c r="HC164" i="21" s="1"/>
  <c r="EK85" i="21"/>
  <c r="DT85" i="21" s="1"/>
  <c r="HC85" i="21" s="1"/>
  <c r="ER169" i="21"/>
  <c r="EA169" i="21" s="1"/>
  <c r="GV169" i="21" s="1"/>
  <c r="EU141" i="21"/>
  <c r="EV141" i="21"/>
  <c r="EE141" i="21" s="1"/>
  <c r="HN141" i="21" s="1"/>
  <c r="EU85" i="21"/>
  <c r="ED85" i="21" s="1"/>
  <c r="GY85" i="21" s="1"/>
  <c r="EP169" i="21"/>
  <c r="DY169" i="21" s="1"/>
  <c r="HH169" i="21" s="1"/>
  <c r="EP141" i="21"/>
  <c r="DY141" i="21" s="1"/>
  <c r="GT141" i="21" s="1"/>
  <c r="EK141" i="21"/>
  <c r="DT141" i="21" s="1"/>
  <c r="HC141" i="21" s="1"/>
  <c r="EQ141" i="21"/>
  <c r="DZ141" i="21" s="1"/>
  <c r="HI141" i="21" s="1"/>
  <c r="ET164" i="21"/>
  <c r="EN85" i="21"/>
  <c r="DW85" i="21" s="1"/>
  <c r="GR85" i="21" s="1"/>
  <c r="EO72" i="21"/>
  <c r="DX72" i="21" s="1"/>
  <c r="GS72" i="21" s="1"/>
  <c r="EM71" i="21"/>
  <c r="DV71" i="21" s="1"/>
  <c r="EU74" i="21"/>
  <c r="ER74" i="21"/>
  <c r="EA74" i="21" s="1"/>
  <c r="HJ74" i="21" s="1"/>
  <c r="ES173" i="21"/>
  <c r="EB173" i="21" s="1"/>
  <c r="HK173" i="21" s="1"/>
  <c r="ER93" i="21"/>
  <c r="EA93" i="21" s="1"/>
  <c r="GV93" i="21" s="1"/>
  <c r="EQ116" i="21"/>
  <c r="DZ116" i="21" s="1"/>
  <c r="FU116" i="21" s="1"/>
  <c r="EO116" i="21"/>
  <c r="DX116" i="21" s="1"/>
  <c r="HG116" i="21" s="1"/>
  <c r="EN103" i="21"/>
  <c r="DW103" i="21" s="1"/>
  <c r="GR103" i="21" s="1"/>
  <c r="EL122" i="21"/>
  <c r="DU122" i="21" s="1"/>
  <c r="EL109" i="21"/>
  <c r="DU109" i="21" s="1"/>
  <c r="EL87" i="21"/>
  <c r="DU87" i="21" s="1"/>
  <c r="GP87" i="21" s="1"/>
  <c r="ES166" i="21"/>
  <c r="EB166" i="21" s="1"/>
  <c r="HK166" i="21" s="1"/>
  <c r="EP166" i="21"/>
  <c r="DY166" i="21" s="1"/>
  <c r="GT166" i="21" s="1"/>
  <c r="EP163" i="21"/>
  <c r="DY163" i="21" s="1"/>
  <c r="GT163" i="21" s="1"/>
  <c r="EQ80" i="21"/>
  <c r="DZ80" i="21" s="1"/>
  <c r="FU80" i="21" s="1"/>
  <c r="EN123" i="21"/>
  <c r="EP129" i="21"/>
  <c r="DY129" i="21" s="1"/>
  <c r="EU129" i="21"/>
  <c r="ET137" i="21"/>
  <c r="EN77" i="21"/>
  <c r="DW77" i="21" s="1"/>
  <c r="GR77" i="21" s="1"/>
  <c r="ET135" i="21"/>
  <c r="EN135" i="21"/>
  <c r="EL135" i="21"/>
  <c r="DU135" i="21" s="1"/>
  <c r="GP135" i="21" s="1"/>
  <c r="EM79" i="21"/>
  <c r="DV79" i="21" s="1"/>
  <c r="HE79" i="21" s="1"/>
  <c r="EV168" i="21"/>
  <c r="EQ168" i="21"/>
  <c r="DZ168" i="21" s="1"/>
  <c r="GU168" i="21" s="1"/>
  <c r="EU118" i="21"/>
  <c r="EK131" i="21"/>
  <c r="DT131" i="21" s="1"/>
  <c r="HC131" i="21" s="1"/>
  <c r="ES131" i="21"/>
  <c r="EB131" i="21" s="1"/>
  <c r="HK131" i="21" s="1"/>
  <c r="EL107" i="21"/>
  <c r="DU107" i="21" s="1"/>
  <c r="GP107" i="21" s="1"/>
  <c r="ES107" i="21"/>
  <c r="EB107" i="21" s="1"/>
  <c r="GW107" i="21" s="1"/>
  <c r="EP107" i="21"/>
  <c r="DY107" i="21" s="1"/>
  <c r="HH107" i="21" s="1"/>
  <c r="EU83" i="21"/>
  <c r="EN83" i="21"/>
  <c r="DW83" i="21" s="1"/>
  <c r="EK174" i="21"/>
  <c r="DT174" i="21" s="1"/>
  <c r="GO174" i="21" s="1"/>
  <c r="EP174" i="21"/>
  <c r="DY174" i="21" s="1"/>
  <c r="GT174" i="21" s="1"/>
  <c r="EU174" i="21"/>
  <c r="ER126" i="21"/>
  <c r="EA126" i="21" s="1"/>
  <c r="GV126" i="21" s="1"/>
  <c r="ET126" i="21"/>
  <c r="ES154" i="21"/>
  <c r="EB154" i="21" s="1"/>
  <c r="HK154" i="21" s="1"/>
  <c r="ER154" i="21"/>
  <c r="EA154" i="21" s="1"/>
  <c r="EM112" i="21"/>
  <c r="DV112" i="21" s="1"/>
  <c r="GQ112" i="21" s="1"/>
  <c r="EK69" i="21"/>
  <c r="DT69" i="21" s="1"/>
  <c r="HC69" i="21" s="1"/>
  <c r="ET69" i="21"/>
  <c r="EC69" i="21" s="1"/>
  <c r="GX69" i="21" s="1"/>
  <c r="ET89" i="21"/>
  <c r="EM160" i="21"/>
  <c r="EP160" i="21"/>
  <c r="DY160" i="21" s="1"/>
  <c r="GT160" i="21" s="1"/>
  <c r="ES119" i="21"/>
  <c r="EB119" i="21" s="1"/>
  <c r="GW119" i="21" s="1"/>
  <c r="EO119" i="21"/>
  <c r="DX119" i="21" s="1"/>
  <c r="EM73" i="21"/>
  <c r="DV73" i="21" s="1"/>
  <c r="EO106" i="21"/>
  <c r="DX106" i="21" s="1"/>
  <c r="HG106" i="21" s="1"/>
  <c r="EM106" i="21"/>
  <c r="DV106" i="21" s="1"/>
  <c r="GQ106" i="21" s="1"/>
  <c r="EK117" i="21"/>
  <c r="DT117" i="21" s="1"/>
  <c r="HC117" i="21" s="1"/>
  <c r="EO117" i="21"/>
  <c r="DX117" i="21" s="1"/>
  <c r="GS117" i="21" s="1"/>
  <c r="EU84" i="21"/>
  <c r="EQ84" i="21"/>
  <c r="DZ84" i="21" s="1"/>
  <c r="EN84" i="21"/>
  <c r="DW84" i="21" s="1"/>
  <c r="EO92" i="21"/>
  <c r="DX92" i="21" s="1"/>
  <c r="HG92" i="21" s="1"/>
  <c r="ET133" i="21"/>
  <c r="EO133" i="21"/>
  <c r="DX133" i="21" s="1"/>
  <c r="GS133" i="21" s="1"/>
  <c r="ES133" i="21"/>
  <c r="EB133" i="21" s="1"/>
  <c r="GW133" i="21" s="1"/>
  <c r="EP181" i="21"/>
  <c r="DY181" i="21" s="1"/>
  <c r="GT181" i="21" s="1"/>
  <c r="EN162" i="21"/>
  <c r="EV177" i="21"/>
  <c r="EU94" i="21"/>
  <c r="EO94" i="21"/>
  <c r="DX94" i="21" s="1"/>
  <c r="EM104" i="21"/>
  <c r="DV104" i="21" s="1"/>
  <c r="HE104" i="21" s="1"/>
  <c r="EO104" i="21"/>
  <c r="DX104" i="21" s="1"/>
  <c r="HG104" i="21" s="1"/>
  <c r="EU104" i="21"/>
  <c r="EU120" i="21"/>
  <c r="EM120" i="21"/>
  <c r="DV120" i="21" s="1"/>
  <c r="HE120" i="21" s="1"/>
  <c r="EP170" i="21"/>
  <c r="DY170" i="21" s="1"/>
  <c r="GT170" i="21" s="1"/>
  <c r="ES78" i="21"/>
  <c r="EB78" i="21" s="1"/>
  <c r="GW78" i="21" s="1"/>
  <c r="EO90" i="21"/>
  <c r="DX90" i="21" s="1"/>
  <c r="HG90" i="21" s="1"/>
  <c r="EL114" i="21"/>
  <c r="DU114" i="21" s="1"/>
  <c r="GP114" i="21" s="1"/>
  <c r="EM114" i="21"/>
  <c r="DV114" i="21" s="1"/>
  <c r="EV169" i="21"/>
  <c r="EO141" i="21"/>
  <c r="DX141" i="21" s="1"/>
  <c r="GS141" i="21" s="1"/>
  <c r="ET141" i="21"/>
  <c r="EL164" i="21"/>
  <c r="DU164" i="21" s="1"/>
  <c r="GP164" i="21" s="1"/>
  <c r="EV164" i="21"/>
  <c r="ET85" i="21"/>
  <c r="EL85" i="21"/>
  <c r="DU85" i="21" s="1"/>
  <c r="GP85" i="21" s="1"/>
  <c r="ET90" i="21"/>
  <c r="EV114" i="21"/>
  <c r="EE114" i="21" s="1"/>
  <c r="GZ114" i="21" s="1"/>
  <c r="ET169" i="21"/>
  <c r="EU169" i="21"/>
  <c r="EM141" i="21"/>
  <c r="DV141" i="21" s="1"/>
  <c r="HE141" i="21" s="1"/>
  <c r="EL141" i="21"/>
  <c r="DU141" i="21" s="1"/>
  <c r="HD141" i="21" s="1"/>
  <c r="EO164" i="21"/>
  <c r="DX164" i="21" s="1"/>
  <c r="GS164" i="21" s="1"/>
  <c r="EQ164" i="21"/>
  <c r="DZ164" i="21" s="1"/>
  <c r="FU164" i="21" s="1"/>
  <c r="ET179" i="21"/>
  <c r="EU179" i="21"/>
  <c r="EQ183" i="21"/>
  <c r="DZ183" i="21" s="1"/>
  <c r="GU183" i="21" s="1"/>
  <c r="EP159" i="21"/>
  <c r="DY159" i="21" s="1"/>
  <c r="HH159" i="21" s="1"/>
  <c r="ET185" i="21"/>
  <c r="EV172" i="21"/>
  <c r="ET105" i="21"/>
  <c r="EM113" i="21"/>
  <c r="DV113" i="21" s="1"/>
  <c r="EU113" i="21"/>
  <c r="EL113" i="21"/>
  <c r="DU113" i="21" s="1"/>
  <c r="GP113" i="21" s="1"/>
  <c r="EP145" i="21"/>
  <c r="DY145" i="21" s="1"/>
  <c r="GT145" i="21" s="1"/>
  <c r="EL145" i="21"/>
  <c r="DU145" i="21" s="1"/>
  <c r="HD145" i="21" s="1"/>
  <c r="EK138" i="21"/>
  <c r="DT138" i="21" s="1"/>
  <c r="GO138" i="21" s="1"/>
  <c r="ES138" i="21"/>
  <c r="EB138" i="21" s="1"/>
  <c r="EK96" i="21"/>
  <c r="DT96" i="21" s="1"/>
  <c r="HC96" i="21" s="1"/>
  <c r="EK95" i="21"/>
  <c r="DT95" i="21" s="1"/>
  <c r="HC95" i="21" s="1"/>
  <c r="ET95" i="21"/>
  <c r="EU146" i="21"/>
  <c r="EL146" i="21"/>
  <c r="DU146" i="21" s="1"/>
  <c r="HD146" i="21" s="1"/>
  <c r="EV150" i="21"/>
  <c r="ER72" i="21"/>
  <c r="EA72" i="21" s="1"/>
  <c r="GV72" i="21" s="1"/>
  <c r="EP71" i="21"/>
  <c r="DY71" i="21" s="1"/>
  <c r="HH71" i="21" s="1"/>
  <c r="EO173" i="21"/>
  <c r="DX173" i="21" s="1"/>
  <c r="EK173" i="21"/>
  <c r="DT173" i="21" s="1"/>
  <c r="EN93" i="21"/>
  <c r="DW93" i="21" s="1"/>
  <c r="GR93" i="21" s="1"/>
  <c r="EU93" i="21"/>
  <c r="EK103" i="21"/>
  <c r="DT103" i="21" s="1"/>
  <c r="GO103" i="21" s="1"/>
  <c r="ER103" i="21"/>
  <c r="EA103" i="21" s="1"/>
  <c r="GV103" i="21" s="1"/>
  <c r="EV103" i="21"/>
  <c r="EE103" i="21" s="1"/>
  <c r="GZ103" i="21" s="1"/>
  <c r="EP122" i="21"/>
  <c r="DY122" i="21" s="1"/>
  <c r="EO109" i="21"/>
  <c r="DX109" i="21" s="1"/>
  <c r="EM87" i="21"/>
  <c r="DV87" i="21" s="1"/>
  <c r="GQ87" i="21" s="1"/>
  <c r="EM163" i="21"/>
  <c r="EK163" i="21"/>
  <c r="DT163" i="21" s="1"/>
  <c r="HC163" i="21" s="1"/>
  <c r="EL80" i="21"/>
  <c r="DU80" i="21" s="1"/>
  <c r="HD80" i="21" s="1"/>
  <c r="EQ123" i="21"/>
  <c r="DZ123" i="21" s="1"/>
  <c r="GU123" i="21" s="1"/>
  <c r="EO123" i="21"/>
  <c r="DX123" i="21" s="1"/>
  <c r="HG123" i="21" s="1"/>
  <c r="EN129" i="21"/>
  <c r="EK129" i="21"/>
  <c r="DT129" i="21" s="1"/>
  <c r="GO129" i="21" s="1"/>
  <c r="EL137" i="21"/>
  <c r="DU137" i="21" s="1"/>
  <c r="GP137" i="21" s="1"/>
  <c r="EQ137" i="21"/>
  <c r="DZ137" i="21" s="1"/>
  <c r="GU137" i="21" s="1"/>
  <c r="EV77" i="21"/>
  <c r="EE77" i="21" s="1"/>
  <c r="GZ77" i="21" s="1"/>
  <c r="ER77" i="21"/>
  <c r="EA77" i="21" s="1"/>
  <c r="GV77" i="21" s="1"/>
  <c r="EU77" i="21"/>
  <c r="ED77" i="21" s="1"/>
  <c r="GY77" i="21" s="1"/>
  <c r="ER135" i="21"/>
  <c r="EA135" i="21" s="1"/>
  <c r="GV135" i="21" s="1"/>
  <c r="EU79" i="21"/>
  <c r="ED79" i="21" s="1"/>
  <c r="EL79" i="21"/>
  <c r="DU79" i="21" s="1"/>
  <c r="ET186" i="21"/>
  <c r="ET168" i="21"/>
  <c r="EL118" i="21"/>
  <c r="DU118" i="21" s="1"/>
  <c r="HD118" i="21" s="1"/>
  <c r="EP118" i="21"/>
  <c r="DY118" i="21" s="1"/>
  <c r="GT118" i="21" s="1"/>
  <c r="EQ131" i="21"/>
  <c r="DZ131" i="21" s="1"/>
  <c r="GU131" i="21" s="1"/>
  <c r="EV131" i="21"/>
  <c r="EK107" i="21"/>
  <c r="DT107" i="21" s="1"/>
  <c r="GO107" i="21" s="1"/>
  <c r="EU107" i="21"/>
  <c r="ET83" i="21"/>
  <c r="ES83" i="21"/>
  <c r="EB83" i="21" s="1"/>
  <c r="GW83" i="21" s="1"/>
  <c r="ER174" i="21"/>
  <c r="EA174" i="21" s="1"/>
  <c r="GV174" i="21" s="1"/>
  <c r="EM126" i="21"/>
  <c r="DV126" i="21" s="1"/>
  <c r="HE126" i="21" s="1"/>
  <c r="EQ126" i="21"/>
  <c r="DZ126" i="21" s="1"/>
  <c r="HI126" i="21" s="1"/>
  <c r="EK154" i="21"/>
  <c r="DT154" i="21" s="1"/>
  <c r="EK112" i="21"/>
  <c r="DT112" i="21" s="1"/>
  <c r="ER112" i="21"/>
  <c r="EA112" i="21" s="1"/>
  <c r="EP69" i="21"/>
  <c r="DY69" i="21" s="1"/>
  <c r="GT69" i="21" s="1"/>
  <c r="EN69" i="21"/>
  <c r="DW69" i="21" s="1"/>
  <c r="GR69" i="21" s="1"/>
  <c r="EL89" i="21"/>
  <c r="DU89" i="21" s="1"/>
  <c r="GP89" i="21" s="1"/>
  <c r="EP89" i="21"/>
  <c r="DY89" i="21" s="1"/>
  <c r="HH89" i="21" s="1"/>
  <c r="EL160" i="21"/>
  <c r="DU160" i="21" s="1"/>
  <c r="HD160" i="21" s="1"/>
  <c r="ER160" i="21"/>
  <c r="EA160" i="21" s="1"/>
  <c r="GV160" i="21" s="1"/>
  <c r="EK119" i="21"/>
  <c r="DT119" i="21" s="1"/>
  <c r="HC119" i="21" s="1"/>
  <c r="EM144" i="21"/>
  <c r="EV144" i="21"/>
  <c r="EK73" i="21"/>
  <c r="DT73" i="21" s="1"/>
  <c r="GO73" i="21" s="1"/>
  <c r="EV117" i="21"/>
  <c r="EM117" i="21"/>
  <c r="DV117" i="21" s="1"/>
  <c r="EO84" i="21"/>
  <c r="DX84" i="21" s="1"/>
  <c r="HG84" i="21" s="1"/>
  <c r="EV92" i="21"/>
  <c r="EP92" i="21"/>
  <c r="DY92" i="21" s="1"/>
  <c r="HH92" i="21" s="1"/>
  <c r="EP136" i="21"/>
  <c r="DY136" i="21" s="1"/>
  <c r="EL133" i="21"/>
  <c r="DU133" i="21" s="1"/>
  <c r="GP133" i="21" s="1"/>
  <c r="EU133" i="21"/>
  <c r="EK162" i="21"/>
  <c r="DT162" i="21" s="1"/>
  <c r="GO162" i="21" s="1"/>
  <c r="ES177" i="21"/>
  <c r="EB177" i="21" s="1"/>
  <c r="GW177" i="21" s="1"/>
  <c r="EQ94" i="21"/>
  <c r="DZ94" i="21" s="1"/>
  <c r="GU94" i="21" s="1"/>
  <c r="EM94" i="21"/>
  <c r="DV94" i="21" s="1"/>
  <c r="GQ94" i="21" s="1"/>
  <c r="EV104" i="21"/>
  <c r="EE104" i="21" s="1"/>
  <c r="GZ104" i="21" s="1"/>
  <c r="ES104" i="21"/>
  <c r="EB104" i="21" s="1"/>
  <c r="ES120" i="21"/>
  <c r="EB120" i="21" s="1"/>
  <c r="HK120" i="21" s="1"/>
  <c r="EU170" i="21"/>
  <c r="ER170" i="21"/>
  <c r="EA170" i="21" s="1"/>
  <c r="HJ170" i="21" s="1"/>
  <c r="EQ78" i="21"/>
  <c r="DZ78" i="21" s="1"/>
  <c r="EU90" i="21"/>
  <c r="EK114" i="21"/>
  <c r="DT114" i="21" s="1"/>
  <c r="HC114" i="21" s="1"/>
  <c r="EN141" i="21"/>
  <c r="EU164" i="21"/>
  <c r="EV85" i="21"/>
  <c r="EE85" i="21" s="1"/>
  <c r="GZ85" i="21" s="1"/>
  <c r="EM85" i="21"/>
  <c r="DV85" i="21" s="1"/>
  <c r="GQ85" i="21" s="1"/>
  <c r="EQ85" i="21"/>
  <c r="DZ85" i="21" s="1"/>
  <c r="EV160" i="21"/>
  <c r="EN119" i="21"/>
  <c r="EP144" i="21"/>
  <c r="DY144" i="21" s="1"/>
  <c r="GT144" i="21" s="1"/>
  <c r="EP73" i="21"/>
  <c r="DY73" i="21" s="1"/>
  <c r="EL106" i="21"/>
  <c r="DU106" i="21" s="1"/>
  <c r="EN106" i="21"/>
  <c r="DW106" i="21" s="1"/>
  <c r="GR106" i="21" s="1"/>
  <c r="ER117" i="21"/>
  <c r="EA117" i="21" s="1"/>
  <c r="HJ117" i="21" s="1"/>
  <c r="EQ117" i="21"/>
  <c r="DZ117" i="21" s="1"/>
  <c r="GU117" i="21" s="1"/>
  <c r="ET84" i="21"/>
  <c r="EK84" i="21"/>
  <c r="DT84" i="21" s="1"/>
  <c r="HC84" i="21" s="1"/>
  <c r="EU92" i="21"/>
  <c r="ER92" i="21"/>
  <c r="EA92" i="21" s="1"/>
  <c r="GV92" i="21" s="1"/>
  <c r="EK136" i="21"/>
  <c r="DT136" i="21" s="1"/>
  <c r="EN136" i="21"/>
  <c r="EQ133" i="21"/>
  <c r="DZ133" i="21" s="1"/>
  <c r="FU133" i="21" s="1"/>
  <c r="ES181" i="21"/>
  <c r="EB181" i="21" s="1"/>
  <c r="HK181" i="21" s="1"/>
  <c r="ER162" i="21"/>
  <c r="EA162" i="21" s="1"/>
  <c r="GV162" i="21" s="1"/>
  <c r="EL162" i="21"/>
  <c r="DU162" i="21" s="1"/>
  <c r="HD162" i="21" s="1"/>
  <c r="EU162" i="21"/>
  <c r="EU177" i="21"/>
  <c r="EP177" i="21"/>
  <c r="DY177" i="21" s="1"/>
  <c r="GT177" i="21" s="1"/>
  <c r="ER94" i="21"/>
  <c r="EA94" i="21" s="1"/>
  <c r="GV94" i="21" s="1"/>
  <c r="EK104" i="21"/>
  <c r="DT104" i="21" s="1"/>
  <c r="HC104" i="21" s="1"/>
  <c r="ER120" i="21"/>
  <c r="EA120" i="21" s="1"/>
  <c r="HJ120" i="21" s="1"/>
  <c r="EV120" i="21"/>
  <c r="ES170" i="21"/>
  <c r="EB170" i="21" s="1"/>
  <c r="HK170" i="21" s="1"/>
  <c r="EK78" i="21"/>
  <c r="DT78" i="21" s="1"/>
  <c r="HC78" i="21" s="1"/>
  <c r="EP182" i="21"/>
  <c r="DY182" i="21" s="1"/>
  <c r="GT182" i="21" s="1"/>
  <c r="ER90" i="21"/>
  <c r="EA90" i="21" s="1"/>
  <c r="GV90" i="21" s="1"/>
  <c r="EQ90" i="21"/>
  <c r="DZ90" i="21" s="1"/>
  <c r="GU90" i="21" s="1"/>
  <c r="ES90" i="21"/>
  <c r="EB90" i="21" s="1"/>
  <c r="GW90" i="21" s="1"/>
  <c r="ES114" i="21"/>
  <c r="EB114" i="21" s="1"/>
  <c r="EQ114" i="21"/>
  <c r="DZ114" i="21" s="1"/>
  <c r="GU114" i="21" s="1"/>
  <c r="EQ169" i="21"/>
  <c r="DZ169" i="21" s="1"/>
  <c r="ER141" i="21"/>
  <c r="EA141" i="21" s="1"/>
  <c r="GV141" i="21" s="1"/>
  <c r="EP164" i="21"/>
  <c r="DY164" i="21" s="1"/>
  <c r="ER164" i="21"/>
  <c r="EA164" i="21" s="1"/>
  <c r="GV164" i="21" s="1"/>
  <c r="ER85" i="21"/>
  <c r="EA85" i="21" s="1"/>
  <c r="HJ85" i="21" s="1"/>
  <c r="EC176" i="21"/>
  <c r="ED187" i="21"/>
  <c r="HM187" i="21" s="1"/>
  <c r="DW149" i="21"/>
  <c r="HF149" i="21" s="1"/>
  <c r="AW124" i="21"/>
  <c r="AZ124" i="21"/>
  <c r="EC157" i="21"/>
  <c r="HL157" i="21" s="1"/>
  <c r="EC76" i="21"/>
  <c r="GX76" i="21" s="1"/>
  <c r="AZ70" i="21"/>
  <c r="ED152" i="21"/>
  <c r="HM152" i="21" s="1"/>
  <c r="DV152" i="21"/>
  <c r="HE152" i="21" s="1"/>
  <c r="AV128" i="21"/>
  <c r="EE148" i="21"/>
  <c r="HN148" i="21" s="1"/>
  <c r="EC151" i="21"/>
  <c r="GX151" i="21" s="1"/>
  <c r="AY91" i="21"/>
  <c r="ED132" i="21"/>
  <c r="GY132" i="21" s="1"/>
  <c r="AZ132" i="21"/>
  <c r="EC100" i="21"/>
  <c r="EC75" i="21"/>
  <c r="GX75" i="21" s="1"/>
  <c r="AY88" i="21"/>
  <c r="CV140" i="21"/>
  <c r="CP139" i="21"/>
  <c r="GE139" i="21"/>
  <c r="EC149" i="21"/>
  <c r="GX149" i="21" s="1"/>
  <c r="AZ161" i="21"/>
  <c r="AX125" i="21"/>
  <c r="DW130" i="21"/>
  <c r="HF130" i="21" s="1"/>
  <c r="AX124" i="21"/>
  <c r="ED124" i="21"/>
  <c r="HM124" i="21" s="1"/>
  <c r="AY111" i="21"/>
  <c r="EC111" i="21"/>
  <c r="HL111" i="21" s="1"/>
  <c r="EE155" i="21"/>
  <c r="GZ155" i="21" s="1"/>
  <c r="AZ76" i="21"/>
  <c r="EC70" i="21"/>
  <c r="HL70" i="21" s="1"/>
  <c r="EC187" i="21"/>
  <c r="GX187" i="21" s="1"/>
  <c r="EC159" i="21"/>
  <c r="GX159" i="21" s="1"/>
  <c r="DW156" i="21"/>
  <c r="HF156" i="21" s="1"/>
  <c r="AZ113" i="21"/>
  <c r="EE185" i="21"/>
  <c r="ED175" i="21"/>
  <c r="GY175" i="21" s="1"/>
  <c r="ED167" i="21"/>
  <c r="HM167" i="21" s="1"/>
  <c r="AV132" i="21"/>
  <c r="AZ100" i="21"/>
  <c r="AV88" i="21"/>
  <c r="DW152" i="21"/>
  <c r="HF152" i="21" s="1"/>
  <c r="DV153" i="21"/>
  <c r="GQ153" i="21" s="1"/>
  <c r="EE151" i="21"/>
  <c r="AZ167" i="21"/>
  <c r="EE100" i="21"/>
  <c r="GZ100" i="21" s="1"/>
  <c r="AX75" i="21"/>
  <c r="EC175" i="21"/>
  <c r="GX175" i="21" s="1"/>
  <c r="EC180" i="21"/>
  <c r="GX180" i="21" s="1"/>
  <c r="EE173" i="21"/>
  <c r="AW93" i="21"/>
  <c r="AZ186" i="21"/>
  <c r="AZ118" i="21"/>
  <c r="EC71" i="21"/>
  <c r="HL71" i="21" s="1"/>
  <c r="CU110" i="21"/>
  <c r="AV125" i="21"/>
  <c r="EE188" i="21"/>
  <c r="GZ188" i="21" s="1"/>
  <c r="AZ99" i="21"/>
  <c r="AZ165" i="21"/>
  <c r="DW150" i="21"/>
  <c r="CU134" i="21"/>
  <c r="GA98" i="21"/>
  <c r="CL98" i="21"/>
  <c r="EE178" i="21"/>
  <c r="HN178" i="21" s="1"/>
  <c r="AW70" i="21"/>
  <c r="AV102" i="21"/>
  <c r="AZ127" i="21"/>
  <c r="AY82" i="21"/>
  <c r="AX81" i="21"/>
  <c r="ED172" i="21"/>
  <c r="GY172" i="21" s="1"/>
  <c r="AZ105" i="21"/>
  <c r="AW71" i="21"/>
  <c r="AX116" i="21"/>
  <c r="AZ103" i="21"/>
  <c r="GE101" i="21"/>
  <c r="CP101" i="21"/>
  <c r="AV124" i="21"/>
  <c r="AZ188" i="21"/>
  <c r="AZ143" i="21"/>
  <c r="AX82" i="21"/>
  <c r="AY86" i="21"/>
  <c r="AZ80" i="21"/>
  <c r="AX80" i="21"/>
  <c r="AW123" i="21"/>
  <c r="AV91" i="21"/>
  <c r="AW91" i="21"/>
  <c r="AY105" i="21"/>
  <c r="AW74" i="21"/>
  <c r="AY80" i="21"/>
  <c r="AV123" i="21"/>
  <c r="AY107" i="21"/>
  <c r="AW83" i="21"/>
  <c r="AW126" i="21"/>
  <c r="AW119" i="21"/>
  <c r="AZ144" i="21"/>
  <c r="AW69" i="21"/>
  <c r="AY104" i="21"/>
  <c r="AZ120" i="21"/>
  <c r="AY78" i="21"/>
  <c r="AW121" i="21"/>
  <c r="AW111" i="21"/>
  <c r="AZ155" i="21"/>
  <c r="AX100" i="21"/>
  <c r="AZ75" i="21"/>
  <c r="AV81" i="21"/>
  <c r="AY81" i="21"/>
  <c r="AX86" i="21"/>
  <c r="AZ93" i="21"/>
  <c r="AV135" i="21"/>
  <c r="AY112" i="21"/>
  <c r="AY100" i="21"/>
  <c r="AY75" i="21"/>
  <c r="AX127" i="21"/>
  <c r="AX105" i="21"/>
  <c r="AZ150" i="21"/>
  <c r="AX72" i="21"/>
  <c r="AV93" i="21"/>
  <c r="AZ87" i="21"/>
  <c r="AX77" i="21"/>
  <c r="AZ126" i="21"/>
  <c r="AW112" i="21"/>
  <c r="AW92" i="21"/>
  <c r="EE187" i="21"/>
  <c r="HN187" i="21" s="1"/>
  <c r="AZ174" i="21"/>
  <c r="AX128" i="21"/>
  <c r="AZ147" i="21"/>
  <c r="AW82" i="21"/>
  <c r="AY96" i="21"/>
  <c r="AV87" i="21"/>
  <c r="AZ69" i="21"/>
  <c r="AY89" i="21"/>
  <c r="AW84" i="21"/>
  <c r="AV85" i="21"/>
  <c r="AY103" i="21"/>
  <c r="AW109" i="21"/>
  <c r="AY77" i="21"/>
  <c r="AV131" i="21"/>
  <c r="AY83" i="21"/>
  <c r="AX112" i="21"/>
  <c r="AZ119" i="21"/>
  <c r="AV117" i="21"/>
  <c r="AY84" i="21"/>
  <c r="AX120" i="21"/>
  <c r="AW114" i="21"/>
  <c r="AZ141" i="21"/>
  <c r="AX113" i="21"/>
  <c r="AW113" i="21"/>
  <c r="AV95" i="21"/>
  <c r="AZ109" i="21"/>
  <c r="AX87" i="21"/>
  <c r="AW80" i="21"/>
  <c r="AV107" i="21"/>
  <c r="AX126" i="21"/>
  <c r="AY69" i="21"/>
  <c r="AW89" i="21"/>
  <c r="AV73" i="21"/>
  <c r="AY106" i="21"/>
  <c r="AV136" i="21"/>
  <c r="GS178" i="21"/>
  <c r="HG178" i="21"/>
  <c r="GW175" i="21"/>
  <c r="HK175" i="21"/>
  <c r="HG187" i="21"/>
  <c r="GS187" i="21"/>
  <c r="GX179" i="21"/>
  <c r="HL179" i="21"/>
  <c r="GT175" i="21"/>
  <c r="HH175" i="21"/>
  <c r="GV183" i="21"/>
  <c r="HJ183" i="21"/>
  <c r="GW178" i="21"/>
  <c r="HK178" i="21"/>
  <c r="GZ180" i="21"/>
  <c r="HN180" i="21"/>
  <c r="GT179" i="21"/>
  <c r="HH179" i="21"/>
  <c r="GS184" i="21"/>
  <c r="GX173" i="21"/>
  <c r="HL173" i="21"/>
  <c r="GU184" i="21"/>
  <c r="FU184" i="21"/>
  <c r="HI184" i="21"/>
  <c r="GY178" i="21"/>
  <c r="HM178" i="21"/>
  <c r="GY177" i="21"/>
  <c r="HM177" i="21"/>
  <c r="GY188" i="21"/>
  <c r="HM188" i="21"/>
  <c r="GY185" i="21"/>
  <c r="HM185" i="21"/>
  <c r="GX184" i="21"/>
  <c r="HL184" i="21"/>
  <c r="HH182" i="21"/>
  <c r="GZ175" i="21"/>
  <c r="HN175" i="21"/>
  <c r="GZ177" i="21"/>
  <c r="HN177" i="21"/>
  <c r="GS181" i="21"/>
  <c r="GY179" i="21"/>
  <c r="HM179" i="21"/>
  <c r="GZ186" i="21"/>
  <c r="HN186" i="21"/>
  <c r="GT188" i="21"/>
  <c r="HH188" i="21"/>
  <c r="GY181" i="21"/>
  <c r="HM181" i="21"/>
  <c r="GT176" i="21"/>
  <c r="HH176" i="21"/>
  <c r="GX181" i="21"/>
  <c r="HL181" i="21"/>
  <c r="GZ179" i="21"/>
  <c r="HN179" i="21"/>
  <c r="GV179" i="21"/>
  <c r="HJ179" i="21"/>
  <c r="GW185" i="21"/>
  <c r="HK186" i="21"/>
  <c r="HH178" i="21"/>
  <c r="GX182" i="21"/>
  <c r="HL182" i="21"/>
  <c r="GZ182" i="21"/>
  <c r="HN182" i="21"/>
  <c r="GX186" i="21"/>
  <c r="HL186" i="21"/>
  <c r="GY180" i="21"/>
  <c r="HM180" i="21"/>
  <c r="GX174" i="21"/>
  <c r="HL174" i="21"/>
  <c r="GX177" i="21"/>
  <c r="HL177" i="21"/>
  <c r="GX172" i="21"/>
  <c r="HL172" i="21"/>
  <c r="GY174" i="21"/>
  <c r="HM174" i="21"/>
  <c r="HG176" i="21"/>
  <c r="GS176" i="21"/>
  <c r="GY173" i="21"/>
  <c r="HM173" i="21"/>
  <c r="GU180" i="21"/>
  <c r="FU180" i="21"/>
  <c r="GX188" i="21"/>
  <c r="HL188" i="21"/>
  <c r="GY176" i="21"/>
  <c r="HM176" i="21"/>
  <c r="GZ181" i="21"/>
  <c r="HN181" i="21"/>
  <c r="GZ176" i="21"/>
  <c r="HN176" i="21"/>
  <c r="GV175" i="21"/>
  <c r="HJ175" i="21"/>
  <c r="GZ183" i="21"/>
  <c r="HN183" i="21"/>
  <c r="GX178" i="21"/>
  <c r="HL178" i="21"/>
  <c r="GX183" i="21"/>
  <c r="HL183" i="21"/>
  <c r="GZ174" i="21"/>
  <c r="HN174" i="21"/>
  <c r="GY184" i="21"/>
  <c r="HM184" i="21"/>
  <c r="GZ184" i="21"/>
  <c r="HN184" i="21"/>
  <c r="GX185" i="21"/>
  <c r="HL185" i="21"/>
  <c r="GY186" i="21"/>
  <c r="HM186" i="21"/>
  <c r="GZ172" i="21"/>
  <c r="HN172" i="21"/>
  <c r="GY182" i="21"/>
  <c r="HM182" i="21"/>
  <c r="GY183" i="21"/>
  <c r="HM183" i="21"/>
  <c r="HD95" i="21"/>
  <c r="GP95" i="21"/>
  <c r="HF118" i="21"/>
  <c r="GR118" i="21"/>
  <c r="GR114" i="21"/>
  <c r="HG127" i="21"/>
  <c r="GS127" i="21"/>
  <c r="HG105" i="21"/>
  <c r="GS105" i="21"/>
  <c r="HC93" i="21"/>
  <c r="GO93" i="21"/>
  <c r="GT171" i="21"/>
  <c r="HH171" i="21"/>
  <c r="GU120" i="21"/>
  <c r="FU120" i="21"/>
  <c r="FU160" i="21"/>
  <c r="GW128" i="21"/>
  <c r="HK128" i="21"/>
  <c r="GO168" i="21"/>
  <c r="HC168" i="21"/>
  <c r="HF109" i="21"/>
  <c r="GR109" i="21"/>
  <c r="GO145" i="21"/>
  <c r="HC145" i="21"/>
  <c r="GR102" i="21"/>
  <c r="HF102" i="21"/>
  <c r="HF96" i="21"/>
  <c r="GR96" i="21"/>
  <c r="GP124" i="21"/>
  <c r="HD124" i="21"/>
  <c r="HN104" i="21"/>
  <c r="GV112" i="21"/>
  <c r="HJ112" i="21"/>
  <c r="HD92" i="21"/>
  <c r="GP92" i="21"/>
  <c r="GV154" i="21"/>
  <c r="HJ154" i="21"/>
  <c r="HI92" i="21"/>
  <c r="HC112" i="21"/>
  <c r="GO112" i="21"/>
  <c r="HG115" i="21"/>
  <c r="GS115" i="21"/>
  <c r="HJ96" i="21"/>
  <c r="HG132" i="21"/>
  <c r="GV104" i="21"/>
  <c r="HJ104" i="21"/>
  <c r="GS169" i="21"/>
  <c r="GT102" i="21"/>
  <c r="HH102" i="21"/>
  <c r="HG161" i="21"/>
  <c r="GS161" i="21"/>
  <c r="HG165" i="21"/>
  <c r="GS165" i="21"/>
  <c r="HC124" i="21"/>
  <c r="GO124" i="21"/>
  <c r="GV102" i="21"/>
  <c r="HJ102" i="21"/>
  <c r="GW169" i="21"/>
  <c r="HK169" i="21"/>
  <c r="HE151" i="21"/>
  <c r="GQ151" i="21"/>
  <c r="GS148" i="21"/>
  <c r="GT127" i="21"/>
  <c r="GS125" i="21"/>
  <c r="HG125" i="21"/>
  <c r="HG124" i="21"/>
  <c r="GS124" i="21"/>
  <c r="GV155" i="21"/>
  <c r="HJ155" i="21"/>
  <c r="GV146" i="21"/>
  <c r="HJ146" i="21"/>
  <c r="FU130" i="21"/>
  <c r="GU130" i="21"/>
  <c r="HI130" i="21"/>
  <c r="GT100" i="21"/>
  <c r="HH100" i="21"/>
  <c r="GV118" i="21"/>
  <c r="HJ118" i="21"/>
  <c r="GP141" i="21"/>
  <c r="GS90" i="21"/>
  <c r="GZ135" i="21"/>
  <c r="HN135" i="21"/>
  <c r="GZ123" i="21"/>
  <c r="HN123" i="21"/>
  <c r="GZ143" i="21"/>
  <c r="HN143" i="21"/>
  <c r="GU155" i="21"/>
  <c r="FU155" i="21"/>
  <c r="HI155" i="21"/>
  <c r="GZ111" i="21"/>
  <c r="HN111" i="21"/>
  <c r="HE167" i="21"/>
  <c r="GQ167" i="21"/>
  <c r="GX167" i="21"/>
  <c r="HL167" i="21"/>
  <c r="HF125" i="21"/>
  <c r="GR125" i="21"/>
  <c r="GZ102" i="21"/>
  <c r="HN102" i="21"/>
  <c r="GY142" i="21"/>
  <c r="HM142" i="21"/>
  <c r="GR145" i="21"/>
  <c r="HF145" i="21"/>
  <c r="GY153" i="21"/>
  <c r="HM153" i="21"/>
  <c r="GX168" i="21"/>
  <c r="HL168" i="21"/>
  <c r="GQ127" i="21"/>
  <c r="GY127" i="21"/>
  <c r="HM127" i="21"/>
  <c r="HF158" i="21"/>
  <c r="GR158" i="21"/>
  <c r="GY146" i="21"/>
  <c r="HM146" i="21"/>
  <c r="GW117" i="21"/>
  <c r="HK117" i="21"/>
  <c r="GY138" i="21"/>
  <c r="HM138" i="21"/>
  <c r="HD127" i="21"/>
  <c r="GP127" i="21"/>
  <c r="GZ154" i="21"/>
  <c r="HN154" i="21"/>
  <c r="HE105" i="21"/>
  <c r="GQ105" i="21"/>
  <c r="GR111" i="21"/>
  <c r="GZ162" i="21"/>
  <c r="HN162" i="21"/>
  <c r="HE157" i="21"/>
  <c r="GQ157" i="21"/>
  <c r="GT138" i="21"/>
  <c r="HH138" i="21"/>
  <c r="GX113" i="21"/>
  <c r="HL113" i="21"/>
  <c r="GY162" i="21"/>
  <c r="HM162" i="21"/>
  <c r="GX128" i="21"/>
  <c r="HL128" i="21"/>
  <c r="HG119" i="21"/>
  <c r="GS119" i="21"/>
  <c r="GU171" i="21"/>
  <c r="FU171" i="21"/>
  <c r="HI171" i="21"/>
  <c r="HE119" i="21"/>
  <c r="GQ119" i="21"/>
  <c r="HF124" i="21"/>
  <c r="GR124" i="21"/>
  <c r="FU166" i="21"/>
  <c r="GU166" i="21"/>
  <c r="HI166" i="21"/>
  <c r="GY137" i="21"/>
  <c r="HM137" i="21"/>
  <c r="GT156" i="21"/>
  <c r="HH156" i="21"/>
  <c r="GX107" i="21"/>
  <c r="HL107" i="21"/>
  <c r="GT157" i="21"/>
  <c r="HH157" i="21"/>
  <c r="FU95" i="21"/>
  <c r="HI95" i="21"/>
  <c r="GX150" i="21"/>
  <c r="HL150" i="21"/>
  <c r="GW160" i="21"/>
  <c r="HK160" i="21"/>
  <c r="GZ133" i="21"/>
  <c r="HN133" i="21"/>
  <c r="GY169" i="21"/>
  <c r="HM169" i="21"/>
  <c r="GY103" i="21"/>
  <c r="HM103" i="21"/>
  <c r="GO128" i="21"/>
  <c r="GS136" i="21"/>
  <c r="HG136" i="21"/>
  <c r="GY144" i="21"/>
  <c r="HM144" i="21"/>
  <c r="GZ105" i="21"/>
  <c r="HN105" i="21"/>
  <c r="GT126" i="21"/>
  <c r="HH126" i="21"/>
  <c r="HD129" i="21"/>
  <c r="GP129" i="21"/>
  <c r="GY92" i="21"/>
  <c r="HM92" i="21"/>
  <c r="GX116" i="21"/>
  <c r="HL116" i="21"/>
  <c r="GS154" i="21"/>
  <c r="HG154" i="21"/>
  <c r="GY171" i="21"/>
  <c r="HM171" i="21"/>
  <c r="GW137" i="21"/>
  <c r="HK137" i="21"/>
  <c r="HG93" i="21"/>
  <c r="GS93" i="21"/>
  <c r="GY125" i="21"/>
  <c r="HM125" i="21"/>
  <c r="GS118" i="21"/>
  <c r="FU167" i="21"/>
  <c r="GU167" i="21"/>
  <c r="HI167" i="21"/>
  <c r="GV128" i="21"/>
  <c r="HJ128" i="21"/>
  <c r="HG102" i="21"/>
  <c r="GV121" i="21"/>
  <c r="HJ121" i="21"/>
  <c r="HJ92" i="21"/>
  <c r="GX146" i="21"/>
  <c r="HL146" i="21"/>
  <c r="GX130" i="21"/>
  <c r="HL130" i="21"/>
  <c r="GO132" i="21"/>
  <c r="HE137" i="21"/>
  <c r="GQ137" i="21"/>
  <c r="GX123" i="21"/>
  <c r="HL123" i="21"/>
  <c r="HG153" i="21"/>
  <c r="GS153" i="21"/>
  <c r="GV159" i="21"/>
  <c r="HJ159" i="21"/>
  <c r="GX142" i="21"/>
  <c r="HL142" i="21"/>
  <c r="GO153" i="21"/>
  <c r="HC153" i="21"/>
  <c r="HE161" i="21"/>
  <c r="GQ161" i="21"/>
  <c r="GZ118" i="21"/>
  <c r="HN118" i="21"/>
  <c r="GO169" i="21"/>
  <c r="HC169" i="21"/>
  <c r="GX153" i="21"/>
  <c r="HL153" i="21"/>
  <c r="GY118" i="21"/>
  <c r="HM118" i="21"/>
  <c r="GR150" i="21"/>
  <c r="HF150" i="21"/>
  <c r="GU104" i="21"/>
  <c r="FU104" i="21"/>
  <c r="HI104" i="21"/>
  <c r="GY107" i="21"/>
  <c r="HM107" i="21"/>
  <c r="GX119" i="21"/>
  <c r="HL119" i="21"/>
  <c r="HC129" i="21"/>
  <c r="GX99" i="21"/>
  <c r="HL99" i="21"/>
  <c r="GX108" i="21"/>
  <c r="HL108" i="21"/>
  <c r="GX170" i="21"/>
  <c r="HL170" i="21"/>
  <c r="GY108" i="21"/>
  <c r="HM108" i="21"/>
  <c r="GX127" i="21"/>
  <c r="HL127" i="21"/>
  <c r="GX126" i="21"/>
  <c r="HL126" i="21"/>
  <c r="GZ124" i="21"/>
  <c r="HN124" i="21"/>
  <c r="HH148" i="21"/>
  <c r="FU144" i="21"/>
  <c r="GU144" i="21"/>
  <c r="HI144" i="21"/>
  <c r="HG164" i="21"/>
  <c r="GX164" i="21"/>
  <c r="HL164" i="21"/>
  <c r="GX147" i="21"/>
  <c r="HL147" i="21"/>
  <c r="GY109" i="21"/>
  <c r="HM109" i="21"/>
  <c r="GV125" i="21"/>
  <c r="HJ125" i="21"/>
  <c r="GV131" i="21"/>
  <c r="HJ131" i="21"/>
  <c r="GZ127" i="21"/>
  <c r="HN127" i="21"/>
  <c r="GZ158" i="21"/>
  <c r="HN158" i="21"/>
  <c r="GO119" i="21"/>
  <c r="GR129" i="21"/>
  <c r="HF129" i="21"/>
  <c r="GZ132" i="21"/>
  <c r="HN132" i="21"/>
  <c r="FU105" i="21"/>
  <c r="GU105" i="21"/>
  <c r="HI105" i="21"/>
  <c r="GZ99" i="21"/>
  <c r="HN99" i="21"/>
  <c r="GW93" i="21"/>
  <c r="HK93" i="21"/>
  <c r="HF132" i="21"/>
  <c r="GR132" i="21"/>
  <c r="GX158" i="21"/>
  <c r="HL158" i="21"/>
  <c r="GQ154" i="21"/>
  <c r="HE154" i="21"/>
  <c r="GT146" i="21"/>
  <c r="HH146" i="21"/>
  <c r="GY145" i="21"/>
  <c r="HM145" i="21"/>
  <c r="GR153" i="21"/>
  <c r="HF153" i="21"/>
  <c r="GR137" i="21"/>
  <c r="HF137" i="21"/>
  <c r="GY159" i="21"/>
  <c r="HM159" i="21"/>
  <c r="GZ128" i="21"/>
  <c r="HN128" i="21"/>
  <c r="HF91" i="21"/>
  <c r="GY128" i="21"/>
  <c r="HM128" i="21"/>
  <c r="GZ121" i="21"/>
  <c r="HN121" i="21"/>
  <c r="FU113" i="21"/>
  <c r="GU113" i="21"/>
  <c r="HI113" i="21"/>
  <c r="GX106" i="21"/>
  <c r="HL106" i="21"/>
  <c r="GQ123" i="21"/>
  <c r="HE123" i="21"/>
  <c r="GX122" i="21"/>
  <c r="HL122" i="21"/>
  <c r="GZ163" i="21"/>
  <c r="HN163" i="21"/>
  <c r="HF161" i="21"/>
  <c r="GR161" i="21"/>
  <c r="GW162" i="21"/>
  <c r="HK162" i="21"/>
  <c r="HE107" i="21"/>
  <c r="GW121" i="21"/>
  <c r="HK121" i="21"/>
  <c r="GY111" i="21"/>
  <c r="HM111" i="21"/>
  <c r="GZ119" i="21"/>
  <c r="HN119" i="21"/>
  <c r="GT149" i="21"/>
  <c r="HH149" i="21"/>
  <c r="GR120" i="21"/>
  <c r="HF120" i="21"/>
  <c r="GU151" i="21"/>
  <c r="HG157" i="21"/>
  <c r="GS157" i="21"/>
  <c r="GY141" i="21"/>
  <c r="HM141" i="21"/>
  <c r="GZ97" i="21"/>
  <c r="HN97" i="21"/>
  <c r="GQ155" i="21"/>
  <c r="HE155" i="21"/>
  <c r="HG160" i="21"/>
  <c r="GS160" i="21"/>
  <c r="GY136" i="21"/>
  <c r="HM136" i="21"/>
  <c r="GY150" i="21"/>
  <c r="HM150" i="21"/>
  <c r="GX166" i="21"/>
  <c r="HL166" i="21"/>
  <c r="GX136" i="21"/>
  <c r="HL136" i="21"/>
  <c r="GT121" i="21"/>
  <c r="HH121" i="21"/>
  <c r="GX114" i="21"/>
  <c r="HL114" i="21"/>
  <c r="HC115" i="21"/>
  <c r="GO115" i="21"/>
  <c r="GY91" i="21"/>
  <c r="HM91" i="21"/>
  <c r="GY117" i="21"/>
  <c r="HM117" i="21"/>
  <c r="GY160" i="21"/>
  <c r="HM160" i="21"/>
  <c r="GR162" i="21"/>
  <c r="HF162" i="21"/>
  <c r="GZ92" i="21"/>
  <c r="HN92" i="21"/>
  <c r="GT129" i="21"/>
  <c r="HH129" i="21"/>
  <c r="GY95" i="21"/>
  <c r="HM95" i="21"/>
  <c r="GR154" i="21"/>
  <c r="HF154" i="21"/>
  <c r="GR121" i="21"/>
  <c r="HF121" i="21"/>
  <c r="GY115" i="21"/>
  <c r="HM115" i="21"/>
  <c r="HF147" i="21"/>
  <c r="GR147" i="21"/>
  <c r="HJ164" i="21"/>
  <c r="HD153" i="21"/>
  <c r="GP153" i="21"/>
  <c r="HG111" i="21"/>
  <c r="GS111" i="21"/>
  <c r="GY119" i="21"/>
  <c r="HM119" i="21"/>
  <c r="GV129" i="21"/>
  <c r="HJ129" i="21"/>
  <c r="HG103" i="21"/>
  <c r="GS103" i="21"/>
  <c r="GQ92" i="21"/>
  <c r="HE92" i="21"/>
  <c r="GV130" i="21"/>
  <c r="HJ130" i="21"/>
  <c r="HF136" i="21"/>
  <c r="GR136" i="21"/>
  <c r="HD148" i="21"/>
  <c r="GP148" i="21"/>
  <c r="GY143" i="21"/>
  <c r="HM143" i="21"/>
  <c r="GV91" i="21"/>
  <c r="HJ91" i="21"/>
  <c r="GZ147" i="21"/>
  <c r="HN147" i="21"/>
  <c r="GZ144" i="21"/>
  <c r="HN144" i="21"/>
  <c r="GV115" i="21"/>
  <c r="HJ115" i="21"/>
  <c r="GY149" i="21"/>
  <c r="HM149" i="21"/>
  <c r="GX115" i="21"/>
  <c r="HL115" i="21"/>
  <c r="GY116" i="21"/>
  <c r="HM116" i="21"/>
  <c r="GX96" i="21"/>
  <c r="HL96" i="21"/>
  <c r="HD158" i="21"/>
  <c r="GP158" i="21"/>
  <c r="HG100" i="21"/>
  <c r="GZ96" i="21"/>
  <c r="HN96" i="21"/>
  <c r="GZ106" i="21"/>
  <c r="HN106" i="21"/>
  <c r="HF143" i="21"/>
  <c r="GR143" i="21"/>
  <c r="GV143" i="21"/>
  <c r="HJ143" i="21"/>
  <c r="GV97" i="21"/>
  <c r="HJ97" i="21"/>
  <c r="GU154" i="21"/>
  <c r="FU154" i="21"/>
  <c r="HI154" i="21"/>
  <c r="HD123" i="21"/>
  <c r="GP123" i="21"/>
  <c r="HG109" i="21"/>
  <c r="GS109" i="21"/>
  <c r="HE160" i="21"/>
  <c r="GQ160" i="21"/>
  <c r="HE156" i="21"/>
  <c r="GQ156" i="21"/>
  <c r="HC107" i="21"/>
  <c r="HC170" i="21"/>
  <c r="GO170" i="21"/>
  <c r="GX92" i="21"/>
  <c r="HL92" i="21"/>
  <c r="GX155" i="21"/>
  <c r="HL155" i="21"/>
  <c r="HD159" i="21"/>
  <c r="GP159" i="21"/>
  <c r="GZ125" i="21"/>
  <c r="HN125" i="21"/>
  <c r="GW151" i="21"/>
  <c r="HK151" i="21"/>
  <c r="GW153" i="21"/>
  <c r="GY93" i="21"/>
  <c r="HM93" i="21"/>
  <c r="GX94" i="21"/>
  <c r="HL94" i="21"/>
  <c r="GQ97" i="21"/>
  <c r="HE97" i="21"/>
  <c r="GZ91" i="21"/>
  <c r="HN91" i="21"/>
  <c r="GW149" i="21"/>
  <c r="HK149" i="21"/>
  <c r="GX169" i="21"/>
  <c r="HL169" i="21"/>
  <c r="GX104" i="21"/>
  <c r="HL104" i="21"/>
  <c r="GX102" i="21"/>
  <c r="HL102" i="21"/>
  <c r="GP122" i="21"/>
  <c r="HD122" i="21"/>
  <c r="GZ117" i="21"/>
  <c r="HN117" i="21"/>
  <c r="GW125" i="21"/>
  <c r="GR142" i="21"/>
  <c r="HF142" i="21"/>
  <c r="GY123" i="21"/>
  <c r="HM123" i="21"/>
  <c r="GQ146" i="21"/>
  <c r="HE146" i="21"/>
  <c r="GT109" i="21"/>
  <c r="HH109" i="21"/>
  <c r="GQ162" i="21"/>
  <c r="HE162" i="21"/>
  <c r="GT167" i="21"/>
  <c r="HH167" i="21"/>
  <c r="GY155" i="21"/>
  <c r="HM155" i="21"/>
  <c r="GX121" i="21"/>
  <c r="HL121" i="21"/>
  <c r="GU158" i="21"/>
  <c r="FU158" i="21"/>
  <c r="HI158" i="21"/>
  <c r="GW142" i="21"/>
  <c r="HK142" i="21"/>
  <c r="FU97" i="21"/>
  <c r="GU97" i="21"/>
  <c r="HI97" i="21"/>
  <c r="GP156" i="21"/>
  <c r="HD156" i="21"/>
  <c r="GW167" i="21"/>
  <c r="HK167" i="21"/>
  <c r="GY156" i="21"/>
  <c r="HM156" i="21"/>
  <c r="GX144" i="21"/>
  <c r="HL144" i="21"/>
  <c r="GW104" i="21"/>
  <c r="HK104" i="21"/>
  <c r="HE163" i="21"/>
  <c r="GQ163" i="21"/>
  <c r="GZ137" i="21"/>
  <c r="HN137" i="21"/>
  <c r="GY170" i="21"/>
  <c r="HM170" i="21"/>
  <c r="HF155" i="21"/>
  <c r="GR155" i="21"/>
  <c r="GP150" i="21"/>
  <c r="HD150" i="21"/>
  <c r="GO126" i="21"/>
  <c r="HC126" i="21"/>
  <c r="GW148" i="21"/>
  <c r="HK148" i="21"/>
  <c r="FU152" i="21"/>
  <c r="GU152" i="21"/>
  <c r="HI152" i="21"/>
  <c r="GY147" i="21"/>
  <c r="HM147" i="21"/>
  <c r="GY97" i="21"/>
  <c r="HM97" i="21"/>
  <c r="HF126" i="21"/>
  <c r="GR126" i="21"/>
  <c r="GW96" i="21"/>
  <c r="HK96" i="21"/>
  <c r="GY99" i="21"/>
  <c r="HM99" i="21"/>
  <c r="GY131" i="21"/>
  <c r="HM131" i="21"/>
  <c r="HF107" i="21"/>
  <c r="GR107" i="21"/>
  <c r="GY114" i="21"/>
  <c r="HM114" i="21"/>
  <c r="GX145" i="21"/>
  <c r="HL145" i="21"/>
  <c r="GY113" i="21"/>
  <c r="HM113" i="21"/>
  <c r="HE149" i="21"/>
  <c r="GQ149" i="21"/>
  <c r="HF119" i="21"/>
  <c r="GR119" i="21"/>
  <c r="GQ142" i="21"/>
  <c r="HE142" i="21"/>
  <c r="HF146" i="21"/>
  <c r="GR146" i="21"/>
  <c r="GZ152" i="21"/>
  <c r="HN152" i="21"/>
  <c r="GZ168" i="21"/>
  <c r="HN168" i="21"/>
  <c r="GR159" i="21"/>
  <c r="HF159" i="21"/>
  <c r="GT169" i="21"/>
  <c r="GY102" i="21"/>
  <c r="HM102" i="21"/>
  <c r="GT164" i="21"/>
  <c r="HH164" i="21"/>
  <c r="HF135" i="21"/>
  <c r="GR135" i="21"/>
  <c r="GX133" i="21"/>
  <c r="HL133" i="21"/>
  <c r="GQ125" i="21"/>
  <c r="HE125" i="21"/>
  <c r="HG166" i="21"/>
  <c r="GS166" i="21"/>
  <c r="GY121" i="21"/>
  <c r="HM121" i="21"/>
  <c r="GX138" i="21"/>
  <c r="HL138" i="21"/>
  <c r="HG94" i="21"/>
  <c r="GS94" i="21"/>
  <c r="HE124" i="21"/>
  <c r="GQ124" i="21"/>
  <c r="GY151" i="21"/>
  <c r="HM151" i="21"/>
  <c r="GY166" i="21"/>
  <c r="HM166" i="21"/>
  <c r="GT116" i="21"/>
  <c r="HH116" i="21"/>
  <c r="GZ161" i="21"/>
  <c r="HN161" i="21"/>
  <c r="GX111" i="21"/>
  <c r="GZ120" i="21"/>
  <c r="HN120" i="21"/>
  <c r="GX163" i="21"/>
  <c r="HL163" i="21"/>
  <c r="GZ112" i="21"/>
  <c r="HN112" i="21"/>
  <c r="GZ165" i="21"/>
  <c r="HN165" i="21"/>
  <c r="GY157" i="21"/>
  <c r="HM157" i="21"/>
  <c r="GY100" i="21"/>
  <c r="HM100" i="21"/>
  <c r="GR141" i="21"/>
  <c r="HF141" i="21"/>
  <c r="HF148" i="21"/>
  <c r="GR148" i="21"/>
  <c r="GY122" i="21"/>
  <c r="HM122" i="21"/>
  <c r="GY168" i="21"/>
  <c r="HM168" i="21"/>
  <c r="HE112" i="21"/>
  <c r="HF133" i="21"/>
  <c r="GR133" i="21"/>
  <c r="GY96" i="21"/>
  <c r="HM96" i="21"/>
  <c r="GS112" i="21"/>
  <c r="HG112" i="21"/>
  <c r="GX156" i="21"/>
  <c r="HL156" i="21"/>
  <c r="GR163" i="21"/>
  <c r="HF163" i="21"/>
  <c r="GX132" i="21"/>
  <c r="HL132" i="21"/>
  <c r="GY158" i="21"/>
  <c r="HM158" i="21"/>
  <c r="HD104" i="21"/>
  <c r="GP104" i="21"/>
  <c r="GU118" i="21"/>
  <c r="FU118" i="21"/>
  <c r="HI118" i="21"/>
  <c r="GX91" i="21"/>
  <c r="HL91" i="21"/>
  <c r="HE148" i="21"/>
  <c r="GQ148" i="21"/>
  <c r="HC149" i="21"/>
  <c r="GO149" i="21"/>
  <c r="GZ126" i="21"/>
  <c r="HN126" i="21"/>
  <c r="GZ116" i="21"/>
  <c r="HN116" i="21"/>
  <c r="GZ153" i="21"/>
  <c r="HN153" i="21"/>
  <c r="GQ130" i="21"/>
  <c r="HE130" i="21"/>
  <c r="HE158" i="21"/>
  <c r="GQ158" i="21"/>
  <c r="GR117" i="21"/>
  <c r="HF117" i="21"/>
  <c r="GX160" i="21"/>
  <c r="HL160" i="21"/>
  <c r="HE150" i="21"/>
  <c r="GQ150" i="21"/>
  <c r="GX162" i="21"/>
  <c r="HL162" i="21"/>
  <c r="GP130" i="21"/>
  <c r="HD130" i="21"/>
  <c r="HG91" i="21"/>
  <c r="GS91" i="21"/>
  <c r="HF128" i="21"/>
  <c r="GR128" i="21"/>
  <c r="GW103" i="21"/>
  <c r="HK103" i="21"/>
  <c r="GY154" i="21"/>
  <c r="HM154" i="21"/>
  <c r="GY161" i="21"/>
  <c r="HM161" i="21"/>
  <c r="GU146" i="21"/>
  <c r="FU146" i="21"/>
  <c r="HI146" i="21"/>
  <c r="GY120" i="21"/>
  <c r="HM120" i="21"/>
  <c r="GY105" i="21"/>
  <c r="HM105" i="21"/>
  <c r="GX148" i="21"/>
  <c r="HL148" i="21"/>
  <c r="GZ164" i="21"/>
  <c r="HN164" i="21"/>
  <c r="GX157" i="21"/>
  <c r="GZ169" i="21"/>
  <c r="HN169" i="21"/>
  <c r="GZ90" i="21"/>
  <c r="HN90" i="21"/>
  <c r="GZ109" i="21"/>
  <c r="HN109" i="21"/>
  <c r="GX109" i="21"/>
  <c r="HL109" i="21"/>
  <c r="GX103" i="21"/>
  <c r="HL103" i="21"/>
  <c r="GQ109" i="21"/>
  <c r="HE109" i="21"/>
  <c r="GR123" i="21"/>
  <c r="HF123" i="21"/>
  <c r="HF116" i="21"/>
  <c r="GR116" i="21"/>
  <c r="GZ122" i="21"/>
  <c r="HN122" i="21"/>
  <c r="GZ129" i="21"/>
  <c r="HN129" i="21"/>
  <c r="GO96" i="21"/>
  <c r="GY133" i="21"/>
  <c r="HM133" i="21"/>
  <c r="GQ166" i="21"/>
  <c r="HE166" i="21"/>
  <c r="GZ150" i="21"/>
  <c r="HN150" i="21"/>
  <c r="GQ118" i="21"/>
  <c r="HE118" i="21"/>
  <c r="HE165" i="21"/>
  <c r="GQ165" i="21"/>
  <c r="GZ138" i="21"/>
  <c r="HN138" i="21"/>
  <c r="GZ146" i="21"/>
  <c r="HN146" i="21"/>
  <c r="GR160" i="21"/>
  <c r="HF160" i="21"/>
  <c r="GY106" i="21"/>
  <c r="HM106" i="21"/>
  <c r="GY165" i="21"/>
  <c r="HM165" i="21"/>
  <c r="FU124" i="21"/>
  <c r="GU124" i="21"/>
  <c r="HI124" i="21"/>
  <c r="GY112" i="21"/>
  <c r="HM112" i="21"/>
  <c r="GP106" i="21"/>
  <c r="HD106" i="21"/>
  <c r="GZ170" i="21"/>
  <c r="HN170" i="21"/>
  <c r="HC136" i="21"/>
  <c r="GO136" i="21"/>
  <c r="GX93" i="21"/>
  <c r="HL93" i="21"/>
  <c r="GX152" i="21"/>
  <c r="HL152" i="21"/>
  <c r="GX90" i="21"/>
  <c r="HL90" i="21"/>
  <c r="GZ142" i="21"/>
  <c r="HN142" i="21"/>
  <c r="HD109" i="21"/>
  <c r="GP109" i="21"/>
  <c r="GV165" i="21"/>
  <c r="HJ165" i="21"/>
  <c r="GX118" i="21"/>
  <c r="HL118" i="21"/>
  <c r="GY90" i="21"/>
  <c r="HM90" i="21"/>
  <c r="GZ113" i="21"/>
  <c r="HN113" i="21"/>
  <c r="GZ151" i="21"/>
  <c r="HN151" i="21"/>
  <c r="GY126" i="21"/>
  <c r="HM126" i="21"/>
  <c r="GY130" i="21"/>
  <c r="HM130" i="21"/>
  <c r="GX135" i="21"/>
  <c r="HL135" i="21"/>
  <c r="GX112" i="21"/>
  <c r="HL112" i="21"/>
  <c r="GX105" i="21"/>
  <c r="HL105" i="21"/>
  <c r="HE159" i="21"/>
  <c r="GQ159" i="21"/>
  <c r="GZ156" i="21"/>
  <c r="HN156" i="21"/>
  <c r="GO151" i="21"/>
  <c r="HC151" i="21"/>
  <c r="GY135" i="21"/>
  <c r="HM135" i="21"/>
  <c r="HG155" i="21"/>
  <c r="GS155" i="21"/>
  <c r="GX129" i="21"/>
  <c r="HL129" i="21"/>
  <c r="HC171" i="21"/>
  <c r="GO171" i="21"/>
  <c r="GY163" i="21"/>
  <c r="HM163" i="21"/>
  <c r="GZ167" i="21"/>
  <c r="HN167" i="21"/>
  <c r="GS113" i="21"/>
  <c r="HG113" i="21"/>
  <c r="GX165" i="21"/>
  <c r="HL165" i="21"/>
  <c r="GX120" i="21"/>
  <c r="HL120" i="21"/>
  <c r="GZ94" i="21"/>
  <c r="HN94" i="21"/>
  <c r="GR144" i="21"/>
  <c r="HF144" i="21"/>
  <c r="GZ131" i="21"/>
  <c r="HN131" i="21"/>
  <c r="GX131" i="21"/>
  <c r="HL131" i="21"/>
  <c r="HF157" i="21"/>
  <c r="GR157" i="21"/>
  <c r="GX171" i="21"/>
  <c r="HL171" i="21"/>
  <c r="GX125" i="21"/>
  <c r="HL125" i="21"/>
  <c r="GX143" i="21"/>
  <c r="HL143" i="21"/>
  <c r="GZ130" i="21"/>
  <c r="HN130" i="21"/>
  <c r="GR151" i="21"/>
  <c r="HF151" i="21"/>
  <c r="GY129" i="21"/>
  <c r="HM129" i="21"/>
  <c r="GY164" i="21"/>
  <c r="HM164" i="21"/>
  <c r="GZ160" i="21"/>
  <c r="HN160" i="21"/>
  <c r="GR127" i="21"/>
  <c r="HF127" i="21"/>
  <c r="GX141" i="21"/>
  <c r="HL141" i="21"/>
  <c r="GZ115" i="21"/>
  <c r="HN115" i="21"/>
  <c r="GR115" i="21"/>
  <c r="HF115" i="21"/>
  <c r="GZ149" i="21"/>
  <c r="HN149" i="21"/>
  <c r="GX124" i="21"/>
  <c r="HL124" i="21"/>
  <c r="GX117" i="21"/>
  <c r="HL117" i="21"/>
  <c r="HF138" i="21"/>
  <c r="GR138" i="21"/>
  <c r="HE164" i="21"/>
  <c r="GQ164" i="21"/>
  <c r="GZ145" i="21"/>
  <c r="HN145" i="21"/>
  <c r="HD131" i="21"/>
  <c r="GP131" i="21"/>
  <c r="GT130" i="21"/>
  <c r="HH130" i="21"/>
  <c r="GX137" i="21"/>
  <c r="HL137" i="21"/>
  <c r="HC111" i="21"/>
  <c r="GO111" i="21"/>
  <c r="GW138" i="21"/>
  <c r="HK138" i="21"/>
  <c r="GT92" i="21"/>
  <c r="GZ166" i="21"/>
  <c r="HN166" i="21"/>
  <c r="GU100" i="21"/>
  <c r="FU100" i="21"/>
  <c r="HI100" i="21"/>
  <c r="GZ171" i="21"/>
  <c r="HN171" i="21"/>
  <c r="HE144" i="21"/>
  <c r="GQ144" i="21"/>
  <c r="GX154" i="21"/>
  <c r="HL154" i="21"/>
  <c r="GY104" i="21"/>
  <c r="HM104" i="21"/>
  <c r="GZ157" i="21"/>
  <c r="HN157" i="21"/>
  <c r="GY148" i="21"/>
  <c r="HM148" i="21"/>
  <c r="GS167" i="21"/>
  <c r="HG167" i="21"/>
  <c r="GR122" i="21"/>
  <c r="HF122" i="21"/>
  <c r="GT158" i="21"/>
  <c r="HH158" i="21"/>
  <c r="GT122" i="21"/>
  <c r="HH122" i="21"/>
  <c r="GS149" i="21"/>
  <c r="HG149" i="21"/>
  <c r="GX95" i="21"/>
  <c r="HL95" i="21"/>
  <c r="GX161" i="21"/>
  <c r="HL161" i="21"/>
  <c r="GY94" i="21"/>
  <c r="HM94" i="21"/>
  <c r="GZ159" i="21"/>
  <c r="HN159" i="21"/>
  <c r="GX97" i="21"/>
  <c r="HL97" i="21"/>
  <c r="EP68" i="21"/>
  <c r="DY68" i="21" s="1"/>
  <c r="EM68" i="21"/>
  <c r="DV68" i="21" s="1"/>
  <c r="EK68" i="21"/>
  <c r="DT68" i="21" s="1"/>
  <c r="EQ68" i="21"/>
  <c r="DZ68" i="21" s="1"/>
  <c r="EV68" i="21"/>
  <c r="EE68" i="21" s="1"/>
  <c r="ET68" i="21"/>
  <c r="EC68" i="21" s="1"/>
  <c r="EL68" i="21"/>
  <c r="DU68" i="21" s="1"/>
  <c r="ES68" i="21"/>
  <c r="EB68" i="21" s="1"/>
  <c r="EU68" i="21"/>
  <c r="ED68" i="21" s="1"/>
  <c r="EN68" i="21"/>
  <c r="DW68" i="21" s="1"/>
  <c r="EO68" i="21"/>
  <c r="DX68" i="21" s="1"/>
  <c r="ER68" i="21"/>
  <c r="EA68" i="21" s="1"/>
  <c r="HM78" i="21"/>
  <c r="GV84" i="21"/>
  <c r="HJ84" i="21"/>
  <c r="HE84" i="21"/>
  <c r="GQ84" i="21"/>
  <c r="HF74" i="21"/>
  <c r="GR74" i="21"/>
  <c r="HD76" i="21"/>
  <c r="GP76" i="21"/>
  <c r="GV76" i="21"/>
  <c r="HJ76" i="21"/>
  <c r="HD79" i="21"/>
  <c r="GP79" i="21"/>
  <c r="GT80" i="21"/>
  <c r="HH80" i="21"/>
  <c r="HD74" i="21"/>
  <c r="GP74" i="21"/>
  <c r="GS86" i="21"/>
  <c r="HG86" i="21"/>
  <c r="GV80" i="21"/>
  <c r="HJ80" i="21"/>
  <c r="GS77" i="21"/>
  <c r="HG77" i="21"/>
  <c r="HF89" i="21"/>
  <c r="GR89" i="21"/>
  <c r="GU81" i="21"/>
  <c r="FU81" i="21"/>
  <c r="HI81" i="21"/>
  <c r="HE75" i="21"/>
  <c r="GQ75" i="21"/>
  <c r="GR73" i="21"/>
  <c r="HF73" i="21"/>
  <c r="GU89" i="21"/>
  <c r="FU89" i="21"/>
  <c r="HI89" i="21"/>
  <c r="GO71" i="21"/>
  <c r="HC71" i="21"/>
  <c r="HG76" i="21"/>
  <c r="GS76" i="21"/>
  <c r="GU87" i="21"/>
  <c r="FU87" i="21"/>
  <c r="HI87" i="21"/>
  <c r="GX79" i="21"/>
  <c r="HL79" i="21"/>
  <c r="GT88" i="21"/>
  <c r="HH88" i="21"/>
  <c r="HM76" i="21"/>
  <c r="GY82" i="21"/>
  <c r="HM82" i="21"/>
  <c r="GT74" i="21"/>
  <c r="HH74" i="21"/>
  <c r="HE88" i="21"/>
  <c r="GQ88" i="21"/>
  <c r="GX81" i="21"/>
  <c r="HL81" i="21"/>
  <c r="GY86" i="21"/>
  <c r="HM86" i="21"/>
  <c r="GY89" i="21"/>
  <c r="HM89" i="21"/>
  <c r="AX68" i="21"/>
  <c r="GT71" i="21"/>
  <c r="HF83" i="21"/>
  <c r="GR83" i="21"/>
  <c r="GX80" i="21"/>
  <c r="HL80" i="21"/>
  <c r="GZ71" i="21"/>
  <c r="HN71" i="21"/>
  <c r="HG79" i="21"/>
  <c r="GS79" i="21"/>
  <c r="GX83" i="21"/>
  <c r="HL83" i="21"/>
  <c r="GX85" i="21"/>
  <c r="HL85" i="21"/>
  <c r="GZ89" i="21"/>
  <c r="HN89" i="21"/>
  <c r="HC82" i="21"/>
  <c r="GO82" i="21"/>
  <c r="FU86" i="21"/>
  <c r="HI86" i="21"/>
  <c r="GR87" i="21"/>
  <c r="AV68" i="21"/>
  <c r="GX73" i="21"/>
  <c r="HL73" i="21"/>
  <c r="HD71" i="21"/>
  <c r="GP71" i="21"/>
  <c r="HI79" i="21"/>
  <c r="HE76" i="21"/>
  <c r="GQ76" i="21"/>
  <c r="GY81" i="21"/>
  <c r="HM81" i="21"/>
  <c r="HE74" i="21"/>
  <c r="GQ74" i="21"/>
  <c r="GU74" i="21"/>
  <c r="FU74" i="21"/>
  <c r="HI74" i="21"/>
  <c r="HC88" i="21"/>
  <c r="GO88" i="21"/>
  <c r="HC83" i="21"/>
  <c r="HD88" i="21"/>
  <c r="GP88" i="21"/>
  <c r="HF86" i="21"/>
  <c r="GR86" i="21"/>
  <c r="HK78" i="21"/>
  <c r="GY74" i="21"/>
  <c r="HM74" i="21"/>
  <c r="E54" i="21"/>
  <c r="D54" i="21" s="1"/>
  <c r="C54" i="21" s="1"/>
  <c r="B54" i="21" s="1"/>
  <c r="GX78" i="21"/>
  <c r="HL78" i="21"/>
  <c r="GY84" i="21"/>
  <c r="HM84" i="21"/>
  <c r="GV82" i="21"/>
  <c r="HJ82" i="21"/>
  <c r="GZ86" i="21"/>
  <c r="HN86" i="21"/>
  <c r="GY79" i="21"/>
  <c r="HM79" i="21"/>
  <c r="GY71" i="21"/>
  <c r="HM71" i="21"/>
  <c r="HD70" i="21"/>
  <c r="GP70" i="21"/>
  <c r="HF75" i="21"/>
  <c r="GR75" i="21"/>
  <c r="HF80" i="21"/>
  <c r="GR80" i="21"/>
  <c r="GW80" i="21"/>
  <c r="HK80" i="21"/>
  <c r="GR76" i="21"/>
  <c r="HF76" i="21"/>
  <c r="GT70" i="21"/>
  <c r="HH70" i="21"/>
  <c r="GY83" i="21"/>
  <c r="HM83" i="21"/>
  <c r="GR70" i="21"/>
  <c r="HF70" i="21"/>
  <c r="GS82" i="21"/>
  <c r="HG82" i="21"/>
  <c r="GY88" i="21"/>
  <c r="HM88" i="21"/>
  <c r="HG80" i="21"/>
  <c r="GS80" i="21"/>
  <c r="GX74" i="21"/>
  <c r="HL74" i="21"/>
  <c r="AW68" i="21"/>
  <c r="HC86" i="21"/>
  <c r="GO86" i="21"/>
  <c r="HF84" i="21"/>
  <c r="GR84" i="21"/>
  <c r="GP81" i="21"/>
  <c r="HD81" i="21"/>
  <c r="GX82" i="21"/>
  <c r="HL82" i="21"/>
  <c r="GT76" i="21"/>
  <c r="HH76" i="21"/>
  <c r="GV71" i="21"/>
  <c r="HJ71" i="21"/>
  <c r="GX88" i="21"/>
  <c r="HL88" i="21"/>
  <c r="GX89" i="21"/>
  <c r="HL89" i="21"/>
  <c r="GX86" i="21"/>
  <c r="HL86" i="21"/>
  <c r="HG70" i="21"/>
  <c r="GS70" i="21"/>
  <c r="HD72" i="21"/>
  <c r="GP72" i="21"/>
  <c r="GT87" i="21"/>
  <c r="HH87" i="21"/>
  <c r="GV83" i="21"/>
  <c r="HJ83" i="21"/>
  <c r="GW70" i="21"/>
  <c r="HK70" i="21"/>
  <c r="HD83" i="21"/>
  <c r="GP83" i="21"/>
  <c r="GZ79" i="21"/>
  <c r="HN79" i="21"/>
  <c r="GT73" i="21"/>
  <c r="HH73" i="21"/>
  <c r="GX87" i="21"/>
  <c r="HL87" i="21"/>
  <c r="GY80" i="21"/>
  <c r="HM80" i="21"/>
  <c r="GQ71" i="21"/>
  <c r="HE71" i="21"/>
  <c r="GZ75" i="21"/>
  <c r="HN75" i="21"/>
  <c r="C47" i="21"/>
  <c r="B47" i="21" s="1"/>
  <c r="GW86" i="21"/>
  <c r="HK86" i="21"/>
  <c r="GY87" i="21"/>
  <c r="HM87" i="21"/>
  <c r="HE80" i="21"/>
  <c r="GQ80" i="21"/>
  <c r="GX72" i="21"/>
  <c r="HL72" i="21"/>
  <c r="GU82" i="21"/>
  <c r="FU82" i="21"/>
  <c r="HI82" i="21"/>
  <c r="GX84" i="21"/>
  <c r="HL84" i="21"/>
  <c r="GX77" i="21"/>
  <c r="HL77" i="21"/>
  <c r="HM85" i="21"/>
  <c r="GY75" i="21"/>
  <c r="HM75" i="21"/>
  <c r="AY68" i="21"/>
  <c r="D18" i="21"/>
  <c r="GW81" i="21"/>
  <c r="HK81" i="21"/>
  <c r="GZ84" i="21"/>
  <c r="HN84" i="21"/>
  <c r="GQ73" i="21"/>
  <c r="HE73" i="21"/>
  <c r="GU75" i="21"/>
  <c r="FU75" i="21"/>
  <c r="GV87" i="21"/>
  <c r="HJ87" i="21"/>
  <c r="AZ68" i="21"/>
  <c r="EN139" i="21" a="1"/>
  <c r="EL139" i="21" a="1"/>
  <c r="EQ101" i="21" a="1"/>
  <c r="ET98" i="21" a="1"/>
  <c r="EO134" i="21" a="1"/>
  <c r="EL140" i="21" a="1"/>
  <c r="EM134" i="21" a="1"/>
  <c r="ER110" i="21" a="1"/>
  <c r="EK101" i="21" a="1"/>
  <c r="EP134" i="21" a="1"/>
  <c r="EK98" i="21" a="1"/>
  <c r="ES101" i="21" a="1"/>
  <c r="EN98" i="21" a="1"/>
  <c r="EK139" i="21" a="1"/>
  <c r="EL134" i="21" a="1"/>
  <c r="EN110" i="21" a="1"/>
  <c r="ES140" i="21" a="1"/>
  <c r="EU110" i="21" a="1"/>
  <c r="EU98" i="21" a="1"/>
  <c r="ES134" i="21" a="1"/>
  <c r="ET101" i="21" a="1"/>
  <c r="EQ134" i="21" a="1"/>
  <c r="EQ98" i="21" a="1"/>
  <c r="EU101" i="21" a="1"/>
  <c r="EO139" i="21" a="1"/>
  <c r="EP139" i="21" a="1"/>
  <c r="EN140" i="21" a="1"/>
  <c r="ER134" i="21" a="1"/>
  <c r="ET110" i="21" a="1"/>
  <c r="EL110" i="21" a="1"/>
  <c r="EM101" i="21" a="1"/>
  <c r="EL98" i="21" a="1"/>
  <c r="ER139" i="21" a="1"/>
  <c r="ET139" i="21" a="1"/>
  <c r="EU140" i="21" a="1"/>
  <c r="ET134" i="21" a="1"/>
  <c r="EP110" i="21" a="1"/>
  <c r="EN101" i="21" a="1"/>
  <c r="ES139" i="21" a="1"/>
  <c r="EP140" i="21" a="1"/>
  <c r="EL101" i="21" a="1"/>
  <c r="EK140" i="21" a="1"/>
  <c r="EU134" i="21" a="1"/>
  <c r="ET140" i="21" a="1"/>
  <c r="EP101" i="21" a="1"/>
  <c r="EU139" i="21" a="1"/>
  <c r="ER140" i="21" a="1"/>
  <c r="EV134" i="21" a="1"/>
  <c r="EV101" i="21" a="1"/>
  <c r="EO140" i="21" a="1"/>
  <c r="ER101" i="21" a="1"/>
  <c r="EV110" i="21" a="1"/>
  <c r="EO98" i="21" a="1"/>
  <c r="EM110" i="21" a="1"/>
  <c r="EQ139" i="21" a="1"/>
  <c r="ES98" i="21" a="1"/>
  <c r="EK110" i="21" a="1"/>
  <c r="EM98" i="21" a="1"/>
  <c r="EN134" i="21" a="1"/>
  <c r="EM140" i="21" a="1"/>
  <c r="EV98" i="21" a="1"/>
  <c r="EV139" i="21" a="1"/>
  <c r="EO110" i="21" a="1"/>
  <c r="ER98" i="21" a="1"/>
  <c r="EQ110" i="21" a="1"/>
  <c r="EO101" i="21" a="1"/>
  <c r="EV140" i="21" a="1"/>
  <c r="EK134" i="21" a="1"/>
  <c r="ES110" i="21" a="1"/>
  <c r="EP98" i="21" a="1"/>
  <c r="EM139" i="21" a="1"/>
  <c r="EQ140" i="21" a="1"/>
  <c r="HK129" i="21" l="1"/>
  <c r="GU132" i="21"/>
  <c r="B18" i="21"/>
  <c r="E9" i="21"/>
  <c r="D9" i="21"/>
  <c r="E18" i="21"/>
  <c r="GS106" i="21"/>
  <c r="GZ88" i="21"/>
  <c r="GV123" i="21"/>
  <c r="HC152" i="21"/>
  <c r="HD100" i="21"/>
  <c r="HE131" i="21"/>
  <c r="GO74" i="21"/>
  <c r="GO166" i="21"/>
  <c r="FU79" i="21"/>
  <c r="GQ83" i="21"/>
  <c r="HN76" i="21"/>
  <c r="GS83" i="21"/>
  <c r="GQ121" i="21"/>
  <c r="GT75" i="21"/>
  <c r="HI83" i="21"/>
  <c r="HI70" i="21"/>
  <c r="HJ88" i="21"/>
  <c r="GO100" i="21"/>
  <c r="HI153" i="21"/>
  <c r="HK130" i="21"/>
  <c r="HK135" i="21"/>
  <c r="HC167" i="21"/>
  <c r="GP138" i="21"/>
  <c r="HK118" i="21"/>
  <c r="HH185" i="21"/>
  <c r="G18" i="21"/>
  <c r="GU149" i="21"/>
  <c r="HF88" i="21"/>
  <c r="FU83" i="21"/>
  <c r="FX83" i="21" s="1"/>
  <c r="FU70" i="21"/>
  <c r="HK75" i="21"/>
  <c r="GU153" i="21"/>
  <c r="HK165" i="21"/>
  <c r="HI143" i="21"/>
  <c r="HJ95" i="21"/>
  <c r="HI151" i="21"/>
  <c r="GS92" i="21"/>
  <c r="GQ133" i="21"/>
  <c r="GS131" i="21"/>
  <c r="HK92" i="21"/>
  <c r="GP143" i="21"/>
  <c r="HJ90" i="21"/>
  <c r="FU92" i="21"/>
  <c r="HI160" i="21"/>
  <c r="HH184" i="21"/>
  <c r="GT153" i="21"/>
  <c r="GU142" i="21"/>
  <c r="HK150" i="21"/>
  <c r="GW141" i="21"/>
  <c r="GS95" i="21"/>
  <c r="GT132" i="21"/>
  <c r="GQ135" i="21"/>
  <c r="HI185" i="21"/>
  <c r="GP105" i="21"/>
  <c r="FU179" i="21"/>
  <c r="FW179" i="21" s="1"/>
  <c r="HC122" i="21"/>
  <c r="HD137" i="21"/>
  <c r="GV188" i="21"/>
  <c r="GV167" i="21"/>
  <c r="GW120" i="21"/>
  <c r="HI157" i="21"/>
  <c r="FU132" i="21"/>
  <c r="GY167" i="21"/>
  <c r="GU88" i="21"/>
  <c r="HK82" i="21"/>
  <c r="GU77" i="21"/>
  <c r="GP125" i="21"/>
  <c r="HH82" i="21"/>
  <c r="GV85" i="21"/>
  <c r="GU164" i="21"/>
  <c r="GU129" i="21"/>
  <c r="GQ104" i="21"/>
  <c r="GW143" i="21"/>
  <c r="HI91" i="21"/>
  <c r="GU91" i="21"/>
  <c r="GX71" i="21"/>
  <c r="GW112" i="21"/>
  <c r="HI129" i="21"/>
  <c r="HC97" i="21"/>
  <c r="FU170" i="21"/>
  <c r="FW170" i="21" s="1"/>
  <c r="GT173" i="21"/>
  <c r="HM69" i="21"/>
  <c r="GW106" i="21"/>
  <c r="HK102" i="21"/>
  <c r="FU157" i="21"/>
  <c r="FW157" i="21" s="1"/>
  <c r="HH78" i="21"/>
  <c r="HN100" i="21"/>
  <c r="GP112" i="21"/>
  <c r="GP102" i="21"/>
  <c r="HJ94" i="21"/>
  <c r="GS74" i="21"/>
  <c r="HI164" i="21"/>
  <c r="GU174" i="21"/>
  <c r="HK87" i="21"/>
  <c r="C9" i="21"/>
  <c r="C10" i="21" s="1"/>
  <c r="GQ81" i="21"/>
  <c r="GQ96" i="21"/>
  <c r="GV149" i="21"/>
  <c r="HF82" i="21"/>
  <c r="GO70" i="21"/>
  <c r="HG171" i="21"/>
  <c r="HH128" i="21"/>
  <c r="GU107" i="21"/>
  <c r="H9" i="21"/>
  <c r="H48" i="21" s="1"/>
  <c r="HK161" i="21"/>
  <c r="HD85" i="21"/>
  <c r="GT81" i="21"/>
  <c r="GO69" i="21"/>
  <c r="GV75" i="21"/>
  <c r="HN72" i="21"/>
  <c r="HI72" i="21"/>
  <c r="HC159" i="21"/>
  <c r="GV105" i="21"/>
  <c r="HC146" i="21"/>
  <c r="HI174" i="21"/>
  <c r="GU143" i="21"/>
  <c r="HC137" i="21"/>
  <c r="HN87" i="21"/>
  <c r="HI71" i="21"/>
  <c r="GW79" i="21"/>
  <c r="HD87" i="21"/>
  <c r="GU72" i="21"/>
  <c r="HJ109" i="21"/>
  <c r="GP149" i="21"/>
  <c r="GP115" i="21"/>
  <c r="HK156" i="21"/>
  <c r="HC147" i="21"/>
  <c r="HD114" i="21"/>
  <c r="C18" i="21"/>
  <c r="HD75" i="21"/>
  <c r="GS81" i="21"/>
  <c r="GV70" i="21"/>
  <c r="GT72" i="21"/>
  <c r="HM70" i="21"/>
  <c r="GS137" i="21"/>
  <c r="HK97" i="21"/>
  <c r="HJ124" i="21"/>
  <c r="GO94" i="21"/>
  <c r="HI147" i="21"/>
  <c r="GW116" i="21"/>
  <c r="HF106" i="21"/>
  <c r="HG151" i="21"/>
  <c r="HI159" i="21"/>
  <c r="HH177" i="21"/>
  <c r="GU179" i="21"/>
  <c r="GW157" i="21"/>
  <c r="HE99" i="21"/>
  <c r="H18" i="21"/>
  <c r="HM73" i="21"/>
  <c r="HG71" i="21"/>
  <c r="HF78" i="21"/>
  <c r="GW84" i="21"/>
  <c r="GS130" i="21"/>
  <c r="HH154" i="21"/>
  <c r="HH141" i="21"/>
  <c r="HE111" i="21"/>
  <c r="GW176" i="21"/>
  <c r="HJ168" i="21"/>
  <c r="HK91" i="21"/>
  <c r="GZ70" i="21"/>
  <c r="GQ82" i="21"/>
  <c r="GS135" i="21"/>
  <c r="GV117" i="21"/>
  <c r="GR99" i="21"/>
  <c r="HE115" i="21"/>
  <c r="HH111" i="21"/>
  <c r="HH151" i="21"/>
  <c r="GS163" i="21"/>
  <c r="HJ99" i="21"/>
  <c r="FU71" i="21"/>
  <c r="FW71" i="21" s="1"/>
  <c r="HE89" i="21"/>
  <c r="HC127" i="21"/>
  <c r="GT147" i="21"/>
  <c r="HH117" i="21"/>
  <c r="GO95" i="21"/>
  <c r="HC174" i="21"/>
  <c r="HN74" i="21"/>
  <c r="FU77" i="21"/>
  <c r="FX77" i="21" s="1"/>
  <c r="FU88" i="21"/>
  <c r="GV74" i="21"/>
  <c r="GT77" i="21"/>
  <c r="HG97" i="21"/>
  <c r="GT99" i="21"/>
  <c r="GR108" i="21"/>
  <c r="GV150" i="21"/>
  <c r="GS99" i="21"/>
  <c r="HC161" i="21"/>
  <c r="HD96" i="21"/>
  <c r="GT123" i="21"/>
  <c r="GW164" i="21"/>
  <c r="GT97" i="21"/>
  <c r="GU161" i="21"/>
  <c r="GV186" i="21"/>
  <c r="FU175" i="21"/>
  <c r="FW175" i="21" s="1"/>
  <c r="HH69" i="21"/>
  <c r="HJ127" i="21"/>
  <c r="HK152" i="21"/>
  <c r="HI135" i="21"/>
  <c r="HC108" i="21"/>
  <c r="GS152" i="21"/>
  <c r="GO143" i="21"/>
  <c r="GT119" i="21"/>
  <c r="HI121" i="21"/>
  <c r="GP119" i="21"/>
  <c r="HH96" i="21"/>
  <c r="GU165" i="21"/>
  <c r="HI90" i="21"/>
  <c r="GQ132" i="21"/>
  <c r="GU147" i="21"/>
  <c r="GU170" i="21"/>
  <c r="GU159" i="21"/>
  <c r="GS183" i="21"/>
  <c r="HI181" i="21"/>
  <c r="HD78" i="21"/>
  <c r="GS87" i="21"/>
  <c r="HE87" i="21"/>
  <c r="HN85" i="21"/>
  <c r="HK71" i="21"/>
  <c r="GO75" i="21"/>
  <c r="HE136" i="21"/>
  <c r="GS162" i="21"/>
  <c r="HE129" i="21"/>
  <c r="HH133" i="21"/>
  <c r="HK113" i="21"/>
  <c r="HH124" i="21"/>
  <c r="FU135" i="21"/>
  <c r="FW135" i="21" s="1"/>
  <c r="HF93" i="21"/>
  <c r="HJ161" i="21"/>
  <c r="FU121" i="21"/>
  <c r="FX121" i="21" s="1"/>
  <c r="GP93" i="21"/>
  <c r="HD128" i="21"/>
  <c r="FU90" i="21"/>
  <c r="FW90" i="21" s="1"/>
  <c r="HI142" i="21"/>
  <c r="HK147" i="21"/>
  <c r="HK136" i="21"/>
  <c r="GS107" i="21"/>
  <c r="HD133" i="21"/>
  <c r="HI161" i="21"/>
  <c r="GU181" i="21"/>
  <c r="HI175" i="21"/>
  <c r="GO81" i="21"/>
  <c r="HJ89" i="21"/>
  <c r="HJ81" i="21"/>
  <c r="GO72" i="21"/>
  <c r="HC156" i="21"/>
  <c r="HK115" i="21"/>
  <c r="HD69" i="21"/>
  <c r="HC165" i="21"/>
  <c r="HG172" i="21"/>
  <c r="GP86" i="21"/>
  <c r="HG88" i="21"/>
  <c r="GS142" i="21"/>
  <c r="GV171" i="21"/>
  <c r="GQ102" i="21"/>
  <c r="HG89" i="21"/>
  <c r="GP126" i="21"/>
  <c r="GV156" i="21"/>
  <c r="HC138" i="21"/>
  <c r="GO144" i="21"/>
  <c r="HF95" i="21"/>
  <c r="HD111" i="21"/>
  <c r="GS177" i="21"/>
  <c r="HH187" i="21"/>
  <c r="GZ83" i="21"/>
  <c r="GV78" i="21"/>
  <c r="HH168" i="21"/>
  <c r="HI69" i="21"/>
  <c r="HJ148" i="21"/>
  <c r="HN95" i="21"/>
  <c r="FU114" i="21"/>
  <c r="FX114" i="21" s="1"/>
  <c r="HJ106" i="21"/>
  <c r="FU126" i="21"/>
  <c r="FW126" i="21" s="1"/>
  <c r="HD90" i="21"/>
  <c r="GS126" i="21"/>
  <c r="GS146" i="21"/>
  <c r="GV153" i="21"/>
  <c r="GP108" i="21"/>
  <c r="GW170" i="21"/>
  <c r="GW187" i="21"/>
  <c r="GU178" i="21"/>
  <c r="GU73" i="21"/>
  <c r="HM77" i="21"/>
  <c r="FU148" i="21"/>
  <c r="FX148" i="21" s="1"/>
  <c r="GZ141" i="21"/>
  <c r="HC135" i="21"/>
  <c r="GW109" i="21"/>
  <c r="GW95" i="21"/>
  <c r="HI123" i="21"/>
  <c r="GU148" i="21"/>
  <c r="HN93" i="21"/>
  <c r="FU69" i="21"/>
  <c r="FW69" i="21" s="1"/>
  <c r="HK73" i="21"/>
  <c r="GS78" i="21"/>
  <c r="GR92" i="21"/>
  <c r="HK146" i="21"/>
  <c r="HI102" i="21"/>
  <c r="HJ116" i="21"/>
  <c r="GS108" i="21"/>
  <c r="HG72" i="21"/>
  <c r="HJ79" i="21"/>
  <c r="HN80" i="21"/>
  <c r="HC80" i="21"/>
  <c r="GP77" i="21"/>
  <c r="GW88" i="21"/>
  <c r="GW154" i="21"/>
  <c r="GR131" i="21"/>
  <c r="FU102" i="21"/>
  <c r="FX102" i="21" s="1"/>
  <c r="HD157" i="21"/>
  <c r="GT107" i="21"/>
  <c r="HH95" i="21"/>
  <c r="GU99" i="21"/>
  <c r="HM72" i="21"/>
  <c r="HN73" i="21"/>
  <c r="GR81" i="21"/>
  <c r="HI96" i="21"/>
  <c r="HC148" i="21"/>
  <c r="HE93" i="21"/>
  <c r="HC118" i="21"/>
  <c r="HJ113" i="21"/>
  <c r="GS170" i="21"/>
  <c r="GR104" i="21"/>
  <c r="HJ138" i="21"/>
  <c r="HI115" i="21"/>
  <c r="GZ107" i="21"/>
  <c r="HI172" i="21"/>
  <c r="HI73" i="21"/>
  <c r="GQ72" i="21"/>
  <c r="FU76" i="21"/>
  <c r="FX76" i="21" s="1"/>
  <c r="GP91" i="21"/>
  <c r="GU136" i="21"/>
  <c r="HH152" i="21"/>
  <c r="GV100" i="21"/>
  <c r="HN69" i="21"/>
  <c r="HG69" i="21"/>
  <c r="HJ69" i="21"/>
  <c r="HF69" i="21"/>
  <c r="GZ78" i="21"/>
  <c r="GR79" i="21"/>
  <c r="GU96" i="21"/>
  <c r="GT142" i="21"/>
  <c r="GO90" i="21"/>
  <c r="GT159" i="21"/>
  <c r="HI128" i="21"/>
  <c r="HG147" i="21"/>
  <c r="GO123" i="21"/>
  <c r="GO131" i="21"/>
  <c r="HJ145" i="21"/>
  <c r="GU150" i="21"/>
  <c r="GW124" i="21"/>
  <c r="GQ122" i="21"/>
  <c r="HF94" i="21"/>
  <c r="GO121" i="21"/>
  <c r="GS73" i="21"/>
  <c r="HN81" i="21"/>
  <c r="GW74" i="21"/>
  <c r="GO76" i="21"/>
  <c r="HE91" i="21"/>
  <c r="HD154" i="21"/>
  <c r="GO160" i="21"/>
  <c r="GO105" i="21"/>
  <c r="GS96" i="21"/>
  <c r="HD155" i="21"/>
  <c r="HK155" i="21"/>
  <c r="GR112" i="21"/>
  <c r="HJ126" i="21"/>
  <c r="GV107" i="21"/>
  <c r="HG145" i="21"/>
  <c r="GV122" i="21"/>
  <c r="FU163" i="21"/>
  <c r="FX163" i="21" s="1"/>
  <c r="GO125" i="21"/>
  <c r="FU185" i="21"/>
  <c r="FW185" i="21" s="1"/>
  <c r="GS188" i="21"/>
  <c r="HH180" i="21"/>
  <c r="HI176" i="21"/>
  <c r="HK89" i="21"/>
  <c r="GT83" i="21"/>
  <c r="GT85" i="21"/>
  <c r="HH79" i="21"/>
  <c r="HH86" i="21"/>
  <c r="HF71" i="21"/>
  <c r="GO109" i="21"/>
  <c r="HC142" i="21"/>
  <c r="FU127" i="21"/>
  <c r="FX127" i="21" s="1"/>
  <c r="HL151" i="21"/>
  <c r="HK90" i="21"/>
  <c r="GP152" i="21"/>
  <c r="HD161" i="21"/>
  <c r="HH145" i="21"/>
  <c r="HG128" i="21"/>
  <c r="HI107" i="21"/>
  <c r="HJ141" i="21"/>
  <c r="GO133" i="21"/>
  <c r="HK122" i="21"/>
  <c r="GU163" i="21"/>
  <c r="HK184" i="21"/>
  <c r="HJ178" i="21"/>
  <c r="GQ79" i="21"/>
  <c r="HE70" i="21"/>
  <c r="GU80" i="21"/>
  <c r="GU122" i="21"/>
  <c r="HF97" i="21"/>
  <c r="GU127" i="21"/>
  <c r="GQ147" i="21"/>
  <c r="GT90" i="21"/>
  <c r="HJ108" i="21"/>
  <c r="HG122" i="21"/>
  <c r="GT115" i="21"/>
  <c r="GU126" i="21"/>
  <c r="GS186" i="21"/>
  <c r="HN114" i="21"/>
  <c r="GU141" i="21"/>
  <c r="GU76" i="21"/>
  <c r="HK119" i="21"/>
  <c r="HD163" i="21"/>
  <c r="GT108" i="21"/>
  <c r="GO120" i="21"/>
  <c r="GS114" i="21"/>
  <c r="FU165" i="21"/>
  <c r="FX165" i="21" s="1"/>
  <c r="GO114" i="21"/>
  <c r="HD107" i="21"/>
  <c r="GT113" i="21"/>
  <c r="FU99" i="21"/>
  <c r="FX99" i="21" s="1"/>
  <c r="GU186" i="21"/>
  <c r="HD113" i="21"/>
  <c r="GY187" i="21"/>
  <c r="GO89" i="21"/>
  <c r="GQ86" i="21"/>
  <c r="GQ69" i="21"/>
  <c r="GS75" i="21"/>
  <c r="GQ78" i="21"/>
  <c r="HK72" i="21"/>
  <c r="HJ72" i="21"/>
  <c r="HC77" i="21"/>
  <c r="HJ73" i="21"/>
  <c r="HD147" i="21"/>
  <c r="HJ93" i="21"/>
  <c r="GO102" i="21"/>
  <c r="GS104" i="21"/>
  <c r="HJ166" i="21"/>
  <c r="HK159" i="21"/>
  <c r="HH120" i="21"/>
  <c r="GQ126" i="21"/>
  <c r="HI145" i="21"/>
  <c r="GW94" i="21"/>
  <c r="GO141" i="21"/>
  <c r="HE106" i="21"/>
  <c r="HJ114" i="21"/>
  <c r="GO155" i="21"/>
  <c r="HC150" i="21"/>
  <c r="HI125" i="21"/>
  <c r="HH112" i="21"/>
  <c r="GS120" i="21"/>
  <c r="HG138" i="21"/>
  <c r="HI103" i="21"/>
  <c r="GW181" i="21"/>
  <c r="GU177" i="21"/>
  <c r="HD84" i="21"/>
  <c r="HK76" i="21"/>
  <c r="HK99" i="21"/>
  <c r="GO99" i="21"/>
  <c r="GO91" i="21"/>
  <c r="HI111" i="21"/>
  <c r="GO130" i="21"/>
  <c r="HD116" i="21"/>
  <c r="GO113" i="21"/>
  <c r="GQ141" i="21"/>
  <c r="GP132" i="21"/>
  <c r="GU93" i="21"/>
  <c r="HI149" i="21"/>
  <c r="HJ169" i="21"/>
  <c r="GW105" i="21"/>
  <c r="FU125" i="21"/>
  <c r="FX125" i="21" s="1"/>
  <c r="GV120" i="21"/>
  <c r="HH160" i="21"/>
  <c r="GQ95" i="21"/>
  <c r="HD151" i="21"/>
  <c r="HE108" i="21"/>
  <c r="FU103" i="21"/>
  <c r="FW103" i="21" s="1"/>
  <c r="HH161" i="21"/>
  <c r="HJ185" i="21"/>
  <c r="HJ180" i="21"/>
  <c r="GS182" i="21"/>
  <c r="HH172" i="21"/>
  <c r="GO172" i="21"/>
  <c r="FU177" i="21"/>
  <c r="FX177" i="21" s="1"/>
  <c r="GU112" i="21"/>
  <c r="GP82" i="21"/>
  <c r="HJ86" i="21"/>
  <c r="HH84" i="21"/>
  <c r="HK85" i="21"/>
  <c r="HJ77" i="21"/>
  <c r="GO87" i="21"/>
  <c r="HF77" i="21"/>
  <c r="HK83" i="21"/>
  <c r="HD120" i="21"/>
  <c r="GU111" i="21"/>
  <c r="HI136" i="21"/>
  <c r="HF103" i="21"/>
  <c r="HG117" i="21"/>
  <c r="HH170" i="21"/>
  <c r="FU150" i="21"/>
  <c r="FW150" i="21" s="1"/>
  <c r="FU93" i="21"/>
  <c r="FX93" i="21" s="1"/>
  <c r="GQ128" i="21"/>
  <c r="HN103" i="21"/>
  <c r="GT162" i="21"/>
  <c r="FU141" i="21"/>
  <c r="FX141" i="21" s="1"/>
  <c r="HK158" i="21"/>
  <c r="HC158" i="21"/>
  <c r="HD144" i="21"/>
  <c r="FU178" i="21"/>
  <c r="FX178" i="21" s="1"/>
  <c r="HI182" i="21"/>
  <c r="HD73" i="21"/>
  <c r="GT89" i="21"/>
  <c r="GX70" i="21"/>
  <c r="GR72" i="21"/>
  <c r="HC79" i="21"/>
  <c r="GS84" i="21"/>
  <c r="HE77" i="21"/>
  <c r="HG85" i="21"/>
  <c r="GW77" i="21"/>
  <c r="GP165" i="21"/>
  <c r="GV157" i="21"/>
  <c r="HL159" i="21"/>
  <c r="GY152" i="21"/>
  <c r="HF113" i="21"/>
  <c r="GT105" i="21"/>
  <c r="HC103" i="21"/>
  <c r="FU162" i="21"/>
  <c r="FX162" i="21" s="1"/>
  <c r="GT94" i="21"/>
  <c r="GV151" i="21"/>
  <c r="GU156" i="21"/>
  <c r="GW166" i="21"/>
  <c r="GT106" i="21"/>
  <c r="HG141" i="21"/>
  <c r="GV147" i="21"/>
  <c r="HD94" i="21"/>
  <c r="HG133" i="21"/>
  <c r="GS129" i="21"/>
  <c r="GW188" i="21"/>
  <c r="GV177" i="21"/>
  <c r="GW173" i="21"/>
  <c r="HL75" i="21"/>
  <c r="HL69" i="21"/>
  <c r="HF85" i="21"/>
  <c r="GO85" i="21"/>
  <c r="GO164" i="21"/>
  <c r="GS158" i="21"/>
  <c r="GR130" i="21"/>
  <c r="FU123" i="21"/>
  <c r="FX123" i="21" s="1"/>
  <c r="FU145" i="21"/>
  <c r="FX145" i="21" s="1"/>
  <c r="GS159" i="21"/>
  <c r="GZ148" i="21"/>
  <c r="HJ158" i="21"/>
  <c r="GS121" i="21"/>
  <c r="GQ103" i="21"/>
  <c r="HF90" i="21"/>
  <c r="HK126" i="21"/>
  <c r="HN108" i="21"/>
  <c r="HI187" i="21"/>
  <c r="HJ172" i="21"/>
  <c r="FU176" i="21"/>
  <c r="FX176" i="21" s="1"/>
  <c r="HK179" i="21"/>
  <c r="HK182" i="21"/>
  <c r="GP97" i="21"/>
  <c r="HH163" i="21"/>
  <c r="GO92" i="21"/>
  <c r="GO157" i="21"/>
  <c r="HH165" i="21"/>
  <c r="HJ111" i="21"/>
  <c r="HJ137" i="21"/>
  <c r="HG168" i="21"/>
  <c r="GT143" i="21"/>
  <c r="HI108" i="21"/>
  <c r="HH104" i="21"/>
  <c r="GR105" i="21"/>
  <c r="HH150" i="21"/>
  <c r="HH131" i="21"/>
  <c r="HK100" i="21"/>
  <c r="HI117" i="21"/>
  <c r="HD121" i="21"/>
  <c r="GS185" i="21"/>
  <c r="GU187" i="21"/>
  <c r="GS180" i="21"/>
  <c r="HJ173" i="21"/>
  <c r="GS179" i="21"/>
  <c r="HD89" i="21"/>
  <c r="HD117" i="21"/>
  <c r="GW131" i="21"/>
  <c r="GO104" i="21"/>
  <c r="FU117" i="21"/>
  <c r="FW117" i="21" s="1"/>
  <c r="HN188" i="21"/>
  <c r="HI186" i="21"/>
  <c r="GZ178" i="21"/>
  <c r="HN77" i="21"/>
  <c r="HK69" i="21"/>
  <c r="GQ152" i="21"/>
  <c r="HK171" i="21"/>
  <c r="HJ136" i="21"/>
  <c r="FU128" i="21"/>
  <c r="FX128" i="21" s="1"/>
  <c r="HI94" i="21"/>
  <c r="HD99" i="21"/>
  <c r="HE90" i="21"/>
  <c r="GP146" i="21"/>
  <c r="GR100" i="21"/>
  <c r="HJ135" i="21"/>
  <c r="HJ163" i="21"/>
  <c r="HE94" i="21"/>
  <c r="GQ138" i="21"/>
  <c r="GW123" i="21"/>
  <c r="GU115" i="21"/>
  <c r="HK132" i="21"/>
  <c r="GU108" i="21"/>
  <c r="HD142" i="21"/>
  <c r="HJ160" i="21"/>
  <c r="HH91" i="21"/>
  <c r="HH144" i="21"/>
  <c r="GS123" i="21"/>
  <c r="HI106" i="21"/>
  <c r="GO163" i="21"/>
  <c r="GP166" i="21"/>
  <c r="HI188" i="21"/>
  <c r="HK180" i="21"/>
  <c r="HJ181" i="21"/>
  <c r="HJ184" i="21"/>
  <c r="FU182" i="21"/>
  <c r="FW182" i="21" s="1"/>
  <c r="FU172" i="21"/>
  <c r="FX172" i="21" s="1"/>
  <c r="HK183" i="21"/>
  <c r="HJ187" i="21"/>
  <c r="GO78" i="21"/>
  <c r="GO84" i="21"/>
  <c r="HH93" i="21"/>
  <c r="HK127" i="21"/>
  <c r="GR156" i="21"/>
  <c r="HH103" i="21"/>
  <c r="GQ120" i="21"/>
  <c r="HH166" i="21"/>
  <c r="HI116" i="21"/>
  <c r="HJ142" i="21"/>
  <c r="HD164" i="21"/>
  <c r="GR149" i="21"/>
  <c r="GO116" i="21"/>
  <c r="HJ144" i="21"/>
  <c r="FU94" i="21"/>
  <c r="FX94" i="21" s="1"/>
  <c r="HE143" i="21"/>
  <c r="HH137" i="21"/>
  <c r="GY124" i="21"/>
  <c r="GP118" i="21"/>
  <c r="HI131" i="21"/>
  <c r="HH135" i="21"/>
  <c r="HH155" i="21"/>
  <c r="HI138" i="21"/>
  <c r="HH114" i="21"/>
  <c r="GS143" i="21"/>
  <c r="GP103" i="21"/>
  <c r="HJ152" i="21"/>
  <c r="FU106" i="21"/>
  <c r="FX106" i="21" s="1"/>
  <c r="HI109" i="21"/>
  <c r="HC162" i="21"/>
  <c r="HK111" i="21"/>
  <c r="GS156" i="21"/>
  <c r="GS144" i="21"/>
  <c r="GU188" i="21"/>
  <c r="HI173" i="21"/>
  <c r="HK174" i="21"/>
  <c r="GP80" i="21"/>
  <c r="HI80" i="21"/>
  <c r="HN82" i="21"/>
  <c r="HK144" i="21"/>
  <c r="HK133" i="21"/>
  <c r="HJ132" i="21"/>
  <c r="HD135" i="21"/>
  <c r="GP145" i="21"/>
  <c r="HK168" i="21"/>
  <c r="FU119" i="21"/>
  <c r="FX119" i="21" s="1"/>
  <c r="HN136" i="21"/>
  <c r="GU116" i="21"/>
  <c r="GS116" i="21"/>
  <c r="HK145" i="21"/>
  <c r="GS150" i="21"/>
  <c r="HJ103" i="21"/>
  <c r="HD136" i="21"/>
  <c r="HI112" i="21"/>
  <c r="GO106" i="21"/>
  <c r="HI162" i="21"/>
  <c r="HK107" i="21"/>
  <c r="GQ100" i="21"/>
  <c r="HK108" i="21"/>
  <c r="GQ116" i="21"/>
  <c r="HK163" i="21"/>
  <c r="HI156" i="21"/>
  <c r="HJ133" i="21"/>
  <c r="FU138" i="21"/>
  <c r="FX138" i="21" s="1"/>
  <c r="HJ119" i="21"/>
  <c r="HH125" i="21"/>
  <c r="FU109" i="21"/>
  <c r="FW109" i="21" s="1"/>
  <c r="GQ145" i="21"/>
  <c r="HK172" i="21"/>
  <c r="FU173" i="21"/>
  <c r="FX173" i="21" s="1"/>
  <c r="GV182" i="21"/>
  <c r="HL180" i="21"/>
  <c r="HH186" i="21"/>
  <c r="HI183" i="21"/>
  <c r="HL187" i="21"/>
  <c r="HH183" i="21"/>
  <c r="HJ176" i="21"/>
  <c r="HG175" i="21"/>
  <c r="GS174" i="21"/>
  <c r="FU122" i="21"/>
  <c r="FX122" i="21" s="1"/>
  <c r="GU119" i="21"/>
  <c r="GV170" i="21"/>
  <c r="GO117" i="21"/>
  <c r="FU183" i="21"/>
  <c r="FW183" i="21" s="1"/>
  <c r="ET134" i="21"/>
  <c r="ET110" i="21"/>
  <c r="EK98" i="21"/>
  <c r="DT98" i="21" s="1"/>
  <c r="EO101" i="21"/>
  <c r="DX101" i="21" s="1"/>
  <c r="EV101" i="21"/>
  <c r="ER134" i="21"/>
  <c r="EA134" i="21" s="1"/>
  <c r="EO134" i="21"/>
  <c r="DX134" i="21" s="1"/>
  <c r="EM110" i="21"/>
  <c r="DV110" i="21" s="1"/>
  <c r="ET139" i="21"/>
  <c r="EL140" i="21"/>
  <c r="DU140" i="21" s="1"/>
  <c r="EO140" i="21"/>
  <c r="DX140" i="21" s="1"/>
  <c r="ET101" i="21"/>
  <c r="EN101" i="21"/>
  <c r="DW101" i="21" s="1"/>
  <c r="ER98" i="21"/>
  <c r="EA98" i="21" s="1"/>
  <c r="EV98" i="21"/>
  <c r="ES134" i="21"/>
  <c r="EB134" i="21" s="1"/>
  <c r="EN110" i="21"/>
  <c r="DW110" i="21" s="1"/>
  <c r="EV139" i="21"/>
  <c r="EP140" i="21"/>
  <c r="DY140" i="21" s="1"/>
  <c r="EK140" i="21"/>
  <c r="DT140" i="21" s="1"/>
  <c r="EO139" i="21"/>
  <c r="DX139" i="21" s="1"/>
  <c r="EL101" i="21"/>
  <c r="DU101" i="21" s="1"/>
  <c r="ET98" i="21"/>
  <c r="EO98" i="21"/>
  <c r="DX98" i="21" s="1"/>
  <c r="EK134" i="21"/>
  <c r="DT134" i="21" s="1"/>
  <c r="EU134" i="21"/>
  <c r="EP110" i="21"/>
  <c r="DY110" i="21" s="1"/>
  <c r="EK110" i="21"/>
  <c r="DT110" i="21" s="1"/>
  <c r="EU139" i="21"/>
  <c r="ES140" i="21"/>
  <c r="EB140" i="21" s="1"/>
  <c r="ER140" i="21"/>
  <c r="EA140" i="21" s="1"/>
  <c r="EQ140" i="21"/>
  <c r="DZ140" i="21" s="1"/>
  <c r="EU140" i="21"/>
  <c r="EU101" i="21"/>
  <c r="EQ101" i="21"/>
  <c r="DZ101" i="21" s="1"/>
  <c r="ES98" i="21"/>
  <c r="EB98" i="21" s="1"/>
  <c r="EV134" i="21"/>
  <c r="EL110" i="21"/>
  <c r="DU110" i="21" s="1"/>
  <c r="ER110" i="21"/>
  <c r="EA110" i="21" s="1"/>
  <c r="ES139" i="21"/>
  <c r="EB139" i="21" s="1"/>
  <c r="EM140" i="21"/>
  <c r="DV140" i="21" s="1"/>
  <c r="ER101" i="21"/>
  <c r="EA101" i="21" s="1"/>
  <c r="EP98" i="21"/>
  <c r="DY98" i="21" s="1"/>
  <c r="EN134" i="21"/>
  <c r="DW134" i="21" s="1"/>
  <c r="ES110" i="21"/>
  <c r="EB110" i="21" s="1"/>
  <c r="EQ110" i="21"/>
  <c r="DZ110" i="21" s="1"/>
  <c r="EM139" i="21"/>
  <c r="DV139" i="21" s="1"/>
  <c r="ET140" i="21"/>
  <c r="EP101" i="21"/>
  <c r="DY101" i="21" s="1"/>
  <c r="EU98" i="21"/>
  <c r="EM98" i="21"/>
  <c r="DV98" i="21" s="1"/>
  <c r="EQ134" i="21"/>
  <c r="DZ134" i="21" s="1"/>
  <c r="EV110" i="21"/>
  <c r="EK139" i="21"/>
  <c r="DT139" i="21" s="1"/>
  <c r="EN139" i="21"/>
  <c r="EQ139" i="21"/>
  <c r="DZ139" i="21" s="1"/>
  <c r="EK101" i="21"/>
  <c r="DT101" i="21" s="1"/>
  <c r="EQ98" i="21"/>
  <c r="DZ98" i="21" s="1"/>
  <c r="EL98" i="21"/>
  <c r="DU98" i="21" s="1"/>
  <c r="EL134" i="21"/>
  <c r="DU134" i="21" s="1"/>
  <c r="EU110" i="21"/>
  <c r="EO110" i="21"/>
  <c r="DX110" i="21" s="1"/>
  <c r="EP139" i="21"/>
  <c r="DY139" i="21" s="1"/>
  <c r="EL139" i="21"/>
  <c r="DU139" i="21" s="1"/>
  <c r="EN140" i="21"/>
  <c r="EM101" i="21"/>
  <c r="DV101" i="21" s="1"/>
  <c r="ES101" i="21"/>
  <c r="EB101" i="21" s="1"/>
  <c r="EN98" i="21"/>
  <c r="DW98" i="21" s="1"/>
  <c r="EP134" i="21"/>
  <c r="DY134" i="21" s="1"/>
  <c r="EM134" i="21"/>
  <c r="DV134" i="21" s="1"/>
  <c r="ER139" i="21"/>
  <c r="EA139" i="21" s="1"/>
  <c r="EV140" i="21"/>
  <c r="EE140" i="21" s="1"/>
  <c r="GU78" i="21"/>
  <c r="FU78" i="21"/>
  <c r="FX78" i="21" s="1"/>
  <c r="HI78" i="21"/>
  <c r="HC73" i="21"/>
  <c r="GR152" i="21"/>
  <c r="HI114" i="21"/>
  <c r="GZ187" i="21"/>
  <c r="HK177" i="21"/>
  <c r="EC134" i="21"/>
  <c r="EC110" i="21"/>
  <c r="F9" i="21"/>
  <c r="F10" i="21" s="1"/>
  <c r="GZ185" i="21"/>
  <c r="HN185" i="21"/>
  <c r="GU169" i="21"/>
  <c r="HI169" i="21"/>
  <c r="HM175" i="21"/>
  <c r="HM172" i="21"/>
  <c r="GZ173" i="21"/>
  <c r="HN173" i="21"/>
  <c r="GX100" i="21"/>
  <c r="HL100" i="21"/>
  <c r="GX176" i="21"/>
  <c r="HL176" i="21"/>
  <c r="HE117" i="21"/>
  <c r="GQ117" i="21"/>
  <c r="HC154" i="21"/>
  <c r="GO154" i="21"/>
  <c r="FU137" i="21"/>
  <c r="FX137" i="21" s="1"/>
  <c r="HI137" i="21"/>
  <c r="GO173" i="21"/>
  <c r="HC173" i="21"/>
  <c r="HE113" i="21"/>
  <c r="GQ113" i="21"/>
  <c r="GQ114" i="21"/>
  <c r="HE114" i="21"/>
  <c r="GU84" i="21"/>
  <c r="FU84" i="21"/>
  <c r="FW84" i="21" s="1"/>
  <c r="HI84" i="21"/>
  <c r="HJ162" i="21"/>
  <c r="FU169" i="21"/>
  <c r="FX169" i="21" s="1"/>
  <c r="AV98" i="21"/>
  <c r="GW114" i="21"/>
  <c r="HK114" i="21"/>
  <c r="GU85" i="21"/>
  <c r="FU85" i="21"/>
  <c r="FX85" i="21" s="1"/>
  <c r="HI85" i="21"/>
  <c r="GT136" i="21"/>
  <c r="HH136" i="21"/>
  <c r="GS173" i="21"/>
  <c r="HG173" i="21"/>
  <c r="AZ101" i="21"/>
  <c r="EE101" i="21"/>
  <c r="AZ134" i="21"/>
  <c r="AX110" i="21"/>
  <c r="EC139" i="21"/>
  <c r="AW140" i="21"/>
  <c r="AZ140" i="21"/>
  <c r="EC101" i="21"/>
  <c r="AY101" i="21"/>
  <c r="EE98" i="21"/>
  <c r="AY110" i="21"/>
  <c r="EE139" i="21"/>
  <c r="AV140" i="21"/>
  <c r="HI168" i="21"/>
  <c r="HL149" i="21"/>
  <c r="HN155" i="21"/>
  <c r="HI133" i="21"/>
  <c r="HM132" i="21"/>
  <c r="HL175" i="21"/>
  <c r="HJ174" i="21"/>
  <c r="AZ139" i="21"/>
  <c r="AW101" i="21"/>
  <c r="EC98" i="21"/>
  <c r="AZ98" i="21"/>
  <c r="AV134" i="21"/>
  <c r="ED134" i="21"/>
  <c r="AV110" i="21"/>
  <c r="ED139" i="21"/>
  <c r="FU168" i="21"/>
  <c r="HE153" i="21"/>
  <c r="GU133" i="21"/>
  <c r="GP162" i="21"/>
  <c r="HH181" i="21"/>
  <c r="HH174" i="21"/>
  <c r="ED140" i="21"/>
  <c r="ED101" i="21"/>
  <c r="EE134" i="21"/>
  <c r="AW110" i="21"/>
  <c r="HL76" i="21"/>
  <c r="HH118" i="21"/>
  <c r="FU131" i="21"/>
  <c r="FX131" i="21" s="1"/>
  <c r="GP160" i="21"/>
  <c r="AY134" i="21"/>
  <c r="AX139" i="21"/>
  <c r="EC140" i="21"/>
  <c r="HE85" i="21"/>
  <c r="G9" i="21"/>
  <c r="G10" i="21" s="1"/>
  <c r="ED98" i="21"/>
  <c r="AX98" i="21"/>
  <c r="EE110" i="21"/>
  <c r="AV139" i="21"/>
  <c r="DW139" i="21"/>
  <c r="AV101" i="21"/>
  <c r="AW98" i="21"/>
  <c r="AW134" i="21"/>
  <c r="ED110" i="21"/>
  <c r="AZ110" i="21"/>
  <c r="DW140" i="21"/>
  <c r="AX101" i="21"/>
  <c r="AY98" i="21"/>
  <c r="AX134" i="21"/>
  <c r="FX187" i="21"/>
  <c r="FW187" i="21"/>
  <c r="FX180" i="21"/>
  <c r="FW180" i="21"/>
  <c r="FX184" i="21"/>
  <c r="FW184" i="21"/>
  <c r="FX186" i="21"/>
  <c r="FW186" i="21"/>
  <c r="FX174" i="21"/>
  <c r="FW174" i="21"/>
  <c r="FX181" i="21"/>
  <c r="FW181" i="21"/>
  <c r="FX188" i="21"/>
  <c r="FW188" i="21"/>
  <c r="FX175" i="21"/>
  <c r="FW148" i="21"/>
  <c r="FX144" i="21"/>
  <c r="FW144" i="21"/>
  <c r="FX171" i="21"/>
  <c r="FW171" i="21"/>
  <c r="FX91" i="21"/>
  <c r="FW91" i="21"/>
  <c r="FX153" i="21"/>
  <c r="FW153" i="21"/>
  <c r="FX142" i="21"/>
  <c r="FW142" i="21"/>
  <c r="FX132" i="21"/>
  <c r="FW132" i="21"/>
  <c r="FX160" i="21"/>
  <c r="FW160" i="21"/>
  <c r="FX146" i="21"/>
  <c r="FW146" i="21"/>
  <c r="FX151" i="21"/>
  <c r="FW151" i="21"/>
  <c r="FX104" i="21"/>
  <c r="FW104" i="21"/>
  <c r="FX157" i="21"/>
  <c r="FX115" i="21"/>
  <c r="FW115" i="21"/>
  <c r="FX92" i="21"/>
  <c r="FW92" i="21"/>
  <c r="FX96" i="21"/>
  <c r="FW96" i="21"/>
  <c r="FX118" i="21"/>
  <c r="FW118" i="21"/>
  <c r="FX111" i="21"/>
  <c r="FW111" i="21"/>
  <c r="FX133" i="21"/>
  <c r="FW133" i="21"/>
  <c r="FX147" i="21"/>
  <c r="FW147" i="21"/>
  <c r="FX100" i="21"/>
  <c r="FW100" i="21"/>
  <c r="FX136" i="21"/>
  <c r="FW136" i="21"/>
  <c r="FX97" i="21"/>
  <c r="FW97" i="21"/>
  <c r="FX154" i="21"/>
  <c r="FW154" i="21"/>
  <c r="FX112" i="21"/>
  <c r="FW112" i="21"/>
  <c r="FX166" i="21"/>
  <c r="FW166" i="21"/>
  <c r="FX149" i="21"/>
  <c r="FW149" i="21"/>
  <c r="FX124" i="21"/>
  <c r="FW124" i="21"/>
  <c r="FW102" i="21"/>
  <c r="FX143" i="21"/>
  <c r="FW143" i="21"/>
  <c r="FX113" i="21"/>
  <c r="FW113" i="21"/>
  <c r="FX105" i="21"/>
  <c r="FW105" i="21"/>
  <c r="FX167" i="21"/>
  <c r="FW167" i="21"/>
  <c r="FX95" i="21"/>
  <c r="FW95" i="21"/>
  <c r="FX155" i="21"/>
  <c r="FW155" i="21"/>
  <c r="FX108" i="21"/>
  <c r="FW108" i="21"/>
  <c r="FX170" i="21"/>
  <c r="FX120" i="21"/>
  <c r="FW120" i="21"/>
  <c r="FX159" i="21"/>
  <c r="FW159" i="21"/>
  <c r="FX152" i="21"/>
  <c r="FW152" i="21"/>
  <c r="FX107" i="21"/>
  <c r="FW107" i="21"/>
  <c r="FX161" i="21"/>
  <c r="FW161" i="21"/>
  <c r="FX164" i="21"/>
  <c r="FW164" i="21"/>
  <c r="FX129" i="21"/>
  <c r="FW129" i="21"/>
  <c r="FX158" i="21"/>
  <c r="FW158" i="21"/>
  <c r="FX116" i="21"/>
  <c r="FW116" i="21"/>
  <c r="FX156" i="21"/>
  <c r="FW156" i="21"/>
  <c r="FX130" i="21"/>
  <c r="FW130" i="21"/>
  <c r="HD68" i="21"/>
  <c r="GP68" i="21"/>
  <c r="GZ68" i="21"/>
  <c r="HN68" i="21"/>
  <c r="D10" i="21"/>
  <c r="HF68" i="21"/>
  <c r="GR68" i="21"/>
  <c r="FX73" i="21"/>
  <c r="FW73" i="21"/>
  <c r="FX81" i="21"/>
  <c r="FW81" i="21"/>
  <c r="GV68" i="21"/>
  <c r="HJ68" i="21"/>
  <c r="FX87" i="21"/>
  <c r="FW87" i="21"/>
  <c r="HC68" i="21"/>
  <c r="GO68" i="21"/>
  <c r="FX86" i="21"/>
  <c r="FW86" i="21"/>
  <c r="HG68" i="21"/>
  <c r="GS68" i="21"/>
  <c r="FX88" i="21"/>
  <c r="FW88" i="21"/>
  <c r="FX70" i="21"/>
  <c r="FW70" i="21"/>
  <c r="HE68" i="21"/>
  <c r="GQ68" i="21"/>
  <c r="FX89" i="21"/>
  <c r="FW89" i="21"/>
  <c r="B10" i="21"/>
  <c r="FX72" i="21"/>
  <c r="FW72" i="21"/>
  <c r="GY68" i="21"/>
  <c r="HM68" i="21"/>
  <c r="GU68" i="21"/>
  <c r="FU68" i="21"/>
  <c r="HI68" i="21"/>
  <c r="GT68" i="21"/>
  <c r="HH68" i="21"/>
  <c r="FX82" i="21"/>
  <c r="FW82" i="21"/>
  <c r="E10" i="21"/>
  <c r="FX74" i="21"/>
  <c r="FW74" i="21"/>
  <c r="FX75" i="21"/>
  <c r="FW75" i="21"/>
  <c r="GW68" i="21"/>
  <c r="HK68" i="21"/>
  <c r="GX68" i="21"/>
  <c r="HL68" i="21"/>
  <c r="FX79" i="21"/>
  <c r="FW79" i="21"/>
  <c r="FX80" i="21"/>
  <c r="FW80" i="21"/>
  <c r="FX179" i="21" l="1"/>
  <c r="FX90" i="21"/>
  <c r="FX135" i="21"/>
  <c r="FW77" i="21"/>
  <c r="FX71" i="21"/>
  <c r="FX126" i="21"/>
  <c r="FW121" i="21"/>
  <c r="H10" i="21"/>
  <c r="H49" i="21" s="1"/>
  <c r="G49" i="21" s="1"/>
  <c r="F49" i="21" s="1"/>
  <c r="E49" i="21" s="1"/>
  <c r="D49" i="21" s="1"/>
  <c r="C49" i="21" s="1"/>
  <c r="B49" i="21" s="1"/>
  <c r="FW83" i="21"/>
  <c r="FW145" i="21"/>
  <c r="FW125" i="21"/>
  <c r="FW76" i="21"/>
  <c r="FW162" i="21"/>
  <c r="FW165" i="21"/>
  <c r="FW163" i="21"/>
  <c r="FW123" i="21"/>
  <c r="FW177" i="21"/>
  <c r="FW141" i="21"/>
  <c r="FW114" i="21"/>
  <c r="FW127" i="21"/>
  <c r="FW99" i="21"/>
  <c r="FX183" i="21"/>
  <c r="FX150" i="21"/>
  <c r="FW93" i="21"/>
  <c r="FX103" i="21"/>
  <c r="FW122" i="21"/>
  <c r="FW178" i="21"/>
  <c r="FX117" i="21"/>
  <c r="FX185" i="21"/>
  <c r="FX69" i="21"/>
  <c r="FW78" i="21"/>
  <c r="FW119" i="21"/>
  <c r="FX109" i="21"/>
  <c r="FW138" i="21"/>
  <c r="FW173" i="21"/>
  <c r="FW94" i="21"/>
  <c r="FW172" i="21"/>
  <c r="C13" i="21"/>
  <c r="C16" i="21" s="1"/>
  <c r="D13" i="21"/>
  <c r="D16" i="21" s="1"/>
  <c r="FW176" i="21"/>
  <c r="FW169" i="21"/>
  <c r="FX182" i="21"/>
  <c r="G48" i="21"/>
  <c r="F48" i="21" s="1"/>
  <c r="E48" i="21" s="1"/>
  <c r="D48" i="21" s="1"/>
  <c r="C48" i="21" s="1"/>
  <c r="B48" i="21" s="1"/>
  <c r="F13" i="21"/>
  <c r="F16" i="21" s="1"/>
  <c r="FW137" i="21"/>
  <c r="FX84" i="21"/>
  <c r="FW85" i="21"/>
  <c r="FW128" i="21"/>
  <c r="FW106" i="21"/>
  <c r="GR139" i="21"/>
  <c r="HF139" i="21"/>
  <c r="GT139" i="21"/>
  <c r="HH139" i="21"/>
  <c r="GY140" i="21"/>
  <c r="HM140" i="21"/>
  <c r="GY139" i="21"/>
  <c r="HM139" i="21"/>
  <c r="GY110" i="21"/>
  <c r="HM110" i="21"/>
  <c r="GZ98" i="21"/>
  <c r="HN98" i="21"/>
  <c r="H13" i="21"/>
  <c r="H52" i="21" s="1"/>
  <c r="FW131" i="21"/>
  <c r="GY98" i="21"/>
  <c r="HM98" i="21"/>
  <c r="G13" i="21"/>
  <c r="G16" i="21" s="1"/>
  <c r="HM101" i="21"/>
  <c r="GY101" i="21"/>
  <c r="FX168" i="21"/>
  <c r="FW168" i="21"/>
  <c r="HL110" i="21"/>
  <c r="GX110" i="21"/>
  <c r="GW101" i="21"/>
  <c r="HK101" i="21"/>
  <c r="E13" i="21"/>
  <c r="E16" i="21" s="1"/>
  <c r="GX134" i="21"/>
  <c r="HL134" i="21"/>
  <c r="HN140" i="21"/>
  <c r="GZ140" i="21"/>
  <c r="GO139" i="21"/>
  <c r="HC139" i="21"/>
  <c r="GU110" i="21"/>
  <c r="FU110" i="21"/>
  <c r="HI110" i="21"/>
  <c r="GV110" i="21"/>
  <c r="HJ110" i="21"/>
  <c r="HC134" i="21"/>
  <c r="GO134" i="21"/>
  <c r="HJ98" i="21"/>
  <c r="GV98" i="21"/>
  <c r="GV134" i="21"/>
  <c r="HJ134" i="21"/>
  <c r="GS101" i="21"/>
  <c r="HG101" i="21"/>
  <c r="GX140" i="21"/>
  <c r="HL140" i="21"/>
  <c r="GX139" i="21"/>
  <c r="HL139" i="21"/>
  <c r="HF140" i="21"/>
  <c r="GR140" i="21"/>
  <c r="GY134" i="21"/>
  <c r="HM134" i="21"/>
  <c r="GZ139" i="21"/>
  <c r="HN139" i="21"/>
  <c r="GV139" i="21"/>
  <c r="HJ139" i="21"/>
  <c r="GP139" i="21"/>
  <c r="HD139" i="21"/>
  <c r="HC101" i="21"/>
  <c r="GO101" i="21"/>
  <c r="GW110" i="21"/>
  <c r="HK110" i="21"/>
  <c r="GP110" i="21"/>
  <c r="HD110" i="21"/>
  <c r="GU140" i="21"/>
  <c r="FU140" i="21"/>
  <c r="HI140" i="21"/>
  <c r="GS98" i="21"/>
  <c r="HG98" i="21"/>
  <c r="HF110" i="21"/>
  <c r="GR110" i="21"/>
  <c r="GP134" i="21"/>
  <c r="HD134" i="21"/>
  <c r="HE140" i="21"/>
  <c r="GQ140" i="21"/>
  <c r="GV140" i="21"/>
  <c r="HJ140" i="21"/>
  <c r="HE110" i="21"/>
  <c r="GQ110" i="21"/>
  <c r="GW139" i="21"/>
  <c r="HK139" i="21"/>
  <c r="GW140" i="21"/>
  <c r="HK140" i="21"/>
  <c r="HE134" i="21"/>
  <c r="GQ134" i="21"/>
  <c r="HD98" i="21"/>
  <c r="GP98" i="21"/>
  <c r="GR134" i="21"/>
  <c r="HF134" i="21"/>
  <c r="GW98" i="21"/>
  <c r="HK98" i="21"/>
  <c r="GZ110" i="21"/>
  <c r="HN110" i="21"/>
  <c r="GX98" i="21"/>
  <c r="HL98" i="21"/>
  <c r="GZ101" i="21"/>
  <c r="HN101" i="21"/>
  <c r="GT134" i="21"/>
  <c r="HH134" i="21"/>
  <c r="HG110" i="21"/>
  <c r="GS110" i="21"/>
  <c r="GU98" i="21"/>
  <c r="FU98" i="21"/>
  <c r="HI98" i="21"/>
  <c r="GU134" i="21"/>
  <c r="FU134" i="21"/>
  <c r="HI134" i="21"/>
  <c r="HE139" i="21"/>
  <c r="GQ139" i="21"/>
  <c r="GT98" i="21"/>
  <c r="HH98" i="21"/>
  <c r="GZ134" i="21"/>
  <c r="HN134" i="21"/>
  <c r="GX101" i="21"/>
  <c r="HL101" i="21"/>
  <c r="HF98" i="21"/>
  <c r="GR98" i="21"/>
  <c r="GQ98" i="21"/>
  <c r="HE98" i="21"/>
  <c r="GV101" i="21"/>
  <c r="HJ101" i="21"/>
  <c r="HI101" i="21"/>
  <c r="FU101" i="21"/>
  <c r="GU101" i="21"/>
  <c r="GO110" i="21"/>
  <c r="HC110" i="21"/>
  <c r="HG139" i="21"/>
  <c r="GS139" i="21"/>
  <c r="GR101" i="21"/>
  <c r="HF101" i="21"/>
  <c r="HC98" i="21"/>
  <c r="GO98" i="21"/>
  <c r="GU139" i="21"/>
  <c r="FU139" i="21"/>
  <c r="HI139" i="21"/>
  <c r="HH110" i="21"/>
  <c r="GT110" i="21"/>
  <c r="GO140" i="21"/>
  <c r="HC140" i="21"/>
  <c r="GW134" i="21"/>
  <c r="HK134" i="21"/>
  <c r="GS140" i="21"/>
  <c r="HG140" i="21"/>
  <c r="HE101" i="21"/>
  <c r="GQ101" i="21"/>
  <c r="GT101" i="21"/>
  <c r="HH101" i="21"/>
  <c r="HD101" i="21"/>
  <c r="GP101" i="21"/>
  <c r="GT140" i="21"/>
  <c r="HH140" i="21"/>
  <c r="HD140" i="21"/>
  <c r="GP140" i="21"/>
  <c r="HG134" i="21"/>
  <c r="GS134" i="21"/>
  <c r="FX68" i="21"/>
  <c r="FW68" i="21"/>
  <c r="D14" i="21" l="1"/>
  <c r="F14" i="21"/>
  <c r="C14" i="21"/>
  <c r="G52" i="21"/>
  <c r="F52" i="21" s="1"/>
  <c r="E52" i="21" s="1"/>
  <c r="D52" i="21" s="1"/>
  <c r="C52" i="21" s="1"/>
  <c r="B52" i="21" s="1"/>
  <c r="H16" i="21"/>
  <c r="H55" i="21" s="1"/>
  <c r="G55" i="21" s="1"/>
  <c r="F55" i="21" s="1"/>
  <c r="E55" i="21" s="1"/>
  <c r="D55" i="21" s="1"/>
  <c r="C55" i="21" s="1"/>
  <c r="B55" i="21" s="1"/>
  <c r="FX98" i="21"/>
  <c r="FW98" i="21"/>
  <c r="FX140" i="21"/>
  <c r="FW140" i="21"/>
  <c r="H14" i="21"/>
  <c r="H53" i="21" s="1"/>
  <c r="G14" i="21"/>
  <c r="FX110" i="21"/>
  <c r="FW110" i="21"/>
  <c r="FX101" i="21"/>
  <c r="FW101" i="21"/>
  <c r="FX134" i="21"/>
  <c r="FW134" i="21"/>
  <c r="E14" i="21"/>
  <c r="FX139" i="21"/>
  <c r="FW139" i="21"/>
  <c r="G53" i="21" l="1"/>
  <c r="F53" i="21" s="1"/>
  <c r="E53" i="21" s="1"/>
  <c r="D53" i="21" s="1"/>
  <c r="C53" i="21" s="1"/>
  <c r="B53" i="21" s="1"/>
  <c r="N13" i="21" s="1"/>
  <c r="P7" i="21" l="1"/>
  <c r="P10" i="21" s="1"/>
  <c r="Q7" i="21"/>
  <c r="P13" i="21"/>
  <c r="P14" i="21" s="1"/>
  <c r="Q13" i="21"/>
  <c r="Q14" i="21" s="1"/>
  <c r="O11" i="21"/>
  <c r="O12" i="21" s="1"/>
  <c r="O7" i="21"/>
  <c r="O10" i="21" s="1"/>
  <c r="R7" i="21"/>
  <c r="R46" i="21" s="1"/>
  <c r="P11" i="21"/>
  <c r="P12" i="21" s="1"/>
  <c r="R11" i="21"/>
  <c r="N11" i="21"/>
  <c r="N12" i="21" s="1"/>
  <c r="R8" i="21"/>
  <c r="R47" i="21" s="1"/>
  <c r="O13" i="21"/>
  <c r="O14" i="21" s="1"/>
  <c r="Q11" i="21"/>
  <c r="Q12" i="21" s="1"/>
  <c r="N8" i="21"/>
  <c r="N7" i="21"/>
  <c r="N10" i="21" s="1"/>
  <c r="P8" i="21"/>
  <c r="P9" i="21" s="1"/>
  <c r="R13" i="21"/>
  <c r="R52" i="21" s="1"/>
  <c r="O8" i="21"/>
  <c r="Q8" i="21"/>
  <c r="Q9" i="21" s="1"/>
  <c r="Q10" i="21"/>
  <c r="N14" i="21"/>
  <c r="Q46" i="21" l="1"/>
  <c r="P46" i="21" s="1"/>
  <c r="O46" i="21" s="1"/>
  <c r="N46" i="21" s="1"/>
  <c r="Q52" i="21"/>
  <c r="P52" i="21" s="1"/>
  <c r="O52" i="21" s="1"/>
  <c r="N52" i="21" s="1"/>
  <c r="Q15" i="21"/>
  <c r="R15" i="21"/>
  <c r="R54" i="21" s="1"/>
  <c r="Q54" i="21" s="1"/>
  <c r="P15" i="21"/>
  <c r="N9" i="21"/>
  <c r="R10" i="21"/>
  <c r="R49" i="21" s="1"/>
  <c r="Q49" i="21" s="1"/>
  <c r="P49" i="21" s="1"/>
  <c r="O49" i="21" s="1"/>
  <c r="N49" i="21" s="1"/>
  <c r="O9" i="21"/>
  <c r="R50" i="21"/>
  <c r="Q50" i="21" s="1"/>
  <c r="P50" i="21" s="1"/>
  <c r="O50" i="21" s="1"/>
  <c r="N50" i="21" s="1"/>
  <c r="R14" i="21"/>
  <c r="R53" i="21" s="1"/>
  <c r="Q53" i="21" s="1"/>
  <c r="P53" i="21" s="1"/>
  <c r="O53" i="21" s="1"/>
  <c r="N53" i="21" s="1"/>
  <c r="O15" i="21"/>
  <c r="Q47" i="21"/>
  <c r="P47" i="21" s="1"/>
  <c r="O47" i="21" s="1"/>
  <c r="N47" i="21" s="1"/>
  <c r="R12" i="21"/>
  <c r="R51" i="21" s="1"/>
  <c r="Q51" i="21" s="1"/>
  <c r="P51" i="21" s="1"/>
  <c r="O51" i="21" s="1"/>
  <c r="N51" i="21" s="1"/>
  <c r="N15" i="21"/>
  <c r="R9" i="21"/>
  <c r="R48" i="21" s="1"/>
  <c r="Q48" i="21" s="1"/>
  <c r="P48" i="21" s="1"/>
  <c r="O48" i="21" s="1"/>
  <c r="N48" i="21" s="1"/>
  <c r="P54" i="21" l="1"/>
  <c r="O54" i="21" s="1"/>
  <c r="N54" i="2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<sst xmlns="http://schemas.openxmlformats.org/spreadsheetml/2006/main" count="4693" uniqueCount="1640">
  <si>
    <t>Family Size</t>
  </si>
  <si>
    <t>nMax</t>
  </si>
  <si>
    <t>nMin</t>
  </si>
  <si>
    <t>MaxTime</t>
  </si>
  <si>
    <t>Exact nMax</t>
  </si>
  <si>
    <t>Exact Family</t>
  </si>
  <si>
    <t>Heuristic Methods</t>
  </si>
  <si>
    <t>Exact Methods</t>
  </si>
  <si>
    <t>m4riRW</t>
  </si>
  <si>
    <t>QDistRndMW</t>
  </si>
  <si>
    <t>QDistEvol</t>
  </si>
  <si>
    <t>BP-OSD</t>
  </si>
  <si>
    <t>GEStim</t>
  </si>
  <si>
    <t>CCStim</t>
  </si>
  <si>
    <t>UEStim</t>
  </si>
  <si>
    <t>Gurobi</t>
  </si>
  <si>
    <t>MIP-SCIP</t>
  </si>
  <si>
    <t>CLISAT</t>
  </si>
  <si>
    <t>m4riCC</t>
  </si>
  <si>
    <t>Magma</t>
  </si>
  <si>
    <t>Result Returned</t>
  </si>
  <si>
    <t>#,##0</t>
  </si>
  <si>
    <t>No Result</t>
  </si>
  <si>
    <t>Completed &lt; MaxTime</t>
  </si>
  <si>
    <t>At lowest distance</t>
  </si>
  <si>
    <t>#,##0;;</t>
  </si>
  <si>
    <t>Completed &gt; MaxTime</t>
  </si>
  <si>
    <t>Overall Success Rate</t>
  </si>
  <si>
    <t>0.0%;;</t>
  </si>
  <si>
    <t>Total Time (s)</t>
  </si>
  <si>
    <t>0.0E+00;;</t>
  </si>
  <si>
    <t>Trials</t>
  </si>
  <si>
    <t>Overall success rate</t>
  </si>
  <si>
    <t>Trials at lowest distance</t>
  </si>
  <si>
    <t>Total Time</t>
  </si>
  <si>
    <t>Trial Success Rate</t>
  </si>
  <si>
    <t>Time/Trial</t>
  </si>
  <si>
    <t>Time/Successful Trial</t>
  </si>
  <si>
    <t>not completed</t>
  </si>
  <si>
    <t>Chart Dataset:</t>
  </si>
  <si>
    <t>Total Processing Time</t>
  </si>
  <si>
    <t>\begin{center}</t>
  </si>
  <si>
    <t>\begin{tabular}{ |l|</t>
  </si>
  <si>
    <t>r|</t>
  </si>
  <si>
    <t>}</t>
  </si>
  <si>
    <t>\hline</t>
  </si>
  <si>
    <t>\\</t>
  </si>
  <si>
    <t>\end{tabular}</t>
  </si>
  <si>
    <t>\end{center}</t>
  </si>
  <si>
    <t>Offset</t>
  </si>
  <si>
    <t>Chart Data</t>
  </si>
  <si>
    <t>Match</t>
  </si>
  <si>
    <t>dCalc</t>
  </si>
  <si>
    <t>Algorithm Completed within maxTime</t>
  </si>
  <si>
    <t>d Estimated Successfully</t>
  </si>
  <si>
    <t>dEst</t>
  </si>
  <si>
    <t>d correct</t>
  </si>
  <si>
    <t>Number of Trials at lowest distance</t>
  </si>
  <si>
    <t>R</t>
  </si>
  <si>
    <t>T</t>
  </si>
  <si>
    <t>best</t>
  </si>
  <si>
    <t>n</t>
  </si>
  <si>
    <t>dMin</t>
  </si>
  <si>
    <t>m4ri_CC</t>
  </si>
  <si>
    <t>magma</t>
  </si>
  <si>
    <t>m4ri_RW</t>
  </si>
  <si>
    <t>bposd</t>
  </si>
  <si>
    <t>t</t>
  </si>
  <si>
    <t>success rate</t>
  </si>
  <si>
    <t>t/R</t>
  </si>
  <si>
    <t>runMode: serial</t>
  </si>
  <si>
    <t>maxCount: 10000</t>
  </si>
  <si>
    <t>repeat: 1</t>
  </si>
  <si>
    <t>dataset: codeTables</t>
  </si>
  <si>
    <t>datafile: GF2_sample.txt</t>
  </si>
  <si>
    <t>method: magmaMinWeight</t>
  </si>
  <si>
    <t>ignoreTrivialCodes: 1</t>
  </si>
  <si>
    <t>resume: 0</t>
  </si>
  <si>
    <t>iterCount: 10000</t>
  </si>
  <si>
    <t>maxTime: 28800</t>
  </si>
  <si>
    <t>nThreads: 1</t>
  </si>
  <si>
    <t>verbose: False</t>
  </si>
  <si>
    <t>maxErr: -1</t>
  </si>
  <si>
    <t>filterCircuit: 1</t>
  </si>
  <si>
    <t>PauliProductType: X</t>
  </si>
  <si>
    <t>SingleQubitPauliErrors: 1</t>
  </si>
  <si>
    <t>fourBlock: 1</t>
  </si>
  <si>
    <t>HL: 0</t>
  </si>
  <si>
    <t>genCount: 100</t>
  </si>
  <si>
    <t>offspring: 10</t>
  </si>
  <si>
    <t>pMut: 2.0</t>
  </si>
  <si>
    <t>sMut: 1.0</t>
  </si>
  <si>
    <t>CCstart: 1</t>
  </si>
  <si>
    <t>addStabs: 0</t>
  </si>
  <si>
    <t>outfile: /Users/markwebster/Dropbox/QuantumComputing/dev/codeDistance/results/codeTables-GF2_sample.txt-magmaMinWeight-20251230_095015.118922_85062422.txt</t>
  </si>
  <si>
    <t>#########################################</t>
  </si>
  <si>
    <t>name</t>
  </si>
  <si>
    <t>k</t>
  </si>
  <si>
    <t>d</t>
  </si>
  <si>
    <t>delta d</t>
  </si>
  <si>
    <t>Time</t>
  </si>
  <si>
    <t>Progress</t>
  </si>
  <si>
    <t>[[5,3,2]]</t>
  </si>
  <si>
    <t>Magma V2.28-26    Tue Dec 30 2025 09:50:16 on Marks-MacBook-Air-2 [Seed = \n355458188]\nType ? for help.  Type &lt;Ctrl&gt;-D to quit.\n[1 1 0 0 0]\n[1 0 1 0 0]\n[1 0 0 0 1]\nLinear Code over GF(2) of length 5 with 3 generators.\nLower Bound: 1, Upper Bound: 3\nUsing congruence d mod 2 = 0\nConstructed 2 distinct generator matrices\nRelative Ranks:   3   1 \n     Discarding non-contributing rank 1 matrix\n     New Relative Ranks:   3 \nTime Taken: 0.00\nStarting search for low weight codewords... (reset timings)\nEnumerating using 1 generator at a time:\n     New codeword identified of weight 2, time 0.00\nComputation complete 0 vectors enumerated in total\n (0.000000% of 5 3 code)\nFinal Results: lower = 2, upper = 2,\nTotal CPU time: 0.00, real time: 0.003\n[5, 3, 2] Linear Code over GF(2)\nGenerator matrix:\n[1 0 0 0 1]\n[0 1 0 0 1]\n[0 0 1 0 1]\nLinear Code over GF(2) of length 5 with 3 generators.\nLower Bound: 1, Upper Bound: 3\nUsing congruence d mod 2 = 0\nConstructed 2 distinct generator matrices\nRelative Ranks:   3   1 \n     Discarding non-contributing rank 1 matrix\n     New Relative Ranks:   3 \nTime Taken: 0.00\nStarting search for low weight codewords... (reset timings)\nEnumerating using 1 generator at a time:\n     New codeword identified of weight 2, time 0.00\nComputation complete 0 vectors enumerated in total\n (0.000000% of 5 3 code)\nFinal Results: lower = 2, upper = 2,\nTotal CPU time: 0.00, real time: 0.000\n2\n\nTotal time: 0.010 seconds, Total memory usage: 32.09MB\n</t>
  </si>
  <si>
    <t>[[6,3,3]]</t>
  </si>
  <si>
    <t>Magma V2.28-26    Tue Dec 30 2025 09:50:16 on Marks-MacBook-Air-2 [Seed = \n438358915]\nType ? for help.  Type &lt;Ctrl&gt;-D to quit.\n[1 1 1 1 0 0]\n[1 0 1 0 1 0]\n[0 1 1 0 0 1]\nLinear Code over GF(2) of length 6 with 3 generators.\nLower Bound: 1, Upper Bound: 4\nConstructed 2 distinct generator matrices\nRelative Ranks:   3   3 \nTime Taken: 0.00\nStarting search for low weight codewords... (reset timings)\nEnumerating using 1 generator at a time:\n     New codeword identified of weight 3, time 0.00\n   Completed Matrix  1:  lower =  3, upper =  3. Elapsed: 0.00s\nComputation complete 3 vectors enumerated in total\n (37.500000% of 6 3 code)\nFinal Results: lower = 3, upper = 3,\nTotal CPU time: 0.00, real time: 0.001\n[6, 3, 3] Linear Code over GF(2)\nGenerator matrix:\n[1 0 0 1 0 1]\n[0 1 0 1 1 0]\n[0 0 1 1 1 1]\nLinear Code over GF(2) of length 6 with 3 generators.\nLower Bound: 1, Upper Bound: 4\nConstructed 2 distinct generator matrices\nRelative Ranks:   3   3 \nTime Taken: 0.00\nStarting search for low weight codewords... (reset timings)\nEnumerating using 1 generator at a time:\n     New codeword identified of weight 3, time 0.00\n   Completed Matrix  1:  lower =  3, upper =  3. Elapsed: 0.00s\nComputation complete 3 vectors enumerated in total\n (37.500000% of 6 3 code)\nFinal Results: lower = 3, upper = 3,\nTotal CPU time: 0.00, real time: 0.000\n3\n\nTotal time: 0.010 seconds, Total memory usage: 32.09MB\n</t>
  </si>
  <si>
    <t>[[7,3,4]]</t>
  </si>
  <si>
    <t>Magma V2.28-26    Tue Dec 30 2025 09:50:16 on Marks-MacBook-Air-2 [Seed = \n538634681]\nType ? for help.  Type &lt;Ctrl&gt;-D to quit.\n[0 1 1 1 1 0 0]\n[1 0 1 1 0 1 0]\n[1 1 0 1 0 0 1]\nLinear Code over GF(2) of length 7 with 3 generators.\nLower Bound: 1, Upper Bound: 5\nUsing congruence d mod 4 = 0\nConstructed 3 distinct generator matrices\nRelative Ranks:   3   3   1 \n     Discarding non-contributing rank 1 matrix\n     New Relative Ranks:   3   3 \nTime Taken: 0.00\nStarting search for low weight codewords... (reset timings)\nEnumerating using 1 generator at a time:\n     New codeword identified of weight 4, time 0.00\nComputation complete 0 vectors enumerated in total\n (0.000000% of 7 3 code)\nFinal Results: lower = 4, upper = 4,\nTotal CPU time: 0.00, real time: 0.001\n[7, 3, 4] Linear Code over GF(2)\nGenerator matrix:\n[1 0 1 0 1 0 1]\n[0 1 1 0 0 1 1]\n[0 0 0 1 1 1 1]\nLinear Code over GF(2) of length 7 with 3 generators.\nLower Bound: 1, Upper Bound: 5\nUsing congruence d mod 4 = 0\nConstructed 3 distinct generator matrices\nRelative Ranks:   3   3   1 \n     Discarding non-contributing rank 1 matrix\n     New Relative Ranks:   3   3 \nTime Taken: 0.00\nStarting search for low weight codewords... (reset timings)\nEnumerating using 1 generator at a time:\n     New codeword identified of weight 4, time 0.00\nComputation complete 0 vectors enumerated in total\n (0.000000% of 7 3 code)\nFinal Results: lower = 4, upper = 4,\nTotal CPU time: 0.00, real time: 0.000\n4\n\nTotal time: 0.019 seconds, Total memory usage: 32.09MB\n</t>
  </si>
  <si>
    <t>[[8,3,4]]</t>
  </si>
  <si>
    <t>Magma V2.28-26    Tue Dec 30 2025 09:50:16 on Marks-MacBook-Air-2 [Seed = \n639430591]\nType ? for help.  Type &lt;Ctrl&gt;-D to quit.\n[1 1 1 1 0 0 0 0]\n[0 1 1 0 0 1 1 0]\n[1 0 1 0 0 1 0 1]\nLinear Code over GF(2) of length 8 with 3 generators.\nLower Bound: 1, Upper Bound: 6\nUsing congruence d mod 4 = 0\nConstructed 3 distinct generator matrices\nRelative Ranks:   3   3   1 \n     Discarding non-contributing rank 1 matrix\n     New Relative Ranks:   3   3 \nTime Taken: 0.00\nStarting search for low weight codewords... (reset timings)\nEnumerating using 1 generator at a time:\n     New codeword identified of weight 4, time 0.00\nComputation complete 0 vectors enumerated in total\n (0.000000% of 8 3 code)\nFinal Results: lower = 4, upper = 4,\nTotal CPU time: 0.00, real time: 0.001\n[8, 3, 4] Linear Code over GF(2)\nGenerator matrix:\n[1 0 0 1 0 1 1 0]\n[0 1 0 1 0 1 0 1]\n[0 0 1 1 0 0 1 1]\nLinear Code over GF(2) of length 8 with 3 generators.\nLower Bound: 1, Upper Bound: 6\nUsing congruence d mod 4 = 0\nConstructed 3 distinct generator matrices\nRelative Ranks:   3   3   1 \n     Discarding non-contributing rank 1 matrix\n     New Relative Ranks:   3   3 \nTime Taken: 0.00\nStarting search for low weight codewords... (reset timings)\nEnumerating using 1 generator at a time:\n     New codeword identified of weight 4, time 0.00\nComputation complete 0 vectors enumerated in total\n (0.000000% of 8 3 code)\nFinal Results: lower = 4, upper = 4,\nTotal CPU time: 0.00, real time: 0.000\n4\n\nTotal time: 0.019 seconds, Total memory usage: 32.09MB\n</t>
  </si>
  <si>
    <t>[[9,5,3]]</t>
  </si>
  <si>
    <t>Magma V2.28-26    Tue Dec 30 2025 09:50:16 on Marks-MacBook-Air-2 [Seed = \n739698101]\nType ? for help.  Type &lt;Ctrl&gt;-D to quit.\n[0 1 1 1 1 0 0 0 0]\n[1 1 1 1 0 1 0 0 0]\n[1 0 0 1 0 0 1 0 0]\n[1 0 1 0 0 0 0 1 0]\n[1 1 0 0 0 0 0 0 1]\nLinear Code over GF(2) of length 9 with 5 generators.\nLower Bound: 1, Upper Bound: 5\nConstructed 2 distinct generator matrices\nRelative Ranks:   5   4 \nTime Taken: 0.00\nStarting search for low weight codewords... (reset timings)\nEnumerating using 1 generator at a time:\n     New codeword identified of weight 4, time 0.00\n   Completed Matrix  1:  lower =  2, upper =  4. Elapsed: 0.00s\n   Completed Matrix  2:  lower =  3, upper =  4. Elapsed: 0.00s\nTermination predicted with 2 generators at matrix 1\nEnumerating using 2 generators at a time:\n     New codeword identified of weight 3, time 0.00\nComputation complete 10 vectors enumerated in total\n (31.250000% of 9 5 code)\nFinal Results: lower = 3, upper = 3,\nTotal CPU time: 0.00, real time: 0.001\n[9, 5, 3] Linear Code over GF(2)\nGenerator matrix:\n[1 0 0 0 1 0 1 1 1]\n[0 1 0 0 1 0 1 1 0]\n[0 0 1 0 1 0 1 0 1]\n[0 0 0 1 1 0 0 1 1]\n[0 0 0 0 0 1 1 1 1]\nLinear Code over GF(2) of length 9 with 5 generators.\nLower Bound: 1, Upper Bound: 5\nConstructed 2 distinct generator matrices\nRelative Ranks:   5   4 \nTime Taken: 0.00\nStarting search for low weight codewords... (reset timings)\nEnumerating using 1 generator at a time:\n     New codeword identified of weight 4, time 0.00\n   Completed Matrix  1:  lower =  2, upper =  4. Elapsed: 0.00s\n   Completed Matrix  2:  lower =  3, upper =  4. Elapsed: 0.00s\nTermination predicted with 2 generators at matrix 1\nEnumerating using 2 generators at a time:\n     New codeword identified of weight 3, time 0.00\nComputation complete 10 vectors enumerated in total\n (31.250000% of 9 5 code)\nFinal Results: lower = 3, upper = 3,\nTotal CPU time: 0.00, real time: 0.000\n3\n\nTotal time: 0.010 seconds, Total memory usage: 32.09MB\n</t>
  </si>
  <si>
    <t>[[10,3,5]]</t>
  </si>
  <si>
    <t>Magma V2.28-26    Tue Dec 30 2025 09:50:16 on Marks-MacBook-Air-2 [Seed = \n839449515]\nType ? for help.  Type &lt;Ctrl&gt;-D to quit.\n[0 0 1 1 1 1 1 1 0 0]\n[0 1 0 1 1 0 1 0 1 0]\n[1 0 0 1 0 1 1 0 0 1]\nLinear Code over GF(2) of length 10 with 3 generators.\nLower Bound: 1, Upper Bound: 8\nConstructed 4 distinct generator matrices\nRelative Ranks:   3   3   3   1 \n     Discarding non-contributing rank 1 matrix\n     New Relative Ranks:   3   3   3 \nTime Taken: 0.00\nStarting search for low weight codewords... (reset timings)\nEnumerating using 1 generator at a time:\n     New codeword identified of weight 5, time 0.00\n   Completed Matrix  1:  lower =  4, upper =  5. Elapsed: 0.00s\n   Completed Matrix  2:  lower =  5, upper =  5. Elapsed: 0.00s\nComputation complete 6 vectors enumerated in total\n (75.000000% of 10 3 code)\nFinal Results: lower = 5, upper = 5,\nTotal CPU time: 0.00, real time: 0.001\n[10, 3, 5] Linear Code over GF(2)\nGenerator matrix:\n[1 0 0 1 0 1 1 0 0 1]\n[0 1 0 1 1 0 1 0 1 0]\n[0 0 1 1 1 1 1 1 0 0]\nLinear Code over GF(2) of length 10 with 3 generators.\nLower Bound: 1, Upper Bound: 8\nConstructed 4 distinct generator matrices\nRelative Ranks:   3   3   3   1 \n     Discarding non-contributing rank 1 matrix\n     New Relative Ranks:   3   3   3 \nTime Taken: 0.00\nStarting search for low weight codewords... (reset timings)\nEnumerating using 1 generator at a time:\n     New codeword identified of weight 5, time 0.00\n   Completed Matrix  1:  lower =  4, upper =  5. Elapsed: 0.00s\n   Completed Matrix  2:  lower =  5, upper =  5. Elapsed: 0.00s\nComputation complete 6 vectors enumerated in total\n (75.000000% of 10 3 code)\nFinal Results: lower = 5, upper = 5,\nTotal CPU time: 0.00, real time: 0.000\n5\n\nTotal time: 0.010 seconds, Total memory usage: 32.09MB\n</t>
  </si>
  <si>
    <t>[[11,3,6]]</t>
  </si>
  <si>
    <t>Magma V2.28-26    Tue Dec 30 2025 09:50:16 on Marks-MacBook-Air-2 [Seed = \n939717025]\nType ? for help.  Type &lt;Ctrl&gt;-D to quit.\n[0 0 1 1 1 1 1 1 0 0 0]\n[1 1 0 0 1 1 0 0 1 1 0]\n[1 0 1 0 1 0 1 0 1 0 1]\nLinear Code over GF(2) of length 11 with 3 generators.\nLower Bound: 1, Upper Bound: 9\nUsing congruence d mod 2 = 0\nConstructed 4 distinct generator matrices\nRelative Ranks:   3   3   3   2 \nTime Taken: 0.00\nStarting search for low weight codewords... (reset timings)\nEnumerating using 1 generator at a time:\n     New codeword identified of weight 6, time 0.00\n   Completed Matrix  1:  lower =  4, upper =  6. Elapsed: 0.00s\n   Completed Matrix  2:  lower =  6, upper =  6. Elapsed: 0.00s\nComputation complete 6 vectors enumerated in total\n (75.000000% of 11 3 code)\nFinal Results: lower = 6, upper = 6,\nTotal CPU time: 0.00, real time: 0.001\n[11, 3, 6] Linear Code over GF(2)\nGenerator matrix:\n[1 0 0 1 0 1 0 1 1 0 1]\n[0 1 0 1 1 0 0 1 0 1 1]\n[0 0 1 1 1 1 1 1 0 0 0]\nLinear Code over GF(2) of length 11 with 3 generators.\nLower Bound: 1, Upper Bound: 9\nUsing congruence d mod 2 = 0\nConstructed 4 distinct generator matrices\nRelative Ranks:   3   3   3   2 \nTime Taken: 0.00\nStarting search for low weight codewords... (reset timings)\nEnumerating using 1 generator at a time:\n     New codeword identified of weight 6, time 0.00\n   Completed Matrix  1:  lower =  4, upper =  6. Elapsed: 0.00s\n   Completed Matrix  2:  lower =  6, upper =  6. Elapsed: 0.00s\nComputation complete 6 vectors enumerated in total\n (75.000000% of 11 3 code)\nFinal Results: lower = 6, upper = 6,\nTotal CPU time: 0.00, real time: 0.000\n6\n\nTotal time: 0.010 seconds, Total memory usage: 32.09MB\n</t>
  </si>
  <si>
    <t>[[12,3,6]]</t>
  </si>
  <si>
    <t>Magma V2.28-26    Tue Dec 30 2025 09:50:16 on Marks-MacBook-Air-2 [Seed = \n1040512935]\nType ? for help.  Type &lt;Ctrl&gt;-D to quit.\n[1 1 0 0 1 1 0 0 1 1 0 0]\n[1 0 0 1 0 1 0 1 1 0 1 0]\n[0 1 1 0 0 1 0 1 1 0 0 1]\nLinear Code over GF(2) of length 12 with 3 generators.\nLower Bound: 1, Upper Bound: 10\nUsing congruence d mod 2 = 0\nConstructed 4 distinct generator matrices\nRelative Ranks:   3   3   3   2 \nTime Taken: 0.00\nStarting search for low weight codewords... (reset timings)\nEnumerating using 1 generator at a time:\n     New codeword identified of weight 6, time 0.00\n   Completed Matrix  1:  lower =  4, upper =  6. Elapsed: 0.00s\n   Completed Matrix  2:  lower =  6, upper =  6. Elapsed: 0.00s\nComputation complete 6 vectors enumerated in total\n (75.000000% of 12 3 code)\nFinal Results: lower = 6, upper = 6,\nTotal CPU time: 0.00, real time: 0.001\n[12, 3, 6] Linear Code over GF(2)\nGenerator matrix:\n[1 0 0 1 0 1 0 1 1 0 1 0]\n[0 1 0 1 1 0 0 1 0 1 1 0]\n[0 0 1 1 1 1 0 0 1 1 1 1]\nLinear Code over GF(2) of length 12 with 3 generators.\nLower Bound: 1, Upper Bound: 10\nUsing congruence d mod 2 = 0\nConstructed 4 distinct generator matrices\nRelative Ranks:   3   3   3   2 \nTime Taken: 0.00\nStarting search for low weight codewords... (reset timings)\nEnumerating using 1 generator at a time:\n     New codeword identified of weight 6, time 0.00\n   Completed Matrix  1:  lower =  4, upper =  6. Elapsed: 0.00s\n   Completed Matrix  2:  lower =  6, upper =  6. Elapsed: 0.00s\nComputation complete 6 vectors enumerated in total\n (75.000000% of 12 3 code)\nFinal Results: lower = 6, upper = 6,\nTotal CPU time: 0.00, real time: 0.000\n6\n\nTotal time: 0.010 seconds, Total memory usage: 32.09MB\n</t>
  </si>
  <si>
    <t>[[13,5,5]]</t>
  </si>
  <si>
    <t>Magma V2.28-26    Tue Dec 30 2025 09:50:16 on Marks-MacBook-Air-2 [Seed = \n3321826397]\nType ? for help.  Type &lt;Ctrl&gt;-D to quit.\n[1 1 1 0 1 0 1 1 1 0 0 0 0]\n[1 0 0 1 1 1 1 0 0 1 0 0 0]\n[0 1 0 0 1 1 1 1 0 0 1 0 0]\n[1 1 0 0 1 1 0 0 0 0 0 1 0]\n[0 1 1 0 0 1 1 0 0 0 0 0 1]\nLinear Code over GF(2) of length 13 with 5 generators.\nLower Bound: 1, Upper Bound: 9\nConstructed 3 distinct generator matrices\nRelative Ranks:   5   5   3 \nTime Taken: 0.00\nStarting search for low weight codewords... (reset timings)\nEnumerating using 1 generator at a time:\n     New codeword identified of weight 5, time 0.00\n     Discarding non-contributing rank 3 matrix\n     New Relative Ranks:   5   5 \n   Completed Matrix  1:  lower =  3, upper =  5. Elapsed: 0.00s\n   Completed Matrix  2:  lower =  4, upper =  5. Elapsed: 0.00s\nTermination predicted with 2 generators at matrix 1\nEnumerating using 2 generators at a time:\n   Completed Matrix  1:  lower =  5, upper =  5. Elapsed: 0.00s\nComputation complete 20 vectors enumerated in total\n (62.500000% of 13 5 code)\nFinal Results: lower = 5, upper = 5,\nTotal CPU time: 0.00, real time: 0.001\n[13, 5, 5] Linear Code over GF(2)\nGenerator matrix:\n[1 0 0 0 0 0 1 1 0 0 1 1 0]\n[0 1 0 0 0 0 0 1 1 0 0 1 1]\n[0 0 1 0 0 1 1 1 1 0 0 1 0]\n[0 0 0 1 0 0 1 1 1 1 0 0 1]\n[0 0 0 0 1 1 1 0 1 0 1 1 1]\nLinear Code over GF(2) of length 13 with 5 generators.\nLower Bound: 1, Upper Bound: 9\nConstructed 3 distinct generator matrices\nRelative Ranks:   5   5   3 \nTime Taken: 0.00\nStarting search for low weight codewords... (reset timings)\nEnumerating using 1 generator at a time:\n     New codeword identified of weight 5, time 0.00\n     Discarding non-contributing rank 3 matrix\n     New Relative Ranks:   5   5 \n   Completed Matrix  1:  lower =  3, upper =  5. Elapsed: 0.00s\n   Completed Matrix  2:  lower =  4, upper =  5. Elapsed: 0.00s\nTermination predicted with 2 generators at matrix 1\nEnumerating using 2 generators at a time:\n   Completed Matrix  1:  lower =  5, upper =  5. Elapsed: 0.00s\nComputation complete 20 vectors enumerated in total\n (62.500000% of 13 5 code)\nFinal Results: lower = 5, upper = 5,\nTotal CPU time: 0.00, real time: 0.000\n5\n\nTotal time: 0.010 seconds, Total memory usage: 32.09MB\n</t>
  </si>
  <si>
    <t>[[14,6,5]]</t>
  </si>
  <si>
    <t>Magma V2.28-26    Tue Dec 30 2025 09:50:16 on Marks-MacBook-Air-2 [Seed = \n3421569619]\nType ? for help.  Type &lt;Ctrl&gt;-D to quit.\n[1 1 1 0 1 0 1 1 1 0 0 0 0 0]\n[1 0 0 1 1 1 1 0 0 1 0 0 0 0]\n[0 1 0 0 1 1 1 1 0 0 1 0 0 0]\n[1 1 0 0 1 1 0 0 0 0 0 1 0 0]\n[0 1 1 0 0 1 1 0 0 0 0 0 1 0]\n[0 0 1 1 0 0 1 1 0 0 0 0 0 1]\nLinear Code over GF(2) of length 14 with 6 generators.\nLower Bound: 1, Upper Bound: 9\nConstructed 3 distinct generator matrices\nRelative Ranks:   6   6   2 \n     Discarding non-contributing rank 2 matrix\n     New Relative Ranks:   6   6 \nTime Taken: 0.00\nStarting search for low weight codewords... (reset timings)\nEnumerating using 1 generator at a time:\n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27 vectors enumerated in total\n (42.187500% of 14 6 code)\nFinal Results: lower = 5, upper = 5,\nTotal CPU time: 0.00, real time: 0.001\n[14, 6, 5] Linear Code over GF(2)\nGenerator matrix:\n[1 0 0 0 0 0 1 1 0 0 1 1 0 0]\n[0 1 0 0 0 0 0 1 1 0 0 1 1 0]\n[0 0 1 0 0 0 0 0 1 1 0 0 1 1]\n[0 0 0 1 0 0 1 1 1 1 0 0 1 0]\n[0 0 0 0 1 0 0 1 1 1 1 0 0 1]\n[0 0 0 0 0 1 1 1 0 1 0 1 1 1]\nLinear Code over GF(2) of length 14 with 6 generators.\nLower Bound: 1, Upper Bound: 9\nConstructed 3 distinct generator matrices\nRelative Ranks:   6   6   2 \n     Discarding non-contributing rank 2 matrix\n     New Relative Ranks:   6   6 \nTime Taken: 0.00\nStarting search for low weight codewords... (reset timings)\nEnumerating using 1 generator at a time:\n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27 vectors enumerated in total\n (42.187500% of 14 6 code)\nFinal Results: lower = 5, upper = 5,\nTotal CPU time: 0.00, real time: 0.000\n5\n\nTotal time: 0.010 seconds, Total memory usage: 32.09MB\n</t>
  </si>
  <si>
    <t>[[15,7,5]]</t>
  </si>
  <si>
    <t>Magma V2.28-26    Tue Dec 30 2025 09:50:16 on Marks-MacBook-Air-2 [Seed = \n3521845321]\nType ? for help.  Type &lt;Ctrl&gt;-D to quit.\n[1 1 1 0 1 0 1 1 1 0 0 0 0 0 0]\n[1 0 0 1 1 1 1 0 0 1 0 0 0 0 0]\n[0 1 0 0 1 1 1 1 0 0 1 0 0 0 0]\n[1 1 0 0 1 1 0 0 0 0 0 1 0 0 0]\n[0 1 1 0 0 1 1 0 0 0 0 0 1 0 0]\n[0 0 1 1 0 0 1 1 0 0 0 0 0 1 0]\n[1 1 1 1 0 0 1 0 0 0 0 0 0 0 1]\nLinear Code over GF(2) of length 15 with 7 generators.\nLower Bound: 1, Upper Bound: 9\nConstructed 3 distinct generator matrices\nRelative Ranks:   7   7   1 \n     Discarding non-contributing rank 1 matrix\n     New Relative Ranks:   7   7 \nTime Taken: 0.00\nStarting search for low weight codewords... (reset timings)\nEnumerating using 1 generator at a time:\n     New codeword identified of weight 6, time 0.00\n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35 vectors enumerated in total\n (27.343750% of 15 7 code)\nFinal Results: lower = 5, upper = 5,\nTotal CPU time: 0.00, real time: 0.001\n[15, 7, 5] Linear Code over GF(2)\nGenerator matrix:\n[1 0 0 0 0 0 0 0 1 0 0 1 1 1 1]\n[0 1 0 0 0 0 0 1 1 0 0 1 1 0 0]\n[0 0 1 0 0 0 0 0 1 1 0 0 1 1 0]\n[0 0 0 1 0 0 0 0 0 1 1 0 0 1 1]\n[0 0 0 0 1 0 0 1 1 1 1 0 0 1 0]\n[0 0 0 0 0 1 0 0 1 1 1 1 0 0 1]\n[0 0 0 0 0 0 1 1 1 0 1 0 1 1 1]\nLinear Code over GF(2) of length 15 with 7 generators.\nLower Bound: 1, Upper Bound: 9\nConstructed 3 distinct generator matrices\nRelative Ranks:   7   7   1 \n     Discarding non-contributing rank 1 matrix\n     New Relative Ranks:   7   7 \nTime Taken: 0.00\nStarting search for low weight codewords... (reset timings)\nEnumerating using 1 generator at a time:\n     New codeword identified of weight 6, time 0.00\n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35 vectors enumerated in total\n (27.343750% of 15 7 code)\nFinal Results: lower = 5, upper = 5,\nTotal CPU time: 0.00, real time: 0.001\n5\n\nTotal time: 0.010 seconds, Total memory usage: 32.09MB\n</t>
  </si>
  <si>
    <t>[[16,8,5]]</t>
  </si>
  <si>
    <t>Magma V2.28-26    Tue Dec 30 2025 09:50:16 on Marks-MacBook-Air-2 [Seed = \n3622641231]\nType ? for help.  Type &lt;Ctrl&gt;-D to quit.\n[1 1 1 0 1 0 1 1 1 0 0 0 0 0 0 0]\n[1 0 0 1 1 1 1 0 0 1 0 0 0 0 0 0]\n[0 1 0 0 1 1 1 1 0 0 1 0 0 0 0 0]\n[1 1 0 0 1 1 0 0 0 0 0 1 0 0 0 0]\n[0 1 1 0 0 1 1 0 0 0 0 0 1 0 0 0]\n[0 0 1 1 0 0 1 1 0 0 0 0 0 1 0 0]\n[1 1 1 1 0 0 1 0 0 0 0 0 0 0 1 0]\n[0 1 1 1 1 0 0 1 0 0 0 0 0 0 0 1]\nLinear Code over GF(2) of length 16 with 8 generators.\nLower Bound: 1, Upper Bound: 9\nConstructed 2 distinct generator matrices\nRelative Ranks:   8   8 \nTime Taken: 0.00\nStarting search for low weight codewords... (reset timings)\nEnumerating using 1 generator at a time:\n     New codeword identified of weight 6, time 0.00\n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44 vectors enumerated in total\n (17.187500% of 16 8 code)\nFinal Results: lower = 5, upper = 5,\nTotal CPU time: 0.00, real time: 0.001\n[16, 8, 5] Linear Code over GF(2)\nGenerator matrix:\n[1 0 0 0 0 0 0 0 1 0 0 1 1 1 1 0]\n[0 1 0 0 0 0 0 0 0 1 0 0 1 1 1 1]\n[0 0 1 0 0 0 0 0 1 1 0 0 1 1 0 0]\n[0 0 0 1 0 0 0 0 0 1 1 0 0 1 1 0]\n[0 0 0 0 1 0 0 0 0 0 1 1 0 0 1 1]\n[0 0 0 0 0 1 0 0 1 1 1 1 0 0 1 0]\n[0 0 0 0 0 0 1 0 0 1 1 1 1 0 0 1]\n[0 0 0 0 0 0 0 1 1 1 0 1 0 1 1 1]\nLinear Code over GF(2) of length 16 with 8 generators.\nLower Bound: 1, Upper Bound: 9\nConstructed 2 distinct generator matrices\nRelative Ranks:   8   8 \nTime Taken: 0.00\nStarting search for low weight codewords... (reset timings)\nEnumerating using 1 generator at a time:\n     New codeword identified of weight 6, time 0.00\n     New codeword identified of weight 5, time 0.00\n   Completed Matrix  1:  lower =  3, upper =  5. Elapsed: 0.00s\n   Completed Matrix  2:  lower =  4, upper =  5. Elapsed: 0.00s\nTermination predicted with 2 generators at matrix 1\nEnumerating using 2 generators at a time:\n   Completed Matrix  1:  lower =  5, upper =  5. Elapsed: 0.00s\nComputation complete 44 vectors enumerated in total\n (17.187500% of 16 8 code)\nFinal Results: lower = 5, upper = 5,\nTotal CPU time: 0.00, real time: 0.000\n5\n\nTotal time: 0.010 seconds, Total memory usage: 32.09MB\n</t>
  </si>
  <si>
    <t>[[20,5,9]]</t>
  </si>
  <si>
    <t>Magma V2.28-26    Tue Dec 30 2025 09:50:16 on Marks-MacBook-Air-2 [Seed = \n3722908741]\nType ? for help.  Type &lt;Ctrl&gt;-D to quit.\n[1 1 1 1 1 1 1 1 1 1 1 1 1 1 1 1 0 0 0 0]\n[0 1 0 0 0 0 1 1 0 1 0 1 1 1 1 0 1 0 0 0]\n[1 1 0 1 1 0 0 1 1 0 0 1 0 1 0 0 0 1 0 0]\n[1 1 1 0 1 1 1 0 0 0 0 1 1 0 0 0 0 0 1 0]\n[0 0 0 0 1 1 1 0 1 0 1 1 0 1 1 0 0 0 0 1]\nLinear Code over GF(2) of length 20 with 5 generators.\nLower Bound: 1, Upper Bound: 16\nConstructed 4 distinct generator matrices\nRelative Ranks:   5   5   5   5 \nTime Taken: 0.00\nStarting search for low weight codewords... (reset timings)\nEnumerating using 1 generator at a time:\n     New codeword identified of weight 12, time 0.00\n     New codeword identified of weight 9, time 0.00\n   Completed Matrix  1:  lower =  5, upper =  9. Elapsed: 0.00s\n   Completed Matrix  2:  lower =  6, upper =  9. Elapsed: 0.00s\n   Completed Matrix  3:  lower =  7, upper =  9. Elapsed: 0.00s\n   Completed Matrix  4:  lower =  8, upper =  9. Elapsed: 0.00s\nTermination predicted with 2 generators at matrix 1\nEnumerating using 2 generators at a time:\n   Completed Matrix  1:  lower =  9, upper =  9. Elapsed: 0.00s\nComputation complete 30 vectors enumerated in total\n (93.750000% of 20 5 code)\nFinal Results: lower = 9, upper = 9,\nTotal CPU time: 0.00, real time: 0.001\n[20, 5, 9] Linear Code over GF(2)\nGenerator matrix:\n[1 0 0 0 0 1 0 1 1 0 0 1 1 0 1 1 1 1 1 1]\n[0 1 0 0 0 0 1 1 0 1 0 1 1 1 1 0 1 0 0 0]\n[0 0 1 0 0 1 1 0 0 1 1 0 1 0 1 1 0 1 0 0]\n[0 0 0 1 0 0 0 1 1 1 1 0 0 1 1 1 0 0 1 0]\n[0 0 0 0 1 1 1 0 1 0 1 1 0 1 1 0 0 0 0 1]\nLinear Code over GF(2) of length 20 with 5 generators.\nLower Bound: 1, Upper Bound: 16\nConstructed 4 distinct generator matrices\nRelative Ranks:   5   5   5   5 \nTime Taken: 0.00\nStarting search for low weight codewords... (reset timings)\nEnumerating using 1 generator at a time:\n     New codeword identified of weight 12, time 0.00\n     New codeword identified of weight 9, time 0.00\n   Completed Matrix  1:  lower =  5, upper =  9. Elapsed: 0.00s\n   Completed Matrix  2:  lower =  6, upper =  9. Elapsed: 0.00s\n   Completed Matrix  3:  lower =  7, upper =  9. Elapsed: 0.00s\n   Completed Matrix  4:  lower =  8, upper =  9. Elapsed: 0.00s\nTermination predicted with 2 generators at matrix 1\nEnumerating using 2 generators at a time:\n   Completed Matrix  1:  lower =  9, upper =  9. Elapsed: 0.00s\nComputation complete 30 vectors enumerated in total\n (93.750000% of 20 5 code)\nFinal Results: lower = 9, upper = 9,\nTotal CPU time: 0.00, real time: 0.001\n9\n\nTotal time: 0.010 seconds, Total memory usage: 32.09MB\n</t>
  </si>
  <si>
    <t>[[21,5,10]]</t>
  </si>
  <si>
    <t>Magma V2.28-26    Tue Dec 30 2025 09:50:16 on Marks-MacBook-Air-2 [Seed = \n3822660219]\nType ? for help.  Type &lt;Ctrl&gt;-D to quit.\n[1 1 1 1 1 1 1 1 1 1 1 1 1 1 1 1 0 0 0 0 0]\n[1 0 0 1 1 0 1 0 1 1 0 0 1 0 1 0 1 1 0 0 0]\n[1 0 1 0 1 1 0 1 0 1 0 0 0 1 1 0 1 0 1 0 0]\n[0 1 0 0 1 1 0 1 1 1 1 0 1 0 0 0 1 0 0 1 0]\n[0 1 0 0 0 0 1 1 0 1 0 1 1 1 1 0 1 0 0 0 1]\nLinear Code over GF(2) of length 21 with 5 generators.\nLower Bound: 1, Upper Bound: 17\nUsing congruence d mod 2 = 0\nConstructed 5 distinct generator matrices\nRelative Ranks:   5   5   5   5   1 \n     Discarding non-contributing rank 1 matrix\n     New Relative Ranks:   5   5   5   5 \nTime Taken: 0.00\nStarting search for low weight codewords... (reset timings)\nEnumerating using 1 generator at a time:\n     New codeword identified of weight 12, time 0.00\n     New codeword identified of weight 10, time 0.00\n   Completed Matrix  1:  lower =  6, upper = 10. Elapsed: 0.00s\n   Completed Matrix  2:  lower =  6, upper = 10. Elapsed: 0.00s\n   Completed Matrix  3:  lower =  8, upper = 10. Elapsed: 0.00s\n   Completed Matrix  4:  lower =  8, upper = 10. Elapsed: 0.00s\nTermination predicted with 2 generators at matrix 1\nEnumerating using 2 generators at a time:\n   Completed Matrix  1:  lower = 10, upper = 10. Elapsed: 0.00s\nComputation complete 30 vectors enumerated in total\n (93.750000% of 21 5 code)\nFinal Results: lower = 10, upper = 10,\nTotal CPU time: 0.00, real time: 0.001\n[21, 5, 10] Linear Code over GF(2)\nGenerator matrix:\n[1 0 0 0 0 1 0 1 1 0 0 1 1 0 1 1 1 1 1 1 0]\n[0 1 0 0 0 0 1 1 0 1 0 1 1 1 1 0 1 0 0 0 1]\n[0 0 1 0 0 1 1 0 0 1 1 0 1 0 1 1 0 1 0 0 1]\n[0 0 0 1 0 0 0 1 1 1 1 0 0 1 1 1 0 0 1 0 1]\n[0 0 0 0 1 1 1 0 1 0 1 1 0 1 1 0 0 0 0 1 1]\nLinear Code over GF(2) of length 21 with 5 generators.\nLower Bound: 1, Upper Bound: 17\nUsing congruence d mod 2 = 0\nConstructed 5 distinct generator matrices\nRelative Ranks:   5   5   5   5   1 \n     Discarding non-contributing rank 1 matrix\n     New Relative Ranks:   5   5   5   5 \nTime Taken: 0.00\nStarting search for low weight codewords... (reset timings)\nEnumerating using 1 generator at a time:\n     New codeword identified of weight 12, time 0.00\n     New codeword identified of weight 10, time 0.00\n   Completed Matrix  1:  lower =  6, upper = 10. Elapsed: 0.00s\n   Completed Matrix  2:  lower =  6, upper = 10. Elapsed: 0.00s\n   Completed Matrix  3:  lower =  8, upper = 10. Elapsed: 0.00s\n   Completed Matrix  4:  lower =  8, upper = 10. Elapsed: 0.00s\nTermination predicted with 2 generators at matrix 1\nEnumerating using 2 generators at a time:\n   Completed Matrix  1:  lower = 10, upper = 10. Elapsed: 0.00s\nComputation complete 30 vectors enumerated in total\n (93.750000% of 21 5 code)\nFinal Results: lower = 10, upper = 10,\nTotal CPU time: 0.00, real time: 0.000\n10\n\nTotal time: 0.010 seconds, Total memory usage: 32.09MB\n</t>
  </si>
  <si>
    <t>[[22,6,9]]</t>
  </si>
  <si>
    <t>Magma V2.28-26    Tue Dec 30 2025 09:50:16 on Marks-MacBook-Air-2 [Seed = \n3922927729]\nType ? for help.  Type &lt;Ctrl&gt;-D to quit.\n[1 1 0 1 1 1 1 0 0 0 1 0 0 1 0 1 0 0 0 0 0 0]\n[0 1 1 0 1 1 1 0 0 1 0 0 1 0 1 0 0 1 0 0 0 0]\n[1 1 1 0 0 1 1 1 0 0 0 1 0 1 1 0 1 0 1 0 0 0]\n[0 1 1 1 1 0 1 1 1 1 1 1 1 1 0 0 0 0 0 1 0 0]\n[0 1 0 1 0 0 1 1 1 0 1 0 1 0 1 0 1 0 0 0 1 0]\n[1 0 1 1 1 1 1 0 0 0 0 1 1 0 0 0 1 0 0 0 0 1]\nLinear Code over GF(2) of length 22 with 6 generators.\nLower Bound: 1, Upper Bound: 17\nConstructed 4 distinct generator matrices\nRelative Ranks:   6   6   6   4 \nTime Taken: 0.00\nStarting search for low weight codewords... (reset timings)\nEnumerating using 1 generator at a time:\n     New codeword identified of weight 11, time 0.00\n     New codeword identified of weight 10, time 0.00\n     New codeword identified of weight 9, time 0.00\n     Discarding non-contributing rank 4 matrix\n     New Relative Ranks:   6   6   6 \n   Completed Matrix  1:  lower =  4, upper =  9. Elapsed: 0.00s\n   Completed Matrix  2:  lower =  5, upper =  9. Elapsed: 0.00s\n   Completed Matrix  3:  lower =  6, upper =  9. Elapsed: 0.00s\nTermination predicted with 2 generators at matrix 3\nEnumerating using 2 generators at a time:\n   Completed Matrix  1:  lower =  7, upper =  9. Elapsed: 0.00s\n   Completed Matrix  2:  lower =  8, upper =  9. Elapsed: 0.00s\n   Completed Matrix  3:  lower =  9, upper =  9. Elapsed: 0.00s\nComputation complete 63 vectors enumerated in total\n (98.437500% of 22 6 code)\nFinal Results: lower = 9, upper = 9,\nTotal CPU time: 0.00, real time: 0.001\n[22, 6, 9] Linear Code over GF(2)\nGenerator matrix:\n[1 0 0 0 0 0 1 1 1 1 1 1 1 0 0 0 0 1 0 0 1 1]\n[0 1 0 0 0 0 1 0 1 1 0 0 1 1 1 1 1 0 1 1 0 0]\n[0 0 1 0 0 0 1 0 1 1 1 1 0 0 1 0 0 0 1 1 0 1]\n[0 0 0 1 0 0 0 1 0 1 1 0 0 1 0 1 0 0 1 1 1 0]\n[0 0 0 0 1 0 1 0 1 0 1 0 0 1 0 0 1 0 1 0 1 1]\n[0 0 0 0 0 1 0 0 1 1 0 1 0 0 1 1 0 1 1 0 1 0]\nLinear Code over GF(2) of length 22 with 6 generators.\nLower Bound: 1, Upper Bound: 17\nConstructed 4 distinct generator matrices\nRelative Ranks:   6   6   6   4 \nTime Taken: 0.00\nStarting search for low weight codewords... (reset timings)\nEnumerating using 1 generator at a time:\n     New codeword identified of weight 11, time 0.00\n     New codeword identified of weight 10, time 0.00\n     New codeword identified of weight 9, time 0.00\n     Discarding non-contributing rank 4 matrix\n     New Relative Ranks:   6   6   6 \n   Completed Matrix  1:  lower =  4, upper =  9. Elapsed: 0.00s\n   Completed Matrix  2:  lower =  5, upper =  9. Elapsed: 0.00s\n   Completed Matrix  3:  lower =  6, upper =  9. Elapsed: 0.00s\nTermination predicted with 2 generators at matrix 3\nEnumerating using 2 generators at a time:\n   Completed Matrix  1:  lower =  7, upper =  9. Elapsed: 0.00s\n   Completed Matrix  2:  lower =  8, upper =  9. Elapsed: 0.00s\n   Completed Matrix  3:  lower =  9, upper =  9. Elapsed: 0.00s\nComputation complete 63 vectors enumerated in total\n (98.437500% of 22 6 code)\nFinal Results: lower = 9, upper = 9,\nTotal CPU time: 0.00, real time: 0.000\n9\n\nTotal time: 0.010 seconds, Total memory usage: 32.09MB\n</t>
  </si>
  <si>
    <t>[[23,7,9]]</t>
  </si>
  <si>
    <t>Magma V2.28-26    Tue Dec 30 2025 09:50:16 on Marks-MacBook-Air-2 [Seed = \n4023723639]\nType ? for help.  Type &lt;Ctrl&gt;-D to quit.\n[1 1 0 1 1 1 1 0 0 0 1 0 0 1 0 1 0 0 0 0 0 0 0]\n[0 1 1 0 1 1 1 0 0 1 0 0 1 0 1 0 0 1 0 0 0 0 0]\n[1 1 1 0 0 1 1 1 0 0 0 1 0 1 1 0 1 0 1 0 0 0 0]\n[0 1 1 1 1 0 1 1 1 1 1 1 1 1 0 0 0 0 0 1 0 0 0]\n[0 1 0 1 0 0 1 1 1 0 1 0 1 0 1 0 1 0 0 0 1 0 0]\n[1 0 1 1 1 1 1 0 0 0 0 1 1 0 0 0 1 0 0 0 0 1 0]\n[0 0 0 1 0 1 1 0 1 1 0 1 0 1 0 0 1 0 0 0 0 0 1]\nLinear Code over GF(2) of length 23 with 7 generators.\nLower Bound: 1, Upper Bound: 17\nConstructed 4 distinct generator matrices\nRelative Ranks:   7   7   7   2 \n     Discarding non-contributing rank 2 matrix\n     New Relative Ranks:   7   7   7 \nTime Taken: 0.00\nStarting search for low weight codewords... (reset timings)\nEnumerating using 1 generator at a time:\n     New codeword identified of weight 10, time 0.00\n     New codeword identified of weight 9, time 0.00\n   Completed Matrix  1:  lower =  4, upper =  9. Elapsed: 0.00s\n   Completed Matrix  2:  lower =  5, upper =  9. Elapsed: 0.00s\n   Completed Matrix  3:  lower =  6, upper =  9. Elapsed: 0.00s\nTermination predicted with 2 generators at matrix 3\nEnumerating using 2 generators at a time:\n   Completed Matrix  1:  lower =  7, upper =  9. Elapsed: 0.00s\n   Completed Matrix  2:  lower =  8, upper =  9. Elapsed: 0.00s\n   Completed Matrix  3:  lower =  9, upper =  9. Elapsed: 0.00s\nComputation complete 84 vectors enumerated in total\n (65.625000% of 23 7 code)\nFinal Results: lower = 9, upper = 9,\nTotal CPU time: 0.00, real time: 0.001\n[23, 7, 9] Linear Code over GF(2)\nGenerator matrix:\n[1 0 0 0 0 0 0 0 1 0 0 1 1 0 1 0 1 0 0 1 1 1 1]\n[0 1 0 0 0 0 0 1 1 0 1 0 1 1 0 1 0 1 1 0 0 0 1]\n[0 0 1 0 0 0 0 1 1 0 0 1 0 0 0 0 1 1 1 0 0 1 1]\n[0 0 0 1 0 0 0 1 0 1 1 0 0 1 0 1 0 0 1 1 1 0 0]\n[0 0 0 0 1 0 0 1 1 1 0 0 0 1 1 0 0 1 1 1 1 1 1]\n[0 0 0 0 0 1 0 0 1 1 0 1 0 0 1 1 0 1 1 0 1 0 0]\n[0 0 0 0 0 0 1 1 0 1 1 0 0 0 1 0 1 1 0 1 0 0 1]\nLinear Code over GF(2) of length 23 with 7 generators.\nLower Bound: 1, Upper Bound: 17\nConstructed 4 distinct generator matrices\nRelative Ranks:   7   7   7   2 \n     Discarding non-contributing rank 2 matrix\n     New Relative Ranks:   7   7   7 \nTime Taken: 0.00\nStarting search for low weight codewords... (reset timings)\nEnumerating using 1 generator at a time:\n     New codeword identified of weight 10, time 0.00\n     New codeword identified of weight 9, time 0.00\n   Completed Matrix  1:  lower =  4, upper =  9. Elapsed: 0.00s\n   Completed Matrix  2:  lower =  5, upper =  9. Elapsed: 0.00s\n   Completed Matrix  3:  lower =  6, upper =  9. Elapsed: 0.00s\nTermination predicted with 2 generators at matrix 3\nEnumerating using 2 generators at a time:\n   Completed Matrix  1:  lower =  7, upper =  9. Elapsed: 0.00s\n   Completed Matrix  2:  lower =  8, upper =  9. Elapsed: 0.00s\n   Completed Matrix  3:  lower =  9, upper =  9. Elapsed: 0.00s\nComputation complete 84 vectors enumerated in total\n (65.625000% of 23 7 code)\nFinal Results: lower = 9, upper = 9,\nTotal CPU time: 0.00, real time: 0.000\n9\n\nTotal time: 0.010 seconds, Total memory usage: 32.09MB\n</t>
  </si>
  <si>
    <t>[[24,3,13]]</t>
  </si>
  <si>
    <t>Magma V2.28-26    Tue Dec 30 2025 09:50:16 on Marks-MacBook-Air-2 [Seed = \n4123999341]\nType ? for help.  Type &lt;Ctrl&gt;-D to quit.\n[1 1 1 1 1 1 1 0 0 1 1 1 1 1 1 1 1 0 0 0 0 0 0 0]\n[1 1 0 1 1 0 0 1 1 1 1 1 1 0 0 0 0 1 1 1 1 0 0 0]\n[1 0 1 1 0 1 0 1 0 1 1 0 0 1 1 0 0 1 1 0 0 1 1 1]\nLinear Code over GF(2) of length 24 with 3 generators.\nLower Bound: 1, Upper Bound: 22\nConstructed 8 distinct generator matrices\nRelative Ranks:   3   3   3   3   3   3   3   3 \nTime Taken: 0.00\nStarting search for low weight codewords... (reset timings)\nEnumerating using 1 generator at a time:\n     New codeword identified of weight 14, time 0.00\n     New codeword identified of weight 13, time 0.00\n   Completed Matrix  1:  lower =  9, upper = 13. Elapsed: 0.00s\n   Completed Matrix  2:  lower = 10, upper = 13. Elapsed: 0.00s\n   Completed Matrix  3:  lower = 11, upper = 13. Elapsed: 0.00s\n   Completed Matrix  4:  lower = 12, upper = 13. Elapsed: 0.00s\n   Completed Matrix  5:  lower = 13, upper = 13. Elapsed: 0.00s\nComputation complete 15 vectors enumerated in total\n (187.500000% of 24 3 code)\nFinal Results: lower = 13, upper = 13,\nTotal CPU time: 0.00, real time: 0.001\n[24, 3, 13] Linear Code over GF(2)\nGenerator matrix:\n[1 0 0 1 0 0 1 0 1 1 1 0 0 0 0 1 1 0 0 1 1 1 1 1]\n[0 1 0 0 1 0 1 1 0 0 0 1 1 0 0 1 1 1 1 0 0 1 1 1]\n[0 0 1 0 0 1 1 1 1 0 0 0 0 1 1 1 1 1 1 1 1 0 0 0]\nLinear Code over GF(2) of length 24 with 3 generators.\nLower Bound: 1, Upper Bound: 22\nConstructed 8 distinct generator matrices\nRelative Ranks:   3   3   3   3   3   3   3   3 \nTime Taken: 0.00\nStarting search for low weight codewords... (reset timings)\nEnumerating using 1 generator at a time:\n     New codeword identified of weight 14, time 0.00\n     New codeword identified of weight 13, time 0.00\n   Completed Matrix  1:  lower =  9, upper = 13. Elapsed: 0.00s\n   Completed Matrix  2:  lower = 10, upper = 13. Elapsed: 0.00s\n   Completed Matrix  3:  lower = 11, upper = 13. Elapsed: 0.00s\n   Completed Matrix  4:  lower = 12, upper = 13. Elapsed: 0.00s\n   Completed Matrix  5:  lower = 13, upper = 13. Elapsed: 0.00s\nComputation complete 15 vectors enumerated in total\n (187.500000% of 24 3 code)\nFinal Results: lower = 13, upper = 13,\nTotal CPU time: 0.00, real time: 0.001\n13\n\nTotal time: 0.010 seconds, Total memory usage: 32.09MB\n</t>
  </si>
  <si>
    <t>[[25,15,5]]</t>
  </si>
  <si>
    <t>Magma V2.28-26    Tue Dec 30 2025 09:50:17 on Marks-MacBook-Air-2 [Seed = \n4223742562]\nType ? for help.  Type &lt;Ctrl&gt;-D to quit.\n[1 1 1 1 0 0 1 0 1 1 1 0 0 0 0 0 0 0 0 0 0 0 0 0 0]\n[1 1 1 1 1 0 0 1 0 1 0 1 0 0 0 0 0 0 0 0 0 0 0 0 0]\n[1 1 1 1 1 1 0 0 1 0 0 0 1 0 0 0 0 0 0 0 0 0 0 0 0]\n[0 1 1 1 1 1 1 0 0 1 0 0 0 1 0 0 0 0 0 0 0 0 0 0 0]\n[1 0 1 1 1 1 1 1 0 0 0 0 0 0 1 0 0 0 0 0 0 0 0 0 0]\n[0 1 0 1 1 1 1 1 1 0 0 0 0 0 0 1 0 0 0 0 0 0 0 0 0]\n[0 0 1 0 1 1 1 1 1 1 0 0 0 0 0 0 1 0 0 0 0 0 0 0 0]\n[1 0 0 1 0 1 1 1 1 1 0 0 0 0 0 0 0 1 0 0 0 0 0 0 0]\n[1 1 0 0 1 0 1 1 1 1 0 0 0 0 0 0 0 0 1 0 0 0 0 0 0]\n[1 1 1 0 0 1 0 1 1 1 0 0 0 0 0 0 0 0 0 1 0 0 0 0 0]\n[1 0 1 0 1 0 1 0 1 0 0 0 0 0 0 0 0 0 0 0 1 0 0 0 0]\n[0 1 0 1 0 1 0 1 0 1 0 0 0 0 0 0 0 0 0 0 0 1 0 0 0]\n[1 0 1 0 0 0 0 0 1 1 0 0 0 0 0 0 0 0 0 0 0 0 1 0 0]\n[0 0 1 1 1 0 1 0 0 0 0 0 0 0 0 0 0 0 0 0 0 0 0 1 0]\n[1 0 1 1 1 1 1 0 1 1 0 0 0 0 0 0 0 0 0 0 0 0 0 0 1]\nLinear Code over GF(2) of length 25 with 15 generators.\nLower Bound: 1, Upper Bound: 11\nConstructed 2 distinct generator matrices\nRelative Ranks:  15  10 \nTime Taken: 0.00\nStarting search for low weight codewords... (reset timings)\nEnumerating using 1 generator at a time:\n     New codeword identified of weight 5, time 0.00\n     Discarding non-contributing rank 10 matrix\n     New Relative Ranks:  15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1940 vectors enumerated in total\n (5.920410% of 25 15 code)\nFinal Results: lower = 5, upper = 5,\nTotal CPU time: 0.00, real time: 0.001\n[25, 15, 5] Linear Code over GF(2)\nGenerator matrix:\n[1 0 0 0 0 0 0 0 0 0 0 0 0 0 0 1 0 0 1 0 1 0 0 0 1]\n[0 1 0 0 0 0 0 0 0 0 0 0 0 0 0 1 1 0 0 0 1 0 1 1 0]\n[0 0 1 0 0 0 0 0 0 0 0 0 0 0 0 0 0 0 0 1 1 1 0 1 0]\n[0 0 0 1 0 0 0 0 0 0 0 0 0 0 0 0 0 0 1 0 1 1 1 1 1]\n[0 0 0 0 1 0 0 0 0 0 0 0 0 0 0 1 1 1 0 1 1 0 1 0 0]\n[0 0 0 0 0 1 0 0 0 0 0 0 0 0 0 0 0 0 0 1 1 1 1 0 1]\n[0 0 0 0 0 0 1 0 0 0 0 0 0 0 0 1 1 1 1 0 1 0 0 1 1]\n[0 0 0 0 0 0 0 1 0 0 0 0 0 0 0 1 1 0 0 0 0 1 1 1 1]\n[0 0 0 0 0 0 0 0 1 0 0 0 0 0 0 1 0 0 0 0 1 1 1 0 0]\n[0 0 0 0 0 0 0 0 0 1 0 0 0 0 0 0 0 0 1 1 1 0 0 1 1]\n[0 0 0 0 0 0 0 0 0 0 1 0 0 0 0 0 0 1 0 0 1 1 1 1 0]\n[0 0 0 0 0 0 0 0 0 0 0 1 0 0 0 0 1 1 1 1 0 1 0 1 0]\n[0 0 0 0 0 0 0 0 0 0 0 0 1 0 0 0 0 1 0 1 1 0 1 1 1]\n[0 0 0 0 0 0 0 0 0 0 0 0 0 1 0 1 1 0 1 0 1 1 0 1 0]\n[0 0 0 0 0 0 0 0 0 0 0 0 0 0 1 0 1 0 1 1 0 0 0 0 1]\nLinear Code over GF(2) of length 25 with 15 generators.\nLower Bound: 1, Upper Bound: 11\nConstructed 2 distinct generator matrices\nRelative Ranks:  15  10 \nTime Taken: 0.00\nStarting search for low weight codewords... (reset timings)\nEnumerating using 1 generator at a time:\n     New codeword identified of weight 5, time 0.00\n     Discarding non-contributing rank 10 matrix\n     New Relative Ranks:  15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1940 vectors enumerated in total\n (5.920410% of 25 15 code)\nFinal Results: lower = 5, upper = 5,\nTotal CPU time: 0.00, real time: 0.000\n5\n\nTotal time: 0.010 seconds, Total memory usage: 32.09MB\n</t>
  </si>
  <si>
    <t>[[26,9,9]]</t>
  </si>
  <si>
    <t>Magma V2.28-26    Tue Dec 30 2025 09:50:17 on Marks-MacBook-Air-2 [Seed = \n2176534552]\nType ? for help.  Type &lt;Ctrl&gt;-D to quit.\n[1 1 1 1 1 1 1 1 1 0 0 0 0 0 0 0 0 0 0 0 0 0 0 0 0 0]\n[0 0 0 0 0 0 0 0 0 1 1 1 1 1 1 1 1 1 0 0 0 0 0 0 0 0]\n[1 0 0 1 1 1 1 1 0 1 1 1 1 0 1 0 0 0 1 1 0 0 0 0 0 0]\n[0 0 1 0 1 1 1 1 0 1 0 0 0 1 1 1 0 0 1 0 1 0 0 0 0 0]\n[0 1 1 1 0 1 1 1 0 1 0 1 1 0 0 1 1 0 1 0 0 1 0 0 0 0]\n[0 1 0 1 1 0 1 1 0 0 1 0 1 0 0 1 0 0 1 0 0 0 1 0 0 0]\n[0 1 0 0 1 1 0 1 0 1 1 0 1 1 1 0 1 0 1 0 0 0 0 1 0 0]\n[0 1 0 0 0 1 1 0 0 0 1 1 0 0 1 0 1 0 1 0 0 0 0 0 1 0]\n[1 0 1 1 1 1 0 0 0 0 0 1 1 1 0 0 1 0 1 0 0 0 0 0 0 1]\nLinear Code over GF(2) of length 26 with 9 generators.\nLower Bound: 1, Upper Bound: 18\nConstructed 3 distinct generator matrices\nRelative Ranks:   9   9   8 \nTime Taken: 0.00\nStarting search for low weight codewords... (reset timings)\nEnumerating using 1 generator at a time:\n     New codeword identified of weight 9, time 0.00\n   Completed Matrix  1:  lower =  3, upper =  9. Elapsed: 0.00s\n   Completed Matrix  2:  lower =  4, upper =  9. Elapsed: 0.00s\n   Completed Matrix  3:  lower =  5, upper =  9. Elapsed: 0.00s\nTermination predicted with 3 generators at matrix 1\nEnumerating using 2 generators at a time:\n   Completed Matrix  1:  lower =  6, upper =  9. Elapsed: 0.00s\n   Completed Matrix  2:  lower =  7, upper =  9. Elapsed: 0.00s\n   Completed Matrix  3:  lower =  8, upper =  9. Elapsed: 0.00s\nTermination predicted with 3 generators at matrix 1\nEnumerating using 3 generators at a time:\n   Completed Matrix  1:  lower =  9, upper =  9. Elapsed: 0.00s\nComputation complete 219 vectors enumerated in total\n (42.773438% of 26 9 code)\nFinal Results: lower = 9, upper = 9,\nTotal CPU time: 0.00, real time: 0.001\n[26, 9, 9] Linear Code over GF(2)\nGenerator matrix:\n[1 0 0 0 0 0 0 0 1 0 1 1 0 0 1 0 0 0 0 0 1 0 1 1 1 0]\n[0 1 0 0 0 0 0 0 1 0 1 0 1 0 1 1 0 0 0 0 1 1 1 0 0 1]\n[0 0 1 0 0 0 0 0 0 0 1 0 1 1 1 0 1 1 1 1 1 1 1 0 0 1]\n[0 0 0 1 0 0 0 0 1 0 1 0 0 0 0 1 1 1 1 0 1 1 0 1 1 1]\n[0 0 0 0 1 0 0 0 0 0 0 1 0 1 0 0 0 1 1 0 1 1 1 1 1 0]\n[0 0 0 0 0 1 0 0 0 0 1 1 0 1 0 1 1 1 0 1 0 1 1 1 1 1]\n[0 0 0 0 0 0 1 0 1 0 1 0 1 1 0 0 0 1 1 1 1 0 0 1 0 0]\n[0 0 0 0 0 0 0 1 1 0 0 1 1 0 1 1 1 1 0 1 0 1 1 1 0 0]\n[0 0 0 0 0 0 0 0 0 1 1 1 1 1 1 1 1 1 0 0 0 0 0 0 0 0]\nLinear Code over GF(2) of length 26 with 9 generators.\nLower Bound: 1, Upper Bound: 18\nConstructed 3 distinct generator matrices\nRelative Ranks:   9   9   8 \nTime Taken: 0.00\nStarting search for low weight codewords... (reset timings)\nEnumerating using 1 generator at a time:\n     New codeword identified of weight 9, time 0.00\n   Completed Matrix  1:  lower =  3, upper =  9. Elapsed: 0.00s\n   Completed Matrix  2:  lower =  4, upper =  9. Elapsed: 0.00s\n   Completed Matrix  3:  lower =  5, upper =  9. Elapsed: 0.00s\nTermination predicted with 3 generators at matrix 1\nEnumerating using 2 generators at a time:\n   Completed Matrix  1:  lower =  6, upper =  9. Elapsed: 0.00s\n   Completed Matrix  2:  lower =  7, upper =  9. Elapsed: 0.00s\n   Completed Matrix  3:  lower =  8, upper =  9. Elapsed: 0.00s\nTermination predicted with 3 generators at matrix 1\nEnumerating using 3 generators at a time:\n   Completed Matrix  1:  lower =  9, upper =  9. Elapsed: 0.00s\nComputation complete 219 vectors enumerated in total\n (42.773438% of 26 9 code)\nFinal Results: lower = 9, upper = 9,\nTotal CPU time: 0.00, real time: 0.000\n9\n\nTotal time: 0.010 seconds, Total memory usage: 32.09MB\n</t>
  </si>
  <si>
    <t>[[27,10,9]]</t>
  </si>
  <si>
    <t>Magma V2.28-26    Tue Dec 30 2025 09:50:17 on Marks-MacBook-Air-2 [Seed = \n2277330462]\nType ? for help.  Type &lt;Ctrl&gt;-D to quit.\n[1 1 1 1 1 1 1 1 1 0 0 0 0 0 0 0 0 0 0 0 0 0 0 0 0 0 0]\n[0 0 0 0 0 0 0 0 0 1 1 1 1 1 1 1 1 1 0 0 0 0 0 0 0 0 0]\n[1 0 0 1 1 1 1 1 0 1 1 1 1 0 1 0 0 0 1 1 0 0 0 0 0 0 0]\n[0 0 1 0 1 1 1 1 0 1 0 0 0 1 1 1 0 0 1 0 1 0 0 0 0 0 0]\n[0 1 1 1 0 1 1 1 0 1 0 1 1 0 0 1 1 0 1 0 0 1 0 0 0 0 0]\n[0 1 0 1 1 0 1 1 0 0 1 0 1 0 0 1 0 0 1 0 0 0 1 0 0 0 0]\n[0 1 0 0 1 1 0 1 0 1 1 0 1 1 1 0 1 0 1 0 0 0 0 1 0 0 0]\n[0 1 0 0 0 1 1 0 0 0 1 1 0 0 1 0 1 0 1 0 0 0 0 0 1 0 0]\n[1 0 1 1 1 1 0 0 0 0 0 1 1 1 0 0 1 0 1 0 0 0 0 0 0 1 0]\n[1 1 0 0 0 0 0 1 0 0 0 0 1 0 1 1 1 0 1 0 0 0 0 0 0 0 1]\nLinear Code over GF(2) of length 27 with 10 generators.\nLower Bound: 1, Upper Bound: 18\nConstructed 3 distinct generator matrices\nRelative Ranks:  10  10   7 \nTime Taken: 0.00\nStarting search for low weight codewords... (reset timings)\nEnumerating using 1 generator at a time:\n     New codeword identified of weight 11, time 0.00\n     New codeword identified of weight 9, time 0.00\n   Completed Matrix  1:  lower =  3, upper =  9. Elapsed: 0.00s\n   Completed Matrix  2:  lower =  4, upper =  9. Elapsed: 0.00s\n   Completed Matrix  3:  lower =  4, upper =  9. Elapsed: 0.00s\nTermination predicted with 3 generators at matrix 3\nEnumerating using 2 generators at a time:\n   Completed Matrix  1:  lower =  5, upper =  9. Elapsed: 0.00s\n   Completed Matrix  2:  lower =  6, upper =  9. Elapsed: 0.00s\n   Completed Matrix  3:  lower =  6, upper =  9. Elapsed: 0.00s\nTermination predicted with 3 generators at matrix 3\nEnumerating using 3 generators at a time:\n   Completed Matrix  1:  lower =  7, upper =  9. Elapsed: 0.00s\n   Completed Matrix  2:  lower =  8, upper =  9. Elapsed: 0.00s\n   Completed Matrix  3:  lower =  9, upper =  9. Elapsed: 0.00s\nComputation complete 525 vectors enumerated in total\n (51.269531% of 27 10 code)\nFinal Results: lower = 9, upper = 9,\nTotal CPU time: 0.00, real time: 0.001\n[27, 10, 9] Quasicyclic of degree 3 Linear Code over GF(2)\nGenerator matrix:\n[1 0 0 0 0 0 0 0 0 0 1 1 1 0 1 1 0 1 1 1 1 0 0 1 0 1 1]\n[0 1 0 0 0 0 0 0 0 0 1 0 0 0 1 0 0 1 1 1 1 1 0 0 1 0 1]\n[0 0 1 0 0 0 0 0 0 0 1 0 1 1 1 0 1 1 1 1 1 1 1 0 0 1 0]\n[0 0 0 1 0 0 0 0 0 0 1 0 1 0 0 0 1 0 0 1 1 1 1 1 0 0 1]\n[0 0 0 0 1 0 0 0 0 0 0 1 0 1 0 0 0 1 1 0 1 1 1 1 1 0 0]\n[0 0 0 0 0 1 0 0 0 0 1 1 0 1 0 1 1 1 0 1 0 1 1 1 1 1 0]\n[0 0 0 0 0 0 1 0 0 0 1 0 0 1 0 1 0 0 0 0 1 0 1 1 1 1 1]\n[0 0 0 0 0 0 0 1 0 0 0 1 0 0 1 0 1 0 1 0 0 1 0 1 1 1 1]\n[0 0 0 0 0 0 0 0 1 0 0 0 1 0 0 1 0 1 1 1 0 0 1 0 1 1 1]\n[0 0 0 0 0 0 0 0 0 1 1 1 1 1 1 1 1 1 0 0 0 0 0 0 0 0 0]\nLinear Code over GF(2) of length 27 with 10 generators.\nLower Bound: 1, Upper Bound: 18\nConstructed 3 distinct generator matrices\nRelative Ranks:  10  10   7 \nTime Taken: 0.00\nStarting search for low weight codewords... (reset timings)\nEnumerating using 1 generator at a time:\n     New codeword identified of weight 11, time 0.00\n     New codeword identified of weight 9, time 0.00\n   Completed Matrix  1:  lower =  3, upper =  9. Elapsed: 0.00s\n   Completed Matrix  2:  lower =  4, upper =  9. Elapsed: 0.00s\n   Completed Matrix  3:  lower =  4, upper =  9. Elapsed: 0.00s\nTermination predicted with 3 generators at matrix 3\nEnumerating using 2 generators at a time:\n   Completed Matrix  1:  lower =  5, upper =  9. Elapsed: 0.00s\n   Completed Matrix  2:  lower =  6, upper =  9. Elapsed: 0.00s\n   Completed Matrix  3:  lower =  6, upper =  9. Elapsed: 0.00s\nTermination predicted with 3 generators at matrix 3\nEnumerating using 3 generators at a time:\n   Completed Matrix  1:  lower =  7, upper =  9. Elapsed: 0.00s\n   Completed Matrix  2:  lower =  8, upper =  9. Elapsed: 0.00s\n   Completed Matrix  3:  lower =  9, upper =  9. Elapsed: 0.00s\nComputation complete 525 vectors enumerated in total\n (51.269531% of 27 10 code)\nFinal Results: lower = 9, upper = 9,\nTotal CPU time: 0.00, real time: 0.000\n9\n\nTotal time: 0.010 seconds, Total memory usage: 32.09MB\n</t>
  </si>
  <si>
    <t>[[28,18,5]]</t>
  </si>
  <si>
    <t>Magma V2.28-26    Tue Dec 30 2025 09:50:17 on Marks-MacBook-Air-2 [Seed = \n2377597972]\nType ? for help.  Type &lt;Ctrl&gt;-D to quit.\n[1 1 1 1 0 0 1 0 1 1 1 0 0 0 0 0 0 0 0 0 0 0 0 0 0 0 0 0]\n[1 1 1 1 1 0 0 1 0 1 0 1 0 0 0 0 0 0 0 0 0 0 0 0 0 0 0 0]\n[1 1 1 1 1 1 0 0 1 0 0 0 1 0 0 0 0 0 0 0 0 0 0 0 0 0 0 0]\n[0 1 1 1 1 1 1 0 0 1 0 0 0 1 0 0 0 0 0 0 0 0 0 0 0 0 0 0]\n[1 0 1 1 1 1 1 1 0 0 0 0 0 0 1 0 0 0 0 0 0 0 0 0 0 0 0 0]\n[0 1 0 1 1 1 1 1 1 0 0 0 0 0 0 1 0 0 0 0 0 0 0 0 0 0 0 0]\n[0 0 1 0 1 1 1 1 1 1 0 0 0 0 0 0 1 0 0 0 0 0 0 0 0 0 0 0]\n[1 0 0 1 0 1 1 1 1 1 0 0 0 0 0 0 0 1 0 0 0 0 0 0 0 0 0 0]\n[1 1 0 0 1 0 1 1 1 1 0 0 0 0 0 0 0 0 1 0 0 0 0 0 0 0 0 0]\n[1 1 1 0 0 1 0 1 1 1 0 0 0 0 0 0 0 0 0 1 0 0 0 0 0 0 0 0]\n[1 0 1 0 1 0 1 0 1 0 0 0 0 0 0 0 0 0 0 0 1 0 0 0 0 0 0 0]\n[0 1 0 1 0 1 0 1 0 1 0 0 0 0 0 0 0 0 0 0 0 1 0 0 0 0 0 0]\n[1 0 1 0 0 0 0 0 1 1 0 0 0 0 0 0 0 0 0 0 0 0 1 0 0 0 0 0]\n[0 0 1 1 1 0 1 0 0 0 0 0 0 0 0 0 0 0 0 0 0 0 0 1 0 0 0 0]\n[1 0 1 1 1 1 1 0 1 1 0 0 0 0 0 0 0 0 0 0 0 0 0 0 1 0 0 0]\n[0 1 1 0 0 1 1 0 1 1 0 0 0 0 0 0 0 0 0 0 0 0 0 0 0 1 0 0]\n[1 0 1 0 0 1 1 0 0 0 0 0 0 0 0 0 0 0 0 0 0 0 0 0 0 0 1 0]\n[0 0 0 1 0 0 1 1 0 1 0 0 0 0 0 0 0 0 0 0 0 0 0 0 0 0 0 1]\n[28, 18] Linear Code over GF(2)\nGenerator matrix:\n[1 0 0 0 0 0 0 0 0 0 0 0 0 0 0 0 0 0 0 0 0 1 1 0 0 1 0 1]\n[0 1 0 0 0 0 0 0 0 0 0 0 0 0 0 0 0 0 0 1 1 1 1 1 0 1 1 0]\n[0 0 1 0 0 0 0 0 0 0 0 0 0 0 0 0 0 0 0 1 1 1 0 1 0 0 0 0]\n[0 0 0 1 0 0 0 0 0 0 0 0 0 0 0 0 0 0 1 0 1 1 1 1 1 0 0 0]\n[0 0 0 0 1 0 0 0 0 0 0 0 0 0 0 0 0 0 1 1 0 1 1 0 0 1 1 1]\n[0 0 0 0 0 1 0 0 0 0 0 0 0 0 0 0 0 0 0 1 1 1 1 0 1 0 0 0]\n[0 0 0 0 0 0 1 0 0 0 0 0 0 0 0 0 0 0 0 0 0 1 0 1 1 1 1 1]\n[0 0 0 0 0 0 0 1 0 0 0 0 0 0 0 0 0 0 0 1 0 0 1 1 1 1 1 0]\n[0 0 0 0 0 0 0 0 1 0 0 0 0 0 0 0 0 0 1 0 0 0 0 0 1 1 0 1]\n[0 0 0 0 0 0 0 0 0 1 0 0 0 0 0 0 0 0 1 1 1 0 0 1 1 0 0 0]\n[0 0 0 0 0 0 0 0 0 0 1 0 0 0 0 0 0 0 1 1 0 1 1 1 0 0 0 1]\n[0 0 0 0 0 0 0 0 0 0 0 1 0 0 0 0 0 0 1 1 0 1 1 1 1 0 1 0]\n[0 0 0 0 0 0 0 0 0 0 0 0 1 0 0 0 0 0 1 0 0 0 1 1 1 0 0 1]\n[0 0 0 0 0 0 0 0 0 0 0 0 0 1 0 0 0 0 1 1 1 0 0 1 0 1 1 0]\n[0 0 0 0 0 0 0 0 0 0 0 0 0 0 1 0 0 0 0 0 1 0 1 0 0 0 1 1]\n[0 0 0 0 0 0 0 0 0 0 0 0 0 0 0 1 0 0 1 0 1 1 1 0 1 1 0 1]\n[0 0 0 0 0 0 0 0 0 0 0 0 0 0 0 0 1 0 1 1 1 0 1 0 1 0 1 1]\n[0 0 0 0 0 0 0 0 0 0 0 0 0 0 0 0 0 1 1 1 1 0 0 0 0 0 0 1]\nLinear Code over GF(2) of length 28 with 18 generators.\nLower Bound: 1, Upper Bound: 11\nConstructed 2 distinct generator matrices\nRelative Ranks:  18  10 \nTime Taken: 0.00\nStarting search for low weight codewords... (reset timings)\nEnumerating using 1 generator at a time:\n     New codeword identified of weight 5, time 0.00\n     Discarding non-contributing rank 10 matrix\n     New Relative Ranks:  18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4047 vectors enumerated in total\n (1.543808% of 28 18 code)\nFinal Results: lower = 5, upper = 5,\nTotal CPU time: 0.00, real time: 0.001\n5\n\nTotal time: 0.010 seconds, Total memory usage: 32.09MB\n</t>
  </si>
  <si>
    <t>[[29,6,13]]</t>
  </si>
  <si>
    <t>Magma V2.28-26    Tue Dec 30 2025 09:50:17 on Marks-MacBook-Air-2 [Seed = \n2477349386]\nType ? for help.  Type &lt;Ctrl&gt;-D to quit.\n[1 1 1 1 1 1 1 1 1 1 1 1 1 1 1 1 0 0 0 0 0 0 0 0 0 0 0 0 0]\n[1 1 1 1 1 1 1 1 0 0 0 0 0 0 0 0 1 1 1 1 1 1 1 1 0 0 0 0 0]\n[1 1 0 0 0 0 1 1 0 0 1 1 1 1 0 0 0 0 1 1 1 1 0 0 1 1 0 0 0]\n[1 0 1 0 0 1 0 1 0 1 0 1 1 0 1 0 0 1 0 1 1 0 1 0 1 0 1 0 0]\n[1 0 0 1 0 1 1 0 1 0 0 1 0 1 1 0 1 0 0 1 0 1 1 0 1 0 0 1 0]\n[0 0 0 0 1 1 1 1 1 1 1 1 0 0 0 0 1 1 1 1 0 0 0 0 0 0 0 0 1]\nLinear Code over GF(2) of length 29 with 6 generators.\nLower Bound: 1, Upper Bound: 24\nConstructed 5 distinct generator matrices\nRelative Ranks:   6   6   6   6   5 \nTime Taken: 0.00\nStarting search for low weight codewords... (reset timings)\nEnumerating using 1 generator at a time:\n     New codeword identified of weight 14, time 0.00\n   Completed Matrix  1:  lower =  5, upper = 14. Elapsed: 0.00s\n     New codeword identified of weight 13, time 0.00\n   Completed Matrix  2:  lower =  6, upper = 13. Elapsed: 0.00s\n   Completed Matrix  3:  lower =  7, upper = 13. Elapsed: 0.00s\n   Completed Matrix  4:  lower =  8, upper = 13. Elapsed: 0.00s\n   Completed Matrix  5:  lower =  9, upper = 13. Elapsed: 0.00s\nTermination predicted with 2 generators at matrix 4\nEnumerating using 2 generators at a time:\n   Completed Matrix  1:  lower = 10, upper = 13. Elapsed: 0.00s\n   Completed Matrix  2:  lower = 11, upper = 13. Elapsed: 0.00s\n   Completed Matrix  3:  lower = 12, upper = 13. Elapsed: 0.00s\n   Completed Matrix  4:  lower = 13, upper = 13. Elapsed: 0.00s\nComputation complete 90 vectors enumerated in total\n (140.625000% of 29 6 code)\nFinal Results: lower = 13, upper = 13,\nTotal CPU time: 0.00, real time: 0.001\n[29, 6, 13] Linear Code over GF(2)\nGenerator matrix:\n[1 0 0 1 0 1 1 0 0 1 1 0 1 0 0 1 0 1 1 0 1 0 0 1 1 0 0 1 0]\n[0 1 0 1 0 1 0 1 0 1 0 1 0 1 0 1 0 1 0 1 0 1 0 1 0 1 0 1 0]\n[0 0 1 1 0 0 1 1 0 0 1 1 0 0 1 1 0 0 1 1 0 0 1 1 0 0 1 1 0]\n[0 0 0 0 1 1 1 1 0 0 0 0 1 1 1 1 0 0 0 0 1 1 1 1 0 0 0 0 1]\n[0 0 0 0 0 0 0 0 1 1 1 1 1 1 1 1 0 0 0 0 0 0 0 0 1 1 1 1 1]\n[0 0 0 0 0 0 0 0 0 0 0 0 0 0 0 0 1 1 1 1 1 1 1 1 1 1 1 1 1]\nLinear Code over GF(2) of length 29 with 6 generators.\nLower Bound: 1, Upper Bound: 24\nConstructed 5 distinct generator matrices\nRelative Ranks:   6   6   6   6   5 \nTime Taken: 0.00\nStarting search for low weight codewords... (reset timings)\nEnumerating using 1 generator at a time:\n     New codeword identified of weight 14, time 0.00\n   Completed Matrix  1:  lower =  5, upper = 14. Elapsed: 0.00s\n     New codeword identified of weight 13, time 0.00\n   Completed Matrix  2:  lower =  6, upper = 13. Elapsed: 0.00s\n   Completed Matrix  3:  lower =  7, upper = 13. Elapsed: 0.00s\n   Completed Matrix  4:  lower =  8, upper = 13. Elapsed: 0.00s\n   Completed Matrix  5:  lower =  9, upper = 13. Elapsed: 0.00s\nTermination predicted with 2 generators at matrix 4\nEnumerating using 2 generators at a time:\n   Completed Matrix  1:  lower = 10, upper = 13. Elapsed: 0.00s\n   Completed Matrix  2:  lower = 11, upper = 13. Elapsed: 0.00s\n   Completed Matrix  3:  lower = 12, upper = 13. Elapsed: 0.00s\n   Completed Matrix  4:  lower = 13, upper = 13. Elapsed: 0.00s\nComputation complete 90 vectors enumerated in total\n (140.625000% of 29 6 code)\nFinal Results: lower = 13, upper = 13,\nTotal CPU time: 0.00, real time: 0.000\n13\n\nTotal time: 0.010 seconds, Total memory usage: 32.09MB\n</t>
  </si>
  <si>
    <t>[[30,6,14]]</t>
  </si>
  <si>
    <t>Magma V2.28-26    Tue Dec 30 2025 09:50:17 on Marks-MacBook-Air-2 [Seed = \n2577616896]\nType ? for help.  Type &lt;Ctrl&gt;-D to quit.\n[1 1 1 1 1 1 1 1 1 1 1 1 1 1 1 1 0 0 0 0 0 0 0 0 0 0 0 0 0 0]\n[1 1 1 1 1 1 1 1 0 0 0 0 0 0 0 0 1 1 1 1 1 1 1 1 0 0 0 0 0 0]\n[1 1 0 0 0 0 1 1 0 0 1 1 1 1 0 0 0 0 1 1 1 1 0 0 1 1 0 0 0 0]\n[0 0 1 1 0 0 1 1 1 1 0 0 1 1 0 0 1 1 0 0 1 1 0 0 0 0 1 1 0 0]\n[1 0 1 0 1 0 1 0 1 0 1 0 1 0 1 0 1 0 1 0 1 0 1 0 1 0 1 0 1 0]\n[1 0 1 0 0 1 0 1 0 1 0 1 1 0 1 0 0 1 0 1 1 0 1 0 1 0 1 0 0 1]\nLinear Code over GF(2) of length 30 with 6 generators.\nLower Bound: 1, Upper Bound: 25\nConstructed 5 distinct generator matrices\nRelative Ranks:   6   6   6   6   6 \nTime Taken: 0.00\nStarting search for low weight codewords... (reset timings)\nEnumerating using 1 generator at a time:\n     New codeword identified of weight 15, time 0.00\n     New codeword identified of weight 14, time 0.00\n   Completed Matrix  1:  lower =  6, upper = 14. Elapsed: 0.00s\n   Completed Matrix  2:  lower =  7, upper = 14. Elapsed: 0.00s\n   Completed Matrix  3:  lower =  8, upper = 14. Elapsed: 0.00s\n   Completed Matrix  4:  lower =  9, upper = 14. Elapsed: 0.00s\n   Completed Matrix  5:  lower = 10, upper = 14. Elapsed: 0.00s\nTermination predicted with 2 generators at matrix 4\nEnumerating using 2 generators at a time:\n   Completed Matrix  1:  lower = 11, upper = 14. Elapsed: 0.00s\n   Completed Matrix  2:  lower = 12, upper = 14. Elapsed: 0.00s\n   Completed Matrix  3:  lower = 13, upper = 14. Elapsed: 0.00s\n   Completed Matrix  4:  lower = 14, upper = 14. Elapsed: 0.00s\nComputation complete 90 vectors enumerated in total\n (140.625000% of 30 6 code)\nFinal Results: lower = 14, upper = 14,\nTotal CPU time: 0.00, real time: 0.001\n[30, 6, 14] Quasicyclic of degree 15 Linear Code over GF(2)\nGenerator matrix:\n[1 0 0 1 0 1 1 0 0 1 1 0 1 0 0 1 0 1 1 0 1 0 0 1 1 0 0 1 0 1]\n[0 1 0 1 0 1 0 1 0 1 0 1 0 1 0 1 0 1 0 1 0 1 0 1 0 1 0 1 0 1]\n[0 0 1 1 0 0 1 1 0 0 1 1 0 0 1 1 0 0 1 1 0 0 1 1 0 0 1 1 0 0]\n[0 0 0 0 1 1 1 1 0 0 0 0 1 1 1 1 0 0 0 0 1 1 1 1 0 0 0 0 1 1]\n[0 0 0 0 0 0 0 0 1 1 1 1 1 1 1 1 0 0 0 0 0 0 0 0 1 1 1 1 1 1]\n[0 0 0 0 0 0 0 0 0 0 0 0 0 0 0 0 1 1 1 1 1 1 1 1 1 1 1 1 1 1]\nLinear Code over GF(2) of length 30 with 6 generators.\nLower Bound: 1, Upper Bound: 25\nConstructed 5 distinct generator matrices\nRelative Ranks:   6   6   6   6   6 \nTime Taken: 0.00\nStarting search for low weight codewords... (reset timings)\nEnumerating using 1 generator at a time:\n     New codeword identified of weight 15, time 0.00\n     New codeword identified of weight 14, time 0.00\n   Completed Matrix  1:  lower =  6, upper = 14. Elapsed: 0.00s\n   Completed Matrix  2:  lower =  7, upper = 14. Elapsed: 0.00s\n   Completed Matrix  3:  lower =  8, upper = 14. Elapsed: 0.00s\n   Completed Matrix  4:  lower =  9, upper = 14. Elapsed: 0.00s\n   Completed Matrix  5:  lower = 10, upper = 14. Elapsed: 0.00s\nTermination predicted with 2 generators at matrix 4\nEnumerating using 2 generators at a time:\n   Completed Matrix  1:  lower = 11, upper = 14. Elapsed: 0.00s\n   Completed Matrix  2:  lower = 12, upper = 14. Elapsed: 0.00s\n   Completed Matrix  3:  lower = 13, upper = 14. Elapsed: 0.00s\n   Completed Matrix  4:  lower = 14, upper = 14. Elapsed: 0.00s\nComputation complete 90 vectors enumerated in total\n (140.625000% of 30 6 code)\nFinal Results: lower = 14, upper = 14,\nTotal CPU time: 0.00, real time: 0.001\n14\n\nTotal time: 0.010 seconds, Total memory usage: 32.09MB\n</t>
  </si>
  <si>
    <t>[[31,3,17]]</t>
  </si>
  <si>
    <t>Magma V2.28-26    Tue Dec 30 2025 09:50:17 on Marks-MacBook-Air-2 [Seed = \n2678412806]\nType ? for help.  Type &lt;Ctrl&gt;-D to quit.\n[1 1 1 1 1 1 1 0 0 1 1 1 1 0 0 1 1 1 1 1 1 1 1 0 0 0 0 0 0 0 0]\n[1 1 0 1 1 0 0 1 1 1 1 0 0 1 1 1 1 1 1 0 0 0 0 1 1 1 1 0 0 0 0]\n[1 0 1 1 0 1 0 1 0 1 0 1 0 1 0 1 1 0 0 1 1 0 0 1 1 0 0 1 1 1 1]\nCalculating the Weight Distribution for [31, 3] linear code, #R = 2\nNumber of threads: 1\nDoing quick check for code being known to be MDS:\nCode is not known to be MDS\n[31, 3, 17] Linear Code over GF(2)\nGenerator matrix:\n[1 0 0 1 0 0 1 0 1 1 0 0 1 0 1 1 1 0 0 0 0 1 1 0 0 1 1 1 1 1 1]\n[0 1 0 0 1 0 1 1 0 0 1 0 1 1 0 0 0 1 1 0 0 1 1 1 1 0 0 1 1 1 1]\n[0 0 1 0 0 1 1 1 1 0 0 1 1 1 1 0 0 0 0 1 1 1 1 1 1 1 1 0 0 0 0]\n17\n\nTotal time: 0.010 seconds, Total memory usage: 32.09MB\n</t>
  </si>
  <si>
    <t>[[32,8,13]]</t>
  </si>
  <si>
    <t>Magma V2.28-26    Tue Dec 30 2025 09:50:17 on Marks-MacBook-Air-2 [Seed = \n2778688572]\nType ? for help.  Type &lt;Ctrl&gt;-D to quit.\n[1 1 1 1 1 1 1 1 1 1 1 1 1 1 1 1 0 0 0 0 0 0 0 0 0 0 0 0 0 0 0 0]\n[1 1 1 1 1 1 1 1 0 0 0 0 0 0 0 0 1 1 1 1 1 1 1 1 0 0 0 0 0 0 0 0]\n[1 1 0 0 1 1 0 0 1 1 0 0 1 1 0 0 1 1 0 0 1 1 0 0 1 1 0 0 0 0 0 0]\n[0 0 1 1 1 1 0 0 0 0 1 1 1 1 0 0 0 0 1 1 1 1 0 0 0 0 1 1 0 0 0 0]\n[1 0 1 0 1 0 1 0 1 0 1 0 1 0 0 0 1 0 1 0 1 0 1 0 1 0 1 0 1 0 0 0]\n[1 0 0 1 1 1 1 1 0 1 0 1 0 0 0 0 0 1 1 0 0 0 0 0 1 0 1 0 0 1 0 0]\n[0 0 0 0 1 0 1 1 1 1 0 1 1 0 1 0 1 0 0 1 1 0 0 0 1 0 0 0 0 0 1 0]\n[0 0 1 1 0 0 1 0 1 0 0 0 0 1 1 0 0 1 0 1 1 1 1 0 0 0 1 0 0 0 0 1]\nLinear Code over GF(2) of length 32 with 8 generators.\nLower Bound: 1, Upper Bound: 25\nConstructed 4 distinct generator matrices\nRelative Ranks:   8   8   8   8 \nTime Taken: 0.00\nStarting search for low weight codewords... (reset timings)\nEnumerating using 1 generator at a time:\n     New codeword identified of weight 16, time 0.00\n     New codeword identified of weight 15, time 0.00\n     New codeword identified of weight 13, time 0.00\n   Completed Matrix  1:  lower =  5, upper = 13. Elapsed: 0.00s\n   Completed Matrix  2:  lower =  6, upper = 13. Elapsed: 0.00s\n   Completed Matrix  3:  lower =  7, upper = 13. Elapsed: 0.00s\n   Completed Matrix  4:  lower =  8, upper = 13. Elapsed: 0.00s\nTermination predicted with 3 generators at matrix 1\nEnumerating using 2 generators at a time:\n   Completed Matrix  1:  lower =  9, upper = 13. Elapsed: 0.00s\n   Completed Matrix  2:  lower = 10, upper = 13. Elapsed: 0.00s\n   Completed Matrix  3:  lower = 11, upper = 13. Elapsed: 0.00s\n   Completed Matrix  4:  lower = 12, upper = 13. Elapsed: 0.00s\nTermination predicted with 3 generators at matrix 1\nEnumerating using 3 generators at a time:\n   Completed Matrix  1:  lower = 13, upper = 13. Elapsed: 0.00s\nComputation complete 200 vectors enumerated in total\n (78.125000% of 32 8 code)\nFinal Results: lower = 13, upper = 13,\nTotal CPU time: 0.00, real time: 0.002\n[32, 8, 13] Linear Code over GF(2)\nGenerator matrix:\n[1 0 0 1 0 0 0 0 0 1 0 1 1 1 1 1 1 0 0 1 0 0 0 0 0 1 0 1 0 1 0 0]\n[0 1 0 1 0 0 0 0 0 0 1 1 0 1 1 1 0 1 0 1 0 0 0 0 0 0 1 1 1 0 1 1]\n[0 0 1 1 0 0 0 0 0 1 1 0 0 1 1 1 1 1 0 0 1 1 1 1 1 0 0 1 1 1 1 1]\n[0 0 0 0 1 0 0 0 0 1 1 1 0 0 0 1 0 1 1 0 0 1 0 0 1 1 0 1 1 1 0 1]\n[0 0 0 0 0 1 0 0 0 0 1 0 1 0 1 0 1 0 0 1 0 1 1 1 0 1 1 1 0 0 1 0]\n[0 0 0 0 0 0 1 0 0 0 0 1 1 1 1 0 0 1 1 0 1 1 1 0 1 0 1 1 1 1 1 0]\n[0 0 0 0 0 0 0 1 0 1 0 0 1 0 1 0 0 1 1 0 1 1 0 1 1 1 1 0 0 0 0 1]\n[0 0 0 0 0 0 0 0 1 1 1 1 1 1 1 1 1 1 1 1 1 1 1 1 0 0 0 0 0 0 0 0]\nLinear Code over GF(2) of length 32 with 8 generators.\nLower Bound: 1, Upper Bound: 25\nConstructed 4 distinct generator matrices\nRelative Ranks:   8   8   8   8 \nTime Taken: 0.00\nStarting search for low weight codewords... (reset timings)\nEnumerating using 1 generator at a time:\n     New codeword identified of weight 16, time 0.00\n     New codeword identified of weight 15, time 0.00\n     New codeword identified of weight 13, time 0.00\n   Completed Matrix  1:  lower =  5, upper = 13. Elapsed: 0.00s\n   Completed Matrix  2:  lower =  6, upper = 13. Elapsed: 0.00s\n   Completed Matrix  3:  lower =  7, upper = 13. Elapsed: 0.00s\n   Completed Matrix  4:  lower =  8, upper = 13. Elapsed: 0.00s\nTermination predicted with 3 generators at matrix 1\nEnumerating using 2 generators at a time:\n   Completed Matrix  1:  lower =  9, upper = 13. Elapsed: 0.00s\n   Completed Matrix  2:  lower = 10, upper = 13. Elapsed: 0.00s\n   Completed Matrix  3:  lower = 11, upper = 13. Elapsed: 0.00s\n   Completed Matrix  4:  lower = 12, upper = 13. Elapsed: 0.00s\nTermination predicted with 3 generators at matrix 1\nEnumerating using 3 generators at a time:\n   Completed Matrix  1:  lower = 13, upper = 13. Elapsed: 0.00s\nComputation complete 200 vectors enumerated in total\n (78.125000% of 32 8 code)\nFinal Results: lower = 13, upper = 13,\nTotal CPU time: 0.00, real time: 0.001\n13\n\nTotal time: 0.010 seconds, Total memory usage: 32.09MB\n</t>
  </si>
  <si>
    <t>[[33,18,7]]</t>
  </si>
  <si>
    <t>Magma V2.28-26    Tue Dec 30 2025 09:50:17 on Marks-MacBook-Air-2 [Seed = \n2878431794]\nType ? for help.  Type &lt;Ctrl&gt;-D to quit.\n[1 1 1 1 1 1 1 1 0 0 0 0 0 0 0 0 0 0 0 0 0 0 0 0 0 0 0 0 0 0 0 0 0]\n[1 1 1 1 0 0 0 0 1 1 1 1 0 0 0 0 0 0 0 0 0 0 0 0 0 0 0 0 0 0 0 0 0]\n[1 1 0 0 1 1 0 0 1 1 0 0 1 1 0 0 0 0 0 0 0 0 0 0 0 0 0 0 0 0 0 0 0]\n[1 0 1 0 1 0 1 0 1 0 1 0 1 0 1 0 0 0 0 0 0 0 0 0 0 0 0 0 0 0 0 0 0]\n[1 0 0 1 0 1 1 0 0 1 1 0 1 0 0 1 0 0 0 0 0 0 0 0 0 0 0 0 0 0 0 0 0]\n[0 1 1 0 1 0 1 0 1 1 0 0 0 0 0 0 1 1 0 0 0 0 0 0 0 0 0 0 0 0 0 0 0]\n[1 1 0 0 0 1 1 0 1 0 1 0 0 0 0 0 0 0 1 1 0 0 0 0 0 0 0 0 0 0 0 0 0]\n[1 0 1 1 0 1 0 0 1 0 0 0 1 0 0 0 0 0 0 0 1 1 0 0 0 0 0 0 0 0 0 0 0]\n[1 0 1 1 1 0 0 0 0 0 0 0 0 0 0 0 1 0 1 0 1 0 1 0 0 0 0 0 0 0 0 0 0]\n[1 0 1 0 0 0 0 0 1 1 1 0 1 0 0 0 1 0 1 0 1 0 0 1 0 0 0 0 0 0 0 0 0]\n[1 0 1 0 0 1 1 0 1 1 0 0 0 0 0 0 0 0 0 0 0 0 0 0 1 1 0 0 0 0 0 0 0]\n[0 1 1 1 0 0 0 0 1 0 0 0 0 0 0 0 1 0 1 0 0 0 0 0 1 0 1 0 0 0 0 0 0]\n[0 0 1 1 0 0 1 0 0 1 1 0 1 0 0 0 1 0 1 0 0 0 0 0 1 0 0 1 0 0 0 0 0]\n[0 0 1 0 1 1 1 0 0 0 0 0 0 0 0 0 1 0 0 0 1 0 0 0 1 0 0 0 1 0 0 0 0]\n[0 1 0 1 0 1 1 0 1 0 0 0 1 0 0 0 1 0 0 0 1 0 0 0 1 0 0 0 0 1 0 0 0]\n[1 0 0 0 1 1 0 0 0 1 0 0 0 0 0 0 0 0 1 0 1 0 0 0 1 0 0 0 0 0 1 0 0]\n[0 0 0 1 0 0 0 0 1 1 1 0 0 0 0 0 0 0 1 0 1 0 0 0 1 0 0 0 0 0 0 1 0]\n[0 1 1 0 1 0 0 0 1 1 0 0 1 0 0 0 0 0 0 0 1 0 0 0 1 0 0 0 0 0 0 0 1]\n[33, 18] Linear Code over GF(2)\nGenerator matrix:\n[1 0 0 0 0 0 0 0 0 0 0 0 0 0 0 1 0 0 0 0 0 1 1 1 0 0 1 0 1 0 1 0 1]\n[0 1 0 0 0 0 0 0 0 0 0 0 0 0 1 0 0 0 0 0 0 1 0 0 0 0 1 0 0 1 0 1 1]\n[0 0 1 0 0 0 0 0 0 0 0 0 1 0 1 1 0 0 0 0 1 0 0 0 0 0 0 1 0 1 0 1 1]\n[0 0 0 1 0 0 0 0 0 0 0 0 0 0 1 0 0 0 0 0 0 1 0 1 0 1 1 0 1 1 0 0 0]\n[0 0 0 0 1 0 0 0 0 0 0 0 1 0 0 0 0 0 0 0 0 1 1 0 0 0 1 1 0 1 0 1 0]\n[0 0 0 0 0 1 0 0 0 0 0 0 1 0 1 1 0 0 0 0 1 0 0 1 0 0 1 1 0 1 1 0 0]\n[0 0 0 0 0 0 1 0 0 0 0 0 1 0 0 0 0 0 0 0 0 1 0 0 0 1 0 0 1 1 0 0 1]\n[0 0 0 0 0 0 0 1 0 0 0 0 0 0 0 1 0 0 0 0 0 1 0 1 0 0 1 1 1 0 0 1 0]\n[0 0 0 0 0 0 0 0 1 0 0 0 1 0 1 1 0 0 0 0 1 1 1 1 0 1 1 0 0 1 0 1 0]\n[0 0 0 0 0 0 0 0 0 1 0 0 0 0 1 0 0 0 0 0 1 1 0 1 0 0 0 1 1 1 1 1 1]\n[0 0 0 0 0 0 0 0 0 0 1 0 1 0 1 1 0 0 0 0 0 0 1 0 0 0 1 0 0 0 1 1 1]\n[0 0 0 0 0 0 0 0 0 0 0 1 1 0 0 0 0 0 0 0 1 1 1 0 0 0 1 0 1 1 1 1 1]\n[0 0 0 0 0 0 0 0 0 0 0 0 0 1 0 1 0 0 0 0 1 1 1 0 0 1 1 1 0 1 1 0 1]\n[0 0 0 0 0 0 0 0 0 0 0 0 0 0 0 0 1 0 0 0 1 0 1 1 0 0 1 0 1 1 0 1 0]\n[0 0 0 0 0 0 0 0 0 0 0 0 0 0 0 0 0 1 0 0 0 1 1 1 0 0 0 1 1 1 1 0 0]\n[0 0 0 0 0 0 0 0 0 0 0 0 0 0 0 0 0 0 1 0 1 1 0 1 0 1 0 0 1 0 1 1 0]\n[0 0 0 0 0 0 0 0 0 0 0 0 0 0 0 0 0 0 0 1 1 1 1 0 0 1 1 1 1 0 0 0 0]\n[0 0 0 0 0 0 0 0 0 0 0 0 0 0 0 0 0 0 0 0 0 0 0 0 1 1 1 1 1 1 1 1 0]\nLinear Code over GF(2) of length 33 with 18 generators.\nLower Bound: 1, Upper Bound: 16\nConstructed 2 distinct generator matrices\nRelative Ranks:  18  15 \nTime Taken: 0.00\nStarting search for low weight codewords... (reset timings)\nEnumerating using 1 generator at a time:\n     New codeword identified of weight 9, time 0.00\n     New codeword identified of weight 8, time 0.00\n     New codeword identified of weight 7, time 0.00\n   Completed Matrix  1:  lower =  2, upper =  7. Elapsed: 0.00s\n   Completed Matrix  2:  lower =  2, upper =  7. Elapsed: 0.00s\nTermination predicted with 4 generators at matrix 2\nEnumerating using 2 generators at a time:\n   Completed Matrix  1:  lower =  3, upper =  7. Elapsed: 0.00s\n   Completed Matrix  2:  lower =  3, upper =  7. Elapsed: 0.00s\nTermination predicted with 4 generators at matrix 2\nEnumerating using 3 generators at a time:\n   Completed Matrix  1:  lower =  4, upper =  7. Elapsed: 0.00s\n   Completed Matrix  2:  lower =  5, upper =  7. Elapsed: 0.00s\nTermination predicted with 4 generators at matrix 2\nEnumerating using 4 generators at a time:\n   Completed Matrix  1:  lower =  6, upper =  7. Elapsed: 0.00s\n   Completed Matrix  2:  lower =  7, upper =  7. Elapsed: 0.00s\nComputation complete 8094 vectors enumerated in total\n (3.087616% of 33 18 code)\nFinal Results: lower = 7, upper = 7,\nTotal CPU time: 0.00, real time: 0.001\n7\n\nTotal time: 0.010 seconds, Total memory usage: 32.09MB\n</t>
  </si>
  <si>
    <t>[[34,4,17]]</t>
  </si>
  <si>
    <t>Magma V2.28-26    Tue Dec 30 2025 09:50:17 on Marks-MacBook-Air-2 [Seed = \n2978707496]\nType ? for help.  Type &lt;Ctrl&gt;-D to quit.\n[1 1 1 1 1 1 1 1 1 1 1 1 1 1 1 1 1 1 1 1 0 0 0 0 0 0 0 0 0 0 0 0 0 0]\n[1 1 1 0 1 1 1 1 1 1 1 1 0 0 0 0 0 0 0 0 1 1 1 1 1 1 1 1 0 0 0 0 0 0]\n[1 1 0 1 1 1 1 1 0 0 0 0 1 1 1 1 0 0 0 0 1 1 1 1 0 0 0 0 1 1 1 1 0 0]\n[1 0 1 1 1 1 0 0 1 1 0 0 1 1 0 0 1 1 0 0 1 1 0 0 1 1 0 0 1 1 0 0 1 1]\nLinear Code over GF(2) of length 34 with 4 generators.\nLower Bound: 1, Upper Bound: 31\nConstructed 9 distinct generator matrices\nRelative Ranks:   4   4   4   4   4   4   4   4   2 \nTime Taken: 0.00\nStarting search for low weight codewords... (reset timings)\nEnumerating using 1 generator at a time:\n     New codeword identified of weight 18, time 0.00\n     New codeword identified of weight 17, time 0.00\n     Discarding non-contributing rank 2 matrix\n     New Relative Ranks:   4   4   4   4   4   4   4   4 \n   Completed Matrix  1:  lower =  9, upper = 17. Elapsed: 0.00s\n   Completed Matrix  2:  lower = 10, upper = 17. Elapsed: 0.00s\n   Completed Matrix  3:  lower = 11, upper = 17. Elapsed: 0.00s\n   Completed Matrix  4:  lower = 12, upper = 17. Elapsed: 0.00s\n   Completed Matrix  5:  lower = 13, upper = 17. Elapsed: 0.00s\n   Completed Matrix  6:  lower = 14, upper = 17. Elapsed: 0.00s\n   Completed Matrix  7:  lower = 15, upper = 17. Elapsed: 0.00s\n   Completed Matrix  8:  lower = 16, upper = 17. Elapsed: 0.00s\nTermination predicted with 2 generators at matrix 1\nEnumerating using 2 generators at a time:\n   Completed Matrix  1:  lower = 17, upper = 17. Elapsed: 0.00s\nComputation complete 38 vectors enumerated in total\n (237.500000% of 34 4 code)\nFinal Results: lower = 17, upper = 17,\nTotal CPU time: 0.00, real time: 0.001\n[34, 4, 17] Linear Code over GF(2)\nGenerator matrix:\n[1 0 0 0 1 1 0 0 0 0 1 1 0 0 1 1 1 1 0 0 1 1 0 0 0 0 1 1 0 0 1 1 1 1]\n[0 1 0 0 0 0 1 1 0 0 1 1 0 0 1 1 0 0 1 1 1 1 0 0 1 1 0 0 1 1 0 0 1 1]\n[0 0 1 0 0 0 0 0 1 1 1 1 0 0 0 0 1 1 1 1 1 1 1 1 0 0 0 0 1 1 1 1 0 0]\n[0 0 0 1 0 0 0 0 0 0 0 0 1 1 1 1 1 1 1 1 1 1 1 1 1 1 1 1 0 0 0 0 0 0]\nLinear Code over GF(2) of length 34 with 4 generators.\nLower Bound: 1, Upper Bound: 31\nConstructed 9 distinct generator matrices\nRelative Ranks:   4   4   4   4   4   4   4   4   2 \nTime Taken: 0.00\nStarting search for low weight codewords... (reset timings)\nEnumerating using 1 generator at a time:\n     New codeword identified of weight 18, time 0.00\n     New codeword identified of weight 17, time 0.00\n     Discarding non-contributing rank 2 matrix\n     New Relative Ranks:   4   4   4   4   4   4   4   4 \n   Completed Matrix  1:  lower =  9, upper = 17. Elapsed: 0.00s\n   Completed Matrix  2:  lower = 10, upper = 17. Elapsed: 0.00s\n   Completed Matrix  3:  lower = 11, upper = 17. Elapsed: 0.00s\n   Completed Matrix  4:  lower = 12, upper = 17. Elapsed: 0.00s\n   Completed Matrix  5:  lower = 13, upper = 17. Elapsed: 0.00s\n   Completed Matrix  6:  lower = 14, upper = 17. Elapsed: 0.00s\n   Completed Matrix  7:  lower = 15, upper = 17. Elapsed: 0.00s\n   Completed Matrix  8:  lower = 16, upper = 17. Elapsed: 0.00s\nTermination predicted with 2 generators at matrix 1\nEnumerating using 2 generators at a time:\n   Completed Matrix  1:  lower = 17, upper = 17. Elapsed: 0.00s\nComputation complete 38 vectors enumerated in total\n (237.500000% of 34 4 code)\nFinal Results: lower = 17, upper = 17,\nTotal CPU time: 0.00, real time: 0.001\n17\n\nTotal time: 0.010 seconds, Total memory usage: 32.09MB\n</t>
  </si>
  <si>
    <t>[[35,20,7]]</t>
  </si>
  <si>
    <t>Magma V2.28-26    Tue Dec 30 2025 09:50:17 on Marks-MacBook-Air-2 [Seed = \n3079503406]\nType ? for help.  Type &lt;Ctrl&gt;-D to quit.\n[1 1 1 1 1 1 1 1 0 0 0 0 0 0 0 0 0 0 0 0 0 0 0 0 0 0 0 0 0 0 0 0 0 0 0]\n[1 1 1 1 0 0 0 0 1 1 1 1 0 0 0 0 0 0 0 0 0 0 0 0 0 0 0 0 0 0 0 0 0 0 0]\n[1 1 0 0 1 1 0 0 1 1 0 0 1 1 0 0 0 0 0 0 0 0 0 0 0 0 0 0 0 0 0 0 0 0 0]\n[1 0 1 0 1 0 1 0 1 0 1 0 1 0 1 0 0 0 0 0 0 0 0 0 0 0 0 0 0 0 0 0 0 0 0]\n[1 0 0 1 0 1 1 0 0 1 1 0 1 0 0 1 0 0 0 0 0 0 0 0 0 0 0 0 0 0 0 0 0 0 0]\n[0 1 1 0 1 0 1 0 1 1 0 0 0 0 0 0 1 1 0 0 0 0 0 0 0 0 0 0 0 0 0 0 0 0 0]\n[1 1 0 0 0 1 1 0 1 0 1 0 0 0 0 0 0 0 1 1 0 0 0 0 0 0 0 0 0 0 0 0 0 0 0]\n[1 0 1 1 0 1 0 0 1 0 0 0 1 0 0 0 0 0 0 0 1 1 0 0 0 0 0 0 0 0 0 0 0 0 0]\n[1 0 1 1 1 0 0 0 0 0 0 0 0 0 0 0 1 0 1 0 1 0 1 0 0 0 0 0 0 0 0 0 0 0 0]\n[1 0 1 0 0 0 0 0 1 1 1 0 1 0 0 0 1 0 1 0 1 0 0 1 0 0 0 0 0 0 0 0 0 0 0]\n[1 0 1 0 0 1 1 0 1 1 0 0 0 0 0 0 0 0 0 0 0 0 0 0 1 1 0 0 0 0 0 0 0 0 0]\n[0 1 1 1 0 0 0 0 1 0 0 0 0 0 0 0 1 0 1 0 0 0 0 0 1 0 1 0 0 0 0 0 0 0 0]\n[0 0 1 1 0 0 1 0 0 1 1 0 1 0 0 0 1 0 1 0 0 0 0 0 1 0 0 1 0 0 0 0 0 0 0]\n[0 0 1 0 1 1 1 0 0 0 0 0 0 0 0 0 1 0 0 0 1 0 0 0 1 0 0 0 1 0 0 0 0 0 0]\n[0 1 0 1 0 1 1 0 1 0 0 0 1 0 0 0 1 0 0 0 1 0 0 0 1 0 0 0 0 1 0 0 0 0 0]\n[1 0 0 0 1 1 0 0 0 1 0 0 0 0 0 0 0 0 1 0 1 0 0 0 1 0 0 0 0 0 1 0 0 0 0]\n[0 0 0 1 0 0 0 0 1 1 1 0 0 0 0 0 0 0 1 0 1 0 0 0 1 0 0 0 0 0 0 1 0 0 0]\n[0 1 1 0 1 0 0 0 1 1 0 0 1 0 0 0 0 0 0 0 1 0 0 0 1 0 0 0 0 0 0 0 1 0 0]\n[1 1 1 1 0 0 1 0 0 0 0 0 1 0 0 0 0 0 0 0 1 0 0 0 1 0 0 0 0 0 0 0 0 1 0]\n[1 1 1 0 1 1 1 0 0 1 0 0 1 0 0 0 1 0 0 0 0 0 0 0 1 0 0 0 0 0 0 0 0 0 1]\n[35, 20] Linear Code over GF(2)\nGenerator matrix:\n[1 0 0 0 0 0 0 0 0 0 0 0 0 0 0 1 0 0 0 0 0 1 1 1 0 0 1 0 1 0 1 0 1 0 0]\n[0 1 0 0 0 0 0 0 0 0 0 0 0 0 0 1 0 0 0 0 0 0 0 0 0 1 1 1 1 0 0 0 0 1 1]\n[0 0 1 0 0 0 0 0 0 0 0 0 0 0 0 1 0 0 0 0 1 0 1 0 0 1 0 1 0 0 0 0 1 1 0]\n[0 0 0 1 0 0 0 0 0 0 0 0 0 0 0 1 0 0 0 0 0 0 0 1 0 0 1 1 0 0 0 1 1 1 1]\n[0 0 0 0 1 0 0 0 0 0 0 0 0 0 0 1 0 0 0 0 0 0 0 0 0 0 1 0 1 1 0 1 1 0 1]\n[0 0 0 0 0 1 0 0 0 0 0 0 0 0 0 1 0 0 0 0 1 0 1 1 0 1 1 1 0 0 1 1 0 1 0]\n[0 0 0 0 0 0 1 0 0 0 0 0 0 0 0 1 0 0 0 0 0 0 1 0 0 1 0 1 0 1 0 0 0 0 1]\n[0 0 0 0 0 0 0 1 0 0 0 0 0 0 0 1 0 0 0 0 0 1 0 1 0 0 1 1 1 0 0 1 0 0 0]\n[0 0 0 0 0 0 0 0 1 0 0 0 0 0 0 1 0 0 0 0 1 1 0 1 0 0 1 0 0 0 0 0 0 1 0]\n[0 0 0 0 0 0 0 0 0 1 0 0 0 0 0 1 0 0 0 0 1 0 0 1 0 1 0 0 0 0 1 0 0 1 1]\n[0 0 0 0 0 0 0 0 0 0 1 0 0 0 0 1 0 0 0 0 0 0 0 0 0 1 1 0 0 1 1 0 1 1 0]\n[0 0 0 0 0 0 0 0 0 0 0 1 0 0 0 1 0 0 0 0 1 0 0 0 0 0 1 1 0 1 1 1 0 0 1]\n[0 0 0 0 0 0 0 0 0 0 0 0 1 0 0 1 0 0 0 0 0 1 1 0 0 0 0 1 1 0 0 0 1 0 1]\n[0 0 0 0 0 0 0 0 0 0 0 0 0 1 0 1 0 0 0 0 1 1 1 0 0 1 1 1 0 1 1 0 1 0 0]\n[0 0 0 0 0 0 0 0 0 0 0 0 0 0 1 1 0 0 0 0 0 1 0 0 0 1 0 1 1 1 0 1 1 1 1]\n[0 0 0 0 0 0 0 0 0 0 0 0 0 0 0 0 1 0 0 0 1 0 1 1 0 0 1 0 1 1 0 1 0 0 0]\n[0 0 0 0 0 0 0 0 0 0 0 0 0 0 0 0 0 1 0 0 0 1 1 1 0 0 0 1 1 1 1 0 0 0 0]\n[0 0 0 0 0 0 0 0 0 0 0 0 0 0 0 0 0 0 1 0 1 1 0 1 0 1 0 0 1 0 1 1 0 0 0]\n[0 0 0 0 0 0 0 0 0 0 0 0 0 0 0 0 0 0 0 1 1 1 1 0 0 1 1 1 1 0 0 0 0 0 0]\n[0 0 0 0 0 0 0 0 0 0 0 0 0 0 0 0 0 0 0 0 0 0 0 0 1 1 1 1 1 1 1 1 0 0 0]\nLinear Code over GF(2) of length 35 with 20 generators.\nLower Bound: 1, Upper Bound: 16\nConstructed 2 distinct generator matrices\nRelative Ranks:  20  15 \nTime Taken: 0.00\nStarting search for low weight codewords... (reset timings)\nEnumerating using 1 generator at a time:\n     New codeword identified of weight 8, time 0.00\n     New codeword identified of weight 7, time 0.00\n   Completed Matrix  1:  lower =  2, upper =  7. Elapsed: 0.00s\n   Completed Matrix  2:  lower =  2, upper =  7. Elapsed: 0.00s\nTermination predicted with 5 generators at matrix 2\nEnumerating using 2 generators at a time:\n   Completed Matrix  1:  lower =  3, upper =  7. Elapsed: 0.00s\n   Completed Matrix  2:  lower =  3, upper =  7. Elapsed: 0.00s\nTermination predicted with 5 generators at matrix 2\nEnumerating using 3 generators at a time:\n   Completed Matrix  1:  lower =  4, upper =  7. Elapsed: 0.00s\n   Completed Matrix  2:  lower =  4, upper =  7. Elapsed: 0.00s\nTermination predicted with 5 generators at matrix 2\nEnumerating using 4 generators at a time:\n   Completed Matrix  1:  lower =  5, upper =  7. Elapsed: 0.00s\n   Completed Matrix  2:  lower =  5, upper =  7. Elapsed: 0.00s\nTermination predicted with 5 generators at matrix 2\nEnumerating using 5 generators at a time:\n   Completed Matrix  1:  lower =  6, upper =  7. Elapsed: 0.00s\n   Completed Matrix  2:  lower =  7, upper =  7. Elapsed: 0.00s\nComputation complete 43398 vectors enumerated in total\n (4.138756% of 35 20 code)\nFinal Results: lower = 7, upper = 7,\nTotal CPU time: 0.00, real time: 0.001\n7\n\nTotal time: 0.010 seconds, Total memory usage: 32.09MB\n</t>
  </si>
  <si>
    <t>[[36,5,17]]</t>
  </si>
  <si>
    <t>Magma V2.28-26    Tue Dec 30 2025 09:50:17 on Marks-MacBook-Air-2 [Seed = \n3179770916]\nType ? for help.  Type &lt;Ctrl&gt;-D to quit.\n[1 1 1 1 1 1 1 1 1 1 1 1 1 1 1 1 1 1 1 1 1 1 1 1 1 1 1 1 1 1 1 1 0 0 0 0]\n[0 1 0 0 0 0 1 1 0 1 0 1 1 1 0 0 1 0 0 0 1 1 1 0 1 0 0 1 1 1 1 0 1 0 0 0]\n[0 0 1 0 0 0 0 0 0 1 1 1 0 1 1 0 1 1 0 1 1 0 1 1 0 1 1 1 0 0 1 0 0 1 0 0]\n[1 1 1 0 1 1 1 1 0 1 0 0 0 0 1 1 0 0 0 1 1 0 1 0 0 1 0 1 1 0 0 0 0 0 1 0]\n[1 1 1 1 0 1 1 0 1 0 1 1 1 0 0 0 1 0 0 1 1 0 0 1 0 0 0 1 0 1 0 0 0 0 0 1]\nLinear Code over GF(2) of length 36 with 5 generators.\nLower Bound: 1, Upper Bound: 32\nConstructed 8 distinct generator matrices\nRelative Ranks:   5   5   5   5   5   5   5   1 \n     Discarding non-contributing rank 1 matrix\n     New Relative Ranks:   5   5   5   5   5   5   5 \nTime Taken: 0.00\nStarting search for low weight codewords... (reset timings)\nEnumerating using 1 generator at a time:\n     New codeword identified of weight 20, time 0.00\n     New codeword identified of weight 17, time 0.00\n   Completed Matrix  1:  lower =  8, upper = 17. Elapsed: 0.00s\n   Completed Matrix  2:  lower =  9, upper = 17. Elapsed: 0.00s\n   Completed Matrix  3:  lower = 10, upper = 17. Elapsed: 0.00s\n   Completed Matrix  4:  lower = 11, upper = 17. Elapsed: 0.00s\n   Completed Matrix  5:  lower = 12, upper = 17. Elapsed: 0.00s\n   Completed Matrix  6:  lower = 13, upper = 17. Elapsed: 0.00s\n   Completed Matrix  7:  lower = 14, upper = 17. Elapsed: 0.00s\nTermination predicted with 2 generators at matrix 3\nEnumerating using 2 generators at a time:\n   Completed Matrix  1:  lower = 15, upper = 17. Elapsed: 0.00s\n   Completed Matrix  2:  lower = 16, upper = 17. Elapsed: 0.00s\n   Completed Matrix  3:  lower = 17, upper = 17. Elapsed: 0.00s\nComputation complete 65 vectors enumerated in total\n (203.125000% of 36 5 code)\nFinal Results: lower = 17, upper = 17,\nTotal CPU time: 0.00, real time: 0.001\n[36, 5, 17] Linear Code over GF(2)\nGenerator matrix:\n[1 0 0 0 0 1 0 1 0 0 1 0 1 1 1 0 0 0 1 0 1 0 0 1 0 1 0 1 1 1 1 1 1 1 1 1]\n[0 1 0 0 0 0 1 1 0 1 0 1 1 1 0 0 1 0 0 0 1 1 1 0 1 0 0 1 1 1 1 0 1 0 0 0]\n[0 0 1 0 0 0 0 0 0 1 1 1 0 1 1 0 1 1 0 1 1 0 1 1 0 1 1 1 0 0 1 0 0 1 0 0]\n[0 0 0 1 0 0 0 0 1 0 1 1 1 1 0 0 1 1 1 0 0 1 0 1 1 0 1 0 0 1 1 1 0 0 1 0]\n[0 0 0 0 1 0 0 1 0 1 0 0 0 1 1 1 0 1 1 0 0 1 1 0 1 1 1 0 1 0 1 1 0 0 0 1]\nLinear Code over GF(2) of length 36 with 5 generators.\nLower Bound: 1, Upper Bound: 32\nConstructed 8 distinct generator matrices\nRelative Ranks:   5   5   5   5   5   5   5   1 \n     Discarding non-contributing rank 1 matrix\n     New Relative Ranks:   5   5   5   5   5   5   5 \nTime Taken: 0.00\nStarting search for low weight codewords... (reset timings)\nEnumerating using 1 generator at a time:\n     New codeword identified of weight 20, time 0.00\n     New codeword identified of weight 17, time 0.00\n   Completed Matrix  1:  lower =  8, upper = 17. Elapsed: 0.00s\n   Completed Matrix  2:  lower =  9, upper = 17. Elapsed: 0.00s\n   Completed Matrix  3:  lower = 10, upper = 17. Elapsed: 0.00s\n   Completed Matrix  4:  lower = 11, upper = 17. Elapsed: 0.00s\n   Completed Matrix  5:  lower = 12, upper = 17. Elapsed: 0.00s\n   Completed Matrix  6:  lower = 13, upper = 17. Elapsed: 0.00s\n   Completed Matrix  7:  lower = 14, upper = 17. Elapsed: 0.00s\nTermination predicted with 2 generators at matrix 3\nEnumerating using 2 generators at a time:\n   Completed Matrix  1:  lower = 15, upper = 17. Elapsed: 0.00s\n   Completed Matrix  2:  lower = 16, upper = 17. Elapsed: 0.00s\n   Completed Matrix  3:  lower = 17, upper = 17. Elapsed: 0.00s\nComputation complete 65 vectors enumerated in total\n (203.125000% of 36 5 code)\nFinal Results: lower = 17, upper = 17,\nTotal CPU time: 0.00, real time: 0.000\n17\n\nTotal time: 0.019 seconds, Total memory usage: 32.09MB\n</t>
  </si>
  <si>
    <t>[[37,6,17]]</t>
  </si>
  <si>
    <t>Magma V2.28-26    Tue Dec 30 2025 09:50:17 on Marks-MacBook-Air-2 [Seed = \n1165987036]\nType ? for help.  Type &lt;Ctrl&gt;-D to quit.\n[1 1 1 1 1 1 1 1 1 1 1 1 1 1 1 1 1 1 1 1 1 1 1 1 1 1 1 1 1 1 1 1 0 0 0 0 0]\n[0 1 0 0 0 0 1 1 0 1 0 1 1 1 0 0 1 0 0 0 1 1 1 0 1 0 0 1 1 1 1 0 1 0 0 0 0]\n[0 0 1 0 0 0 0 0 0 1 1 1 0 1 1 0 1 1 0 1 1 0 1 1 0 1 1 1 0 0 1 0 0 1 0 0 0]\n[1 1 1 0 1 1 1 1 0 1 0 0 0 0 1 1 0 0 0 1 1 0 1 0 0 1 0 1 1 0 0 0 0 0 1 0 0]\n[1 1 1 1 0 1 1 0 1 0 1 1 1 0 0 0 1 0 0 1 1 0 0 1 0 0 0 1 0 1 0 0 0 0 0 1 0]\n[0 0 0 0 0 1 1 0 1 0 1 1 0 1 0 1 0 0 1 1 1 1 1 0 0 1 1 0 1 1 0 0 0 0 0 0 1]\nLinear Code over GF(2) of length 37 with 6 generators.\nLower Bound: 1, Upper Bound: 32\nConstructed 7 distinct generator matrices\nRelative Ranks:   6   6   6   6   6   6   1 \n     Discarding non-contributing rank 1 matrix\n     New Relative Ranks:   6   6   6   6   6   6 \nTime Taken: 0.00\nStarting search for low weight codewords... (reset timings)\nEnumerating using 1 generator at a time:\n     New codeword identified of weight 21, time 0.00\n     New codeword identified of weight 17, time 0.00\n   Completed Matrix  1:  lower =  7, upper = 17. Elapsed: 0.00s\n   Completed Matrix  2:  lower =  8, upper = 17. Elapsed: 0.00s\n   Completed Matrix  3:  lower =  9, upper = 17. Elapsed: 0.00s\n   Completed Matrix  4:  lower = 10, upper = 17. Elapsed: 0.00s\n   Completed Matrix  5:  lower = 11, upper = 17. Elapsed: 0.00s\n   Completed Matrix  6:  lower = 12, upper = 17. Elapsed: 0.00s\nTermination predicted with 2 generators at matrix 5\nEnumerating using 2 generators at a time:\n   Completed Matrix  1:  lower = 13, upper = 17. Elapsed: 0.00s\n   Completed Matrix  2:  lower = 14, upper = 17. Elapsed: 0.00s\n   Completed Matrix  3:  lower = 15, upper = 17. Elapsed: 0.00s\n   Completed Matrix  4:  lower = 16, upper = 17. Elapsed: 0.00s\n   Completed Matrix  5:  lower = 17, upper = 17. Elapsed: 0.00s\nComputation complete 111 vectors enumerated in total\n (173.437500% of 37 6 code)\nFinal Results: lower = 17, upper = 17,\nTotal CPU time: 0.00, real time: 0.001\n[37, 6, 17] Linear Code over GF(2)\nGenerator matrix:\n[1 0 0 0 0 0 1 1 1 0 0 1 1 0 1 1 0 0 0 1 0 1 1 1 0 0 1 1 0 0 1 1 1 1 1 1 1]\n[0 1 0 0 0 0 1 1 0 1 0 1 1 1 0 0 1 0 0 0 1 1 1 0 1 0 0 1 1 1 1 0 1 0 0 0 0]\n[0 0 1 0 0 0 0 0 0 1 1 1 0 1 1 0 1 1 0 1 1 0 1 1 0 1 1 1 0 0 1 0 0 1 0 0 0]\n[0 0 0 1 0 0 0 0 1 0 1 1 1 1 0 0 1 1 1 0 0 1 0 1 1 0 1 0 0 1 1 1 0 0 1 0 0]\n[0 0 0 0 1 0 0 1 0 1 0 0 0 1 1 1 0 1 1 0 0 1 1 0 1 1 1 0 1 0 1 1 0 0 0 1 0]\n[0 0 0 0 0 1 1 0 1 0 1 1 0 1 0 1 0 0 1 1 1 1 1 0 0 1 1 0 1 1 0 0 0 0 0 0 1]\nLinear Code over GF(2) of length 37 with 6 generators.\nLower Bound: 1, Upper Bound: 32\nConstructed 7 distinct generator matrices\nRelative Ranks:   6   6   6   6   6   6   1 \n     Discarding non-contributing rank 1 matrix\n     New Relative Ranks:   6   6   6   6   6   6 \nTime Taken: 0.00\nStarting search for low weight codewords... (reset timings)\nEnumerating using 1 generator at a time:\n     New codeword identified of weight 21, time 0.00\n     New codeword identified of weight 17, time 0.00\n   Completed Matrix  1:  lower =  7, upper = 17. Elapsed: 0.00s\n   Completed Matrix  2:  lower =  8, upper = 17. Elapsed: 0.00s\n   Completed Matrix  3:  lower =  9, upper = 17. Elapsed: 0.00s\n   Completed Matrix  4:  lower = 10, upper = 17. Elapsed: 0.00s\n   Completed Matrix  5:  lower = 11, upper = 17. Elapsed: 0.00s\n   Completed Matrix  6:  lower = 12, upper = 17. Elapsed: 0.00s\nTermination predicted with 2 generators at matrix 5\nEnumerating using 2 generators at a time:\n   Completed Matrix  1:  lower = 13, upper = 17. Elapsed: 0.00s\n   Completed Matrix  2:  lower = 14, upper = 17. Elapsed: 0.00s\n   Completed Matrix  3:  lower = 15, upper = 17. Elapsed: 0.00s\n   Completed Matrix  4:  lower = 16, upper = 17. Elapsed: 0.00s\n   Completed Matrix  5:  lower = 17, upper = 17. Elapsed: 0.00s\nComputation complete 111 vectors enumerated in total\n (173.437500% of 37 6 code)\nFinal Results: lower = 17, upper = 17,\nTotal CPU time: 0.00, real time: 0.000\n17\n\nTotal time: 0.010 seconds, Total memory usage: 32.09MB\n</t>
  </si>
  <si>
    <t>[[38,3,21]]</t>
  </si>
  <si>
    <t>Magma V2.28-26    Tue Dec 30 2025 09:50:17 on Marks-MacBook-Air-2 [Seed = \n1265730258]\nType ? for help.  Type &lt;Ctrl&gt;-D to quit.\n[1 1 1 1 1 1 1 0 0 1 1 1 1 0 0 1 1 1 1 0 0 1 1 1 1 1 1 1 1 0 0 0 0 0 0 0 0 0]\n[1 1 0 1 1 0 0 1 1 1 1 0 0 1 1 1 1 0 0 1 1 1 1 1 1 0 0 0 0 1 1 1 1 0 0 0 0 0]\n[1 0 1 1 0 1 0 1 0 1 0 1 0 1 0 1 0 1 0 1 0 1 1 0 0 1 1 0 0 1 1 0 0 1 1 1 1 1]\nCalculating the Weight Distribution for [38, 3] linear code, #R = 2\nNumber of threads: 1\nDoing quick check for code being known to be MDS:\nCode is not known to be MDS\n[38, 3, 21] Linear Code over GF(2)\nGenerator matrix:\n[1 0 0 1 0 0 1 0 1 1 0 0 1 0 1 1 0 0 1 0 1 1 1 0 0 0 0 1 1 0 0 1 1 1 1 1 1 1]\n[0 1 0 0 1 0 1 1 0 0 1 0 1 1 0 0 1 0 1 1 0 0 0 1 1 0 0 1 1 1 1 0 0 1 1 1 1 1]\n[0 0 1 0 0 1 1 1 1 0 0 1 1 1 1 0 0 1 1 1 1 0 0 0 0 1 1 1 1 1 1 1 1 0 0 0 0 0]\n21\n\nTotal time: 0.010 seconds, Total memory usage: 32.09MB\n</t>
  </si>
  <si>
    <t>[[39,7,17]]</t>
  </si>
  <si>
    <t>Magma V2.28-26    Tue Dec 30 2025 09:50:17 on Marks-MacBook-Air-2 [Seed = \n1366005960]\nType ? for help.  Type &lt;Ctrl&gt;-D to quit.\n[0 0 0 1 1 0 0 0 0 1 0 0 0 0 1 0 1 1 0 1 0 1 1 1 1 1 1 1 0 1 1 0 1 0 0 0 0 0 0]\n[0 0 0 0 1 0 1 0 0 0 1 1 0 0 0 1 0 1 1 0 1 0 1 1 1 0 1 1 1 0 1 1 0 1 0 0 0 0 0]\n[1 0 0 0 0 1 0 1 0 0 0 1 1 0 0 0 1 0 1 1 0 1 0 1 1 1 0 1 1 1 0 1 0 0 1 0 0 0 0]\n[1 1 0 0 0 0 0 0 1 0 0 0 1 1 0 0 0 1 1 1 1 0 1 0 1 1 1 0 1 1 1 0 0 0 0 1 0 0 0]\n[1 1 1 0 0 0 1 0 0 1 0 1 0 1 1 0 0 0 1 1 1 1 0 1 0 0 1 1 0 1 1 1 0 0 0 0 1 0 0]\n[0 1 1 1 0 0 0 1 0 0 1 0 1 0 1 1 0 0 0 1 1 1 1 0 1 1 0 1 1 0 1 1 0 0 0 0 0 1 0]\n[0 0 1 1 1 1 0 0 1 0 0 0 0 1 0 1 1 0 1 0 1 1 1 1 0 1 1 0 1 1 0 1 0 0 0 0 0 0 1]\nLinear Code over GF(2) of length 39 with 7 generators.\nLower Bound: 1, Upper Bound: 33\nConstructed 6 distinct generator matrices\nRelative Ranks:   7   7   7   7   7   4 \nTime Taken: 0.00\nStarting search for low weight codewords... (reset timings)\nEnumerating using 1 generator at a time:\n     New codeword identified of weight 18, time 0.00\n     New codeword identified of weight 17, time 0.00\n     Discarding non-contributing rank 4 matrix\n     New Relative Ranks:   7   7   7   7   7 \n   Completed Matrix  1:  lower =  6, upper = 17. Elapsed: 0.00s\n   Completed Matrix  2:  lower =  7, upper = 17. Elapsed: 0.00s\n   Completed Matrix  3:  lower =  8, upper = 17. Elapsed: 0.00s\n   Completed Matrix  4:  lower =  9, upper = 17. Elapsed: 0.00s\n   Completed Matrix  5:  lower = 10, upper = 17. Elapsed: 0.00s\nTermination predicted with 3 generators at matrix 2\nEnumerating using 2 generators at a time:\n   Completed Matrix  1:  lower = 11, upper = 17. Elapsed: 0.00s\n   Completed Matrix  2:  lower = 12, upper = 17. Elapsed: 0.00s\n   Completed Matrix  3:  lower = 13, upper = 17. Elapsed: 0.00s\n   Completed Matrix  4:  lower = 14, upper = 17. Elapsed: 0.00s\n   Completed Matrix  5:  lower = 15, upper = 17. Elapsed: 0.00s\nTermination predicted with 3 generators at matrix 2\nEnumerating using 3 generators at a time:\n   Completed Matrix  1:  lower = 16, upper = 17. Elapsed: 0.00s\n   Completed Matrix  2:  lower = 17, upper = 17. Elapsed: 0.00s\nComputation complete 210 vectors enumerated in total\n (164.062500% of 39 7 code)\nFinal Results: lower = 17, upper = 17,\nTotal CPU time: 0.00, real time: 0.002\n[39, 7, 17] Linear Code over GF(2)\nGenerator matrix:\n[1 0 0 0 0 0 0 1 0 0 0 0 1 1 1 0 1 0 0 1 1 1 1 1 1 0 1 0 0 0 0 1 1 1 0 0 1 1 0]\n[0 1 0 0 0 0 0 1 1 0 0 0 0 0 1 0 1 1 1 0 0 1 0 1 0 1 0 0 1 1 1 1 1 1 0 1 1 1 0]\n[0 0 1 0 0 0 0 0 1 1 0 1 0 0 0 1 0 1 0 1 0 0 1 0 1 1 1 0 0 1 1 1 0 1 1 0 1 1 1]\n[0 0 0 1 0 0 0 0 0 1 1 1 1 0 0 0 1 0 1 0 1 0 0 1 0 1 1 1 0 0 1 1 1 0 1 1 0 1 1]\n[0 0 0 0 1 0 0 0 0 0 1 1 1 0 1 0 0 1 1 1 1 1 1 0 1 0 0 0 0 1 0 1 0 0 1 1 0 1 1]\n[0 0 0 0 0 1 0 0 0 0 0 1 0 1 1 0 0 0 1 0 1 0 1 0 0 1 1 1 1 1 0 0 1 1 1 0 1 1 0]\n[0 0 0 0 0 0 1 0 0 0 0 0 1 0 1 1 0 0 0 1 0 1 0 1 0 0 1 1 1 1 1 0 0 1 1 1 0 1 1]\nLinear Code over GF(2) of length 39 with 7 generators.\nLower Bound: 1, Upper Bound: 33\nConstructed 6 distinct generator matrices\nRelative Ranks:   7   7   7   7   7   4 \nTime Taken: 0.00\nStarting search for low weight codewords... (reset timings)\nEnumerating using 1 generator at a time:\n     New codeword identified of weight 18, time 0.00\n     New codeword identified of weight 17, time 0.00\n     Discarding non-contributing rank 4 matrix\n     New Relative Ranks:   7   7   7   7   7 \n   Completed Matrix  1:  lower =  6, upper = 17. Elapsed: 0.00s\n   Completed Matrix  2:  lower =  7, upper = 17. Elapsed: 0.00s\n   Completed Matrix  3:  lower =  8, upper = 17. Elapsed: 0.00s\n   Completed Matrix  4:  lower =  9, upper = 17. Elapsed: 0.00s\n   Completed Matrix  5:  lower = 10, upper = 17. Elapsed: 0.00s\nTermination predicted with 3 generators at matrix 2\nEnumerating using 2 generators at a time:\n   Completed Matrix  1:  lower = 11, upper = 17. Elapsed: 0.00s\n   Completed Matrix  2:  lower = 12, upper = 17. Elapsed: 0.00s\n   Completed Matrix  3:  lower = 13, upper = 17. Elapsed: 0.00s\n   Completed Matrix  4:  lower = 14, upper = 17. Elapsed: 0.00s\n   Completed Matrix  5:  lower = 15, upper = 17. Elapsed: 0.00s\nTermination predicted with 3 generators at matrix 2\nEnumerating using 3 generators at a time:\n   Completed Matrix  1:  lower = 16, upper = 17. Elapsed: 0.00s\n   Completed Matrix  2:  lower = 17, upper = 17. Elapsed: 0.00s\nComputation complete 210 vectors enumerated in total\n (164.062500% of 39 7 code)\nFinal Results: lower = 17, upper = 17,\nTotal CPU time: 0.00, real time: 0.000\n17\n\nTotal time: 0.010 seconds, Total memory usage: 32.09MB\n</t>
  </si>
  <si>
    <t>[[40,13,13]]</t>
  </si>
  <si>
    <t>Magma V2.28-26    Tue Dec 30 2025 09:50:17 on Marks-MacBook-Air-2 [Seed = \n1466801870]\nType ? for help.  Type &lt;Ctrl&gt;-D to quit.\n[0 1 0 0 1 1 1 0 1 1 0 1 1 1 1 0 1 1 1 1 0 1 1 0 0 0 0 0 0 0 0 0 0 0 0 0 0 0 0 \n    0]\n[0 1 1 1 0 0 1 1 0 1 1 0 1 0 1 1 0 1 1 1 1 0 0 1 1 0 0 0 0 0 0 0 0 0 0 0 0 0 0 \n    0]\n[1 1 0 1 1 0 1 1 1 0 1 1 0 1 0 0 0 0 0 1 0 1 0 0 0 0 1 1 0 1 0 0 0 0 0 0 0 0 0 \n    0]\n[1 0 1 1 1 0 1 0 1 0 1 1 1 1 0 1 1 0 1 0 1 0 0 0 0 0 1 0 1 0 1 0 0 0 0 0 0 0 0 \n    0]\n[1 0 0 1 1 0 0 1 0 0 0 0 1 1 1 0 0 1 0 0 1 1 0 0 0 1 1 0 0 0 0 1 0 0 0 0 0 0 0 \n    0]\n[1 1 0 1 0 0 1 0 0 1 1 1 0 1 1 1 1 1 0 0 1 0 0 1 0 1 1 1 1 0 0 0 1 0 0 0 0 0 0 \n    0]\n[0 0 0 0 0 0 1 0 1 0 0 1 1 1 0 1 0 0 1 1 0 1 0 1 0 0 1 1 1 0 0 0 0 1 0 0 0 0 0 \n    0]\n[1 1 0 0 1 1 1 0 1 1 0 1 1 0 1 1 0 0 0 0 1 1 0 1 0 1 0 0 1 0 0 0 0 0 1 0 0 0 0 \n    0]\n[1 1 1 1 0 0 0 0 1 0 0 1 1 1 0 1 0 0 0 1 1 0 0 1 0 1 0 1 0 0 0 0 0 0 0 1 0 0 0 \n    0]\n[0 1 0 1 0 1 0 0 1 1 1 0 0 0 0 1 0 1 1 0 1 0 0 0 0 1 0 1 1 0 0 0 0 0 0 0 1 0 0 \n    0]\n[1 1 0 1 0 0 0 0 1 1 0 1 1 1 1 0 0 0 1 0 0 0 0 0 0 1 1 0 1 0 0 0 0 0 0 0 0 1 0 \n    0]\n[0 0 0 1 1 0 0 1 1 1 0 0 1 1 1 0 1 0 1 0 1 0 0 1 0 0 0 1 1 0 0 0 0 0 0 0 0 0 1 \n    0]\n[1 0 1 1 0 1 1 0 1 1 1 0 1 0 0 0 1 0 0 0 1 0 0 1 0 1 1 1 0 0 0 0 0 0 0 0 0 0 0 \n    1]\nLinear Code over GF(2) of length 40 with 13 generators.\nLower Bound: 1, Upper Bound: 28\nConstructed 4 distinct generator matrices\nRelative Ranks:  13  13  13   1 \n     Discarding non-contributing rank 1 matrix\n     New Relative Ranks:  13  13  13 \nTime Taken: 0.00\nStarting search for low weight codewords... (reset timings)\nEnumerating using 1 generator at a time:\n     New codeword identified of weight 14, time 0.00\n     New codeword identified of weight 13, time 0.00\n   Completed Matrix  1:  lower =  4, upper = 13. Elapsed: 0.00s\n   Completed Matrix  2:  lower =  5, upper = 13. Elapsed: 0.00s\n   Completed Matrix  3:  lower =  6, upper = 13. Elapsed: 0.00s\nTermination predicted with 4 generators at matrix 1\nEnumerating using 2 generators at a time:\n   Completed Matrix  1:  lower =  7, upper = 13. Elapsed: 0.00s\n   Completed Matrix  2:  lower =  8, upper = 13. Elapsed: 0.00s\n   Completed Matrix  3:  lower =  9, upper = 13. Elapsed: 0.00s\nTermination predicted with 4 generators at matrix 1\nEnumerating using 3 generators at a time:\n   Completed Matrix  1:  lower = 10, upper = 13. Elapsed: 0.00s\n   Completed Matrix  2:  lower = 11, upper = 13. Elapsed: 0.00s\n   Completed Matrix  3:  lower = 12, upper = 13. Elapsed: 0.00s\nTermination predicted with 4 generators at matrix 1\nEnumerating using 4 generators at a time:\n   Completed Matrix  1:  lower = 13, upper = 13. Elapsed: 0.00s\nComputation complete 1846 vectors enumerated in total\n (22.534180% of 40 13 code)\nFinal Results: lower = 13, upper = 13,\nTotal CPU time: 0.00, real time: 0.001\n[40, 13, 13] Linear Code over GF(2)\nGenerator matrix:\n[1 0 0 0 0 0 0 0 0 0 0 0 0 0 0 0 1 0 1 0 1 0 0 0 0 1 1 0 1 1 1 1 1 1 1 0 0 1 0 \n    1]\n[0 1 0 0 0 0 0 0 0 0 0 1 0 0 0 0 1 1 1 1 0 1 1 1 1 0 1 0 1 1 1 0 1 0 1 0 0 0 0 \n    0]\n[0 0 1 0 0 0 0 0 0 1 0 0 0 0 0 0 0 1 1 1 1 1 1 1 1 1 0 1 0 0 1 1 0 0 1 1 0 0 0 \n    0]\n[0 0 0 1 0 0 0 0 0 0 0 0 1 0 0 0 0 0 1 0 0 1 1 1 0 1 1 1 0 0 1 1 0 1 0 0 0 1 1 \n    1]\n[0 0 0 0 1 0 0 0 0 1 0 1 1 0 0 0 0 0 0 0 1 0 0 0 1 1 1 0 0 0 0 1 1 1 0 0 1 1 0 \n    1]\n[0 0 0 0 0 1 0 0 0 0 0 0 1 0 0 0 0 1 1 1 1 0 1 0 1 0 0 1 1 1 0 0 0 0 0 0 1 0 0 \n    1]\n[0 0 0 0 0 0 1 0 0 1 0 1 1 0 0 0 0 0 1 0 1 0 1 1 0 0 0 0 1 0 0 1 0 1 1 0 0 0 1 \n    0]\n[0 0 0 0 0 0 0 1 0 1 0 1 1 0 0 0 1 1 0 1 1 1 1 0 0 1 0 1 0 0 0 0 1 0 0 0 1 1 1 \n    0]\n[0 0 0 0 0 0 0 0 1 1 0 0 0 0 0 0 0 1 0 0 1 1 0 1 0 0 0 1 0 1 1 0 1 1 1 0 0 1 1 \n    1]\n[0 0 0 0 0 0 0 0 0 0 1 1 0 0 0 0 0 1 1 0 0 1 0 1 0 0 1 1 1 1 0 0 0 0 0 1 1 1 1 \n    1]\n[0 0 0 0 0 0 0 0 0 0 0 0 0 1 0 0 1 0 1 1 1 0 0 1 0 0 0 1 0 1 0 0 1 1 0 1 1 0 1 \n    1]\n[0 0 0 0 0 0 0 0 0 0 0 0 0 0 1 0 1 0 1 0 1 1 0 0 1 1 0 1 1 0 0 0 0 0 1 1 1 0 1 \n    0]\n[0 0 0 0 0 0 0 0 0 0 0 0 0 0 0 1 1 1 1 0 1 0 1 0 0 0 1 1 0 0 1 1 0 0 0 1 1 1 1 \n    0]\nLinear Code over GF(2) of length 40 with 13 generators.\nLower Bound: 1, Upper Bound: 28\nConstructed 4 distinct generator matrices\nRelative Ranks:  13  13  13   1 \n     Discarding non-contributing rank 1 matrix\n     New Relative Ranks:  13  13  13 \nTime Taken: 0.00\nStarting search for low weight codewords... (reset timings)\nEnumerating using 1 generator at a time:\n     New codeword identified of weight 14, time 0.00\n     New codeword identified of weight 13, time 0.00\n   Completed Matrix  1:  lower =  4, upper = 13. Elapsed: 0.00s\n   Completed Matrix  2:  lower =  5, upper = 13. Elapsed: 0.00s\n   Completed Matrix  3:  lower =  6, upper = 13. Elapsed: 0.00s\nTermination predicted with 4 generators at matrix 1\nEnumerating using 2 generators at a time:\n   Completed Matrix  1:  lower =  7, upper = 13. Elapsed: 0.00s\n   Completed Matrix  2:  lower =  8, upper = 13. Elapsed: 0.00s\n   Completed Matrix  3:  lower =  9, upper = 13. Elapsed: 0.00s\nTermination predicted with 4 generators at matrix 1\nEnumerating using 3 generators at a time:\n   Completed Matrix  1:  lower = 10, upper = 13. Elapsed: 0.00s\n   Completed Matrix  2:  lower = 11, upper = 13. Elapsed: 0.00s\n   Completed Matrix  3:  lower = 12, upper = 13. Elapsed: 0.00s\nTermination predicted with 4 generators at matrix 1\nEnumerating using 4 generators at a time:\n   Completed Matrix  1:  lower = 13, upper = 13. Elapsed: 0.00s\nComputation complete 1846 vectors enumerated in total\n (22.534180% of 40 13 code)\nFinal Results: lower = 13, upper = 13,\nTotal CPU time: 0.00, real time: 0.000\n13\n\nTotal time: 0.010 seconds, Total memory usage: 32.09MB\n</t>
  </si>
  <si>
    <t>[[41,8,17]]</t>
  </si>
  <si>
    <t>Magma V2.28-26    Tue Dec 30 2025 09:50:17 on Marks-MacBook-Air-2 [Seed = \n1567069380]\nType ? for help.  Type &lt;Ctrl&gt;-D to quit.\n[1 1 1 1 1 1 1 1 1 1 1 1 1 1 1 1 1 1 1 1 1 1 0 0 0 0 0 0 0 0 0 0 0 0 0 0 0 0 0 0\n    0]\n[1 1 1 1 1 1 1 1 1 1 1 0 0 0 0 0 0 0 0 0 0 0 1 1 1 1 1 1 1 1 1 1 1 1 1 0 0 0 0 0\n    0]\n[1 1 1 0 1 1 0 0 0 0 1 1 0 1 0 1 1 1 1 0 0 0 0 1 0 1 1 0 1 1 0 1 1 1 0 1 0 0 0 0\n    0]\n[0 1 1 1 1 1 0 1 0 0 0 1 1 0 0 0 1 1 1 1 1 0 0 1 1 1 0 1 1 0 1 0 0 1 0 0 1 0 0 0\n    0]\n[1 0 1 1 0 1 0 1 0 1 1 1 1 0 1 1 0 1 0 0 1 0 1 0 1 1 1 0 1 0 0 1 1 0 0 0 0 1 0 0\n    0]\n[1 1 0 1 1 0 1 0 0 1 0 0 1 0 0 1 1 0 0 1 0 0 0 1 1 0 1 0 1 1 1 0 0 0 0 0 0 0 1 0\n    0]\n[0 0 1 0 1 1 0 0 1 1 0 0 1 0 1 1 1 0 1 0 1 0 1 0 0 0 0 0 1 1 1 0 1 0 0 0 0 0 0 1\n    0]\n[1 0 1 1 1 0 1 1 1 0 0 0 0 1 1 1 0 1 1 1 0 0 0 1 0 1 1 1 0 1 1 0 1 0 0 0 0 0 0 0\n    1]\nLinear Code over GF(2) of length 41 with 8 generators.\nLower Bound: 1, Upper Bound: 34\nConstructed 6 distinct generator matrices\nRelative Ranks:   8   8   8   8   8   1 \n     Discarding non-contributing rank 1 matrix\n     New Relative Ranks:   8   8   8   8   8 \nTime Taken: 0.00\nStarting search for low weight codewords... (reset timings)\nEnumerating using 1 generator at a time:\n     New codeword identified of weight 19, time 0.00\n     New codeword identified of weight 18, time 0.00\n   Completed Matrix  1:  lower =  6, upper = 18. Elapsed: 0.00s\n   Completed Matrix  2:  lower =  7, upper = 18. Elapsed: 0.00s\n     New codeword identified of weight 17, time 0.00\n   Completed Matrix  3:  lower =  8, upper = 17. Elapsed: 0.00s\n   Completed Matrix  4:  lower =  9, upper = 17. Elapsed: 0.00s\n   Completed Matrix  5:  lower = 10, upper = 17. Elapsed: 0.00s\nTermination predicted with 3 generators at matrix 2\nEnumerating using 2 generators at a time:\n   Completed Matrix  1:  lower = 11, upper = 17. Elapsed: 0.00s\n   Completed Matrix  2:  lower = 12, upper = 17. Elapsed: 0.00s\n   Completed Matrix  3:  lower = 13, upper = 17. Elapsed: 0.00s\n   Completed Matrix  4:  lower = 14, upper = 17. Elapsed: 0.00s\n   Completed Matrix  5:  lower = 15, upper = 17. Elapsed: 0.00s\nTermination predicted with 3 generators at matrix 2\nEnumerating using 3 generators at a time:\n   Completed Matrix  1:  lower = 16, upper = 17. Elapsed: 0.00s\n   Completed Matrix  2:  lower = 17, upper = 17. Elapsed: 0.00s\nComputation complete 292 vectors enumerated in total\n (114.062500% of 41 8 code)\nFinal Results: lower = 17, upper = 17,\nTotal CPU time: 0.00, real time: 0.001\n[41, 8, 17] Linear Code over GF(2)\nGenerator matrix:\n[1 0 0 0 0 0 1 0 1 1 1 0 0 1 1 1 0 0 0 0 0 1 0 1 1 1 0 1 1 0 1 0 0 1 0 0 1 0 0 0\n    0]\n[0 1 0 0 0 0 1 0 0 0 0 0 0 1 1 0 1 0 1 1 0 0 0 1 0 1 0 0 0 1 1 0 1 1 1 1 1 0 0 1\n    0]\n[0 0 1 0 0 0 1 0 0 0 1 0 1 0 0 0 0 1 1 0 1 1 1 0 0 1 1 0 1 1 1 0 0 1 1 0 0 1 0 1\n    1]\n[0 0 0 1 0 0 1 0 0 0 1 0 1 0 1 0 0 0 1 0 0 0 1 0 1 0 0 1 1 1 0 1 1 1 0 0 1 1 1 0\n    0]\n[0 0 0 0 1 0 0 0 1 0 0 0 0 0 1 0 0 0 0 0 0 1 1 1 1 0 1 0 1 1 1 1 0 1 1 1 1 1 0 1\n    0]\n[0 0 0 0 0 1 1 0 0 1 1 0 0 0 0 1 1 1 0 0 0 0 1 1 1 1 0 0 1 1 1 1 1 0 0 1 1 0 0 1\n    1]\n[0 0 0 0 0 0 0 1 1 1 1 0 0 0 0 0 0 0 1 1 1 1 1 1 1 1 1 1 0 0 0 0 0 0 0 1 1 1 1 0\n    0]\n[0 0 0 0 0 0 0 0 0 0 0 1 1 1 1 1 1 1 1 1 1 1 1 1 1 1 1 1 1 1 1 1 1 1 1 0 0 0 0 0\n    0]\nLinear Code over GF(2) of length 41 with 8 generators.\nLower Bound: 1, Upper Bound: 34\nConstructed 6 distinct generator matrices\nRelative Ranks:   8   8   8   8   8   1 \n     Discarding non-contributing rank 1 matrix\n     New Relative Ranks:   8   8   8   8   8 \nTime Taken: 0.00\nStarting search for low weight codewords... (reset timings)\nEnumerating using 1 generator at a time:\n     New codeword identified of weight 19, time 0.00\n     New codeword identified of weight 18, time 0.00\n   Completed Matrix  1:  lower =  6, upper = 18. Elapsed: 0.00s\n   Completed Matrix  2:  lower =  7, upper = 18. Elapsed: 0.00s\n     New codeword identified of weight 17, time 0.00\n   Completed Matrix  3:  lower =  8, upper = 17. Elapsed: 0.00s\n   Completed Matrix  4:  lower =  9, upper = 17. Elapsed: 0.00s\n   Completed Matrix  5:  lower = 10, upper = 17. Elapsed: 0.00s\nTermination predicted with 3 generators at matrix 2\nEnumerating using 2 generators at a time:\n   Completed Matrix  1:  lower = 11, upper = 17. Elapsed: 0.00s\n   Completed Matrix  2:  lower = 12, upper = 17. Elapsed: 0.00s\n   Completed Matrix  3:  lower = 13, upper = 17. Elapsed: 0.00s\n   Completed Matrix  4:  lower = 14, upper = 17. Elapsed: 0.00s\n   Completed Matrix  5:  lower = 15, upper = 17. Elapsed: 0.00s\nTermination predicted with 3 generators at matrix 2\nEnumerating using 3 generators at a time:\n   Completed Matrix  1:  lower = 16, upper = 17. Elapsed: 0.00s\n   Completed Matrix  2:  lower = 17, upper = 17. Elapsed: 0.00s\nComputation complete 292 vectors enumerated in total\n (114.062500% of 41 8 code)\nFinal Results: lower = 17, upper = 17,\nTotal CPU time: 0.00, real time: 0.000\n17\n\nTotal time: 0.010 seconds, Total memory usage: 32.09MB\n</t>
  </si>
  <si>
    <t>[[42,9,17]]</t>
  </si>
  <si>
    <t>Magma V2.28-26    Tue Dec 30 2025 09:50:17 on Marks-MacBook-Air-2 [Seed = \n1666820858]\nType ? for help.  Type &lt;Ctrl&gt;-D to quit.\n[1 0 1 1 0 1 0 0 0 1 0 1 1 0 0 0 0 1 1 1 1 1 1 0 1 0 1 0 1 0 1 1 0 0 0 0 0 0 0 0\n    0 0]\n[0 1 1 1 1 0 0 0 1 1 0 0 0 1 0 0 1 0 1 1 1 1 0 1 0 1 1 1 1 0 0 0 1 0 0 0 0 0 0 0\n    0 0]\n[1 1 1 0 0 0 0 1 1 0 1 0 0 0 1 0 1 1 0 1 1 1 1 0 1 0 1 1 0 1 0 0 0 1 0 0 0 0 0 0\n    0 0]\n[1 1 0 1 0 0 1 0 0 0 1 1 0 0 0 1 1 1 1 0 1 1 0 1 0 1 1 0 0 1 1 0 0 0 1 0 0 0 0 0\n    0 0]\n[0 0 1 0 1 0 1 1 1 0 1 1 1 1 0 0 1 0 1 0 0 0 1 0 1 1 1 0 1 1 1 0 0 0 0 1 0 0 0 0\n    0 0]\n[1 1 0 1 0 1 0 0 1 0 1 1 0 0 1 1 0 1 0 1 0 1 0 1 0 0 0 1 0 0 0 0 0 0 0 0 1 1 1 0\n    0 0]\n[1 1 0 0 1 0 0 1 0 1 0 1 1 0 1 0 0 0 0 0 0 1 1 0 0 1 1 0 0 1 1 0 0 0 0 0 1 1 0 1\n    0 0]\n[0 1 0 0 0 1 1 1 0 1 1 1 0 1 1 0 0 1 0 1 0 0 0 1 1 1 1 1 1 0 1 0 0 0 0 0 0 1 0 0\n    1 0]\n[1 0 0 0 1 1 1 0 1 1 0 1 0 0 1 1 1 0 1 0 0 0 1 1 1 0 1 1 1 1 0 0 0 0 0 0 1 0 0 0\n    0 1]\nLinear Code over GF(2) of length 42 with 9 generators.\nLower Bound: 1, Upper Bound: 34\nConstructed 5 distinct generator matrices\nRelative Ranks:   9   9   9   9   6 \nTime Taken: 0.00\nStarting search for low weight codewords... (reset timings)\nEnumerating using 1 generator at a time:\n     New codeword identified of weight 17, time 0.00\n   Completed Matrix  1:  lower =  5, upper = 17. Elapsed: 0.00s\n   Completed Matrix  2:  lower =  6, upper = 17. Elapsed: 0.00s\n   Completed Matrix  3:  lower =  7, upper = 17. Elapsed: 0.00s\n   Completed Matrix  4:  lower =  8, upper = 17. Elapsed: 0.00s\n   Completed Matrix  5:  lower =  8, upper = 17. Elapsed: 0.00s\nTermination predicted with 3 generators at matrix 5\nEnumerating using 2 generators at a time:\n   Completed Matrix  1:  lower =  9, upper = 17. Elapsed: 0.00s\n   Completed Matrix  2:  lower = 10, upper = 17. Elapsed: 0.00s\n   Completed Matrix  3:  lower = 11, upper = 17. Elapsed: 0.00s\n   Completed Matrix  4:  lower = 12, upper = 17. Elapsed: 0.00s\n   Completed Matrix  5:  lower = 12, upper = 17. Elapsed: 0.00s\nTermination predicted with 3 generators at matrix 5\nEnumerating using 3 generators at a time:\n   Completed Matrix  1:  lower = 13, upper = 17. Elapsed: 0.00s\n   Completed Matrix  2:  lower = 14, upper = 17. Elapsed: 0.00s\n   Completed Matrix  3:  lower = 15, upper = 17. Elapsed: 0.00s\n   Completed Matrix  4:  lower = 16, upper = 17. Elapsed: 0.00s\n   Completed Matrix  5:  lower = 17, upper = 17. Elapsed: 0.00s\nComputation complete 645 vectors enumerated in total\n (125.976562% of 42 9 code)\nFinal Results: lower = 17, upper = 17,\nTotal CPU time: 0.00, real time: 0.002\n[42, 9, 17] Linear Code over GF(2)\nGenerator matrix:\n[1 0 0 0 0 0 0 1 0 1 0 0 1 0 0 1 1 1 1 1 0 0 1 0 1 1 1 1 0 0 0 0 1 0 1 1 0 0 0 0\n    0 0]\n[0 1 0 0 0 0 0 1 0 0 0 0 1 0 1 1 0 0 0 1 1 0 1 0 0 1 0 1 0 0 1 1 1 1 0 1 0 1 0 1\n    0 1]\n[0 0 1 0 0 0 0 1 0 0 0 1 1 1 1 1 1 1 0 0 0 0 1 0 0 0 1 1 0 1 1 1 0 0 1 0 0 1 0 0\n    1 0]\n[0 0 0 1 0 0 0 1 0 0 1 1 0 1 1 1 0 1 1 1 1 0 0 0 0 0 0 0 0 1 1 0 1 1 1 0 0 1 1 0\n    0 1]\n[0 0 0 0 1 0 0 1 0 0 0 1 1 0 0 0 1 1 1 0 1 0 0 1 0 0 1 1 1 0 1 0 1 0 0 1 0 1 1 0\n    0 1]\n[0 0 0 0 0 1 0 1 0 0 1 1 1 0 0 1 0 0 1 1 0 0 0 1 1 0 0 1 0 1 0 1 1 0 0 0 1 1 0 0\n    1 1]\n[0 0 0 0 0 0 1 1 0 1 0 0 0 1 0 0 0 1 1 1 1 0 1 0 0 0 1 1 1 1 0 0 0 1 0 1 1 1 0 1\n    0 0]\n[0 0 0 0 0 0 0 0 1 1 1 1 1 1 1 1 1 1 1 1 0 0 1 1 1 1 0 1 1 1 1 1 1 1 1 1 1 1 1 1\n    1 1]\n[0 0 0 0 0 0 0 0 0 0 0 0 0 0 0 0 0 0 0 0 0 1 1 1 1 1 1 1 1 1 1 1 1 1 1 1 1 1 1 0\n    0 0]\nLinear Code over GF(2) of length 42 with 9 generators.\nLower Bound: 1, Upper Bound: 34\nConstructed 5 distinct generator matrices\nRelative Ranks:   9   9   9   9   6 \nTime Taken: 0.00\nStarting search for low weight codewords... (reset timings)\nEnumerating using 1 generator at a time:\n     New codeword identified of weight 17, time 0.00\n   Completed Matrix  1:  lower =  5, upper = 17. Elapsed: 0.00s\n   Completed Matrix  2:  lower =  6, upper = 17. Elapsed: 0.00s\n   Completed Matrix  3:  lower =  7, upper = 17. Elapsed: 0.00s\n   Completed Matrix  4:  lower =  8, upper = 17. Elapsed: 0.00s\n   Completed Matrix  5:  lower =  8, upper = 17. Elapsed: 0.00s\nTermination predicted with 3 generators at matrix 5\nEnumerating using 2 generators at a time:\n   Completed Matrix  1:  lower =  9, upper = 17. Elapsed: 0.00s\n   Completed Matrix  2:  lower = 10, upper = 17. Elapsed: 0.00s\n   Completed Matrix  3:  lower = 11, upper = 17. Elapsed: 0.00s\n   Completed Matrix  4:  lower = 12, upper = 17. Elapsed: 0.00s\n   Completed Matrix  5:  lower = 12, upper = 17. Elapsed: 0.00s\nTermination predicted with 3 generators at matrix 5\nEnumerating using 3 generators at a time:\n   Completed Matrix  1:  lower = 13, upper = 17. Elapsed: 0.00s\n   Completed Matrix  2:  lower = 14, upper = 17. Elapsed: 0.00s\n   Completed Matrix  3:  lower = 15, upper = 17. Elapsed: 0.00s\n   Completed Matrix  4:  lower = 16, upper = 17. Elapsed: 0.00s\n   Completed Matrix  5:  lower = 17, upper = 17. Elapsed: 0.00s\nComputation complete 645 vectors enumerated in total\n (125.976562% of 42 9 code)\nFinal Results: lower = 17, upper = 17,\nTotal CPU time: 0.00, real time: 0.000\n17\n\nTotal time: 0.010 seconds, Total memory usage: 32.09MB\n</t>
  </si>
  <si>
    <t>[[43,22,9]]</t>
  </si>
  <si>
    <t>Magma V2.28-26    Tue Dec 30 2025 09:50:18 on Marks-MacBook-Air-2 [Seed = \n1767088371]\nType ? for help.  Type &lt;Ctrl&gt;-D to quit.\n[1 1 0 1 1 1 0 1 1 0 1 1 1 0 0 0 1 1 0 0 0 1 0 0 0 0 0 0 0 0 0 0 0 0 0 0 0 0 0 0\n    0 0 0]\n[1 1 1 0 1 1 1 0 1 1 0 1 1 1 0 0 0 1 1 0 0 0 1 0 0 0 0 0 0 0 0 0 0 0 0 0 0 0 0 0\n    0 0 0]\n[1 1 1 1 0 1 1 1 0 1 1 0 1 1 1 0 0 0 1 1 0 0 0 1 0 0 0 0 0 0 0 0 0 0 0 0 0 0 0 0\n    0 0 0]\n[0 1 1 1 1 0 1 1 1 0 1 1 0 1 1 1 0 0 0 1 1 0 0 0 1 0 0 0 0 0 0 0 0 0 0 0 0 0 0 0\n    0 0 0]\n[1 1 1 0 0 0 0 0 0 1 1 0 0 0 1 1 0 1 0 0 1 0 0 0 0 1 0 0 0 0 0 0 0 0 0 0 0 0 0 0\n    0 0 0]\n[0 0 1 0 1 1 0 1 1 0 0 0 1 0 0 1 0 1 1 0 0 0 0 0 0 0 1 0 0 0 0 0 0 0 0 0 0 0 0 0\n    0 0 0]\n[0 0 0 1 0 1 1 0 1 1 0 0 0 1 0 0 1 0 1 1 0 0 0 0 0 0 0 1 0 0 0 0 0 0 0 0 0 0 0 0\n    0 0 0]\n[1 0 0 0 1 0 1 1 0 1 1 0 0 0 1 0 0 1 0 1 1 0 0 0 0 0 0 0 1 0 0 0 0 0 0 0 0 0 0 0\n    0 0 0]\n[1 0 0 1 1 0 0 0 0 0 0 0 1 0 0 1 1 1 1 0 1 0 0 0 0 0 0 0 0 1 0 0 0 0 0 0 0 0 0 0\n    0 0 0]\n[0 0 0 1 0 0 0 1 1 0 1 1 1 1 0 0 0 0 1 1 0 0 0 0 0 0 0 0 0 0 1 0 0 0 0 0 0 0 0 0\n    0 0 0]\n[0 0 0 0 1 0 0 0 1 1 0 1 1 1 1 0 0 0 0 1 1 0 0 0 0 0 0 0 0 0 0 1 0 0 0 0 0 0 0 0\n    0 0 0]\n[0 1 0 1 1 0 0 1 1 1 0 1 0 1 1 1 1 1 0 0 1 0 0 0 0 0 0 0 0 0 0 0 1 0 0 0 0 0 0 0\n    0 0 0]\n[0 1 1 1 0 0 0 1 0 1 0 1 0 0 1 1 0 0 1 0 0 0 0 0 0 0 0 0 0 0 0 0 0 1 0 0 0 0 0 0\n    0 0 0]\n[0 0 1 1 1 0 0 0 1 0 1 0 1 0 0 1 1 0 0 1 0 0 0 0 0 0 0 0 0 0 0 0 0 0 1 0 0 0 0 0\n    0 0 0]\n[1 0 0 1 1 1 0 0 0 1 0 1 0 1 0 0 1 1 0 0 1 0 0 0 0 0 0 0 0 0 0 0 0 0 0 1 0 0 0 0\n    0 0 0]\n[1 0 0 1 0 0 1 1 1 0 0 1 0 0 1 0 1 0 1 0 0 0 0 0 0 0 0 0 0 0 0 0 0 0 0 0 1 0 0 0\n    0 0 0]\n[1 1 0 0 1 0 0 1 1 1 0 0 1 0 0 1 0 1 0 1 0 0 0 0 0 0 0 0 0 0 0 0 0 0 0 0 0 1 0 0\n    0 0 0]\n[1 1 1 0 0 1 0 0 1 1 1 0 0 1 0 0 1 0 1 0 1 0 0 0 0 0 0 0 0 0 0 0 0 0 0 0 0 0 1 0\n    0 0 0]\n[1 0 1 0 1 1 1 1 1 1 0 0 1 0 1 0 1 0 0 1 0 0 0 0 0 0 0 0 0 0 0 0 0 0 0 0 0 0 0 1\n    0 0 0]\n[1 1 0 1 0 1 1 1 1 1 1 0 0 1 0 1 0 1 0 0 1 0 0 0 0 0 0 0 0 0 0 0 0 0 0 0 0 0 0 0\n    1 0 0]\n[0 0 1 1 0 1 1 0 0 1 0 0 1 0 1 0 0 1 1 0 0 0 0 0 0 0 0 0 0 0 0 0 0 0 0 0 0 0 0 0\n    0 1 0]\n[1 0 0 1 1 0 1 1 0 0 1 0 0 1 0 1 0 0 1 1 0 0 0 0 0 0 0 0 0 0 0 0 0 0 0 0 0 0 0 0\n    0 0 1]\n[43, 22] Linear Code over GF(2)\nGenerator matrix:\n[1 0 0 0 0 0 0 0 0 0 0 0 0 0 0 0 0 0 0 0 1 1 0 0 0 1 0 1 1 1 0 0 0 0 1 1 0 1 0 1\n    1 1 1]\n[0 1 0 0 0 0 0 0 0 0 0 0 0 0 0 0 0 0 0 0 1 0 0 0 1 0 1 1 0 1 1 0 0 0 1 0 0 1 0 1\n    1 0 0]\n[0 0 1 0 0 0 0 0 0 0 0 0 0 0 0 0 0 0 0 0 0 1 0 0 0 1 0 1 1 0 1 1 0 0 0 1 0 0 1 0\n    1 1 0]\n[0 0 0 1 0 0 0 0 0 0 0 0 0 0 0 0 0 0 0 0 0 0 0 0 0 0 0 1 1 1 1 0 1 1 1 0 1 1 0 1\n    1 1 0]\n[0 0 0 0 1 0 0 0 0 0 0 0 0 0 0 0 0 0 0 0 1 1 0 0 0 1 0 1 0 0 1 1 0 1 0 0 0 0 1 1\n    0 0 0]\n[0 0 0 0 0 1 0 0 0 0 0 0 0 0 0 0 0 0 0 0 1 0 0 0 0 1 0 0 0 1 1 0 1 1 1 1 0 0 0 0\n    1 1 0]\n[0 0 0 0 0 0 1 0 0 0 0 0 0 0 0 0 0 0 0 0 0 1 0 0 0 0 1 0 0 0 1 1 0 1 1 1 1 0 0 0\n    0 1 1]\n[0 0 0 0 0 0 0 1 0 0 0 0 0 0 0 0 0 0 0 0 1 1 0 0 1 0 0 0 1 0 0 1 1 0 0 0 0 0 1 1\n    0 1 0]\n[0 0 0 0 0 0 0 0 1 0 0 0 0 0 0 0 0 0 0 0 1 0 0 0 0 0 1 0 1 0 1 1 1 0 0 1 0 0 0 0\n    1 1 1]\n[0 0 0 0 0 0 0 0 0 1 0 0 0 0 0 0 0 0 0 0 0 1 0 0 1 1 1 0 0 0 1 0 1 0 1 0 0 1 1 0\n    0 1 0]\n[0 0 0 0 0 0 0 0 0 0 1 0 0 0 0 0 0 0 0 0 0 0 0 0 0 1 0 0 0 0 1 0 0 0 1 1 0 1 1 1\n    1 0 0]\n[0 0 0 0 0 0 0 0 0 0 0 1 0 0 0 0 0 0 0 0 1 1 0 0 0 1 1 1 1 1 0 1 0 0 1 0 1 1 1 0\n    0 0 1]\n[0 0 0 0 0 0 0 0 0 0 0 0 1 0 0 0 0 0 0 0 0 1 0 0 1 1 1 1 1 0 1 0 1 0 0 1 1 1 0 1\n    1 0 0]\n[0 0 0 0 0 0 0 0 0 0 0 0 0 1 0 0 0 0 0 0 0 0 0 0 0 1 0 0 1 1 1 0 0 0 1 0 1 0 1 0\n    0 1 1]\n[0 0 0 0 0 0 0 0 0 0 0 0 0 0 1 0 0 0 0 0 1 1 0 0 1 0 0 0 1 1 0 0 0 1 0 0 1 1 1 0\n    1 1 1]\n[0 0 0 0 0 0 0 0 0 0 0 0 0 0 0 1 0 0 0 0 0 1 0 0 1 0 0 0 0 0 1 0 0 0 1 0 1 1 0 1\n    1 1 1]\n[0 0 0 0 0 0 0 0 0 0 0 0 0 0 0 0 1 0 0 0 1 1 0 0 1 1 0 1 1 0 0 1 0 0 1 0 1 0 0 1\n    1 0 0]\n[0 0 0 0 0 0 0 0 0 0 0 0 0 0 0 0 0 1 0 0 0 1 0 0 0 1 0 1 1 1 1 1 1 1 1 1 0 0 0 0\n    0 1 1]\n[0 0 0 0 0 0 0 0 0 0 0 0 0 0 0 0 0 0 1 0 0 0 0 0 1 1 1 0 1 0 1 1 1 1 1 1 0 0 1 0\n    1 0 1]\n[0 0 0 0 0 0 0 0 0 0 0 0 0 0 0 0 0 0 0 1 1 1 0 0 1 1 0 1 1 1 1 0 1 0 1 0 0 0 1 0\n    1 0 0]\n[0 0 0 0 0 0 0 0 0 0 0 0 0 0 0 0 0 0 0 0 0 0 1 0 0 0 1 1 0 0 1 1 0 1 1 0 0 1 0 0\n    1 0 1]\n[0 0 0 0 0 0 0 0 0 0 0 0 0 0 0 0 0 0 0 0 0 0 0 1 1 1 1 0 1 1 1 0 1 1 0 1 1 1 0 0\n    0 1 1]\nLinear Code over GF(2) of length 43 with 22 generators.\nLower Bound: 1, Upper Bound: 22\nConstructed 2 distinct generator matrices\nRelative Ranks:  22  21 \nTime Taken: 0.00\nStarting search for low weight codewords... (reset timings)\nEnumerating using 1 generator at a time:\n     New codeword identified of weight 10, time 0.00\n     New codeword identified of weight 9, time 0.00\n   Completed Matrix  1:  lower =  2, upper =  9. Elapsed: 0.00s\n   Completed Matrix  2:  lower =  3, upper =  9. Elapsed: 0.00s\nTermination predicted with 4 generators at matrix 2\nEnumerating using 2 generators at a time:\n   Completed Matrix  1:  lower =  4, upper =  9. Elapsed: 0.00s\n   Completed Matrix  2:  lower =  5, upper =  9. Elapsed: 0.00s\nTermination predicted with 4 generators at matrix 2\nEnumerating using 3 generators at a time:\n   Completed Matrix  1:  lower =  6, upper =  9. Elapsed: 0.00s\n   Completed Matrix  2:  lower =  7, upper =  9. Elapsed: 0.00s\nTermination predicted with 4 generators at matrix 2\nEnumerating using 4 generators at a time:\n   Completed Matrix  1:  lower =  8, upper =  9. Elapsed: 0.00s\n   Completed Matrix  2:  lower =  9, upper =  9. Elapsed: 0.00s\nComputation complete 18216 vectors enumerated in total\n (0.434303% of 43 22 code)\nFinal Results: lower = 9, upper = 9,\nTotal CPU time: 0.00, real time: 0.001\n9\n\nTotal time: 0.010 seconds, Total memory usage: 32.09MB\n</t>
  </si>
  <si>
    <t>[[44,23,9]]</t>
  </si>
  <si>
    <t>Magma V2.28-26    Tue Dec 30 2025 09:50:18 on Marks-MacBook-Air-2 [Seed = \n1867884277]\nType ? for help.  Type &lt;Ctrl&gt;-D to quit.\n[1 1 0 1 1 1 0 1 1 0 1 1 1 0 0 0 1 1 0 0 0 1 0 0 0 0 0 0 0 0 0 0 0 0 0 0 0 0 0 0\n    0 0 0 0]\n[1 1 1 0 1 1 1 0 1 1 0 1 1 1 0 0 0 1 1 0 0 0 1 0 0 0 0 0 0 0 0 0 0 0 0 0 0 0 0 0\n    0 0 0 0]\n[1 1 1 1 0 1 1 1 0 1 1 0 1 1 1 0 0 0 1 1 0 0 0 1 0 0 0 0 0 0 0 0 0 0 0 0 0 0 0 0\n    0 0 0 0]\n[0 1 1 1 1 0 1 1 1 0 1 1 0 1 1 1 0 0 0 1 1 0 0 0 1 0 0 0 0 0 0 0 0 0 0 0 0 0 0 0\n    0 0 0 0]\n[1 1 1 0 0 0 0 0 0 1 1 0 0 0 1 1 0 1 0 0 1 0 0 0 0 1 0 0 0 0 0 0 0 0 0 0 0 0 0 0\n    0 0 0 0]\n[0 0 1 0 1 1 0 1 1 0 0 0 1 0 0 1 0 1 1 0 0 0 0 0 0 0 1 0 0 0 0 0 0 0 0 0 0 0 0 0\n    0 0 0 0]\n[0 0 0 1 0 1 1 0 1 1 0 0 0 1 0 0 1 0 1 1 0 0 0 0 0 0 0 1 0 0 0 0 0 0 0 0 0 0 0 0\n    0 0 0 0]\n[1 0 0 0 1 0 1 1 0 1 1 0 0 0 1 0 0 1 0 1 1 0 0 0 0 0 0 0 1 0 0 0 0 0 0 0 0 0 0 0\n    0 0 0 0]\n[1 0 0 1 1 0 0 0 0 0 0 0 1 0 0 1 1 1 1 0 1 0 0 0 0 0 0 0 0 1 0 0 0 0 0 0 0 0 0 0\n    0 0 0 0]\n[0 0 0 1 0 0 0 1 1 0 1 1 1 1 0 0 0 0 1 1 0 0 0 0 0 0 0 0 0 0 1 0 0 0 0 0 0 0 0 0\n    0 0 0 0]\n[0 0 0 0 1 0 0 0 1 1 0 1 1 1 1 0 0 0 0 1 1 0 0 0 0 0 0 0 0 0 0 1 0 0 0 0 0 0 0 0\n    0 0 0 0]\n[0 1 0 1 1 0 0 1 1 1 0 1 0 1 1 1 1 1 0 0 1 0 0 0 0 0 0 0 0 0 0 0 1 0 0 0 0 0 0 0\n    0 0 0 0]\n[0 1 1 1 0 0 0 1 0 1 0 1 0 0 1 1 0 0 1 0 0 0 0 0 0 0 0 0 0 0 0 0 0 1 0 0 0 0 0 0\n    0 0 0 0]\n[0 0 1 1 1 0 0 0 1 0 1 0 1 0 0 1 1 0 0 1 0 0 0 0 0 0 0 0 0 0 0 0 0 0 1 0 0 0 0 0\n    0 0 0 0]\n[1 0 0 1 1 1 0 0 0 1 0 1 0 1 0 0 1 1 0 0 1 0 0 0 0 0 0 0 0 0 0 0 0 0 0 1 0 0 0 0\n    0 0 0 0]\n[1 0 0 1 0 0 1 1 1 0 0 1 0 0 1 0 1 0 1 0 0 0 0 0 0 0 0 0 0 0 0 0 0 0 0 0 1 0 0 0\n    0 0 0 0]\n[1 1 0 0 1 0 0 1 1 1 0 0 1 0 0 1 0 1 0 1 0 0 0 0 0 0 0 0 0 0 0 0 0 0 0 0 0 1 0 0\n    0 0 0 0]\n[1 1 1 0 0 1 0 0 1 1 1 0 0 1 0 0 1 0 1 0 1 0 0 0 0 0 0 0 0 0 0 0 0 0 0 0 0 0 1 0\n    0 0 0 0]\n[1 0 1 0 1 1 1 1 1 1 0 0 1 0 1 0 1 0 0 1 0 0 0 0 0 0 0 0 0 0 0 0 0 0 0 0 0 0 0 1\n    0 0 0 0]\n[1 1 0 1 0 1 1 1 1 1 1 0 0 1 0 1 0 1 0 0 1 0 0 0 0 0 0 0 0 0 0 0 0 0 0 0 0 0 0 0\n    1 0 0 0]\n[0 0 1 1 0 1 1 0 0 1 0 0 1 0 1 0 0 1 1 0 0 0 0 0 0 0 0 0 0 0 0 0 0 0 0 0 0 0 0 0\n    0 1 0 0]\n[1 0 0 1 1 0 1 1 0 0 1 0 0 1 0 1 0 0 1 1 0 0 0 0 0 0 0 0 0 0 0 0 0 0 0 0 0 0 0 0\n    0 0 1 0]\n[1 1 0 0 1 1 0 1 1 0 0 1 0 0 1 0 1 0 0 1 1 0 0 0 0 0 0 0 0 0 0 0 0 0 0 0 0 0 0 0\n    0 0 0 1]\n[44, 23] Linear Code over GF(2)\nGenerator matrix:\n[1 0 0 0 0 0 0 0 0 0 0 0 0 0 0 0 0 0 0 0 0 0 0 0 1 1 1 1 0 1 1 1 0 1 1 0 1 1 1 0\n    0 0 1 1]\n[0 1 0 0 0 0 0 0 0 0 0 0 0 0 0 0 0 0 0 0 0 1 0 0 0 0 0 1 1 1 0 1 0 1 1 1 1 1 1 0\n    0 1 0 1]\n[0 0 1 0 0 0 0 0 0 0 0 0 0 0 0 0 0 0 0 0 0 1 0 0 0 1 0 1 1 0 1 1 0 0 0 1 0 0 1 0\n    1 1 0 0]\n[0 0 0 1 0 0 0 0 0 0 0 0 0 0 0 0 0 0 0 0 0 0 0 0 0 0 0 1 1 1 1 0 1 1 1 0 1 1 0 1\n    1 1 0 0]\n[0 0 0 0 1 0 0 0 0 0 0 0 0 0 0 0 0 0 0 0 0 0 0 0 1 1 1 1 1 0 0 0 0 0 0 1 1 0 0 0\n    1 1 0 1]\n[0 0 0 0 0 1 0 0 0 0 0 0 0 0 0 0 0 0 0 0 0 1 0 0 1 1 1 0 1 1 0 1 1 0 1 0 1 0 1 1\n    0 0 0 1]\n[0 0 0 0 0 0 1 0 0 0 0 0 0 0 0 0 0 0 0 0 0 1 0 0 0 0 1 0 0 0 1 1 0 1 1 1 1 0 0 0\n    0 1 1 0]\n[0 0 0 0 0 0 0 1 0 0 0 0 0 0 0 0 0 0 0 0 0 0 0 0 0 0 1 0 0 0 1 0 1 1 0 1 1 0 0 0\n    1 0 0 1]\n[0 0 0 0 0 0 0 0 1 0 0 0 0 0 0 0 0 0 0 0 0 1 0 0 1 0 0 0 0 0 0 0 1 1 0 0 1 0 1 1\n    0 0 1 1]\n[0 0 0 0 0 0 0 0 0 1 0 0 0 0 0 0 0 0 0 0 0 1 0 0 1 1 1 0 0 0 1 0 1 0 1 0 0 1 1 0\n    0 1 0 0]\n[0 0 0 0 0 0 0 0 0 0 1 0 0 0 0 0 0 0 0 0 0 0 0 0 0 1 0 0 0 0 1 0 0 0 1 1 0 1 1 1\n    1 0 0 0]\n[0 0 0 0 0 0 0 0 0 0 0 1 0 0 0 0 0 0 0 0 0 0 0 0 1 1 0 1 0 1 1 0 0 1 1 1 0 1 0 1\n    1 1 1 1]\n[0 0 0 0 0 0 0 0 0 0 0 0 1 0 0 0 0 0 0 0 0 1 0 0 1 1 1 1 1 0 1 0 1 0 0 1 1 1 0 1\n    1 0 0 0]\n[0 0 0 0 0 0 0 0 0 0 0 0 0 1 0 0 0 0 0 0 0 0 0 0 0 1 0 0 1 1 1 0 0 0 1 0 1 0 1 0\n    0 1 1 0]\n[0 0 0 0 0 0 0 0 0 0 0 0 0 0 1 0 0 0 0 0 0 0 0 0 0 0 1 0 0 1 1 1 0 0 0 1 0 1 0 1\n    0 0 1 1]\n[0 0 0 0 0 0 0 0 0 0 0 0 0 0 0 1 0 0 0 0 0 1 0 0 1 0 0 0 0 0 1 0 0 0 1 0 1 1 0 1\n    1 1 1 0]\n[0 0 0 0 0 0 0 0 0 0 0 0 0 0 0 0 1 0 0 0 0 0 0 0 0 1 1 1 0 0 1 0 0 1 1 1 0 0 1 0\n    0 1 0 1]\n[0 0 0 0 0 0 0 0 0 0 0 0 0 0 0 0 0 1 0 0 0 1 0 0 0 1 0 1 1 1 1 1 1 1 1 1 0 0 0 0\n    0 1 1 0]\n[0 0 0 0 0 0 0 0 0 0 0 0 0 0 0 0 0 0 1 0 0 0 0 0 1 1 1 0 1 0 1 1 1 1 1 1 0 0 1 0\n    1 0 1 0]\n[0 0 0 0 0 0 0 0 0 0 0 0 0 0 0 0 0 0 0 1 0 0 0 0 0 1 1 1 0 1 0 1 1 1 1 1 1 0 0 1\n    0 1 0 1]\n[0 0 0 0 0 0 0 0 0 0 0 0 0 0 0 0 0 0 0 0 1 1 0 0 1 0 1 0 1 0 1 1 0 1 0 1 1 0 1 1\n    1 1 0 1]\n[0 0 0 0 0 0 0 0 0 0 0 0 0 0 0 0 0 0 0 0 0 0 1 0 0 0 1 1 0 0 1 1 0 1 1 0 0 1 0 0\n    1 0 1 0]\n[0 0 0 0 0 0 0 0 0 0 0 0 0 0 0 0 0 0 0 0 0 0 0 1 1 1 1 0 1 1 1 0 1 1 0 1 1 1 0 0\n    0 1 1 0]\nLinear Code over GF(2) of length 44 with 23 generators.\nLower Bound: 1, Upper Bound: 22\nConstructed 2 distinct generator matrices\nRelative Ranks:  23  21 \nTime Taken: 0.00\nStarting search for low weight codewords... (reset timings)\nEnumerating using 1 generator at a time:\n     New codeword identified of weight 15, time 0.00\n     New codeword identified of weight 14, time 0.00\n     New codeword identified of weight 11, time 0.00\n     New codeword identified of weight 9, time 0.00\n   Completed Matrix  1:  lower =  2, upper =  9. Elapsed: 0.00s\n   Completed Matrix  2:  lower =  2, upper =  9. Elapsed: 0.00s\nTermination predicted with 5 generators at matrix 1\nEnumerating using 2 generators at a time:\n   Completed Matrix  1:  lower =  3, upper =  9. Elapsed: 0.00s\n   Completed Matrix  2:  lower =  4, upper =  9. Elapsed: 0.00s\nTermination predicted with 5 generators at matrix 1\nEnumerating using 3 generators at a time:\n   Completed Matrix  1:  lower =  5, upper =  9. Elapsed: 0.00s\n   Completed Matrix  2:  lower =  6, upper =  9. Elapsed: 0.00s\nTermination predicted with 5 generators at matrix 1\nEnumerating using 4 generators at a time:\n   Completed Matrix  1:  lower =  7, upper =  9. Elapsed: 0.00s\n   Completed Matrix  2:  lower =  8, upper =  9. Elapsed: 0.00s\nTermination predicted with 5 generators at matrix 1\nEnumerating using 5 generators at a time:\n   Completed Matrix  1:  lower =  9, upper =  9. Elapsed: 0.00s\nComputation complete 55453 vectors enumerated in total\n (0.661051% of 44 23 code)\nFinal Results: lower = 9, upper = 9,\nTotal CPU time: 0.00, real time: 0.002\n9\n\nTotal time: 0.010 seconds, Total memory usage: 32.09MB\n</t>
  </si>
  <si>
    <t>[[45,24,9]]</t>
  </si>
  <si>
    <t>Magma V2.28-26    Tue Dec 30 2025 09:50:18 on Marks-MacBook-Air-2 [Seed = \n1968159983]\nType ? for help.  Type &lt;Ctrl&gt;-D to quit.\n[1 1 0 1 1 1 0 1 1 0 1 1 1 0 0 0 1 1 0 0 0 1 0 0 0 0 0 0 0 0 0 0 0 0 0 0 0 0 0 0\n    0 0 0 0 0]\n[1 1 1 0 1 1 1 0 1 1 0 1 1 1 0 0 0 1 1 0 0 0 1 0 0 0 0 0 0 0 0 0 0 0 0 0 0 0 0 0\n    0 0 0 0 0]\n[1 1 1 1 0 1 1 1 0 1 1 0 1 1 1 0 0 0 1 1 0 0 0 1 0 0 0 0 0 0 0 0 0 0 0 0 0 0 0 0\n    0 0 0 0 0]\n[0 1 1 1 1 0 1 1 1 0 1 1 0 1 1 1 0 0 0 1 1 0 0 0 1 0 0 0 0 0 0 0 0 0 0 0 0 0 0 0\n    0 0 0 0 0]\n[1 1 1 0 0 0 0 0 0 1 1 0 0 0 1 1 0 1 0 0 1 0 0 0 0 1 0 0 0 0 0 0 0 0 0 0 0 0 0 0\n    0 0 0 0 0]\n[0 0 1 0 1 1 0 1 1 0 0 0 1 0 0 1 0 1 1 0 0 0 0 0 0 0 1 0 0 0 0 0 0 0 0 0 0 0 0 0\n    0 0 0 0 0]\n[0 0 0 1 0 1 1 0 1 1 0 0 0 1 0 0 1 0 1 1 0 0 0 0 0 0 0 1 0 0 0 0 0 0 0 0 0 0 0 0\n    0 0 0 0 0]\n[1 0 0 0 1 0 1 1 0 1 1 0 0 0 1 0 0 1 0 1 1 0 0 0 0 0 0 0 1 0 0 0 0 0 0 0 0 0 0 0\n    0 0 0 0 0]\n[1 0 0 1 1 0 0 0 0 0 0 0 1 0 0 1 1 1 1 0 1 0 0 0 0 0 0 0 0 1 0 0 0 0 0 0 0 0 0 0\n    0 0 0 0 0]\n[0 0 0 1 0 0 0 1 1 0 1 1 1 1 0 0 0 0 1 1 0 0 0 0 0 0 0 0 0 0 1 0 0 0 0 0 0 0 0 0\n    0 0 0 0 0]\n[0 0 0 0 1 0 0 0 1 1 0 1 1 1 1 0 0 0 0 1 1 0 0 0 0 0 0 0 0 0 0 1 0 0 0 0 0 0 0 0\n    0 0 0 0 0]\n[0 1 0 1 1 0 0 1 1 1 0 1 0 1 1 1 1 1 0 0 1 0 0 0 0 0 0 0 0 0 0 0 1 0 0 0 0 0 0 0\n    0 0 0 0 0]\n[0 1 1 1 0 0 0 1 0 1 0 1 0 0 1 1 0 0 1 0 0 0 0 0 0 0 0 0 0 0 0 0 0 1 0 0 0 0 0 0\n    0 0 0 0 0]\n[0 0 1 1 1 0 0 0 1 0 1 0 1 0 0 1 1 0 0 1 0 0 0 0 0 0 0 0 0 0 0 0 0 0 1 0 0 0 0 0\n    0 0 0 0 0]\n[1 0 0 1 1 1 0 0 0 1 0 1 0 1 0 0 1 1 0 0 1 0 0 0 0 0 0 0 0 0 0 0 0 0 0 1 0 0 0 0\n    0 0 0 0 0]\n[1 0 0 1 0 0 1 1 1 0 0 1 0 0 1 0 1 0 1 0 0 0 0 0 0 0 0 0 0 0 0 0 0 0 0 0 1 0 0 0\n    0 0 0 0 0]\n[1 1 0 0 1 0 0 1 1 1 0 0 1 0 0 1 0 1 0 1 0 0 0 0 0 0 0 0 0 0 0 0 0 0 0 0 0 1 0 0\n    0 0 0 0 0]\n[1 1 1 0 0 1 0 0 1 1 1 0 0 1 0 0 1 0 1 0 1 0 0 0 0 0 0 0 0 0 0 0 0 0 0 0 0 0 1 0\n    0 0 0 0 0]\n[1 0 1 0 1 1 1 1 1 1 0 0 1 0 1 0 1 0 0 1 0 0 0 0 0 0 0 0 0 0 0 0 0 0 0 0 0 0 0 1\n    0 0 0 0 0]\n[1 1 0 1 0 1 1 1 1 1 1 0 0 1 0 1 0 1 0 0 1 0 0 0 0 0 0 0 0 0 0 0 0 0 0 0 0 0 0 0\n    1 0 0 0 0]\n[0 0 1 1 0 1 1 0 0 1 0 0 1 0 1 0 0 1 1 0 0 0 0 0 0 0 0 0 0 0 0 0 0 0 0 0 0 0 0 0\n    0 1 0 0 0]\n[1 0 0 1 1 0 1 1 0 0 1 0 0 1 0 1 0 0 1 1 0 0 0 0 0 0 0 0 0 0 0 0 0 0 0 0 0 0 0 0\n    0 0 1 0 0]\n[1 1 0 0 1 1 0 1 1 0 0 1 0 0 1 0 1 0 0 1 1 0 0 0 0 0 0 0 0 0 0 0 0 0 0 0 0 0 0 0\n    0 0 0 1 0]\n[1 0 1 1 1 0 1 1 0 1 1 1 0 0 0 1 1 0 0 0 1 0 0 0 0 0 0 0 0 0 0 0 0 0 0 0 0 0 0 0\n    0 0 0 0 1]\n[45, 24] Linear Code over GF(2)\nGenerator matrix:\n[1 0 0 0 0 0 0 0 0 0 0 0 0 0 0 0 0 0 0 0 0 0 0 0 1 1 1 1 0 1 1 1 0 1 1 0 1 1 1 0\n    0 0 1 1 0]\n[0 1 0 0 0 0 0 0 0 0 0 0 0 0 0 0 0 0 0 0 0 0 0 0 0 1 1 1 1 0 1 1 1 0 1 1 0 1 1 1\n    0 0 0 1 1]\n[0 0 1 0 0 0 0 0 0 0 0 0 0 0 0 0 0 0 0 0 0 0 0 0 0 0 1 1 1 1 0 1 1 1 0 1 1 0 1 1\n    1 0 0 0 1]\n[0 0 0 1 0 0 0 0 0 0 0 0 0 0 0 0 0 0 0 0 0 0 0 0 0 0 0 1 1 1 1 0 1 1 1 0 1 1 0 1\n    1 1 0 0 0]\n[0 0 0 0 1 0 0 0 0 0 0 0 0 0 0 0 0 0 0 0 0 0 0 0 1 1 1 1 1 0 0 0 0 0 0 1 1 0 0 0\n    1 1 0 1 0]\n[0 0 0 0 0 1 0 0 0 0 0 0 0 0 0 0 0 0 0 0 0 0 0 0 1 0 0 0 1 0 1 1 0 1 1 0 0 0 1 0\n    0 1 0 1 1]\n[0 0 0 0 0 0 1 0 0 0 0 0 0 0 0 0 0 0 0 0 0 0 0 0 0 1 0 0 0 1 0 1 1 0 1 1 0 0 0 1\n    0 0 1 0 1]\n[0 0 0 0 0 0 0 1 0 0 0 0 0 0 0 0 0 0 0 0 0 0 0 0 0 0 1 0 0 0 1 0 1 1 0 1 1 0 0 0\n    1 0 0 1 0]\n[0 0 0 0 0 0 0 0 1 0 0 0 0 0 0 0 0 0 0 0 0 0 0 0 1 1 1 0 0 1 1 0 0 0 0 0 0 0 1 0\n    0 1 1 1 1]\n[0 0 0 0 0 0 0 0 0 1 0 0 0 0 0 0 0 0 0 0 0 0 0 0 1 0 0 0 0 1 0 0 0 1 1 0 1 1 1 1\n    0 0 0 0 1]\n[0 0 0 0 0 0 0 0 0 0 1 0 0 0 0 0 0 0 0 0 0 0 0 0 0 1 0 0 0 0 1 0 0 0 1 1 0 1 1 1\n    1 0 0 0 0]\n[0 0 0 0 0 0 0 0 0 0 0 1 0 0 0 0 0 0 0 0 0 0 0 0 1 1 0 1 0 1 1 0 0 1 1 1 0 1 0 1\n    1 1 1 1 0]\n[0 0 0 0 0 0 0 0 0 0 0 0 1 0 0 0 0 0 0 0 0 0 0 0 1 0 0 1 1 1 0 0 0 1 0 1 0 1 0 0\n    1 1 0 0 1]\n[0 0 0 0 0 0 0 0 0 0 0 0 0 1 0 0 0 0 0 0 0 0 0 0 0 1 0 0 1 1 1 0 0 0 1 0 1 0 1 0\n    0 1 1 0 0]\n[0 0 0 0 0 0 0 0 0 0 0 0 0 0 1 0 0 0 0 0 0 0 0 0 0 0 1 0 0 1 1 1 0 0 0 1 0 1 0 1\n    0 0 1 1 0]\n[0 0 0 0 0 0 0 0 0 0 0 0 0 0 0 1 0 0 0 0 0 0 0 0 1 1 1 0 0 1 0 0 1 1 1 0 0 1 0 0\n    1 0 1 0 1]\n[0 0 0 0 0 0 0 0 0 0 0 0 0 0 0 0 1 0 0 0 0 0 0 0 0 1 1 1 0 0 1 0 0 1 1 1 0 0 1 0\n    0 1 0 1 0]\n[0 0 0 0 0 0 0 0 0 0 0 0 0 0 0 0 0 1 0 0 0 0 0 0 0 0 1 1 1 0 0 1 0 0 1 1 1 0 0 1\n    0 0 1 0 1]\n[0 0 0 0 0 0 0 0 0 0 0 0 0 0 0 0 0 0 1 0 0 0 0 0 1 1 1 0 1 0 1 1 1 1 1 1 0 0 1 0\n    1 0 1 0 0]\n[0 0 0 0 0 0 0 0 0 0 0 0 0 0 0 0 0 0 0 1 0 0 0 0 0 1 1 1 0 1 0 1 1 1 1 1 1 0 0 1\n    0 1 0 1 0]\n[0 0 0 0 0 0 0 0 0 0 0 0 0 0 0 0 0 0 0 0 1 0 0 0 1 1 0 0 1 1 0 1 1 0 0 1 0 0 1 0\n    1 0 0 1 1]\n[0 0 0 0 0 0 0 0 0 0 0 0 0 0 0 0 0 0 0 0 0 1 0 0 0 1 1 0 0 1 1 0 1 1 0 0 1 0 0 1\n    0 1 0 0 1]\n[0 0 0 0 0 0 0 0 0 0 0 0 0 0 0 0 0 0 0 0 0 0 1 0 0 0 1 1 0 0 1 1 0 1 1 0 0 1 0 0\n    1 0 1 0 0]\n[0 0 0 0 0 0 0 0 0 0 0 0 0 0 0 0 0 0 0 0 0 0 0 1 1 1 1 0 1 1 1 0 1 1 0 1 1 1 0 0\n    0 1 1 0 0]\nLinear Code over GF(2) of length 45 with 24 generators.\nLower Bound: 1, Upper Bound: 22\nConstructed 2 distinct generator matrices\nRelative Ranks:  24  21 \nTime Taken: 0.00\nStarting search for low weight codewords... (reset timings)\nEnumerating using 1 generator at a time:\n     New codeword identified of weight 15, time 0.00\n     New codeword identified of weight 14, time 0.00\n     New codeword identified of weight 13, time 0.00\n     New codeword identified of weight 11, time 0.00\n     New codeword identified of weight 10, time 0.00\n     New codeword identified of weight 9, time 0.00\n   Completed Matrix  1:  lower =  2, upper =  9. Elapsed: 0.00s\n   Completed Matrix  2:  lower =  2, upper =  9. Elapsed: 0.00s\nTermination predicted with 5 generators at matrix 2\nEnumerating using 2 generators at a time:\n   Completed Matrix  1:  lower =  3, upper =  9. Elapsed: 0.00s\n   Completed Matrix  2:  lower =  3, upper =  9. Elapsed: 0.00s\nTermination predicted with 5 generators at matrix 2\nEnumerating using 3 generators at a time:\n   Completed Matrix  1:  lower =  4, upper =  9. Elapsed: 0.00s\n   Completed Matrix  2:  lower =  5, upper =  9. Elapsed: 0.00s\nTermination predicted with 5 generators at matrix 2\nEnumerating using 4 generators at a time:\n   Completed Matrix  1:  lower =  6, upper =  9. Elapsed: 0.00s\n   Completed Matrix  2:  lower =  7, upper =  9. Elapsed: 0.00s\nTermination predicted with 5 generators at matrix 2\nEnumerating using 5 generators at a time:\n   Completed Matrix  1:  lower =  8, upper =  9. Elapsed: 0.00s\n   Completed Matrix  2:  lower =  9, upper =  9. Elapsed: 0.00s\nComputation complete 110908 vectors enumerated in total\n (0.661063% of 45 24 code)\nFinal Results: lower = 9, upper = 9,\nTotal CPU time: 0.00, real time: 0.002\n9\n\nTotal time: 0.010 seconds, Total memory usage: 32.09MB\n</t>
  </si>
  <si>
    <t>[[46,15,15]]</t>
  </si>
  <si>
    <t>Magma V2.28-26    Tue Dec 30 2025 09:50:18 on Marks-MacBook-Air-2 [Seed = \n2067903201]\nType ? for help.  Type &lt;Ctrl&gt;-D to quit.\n[0 0 0 0 0 1 0 1 1 1 1 1 1 0 1 0 1 1 1 1 1 0 0 1 1 0 1 0 1 1 1 1 0 0 0 0 0 0 0 0\n    0 0 0 0 0 0]\n[1 0 0 0 0 1 1 1 0 0 0 0 0 1 1 1 1 0 0 0 0 1 0 1 0 1 1 1 1 0 1 0 1 0 0 0 0 0 0 0\n    0 0 0 0 0 0]\n[1 1 0 0 0 1 1 0 0 1 1 1 1 0 0 0 0 0 1 1 1 0 1 1 0 0 0 1 0 0 1 0 0 1 0 0 0 0 0 0\n    0 0 0 0 0 0]\n[0 1 1 0 0 1 1 0 1 1 0 0 0 1 1 0 1 1 1 0 0 1 0 0 0 0 1 0 0 1 1 0 0 0 1 0 0 0 0 0\n    0 0 0 0 0 0]\n[1 0 1 1 0 1 1 0 1 0 0 1 1 0 0 1 1 0 0 0 1 0 1 1 1 0 1 1 1 1 1 0 0 0 0 1 0 0 0 0\n    0 0 0 0 0 0]\n[0 1 0 1 1 1 1 0 1 0 1 1 0 1 1 1 0 0 1 1 1 1 0 0 0 1 1 1 0 0 1 0 0 0 0 0 1 0 0 0\n    0 0 0 0 0 0]\n[1 0 1 0 1 0 1 0 1 0 1 0 0 0 0 0 0 1 1 0 0 1 1 1 1 0 0 1 0 1 1 0 0 0 0 0 0 1 0 0\n    0 0 0 0 0 0]\n[0 1 0 1 0 0 0 0 1 0 1 0 1 0 1 1 1 1 0 0 1 0 1 0 0 1 1 0 0 1 1 0 0 0 0 0 0 0 1 0\n    0 0 0 0 0 0]\n[1 0 1 0 1 1 0 1 1 0 1 0 1 1 1 1 0 0 0 1 1 1 0 0 1 0 0 1 1 1 1 0 0 0 0 0 0 0 0 1\n    0 0 0 0 0 0]\n[1 1 0 1 0 0 1 1 0 0 1 0 1 1 0 1 0 1 1 1 0 1 1 1 1 1 1 0 0 0 1 0 0 0 0 0 0 0 0 0\n    1 0 0 0 0 0]\n[0 1 1 0 1 1 0 0 0 1 1 0 1 1 0 0 0 1 0 0 0 0 1 0 0 1 0 1 1 1 1 0 0 0 0 0 0 0 0 0\n    0 1 0 0 0 0]\n[0 0 1 1 0 0 1 1 1 1 0 0 1 1 0 1 1 1 0 1 1 0 0 0 1 0 0 0 0 0 1 0 0 0 0 0 0 0 0 0\n    0 0 1 0 0 0]\n[0 0 0 1 1 1 0 0 0 0 0 1 1 1 0 0 0 0 0 1 0 1 0 1 1 1 1 0 1 1 1 0 0 0 0 0 0 0 0 0\n    0 0 0 1 0 0]\n[0 0 0 0 1 0 1 1 1 1 1 1 0 1 0 1 1 1 1 1 0 0 1 1 0 1 0 1 1 0 1 0 0 0 0 0 0 0 0 0\n    0 0 0 0 1 0]\n[1 1 1 1 1 0 0 1 0 1 0 1 0 0 1 0 1 0 1 0 1 1 1 0 1 1 0 0 1 0 1 0 0 0 0 0 0 0 0 0\n    0 0 0 0 0 1]\nLinear Code over GF(2) of length 46 with 15 generators.\nLower Bound: 1, Upper Bound: 32\nConstructed 4 distinct generator matrices\nRelative Ranks:  15  15  15   1 \n     Discarding non-contributing rank 1 matrix\n     New Relative Ranks:  15  15  15 \nTime Taken: 0.00\nStarting search for low weight codewords... (reset timings)\nEnumerating using 1 generator at a time:\n     New codeword identified of weight 19, time 0.00\n     New codeword identified of weight 16, time 0.00\n     New codeword identified of weight 15, time 0.00\n   Completed Matrix  1:  lower =  4, upper = 15. Elapsed: 0.00s\n   Completed Matrix  2:  lower =  5, upper = 15. Elapsed: 0.00s\n   Completed Matrix  3:  lower =  6, upper = 15. Elapsed: 0.00s\nTermination predicted with 4 generators at matrix 3\nEnumerating using 2 generators at a time:\n   Completed Matrix  1:  lower =  7, upper = 15. Elapsed: 0.00s\n   Completed Matrix  2:  lower =  8, upper = 15. Elapsed: 0.00s\n   Completed Matrix  3:  lower =  9, upper = 15. Elapsed: 0.00s\nTermination predicted with 4 generators at matrix 3\nEnumerating using 3 generators at a time:\n   Completed Matrix  1:  lower = 10, upper = 15. Elapsed: 0.00s\n   Completed Matrix  2:  lower = 11, upper = 15. Elapsed: 0.00s\n   Completed Matrix  3:  lower = 12, upper = 15. Elapsed: 0.00s\nTermination predicted with 4 generators at matrix 3\nEnumerating using 4 generators at a time:\n   Completed Matrix  1:  lower = 13, upper = 15. Elapsed: 0.00s\n   Completed Matrix  2:  lower = 14, upper = 15. Elapsed: 0.00s\n   Completed Matrix  3:  lower = 15, upper = 15. Elapsed: 0.00s\nComputation complete 5820 vectors enumerated in total\n (17.761230% of 46 15 code)\nFinal Results: lower = 15, upper = 15,\nTotal CPU time: 0.00, real time: 0.001\n[46, 15, 15] Linear Code over GF(2)\nGenerator matrix:\n[1 0 0 0 0 0 0 0 0 0 0 0 0 1 1 0 0 0 0 1 1 1 0 0 1 1 1 1 0 1 0 0 1 0 1 0 0 1 1 1\n    1 0 0 1 0 1]\n[0 1 0 0 0 0 0 0 0 0 0 0 0 1 0 0 0 1 1 1 1 1 1 1 0 0 1 1 1 0 0 1 0 1 0 0 0 0 1 0\n    1 0 0 0 0 0]\n[0 0 1 0 0 0 0 0 0 0 0 0 0 0 1 0 0 0 1 1 1 1 1 1 1 0 0 1 1 1 0 0 1 0 1 0 0 0 0 1\n    0 1 0 0 0 0]\n[0 0 0 1 0 0 0 0 0 0 0 0 0 1 1 0 0 1 1 0 1 1 1 0 1 0 0 0 1 1 0 1 0 1 0 0 0 0 0 1\n    1 1 1 0 1 1]\n[0 0 0 0 1 0 0 0 0 0 0 0 0 1 0 0 0 1 0 0 0 1 1 0 0 0 0 0 0 1 1 1 1 0 1 1 0 0 0 1\n    1 0 1 1 1 0]\n[0 0 0 0 0 1 0 0 0 0 0 0 0 0 1 0 0 1 0 0 1 1 1 0 1 0 1 1 0 1 1 0 0 1 1 0 1 1 1 0\n    0 0 0 0 0 0]\n[0 0 0 0 0 0 1 0 0 0 0 0 0 1 1 0 0 1 0 1 0 1 1 0 0 0 0 1 1 0 0 0 0 0 1 0 0 1 1 0\n    0 1 0 0 1 1]\n[0 0 0 0 0 0 0 1 0 0 0 0 0 1 0 0 0 0 1 1 0 1 1 1 1 1 1 1 1 0 1 0 1 0 1 1 0 1 0 0\n    1 0 1 1 0 0]\n[0 0 0 0 0 0 0 0 1 0 0 0 0 0 1 0 0 0 0 1 1 0 1 1 1 1 1 1 1 1 0 1 0 1 0 1 1 0 1 0\n    0 1 0 1 1 0]\n[0 0 0 0 0 0 0 0 0 1 0 0 0 1 1 0 0 1 1 1 1 1 0 0 1 0 1 1 1 1 1 1 1 0 1 1 1 1 0 0\n    0 1 1 0 0 1]\n[0 0 0 0 0 0 0 0 0 0 1 0 0 1 0 0 0 1 0 0 1 1 1 1 0 0 0 1 1 1 0 0 1 1 0 0 1 1 1 1\n    0 1 1 1 1 0]\n[0 0 0 0 0 0 0 0 0 0 0 1 0 0 1 0 0 1 0 0 1 0 1 0 0 0 1 1 1 0 1 1 1 1 0 1 0 0 0 1\n    0 1 1 0 0 0]\n[0 0 0 0 0 0 0 0 0 0 0 0 1 1 1 0 0 0 1 1 1 0 0 1 1 1 1 0 1 0 0 1 0 1 0 0 1 1 1 1\n    0 0 1 0 0 1]\n[0 0 0 0 0 0 0 0 0 0 0 0 0 0 0 1 0 1 1 0 1 1 0 1 1 0 1 1 0 1 0 1 1 0 1 1 0 1 1 0\n    1 1 0 1 1 0]\n[0 0 0 0 0 0 0 0 0 0 0 0 0 0 0 0 1 1 0 1 1 0 1 1 0 1 1 0 1 1 1 1 0 1 1 0 1 1 0 1\n    1 0 1 1 0 0]\nLinear Code over GF(2) of length 46 with 15 generators.\nLower Bound: 1, Upper Bound: 32\nConstructed 4 distinct generator matrices\nRelative Ranks:  15  15  15   1 \n     Discarding non-contributing rank 1 matrix\n     New Relative Ranks:  15  15  15 \nTime Taken: 0.00\nStarting search for low weight codewords... (reset timings)\nEnumerating using 1 generator at a time:\n     New codeword identified of weight 19, time 0.00\n     New codeword identified of weight 16, time 0.00\n     New codeword identified of weight 15, time 0.00\n   Completed Matrix  1:  lower =  4, upper = 15. Elapsed: 0.00s\n   Completed Matrix  2:  lower =  5, upper = 15. Elapsed: 0.00s\n   Completed Matrix  3:  lower =  6, upper = 15. Elapsed: 0.00s\nTermination predicted with 4 generators at matrix 3\nEnumerating using 2 generators at a time:\n   Completed Matrix  1:  lower =  7, upper = 15. Elapsed: 0.00s\n   Completed Matrix  2:  lower =  8, upper = 15. Elapsed: 0.00s\n   Completed Matrix  3:  lower =  9, upper = 15. Elapsed: 0.00s\nTermination predicted with 4 generators at matrix 3\nEnumerating using 3 generators at a time:\n   Completed Matrix  1:  lower = 10, upper = 15. Elapsed: 0.00s\n   Completed Matrix  2:  lower = 11, upper = 15. Elapsed: 0.00s\n   Completed Matrix  3:  lower = 12, upper = 15. Elapsed: 0.00s\nTermination predicted with 4 generators at matrix 3\nEnumerating using 4 generators at a time:\n   Completed Matrix  1:  lower = 13, upper = 15. Elapsed: 0.00s\n   Completed Matrix  2:  lower = 14, upper = 15. Elapsed: 0.00s\n   Completed Matrix  3:  lower = 15, upper = 15. Elapsed: 0.00s\nComputation complete 5820 vectors enumerated in total\n (17.761230% of 46 15 code)\nFinal Results: lower = 15, upper = 15,\nTotal CPU time: 0.00, real time: 0.001\n15\n\nTotal time: 0.010 seconds, Total memory usage: 32.09MB\n</t>
  </si>
  <si>
    <t>[[47,25,9]]</t>
  </si>
  <si>
    <t>Magma V2.28-26    Tue Dec 30 2025 09:50:18 on Marks-MacBook-Air-2 [Seed = \n20695195]\nType ? for help.  Type &lt;Ctrl&gt;-D to quit.\n[0 1 0 1 0 1 0 0 0 1 1 1 1 0 0 1 1 1 1 1 1 1 0 0 0 0 0 0 0 0 0 0 0 0 0 0 0 0 0 0\n    0 0 0 0 0 0 0]\n[0 0 0 1 1 1 0 0 1 0 0 0 1 1 1 0 1 1 0 0 0 0 1 0 0 0 0 0 0 0 0 0 0 0 0 0 0 0 0 0\n    0 0 0 0 0 0 0]\n[0 1 1 0 1 0 0 1 0 0 1 1 1 0 0 0 1 1 1 0 1 0 0 1 0 0 0 0 0 0 0 0 0 0 0 0 0 0 0 0\n    0 0 0 0 0 0 0]\n[1 0 1 0 0 0 1 0 1 1 0 1 0 1 0 1 0 0 1 1 1 0 0 0 1 0 0 0 0 0 0 0 0 0 0 0 0 0 0 0\n    0 0 0 0 0 0 0]\n[1 1 0 0 0 0 0 1 0 1 1 1 1 1 1 0 1 0 1 0 1 0 0 0 0 1 0 0 0 0 0 0 0 0 0 0 0 0 0 0\n    0 0 0 0 0 0 0]\n[0 0 0 1 1 0 1 0 1 1 0 1 1 1 1 1 1 1 0 1 1 0 0 0 0 0 1 0 0 0 0 0 0 0 0 0 0 0 0 0\n    0 0 0 0 0 0 0]\n[0 0 1 1 0 0 0 1 0 1 1 0 0 1 1 1 1 0 0 0 0 0 0 0 0 0 0 1 0 0 0 0 0 0 0 0 0 0 0 0\n    0 0 0 0 0 0 0]\n[1 1 0 0 1 0 1 0 0 1 0 0 1 0 1 0 1 1 0 0 1 0 0 0 0 0 0 0 1 0 0 0 0 0 0 0 0 0 0 0\n    0 0 0 0 0 0 0]\n[0 0 1 1 0 1 0 0 1 0 0 1 1 0 1 0 1 0 1 1 1 0 0 0 0 0 0 0 0 1 0 0 0 0 0 0 0 0 0 0\n    0 0 0 0 0 0 0]\n[1 0 0 1 0 1 0 1 0 1 0 0 0 1 0 0 1 1 1 0 0 0 0 0 0 0 0 0 0 0 1 0 0 0 0 0 0 0 0 0\n    0 0 0 0 0 0 0]\n[0 1 0 1 1 0 1 0 0 0 1 0 0 0 1 1 0 1 1 0 1 0 0 0 0 0 0 0 0 0 0 1 0 0 0 0 0 0 0 0\n    0 0 0 0 0 0 0]\n[0 1 1 0 0 1 0 0 1 1 0 0 1 0 0 1 0 0 1 1 0 0 0 0 0 0 0 0 0 0 0 0 1 0 0 0 0 0 0 0\n    0 0 0 0 0 0 0]\n[1 1 0 1 0 1 0 1 1 1 0 0 1 0 1 0 0 1 1 1 1 0 0 0 0 0 0 0 0 0 0 0 0 1 0 0 0 0 0 0\n    0 0 0 0 0 0 0]\n[0 0 0 0 1 1 1 1 1 1 0 0 0 0 1 0 0 1 0 0 1 0 0 0 0 0 0 0 0 0 0 0 0 0 1 0 0 0 0 0\n    0 0 0 0 0 0 0]\n[0 0 1 0 1 1 1 1 0 0 1 0 1 0 1 0 0 0 1 1 0 0 0 0 0 0 0 0 0 0 0 0 0 0 0 1 0 0 0 0\n    0 0 0 0 0 0 0]\n[1 1 1 1 0 0 1 0 0 0 0 0 0 0 0 0 1 1 1 1 1 0 0 0 0 0 0 0 0 0 0 0 0 0 0 0 1 0 0 0\n    0 0 0 0 0 0 0]\n[1 0 0 0 1 0 0 0 1 1 1 1 1 0 0 0 1 1 0 0 0 0 0 0 0 0 0 0 0 0 0 0 0 0 0 0 0 1 0 0\n    0 0 0 0 0 0 0]\n[0 0 1 1 1 0 0 1 0 1 0 1 0 1 1 0 0 0 1 0 1 0 0 0 0 0 0 0 0 0 0 0 0 0 0 0 0 0 1 0\n    0 0 0 0 0 0 0]\n[1 1 1 0 0 0 1 0 0 0 0 0 1 1 1 1 0 1 0 1 0 0 0 0 0 0 0 0 0 0 0 0 0 0 0 0 0 0 0 1\n    0 0 0 0 0 0 0]\n[1 1 0 0 0 0 0 0 1 1 1 0 0 0 0 1 1 0 0 1 1 0 0 0 0 0 0 0 0 0 0 0 0 0 0 0 0 0 0 0\n    1 0 0 0 0 0 0]\n[0 1 0 0 1 1 0 1 1 0 1 1 1 0 1 1 0 1 1 0 0 0 0 0 0 0 0 0 0 0 0 0 0 0 0 0 0 0 0 0\n    0 1 0 0 0 0 0]\n[0 0 1 0 1 0 1 1 1 1 1 1 1 1 0 1 1 0 1 0 0 0 0 0 0 0 0 0 0 0 0 0 0 0 0 0 0 0 0 0\n    0 0 1 0 0 0 0]\n[1 0 1 0 0 1 1 1 0 1 0 1 0 1 1 1 1 1 0 0 1 0 0 0 0 0 0 0 0 0 0 0 0 0 0 0 0 0 0 0\n    0 0 0 1 0 0 0]\n[1 0 0 1 0 1 1 0 0 0 1 0 1 1 1 0 1 1 1 1 1 0 0 0 0 0 0 0 0 0 0 0 0 0 0 0 0 0 0 0\n    0 0 0 0 1 0 0]\n[1 0 1 0 0 0 0 0 1 0 0 1 0 0 1 1 0 1 0 0 0 0 0 0 0 0 0 0 0 0 0 0 0 0 0 0 0 0 0 0\n    0 0 0 0 0 1 1]\n[47, 25] Linear Code over GF(2)\nGenerator matrix:\n[1 0 0 0 0 0 0 0 0 0 0 0 0 0 0 0 0 0 0 0 0 0 0 0 1 0 1 0 0 0 1 1 0 1 0 1 0 1 1 0\n    1 1 0 1 1 0 0]\n[0 1 0 0 0 0 0 0 0 0 0 0 0 0 0 0 0 0 0 0 0 0 0 0 1 0 0 0 0 0 0 1 1 0 1 1 1 0 0 1\n    1 0 1 1 0 1 1]\n[0 0 1 0 0 0 0 0 0 0 0 0 0 0 0 0 0 0 0 0 0 0 0 0 0 0 1 1 1 1 1 1 0 1 0 1 1 1 0 0\n    0 0 1 1 1 1 1]\n[0 0 0 1 0 0 0 0 0 0 0 0 0 0 0 0 0 0 0 0 0 0 0 0 0 0 0 0 1 1 0 0 0 0 1 1 1 1 0 1\n    1 0 0 0 1 0 0]\n[0 0 0 0 1 0 0 0 0 0 0 0 0 0 0 0 0 0 0 0 0 0 0 0 1 0 1 1 0 0 1 1 0 0 1 0 1 0 1 0\n    1 1 0 1 0 1 1]\n[0 0 0 0 0 1 0 0 0 0 0 0 0 0 0 0 0 0 0 0 0 0 0 0 0 0 1 1 1 1 0 1 1 0 0 0 0 1 1 1\n    1 1 0 1 1 0 0]\n[0 0 0 0 0 0 1 0 0 0 0 0 0 0 0 0 0 0 0 0 0 0 0 0 1 0 1 0 1 0 0 1 0 0 1 1 1 0 0 1\n    0 0 1 1 1 0 0]\n[0 0 0 0 0 0 0 1 0 0 0 0 0 0 0 0 0 0 0 0 0 0 0 0 1 0 0 1 0 0 0 0 1 0 1 0 1 1 1 0\n    0 0 1 1 1 1 1]\n[0 0 0 0 0 0 0 0 1 0 0 0 0 0 0 0 0 0 0 0 0 0 0 0 1 0 0 1 0 1 0 1 0 0 1 1 1 1 1 1\n    0 1 0 1 1 0 0]\n[0 0 0 0 0 0 0 0 0 1 0 0 0 0 0 0 0 0 0 0 0 0 0 0 1 0 0 1 1 0 0 1 0 1 0 1 0 0 0 1\n    1 1 0 0 1 0 0]\n[0 0 0 0 0 0 0 0 0 0 1 0 0 0 0 0 0 0 0 0 0 0 0 0 1 0 0 1 1 0 0 1 0 1 1 0 0 1 0 0\n    1 0 0 1 1 1 1]\n[0 0 0 0 0 0 0 0 0 0 0 1 0 0 0 0 0 0 0 0 0 0 0 0 0 0 1 0 1 1 0 0 0 1 1 1 0 1 1 0\n    0 0 0 0 0 1 1]\n[0 0 0 0 0 0 0 0 0 0 0 0 1 0 0 0 0 0 0 0 0 0 0 0 1 0 0 1 0 1 0 1 0 1 1 1 1 1 1 0\n    1 0 1 0 0 1 1]\n[0 0 0 0 0 0 0 0 0 0 0 0 0 1 0 0 0 0 0 0 0 0 0 0 1 0 1 0 1 0 1 0 1 1 0 0 0 0 1 1\n    1 1 0 0 0 0 0]\n[0 0 0 0 0 0 0 0 0 0 0 0 0 0 1 0 0 0 0 0 0 0 0 0 0 0 1 0 0 1 0 1 1 0 1 1 0 0 1 1\n    1 0 1 0 0 0 0]\n[0 0 0 0 0 0 0 0 0 0 0 0 0 0 0 1 0 0 0 0 0 0 0 0 1 0 1 1 1 0 1 1 0 0 1 0 1 1 0 1\n    1 1 0 0 1 0 0]\n[0 0 0 0 0 0 0 0 0 0 0 0 0 0 0 0 1 0 0 0 0 0 0 0 1 0 0 0 0 1 1 1 1 0 1 0 0 1 1 1\n    0 1 1 1 0 1 1]\n[0 0 0 0 0 0 0 0 0 0 0 0 0 0 0 0 0 1 0 0 0 0 0 0 1 0 1 1 1 0 1 1 1 1 0 1 1 1 0 1\n    1 1 0 1 0 1 1]\n[0 0 0 0 0 0 0 0 0 0 0 0 0 0 0 0 0 0 1 0 0 0 0 0 0 0 0 0 1 1 1 1 1 0 1 0 1 0 1 0\n    0 0 0 1 1 1 1]\n[0 0 0 0 0 0 0 0 0 0 0 0 0 0 0 0 0 0 0 1 0 0 0 0 1 0 1 0 1 1 1 0 0 1 1 1 0 1 0 1\n    1 0 1 1 0 0 0]\n[0 0 0 0 0 0 0 0 0 0 0 0 0 0 0 0 0 0 0 0 1 0 0 0 0 0 1 0 0 1 0 1 0 0 0 1 1 0 1 0\n    1 1 1 0 1 1 1]\n[0 0 0 0 0 0 0 0 0 0 0 0 0 0 0 0 0 0 0 0 0 1 0 0 0 0 0 0 1 0 1 0 1 0 1 0 1 1 0 0\n    0 0 1 1 1 0 0]\n[0 0 0 0 0 0 0 0 0 0 0 0 0 0 0 0 0 0 0 0 0 0 1 0 0 0 1 1 0 0 0 1 1 1 0 1 1 0 1 1\n    1 0 1 1 1 0 0]\n[0 0 0 0 0 0 0 0 0 0 0 0 0 0 0 0 0 0 0 0 0 0 0 1 1 0 1 0 1 0 1 1 1 1 0 0 0 1 1 1\n    0 0 0 0 1 1 1]\n[0 0 0 0 0 0 0 0 0 0 0 0 0 0 0 0 0 0 0 0 0 0 0 0 0 1 1 0 1 0 0 1 0 0 0 1 1 0 1 1\n    0 1 0 0 0 0 0]\nLinear Code over GF(2) of length 47 with 25 generators.\nLower Bound: 1, Upper Bound: 23\nConstructed 2 distinct generator matrices\nRelative Ranks:  25  22 \nTime Taken: 0.00\nStarting search for low weight codewords... (reset timings)\nEnumerating using 1 generator at a time:\n     New codeword identified of weight 15, time 0.00\n     New codeword identified of weight 10, time 0.00\n     New codeword identified of weight 9, time 0.00\n   Completed Matrix  1:  lower =  2, upper =  9. Elapsed: 0.00s\n   Completed Matrix  2:  lower =  2, upper =  9. Elapsed: 0.00s\nTermination predicted with 5 generators at matrix 2\nEnumerating using 2 generators at a time:\n   Completed Matrix  1:  lower =  3, upper =  9. Elapsed: 0.00s\n   Completed Matrix  2:  lower =  3, upper =  9. Elapsed: 0.00s\nTermination predicted with 5 generators at matrix 2\nEnumerating using 3 generators at a time:\n   Completed Matrix  1:  lower =  4, upper =  9. Elapsed: 0.00s\n   Completed Matrix  2:  lower =  5, upper =  9. Elapsed: 0.00s\nTermination predicted with 5 generators at matrix 2\nEnumerating using 4 generators at a time:\n   Completed Matrix  1:  lower =  6, upper =  9. Elapsed: 0.00s\n   Completed Matrix  2:  lower =  7, upper =  9. Elapsed: 0.00s\nTermination predicted with 5 generators at matrix 2\nEnumerating using 5 generators at a time:\n   Completed Matrix  1:  lower =  8, upper =  9. Elapsed: 0.00s\n   Completed Matrix  2:  lower =  9, upper =  9. Elapsed: 0.00s\nComputation complete 136810 vectors enumerated in total\n (0.407726% of 47 25 code)\nFinal Results: lower = 9, upper = 9,\nTotal CPU time: 0.00, real time: 0.002\n9\n\nTotal time: 0.010 seconds, Total memory usage: 32.09MB\n</t>
  </si>
  <si>
    <t>[[48,26,9]]</t>
  </si>
  <si>
    <t>Magma V2.28-26    Tue Dec 30 2025 09:50:18 on Marks-MacBook-Air-2 [Seed = \n121491101]\nType ? for help.  Type &lt;Ctrl&gt;-D to quit.\n[0 1 0 1 0 1 0 0 0 1 1 1 1 0 0 1 1 1 1 1 1 1 0 0 0 0 0 0 0 0 0 0 0 0 0 0 0 0 0 0\n    0 0 0 0 0 0 0 0]\n[0 0 0 1 1 1 0 0 1 0 0 0 1 1 1 0 1 1 0 0 0 0 1 0 0 0 0 0 0 0 0 0 0 0 0 0 0 0 0 0\n    0 0 0 0 0 0 0 0]\n[0 1 1 0 1 0 0 1 0 0 1 1 1 0 0 0 1 1 1 0 1 0 0 1 0 0 0 0 0 0 0 0 0 0 0 0 0 0 0 0\n    0 0 0 0 0 0 0 0]\n[1 0 1 0 0 0 1 0 1 1 0 1 0 1 0 1 0 0 1 1 1 0 0 0 1 0 0 0 0 0 0 0 0 0 0 0 0 0 0 0\n    0 0 0 0 0 0 0 0]\n[1 1 0 0 0 0 0 1 0 1 1 1 1 1 1 0 1 0 1 0 1 0 0 0 0 1 0 0 0 0 0 0 0 0 0 0 0 0 0 0\n    0 0 0 0 0 0 0 0]\n[0 0 0 1 1 0 1 0 1 1 0 1 1 1 1 1 1 1 0 1 1 0 0 0 0 0 1 0 0 0 0 0 0 0 0 0 0 0 0 0\n    0 0 0 0 0 0 0 0]\n[0 0 1 1 0 0 0 1 0 1 1 0 0 1 1 1 1 0 0 0 0 0 0 0 0 0 0 1 0 0 0 0 0 0 0 0 0 0 0 0\n    0 0 0 0 0 0 0 0]\n[1 1 0 0 1 0 1 0 0 1 0 0 1 0 1 0 1 1 0 0 1 0 0 0 0 0 0 0 1 0 0 0 0 0 0 0 0 0 0 0\n    0 0 0 0 0 0 0 0]\n[0 0 1 1 0 1 0 0 1 0 0 1 1 0 1 0 1 0 1 1 1 0 0 0 0 0 0 0 0 1 0 0 0 0 0 0 0 0 0 0\n    0 0 0 0 0 0 0 0]\n[1 0 0 1 0 1 0 1 0 1 0 0 0 1 0 0 1 1 1 0 0 0 0 0 0 0 0 0 0 0 1 0 0 0 0 0 0 0 0 0\n    0 0 0 0 0 0 0 0]\n[0 1 0 1 1 0 1 0 0 0 1 0 0 0 1 1 0 1 1 0 1 0 0 0 0 0 0 0 0 0 0 1 0 0 0 0 0 0 0 0\n    0 0 0 0 0 0 0 0]\n[0 1 1 0 0 1 0 0 1 1 0 0 1 0 0 1 0 0 1 1 0 0 0 0 0 0 0 0 0 0 0 0 1 0 0 0 0 0 0 0\n    0 0 0 0 0 0 0 0]\n[1 1 0 1 0 1 0 1 1 1 0 0 1 0 1 0 0 1 1 1 1 0 0 0 0 0 0 0 0 0 0 0 0 1 0 0 0 0 0 0\n    0 0 0 0 0 0 0 0]\n[0 0 0 0 1 1 1 1 1 1 0 0 0 0 1 0 0 1 0 0 1 0 0 0 0 0 0 0 0 0 0 0 0 0 1 0 0 0 0 0\n    0 0 0 0 0 0 0 0]\n[0 0 1 0 1 1 1 1 0 0 1 0 1 0 1 0 0 0 1 1 0 0 0 0 0 0 0 0 0 0 0 0 0 0 0 1 0 0 0 0\n    0 0 0 0 0 0 0 0]\n[1 1 1 1 0 0 1 0 0 0 0 0 0 0 0 0 1 1 1 1 1 0 0 0 0 0 0 0 0 0 0 0 0 0 0 0 1 0 0 0\n    0 0 0 0 0 0 0 0]\n[1 0 0 0 1 0 0 0 1 1 1 1 1 0 0 0 1 1 0 0 0 0 0 0 0 0 0 0 0 0 0 0 0 0 0 0 0 1 0 0\n    0 0 0 0 0 0 0 0]\n[0 0 1 1 1 0 0 1 0 1 0 1 0 1 1 0 0 0 1 0 1 0 0 0 0 0 0 0 0 0 0 0 0 0 0 0 0 0 1 0\n    0 0 0 0 0 0 0 0]\n[1 1 1 0 0 0 1 0 0 0 0 0 1 1 1 1 0 1 0 1 0 0 0 0 0 0 0 0 0 0 0 0 0 0 0 0 0 0 0 1\n    0 0 0 0 0 0 0 0]\n[1 1 0 0 0 0 0 0 1 1 1 0 0 0 0 1 1 0 0 1 1 0 0 0 0 0 0 0 0 0 0 0 0 0 0 0 0 0 0 0\n    1 0 0 0 0 0 0 0]\n[0 1 0 0 1 1 0 1 1 0 1 1 1 0 1 1 0 1 1 0 0 0 0 0 0 0 0 0 0 0 0 0 0 0 0 0 0 0 0 0\n    0 1 0 0 0 0 0 0]\n[0 0 1 0 1 0 1 1 1 1 1 1 1 1 0 1 1 0 1 0 0 0 0 0 0 0 0 0 0 0 0 0 0 0 0 0 0 0 0 0\n    0 0 1 0 0 0 0 0]\n[1 0 1 0 0 1 1 1 0 1 0 1 0 1 1 1 1 1 0 0 1 0 0 0 0 0 0 0 0 0 0 0 0 0 0 0 0 0 0 0\n    0 0 0 1 0 0 0 0]\n[1 0 0 1 0 1 1 0 0 0 1 0 1 1 1 0 1 1 1 1 1 0 0 0 0 0 0 0 0 0 0 0 0 0 0 0 0 0 0 0\n    0 0 0 0 1 0 0 0]\n[1 0 1 0 0 0 0 0 1 0 0 1 0 0 1 1 0 1 0 0 0 0 0 0 0 0 0 0 0 0 0 0 0 0 0 0 0 0 0 0\n    0 0 0 0 0 1 1 0]\n[0 0 1 1 0 1 1 1 1 0 0 0 1 1 1 0 0 0 1 0 0 0 0 0 0 0 0 0 0 0 0 0 0 0 0 0 0 0 0 0\n    0 0 0 0 0 1 0 1]\n[48, 26] Linear Code over GF(2)\nGenerator matrix:\n[1 0 0 0 0 0 0 0 0 0 0 0 0 0 0 0 0 0 0 0 0 0 0 0 0 0 0 1 0 1 0 0 1 0 1 1 1 1 0 0\n    0 0 1 1 0 1 0 1]\n[0 1 0 0 0 0 0 0 0 0 0 0 0 0 0 0 0 0 0 0 0 0 0 0 0 0 1 1 0 1 1 0 0 1 0 1 0 0 1 1\n    0 1 0 1 1 0 1 1]\n[0 0 1 0 0 0 0 0 0 0 0 0 0 0 0 0 0 0 0 0 0 0 0 0 0 0 1 1 1 1 1 1 0 1 0 1 1 1 0 0\n    0 0 1 1 1 1 1 0]\n[0 0 0 1 0 0 0 0 0 0 0 0 0 0 0 0 0 0 0 0 0 0 0 0 0 0 0 0 1 1 0 0 0 0 1 1 1 1 0 1\n    1 0 0 0 1 0 0 0]\n[0 0 0 0 1 0 0 0 0 0 0 0 0 0 0 0 0 0 0 0 0 0 0 0 0 0 0 0 0 1 0 0 1 1 0 0 0 0 0 0\n    0 0 1 1 1 0 1 1]\n[0 0 0 0 0 1 0 0 0 0 0 0 0 0 0 0 0 0 0 0 0 0 0 0 0 0 1 1 1 1 0 1 1 0 0 0 0 1 1 1\n    1 1 0 1 1 0 0 0]\n[0 0 0 0 0 0 1 0 0 0 0 0 0 0 0 0 0 0 0 0 0 0 0 0 0 0 0 1 1 1 1 0 1 1 0 1 0 0 1 1\n    1 1 0 1 0 1 0 1]\n[0 0 0 0 0 0 0 1 0 0 0 0 0 0 0 0 0 0 0 0 0 0 0 0 0 0 1 0 0 1 1 1 0 1 0 0 0 1 0 0\n    1 1 0 1 0 0 1 1]\n[0 0 0 0 0 0 0 0 1 0 0 0 0 0 0 0 0 0 0 0 0 0 0 0 0 0 1 0 0 0 1 0 1 1 0 1 0 1 0 1\n    1 0 1 1 0 1 0 1]\n[0 0 0 0 0 0 0 0 0 1 0 0 0 0 0 0 0 0 0 0 0 0 0 0 0 0 1 0 1 1 1 0 1 0 1 1 1 0 1 1\n    0 0 1 0 0 1 0 1]\n[0 0 0 0 0 0 0 0 0 0 1 0 0 0 0 0 0 0 0 0 0 0 0 0 0 0 1 0 1 1 1 0 1 0 0 0 1 1 1 0\n    0 1 1 1 0 0 1 1]\n[0 0 0 0 0 0 0 0 0 0 0 1 0 0 0 0 0 0 0 0 0 0 0 0 0 0 1 0 1 1 0 0 0 1 1 1 0 1 1 0\n    0 0 0 0 0 1 1 0]\n[0 0 0 0 0 0 0 0 0 0 0 0 1 0 0 0 0 0 0 0 0 0 0 0 0 0 1 0 0 0 1 0 1 0 0 1 0 1 0 0\n    0 1 0 0 1 0 1 1]\n[0 0 0 0 0 0 0 0 0 0 0 0 0 1 0 0 0 0 0 0 0 0 0 0 0 0 0 1 1 1 0 1 0 0 1 0 1 0 0 1\n    0 0 1 0 1 1 0 1]\n[0 0 0 0 0 0 0 0 0 0 0 0 0 0 1 0 0 0 0 0 0 0 0 0 0 0 1 0 0 1 0 1 1 0 1 1 0 0 1 1\n    1 0 1 0 0 0 0 0]\n[0 0 0 0 0 0 0 0 0 0 0 0 0 0 0 1 0 0 0 0 0 0 0 0 0 0 0 0 1 1 0 0 1 1 0 0 0 1 1 1\n    0 0 1 0 0 1 0 1]\n[0 0 0 0 0 0 0 0 0 0 0 0 0 0 0 0 1 0 0 0 0 0 0 0 0 0 1 1 0 0 0 0 0 1 0 0 1 1 0 1\n    1 0 0 1 1 0 1 1]\n[0 0 0 0 0 0 0 0 0 0 0 0 0 0 0 0 0 1 0 0 0 0 0 0 0 0 0 0 1 1 0 0 0 0 1 1 0 1 1 1\n    0 0 1 1 1 0 1 1]\n[0 0 0 0 0 0 0 0 0 0 0 0 0 0 0 0 0 0 1 0 0 0 0 0 0 0 0 0 1 1 1 1 1 0 1 0 1 0 1 0\n    0 0 0 1 1 1 1 0]\n[0 0 0 0 0 0 0 0 0 0 0 0 0 0 0 0 0 0 0 1 0 0 0 0 0 0 0 1 1 0 0 1 1 0 0 1 1 1 1 1\n    0 1 0 1 1 1 0 1]\n[0 0 0 0 0 0 0 0 0 0 0 0 0 0 0 0 0 0 0 0 1 0 0 0 0 0 1 0 0 1 0 1 0 0 0 1 1 0 1 0\n    1 1 1 0 1 1 1 0]\n[0 0 0 0 0 0 0 0 0 0 0 0 0 0 0 0 0 0 0 0 0 1 0 0 0 0 0 0 1 0 1 0 1 0 1 0 1 1 0 0\n    0 0 1 1 1 0 0 0]\n[0 0 0 0 0 0 0 0 0 0 0 0 0 0 0 0 0 0 0 0 0 0 1 0 0 0 1 1 0 0 0 1 1 1 0 1 1 0 1 1\n    1 0 1 1 1 0 0 0]\n[0 0 0 0 0 0 0 0 0 0 0 0 0 0 0 0 0 0 0 0 0 0 0 1 0 0 0 1 1 1 0 0 0 0 1 0 1 1 0 1\n    1 1 1 0 0 0 1 1]\n[0 0 0 0 0 0 0 0 0 0 0 0 0 0 0 0 0 0 0 0 0 0 0 0 1 0 1 1 0 1 1 1 1 1 1 0 1 0 1 0\n    1 1 1 0 1 1 0 1]\n[0 0 0 0 0 0 0 0 0 0 0 0 0 0 0 0 0 0 0 0 0 0 0 0 0 1 1 0 1 0 0 1 0 0 0 1 1 0 1 1\n    0 1 0 0 0 0 0 0]\nLinear Code over GF(2) of length 48 with 26 generators.\nLower Bound: 1, Upper Bound: 23\nConstructed 2 distinct generator matrices\nRelative Ranks:  26  22 \nTime Taken: 0.00\nStarting search for low weight codewords... (reset timings)\nEnumerating using 1 generator at a time:\n     New codeword identified of weight 12, time 0.00\n     New codeword identified of weight 10, time 0.00\n     New codeword identified of weight 9, time 0.00\n   Completed Matrix  1:  lower =  2, upper =  9. Elapsed: 0.00s\n   Completed Matrix  2:  lower =  2, upper =  9. Elapsed: 0.00s\nTermination predicted with 6 generators at matrix 1\nEnumerating using 2 generators at a time:\n   Completed Matrix  1:  lower =  3, upper =  9. Elapsed: 0.00s\n   Completed Matrix  2:  lower =  3, upper =  9. Elapsed: 0.00s\nTermination predicted with 6 generators at matrix 1\nEnumerating using 3 generators at a time:\n   Completed Matrix  1:  lower =  4, upper =  9. Elapsed: 0.00s\n   Completed Matrix  2:  lower =  4, upper =  9. Elapsed: 0.00s\nTermination predicted with 6 generators at matrix 1\nEnumerating using 4 generators at a time:\n   Completed Matrix  1:  lower =  5, upper =  9. Elapsed: 0.00s\n   Completed Matrix  2:  lower =  6, upper =  9. Elapsed: 0.00s\nTermination predicted with 6 generators at matrix 1\nEnumerating using 5 generators at a time:\n   Completed Matrix  1:  lower =  7, upper =  9. Elapsed: 0.00s\n   Completed Matrix  2:  lower =  8, upper =  9. Elapsed: 0.00s\nTermination predicted with 6 generators at matrix 1\nEnumerating using 6 generators at a time:\n   Completed Matrix  1:  lower =  9, upper =  9. Elapsed: 0.00s\nComputation complete 397592 vectors enumerated in total\n (0.592458% of 48 26 code)\nFinal Results: lower = 9, upper = 9,\nTotal CPU time: 0.00, real time: 0.002\n9\n\nTotal time: 0.010 seconds, Total memory usage: 32.09MB\n</t>
  </si>
  <si>
    <t>[[49,4,25]]</t>
  </si>
  <si>
    <t>Magma V2.28-26    Tue Dec 30 2025 09:50:18 on Marks-MacBook-Air-2 [Seed = \n221758615]\nType ? for help.  Type &lt;Ctrl&gt;-D to quit.\n[1 1 1 1 1 1 1 1 1 1 1 1 0 0 0 0 0 0 1 1 1 1 1 1 1 1 1 1 1 1 1 1 1 1 0 0 0 0 0 0\n    0 0 0 0 0 0 0 0 0]\n[1 1 1 0 1 1 1 1 0 0 0 0 1 1 1 1 0 0 1 1 1 1 1 1 1 1 0 0 0 0 0 0 0 0 1 1 1 1 1 1\n    1 1 0 0 0 0 0 0 0]\n[1 1 0 1 1 1 0 0 1 1 0 0 1 1 0 0 1 1 1 1 1 1 0 0 0 0 1 1 1 1 0 0 0 0 1 1 1 1 0 0\n    0 0 1 1 1 1 0 0 0]\n[1 0 1 1 1 0 1 0 1 0 1 0 0 1 0 1 0 1 1 1 0 0 1 1 0 0 1 1 0 0 1 1 0 0 1 1 0 0 1 1\n    0 0 1 1 0 0 1 1 1]\nLinear Code over GF(2) of length 49 with 4 generators.\nLower Bound: 1, Upper Bound: 46\nConstructed 1 distinct generator matrices\nRelative Ranks:   4 \nTime Taken: 0.00\nStarting search for low weight codewords... (reset timings)\nEnumerating using 1 generator at a time:\n     New codeword identified of weight 25, time 0.00\n   Completed Matrix  1:  lower =  2, upper = 25. Elapsed: 0.00s\nTermination predicted with 4 generators at matrix 1\nEnumerating using 2 generators at a time:\n   Completed Matrix  1:  lower =  3, upper = 25. Elapsed: 0.00s\nTermination predicted with 4 generators at matrix 1\nEnumerating using 3 generators at a time:\n   Completed Matrix  1:  lower =  4, upper = 25. Elapsed: 0.00s\nTermination predicted with 4 generators at matrix 1\nEnumerating using 4 generators at a time:\n   Completed Matrix  1:  lower =  5, upper = 25. Elapsed: 0.00s\nComputation complete 15 vectors enumerated in total\n (93.750000% of 49 4 code)\nFinal Results: lower = 25, upper = 25,\nTotal CPU time: 0.00, real time: 0.001\n[49, 4, 25] Linear Code over GF(2)\nGenerator matrix:\n[1 0 0 0 1 0 0 1 0 1 1 0 0 1 1 0 1 0 1 1 0 0 0 0 1 1 0 0 1 1 1 1 0 0 1 1 0 0 0 0\n    1 1 0 0 1 1 1 1 1]\n[0 1 0 0 0 1 0 1 0 1 0 1 0 1 0 1 0 1 0 0 1 1 0 0 1 1 0 0 1 1 0 0 1 1 1 1 0 0 1 1\n    0 0 1 1 0 0 1 1 1]\n[0 0 1 0 0 0 1 1 0 0 1 1 1 1 0 0 1 1 0 0 0 0 1 1 1 1 0 0 0 0 1 1 1 1 1 1 1 1 0 0\n    0 0 1 1 1 1 0 0 0]\n[0 0 0 1 0 0 0 0 1 1 1 1 1 1 1 1 0 0 0 0 0 0 0 0 0 0 1 1 1 1 1 1 1 1 1 1 1 1 1 1\n    1 1 0 0 0 0 0 0 0]\nLinear Code over GF(2) of length 49 with 4 generators.\nLower Bound: 1, Upper Bound: 46\nConstructed 1 distinct generator matrices\nRelative Ranks:   4 \nTime Taken: 0.00\nStarting search for low weight codewords... (reset timings)\nEnumerating using 1 generator at a time:\n     New codeword identified of weight 25, time 0.00\n   Completed Matrix  1:  lower =  2, upper = 25. Elapsed: 0.00s\nTermination predicted with 4 generators at matrix 1\nEnumerating using 2 generators at a time:\n   Completed Matrix  1:  lower =  3, upper = 25. Elapsed: 0.00s\nTermination predicted with 4 generators at matrix 1\nEnumerating using 3 generators at a time:\n   Completed Matrix  1:  lower =  4, upper = 25. Elapsed: 0.00s\nTermination predicted with 4 generators at matrix 1\nEnumerating using 4 generators at a time:\n   Completed Matrix  1:  lower =  5, upper = 25. Elapsed: 0.00s\nComputation complete 15 vectors enumerated in total\n (93.750000% of 49 4 code)\nFinal Results: lower = 25, upper = 25,\nTotal CPU time: 0.00, real time: 0.000\n25\n\nTotal time: 0.010 seconds, Total memory usage: 32.09MB\n</t>
  </si>
  <si>
    <t>[[50,19,13]]</t>
  </si>
  <si>
    <t>Magma V2.28-26    Tue Dec 30 2025 09:50:18 on Marks-MacBook-Air-2 [Seed = \n321510025]\nType ? for help.  Type &lt;Ctrl&gt;-D to quit.\n[1 0 1 0 1 1 0 1 1 1 1 1 0 1 0 1 0 0 1 0 1 0 0 1 0 0 0 0 0 1 0 1 0 0 0 0 0 0 0 0\n    0 0 0 0 0 0 0 0 0 0]\n[1 1 0 1 0 1 1 0 1 1 1 1 1 0 1 0 1 0 0 1 0 1 0 0 1 0 0 0 0 0 1 0 1 0 0 0 0 0 0 0\n    0 0 0 0 0 0 0 0 0 0]\n[1 1 0 0 0 1 1 0 1 0 0 0 1 0 0 0 0 1 1 0 0 0 1 1 0 1 0 0 0 1 0 0 0 1 0 0 0 0 0 0\n    0 0 0 0 0 0 0 0 0 0]\n[1 1 1 0 0 0 1 1 0 1 0 0 0 1 0 0 0 0 1 1 0 0 0 1 1 0 1 0 0 0 1 0 0 0 1 0 0 0 0 0\n    0 0 0 0 0 0 0 0 0 0]\n[1 1 0 1 1 1 0 0 0 1 0 1 0 1 1 1 0 0 1 1 0 0 0 1 1 1 0 1 0 1 0 0 0 0 0 1 0 0 0 0\n    0 0 0 0 0 0 0 0 0 0]\n[1 1 1 0 1 1 1 0 0 0 1 0 1 0 1 1 1 0 0 1 1 0 0 0 1 1 1 0 1 0 1 0 0 0 0 0 1 0 0 0\n    0 0 0 0 0 0 0 0 0 0]\n[1 1 0 1 1 0 1 0 1 1 1 0 0 0 0 0 1 1 1 0 0 1 0 1 0 1 1 1 0 0 0 0 0 0 0 0 0 1 0 0\n    0 0 0 0 0 0 0 0 0 0]\n[1 1 1 0 1 1 0 1 0 1 1 1 0 0 0 0 0 1 1 1 0 0 1 0 1 0 1 1 1 0 0 0 0 0 0 0 0 0 1 0\n    0 0 0 0 0 0 0 0 0 0]\n[0 1 1 1 0 1 1 0 1 0 1 1 1 0 0 0 0 0 1 1 1 0 0 1 0 1 0 1 1 1 0 0 0 0 0 0 0 0 0 1\n    0 0 0 0 0 0 0 0 0 0]\n[0 0 1 1 1 0 1 1 0 1 0 1 1 1 0 0 0 0 0 1 1 1 0 0 1 0 1 0 1 1 1 0 0 0 0 0 0 0 0 0\n    1 0 0 0 0 0 0 0 0 0]\n[1 0 1 1 0 0 0 0 0 1 0 1 1 0 1 1 0 0 1 0 0 1 1 1 0 1 0 1 0 0 1 0 0 0 0 0 0 0 0 0\n    0 1 0 0 0 0 0 0 0 0]\n[0 1 1 1 0 1 0 1 1 1 0 1 1 0 0 0 1 0 1 1 1 0 1 0 1 0 1 0 1 1 0 0 0 0 0 0 0 0 0 0\n    0 0 1 0 0 0 0 0 0 0]\n[1 0 1 1 1 0 1 0 1 1 1 0 1 1 0 0 0 1 0 1 1 1 0 1 0 1 0 1 0 1 1 0 0 0 0 0 0 0 0 0\n    0 0 0 1 0 0 0 0 0 0]\n[1 1 1 1 0 0 0 0 1 0 0 0 0 0 1 1 0 0 0 0 0 1 1 1 1 0 1 0 1 1 1 0 0 0 0 0 0 0 0 0\n    0 0 0 0 1 0 0 0 0 0]\n[0 1 0 1 0 1 0 1 1 0 1 1 0 1 0 0 1 0 1 0 1 0 1 0 1 1 0 1 0 0 1 0 0 0 0 0 0 0 0 0\n    0 0 0 0 0 1 0 0 0 0]\n[0 0 0 0 0 1 1 1 0 0 1 0 1 1 1 1 0 1 1 1 1 1 0 0 0 1 1 0 1 1 0 0 0 0 0 0 0 0 0 0\n    0 0 0 0 0 0 1 0 0 0]\n[1 0 0 0 0 0 1 1 1 0 0 1 0 1 1 1 1 0 1 1 1 1 1 0 0 0 1 1 0 1 1 0 0 0 0 0 0 0 0 0\n    0 0 0 0 0 0 0 1 0 0]\n[1 1 1 0 1 1 0 0 0 0 1 1 1 1 1 0 1 1 1 1 0 1 1 0 0 0 0 1 1 1 1 0 0 0 0 0 0 0 0 0\n    0 0 0 0 0 0 0 0 1 0]\n[0 1 0 1 1 0 1 1 1 1 1 0 1 0 1 0 0 1 0 1 0 0 1 0 0 0 0 0 1 0 1 0 0 0 0 0 0 0 0 0\n    0 0 0 0 0 0 0 0 0 1]\n[50, 19] Linear Code over GF(2)\nGenerator matrix:\n[1 0 0 0 0 0 0 0 0 0 0 0 0 0 0 0 0 0 0 1 1 0 1 0 1 1 0 1 1 1 1 1 0 1 0 1 0 0 1 0\n    1 0 0 1 0 0 0 0 0 1]\n[0 1 0 0 0 0 0 0 0 0 0 0 0 0 0 0 0 0 0 0 1 1 0 1 0 1 1 0 1 1 1 1 1 0 1 0 1 0 0 1\n    0 1 0 0 1 0 0 0 0 0]\n[0 0 1 0 0 0 0 0 0 0 0 0 0 0 0 0 0 0 0 1 1 1 0 0 0 1 1 0 1 0 0 0 1 0 0 0 0 1 1 0\n    0 0 1 1 0 1 0 0 0 1]\n[0 0 0 1 0 0 0 0 0 0 0 0 0 0 0 0 0 0 0 0 1 1 1 0 0 0 1 1 0 1 0 0 0 1 0 0 0 0 1 1\n    0 0 0 1 1 0 1 0 0 0]\n[0 0 0 0 1 0 0 0 0 0 0 0 0 0 0 0 0 0 0 1 1 1 0 1 1 1 0 0 0 1 0 1 0 1 1 1 0 0 1 1\n    0 0 0 1 1 1 0 1 0 1]\n[0 0 0 0 0 1 0 0 0 0 0 0 0 0 0 0 0 0 0 0 1 1 1 0 1 1 1 0 0 0 1 0 1 0 1 1 1 0 0 1\n    1 0 0 0 1 1 1 0 1 0]\n[0 0 0 0 0 0 1 0 0 0 0 0 0 0 0 0 0 0 0 1 1 1 0 1 1 0 1 0 1 1 1 0 0 0 0 0 1 1 1 0\n    0 1 0 1 0 1 1 1 0 0]\n[0 0 0 0 0 0 0 1 0 0 0 0 0 0 0 0 0 0 0 0 1 1 1 0 1 1 0 1 0 1 1 1 0 0 0 0 0 1 1 1\n    0 0 1 0 1 0 1 1 1 0]\n[0 0 0 0 0 0 0 0 1 0 0 0 0 0 0 0 0 0 0 0 0 1 1 1 0 1 1 0 1 0 1 1 1 0 0 0 0 0 1 1\n    1 0 0 1 0 1 0 1 1 1]\n[0 0 0 0 0 0 0 0 0 1 0 0 0 0 0 0 0 0 0 0 0 0 1 1 1 0 1 1 0 1 0 1 1 1 0 0 0 0 0 1\n    1 1 0 0 1 0 1 0 1 1]\n[0 0 0 0 0 0 0 0 0 0 1 0 0 0 0 0 0 0 0 1 1 0 1 1 0 0 0 0 0 1 0 1 1 0 1 1 0 0 1 0\n    0 1 1 1 0 1 0 1 0 0]\n[0 0 0 0 0 0 0 0 0 0 0 1 0 0 0 0 0 0 0 1 0 1 1 1 0 1 0 1 1 1 0 1 1 0 0 0 1 0 1 1\n    1 0 1 0 1 0 1 0 1 1]\n[0 0 0 0 0 0 0 0 0 0 0 0 1 0 0 0 0 0 0 0 1 0 1 1 1 0 1 0 1 1 1 0 1 1 0 0 0 1 0 1\n    1 1 0 1 0 1 0 1 0 1]\n[0 0 0 0 0 0 0 0 0 0 0 0 0 1 0 0 0 0 0 1 1 1 1 1 0 0 0 0 1 0 0 0 0 0 1 1 0 0 0 0\n    0 1 1 1 1 0 1 0 1 1]\n[0 0 0 0 0 0 0 0 0 0 0 0 0 0 1 0 0 0 0 1 0 1 0 1 0 1 0 1 1 0 1 1 0 1 0 0 1 0 1 0\n    1 0 1 0 1 1 0 1 0 0]\n[0 0 0 0 0 0 0 0 0 0 0 0 0 0 0 1 0 0 0 1 0 0 0 0 0 1 1 1 0 0 1 0 1 1 1 1 0 1 1 1\n    1 1 0 0 0 1 1 0 1 1]\n[0 0 0 0 0 0 0 0 0 0 0 0 0 0 0 0 1 0 0 0 1 0 0 0 0 0 1 1 1 0 0 1 0 1 1 1 1 0 1 1\n    1 1 1 0 0 0 1 1 0 1]\n[0 0 0 0 0 0 0 0 0 0 0 0 0 0 0 0 0 1 0 1 1 1 1 0 1 1 0 0 0 0 1 1 1 1 1 0 1 1 1 1\n    0 1 1 0 0 0 0 1 1 1]\n[0 0 0 0 0 0 0 0 0 0 0 0 0 0 0 0 0 0 1 1 0 1 0 1 1 0 1 1 1 1 1 0 1 0 1 0 0 1 0 1\n    0 0 1 0 0 0 0 0 1 0]\nLinear Code over GF(2) of length 50 with 19 generators.\nLower Bound: 1, Upper Bound: 32\nConstructed 3 distinct generator matrices\nRelative Ranks:  19  19  12 \nTime Taken: 0.00\nStarting search for low weight codewords... (reset timings)\nEnumerating using 1 generator at a time:\n     New codeword identified of weight 17, time 0.00\n     New codeword identified of weight 16, time 0.00\n     New codeword identified of weight 14, time 0.00\n     New codeword identified of weight 13, time 0.00\n     Discarding non-contributing rank 12 matrix\n     New Relative Ranks:  19  19 \n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60458 vectors enumerated in total\n (11.531448% of 50 19 code)\nFinal Results: lower = 13, upper = 13,\nTotal CPU time: 0.00, real time: 0.001\n13\n\nTotal time: 0.010 seconds, Total memory usage: 32.09MB\n</t>
  </si>
  <si>
    <t>[[51,28,9]]</t>
  </si>
  <si>
    <t>Magma V2.28-26    Tue Dec 30 2025 09:50:18 on Marks-MacBook-Air-2 [Seed = \n421777539]\nType ? for help.  Type &lt;Ctrl&gt;-D to quit.\n[1 1 1 1 1 1 1 1 1 1 0 0 0 0 0 0 0 0 0 0 0 0 0 0 0 0 0 0 0 0 0 0 0 0 0 0 0 0 0 0\n    0 0 0 0 0 0 0 0 0 0 0]\n[1 1 1 1 1 0 0 0 0 0 1 1 1 1 1 0 0 0 0 0 0 0 0 0 0 0 0 0 0 0 0 0 0 0 0 0 0 0 0 0\n    0 0 0 0 0 0 0 0 0 0 0]\n[1 1 1 0 0 1 1 0 0 0 1 1 0 0 0 1 1 1 0 0 0 0 0 0 0 0 0 0 0 0 0 0 0 0 0 0 0 0 0 0\n    0 0 0 0 0 0 0 0 0 0 0]\n[1 1 0 1 0 1 0 1 0 0 1 0 1 0 0 1 0 0 1 1 0 0 0 0 0 0 0 0 0 0 0 0 0 0 0 0 0 0 0 0\n    0 0 0 0 0 0 0 0 0 0 0]\n[1 0 1 0 1 0 1 0 1 0 0 1 0 1 0 0 1 0 1 0 1 0 0 0 0 0 0 0 0 0 0 0 0 0 0 0 0 0 0 0\n    0 0 0 0 0 0 0 0 0 0 0]\n[1 0 1 0 1 0 1 1 0 0 0 1 1 0 0 1 0 0 0 0 0 1 1 0 0 0 0 0 0 0 0 0 0 0 0 0 0 0 0 0\n    0 0 0 0 0 0 0 0 0 0 0]\n[0 0 1 1 0 0 1 1 1 0 0 0 1 1 0 1 0 0 0 0 0 0 0 1 1 0 0 0 0 0 0 0 0 0 0 0 0 0 0 0\n    0 0 0 0 0 0 0 0 0 0 0]\n[1 0 1 1 1 0 0 1 0 0 1 0 0 0 0 0 1 0 0 0 0 1 0 1 0 1 0 0 0 0 0 0 0 0 0 0 0 0 0 0\n    0 0 0 0 0 0 0 0 0 0 0]\n[1 1 0 0 0 0 0 0 1 0 1 1 1 0 0 1 1 0 1 0 0 1 0 1 0 0 1 0 0 0 0 0 0 0 0 0 0 0 0 0\n    0 0 0 0 0 0 0 0 0 0 0]\n[0 0 0 0 1 1 1 1 1 0 0 1 1 0 0 1 1 0 1 0 0 0 0 0 0 0 0 1 1 0 0 0 0 0 0 0 0 0 0 0\n    0 0 0 0 0 0 0 0 0 0 0]\n[1 0 1 0 0 1 1 1 1 0 1 0 1 0 0 0 1 0 0 0 0 0 0 1 0 0 0 1 0 1 0 0 0 0 0 0 0 0 0 0\n    0 0 0 0 0 0 0 0 0 0 0]\n[1 1 1 1 1 1 0 1 0 0 0 1 1 1 0 1 0 0 1 0 0 1 0 1 0 0 0 1 0 0 1 0 0 0 0 0 0 0 0 0\n    0 0 0 0 0 0 0 0 0 0 0]\n[0 1 0 0 1 0 1 1 1 0 1 1 1 0 0 0 0 0 1 0 0 1 0 0 0 0 0 0 0 0 0 1 1 0 0 0 0 0 0 0\n    0 0 0 0 0 0 0 0 0 0 0]\n[1 0 1 0 0 0 1 0 0 0 1 0 1 1 0 1 1 0 1 0 0 0 0 1 0 0 0 0 0 0 0 1 0 1 0 0 0 0 0 0\n    0 0 0 0 0 0 0 0 0 0 0]\n[0 0 0 1 1 0 0 0 1 0 1 0 0 1 0 1 0 0 0 0 0 1 0 0 0 0 0 1 0 0 0 1 0 0 1 0 0 0 0 0\n    0 0 0 0 0 0 0 0 0 0 0]\n[1 1 0 0 0 0 0 0 0 0 1 0 0 1 0 0 0 0 1 0 0 1 0 1 0 0 0 1 0 0 0 1 0 0 0 1 0 0 0 0\n    0 0 0 0 0 0 0 0 0 0 0]\n[1 1 0 0 1 0 0 1 1 0 1 1 0 1 0 1 1 0 1 0 0 0 0 0 0 0 0 1 0 0 0 0 0 0 0 0 1 1 0 0\n    0 0 0 0 0 0 0 0 0 0 0]\n[0 1 0 1 1 1 0 0 1 0 1 0 1 0 0 0 0 0 0 0 0 0 0 0 0 0 0 0 0 0 0 1 0 0 0 0 1 0 1 0\n    0 0 0 0 0 0 0 0 0 0 0]\n[0 0 1 1 0 0 1 0 0 0 1 0 0 1 0 0 1 0 0 0 0 1 0 1 0 0 0 1 0 0 0 1 0 0 0 0 1 0 0 1\n    0 0 0 0 0 0 0 0 0 0 0]\n[1 0 0 0 0 1 0 0 1 0 1 0 1 1 0 0 1 0 1 0 0 0 0 0 0 0 0 0 0 0 0 0 0 0 0 0 0 0 0 0\n    1 1 0 0 0 0 0 0 0 0 0]\n[1 0 0 1 1 1 1 1 0 0 1 0 1 1 0 0 1 0 0 0 0 0 0 1 0 0 0 0 0 0 0 0 0 0 0 0 1 0 0 0\n    1 0 1 0 0 0 0 0 0 0 0]\n[1 0 1 0 1 0 1 1 1 0 1 1 0 0 0 0 0 0 1 0 0 0 0 1 0 0 0 0 0 0 0 1 0 0 0 0 1 0 0 0\n    1 0 0 1 0 0 0 0 0 0 0]\n[0 1 1 1 1 1 0 0 1 0 0 1 0 1 0 1 0 0 0 0 0 0 0 1 0 0 0 0 0 0 0 0 0 0 0 0 0 0 0 0\n    0 0 0 0 1 1 0 0 0 0 0]\n[1 1 1 1 1 1 0 1 1 0 0 0 0 0 0 1 1 0 1 0 0 1 0 0 0 0 0 1 0 0 0 0 0 0 0 0 1 0 0 0\n    0 0 0 0 1 0 1 0 0 0 0]\n[1 0 1 0 1 0 1 1 0 0 0 0 0 0 0 0 1 0 1 0 0 1 0 0 0 0 0 1 0 0 0 0 0 0 0 0 0 0 0 0\n    1 0 0 0 1 0 0 1 0 0 0]\n[0 1 0 1 0 1 1 0 0 0 1 0 1 1 0 0 1 0 1 0 0 0 0 1 0 0 0 1 0 0 0 1 0 0 0 0 1 0 0 0\n    1 0 0 0 1 0 0 0 1 0 0]\n[1 0 0 0 1 1 1 0 1 0 1 0 0 1 0 0 0 0 0 0 0 0 0 1 0 0 0 1 0 0 0 1 0 0 0 0 0 0 0 0\n    1 0 0 0 1 0 0 0 0 1 0]\n[1 0 0 0 1 0 1 1 1 0 0 0 1 0 0 1 1 0 0 0 0 0 0 0 0 0 0 1 0 0 0 1 0 0 0 0 0 0 0 0\n    1 0 0 0 1 0 0 0 0 0 1]\n[51, 28] Linear Code over GF(2)\nGenerator matrix:\n[1 0 0 0 0 0 0 0 0 0 0 0 0 0 0 0 0 0 0 0 0 0 0 0 1 0 0 0 0 0 0 0 0 1 1 1 0 0 1 0\n    1 1 1 0 0 0 1 1 1 1 0]\n[0 1 0 0 0 0 0 0 0 0 0 0 0 0 0 0 0 0 0 0 0 0 0 0 1 0 0 0 0 0 0 0 0 0 0 0 1 1 0 0\n    1 0 1 1 1 0 0 0 0 1 0]\n[0 0 1 0 0 0 0 0 0 0 0 0 0 0 0 0 0 0 0 0 0 0 0 0 0 0 1 0 0 0 1 1 0 1 0 1 1 0 0 1\n    0 0 1 1 0 1 1 1 1 1 1]\n[0 0 0 1 0 0 0 0 0 0 0 0 0 0 0 0 0 0 0 0 0 0 0 0 1 0 1 0 0 0 0 0 1 0 1 0 1 0 1 0\n    1 1 1 1 0 1 1 0 1 0 1]\n[0 0 0 0 1 0 0 0 0 0 0 0 0 0 0 0 0 0 0 0 0 0 0 0 1 0 1 0 0 0 0 1 0 0 0 1 0 0 1 0\n    0 1 1 0 0 1 1 1 1 0 0]\n[0 0 0 0 0 1 0 0 0 0 0 0 0 0 0 0 0 0 0 0 0 0 0 0 1 0 1 0 0 0 1 0 0 1 1 0 1 0 1 0\n    0 0 1 0 0 0 1 0 0 1 0]\n[0 0 0 0 0 0 1 0 0 0 0 0 0 0 0 0 0 0 0 0 0 0 0 0 1 0 1 0 0 0 0 1 1 0 1 0 0 0 1 1\n    1 1 1 1 1 1 0 0 0 0 0]\n[0 0 0 0 0 0 0 1 0 0 0 0 0 0 0 0 0 0 0 0 0 0 0 0 1 0 0 0 0 0 0 1 1 0 0 0 0 1 0 0\n    1 1 1 0 1 0 0 1 0 0 0]\n[0 0 0 0 0 0 0 0 1 0 0 0 0 0 0 0 0 0 0 0 0 0 0 0 0 0 0 0 0 0 1 1 0 0 0 0 0 1 1 0\n    0 0 1 1 1 1 0 1 0 0 1]\n[0 0 0 0 0 0 0 0 0 1 0 0 0 0 0 0 0 0 0 0 0 0 0 0 1 0 1 0 0 0 1 1 1 1 0 1 0 1 0 0\n    1 1 1 1 0 1 1 1 0 0 1]\n[0 0 0 0 0 0 0 0 0 0 1 0 0 0 0 0 0 0 0 0 0 0 0 0 0 0 0 0 0 0 0 1 0 0 1 0 1 1 0 1\n    1 0 1 0 0 1 1 1 1 0 0]\n[0 0 0 0 0 0 0 0 0 0 0 1 0 0 0 0 0 0 0 0 0 0 0 0 0 0 0 0 0 0 1 1 1 0 1 0 1 1 0 0\n    0 1 1 1 0 1 0 1 0 0 0]\n[0 0 0 0 0 0 0 0 0 0 0 0 1 0 0 0 0 0 0 0 0 0 0 0 0 0 1 0 0 0 0 0 1 1 1 1 1 1 1 1\n    1 0 0 1 0 0 0 1 1 0 0]\n[0 0 0 0 0 0 0 0 0 0 0 0 0 1 0 0 0 0 0 0 0 0 0 0 0 0 1 0 0 0 1 0 1 1 1 1 1 0 1 1\n    0 1 1 0 1 1 0 0 0 1 1]\n[0 0 0 0 0 0 0 0 0 0 0 0 0 0 1 0 0 0 0 0 0 0 0 0 0 0 1 0 0 0 1 0 0 0 0 1 1 0 1 0\n    1 1 0 1 0 0 1 0 0 0 1]\n[0 0 0 0 0 0 0 0 0 0 0 0 0 0 0 1 0 0 0 0 0 0 0 0 0 0 1 0 0 0 0 0 0 1 1 0 0 0 0 1\n    0 0 1 0 1 1 1 0 1 0 0]\n[0 0 0 0 0 0 0 0 0 0 0 0 0 0 0 0 1 0 0 0 0 0 0 0 0 0 0 0 0 0 1 0 0 0 0 1 0 0 0 1\n    1 0 0 0 0 1 0 1 1 1 0]\n[0 0 0 0 0 0 0 0 0 0 0 0 0 0 0 0 0 1 0 0 0 0 0 0 0 0 0 0 0 0 0 0 0 0 0 1 1 1 1 1\n    1 1 0 0 1 0 1 1 1 1 1]\n[0 0 0 0 0 0 0 0 0 0 0 0 0 0 0 0 0 0 1 0 0 0 0 0 0 0 1 0 0 0 0 0 0 0 1 0 0 1 1 0\n    1 1 1 0 0 0 1 1 0 0 0]\n[0 0 0 0 0 0 0 0 0 0 0 0 0 0 0 0 0 0 0 1 0 0 0 0 1 0 1 0 0 0 1 0 1 0 1 0 1 1 1 1\n    1 0 0 1 1 1 0 1 1 1 1]\n[0 0 0 0 0 0 0 0 0 0 0 0 0 0 0 0 0 0 0 0 1 0 0 0 1 0 1 0 0 0 1 1 1 1 1 1 1 1 0 0\n    0 0 0 0 1 1 0 1 0 0 1]\n[0 0 0 0 0 0 0 0 0 0 0 0 0 0 0 0 0 0 0 0 0 1 0 0 0 0 0 0 0 0 0 1 1 1 1 0 0 1 1 1\n    0 1 0 1 0 1 1 1 1 1 1]\n[0 0 0 0 0 0 0 0 0 0 0 0 0 0 0 0 0 0 0 0 0 0 1 0 0 0 1 0 0 0 0 0 1 1 0 0 1 0 1 1\n    0 0 1 1 1 0 1 1 0 1 0]\n[0 0 0 0 0 0 0 0 0 0 0 0 0 0 0 0 0 0 0 0 0 0 0 1 0 0 0 0 0 0 1 0 1 0 1 1 0 1 1 1\n    0 0 1 1 1 0 1 0 0 0 0]\n[0 0 0 0 0 0 0 0 0 0 0 0 0 0 0 0 0 0 0 0 0 0 0 0 0 1 1 0 0 0 1 1 0 1 1 1 1 0 1 1\n    1 1 1 0 0 0 1 1 1 0 1]\n[0 0 0 0 0 0 0 0 0 0 0 0 0 0 0 0 0 0 0 0 0 0 0 0 0 0 0 1 0 0 0 1 1 1 0 0 1 1 1 0\n    0 0 0 1 1 1 1 0 1 0 0]\n[0 0 0 0 0 0 0 0 0 0 0 0 0 0 0 0 0 0 0 0 0 0 0 0 0 0 0 0 1 0 0 0 1 0 0 1 0 0 1 0\n    1 1 0 1 1 1 1 1 1 0 1]\n[0 0 0 0 0 0 0 0 0 0 0 0 0 0 0 0 0 0 0 0 0 0 0 0 0 0 0 0 0 1 1 0 1 1 0 1 1 0 1 0\n    0 1 0 0 1 0 0 1 0 0 0]\nLinear Code over GF(2) of length 51 with 28 generators.\nLower Bound: 1, Upper Bound: 24\nConstructed 2 distinct generator matrices\nRelative Ranks:  28  23 \nTime Taken: 0.00\nStarting search for low weight codewords... (reset timings)\nEnumerating using 1 generator at a time:\n     New codeword identified of weight 10, time 0.00\n   Completed Matrix  1:  lower =  2, upper = 10. Elapsed: 0.00s\n     New codeword identified of weight 9, time 0.00\n   Completed Matrix  2:  lower =  2, upper =  9. Elapsed: 0.00s\nTermination predicted with 6 generators at matrix 2\nEnumerating using 2 generators at a time:\n   Completed Matrix  1:  lower =  3, upper =  9. Elapsed: 0.00s\n   Completed Matrix  2:  lower =  3, upper =  9. Elapsed: 0.00s\nTermination predicted with 6 generators at matrix 2\nEnumerating using 3 generators at a time:\n   Completed Matrix  1:  lower =  4, upper =  9. Elapsed: 0.00s\n   Completed Matrix  2:  lower =  4, upper =  9. Elapsed: 0.00s\nTermination predicted with 6 generators at matrix 2\nEnumerating using 4 generators at a time:\n   Completed Matrix  1:  lower =  5, upper =  9. Elapsed: 0.00s\n   Completed Matrix  2:  lower =  5, upper =  9. Elapsed: 0.00s\nTermination predicted with 6 generators at matrix 2\nEnumerating using 5 generators at a time:\n   Completed Matrix  1:  lower =  6, upper =  9. Elapsed: 0.00s\n   Completed Matrix  2:  lower =  7, upper =  9. Elapsed: 0.00s\nTermination predicted with 6 generators at matrix 2\nEnumerating using 6 generators at a time:\n   Completed Matrix  1:  lower =  8, upper =  9. Elapsed: 0.00s\n   Completed Matrix  2:  lower =  9, upper =  9. Elapsed: 0.00s\nComputation complete 998354 vectors enumerated in total\n (0.371916% of 51 28 code)\nFinal Results: lower = 9, upper = 9,\nTotal CPU time: 0.00, real time: 0.003\n9\n\nTotal time: 0.010 seconds, Total memory usage: 32.09MB\n</t>
  </si>
  <si>
    <t>[[52,15,17]]</t>
  </si>
  <si>
    <t>Magma V2.28-26    Tue Dec 30 2025 09:50:18 on Marks-MacBook-Air-2 [Seed = \n522573445]\nType ? for help.  Type &lt;Ctrl&gt;-D to quit.\n[1 0 1 0 1 1 0 1 0 1 1 1 1 0 0 1 0 0 0 0 0 0 1 0 0 1 1 1 1 0 1 0 1 1 0 1 0 0 0 0\n    0 0 0 0 0 0 0 0 0 0 0 0]\n[0 1 0 1 1 0 0 1 1 1 0 1 0 1 0 0 0 0 1 1 0 0 0 0 1 0 1 0 1 1 1 0 0 1 1 0 1 1 0 0\n    0 0 0 0 0 0 0 0 0 0 0 0]\n[0 0 0 1 0 1 1 1 0 1 1 1 0 0 0 0 1 0 1 1 0 1 0 0 0 0 1 1 1 0 1 1 1 0 1 0 0 0 1 0\n    0 0 0 0 0 0 0 0 0 0 0 0]\n[1 1 0 1 0 0 0 0 1 1 1 0 0 0 0 0 0 0 1 0 1 1 0 1 1 1 0 0 0 1 1 1 1 1 1 0 1 0 0 1\n    1 0 0 0 0 0 0 0 0 0 0 0]\n[1 0 0 1 0 1 1 1 1 1 0 0 0 1 0 1 0 1 0 1 0 0 0 0 0 0 1 1 0 0 1 0 0 1 0 0 1 0 0 1\n    0 1 0 0 0 0 0 0 0 0 0 0]\n[0 1 1 0 1 1 0 1 1 1 0 1 0 1 0 1 1 1 0 1 0 1 0 0 1 1 0 0 1 0 0 1 1 0 0 0 0 0 0 0\n    0 0 1 0 0 0 0 0 0 0 0 0]\n[0 0 0 1 0 0 1 1 0 0 1 0 1 0 1 1 1 0 1 0 1 0 1 1 1 0 1 1 0 1 1 0 0 0 0 0 0 0 0 0\n    0 0 0 1 0 0 0 0 0 0 0 0]\n[1 0 0 1 1 0 1 0 0 0 0 1 1 0 0 1 0 1 1 0 1 0 1 1 1 0 0 0 0 0 1 0 1 1 0 0 1 0 0 1\n    0 0 0 0 1 0 0 0 0 0 0 0]\n[1 1 0 1 0 0 1 0 0 0 0 0 1 1 1 0 0 0 1 1 1 1 1 0 0 0 1 1 1 0 0 1 0 0 1 0 1 0 0 0\n    0 0 0 0 0 1 0 0 0 0 0 0]\n[0 0 0 0 1 0 1 1 1 0 1 0 0 1 0 1 1 1 0 0 0 0 0 1 0 1 1 0 1 1 1 1 0 1 0 0 0 0 0 0\n    0 0 0 0 0 0 1 0 0 0 0 0]\n[0 0 1 1 1 0 1 1 1 0 0 0 0 1 0 0 1 1 1 1 1 1 1 1 1 0 1 1 0 0 0 0 0 1 1 0 0 0 0 1\n    0 0 0 0 0 0 0 1 0 0 0 0]\n[0 1 0 0 1 1 1 1 0 0 0 1 0 0 1 1 1 1 0 1 0 0 1 1 1 1 0 0 0 1 1 0 1 1 1 0 1 0 0 0\n    0 0 0 0 0 0 0 0 1 0 0 0]\n[1 0 1 0 1 0 1 1 0 0 1 1 0 1 0 1 1 0 1 0 1 1 0 0 1 1 0 1 0 1 0 0 0 0 0 0 1 0 0 0\n    0 0 0 0 0 0 0 0 0 1 0 0]\n[0 0 1 0 1 0 0 0 1 1 0 0 0 0 1 1 0 0 1 1 1 0 1 1 0 1 1 0 0 1 0 1 0 0 0 0 0 0 0 1\n    0 0 0 0 0 0 0 0 0 0 1 0]\n[0 1 1 0 0 1 1 1 1 0 1 0 1 0 0 1 1 1 1 1 0 0 0 1 0 1 0 1 1 0 0 0 1 1 1 0 0 0 0 1\n    0 0 0 0 0 0 0 0 0 0 0 1]\nLinear Code over GF(2) of length 52 with 15 generators.\nLower Bound: 1, Upper Bound: 38\nConstructed 4 distinct generator matrices\nRelative Ranks:  15  15  15   7 \nTime Taken: 0.00\nStarting search for low weight codewords... (reset timings)\nEnumerating using 1 generator at a time:\n     New codeword identified of weight 18, time 0.00\n     Discarding non-contributing rank 7 matrix\n     New Relative Ranks:  15  15  15 \n   Completed Matrix  1:  lower =  4, upper = 18. Elapsed: 0.00s\n     New codeword identified of weight 17, time 0.00\n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11826 vectors enumerated in total\n (36.090088% of 52 15 code)\nFinal Results: lower = 17, upper = 17,\nTotal CPU time: 0.00, real time: 0.002\n[52, 15, 17] Linear Code over GF(2)\nGenerator matrix:\n[1 0 0 0 0 0 0 0 0 0 0 0 0 0 0 0 0 0 0 0 1 0 1 1 0 1 0 1 1 1 1 0 0 1 0 0 0 0 0 0\n    1 0 0 1 1 1 1 0 1 0 1 1]\n[0 1 0 0 0 0 0 0 0 0 0 0 0 0 0 1 1 1 0 1 1 0 0 1 0 1 1 0 0 0 0 1 1 1 0 1 1 0 0 1\n    1 0 0 1 0 1 1 1 0 1 0 1]\n[0 0 1 0 0 0 0 0 0 0 0 0 0 0 0 1 1 0 1 0 1 0 1 0 1 1 0 0 1 0 0 0 1 1 1 1 1 0 0 0\n    1 0 1 1 0 0 1 0 0 0 1 0]\n[0 0 0 1 0 0 0 0 0 0 0 0 0 0 0 0 1 0 1 1 0 1 1 0 1 1 1 1 1 1 1 0 1 0 1 0 1 0 0 1\n    1 1 1 0 1 0 1 0 1 1 1 1]\n[0 0 0 0 1 0 0 0 0 0 0 0 0 0 0 1 0 0 1 0 0 1 1 0 1 0 0 0 1 1 0 0 0 0 1 1 0 1 1 1\n    1 0 1 1 1 0 0 1 0 1 1 1]\n[0 0 0 0 0 1 0 0 0 0 0 0 0 0 0 0 1 1 1 1 1 0 0 0 0 1 0 1 0 0 0 1 1 0 1 1 1 1 0 1\n    0 1 1 1 1 0 0 0 1 1 0 1]\n[0 0 0 0 0 0 1 0 0 0 0 0 0 0 0 0 0 0 0 1 1 0 1 1 0 1 1 1 0 1 0 1 0 1 1 1 0 1 0 1\n    0 0 1 1 0 0 1 0 0 1 1 0]\n[0 0 0 0 0 0 0 1 0 0 0 0 0 0 0 0 0 1 1 0 0 1 0 0 1 1 0 0 1 0 1 0 1 1 1 0 1 0 1 0\n    1 1 1 0 1 1 0 1 1 0 0 0]\n[0 0 0 0 0 0 0 0 1 0 0 0 0 0 0 0 1 0 1 1 1 0 1 1 0 0 1 0 0 1 1 0 1 0 1 1 0 0 1 1\n    1 0 0 1 0 1 0 0 1 1 1 1]\n[0 0 0 0 0 0 0 0 0 1 0 0 0 0 0 1 1 1 0 1 0 0 0 0 1 1 0 0 1 0 0 1 0 0 0 1 1 0 1 0\n    1 0 1 0 1 1 0 0 0 0 1 1]\n[0 0 0 0 0 0 0 0 0 0 1 0 0 0 0 0 0 0 1 0 0 0 1 0 1 1 1 0 1 0 0 1 0 1 1 1 0 0 0 0\n    0 1 0 1 1 0 1 1 1 1 0 1]\n[0 0 0 0 0 0 0 0 0 0 0 1 0 0 0 1 0 1 1 1 0 1 1 1 0 0 0 0 1 0 1 1 0 1 0 0 0 0 1 1\n    1 0 1 1 1 0 1 0 0 0 1 0]\n[0 0 0 0 0 0 0 0 0 0 0 0 1 0 0 1 1 0 0 1 1 1 0 0 1 1 0 1 0 0 0 0 0 0 1 0 0 0 0 1\n    0 1 0 0 1 1 0 1 0 1 1 1]\n[0 0 0 0 0 0 0 0 0 0 0 0 0 1 0 0 0 0 0 0 0 0 0 1 1 0 0 1 0 0 1 1 0 0 1 0 1 0 1 1\n    1 0 1 0 1 0 1 1 1 0 1 1]\n[0 0 0 0 0 0 0 0 0 0 0 0 0 0 1 0 1 1 0 1 1 1 0 0 1 1 0 0 1 1 1 0 0 1 1 0 0 1 1 1\n    0 0 1 1 0 0 1 1 1 0 1 1]\nLinear Code over GF(2) of length 52 with 15 generators.\nLower Bound: 1, Upper Bound: 38\nConstructed 4 distinct generator matrices\nRelative Ranks:  15  15  15   7 \nTime Taken: 0.00\nStarting search for low weight codewords... (reset timings)\nEnumerating using 1 generator at a time:\n     New codeword identified of weight 18, time 0.00\n     Discarding non-contributing rank 7 matrix\n     New Relative Ranks:  15  15  15 \n   Completed Matrix  1:  lower =  4, upper = 18. Elapsed: 0.00s\n     New codeword identified of weight 17, time 0.00\n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11826 vectors enumerated in total\n (36.090088% of 52 15 code)\nFinal Results: lower = 17, upper = 17,\nTotal CPU time: 0.00, real time: 0.000\n17\n\nTotal time: 0.010 seconds, Total memory usage: 32.09MB\n</t>
  </si>
  <si>
    <t>[[53,16,17]]</t>
  </si>
  <si>
    <t>Magma V2.28-26    Tue Dec 30 2025 09:50:18 on Marks-MacBook-Air-2 [Seed = \n622849215]\nType ? for help.  Type &lt;Ctrl&gt;-D to quit.\n[1 0 1 0 1 1 0 1 0 1 1 1 1 0 0 1 0 0 0 0 0 0 1 0 0 1 1 1 1 0 1 0 1 1 0 1 0 0 0 0\n    0 0 0 0 0 0 0 0 0 0 0 0 0]\n[0 1 0 1 1 0 0 1 1 1 0 1 0 1 0 0 0 0 1 1 0 0 0 0 1 0 1 0 1 1 1 0 0 1 1 0 1 1 0 0\n    0 0 0 0 0 0 0 0 0 0 0 0 0]\n[0 0 0 1 0 1 1 1 0 1 1 1 0 0 0 0 1 0 1 1 0 1 0 0 0 0 1 1 1 0 1 1 1 0 1 0 0 0 1 0\n    0 0 0 0 0 0 0 0 0 0 0 0 0]\n[1 1 0 1 0 0 0 0 1 1 1 0 0 0 0 0 0 0 1 0 1 1 0 1 1 1 0 0 0 1 1 1 1 1 1 0 1 0 0 1\n    1 0 0 0 0 0 0 0 0 0 0 0 0]\n[1 0 0 1 0 1 1 1 1 1 0 0 0 1 0 1 0 1 0 1 0 0 0 0 0 0 1 1 0 0 1 0 0 1 0 0 1 0 0 1\n    0 1 0 0 0 0 0 0 0 0 0 0 0]\n[0 1 1 0 1 1 0 1 1 1 0 1 0 1 0 1 1 1 0 1 0 1 0 0 1 1 0 0 1 0 0 1 1 0 0 0 0 0 0 0\n    0 0 1 0 0 0 0 0 0 0 0 0 0]\n[0 0 0 1 0 0 1 1 0 0 1 0 1 0 1 1 1 0 1 0 1 0 1 1 1 0 1 1 0 1 1 0 0 0 0 0 0 0 0 0\n    0 0 0 1 0 0 0 0 0 0 0 0 0]\n[1 0 0 1 1 0 1 0 0 0 0 1 1 0 0 1 0 1 1 0 1 0 1 1 1 0 0 0 0 0 1 0 1 1 0 0 1 0 0 1\n    0 0 0 0 1 0 0 0 0 0 0 0 0]\n[1 1 0 1 0 0 1 0 0 0 0 0 1 1 1 0 0 0 1 1 1 1 1 0 0 0 1 1 1 0 0 1 0 0 1 0 1 0 0 0\n    0 0 0 0 0 1 0 0 0 0 0 0 0]\n[0 0 0 0 1 0 1 1 1 0 1 0 0 1 0 1 1 1 0 0 0 0 0 1 0 1 1 0 1 1 1 1 0 1 0 0 0 0 0 0\n    0 0 0 0 0 0 1 0 0 0 0 0 0]\n[0 0 1 1 1 0 1 1 1 0 0 0 0 1 0 0 1 1 1 1 1 1 1 1 1 0 1 1 0 0 0 0 0 1 1 0 0 0 0 1\n    0 0 0 0 0 0 0 1 0 0 0 0 0]\n[0 1 0 0 1 1 1 1 0 0 0 1 0 0 1 1 1 1 0 1 0 0 1 1 1 1 0 0 0 1 1 0 1 1 1 0 1 0 0 0\n    0 0 0 0 0 0 0 0 1 0 0 0 0]\n[1 0 1 0 1 0 1 1 0 0 1 1 0 1 0 1 1 0 1 0 1 1 0 0 1 1 0 1 0 1 0 0 0 0 0 0 1 0 0 0\n    0 0 0 0 0 0 0 0 0 1 0 0 0]\n[0 0 1 0 1 0 0 0 1 1 0 0 0 0 1 1 0 0 1 1 1 0 1 1 0 1 1 0 0 1 0 1 0 0 0 0 0 0 0 1\n    0 0 0 0 0 0 0 0 0 0 1 0 0]\n[0 1 1 0 0 1 1 1 1 0 1 0 1 0 0 1 1 1 1 1 0 0 0 1 0 1 0 1 1 0 0 0 1 1 1 0 0 0 0 1\n    0 0 0 0 0 0 0 0 0 0 0 1 0]\n[1 1 1 1 0 1 1 0 1 0 0 0 0 0 1 1 1 0 1 0 0 1 0 1 1 1 0 1 0 0 0 1 0 0 0 0 0 0 0 1\n    0 0 0 0 0 0 0 0 0 0 0 0 1]\nLinear Code over GF(2) of length 53 with 16 generators.\nLower Bound: 1, Upper Bound: 38\nConstructed 4 distinct generator matrices\nRelative Ranks:  16  16  16   5 \nTime Taken: 0.00\nStarting search for low weight codewords... (reset timings)\nEnumerating using 1 generator at a time:\n     New codeword identified of weight 18, time 0.00\n     Discarding non-contributing rank 5 matrix\n     New Relative Ranks:  16  16  16 \n   Completed Matrix  1:  lower =  4, upper = 18. Elapsed: 0.00s\n     New codeword identified of weight 17, time 0.00\n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16284 vectors enumerated in total\n (24.847412% of 53 16 code)\nFinal Results: lower = 17, upper = 17,\nTotal CPU time: 0.00, real time: 0.002\n[53, 16, 17] Linear Code over GF(2)\nGenerator matrix:\n[1 0 0 0 0 0 0 0 0 0 0 0 0 0 0 0 0 0 0 0 1 0 1 1 0 1 0 1 1 1 1 0 0 1 0 0 0 0 0 0\n    1 0 0 1 1 1 1 0 1 0 1 1 0]\n[0 1 0 0 0 0 0 0 0 0 0 0 0 0 0 0 0 0 1 1 0 1 1 0 0 1 1 1 0 1 0 1 0 0 0 0 1 1 0 0\n    0 0 1 0 1 0 1 1 1 0 0 1 1]\n[0 0 1 0 0 0 0 0 0 0 0 0 0 0 0 0 0 1 0 0 0 1 0 1 1 1 0 1 1 1 0 0 0 0 1 0 1 1 0 1\n    0 0 0 0 1 1 1 0 1 1 1 0 1]\n[0 0 0 1 0 0 0 0 0 0 0 0 0 0 0 0 1 0 1 1 0 1 1 0 1 1 1 1 1 1 1 0 1 0 1 0 1 0 0 1\n    1 1 1 0 1 0 1 0 1 1 1 1 0]\n[0 0 0 0 1 0 0 0 0 0 0 0 0 0 0 0 1 1 0 0 1 0 0 1 1 0 0 1 1 0 0 0 1 1 1 0 0 0 1 0\n    0 0 0 0 0 1 0 1 1 0 1 1 1]\n[0 0 0 0 0 1 0 0 0 0 0 0 0 0 0 0 1 1 1 1 1 0 0 0 0 1 0 1 0 0 0 1 1 0 1 1 1 1 0 1\n    0 1 1 1 1 0 0 0 1 1 0 1 0]\n[0 0 0 0 0 0 1 0 0 0 0 0 0 0 0 0 0 0 0 1 1 0 1 1 0 1 1 1 0 1 0 1 0 1 1 1 0 1 0 1\n    0 0 1 1 0 0 1 0 0 1 1 0 0]\n[0 0 0 0 0 0 0 1 0 0 0 0 0 0 0 0 0 1 1 0 0 1 0 0 1 1 0 0 1 0 1 0 1 1 1 0 1 0 1 0\n    1 1 1 0 1 1 0 1 1 0 0 0 0]\n[0 0 0 0 0 0 0 0 1 0 0 0 0 0 0 0 1 0 1 1 1 0 1 1 0 0 1 0 0 1 1 0 1 0 1 1 0 0 1 1\n    1 0 0 1 0 1 0 0 1 1 1 1 0]\n[0 0 0 0 0 0 0 0 0 1 0 0 0 0 0 0 0 0 1 1 1 1 1 1 1 1 0 1 1 1 0 1 1 1 0 0 1 1 1 1\n    0 0 0 1 0 0 0 0 1 1 1 1 1]\n[0 0 0 0 0 0 0 0 0 0 1 0 0 0 0 0 0 0 1 0 0 0 1 0 1 1 1 0 1 0 0 1 0 1 1 1 0 0 0 0\n    0 1 0 1 1 0 1 1 1 1 0 1 0]\n[0 0 0 0 0 0 0 0 0 0 0 1 0 0 0 0 1 0 0 1 1 0 0 0 0 0 0 1 1 1 1 1 1 0 0 1 0 1 1 0\n    0 0 0 0 0 1 1 0 1 1 1 0 1]\n[0 0 0 0 0 0 0 0 0 0 0 0 1 0 0 0 0 1 1 1 0 0 1 1 1 1 0 0 0 1 0 0 1 1 1 1 0 1 0 0\n    1 1 1 1 0 0 0 1 1 0 1 1 1]\n[0 0 0 0 0 0 0 0 0 0 0 0 0 1 0 0 0 0 0 0 0 0 0 1 1 0 0 1 0 0 1 1 0 0 1 0 1 0 1 1\n    1 0 1 0 1 0 1 1 1 0 1 1 0]\n[0 0 0 0 0 0 0 0 0 0 0 0 0 0 1 0 1 1 0 1 1 1 0 0 1 1 0 0 1 1 1 0 0 1 1 0 0 1 1 1\n    0 0 1 1 0 0 1 1 1 0 1 1 0]\n[0 0 0 0 0 0 0 0 0 0 0 0 0 0 0 1 1 1 1 0 1 1 1 1 0 0 0 1 0 1 0 0 1 1 0 1 0 1 0 1\n    1 0 1 1 1 1 0 0 1 1 0 0 1]\nLinear Code over GF(2) of length 53 with 16 generators.\nLower Bound: 1, Upper Bound: 38\nConstructed 4 distinct generator matrices\nRelative Ranks:  16  16  16   5 \nTime Taken: 0.00\nStarting search for low weight codewords... (reset timings)\nEnumerating using 1 generator at a time:\n     New codeword identified of weight 18, time 0.00\n     Discarding non-contributing rank 5 matrix\n     New Relative Ranks:  16  16  16 \n   Completed Matrix  1:  lower =  4, upper = 18. Elapsed: 0.00s\n     New codeword identified of weight 17, time 0.00\n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16284 vectors enumerated in total\n (24.847412% of 53 16 code)\nFinal Results: lower = 17, upper = 17,\nTotal CPU time: 0.00, real time: 0.000\n17\n\nTotal time: 0.010 seconds, Total memory usage: 32.09MB\n</t>
  </si>
  <si>
    <t>[[54,31,9]]</t>
  </si>
  <si>
    <t>Magma V2.28-26    Tue Dec 30 2025 09:50:18 on Marks-MacBook-Air-2 [Seed = \n722592433]\nType ? for help.  Type &lt;Ctrl&gt;-D to quit.\n[1 1 1 1 1 1 1 1 1 1 0 0 0 0 0 0 0 0 0 0 0 0 0 0 0 0 0 0 0 0 0 0 0 0 0 0 0 0 0 0\n    0 0 0 0 0 0 0 0 0 0 0 0 0 0]\n[1 1 1 1 1 0 0 0 0 0 1 1 1 1 1 0 0 0 0 0 0 0 0 0 0 0 0 0 0 0 0 0 0 0 0 0 0 0 0 0\n    0 0 0 0 0 0 0 0 0 0 0 0 0 0]\n[1 1 1 0 0 1 1 0 0 0 1 1 0 0 0 1 1 1 0 0 0 0 0 0 0 0 0 0 0 0 0 0 0 0 0 0 0 0 0 0\n    0 0 0 0 0 0 0 0 0 0 0 0 0 0]\n[1 1 0 1 0 1 0 1 0 0 1 0 1 0 0 1 0 0 1 1 0 0 0 0 0 0 0 0 0 0 0 0 0 0 0 0 0 0 0 0\n    0 0 0 0 0 0 0 0 0 0 0 0 0 0]\n[1 0 1 0 1 0 1 0 1 0 0 1 0 1 0 0 1 0 1 0 1 0 0 0 0 0 0 0 0 0 0 0 0 0 0 0 0 0 0 0\n    0 0 0 0 0 0 0 0 0 0 0 0 0 0]\n[1 0 1 0 1 0 1 1 0 0 0 1 1 0 0 1 0 0 0 0 0 1 1 0 0 0 0 0 0 0 0 0 0 0 0 0 0 0 0 0\n    0 0 0 0 0 0 0 0 0 0 0 0 0 0]\n[0 0 1 1 0 0 1 1 1 0 0 0 1 1 0 1 0 0 0 0 0 0 0 1 1 0 0 0 0 0 0 0 0 0 0 0 0 0 0 0\n    0 0 0 0 0 0 0 0 0 0 0 0 0 0]\n[1 0 1 1 1 0 0 1 0 0 1 0 0 0 0 0 1 0 0 0 0 1 0 1 0 1 0 0 0 0 0 0 0 0 0 0 0 0 0 0\n    0 0 0 0 0 0 0 0 0 0 0 0 0 0]\n[1 1 0 0 0 0 0 0 1 0 1 1 1 0 0 1 1 0 1 0 0 1 0 1 0 0 1 0 0 0 0 0 0 0 0 0 0 0 0 0\n    0 0 0 0 0 0 0 0 0 0 0 0 0 0]\n[0 0 0 0 1 1 1 1 1 0 0 1 1 0 0 1 1 0 1 0 0 0 0 0 0 0 0 1 1 0 0 0 0 0 0 0 0 0 0 0\n    0 0 0 0 0 0 0 0 0 0 0 0 0 0]\n[1 0 1 0 0 1 1 1 1 0 1 0 1 0 0 0 1 0 0 0 0 0 0 1 0 0 0 1 0 1 0 0 0 0 0 0 0 0 0 0\n    0 0 0 0 0 0 0 0 0 0 0 0 0 0]\n[1 1 1 1 1 1 0 1 0 0 0 1 1 1 0 1 0 0 1 0 0 1 0 1 0 0 0 1 0 0 1 0 0 0 0 0 0 0 0 0\n    0 0 0 0 0 0 0 0 0 0 0 0 0 0]\n[0 1 0 0 1 0 1 1 1 0 1 1 1 0 0 0 0 0 1 0 0 1 0 0 0 0 0 0 0 0 0 1 1 0 0 0 0 0 0 0\n    0 0 0 0 0 0 0 0 0 0 0 0 0 0]\n[1 0 1 0 0 0 1 0 0 0 1 0 1 1 0 1 1 0 1 0 0 0 0 1 0 0 0 0 0 0 0 1 0 1 0 0 0 0 0 0\n    0 0 0 0 0 0 0 0 0 0 0 0 0 0]\n[0 0 0 1 1 0 0 0 1 0 1 0 0 1 0 1 0 0 0 0 0 1 0 0 0 0 0 1 0 0 0 1 0 0 1 0 0 0 0 0\n    0 0 0 0 0 0 0 0 0 0 0 0 0 0]\n[1 1 0 0 0 0 0 0 0 0 1 0 0 1 0 0 0 0 1 0 0 1 0 1 0 0 0 1 0 0 0 1 0 0 0 1 0 0 0 0\n    0 0 0 0 0 0 0 0 0 0 0 0 0 0]\n[1 1 0 0 1 0 0 1 1 0 1 1 0 1 0 1 1 0 1 0 0 0 0 0 0 0 0 1 0 0 0 0 0 0 0 0 1 1 0 0\n    0 0 0 0 0 0 0 0 0 0 0 0 0 0]\n[0 1 0 1 1 1 0 0 1 0 1 0 1 0 0 0 0 0 0 0 0 0 0 0 0 0 0 0 0 0 0 1 0 0 0 0 1 0 1 0\n    0 0 0 0 0 0 0 0 0 0 0 0 0 0]\n[0 0 1 1 0 0 1 0 0 0 1 0 0 1 0 0 1 0 0 0 0 1 0 1 0 0 0 1 0 0 0 1 0 0 0 0 1 0 0 1\n    0 0 0 0 0 0 0 0 0 0 0 0 0 0]\n[1 0 0 0 0 1 0 0 1 0 1 0 1 1 0 0 1 0 1 0 0 0 0 0 0 0 0 0 0 0 0 0 0 0 0 0 0 0 0 0\n    1 1 0 0 0 0 0 0 0 0 0 0 0 0]\n[1 0 0 1 1 1 1 1 0 0 1 0 1 1 0 0 1 0 0 0 0 0 0 1 0 0 0 0 0 0 0 0 0 0 0 0 1 0 0 0\n    1 0 1 0 0 0 0 0 0 0 0 0 0 0]\n[1 0 1 0 1 0 1 1 1 0 1 1 0 0 0 0 0 0 1 0 0 0 0 1 0 0 0 0 0 0 0 1 0 0 0 0 1 0 0 0\n    1 0 0 1 0 0 0 0 0 0 0 0 0 0]\n[0 1 1 1 1 1 0 0 1 0 0 1 0 1 0 1 0 0 0 0 0 0 0 1 0 0 0 0 0 0 0 0 0 0 0 0 0 0 0 0\n    0 0 0 0 1 1 0 0 0 0 0 0 0 0]\n[1 1 1 1 1 1 0 1 1 0 0 0 0 0 0 1 1 0 1 0 0 1 0 0 0 0 0 1 0 0 0 0 0 0 0 0 1 0 0 0\n    0 0 0 0 1 0 1 0 0 0 0 0 0 0]\n[1 0 1 0 1 0 1 1 0 0 0 0 0 0 0 0 1 0 1 0 0 1 0 0 0 0 0 1 0 0 0 0 0 0 0 0 0 0 0 0\n    1 0 0 0 1 0 0 1 0 0 0 0 0 0]\n[0 1 0 1 0 1 1 0 0 0 1 0 1 1 0 0 1 0 1 0 0 0 0 1 0 0 0 1 0 0 0 1 0 0 0 0 1 0 0 0\n    1 0 0 0 1 0 0 0 1 0 0 0 0 0]\n[1 0 0 0 1 1 1 0 1 0 1 0 0 1 0 0 0 0 0 0 0 0 0 1 0 0 0 1 0 0 0 1 0 0 0 0 0 0 0 0\n    1 0 0 0 1 0 0 0 0 1 0 0 0 0]\n[1 0 0 0 1 0 1 1 1 0 0 0 1 0 0 1 1 0 0 0 0 0 0 0 0 0 0 1 0 0 0 1 0 0 0 0 0 0 0 0\n    1 0 0 0 1 0 0 0 0 0 1 0 0 0]\n[1 1 1 0 1 0 0 0 0 0 1 0 1 1 0 0 0 0 1 0 0 0 0 1 0 0 0 0 0 0 0 0 0 0 0 0 1 0 0 0\n    1 0 0 0 1 0 0 0 0 0 0 1 0 0]\n[1 0 0 0 0 1 0 1 1 0 0 1 0 0 0 1 0 0 1 0 0 1 0 1 0 0 0 1 0 0 0 1 0 0 0 0 0 0 0 0\n    1 0 0 0 0 0 0 0 0 0 0 0 1 0]\n[1 1 0 0 0 1 0 0 0 0 1 0 0 1 0 1 0 0 1 0 0 0 0 0 0 0 0 1 0 0 0 0 0 0 0 0 1 0 0 0\n    1 0 0 0 0 0 0 0 0 0 0 0 0 1]\n[54, 31] Linear Code over GF(2)\nGenerator matrix:\n[1 0 0 0 0 0 0 0 0 0 0 0 0 0 0 0 0 0 0 0 0 0 0 0 0 0 0 0 0 0 0 0 0 0 1 1 0 0 0 1\n    0 0 0 0 0 0 1 0 1 1 1 0 0 1]\n[0 1 0 0 0 0 0 0 0 0 0 0 0 0 0 0 0 0 0 0 0 0 0 0 0 0 0 0 0 0 0 0 0 1 0 0 1 1 1 1\n    0 1 0 1 1 0 0 1 0 1 1 0 0 1]\n[0 0 1 0 0 0 0 0 0 0 0 0 0 0 0 0 0 0 0 0 0 0 0 0 0 0 0 0 0 0 0 0 1 0 0 1 1 1 1 1\n    1 1 0 1 0 1 1 0 0 1 0 1 0 1]\n[0 0 0 1 0 0 0 0 0 0 0 0 0 0 0 0 0 0 0 0 0 0 0 0 0 0 0 0 0 0 0 0 0 1 0 0 0 1 0 1\n    1 0 1 0 1 0 0 0 1 1 1 0 1 0]\n[0 0 0 0 1 0 0 0 0 0 0 0 0 0 0 0 0 0 0 0 0 0 0 0 0 0 0 0 0 0 0 1 1 1 1 1 1 1 0 1\n    0 0 1 1 1 0 0 1 1 1 0 0 1 0]\n[0 0 0 0 0 1 0 0 0 0 0 0 0 0 0 0 0 0 0 0 0 0 0 0 0 0 0 0 0 0 0 1 1 1 1 0 1 1 1 1\n    0 0 1 0 0 0 1 0 1 1 0 1 0 0]\n[0 0 0 0 0 0 1 0 0 0 0 0 0 0 0 0 0 0 0 0 0 0 0 0 0 0 0 0 0 0 0 1 0 1 0 0 1 1 0 0\n    1 0 1 0 0 0 1 0 0 1 0 0 1 0]\n[0 0 0 0 0 0 0 1 0 0 0 0 0 0 0 0 0 0 0 0 0 0 0 0 0 0 0 0 0 0 0 1 1 1 0 0 0 1 1 1\n    0 0 0 0 1 0 0 0 0 0 1 0 0 1]\n[0 0 0 0 0 0 0 0 1 0 0 0 0 0 0 0 0 0 0 0 0 0 0 0 0 0 0 0 0 0 0 0 0 1 1 0 1 1 0 0\n    0 1 1 0 0 0 1 1 1 1 1 1 1 0]\n[0 0 0 0 0 0 0 0 0 1 0 0 0 0 0 0 0 0 0 0 0 0 0 0 0 0 0 0 0 0 0 0 0 1 0 1 0 0 0 1\n    1 1 1 1 0 1 1 1 1 0 1 1 0 0]\n[0 0 0 0 0 0 0 0 0 0 1 0 0 0 0 0 0 0 0 0 0 0 0 0 0 0 0 0 0 0 0 1 0 0 1 0 1 1 0 1\n    1 0 1 0 0 1 1 1 1 0 0 0 0 0]\n[0 0 0 0 0 0 0 0 0 0 0 1 0 0 0 0 0 0 0 0 0 0 0 0 0 0 0 0 0 0 0 0 1 1 0 0 0 1 1 0\n    0 0 1 0 1 0 1 1 1 1 0 1 1 0]\n[0 0 0 0 0 0 0 0 0 0 0 0 1 0 0 0 0 0 0 0 0 0 0 0 0 0 0 0 0 0 0 0 0 1 0 1 0 0 1 1\n    0 0 1 0 1 1 1 0 1 1 1 0 1 1]\n[0 0 0 0 0 0 0 0 0 0 0 0 0 1 0 0 0 0 0 0 0 0 0 0 0 0 0 0 0 0 0 1 0 0 1 1 1 1 0 1\n    1 0 0 0 1 1 0 1 1 1 0 1 0 1]\n[0 0 0 0 0 0 0 0 0 0 0 0 0 0 1 0 0 0 0 0 0 0 0 0 0 0 0 0 0 0 0 1 1 1 0 1 1 1 0 0\n    0 0 1 1 0 0 1 1 1 0 0 1 0 1]\n[0 0 0 0 0 0 0 0 0 0 0 0 0 0 0 1 0 0 0 0 0 0 0 0 0 0 0 0 0 0 0 0 1 1 0 0 1 1 0 1\n    1 0 0 1 0 0 0 1 1 1 1 0 1 1]\n[0 0 0 0 0 0 0 0 0 0 0 0 0 0 0 0 1 0 0 0 0 0 0 0 0 0 0 0 0 0 0 1 0 1 1 1 1 0 1 1\n    1 1 0 1 1 0 1 1 0 0 0 1 1 0]\n[0 0 0 0 0 0 0 0 0 0 0 0 0 0 0 0 0 1 0 0 0 0 0 0 0 0 0 0 0 0 0 0 0 0 0 1 1 1 1 1\n    1 1 0 0 1 0 1 1 1 1 1 0 0 0]\n[0 0 0 0 0 0 0 0 0 0 0 0 0 0 0 0 0 0 1 0 0 0 0 0 0 0 0 0 0 0 0 0 1 0 0 0 1 0 1 0\n    0 1 0 1 1 1 0 0 0 1 1 0 1 1]\n[0 0 0 0 0 0 0 0 0 0 0 0 0 0 0 0 0 0 0 1 0 0 0 0 0 0 0 0 0 0 0 1 0 0 1 0 1 0 1 0\n    1 0 0 1 1 1 0 1 0 1 1 1 0 0]\n[0 0 0 0 0 0 0 0 0 0 0 0 0 0 0 0 0 0 0 0 1 0 0 0 0 0 0 0 0 0 0 0 0 1 1 1 1 0 0 1\n    0 0 0 0 1 1 0 1 1 0 1 1 0 0]\n[0 0 0 0 0 0 0 0 0 0 0 0 0 0 0 0 0 0 0 0 0 1 0 0 0 0 0 0 0 0 0 1 1 1 1 0 0 1 1 1\n    0 1 0 1 0 1 1 1 1 1 1 0 0 0]\n[0 0 0 0 0 0 0 0 0 0 0 0 0 0 0 0 0 0 0 0 0 0 1 0 0 0 0 0 0 0 0 0 0 1 1 0 0 1 1 1\n    1 0 0 0 0 1 0 0 0 0 1 0 1 1]\n[0 0 0 0 0 0 0 0 0 0 0 0 0 0 0 0 0 0 0 0 0 0 0 1 0 0 0 0 0 0 0 1 1 1 0 1 1 1 0 1\n    0 1 1 0 0 1 0 0 1 1 0 1 1 0]\n[0 0 0 0 0 0 0 0 0 0 0 0 0 0 0 0 0 0 0 0 0 0 0 0 1 0 0 0 0 0 0 0 0 1 0 0 0 0 1 1\n    1 1 1 0 0 0 0 1 0 0 1 0 0 1]\n[0 0 0 0 0 0 0 0 0 0 0 0 0 0 0 0 0 0 0 0 0 0 0 0 0 1 0 0 0 0 0 0 1 0 1 1 1 1 0 1\n    0 0 0 0 0 0 1 0 0 0 0 1 0 1]\n[0 0 0 0 0 0 0 0 0 0 0 0 0 0 0 0 0 0 0 0 0 0 0 0 0 0 1 0 0 0 0 0 1 0 1 0 1 1 0 0\n    1 0 1 1 1 1 1 1 0 1 1 0 1 1]\n[0 0 0 0 0 0 0 0 0 0 0 0 0 0 0 0 0 0 0 0 0 0 0 0 0 0 0 1 0 0 0 1 1 1 0 0 1 1 1 0\n    0 0 0 1 1 1 1 0 1 0 0 0 0 0]\n[0 0 0 0 0 0 0 0 0 0 0 0 0 0 0 0 0 0 0 0 0 0 0 0 0 0 0 0 1 0 0 0 1 0 0 1 0 0 1 0\n    1 1 0 1 1 1 1 1 1 0 1 0 0 0]\n[0 0 0 0 0 0 0 0 0 0 0 0 0 0 0 0 0 0 0 0 0 0 0 0 0 0 0 0 0 1 0 1 1 0 1 1 0 0 0 0\n    0 0 0 1 0 1 1 1 1 1 0 1 1 0]\n[0 0 0 0 0 0 0 0 0 0 0 0 0 0 0 0 0 0 0 0 0 0 0 0 0 0 0 0 0 0 1 1 0 1 1 0 1 0 1 0\n    0 1 0 1 1 1 1 0 1 1 0 1 1 0]\nLinear Code over GF(2) of length 54 with 31 generators.\nLower Bound: 1, Upper Bound: 24\nConstructed 2 distinct generator matrices\nRelative Ranks:  31  23 \nTime Taken: 0.00\nStarting search for low weight codewords... (reset timings)\nEnumerating using 1 generator at a time:\n     New codeword identified of weight 18, time 0.00\n     New codeword identified of weight 12, time 0.00\n     New codeword identified of weight 10, time 0.00\n   Completed Matrix  1:  lower =  2, upper = 10. Elapsed: 0.00s\n     New codeword identified of weight 9, time 0.00\n     Discarding non-contributing rank 23 matrix\n     New Relative Ranks:  31 \n   Completed Matrix  2:  lower =  2, upper =  9. Elapsed: 0.00s\nTermination predicted with 8 generators at matrix 1\nEnumerating using 2 generators at a time:\n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0.00s\nTermination predicted with 8 generators at matrix 1\nEnumerating using 5 generators at a time:\n   Completed Matrix  1:  lower =  6, upper =  9. Elapsed: 0.00s\nTermination predicted with 8 generators at matrix 1\nEnumerating using 6 generators at a time:\n   Completed Matrix  1:  lower =  7, upper =  9. Elapsed: 0.00s\nTermination predicted with 8 generators at matrix 1\nEnumerating using 7 generators at a time:\n   Completed Matrix  1:  lower =  8, upper =  9. Elapsed: 0.01s\nTermination predicted with 8 generators at matrix 1\nEnumerating using 8 generators at a time:\n   Completed Matrix  1:  lower =  9, upper =  9. Elapsed: 0.03s\nComputation complete 11460979 vectors enumerated in total\n (0.533693% of 54 31 code)\nFinal Results: lower = 9, upper = 9,\nTotal CPU time: 0.03, real time: 0.029\n9\n\nTotal time: 0.049 seconds, Total memory usage: 32.09MB\n</t>
  </si>
  <si>
    <t>[[55,23,13]]</t>
  </si>
  <si>
    <t>Magma V2.28-26    Tue Dec 30 2025 09:50:18 on Marks-MacBook-Air-2 [Seed = \n822868139]\nType ? for help.  Type &lt;Ctrl&gt;-D to quit.\n[1 1 0 0 1 1 0 1 1 1 1 1 1 1 1 1 0 0 1 0 1 1 1 1 0 0 1 1 0 1 1 1 1 0 0 0 0 0 0 0\n    0 0 0 0 0 0 0 0 0 0 0 0 0 0 0]\n[1 1 1 1 1 1 0 0 1 0 1 1 1 0 0 0 0 1 1 0 0 0 1 0 1 0 0 0 0 1 0 1 0 1 0 0 0 0 0 0\n    0 0 0 0 0 0 0 0 0 0 0 0 0 0 0]\n[1 1 1 1 1 0 0 0 0 0 1 0 0 0 1 1 0 1 0 0 0 1 1 1 0 1 1 1 0 0 1 0 0 0 1 0 0 0 0 0\n    0 0 0 0 0 0 0 0 0 0 0 0 0 0 0]\n[0 1 1 0 0 0 0 0 0 0 1 0 1 0 0 1 0 0 1 0 0 0 1 0 1 1 0 1 0 1 1 1 0 0 0 1 0 0 0 0\n    0 0 0 0 0 0 0 0 0 0 0 0 0 0 0]\n[1 0 0 1 0 0 1 0 0 1 0 0 0 0 1 0 0 1 1 0 0 1 1 0 1 0 0 1 1 0 0 1 0 0 0 0 1 0 0 0\n    0 0 0 0 0 0 0 0 0 0 0 0 0 0 0]\n[1 1 1 0 1 0 1 1 0 1 1 1 0 1 1 1 1 1 0 0 0 1 1 0 1 1 1 1 1 1 1 0 0 0 0 0 0 1 0 0\n    0 0 0 0 0 0 0 0 0 0 0 0 0 0 0]\n[0 0 1 1 0 1 0 1 0 0 1 0 1 0 0 0 0 1 1 1 1 1 1 1 0 1 0 0 1 0 0 1 0 0 0 0 0 0 1 0\n    0 0 0 0 0 0 0 0 0 0 0 0 0 0 0]\n[1 0 0 1 1 1 0 0 1 1 1 0 1 0 1 1 0 1 0 0 1 0 1 1 1 1 0 1 0 1 0 0 0 0 0 0 0 0 0 1\n    0 0 0 0 0 0 0 0 0 0 0 0 0 0 0]\n[0 1 1 0 1 0 1 0 0 1 0 1 1 1 0 0 0 0 1 0 0 1 1 0 0 1 1 0 1 0 0 0 0 0 0 0 0 0 0 0\n    1 0 0 0 0 0 0 0 0 0 0 0 0 0 0]\n[0 1 0 0 0 1 1 0 1 0 0 1 1 1 1 1 0 1 0 0 1 0 1 0 1 1 0 1 1 1 1 1 0 0 0 0 0 0 0 0\n    0 1 0 0 0 0 0 0 0 0 0 0 0 0 0]\n[1 0 0 0 0 0 0 1 0 0 0 1 1 0 0 1 0 1 0 1 0 0 0 0 1 1 0 1 1 1 0 1 0 0 0 0 0 0 0 0\n    0 0 1 0 0 0 0 0 0 0 0 0 0 0 0]\n[1 1 1 0 0 0 1 0 1 1 1 1 1 0 1 0 0 1 0 1 1 1 1 1 1 1 0 1 1 1 0 0 0 0 0 0 0 0 0 0\n    0 0 0 1 0 0 0 0 0 0 0 0 0 0 0]\n[0 0 0 1 1 1 1 0 1 1 0 1 0 1 0 0 1 1 1 1 0 1 0 1 0 1 1 0 1 0 1 1 0 0 0 0 0 0 0 0\n    0 0 0 0 1 0 0 0 0 0 0 0 0 0 0]\n[0 1 1 0 1 0 0 0 1 1 0 0 0 0 0 0 0 1 0 1 0 0 1 0 0 1 1 0 1 0 1 1 0 0 0 0 0 0 0 0\n    0 0 0 0 0 1 0 0 0 0 0 0 0 0 0]\n[1 1 0 0 0 0 0 1 1 0 0 0 1 1 1 0 0 0 0 0 0 1 1 0 1 0 1 0 1 1 1 0 0 0 0 0 0 0 0 0\n    0 0 0 0 0 0 1 0 0 0 0 0 0 0 0]\n[0 0 0 1 0 0 1 1 0 1 0 1 0 1 1 0 0 1 0 1 1 0 1 0 1 1 1 1 1 1 0 0 0 0 0 0 0 0 0 0\n    0 0 0 0 0 0 0 1 0 0 0 0 0 0 0]\n[0 1 0 1 1 1 1 0 0 0 1 1 0 0 1 1 1 1 1 1 0 1 0 1 0 1 0 1 0 1 1 1 0 0 0 0 0 0 0 0\n    0 0 0 0 0 0 0 0 1 0 0 0 0 0 0]\n[0 1 0 0 0 1 1 1 0 1 1 0 1 1 1 0 0 1 0 0 1 0 0 0 1 0 1 0 1 1 0 1 0 0 0 0 0 0 0 0\n    0 0 0 0 0 0 0 0 0 1 0 0 0 0 0]\n[1 0 0 1 1 1 0 1 1 1 1 1 1 0 0 1 0 1 0 1 0 0 1 0 1 0 0 0 1 0 1 0 0 0 0 0 0 0 0 0\n    0 0 0 0 0 0 0 0 0 0 1 0 0 0 0]\n[0 1 0 0 1 1 1 0 1 1 0 1 1 1 0 0 1 0 1 0 1 0 1 1 0 1 0 0 0 1 0 1 0 0 0 0 0 0 0 0\n    0 0 0 0 0 0 0 0 0 0 0 1 0 0 0]\n[1 1 0 1 0 1 1 1 0 0 1 1 1 1 1 0 0 0 1 0 1 0 0 0 1 1 0 1 1 0 0 0 0 0 0 0 0 0 0 0\n    0 0 0 0 0 0 0 0 0 0 0 0 1 0 0]\n[0 0 0 0 0 1 0 0 0 0 0 1 0 1 1 0 1 1 0 0 1 1 0 0 1 1 1 0 1 0 0 1 0 0 0 0 0 0 0 0\n    0 0 0 0 0 0 0 0 0 0 0 0 0 1 0]\n[1 1 0 0 0 1 0 1 1 0 0 1 1 1 0 0 1 0 1 1 0 0 1 1 0 0 1 0 1 0 1 1 0 0 0 0 0 0 0 0\n    0 0 0 0 0 0 0 0 0 0 0 0 0 0 1]\n[55, 23] Linear Code over GF(2)\nGenerator matrix:\n[1 0 0 0 0 0 0 0 0 0 0 0 0 0 0 0 0 0 0 0 1 0 0 0 0 1 1 0 0 0 1 0 0 1 0 1 1 0 0 0\n    1 1 0 1 1 0 0 0 1 0 1 1 1 1 0]\n[0 1 0 0 0 0 0 0 0 0 0 0 0 0 0 0 0 0 0 0 1 0 0 0 1 0 0 0 1 0 1 0 1 1 0 0 1 0 1 1\n    1 1 1 1 0 0 1 1 0 0 0 0 1 0 0]\n[0 0 1 0 0 0 0 0 0 0 0 0 0 0 0 0 0 0 0 0 0 0 0 0 1 0 1 1 0 0 0 0 0 0 1 0 0 0 1 1\n    1 0 0 1 1 1 1 0 0 0 0 1 0 0 0]\n[0 0 0 1 0 0 0 0 0 0 0 0 0 0 0 0 0 0 0 0 0 0 0 0 0 1 0 1 0 1 0 0 0 1 1 0 1 1 1 1\n    0 1 0 0 0 0 0 0 0 1 0 0 0 0 1]\n[0 0 0 0 1 0 0 0 0 0 0 0 0 0 0 0 0 0 0 0 0 0 0 0 0 0 0 0 0 1 1 0 1 1 0 0 1 1 1 0\n    1 0 0 0 0 0 0 0 0 1 0 1 1 1 1]\n[0 0 0 0 0 1 0 0 0 0 0 0 0 0 0 0 0 0 0 0 1 0 0 0 0 0 1 1 1 0 1 1 0 1 0 0 1 0 1 1\n    0 0 1 1 1 1 1 1 0 0 0 0 0 1 0]\n[0 0 0 0 0 0 1 0 0 0 0 0 0 0 0 0 0 0 0 0 0 0 0 0 1 1 0 1 1 0 0 0 1 0 0 1 1 1 1 1\n    1 1 1 0 1 0 0 0 0 1 0 1 0 0 1]\n[0 0 0 0 0 0 0 1 0 0 0 0 0 0 0 0 0 0 0 0 0 0 0 0 0 1 0 0 1 0 0 1 0 1 1 0 0 1 0 1\n    0 1 0 0 1 1 0 1 0 1 0 0 1 1 1]\n[0 0 0 0 0 0 0 0 1 0 0 0 0 0 0 0 0 0 0 0 1 0 0 0 0 1 1 1 0 0 1 1 0 0 1 1 1 0 1 0\n    0 0 0 1 1 0 1 0 1 0 1 0 0 1 1]\n[0 0 0 0 0 0 0 0 0 1 0 0 0 0 0 0 0 0 0 0 1 0 0 0 1 0 0 0 1 1 1 0 0 1 0 0 1 1 1 0\n    0 1 1 1 1 0 0 0 0 0 1 0 1 1 1]\n[0 0 0 0 0 0 0 0 0 0 1 0 0 0 0 0 0 0 0 0 1 0 0 0 0 1 0 1 0 0 1 1 1 0 1 1 1 0 0 1\n    0 1 0 1 1 1 0 0 1 0 0 0 1 0 0]\n[0 0 0 0 0 0 0 0 0 0 0 1 0 0 0 0 0 0 0 0 1 0 0 0 1 0 1 0 1 0 1 1 1 0 0 1 0 1 0 0\n    1 0 1 1 1 0 0 0 0 1 0 0 1 1 1]\n[0 0 0 0 0 0 0 0 0 0 0 0 1 0 0 0 0 0 0 0 1 0 0 0 1 1 0 0 1 0 0 1 1 1 0 0 0 1 1 1\n    0 0 0 0 1 1 0 1 0 0 1 1 0 0 1]\n[0 0 0 0 0 0 0 0 0 0 0 0 0 1 0 0 0 0 0 0 1 0 0 0 0 0 1 0 1 0 1 0 0 0 0 0 1 0 0 0\n    0 0 1 0 0 0 1 1 0 0 1 1 1 0 1]\n[0 0 0 0 0 0 0 0 0 0 0 0 0 0 1 0 0 0 0 0 1 0 0 0 1 0 0 1 1 1 0 0 0 0 0 1 0 1 0 1\n    1 0 0 0 1 1 0 0 1 1 0 0 1 0 1]\n[0 0 0 0 0 0 0 0 0 0 0 0 0 0 0 1 0 0 0 0 0 0 0 0 1 0 1 0 1 1 1 0 0 0 0 1 1 0 1 1\n    0 1 1 0 1 0 1 0 0 1 1 1 1 0 0]\n[0 0 0 0 0 0 0 0 0 0 0 0 0 0 0 0 1 0 0 0 1 0 0 0 0 1 1 1 0 0 1 1 1 0 1 0 0 1 0 0\n    1 1 1 1 1 0 1 0 0 0 1 0 1 1 0]\n[0 0 0 0 0 0 0 0 0 0 0 0 0 0 0 0 0 1 0 0 0 0 0 0 0 0 1 0 1 1 1 1 0 1 0 1 0 1 1 1\n    1 1 1 0 1 1 1 1 0 0 1 1 0 1 0]\n[0 0 0 0 0 0 0 0 0 0 0 0 0 0 0 0 0 0 1 0 1 0 0 0 0 1 0 0 1 0 0 1 1 0 1 1 1 0 1 0\n    1 0 1 1 0 1 1 1 1 1 1 0 0 0 1]\n[0 0 0 0 0 0 0 0 0 0 0 0 0 0 0 0 0 0 0 1 1 0 0 0 0 0 0 1 0 1 0 1 0 0 1 0 0 0 1 0\n    1 0 0 0 0 1 0 1 1 1 0 0 0 0 1]\n[0 0 0 0 0 0 0 0 0 0 0 0 0 0 0 0 0 0 0 0 0 1 0 0 1 0 0 1 0 0 1 1 0 0 1 1 0 0 0 1\n    0 0 1 1 1 1 0 1 1 0 1 0 0 1 1]\n[0 0 0 0 0 0 0 0 0 0 0 0 0 0 0 0 0 0 0 0 0 0 1 0 1 0 0 1 0 0 0 0 0 0 1 0 0 1 1 1\n    1 1 1 0 0 0 0 1 0 0 1 1 1 0 0]\n[0 0 0 0 0 0 0 0 0 0 0 0 0 0 0 0 0 0 0 0 0 0 0 1 0 0 1 1 0 1 0 1 1 1 0 0 0 1 1 1\n    1 1 1 1 1 1 0 0 0 0 1 0 1 0 0]\nLinear Code over GF(2) of length 55 with 23 generators.\nLower Bound: 1, Upper Bound: 33\nConstructed 3 distinct generator matrices\nRelative Ranks:  23  23   9 \nTime Taken: 0.00\nStarting search for low weight codewords... (reset timings)\nEnumerating using 1 generator at a time:\n     New codeword identified of weight 17, time 0.00\n     New codeword identified of weight 13, time 0.00\n     Discarding non-contributing rank 9 matrix\n     New Relative Ranks:  23  23 \n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190049 vectors enumerated in total\n (2.265561% of 55 23 code)\nFinal Results: lower = 13, upper = 13,\nTotal CPU time: 0.00, real time: 0.002\n13\n\nTotal time: 0.010 seconds, Total memory usage: 32.09MB\n</t>
  </si>
  <si>
    <t>[[56,17,17]]</t>
  </si>
  <si>
    <t>Magma V2.28-26    Tue Dec 30 2025 09:50:18 on Marks-MacBook-Air-2 [Seed = \n923664045]\nType ? for help.  Type &lt;Ctrl&gt;-D to quit.\n[0 0 0 0 0 1 1 0 0 0 0 1 1 1 1 1 1 1 1 0 0 0 0 1 1 1 1 1 1 1 1 0 0 0 0 1 1 0 0 1\n    0 0 0 0 0 0 0 0 0 0 0 0 0 0 0 0]\n[0 0 1 0 0 0 1 0 1 1 0 1 1 0 1 0 0 0 0 1 1 0 0 1 1 1 1 1 1 0 1 1 1 1 1 0 1 0 0 0\n    1 0 0 0 0 0 0 0 0 0 0 0 0 0 0 0]\n[0 0 0 1 0 0 0 1 1 1 0 1 1 1 0 0 1 0 1 0 0 0 0 0 1 0 0 1 1 0 0 0 1 1 1 1 1 0 0 0\n    0 1 0 0 0 0 0 0 0 0 0 0 0 0 0 0]\n[0 0 0 0 1 1 0 1 1 1 1 1 1 0 1 1 1 1 1 0 0 1 1 0 0 1 0 0 1 0 1 0 1 1 0 1 0 0 0 0\n    0 0 1 0 0 0 0 0 0 0 0 0 0 0 0 0]\n[0 1 1 0 1 0 1 0 1 0 0 1 1 1 0 1 1 0 1 0 1 0 1 1 0 1 1 1 1 0 0 1 0 1 1 1 0 0 0 0\n    0 0 0 1 0 0 0 0 0 0 0 0 0 0 0 0]\n[0 1 1 1 0 1 1 0 1 1 0 0 1 1 0 0 0 1 1 1 1 0 0 1 0 1 0 0 1 0 0 0 0 0 0 1 1 0 0 0\n    0 0 0 0 1 0 0 0 0 0 0 0 0 0 0 0]\n[1 0 1 0 1 1 1 0 0 1 1 1 0 1 1 0 1 1 1 1 1 0 0 0 0 1 0 1 1 1 0 0 1 0 1 0 0 0 0 0\n    0 0 0 0 0 1 0 0 0 0 0 0 0 0 0 0]\n[1 0 0 0 1 0 0 1 1 0 1 0 0 0 1 0 1 0 0 1 1 1 0 0 1 0 0 1 1 1 1 0 1 0 0 1 0 0 0 0\n    0 0 0 0 0 0 1 0 0 0 0 0 0 0 0 0]\n[0 1 0 1 1 1 1 0 1 1 0 0 0 1 0 0 1 0 1 0 1 0 0 0 0 1 1 1 0 1 1 1 1 1 0 0 1 0 0 0\n    0 0 0 0 0 0 0 1 0 0 0 0 0 0 0 0]\n[1 0 1 1 0 1 0 1 0 1 1 0 0 0 0 1 1 1 1 0 1 0 0 0 0 0 0 1 0 0 1 0 0 0 0 1 1 0 0 0\n    0 0 0 0 0 0 0 0 1 0 0 0 0 0 0 0]\n[1 0 1 1 0 0 1 0 0 1 0 1 0 1 1 1 0 1 0 1 1 0 1 0 1 0 0 0 0 0 0 1 0 0 1 1 1 0 0 0\n    0 0 0 0 0 0 0 0 0 1 0 0 0 0 0 0]\n[0 1 0 1 1 0 1 1 0 1 1 1 1 0 0 1 0 1 1 1 0 1 1 0 1 0 0 0 0 0 0 0 1 0 1 0 0 0 0 0\n    0 0 0 0 0 0 0 0 0 0 1 0 0 0 0 0]\n[1 1 1 0 1 1 0 1 0 1 0 1 0 1 0 1 1 0 1 1 1 1 0 1 1 0 1 1 1 1 0 0 1 1 0 1 1 0 0 0\n    0 0 0 0 0 0 0 0 0 0 0 1 0 0 0 0]\n[1 0 0 0 1 0 0 0 1 1 1 1 1 1 0 0 0 1 0 0 1 1 1 0 0 0 1 1 0 0 0 0 0 0 1 1 0 0 0 0\n    0 0 0 0 0 0 0 0 0 0 0 0 1 0 0 0]\n[0 1 1 1 0 0 0 0 1 0 1 1 1 0 0 0 1 1 0 0 1 0 1 0 0 1 1 0 1 1 0 1 1 0 0 0 0 0 0 0\n    0 0 0 0 0 0 0 0 0 0 0 0 0 1 0 0]\n[1 1 1 0 1 0 1 1 0 0 0 0 0 0 1 0 1 0 1 0 0 0 1 0 0 1 0 1 1 1 1 0 0 1 0 1 1 0 0 0\n    0 0 0 0 0 0 0 0 0 0 0 0 0 0 1 0]\n[0 0 1 0 0 0 0 1 1 1 1 0 0 0 1 0 1 0 1 0 1 0 1 1 1 0 0 1 0 0 0 0 1 0 1 0 0 1 1 0\n    0 0 0 0 0 0 0 0 0 0 0 0 0 0 0 1]\n[56, 17] Linear Code over GF(2)\nGenerator matrix:\n[1 0 0 0 0 0 0 0 0 0 0 0 0 0 0 0 0 0 0 1 1 0 0 0 0 0 1 0 1 1 0 1 0 1 1 1 1 1 1 1\n    0 0 0 0 1 0 1 1 0 0 0 1 0 0 1 1]\n[0 1 0 0 0 0 0 0 0 0 0 0 0 0 0 0 1 0 0 1 1 1 1 1 0 0 0 1 1 1 1 1 1 1 1 1 1 0 0 1\n    1 1 0 0 1 0 1 1 1 1 1 0 1 0 0 0]\n[0 0 1 0 0 0 0 0 0 0 0 0 0 0 0 0 1 0 1 1 1 0 0 1 0 0 1 1 0 0 1 0 1 1 1 1 1 1 1 1\n    0 0 0 1 0 1 1 1 1 1 0 0 1 1 1 1]\n[0 0 0 1 0 0 0 0 0 0 0 0 0 0 0 0 1 0 0 1 0 0 1 0 0 1 1 0 0 1 1 0 1 1 0 0 0 1 1 0\n    0 1 1 1 0 1 0 0 0 1 1 0 0 0 0 1]\n[0 0 0 0 1 0 0 0 0 0 0 0 0 0 0 0 1 0 1 1 0 0 0 0 0 1 0 0 0 0 1 1 1 0 1 1 0 0 0 1\n    1 1 0 0 1 0 0 1 0 0 0 1 1 1 0 0]\n[0 0 0 0 0 1 0 0 0 0 0 0 0 0 0 0 0 0 1 1 1 1 0 0 1 0 1 1 1 0 0 1 0 1 0 0 0 0 0 0\n    0 0 1 1 0 0 1 1 0 1 0 1 0 0 1 0]\n[0 0 0 0 0 0 1 0 0 0 0 0 0 0 0 0 0 0 0 0 1 0 1 1 1 1 1 1 1 0 0 1 0 0 1 0 1 1 1 1\n    1 1 0 0 0 0 0 1 0 0 1 0 1 1 1 1]\n[0 0 0 0 0 0 0 1 0 0 0 0 0 0 0 0 0 0 1 1 0 1 1 1 0 1 1 0 0 0 1 0 0 0 0 0 1 0 0 0\n    0 1 0 1 1 1 0 1 0 1 1 1 1 1 0 0]\n[0 0 0 0 0 0 0 0 1 0 0 0 0 0 0 0 1 0 1 1 1 0 1 0 0 1 1 1 0 1 0 1 1 0 0 1 0 1 1 1\n    1 1 1 0 1 1 1 1 1 0 1 0 1 1 0 1]\n[0 0 0 0 0 0 0 0 0 1 0 0 0 0 0 0 0 0 1 0 0 1 1 0 0 1 0 1 0 0 1 0 0 0 0 0 0 1 1 1\n    1 1 0 1 0 1 1 1 1 1 0 0 0 0 0 1]\n[0 0 0 0 0 0 0 0 0 0 1 0 0 0 0 0 1 0 1 0 1 0 0 1 0 1 1 0 0 0 0 1 0 1 1 1 0 1 1 0\n    1 1 1 1 0 0 0 0 1 0 1 0 0 1 1 1]\n[0 0 0 0 0 0 0 0 0 0 0 1 0 0 0 0 1 0 1 1 0 1 0 1 0 1 1 1 1 1 0 0 0 0 1 1 1 1 1 1\n    0 1 1 0 0 0 0 0 1 0 0 1 1 0 1 1]\n[0 0 0 0 0 0 0 0 0 0 0 0 1 0 0 0 1 0 0 1 0 0 1 0 1 1 1 0 1 1 0 1 0 0 1 0 0 0 0 0\n    1 0 0 0 1 1 0 0 0 1 1 0 1 1 1 0]\n[0 0 0 0 0 0 0 0 0 0 0 0 0 1 0 0 1 0 1 1 1 1 1 0 0 0 1 0 1 0 1 0 1 0 1 1 1 0 0 1\n    1 0 1 1 1 1 0 1 1 0 0 0 0 1 0 0]\n[0 0 0 0 0 0 0 0 0 0 0 0 0 0 1 0 0 0 0 1 0 0 0 0 1 0 0 0 0 1 1 0 1 0 1 1 0 1 1 1\n    1 0 0 0 0 0 1 0 0 1 1 1 1 0 0 1]\n[0 0 0 0 0 0 0 0 0 0 0 0 0 0 0 1 0 0 0 1 0 1 0 1 0 0 1 0 0 0 0 0 1 1 0 1 1 0 0 1\n    0 1 1 1 1 0 1 0 1 1 0 0 1 0 0 0]\n[0 0 0 0 0 0 0 0 0 0 0 0 0 0 0 0 0 1 0 0 1 0 1 0 1 0 1 0 0 0 1 1 1 0 1 1 1 1 1 0\n    0 1 0 1 1 0 1 1 1 0 1 1 1 1 0 1]\nLinear Code over GF(2) of length 56 with 17 generators.\nLower Bound: 1, Upper Bound: 40\nConstructed 4 distinct generator matrices\nRelative Ranks:  17  17  17   5 \nTime Taken: 0.00\nStarting search for low weight codewords... (reset timings)\nEnumerating using 1 generator at a time:\n     New codeword identified of weight 19, time 0.00\n     New codeword identified of weight 18, time 0.00\n     Discarding non-contributing rank 5 matrix\n     New Relative Ranks:  17  17  17 \n   Completed Matrix  1:  lower =  4, upper = 18. Elapsed: 0.00s\n     New codeword identified of weight 17, time 0.00\n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22015 vectors enumerated in total\n (16.796112% of 56 17 code)\nFinal Results: lower = 17, upper = 17,\nTotal CPU time: 0.00, real time: 0.001\n17\n\nTotal time: 0.010 seconds, Total memory usage: 32.09MB\n</t>
  </si>
  <si>
    <t>[[57,18,17]]</t>
  </si>
  <si>
    <t>Magma V2.28-26    Tue Dec 30 2025 09:50:18 on Marks-MacBook-Air-2 [Seed = \n1023931559]\nType ? for help.  Type &lt;Ctrl&gt;-D to quit.\n[1 0 0 0 1 0 1 1 0 1 1 1 0 1 0 0 1 0 1 1 1 0 0 1 0 0 0 1 0 0 0 0 0 1 0 1 1 1 1 0\n    0 0 0 0 0 0 0 0 0 0 0 0 0 0 0 0 0]\n[1 1 0 0 1 1 1 0 1 1 0 0 1 1 1 0 1 1 0 0 0 1 0 1 1 0 0 1 1 0 0 0 0 1 1 1 1 0 0 1\n    0 0 0 0 0 0 0 0 0 0 0 0 0 0 0 0 0]\n[1 1 1 0 0 1 1 1 0 1 1 0 0 1 1 1 0 1 1 0 0 0 1 0 1 1 0 0 1 1 0 0 0 0 1 1 0 1 0 0\n    1 0 0 0 0 0 0 0 0 0 0 0 0 0 0 0 0]\n[0 1 1 1 1 0 0 0 1 1 0 0 0 1 1 1 0 0 0 0 1 0 0 0 0 1 1 1 0 1 1 0 0 1 0 0 1 1 0 0\n    0 1 0 0 0 0 0 0 0 0 0 0 0 0 0 0 0]\n[1 0 1 1 0 1 1 1 0 0 0 1 0 1 1 1 0 0 1 1 1 1 0 1 0 0 1 0 1 0 1 1 0 1 1 1 1 0 0 0\n    0 0 1 0 0 0 0 0 0 0 0 0 0 0 0 0 0]\n[0 1 0 1 1 0 1 1 1 0 0 0 1 0 1 1 1 0 1 1 1 1 1 0 1 0 0 1 0 1 0 1 1 0 1 1 0 1 0 0\n    0 0 0 1 0 0 0 0 0 0 0 0 0 0 0 0 0]\n[1 0 1 0 0 1 1 0 1 0 1 1 0 0 0 1 0 1 0 0 0 1 1 0 0 1 0 1 1 0 1 0 1 0 0 0 1 1 0 0\n    0 0 0 0 1 0 0 0 0 0 0 0 0 0 0 0 0]\n[0 1 0 1 1 0 0 0 0 0 1 0 1 1 0 0 0 0 1 1 1 0 1 0 0 0 1 1 1 1 0 1 0 0 0 1 1 0 0 0\n    0 0 0 0 0 1 0 0 0 0 0 0 0 0 0 0 0]\n[0 0 1 0 1 1 0 0 0 0 0 1 0 1 1 0 0 0 1 1 1 1 0 1 0 0 0 1 1 1 1 0 1 0 0 0 0 1 0 0\n    0 0 0 0 0 0 1 0 0 0 0 0 0 0 0 0 0]\n[1 0 0 1 1 1 0 1 0 1 1 1 1 1 1 1 1 0 1 0 0 1 1 1 1 0 0 1 1 1 1 1 0 0 0 1 1 1 0 0\n    0 0 0 0 0 0 0 1 0 0 0 0 0 0 0 0 0]\n[1 1 0 0 0 1 0 1 1 1 0 0 1 0 1 1 0 1 0 0 1 0 1 0 1 1 0 1 1 1 1 1 1 1 0 1 1 0 0 0\n    0 0 0 0 0 0 0 0 1 0 0 0 0 0 0 0 0]\n[1 1 1 0 0 0 1 0 1 1 1 0 0 1 0 1 1 0 1 0 0 1 0 1 0 1 1 0 1 1 1 1 1 1 1 0 0 1 0 0\n    0 0 0 0 0 0 0 0 0 1 0 0 0 0 0 0 0]\n[1 1 1 1 1 0 1 0 0 0 0 0 0 1 1 0 0 1 1 0 1 0 1 1 1 0 1 0 0 1 1 1 1 0 1 0 1 1 0 0\n    0 0 0 0 0 0 0 0 0 0 1 0 0 0 0 0 0]\n[0 1 1 1 0 1 1 0 0 1 1 1 0 1 1 1 1 0 1 0 1 1 0 0 1 1 0 0 0 0 1 1 1 0 0 0 1 0 0 0\n    0 0 0 0 0 0 0 0 0 0 0 1 0 0 0 0 0]\n[0 0 1 1 1 0 1 1 0 0 1 1 1 0 1 1 1 1 0 1 0 1 1 0 0 1 1 0 0 0 0 1 1 1 0 0 0 1 0 0\n    0 0 0 0 0 0 0 0 0 0 0 0 1 0 0 0 0]\n[0 0 0 1 0 1 1 0 1 1 1 0 1 0 0 1 0 1 1 1 0 0 1 0 0 0 1 0 0 0 0 0 1 0 1 1 1 1 0 0\n    0 0 0 0 0 0 0 0 0 0 0 0 0 1 0 0 0]\n[1 1 1 1 1 1 1 1 1 1 1 1 1 1 1 1 1 1 0 0 0 0 0 0 0 0 0 0 0 0 0 0 0 0 0 0 0 0 0 0\n    0 0 0 0 0 0 0 0 0 0 0 0 0 0 1 1 0]\n[0 0 0 0 0 0 0 0 0 0 0 0 0 0 0 0 0 0 1 1 1 1 1 1 1 1 1 1 1 1 1 1 1 1 1 1 0 0 0 0\n    0 0 0 0 0 0 0 0 0 0 0 0 0 0 1 0 1]\n[57, 18] Linear Code over GF(2)\nGenerator matrix:\n[1 0 0 0 0 0 0 0 0 0 0 0 0 0 0 0 1 1 0 1 0 1 0 0 0 0 0 1 0 1 0 0 1 1 0 1 0 0 0 0\n    1 0 1 1 1 1 0 1 1 0 0 0 1 1 0 0 0]\n[0 1 0 0 0 0 0 0 0 0 0 0 0 0 0 0 1 0 0 0 0 0 0 1 1 1 1 0 0 0 0 1 0 1 0 0 0 1 1 1\n    0 0 0 1 1 1 0 0 1 0 1 1 0 1 1 1 0]\n[0 0 1 0 0 0 0 0 0 0 0 0 0 0 0 0 0 1 0 0 0 0 0 0 1 1 1 1 0 0 0 0 1 0 1 0 0 1 0 0\n    0 1 1 1 0 0 0 1 1 0 1 0 0 1 1 0 1]\n[0 0 0 1 0 0 0 0 0 0 0 0 0 0 0 0 1 1 0 1 0 1 0 0 0 1 1 0 1 1 0 0 1 0 0 0 0 1 0 1\n    0 1 1 1 1 0 1 0 1 0 1 0 0 0 1 1 0]\n[0 0 0 0 1 0 0 0 0 0 0 0 0 0 0 0 1 0 0 1 1 1 1 0 0 0 1 0 0 0 1 0 1 0 0 1 0 0 1 0\n    0 0 0 0 0 0 0 0 1 1 0 1 1 1 1 1 0]\n[0 0 0 0 0 1 0 0 0 0 0 0 0 0 0 0 0 1 0 1 0 0 0 0 1 1 1 0 1 1 1 0 1 0 1 1 0 1 1 0\n    1 1 1 1 1 1 1 1 1 0 0 1 0 0 0 0 0]\n[0 0 0 0 0 0 1 0 0 0 0 0 0 0 0 0 1 1 0 0 0 0 1 1 1 0 0 1 1 1 0 0 0 1 1 1 0 0 1 1\n    1 1 0 0 0 0 1 0 0 1 0 0 0 1 1 0 1]\n[0 0 0 0 0 0 0 1 0 0 0 0 0 0 0 0 1 0 0 0 1 0 1 0 0 0 1 0 0 1 0 1 0 0 0 1 0 1 1 0\n    1 0 1 0 0 0 1 1 0 1 0 1 0 0 0 1 1]\n[0 0 0 0 0 0 0 0 1 0 0 0 0 0 0 0 0 1 0 1 1 0 1 0 1 1 1 0 1 1 0 1 0 1 1 1 0 0 1 1\n    0 1 0 1 0 0 0 1 1 0 1 0 1 0 1 1 0]\n[0 0 0 0 0 0 0 0 0 1 0 0 0 0 0 0 1 1 0 0 0 1 1 0 1 0 0 1 1 1 0 1 1 0 0 1 0 0 0 1\n    0 0 0 1 0 1 0 1 0 1 0 1 1 0 0 1 1]\n[0 0 0 0 0 0 0 0 0 0 1 0 0 0 0 0 1 0 0 0 1 0 0 0 1 0 1 0 0 1 0 1 1 1 1 0 0 0 0 0\n    0 0 1 1 0 1 1 1 0 0 1 0 0 0 1 1 0]\n[0 0 0 0 0 0 0 0 0 0 0 1 0 0 0 0 0 1 0 0 0 1 0 0 0 1 0 1 0 0 1 0 1 1 1 1 0 0 0 0\n    0 0 0 1 1 0 1 1 1 0 0 1 0 0 1 1 0]\n[0 0 0 0 0 0 0 0 0 0 0 0 1 0 0 0 1 1 0 0 1 0 0 1 1 1 0 0 0 0 1 0 0 1 0 1 0 0 0 0\n    1 0 1 1 0 0 0 0 0 1 0 0 0 1 0 1 1]\n[0 0 0 0 0 0 0 0 0 0 0 0 0 1 0 0 1 0 0 0 1 1 1 1 0 0 0 0 1 0 1 0 0 0 0 0 0 1 1 1\n    0 0 0 1 1 0 1 0 0 1 0 1 0 0 1 0 1]\n[0 0 0 0 0 0 0 0 0 0 0 0 0 0 1 0 0 1 0 0 0 1 1 1 1 0 0 0 0 1 0 1 0 0 0 0 0 0 1 1\n    1 0 0 0 1 1 0 1 0 0 1 0 1 0 1 0 1]\n[0 0 0 0 0 0 0 0 0 0 0 0 0 0 0 1 1 1 0 1 0 1 1 1 1 1 0 1 0 1 1 0 0 1 0 1 0 0 0 1\n    0 1 1 1 1 0 1 1 0 0 0 1 1 0 1 0 1]\n[0 0 0 0 0 0 0 0 0 0 0 0 0 0 0 0 0 0 1 1 1 1 1 1 1 1 1 1 1 1 1 1 1 1 1 1 0 0 0 0\n    0 0 0 0 0 0 0 0 0 0 0 0 0 0 1 0 1]\n[0 0 0 0 0 0 0 0 0 0 0 0 0 0 0 0 0 0 0 0 0 0 0 0 0 0 0 0 0 0 0 0 0 0 0 0 1 1 1 1\n    1 1 1 1 1 1 1 1 1 1 1 1 1 1 0 1 1]\nLinear Code over GF(2) of length 57 with 18 generators.\nLower Bound: 1, Upper Bound: 40\nConstructed 4 distinct generator matrices\nRelative Ranks:  18  18  18   3 \n     Discarding non-contributing rank 3 matrix\n     New Relative Ranks:  18  18  18 \nTime Taken: 0.00\nStarting search for low weight codewords... (reset timings)\nEnumerating using 1 generator at a time:\n     New codeword identified of weight 19, time 0.00\n     New codeword identified of weight 18, time 0.00\n     New codeword identified of weight 17, time 0.00\n   Completed Matrix  1:  lower =  4, upper = 17. Elapsed: 0.00s\n   Completed Matrix  2:  lower =  5, upper = 17. Elapsed: 0.00s\n   Completed Matrix  3:  lower =  6, upper = 17. Elapsed: 0.00s\nTermination predicted with 5 generators at matrix 2\nEnumerating using 2 generators at a time:\n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29277 vectors enumerated in total\n (11.168289% of 57 18 code)\nFinal Results: lower = 17, upper = 17,\nTotal CPU time: 0.00, real time: 0.001\n17\n\nTotal time: 0.010 seconds, Total memory usage: 32.09MB\n</t>
  </si>
  <si>
    <t>[[58,3,32]]</t>
  </si>
  <si>
    <t>Magma V2.28-26    Tue Dec 30 2025 09:50:18 on Marks-MacBook-Air-2 [Seed = \n3237611865]\nType ? for help.  Type &lt;Ctrl&gt;-D to quit.\n[1 1 1 1 1 1 1 0 0 1 1 1 1 0 0 1 1 1 1 0 0 1 1 1 1 0 0 1 1 1 1 0 0 1 1 1 1 0 0 1\n    1 1 1 1 1 1 1 0 0 0 0 0 0 0 0 0 0 0]\n[1 1 0 1 1 0 0 1 1 1 1 0 0 1 1 1 1 0 0 1 1 1 1 0 0 1 1 1 1 0 0 1 1 1 1 0 0 1 1 1\n    1 1 1 0 0 0 0 1 1 1 1 0 0 0 0 0 0 0]\n[1 0 1 1 0 1 0 1 0 1 0 1 0 1 0 1 0 1 0 1 0 1 0 1 0 1 0 1 0 1 0 1 0 1 0 1 0 1 0 1\n    1 0 0 1 1 0 0 1 1 0 0 1 1 1 1 1 1 1]\nCalculating the Weight Distribution for [58, 3] linear code, #R = 2\nNumber of threads: 1\nDoing quick check for code being known to be MDS:\nCode is not known to be MDS\n[58, 3, 32] Linear Code over GF(2)\nGenerator matrix:\n[1 0 0 1 0 0 1 0 1 1 0 0 1 0 1 1 0 0 1 0 1 1 0 0 1 0 1 1 0 0 1 0 1 1 0 0 1 0 1 1\n    1 0 0 0 0 1 1 0 0 1 1 1 1 1 1 1 1 1]\n[0 1 0 0 1 0 1 1 0 0 1 0 1 1 0 0 1 0 1 1 0 0 1 0 1 1 0 0 1 0 1 1 0 0 1 0 1 1 0 0\n    0 1 1 0 0 1 1 1 1 0 0 1 1 1 1 1 1 1]\n[0 0 1 0 0 1 1 1 1 0 0 1 1 1 1 0 0 1 1 1 1 0 0 1 1 1 1 0 0 1 1 1 1 0 0 1 1 1 1 0\n    0 0 0 1 1 1 1 1 1 1 1 0 0 0 0 0 0 0]\n32\n\nTotal time: 0.010 seconds, Total memory usage: 32.09MB\n</t>
  </si>
  <si>
    <t>[[59,19,17]]</t>
  </si>
  <si>
    <t>Magma V2.28-26    Tue Dec 30 2025 09:50:18 on Marks-MacBook-Air-2 [Seed = \n3404727122]\nType ? for help.  Type &lt;Ctrl&gt;-D to quit.\n[0 1 0 1 0 1 0 1 1 0 1 0 1 0 1 1 1 0 1 0 1 1 1 0 0 1 0 1 1 0 1 0 1 1 1 0 1 0 0 0\n    1 0 0 0 0 0 0 0 0 0 0 0 0 0 0 0 0 0 0]\n[0 0 1 0 1 0 1 0 1 1 0 1 0 1 0 1 1 1 0 1 0 1 1 1 0 0 1 0 1 1 0 1 0 1 1 1 0 1 0 0\n    0 1 0 0 0 0 0 0 0 0 0 0 0 0 0 0 0 0 0]\n[1 0 0 1 0 1 0 1 0 1 1 0 1 0 1 0 1 1 1 0 0 0 1 1 1 0 0 1 0 1 1 0 1 0 1 1 1 0 1 0\n    0 0 1 0 0 0 0 0 0 0 0 0 0 0 0 0 0 0 0]\n[0 1 0 0 1 0 1 0 1 0 1 1 0 1 0 1 0 1 1 1 0 0 0 1 1 1 0 0 1 0 1 1 0 1 0 1 1 1 0 1\n    0 0 0 1 0 0 0 0 0 0 0 0 0 0 0 0 0 0 0]\n[1 0 1 0 0 1 0 1 0 1 0 1 1 0 1 0 1 0 1 1 1 0 0 0 1 1 1 0 0 1 0 1 1 0 1 0 1 1 1 0\n    0 0 0 0 1 0 0 0 0 0 0 0 0 0 0 0 0 0 0]\n[1 1 0 1 0 0 1 0 1 0 1 0 1 1 0 1 0 1 0 1 0 1 0 0 0 1 1 1 0 0 1 0 1 1 0 1 0 1 1 1\n    0 0 0 0 0 1 0 0 0 0 0 0 0 0 0 0 0 0 0]\n[1 1 1 0 1 0 0 1 0 1 0 1 0 1 1 0 1 0 1 0 1 0 1 0 0 0 1 1 1 0 0 1 0 1 1 0 1 0 1 1\n    0 0 0 0 0 0 1 0 0 0 0 0 0 0 0 0 0 0 0]\n[0 1 1 1 0 1 0 0 1 0 1 0 1 0 1 1 0 1 0 1 1 1 0 1 0 0 0 1 1 1 0 0 1 0 1 1 0 1 0 1\n    0 0 0 0 0 0 0 1 0 0 0 0 0 0 0 0 0 0 0]\n[1 0 1 1 1 0 1 0 0 1 0 1 0 1 0 1 1 0 1 0 1 1 1 0 1 0 0 0 1 1 1 0 0 1 0 1 1 0 1 0\n    0 0 0 0 0 0 0 0 1 0 0 0 0 0 0 0 0 0 0]\n[0 1 0 1 1 1 0 1 0 0 1 0 1 0 1 0 1 1 0 1 0 1 1 1 0 1 0 0 0 1 1 1 0 0 1 0 1 1 0 1\n    0 0 0 0 0 0 0 0 0 1 0 0 0 0 0 0 0 0 0]\n[1 0 1 0 1 1 1 0 1 0 0 1 0 1 0 1 0 1 1 0 1 0 1 1 1 0 1 0 0 0 1 1 1 0 0 1 0 1 1 0\n    0 0 0 0 0 0 0 0 0 0 1 0 0 0 0 0 0 0 0]\n[0 1 0 1 0 1 1 1 0 1 0 0 1 0 1 0 1 0 1 1 0 1 0 1 1 1 0 1 0 0 0 1 1 1 0 0 1 0 1 1\n    0 0 0 0 0 0 0 0 0 0 0 1 0 0 0 0 0 0 0]\n[1 0 1 0 1 0 1 1 1 0 1 0 0 1 0 1 0 1 0 1 1 0 1 0 1 1 1 0 1 0 0 0 1 1 1 0 0 1 0 1\n    0 0 0 0 0 0 0 0 0 0 0 0 1 0 0 0 0 0 0]\n[1 1 0 1 0 1 0 1 1 1 0 1 0 0 1 0 1 0 1 0 1 1 0 1 0 1 1 1 0 1 0 0 0 1 1 1 0 0 1 0\n    0 0 0 0 0 0 0 0 0 0 0 0 0 1 0 0 0 0 0]\n[0 1 1 0 1 0 1 0 1 1 1 0 1 0 0 1 0 1 0 1 0 1 1 0 1 0 1 1 1 0 1 0 0 0 1 1 1 0 0 1\n    0 0 0 0 0 0 0 0 0 0 0 0 0 0 1 0 0 0 0]\n[1 0 1 1 0 1 0 1 0 1 1 1 0 1 0 0 1 0 1 0 1 0 1 1 0 1 0 1 1 1 0 1 0 0 0 1 1 1 0 0\n    0 0 0 0 0 0 0 0 0 0 0 0 0 0 0 1 0 0 0]\n[0 1 0 1 1 0 1 0 1 0 1 1 1 0 1 0 0 1 0 1 0 1 0 1 1 0 1 0 1 1 1 0 1 0 0 0 1 1 1 0\n    0 0 0 0 0 0 0 0 0 0 0 0 0 0 0 0 1 0 0]\n[1 0 1 0 1 1 0 1 0 1 0 1 1 1 0 1 0 0 1 0 0 0 1 0 1 1 0 1 0 1 1 1 0 1 0 0 0 1 1 1\n    0 0 0 0 0 0 0 0 0 0 0 0 0 0 0 0 0 1 0]\n[0 1 0 1 0 1 1 0 1 0 1 0 1 1 1 0 1 0 0 1 1 0 0 1 0 1 1 0 1 0 1 1 1 0 1 0 0 0 1 1\n    0 0 0 0 0 0 0 0 0 0 0 0 0 0 0 0 0 0 1]\n[59, 19] Linear Code over GF(2)\nGenerator matrix:\n[1 0 0 0 0 0 0 0 0 0 0 0 0 0 0 0 0 0 0 0 1 0 1 0 1 1 0 1 1 1 0 0 1 0 1 0 0 0 0 0\n    0 1 0 1 0 1 1 0 1 1 0 0 1 1 0 1 1 1 0]\n[0 1 0 0 0 0 0 0 0 0 0 0 0 0 0 0 0 0 0 0 0 1 0 1 0 1 1 0 1 1 1 0 0 1 0 1 0 0 0 0\n    0 0 1 0 1 0 1 1 0 1 1 0 0 1 1 0 1 1 1]\n[0 0 1 0 0 0 0 0 0 0 0 0 0 0 0 0 0 0 1 0 1 0 0 1 1 1 0 0 0 1 0 1 1 0 1 0 1 0 1 0\n    0 1 0 0 1 1 1 0 1 0 0 0 0 1 0 0 0 1 1]\n[0 0 0 1 0 0 0 0 0 0 0 0 0 0 0 0 0 0 1 0 1 0 1 0 0 0 1 0 1 0 0 1 0 0 0 1 0 1 1 0\n    1 1 0 1 0 0 0 1 1 1 1 0 1 1 1 0 1 0 1]\n[0 0 0 0 1 0 0 0 0 0 0 0 0 0 0 0 0 0 1 0 1 0 1 1 1 1 0 1 1 1 1 1 0 1 0 0 1 0 0 0\n    1 0 0 1 1 1 1 0 0 1 0 1 1 0 1 1 1 1 0]\n[0 0 0 0 0 1 0 0 0 0 0 0 0 0 0 0 0 0 0 0 0 0 0 0 0 1 0 1 0 1 1 0 1 1 1 0 0 1 0 1\n    1 1 1 0 0 0 1 0 1 0 1 1 0 1 1 0 0 1 1]\n[0 0 0 0 0 0 1 0 0 0 0 0 0 0 0 0 0 0 1 0 0 0 1 1 0 1 0 1 1 0 0 1 1 1 1 1 0 0 0 0\n    0 0 1 0 1 0 1 0 0 1 1 0 1 1 0 0 0 0 1]\n[0 0 0 0 0 0 0 1 0 0 0 0 0 0 0 0 0 0 1 0 1 1 1 1 0 1 1 0 0 1 1 1 0 0 1 1 1 0 1 1\n    1 1 1 0 0 0 1 1 1 0 0 1 1 0 1 0 1 0 0]\n[0 0 0 0 0 0 0 0 1 0 0 0 0 0 0 0 0 0 0 0 1 0 1 0 0 0 0 0 1 0 1 0 1 1 0 1 1 1 0 0\n    1 1 0 1 1 1 0 0 0 1 0 1 0 1 1 0 1 1 0]\n[0 0 0 0 0 0 0 0 0 1 0 0 0 0 0 0 0 0 0 0 0 1 0 1 0 0 0 0 0 1 0 1 0 1 1 0 1 1 1 0\n    0 1 1 0 1 1 1 0 0 0 1 0 1 0 1 1 0 1 1]\n[0 0 0 0 0 0 0 0 0 0 1 0 0 0 0 0 0 0 1 0 1 0 0 1 1 1 1 1 0 0 0 0 0 0 1 1 0 1 0 1\n    0 1 1 0 1 1 0 0 0 0 1 0 0 0 1 0 1 0 1]\n[0 0 0 0 0 0 0 0 0 0 0 1 0 0 0 0 0 0 1 0 0 0 1 0 0 0 1 1 0 0 1 1 1 1 0 1 1 0 0 1\n    1 1 0 0 0 0 0 0 1 0 1 1 1 1 0 1 1 1 0]\n[0 0 0 0 0 0 0 0 0 0 0 0 1 0 0 0 0 0 0 0 1 1 0 0 1 0 1 0 0 0 0 0 1 0 1 0 1 1 0 1\n    1 1 0 0 1 1 0 1 1 1 0 0 0 1 0 1 0 1 1]\n[0 0 0 0 0 0 0 0 0 0 0 0 0 1 0 0 0 0 1 0 0 1 0 1 0 0 1 0 0 0 1 0 1 1 0 1 0 1 0 0\n    0 0 1 1 1 1 0 1 1 1 0 1 0 1 0 1 1 0 1]\n[0 0 0 0 0 0 0 0 0 0 0 0 0 0 1 0 0 0 1 0 1 1 0 0 0 1 0 1 1 0 1 0 1 0 1 0 1 0 0 1\n    1 1 1 0 1 0 0 0 0 1 0 0 0 1 1 0 0 1 0]\n[0 0 0 0 0 0 0 0 0 0 0 0 0 0 0 1 0 0 0 0 1 0 1 1 1 0 0 1 0 1 0 0 0 0 0 1 0 1 0 1\n    1 1 0 1 1 0 0 1 1 0 1 1 1 0 0 0 1 0 1]\n[0 0 0 0 0 0 0 0 0 0 0 0 0 0 0 0 1 0 1 0 0 1 1 0 1 0 1 1 1 0 0 0 1 0 0 0 1 0 0 0\n    0 0 1 1 0 1 1 1 1 1 1 0 1 0 1 1 0 1 0]\n[0 0 0 0 0 0 0 0 0 0 0 0 0 0 0 0 0 1 0 0 0 1 1 0 1 1 1 0 0 1 0 1 0 0 0 0 0 1 0 1\n    1 0 1 1 0 1 1 0 0 1 1 0 1 1 1 0 0 0 1]\n[0 0 0 0 0 0 0 0 0 0 0 0 0 0 0 0 0 0 0 1 0 1 0 1 1 0 1 1 1 0 0 1 0 1 0 0 0 0 0 1\n    1 0 1 0 1 1 0 1 1 0 0 1 1 0 1 1 1 0 0]\nLinear Code over GF(2) of length 59 with 19 generators.\nLower Bound: 1, Upper Bound: 41\nConstructed 4 distinct generator matrices\nRelative Ranks:  19  19  19   2 \n     Discarding non-contributing rank 2 matrix\n     New Relative Ranks:  19  19  19 \nTime Taken: 0.00\nStarting search for low weight codewords... (reset timings)\nEnumerating using 1 generator at a time:\n     New codeword identified of weight 21, time 0.00\n     New codeword identified of weight 20, time 0.00\n   Completed Matrix  1:  lower =  4, upper = 20. Elapsed: 0.00s\n     New codeword identified of weight 19, time 0.00\n     New codeword identified of weight 18, time 0.00\n   Completed Matrix  2:  lower =  5, upper = 18. Elapsed: 0.00s\n   Completed Matrix  3:  lower =  6, upper = 18. Elapsed: 0.00s\nTermination predicted with 5 generators at matrix 3\nEnumerating using 2 generators at a time:\n     New codeword identified of weight 17, time 0.00\n   Completed Matrix  1:  lower =  7, upper = 17. Elapsed: 0.00s\n   Completed Matrix  2:  lower =  8, upper = 17. Elapsed: 0.00s\n   Completed Matrix  3:  lower =  9, upper = 17. Elapsed: 0.00s\nTermination predicted with 5 generators at matrix 2\nEnumerating using 3 generators at a time:\n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38361 vectors enumerated in total\n (7.316780% of 59 19 code)\nFinal Results: lower = 17, upper = 17,\nTotal CPU time: 0.00, real time: 0.001\n17\n\nTotal time: 0.010 seconds, Total memory usage: 32.09MB\n</t>
  </si>
  <si>
    <t>[[60,20,17]]</t>
  </si>
  <si>
    <t>Magma V2.28-26    Tue Dec 30 2025 09:50:19 on Marks-MacBook-Air-2 [Seed = \n3438675284]\nType ? for help.  Type &lt;Ctrl&gt;-D to quit.\n[0 1 0 1 0 1 0 1 1 0 1 0 1 0 1 1 1 0 1 0 1 1 1 0 0 1 0 1 1 0 1 0 1 1 1 0 1 0 0 0\n    1 0 0 0 0 0 0 0 0 0 0 0 0 0 0 0 0 0 0 0]\n[0 0 1 0 1 0 1 0 1 1 0 1 0 1 0 1 1 1 0 1 0 1 1 1 0 0 1 0 1 1 0 1 0 1 1 1 0 1 0 0\n    0 1 0 0 0 0 0 0 0 0 0 0 0 0 0 0 0 0 0 0]\n[1 0 0 1 0 1 0 1 0 1 1 0 1 0 1 0 1 1 1 0 0 0 1 1 1 0 0 1 0 1 1 0 1 0 1 1 1 0 1 0\n    0 0 1 0 0 0 0 0 0 0 0 0 0 0 0 0 0 0 0 0]\n[0 1 0 0 1 0 1 0 1 0 1 1 0 1 0 1 0 1 1 1 0 0 0 1 1 1 0 0 1 0 1 1 0 1 0 1 1 1 0 1\n    0 0 0 1 0 0 0 0 0 0 0 0 0 0 0 0 0 0 0 0]\n[1 0 1 0 0 1 0 1 0 1 0 1 1 0 1 0 1 0 1 1 1 0 0 0 1 1 1 0 0 1 0 1 1 0 1 0 1 1 1 0\n    0 0 0 0 1 0 0 0 0 0 0 0 0 0 0 0 0 0 0 0]\n[1 1 0 1 0 0 1 0 1 0 1 0 1 1 0 1 0 1 0 1 0 1 0 0 0 1 1 1 0 0 1 0 1 1 0 1 0 1 1 1\n    0 0 0 0 0 1 0 0 0 0 0 0 0 0 0 0 0 0 0 0]\n[1 1 1 0 1 0 0 1 0 1 0 1 0 1 1 0 1 0 1 0 1 0 1 0 0 0 1 1 1 0 0 1 0 1 1 0 1 0 1 1\n    0 0 0 0 0 0 1 0 0 0 0 0 0 0 0 0 0 0 0 0]\n[0 1 1 1 0 1 0 0 1 0 1 0 1 0 1 1 0 1 0 1 1 1 0 1 0 0 0 1 1 1 0 0 1 0 1 1 0 1 0 1\n    0 0 0 0 0 0 0 1 0 0 0 0 0 0 0 0 0 0 0 0]\n[1 0 1 1 1 0 1 0 0 1 0 1 0 1 0 1 1 0 1 0 1 1 1 0 1 0 0 0 1 1 1 0 0 1 0 1 1 0 1 0\n    0 0 0 0 0 0 0 0 1 0 0 0 0 0 0 0 0 0 0 0]\n[0 1 0 1 1 1 0 1 0 0 1 0 1 0 1 0 1 1 0 1 0 1 1 1 0 1 0 0 0 1 1 1 0 0 1 0 1 1 0 1\n    0 0 0 0 0 0 0 0 0 1 0 0 0 0 0 0 0 0 0 0]\n[1 0 1 0 1 1 1 0 1 0 0 1 0 1 0 1 0 1 1 0 1 0 1 1 1 0 1 0 0 0 1 1 1 0 0 1 0 1 1 0\n    0 0 0 0 0 0 0 0 0 0 1 0 0 0 0 0 0 0 0 0]\n[0 1 0 1 0 1 1 1 0 1 0 0 1 0 1 0 1 0 1 1 0 1 0 1 1 1 0 1 0 0 0 1 1 1 0 0 1 0 1 1\n    0 0 0 0 0 0 0 0 0 0 0 1 0 0 0 0 0 0 0 0]\n[1 0 1 0 1 0 1 1 1 0 1 0 0 1 0 1 0 1 0 1 1 0 1 0 1 1 1 0 1 0 0 0 1 1 1 0 0 1 0 1\n    0 0 0 0 0 0 0 0 0 0 0 0 1 0 0 0 0 0 0 0]\n[1 1 0 1 0 1 0 1 1 1 0 1 0 0 1 0 1 0 1 0 1 1 0 1 0 1 1 1 0 1 0 0 0 1 1 1 0 0 1 0\n    0 0 0 0 0 0 0 0 0 0 0 0 0 1 0 0 0 0 0 0]\n[0 1 1 0 1 0 1 0 1 1 1 0 1 0 0 1 0 1 0 1 0 1 1 0 1 0 1 1 1 0 1 0 0 0 1 1 1 0 0 1\n    0 0 0 0 0 0 0 0 0 0 0 0 0 0 1 0 0 0 0 0]\n[1 0 1 1 0 1 0 1 0 1 1 1 0 1 0 0 1 0 1 0 1 0 1 1 0 1 0 1 1 1 0 1 0 0 0 1 1 1 0 0\n    0 0 0 0 0 0 0 0 0 0 0 0 0 0 0 1 0 0 0 0]\n[0 1 0 1 1 0 1 0 1 0 1 1 1 0 1 0 0 1 0 1 0 1 0 1 1 0 1 0 1 1 1 0 1 0 0 0 1 1 1 0\n    0 0 0 0 0 0 0 0 0 0 0 0 0 0 0 0 1 0 0 0]\n[1 0 1 0 1 1 0 1 0 1 0 1 1 1 0 1 0 0 1 0 0 0 1 0 1 1 0 1 0 1 1 1 0 1 0 0 0 1 1 1\n    0 0 0 0 0 0 0 0 0 0 0 0 0 0 0 0 0 1 0 0]\n[0 1 0 1 0 1 1 0 1 0 1 0 1 1 1 0 1 0 0 1 1 0 0 1 0 1 1 0 1 0 1 1 1 0 1 0 0 0 1 1\n    0 0 0 0 0 0 0 0 0 0 0 0 0 0 0 0 0 0 1 0]\n[1 0 1 0 1 0 1 1 0 1 0 1 0 1 1 1 0 1 0 0 1 1 0 0 1 0 1 1 0 1 0 1 1 1 0 1 0 0 0 1\n    0 0 0 0 0 0 0 0 0 0 0 0 0 0 0 0 0 0 0 1]\n[60, 20] Quasicyclic of degree 3 Linear Code over GF(2)\nGenerator matrix:\n[1 0 0 0 0 0 0 0 0 0 0 0 0 0 0 0 0 0 0 0 1 0 1 0 1 1 0 1 1 1 0 0 1 0 1 0 0 0 0 0\n    0 1 0 1 0 1 1 0 1 1 0 0 1 1 0 1 1 1 0 0]\n[0 1 0 0 0 0 0 0 0 0 0 0 0 0 0 0 0 0 0 0 0 1 0 1 0 1 1 0 1 1 1 0 0 1 0 1 0 0 0 0\n    0 0 1 0 1 0 1 1 0 1 1 0 0 1 1 0 1 1 1 0]\n[0 0 1 0 0 0 0 0 0 0 0 0 0 0 0 0 0 0 0 0 0 0 1 0 1 0 1 1 0 1 1 1 0 0 1 0 1 0 0 0\n    0 0 0 1 0 1 0 1 1 0 1 1 0 0 1 1 0 1 1 1]\n[0 0 0 1 0 0 0 0 0 0 0 0 0 0 0 0 0 0 0 0 0 0 0 1 0 1 0 1 1 0 1 1 1 0 0 1 0 1 0 0\n    1 0 0 0 1 0 1 0 1 1 0 1 1 0 0 1 1 0 1 1]\n[0 0 0 0 1 0 0 0 0 0 0 0 0 0 0 0 0 0 0 0 0 0 0 0 1 0 1 0 1 1 0 1 1 1 0 0 1 0 1 0\n    1 1 0 0 0 1 0 1 0 1 1 0 1 1 0 0 1 1 0 1]\n[0 0 0 0 0 1 0 0 0 0 0 0 0 0 0 0 0 0 0 0 0 0 0 0 0 1 0 1 0 1 1 0 1 1 1 0 0 1 0 1\n    1 1 1 0 0 0 1 0 1 0 1 1 0 1 1 0 0 1 1 0]\n[0 0 0 0 0 0 1 0 0 0 0 0 0 0 0 0 0 0 0 0 1 0 0 0 0 0 1 0 1 0 1 1 0 1 1 1 0 0 1 0\n    0 1 1 1 0 0 0 1 0 1 0 1 1 0 1 1 0 0 1 1]\n[0 0 0 0 0 0 0 1 0 0 0 0 0 0 0 0 0 0 0 0 0 1 0 0 0 0 0 1 0 1 0 1 1 0 1 1 1 0 0 1\n    1 0 1 1 1 0 0 0 1 0 1 0 1 1 0 1 1 0 0 1]\n[0 0 0 0 0 0 0 0 1 0 0 0 0 0 0 0 0 0 0 0 1 0 1 0 0 0 0 0 1 0 1 0 1 1 0 1 1 1 0 0\n    1 1 0 1 1 1 0 0 0 1 0 1 0 1 1 0 1 1 0 0]\n[0 0 0 0 0 0 0 0 0 1 0 0 0 0 0 0 0 0 0 0 0 1 0 1 0 0 0 0 0 1 0 1 0 1 1 0 1 1 1 0\n    0 1 1 0 1 1 1 0 0 0 1 0 1 0 1 1 0 1 1 0]\n[0 0 0 0 0 0 0 0 0 0 1 0 0 0 0 0 0 0 0 0 0 0 1 0 1 0 0 0 0 0 1 0 1 0 1 1 0 1 1 1\n    0 0 1 1 0 1 1 1 0 0 0 1 0 1 0 1 1 0 1 1]\n[0 0 0 0 0 0 0 0 0 0 0 1 0 0 0 0 0 0 0 0 1 0 0 1 0 1 0 0 0 0 0 1 0 1 0 1 1 0 1 1\n    1 0 0 1 1 0 1 1 1 0 0 0 1 0 1 0 1 1 0 1]\n[0 0 0 0 0 0 0 0 0 0 0 0 1 0 0 0 0 0 0 0 1 1 0 0 1 0 1 0 0 0 0 0 1 0 1 0 1 1 0 1\n    1 1 0 0 1 1 0 1 1 1 0 0 0 1 0 1 0 1 1 0]\n[0 0 0 0 0 0 0 0 0 0 0 0 0 1 0 0 0 0 0 0 1 1 1 0 0 1 0 1 0 0 0 0 0 1 0 1 0 1 1 0\n    0 1 1 0 0 1 1 0 1 1 1 0 0 0 1 0 1 0 1 1]\n[0 0 0 0 0 0 0 0 0 0 0 0 0 0 1 0 0 0 0 0 0 1 1 1 0 0 1 0 1 0 0 0 0 0 1 0 1 0 1 1\n    1 0 1 1 0 0 1 1 0 1 1 1 0 0 0 1 0 1 0 1]\n[0 0 0 0 0 0 0 0 0 0 0 0 0 0 0 1 0 0 0 0 1 0 1 1 1 0 0 1 0 1 0 0 0 0 0 1 0 1 0 1\n    1 1 0 1 1 0 0 1 1 0 1 1 1 0 0 0 1 0 1 0]\n[0 0 0 0 0 0 0 0 0 0 0 0 0 0 0 0 1 0 0 0 1 1 0 1 1 1 0 0 1 0 1 0 0 0 0 0 1 0 1 0\n    0 1 1 0 1 1 0 0 1 1 0 1 1 1 0 0 0 1 0 1]\n[0 0 0 0 0 0 0 0 0 0 0 0 0 0 0 0 0 1 0 0 0 1 1 0 1 1 1 0 0 1 0 1 0 0 0 0 0 1 0 1\n    1 0 1 1 0 1 1 0 0 1 1 0 1 1 1 0 0 0 1 0]\n[0 0 0 0 0 0 0 0 0 0 0 0 0 0 0 0 0 0 1 0 1 0 1 1 0 1 1 1 0 0 1 0 1 0 0 0 0 0 1 0\n    0 1 0 1 1 0 1 1 0 0 1 1 0 1 1 1 0 0 0 1]\n[0 0 0 0 0 0 0 0 0 0 0 0 0 0 0 0 0 0 0 1 0 1 0 1 1 0 1 1 1 0 0 1 0 1 0 0 0 0 0 1\n    1 0 1 0 1 1 0 1 1 0 0 1 1 0 1 1 1 0 0 0]\nLinear Code over GF(2) of length 60 with 20 generators.\nLower Bound: 1, Upper Bound: 41\nConstructed 3 distinct generator matrices\nRelative Ranks:  20  20  20 \nTime Taken: 0.00\nStarting search for low weight codewords... (reset timings)\nEnumerating using 1 generator at a time:\n     New codeword identified of weight 21, time 0.00\n   Completed Matrix  1:  lower =  4, upper = 21. Elapsed: 0.00s\n   Completed Matrix  2:  lower =  5, upper = 21. Elapsed: 0.00s\n   Completed Matrix  3:  lower =  6, upper = 21. Elapsed: 0.00s\nTermination predicted with 6 generators at matrix 3\nEnumerating using 2 generators at a time:\n     New codeword identified of weight 20, time 0.00\n   Completed Matrix  1:  lower =  7, upper = 20. Elapsed: 0.00s\n     New codeword identified of weight 18, time 0.00\n   Completed Matrix  2:  lower =  8, upper = 18. Elapsed: 0.00s\n   Completed Matrix  3:  lower =  9, upper = 18. Elapsed: 0.00s\nTermination predicted with 5 generators at matrix 3\nEnumerating using 3 generators at a time:\n     New codeword identified of weight 17, time 0.00\n   Completed Matrix  1:  lower = 10, upper = 17. Elapsed: 0.00s\n   Completed Matrix  2:  lower = 11, upper = 17. Elapsed: 0.00s\n   Completed Matrix  3:  lower = 12, upper = 17. Elapsed: 0.00s\nTermination predicted with 5 generators at matrix 2\nEnumerating using 4 generators at a time:\n   Completed Matrix  1:  lower = 13, upper = 17. Elapsed: 0.00s\n   Completed Matrix  2:  lower = 14, upper = 17. Elapsed: 0.00s\n   Completed Matrix  3:  lower = 15, upper = 17. Elapsed: 0.00s\nTermination predicted with 5 generators at matrix 2\nEnumerating using 5 generators at a time:\n   Completed Matrix  1:  lower = 16, upper = 17. Elapsed: 0.00s\n   Completed Matrix  2:  lower = 17, upper = 17. Elapsed: 0.00s\nComputation complete 49593 vectors enumerated in total\n (4.729557% of 60 20 code)\nFinal Results: lower = 17, upper = 17,\nTotal CPU time: 0.00, real time: 0.001\n17\n\nTotal time: 0.010 seconds, Total memory usage: 32.09MB\n</t>
  </si>
  <si>
    <t>[[61,18,19]]</t>
  </si>
  <si>
    <t>Magma V2.28-26    Tue Dec 30 2025 09:50:19 on Marks-MacBook-Air-2 [Seed = \n3605798734]\nType ? for help.  Type &lt;Ctrl&gt;-D to quit.\n[0 1 1 0 0 0 1 0 0 0 1 1 1 1 1 1 1 1 0 1 0 1 1 0 1 0 1 0 1 1 0 1 1 1 1 0 1 0 1 1\n    1 0 1 1 0 0 0 0 0 0 0 0 0 0 0 0 0 0 0 0 0]\n[0 1 0 1 0 0 1 1 0 0 1 0 0 0 0 0 0 0 1 1 1 1 0 1 1 1 1 1 1 0 1 1 0 0 0 1 1 1 1 0\n    0 1 1 0 1 0 0 0 0 0 0 0 0 0 0 0 0 0 0 0 0]\n[1 1 0 0 1 0 1 1 1 0 1 0 1 1 1 1 1 1 0 0 1 0 0 0 0 1 0 1 0 0 0 0 0 1 1 0 0 1 0 0\n    1 0 0 0 0 1 0 0 0 0 0 0 0 0 0 0 0 0 0 0 0]\n[1 1 1 0 0 1 0 1 1 1 0 1 0 1 1 1 1 1 1 0 0 1 0 0 0 0 1 0 1 0 0 0 0 0 1 1 0 0 1 0\n    0 1 0 0 0 0 1 0 0 0 0 0 0 0 0 0 0 0 0 0 0]\n[1 1 1 1 0 0 1 0 1 1 1 0 1 0 1 1 1 1 1 1 0 0 1 0 0 0 0 1 0 1 0 0 0 0 0 1 1 0 0 1\n    0 0 1 0 0 0 0 1 0 0 0 0 0 0 0 0 0 0 0 0 0]\n[0 0 0 1 1 0 1 1 0 1 0 0 1 0 1 0 0 0 1 0 1 1 1 1 1 0 1 0 0 1 1 1 1 1 1 0 0 1 1 1\n    0 0 1 0 0 0 0 0 1 0 0 0 0 0 0 0 0 0 0 0 0]\n[0 1 1 0 1 1 1 1 1 0 0 1 1 0 1 0 1 1 0 0 0 0 0 1 0 1 1 1 1 1 1 0 0 0 0 1 1 0 0 0\n    0 0 1 0 0 0 0 0 0 1 0 0 0 0 0 0 0 0 0 0 0]\n[1 1 0 1 0 1 0 1 1 1 1 1 0 0 1 0 1 0 1 1 0 1 1 0 0 0 0 1 0 0 1 0 1 1 1 0 0 1 1 1\n    1 0 1 0 0 0 0 0 0 0 1 0 0 0 0 0 0 0 0 0 0]\n[1 0 0 0 1 0 0 0 1 1 0 0 0 1 1 0 1 0 0 0 1 1 0 1 1 0 1 0 0 1 0 0 1 0 0 1 1 0 0 0\n    0 1 1 0 0 0 0 0 0 0 0 1 0 0 0 0 0 0 0 0 0]\n[1 0 1 0 0 1 1 0 0 1 0 1 1 1 0 0 1 0 0 1 0 0 0 0 0 1 1 1 1 1 1 1 1 0 1 0 0 1 1 1\n    1 0 0 0 0 0 0 0 0 0 0 0 1 0 0 0 0 0 0 0 0]\n[1 1 0 1 0 0 1 1 0 0 1 0 1 1 1 0 0 1 0 0 1 0 0 0 0 0 1 1 1 1 1 1 1 1 0 1 0 0 1 1\n    1 1 0 0 0 0 0 0 0 0 0 0 0 1 0 0 0 0 0 0 0]\n[1 1 1 0 1 0 0 1 1 0 0 1 0 1 1 1 0 0 1 0 0 1 0 0 0 0 0 1 1 1 1 1 1 1 1 0 1 0 0 1\n    1 1 1 0 0 0 0 0 0 0 0 0 0 0 1 0 0 0 0 0 0]\n[0 0 0 1 0 1 1 0 1 1 1 1 0 1 0 0 0 1 0 0 0 1 0 0 1 0 1 0 0 0 1 0 0 0 0 1 1 1 1 1\n    0 1 0 0 0 0 0 0 0 0 0 0 0 0 0 1 0 0 0 0 0]\n[0 0 0 0 1 0 1 1 0 1 1 1 1 0 1 0 0 0 1 0 0 0 1 0 0 1 0 1 0 0 0 1 0 0 0 0 1 1 1 1\n    1 0 1 0 0 0 0 0 0 0 0 0 0 0 0 0 1 0 0 0 0]\n[1 1 1 0 0 1 1 1 1 0 0 0 0 0 1 0 1 1 0 0 0 1 1 1 1 0 0 0 0 1 0 1 0 1 1 0 1 1 0 0\n    0 1 1 0 0 0 0 0 0 0 0 0 0 0 0 0 0 1 0 0 0]\n[0 0 0 1 0 0 0 1 1 1 1 1 1 1 1 0 1 0 1 1 0 1 0 1 0 1 1 0 1 1 1 1 0 1 0 1 1 1 0 1\n    1 0 0 0 0 0 0 0 0 0 0 0 0 0 0 0 0 0 1 0 0]\n[1 0 0 0 1 0 0 0 1 1 1 1 1 1 1 1 0 1 0 1 1 0 1 0 1 0 1 1 0 1 1 1 1 0 1 0 1 1 1 0\n    1 1 0 0 0 0 0 0 0 0 0 0 0 0 0 0 0 0 0 1 0]\n[1 1 0 0 0 1 0 0 0 1 1 1 1 1 1 1 1 0 1 0 1 1 0 1 0 1 0 1 1 0 1 1 1 1 0 1 0 1 1 1\n    0 1 1 0 0 0 0 0 0 0 0 0 0 0 0 0 0 0 0 0 1]\n[61, 18] Linear Code over GF(2)\nGenerator matrix:\n[1 0 0 0 0 0 0 0 0 0 0 0 0 0 0 0 0 0 1 0 0 1 1 0 0 0 1 0 0 0 1 1 1 1 1 1 1 1 0 1\n    0 1 1 0 1 0 1 0 1 1 0 1 1 1 1 0 1 0 1 1 1]\n[0 1 0 0 0 0 0 0 0 0 0 0 0 0 0 0 0 0 1 1 0 1 0 1 0 0 1 1 0 0 1 0 0 0 0 0 0 0 1 1\n    1 1 0 1 1 1 1 1 1 0 1 1 0 0 0 1 1 1 1 0 0]\n[0 0 1 0 0 0 0 0 0 0 0 0 0 0 0 0 0 0 1 1 1 1 0 0 1 0 1 1 1 0 1 0 1 1 1 1 1 1 0 0\n    1 0 0 0 0 1 0 1 0 0 0 0 0 1 1 0 0 1 0 0 1]\n[0 0 0 1 0 0 0 0 0 0 0 0 0 0 0 0 0 0 0 1 1 1 1 0 0 1 0 1 1 1 0 1 0 1 1 1 1 1 1 0\n    0 1 0 0 0 0 1 0 1 0 0 0 0 0 1 1 0 0 1 0 0]\n[0 0 0 0 1 0 0 0 0 0 0 0 0 0 0 0 0 0 0 0 1 1 1 1 0 0 1 0 1 1 1 0 1 0 1 1 1 1 1 1\n    0 0 1 0 0 0 0 1 0 1 0 0 0 0 0 1 1 0 0 1 0]\n[0 0 0 0 0 1 0 0 0 0 0 0 0 0 0 0 0 0 1 0 0 0 0 1 1 0 1 1 0 1 0 0 1 0 1 0 0 0 1 0\n    1 1 1 1 1 0 1 0 0 1 1 1 1 1 1 0 0 1 1 1 0]\n[0 0 0 0 0 0 1 0 0 0 0 0 0 0 0 0 0 0 1 1 0 1 1 0 1 1 1 1 1 0 0 1 1 0 1 0 1 1 0 0\n    0 0 0 1 0 1 1 1 1 1 1 0 0 0 0 1 1 0 0 0 0]\n[0 0 0 0 0 0 0 1 0 0 0 0 0 0 0 0 0 0 1 1 1 1 0 1 0 1 0 1 1 1 1 1 0 0 1 0 1 0 1 1\n    0 1 1 0 0 0 0 1 0 0 1 0 1 1 1 0 0 1 1 1 1]\n[0 0 0 0 0 0 0 0 1 0 0 0 0 0 0 0 0 0 1 1 1 0 0 0 1 0 0 0 1 1 0 0 0 1 1 0 1 0 0 0\n    1 1 0 1 1 0 1 0 0 1 0 0 1 0 0 1 1 0 0 0 0]\n[0 0 0 0 0 0 0 0 0 1 0 0 0 0 0 0 0 0 1 1 1 0 1 0 0 1 1 0 0 1 0 1 1 1 0 0 1 0 0 1\n    0 0 0 0 0 1 1 1 1 1 1 1 1 0 1 0 0 1 1 1 1]\n[0 0 0 0 0 0 0 0 0 0 1 0 0 0 0 0 0 0 0 1 1 1 0 1 0 0 1 1 0 0 1 0 1 1 1 0 0 1 0 0\n    1 0 0 0 0 0 1 1 1 1 1 1 1 1 0 1 0 0 1 1 1]\n[0 0 0 0 0 0 0 0 0 0 0 1 0 0 0 0 0 0 0 0 1 1 1 0 1 0 0 1 1 0 0 1 0 1 1 1 0 0 1 0\n    0 1 0 0 0 0 0 1 1 1 1 1 1 1 1 0 1 0 0 1 1]\n[0 0 0 0 0 0 0 0 0 0 0 0 1 0 0 0 0 0 1 0 0 0 0 1 0 1 1 0 1 1 1 1 0 1 0 0 0 1 0 0\n    0 1 0 0 1 0 1 0 0 0 1 0 0 0 0 1 1 1 1 1 0]\n[0 0 0 0 0 0 0 0 0 0 0 0 0 1 0 0 0 0 0 1 0 0 0 0 1 0 1 1 0 1 1 1 1 0 1 0 0 0 1 0\n    0 0 1 0 0 1 0 1 0 0 0 1 0 0 0 0 1 1 1 1 1]\n[0 0 0 0 0 0 0 0 0 0 0 0 0 0 1 0 0 0 1 0 1 1 1 0 0 1 1 1 1 0 0 0 0 0 1 0 1 1 0 0\n    0 1 1 1 1 0 0 0 0 1 0 1 0 1 1 0 1 1 0 0 0]\n[0 0 0 0 0 0 0 0 0 0 0 0 0 0 0 1 0 0 1 1 0 0 0 1 0 0 0 1 1 1 1 1 1 1 1 0 1 0 1 1\n    0 1 0 1 0 1 1 0 1 1 1 1 0 1 0 1 1 1 0 1 1]\n[0 0 0 0 0 0 0 0 0 0 0 0 0 0 0 0 1 0 0 1 1 0 0 0 1 0 0 0 1 1 1 1 1 1 1 1 0 1 0 1\n    1 0 1 0 1 0 1 1 0 1 1 1 1 0 1 0 1 1 1 0 1]\n[0 0 0 0 0 0 0 0 0 0 0 0 0 0 0 0 0 1 0 0 1 1 0 0 0 1 0 0 0 1 1 1 1 1 1 1 1 0 1 0\n    1 1 0 1 0 1 0 1 1 0 1 1 1 1 0 1 0 1 1 1 0]\nLinear Code over GF(2) of length 61 with 18 generators.\nLower Bound: 1, Upper Bound: 44\nConstructed 4 distinct generator matrices\nRelative Ranks:  18  18  18   7 \nTime Taken: 0.00\nStarting search for low weight codewords... (reset timings)\nEnumerating using 1 generator at a time:\n     New codeword identified of weight 28, time 0.00\n     New codeword identified of weight 24, time 0.00\n     New codeword identified of weight 23, time 0.00\n     New codeword identified of weight 22, time 0.00\n     New codeword identified of weight 19, time 0.00\n     Discarding non-contributing rank 7 matrix\n     New Relative Ranks:  18  18  18 \n   Completed Matrix  1:  lower =  4, upper = 19. Elapsed: 0.00s\n   Completed Matrix  2:  lower =  5, upper = 19. Elapsed: 0.00s\n   Completed Matrix  3:  lower =  6, upper = 19. Elapsed: 0.00s\nTermination predicted with 6 generators at matrix 1\nEnumerating using 2 generators at a time:\n   Completed Matrix  1:  lower =  7, upper = 19. Elapsed: 0.00s\n   Completed Matrix  2:  lower =  8, upper = 19. Elapsed: 0.00s\n   Completed Matrix  3:  lower =  9, upper = 19. Elapsed: 0.00s\nTermination predicted with 6 generators at matrix 1\nEnumerating using 3 generators at a time:\n   Completed Matrix  1:  lower = 10, upper = 19. Elapsed: 0.00s\n   Completed Matrix  2:  lower = 11, upper = 19. Elapsed: 0.00s\n   Completed Matrix  3:  lower = 12, upper = 19. Elapsed: 0.00s\nTermination predicted with 6 generators at matrix 1\nEnumerating using 4 generators at a time:\n   Completed Matrix  1:  lower = 13, upper = 19. Elapsed: 0.00s\n   Completed Matrix  2:  lower = 14, upper = 19. Elapsed: 0.00s\n   Completed Matrix  3:  lower = 15, upper = 19. Elapsed: 0.00s\nTermination predicted with 6 generators at matrix 1\nEnumerating using 5 generators at a time:\n   Completed Matrix  1:  lower = 16, upper = 19. Elapsed: 0.00s\n   Completed Matrix  2:  lower = 17, upper = 19. Elapsed: 0.00s\n   Completed Matrix  3:  lower = 18, upper = 19. Elapsed: 0.00s\nTermination predicted with 6 generators at matrix 1\nEnumerating using 6 generators at a time:\n   Completed Matrix  1:  lower = 19, upper = 19. Elapsed: 0.00s\nComputation complete 56409 vectors enumerated in total\n (21.518326% of 61 18 code)\nFinal Results: lower = 19, upper = 19,\nTotal CPU time: 0.00, real time: 0.002\n19\n\nTotal time: 0.010 seconds, Total memory usage: 32.09MB\n</t>
  </si>
  <si>
    <t>[[62,21,17]]</t>
  </si>
  <si>
    <t>Magma V2.28-26    Tue Dec 30 2025 09:50:19 on Marks-MacBook-Air-2 [Seed = \n3638694208]\nType ? for help.  Type &lt;Ctrl&gt;-D to quit.\n[1 1 1 1 1 1 1 1 1 1 1 1 1 1 1 1 1 1 1 1 1 1 1 1 1 1 1 1 1 1 1 0 0 0 0 0 0 0 0 0\n    0 0 0 0 0 0 0 0 0 0 0 0 0 0 0 0 0 0 0 0 0 0]\n[0 0 1 0 1 0 1 1 1 1 1 0 0 1 1 1 0 1 0 0 0 1 1 1 1 1 1 0 1 1 0 1 0 0 0 1 1 0 1 1\n    0 0 1 0 0 0 0 0 0 0 0 0 0 0 0 0 0 0 0 0 0 0]\n[1 1 1 0 1 0 1 0 0 0 0 0 1 1 0 0 0 1 0 1 1 1 0 0 0 0 0 0 1 0 0 0 1 0 0 0 1 1 0 1\n    1 0 0 1 0 0 0 0 0 0 0 0 0 0 0 0 0 0 0 0 0 0]\n[0 1 1 1 0 1 0 1 0 0 0 0 0 1 1 0 0 0 1 0 1 1 1 0 0 0 0 0 0 1 0 0 0 1 0 0 0 1 1 0\n    1 1 0 0 1 0 0 0 0 0 0 0 0 0 0 0 0 0 0 0 0 0]\n[1 1 1 0 1 1 1 0 1 0 0 1 1 0 1 1 1 0 1 0 1 1 1 1 0 0 0 1 0 0 0 1 0 0 1 1 1 0 0 0\n    0 1 0 0 0 1 0 0 0 0 0 0 0 0 0 0 0 0 0 0 0 0]\n[0 1 0 1 1 1 0 0 1 0 1 0 1 0 1 0 1 0 0 1 0 0 0 0 0 1 1 0 0 1 0 1 1 0 0 0 0 1 1 1\n    0 0 0 0 0 0 1 0 0 0 0 0 0 0 0 0 0 0 0 0 0 0]\n[1 1 0 1 0 0 0 1 1 0 1 0 1 0 1 0 1 0 1 1 0 1 1 1 1 1 0 0 1 1 0 0 1 1 0 0 0 0 1 1\n    1 0 0 0 0 0 0 1 0 0 0 0 0 0 0 0 0 0 0 0 0 0]\n[1 0 0 1 0 1 1 1 0 0 1 0 1 0 1 0 1 0 1 0 0 1 0 0 0 0 0 1 1 0 0 0 0 1 1 0 0 0 0 1\n    1 1 0 0 0 0 0 0 1 0 0 0 0 0 0 0 0 0 0 0 0 0]\n[0 1 1 0 0 0 0 0 0 1 1 1 0 0 1 0 0 0 0 1 0 1 0 1 1 1 1 0 0 0 0 1 0 0 1 0 1 0 1 1\n    1 1 0 0 0 0 0 0 0 1 0 0 0 0 0 0 0 0 0 0 0 0]\n[0 0 0 1 1 0 1 1 1 1 0 1 1 1 1 0 0 1 0 0 1 1 0 1 0 0 0 1 1 1 0 1 1 0 0 0 1 1 1 0\n    1 1 0 0 0 0 0 0 0 0 1 0 0 0 0 0 0 0 0 0 0 0]\n[1 1 0 1 1 0 0 1 1 1 1 1 0 1 1 1 1 0 0 1 1 1 1 0 1 0 0 1 1 1 0 1 1 1 0 1 1 1 0 0\n    0 1 0 0 0 0 0 0 0 0 0 1 0 0 0 0 0 0 0 0 0 0]\n[1 0 1 1 1 0 0 0 1 1 1 0 0 0 1 1 0 1 1 1 0 1 1 1 0 1 0 1 1 1 0 1 1 1 1 1 0 1 0 1\n    0 0 0 0 0 0 0 0 0 0 0 0 1 0 0 0 0 0 0 0 0 0]\n[1 0 1 0 0 0 1 1 1 0 0 0 1 1 1 0 0 1 0 0 0 1 0 0 0 1 0 1 0 0 0 0 1 1 1 1 1 0 1 0\n    1 0 0 0 0 0 0 0 0 0 0 0 0 1 0 0 0 0 0 0 0 0]\n[0 1 0 1 0 0 0 1 1 1 0 0 0 1 1 1 0 0 1 0 0 0 1 0 0 0 1 0 1 0 0 0 0 1 1 1 1 1 0 1\n    0 1 0 0 0 0 0 0 0 0 0 0 0 0 1 0 0 0 0 0 0 0]\n[0 0 0 0 0 0 1 1 0 0 0 0 0 1 0 0 1 1 0 1 0 1 1 0 1 1 1 1 1 0 0 1 0 0 1 0 0 1 0 1\n    1 0 0 0 0 0 0 0 0 0 0 0 0 0 0 1 0 0 0 0 0 0]\n[0 0 0 0 0 0 0 1 1 0 0 0 0 0 1 0 0 1 1 0 1 0 1 1 0 1 1 1 1 1 0 0 1 0 0 1 0 0 1 0\n    1 1 0 0 0 0 0 0 0 0 0 0 0 0 0 0 1 0 0 0 0 0]\n[1 1 0 1 0 1 0 0 1 1 0 1 1 0 0 1 1 0 0 0 1 1 0 1 1 0 1 0 1 1 0 1 0 1 0 1 0 0 1 0\n    0 1 0 0 0 0 0 0 0 0 0 0 0 0 0 0 0 1 0 0 0 0]\n[1 0 1 1 1 1 1 0 0 1 1 1 0 1 0 0 0 1 1 1 1 1 1 0 1 1 0 0 0 1 0 1 1 0 1 1 0 0 1 0\n    0 0 0 0 0 0 0 0 0 0 0 0 0 0 0 0 0 0 1 0 0 0]\n[1 0 1 0 0 0 0 0 1 1 0 0 0 1 0 1 1 1 0 0 0 0 0 0 1 0 0 1 1 1 0 0 1 1 0 1 1 0 0 1\n    0 0 0 0 0 0 0 0 0 0 0 0 0 0 0 0 0 0 0 1 0 0]\n[1 0 1 0 1 1 1 1 1 0 0 1 1 1 0 1 0 0 0 1 1 1 1 1 1 0 1 1 0 0 0 0 0 1 1 0 1 1 0 0\n    1 0 0 0 0 0 0 0 0 0 0 0 0 0 0 0 0 0 0 0 1 0]\n[0 1 0 1 0 1 1 1 1 1 0 0 1 1 1 0 1 0 0 0 1 1 1 1 1 1 0 1 1 0 0 0 0 0 1 1 0 1 1 0\n    0 1 0 0 0 0 0 0 0 0 0 0 0 0 0 0 0 0 0 0 0 1]\n[62, 21] Quasicyclic of degree 2 Linear Code over GF(2)\nGenerator matrix:\n[1 0 0 0 0 0 0 0 0 0 0 0 0 0 0 0 0 0 0 0 0 1 1 1 1 0 1 1 0 1 1 0 0 0 1 1 0 0 0 1\n    0 0 1 1 1 0 1 0 1 0 1 1 0 0 1 0 1 1 1 0 1 1]\n[0 1 0 0 0 0 0 0 0 0 0 0 0 0 0 0 0 0 0 0 0 1 0 0 0 1 1 0 1 1 0 1 0 0 1 0 1 0 0 1\n    1 0 1 0 0 1 1 1 1 1 1 0 1 0 1 1 1 0 0 1 1 0]\n[0 0 1 0 0 0 0 0 0 0 0 0 0 0 0 0 0 0 0 0 0 0 1 0 0 0 1 1 0 1 1 0 1 0 0 1 0 1 0 0\n    1 1 0 1 0 0 1 1 1 1 1 1 0 1 0 1 1 1 0 0 1 1]\n[0 0 0 1 0 0 0 0 0 0 0 0 0 0 0 0 0 0 0 0 0 1 1 0 1 0 1 0 1 1 0 1 0 1 1 1 1 0 1 1\n    0 1 0 1 0 0 1 1 0 1 0 0 1 0 0 0 0 0 0 0 1 0]\n[0 0 0 0 1 0 0 0 0 0 0 0 0 0 0 0 0 0 0 0 0 0 1 1 0 1 0 1 0 1 1 0 1 0 1 1 1 1 0 1\n    1 0 1 0 1 0 0 1 1 0 1 0 0 1 0 0 0 0 0 0 0 1]\n[0 0 0 0 0 1 0 0 0 0 0 0 0 0 0 0 0 0 0 0 0 1 1 0 0 0 0 1 1 1 0 1 0 1 1 0 1 1 1 1\n    1 1 1 0 1 1 1 0 0 1 1 0 0 0 0 0 1 1 1 0 1 1]\n[0 0 0 0 0 0 1 0 0 0 0 0 0 0 0 0 0 0 0 0 0 0 1 1 0 0 0 0 1 1 1 1 1 0 1 1 0 1 1 1\n    1 1 1 1 0 1 1 1 0 0 1 1 0 0 0 0 0 1 1 1 0 1]\n[0 0 0 0 0 0 0 1 0 0 0 0 0 0 0 0 0 0 0 0 0 1 1 0 0 0 1 1 0 0 0 1 1 1 1 0 1 0 1 0\n    1 1 0 0 0 0 0 1 0 0 1 0 1 0 1 0 1 1 0 1 0 1]\n[0 0 0 0 0 0 0 0 1 0 0 0 0 0 0 0 0 0 0 0 0 0 1 1 0 0 0 1 1 0 0 1 1 1 1 1 0 1 0 1\n    0 1 1 0 0 0 0 0 1 0 0 1 0 1 0 1 0 1 1 0 1 0]\n[0 0 0 0 0 0 0 0 0 1 0 0 0 0 0 0 0 0 0 0 0 0 0 1 1 0 0 0 1 1 0 0 1 1 1 1 1 0 1 0\n    1 0 1 1 0 0 0 0 0 1 0 0 1 0 1 0 1 0 1 1 0 1]\n[0 0 0 0 0 0 0 0 0 0 1 0 0 0 0 0 0 0 0 0 0 0 0 0 1 1 0 0 0 1 1 1 0 1 1 1 1 1 0 1\n    0 1 0 1 1 0 0 0 0 0 1 0 0 1 0 1 0 1 0 1 1 0]\n[0 0 0 0 0 0 0 0 0 0 0 1 0 0 0 0 0 0 0 0 0 1 1 1 1 1 0 1 0 1 0 0 1 0 0 0 1 1 1 1\n    1 0 0 1 0 1 1 0 1 0 1 0 0 0 0 0 0 1 0 0 0 0]\n[0 0 0 0 0 0 0 0 0 0 0 0 1 0 0 0 0 0 0 0 0 0 1 1 1 1 1 0 1 0 1 0 0 1 0 0 0 1 1 1\n    1 1 0 0 1 0 1 1 0 1 0 1 0 0 0 0 0 0 1 0 0 0]\n[0 0 0 0 0 0 0 0 0 0 0 0 0 1 0 0 0 0 0 0 0 1 1 0 0 1 0 0 0 0 1 0 0 0 0 1 0 0 1 0\n    1 1 0 1 1 1 1 1 0 0 0 1 1 0 1 0 1 1 1 1 1 1]\n[0 0 0 0 0 0 0 0 0 0 0 0 0 0 1 0 0 0 0 0 0 1 0 0 1 0 0 1 0 1 1 1 0 0 1 1 1 0 0 0\n    0 1 0 1 0 1 0 1 0 0 1 1 1 1 1 1 1 0 0 1 0 0]\n[0 0 0 0 0 0 0 0 0 0 0 0 0 0 0 1 0 0 0 0 0 1 0 1 1 1 1 1 1 1 0 0 1 0 1 0 1 1 0 1\n    0 0 0 1 0 0 0 0 0 0 1 0 1 1 0 1 0 0 1 0 0 1]\n[0 0 0 0 0 0 0 0 0 0 0 0 0 0 0 0 1 0 0 0 0 0 1 0 1 1 1 1 1 1 1 1 0 1 0 1 0 1 1 0\n    1 0 0 0 1 0 0 0 0 0 0 1 0 1 1 0 1 0 0 1 0 0]\n[0 0 0 0 0 0 0 0 0 0 0 0 0 0 0 0 0 1 0 0 0 1 1 0 1 1 0 0 1 0 0 0 1 0 0 1 1 0 1 0\n    0 1 1 1 1 1 1 0 1 0 1 1 1 0 0 1 1 0 1 0 0 1]\n[0 0 0 0 0 0 0 0 0 0 0 0 0 0 0 0 0 0 1 0 0 0 1 1 0 1 1 0 0 1 0 1 0 1 0 0 1 1 0 1\n    0 0 1 1 1 1 1 1 0 1 0 1 1 1 0 0 1 1 0 1 0 0]\n[0 0 0 0 0 0 0 0 0 0 0 0 0 0 0 0 0 0 0 1 0 0 0 1 1 0 1 1 0 0 1 0 1 0 1 0 0 1 1 0\n    1 0 0 1 1 1 1 1 1 0 1 0 1 1 1 0 0 1 1 0 1 0]\n[0 0 0 0 0 0 0 0 0 0 0 0 0 0 0 0 0 0 0 0 1 1 1 1 0 1 1 0 1 1 1 0 0 1 1 0 0 0 1 0\n    0 1 1 1 0 1 0 1 0 1 1 0 0 1 0 1 1 1 0 1 1 0]\nLinear Code over GF(2) of length 62 with 21 generators.\nLower Bound: 1, Upper Bound: 42\nConstructed 2 distinct generator matrices\nRelative Ranks:  21  20 \nCyclic Blocks:   31  31 \nTime Taken: 0.00\nStarting search for low weight codewords... (reset timings)\nEnumerating using 1 generator at a time:\n     New codeword identified of weight 23, time 0.00\n     New codeword identified of weight 22, time 0.00\n     New codeword identified of weight 21, time 0.00\n     New codeword identified of weight 17, time 0.00\n   Completed Matrix  1:  lower =  3, upper = 17. Elapsed: 0.00s\n   Completed Matrix  2:  lower =  5, upper = 17. Elapsed: 0.00s\nTermination predicted with 5 generators at matrix 2\nEnumerating using 2 generators at a time:\n   Completed Matrix  1:  lower =  7, upper = 17. Elapsed: 0.00s\n   Completed Matrix  2:  lower =  9, upper = 17. Elapsed: 0.00s\nTermination predicted with 5 generators at matrix 2\nEnumerating using 3 generators at a time:\n   Completed Matrix  1:  lower = 10, upper = 17. Elapsed: 0.00s\n   Completed Matrix  2:  lower = 11, upper = 17. Elapsed: 0.00s\nTermination predicted with 5 generators at matrix 2\nEnumerating using 4 generators at a time:\n   Completed Matrix  1:  lower = 13, upper = 17. Elapsed: 0.00s\n   Completed Matrix  2:  lower = 15, upper = 17. Elapsed: 0.00s\nTermination predicted with 5 generators at matrix 2\nEnumerating using 5 generators at a time:\n   Completed Matrix  1:  lower = 16, upper = 17. Elapsed: 0.00s\n   Completed Matrix  2:  lower = 17, upper = 17. Elapsed: 0.00s\nComputation complete 55790 vectors enumerated in total\n (2.660275% of 62 21 code)\nFinal Results: lower = 17, upper = 17,\nTotal CPU time: 0.00, real time: 0.003\n17\n\nTotal time: 0.010 seconds, Total memory usage: 32.09MB\n</t>
  </si>
  <si>
    <t>[[63,23,16]]</t>
  </si>
  <si>
    <t>Magma V2.28-26    Tue Dec 30 2025 09:50:19 on Marks-MacBook-Air-2 [Seed = \n3805817722]\nType ? for help.  Type &lt;Ctrl&gt;-D to quit.\n[1 0 1 0 1 0 0 1 0 1 0 0 0 1 0 1 0 0 1 0 0 0 1 0 1 1 1 1 0 0 1 1 1 0 0 0 0 0 0 1\n    0 0 0 0 0 0 0 0 0 0 0 0 0 0 0 0 0 0 0 0 0 0 0]\n[0 1 0 1 0 1 0 0 1 0 1 0 0 0 1 0 1 0 0 1 0 0 0 1 0 1 1 1 1 0 0 1 1 1 0 0 0 0 0 0\n    1 0 0 0 0 0 0 0 0 0 0 0 0 0 0 0 0 0 0 0 0 0 0]\n[0 0 0 1 0 1 0 1 0 0 1 0 1 0 0 0 1 0 1 0 0 1 0 0 0 1 0 1 1 1 1 0 0 1 1 1 0 0 0 0\n    0 0 1 0 0 0 0 0 0 0 0 0 0 0 0 0 0 0 0 0 0 0 0]\n[0 0 0 0 1 0 1 0 1 0 0 1 0 1 0 0 0 1 0 1 0 0 1 0 0 0 1 0 1 1 1 1 0 0 1 1 1 0 0 0\n    0 0 0 1 0 0 0 0 0 0 0 0 0 0 0 0 0 0 0 0 0 0 0]\n[0 0 1 0 1 1 1 1 0 0 0 1 1 0 1 1 0 1 1 0 0 0 0 1 1 0 1 0 1 0 1 1 0 1 1 1 1 1 0 0\n    0 1 0 0 1 0 0 0 0 0 0 0 0 0 0 0 0 0 0 0 0 0 0]\n[0 0 0 0 0 0 1 0 1 0 1 0 0 1 0 1 0 0 0 1 0 1 0 0 1 0 0 0 1 0 1 1 1 1 0 0 1 1 1 0\n    0 0 0 0 0 1 0 0 0 0 0 0 0 0 0 0 0 0 0 0 0 0 0]\n[1 0 1 0 1 0 0 0 0 0 0 1 0 1 1 1 1 0 1 0 1 0 0 0 1 0 1 1 0 1 1 0 0 1 1 0 0 1 1 0\n    0 0 0 0 0 0 1 0 0 0 0 0 0 0 0 0 0 0 0 0 0 0 0]\n[1 1 0 1 0 1 1 1 0 0 0 1 1 1 1 1 1 0 1 1 1 1 1 0 0 0 0 1 0 1 0 0 0 1 0 1 0 0 1 0\n    0 1 0 0 0 0 0 1 0 0 0 0 0 0 0 0 0 0 0 0 0 0 0]\n[1 1 1 1 1 1 0 1 1 0 1 1 0 0 1 1 0 0 0 1 0 0 0 1 0 0 0 1 1 0 1 1 0 0 1 1 1 0 0 0\n    0 1 0 0 0 0 0 0 1 0 0 0 0 0 0 0 0 0 0 0 0 0 0]\n[0 1 0 0 0 0 0 1 1 0 1 0 0 0 0 0 0 1 1 0 0 1 0 0 0 1 1 0 1 1 1 1 0 0 0 0 1 1 0 0\n    0 1 0 0 0 0 0 0 0 1 0 0 0 0 0 0 0 0 0 0 0 0 0]\n[0 0 1 1 0 1 0 1 1 1 1 1 1 0 0 0 1 0 0 1 0 1 1 0 0 1 1 0 1 0 0 1 1 1 1 1 0 1 1 0\n    0 0 0 0 0 0 0 0 0 0 1 0 0 0 0 0 0 0 0 0 0 0 0]\n[1 0 0 1 1 0 0 1 1 1 1 0 1 0 0 0 0 0 1 0 0 0 0 1 0 1 1 1 1 0 1 1 1 0 0 1 1 0 1 0\n    0 1 0 0 0 0 0 0 0 0 0 1 0 0 0 0 0 0 0 0 0 0 0]\n[1 1 0 1 1 0 1 0 1 1 0 0 1 0 0 0 1 1 0 1 1 1 1 0 1 0 1 0 1 1 0 0 1 1 0 1 1 1 0 0\n    0 1 0 0 0 0 0 0 0 0 0 0 1 0 0 0 0 0 0 0 0 0 0]\n[0 1 0 1 0 0 1 0 0 0 0 1 1 1 0 1 1 0 0 0 0 0 1 1 1 0 1 1 0 1 0 0 1 1 1 1 1 1 1 0\n    0 1 0 0 0 0 0 0 0 0 0 0 0 1 0 0 0 0 0 0 0 0 0]\n[1 0 0 1 0 1 0 1 0 1 1 0 0 0 1 1 0 1 0 0 0 1 1 1 0 1 1 1 0 1 1 1 1 0 0 0 1 1 1 0\n    0 0 0 0 0 0 0 0 0 0 0 0 0 0 1 0 0 0 0 0 0 0 0]\n[1 1 0 0 1 0 0 1 1 0 1 0 0 1 0 1 1 1 0 0 1 0 0 1 1 1 1 1 0 1 0 0 1 0 1 0 0 1 1 0\n    0 1 0 0 0 0 0 0 0 0 0 0 0 0 0 1 0 0 0 0 0 0 0]\n[1 1 0 1 1 0 0 0 1 0 1 1 1 1 1 1 0 1 1 0 0 0 1 0 0 1 0 1 0 1 1 1 1 0 1 0 0 0 1 0\n    0 0 0 0 0 0 0 0 0 0 0 0 0 0 0 0 1 0 0 0 0 0 0]\n[1 1 1 0 1 1 1 1 0 1 0 0 1 0 1 1 1 1 0 1 1 0 1 1 0 1 1 0 0 1 0 0 1 0 1 1 0 0 0 0\n    0 1 0 0 0 0 0 0 0 0 0 0 0 0 0 0 0 1 0 0 0 0 0]\n[0 1 1 0 0 0 1 0 1 0 0 0 1 1 0 1 0 1 0 0 1 0 0 1 1 1 1 0 1 1 0 0 0 0 1 0 1 0 0 0\n    0 0 0 0 0 0 0 0 0 0 0 0 0 0 0 0 0 0 1 0 0 0 0]\n[0 0 0 1 1 0 1 1 0 0 0 1 0 1 1 1 1 1 1 0 1 1 0 0 0 1 0 0 1 0 1 0 1 1 1 1 0 1 0 0\n    0 1 0 0 0 0 0 0 0 0 0 0 0 0 0 0 0 0 0 1 0 0 0]\n[0 0 1 1 0 0 1 0 1 1 1 1 0 0 1 0 0 0 0 1 1 0 1 0 1 1 0 0 0 1 1 1 1 1 1 0 1 0 1 0\n    0 1 0 0 0 0 0 0 0 0 0 0 0 0 0 0 0 0 0 0 1 0 0]\n[1 0 1 0 0 1 0 1 0 0 0 1 0 1 0 0 1 0 0 0 1 0 1 1 1 1 0 0 1 1 1 0 0 0 0 0 0 1 0 0\n    0 0 0 0 0 0 0 0 0 0 0 0 0 0 0 0 0 0 0 0 0 1 0]\n[0 1 1 1 1 0 0 0 1 1 0 1 1 0 1 1 0 0 0 0 1 1 0 1 0 1 0 1 1 0 1 1 1 1 1 0 0 0 1 0\n    0 1 0 0 0 0 0 0 0 0 0 0 0 0 0 0 0 0 0 0 0 0 1]\n[63, 23] Linear Code over GF(2)\nGenerator matrix:\n[1 0 0 0 0 0 0 0 0 0 0 0 0 0 0 0 0 0 0 0 0 0 0 0 1 0 1 0 1 0 0 1 0 1 0 0 0 1 0 1\n    0 0 1 0 0 0 1 0 1 1 1 1 0 0 1 1 1 0 0 0 0 0 0]\n[0 1 0 0 0 0 0 0 0 0 0 0 0 0 0 0 0 0 0 0 0 0 0 0 0 1 0 1 0 1 0 0 1 0 1 0 0 0 1 0\n    1 0 0 1 0 0 0 1 0 1 1 1 1 0 0 1 1 1 0 0 0 0 0]\n[0 0 1 0 0 0 0 0 0 0 0 0 0 0 0 0 0 0 0 0 0 0 0 1 0 1 1 1 1 0 0 0 1 1 0 1 1 0 1 1\n    0 0 0 0 1 1 0 1 0 1 0 1 1 0 1 1 1 1 1 0 0 0 1]\n[0 0 0 1 0 0 0 0 0 0 0 0 0 0 0 0 0 0 0 0 0 0 0 0 0 0 0 1 0 1 0 1 0 0 1 0 1 0 0 0\n    1 0 1 0 0 1 0 0 0 1 0 1 1 1 1 0 0 1 1 1 0 0 0]\n[0 0 0 0 1 0 0 0 0 0 0 0 0 0 0 0 0 0 0 0 0 0 0 0 0 0 0 0 1 0 1 0 1 0 0 1 0 1 0 0\n    0 1 0 1 0 0 1 0 0 0 1 0 1 1 1 1 0 0 1 1 1 0 0]\n[0 0 0 0 0 1 0 0 0 0 0 0 0 0 0 0 0 0 0 0 0 0 0 1 0 1 0 1 0 1 1 1 1 1 0 0 0 0 0 0\n    0 1 1 0 1 1 0 0 1 1 1 1 0 0 0 0 1 0 0 1 1 1 1]\n[0 0 0 0 0 0 1 0 0 0 0 0 0 0 0 0 0 0 0 0 0 0 0 0 0 0 0 0 0 0 1 0 1 0 1 0 0 1 0 1\n    0 0 0 1 0 1 0 0 1 0 0 0 1 0 1 1 1 1 0 0 1 1 1]\n[0 0 0 0 0 0 0 1 0 0 0 0 0 0 0 0 0 0 0 0 0 0 0 0 1 0 1 0 1 0 0 0 0 0 0 1 0 1 1 1\n    1 0 1 0 1 0 0 0 1 0 1 1 0 1 1 0 0 1 1 0 0 1 1]\n[0 0 0 0 0 0 0 0 1 0 0 0 0 0 0 0 0 0 0 0 0 0 0 1 1 0 1 0 1 1 1 1 1 1 0 0 0 1 0 0\n    1 0 1 1 0 0 1 1 0 1 0 0 1 1 1 1 1 0 1 1 0 0 0]\n[0 0 0 0 0 0 0 0 0 1 0 0 0 0 0 0 0 0 0 0 0 0 0 1 1 0 0 0 0 1 0 1 0 1 1 0 1 0 0 0\n    0 0 0 1 1 1 0 0 0 1 0 0 0 0 0 0 1 1 0 1 1 0 1]\n[0 0 0 0 0 0 0 0 0 0 1 0 0 0 0 0 0 0 0 0 0 0 0 1 0 0 1 1 1 0 0 1 0 1 1 1 1 0 1 1\n    0 1 1 0 1 0 0 1 0 0 1 1 0 1 0 0 1 1 1 0 1 1 1]\n[0 0 0 0 0 0 0 0 0 0 0 1 0 0 0 0 0 0 0 0 0 0 0 0 0 0 1 1 0 1 0 1 1 1 1 1 1 0 0 0\n    1 0 0 1 0 1 1 0 0 1 1 0 1 0 0 1 1 1 1 1 0 1 1]\n[0 0 0 0 0 0 0 0 0 0 0 0 1 0 0 0 0 0 0 0 0 0 0 1 1 1 1 0 0 0 0 1 0 0 1 1 0 0 1 1\n    0 0 1 0 1 1 0 0 0 0 1 0 0 0 0 0 0 1 1 1 1 0 0]\n[0 0 0 0 0 0 0 0 0 0 0 0 0 1 0 0 0 0 0 0 0 0 0 1 1 0 1 0 0 0 1 0 0 0 0 1 0 0 1 1\n    1 1 0 1 0 0 1 1 1 1 1 1 0 1 1 1 0 0 1 1 1 1 1]\n[0 0 0 0 0 0 0 0 0 0 0 0 0 0 1 0 0 0 0 0 0 0 0 1 0 0 1 0 1 0 1 0 1 1 0 0 0 1 1 0\n    1 0 0 0 1 1 1 0 1 1 1 0 1 1 1 1 0 0 0 1 1 1 0]\n[0 0 0 0 0 0 0 0 0 0 0 0 0 0 0 1 0 0 0 0 0 0 0 0 1 0 0 1 0 1 0 1 0 1 1 0 0 0 1 1\n    0 1 0 0 0 1 1 1 0 1 1 1 0 1 1 1 1 0 0 0 1 1 1]\n[0 0 0 0 0 0 0 0 0 0 0 0 0 0 0 0 1 0 0 0 0 0 0 1 1 0 1 1 0 0 0 1 0 1 1 1 1 1 1 0\n    1 1 0 0 0 1 0 0 1 0 1 0 1 1 1 1 0 1 0 0 0 1 0]\n[0 0 0 0 0 0 0 0 0 0 0 0 0 0 0 0 0 1 0 0 0 0 0 0 1 1 0 1 1 0 0 0 1 0 1 1 1 1 1 1\n    0 1 1 0 0 0 1 0 0 1 0 1 0 1 1 1 1 0 1 0 0 0 1]\n[0 0 0 0 0 0 0 0 0 0 0 0 0 0 0 0 0 0 1 0 0 0 0 1 1 0 0 1 0 1 1 1 1 0 0 1 0 0 0 0\n    1 1 0 1 0 1 1 0 0 0 1 1 1 1 1 1 0 1 0 1 0 0 1]\n[0 0 0 0 0 0 0 0 0 0 0 0 0 0 0 0 0 0 0 1 0 0 0 0 0 1 1 0 0 0 1 0 1 0 0 0 1 1 0 1\n    0 1 0 0 1 0 0 1 1 1 1 0 1 1 0 0 0 0 1 0 1 0 0]\n[0 0 0 0 0 0 0 0 0 0 0 0 0 0 0 0 0 0 0 0 1 0 0 1 0 1 1 0 0 0 1 1 1 1 0 0 1 1 0 0\n    1 1 1 0 0 0 0 1 0 0 0 1 0 0 0 1 0 0 0 1 0 1 1]\n[0 0 0 0 0 0 0 0 0 0 0 0 0 0 0 0 0 0 0 0 0 1 0 1 0 1 0 0 1 0 1 0 0 0 1 0 1 0 0 1\n    0 0 0 1 0 1 1 1 1 0 0 1 1 1 0 0 0 0 0 0 1 0 0]\n[0 0 0 0 0 0 0 0 0 0 0 0 0 0 0 0 0 0 0 0 0 0 1 0 1 0 1 0 0 1 0 1 0 0 0 1 0 1 0 0\n    1 0 0 0 1 0 1 1 1 1 0 0 1 1 1 0 0 0 0 0 0 1 0]\nLinear Code over GF(2) of length 63 with 23 generators.\nLower Bound: 1, Upper Bound: 41\nConstructed 3 distinct generator matrices\nRelative Ranks:  23  23  17 \nTime Taken: 0.00\nStarting search for low weight codewords... (reset timings)\nEnumerating using 1 generator at a time:\n     New codeword identified of weight 17, time 0.00\n   Completed Matrix  1:  lower =  3, upper = 17. Elapsed: 0.00s\n   Completed Matrix  2:  lower =  4, upper = 17. Elapsed: 0.00s\n     New codeword identified of weight 16, time 0.00\n   Completed Matrix  3:  lower =  4, upper = 16. Elapsed: 0.00s\nTermination predicted with 7 generators at matrix 1\nEnumerating using 2 generators at a time:\n   Completed Matrix  1:  lower =  5, upper = 16. Elapsed: 0.00s\n   Completed Matrix  2:  lower =  6, upper = 16. Elapsed: 0.00s\n   Completed Matrix  3:  lower =  6, upper = 16. Elapsed: 0.00s\nTermination predicted with 7 generators at matrix 1\nEnumerating using 3 generators at a time:\n   Completed Matrix  1:  lower =  7, upper = 16. Elapsed: 0.00s\n   Completed Matrix  2:  lower =  8, upper = 16. Elapsed: 0.00s\n   Completed Matrix  3:  lower =  8, upper = 16. Elapsed: 0.00s\nTermination predicted with 7 generators at matrix 1\nEnumerating using 4 generators at a time:\n   Completed Matrix  1:  lower =  9, upper = 16. Elapsed: 0.00s\n   Completed Matrix  2:  lower = 10, upper = 16. Elapsed: 0.00s\n   Completed Matrix  3:  lower = 10, upper = 16. Elapsed: 0.00s\nTermination predicted with 7 generators at matrix 1\nEnumerating using 5 generators at a time:\n   Completed Matrix  1:  lower = 11, upper = 16. Elapsed: 0.00s\n   Completed Matrix  2:  lower = 12, upper = 16. Elapsed: 0.00s\n   Completed Matrix  3:  lower = 12, upper = 16. Elapsed: 0.00s\nTermination predicted with 7 generators at matrix 1\nEnumerating using 6 generators at a time:\n   Completed Matrix  1:  lower = 13, upper = 16. Elapsed: 0.00s\n   Completed Matrix  2:  lower = 14, upper = 16. Elapsed: 0.00s\n   Completed Matrix  3:  lower = 15, upper = 16. Elapsed: 0.00s\nTermination predicted with 7 generators at matrix 1\nEnumerating using 7 generators at a time:\n   Completed Matrix  1:  lower = 16, upper = 16. Elapsed: 0.00s\nComputation complete 681651 vectors enumerated in total\n (8.125913% of 63 23 code)\nFinal Results: lower = 16, upper = 16,\nTotal CPU time: 0.00, real time: 0.003\n16\n\nTotal time: 0.010 seconds, Total memory usage: 32.09MB\n</t>
  </si>
  <si>
    <t>[[64,24,16]]</t>
  </si>
  <si>
    <t>Magma V2.28-26    Tue Dec 30 2025 09:50:19 on Marks-MacBook-Air-2 [Seed = \n3839765884]\nType ? for help.  Type &lt;Ctrl&gt;-D to quit.\n[1 0 1 0 1 0 0 1 0 1 0 0 0 1 0 1 0 0 1 0 0 0 1 0 1 1 1 1 0 0 1 1 1 0 0 0 0 0 0 1\n    0 0 0 0 0 0 0 0 0 0 0 0 0 0 0 0 0 0 0 0 0 0 0 0]\n[0 0 1 0 1 0 1 0 0 1 0 1 0 0 0 1 0 1 0 0 1 0 0 0 1 0 1 1 1 1 0 0 1 1 1 0 0 0 0 0\n    0 1 0 0 0 0 0 0 0 0 0 0 0 0 0 0 0 0 0 0 0 0 0 0]\n[0 0 0 1 0 1 0 1 0 0 1 0 1 0 0 0 1 0 1 0 0 1 0 0 0 1 0 1 1 1 1 0 0 1 1 1 0 0 0 0\n    0 0 1 0 0 0 0 0 0 0 0 0 0 0 0 0 0 0 0 0 0 0 0 0]\n[0 1 0 1 1 1 1 0 0 0 1 1 0 1 1 0 1 1 0 0 0 0 1 1 0 1 0 1 0 1 1 0 1 1 1 1 1 0 0 0\n    1 0 0 1 0 0 0 0 0 0 0 0 0 0 0 0 0 0 0 0 0 0 0 0]\n[0 0 0 0 0 1 0 1 0 1 0 0 1 0 1 0 0 0 1 0 1 0 0 1 0 0 0 1 0 1 1 1 1 0 0 1 1 1 0 0\n    0 0 0 0 1 0 0 0 0 0 0 0 0 0 0 0 0 0 0 0 0 0 0 0]\n[0 0 0 0 0 0 1 0 1 0 1 0 0 1 0 1 0 0 0 1 0 1 0 0 1 0 0 0 1 0 1 1 1 1 0 0 1 1 1 0\n    0 0 0 0 0 1 0 0 0 0 0 0 0 0 0 0 0 0 0 0 0 0 0 0]\n[1 1 1 1 1 1 0 0 1 0 1 1 0 1 0 1 0 0 1 1 1 0 0 1 1 1 0 0 1 1 1 1 1 0 1 0 0 1 1 0\n    1 0 0 0 0 0 1 0 0 0 0 0 0 0 0 0 0 0 0 0 0 0 0 0]\n[1 0 1 0 1 0 0 1 1 1 1 0 1 1 0 0 0 1 1 0 0 1 1 1 1 1 0 1 0 0 0 1 0 1 1 1 0 0 1 0\n    1 0 0 0 0 0 0 1 0 0 0 0 0 0 0 0 0 0 0 0 0 0 0 0]\n[1 0 0 0 0 0 1 1 0 1 0 0 0 0 0 0 1 1 0 0 1 0 0 0 1 1 0 1 1 1 1 0 0 0 0 1 1 0 0 0\n    1 0 0 0 0 0 0 0 1 0 0 0 0 0 0 0 0 0 0 0 0 0 0 0]\n[0 1 1 0 1 0 1 1 1 1 1 1 0 0 0 1 0 0 1 0 1 1 0 0 1 1 0 1 0 0 1 1 1 1 1 0 1 1 0 0\n    0 0 0 0 0 0 0 0 0 1 0 0 0 0 0 0 0 0 0 0 0 0 0 0]\n[0 1 1 0 0 0 0 1 0 1 0 1 1 0 1 0 0 0 0 0 0 1 1 1 0 0 0 1 0 0 0 0 0 0 1 1 0 1 1 0\n    1 0 0 0 0 0 0 0 0 0 1 0 0 0 0 0 0 0 0 0 0 0 0 0]\n[1 1 1 0 0 1 1 1 0 0 0 1 1 0 1 1 1 1 1 1 1 0 0 0 1 0 1 1 1 1 1 0 1 0 1 1 1 0 1 0\n    1 0 0 0 0 0 0 0 0 0 0 1 0 0 0 0 0 0 0 0 0 0 0 0]\n[1 0 1 0 0 1 0 0 0 0 1 1 1 0 1 1 0 0 0 0 0 1 1 1 0 1 1 0 1 0 0 1 1 1 1 1 1 1 0 0\n    1 0 0 0 0 0 0 0 0 0 0 0 1 0 0 0 0 0 0 0 0 0 0 0]\n[0 1 1 1 1 0 0 0 0 1 0 0 1 1 0 0 1 1 0 0 1 0 1 1 0 0 0 0 1 0 0 0 0 0 0 1 1 1 1 0\n    0 0 0 0 0 0 0 0 0 0 0 0 0 1 0 0 0 0 0 0 0 0 0 0]\n[1 1 0 0 0 0 0 1 1 1 0 0 0 0 0 1 1 1 0 1 0 1 1 0 0 0 0 0 1 1 1 0 0 1 0 0 1 1 1 0\n    1 0 0 0 0 0 0 0 0 0 0 0 0 0 1 0 0 0 0 0 0 0 0 0]\n[1 1 1 0 0 0 1 1 1 1 1 1 0 1 0 0 1 0 0 0 0 0 0 1 0 1 0 0 1 0 0 0 0 1 0 0 0 1 1 0\n    0 0 0 0 0 0 0 0 0 0 0 0 0 0 0 1 0 0 0 0 0 0 0 0]\n[1 0 0 0 1 1 0 0 0 0 0 1 1 1 0 1 1 1 1 1 0 0 1 1 0 0 1 0 1 1 1 0 0 1 1 0 0 0 1 0\n    1 0 0 0 0 0 0 0 0 0 0 0 0 0 0 0 1 0 0 0 0 0 0 0]\n[1 1 0 0 0 1 0 1 0 0 0 1 1 0 1 0 1 0 0 1 0 0 1 1 1 1 0 1 1 0 0 0 0 1 0 1 0 0 0 0\n    0 0 0 0 0 0 0 0 0 0 0 0 0 0 0 0 0 1 0 0 0 0 0 0]\n[0 0 1 1 0 1 1 0 0 0 1 0 1 1 1 1 1 1 0 1 1 0 0 0 1 0 0 1 0 1 0 1 1 1 1 0 1 0 0 0\n    1 0 0 0 0 0 0 0 0 0 0 0 0 0 0 0 0 0 1 0 0 0 0 0]\n[0 1 1 0 0 1 0 1 1 1 1 0 0 1 0 0 0 0 1 1 0 1 0 1 1 0 0 0 1 1 1 1 1 1 0 1 0 1 0 0\n    1 0 0 0 0 0 0 0 0 0 0 0 0 0 0 0 0 0 0 1 0 0 0 0]\n[0 0 0 1 1 0 0 0 1 0 1 0 0 0 1 1 0 1 0 1 0 0 1 0 0 1 1 1 1 0 1 1 0 0 0 0 1 0 1 0\n    0 0 0 0 0 0 0 0 0 0 0 0 0 0 0 0 0 0 0 0 1 0 0 0]\n[1 1 1 1 0 0 0 1 1 0 1 1 0 1 1 0 0 0 0 1 1 0 1 0 1 0 1 1 0 1 1 1 1 1 0 0 0 1 0 0\n    1 0 0 0 0 0 0 0 0 0 0 0 0 0 0 0 0 0 0 0 0 1 0 0]\n[0 1 0 1 0 0 1 0 1 0 0 0 1 0 1 0 0 1 0 0 0 1 0 1 1 1 1 0 0 1 1 1 0 0 0 0 0 0 1 0\n    0 0 0 0 0 0 0 0 0 0 0 0 0 0 0 0 0 0 0 0 0 0 1 0]\n[0 1 0 1 0 1 0 0 1 0 1 0 0 0 1 0 1 0 0 1 0 0 0 1 0 1 1 1 1 0 0 1 1 1 0 0 0 0 0 0\n    1 0 0 0 0 0 0 0 0 0 0 0 0 0 0 0 0 0 0 0 0 0 0 1]\n[64, 24] Linear Code over GF(2)\nGenerator matrix:\n[1 0 0 0 0 0 0 0 0 0 0 0 0 0 0 0 0 0 0 0 0 0 0 0 1 0 1 0 1 0 0 1 0 1 0 0 0 1 0 1\n    0 0 1 0 0 0 1 0 1 1 1 1 0 0 1 1 1 0 0 0 0 0 0 0]\n[0 1 0 0 0 0 0 0 0 0 0 0 0 0 0 0 0 0 0 0 0 0 0 0 0 1 0 1 0 1 0 0 1 0 1 0 0 0 1 0\n    1 0 0 1 0 0 0 1 0 1 1 1 1 0 0 1 1 1 0 0 0 0 0 1]\n[0 0 1 0 0 0 0 0 0 0 0 0 0 0 0 0 0 0 0 0 0 0 0 0 0 0 1 0 1 0 1 0 0 1 0 1 0 0 0 1\n    0 1 0 0 1 0 0 0 1 0 1 1 1 1 0 0 1 1 1 0 0 0 0 0]\n[0 0 0 1 0 0 0 0 0 0 0 0 0 0 0 0 0 0 0 0 0 0 0 0 0 0 0 1 0 1 0 1 0 0 1 0 1 0 0 0\n    1 0 1 0 0 1 0 0 0 1 0 1 1 1 1 0 0 1 1 1 0 0 0 0]\n[0 0 0 0 1 0 0 0 0 0 0 0 0 0 0 0 0 0 0 0 0 0 0 0 0 0 0 0 1 0 1 0 1 0 0 1 0 1 0 0\n    0 1 0 1 0 0 1 0 0 0 1 0 1 1 1 1 0 0 1 1 1 0 0 1]\n[0 0 0 0 0 1 0 0 0 0 0 0 0 0 0 0 0 0 0 0 0 0 0 0 0 0 0 0 0 1 0 1 0 1 0 0 1 0 1 0\n    0 0 1 0 1 0 0 1 0 0 0 1 0 1 1 1 1 0 0 1 1 1 0 0]\n[0 0 0 0 0 0 1 0 0 0 0 0 0 0 0 0 0 0 0 0 0 0 0 0 0 0 0 0 0 0 1 0 1 0 1 0 0 1 0 1\n    0 0 0 1 0 1 0 0 1 0 0 0 1 0 1 1 1 1 0 0 1 1 1 0]\n[0 0 0 0 0 0 0 1 0 0 0 0 0 0 0 0 0 0 0 0 0 0 0 0 1 0 1 0 1 0 0 0 0 0 0 1 0 1 1 1\n    1 0 1 0 1 0 0 0 1 0 1 1 0 1 1 0 0 1 1 0 0 1 1 1]\n[0 0 0 0 0 0 0 0 1 0 0 0 0 0 0 0 0 0 0 0 0 0 0 0 1 1 1 1 1 1 0 1 0 1 0 0 1 1 1 0\n    1 1 1 1 0 1 1 0 1 0 1 0 1 0 0 0 1 0 1 1 0 0 1 1]\n[0 0 0 0 0 0 0 0 0 1 0 0 0 0 0 0 0 0 0 0 0 0 0 0 1 1 0 1 0 1 1 1 1 1 1 0 0 0 1 0\n    0 1 0 1 1 0 0 1 1 0 1 0 0 1 1 1 1 1 0 1 1 0 0 1]\n[0 0 0 0 0 0 0 0 0 0 1 0 0 0 0 0 0 0 0 0 0 0 0 0 0 1 1 0 1 0 1 1 1 1 1 1 0 0 0 1\n    0 0 1 0 1 1 0 0 1 1 0 1 0 0 1 1 1 1 1 0 1 1 0 0]\n[0 0 0 0 0 0 0 0 0 0 0 1 0 0 0 0 0 0 0 0 0 0 0 0 0 0 1 1 0 1 0 1 1 1 1 1 1 0 0 0\n    1 0 0 1 0 1 1 0 0 1 1 0 1 0 0 1 1 1 1 1 0 1 1 1]\n[0 0 0 0 0 0 0 0 0 0 0 0 1 0 0 0 0 0 0 0 0 0 0 0 1 0 1 1 0 0 1 1 1 0 1 1 1 0 0 1\n    0 1 1 0 1 0 0 1 1 1 0 0 0 1 1 1 0 1 1 1 1 0 1 1]\n[0 0 0 0 0 0 0 0 0 0 0 0 0 1 0 0 0 0 0 0 0 0 0 0 1 1 1 1 0 0 0 0 1 0 0 1 1 0 0 1\n    1 0 0 1 0 1 1 0 0 0 0 1 0 0 0 0 0 0 1 1 1 1 0 1]\n[0 0 0 0 0 0 0 0 0 0 0 0 0 0 1 0 0 0 0 0 0 0 0 0 0 1 1 1 1 0 0 0 0 1 0 0 1 1 0 0\n    1 1 0 0 1 0 1 1 0 0 0 0 1 0 0 0 0 0 0 1 1 1 1 0]\n[0 0 0 0 0 0 0 0 0 0 0 0 0 0 0 1 0 0 0 0 0 0 0 0 1 0 0 1 0 1 0 1 0 1 1 0 0 0 1 1\n    0 1 0 0 0 1 1 1 0 1 1 1 0 1 1 1 1 0 0 0 1 1 1 1]\n[0 0 0 0 0 0 0 0 0 0 0 0 0 0 0 0 1 0 0 0 0 0 0 0 1 1 1 0 0 0 1 1 1 1 1 1 0 1 0 0\n    1 0 0 0 0 0 0 1 0 1 0 0 1 0 0 0 0 1 0 0 0 1 1 0]\n[0 0 0 0 0 0 0 0 0 0 0 0 0 0 0 0 0 1 0 0 0 0 0 0 1 1 0 1 1 0 0 0 1 0 1 1 1 1 1 1\n    0 1 1 0 0 0 1 0 0 1 0 1 0 1 1 1 1 0 1 0 0 0 1 1]\n[0 0 0 0 0 0 0 0 0 0 0 0 0 0 0 0 0 0 1 0 0 0 0 0 1 1 0 0 0 1 0 1 0 0 0 1 1 0 1 0\n    1 0 0 1 0 0 1 1 1 1 0 1 1 0 0 0 0 1 0 1 0 0 0 0]\n[0 0 0 0 0 0 0 0 0 0 0 0 0 0 0 0 0 0 0 1 0 0 0 0 0 1 1 0 0 0 1 0 1 0 0 0 1 1 0 1\n    0 1 0 0 1 0 0 1 1 1 1 0 1 1 0 0 0 0 1 0 1 0 0 1]\n[0 0 0 0 0 0 0 0 0 0 0 0 0 0 0 0 0 0 0 0 1 0 0 0 0 0 1 1 0 0 0 1 0 1 0 0 0 1 1 0\n    1 0 1 0 0 1 0 0 1 1 1 1 0 1 1 0 0 0 0 1 0 1 0 1]\n[0 0 0 0 0 0 0 0 0 0 0 0 0 0 0 0 0 0 0 0 0 1 0 0 0 0 0 1 1 0 0 0 1 0 1 0 0 0 1 1\n    0 1 0 1 0 0 1 0 0 1 1 1 1 0 1 1 0 0 0 0 1 0 1 0]\n[0 0 0 0 0 0 0 0 0 0 0 0 0 0 0 0 0 0 0 0 0 0 1 0 1 0 1 0 0 1 0 1 0 0 0 1 0 1 0 0\n    1 0 0 0 1 0 1 1 1 1 0 0 1 1 1 0 0 0 0 0 0 1 0 1]\n[0 0 0 0 0 0 0 0 0 0 0 0 0 0 0 0 0 0 0 0 0 0 0 1 0 1 0 1 0 0 1 0 1 0 0 0 1 0 1 0\n    0 1 0 0 0 1 0 1 1 1 1 0 0 1 1 1 0 0 0 0 0 0 1 0]\nLinear Code over GF(2) of length 64 with 24 generators.\nLower Bound: 1, Upper Bound: 41\nConstructed 3 distinct generator matrices\nRelative Ranks:  24  24  16 \nTime Taken: 0.00\nStarting search for low weight codewords... (reset timings)\nEnumerating using 1 generator at a time:\n     New codeword identified of weight 17, time 0.00\n     Discarding non-contributing rank 16 matrix\n     New Relative Ranks:  24  24 \n   Completed Matrix  1:  lower =  3, upper = 17. Elapsed: 0.00s\n   Completed Matrix  2:  lower =  4, upper = 17. Elapsed: 0.00s\nTermination predicted with 8 generators at matrix 1\nEnumerating using 2 generators at a time:\n     New codeword identified of weight 16, time 0.00\n   Completed Matrix  1:  lower =  5, upper = 16. Elapsed: 0.00s\n   Completed Matrix  2:  lower =  6, upper = 16. Elapsed: 0.00s\nTermination predicted with 7 generators at matrix 2\nEnumerating using 3 generators at a time:\n   Completed Matrix  1:  lower =  7, upper = 16. Elapsed: 0.00s\n   Completed Matrix  2:  lower =  8, upper = 16. Elapsed: 0.00s\nTermination predicted with 7 generators at matrix 2\nEnumerating using 4 generators at a time:\n   Completed Matrix  1:  lower =  9, upper = 16. Elapsed: 0.00s\n   Completed Matrix  2:  lower = 10, upper = 16. Elapsed: 0.00s\nTermination predicted with 7 generators at matrix 2\nEnumerating using 5 generators at a time:\n   Completed Matrix  1:  lower = 11, upper = 16. Elapsed: 0.00s\n   Completed Matrix  2:  lower = 12, upper = 16. Elapsed: 0.00s\nTermination predicted with 7 generators at matrix 2\nEnumerating using 6 generators at a time:\n   Completed Matrix  1:  lower = 13, upper = 16. Elapsed: 0.00s\n   Completed Matrix  2:  lower = 14, upper = 16. Elapsed: 0.00s\nTermination predicted with 7 generators at matrix 2\nEnumerating using 7 generators at a time:\n   Completed Matrix  1:  lower = 15, upper = 16. Elapsed: 0.00s\n   Completed Matrix  2:  lower = 16, upper = 16. Elapsed: 0.00s\nComputation complete 1072308 vectors enumerated in total\n (6.391454% of 64 24 code)\nFinal Results: lower = 16, upper = 16,\nTotal CPU time: 0.00, real time: 0.004\n16\n\nTotal time: 0.010 seconds, Total memory usage: 32.09MB\n</t>
  </si>
  <si>
    <t>[[65,31,13]]</t>
  </si>
  <si>
    <t>Magma V2.28-26    Tue Dec 30 2025 09:50:19 on Marks-MacBook-Air-2 [Seed = \n4006881142]\nType ? for help.  Type &lt;Ctrl&gt;-D to quit.\n[1 0 1 0 1 1 0 1 1 0 0 0 1 0 0 1 1 0 1 1 0 1 1 0 1 0 0 0 0 1 1 1 0 1 1 0 0 0 0 0\n    0 0 0 0 0 0 0 0 0 0 0 0 0 0 0 0 0 0 0 0 0 0 0 0 0]\n[1 1 1 1 1 0 1 1 0 1 0 0 1 1 0 1 0 1 1 0 1 1 0 1 1 1 0 0 0 1 0 0 1 1 0 1 0 0 0 0\n    0 0 0 0 0 0 0 0 0 0 0 0 0 0 0 0 0 0 0 0 0 0 0 0 0]\n[1 1 0 1 0 0 0 0 0 0 1 0 1 1 1 1 0 0 0 0 0 0 0 0 0 1 1 0 0 1 0 1 0 0 0 0 1 0 0 0\n    0 0 0 0 0 0 0 0 0 0 0 0 0 0 0 0 0 0 0 0 0 0 0 0 0]\n[1 1 1 0 1 0 0 0 0 0 0 1 0 1 1 1 1 0 0 0 0 0 0 0 0 0 1 1 0 0 1 0 1 0 0 0 0 1 0 0\n    0 0 0 0 0 0 0 0 0 0 0 0 0 0 0 0 0 0 0 0 0 0 0 0 0]\n[1 1 1 1 0 1 0 0 0 0 0 0 1 0 1 1 1 1 0 0 0 0 0 0 0 0 0 1 1 0 0 1 0 1 0 0 0 0 1 0\n    0 0 0 0 0 0 0 0 0 0 0 0 0 0 0 0 0 0 0 0 0 0 0 0 0]\n[0 1 0 1 0 1 1 1 1 0 0 0 1 1 0 0 0 1 0 1 0 1 1 0 1 0 0 0 1 0 1 1 1 1 0 0 0 0 0 1\n    0 0 0 0 0 0 0 0 0 0 0 0 0 0 0 0 0 0 0 0 0 0 0 0 0]\n[1 0 0 0 0 1 1 0 0 1 0 0 1 1 1 1 1 0 0 1 1 1 0 1 1 1 0 0 0 0 1 0 1 0 0 0 0 0 0 0\n    1 0 0 0 0 0 0 0 0 0 0 0 0 0 0 0 0 0 0 0 0 0 0 0 0]\n[0 1 0 0 0 0 1 1 0 0 1 0 0 1 1 1 1 1 0 0 1 1 1 0 1 1 1 0 0 0 0 1 0 1 0 0 0 0 0 0\n    0 1 0 0 0 0 0 0 0 0 0 0 0 0 0 0 0 0 0 0 0 0 0 0 0]\n[0 0 0 0 1 1 0 0 0 0 0 1 1 0 1 0 0 1 0 1 0 0 0 1 1 1 1 1 0 1 1 1 1 1 0 0 0 0 0 0\n    0 0 1 0 0 0 0 0 0 0 0 0 0 0 0 0 0 0 0 0 0 0 0 0 0]\n[0 0 1 0 1 0 1 1 1 0 0 0 0 1 0 0 1 0 0 1 1 1 1 0 0 1 1 1 1 1 0 0 1 0 0 0 0 0 0 0\n    0 0 0 1 0 0 0 0 0 0 0 0 0 0 0 0 0 0 0 0 0 0 0 0 0]\n[0 0 0 1 0 1 0 1 1 1 0 0 0 0 1 0 0 1 0 0 1 1 1 1 0 0 1 1 1 1 1 0 0 1 0 0 0 0 0 0\n    0 0 0 0 1 0 0 0 0 0 0 0 0 0 0 0 0 0 0 0 0 0 0 0 0]\n[0 0 1 0 0 1 1 1 0 1 1 0 1 0 0 0 1 0 0 1 0 0 0 1 0 0 0 1 1 0 0 0 0 1 0 0 0 0 0 0\n    0 0 0 0 0 1 0 0 0 0 0 0 0 0 0 0 0 0 0 0 0 0 0 0 0]\n[0 0 1 1 1 1 1 0 0 0 1 1 1 1 0 1 1 1 1 1 1 1 1 0 0 0 0 0 1 0 1 1 0 1 0 0 0 0 0 0\n    0 0 0 0 0 0 1 0 0 0 0 0 0 0 0 0 0 0 0 0 0 0 0 0 0]\n[1 0 1 1 0 0 1 0 1 0 0 1 0 1 1 1 0 1 0 0 1 0 0 1 1 0 0 0 0 0 1 0 1 1 0 0 0 0 0 0\n    0 0 0 0 0 0 0 1 0 0 0 0 0 0 0 0 0 0 0 0 0 0 0 0 0]\n[0 1 1 1 0 1 0 0 1 1 0 0 0 0 1 0 0 0 0 1 0 0 1 0 0 1 0 0 0 1 1 0 0 0 0 0 0 0 0 0\n    0 0 0 0 0 0 0 0 1 0 0 0 0 0 0 0 0 0 0 0 0 0 0 0 0]\n[1 0 1 1 1 0 1 0 0 1 1 0 0 0 0 1 0 0 0 0 1 0 0 1 0 0 1 0 0 0 1 1 0 0 0 0 0 0 0 0\n    0 0 0 0 0 0 0 0 0 1 0 0 0 0 0 0 0 0 0 0 0 0 0 0 0]\n[1 1 0 1 1 1 0 1 0 0 1 1 0 0 0 0 1 0 0 0 0 1 0 0 1 0 0 1 0 0 0 1 1 0 0 0 0 0 0 0\n    0 0 0 0 0 0 0 0 0 0 1 0 0 0 0 0 0 0 0 0 0 0 0 0 0]\n[1 1 1 0 1 1 1 0 1 0 0 1 1 0 0 0 0 1 0 0 0 0 1 0 0 1 0 0 1 0 0 0 1 1 0 0 0 0 0 0\n    0 0 0 0 0 0 0 0 0 0 0 1 0 0 0 0 0 0 0 0 0 0 0 0 0]\n[1 1 0 1 1 0 1 0 1 1 0 0 0 1 0 1 1 0 0 1 0 1 1 1 1 0 1 0 0 0 1 1 0 0 0 0 0 0 0 0\n    0 0 0 0 0 0 0 0 0 0 0 0 1 0 0 0 0 0 0 0 0 0 0 0 0]\n[0 1 1 0 1 1 0 1 0 1 1 0 0 0 1 0 1 1 0 0 1 0 1 1 1 1 0 1 0 0 0 1 1 0 0 0 0 0 0 0\n    0 0 0 0 0 0 0 0 0 0 0 0 0 1 0 0 0 0 0 0 0 0 0 0 0]\n[0 0 1 1 0 1 1 0 1 0 1 1 0 0 0 1 0 1 1 0 0 1 0 1 1 1 1 0 1 0 0 0 1 1 0 0 0 0 0 0\n    0 0 0 0 0 0 0 0 0 0 0 0 0 0 1 0 0 0 0 0 0 0 0 0 0]\n[0 0 1 1 0 1 1 0 1 1 0 1 0 0 0 1 0 0 0 0 0 1 0 0 0 1 1 1 0 0 1 1 0 0 0 0 0 0 0 0\n    0 0 0 0 0 0 0 0 0 0 0 0 0 0 0 1 0 0 0 0 0 0 0 0 0]\n[0 0 0 1 1 0 1 1 0 1 1 0 1 0 0 0 1 0 0 0 0 0 1 0 0 0 1 1 1 0 0 1 1 0 0 0 0 0 0 0\n    0 0 0 0 0 0 0 0 0 0 0 0 0 0 0 0 1 0 0 0 0 0 0 0 0]\n[0 0 0 0 1 1 0 1 1 0 1 1 0 1 0 0 0 1 0 0 0 0 0 1 0 0 0 1 1 1 0 0 1 1 0 0 0 0 0 0\n    0 0 0 0 0 0 0 0 0 0 0 0 0 0 0 0 0 1 0 0 0 0 0 0 0]\n[0 0 1 0 1 0 1 1 0 1 0 1 0 0 1 1 1 0 0 1 0 1 1 0 0 0 0 0 1 0 0 1 0 0 0 0 0 0 0 0\n    0 0 0 0 0 0 0 0 0 0 0 0 0 0 0 0 0 0 1 0 0 0 0 0 0]\n[0 0 0 1 0 1 0 1 1 0 1 0 1 0 0 1 1 1 0 0 1 0 1 1 0 0 0 0 0 1 0 0 1 0 0 0 0 0 0 0\n    0 0 0 0 0 0 0 0 0 0 0 0 0 0 0 0 0 0 0 1 0 0 0 0 0]\n[0 0 0 0 1 0 1 0 1 1 0 1 0 1 0 0 1 1 1 0 0 1 0 1 1 0 0 0 0 0 1 0 0 1 0 0 0 0 0 0\n    0 0 0 0 0 0 0 0 0 0 0 0 0 0 0 0 0 0 0 0 1 0 0 0 0]\n[0 0 1 0 1 0 0 0 1 1 1 0 0 0 1 1 1 1 0 0 0 1 0 0 0 1 0 0 0 1 1 0 0 1 0 0 0 0 0 0\n    0 0 0 0 0 0 0 0 0 0 0 0 0 0 0 0 0 0 0 0 0 1 0 0 0]\n[1 0 1 1 1 0 0 1 1 1 1 1 1 0 0 0 0 1 0 1 0 1 0 0 1 0 1 0 0 1 0 0 0 1 0 0 0 0 0 0\n    0 0 0 0 0 0 0 0 0 0 0 0 0 0 0 0 0 0 0 0 0 0 1 0 0]\n[1 1 1 1 0 0 0 1 0 1 1 1 0 1 0 1 1 0 0 1 1 1 0 0 1 1 0 1 0 1 0 1 0 1 0 0 0 0 0 0\n    0 0 0 0 0 0 0 0 0 0 0 0 0 0 0 0 0 0 0 0 0 0 0 1 0]\n[0 1 0 1 0 1 0 1 0 0 1 1 0 0 1 1 0 1 1 1 1 0 0 0 1 1 1 0 1 1 0 1 1 1 0 0 0 0 0 0\n    0 0 0 0 0 0 0 0 0 0 0 0 0 0 0 0 0 0 0 0 0 0 0 0 1]\n[65, 31] Linear Code over GF(2)\nGenerator matrix:\n[1 0 0 0 0 0 0 0 0 0 0 0 0 0 0 0 0 0 0 0 0 0 0 0 0 0 0 0 0 0 0 1 1 0 0 1 0 0 1 0\n    1 1 1 0 0 1 0 0 0 0 0 0 0 1 0 1 1 0 1 0 1 0 0 0 0]\n[0 1 0 0 0 0 0 0 0 0 0 0 0 0 0 0 0 0 0 0 0 0 0 0 0 0 0 0 0 0 0 1 0 1 0 1 1 0 1 1\n    1 0 0 1 0 1 1 0 0 0 0 0 0 1 1 1 0 1 1 1 1 1 0 0 0]\n[0 0 1 0 0 0 0 0 0 0 0 0 0 0 0 0 0 0 0 0 0 0 0 0 0 0 0 0 0 0 0 0 1 0 1 0 1 1 0 1\n    1 1 0 0 1 0 1 1 0 0 0 0 0 0 1 1 1 0 1 1 1 1 1 0 0]\n[0 0 0 1 0 0 0 0 0 0 0 0 0 0 0 0 0 0 0 0 0 0 0 0 0 0 0 0 0 0 0 1 1 1 0 0 0 1 0 0\n    0 0 0 0 0 0 0 1 1 0 0 0 0 1 0 0 0 1 1 1 0 1 1 1 0]\n[0 0 0 0 1 0 0 0 0 0 0 0 0 0 0 0 0 0 0 0 0 0 0 0 0 0 0 0 0 0 0 1 0 1 1 1 0 0 0 0\n    1 1 1 0 0 1 0 0 1 1 0 0 0 1 1 1 1 0 0 1 0 0 1 1 1]\n[0 0 0 0 0 1 0 0 0 0 0 0 0 0 0 0 0 0 0 0 0 0 0 0 0 0 0 0 0 0 0 1 0 1 0 0 1 1 0 0\n    0 1 1 1 1 0 0 1 1 0 1 0 0 0 1 1 1 1 0 1 0 0 0 0 1]\n[0 0 0 0 0 0 1 0 0 0 0 0 0 0 0 0 0 0 0 0 0 0 0 0 0 0 0 0 0 0 0 0 1 1 0 0 0 0 0 0\n    1 1 0 1 0 0 1 1 0 0 0 1 0 1 0 0 0 1 0 1 1 0 0 1 0]\n[0 0 0 0 0 0 0 1 0 0 0 0 0 0 0 0 0 0 0 0 0 0 0 0 0 0 0 0 0 0 0 1 1 1 1 1 0 0 1 0\n    1 0 0 0 1 1 0 1 1 0 0 0 1 1 1 1 1 0 0 0 0 1 0 0 1]\n[0 0 0 0 0 0 0 0 1 0 0 0 0 0 0 0 0 0 0 0 0 0 0 0 0 0 0 0 0 0 0 0 1 0 0 1 1 1 1 1\n    1 0 1 0 1 0 0 1 0 0 0 0 0 0 1 0 0 1 1 1 0 0 1 1 0]\n[0 0 0 0 0 0 0 0 0 1 0 0 0 0 0 0 0 0 0 0 0 0 0 0 0 0 0 0 0 0 0 1 1 1 0 1 1 1 0 1\n    0 0 1 1 0 0 0 0 1 0 0 0 0 1 0 0 1 0 0 1 0 0 0 1 1]\n[0 0 0 0 0 0 0 0 0 0 1 0 0 0 0 0 0 0 0 0 0 0 0 0 0 0 0 0 0 0 0 1 0 0 0 1 1 0 1 0\n    1 0 0 1 0 0 1 1 1 0 0 0 0 0 1 0 0 1 0 1 0 0 0 1 1]\n[0 0 0 0 0 0 0 0 0 0 0 1 0 0 0 0 0 0 0 0 0 0 0 0 0 0 0 0 0 0 0 1 0 1 1 1 1 0 0 1\n    0 1 0 0 0 0 1 0 0 0 0 0 0 0 0 1 0 0 1 1 0 0 0 1 1]\n[0 0 0 0 0 0 0 0 0 0 0 0 1 0 0 0 0 0 0 0 0 0 0 0 0 0 0 0 0 0 0 1 0 1 0 0 1 0 0 0\n    1 0 1 0 1 0 1 0 1 1 0 0 0 0 0 0 1 0 0 0 0 0 0 1 1]\n[0 0 0 0 0 0 0 0 0 0 0 0 0 1 0 0 0 0 0 0 0 0 0 0 0 0 0 0 0 0 0 0 1 1 0 0 0 0 1 0\n    1 0 1 1 1 0 1 0 1 0 1 0 0 1 0 1 1 1 1 1 0 0 0 1 1]\n[0 0 0 0 0 0 0 0 0 0 0 0 0 0 1 0 0 0 0 0 0 0 0 0 0 0 0 0 0 0 0 1 1 0 0 1 0 1 0 1\n    0 1 0 1 0 1 1 0 1 0 0 1 0 0 1 0 1 1 1 0 0 0 0 1 1]\n[0 0 0 0 0 0 0 0 0 0 0 0 0 0 0 1 0 0 0 0 0 0 0 0 0 0 0 0 0 0 0 1 0 0 1 1 1 1 1 0\n    1 0 1 0 0 0 0 0 1 0 0 0 1 0 0 1 0 1 1 0 1 0 0 1 1]\n[0 0 0 0 0 0 0 0 0 0 0 0 0 0 0 0 1 0 0 0 0 0 0 0 0 0 0 0 0 0 0 0 1 1 1 1 1 0 0 1\n    1 0 1 1 1 1 1 1 1 0 0 0 0 0 0 1 0 0 0 0 0 1 0 1 1]\n[0 0 0 0 0 0 0 0 0 0 0 0 0 0 0 0 0 1 0 0 0 0 0 0 0 0 0 0 0 0 0 1 1 0 0 0 1 0 0 0\n    1 1 0 1 0 1 0 0 0 0 0 0 0 0 0 0 1 0 0 1 1 0 1 1 1]\n[0 0 0 0 0 0 0 0 0 0 0 0 0 0 0 0 0 0 1 0 0 0 0 0 0 0 0 0 0 0 0 1 0 0 1 1 0 0 0 0\n    0 1 1 0 0 0 0 1 1 1 0 0 0 0 0 0 0 1 0 1 0 1 0 0 1]\n[0 0 0 0 0 0 0 0 0 0 0 0 0 0 0 0 0 0 0 1 0 0 0 0 0 0 0 0 0 0 0 0 1 1 1 1 1 1 1 0\n    1 1 0 1 1 1 1 1 0 0 1 0 0 1 0 1 1 0 0 1 1 0 1 1 0]\n[0 0 0 0 0 0 0 0 0 0 0 0 0 0 0 0 0 0 0 0 1 0 0 0 0 0 0 0 0 0 0 0 0 1 1 1 1 1 1 1\n    0 1 1 0 1 1 1 1 1 0 0 1 0 0 1 0 1 1 0 0 1 1 0 1 1]\n[0 0 0 0 0 0 0 0 0 0 0 0 0 0 0 0 0 0 0 0 0 1 0 0 0 0 0 0 0 0 0 1 1 1 0 0 1 0 1 1\n    1 0 1 1 1 1 0 0 0 0 0 0 1 0 0 1 0 1 1 1 1 1 1 1 1]\n[0 0 0 0 0 0 0 0 0 0 0 0 0 0 0 0 0 0 0 0 0 0 1 0 0 0 0 0 0 0 0 0 1 0 0 0 0 0 1 1\n    0 0 1 1 0 0 0 1 1 1 0 0 0 0 0 1 0 0 0 0 1 1 1 0 1]\n[0 0 0 0 0 0 0 0 0 0 0 0 0 0 0 0 0 0 0 0 0 0 0 1 0 0 0 0 0 0 0 0 0 0 1 0 0 1 1 1\n    0 1 1 1 0 1 1 1 0 0 1 0 0 1 0 1 0 0 1 1 0 1 1 0 0]\n[0 0 0 0 0 0 0 0 0 0 0 0 0 0 0 0 0 0 0 0 0 0 0 0 1 0 0 0 0 0 0 1 1 0 0 0 0 0 0 1\n    0 1 0 1 1 1 1 1 1 0 0 1 0 1 1 1 0 0 1 1 0 0 1 1 0]\n[0 0 0 0 0 0 0 0 0 0 0 0 0 0 0 0 0 0 0 0 0 0 0 0 0 1 0 0 0 0 0 1 0 1 0 1 0 0 1 0\n    0 1 0 0 1 0 1 1 1 1 0 0 1 1 1 0 0 0 1 1 0 0 0 1 1]\n[0 0 0 0 0 0 0 0 0 0 0 0 0 0 0 0 0 0 0 0 0 0 0 0 0 0 1 0 0 0 0 0 1 1 0 0 1 1 1 1\n    1 1 0 0 1 0 1 0 0 0 1 0 0 0 1 0 1 0 1 0 1 0 0 1 1]\n[0 0 0 0 0 0 0 0 0 0 0 0 0 0 0 0 0 0 0 0 0 0 0 0 0 0 0 1 0 0 0 1 1 0 0 1 0 0 1 1\n    1 1 1 0 1 1 1 0 1 1 0 1 0 0 0 1 0 1 0 0 1 1 0 1 1]\n[0 0 0 0 0 0 0 0 0 0 0 0 0 0 0 0 0 0 0 0 0 0 0 0 0 0 0 0 1 0 0 0 1 0 1 0 1 1 1 1\n    0 0 0 1 1 0 0 0 1 0 1 0 1 1 0 1 0 0 0 1 0 1 1 1 1]\n[0 0 0 0 0 0 0 0 0 0 0 0 0 0 0 0 0 0 0 0 0 0 0 0 0 0 0 0 0 1 0 1 1 0 1 0 0 0 1 1\n    1 0 0 0 0 1 1 1 1 0 0 1 0 1 1 0 1 0 0 1 0 0 1 0 1]\n[0 0 0 0 0 0 0 0 0 0 0 0 0 0 0 0 0 0 0 0 0 0 0 0 0 0 0 0 0 0 1 1 0 0 1 0 0 1 0 1\n    1 1 0 0 1 0 0 0 0 0 0 0 1 0 1 1 0 1 0 1 0 0 0 0 0]\nLinear Code over GF(2) of length 65 with 31 generators.\nLower Bound: 1, Upper Bound: 35\nConstructed 3 distinct generator matrices\nRelative Ranks:  31  31   3 \n     Discarding non-contributing rank 3 matrix\n     New Relative Ranks:  31  31 \nTime Taken: 0.00\nStarting search for low weight codewords... (reset timings)\nEnumerating using 1 generator at a time:\n     New codeword identified of weight 14, time 0.00\n     New codeword identified of weight 13, time 0.00\n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1149015 vectors enumerated in total\n (0.053505% of 65 31 code)\nFinal Results: lower = 13, upper = 13,\nTotal CPU time: 0.00, real time: 0.004\n13\n\nTotal time: 0.010 seconds, Total memory usage: 32.09MB\n</t>
  </si>
  <si>
    <t>[[66,32,13]]</t>
  </si>
  <si>
    <t>Magma V2.28-26    Tue Dec 30 2025 09:50:19 on Marks-MacBook-Air-2 [Seed = \n4039784808]\nType ? for help.  Type &lt;Ctrl&gt;-D to quit.\n[1 0 1 0 1 1 0 1 1 0 0 0 1 0 0 1 1 0 1 1 0 1 1 0 1 0 0 0 0 1 1 1 0 1 1 0 0 0 0 0\n    0 0 0 0 0 0 0 0 0 0 0 0 0 0 0 0 0 0 0 0 0 0 0 0 0 0]\n[1 1 1 1 1 0 1 1 0 1 0 0 1 1 0 1 0 1 1 0 1 1 0 1 1 1 0 0 0 1 0 0 1 1 0 1 0 0 0 0\n    0 0 0 0 0 0 0 0 0 0 0 0 0 0 0 0 0 0 0 0 0 0 0 0 0 0]\n[1 1 0 1 0 0 0 0 0 0 1 0 1 1 1 1 0 0 0 0 0 0 0 0 0 1 1 0 0 1 0 1 0 0 0 0 1 0 0 0\n    0 0 0 0 0 0 0 0 0 0 0 0 0 0 0 0 0 0 0 0 0 0 0 0 0 0]\n[1 1 1 0 1 0 0 0 0 0 0 1 0 1 1 1 1 0 0 0 0 0 0 0 0 0 1 1 0 0 1 0 1 0 0 0 0 1 0 0\n    0 0 0 0 0 0 0 0 0 0 0 0 0 0 0 0 0 0 0 0 0 0 0 0 0 0]\n[1 1 1 1 0 1 0 0 0 0 0 0 1 0 1 1 1 1 0 0 0 0 0 0 0 0 0 1 1 0 0 1 0 1 0 0 0 0 1 0\n    0 0 0 0 0 0 0 0 0 0 0 0 0 0 0 0 0 0 0 0 0 0 0 0 0 0]\n[0 1 0 1 0 1 1 1 1 0 0 0 1 1 0 0 0 1 0 1 0 1 1 0 1 0 0 0 1 0 1 1 1 1 0 0 0 0 0 1\n    0 0 0 0 0 0 0 0 0 0 0 0 0 0 0 0 0 0 0 0 0 0 0 0 0 0]\n[1 0 0 0 0 1 1 0 0 1 0 0 1 1 1 1 1 0 0 1 1 1 0 1 1 1 0 0 0 0 1 0 1 0 0 0 0 0 0 0\n    1 0 0 0 0 0 0 0 0 0 0 0 0 0 0 0 0 0 0 0 0 0 0 0 0 0]\n[0 1 0 0 0 0 1 1 0 0 1 0 0 1 1 1 1 1 0 0 1 1 1 0 1 1 1 0 0 0 0 1 0 1 0 0 0 0 0 0\n    0 1 0 0 0 0 0 0 0 0 0 0 0 0 0 0 0 0 0 0 0 0 0 0 0 0]\n[0 0 0 0 1 1 0 0 0 0 0 1 1 0 1 0 0 1 0 1 0 0 0 1 1 1 1 1 0 1 1 1 1 1 0 0 0 0 0 0\n    0 0 1 0 0 0 0 0 0 0 0 0 0 0 0 0 0 0 0 0 0 0 0 0 0 0]\n[0 0 1 0 1 0 1 1 1 0 0 0 0 1 0 0 1 0 0 1 1 1 1 0 0 1 1 1 1 1 0 0 1 0 0 0 0 0 0 0\n    0 0 0 1 0 0 0 0 0 0 0 0 0 0 0 0 0 0 0 0 0 0 0 0 0 0]\n[0 0 0 1 0 1 0 1 1 1 0 0 0 0 1 0 0 1 0 0 1 1 1 1 0 0 1 1 1 1 1 0 0 1 0 0 0 0 0 0\n    0 0 0 0 1 0 0 0 0 0 0 0 0 0 0 0 0 0 0 0 0 0 0 0 0 0]\n[0 0 1 0 0 1 1 1 0 1 1 0 1 0 0 0 1 0 0 1 0 0 0 1 0 0 0 1 1 0 0 0 0 1 0 0 0 0 0 0\n    0 0 0 0 0 1 0 0 0 0 0 0 0 0 0 0 0 0 0 0 0 0 0 0 0 0]\n[0 0 1 1 1 1 1 0 0 0 1 1 1 1 0 1 1 1 1 1 1 1 1 0 0 0 0 0 1 0 1 1 0 1 0 0 0 0 0 0\n    0 0 0 0 0 0 1 0 0 0 0 0 0 0 0 0 0 0 0 0 0 0 0 0 0 0]\n[1 0 1 1 0 0 1 0 1 0 0 1 0 1 1 1 0 1 0 0 1 0 0 1 1 0 0 0 0 0 1 0 1 1 0 0 0 0 0 0\n    0 0 0 0 0 0 0 1 0 0 0 0 0 0 0 0 0 0 0 0 0 0 0 0 0 0]\n[0 1 1 1 0 1 0 0 1 1 0 0 0 0 1 0 0 0 0 1 0 0 1 0 0 1 0 0 0 1 1 0 0 0 0 0 0 0 0 0\n    0 0 0 0 0 0 0 0 1 0 0 0 0 0 0 0 0 0 0 0 0 0 0 0 0 0]\n[1 0 1 1 1 0 1 0 0 1 1 0 0 0 0 1 0 0 0 0 1 0 0 1 0 0 1 0 0 0 1 1 0 0 0 0 0 0 0 0\n    0 0 0 0 0 0 0 0 0 1 0 0 0 0 0 0 0 0 0 0 0 0 0 0 0 0]\n[1 1 0 1 1 1 0 1 0 0 1 1 0 0 0 0 1 0 0 0 0 1 0 0 1 0 0 1 0 0 0 1 1 0 0 0 0 0 0 0\n    0 0 0 0 0 0 0 0 0 0 1 0 0 0 0 0 0 0 0 0 0 0 0 0 0 0]\n[1 1 1 0 1 1 1 0 1 0 0 1 1 0 0 0 0 1 0 0 0 0 1 0 0 1 0 0 1 0 0 0 1 1 0 0 0 0 0 0\n    0 0 0 0 0 0 0 0 0 0 0 1 0 0 0 0 0 0 0 0 0 0 0 0 0 0]\n[1 1 0 1 1 0 1 0 1 1 0 0 0 1 0 1 1 0 0 1 0 1 1 1 1 0 1 0 0 0 1 1 0 0 0 0 0 0 0 0\n    0 0 0 0 0 0 0 0 0 0 0 0 1 0 0 0 0 0 0 0 0 0 0 0 0 0]\n[0 1 1 0 1 1 0 1 0 1 1 0 0 0 1 0 1 1 0 0 1 0 1 1 1 1 0 1 0 0 0 1 1 0 0 0 0 0 0 0\n    0 0 0 0 0 0 0 0 0 0 0 0 0 1 0 0 0 0 0 0 0 0 0 0 0 0]\n[0 0 1 1 0 1 1 0 1 0 1 1 0 0 0 1 0 1 1 0 0 1 0 1 1 1 1 0 1 0 0 0 1 1 0 0 0 0 0 0\n    0 0 0 0 0 0 0 0 0 0 0 0 0 0 1 0 0 0 0 0 0 0 0 0 0 0]\n[0 0 1 1 0 1 1 0 1 1 0 1 0 0 0 1 0 0 0 0 0 1 0 0 0 1 1 1 0 0 1 1 0 0 0 0 0 0 0 0\n    0 0 0 0 0 0 0 0 0 0 0 0 0 0 0 1 0 0 0 0 0 0 0 0 0 0]\n[0 0 0 1 1 0 1 1 0 1 1 0 1 0 0 0 1 0 0 0 0 0 1 0 0 0 1 1 1 0 0 1 1 0 0 0 0 0 0 0\n    0 0 0 0 0 0 0 0 0 0 0 0 0 0 0 0 1 0 0 0 0 0 0 0 0 0]\n[0 0 0 0 1 1 0 1 1 0 1 1 0 1 0 0 0 1 0 0 0 0 0 1 0 0 0 1 1 1 0 0 1 1 0 0 0 0 0 0\n    0 0 0 0 0 0 0 0 0 0 0 0 0 0 0 0 0 1 0 0 0 0 0 0 0 0]\n[0 0 1 0 1 0 1 1 0 1 0 1 0 0 1 1 1 0 0 1 0 1 1 0 0 0 0 0 1 0 0 1 0 0 0 0 0 0 0 0\n    0 0 0 0 0 0 0 0 0 0 0 0 0 0 0 0 0 0 1 0 0 0 0 0 0 0]\n[0 0 0 1 0 1 0 1 1 0 1 0 1 0 0 1 1 1 0 0 1 0 1 1 0 0 0 0 0 1 0 0 1 0 0 0 0 0 0 0\n    0 0 0 0 0 0 0 0 0 0 0 0 0 0 0 0 0 0 0 1 0 0 0 0 0 0]\n[0 0 0 0 1 0 1 0 1 1 0 1 0 1 0 0 1 1 1 0 0 1 0 1 1 0 0 0 0 0 1 0 0 1 0 0 0 0 0 0\n    0 0 0 0 0 0 0 0 0 0 0 0 0 0 0 0 0 0 0 0 1 0 0 0 0 0]\n[0 0 1 0 1 0 0 0 1 1 1 0 0 0 1 1 1 1 0 0 0 1 0 0 0 1 0 0 0 1 1 0 0 1 0 0 0 0 0 0\n    0 0 0 0 0 0 0 0 0 0 0 0 0 0 0 0 0 0 0 0 0 1 0 0 0 0]\n[1 0 1 1 1 0 0 1 1 1 1 1 1 0 0 0 0 1 0 1 0 1 0 0 1 0 1 0 0 1 0 0 0 1 0 0 0 0 0 0\n    0 0 0 0 0 0 0 0 0 0 0 0 0 0 0 0 0 0 0 0 0 0 1 0 0 0]\n[1 1 1 1 0 0 0 1 0 1 1 1 0 1 0 1 1 0 0 1 1 1 0 0 1 1 0 1 0 1 0 1 0 1 0 0 0 0 0 0\n    0 0 0 0 0 0 0 0 0 0 0 0 0 0 0 0 0 0 0 0 0 0 0 1 0 0]\n[0 1 0 1 0 1 0 1 0 0 1 1 0 0 1 1 0 1 1 1 1 0 0 0 1 1 1 0 1 1 0 1 1 1 0 0 0 0 0 0\n    0 0 0 0 0 0 0 0 0 0 0 0 0 0 0 0 0 0 0 0 0 0 0 0 1 0]\n[0 0 0 0 0 1 1 1 0 0 0 1 0 0 0 0 0 0 0 0 1 0 1 0 1 1 1 1 0 0 0 1 1 0 0 0 0 0 0 0\n    0 0 0 0 0 0 0 0 0 0 0 0 0 0 0 0 0 0 0 0 0 0 0 0 0 1]\n[66, 32] Linear Code over GF(2)\nGenerator matrix:\n[1 0 0 0 0 0 0 0 0 0 0 0 0 0 0 0 0 0 0 0 0 0 0 0 0 0 0 0 0 0 0 0 0 1 1 0 0 1 1 0\n    1 1 1 0 1 1 1 1 1 1 0 0 0 1 0 1 1 0 1 1 0 0 0 1 0 1]\n[0 1 0 0 0 0 0 0 0 0 0 0 0 0 0 0 0 0 0 0 0 0 0 0 0 0 0 0 0 0 0 0 1 0 1 0 1 1 1 1\n    1 0 0 1 1 1 0 1 1 1 0 0 0 1 1 1 0 1 1 0 0 1 0 1 0 1]\n[0 0 1 0 0 0 0 0 0 0 0 0 0 0 0 0 0 0 0 0 0 0 0 0 0 0 0 0 0 0 0 0 1 0 1 0 1 1 0 1\n    1 1 0 0 1 0 1 1 0 0 0 0 0 0 1 1 1 0 1 1 1 1 1 0 0 0]\n[0 0 0 1 0 0 0 0 0 0 0 0 0 0 0 0 0 0 0 0 0 0 0 0 0 0 0 0 0 0 0 0 0 0 1 1 0 0 0 0\n    0 0 0 0 1 0 1 0 0 1 0 0 0 1 0 0 0 1 1 0 1 1 1 0 0 1]\n[0 0 0 0 1 0 0 0 0 0 0 0 0 0 0 0 0 0 0 0 0 0 0 0 0 0 0 0 0 0 0 0 1 0 0 0 0 1 0 0\n    1 1 1 0 1 1 1 1 0 0 0 0 0 1 1 1 1 0 0 0 1 0 1 0 1 1]\n[0 0 0 0 0 1 0 0 0 0 0 0 0 0 0 0 0 0 0 0 0 0 0 0 0 0 0 0 0 0 0 0 1 0 1 1 1 0 0 0\n    0 1 1 1 0 0 1 0 0 1 1 0 0 0 1 1 1 1 0 0 1 0 0 1 1 1]\n[0 0 0 0 0 0 1 0 0 0 0 0 0 0 0 0 0 0 0 0 0 0 0 0 0 0 0 0 0 0 0 0 1 1 0 0 0 0 0 0\n    1 1 0 1 0 0 1 1 0 0 0 1 0 1 0 0 0 1 0 1 1 0 0 1 0 0]\n[0 0 0 0 0 0 0 1 0 0 0 0 0 0 0 0 0 0 0 0 0 0 0 0 0 0 0 0 0 0 0 0 0 0 0 0 0 1 1 0\n    1 0 0 0 0 1 1 0 0 1 0 0 1 1 1 1 1 0 0 1 1 1 0 1 1 1]\n[0 0 0 0 0 0 0 0 1 0 0 0 0 0 0 0 0 0 0 0 0 0 0 0 0 0 0 0 0 0 0 0 1 0 0 1 1 1 1 1\n    1 0 1 0 1 0 0 1 0 0 0 0 0 0 1 0 0 1 1 1 0 0 1 1 0 0]\n[0 0 0 0 0 0 0 0 0 1 0 0 0 0 0 0 0 0 0 0 0 0 0 0 0 0 0 0 0 0 0 0 0 0 1 0 1 0 0 1\n    0 0 1 1 1 0 1 1 0 1 0 0 0 1 0 0 1 0 0 0 1 0 0 0 1 1]\n[0 0 0 0 0 0 0 0 0 0 1 0 0 0 0 0 0 0 0 0 0 0 0 0 0 0 0 0 0 0 0 0 1 1 1 0 1 1 1 0\n    1 0 0 1 1 0 0 0 0 1 0 0 0 0 1 0 0 1 0 0 1 0 0 0 1 1]\n[0 0 0 0 0 0 0 0 0 0 0 1 0 0 0 0 0 0 0 0 0 0 0 0 0 0 0 0 0 0 0 0 1 0 0 0 1 1 0 1\n    0 1 0 0 1 0 0 1 1 1 0 0 0 0 0 1 0 0 1 0 1 0 0 0 1 1]\n[0 0 0 0 0 0 0 0 0 0 0 0 1 0 0 0 0 0 0 0 0 0 0 0 0 0 0 0 0 0 0 0 1 0 1 1 1 1 0 0\n    1 0 1 0 0 0 0 1 0 0 0 0 0 0 0 0 1 0 0 1 1 0 0 0 1 1]\n[0 0 0 0 0 0 0 0 0 0 0 0 0 1 0 0 0 0 0 0 0 0 0 0 0 0 0 0 0 0 0 0 1 1 0 0 0 0 1 0\n    1 0 1 1 1 0 1 0 1 0 1 0 0 1 0 1 1 1 1 1 0 0 0 1 1 0]\n[0 0 0 0 0 0 0 0 0 0 0 0 0 0 1 0 0 0 0 0 0 0 0 0 0 0 0 0 0 0 0 0 0 1 1 0 0 0 0 1\n    0 1 0 1 1 1 0 1 0 1 0 1 0 0 1 0 1 1 1 1 1 0 0 0 1 1]\n[0 0 0 0 0 0 0 0 0 0 0 0 0 0 0 1 0 0 0 0 0 0 0 0 0 0 0 0 0 0 0 0 1 1 0 0 1 0 1 0\n    1 0 1 0 1 0 1 1 0 1 0 0 1 0 0 1 0 1 1 1 0 0 0 0 1 1]\n[0 0 0 0 0 0 0 0 0 0 0 0 0 0 0 0 1 0 0 0 0 0 0 0 0 0 0 0 0 0 0 0 1 1 1 1 1 0 0 1\n    1 0 1 1 1 1 1 1 1 0 0 0 0 0 0 1 0 0 0 0 0 1 0 1 1 0]\n[0 0 0 0 0 0 0 0 0 0 0 0 0 0 0 0 0 1 0 0 0 0 0 0 0 0 0 0 0 0 0 0 0 1 1 1 1 1 0 0\n    1 1 0 1 1 1 1 1 1 1 0 0 0 0 0 0 1 0 0 0 0 0 1 0 1 1]\n[0 0 0 0 0 0 0 0 0 0 0 0 0 0 0 0 0 0 1 0 0 0 0 0 0 0 0 0 0 0 0 0 1 1 0 0 0 1 0 0\n    0 1 1 0 1 0 1 0 0 0 0 0 0 0 0 0 0 1 0 0 1 1 0 1 1 1]\n[0 0 0 0 0 0 0 0 0 0 0 0 0 0 0 0 0 0 0 1 0 0 0 0 0 0 0 0 0 0 0 0 1 1 1 1 1 1 1 0\n    1 1 0 1 1 1 1 1 0 0 1 0 0 1 0 1 1 0 0 1 1 0 1 1 0 0]\n[0 0 0 0 0 0 0 0 0 0 0 0 0 0 0 0 0 0 0 0 1 0 0 0 0 0 0 0 0 0 0 0 0 1 1 1 1 1 1 1\n    0 1 1 0 1 1 1 1 1 0 0 1 0 0 1 0 1 1 0 0 1 1 0 1 1 0]\n[0 0 0 0 0 0 0 0 0 0 0 0 0 0 0 0 0 0 0 0 0 1 0 0 0 0 0 0 0 0 0 0 0 0 1 1 1 1 1 1\n    1 0 1 1 0 1 1 1 1 1 0 0 1 0 0 1 0 1 1 0 0 1 1 0 1 1]\n[0 0 0 0 0 0 0 0 0 0 0 0 0 0 0 0 0 0 0 0 0 0 1 0 0 0 0 0 0 0 0 0 1 0 0 0 0 0 1 1\n    0 0 1 1 0 0 0 1 1 1 0 0 0 0 0 1 0 0 0 0 1 1 1 0 1 0]\n[0 0 0 0 0 0 0 0 0 0 0 0 0 0 0 0 0 0 0 0 0 0 0 1 0 0 0 0 0 0 0 0 0 0 1 0 0 1 1 1\n    0 1 1 1 0 1 1 1 0 0 1 0 0 1 0 1 0 0 1 1 0 1 1 0 0 0]\n[0 0 0 0 0 0 0 0 0 0 0 0 0 0 0 0 0 0 0 0 0 0 0 0 1 0 0 0 0 0 0 0 0 1 1 1 0 1 0 1\n    0 1 0 1 0 1 0 0 0 1 0 1 0 1 1 1 0 0 1 0 1 0 1 0 0 1]\n[0 0 0 0 0 0 0 0 0 0 0 0 0 0 0 0 0 0 0 0 0 0 0 0 0 1 0 0 0 0 0 0 1 0 1 0 0 1 1 0\n    0 1 0 0 0 0 0 0 0 0 0 0 1 1 1 0 0 0 1 0 1 0 0 0 1 1]\n[0 0 0 0 0 0 0 0 0 0 0 0 0 0 0 0 0 0 0 0 0 0 0 0 0 0 1 0 0 0 0 0 1 1 0 0 1 1 1 1\n    1 1 0 0 1 0 1 0 0 0 1 0 0 0 1 0 1 0 1 0 1 0 0 1 1 0]\n[0 0 0 0 0 0 0 0 0 0 0 0 0 0 0 0 0 0 0 0 0 0 0 0 0 0 0 1 0 0 0 0 0 1 1 0 0 1 1 1\n    1 1 1 0 0 1 0 1 0 0 0 1 0 0 0 1 0 1 0 1 0 1 0 0 1 1]\n[0 0 0 0 0 0 0 0 0 0 0 0 0 0 0 0 0 0 0 0 0 0 0 0 0 0 0 0 1 0 0 0 1 0 1 0 1 1 1 1\n    0 0 0 1 1 0 0 0 1 0 1 0 1 1 0 1 0 0 0 1 0 1 1 1 1 0]\n[0 0 0 0 0 0 0 0 0 0 0 0 0 0 0 0 0 0 0 0 0 0 0 0 0 0 0 0 0 1 0 0 0 1 0 1 0 1 1 1\n    1 0 0 0 1 1 0 0 0 1 0 1 0 1 1 0 1 0 0 0 1 0 1 1 1 1]\n[0 0 0 0 0 0 0 0 0 0 0 0 0 0 0 0 0 0 0 0 0 0 0 0 0 0 0 0 0 0 1 0 1 1 0 1 0 0 0 1\n    1 1 0 0 0 0 1 1 1 1 0 0 1 0 1 1 0 1 0 0 1 0 0 1 0 1]\n[0 0 0 0 0 0 0 0 0 0 0 0 0 0 0 0 0 0 0 0 0 0 0 0 0 0 0 0 0 0 0 1 1 1 1 1 0 1 0 0\n    0 0 0 0 1 0 1 1 1 1 0 0 0 0 0 0 0 0 0 1 1 0 0 1 0 1]\nLinear Code over GF(2) of length 66 with 32 generators.\nLower Bound: 1, Upper Bound: 35\nConstructed 3 distinct generator matrices\nRelative Ranks:  32  32   2 \n     Discarding non-contributing rank 2 matrix\n     New Relative Ranks:  32  32 \nTime Taken: 0.00\nStarting search for low weight codewords... (reset timings)\nEnumerating using 1 generator at a time:\n     New codeword identified of weight 21, time 0.00\n     New codeword identified of weight 19, time 0.00\n     New codeword identified of weight 13, time 0.00\n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1391840 vectors enumerated in total\n (0.032406% of 66 32 code)\nFinal Results: lower = 13, upper = 13,\nTotal CPU time: 0.00, real time: 0.004\n13\n\nTotal time: 0.010 seconds, Total memory usage: 32.09MB\n</t>
  </si>
  <si>
    <t>[[67,33,13]]</t>
  </si>
  <si>
    <t>Magma V2.28-26    Tue Dec 30 2025 09:50:19 on Marks-MacBook-Air-2 [Seed = \n4206900066]\nType ? for help.  Type &lt;Ctrl&gt;-D to quit.\n[1 0 1 0 1 1 0 1 1 0 0 0 1 0 0 1 1 0 1 1 0 1 1 0 1 0 0 0 0 1 1 1 0 1 1 0 0 0 0 0\n    0 0 0 0 0 0 0 0 0 0 0 0 0 0 0 0 0 0 0 0 0 0 0 0 0 0 0]\n[1 1 1 1 1 0 1 1 0 1 0 0 1 1 0 1 0 1 1 0 1 1 0 1 1 1 0 0 0 1 0 0 1 1 0 1 0 0 0 0\n    0 0 0 0 0 0 0 0 0 0 0 0 0 0 0 0 0 0 0 0 0 0 0 0 0 0 0]\n[1 1 0 1 0 0 0 0 0 0 1 0 1 1 1 1 0 0 0 0 0 0 0 0 0 1 1 0 0 1 0 1 0 0 0 0 1 0 0 0\n    0 0 0 0 0 0 0 0 0 0 0 0 0 0 0 0 0 0 0 0 0 0 0 0 0 0 0]\n[1 1 1 0 1 0 0 0 0 0 0 1 0 1 1 1 1 0 0 0 0 0 0 0 0 0 1 1 0 0 1 0 1 0 0 0 0 1 0 0\n    0 0 0 0 0 0 0 0 0 0 0 0 0 0 0 0 0 0 0 0 0 0 0 0 0 0 0]\n[1 1 1 1 0 1 0 0 0 0 0 0 1 0 1 1 1 1 0 0 0 0 0 0 0 0 0 1 1 0 0 1 0 1 0 0 0 0 1 0\n    0 0 0 0 0 0 0 0 0 0 0 0 0 0 0 0 0 0 0 0 0 0 0 0 0 0 0]\n[0 1 0 1 0 1 1 1 1 0 0 0 1 1 0 0 0 1 0 1 0 1 1 0 1 0 0 0 1 0 1 1 1 1 0 0 0 0 0 1\n    0 0 0 0 0 0 0 0 0 0 0 0 0 0 0 0 0 0 0 0 0 0 0 0 0 0 0]\n[1 0 0 0 0 1 1 0 0 1 0 0 1 1 1 1 1 0 0 1 1 1 0 1 1 1 0 0 0 0 1 0 1 0 0 0 0 0 0 0\n    1 0 0 0 0 0 0 0 0 0 0 0 0 0 0 0 0 0 0 0 0 0 0 0 0 0 0]\n[0 1 0 0 0 0 1 1 0 0 1 0 0 1 1 1 1 1 0 0 1 1 1 0 1 1 1 0 0 0 0 1 0 1 0 0 0 0 0 0\n    0 1 0 0 0 0 0 0 0 0 0 0 0 0 0 0 0 0 0 0 0 0 0 0 0 0 0]\n[0 0 0 0 1 1 0 0 0 0 0 1 1 0 1 0 0 1 0 1 0 0 0 1 1 1 1 1 0 1 1 1 1 1 0 0 0 0 0 0\n    0 0 1 0 0 0 0 0 0 0 0 0 0 0 0 0 0 0 0 0 0 0 0 0 0 0 0]\n[0 0 1 0 1 0 1 1 1 0 0 0 0 1 0 0 1 0 0 1 1 1 1 0 0 1 1 1 1 1 0 0 1 0 0 0 0 0 0 0\n    0 0 0 1 0 0 0 0 0 0 0 0 0 0 0 0 0 0 0 0 0 0 0 0 0 0 0]\n[0 0 0 1 0 1 0 1 1 1 0 0 0 0 1 0 0 1 0 0 1 1 1 1 0 0 1 1 1 1 1 0 0 1 0 0 0 0 0 0\n    0 0 0 0 1 0 0 0 0 0 0 0 0 0 0 0 0 0 0 0 0 0 0 0 0 0 0]\n[0 0 1 0 0 1 1 1 0 1 1 0 1 0 0 0 1 0 0 1 0 0 0 1 0 0 0 1 1 0 0 0 0 1 0 0 0 0 0 0\n    0 0 0 0 0 1 0 0 0 0 0 0 0 0 0 0 0 0 0 0 0 0 0 0 0 0 0]\n[0 0 1 1 1 1 1 0 0 0 1 1 1 1 0 1 1 1 1 1 1 1 1 0 0 0 0 0 1 0 1 1 0 1 0 0 0 0 0 0\n    0 0 0 0 0 0 1 0 0 0 0 0 0 0 0 0 0 0 0 0 0 0 0 0 0 0 0]\n[1 0 1 1 0 0 1 0 1 0 0 1 0 1 1 1 0 1 0 0 1 0 0 1 1 0 0 0 0 0 1 0 1 1 0 0 0 0 0 0\n    0 0 0 0 0 0 0 1 0 0 0 0 0 0 0 0 0 0 0 0 0 0 0 0 0 0 0]\n[0 1 1 1 0 1 0 0 1 1 0 0 0 0 1 0 0 0 0 1 0 0 1 0 0 1 0 0 0 1 1 0 0 0 0 0 0 0 0 0\n    0 0 0 0 0 0 0 0 1 0 0 0 0 0 0 0 0 0 0 0 0 0 0 0 0 0 0]\n[1 0 1 1 1 0 1 0 0 1 1 0 0 0 0 1 0 0 0 0 1 0 0 1 0 0 1 0 0 0 1 1 0 0 0 0 0 0 0 0\n    0 0 0 0 0 0 0 0 0 1 0 0 0 0 0 0 0 0 0 0 0 0 0 0 0 0 0]\n[1 1 0 1 1 1 0 1 0 0 1 1 0 0 0 0 1 0 0 0 0 1 0 0 1 0 0 1 0 0 0 1 1 0 0 0 0 0 0 0\n    0 0 0 0 0 0 0 0 0 0 1 0 0 0 0 0 0 0 0 0 0 0 0 0 0 0 0]\n[1 1 1 0 1 1 1 0 1 0 0 1 1 0 0 0 0 1 0 0 0 0 1 0 0 1 0 0 1 0 0 0 1 1 0 0 0 0 0 0\n    0 0 0 0 0 0 0 0 0 0 0 1 0 0 0 0 0 0 0 0 0 0 0 0 0 0 0]\n[1 1 0 1 1 0 1 0 1 1 0 0 0 1 0 1 1 0 0 1 0 1 1 1 1 0 1 0 0 0 1 1 0 0 0 0 0 0 0 0\n    0 0 0 0 0 0 0 0 0 0 0 0 1 0 0 0 0 0 0 0 0 0 0 0 0 0 0]\n[0 1 1 0 1 1 0 1 0 1 1 0 0 0 1 0 1 1 0 0 1 0 1 1 1 1 0 1 0 0 0 1 1 0 0 0 0 0 0 0\n    0 0 0 0 0 0 0 0 0 0 0 0 0 1 0 0 0 0 0 0 0 0 0 0 0 0 0]\n[0 0 1 1 0 1 1 0 1 0 1 1 0 0 0 1 0 1 1 0 0 1 0 1 1 1 1 0 1 0 0 0 1 1 0 0 0 0 0 0\n    0 0 0 0 0 0 0 0 0 0 0 0 0 0 1 0 0 0 0 0 0 0 0 0 0 0 0]\n[0 0 1 1 0 1 1 0 1 1 0 1 0 0 0 1 0 0 0 0 0 1 0 0 0 1 1 1 0 0 1 1 0 0 0 0 0 0 0 0\n    0 0 0 0 0 0 0 0 0 0 0 0 0 0 0 1 0 0 0 0 0 0 0 0 0 0 0]\n[0 0 0 1 1 0 1 1 0 1 1 0 1 0 0 0 1 0 0 0 0 0 1 0 0 0 1 1 1 0 0 1 1 0 0 0 0 0 0 0\n    0 0 0 0 0 0 0 0 0 0 0 0 0 0 0 0 1 0 0 0 0 0 0 0 0 0 0]\n[0 0 0 0 1 1 0 1 1 0 1 1 0 1 0 0 0 1 0 0 0 0 0 1 0 0 0 1 1 1 0 0 1 1 0 0 0 0 0 0\n    0 0 0 0 0 0 0 0 0 0 0 0 0 0 0 0 0 1 0 0 0 0 0 0 0 0 0]\n[0 0 1 0 1 0 1 1 0 1 0 1 0 0 1 1 1 0 0 1 0 1 1 0 0 0 0 0 1 0 0 1 0 0 0 0 0 0 0 0\n    0 0 0 0 0 0 0 0 0 0 0 0 0 0 0 0 0 0 1 0 0 0 0 0 0 0 0]\n[0 0 0 1 0 1 0 1 1 0 1 0 1 0 0 1 1 1 0 0 1 0 1 1 0 0 0 0 0 1 0 0 1 0 0 0 0 0 0 0\n    0 0 0 0 0 0 0 0 0 0 0 0 0 0 0 0 0 0 0 1 0 0 0 0 0 0 0]\n[0 0 0 0 1 0 1 0 1 1 0 1 0 1 0 0 1 1 1 0 0 1 0 1 1 0 0 0 0 0 1 0 0 1 0 0 0 0 0 0\n    0 0 0 0 0 0 0 0 0 0 0 0 0 0 0 0 0 0 0 0 1 0 0 0 0 0 0]\n[0 0 1 0 1 0 0 0 1 1 1 0 0 0 1 1 1 1 0 0 0 1 0 0 0 1 0 0 0 1 1 0 0 1 0 0 0 0 0 0\n    0 0 0 0 0 0 0 0 0 0 0 0 0 0 0 0 0 0 0 0 0 1 0 0 0 0 0]\n[1 0 1 1 1 0 0 1 1 1 1 1 1 0 0 0 0 1 0 1 0 1 0 0 1 0 1 0 0 1 0 0 0 1 0 0 0 0 0 0\n    0 0 0 0 0 0 0 0 0 0 0 0 0 0 0 0 0 0 0 0 0 0 1 0 0 0 0]\n[1 1 1 1 0 0 0 1 0 1 1 1 0 1 0 1 1 0 0 1 1 1 0 0 1 1 0 1 0 1 0 1 0 1 0 0 0 0 0 0\n    0 0 0 0 0 0 0 0 0 0 0 0 0 0 0 0 0 0 0 0 0 0 0 1 0 0 0]\n[0 1 0 1 0 1 0 1 0 0 1 1 0 0 1 1 0 1 1 1 1 0 0 0 1 1 1 0 1 1 0 1 1 1 0 0 0 0 0 0\n    0 0 0 0 0 0 0 0 0 0 0 0 0 0 0 0 0 0 0 0 0 0 0 0 1 0 0]\n[0 0 0 0 0 1 1 1 0 0 0 1 0 0 0 0 0 0 0 0 1 0 1 0 1 1 1 1 0 0 0 1 1 0 0 0 0 0 0 0\n    0 0 0 0 0 0 0 0 0 0 0 0 0 0 0 0 0 0 0 0 0 0 0 0 0 1 0]\n[1 0 0 0 0 0 1 1 1 0 0 0 1 0 0 0 0 0 0 0 0 1 0 1 0 1 1 1 1 0 0 0 1 1 0 0 0 0 0 0\n    0 0 0 0 0 0 0 0 0 0 0 0 0 0 0 0 0 0 0 0 0 0 0 0 0 0 1]\n[67, 33] Linear Code over GF(2)\nGenerator matrix:\n[1 0 0 0 0 0 0 0 0 0 0 0 0 0 0 0 0 0 0 0 0 0 0 0 0 0 0 0 0 0 0 0 0 1 1 0 0 1 1 0\n    1 1 1 0 1 1 1 1 1 1 0 0 0 1 0 1 1 0 1 1 0 0 0 1 0 1 0]\n[0 1 0 0 0 0 0 0 0 0 0 0 0 0 0 0 0 0 0 0 0 0 0 0 0 0 0 0 0 0 0 0 0 1 0 1 0 1 0 1\n    1 0 0 1 1 0 0 0 0 0 1 0 0 1 1 1 0 1 1 0 1 0 0 1 1 1 1]\n[0 0 1 0 0 0 0 0 0 0 0 0 0 0 0 0 0 0 0 0 0 0 0 0 0 0 0 0 0 0 0 0 0 1 0 1 0 1 1 1\n    1 1 0 0 1 1 1 0 1 1 1 0 0 0 1 1 1 0 1 1 0 0 1 0 1 0 1]\n[0 0 0 1 0 0 0 0 0 0 0 0 0 0 0 0 0 0 0 0 0 0 0 0 0 0 0 0 0 0 0 0 0 0 1 1 0 0 0 0\n    0 0 0 0 1 0 1 0 0 1 0 0 0 1 0 0 0 1 1 0 1 1 1 0 0 1 0]\n[0 0 0 0 1 0 0 0 0 0 0 0 0 0 0 0 0 0 0 0 0 0 0 0 0 0 0 0 0 0 0 0 0 1 1 1 1 1 1 0\n    1 1 1 0 1 0 1 0 1 1 1 0 0 1 1 1 1 0 0 0 0 1 1 0 0 1 1]\n[0 0 0 0 0 1 0 0 0 0 0 0 0 0 0 0 0 0 0 0 0 0 0 0 0 0 0 0 0 0 0 0 0 1 0 0 0 0 1 0\n    0 1 1 1 0 1 1 1 1 0 0 0 0 0 1 1 1 1 0 0 0 1 0 1 0 1 1]\n[0 0 0 0 0 0 1 0 0 0 0 0 0 0 0 0 0 0 0 0 0 0 0 0 0 0 0 0 0 0 0 0 0 0 1 1 1 0 1 0\n    1 1 0 1 0 1 1 0 1 1 1 1 0 1 0 0 0 1 0 1 0 1 0 1 1 0 1]\n[0 0 0 0 0 0 0 1 0 0 0 0 0 0 0 0 0 0 0 0 0 0 0 0 0 0 0 0 0 0 0 0 0 0 0 0 0 1 1 0\n    1 0 0 0 0 1 1 0 0 1 0 0 1 1 1 1 1 0 0 1 1 1 0 1 1 1 0]\n[0 0 0 0 0 0 0 0 1 0 0 0 0 0 0 0 0 0 0 0 0 0 0 0 0 0 0 0 0 0 0 0 0 1 1 0 0 1 0 1\n    1 0 1 0 1 1 0 0 1 1 1 0 0 0 1 0 0 1 1 1 1 1 1 1 1 0 1]\n[0 0 0 0 0 0 0 0 0 1 0 0 0 0 0 0 0 0 0 0 0 0 0 0 0 0 0 0 0 0 0 0 0 0 1 0 1 0 0 1\n    0 0 1 1 1 0 1 1 0 1 0 0 0 1 0 0 1 0 0 0 1 0 0 0 1 1 0]\n[0 0 0 0 0 0 0 0 0 0 1 0 0 0 0 0 0 0 0 0 0 0 0 0 0 0 0 0 0 0 0 0 0 0 0 1 0 1 0 0\n    1 0 0 1 1 1 0 1 1 0 1 0 0 0 1 0 0 1 0 0 0 1 0 0 0 1 1]\n[0 0 0 0 0 0 0 0 0 0 0 1 0 0 0 0 0 0 0 0 0 0 0 0 0 0 0 0 0 0 0 0 0 1 1 1 0 1 1 1\n    0 1 0 0 1 1 0 0 0 0 1 0 0 0 0 1 0 0 1 0 0 1 0 0 0 1 1]\n[0 0 0 0 0 0 0 0 0 0 0 0 1 0 0 0 0 0 0 0 0 0 0 0 0 0 0 0 0 0 0 0 0 1 0 0 0 1 1 0\n    1 0 1 0 0 1 0 0 1 1 1 0 0 0 0 0 1 0 0 1 0 1 0 0 0 1 1]\n[0 0 0 0 0 0 0 0 0 0 0 0 0 1 0 0 0 0 0 0 0 0 0 0 0 0 0 0 0 0 0 0 0 0 1 1 1 0 0 0\n    1 0 1 1 1 1 1 1 0 1 0 0 0 1 0 1 1 1 1 1 1 1 0 1 0 0 1]\n[0 0 0 0 0 0 0 0 0 0 0 0 0 0 1 0 0 0 0 0 0 0 0 0 0 0 0 0 0 0 0 0 0 1 1 0 0 0 0 1\n    0 1 0 1 1 1 0 1 0 1 0 1 0 0 1 0 1 1 1 1 1 0 0 0 1 1 0]\n[0 0 0 0 0 0 0 0 0 0 0 0 0 0 0 1 0 0 0 0 0 0 0 0 0 0 0 0 0 0 0 0 0 0 1 1 0 0 0 0\n    1 0 1 0 1 1 1 0 1 0 1 0 1 0 0 1 0 1 1 1 1 1 0 0 0 1 1]\n[0 0 0 0 0 0 0 0 0 0 0 0 0 0 0 0 1 0 0 0 0 0 0 0 0 0 0 0 0 0 0 0 0 0 0 0 0 0 1 1\n    1 0 1 1 1 0 1 0 0 1 1 0 0 0 0 1 0 0 0 0 1 0 0 1 0 0 1]\n[0 0 0 0 0 0 0 0 0 0 0 0 0 0 0 0 0 1 0 0 0 0 0 0 0 0 0 0 0 0 0 0 0 1 1 1 1 1 0 0\n    1 1 0 1 1 1 1 1 1 1 0 0 0 0 0 0 1 0 0 0 0 0 1 0 1 1 0]\n[0 0 0 0 0 0 0 0 0 0 0 0 0 0 0 0 0 0 1 0 0 0 0 0 0 0 0 0 0 0 0 0 0 0 1 1 1 1 1 0\n    0 1 1 0 1 1 1 1 1 1 1 0 0 0 0 0 0 1 0 0 0 0 0 1 0 1 1]\n[0 0 0 0 0 0 0 0 0 0 0 0 0 0 0 0 0 0 0 1 0 0 0 0 0 0 0 0 0 0 0 0 0 0 0 0 0 1 0 0\n    1 1 0 1 1 0 1 0 1 1 0 0 0 1 0 1 1 0 0 1 0 1 1 1 1 0 1]\n[0 0 0 0 0 0 0 0 0 0 0 0 0 0 0 0 0 0 0 0 1 0 0 0 0 0 0 0 0 0 0 0 0 1 1 1 1 1 1 1\n    0 1 1 0 1 1 1 1 1 0 0 1 0 0 1 0 1 1 0 0 1 1 0 1 1 0 0]\n[0 0 0 0 0 0 0 0 0 0 0 0 0 0 0 0 0 0 0 0 0 1 0 0 0 0 0 0 0 0 0 0 0 0 1 1 1 1 1 1\n    1 0 1 1 0 1 1 1 1 1 0 0 1 0 0 1 0 1 1 0 0 1 1 0 1 1 0]\n[0 0 0 0 0 0 0 0 0 0 0 0 0 0 0 0 0 0 0 0 0 0 1 0 0 0 0 0 0 0 0 0 0 1 1 1 1 0 0 1\n    0 0 1 1 0 1 0 0 0 0 1 0 0 0 0 1 0 0 0 0 0 0 1 0 0 0 1]\n[0 0 0 0 0 0 0 0 0 0 0 0 0 0 0 0 0 0 0 0 0 0 0 1 0 0 0 0 0 0 0 0 0 0 1 0 0 1 1 1\n    0 1 1 1 0 1 1 1 0 0 1 0 0 1 0 1 0 0 1 1 0 1 1 0 0 0 0]\n[0 0 0 0 0 0 0 0 0 0 0 0 0 0 0 0 0 0 0 0 0 0 0 0 1 0 0 0 0 0 0 0 0 1 1 1 0 1 0 1\n    0 1 0 1 0 1 0 0 0 1 0 1 0 1 1 1 0 0 1 0 1 0 1 0 0 1 0]\n[0 0 0 0 0 0 0 0 0 0 0 0 0 0 0 0 0 0 0 0 0 0 0 0 0 1 0 0 0 0 0 0 0 1 0 1 1 1 0 0\n    0 1 0 0 0 1 0 1 1 1 1 0 1 1 1 0 0 0 1 0 0 1 0 0 0 1 1]\n[0 0 0 0 0 0 0 0 0 0 0 0 0 0 0 0 0 0 0 0 0 0 0 0 0 0 1 0 0 0 0 0 0 0 1 1 0 1 0 1\n    1 1 0 0 1 1 1 1 1 1 0 0 0 0 1 0 1 0 1 0 0 1 0 1 0 0 1]\n[0 0 0 0 0 0 0 0 0 0 0 0 0 0 0 0 0 0 0 0 0 0 0 0 0 0 0 1 0 0 0 0 0 1 1 0 0 1 1 1\n    1 1 1 0 0 1 0 1 0 0 0 1 0 0 0 1 0 1 0 1 0 1 0 0 1 1 0]\n[0 0 0 0 0 0 0 0 0 0 0 0 0 0 0 0 0 0 0 0 0 0 0 0 0 0 0 0 1 0 0 0 0 1 0 1 0 1 0 1\n    0 0 0 1 1 1 0 1 0 1 0 0 1 1 0 1 0 0 0 1 1 0 1 1 0 0 1]\n[0 0 0 0 0 0 0 0 0 0 0 0 0 0 0 0 0 0 0 0 0 0 0 0 0 0 0 0 0 1 0 0 0 1 0 1 0 1 1 1\n    1 0 0 0 1 1 0 0 0 1 0 1 0 1 1 0 1 0 0 0 1 0 1 1 1 1 0]\n[0 0 0 0 0 0 0 0 0 0 0 0 0 0 0 0 0 0 0 0 0 0 0 0 0 0 0 0 0 0 1 0 0 0 1 0 1 0 1 1\n    1 1 0 0 0 1 1 0 0 0 1 0 1 0 1 1 0 1 0 0 0 1 0 1 1 1 1]\n[0 0 0 0 0 0 0 0 0 0 0 0 0 0 0 0 0 0 0 0 0 0 0 0 0 0 0 0 0 0 0 1 0 0 0 0 1 1 1 0\n    0 0 0 0 1 1 1 0 0 0 1 0 0 0 0 0 0 0 0 1 0 1 0 1 1 1 1]\n[0 0 0 0 0 0 0 0 0 0 0 0 0 0 0 0 0 0 0 0 0 0 0 0 0 0 0 0 0 0 0 0 1 1 1 1 1 0 1 0\n    0 0 0 0 0 1 0 1 1 1 1 0 0 0 0 0 0 0 0 0 1 1 0 0 1 0 1]\nLinear Code over GF(2) of length 67 with 33 generators.\nLower Bound: 1, Upper Bound: 35\nConstructed 3 distinct generator matrices\nRelative Ranks:  33  33   1 \n     Discarding non-contributing rank 1 matrix\n     New Relative Ranks:  33  33 \nTime Taken: 0.00\nStarting search for low weight codewords... (reset timings)\nEnumerating using 1 generator at a time:\n     New codeword identified of weight 21, time 0.00\n     New codeword identified of weight 19, time 0.00\n     New codeword identified of weight 13, time 0.00\n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1676114 vectors enumerated in total\n (0.019513% of 67 33 code)\nFinal Results: lower = 13, upper = 13,\nTotal CPU time: 0.00, real time: 0.005\n13\n\nTotal time: 0.010 seconds, Total memory usage: 32.09MB\n</t>
  </si>
  <si>
    <t>[[68,34,13]]</t>
  </si>
  <si>
    <t>Magma V2.28-26    Tue Dec 30 2025 09:50:19 on Marks-MacBook-Air-2 [Seed = \n4240848228]\nType ? for help.  Type &lt;Ctrl&gt;-D to quit.\n[1 0 1 0 1 1 0 1 1 0 0 0 1 0 0 1 1 0 1 1 0 1 1 0 1 0 0 0 0 1 1 1 0 1 1 0 0 0 0 0\n    0 0 0 0 0 0 0 0 0 0 0 0 0 0 0 0 0 0 0 0 0 0 0 0 0 0 0 0]\n[1 1 1 1 1 0 1 1 0 1 0 0 1 1 0 1 0 1 1 0 1 1 0 1 1 1 0 0 0 1 0 0 1 1 0 1 0 0 0 0\n    0 0 0 0 0 0 0 0 0 0 0 0 0 0 0 0 0 0 0 0 0 0 0 0 0 0 0 0]\n[1 1 0 1 0 0 0 0 0 0 1 0 1 1 1 1 0 0 0 0 0 0 0 0 0 1 1 0 0 1 0 1 0 0 0 0 1 0 0 0\n    0 0 0 0 0 0 0 0 0 0 0 0 0 0 0 0 0 0 0 0 0 0 0 0 0 0 0 0]\n[1 1 1 0 1 0 0 0 0 0 0 1 0 1 1 1 1 0 0 0 0 0 0 0 0 0 1 1 0 0 1 0 1 0 0 0 0 1 0 0\n    0 0 0 0 0 0 0 0 0 0 0 0 0 0 0 0 0 0 0 0 0 0 0 0 0 0 0 0]\n[1 1 1 1 0 1 0 0 0 0 0 0 1 0 1 1 1 1 0 0 0 0 0 0 0 0 0 1 1 0 0 1 0 1 0 0 0 0 1 0\n    0 0 0 0 0 0 0 0 0 0 0 0 0 0 0 0 0 0 0 0 0 0 0 0 0 0 0 0]\n[0 1 0 1 0 1 1 1 1 0 0 0 1 1 0 0 0 1 0 1 0 1 1 0 1 0 0 0 1 0 1 1 1 1 0 0 0 0 0 1\n    0 0 0 0 0 0 0 0 0 0 0 0 0 0 0 0 0 0 0 0 0 0 0 0 0 0 0 0]\n[1 0 0 0 0 1 1 0 0 1 0 0 1 1 1 1 1 0 0 1 1 1 0 1 1 1 0 0 0 0 1 0 1 0 0 0 0 0 0 0\n    1 0 0 0 0 0 0 0 0 0 0 0 0 0 0 0 0 0 0 0 0 0 0 0 0 0 0 0]\n[0 1 0 0 0 0 1 1 0 0 1 0 0 1 1 1 1 1 0 0 1 1 1 0 1 1 1 0 0 0 0 1 0 1 0 0 0 0 0 0\n    0 1 0 0 0 0 0 0 0 0 0 0 0 0 0 0 0 0 0 0 0 0 0 0 0 0 0 0]\n[0 0 0 0 1 1 0 0 0 0 0 1 1 0 1 0 0 1 0 1 0 0 0 1 1 1 1 1 0 1 1 1 1 1 0 0 0 0 0 0\n    0 0 1 0 0 0 0 0 0 0 0 0 0 0 0 0 0 0 0 0 0 0 0 0 0 0 0 0]\n[0 0 1 0 1 0 1 1 1 0 0 0 0 1 0 0 1 0 0 1 1 1 1 0 0 1 1 1 1 1 0 0 1 0 0 0 0 0 0 0\n    0 0 0 1 0 0 0 0 0 0 0 0 0 0 0 0 0 0 0 0 0 0 0 0 0 0 0 0]\n[0 0 0 1 0 1 0 1 1 1 0 0 0 0 1 0 0 1 0 0 1 1 1 1 0 0 1 1 1 1 1 0 0 1 0 0 0 0 0 0\n    0 0 0 0 1 0 0 0 0 0 0 0 0 0 0 0 0 0 0 0 0 0 0 0 0 0 0 0]\n[0 0 1 0 0 1 1 1 0 1 1 0 1 0 0 0 1 0 0 1 0 0 0 1 0 0 0 1 1 0 0 0 0 1 0 0 0 0 0 0\n    0 0 0 0 0 1 0 0 0 0 0 0 0 0 0 0 0 0 0 0 0 0 0 0 0 0 0 0]\n[0 0 1 1 1 1 1 0 0 0 1 1 1 1 0 1 1 1 1 1 1 1 1 0 0 0 0 0 1 0 1 1 0 1 0 0 0 0 0 0\n    0 0 0 0 0 0 1 0 0 0 0 0 0 0 0 0 0 0 0 0 0 0 0 0 0 0 0 0]\n[1 0 1 1 0 0 1 0 1 0 0 1 0 1 1 1 0 1 0 0 1 0 0 1 1 0 0 0 0 0 1 0 1 1 0 0 0 0 0 0\n    0 0 0 0 0 0 0 1 0 0 0 0 0 0 0 0 0 0 0 0 0 0 0 0 0 0 0 0]\n[0 1 1 1 0 1 0 0 1 1 0 0 0 0 1 0 0 0 0 1 0 0 1 0 0 1 0 0 0 1 1 0 0 0 0 0 0 0 0 0\n    0 0 0 0 0 0 0 0 1 0 0 0 0 0 0 0 0 0 0 0 0 0 0 0 0 0 0 0]\n[1 0 1 1 1 0 1 0 0 1 1 0 0 0 0 1 0 0 0 0 1 0 0 1 0 0 1 0 0 0 1 1 0 0 0 0 0 0 0 0\n    0 0 0 0 0 0 0 0 0 1 0 0 0 0 0 0 0 0 0 0 0 0 0 0 0 0 0 0]\n[1 1 0 1 1 1 0 1 0 0 1 1 0 0 0 0 1 0 0 0 0 1 0 0 1 0 0 1 0 0 0 1 1 0 0 0 0 0 0 0\n    0 0 0 0 0 0 0 0 0 0 1 0 0 0 0 0 0 0 0 0 0 0 0 0 0 0 0 0]\n[1 1 1 0 1 1 1 0 1 0 0 1 1 0 0 0 0 1 0 0 0 0 1 0 0 1 0 0 1 0 0 0 1 1 0 0 0 0 0 0\n    0 0 0 0 0 0 0 0 0 0 0 1 0 0 0 0 0 0 0 0 0 0 0 0 0 0 0 0]\n[1 1 0 1 1 0 1 0 1 1 0 0 0 1 0 1 1 0 0 1 0 1 1 1 1 0 1 0 0 0 1 1 0 0 0 0 0 0 0 0\n    0 0 0 0 0 0 0 0 0 0 0 0 1 0 0 0 0 0 0 0 0 0 0 0 0 0 0 0]\n[0 1 1 0 1 1 0 1 0 1 1 0 0 0 1 0 1 1 0 0 1 0 1 1 1 1 0 1 0 0 0 1 1 0 0 0 0 0 0 0\n    0 0 0 0 0 0 0 0 0 0 0 0 0 1 0 0 0 0 0 0 0 0 0 0 0 0 0 0]\n[0 0 1 1 0 1 1 0 1 0 1 1 0 0 0 1 0 1 1 0 0 1 0 1 1 1 1 0 1 0 0 0 1 1 0 0 0 0 0 0\n    0 0 0 0 0 0 0 0 0 0 0 0 0 0 1 0 0 0 0 0 0 0 0 0 0 0 0 0]\n[0 0 1 1 0 1 1 0 1 1 0 1 0 0 0 1 0 0 0 0 0 1 0 0 0 1 1 1 0 0 1 1 0 0 0 0 0 0 0 0\n    0 0 0 0 0 0 0 0 0 0 0 0 0 0 0 1 0 0 0 0 0 0 0 0 0 0 0 0]\n[0 0 0 1 1 0 1 1 0 1 1 0 1 0 0 0 1 0 0 0 0 0 1 0 0 0 1 1 1 0 0 1 1 0 0 0 0 0 0 0\n    0 0 0 0 0 0 0 0 0 0 0 0 0 0 0 0 1 0 0 0 0 0 0 0 0 0 0 0]\n[0 0 0 0 1 1 0 1 1 0 1 1 0 1 0 0 0 1 0 0 0 0 0 1 0 0 0 1 1 1 0 0 1 1 0 0 0 0 0 0\n    0 0 0 0 0 0 0 0 0 0 0 0 0 0 0 0 0 1 0 0 0 0 0 0 0 0 0 0]\n[0 0 1 0 1 0 1 1 0 1 0 1 0 0 1 1 1 0 0 1 0 1 1 0 0 0 0 0 1 0 0 1 0 0 0 0 0 0 0 0\n    0 0 0 0 0 0 0 0 0 0 0 0 0 0 0 0 0 0 1 0 0 0 0 0 0 0 0 0]\n[0 0 0 1 0 1 0 1 1 0 1 0 1 0 0 1 1 1 0 0 1 0 1 1 0 0 0 0 0 1 0 0 1 0 0 0 0 0 0 0\n    0 0 0 0 0 0 0 0 0 0 0 0 0 0 0 0 0 0 0 1 0 0 0 0 0 0 0 0]\n[0 0 0 0 1 0 1 0 1 1 0 1 0 1 0 0 1 1 1 0 0 1 0 1 1 0 0 0 0 0 1 0 0 1 0 0 0 0 0 0\n    0 0 0 0 0 0 0 0 0 0 0 0 0 0 0 0 0 0 0 0 1 0 0 0 0 0 0 0]\n[0 0 1 0 1 0 0 0 1 1 1 0 0 0 1 1 1 1 0 0 0 1 0 0 0 1 0 0 0 1 1 0 0 1 0 0 0 0 0 0\n    0 0 0 0 0 0 0 0 0 0 0 0 0 0 0 0 0 0 0 0 0 1 0 0 0 0 0 0]\n[1 0 1 1 1 0 0 1 1 1 1 1 1 0 0 0 0 1 0 1 0 1 0 0 1 0 1 0 0 1 0 0 0 1 0 0 0 0 0 0\n    0 0 0 0 0 0 0 0 0 0 0 0 0 0 0 0 0 0 0 0 0 0 1 0 0 0 0 0]\n[1 1 1 1 0 0 0 1 0 1 1 1 0 1 0 1 1 0 0 1 1 1 0 0 1 1 0 1 0 1 0 1 0 1 0 0 0 0 0 0\n    0 0 0 0 0 0 0 0 0 0 0 0 0 0 0 0 0 0 0 0 0 0 0 1 0 0 0 0]\n[0 1 0 1 0 1 0 1 0 0 1 1 0 0 1 1 0 1 1 1 1 0 0 0 1 1 1 0 1 1 0 1 1 1 0 0 0 0 0 0\n    0 0 0 0 0 0 0 0 0 0 0 0 0 0 0 0 0 0 0 0 0 0 0 0 1 0 0 0]\n[0 0 0 0 0 1 1 1 0 0 0 1 0 0 0 0 0 0 0 0 1 0 1 0 1 1 1 1 0 0 0 1 1 0 0 0 0 0 0 0\n    0 0 0 0 0 0 0 0 0 0 0 0 0 0 0 0 0 0 0 0 0 0 0 0 0 1 0 0]\n[1 0 0 0 0 0 1 1 1 0 0 0 1 0 0 0 0 0 0 0 0 1 0 1 0 1 1 1 1 0 0 0 1 1 0 0 0 0 0 0\n    0 0 0 0 0 0 0 0 0 0 0 0 0 0 0 0 0 0 0 0 0 0 0 0 0 0 1 0]\n[0 1 1 0 1 1 0 0 0 1 0 0 1 1 0 1 1 0 1 1 0 1 0 0 0 0 1 1 1 0 1 1 0 0 0 0 0 0 0 0\n    0 0 0 0 0 0 0 0 0 0 0 0 0 0 0 0 0 0 0 0 0 0 0 0 0 0 0 1]\n[68, 34] Linear Code over GF(2)\nGenerator matrix:\n[1 0 0 0 0 0 0 0 0 0 0 0 0 0 0 0 0 0 0 0 0 0 0 0 0 0 0 0 0 0 0 0 0 0 0 1 1 0 1 1\n    1 1 1 0 1 1 0 1 0 0 1 1 0 1 0 1 1 0 1 1 0 1 1 1 0 0 0 1]\n[0 1 0 0 0 0 0 0 0 0 0 0 0 0 0 0 0 0 0 0 0 0 0 0 0 0 0 0 0 0 0 0 0 0 1 0 1 0 0 0\n    1 0 0 1 1 0 1 0 1 1 0 1 0 1 1 1 0 1 1 0 1 1 1 1 1 0 1 1]\n[0 0 1 0 0 0 0 0 0 0 0 0 0 0 0 0 0 0 0 0 0 0 0 0 0 0 0 0 0 0 0 0 0 0 1 0 1 0 1 0\n    1 1 0 0 1 1 0 0 0 0 0 1 0 0 1 1 1 0 1 1 0 1 0 0 1 1 1 1]\n[0 0 0 1 0 0 0 0 0 0 0 0 0 0 0 0 0 0 0 0 0 0 0 0 0 0 0 0 0 0 0 0 0 0 1 1 0 0 0 0\n    0 0 0 0 1 0 1 0 0 1 0 0 0 1 0 0 0 1 1 0 1 1 1 0 0 1 0 0]\n[0 0 0 0 1 0 0 0 0 0 0 0 0 0 0 0 0 0 0 0 0 0 0 0 0 0 0 0 0 0 0 0 0 0 0 0 0 0 1 1\n    1 1 1 0 1 0 0 0 0 0 0 1 0 1 1 1 1 0 0 0 0 0 0 0 0 0 1 1]\n[0 0 0 0 0 1 0 0 0 0 0 0 0 0 0 0 0 0 0 0 0 0 0 0 0 0 0 0 0 0 0 0 0 0 1 1 1 1 1 1\n    0 1 1 1 0 1 0 1 0 1 1 1 0 0 1 1 1 1 0 0 0 0 1 1 0 0 1 1]\n[0 0 0 0 0 0 1 0 0 0 0 0 0 0 0 0 0 0 0 0 0 0 0 0 0 0 0 0 0 0 0 0 0 0 1 1 1 0 1 0\n    1 1 0 1 0 1 1 0 1 1 1 1 0 1 0 0 0 1 0 1 0 1 0 1 1 0 1 0]\n[0 0 0 0 0 0 0 1 0 0 0 0 0 0 0 0 0 0 0 0 0 0 0 0 0 0 0 0 0 0 0 0 0 0 0 0 0 1 1 0\n    1 0 0 0 0 1 1 0 0 1 0 0 1 1 1 1 1 0 0 1 1 1 0 1 1 1 0 0]\n[0 0 0 0 0 0 0 0 1 0 0 0 0 0 0 0 0 0 0 0 0 0 0 0 0 0 0 0 0 0 0 0 0 0 0 1 1 0 0 0\n    1 0 1 0 1 1 1 0 0 0 0 1 0 0 1 0 0 1 1 1 1 0 0 1 1 1 1 1]\n[0 0 0 0 0 0 0 0 0 1 0 0 0 0 0 0 0 0 0 0 0 0 0 0 0 0 0 0 0 0 0 0 0 0 1 0 1 0 0 1\n    0 0 1 1 1 0 1 1 0 1 0 0 0 1 0 0 1 0 0 0 1 0 0 0 1 1 0 0]\n[0 0 0 0 0 0 0 0 0 0 1 0 0 0 0 0 0 0 0 0 0 0 0 0 0 0 0 0 0 0 0 0 0 0 0 1 0 1 0 0\n    1 0 0 1 1 1 0 1 1 0 1 0 0 0 1 0 0 1 0 0 0 1 0 0 0 1 1 0]\n[0 0 0 0 0 0 0 0 0 0 0 1 0 0 0 0 0 0 0 0 0 0 0 0 0 0 0 0 0 0 0 0 0 0 0 0 1 0 1 0\n    0 1 0 0 1 1 1 0 1 1 0 1 0 0 0 1 0 0 1 0 0 0 1 0 0 0 1 1]\n[0 0 0 0 0 0 0 0 0 0 0 0 1 0 0 0 0 0 0 0 0 0 0 0 0 0 0 0 0 0 0 0 0 0 1 1 1 0 1 1\n    1 0 1 0 0 1 1 0 0 0 0 1 0 0 0 0 1 0 0 1 0 0 1 0 0 0 1 1]\n[0 0 0 0 0 0 0 0 0 0 0 0 0 1 0 0 0 0 0 0 0 0 0 0 0 0 0 0 0 0 0 0 0 0 1 1 1 0 0 0\n    1 0 1 1 1 1 1 1 0 1 0 0 0 1 0 1 1 1 1 1 1 1 0 1 0 0 1 0]\n[0 0 0 0 0 0 0 0 0 0 0 0 0 0 1 0 0 0 0 0 0 0 0 0 0 0 0 0 0 0 0 0 0 0 0 1 1 1 0 0\n    0 1 0 1 1 1 1 1 1 0 1 0 0 0 1 0 1 1 1 1 1 1 1 0 1 0 0 1]\n[0 0 0 0 0 0 0 0 0 0 0 0 0 0 0 1 0 0 0 0 0 0 0 0 0 0 0 0 0 0 0 0 0 0 1 1 0 0 0 0\n    1 0 1 0 1 1 1 0 1 0 1 0 1 0 0 1 0 1 1 1 1 1 0 0 0 1 1 0]\n[0 0 0 0 0 0 0 0 0 0 0 0 0 0 0 0 1 0 0 0 0 0 0 0 0 0 0 0 0 0 0 0 0 0 0 0 0 0 1 1\n    1 0 1 1 1 0 1 0 0 1 1 0 0 0 0 1 0 0 0 0 1 0 0 1 0 0 1 0]\n[0 0 0 0 0 0 0 0 0 0 0 0 0 0 0 0 0 1 0 0 0 0 0 0 0 0 0 0 0 0 0 0 0 0 0 0 0 0 0 1\n    1 1 0 1 1 1 0 1 0 0 1 1 0 0 0 0 1 0 0 0 0 1 0 0 1 0 0 1]\n[0 0 0 0 0 0 0 0 0 0 0 0 0 0 0 0 0 0 1 0 0 0 0 0 0 0 0 0 0 0 0 0 0 0 1 1 1 1 1 0\n    0 1 1 0 1 1 1 1 1 1 1 0 0 0 0 0 0 1 0 0 0 0 0 1 0 1 1 0]\n[0 0 0 0 0 0 0 0 0 0 0 0 0 0 0 0 0 0 0 1 0 0 0 0 0 0 0 0 0 0 0 0 0 0 0 0 0 1 0 0\n    1 1 0 1 1 0 1 0 1 1 0 0 0 1 0 1 1 0 0 1 0 1 1 1 1 0 1 0]\n[0 0 0 0 0 0 0 0 0 0 0 0 0 0 0 0 0 0 0 0 1 0 0 0 0 0 0 0 0 0 0 0 0 0 0 0 0 0 1 0\n    0 1 1 0 1 1 0 1 0 1 1 0 0 0 1 0 1 1 0 0 1 0 1 1 1 1 0 1]\n[0 0 0 0 0 0 0 0 0 0 0 0 0 0 0 0 0 0 0 0 0 1 0 0 0 0 0 0 0 0 0 0 0 0 1 1 1 1 1 1\n    1 0 1 1 0 1 1 1 1 1 0 0 1 0 0 1 0 1 1 0 0 1 1 0 1 1 0 0]\n[0 0 0 0 0 0 0 0 0 0 0 0 0 0 0 0 0 0 0 0 0 0 1 0 0 0 0 0 0 0 0 0 0 0 0 0 0 1 0 0\n    0 0 1 1 0 1 1 0 1 1 0 1 0 0 0 1 0 0 0 0 0 1 0 0 0 1 1 1]\n[0 0 0 0 0 0 0 0 0 0 0 0 0 0 0 0 0 0 0 0 0 0 0 1 0 0 0 0 0 0 0 0 0 0 1 0 0 1 1 1\n    0 1 1 1 0 1 1 1 0 0 1 0 0 1 0 1 0 0 1 1 0 1 1 0 0 0 0 0]\n[0 0 0 0 0 0 0 0 0 0 0 0 0 0 0 0 0 0 0 0 0 0 0 0 1 0 0 0 0 0 0 0 0 0 0 0 1 0 0 0\n    0 1 0 1 0 1 1 0 1 0 1 0 0 1 1 1 0 0 1 0 1 1 0 0 0 0 0 1]\n[0 0 0 0 0 0 0 0 0 0 0 0 0 0 0 0 0 0 0 0 0 0 0 0 0 1 0 0 0 0 0 0 0 0 1 0 0 0 0 1\n    0 1 0 0 0 1 1 1 0 0 0 1 1 1 1 0 0 0 1 0 0 0 1 0 0 0 1 1]\n[0 0 0 0 0 0 0 0 0 0 0 0 0 0 0 0 0 0 0 0 0 0 0 0 0 0 1 0 0 0 0 0 0 0 1 1 0 1 0 1\n    1 1 0 0 1 1 1 1 1 1 0 0 0 0 1 0 1 0 1 0 0 1 0 1 0 0 1 0]\n[0 0 0 0 0 0 0 0 0 0 0 0 0 0 0 0 0 0 0 0 0 0 0 0 0 0 0 1 0 0 0 0 0 0 0 1 1 0 1 0\n    1 1 1 0 0 1 1 1 1 1 1 0 0 0 0 1 0 1 0 1 0 0 1 0 1 0 0 1]\n[0 0 0 0 0 0 0 0 0 0 0 0 0 0 0 0 0 0 0 0 0 0 0 0 0 0 0 0 1 0 0 0 0 0 1 0 1 0 0 0\n    0 0 0 1 1 1 1 1 1 0 1 1 1 1 0 1 0 0 0 1 1 1 0 1 0 1 1 1]\n[0 0 0 0 0 0 0 0 0 0 0 0 0 0 0 0 0 0 0 0 0 0 0 0 0 0 0 0 0 1 0 0 0 0 1 0 1 0 1 0\n    1 0 0 0 1 1 1 0 1 0 1 0 0 1 1 0 1 0 0 0 1 1 0 1 1 0 0 1]\n[0 0 0 0 0 0 0 0 0 0 0 0 0 0 0 0 0 0 0 0 0 0 0 0 0 0 0 0 0 0 1 0 0 0 1 0 1 0 1 1\n    1 1 0 0 0 1 1 0 0 0 1 0 1 0 1 1 0 1 0 0 0 1 0 1 1 1 1 0]\n[0 0 0 0 0 0 0 0 0 0 0 0 0 0 0 0 0 0 0 0 0 0 0 0 0 0 0 0 0 0 0 1 0 0 0 0 1 1 1 0\n    0 0 0 0 1 1 1 0 0 0 1 0 0 0 0 0 0 0 0 1 0 1 0 1 1 1 1 0]\n[0 0 0 0 0 0 0 0 0 0 0 0 0 0 0 0 0 0 0 0 0 0 0 0 0 0 0 0 0 0 0 0 1 0 0 0 0 1 1 1\n    0 0 0 0 0 1 1 1 0 0 0 1 0 0 0 0 0 0 0 0 1 0 1 0 1 1 1 1]\n[0 0 0 0 0 0 0 0 0 0 0 0 0 0 0 0 0 0 0 0 0 0 0 0 0 0 0 0 0 0 0 0 0 1 1 1 1 1 0 1\n    0 0 0 0 0 0 1 0 1 1 1 1 0 0 0 0 0 0 0 0 0 1 1 0 0 1 0 1]\nLinear Code over GF(2) of length 68 with 34 generators.\nLower Bound: 1, Upper Bound: 35\nConstructed 2 distinct generator matrices\nRelative Ranks:  34  34 \nTime Taken: 0.00\nStarting search for low weight codewords... (reset timings)\nEnumerating using 1 generator at a time:\n     New codeword identified of weight 22, time 0.00\n     New codeword identified of weight 19, time 0.00\n     New codeword identified of weight 13, time 0.00\n   Completed Matrix  1:  lower =  3, upper = 13. Elapsed: 0.00s\n   Completed Matrix  2:  lower =  4, upper = 13. Elapsed: 0.00s\nTermination predicted with 6 generators at matrix 1\nEnumerating using 2 generators at a time:\n   Completed Matrix  1:  lower =  5, upper = 13. Elapsed: 0.00s\n   Completed Matrix  2:  lower =  6, upper = 13. Elapsed: 0.00s\nTermination predicted with 6 generators at matrix 1\nEnumerating using 3 generators at a time:\n   Completed Matrix  1:  lower =  7, upper = 13. Elapsed: 0.00s\n   Completed Matrix  2:  lower =  8, upper = 13. Elapsed: 0.00s\nTermination predicted with 6 generators at matrix 1\nEnumerating using 4 generators at a time:\n   Completed Matrix  1:  lower =  9, upper = 13. Elapsed: 0.00s\n   Completed Matrix  2:  lower = 10, upper = 13. Elapsed: 0.00s\nTermination predicted with 6 generators at matrix 1\nEnumerating using 5 generators at a time:\n   Completed Matrix  1:  lower = 11, upper = 13. Elapsed: 0.00s\n   Completed Matrix  2:  lower = 12, upper = 13. Elapsed: 0.00s\nTermination predicted with 6 generators at matrix 1\nEnumerating using 6 generators at a time:\n   Completed Matrix  1:  lower = 13, upper = 13. Elapsed: 0.00s\nComputation complete 2007326 vectors enumerated in total\n (0.011684% of 68 34 code)\nFinal Results: lower = 13, upper = 13,\nTotal CPU time: 0.00, real time: 0.005\n13\n\nTotal time: 0.010 seconds, Total memory usage: 32.09MB\n</t>
  </si>
  <si>
    <t>[[69,35,13]]</t>
  </si>
  <si>
    <t>Magma V2.28-26    Tue Dec 30 2025 09:50:19 on Marks-MacBook-Air-2 [Seed = \n2260487966]\nType ? for help.  Type &lt;Ctrl&gt;-D to quit.\n[1 0 1 0 1 1 0 1 1 0 0 0 1 0 0 1 1 0 1 1 0 1 1 0 1 0 0 0 0 1 1 1 0 1 1 0 0 0 0 0\n    0 0 0 0 0 0 0 0 0 0 0 0 0 0 0 0 0 0 0 0 0 0 0 0 0 0 0 0 0]\n[1 1 1 1 1 0 1 1 0 1 0 0 1 1 0 1 0 1 1 0 1 1 0 1 1 1 0 0 0 1 0 0 1 1 0 1 0 0 0 0\n    0 0 0 0 0 0 0 0 0 0 0 0 0 0 0 0 0 0 0 0 0 0 0 0 0 0 0 0 0]\n[1 1 0 1 0 0 0 0 0 0 1 0 1 1 1 1 0 0 0 0 0 0 0 0 0 1 1 0 0 1 0 1 0 0 0 0 1 0 0 0\n    0 0 0 0 0 0 0 0 0 0 0 0 0 0 0 0 0 0 0 0 0 0 0 0 0 0 0 0 0]\n[1 1 1 0 1 0 0 0 0 0 0 1 0 1 1 1 1 0 0 0 0 0 0 0 0 0 1 1 0 0 1 0 1 0 0 0 0 1 0 0\n    0 0 0 0 0 0 0 0 0 0 0 0 0 0 0 0 0 0 0 0 0 0 0 0 0 0 0 0 0]\n[1 1 1 1 0 1 0 0 0 0 0 0 1 0 1 1 1 1 0 0 0 0 0 0 0 0 0 1 1 0 0 1 0 1 0 0 0 0 1 0\n    0 0 0 0 0 0 0 0 0 0 0 0 0 0 0 0 0 0 0 0 0 0 0 0 0 0 0 0 0]\n[0 1 0 1 0 1 1 1 1 0 0 0 1 1 0 0 0 1 0 1 0 1 1 0 1 0 0 0 1 0 1 1 1 1 0 0 0 0 0 1\n    0 0 0 0 0 0 0 0 0 0 0 0 0 0 0 0 0 0 0 0 0 0 0 0 0 0 0 0 0]\n[1 0 0 0 0 1 1 0 0 1 0 0 1 1 1 1 1 0 0 1 1 1 0 1 1 1 0 0 0 0 1 0 1 0 0 0 0 0 0 0\n    1 0 0 0 0 0 0 0 0 0 0 0 0 0 0 0 0 0 0 0 0 0 0 0 0 0 0 0 0]\n[0 1 0 0 0 0 1 1 0 0 1 0 0 1 1 1 1 1 0 0 1 1 1 0 1 1 1 0 0 0 0 1 0 1 0 0 0 0 0 0\n    0 1 0 0 0 0 0 0 0 0 0 0 0 0 0 0 0 0 0 0 0 0 0 0 0 0 0 0 0]\n[0 0 0 0 1 1 0 0 0 0 0 1 1 0 1 0 0 1 0 1 0 0 0 1 1 1 1 1 0 1 1 1 1 1 0 0 0 0 0 0\n    0 0 1 0 0 0 0 0 0 0 0 0 0 0 0 0 0 0 0 0 0 0 0 0 0 0 0 0 0]\n[0 0 1 0 1 0 1 1 1 0 0 0 0 1 0 0 1 0 0 1 1 1 1 0 0 1 1 1 1 1 0 0 1 0 0 0 0 0 0 0\n    0 0 0 1 0 0 0 0 0 0 0 0 0 0 0 0 0 0 0 0 0 0 0 0 0 0 0 0 0]\n[0 0 0 1 0 1 0 1 1 1 0 0 0 0 1 0 0 1 0 0 1 1 1 1 0 0 1 1 1 1 1 0 0 1 0 0 0 0 0 0\n    0 0 0 0 1 0 0 0 0 0 0 0 0 0 0 0 0 0 0 0 0 0 0 0 0 0 0 0 0]\n[0 0 1 0 0 1 1 1 0 1 1 0 1 0 0 0 1 0 0 1 0 0 0 1 0 0 0 1 1 0 0 0 0 1 0 0 0 0 0 0\n    0 0 0 0 0 1 0 0 0 0 0 0 0 0 0 0 0 0 0 0 0 0 0 0 0 0 0 0 0]\n[0 0 1 1 1 1 1 0 0 0 1 1 1 1 0 1 1 1 1 1 1 1 1 0 0 0 0 0 1 0 1 1 0 1 0 0 0 0 0 0\n    0 0 0 0 0 0 1 0 0 0 0 0 0 0 0 0 0 0 0 0 0 0 0 0 0 0 0 0 0]\n[1 0 1 1 0 0 1 0 1 0 0 1 0 1 1 1 0 1 0 0 1 0 0 1 1 0 0 0 0 0 1 0 1 1 0 0 0 0 0 0\n    0 0 0 0 0 0 0 1 0 0 0 0 0 0 0 0 0 0 0 0 0 0 0 0 0 0 0 0 0]\n[0 1 1 1 0 1 0 0 1 1 0 0 0 0 1 0 0 0 0 1 0 0 1 0 0 1 0 0 0 1 1 0 0 0 0 0 0 0 0 0\n    0 0 0 0 0 0 0 0 1 0 0 0 0 0 0 0 0 0 0 0 0 0 0 0 0 0 0 0 0]\n[1 0 1 1 1 0 1 0 0 1 1 0 0 0 0 1 0 0 0 0 1 0 0 1 0 0 1 0 0 0 1 1 0 0 0 0 0 0 0 0\n    0 0 0 0 0 0 0 0 0 1 0 0 0 0 0 0 0 0 0 0 0 0 0 0 0 0 0 0 0]\n[1 1 0 1 1 1 0 1 0 0 1 1 0 0 0 0 1 0 0 0 0 1 0 0 1 0 0 1 0 0 0 1 1 0 0 0 0 0 0 0\n    0 0 0 0 0 0 0 0 0 0 1 0 0 0 0 0 0 0 0 0 0 0 0 0 0 0 0 0 0]\n[1 1 1 0 1 1 1 0 1 0 0 1 1 0 0 0 0 1 0 0 0 0 1 0 0 1 0 0 1 0 0 0 1 1 0 0 0 0 0 0\n    0 0 0 0 0 0 0 0 0 0 0 1 0 0 0 0 0 0 0 0 0 0 0 0 0 0 0 0 0]\n[1 1 0 1 1 0 1 0 1 1 0 0 0 1 0 1 1 0 0 1 0 1 1 1 1 0 1 0 0 0 1 1 0 0 0 0 0 0 0 0\n    0 0 0 0 0 0 0 0 0 0 0 0 1 0 0 0 0 0 0 0 0 0 0 0 0 0 0 0 0]\n[0 1 1 0 1 1 0 1 0 1 1 0 0 0 1 0 1 1 0 0 1 0 1 1 1 1 0 1 0 0 0 1 1 0 0 0 0 0 0 0\n    0 0 0 0 0 0 0 0 0 0 0 0 0 1 0 0 0 0 0 0 0 0 0 0 0 0 0 0 0]\n[0 0 1 1 0 1 1 0 1 0 1 1 0 0 0 1 0 1 1 0 0 1 0 1 1 1 1 0 1 0 0 0 1 1 0 0 0 0 0 0\n    0 0 0 0 0 0 0 0 0 0 0 0 0 0 1 0 0 0 0 0 0 0 0 0 0 0 0 0 0]\n[0 0 1 1 0 1 1 0 1 1 0 1 0 0 0 1 0 0 0 0 0 1 0 0 0 1 1 1 0 0 1 1 0 0 0 0 0 0 0 0\n    0 0 0 0 0 0 0 0 0 0 0 0 0 0 0 1 0 0 0 0 0 0 0 0 0 0 0 0 0]\n[0 0 0 1 1 0 1 1 0 1 1 0 1 0 0 0 1 0 0 0 0 0 1 0 0 0 1 1 1 0 0 1 1 0 0 0 0 0 0 0\n    0 0 0 0 0 0 0 0 0 0 0 0 0 0 0 0 1 0 0 0 0 0 0 0 0 0 0 0 0]\n[0 0 0 0 1 1 0 1 1 0 1 1 0 1 0 0 0 1 0 0 0 0 0 1 0 0 0 1 1 1 0 0 1 1 0 0 0 0 0 0\n    0 0 0 0 0 0 0 0 0 0 0 0 0 0 0 0 0 1 0 0 0 0 0 0 0 0 0 0 0]\n[0 0 1 0 1 0 1 1 0 1 0 1 0 0 1 1 1 0 0 1 0 1 1 0 0 0 0 0 1 0 0 1 0 0 0 0 0 0 0 0\n    0 0 0 0 0 0 0 0 0 0 0 0 0 0 0 0 0 0 1 0 0 0 0 0 0 0 0 0 0]\n[0 0 0 1 0 1 0 1 1 0 1 0 1 0 0 1 1 1 0 0 1 0 1 1 0 0 0 0 0 1 0 0 1 0 0 0 0 0 0 0\n    0 0 0 0 0 0 0 0 0 0 0 0 0 0 0 0 0 0 0 1 0 0 0 0 0 0 0 0 0]\n[0 0 0 0 1 0 1 0 1 1 0 1 0 1 0 0 1 1 1 0 0 1 0 1 1 0 0 0 0 0 1 0 0 1 0 0 0 0 0 0\n    0 0 0 0 0 0 0 0 0 0 0 0 0 0 0 0 0 0 0 0 1 0 0 0 0 0 0 0 0]\n[0 0 1 0 1 0 0 0 1 1 1 0 0 0 1 1 1 1 0 0 0 1 0 0 0 1 0 0 0 1 1 0 0 1 0 0 0 0 0 0\n    0 0 0 0 0 0 0 0 0 0 0 0 0 0 0 0 0 0 0 0 0 1 0 0 0 0 0 0 0]\n[1 0 1 1 1 0 0 1 1 1 1 1 1 0 0 0 0 1 0 1 0 1 0 0 1 0 1 0 0 1 0 0 0 1 0 0 0 0 0 0\n    0 0 0 0 0 0 0 0 0 0 0 0 0 0 0 0 0 0 0 0 0 0 1 0 0 0 0 0 0]\n[1 1 1 1 0 0 0 1 0 1 1 1 0 1 0 1 1 0 0 1 1 1 0 0 1 1 0 1 0 1 0 1 0 1 0 0 0 0 0 0\n    0 0 0 0 0 0 0 0 0 0 0 0 0 0 0 0 0 0 0 0 0 0 0 1 0 0 0 0 0]\n[0 1 0 1 0 1 0 1 0 0 1 1 0 0 1 1 0 1 1 1 1 0 0 0 1 1 1 0 1 1 0 1 1 1 0 0 0 0 0 0\n    0 0 0 0 0 0 0 0 0 0 0 0 0 0 0 0 0 0 0 0 0 0 0 0 1 0 0 0 0]\n[0 0 0 0 0 1 1 1 0 0 0 1 0 0 0 0 0 0 0 0 1 0 1 0 1 1 1 1 0 0 0 1 1 0 0 0 0 0 0 0\n    0 0 0 0 0 0 0 0 0 0 0 0 0 0 0 0 0 0 0 0 0 0 0 0 0 1 0 0 0]\n[1 0 0 0 0 0 1 1 1 0 0 0 1 0 0 0 0 0 0 0 0 1 0 1 0 1 1 1 1 0 0 0 1 1 0 0 0 0 0 0\n    0 0 0 0 0 0 0 0 0 0 0 0 0 0 0 0 0 0 0 0 0 0 0 0 0 0 1 0 0]\n[0 1 1 0 1 1 0 0 0 1 0 0 1 1 0 1 1 0 1 1 0 1 0 0 0 0 1 1 1 0 1 1 0 0 0 0 0 0 0 0\n    0 0 0 0 0 0 0 0 0 0 0 0 0 0 0 0 0 0 0 0 0 0 0 0 0 0 0 1 0]\n[1 0 1 1 0 1 1 0 0 0 1 0 0 1 1 0 1 1 0 1 1 0 1 0 0 0 0 1 1 1 0 1 1 0 0 0 0 0 0 0\n    0 0 0 0 0 0 0 0 0 0 0 0 0 0 0 0 0 0 0 0 0 0 0 0 0 0 0 0 1]\n[69, 35] Linear Code over GF(2)\nGenerator matrix:\n[1 0 0 0 0 0 0 0 0 0 0 0 0 0 0 0 0 0 0 0 0 0 0 0 0 0 0 0 0 0 0 0 0 0 0 1 1 0 1 1\n    1 1 1 0 1 1 0 1 0 0 1 1 0 1 0 1 1 0 1 1 0 1 1 1 0 0 0 1 0]\n[0 1 0 0 0 0 0 0 0 0 0 0 0 0 0 0 0 0 0 0 0 0 0 0 0 0 0 0 0 0 0 0 0 0 0 0 1 1 0 1\n    1 1 1 1 0 1 1 0 1 0 0 1 1 0 1 0 1 1 0 1 1 0 1 1 1 0 0 0 1]\n[0 0 1 0 0 0 0 0 0 0 0 0 0 0 0 0 0 0 0 0 0 0 0 0 0 0 0 0 0 0 0 0 0 0 0 0 1 1 1 1\n    1 0 1 0 0 0 0 0 0 1 0 1 1 1 1 0 0 0 0 0 0 0 0 0 1 1 0 0 1]\n[0 0 0 1 0 0 0 0 0 0 0 0 0 0 0 0 0 0 0 0 0 0 0 0 0 0 0 0 0 0 0 0 0 0 0 1 0 1 0 1\n    0 1 1 0 0 1 1 0 0 0 0 0 1 0 0 1 1 1 0 1 1 0 1 0 0 1 1 1 1]\n[0 0 0 0 1 0 0 0 0 0 0 0 0 0 0 0 0 0 0 0 0 0 0 0 0 0 0 0 0 0 0 0 0 0 0 0 0 0 1 1\n    1 1 1 0 1 0 0 0 0 0 0 1 0 1 1 1 1 0 0 0 0 0 0 0 0 0 1 1 0]\n[0 0 0 0 0 1 0 0 0 0 0 0 0 0 0 0 0 0 0 0 0 0 0 0 0 0 0 0 0 0 0 0 0 0 0 1 1 0 1 0\n    0 0 0 1 1 0 0 1 0 0 1 1 1 1 1 0 0 1 1 1 0 1 1 1 0 0 0 0 1]\n[0 0 0 0 0 0 1 0 0 0 0 0 0 0 0 0 0 0 0 0 0 0 0 0 0 0 0 0 0 0 0 0 0 0 0 1 1 1 1 1\n    1 0 1 1 1 0 1 0 1 0 1 1 1 0 0 1 1 1 1 0 0 0 0 1 1 0 0 1 1]\n[0 0 0 0 0 0 0 1 0 0 0 0 0 0 0 0 0 0 0 0 0 0 0 0 0 0 0 0 0 0 0 0 0 0 0 0 0 1 1 0\n    1 0 0 0 0 1 1 0 0 1 0 0 1 1 1 1 1 0 0 1 1 1 0 1 1 1 0 0 0]\n[0 0 0 0 0 0 0 0 1 0 0 0 0 0 0 0 0 0 0 0 0 0 0 0 0 0 0 0 0 0 0 0 0 0 0 1 1 0 0 0\n    1 0 1 0 1 1 1 0 0 0 0 1 0 0 1 0 0 1 1 1 1 0 0 1 1 1 1 1 0]\n[0 0 0 0 0 0 0 0 0 1 0 0 0 0 0 0 0 0 0 0 0 0 0 0 0 0 0 0 0 0 0 0 0 0 0 0 1 1 0 0\n    0 1 0 1 0 1 1 1 0 0 0 0 1 0 0 1 0 0 1 1 1 1 0 0 1 1 1 1 1]\n[0 0 0 0 0 0 0 0 0 0 1 0 0 0 0 0 0 0 0 0 0 0 0 0 0 0 0 0 0 0 0 0 0 0 0 1 0 1 0 0\n    1 0 0 1 1 1 0 1 1 0 1 0 0 0 1 0 0 1 0 0 0 1 0 0 0 1 1 0 0]\n[0 0 0 0 0 0 0 0 0 0 0 1 0 0 0 0 0 0 0 0 0 0 0 0 0 0 0 0 0 0 0 0 0 0 0 0 1 0 1 0\n    0 1 0 0 1 1 1 0 1 1 0 1 0 0 0 1 0 0 1 0 0 0 1 0 0 0 1 1 0]\n[0 0 0 0 0 0 0 0 0 0 0 0 1 0 0 0 0 0 0 0 0 0 0 0 0 0 0 0 0 0 0 0 0 0 0 1 1 1 1 0\n    1 1 0 0 1 0 1 0 0 1 0 1 1 1 0 1 0 0 1 0 0 1 1 0 0 0 0 0 1]\n[0 0 0 0 0 0 0 0 0 0 0 0 0 1 0 0 0 0 0 0 0 0 0 0 0 0 0 0 0 0 0 0 0 0 0 1 1 1 0 1\n    1 1 0 1 0 0 1 1 0 0 0 0 1 0 0 0 0 1 0 0 1 0 0 1 0 0 0 1 1]\n[0 0 0 0 0 0 0 0 0 0 0 0 0 0 1 0 0 0 0 0 0 0 0 0 0 0 0 0 0 0 0 0 0 0 0 1 1 1 0 0\n    0 1 0 1 1 1 1 1 1 0 1 0 0 0 1 0 1 1 1 1 1 1 1 0 1 0 0 1 0]\n[0 0 0 0 0 0 0 0 0 0 0 0 0 0 0 1 0 0 0 0 0 0 0 0 0 0 0 0 0 0 0 0 0 0 0 1 0 1 0 1\n    1 1 0 0 0 0 1 0 1 1 1 0 0 1 0 0 1 1 0 0 1 0 0 0 0 1 0 1 1]\n[0 0 0 0 0 0 0 0 0 0 0 0 0 0 0 0 1 0 0 0 0 0 0 0 0 0 0 0 0 0 0 0 0 0 0 0 0 0 1 1\n    1 0 1 1 1 0 1 0 0 1 1 0 0 0 0 1 0 0 0 0 1 0 0 1 0 0 1 0 0]\n[0 0 0 0 0 0 0 0 0 0 0 0 0 0 0 0 0 1 0 0 0 0 0 0 0 0 0 0 0 0 0 0 0 0 0 0 0 0 0 1\n    1 1 0 1 1 1 0 1 0 0 1 1 0 0 0 0 1 0 0 0 0 1 0 0 1 0 0 1 0]\n[0 0 0 0 0 0 0 0 0 0 0 0 0 0 0 0 0 0 1 0 0 0 0 0 0 0 0 0 0 0 0 0 0 0 0 1 1 0 1 1\n    0 0 0 0 0 0 1 1 1 0 1 0 1 1 0 1 1 1 1 1 0 1 0 1 0 1 0 1 1]\n[0 0 0 0 0 0 0 0 0 0 0 0 0 0 0 0 0 0 0 1 0 0 0 0 0 0 0 0 0 0 0 0 0 0 0 0 0 1 0 0\n    1 1 0 1 1 0 1 0 1 1 0 0 0 1 0 1 1 0 0 1 0 1 1 1 1 0 1 0 0]\n[0 0 0 0 0 0 0 0 0 0 0 0 0 0 0 0 0 0 0 0 1 0 0 0 0 0 0 0 0 0 0 0 0 0 0 0 0 0 1 0\n    0 1 1 0 1 1 0 1 0 1 1 0 0 0 1 0 1 1 0 0 1 0 1 1 1 1 0 1 0]\n[0 0 0 0 0 0 0 0 0 0 0 0 0 0 0 0 0 0 0 0 0 1 0 0 0 0 0 0 0 0 0 0 0 0 0 1 1 0 1 0\n    1 1 0 1 1 0 1 1 1 0 0 0 0 1 0 0 1 1 0 1 0 0 1 0 1 1 1 1 1]\n[0 0 0 0 0 0 0 0 0 0 0 0 0 0 0 0 0 0 0 0 0 0 1 0 0 0 0 0 0 0 0 0 0 0 0 0 0 1 0 0\n    0 0 1 1 0 1 1 0 1 1 0 1 0 0 0 1 0 0 0 0 0 1 0 0 0 1 1 1 0]\n[0 0 0 0 0 0 0 0 0 0 0 0 0 0 0 0 0 0 0 0 0 0 0 1 0 0 0 0 0 0 0 0 0 0 0 0 0 0 1 0\n    0 0 0 1 1 0 1 1 0 1 1 0 1 0 0 0 1 0 0 0 0 0 1 0 0 0 1 1 1]\n[0 0 0 0 0 0 0 0 0 0 0 0 0 0 0 0 0 0 0 0 0 0 0 0 1 0 0 0 0 0 0 0 0 0 0 0 1 0 0 0\n    0 1 0 1 0 1 1 0 1 0 1 0 0 1 1 1 0 0 1 0 1 1 0 0 0 0 0 1 0]\n[0 0 0 0 0 0 0 0 0 0 0 0 0 0 0 0 0 0 0 0 0 0 0 0 0 1 0 0 0 0 0 0 0 0 0 0 0 1 0 0\n    0 0 1 0 1 0 1 1 0 1 0 1 0 0 1 1 1 0 0 1 0 1 1 0 0 0 0 0 1]\n[0 0 0 0 0 0 0 0 0 0 0 0 0 0 0 0 0 0 0 0 0 0 0 0 0 0 1 0 0 0 0 0 0 0 0 1 0 0 0 0\n    1 0 1 0 0 0 1 1 1 0 0 0 1 1 1 1 0 0 0 1 0 0 0 1 0 0 0 1 1]\n[0 0 0 0 0 0 0 0 0 0 0 0 0 0 0 0 0 0 0 0 0 0 0 0 0 0 0 1 0 0 0 0 0 0 0 1 1 0 1 0\n    1 1 1 0 0 1 1 1 1 1 1 0 0 0 0 1 0 1 0 1 0 0 1 0 1 0 0 1 0]\n[0 0 0 0 0 0 0 0 0 0 0 0 0 0 0 0 0 0 0 0 0 0 0 0 0 0 0 0 1 0 0 0 0 0 0 0 1 1 0 1\n    0 1 1 1 0 0 1 1 1 1 1 1 0 0 0 0 1 0 1 0 1 0 0 1 0 1 0 0 1]\n[0 0 0 0 0 0 0 0 0 0 0 0 0 0 0 0 0 0 0 0 0 0 0 0 0 0 0 0 0 1 0 0 0 0 0 0 1 1 1 1\n    1 1 1 0 0 0 1 0 1 1 1 0 1 0 1 1 0 0 1 1 1 0 0 1 1 0 1 0 1]\n[0 0 0 0 0 0 0 0 0 0 0 0 0 0 0 0 0 0 0 0 0 0 0 0 0 0 0 0 0 0 1 0 0 0 0 0 1 1 1 0\n    1 0 1 0 1 0 1 0 0 1 1 0 0 1 1 0 1 1 1 1 0 0 0 1 1 1 0 1 1]\n[0 0 0 0 0 0 0 0 0 0 0 0 0 0 0 0 0 0 0 0 0 0 0 0 0 0 0 0 0 0 0 1 0 0 0 0 1 1 1 0\n    0 0 0 0 1 1 1 0 0 0 1 0 0 0 0 0 0 0 0 1 0 1 0 1 1 1 1 0 0]\n[0 0 0 0 0 0 0 0 0 0 0 0 0 0 0 0 0 0 0 0 0 0 0 0 0 0 0 0 0 0 0 0 1 0 0 0 0 1 1 1\n    0 0 0 0 0 1 1 1 0 0 0 1 0 0 0 0 0 0 0 0 1 0 1 0 1 1 1 1 0]\n[0 0 0 0 0 0 0 0 0 0 0 0 0 0 0 0 0 0 0 0 0 0 0 0 0 0 0 0 0 0 0 0 0 1 0 1 1 0 0 0\n    0 1 1 0 1 1 1 0 1 0 1 1 1 1 0 1 1 0 1 1 0 0 1 0 0 1 1 0 1]\n[0 0 0 0 0 0 0 0 0 0 0 0 0 0 0 0 0 0 0 0 0 0 0 0 0 0 0 0 0 0 0 0 0 0 1 0 0 1 0 1\n    0 1 1 0 1 1 0 0 0 1 0 0 1 1 0 1 1 0 1 1 0 1 0 0 0 0 1 1 1]\nLinear Code over GF(2) of length 69 with 35 generators.\nLower Bound: 1, Upper Bound: 35\nConstructed 2 distinct generator matrices\nRelative Ranks:  35  34 \nTime Taken: 0.00\nStarting search for low weight codewords... (reset timings)\nEnumerating using 1 generator at a time:\n     New codeword identified of weight 22, time 0.00\n     New codeword identified of weight 15, time 0.00\n     New codeword identified of weight 14, time 0.00\n   Completed Matrix  1:  lower =  2, upper = 14. Elapsed: 0.00s\n     New codeword identified of weight 13, time 0.00\n   Completed Matrix  2:  lower =  3, upper = 13. Elapsed: 0.00s\nTermination predicted with 6 generators at matrix 2\nEnumerating using 2 generators at a time:\n   Completed Matrix  1:  lower =  4, upper = 13. Elapsed: 0.00s\n   Completed Matrix  2:  lower =  5, upper = 13. Elapsed: 0.00s\nTermination predicted with 6 generators at matrix 2\nEnumerating using 3 generators at a time:\n   Completed Matrix  1:  lower =  6, upper = 13. Elapsed: 0.00s\n   Completed Matrix  2:  lower =  7, upper = 13. Elapsed: 0.00s\nTermination predicted with 6 generators at matrix 2\nEnumerating using 4 generators at a time:\n   Completed Matrix  1:  lower =  8, upper = 13. Elapsed: 0.00s\n   Completed Matrix  2:  lower =  9, upper = 13. Elapsed: 0.00s\nTermination predicted with 6 generators at matrix 2\nEnumerating using 5 generators at a time:\n   Completed Matrix  1:  lower = 10, upper = 13. Elapsed: 0.00s\n   Completed Matrix  2:  lower = 11, upper = 13. Elapsed: 0.00s\nTermination predicted with 6 generators at matrix 2\nEnumerating using 6 generators at a time:\n   Completed Matrix  1:  lower = 12, upper = 13. Elapsed: 0.00s\n   Completed Matrix  2:  lower = 13, upper = 13. Elapsed: 0.00s\nComputation complete 4014654 vectors enumerated in total\n (0.011684% of 69 35 code)\nFinal Results: lower = 13, upper = 13,\nTotal CPU time: 0.00, real time: 0.010\n13\n\nTotal time: 0.019 seconds, Total memory usage: 32.09MB\n</t>
  </si>
  <si>
    <t>[[70,36,13]]</t>
  </si>
  <si>
    <t>Magma V2.28-26    Tue Dec 30 2025 09:50:19 on Marks-MacBook-Air-2 [Seed = \n2293383440]\nType ? for help.  Type &lt;Ctrl&gt;-D to quit.\n[1 0 1 0 1 1 0 1 1 0 0 0 1 0 0 1 1 0 1 1 0 1 1 0 1 0 0 0 0 1 1 1 0 1 1 0 0 0 0 0\n    0 0 0 0 0 0 0 0 0 0 0 0 0 0 0 0 0 0 0 0 0 0 0 0 0 0 0 0 0 0]\n[1 1 1 1 1 0 1 1 0 1 0 0 1 1 0 1 0 1 1 0 1 1 0 1 1 1 0 0 0 1 0 0 1 1 0 1 0 0 0 0\n    0 0 0 0 0 0 0 0 0 0 0 0 0 0 0 0 0 0 0 0 0 0 0 0 0 0 0 0 0 0]\n[1 1 0 1 0 0 0 0 0 0 1 0 1 1 1 1 0 0 0 0 0 0 0 0 0 1 1 0 0 1 0 1 0 0 0 0 1 0 0 0\n    0 0 0 0 0 0 0 0 0 0 0 0 0 0 0 0 0 0 0 0 0 0 0 0 0 0 0 0 0 0]\n[1 1 1 0 1 0 0 0 0 0 0 1 0 1 1 1 1 0 0 0 0 0 0 0 0 0 1 1 0 0 1 0 1 0 0 0 0 1 0 0\n    0 0 0 0 0 0 0 0 0 0 0 0 0 0 0 0 0 0 0 0 0 0 0 0 0 0 0 0 0 0]\n[1 1 1 1 0 1 0 0 0 0 0 0 1 0 1 1 1 1 0 0 0 0 0 0 0 0 0 1 1 0 0 1 0 1 0 0 0 0 1 0\n    0 0 0 0 0 0 0 0 0 0 0 0 0 0 0 0 0 0 0 0 0 0 0 0 0 0 0 0 0 0]\n[0 1 0 1 0 1 1 1 1 0 0 0 1 1 0 0 0 1 0 1 0 1 1 0 1 0 0 0 1 0 1 1 1 1 0 0 0 0 0 1\n    0 0 0 0 0 0 0 0 0 0 0 0 0 0 0 0 0 0 0 0 0 0 0 0 0 0 0 0 0 0]\n[1 0 0 0 0 1 1 0 0 1 0 0 1 1 1 1 1 0 0 1 1 1 0 1 1 1 0 0 0 0 1 0 1 0 0 0 0 0 0 0\n    1 0 0 0 0 0 0 0 0 0 0 0 0 0 0 0 0 0 0 0 0 0 0 0 0 0 0 0 0 0]\n[0 1 0 0 0 0 1 1 0 0 1 0 0 1 1 1 1 1 0 0 1 1 1 0 1 1 1 0 0 0 0 1 0 1 0 0 0 0 0 0\n    0 1 0 0 0 0 0 0 0 0 0 0 0 0 0 0 0 0 0 0 0 0 0 0 0 0 0 0 0 0]\n[0 0 0 0 1 1 0 0 0 0 0 1 1 0 1 0 0 1 0 1 0 0 0 1 1 1 1 1 0 1 1 1 1 1 0 0 0 0 0 0\n    0 0 1 0 0 0 0 0 0 0 0 0 0 0 0 0 0 0 0 0 0 0 0 0 0 0 0 0 0 0]\n[0 0 1 0 1 0 1 1 1 0 0 0 0 1 0 0 1 0 0 1 1 1 1 0 0 1 1 1 1 1 0 0 1 0 0 0 0 0 0 0\n    0 0 0 1 0 0 0 0 0 0 0 0 0 0 0 0 0 0 0 0 0 0 0 0 0 0 0 0 0 0]\n[0 0 0 1 0 1 0 1 1 1 0 0 0 0 1 0 0 1 0 0 1 1 1 1 0 0 1 1 1 1 1 0 0 1 0 0 0 0 0 0\n    0 0 0 0 1 0 0 0 0 0 0 0 0 0 0 0 0 0 0 0 0 0 0 0 0 0 0 0 0 0]\n[0 0 1 0 0 1 1 1 0 1 1 0 1 0 0 0 1 0 0 1 0 0 0 1 0 0 0 1 1 0 0 0 0 1 0 0 0 0 0 0\n    0 0 0 0 0 1 0 0 0 0 0 0 0 0 0 0 0 0 0 0 0 0 0 0 0 0 0 0 0 0]\n[0 0 1 1 1 1 1 0 0 0 1 1 1 1 0 1 1 1 1 1 1 1 1 0 0 0 0 0 1 0 1 1 0 1 0 0 0 0 0 0\n    0 0 0 0 0 0 1 0 0 0 0 0 0 0 0 0 0 0 0 0 0 0 0 0 0 0 0 0 0 0]\n[1 0 1 1 0 0 1 0 1 0 0 1 0 1 1 1 0 1 0 0 1 0 0 1 1 0 0 0 0 0 1 0 1 1 0 0 0 0 0 0\n    0 0 0 0 0 0 0 1 0 0 0 0 0 0 0 0 0 0 0 0 0 0 0 0 0 0 0 0 0 0]\n[0 1 1 1 0 1 0 0 1 1 0 0 0 0 1 0 0 0 0 1 0 0 1 0 0 1 0 0 0 1 1 0 0 0 0 0 0 0 0 0\n    0 0 0 0 0 0 0 0 1 0 0 0 0 0 0 0 0 0 0 0 0 0 0 0 0 0 0 0 0 0]\n[1 0 1 1 1 0 1 0 0 1 1 0 0 0 0 1 0 0 0 0 1 0 0 1 0 0 1 0 0 0 1 1 0 0 0 0 0 0 0 0\n    0 0 0 0 0 0 0 0 0 1 0 0 0 0 0 0 0 0 0 0 0 0 0 0 0 0 0 0 0 0]\n[1 1 0 1 1 1 0 1 0 0 1 1 0 0 0 0 1 0 0 0 0 1 0 0 1 0 0 1 0 0 0 1 1 0 0 0 0 0 0 0\n    0 0 0 0 0 0 0 0 0 0 1 0 0 0 0 0 0 0 0 0 0 0 0 0 0 0 0 0 0 0]\n[1 1 1 0 1 1 1 0 1 0 0 1 1 0 0 0 0 1 0 0 0 0 1 0 0 1 0 0 1 0 0 0 1 1 0 0 0 0 0 0\n    0 0 0 0 0 0 0 0 0 0 0 1 0 0 0 0 0 0 0 0 0 0 0 0 0 0 0 0 0 0]\n[1 1 0 1 1 0 1 0 1 1 0 0 0 1 0 1 1 0 0 1 0 1 1 1 1 0 1 0 0 0 1 1 0 0 0 0 0 0 0 0\n    0 0 0 0 0 0 0 0 0 0 0 0 1 0 0 0 0 0 0 0 0 0 0 0 0 0 0 0 0 0]\n[0 1 1 0 1 1 0 1 0 1 1 0 0 0 1 0 1 1 0 0 1 0 1 1 1 1 0 1 0 0 0 1 1 0 0 0 0 0 0 0\n    0 0 0 0 0 0 0 0 0 0 0 0 0 1 0 0 0 0 0 0 0 0 0 0 0 0 0 0 0 0]\n[0 0 1 1 0 1 1 0 1 0 1 1 0 0 0 1 0 1 1 0 0 1 0 1 1 1 1 0 1 0 0 0 1 1 0 0 0 0 0 0\n    0 0 0 0 0 0 0 0 0 0 0 0 0 0 1 0 0 0 0 0 0 0 0 0 0 0 0 0 0 0]\n[0 0 1 1 0 1 1 0 1 1 0 1 0 0 0 1 0 0 0 0 0 1 0 0 0 1 1 1 0 0 1 1 0 0 0 0 0 0 0 0\n    0 0 0 0 0 0 0 0 0 0 0 0 0 0 0 1 0 0 0 0 0 0 0 0 0 0 0 0 0 0]\n[0 0 0 1 1 0 1 1 0 1 1 0 1 0 0 0 1 0 0 0 0 0 1 0 0 0 1 1 1 0 0 1 1 0 0 0 0 0 0 0\n    0 0 0 0 0 0 0 0 0 0 0 0 0 0 0 0 1 0 0 0 0 0 0 0 0 0 0 0 0 0]\n[0 0 0 0 1 1 0 1 1 0 1 1 0 1 0 0 0 1 0 0 0 0 0 1 0 0 0 1 1 1 0 0 1 1 0 0 0 0 0 0\n    0 0 0 0 0 0 0 0 0 0 0 0 0 0 0 0 0 1 0 0 0 0 0 0 0 0 0 0 0 0]\n[0 0 1 0 1 0 1 1 0 1 0 1 0 0 1 1 1 0 0 1 0 1 1 0 0 0 0 0 1 0 0 1 0 0 0 0 0 0 0 0\n    0 0 0 0 0 0 0 0 0 0 0 0 0 0 0 0 0 0 1 0 0 0 0 0 0 0 0 0 0 0]\n[0 0 0 1 0 1 0 1 1 0 1 0 1 0 0 1 1 1 0 0 1 0 1 1 0 0 0 0 0 1 0 0 1 0 0 0 0 0 0 0\n    0 0 0 0 0 0 0 0 0 0 0 0 0 0 0 0 0 0 0 1 0 0 0 0 0 0 0 0 0 0]\n[0 0 0 0 1 0 1 0 1 1 0 1 0 1 0 0 1 1 1 0 0 1 0 1 1 0 0 0 0 0 1 0 0 1 0 0 0 0 0 0\n    0 0 0 0 0 0 0 0 0 0 0 0 0 0 0 0 0 0 0 0 1 0 0 0 0 0 0 0 0 0]\n[0 0 1 0 1 0 0 0 1 1 1 0 0 0 1 1 1 1 0 0 0 1 0 0 0 1 0 0 0 1 1 0 0 1 0 0 0 0 0 0\n    0 0 0 0 0 0 0 0 0 0 0 0 0 0 0 0 0 0 0 0 0 1 0 0 0 0 0 0 0 0]\n[1 0 1 1 1 0 0 1 1 1 1 1 1 0 0 0 0 1 0 1 0 1 0 0 1 0 1 0 0 1 0 0 0 1 0 0 0 0 0 0\n    0 0 0 0 0 0 0 0 0 0 0 0 0 0 0 0 0 0 0 0 0 0 1 0 0 0 0 0 0 0]\n[1 1 1 1 0 0 0 1 0 1 1 1 0 1 0 1 1 0 0 1 1 1 0 0 1 1 0 1 0 1 0 1 0 1 0 0 0 0 0 0\n    0 0 0 0 0 0 0 0 0 0 0 0 0 0 0 0 0 0 0 0 0 0 0 1 0 0 0 0 0 0]\n[0 1 0 1 0 1 0 1 0 0 1 1 0 0 1 1 0 1 1 1 1 0 0 0 1 1 1 0 1 1 0 1 1 1 0 0 0 0 0 0\n    0 0 0 0 0 0 0 0 0 0 0 0 0 0 0 0 0 0 0 0 0 0 0 0 1 0 0 0 0 0]\n[0 0 0 0 0 1 1 1 0 0 0 1 0 0 0 0 0 0 0 0 1 0 1 0 1 1 1 1 0 0 0 1 1 0 0 0 0 0 0 0\n    0 0 0 0 0 0 0 0 0 0 0 0 0 0 0 0 0 0 0 0 0 0 0 0 0 1 0 0 0 0]\n[1 0 0 0 0 0 1 1 1 0 0 0 1 0 0 0 0 0 0 0 0 1 0 1 0 1 1 1 1 0 0 0 1 1 0 0 0 0 0 0\n    0 0 0 0 0 0 0 0 0 0 0 0 0 0 0 0 0 0 0 0 0 0 0 0 0 0 1 0 0 0]\n[0 1 1 0 1 1 0 0 0 1 0 0 1 1 0 1 1 0 1 1 0 1 0 0 0 0 1 1 1 0 1 1 0 0 0 0 0 0 0 0\n    0 0 0 0 0 0 0 0 0 0 0 0 0 0 0 0 0 0 0 0 0 0 0 0 0 0 0 1 0 0]\n[1 0 1 1 0 1 1 0 0 0 1 0 0 1 1 0 1 1 0 1 1 0 1 0 0 0 0 1 1 1 0 1 1 0 0 0 0 0 0 0\n    0 0 0 0 0 0 0 0 0 0 0 0 0 0 0 0 0 0 0 0 0 0 0 0 0 0 0 0 1 0]\n[0 1 0 1 1 0 1 1 0 0 0 1 0 0 1 1 0 1 1 0 1 1 0 1 0 0 0 0 1 1 1 0 1 1 0 0 0 0 0 0\n    0 0 0 0 0 0 0 0 0 0 0 0 0 0 0 0 0 0 0 0 0 0 0 0 0 0 0 0 0 1]\n[70, 36] Linear Code over GF(2)\nGenerator matrix:\n[1 0 0 0 0 0 0 0 0 0 0 0 0 0 0 0 0 0 0 0 0 0 0 0 0 0 0 0 0 0 0 0 0 0 0 0 1 0 0 1\n    0 1 0 1 1 0 1 1 0 0 0 1 0 0 1 1 0 1 1 0 1 1 0 1 0 0 0 0 1 1]\n[0 1 0 0 0 0 0 0 0 0 0 0 0 0 0 0 0 0 0 0 0 0 0 0 0 0 0 0 0 0 0 0 0 0 0 0 1 1 0 1\n    1 1 1 1 0 1 1 0 1 0 0 1 1 0 1 0 1 1 0 1 1 0 1 1 1 0 0 0 1 0]\n[0 0 1 0 0 0 0 0 0 0 0 0 0 0 0 0 0 0 0 0 0 0 0 0 0 0 0 0 0 0 0 0 0 0 0 0 1 1 1 1\n    1 0 1 0 0 0 0 0 0 1 0 1 1 1 1 0 0 0 0 0 0 0 0 0 1 1 0 0 1 0]\n[0 0 0 1 0 0 0 0 0 0 0 0 0 0 0 0 0 0 0 0 0 0 0 0 0 0 0 0 0 0 0 0 0 0 0 0 0 1 1 1\n    1 1 0 1 0 0 0 0 0 0 1 0 1 1 1 1 0 0 0 0 0 0 0 0 0 1 1 0 0 1]\n[0 0 0 0 1 0 0 0 0 0 0 0 0 0 0 0 0 0 0 0 0 0 0 0 0 0 0 0 0 0 0 0 0 0 0 0 0 0 1 1\n    1 1 1 0 1 0 0 0 0 0 0 1 0 1 1 1 1 0 0 0 0 0 0 0 0 0 1 1 0 0]\n[0 0 0 0 0 1 0 0 0 0 0 0 0 0 0 0 0 0 0 0 0 0 0 0 0 0 0 0 0 0 0 0 0 0 0 0 1 0 0 0\n    1 0 1 0 1 1 1 1 0 0 0 1 1 0 0 0 1 0 1 0 1 1 0 1 0 0 0 1 0 1]\n[0 0 0 0 0 0 1 0 0 0 0 0 0 0 0 0 0 0 0 0 0 0 0 0 0 0 0 0 0 0 0 0 0 0 0 0 1 1 0 1\n    0 0 0 0 1 1 0 0 1 0 0 1 1 1 1 1 0 0 1 1 1 0 1 1 1 0 0 0 0 1]\n[0 0 0 0 0 0 0 1 0 0 0 0 0 0 0 0 0 0 0 0 0 0 0 0 0 0 0 0 0 0 0 0 0 0 0 0 0 1 1 0\n    1 0 0 0 0 1 1 0 0 1 0 0 1 1 1 1 1 0 0 1 1 1 0 1 1 1 0 0 0 0]\n[0 0 0 0 0 0 0 0 1 0 0 0 0 0 0 0 0 0 0 0 0 0 0 0 0 0 0 0 0 0 0 0 0 0 0 0 1 0 1 0\n    0 0 0 1 1 0 0 0 0 0 1 1 0 1 0 0 1 0 1 0 0 0 1 1 1 1 1 0 1 1]\n[0 0 0 0 0 0 0 0 0 1 0 0 0 0 0 0 0 0 0 0 0 0 0 0 0 0 0 0 0 0 0 0 0 0 0 0 1 1 0 0\n    0 1 0 1 0 1 1 1 0 0 0 0 1 0 0 1 0 0 1 1 1 1 0 0 1 1 1 1 1 0]\n[0 0 0 0 0 0 0 0 0 0 1 0 0 0 0 0 0 0 0 0 0 0 0 0 0 0 0 0 0 0 0 0 0 0 0 0 0 1 1 0\n    0 0 1 0 1 0 1 1 1 0 0 0 0 1 0 0 1 0 0 1 1 1 1 0 0 1 1 1 1 1]\n[0 0 0 0 0 0 0 0 0 0 0 1 0 0 0 0 0 0 0 0 0 0 0 0 0 0 0 0 0 0 0 0 0 0 0 0 1 0 1 0\n    0 1 0 0 1 1 1 0 1 1 0 1 0 0 0 1 0 0 1 0 0 0 1 0 0 0 1 1 0 0]\n[0 0 0 0 0 0 0 0 0 0 0 0 1 0 0 0 0 0 0 0 0 0 0 0 0 0 0 0 0 0 0 0 0 0 0 0 1 1 0 0\n    0 1 1 1 1 1 0 0 0 1 1 1 1 0 1 1 1 1 1 1 1 1 0 0 0 0 0 1 0 1]\n[0 0 0 0 0 0 0 0 0 0 0 0 0 1 0 0 0 0 0 0 0 0 0 0 0 0 0 0 0 0 0 0 0 0 0 0 1 1 1 1\n    0 1 1 0 0 1 0 1 0 0 1 0 1 1 1 0 1 0 0 1 0 0 1 1 0 0 0 0 0 1]\n[0 0 0 0 0 0 0 0 0 0 0 0 0 0 1 0 0 0 0 0 0 0 0 0 0 0 0 0 0 0 0 0 0 0 0 0 1 1 1 0\n    1 1 1 0 1 0 0 1 1 0 0 0 0 1 0 0 0 0 1 0 0 1 0 0 1 0 0 0 1 1]\n[0 0 0 0 0 0 0 0 0 0 0 0 0 0 0 1 0 0 0 0 0 0 0 0 0 0 0 0 0 0 0 0 0 0 0 0 0 1 1 1\n    0 1 1 1 0 1 0 0 1 1 0 0 0 0 1 0 0 0 0 1 0 0 1 0 0 1 0 0 0 1]\n[0 0 0 0 0 0 0 0 0 0 0 0 0 0 0 0 1 0 0 0 0 0 0 0 0 0 0 0 0 0 0 0 0 0 0 0 0 0 1 1\n    1 0 1 1 1 0 1 0 0 1 1 0 0 0 0 1 0 0 0 0 1 0 0 1 0 0 1 0 0 0]\n[0 0 0 0 0 0 0 0 0 0 0 0 0 0 0 0 0 1 0 0 0 0 0 0 0 0 0 0 0 0 0 0 0 0 0 0 0 0 0 1\n    1 1 0 1 1 1 0 1 0 0 1 1 0 0 0 0 1 0 0 0 0 1 0 0 1 0 0 1 0 0]\n[0 0 0 0 0 0 0 0 0 0 0 0 0 0 0 0 0 0 1 0 0 0 0 0 0 0 0 0 0 0 0 0 0 0 0 0 1 0 0 1\n    1 0 1 1 0 1 0 1 1 0 0 0 1 0 1 1 0 0 1 0 1 1 1 1 0 1 0 0 0 1]\n[0 0 0 0 0 0 0 0 0 0 0 0 0 0 0 0 0 0 0 1 0 0 0 0 0 0 0 0 0 0 0 0 0 0 0 0 0 1 0 0\n    1 1 0 1 1 0 1 0 1 1 0 0 0 1 0 1 1 0 0 1 0 1 1 1 1 0 1 0 0 0]\n[0 0 0 0 0 0 0 0 0 0 0 0 0 0 0 0 0 0 0 0 1 0 0 0 0 0 0 0 0 0 0 0 0 0 0 0 0 0 1 0\n    0 1 1 0 1 1 0 1 0 1 1 0 0 0 1 0 1 1 0 0 1 0 1 1 1 1 0 1 0 0]\n[0 0 0 0 0 0 0 0 0 0 0 0 0 0 0 0 0 0 0 0 0 1 0 0 0 0 0 0 0 0 0 0 0 0 0 0 1 0 0 0\n    0 1 1 0 1 1 0 1 1 0 1 0 0 0 1 0 0 0 0 0 1 0 0 0 1 1 1 0 0 1]\n[0 0 0 0 0 0 0 0 0 0 0 0 0 0 0 0 0 0 0 0 0 0 1 0 0 0 0 0 0 0 0 0 0 0 0 0 0 1 0 0\n    0 0 1 1 0 1 1 0 1 1 0 1 0 0 0 1 0 0 0 0 0 1 0 0 0 1 1 1 0 0]\n[0 0 0 0 0 0 0 0 0 0 0 0 0 0 0 0 0 0 0 0 0 0 0 1 0 0 0 0 0 0 0 0 0 0 0 0 0 0 1 0\n    0 0 0 1 1 0 1 1 0 1 1 0 1 0 0 0 1 0 0 0 0 0 1 0 0 0 1 1 1 0]\n[0 0 0 0 0 0 0 0 0 0 0 0 0 0 0 0 0 0 0 0 0 0 0 0 1 0 0 0 0 0 0 0 0 0 0 0 1 0 0 0\n    0 1 0 1 0 1 1 0 1 0 1 0 0 1 1 1 0 0 1 0 1 1 0 0 0 0 0 1 0 0]\n[0 0 0 0 0 0 0 0 0 0 0 0 0 0 0 0 0 0 0 0 0 0 0 0 0 1 0 0 0 0 0 0 0 0 0 0 0 1 0 0\n    0 0 1 0 1 0 1 1 0 1 0 1 0 0 1 1 1 0 0 1 0 1 1 0 0 0 0 0 1 0]\n[0 0 0 0 0 0 0 0 0 0 0 0 0 0 0 0 0 0 0 0 0 0 0 0 0 0 1 0 0 0 0 0 0 0 0 0 0 0 1 0\n    0 0 0 1 0 1 0 1 1 0 1 0 1 0 0 1 1 1 0 0 1 0 1 1 0 0 0 0 0 1]\n[0 0 0 0 0 0 0 0 0 0 0 0 0 0 0 0 0 0 0 0 0 0 0 0 0 0 0 1 0 0 0 0 0 0 0 0 1 0 0 0\n    0 1 0 1 0 0 0 1 1 1 0 0 0 1 1 1 1 0 0 0 1 0 0 0 1 0 0 0 1 1]\n[0 0 0 0 0 0 0 0 0 0 0 0 0 0 0 0 0 0 0 0 0 0 0 0 0 0 0 0 1 0 0 0 0 0 0 0 1 1 0 1\n    0 1 1 1 0 0 1 1 1 1 1 1 0 0 0 0 1 0 1 0 1 0 0 1 0 1 0 0 1 0]\n[0 0 0 0 0 0 0 0 0 0 0 0 0 0 0 0 0 0 0 0 0 0 0 0 0 0 0 0 0 1 0 0 0 0 0 0 1 1 1 1\n    1 1 1 0 0 0 1 0 1 1 1 0 1 0 1 1 0 0 1 1 1 0 0 1 1 0 1 0 1 0]\n[0 0 0 0 0 0 0 0 0 0 0 0 0 0 0 0 0 0 0 0 0 0 0 0 0 0 0 0 0 0 1 0 0 0 0 0 1 1 1 0\n    1 0 1 0 1 0 1 0 0 1 1 0 0 1 1 0 1 1 1 1 0 0 0 1 1 1 0 1 1 0]\n[0 0 0 0 0 0 0 0 0 0 0 0 0 0 0 0 0 0 0 0 0 0 0 0 0 0 0 0 0 0 0 1 0 0 0 0 1 1 1 0\n    0 0 0 0 1 1 1 0 0 0 1 0 0 0 0 0 0 0 0 1 0 1 0 1 1 1 1 0 0 0]\n[0 0 0 0 0 0 0 0 0 0 0 0 0 0 0 0 0 0 0 0 0 0 0 0 0 0 0 0 0 0 0 0 1 0 0 0 0 1 1 1\n    0 0 0 0 0 1 1 1 0 0 0 1 0 0 0 0 0 0 0 0 1 0 1 0 1 1 1 1 0 0]\n[0 0 0 0 0 0 0 0 0 0 0 0 0 0 0 0 0 0 0 0 0 0 0 0 0 0 0 0 0 0 0 0 0 1 0 0 1 0 1 0\n    1 1 0 1 1 0 0 0 1 0 0 1 1 0 1 1 0 1 1 0 1 0 0 0 0 1 1 1 0 1]\n[0 0 0 0 0 0 0 0 0 0 0 0 0 0 0 0 0 0 0 0 0 0 0 0 0 0 0 0 0 0 0 0 0 0 1 0 0 1 0 1\n    0 1 1 0 1 1 0 0 0 1 0 0 1 1 0 1 1 0 1 1 0 1 0 0 0 0 1 1 1 0]\n[0 0 0 0 0 0 0 0 0 0 0 0 0 0 0 0 0 0 0 0 0 0 0 0 0 0 0 0 0 0 0 0 0 0 0 1 0 0 1 0\n    1 0 1 1 0 1 1 0 0 0 1 0 0 1 1 0 1 1 0 1 1 0 1 0 0 0 0 1 1 1]\nLinear Code over GF(2) of length 70 with 36 generators.\nLower Bound: 1, Upper Bound: 35\nConstructed 2 distinct generator matrices\nRelative Ranks:  36  34 \nTime Taken: 0.00\nStarting search for low weight codewords... (reset timings)\nEnumerating using 1 generator at a time:\n     New codeword identified of weight 18, time 0.00\n     New codeword identified of weight 15, time 0.00\n     New codeword identified of weight 14, time 0.00\n   Completed Matrix  1:  lower =  2, upper = 14. Elapsed: 0.00s\n     New codeword identified of weight 13, time 0.00\n   Completed Matrix  2:  lower =  2, upper = 13. Elapsed: 0.00s\nTermination predicted with 7 generators at matrix 1\nEnumerating using 2 generators at a time:\n   Completed Matrix  1:  lower =  3, upper = 13. Elapsed: 0.00s\n   Completed Matrix  2:  lower =  4, upper = 13. Elapsed: 0.00s\nTermination predicted with 7 generators at matrix 1\nEnumerating using 3 generators at a time:\n   Completed Matrix  1:  lower =  5, upper = 13. Elapsed: 0.00s\n   Completed Matrix  2:  lower =  6, upper = 13. Elapsed: 0.00s\nTermination predicted with 7 generators at matrix 1\nEnumerating using 4 generators at a time:\n   Completed Matrix  1:  lower =  7, upper = 13. Elapsed: 0.00s\n   Completed Matrix  2:  lower =  8, upper = 13. Elapsed: 0.00s\nTermination predicted with 7 generators at matrix 1\nEnumerating using 5 generators at a time:\n   Completed Matrix  1:  lower =  9, upper = 13. Elapsed: 0.00s\n   Completed Matrix  2:  lower = 10, upper = 13. Elapsed: 0.00s\nTermination predicted with 7 generators at matrix 1\nEnumerating using 6 generators at a time:\n   Completed Matrix  1:  lower = 11, upper = 13. Elapsed: 0.00s\n   Completed Matrix  2:  lower = 12, upper = 13. Elapsed: 0.00s\nTermination predicted with 7 generators at matrix 1\nEnumerating using 7 generators at a time:\n   Completed Matrix  1:  lower = 13, upper = 13. Elapsed: 0.03s\nComputation complete 13130670 vectors enumerated in total\n (0.019108% of 70 36 code)\nFinal Results: lower = 13, upper = 13,\nTotal CPU time: 0.03, real time: 0.030\n13\n\nTotal time: 0.040 seconds, Total memory usage: 32.09MB\n</t>
  </si>
  <si>
    <t>[[71,12,29]]</t>
  </si>
  <si>
    <t>Magma V2.28-26    Tue Dec 30 2025 09:50:19 on Marks-MacBook-Air-2 [Seed = \n2460506890]\nType ? for help.  Type &lt;Ctrl&gt;-D to quit.\n[0 1 1 0 1 1 0 1 1 1 0 1 0 0 0 0 1 0 1 0 0 0 1 1 1 1 1 0 0 0 0 0 0 1 1 1 1 1 1 0\n    1 0 1 1 1 1 0 0 0 0 0 1 0 0 1 0 1 0 0 0 0 0 0 0 0 0 0 0 0 0 0]\n[0 1 0 1 0 1 1 0 0 1 0 0 0 0 0 0 1 0 0 0 1 0 1 0 0 1 1 1 1 1 1 1 1 1 0 0 1 0 1 1\n    1 1 0 1 1 0 0 0 1 0 0 0 1 1 1 0 0 1 1 1 0 0 0 0 0 0 0 0 0 0 0]\n[1 1 0 1 1 0 0 1 0 1 1 0 0 0 0 1 1 0 0 1 1 1 0 1 0 1 0 1 0 0 0 0 0 1 1 1 0 1 1 1\n    0 1 1 0 0 0 0 1 1 1 0 0 1 1 0 0 0 0 0 0 1 0 0 0 0 0 0 0 0 0 0]\n[1 1 0 1 0 0 0 1 1 0 0 1 1 0 1 0 0 0 1 0 0 1 1 1 1 1 1 1 0 0 0 0 0 1 1 1 0 0 1 0\n    0 0 0 0 0 1 1 1 1 1 1 1 1 0 0 1 0 1 1 0 0 1 0 0 0 0 0 0 0 0 0]\n[1 0 1 0 1 0 1 1 1 1 1 1 1 1 1 1 1 1 1 1 0 0 0 0 0 1 1 1 1 1 1 1 1 1 1 1 1 1 1 1\n    1 1 1 0 0 0 0 0 0 0 0 0 0 1 1 1 0 0 1 0 0 0 1 0 0 0 0 0 0 0 0]\n[0 0 1 1 1 1 1 1 1 0 0 0 0 1 1 0 1 0 1 1 0 0 1 0 1 0 0 0 1 1 0 0 0 0 1 1 1 0 1 1\n    1 0 0 0 1 0 1 0 1 1 1 0 1 0 1 0 0 0 1 0 0 0 0 1 1 0 0 0 0 0 0]\n[1 0 1 1 0 0 0 1 0 1 0 0 0 0 1 1 1 0 1 1 0 1 1 1 0 0 0 1 0 1 1 0 0 1 0 1 0 0 0 1\n    1 0 0 1 0 1 0 0 0 0 1 1 0 1 1 0 0 1 1 0 0 0 0 1 0 1 0 0 0 0 0]\n[0 1 1 0 1 1 1 1 0 1 0 1 0 0 1 1 1 1 0 0 0 0 0 0 1 1 0 1 1 0 1 0 1 1 0 1 0 0 1 1\n    0 1 1 0 1 1 1 1 0 1 1 1 1 1 1 1 0 1 1 0 0 0 0 1 0 0 1 0 0 0 0]\n[1 0 0 1 0 1 0 1 0 0 0 1 0 1 0 0 1 1 0 0 0 0 1 1 1 0 0 0 1 0 1 1 0 1 1 0 0 1 0 1\n    1 1 0 1 0 0 0 1 1 1 0 1 1 0 1 1 0 1 0 0 0 0 0 1 0 0 0 1 0 0 0]\n[0 0 0 0 0 0 0 0 0 0 0 1 1 1 0 1 1 0 1 1 1 1 1 1 1 1 1 1 1 1 1 1 1 1 0 1 1 1 0 0\n    0 1 0 1 0 0 1 1 0 0 0 1 1 0 0 0 0 0 0 0 0 0 0 0 0 0 0 0 1 0 0]\n[0 0 0 0 0 0 0 0 1 1 1 0 0 0 1 0 0 1 1 1 1 1 1 1 1 1 1 1 1 1 1 1 1 0 1 0 0 0 1 1\n    1 0 1 0 1 1 0 0 1 1 1 0 0 0 0 0 0 0 0 0 0 0 0 0 0 0 0 0 0 1 0]\n[0 1 1 0 0 1 1 1 1 0 0 1 0 1 0 0 0 1 0 1 1 1 0 0 1 0 1 1 0 0 0 0 0 1 0 0 1 1 1 1\n    1 1 1 0 0 0 1 0 1 0 1 0 1 0 0 1 0 1 0 0 0 0 0 0 0 0 0 0 0 0 1]\nLinear Code over GF(2) of length 71 with 12 generators.\nLower Bound: 1, Upper Bound: 60\nConstructed 6 distinct generator matrices\nRelative Ranks:  12  12  12  12  12  11 \nTime Taken: 0.00\nStarting search for low weight codewords... (reset timings)\nEnumerating using 1 generator at a time:\n     New codeword identified of weight 31, time 0.00\n     New codeword identified of weight 30, time 0.00\n     New codeword identified of weight 29, time 0.00\n   Completed Matrix  1:  lower =  6, upper = 29. Elapsed: 0.00s\n   Completed Matrix  2:  lower =  7, upper = 29. Elapsed: 0.00s\n   Completed Matrix  3:  lower =  8, upper = 29. Elapsed: 0.00s\n   Completed Matrix  4:  lower =  9, upper = 29. Elapsed: 0.00s\n   Completed Matrix  5:  lower = 10, upper = 29. Elapsed: 0.00s\n   Completed Matrix  6:  lower = 11, upper = 29. Elapsed: 0.00s\nTermination predicted with 4 generators at matrix 6\nEnumerating using 2 generators at a time:\n   Completed Matrix  1:  lower = 12, upper = 29. Elapsed: 0.00s\n   Completed Matrix  2:  lower = 13, upper = 29. Elapsed: 0.00s\n   Completed Matrix  3:  lower = 14, upper = 29. Elapsed: 0.00s\n   Completed Matrix  4:  lower = 15, upper = 29. Elapsed: 0.00s\n   Completed Matrix  5:  lower = 16, upper = 29. Elapsed: 0.00s\n   Completed Matrix  6:  lower = 17, upper = 29. Elapsed: 0.00s\nTermination predicted with 4 generators at matrix 6\nEnumerating using 3 generators at a time:\n   Completed Matrix  1:  lower = 18, upper = 29. Elapsed: 0.00s\n   Completed Matrix  2:  lower = 19, upper = 29. Elapsed: 0.00s\n   Completed Matrix  3:  lower = 20, upper = 29. Elapsed: 0.00s\n   Completed Matrix  4:  lower = 21, upper = 29. Elapsed: 0.00s\n   Completed Matrix  5:  lower = 22, upper = 29. Elapsed: 0.00s\n   Completed Matrix  6:  lower = 23, upper = 29. Elapsed: 0.00s\nTermination predicted with 4 generators at matrix 6\nEnumerating using 4 generators at a time:\n   Completed Matrix  1:  lower = 24, upper = 29. Elapsed: 0.00s\n   Completed Matrix  2:  lower = 25, upper = 29. Elapsed: 0.00s\n   Completed Matrix  3:  lower = 26, upper = 29. Elapsed: 0.00s\n   Completed Matrix  4:  lower = 27, upper = 29. Elapsed: 0.00s\n   Completed Matrix  5:  lower = 28, upper = 29. Elapsed: 0.00s\n   Completed Matrix  6:  lower = 29, upper = 29. Elapsed: 0.00s\nComputation complete 4758 vectors enumerated in total\n (116.162109% of 71 12 code)\nFinal Results: lower = 29, upper = 29,\nTotal CPU time: 0.00, real time: 0.002\n[71, 12, 29] Linear Code over GF(2)\nGenerator matrix:\n[1 0 0 0 0 0 0 0 0 0 0 0 0 0 1 1 0 1 0 0 1 1 0 1 1 1 1 0 1 0 1 1 0 1 1 1 1 1 1 0\n    1 1 1 0 0 0 0 1 1 0 1 0 0 0 0 1 0 0 1 0 1 0 1 1 0 0 0 1 1 0 1]\n[0 1 0 0 0 0 0 0 0 0 0 0 1 1 0 0 0 1 0 1 0 0 1 1 0 1 0 1 1 0 1 0 0 0 1 1 0 0 1 0\n    0 1 1 1 0 1 1 1 1 1 1 0 0 1 0 0 1 0 0 0 1 1 1 0 1 1 0 0 1 0 0]\n[0 0 1 0 0 0 0 0 0 0 0 0 1 0 1 1 1 0 0 1 1 0 1 0 1 0 0 0 1 0 0 1 0 0 1 0 1 0 1 1\n    1 0 1 0 0 0 1 1 0 0 1 0 1 0 0 0 1 1 0 0 0 1 1 0 1 0 1 0 1 1 1]\n[0 0 0 1 0 0 0 0 0 0 0 0 0 1 1 1 0 1 1 1 1 0 0 0 0 0 1 1 1 0 0 1 1 1 1 0 0 0 0 0\n    1 1 0 1 0 1 0 1 0 1 1 1 0 0 1 0 1 0 0 0 0 0 1 1 0 1 0 0 1 1 1]\n[0 0 0 0 1 0 0 0 0 0 0 0 0 1 0 0 0 1 1 1 1 0 1 0 1 0 1 0 0 0 0 0 0 1 1 1 1 0 1 0\n    1 0 0 1 1 0 0 1 1 1 0 0 1 1 0 1 0 1 1 0 1 1 0 0 0 0 0 0 1 1 0]\n[0 0 0 0 0 1 0 0 0 0 0 0 1 0 1 1 0 0 1 0 0 1 0 0 1 1 1 0 1 1 0 0 0 1 0 1 0 0 1 0\n    1 0 1 1 1 1 0 1 0 1 1 0 1 1 1 0 1 1 0 1 0 0 0 1 1 0 0 0 1 0 0]\n[0 0 0 0 0 0 1 0 0 0 0 0 1 0 1 0 1 1 1 1 0 0 0 0 1 1 1 1 0 1 1 1 1 1 0 1 1 0 1 0\n    1 1 0 0 1 1 1 1 1 1 0 0 0 1 0 1 1 0 0 1 1 0 1 1 0 1 1 1 0 0 0]\n[0 0 0 0 0 0 0 1 0 0 0 0 0 1 1 0 0 1 1 0 1 1 0 1 0 1 0 0 1 0 1 0 0 1 1 1 0 1 0 1\n    0 0 0 0 1 0 1 1 0 1 1 1 1 1 1 0 0 0 1 1 1 0 0 0 1 1 0 0 0 1 0]\n[0 0 0 0 0 0 0 0 1 0 0 0 1 0 0 1 1 0 0 1 0 0 1 1 1 1 0 0 1 1 0 1 0 1 1 1 0 1 1 1\n    0 0 0 1 1 1 0 0 1 0 1 0 1 0 0 0 0 1 1 1 1 0 1 0 0 1 0 1 0 0 0]\n[0 0 0 0 0 0 0 0 0 1 0 0 1 0 1 0 0 1 1 1 0 1 0 1 0 0 0 0 0 1 1 1 1 0 0 1 0 0 0 1\n    0 0 0 0 1 0 0 0 1 0 1 1 0 0 1 1 0 0 1 1 0 1 1 1 0 1 1 1 1 1 1]\n[0 0 0 0 0 0 0 0 0 0 1 0 0 0 0 1 1 0 0 1 1 0 0 1 0 0 1 1 0 1 0 1 0 1 0 0 0 1 0 1\n    1 0 1 1 1 0 0 0 1 1 1 1 1 0 1 1 0 1 0 0 1 1 0 1 0 0 1 0 1 0 1]\n[0 0 0 0 0 0 0 0 0 0 0 1 1 1 0 1 1 0 1 1 1 1 1 1 1 1 1 1 1 1 1 1 1 1 0 1 1 1 0 0\n    0 1 0 1 0 0 1 1 0 0 0 1 1 0 0 0 0 0 0 0 0 0 0 0 0 0 0 0 1 0 0]\nLinear Code over GF(2) of length 71 with 12 generators.\nLower Bound: 1, Upper Bound: 60\nConstructed 6 distinct generator matrices\nRelative Ranks:  12  12  12  12  12  11 \nTime Taken: 0.00\nStarting search for low weight codewords... (reset timings)\nEnumerating using 1 generator at a time:\n     New codeword identified of weight 31, time 0.00\n     New codeword identified of weight 30, time 0.00\n     New codeword identified of weight 29, time 0.00\n   Completed Matrix  1:  lower =  6, upper = 29. Elapsed: 0.00s\n   Completed Matrix  2:  lower =  7, upper = 29. Elapsed: 0.00s\n   Completed Matrix  3:  lower =  8, upper = 29. Elapsed: 0.00s\n   Completed Matrix  4:  lower =  9, upper = 29. Elapsed: 0.00s\n   Completed Matrix  5:  lower = 10, upper = 29. Elapsed: 0.00s\n   Completed Matrix  6:  lower = 11, upper = 29. Elapsed: 0.00s\nTermination predicted with 4 generators at matrix 6\nEnumerating using 2 generators at a time:\n   Completed Matrix  1:  lower = 12, upper = 29. Elapsed: 0.00s\n   Completed Matrix  2:  lower = 13, upper = 29. Elapsed: 0.00s\n   Completed Matrix  3:  lower = 14, upper = 29. Elapsed: 0.00s\n   Completed Matrix  4:  lower = 15, upper = 29. Elapsed: 0.00s\n   Completed Matrix  5:  lower = 16, upper = 29. Elapsed: 0.00s\n   Completed Matrix  6:  lower = 17, upper = 29. Elapsed: 0.00s\nTermination predicted with 4 generators at matrix 6\nEnumerating using 3 generators at a time:\n   Completed Matrix  1:  lower = 18, upper = 29. Elapsed: 0.00s\n   Completed Matrix  2:  lower = 19, upper = 29. Elapsed: 0.00s\n   Completed Matrix  3:  lower = 20, upper = 29. Elapsed: 0.00s\n   Completed Matrix  4:  lower = 21, upper = 29. Elapsed: 0.00s\n   Completed Matrix  5:  lower = 22, upper = 29. Elapsed: 0.00s\n   Completed Matrix  6:  lower = 23, upper = 29. Elapsed: 0.00s\nTermination predicted with 4 generators at matrix 6\nEnumerating using 4 generators at a time:\n   Completed Matrix  1:  lower = 24, upper = 29. Elapsed: 0.00s\n   Completed Matrix  2:  lower = 25, upper = 29. Elapsed: 0.00s\n   Completed Matrix  3:  lower = 26, upper = 29. Elapsed: 0.00s\n   Completed Matrix  4:  lower = 27, upper = 29. Elapsed: 0.00s\n   Completed Matrix  5:  lower = 28, upper = 29. Elapsed: 0.00s\n   Completed Matrix  6:  lower = 29, upper = 29. Elapsed: 0.00s\nComputation complete 4758 vectors enumerated in total\n (116.162109% of 71 12 code)\nFinal Results: lower = 29, upper = 29,\nTotal CPU time: 0.00, real time: 0.001\n29\n\nTotal time: 0.010 seconds, Total memory usage: 32.09MB\n</t>
  </si>
  <si>
    <t>[[72,37,13]]</t>
  </si>
  <si>
    <t>Magma V2.28-26    Tue Dec 30 2025 09:50:19 on Marks-MacBook-Air-2 [Seed = \n2494455052]\nType ? for help.  Type &lt;Ctrl&gt;-D to quit.\n[1 1 1 1 1 1 1 0 0 0 1 1 0 0 0 0 1 0 1 0 1 0 0 0 0 1 1 1 0 1 0 1 1 1 1 0 0 0 0 0\n    0 0 0 0 0 0 0 0 0 0 0 0 0 0 0 0 0 0 0 0 0 0 0 0 0 0 0 0 0 0 0 0]\n[1 0 0 0 0 0 0 1 0 0 1 0 1 0 0 0 1 1 1 1 1 1 0 0 0 1 0 0 1 1 1 1 0 0 0 1 0 0 0 0\n    0 0 0 0 0 0 0 0 0 0 0 0 0 0 0 0 0 0 0 0 0 0 0 0 0 0 0 0 0 0 0 0]\n[0 1 0 0 0 0 0 0 1 0 0 1 0 1 0 0 0 1 1 1 1 1 1 0 0 0 1 0 0 1 1 1 1 0 0 0 1 0 0 0\n    0 0 0 0 0 0 0 0 0 0 0 0 0 0 0 0 0 0 0 0 0 0 0 0 0 0 0 0 0 0 0 0]\n[0 0 1 0 0 0 0 0 0 1 0 0 1 0 1 0 0 0 1 1 1 1 1 1 0 0 0 1 0 0 1 1 1 1 0 0 0 1 0 0\n    0 0 0 0 0 0 0 0 0 0 0 0 0 0 0 0 0 0 0 0 0 0 0 0 0 0 0 0 0 0 0 0]\n[1 1 1 0 1 1 1 0 0 0 0 1 0 1 0 1 1 0 1 1 0 1 1 1 1 1 1 1 1 1 0 0 0 0 0 0 0 0 1 0\n    0 0 0 0 0 0 0 0 0 0 0 0 0 0 0 0 0 0 0 0 0 0 0 0 0 0 0 0 0 0 0 0]\n[0 1 1 1 0 1 1 1 0 0 0 0 1 0 1 0 1 1 0 1 1 0 1 1 1 1 1 1 1 1 1 0 0 0 0 0 0 0 0 1\n    0 0 0 0 0 0 0 0 0 0 0 0 0 0 0 0 0 0 0 0 0 0 0 0 0 0 0 0 0 0 0 0]\n[0 0 1 1 1 0 1 1 1 0 0 0 0 1 0 1 0 1 1 0 1 1 0 1 1 1 1 1 1 1 1 1 0 0 0 0 0 0 0 0\n    1 0 0 0 0 0 0 0 0 0 0 0 0 0 0 0 0 0 0 0 0 0 0 0 0 0 0 0 0 0 0 0]\n[0 0 0 1 1 1 0 1 1 1 0 0 0 0 1 0 1 0 1 1 0 1 1 0 1 1 1 1 1 1 1 1 1 0 0 0 0 0 0 0\n    0 1 0 0 0 0 0 0 0 0 0 0 0 0 0 0 0 0 0 0 0 0 0 0 0 0 0 0 0 0 0 0]\n[0 0 0 0 1 1 1 0 1 1 1 0 0 0 0 1 0 1 0 1 1 0 1 1 0 1 1 1 1 1 1 1 1 1 0 0 0 0 0 0\n    0 0 1 0 0 0 0 0 0 0 0 0 0 0 0 0 0 0 0 0 0 0 0 0 0 0 0 0 0 0 0 0]\n[1 1 1 1 1 0 0 1 0 1 0 0 0 0 0 0 0 0 0 0 0 1 0 1 1 1 0 0 1 0 1 0 0 0 0 0 0 0 0 0\n    0 0 0 1 0 0 0 0 0 0 0 0 0 0 0 0 0 0 0 0 0 0 0 0 0 0 0 0 0 0 0 0]\n[0 1 1 1 1 1 0 0 1 0 1 0 0 0 0 0 0 0 0 0 0 0 1 0 1 1 1 0 0 1 0 1 0 0 0 0 0 0 0 0\n    0 0 0 0 1 0 0 0 0 0 0 0 0 0 0 0 0 0 0 0 0 0 0 0 0 0 0 0 0 0 0 0]\n[0 0 1 1 1 1 1 0 0 1 0 1 0 0 0 0 0 0 0 0 0 0 0 1 0 1 1 1 0 0 1 0 1 0 0 0 0 0 0 0\n    0 0 0 0 0 1 0 0 0 0 0 0 0 0 0 0 0 0 0 0 0 0 0 0 0 0 0 0 0 0 0 0]\n[0 0 0 1 1 1 1 1 0 0 1 0 1 0 0 0 0 0 0 0 0 0 0 0 1 0 1 1 1 0 0 1 0 1 0 0 0 0 0 0\n    0 0 0 0 0 0 1 0 0 0 0 0 0 0 0 0 0 0 0 0 0 0 0 0 0 0 0 0 0 0 0 0]\n[1 1 1 1 0 0 0 1 1 0 1 0 0 1 0 0 1 0 1 0 1 0 0 0 0 0 1 0 1 0 0 1 0 1 0 0 0 0 0 0\n    0 0 0 0 0 0 0 1 0 0 0 0 0 0 0 0 0 0 0 0 0 0 0 0 0 0 0 0 0 0 0 0]\n[1 0 0 0 0 1 1 0 1 1 1 0 0 0 1 0 1 1 1 1 1 1 0 0 0 1 1 0 0 0 0 1 0 1 0 0 0 0 0 0\n    0 0 0 0 0 0 0 0 1 0 0 0 0 0 0 0 0 0 0 0 0 0 0 0 0 0 0 0 0 0 0 0]\n[1 0 1 1 1 1 0 1 0 1 0 0 0 0 0 1 1 1 0 1 0 1 1 0 0 1 0 0 0 1 0 1 0 1 0 0 0 0 0 0\n    0 0 0 0 0 0 0 0 0 1 0 0 0 0 0 0 0 0 0 0 0 0 0 0 0 0 0 0 0 0 0 0]\n[1 0 1 0 0 0 0 0 1 0 0 1 0 0 0 0 0 1 0 0 0 0 1 1 0 1 0 1 0 1 1 1 0 1 0 0 0 0 0 0\n    0 0 0 0 0 0 0 0 0 0 1 0 0 0 0 0 0 0 0 0 0 0 0 0 0 0 0 0 0 0 0 0]\n[1 0 1 0 1 1 1 0 0 1 1 1 1 0 0 0 1 0 0 0 1 0 0 1 1 1 0 1 1 1 1 0 0 1 0 0 0 0 0 0\n    0 0 0 0 0 0 0 0 0 0 0 1 0 0 0 0 0 0 0 0 0 0 0 0 0 0 0 0 0 0 0 0]\n[1 0 1 0 1 0 0 1 0 0 0 0 1 1 0 0 1 1 1 0 1 1 0 0 1 0 0 1 1 0 1 0 1 1 0 0 0 0 0 0\n    0 0 0 0 0 0 0 0 0 0 0 0 1 0 0 0 0 0 0 0 0 0 0 0 0 0 0 0 0 0 0 0]\n[1 0 1 0 1 0 1 0 1 0 1 1 0 1 1 0 1 1 0 1 1 1 1 0 0 0 1 1 1 0 0 0 1 0 0 0 0 0 0 0\n    0 0 0 0 0 0 0 0 0 0 0 0 0 1 0 0 0 0 0 0 0 0 0 0 0 0 0 0 0 0 0 0]\n[0 1 0 1 0 1 0 1 0 1 0 1 1 0 1 1 0 1 1 0 1 1 1 1 0 0 0 1 1 1 0 0 0 1 0 0 0 0 0 0\n    0 0 0 0 0 0 0 0 0 0 0 0 0 0 1 0 0 0 0 0 0 0 0 0 0 0 0 0 0 0 0 0]\n[1 1 0 1 0 1 0 0 1 0 0 1 1 1 0 1 0 0 0 1 1 1 1 1 1 1 1 1 1 0 1 1 1 1 0 0 0 0 0 0\n    0 0 0 0 0 0 0 0 0 0 0 0 0 0 0 1 0 0 0 0 0 0 0 0 0 0 0 0 0 0 0 0]\n[1 0 0 1 0 1 0 0 0 1 1 1 1 1 1 0 0 0 1 0 0 1 1 1 1 0 0 0 1 0 0 0 0 0 0 0 0 0 0 0\n    0 0 0 0 0 0 0 0 0 0 0 0 0 0 0 0 1 0 0 0 0 0 0 0 0 0 0 0 0 0 0 0]\n[0 1 0 0 1 0 1 0 0 0 1 1 1 1 1 1 0 0 0 1 0 0 1 1 1 1 0 0 0 1 0 0 0 0 0 0 0 0 0 0\n    0 0 0 0 0 0 0 0 0 0 0 0 0 0 0 0 0 1 0 0 0 0 0 0 0 0 0 0 0 0 0 0]\n[0 0 1 0 0 1 0 1 0 0 0 1 1 1 1 1 1 0 0 0 1 0 0 1 1 1 1 0 0 0 1 0 0 0 0 0 0 0 0 0\n    0 0 0 0 0 0 0 0 0 0 0 0 0 0 0 0 0 0 1 0 0 0 0 0 0 0 0 0 0 0 0 0]\n[0 0 0 1 0 0 1 0 1 0 0 0 1 1 1 1 1 1 0 0 0 1 0 0 1 1 1 1 0 0 0 1 0 0 0 0 0 0 0 0\n    0 0 0 0 0 0 0 0 0 0 0 0 0 0 0 0 0 0 0 1 0 0 0 0 0 0 0 0 0 0 0 0]\n[0 0 0 0 1 0 0 1 0 1 0 0 0 1 1 1 1 1 1 0 0 0 1 0 0 1 1 1 1 0 0 0 1 0 0 0 0 0 0 0\n    0 0 0 0 0 0 0 0 0 0 0 0 0 0 0 0 0 0 0 0 1 0 0 0 0 0 0 0 0 0 0 0]\n[0 0 0 0 0 1 0 0 1 0 1 0 0 0 1 1 1 1 1 1 0 0 0 1 0 0 1 1 1 1 0 0 0 1 0 0 0 0 0 0\n    0 0 0 0 0 0 0 0 0 0 0 0 0 0 0 0 0 0 0 0 0 1 0 0 0 0 0 0 0 0 0 0]\n[1 1 1 1 1 1 0 0 0 1 1 0 0 0 0 1 0 1 0 1 0 0 0 0 1 1 1 0 1 0 1 1 1 1 0 0 0 0 0 0\n    0 0 0 0 0 0 0 0 0 0 0 0 0 0 0 0 0 0 0 0 0 0 1 0 0 0 0 0 0 0 0 0]\n[0 1 1 0 1 0 0 0 0 0 0 1 1 1 0 0 1 1 1 1 0 1 1 1 0 0 0 1 1 1 1 0 1 0 0 0 0 0 0 0\n    0 0 0 0 0 0 0 0 0 0 0 0 0 0 0 0 0 0 0 0 0 0 0 1 0 0 0 0 0 0 0 0]\n[0 0 1 1 0 1 0 0 0 0 0 0 1 1 1 0 0 1 1 1 1 0 1 1 1 0 0 0 1 1 1 1 0 1 0 0 0 0 0 0\n    0 0 0 0 0 0 0 0 0 0 0 0 0 0 0 0 0 0 0 0 0 0 0 0 1 0 0 0 0 0 0 0]\n[1 0 1 1 1 0 0 0 0 0 1 0 0 1 0 1 0 0 0 1 1 0 0 1 0 0 1 0 0 0 1 1 1 0 0 0 0 0 0 0\n    0 0 0 0 0 0 0 0 0 0 0 0 0 0 0 0 0 0 0 0 0 0 0 0 0 1 0 0 0 0 0 0]\n[1 1 1 1 0 0 0 1 0 1 0 0 0 1 1 1 1 0 1 1 0 0 1 1 1 0 1 0 1 0 0 0 0 1 0 0 0 0 0 0\n    0 0 0 0 0 0 0 0 0 0 0 0 0 0 0 0 0 0 0 0 0 0 0 0 0 0 1 1 0 0 0 0]\n[0 0 0 1 0 1 0 0 1 0 1 1 0 1 0 0 0 0 1 0 0 1 0 1 0 0 1 0 1 1 0 1 1 0 0 0 0 0 0 0\n    0 0 0 0 0 0 0 0 0 0 0 0 0 0 0 0 0 0 0 0 0 0 0 0 0 0 1 0 1 0 0 0]\n[1 0 0 1 1 0 0 0 0 1 1 1 1 1 0 1 0 1 0 0 0 1 1 0 0 0 0 1 1 0 1 0 1 0 0 0 0 0 0 0\n    0 0 0 0 0 0 0 0 0 0 0 0 0 0 0 0 0 0 0 0 0 0 0 0 0 0 1 0 0 1 0 0]\n[1 0 1 1 1 1 0 1 0 1 1 1 1 0 0 1 0 0 0 1 0 0 0 0 1 0 1 0 0 1 0 1 0 0 0 0 0 0 0 0\n    0 0 0 0 0 0 0 0 0 0 0 0 0 0 0 0 0 0 0 0 0 0 0 0 0 0 1 0 0 0 1 0]\n[1 1 0 0 1 1 0 0 1 0 0 1 1 0 1 1 1 1 0 1 1 1 0 0 1 1 0 1 1 1 1 0 1 1 0 0 0 0 0 0\n    0 0 0 0 0 0 0 0 0 0 0 0 0 0 0 0 0 0 0 0 0 0 0 0 0 0 1 0 0 0 0 1]\n[72, 37] Linear Code over GF(2)\nGenerator matrix:\n[1 0 0 0 0 0 0 0 0 0 0 0 0 0 0 0 0 0 0 0 0 0 0 0 0 0 0 0 0 0 0 0 0 0 0 0 0 1 0 0\n    1 0 0 1 1 0 0 0 0 0 0 0 1 0 1 0 1 0 1 1 0 0 0 1 1 1 1 1 0 1 0 1]\n[0 1 0 0 0 0 0 0 0 0 0 0 0 0 0 0 0 0 0 0 0 0 0 0 0 0 0 0 0 0 0 0 0 0 0 0 0 1 0 1\n    0 1 0 1 1 1 0 0 0 0 0 0 1 0 0 1 1 0 0 0 0 1 1 0 1 0 0 1 1 0 1 1]\n[0 0 1 0 0 0 0 0 0 0 0 0 0 0 0 0 0 0 0 0 0 0 0 0 0 0 0 0 0 0 0 0 0 0 0 0 0 0 0 1\n    0 0 1 0 0 1 1 0 0 0 0 0 0 0 1 0 1 0 1 0 1 1 0 0 0 1 1 1 1 0 0 1]\n[0 0 0 1 0 0 0 0 0 0 0 0 0 0 0 0 0 0 0 0 0 0 0 0 0 0 0 0 0 0 0 0 0 0 0 0 0 0 0 0\n    1 0 0 1 0 0 1 1 0 0 0 0 0 0 0 1 0 1 0 1 0 1 1 1 1 0 1 0 1 0 0 0]\n[0 0 0 0 1 0 0 0 0 0 0 0 0 0 0 0 0 0 0 0 0 0 0 0 0 0 0 0 0 0 0 0 0 0 0 0 0 0 1 1\n    1 1 0 0 0 0 0 1 1 0 0 0 0 1 1 0 1 1 0 0 0 1 0 0 1 1 0 1 0 1 0 0]\n[0 0 0 0 0 1 0 0 0 0 0 0 0 0 0 0 0 0 0 0 0 0 0 0 0 0 0 0 0 0 0 0 0 0 0 0 0 1 1 0\n    1 1 1 1 0 0 0 0 1 1 0 0 1 1 1 1 1 0 1 1 1 1 0 0 0 0 1 1 1 1 1 1]\n[0 0 0 0 0 0 1 0 0 0 0 0 0 0 0 0 0 0 0 0 0 0 0 0 0 0 0 0 0 0 0 0 0 0 0 0 0 1 0 0\n    0 1 1 0 1 0 0 0 0 1 1 0 1 0 1 1 0 0 0 0 0 0 0 0 0 1 0 1 1 1 1 0]\n[0 0 0 0 0 0 0 1 0 0 0 0 0 0 0 0 0 0 0 0 0 0 0 0 0 0 0 0 0 0 0 0 0 0 0 0 0 1 0 1\n    0 0 1 0 0 1 0 0 0 0 1 1 1 0 0 1 0 1 0 1 1 1 1 1 1 1 1 1 1 0 1 0]\n[0 0 0 0 0 0 0 0 1 0 0 0 0 0 0 0 0 0 0 0 0 0 0 0 0 0 0 0 0 0 0 0 0 0 0 0 0 0 0 1\n    0 0 0 1 1 0 1 0 0 0 0 1 1 0 1 0 1 1 0 0 0 0 0 1 0 1 0 1 1 1 0 1]\n[0 0 0 0 0 0 0 0 0 1 0 0 0 0 0 0 0 0 0 0 0 0 0 0 0 0 0 0 0 0 0 0 0 0 0 0 0 0 0 0\n    1 0 0 0 1 1 0 1 0 0 0 0 1 1 0 1 0 1 1 0 0 0 0 1 0 0 1 1 1 0 1 0]\n[0 0 0 0 0 0 0 0 0 0 1 0 0 0 0 0 0 0 0 0 0 0 0 0 0 0 0 0 0 0 0 0 0 0 0 0 0 1 1 1\n    0 1 0 1 0 1 1 0 1 0 0 0 1 0 1 0 0 1 1 0 1 1 1 0 1 1 1 0 1 0 0 0]\n[0 0 0 0 0 0 0 0 0 0 0 1 0 0 0 0 0 0 0 0 0 0 0 0 0 0 0 0 0 0 0 0 0 0 0 0 0 0 0 0\n    0 0 1 0 0 0 1 1 0 1 0 0 0 0 1 1 0 1 0 1 1 0 0 1 1 1 0 1 0 1 0 0]\n[0 0 0 0 0 0 0 0 0 0 0 0 1 0 0 0 0 0 0 0 0 0 0 0 0 0 0 0 0 0 0 0 0 0 0 0 0 1 1 1\n    0 0 0 0 0 0 0 1 1 0 1 0 1 1 0 1 0 1 1 1 0 0 1 0 1 0 1 1 1 1 1 1]\n[0 0 0 0 0 0 0 0 0 0 0 0 0 1 0 0 0 0 0 0 0 0 0 0 0 0 0 0 0 0 0 0 0 0 0 0 0 0 0 0\n    0 0 0 0 1 0 0 0 1 1 0 1 0 0 0 0 1 1 0 1 0 1 1 0 0 1 1 0 1 0 1 1]\n[0 0 0 0 0 0 0 0 0 0 0 0 0 0 1 0 0 0 0 0 0 0 0 0 0 0 0 0 0 0 0 0 0 0 0 0 0 1 0 0\n    1 0 0 1 1 1 0 0 0 1 1 0 0 0 1 0 1 1 0 1 1 0 1 0 0 1 0 1 0 1 0 0]\n[0 0 0 0 0 0 0 0 0 0 0 0 0 0 0 1 0 0 0 0 0 0 0 0 0 0 0 0 0 0 0 0 0 0 0 0 0 0 0 1\n    1 1 0 0 0 1 1 0 0 0 1 1 0 1 1 1 0 0 0 0 0 0 1 0 0 0 0 0 1 0 1 0]\n[0 0 0 0 0 0 0 0 0 0 0 0 0 0 0 0 1 0 0 0 0 0 0 0 0 0 0 0 0 0 0 0 0 0 0 0 0 1 0 0\n    0 1 1 1 1 0 1 1 0 0 0 1 0 0 0 1 0 0 1 1 0 0 0 1 1 1 1 1 0 0 0 0]\n[0 0 0 0 0 0 0 0 0 0 0 0 0 0 0 0 0 1 0 0 0 0 0 0 0 0 0 0 0 0 0 0 0 0 0 0 0 1 0 1\n    0 0 1 0 1 1 0 1 1 0 0 0 0 1 0 0 0 1 0 0 0 1 1 0 1 0 1 0 1 1 0 1]\n[0 0 0 0 0 0 0 0 0 0 0 0 0 0 0 0 0 0 1 0 0 0 0 0 0 0 0 0 0 0 0 0 0 0 0 0 0 0 0 1\n    0 0 0 1 1 1 1 0 1 1 0 0 0 1 0 0 0 1 0 0 1 1 0 0 0 1 1 0 0 0 1 0]\n[0 0 0 0 0 0 0 0 0 0 0 0 0 0 0 0 0 0 0 1 0 0 0 0 0 0 0 0 0 0 0 0 0 0 0 0 0 1 1 1\n    1 0 0 1 1 1 1 1 0 1 1 0 1 1 1 0 1 1 1 1 1 0 0 1 1 1 1 0 0 1 0 0]\n[0 0 0 0 0 0 0 0 0 0 0 0 0 0 0 0 0 0 0 0 1 0 0 0 0 0 0 0 0 0 0 0 0 0 0 0 0 0 1 1\n    1 1 0 0 1 1 1 1 1 0 1 1 0 1 1 1 0 1 1 1 1 1 0 0 1 1 0 1 0 0 1 0]\n[0 0 0 0 0 0 0 0 0 0 0 0 0 0 0 0 0 0 0 0 0 1 0 0 0 0 0 0 0 0 0 0 0 0 0 0 0 0 0 1\n    1 1 1 0 0 1 1 1 1 1 0 1 1 0 1 1 1 0 1 1 1 1 1 0 0 1 0 0 1 0 0 1]\n[0 0 0 0 0 0 0 0 0 0 0 0 0 0 0 0 0 0 0 0 0 0 1 0 0 0 0 0 0 0 0 0 0 0 0 0 0 0 1 1\n    0 1 1 1 1 0 1 1 1 1 1 0 1 0 1 1 1 0 1 1 0 0 0 0 0 0 1 1 0 0 0 0]\n[0 0 0 0 0 0 0 0 0 0 0 0 0 0 0 0 0 0 0 0 0 0 0 1 0 0 0 0 0 0 0 0 0 0 0 0 0 1 1 0\n    1 0 1 0 1 1 0 1 1 1 1 1 1 0 0 1 0 0 0 0 0 1 1 0 0 1 1 0 1 1 0 1]\n[0 0 0 0 0 0 0 0 0 0 0 0 0 0 0 0 0 0 0 0 0 0 0 0 1 0 0 0 0 0 0 0 0 0 0 0 0 0 0 0\n    1 1 0 1 1 1 1 0 1 1 1 1 1 0 1 0 1 1 1 0 1 1 0 0 0 0 1 0 0 0 1 0]\n[0 0 0 0 0 0 0 0 0 0 0 0 0 0 0 0 0 0 0 0 0 0 0 0 0 1 0 0 0 0 0 0 0 0 0 0 0 1 1 1\n    0 1 1 1 1 1 1 1 0 1 1 1 0 0 0 1 1 0 1 0 1 0 0 0 0 1 1 0 0 1 0 0]\n[0 0 0 0 0 0 0 0 0 0 0 0 0 0 0 0 0 0 0 0 0 0 0 0 0 0 1 0 0 0 0 0 0 0 0 0 0 0 1 1\n    1 0 1 1 1 1 1 1 1 0 1 1 1 0 0 0 1 1 0 1 0 1 0 1 1 0 0 1 0 0 1 0]\n[0 0 0 0 0 0 0 0 0 0 0 0 0 0 0 0 0 0 0 0 0 0 0 0 0 0 0 1 0 0 0 0 0 0 0 0 0 0 0 1\n    1 1 0 1 1 1 1 1 1 1 0 1 1 1 0 0 0 1 1 0 1 0 1 1 0 1 0 0 1 0 0 1]\n[0 0 0 0 0 0 0 0 0 0 0 0 0 0 0 0 0 0 0 0 0 0 0 0 0 0 0 0 1 0 0 0 0 0 0 0 0 0 1 1\n    0 1 1 0 0 1 1 1 1 1 1 0 1 0 0 0 0 1 0 1 1 0 1 0 1 0 1 1 0 0 0 0]\n[0 0 0 0 0 0 0 0 0 0 0 0 0 0 0 0 0 0 0 0 0 0 0 0 0 0 0 0 0 1 0 0 0 0 0 0 0 0 1 0\n    0 0 1 1 1 0 1 1 1 1 1 1 0 0 1 0 0 1 0 0 0 0 1 0 0 1 0 1 1 0 0 0]\n[0 0 0 0 0 0 0 0 0 0 0 0 0 0 0 0 0 0 0 0 0 0 0 0 0 0 0 0 0 0 1 0 0 0 0 0 0 1 0 1\n    1 0 0 0 0 1 0 1 1 1 1 1 0 0 1 1 1 0 0 1 0 0 0 0 0 1 1 1 1 0 0 1]\n[0 0 0 0 0 0 0 0 0 0 0 0 0 0 0 0 0 0 0 0 0 0 0 0 0 0 0 0 0 0 0 1 0 0 0 0 0 0 1 0\n    1 1 0 0 0 0 1 0 1 1 1 1 1 0 0 1 1 1 0 0 1 0 0 1 1 0 1 0 1 0 0 0]\n[0 0 0 0 0 0 0 0 0 0 0 0 0 0 0 0 0 0 0 0 0 0 0 0 0 0 0 0 0 0 0 0 1 0 0 0 0 1 1 0\n    0 1 1 1 0 0 0 1 0 1 1 1 0 0 0 0 0 0 1 1 1 0 1 1 0 0 1 0 0 0 0 1]\n[0 0 0 0 0 0 0 0 0 0 0 0 0 0 0 0 0 0 0 0 0 0 0 0 0 0 0 0 0 0 0 0 0 1 0 0 0 1 1 1\n    1 0 1 0 0 0 0 0 1 0 1 1 0 0 1 0 1 0 1 0 1 1 0 1 0 1 0 1 0 0 0 1]\n[0 0 0 0 0 0 0 0 0 0 0 0 0 0 0 0 0 0 0 0 0 0 0 0 0 0 0 0 0 0 0 0 0 0 1 0 0 1 0 0\n    1 1 0 0 0 0 0 0 0 1 0 1 0 1 0 1 1 0 0 0 1 0 0 1 0 1 0 0 1 0 0 1]\n[0 0 0 0 0 0 0 0 0 0 0 0 0 0 0 0 0 0 0 0 0 0 0 0 0 0 0 0 0 0 0 0 0 0 0 1 0 1 0 1\n    0 1 1 1 0 0 0 0 0 0 1 0 0 1 1 0 0 0 0 1 1 0 1 1 0 1 0 0 0 1 0 1]\n[0 0 0 0 0 0 0 0 0 0 0 0 0 0 0 0 0 0 0 0 0 0 0 0 0 0 0 0 0 0 0 0 0 0 0 0 1 1 1 0\n    0 0 1 0 0 0 0 0 0 0 0 1 1 0 0 1 1 0 1 1 1 1 0 0 1 1 0 0 0 0 1 1]\nLinear Code over GF(2) of length 72 with 37 generators.\nLower Bound: 1, Upper Bound: 36\nConstructed 2 distinct generator matrices\nRelative Ranks:  37  35 \nTime Taken: 0.00\nStarting search for low weight codewords... (reset timings)\nEnumerating using 1 generator at a time:\n     New codeword identified of weight 18, time 0.00\n     New codeword identified of weight 16, time 0.00\n     New codeword identified of weight 14, time 0.00\n     New codeword identified of weight 13, time 0.00\n   Completed Matrix  1:  lower =  2, upper = 13. Elapsed: 0.00s\n   Completed Matrix  2:  lower =  2, upper = 13. Elapsed: 0.00s\nTermination predicted with 7 generators at matrix 1\nEnumerating using 2 generators at a time:\n   Completed Matrix  1:  lower =  3, upper = 13. Elapsed: 0.00s\n   Completed Matrix  2:  lower =  4, upper = 13. Elapsed: 0.00s\nTermination predicted with 7 generators at matrix 1\nEnumerating using 3 generators at a time:\n   Completed Matrix  1:  lower =  5, upper = 13. Elapsed: 0.00s\n   Completed Matrix  2:  lower =  6, upper = 13. Elapsed: 0.00s\nTermination predicted with 7 generators at matrix 1\nEnumerating using 4 generators at a time:\n   Completed Matrix  1:  lower =  7, upper = 13. Elapsed: 0.00s\n   Completed Matrix  2:  lower =  8, upper = 13. Elapsed: 0.00s\nTermination predicted with 7 generators at matrix 1\nEnumerating using 5 generators at a time:\n   Completed Matrix  1:  lower =  9, upper = 13. Elapsed: 0.00s\n   Completed Matrix  2:  lower = 10, upper = 13. Elapsed: 0.00s\nTermination predicted with 7 generators at matrix 1\nEnumerating using 6 generators at a time:\n   Completed Matrix  1:  lower = 11, upper = 13. Elapsed: 0.00s\n   Completed Matrix  2:  lower = 12, upper = 13. Elapsed: 0.00s\nTermination predicted with 7 generators at matrix 1\nEnumerating using 7 generators at a time:\n   Completed Matrix  1:  lower = 13, upper = 13. Elapsed: 0.03s\nComputation complete 15965870 vectors enumerated in total\n (0.011617% of 72 37 code)\nFinal Results: lower = 13, upper = 13,\nTotal CPU time: 0.03, real time: 0.035\n13\n\nTotal time: 0.040 seconds, Total memory usage: 32.09MB\n</t>
  </si>
  <si>
    <t>[[73,38,13]]</t>
  </si>
  <si>
    <t>Magma V2.28-26    Tue Dec 30 2025 09:50:19 on Marks-MacBook-Air-2 [Seed = \n2661570310]\nType ? for help.  Type &lt;Ctrl&gt;-D to quit.\n[1 1 1 1 1 1 1 0 0 0 1 1 0 0 0 0 1 0 1 0 1 0 0 0 0 1 1 1 0 1 0 1 1 1 1 0 0 0 0 0\n    0 0 0 0 0 0 0 0 0 0 0 0 0 0 0 0 0 0 0 0 0 0 0 0 0 0 0 0 0 0 0 0 0]\n[1 0 0 0 0 0 0 1 0 0 1 0 1 0 0 0 1 1 1 1 1 1 0 0 0 1 0 0 1 1 1 1 0 0 0 1 0 0 0 0\n    0 0 0 0 0 0 0 0 0 0 0 0 0 0 0 0 0 0 0 0 0 0 0 0 0 0 0 0 0 0 0 0 0]\n[0 1 0 0 0 0 0 0 1 0 0 1 0 1 0 0 0 1 1 1 1 1 1 0 0 0 1 0 0 1 1 1 1 0 0 0 1 0 0 0\n    0 0 0 0 0 0 0 0 0 0 0 0 0 0 0 0 0 0 0 0 0 0 0 0 0 0 0 0 0 0 0 0 0]\n[0 0 1 0 0 0 0 0 0 1 0 0 1 0 1 0 0 0 1 1 1 1 1 1 0 0 0 1 0 0 1 1 1 1 0 0 0 1 0 0\n    0 0 0 0 0 0 0 0 0 0 0 0 0 0 0 0 0 0 0 0 0 0 0 0 0 0 0 0 0 0 0 0 0]\n[1 1 1 0 1 1 1 0 0 0 0 1 0 1 0 1 1 0 1 1 0 1 1 1 1 1 1 1 1 1 0 0 0 0 0 0 0 0 1 0\n    0 0 0 0 0 0 0 0 0 0 0 0 0 0 0 0 0 0 0 0 0 0 0 0 0 0 0 0 0 0 0 0 0]\n[0 1 1 1 0 1 1 1 0 0 0 0 1 0 1 0 1 1 0 1 1 0 1 1 1 1 1 1 1 1 1 0 0 0 0 0 0 0 0 1\n    0 0 0 0 0 0 0 0 0 0 0 0 0 0 0 0 0 0 0 0 0 0 0 0 0 0 0 0 0 0 0 0 0]\n[0 0 1 1 1 0 1 1 1 0 0 0 0 1 0 1 0 1 1 0 1 1 0 1 1 1 1 1 1 1 1 1 0 0 0 0 0 0 0 0\n    1 0 0 0 0 0 0 0 0 0 0 0 0 0 0 0 0 0 0 0 0 0 0 0 0 0 0 0 0 0 0 0 0]\n[0 0 0 1 1 1 0 1 1 1 0 0 0 0 1 0 1 0 1 1 0 1 1 0 1 1 1 1 1 1 1 1 1 0 0 0 0 0 0 0\n    0 1 0 0 0 0 0 0 0 0 0 0 0 0 0 0 0 0 0 0 0 0 0 0 0 0 0 0 0 0 0 0 0]\n[0 0 0 0 1 1 1 0 1 1 1 0 0 0 0 1 0 1 0 1 1 0 1 1 0 1 1 1 1 1 1 1 1 1 0 0 0 0 0 0\n    0 0 1 0 0 0 0 0 0 0 0 0 0 0 0 0 0 0 0 0 0 0 0 0 0 0 0 0 0 0 0 0 0]\n[1 1 1 1 1 0 0 1 0 1 0 0 0 0 0 0 0 0 0 0 0 1 0 1 1 1 0 0 1 0 1 0 0 0 0 0 0 0 0 0\n    0 0 0 1 0 0 0 0 0 0 0 0 0 0 0 0 0 0 0 0 0 0 0 0 0 0 0 0 0 0 0 0 0]\n[0 1 1 1 1 1 0 0 1 0 1 0 0 0 0 0 0 0 0 0 0 0 1 0 1 1 1 0 0 1 0 1 0 0 0 0 0 0 0 0\n    0 0 0 0 1 0 0 0 0 0 0 0 0 0 0 0 0 0 0 0 0 0 0 0 0 0 0 0 0 0 0 0 0]\n[0 0 1 1 1 1 1 0 0 1 0 1 0 0 0 0 0 0 0 0 0 0 0 1 0 1 1 1 0 0 1 0 1 0 0 0 0 0 0 0\n    0 0 0 0 0 1 0 0 0 0 0 0 0 0 0 0 0 0 0 0 0 0 0 0 0 0 0 0 0 0 0 0 0]\n[0 0 0 1 1 1 1 1 0 0 1 0 1 0 0 0 0 0 0 0 0 0 0 0 1 0 1 1 1 0 0 1 0 1 0 0 0 0 0 0\n    0 0 0 0 0 0 1 0 0 0 0 0 0 0 0 0 0 0 0 0 0 0 0 0 0 0 0 0 0 0 0 0 0]\n[1 1 1 1 0 0 0 1 1 0 1 0 0 1 0 0 1 0 1 0 1 0 0 0 0 0 1 0 1 0 0 1 0 1 0 0 0 0 0 0\n    0 0 0 0 0 0 0 1 0 0 0 0 0 0 0 0 0 0 0 0 0 0 0 0 0 0 0 0 0 0 0 0 0]\n[1 0 0 0 0 1 1 0 1 1 1 0 0 0 1 0 1 1 1 1 1 1 0 0 0 1 1 0 0 0 0 1 0 1 0 0 0 0 0 0\n    0 0 0 0 0 0 0 0 1 0 0 0 0 0 0 0 0 0 0 0 0 0 0 0 0 0 0 0 0 0 0 0 0]\n[1 0 1 1 1 1 0 1 0 1 0 0 0 0 0 1 1 1 0 1 0 1 1 0 0 1 0 0 0 1 0 1 0 1 0 0 0 0 0 0\n    0 0 0 0 0 0 0 0 0 1 0 0 0 0 0 0 0 0 0 0 0 0 0 0 0 0 0 0 0 0 0 0 0]\n[1 0 1 0 0 0 0 0 1 0 0 1 0 0 0 0 0 1 0 0 0 0 1 1 0 1 0 1 0 1 1 1 0 1 0 0 0 0 0 0\n    0 0 0 0 0 0 0 0 0 0 1 0 0 0 0 0 0 0 0 0 0 0 0 0 0 0 0 0 0 0 0 0 0]\n[1 0 1 0 1 1 1 0 0 1 1 1 1 0 0 0 1 0 0 0 1 0 0 1 1 1 0 1 1 1 1 0 0 1 0 0 0 0 0 0\n    0 0 0 0 0 0 0 0 0 0 0 1 0 0 0 0 0 0 0 0 0 0 0 0 0 0 0 0 0 0 0 0 0]\n[1 0 1 0 1 0 0 1 0 0 0 0 1 1 0 0 1 1 1 0 1 1 0 0 1 0 0 1 1 0 1 0 1 1 0 0 0 0 0 0\n    0 0 0 0 0 0 0 0 0 0 0 0 1 0 0 0 0 0 0 0 0 0 0 0 0 0 0 0 0 0 0 0 0]\n[1 0 1 0 1 0 1 0 1 0 1 1 0 1 1 0 1 1 0 1 1 1 1 0 0 0 1 1 1 0 0 0 1 0 0 0 0 0 0 0\n    0 0 0 0 0 0 0 0 0 0 0 0 0 1 0 0 0 0 0 0 0 0 0 0 0 0 0 0 0 0 0 0 0]\n[0 1 0 1 0 1 0 1 0 1 0 1 1 0 1 1 0 1 1 0 1 1 1 1 0 0 0 1 1 1 0 0 0 1 0 0 0 0 0 0\n    0 0 0 0 0 0 0 0 0 0 0 0 0 0 1 0 0 0 0 0 0 0 0 0 0 0 0 0 0 0 0 0 0]\n[1 1 0 1 0 1 0 0 1 0 0 1 1 1 0 1 0 0 0 1 1 1 1 1 1 1 1 1 1 0 1 1 1 1 0 0 0 0 0 0\n    0 0 0 0 0 0 0 0 0 0 0 0 0 0 0 1 0 0 0 0 0 0 0 0 0 0 0 0 0 0 0 0 0]\n[1 0 0 1 0 1 0 0 0 1 1 1 1 1 1 0 0 0 1 0 0 1 1 1 1 0 0 0 1 0 0 0 0 0 0 0 0 0 0 0\n    0 0 0 0 0 0 0 0 0 0 0 0 0 0 0 0 1 0 0 0 0 0 0 0 0 0 0 0 0 0 0 0 0]\n[0 1 0 0 1 0 1 0 0 0 1 1 1 1 1 1 0 0 0 1 0 0 1 1 1 1 0 0 0 1 0 0 0 0 0 0 0 0 0 0\n    0 0 0 0 0 0 0 0 0 0 0 0 0 0 0 0 0 1 0 0 0 0 0 0 0 0 0 0 0 0 0 0 0]\n[0 0 1 0 0 1 0 1 0 0 0 1 1 1 1 1 1 0 0 0 1 0 0 1 1 1 1 0 0 0 1 0 0 0 0 0 0 0 0 0\n    0 0 0 0 0 0 0 0 0 0 0 0 0 0 0 0 0 0 1 0 0 0 0 0 0 0 0 0 0 0 0 0 0]\n[0 0 0 1 0 0 1 0 1 0 0 0 1 1 1 1 1 1 0 0 0 1 0 0 1 1 1 1 0 0 0 1 0 0 0 0 0 0 0 0\n    0 0 0 0 0 0 0 0 0 0 0 0 0 0 0 0 0 0 0 1 0 0 0 0 0 0 0 0 0 0 0 0 0]\n[0 0 0 0 1 0 0 1 0 1 0 0 0 1 1 1 1 1 1 0 0 0 1 0 0 1 1 1 1 0 0 0 1 0 0 0 0 0 0 0\n    0 0 0 0 0 0 0 0 0 0 0 0 0 0 0 0 0 0 0 0 1 0 0 0 0 0 0 0 0 0 0 0 0]\n[0 0 0 0 0 1 0 0 1 0 1 0 0 0 1 1 1 1 1 1 0 0 0 1 0 0 1 1 1 1 0 0 0 1 0 0 0 0 0 0\n    0 0 0 0 0 0 0 0 0 0 0 0 0 0 0 0 0 0 0 0 0 1 0 0 0 0 0 0 0 0 0 0 0]\n[1 1 1 1 1 1 0 0 0 1 1 0 0 0 0 1 0 1 0 1 0 0 0 0 1 1 1 0 1 0 1 1 1 1 0 0 0 0 0 0\n    0 0 0 0 0 0 0 0 0 0 0 0 0 0 0 0 0 0 0 0 0 0 1 0 0 0 0 0 0 0 0 0 0]\n[0 1 1 0 1 0 0 0 0 0 0 1 1 1 0 0 1 1 1 1 0 1 1 1 0 0 0 1 1 1 1 0 1 0 0 0 0 0 0 0\n    0 0 0 0 0 0 0 0 0 0 0 0 0 0 0 0 0 0 0 0 0 0 0 1 0 0 0 0 0 0 0 0 0]\n[0 0 1 1 0 1 0 0 0 0 0 0 1 1 1 0 0 1 1 1 1 0 1 1 1 0 0 0 1 1 1 1 0 1 0 0 0 0 0 0\n    0 0 0 0 0 0 0 0 0 0 0 0 0 0 0 0 0 0 0 0 0 0 0 0 1 0 0 0 0 0 0 0 0]\n[1 0 1 1 1 0 0 0 0 0 1 0 0 1 0 1 0 0 0 1 1 0 0 1 0 0 1 0 0 0 1 1 1 0 0 0 0 0 0 0\n    0 0 0 0 0 0 0 0 0 0 0 0 0 0 0 0 0 0 0 0 0 0 0 0 0 1 0 0 0 0 0 0 0]\n[1 1 1 1 0 0 0 1 0 1 0 0 0 1 1 1 1 0 1 1 0 0 1 1 1 0 1 0 1 0 0 0 0 1 0 0 0 0 0 0\n    0 0 0 0 0 0 0 0 0 0 0 0 0 0 0 0 0 0 0 0 0 0 0 0 0 0 1 1 0 0 0 0 0]\n[0 0 0 1 0 1 0 0 1 0 1 1 0 1 0 0 0 0 1 0 0 1 0 1 0 0 1 0 1 1 0 1 1 0 0 0 0 0 0 0\n    0 0 0 0 0 0 0 0 0 0 0 0 0 0 0 0 0 0 0 0 0 0 0 0 0 0 1 0 1 0 0 0 0]\n[1 0 0 1 1 0 0 0 0 1 1 1 1 1 0 1 0 1 0 0 0 1 1 0 0 0 0 1 1 0 1 0 1 0 0 0 0 0 0 0\n    0 0 0 0 0 0 0 0 0 0 0 0 0 0 0 0 0 0 0 0 0 0 0 0 0 0 1 0 0 1 0 0 0]\n[1 0 1 1 1 1 0 1 0 1 1 1 1 0 0 1 0 0 0 1 0 0 0 0 1 0 1 0 0 1 0 1 0 0 0 0 0 0 0 0\n    0 0 0 0 0 0 0 0 0 0 0 0 0 0 0 0 0 0 0 0 0 0 0 0 0 0 1 0 0 0 1 0 0]\n[1 1 0 0 1 1 0 0 1 0 0 1 1 0 1 1 1 1 0 1 1 1 0 0 1 1 0 1 1 1 1 0 1 1 0 0 0 0 0 0\n    0 0 0 0 0 0 0 0 0 0 0 0 0 0 0 0 0 0 0 0 0 0 0 0 0 0 1 0 0 0 0 1 0]\n[0 0 0 0 1 0 1 0 0 1 0 1 1 0 1 0 0 0 0 1 0 0 1 0 1 0 0 1 0 1 1 0 1 1 0 0 0 0 0 0\n    0 0 0 0 0 0 0 0 0 0 0 0 0 0 0 0 0 0 0 0 0 0 0 0 0 0 1 0 0 0 0 0 1]\n[73, 38] Linear Code over GF(2)\nGenerator matrix:\n[1 0 0 0 0 0 0 0 0 0 0 0 0 0 0 0 0 0 0 0 0 0 0 0 0 0 0 0 0 0 0 0 0 0 0 0 0 0 1 1\n    1 0 0 0 1 0 0 0 0 0 0 0 0 1 1 0 0 1 1 0 1 1 1 1 1 0 1 1 0 1 0 0 1]\n[0 1 0 0 0 0 0 0 0 0 0 0 0 0 0 0 0 0 0 0 0 0 0 0 0 0 0 0 0 0 0 0 0 0 0 0 0 0 1 0\n    0 1 0 0 1 1 0 0 0 0 0 0 0 1 0 1 0 1 0 1 1 0 0 0 1 1 0 1 1 0 1 0 1]\n[0 0 1 0 0 0 0 0 0 0 0 0 0 0 0 0 0 0 0 0 0 0 0 0 0 0 0 0 0 0 0 0 0 0 0 0 0 0 0 1\n    0 0 1 0 0 1 1 0 0 0 0 0 0 0 1 0 1 0 1 0 1 1 0 0 0 1 1 1 1 0 0 1 0]\n[0 0 0 1 0 0 0 0 0 0 0 0 0 0 0 0 0 0 0 0 0 0 0 0 0 0 0 0 0 0 0 0 0 0 0 0 0 0 0 0\n    1 0 0 1 0 0 1 1 0 0 0 0 0 0 0 1 0 1 0 1 0 1 1 1 1 0 1 0 1 0 0 0 0]\n[0 0 0 0 1 0 0 0 0 0 0 0 0 0 0 0 0 0 0 0 0 0 0 0 0 0 0 0 0 0 0 0 0 0 0 0 0 0 1 1\n    1 1 0 0 0 0 0 1 1 0 0 0 0 1 1 0 1 1 0 0 0 1 0 0 1 1 0 1 0 1 0 0 0]\n[0 0 0 0 0 1 0 0 0 0 0 0 0 0 0 0 0 0 0 0 0 0 0 0 0 0 0 0 0 0 0 0 0 0 0 0 0 0 0 1\n    1 1 1 0 0 0 0 0 1 1 0 0 0 0 1 1 0 1 1 0 0 0 1 0 0 1 1 1 1 1 1 0 1]\n[0 0 0 0 0 0 1 0 0 0 0 0 0 0 0 0 0 0 0 0 0 0 0 0 0 0 0 0 0 0 0 0 0 0 0 0 0 0 1 1\n    0 1 1 1 1 0 0 0 0 1 1 0 0 1 1 1 1 1 0 1 1 1 1 0 0 0 0 1 1 1 1 1 1]\n[0 0 0 0 0 0 0 1 0 0 0 0 0 0 0 0 0 0 0 0 0 0 0 0 0 0 0 0 0 0 0 0 0 0 0 0 0 0 1 0\n    0 0 1 1 0 1 0 0 0 0 1 1 0 1 0 1 1 0 0 0 0 0 0 1 1 0 1 1 1 0 1 1 1]\n[0 0 0 0 0 0 0 0 1 0 0 0 0 0 0 0 0 0 0 0 0 0 0 0 0 0 0 0 0 0 0 0 0 0 0 0 0 0 0 1\n    0 0 0 1 1 0 1 0 0 0 0 1 1 0 1 0 1 1 0 0 0 0 0 1 0 1 0 1 1 1 0 1 0]\n[0 0 0 0 0 0 0 0 0 1 0 0 0 0 0 0 0 0 0 0 0 0 0 0 0 0 0 0 0 0 0 0 0 0 0 0 0 0 0 0\n    1 0 0 0 1 1 0 1 0 0 0 0 1 1 0 1 0 1 1 0 0 0 0 1 0 0 1 1 1 0 1 0 0]\n[0 0 0 0 0 0 0 0 0 0 1 0 0 0 0 0 0 0 0 0 0 0 0 0 0 0 0 0 0 0 0 0 0 0 0 0 0 0 0 0\n    0 1 0 0 0 1 1 0 1 0 0 0 0 1 1 0 1 0 1 1 0 0 0 0 1 0 1 0 1 0 0 1 1]\n[0 0 0 0 0 0 0 0 0 0 0 1 0 0 0 0 0 0 0 0 0 0 0 0 0 0 0 0 0 0 0 0 0 0 0 0 0 0 0 0\n    0 0 1 0 0 0 1 1 0 1 0 0 0 0 1 1 0 1 0 1 1 0 0 1 1 1 0 1 0 1 0 0 0]\n[0 0 0 0 0 0 0 0 0 0 0 0 1 0 0 0 0 0 0 0 0 0 0 0 0 0 0 0 0 0 0 0 0 0 0 0 0 0 0 0\n    0 0 0 1 0 0 0 1 1 0 1 0 0 0 0 1 1 0 1 0 1 1 0 0 1 1 1 1 1 1 1 0 1]\n[0 0 0 0 0 0 0 0 0 0 0 0 0 1 0 0 0 0 0 0 0 0 0 0 0 0 0 0 0 0 0 0 0 0 0 0 0 0 0 0\n    0 0 0 0 1 0 0 0 1 1 0 1 0 0 0 0 1 1 0 1 0 1 1 0 0 1 1 0 1 0 1 1 0]\n[0 0 0 0 0 0 0 0 0 0 0 0 0 0 1 0 0 0 0 0 0 0 0 0 0 0 0 0 0 0 0 0 0 0 0 0 0 0 1 1\n    1 0 0 0 1 1 0 0 0 1 1 0 1 1 1 0 0 0 0 0 0 1 0 0 0 0 0 1 0 1 0 1 1]\n[0 0 0 0 0 0 0 0 0 0 0 0 0 0 0 1 0 0 0 0 0 0 0 0 0 0 0 0 0 0 0 0 0 0 0 0 0 0 0 1\n    1 1 0 0 0 1 1 0 0 0 1 1 0 1 1 1 0 0 0 0 0 0 1 0 0 0 0 0 1 0 1 0 0]\n[0 0 0 0 0 0 0 0 0 0 0 0 0 0 0 0 1 0 0 0 0 0 0 0 0 0 0 0 0 0 0 0 0 0 0 0 0 0 1 1\n    0 1 1 0 1 0 1 1 0 0 0 1 1 1 0 1 1 1 1 0 1 1 1 1 1 0 1 1 0 0 0 1 1]\n[0 0 0 0 0 0 0 0 0 0 0 0 0 0 0 0 0 1 0 0 0 0 0 0 0 0 0 0 0 0 0 0 0 0 0 0 0 0 1 0\n    0 0 1 1 1 1 0 1 1 0 0 0 1 0 0 0 1 0 0 1 1 0 0 0 1 1 1 0 1 1 0 0 1]\n[0 0 0 0 0 0 0 0 0 0 0 0 0 0 0 0 0 0 1 0 0 0 0 0 0 0 0 0 0 0 0 0 0 0 0 0 0 0 0 1\n    0 0 0 1 1 1 1 0 1 1 0 0 0 1 0 0 0 1 0 0 1 1 0 0 0 1 1 0 0 0 1 0 0]\n[0 0 0 0 0 0 0 0 0 0 0 0 0 0 0 0 0 0 0 1 0 0 0 0 0 0 0 0 0 0 0 0 0 0 0 0 0 0 0 0\n    1 0 0 0 1 1 1 1 0 1 1 0 0 0 1 0 0 0 1 0 0 1 1 1 1 0 1 0 0 1 0 1 1]\n[0 0 0 0 0 0 0 0 0 0 0 0 0 0 0 0 0 0 0 0 1 0 0 0 0 0 0 0 0 0 0 0 0 0 0 0 0 0 1 1\n    1 1 0 0 1 1 1 1 1 0 1 1 0 1 1 1 0 1 1 1 1 1 0 0 1 1 0 1 0 0 1 0 0]\n[0 0 0 0 0 0 0 0 0 0 0 0 0 0 0 0 0 0 0 0 0 1 0 0 0 0 0 0 0 0 0 0 0 0 0 0 0 0 0 1\n    1 1 1 0 0 1 1 1 1 1 0 1 1 0 1 1 1 0 1 1 1 1 1 0 0 1 0 0 1 0 0 1 0]\n[0 0 0 0 0 0 0 0 0 0 0 0 0 0 0 0 0 0 0 0 0 0 1 0 0 0 0 0 0 0 0 0 0 0 0 0 0 0 1 1\n    0 1 1 1 1 0 1 1 1 1 1 0 1 0 1 1 1 0 1 1 0 0 0 0 0 0 1 1 0 0 0 0 0]\n[0 0 0 0 0 0 0 0 0 0 0 0 0 0 0 0 0 0 0 0 0 0 0 1 0 0 0 0 0 0 0 0 0 0 0 0 0 0 0 1\n    1 0 1 1 1 1 0 1 1 1 1 1 0 1 0 1 1 1 0 1 1 0 0 0 0 0 1 0 1 1 0 0 1]\n[0 0 0 0 0 0 0 0 0 0 0 0 0 0 0 0 0 0 0 0 0 0 0 0 1 0 0 0 0 0 0 0 0 0 0 0 0 0 0 0\n    1 1 0 1 1 1 1 0 1 1 1 1 1 0 1 0 1 1 1 0 1 1 0 0 0 0 1 0 0 0 1 0 0]\n[0 0 0 0 0 0 0 0 0 0 0 0 0 0 0 0 0 0 0 0 0 0 0 0 0 1 0 0 0 0 0 0 0 0 0 0 0 0 0 0\n    0 1 1 0 1 1 1 1 0 1 1 1 1 1 0 1 0 1 1 1 0 1 1 0 0 0 1 0 0 1 0 1 1]\n[0 0 0 0 0 0 0 0 0 0 0 0 0 0 0 0 0 0 0 0 0 0 0 0 0 0 1 0 0 0 0 0 0 0 0 0 0 0 1 1\n    1 0 1 1 1 1 1 1 1 0 1 1 1 0 0 0 1 1 0 1 0 1 0 1 1 0 0 1 0 0 1 0 0]\n[0 0 0 0 0 0 0 0 0 0 0 0 0 0 0 0 0 0 0 0 0 0 0 0 0 0 0 1 0 0 0 0 0 0 0 0 0 0 0 1\n    1 1 0 1 1 1 1 1 1 1 0 1 1 1 0 0 0 1 1 0 1 0 1 1 0 1 0 0 1 0 0 1 0]\n[0 0 0 0 0 0 0 0 0 0 0 0 0 0 0 0 0 0 0 0 0 0 0 0 0 0 0 0 1 0 0 0 0 0 0 0 0 0 1 1\n    0 1 1 0 0 1 1 1 1 1 1 0 1 0 0 0 0 1 0 1 1 0 1 0 1 0 1 1 0 0 0 0 0]\n[0 0 0 0 0 0 0 0 0 0 0 0 0 0 0 0 0 0 0 0 0 0 0 0 0 0 0 0 0 1 0 0 0 0 0 0 0 0 1 0\n    0 0 1 1 1 0 1 1 1 1 1 1 0 0 1 0 0 1 0 0 0 0 1 0 0 1 0 1 1 0 0 0 0]\n[0 0 0 0 0 0 0 0 0 0 0 0 0 0 0 0 0 0 0 0 0 0 0 0 0 0 0 0 0 0 1 0 0 0 0 0 0 0 1 0\n    1 0 0 1 0 1 0 1 1 1 1 1 1 1 1 1 0 1 0 0 1 1 1 0 0 0 1 1 1 0 0 0 1]\n[0 0 0 0 0 0 0 0 0 0 0 0 0 0 0 0 0 0 0 0 0 0 0 0 0 0 0 0 0 0 0 1 0 0 0 0 0 0 1 0\n    1 1 0 0 0 0 1 0 1 1 1 1 1 0 0 1 1 1 0 0 1 0 0 1 1 0 1 0 1 0 0 0 0]\n[0 0 0 0 0 0 0 0 0 0 0 0 0 0 0 0 0 0 0 0 0 0 0 0 0 0 0 0 0 0 0 0 1 0 0 0 0 0 0 1\n    0 1 1 0 0 0 0 1 0 1 1 1 1 1 0 0 1 1 1 0 0 1 0 1 0 1 1 0 0 0 0 0 1]\n[0 0 0 0 0 0 0 0 0 0 0 0 0 0 0 0 0 0 0 0 0 0 0 0 0 0 0 0 0 0 0 0 0 1 0 0 0 0 0 0\n    1 0 1 1 0 0 0 0 1 0 1 1 1 1 1 0 0 1 1 1 0 0 1 1 0 0 0 1 0 0 0 0 1]\n[0 0 0 0 0 0 0 0 0 0 0 0 0 0 0 0 0 0 0 0 0 0 0 0 0 0 0 0 0 0 0 0 0 0 1 0 0 0 1 1\n    1 1 0 1 0 0 0 0 0 1 0 1 1 0 0 1 0 1 0 1 0 1 1 1 0 0 0 0 1 0 0 0 1]\n[0 0 0 0 0 0 0 0 0 0 0 0 0 0 0 0 0 0 0 0 0 0 0 0 0 0 0 0 0 0 0 0 0 0 0 1 0 0 1 0\n    0 1 1 0 0 0 0 0 0 0 1 0 1 0 1 0 1 1 0 0 0 1 0 1 0 0 0 0 0 1 0 0 1]\n[0 0 0 0 0 0 0 0 0 0 0 0 0 0 0 0 0 0 0 0 0 0 0 0 0 0 0 0 0 0 0 0 0 0 0 0 1 0 0 1\n    0 0 1 1 0 0 0 0 0 0 0 1 0 1 0 1 0 1 1 0 0 0 1 0 1 0 0 0 0 0 1 0 1]\n[0 0 0 0 0 0 0 0 0 0 0 0 0 0 0 0 0 0 0 0 0 0 0 0 0 0 0 0 0 0 0 0 0 0 0 0 0 1 1 1\n    0 0 0 1 0 0 0 0 0 0 0 0 1 1 0 0 1 1 0 1 1 1 1 0 0 1 0 0 0 0 0 1 1]\nLinear Code over GF(2) of length 73 with 38 generators.\nLower Bound: 1, Upper Bound: 36\nConstructed 2 distinct generator matrices\nRelative Ranks:  38  35 \nTime Taken: 0.00\nStarting search for low weight codewords... (reset timings)\nEnumerating using 1 generator at a time:\n     New codeword identified of weight 14, time 0.00\n     New codeword identified of weight 13, time 0.00\n   Completed Matrix  1:  lower =  2, upper = 13. Elapsed: 0.00s\n   Completed Matrix  2:  lower =  2, upper = 13. Elapsed: 0.00s\nTermination predicted with 7 generators at matrix 2\nEnumerating using 2 generators at a time:\n   Completed Matrix  1:  lower =  3, upper = 13. Elapsed: 0.00s\n   Completed Matrix  2:  lower =  3, upper = 13. Elapsed: 0.00s\nTermination predicted with 7 generators at matrix 2\nEnumerating using 3 generators at a time:\n   Completed Matrix  1:  lower =  4, upper = 13. Elapsed: 0.00s\n   Completed Matrix  2:  lower =  5, upper = 13. Elapsed: 0.00s\nTermination predicted with 7 generators at matrix 2\nEnumerating using 4 generators at a time:\n   Completed Matrix  1:  lower =  6, upper = 13. Elapsed: 0.00s\n   Completed Matrix  2:  lower =  7, upper = 13. Elapsed: 0.00s\nTermination predicted with 7 generators at matrix 2\nEnumerating using 5 generators at a time:\n   Completed Matrix  1:  lower =  8, upper = 13. Elapsed: 0.00s\n   Completed Matrix  2:  lower =  9, upper = 13. Elapsed: 0.00s\nTermination predicted with 7 generators at matrix 2\nEnumerating using 6 generators at a time:\n   Completed Matrix  1:  lower = 10, upper = 13. Elapsed: 0.00s\n   Completed Matrix  2:  lower = 11, upper = 13. Elapsed: 0.00s\nTermination predicted with 7 generators at matrix 2\nEnumerating using 7 generators at a time:\n   Completed Matrix  1:  lower = 12, upper = 13. Elapsed: 0.03s\n   Completed Matrix  2:  lower = 13, upper = 13. Elapsed: 0.06s\nComputation complete 31931742 vectors enumerated in total\n (0.011617% of 73 38 code)\nFinal Results: lower = 13, upper = 13,\nTotal CPU time: 0.06, real time: 0.069\n13\n\nTotal time: 0.080 seconds, Total memory usage: 32.09MB\n</t>
  </si>
  <si>
    <t>[[74,9,32]]</t>
  </si>
  <si>
    <t>Magma V2.28-26    Tue Dec 30 2025 09:50:20 on Marks-MacBook-Air-2 [Seed = \n2694474047]\nType ? for help.  Type &lt;Ctrl&gt;-D to quit.\n[0 1 1 0 1 0 0 1 0 1 1 0 0 1 1 0 0 1 0 0 1 1 0 0 1 0 1 0 1 1 1 1 0 1 1 0 1 0 1 1\n    1 0 1 1 0 0 1 1 0 1 0 1 1 1 1 0 1 1 1 1 0 1 0 0 1 1 0 0 0 0 0 0 0 0]\n[1 1 1 1 0 1 0 0 0 1 0 0 1 1 0 1 1 1 0 1 0 1 1 0 0 1 0 0 1 0 1 1 1 1 0 1 0 1 1 1\n    0 0 0 1 1 1 0 1 1 1 0 1 0 1 0 1 0 0 1 0 1 0 1 1 1 0 1 0 0 0 0 0 0 0]\n[1 1 1 1 1 1 1 1 1 1 1 1 1 1 1 1 1 1 1 1 1 1 1 1 1 1 1 1 1 1 1 1 1 0 0 0 0 0 0 0\n    0 0 0 0 0 0 0 0 0 0 0 0 0 0 0 0 0 0 0 0 0 0 0 0 0 0 0 1 0 0 0 0 0 0]\n[1 1 1 1 1 1 1 1 1 1 1 0 0 0 0 0 0 0 0 0 0 0 0 0 0 0 0 0 0 0 0 0 0 0 1 1 1 1 1 1\n    1 1 1 1 1 1 1 1 1 1 1 1 1 1 1 1 0 0 0 0 0 0 0 0 0 0 0 0 1 0 0 0 0 0]\n[1 1 0 0 0 0 0 0 0 0 0 1 1 1 1 1 1 1 1 1 1 1 1 1 1 1 0 0 0 0 0 0 0 0 1 1 1 1 1 1\n    1 1 0 0 0 0 0 0 0 0 0 0 0 0 0 0 0 1 1 1 1 1 1 1 1 0 0 0 0 1 0 0 0 0]\n[1 0 0 0 1 0 1 0 1 1 0 0 1 0 0 1 0 1 0 0 1 0 1 1 0 1 1 1 1 0 0 1 0 1 1 1 0 1 1 0\n    1 0 0 0 1 1 1 1 0 1 1 0 1 0 0 0 0 1 0 0 0 1 1 1 1 0 0 0 0 0 1 0 0 0]\n[0 0 1 0 0 1 0 1 0 1 0 1 1 1 1 0 1 0 0 0 0 1 1 0 0 0 0 1 1 1 0 0 0 0 1 0 1 1 0 1\n    0 1 0 0 0 1 0 0 1 1 1 1 1 1 1 0 1 0 0 0 1 1 1 0 1 0 0 0 0 0 0 1 0 0]\n[1 0 1 0 1 0 0 0 1 1 1 1 1 1 0 1 0 0 0 1 0 0 0 1 1 0 1 0 0 1 0 1 1 1 1 0 1 0 1 0\n    0 0 0 1 1 1 1 0 0 0 0 0 0 0 1 1 0 1 1 1 1 0 0 0 1 0 0 0 0 0 0 0 1 0]\n[1 1 0 1 1 0 0 1 1 1 0 0 1 1 1 0 1 0 1 1 1 0 0 1 0 0 1 1 1 0 1 0 0 1 1 1 0 0 1 1\n    0 1 1 1 1 0 0 0 1 1 1 0 0 1 1 0 1 0 0 1 0 0 1 0 1 0 0 0 0 0 0 0 0 1]\nLinear Code over GF(2) of length 74 with 9 generators.\nLower Bound: 1, Upper Bound: 66\nConstructed 9 distinct generator matrices\nRelative Ranks:   9   9   9   9   9   9   9   9   2 \nTime Taken: 0.00\nStarting search for low weight codewords... (reset timings)\nEnumerating using 1 generator at a time:\n     New codeword identified of weight 35, time 0.00\n     New codeword identified of weight 33, time 0.00\n     New codeword identified of weight 32, time 0.00\n     Discarding non-contributing rank 2 matrix\n     New Relative Ranks:   9   9   9   9   9   9   9   9 \n   Completed Matrix  1:  lower =  9, upper = 32. Elapsed: 0.00s\n   Completed Matrix  2:  lower = 10, upper = 32. Elapsed: 0.00s\n   Completed Matrix  3:  lower = 11, upper = 32. Elapsed: 0.00s\n   Completed Matrix  4:  lower = 12, upper = 32. Elapsed: 0.00s\n   Completed Matrix  5:  lower = 13, upper = 32. Elapsed: 0.00s\n   Completed Matrix  6:  lower = 14, upper = 32. Elapsed: 0.00s\n   Completed Matrix  7:  lower = 15, upper = 32. Elapsed: 0.00s\n   Completed Matrix  8:  lower = 16, upper = 32. Elapsed: 0.00s\nTermination predicted with 3 generators at matrix 8\nEnumerating using 2 generators at a time:\n   Completed Matrix  1:  lower = 17, upper = 32. Elapsed: 0.00s\n   Completed Matrix  2:  lower = 18, upper = 32. Elapsed: 0.00s\n   Completed Matrix  3:  lower = 19, upper = 32. Elapsed: 0.00s\n   Completed Matrix  4:  lower = 20, upper = 32. Elapsed: 0.00s\n   Completed Matrix  5:  lower = 21, upper = 32. Elapsed: 0.00s\n   Completed Matrix  6:  lower = 22, upper = 32. Elapsed: 0.00s\n   Completed Matrix  7:  lower = 23, upper = 32. Elapsed: 0.00s\n   Completed Matrix  8:  lower = 24, upper = 32. Elapsed: 0.00s\nTermination predicted with 3 generators at matrix 8\nEnumerating using 3 generators at a time:\n   Completed Matrix  1:  lower = 25, upper = 32. Elapsed: 0.00s\n   Completed Matrix  2:  lower = 26, upper = 32. Elapsed: 0.00s\n   Completed Matrix  3:  lower = 27, upper = 32. Elapsed: 0.00s\n   Completed Matrix  4:  lower = 28, upper = 32. Elapsed: 0.00s\n   Completed Matrix  5:  lower = 29, upper = 32. Elapsed: 0.00s\n   Completed Matrix  6:  lower = 30, upper = 32. Elapsed: 0.00s\n   Completed Matrix  7:  lower = 31, upper = 32. Elapsed: 0.00s\n   Completed Matrix  8:  lower = 32, upper = 32. Elapsed: 0.00s\nComputation complete 1032 vectors enumerated in total\n (201.562500% of 74 9 code)\nFinal Results: lower = 32, upper = 32,\nTotal CPU time: 0.00, real time: 0.001\n[74, 9, 32] Linear Code over GF(2)\nGenerator matrix:\n[1 0 0 0 0 0 0 0 1 1 1 0 0 0 0 0 0 0 1 1 1 1 1 1 1 1 1 1 1 0 0 0 0 0 1 0 0 0 0 0\n    0 0 0 0 0 0 0 0 0 0 0 1 1 1 1 1 1 0 0 1 1 1 1 1 1 1 1 0 1 1 1 0 1 0]\n[0 1 0 0 0 0 0 0 1 1 1 0 0 0 0 0 0 0 1 1 1 1 1 1 1 1 0 0 0 1 1 1 1 0 1 0 0 0 0 0\n    0 0 1 1 1 1 1 1 1 1 1 0 0 0 0 0 1 1 1 0 0 0 0 0 0 1 1 1 0 0 1 0 1 0]\n[0 0 1 0 0 0 0 0 1 1 0 0 0 0 0 0 1 1 0 0 0 1 1 1 0 0 1 1 0 0 0 0 0 1 0 0 0 0 1 1\n    0 0 1 1 1 1 1 1 1 1 0 1 0 0 0 1 1 1 0 1 0 0 0 0 1 1 0 0 1 1 1 1 0 1]\n[0 0 0 1 0 0 0 0 1 0 0 0 1 0 0 0 0 0 0 0 1 1 0 1 0 1 0 1 1 1 0 1 0 1 1 1 1 0 1 1\n    1 1 1 1 0 1 0 0 0 1 1 1 0 1 1 0 0 0 1 0 1 0 0 1 0 1 1 0 0 0 0 1 1 0]\n[0 0 0 0 1 0 0 0 1 1 0 0 0 0 1 0 0 0 0 1 0 1 1 0 1 0 0 1 0 0 1 0 0 0 1 1 0 1 1 0\n    1 1 0 1 1 1 1 0 0 0 1 1 0 0 1 0 0 0 1 1 0 1 1 1 1 0 1 1 1 0 0 1 0 1]\n[0 0 0 0 0 1 0 0 0 0 0 0 0 1 0 1 0 0 0 1 1 1 0 0 0 0 0 1 1 0 0 1 0 1 1 0 1 1 1 1\n    1 1 1 0 1 0 0 1 1 0 0 0 1 1 0 1 1 0 1 0 1 1 0 1 1 0 0 1 0 0 1 0 1 1]\n[0 0 0 0 0 0 1 0 1 1 1 0 1 0 1 1 0 1 1 0 0 0 1 0 0 0 0 1 0 0 1 1 0 1 1 0 0 0 0 0\n    0 1 0 1 0 0 0 1 0 1 0 0 0 1 0 1 1 1 1 0 1 1 1 1 1 1 0 1 0 1 0 1 1 1]\n[0 0 0 0 0 0 0 1 1 0 0 0 0 1 0 0 1 0 1 0 0 0 1 0 1 1 0 0 1 0 1 0 1 0 1 1 1 1 1 0\n    0 1 1 0 1 1 0 1 0 1 0 1 1 1 0 1 1 1 1 1 0 0 1 1 1 1 0 0 0 1 0 0 1 0]\n[0 0 0 0 0 0 0 0 0 0 0 1 1 1 1 1 1 1 1 1 1 1 1 1 1 1 1 1 1 1 1 1 1 0 1 1 1 1 1 1\n    1 1 1 1 1 1 1 1 1 1 1 1 1 1 1 1 0 0 0 0 0 0 0 0 0 0 0 1 1 0 0 0 0 0]\nLinear Code over GF(2) of length 74 with 9 generators.\nLower Bound: 1, Upper Bound: 66\nConstructed 9 distinct generator matrices\nRelative Ranks:   9   9   9   9   9   9   9   9   2 \nTime Taken: 0.00\nStarting search for low weight codewords... (reset timings)\nEnumerating using 1 generator at a time:\n     New codeword identified of weight 35, time 0.00\n     New codeword identified of weight 33, time 0.00\n     New codeword identified of weight 32, time 0.00\n     Discarding non-contributing rank 2 matrix\n     New Relative Ranks:   9   9   9   9   9   9   9   9 \n   Completed Matrix  1:  lower =  9, upper = 32. Elapsed: 0.00s\n   Completed Matrix  2:  lower = 10, upper = 32. Elapsed: 0.00s\n   Completed Matrix  3:  lower = 11, upper = 32. Elapsed: 0.00s\n   Completed Matrix  4:  lower = 12, upper = 32. Elapsed: 0.00s\n   Completed Matrix  5:  lower = 13, upper = 32. Elapsed: 0.00s\n   Completed Matrix  6:  lower = 14, upper = 32. Elapsed: 0.00s\n   Completed Matrix  7:  lower = 15, upper = 32. Elapsed: 0.00s\n   Completed Matrix  8:  lower = 16, upper = 32. Elapsed: 0.00s\nTermination predicted with 3 generators at matrix 8\nEnumerating using 2 generators at a time:\n   Completed Matrix  1:  lower = 17, upper = 32. Elapsed: 0.00s\n   Completed Matrix  2:  lower = 18, upper = 32. Elapsed: 0.00s\n   Completed Matrix  3:  lower = 19, upper = 32. Elapsed: 0.00s\n   Completed Matrix  4:  lower = 20, upper = 32. Elapsed: 0.00s\n   Completed Matrix  5:  lower = 21, upper = 32. Elapsed: 0.00s\n   Completed Matrix  6:  lower = 22, upper = 32. Elapsed: 0.00s\n   Completed Matrix  7:  lower = 23, upper = 32. Elapsed: 0.00s\n   Completed Matrix  8:  lower = 24, upper = 32. Elapsed: 0.00s\nTermination predicted with 3 generators at matrix 8\nEnumerating using 3 generators at a time:\n   Completed Matrix  1:  lower = 25, upper = 32. Elapsed: 0.00s\n   Completed Matrix  2:  lower = 26, upper = 32. Elapsed: 0.00s\n   Completed Matrix  3:  lower = 27, upper = 32. Elapsed: 0.00s\n   Completed Matrix  4:  lower = 28, upper = 32. Elapsed: 0.00s\n   Completed Matrix  5:  lower = 29, upper = 32. Elapsed: 0.00s\n   Completed Matrix  6:  lower = 30, upper = 32. Elapsed: 0.00s\n   Completed Matrix  7:  lower = 31, upper = 32. Elapsed: 0.00s\n   Completed Matrix  8:  lower = 32, upper = 32. Elapsed: 0.00s\nComputation complete 1032 vectors enumerated in total\n (201.562500% of 74 9 code)\nFinal Results: lower = 32, upper = 32,\nTotal CPU time: 0.00, real time: 0.001\n32\n\nTotal time: 0.010 seconds, Total memory usage: 32.09MB\n</t>
  </si>
  <si>
    <t>[[75,28,19]]</t>
  </si>
  <si>
    <t>Magma V2.28-26    Tue Dec 30 2025 09:50:20 on Marks-MacBook-Air-2 [Seed = \n2861589301]\nType ? for help.  Type &lt;Ctrl&gt;-D to quit.\n[1 1 0 0 1 0 1 1 1 0 1 1 1 1 0 0 1 0 0 1 0 0 1 0 1 1 1 0 1 1 1 0 0 1 1 0 1 1 0 0\n    1 1 0 1 1 0 1 0 0 0 0 0 0 0 0 0 0 0 0 0 0 0 0 0 0 0 0 0 0 0 0 0 0 0 0]\n[0 1 1 0 0 1 0 1 1 1 0 1 1 1 1 0 0 1 0 0 1 0 0 1 0 1 1 1 0 1 1 1 0 0 1 1 0 1 1 0\n    0 1 1 0 1 1 0 1 0 0 0 0 0 0 0 0 0 0 0 0 0 0 0 0 0 0 0 0 0 0 0 0 0 0 0]\n[1 1 1 1 1 0 0 1 0 1 0 1 0 0 1 1 1 0 1 1 0 1 1 0 0 1 0 1 0 1 0 1 1 1 1 1 0 1 1 1\n    1 1 1 0 1 1 0 0 1 0 0 0 0 0 0 0 0 0 0 0 0 0 0 0 0 0 0 0 0 0 0 0 0 0 0]\n[1 0 1 1 0 1 1 1 0 0 0 1 0 1 0 1 0 1 0 0 1 0 0 1 1 1 0 0 0 1 0 0 1 0 0 1 0 1 1 1\n    0 0 1 0 1 1 0 0 0 1 0 0 0 0 0 0 0 0 0 0 0 0 0 0 0 0 0 0 0 0 0 0 0 0 0]\n[1 0 0 1 0 0 0 0 0 0 1 1 0 1 1 0 0 0 1 1 0 1 1 0 0 0 0 0 1 1 0 0 0 0 1 0 0 1 1 1\n    0 1 0 0 1 1 0 0 0 0 1 0 0 0 0 0 0 0 0 0 0 0 0 0 0 0 0 0 0 0 0 0 0 0 0]\n[1 0 0 0 0 0 1 1 1 0 1 0 0 1 1 1 1 0 0 0 1 0 0 1 1 1 1 0 1 0 0 0 0 1 1 1 1 1 1 1\n    0 1 1 1 1 1 0 0 0 0 0 1 0 0 0 0 0 0 0 0 0 0 0 0 0 0 0 0 0 0 0 0 0 0 0]\n[1 0 0 0 1 0 1 0 0 1 1 0 1 1 1 1 0 1 0 1 0 1 1 0 0 0 0 1 1 0 1 0 0 1 0 1 0 0 1 1\n    0 1 1 0 0 1 0 0 0 0 0 0 1 0 0 0 0 0 0 0 0 0 0 0 0 0 0 0 0 0 0 0 0 0 0]\n[1 0 0 0 1 1 1 0 1 0 0 0 1 0 1 1 0 0 1 1 1 0 0 1 1 1 1 0 0 0 1 1 0 1 0 0 0 1 0 1\n    0 1 1 0 1 0 0 0 0 0 0 0 0 1 0 0 0 0 0 0 0 0 0 0 0 0 0 0 0 0 0 0 0 0 0]\n[0 1 0 0 0 1 1 1 0 1 0 0 0 1 0 1 1 0 0 1 1 1 0 0 1 1 1 1 0 0 0 1 1 0 1 0 0 0 1 0\n    1 0 1 1 0 1 0 0 0 0 0 0 0 0 1 0 0 0 0 0 0 0 0 0 0 0 0 0 0 0 0 0 0 0 0]\n[1 1 1 0 1 0 0 0 0 0 0 1 1 1 1 0 0 1 0 1 1 1 0 0 1 0 0 1 0 1 1 0 1 0 1 1 1 1 0 1\n    1 0 0 0 0 0 0 0 0 0 0 0 0 0 0 1 0 0 0 0 0 0 0 0 0 0 0 0 0 0 0 0 0 0 0]\n[0 1 1 1 0 1 0 0 0 0 0 0 1 1 1 1 0 0 1 0 1 1 1 0 0 1 0 0 1 0 1 1 0 1 0 1 1 1 1 0\n    1 1 0 0 0 0 0 0 0 0 0 0 0 0 0 0 1 0 0 0 0 0 0 0 0 0 0 0 0 0 0 0 0 0 0]\n[0 0 1 1 1 0 1 0 0 0 0 0 0 1 1 1 1 0 0 1 0 1 1 1 0 0 1 0 0 1 0 1 1 0 1 0 1 1 1 1\n    0 1 1 0 0 0 0 0 0 0 0 0 0 0 0 0 0 1 0 0 0 0 0 0 0 0 0 0 0 0 0 0 0 0 0]\n[0 0 0 1 1 1 0 1 0 0 0 0 0 0 1 1 1 1 0 0 1 0 1 1 1 0 0 1 0 0 1 0 1 1 0 1 0 1 1 1\n    1 0 1 1 0 0 0 0 0 0 0 0 0 0 0 0 0 0 1 0 0 0 0 0 0 0 0 0 0 0 0 0 0 0 0]\n[0 0 0 0 1 1 1 0 1 0 0 0 0 0 0 1 1 1 1 0 0 1 0 1 1 1 0 0 1 0 0 1 0 1 1 0 1 0 1 1\n    1 1 0 1 1 0 0 0 0 0 0 0 0 0 0 0 0 0 0 1 0 0 0 0 0 0 0 0 0 0 0 0 0 0 0]\n[0 0 0 0 0 1 1 1 0 1 0 0 0 0 0 0 1 1 1 1 0 0 1 0 1 1 1 0 0 1 0 0 1 0 1 1 0 1 0 1\n    1 1 1 0 1 1 0 0 0 0 0 0 0 0 0 0 0 0 0 0 1 0 0 0 0 0 0 0 0 0 0 0 0 0 0]\n[1 1 0 0 1 0 0 0 0 0 0 1 1 1 0 0 1 1 1 0 1 0 1 1 1 0 0 1 1 1 0 0 0 0 1 1 0 1 1 0\n    0 0 1 0 1 1 0 0 0 0 0 0 0 0 0 0 0 0 0 0 0 1 0 0 0 0 0 0 0 0 0 0 0 0 0]\n[1 0 1 0 1 1 1 1 1 0 1 1 0 0 1 0 1 1 1 0 0 1 1 1 0 0 1 0 0 0 0 0 0 1 1 1 0 1 1 1\n    1 1 0 0 1 1 0 0 0 0 0 0 0 0 0 0 0 0 0 0 0 0 1 0 0 0 0 0 0 0 0 0 0 0 0]\n[1 0 0 1 1 1 0 0 0 1 1 0 0 1 0 1 1 1 1 0 0 0 0 1 0 1 1 1 1 1 1 0 0 1 0 1 0 1 1 1\n    0 0 1 1 1 1 0 0 0 0 0 0 0 0 0 0 0 0 0 0 0 0 0 1 0 0 0 0 0 0 0 0 0 0 0]\n[1 0 0 0 0 1 0 1 1 0 0 0 1 1 1 0 0 1 1 0 0 0 1 0 0 1 0 1 0 0 0 1 0 1 0 0 0 1 1 1\n    0 1 0 0 0 1 0 0 0 0 0 0 0 0 0 0 0 0 0 0 0 0 0 0 1 0 0 0 0 0 0 0 0 0 0]\n[1 0 0 0 1 0 0 1 0 1 1 1 1 0 1 1 1 0 1 0 0 0 1 1 1 1 0 0 0 1 1 0 1 1 0 0 1 1 1 1\n    0 1 1 1 1 0 0 0 0 0 0 0 0 0 0 0 0 0 0 0 0 0 0 0 0 1 0 0 0 0 0 0 0 0 0]\n[0 1 0 0 0 1 0 0 1 0 1 1 1 1 0 1 1 1 0 1 0 0 0 1 1 1 1 0 0 0 1 1 0 1 1 0 0 1 1 1\n    1 0 1 1 1 1 0 0 0 0 0 0 0 0 0 0 0 0 0 0 0 0 0 0 0 0 1 0 0 0 0 0 0 0 0]\n[1 1 1 0 1 0 0 1 1 1 1 0 0 0 1 0 0 1 1 1 1 0 1 0 0 0 0 1 1 1 1 1 1 1 0 1 1 1 1 1\n    0 0 0 0 0 1 0 0 0 0 0 0 0 0 0 0 0 0 0 0 0 0 0 0 0 0 0 1 0 0 0 0 0 0 0]\n[1 0 1 1 1 1 1 1 0 1 0 0 1 1 0 1 1 0 1 0 1 1 1 1 1 1 1 0 0 0 0 1 1 0 0 0 0 0 1 1\n    0 1 0 1 1 0 0 0 0 0 0 0 0 0 0 0 0 0 0 0 0 0 0 0 0 0 0 0 1 0 0 0 0 0 0]\n[0 1 0 1 1 1 1 1 1 0 1 0 0 1 1 0 1 1 0 1 0 1 1 1 1 1 1 1 0 0 0 0 1 1 0 0 0 0 0 1\n    1 0 1 0 1 1 0 0 0 0 0 0 0 0 0 0 0 0 0 0 0 0 0 0 0 0 0 0 0 1 0 0 0 0 0]\n[1 1 1 0 0 1 0 0 0 1 1 0 1 1 1 1 1 1 1 1 1 0 0 1 0 0 0 1 0 1 1 0 0 0 0 0 1 1 0 0\n    0 0 0 0 1 1 0 0 0 0 0 0 0 0 0 0 0 0 0 0 0 0 0 0 0 0 0 0 0 0 1 0 0 0 0]\n[1 0 1 1 1 0 0 1 1 0 0 0 1 0 1 1 0 1 1 0 1 1 1 0 0 1 1 0 0 1 0 1 0 1 1 0 1 0 1 0\n    1 1 0 1 1 1 0 0 0 0 0 0 0 0 0 0 0 0 0 0 0 0 0 0 0 0 0 0 0 0 0 1 0 0 0]\n[1 0 0 1 0 1 1 1 0 1 1 1 1 0 0 1 0 0 1 0 0 1 0 1 1 1 0 1 1 1 0 0 1 1 0 1 1 0 0 1\n    1 0 1 1 0 1 0 0 0 0 0 0 0 0 0 0 0 0 0 0 0 0 0 0 0 0 0 0 0 0 0 0 1 0 0]\n[1 0 0 0 1 1 0 1 0 0 1 0 1 0 0 0 1 1 1 0 0 0 1 1 0 1 0 0 1 0 1 1 1 0 1 1 0 1 1 1\n    0 1 1 0 1 1 0 0 0 0 0 0 0 0 0 0 0 0 0 0 0 0 0 0 0 0 0 0 0 0 0 0 0 1 1]\n[75, 28] Linear Code over GF(2)\nGenerator matrix:\n[1 0 0 0 0 0 0 0 0 0 0 0 0 0 0 0 0 0 0 0 0 0 0 0 0 0 0 0 1 0 0 0 1 1 0 1 0 0 1 0\n    1 0 0 0 1 1 1 0 0 0 1 1 0 1 0 0 1 0 1 1 1 0 1 1 0 1 1 1 0 1 1 0 1 1 1]\n[0 1 0 0 0 0 0 0 0 0 0 0 0 0 0 0 0 0 0 0 0 0 0 0 0 0 0 0 1 1 0 0 1 0 1 1 1 0 1 1\n    1 1 0 0 1 0 0 1 0 0 1 0 1 1 1 0 1 1 1 0 0 1 1 0 1 1 0 0 1 1 0 1 1 0 0]\n[0 0 1 0 0 0 0 0 0 0 0 0 0 0 0 0 0 0 0 0 0 0 0 0 0 0 0 0 1 1 1 0 1 0 0 0 1 1 1 1\n    0 1 1 0 1 0 1 0 1 0 1 0 0 0 1 1 1 1 0 0 1 0 0 0 0 0 0 1 0 0 0 0 0 1 1]\n[0 0 0 1 0 0 0 0 0 0 0 0 0 0 0 0 0 0 0 0 0 0 0 0 0 0 0 0 0 1 1 1 0 1 0 0 0 1 1 1\n    1 0 1 1 0 1 0 1 0 1 0 1 0 0 0 1 1 1 1 0 0 1 0 0 0 0 0 0 1 0 0 0 0 1 1]\n[0 0 0 0 1 0 0 0 0 0 0 0 0 0 0 0 0 0 0 0 0 0 0 0 0 0 0 0 0 0 1 1 1 0 1 0 0 0 1 1\n    1 1 0 1 1 0 1 0 1 0 1 0 1 0 0 0 1 1 1 1 0 0 1 0 0 0 0 0 0 1 0 0 0 1 1]\n[0 0 0 0 0 1 0 0 0 0 0 0 0 0 0 0 0 0 0 0 0 0 0 0 0 0 0 0 0 0 0 1 1 1 0 1 0 0 0 1\n    1 1 1 0 1 1 0 1 0 1 0 1 0 1 0 0 0 1 1 1 1 0 0 1 0 0 0 0 0 0 1 0 0 1 1]\n[0 0 0 0 0 0 1 0 0 0 0 0 0 0 0 0 0 0 0 0 0 0 0 0 0 0 0 0 0 0 0 0 1 1 1 0 1 0 0 0\n    1 1 1 1 0 1 1 0 1 0 1 0 1 0 1 0 0 0 1 1 1 1 0 0 1 0 0 0 0 0 0 1 0 1 1]\n[0 0 0 0 0 0 0 1 0 0 0 0 0 0 0 0 0 0 0 0 0 0 0 0 0 0 0 0 0 0 0 0 0 1 1 1 0 1 0 0\n    0 1 1 1 1 0 1 1 0 1 0 1 0 1 0 1 0 0 0 1 1 1 1 0 0 1 0 0 0 0 0 0 1 1 1]\n[0 0 0 0 0 0 0 0 1 0 0 0 0 0 0 0 0 0 0 0 0 0 0 0 0 0 0 0 1 0 0 0 1 1 1 0 1 0 0 0\n    1 0 1 1 0 0 1 1 1 0 0 1 1 1 1 0 0 0 1 1 0 1 0 0 0 1 0 1 0 1 1 0 1 0 0]\n[0 0 0 0 0 0 0 0 0 1 0 0 0 0 0 0 0 0 0 0 0 0 0 0 0 0 0 0 1 1 0 0 1 0 1 0 0 1 1 0\n    1 1 0 1 0 1 1 1 1 1 1 1 1 0 1 1 1 0 1 0 0 0 0 1 0 1 0 1 1 1 0 1 1 1 1]\n[0 0 0 0 0 0 0 0 0 0 1 0 0 0 0 0 0 0 0 0 0 0 0 0 0 0 0 0 1 1 1 0 1 0 0 0 0 0 0 1\n    1 1 1 0 0 1 0 1 1 1 0 0 1 0 0 1 0 1 1 0 1 0 1 1 1 1 0 1 1 0 0 0 0 0 0]\n[0 0 0 0 0 0 0 0 0 0 0 1 0 0 0 0 0 0 0 0 0 0 0 0 0 0 0 0 0 1 1 1 0 1 0 0 0 0 0 0\n    1 1 1 1 0 0 1 0 1 1 1 0 0 1 0 0 1 0 1 1 0 1 0 1 1 1 1 0 1 1 0 0 0 0 0]\n[0 0 0 0 0 0 0 0 0 0 0 0 1 0 0 0 0 0 0 0 0 0 0 0 0 0 0 0 0 0 1 1 1 0 1 0 0 0 0 0\n    0 1 1 1 1 0 0 1 0 1 1 1 0 0 1 0 0 1 0 1 1 0 1 0 1 1 1 1 0 1 1 0 0 0 0]\n[0 0 0 0 0 0 0 0 0 0 0 0 0 1 0 0 0 0 0 0 0 0 0 0 0 0 0 0 0 0 0 1 1 1 0 1 0 0 0 0\n    0 0 1 1 1 1 0 0 1 0 1 1 1 0 0 1 0 0 1 0 1 1 0 1 0 1 1 1 1 0 1 1 0 0 0]\n[0 0 0 0 0 0 0 0 0 0 0 0 0 0 1 0 0 0 0 0 0 0 0 0 0 0 0 0 0 0 0 0 1 1 1 0 1 0 0 0\n    0 0 0 1 1 1 1 0 0 1 0 1 1 1 0 0 1 0 0 1 0 1 1 0 1 0 1 1 1 1 0 1 1 0 0]\n[0 0 0 0 0 0 0 0 0 0 0 0 0 0 0 1 0 0 0 0 0 0 0 0 0 0 0 0 1 0 0 0 1 0 1 0 0 1 1 0\n    1 0 0 0 0 0 0 1 0 0 0 1 1 0 1 0 1 1 1 1 0 0 0 0 0 0 1 0 1 0 0 0 0 1 1]\n[0 0 0 0 0 0 0 0 0 0 0 0 0 0 0 0 1 0 0 0 0 0 0 0 0 0 0 0 0 1 0 0 0 1 0 1 0 0 1 1\n    0 1 0 0 0 0 0 0 1 0 0 0 1 1 0 1 0 1 1 1 1 0 0 0 0 0 0 1 0 1 0 0 0 1 1]\n[0 0 0 0 0 0 0 0 0 0 0 0 0 0 0 0 0 1 0 0 0 0 0 0 0 0 0 0 0 0 1 0 0 0 1 0 1 0 0 1\n    1 0 1 0 0 0 0 0 0 1 0 0 0 1 1 0 1 0 1 1 1 1 0 0 0 0 0 0 1 0 1 0 0 1 1]\n[0 0 0 0 0 0 0 0 0 0 0 0 0 0 0 0 0 0 1 0 0 0 0 0 0 0 0 0 0 0 0 1 0 0 0 1 0 1 0 0\n    1 1 0 1 0 0 0 0 0 0 1 0 0 0 1 1 0 1 0 1 1 1 1 0 0 0 0 0 0 1 0 1 0 1 1]\n[0 0 0 0 0 0 0 0 0 0 0 0 0 0 0 0 0 0 0 1 0 0 0 0 0 0 0 0 0 0 0 0 1 0 0 0 1 0 1 0\n    0 1 1 0 1 0 0 0 0 0 0 1 0 0 0 1 1 0 1 0 1 1 1 1 0 0 0 0 0 0 1 0 1 1 1]\n[0 0 0 0 0 0 0 0 0 0 0 0 0 0 0 0 0 0 0 0 1 0 0 0 0 0 0 0 1 0 0 0 1 0 0 1 0 1 1 1\n    1 0 1 1 1 0 1 0 0 0 1 1 1 1 0 0 0 1 1 0 1 1 0 0 1 1 1 1 0 1 1 1 1 0 0]\n[0 0 0 0 0 0 0 0 0 0 0 0 0 0 0 0 0 0 0 0 0 1 0 0 0 0 0 0 1 1 0 0 1 0 0 1 1 0 0 1\n    0 1 0 1 0 0 1 1 0 0 1 0 1 0 1 0 1 0 0 0 1 1 0 1 0 0 0 0 1 1 0 1 0 1 1]\n[0 0 0 0 0 0 0 0 0 0 0 0 0 0 0 0 0 0 0 0 0 0 1 0 0 0 0 0 0 1 1 0 0 1 0 0 1 1 0 0\n    1 0 1 0 1 0 0 1 1 0 0 1 0 1 0 1 0 1 0 0 0 1 1 0 1 0 0 0 0 1 1 0 1 1 1]\n[0 0 0 0 0 0 0 0 0 0 0 0 0 0 0 0 0 0 0 0 0 0 0 1 0 0 0 0 1 0 1 1 1 1 1 1 0 1 0 0\n    1 1 0 1 1 0 1 0 1 1 1 1 1 1 1 0 0 0 0 1 1 0 0 0 0 0 1 1 0 1 0 1 1 0 0]\n[0 0 0 0 0 0 0 0 0 0 0 0 0 0 0 0 0 0 0 0 0 0 0 0 1 0 0 0 1 1 0 1 0 0 1 0 1 0 0 0\n    1 1 1 0 0 0 1 1 0 1 0 0 1 0 1 1 1 0 1 1 0 1 1 1 0 1 1 0 1 1 0 0 0 1 1]\n[0 0 0 0 0 0 0 0 0 0 0 0 0 0 0 0 0 0 0 0 0 0 0 0 0 1 0 0 0 1 1 0 1 0 0 1 0 1 0 0\n    0 1 1 1 0 0 0 1 1 0 1 0 0 1 0 1 1 1 0 1 1 0 1 1 1 0 1 1 0 1 1 0 0 1 1]\n[0 0 0 0 0 0 0 0 0 0 0 0 0 0 0 0 0 0 0 0 0 0 0 0 0 0 1 0 0 0 1 1 0 1 0 0 1 0 1 0\n    0 0 1 1 1 0 0 0 1 1 0 1 0 0 1 0 1 1 1 0 1 1 0 1 1 1 0 1 1 0 1 1 0 1 1]\n[0 0 0 0 0 0 0 0 0 0 0 0 0 0 0 0 0 0 0 0 0 0 0 0 0 0 0 1 0 0 0 1 1 0 1 0 0 1 0 1\n    0 0 0 1 1 1 0 0 0 1 1 0 1 0 0 1 0 1 1 1 0 1 1 0 1 1 1 0 1 1 0 1 1 1 1]\nLinear Code over GF(2) of length 75 with 28 generators.\nLower Bound: 1, Upper Bound: 48\nConstructed 3 distinct generator matrices\nRelative Ranks:  28  28  19 \nTime Taken: 0.00\nStarting search for low weight codewords... (reset timings)\nEnumerating using 1 generator at a time:\n     New codeword identified of weight 24, time 0.00\n     New codeword identified of weight 20, time 0.00\n     Discarding non-contributing rank 19 matrix\n     New Relative Ranks:  28  28 \n   Completed Matrix  1:  lower =  3, upper = 20. Elapsed: 0.00s\n   Completed Matrix  2:  lower =  4, upper = 20. Elapsed: 0.00s\nTermination predicted with 9 generators at matrix 2\nEnumerating using 2 generators at a time:\n     New codeword identified of weight 19, time 0.00\n   Completed Matrix  1:  lower =  5, upper = 19. Elapsed: 0.00s\n   Completed Matrix  2:  lower =  6, upper = 19. Elapsed: 0.00s\nTermination predicted with 9 generators at matrix 1\nEnumerating using 3 generators at a time:\n   Completed Matrix  1:  lower =  7, upper = 19. Elapsed: 0.00s\n   Completed Matrix  2:  lower =  8, upper = 19. Elapsed: 0.00s\nTermination predicted with 9 generators at matrix 1\nEnumerating using 4 generators at a time:\n   Completed Matrix  1:  lower =  9, upper = 19. Elapsed: 0.00s\n   Completed Matrix  2:  lower = 10, upper = 19. Elapsed: 0.00s\nTermination predicted with 9 generators at matrix 1\nEnumerating using 5 generators at a time:\n   Completed Matrix  1:  lower = 11, upper = 19. Elapsed: 0.00s\n   Completed Matrix  2:  lower = 12, upper = 19. Elapsed: 0.00s\nTermination predicted with 9 generators at matrix 1\nEnumerating using 6 generators at a time:\n   Completed Matrix  1:  lower = 13, upper = 19. Elapsed: 0.00s\n   Completed Matrix  2:  lower = 14, upper = 19. Elapsed: 0.00s\nTermination predicted with 9 generators at matrix 1\nEnumerating using 7 generators at a time:\n   Completed Matrix  1:  lower = 15, upper = 19. Elapsed: 0.00s\n   Completed Matrix  2:  lower = 16, upper = 19. Elapsed: 0.00s\nTermination predicted with 9 generators at matrix 1\nEnumerating using 8 generators at a time:\n   Completed Matrix  1:  lower = 17, upper = 19. Elapsed: 0.02s\n   Completed Matrix  2:  lower = 18, upper = 19. Elapsed: 0.02s\nTermination predicted with 9 generators at matrix 1\nEnumerating using 9 generators at a time:\n   Completed Matrix  1:  lower = 19, upper = 19. Elapsed: 0.03s\nComputation complete 16489544 vectors enumerated in total\n (6.142834% of 75 28 code)\nFinal Results: lower = 19, upper = 19,\nTotal CPU time: 0.03, real time: 0.045\n19\n\nTotal time: 0.049 seconds, Total memory usage: 32.09MB\n</t>
  </si>
  <si>
    <t>[[76,40,12]]</t>
  </si>
  <si>
    <t>Magma V2.28-26    Tue Dec 30 2025 09:50:20 on Marks-MacBook-Air-2 [Seed = \n2895537459]\nType ? for help.  Type &lt;Ctrl&gt;-D to quit.\n[0 0 1 1 1 1 1 0 0 1 0 0 1 1 0 0 0 1 1 1 1 1 0 0 0 1 0 1 0 1 1 1 0 1 1 0 0 0 0 0\n    0 0 0 0 0 0 0 0 0 0 0 0 0 0 0 0 0 0 0 0 0 0 0 0 0 0 0 0 0 0 0 0 0 0 0 0]\n[1 1 1 0 0 1 0 0 0 1 0 0 1 0 1 0 0 1 1 1 1 1 0 1 1 1 0 1 1 0 0 0 1 0 0 1 0 1 0 0\n    0 0 0 0 0 0 0 0 0 0 0 0 0 0 0 0 0 0 0 0 0 0 0 0 0 0 0 0 0 0 0 0 0 0 0 0]\n[1 0 1 0 1 0 0 1 1 1 1 1 0 0 1 0 1 0 0 0 0 0 1 1 0 0 1 0 1 0 1 1 0 1 0 0 0 0 1 0\n    0 0 0 0 0 0 0 0 0 0 0 0 0 0 0 0 0 0 0 0 0 0 0 0 0 0 0 0 0 0 0 0 0 0 0 0]\n[0 0 0 0 0 0 0 0 1 0 1 0 1 0 1 1 1 0 0 1 0 1 1 1 0 1 1 1 0 0 1 0 0 1 0 0 0 0 0 1\n    0 0 0 0 0 0 0 0 0 0 0 0 0 0 0 0 0 0 0 0 0 0 0 0 0 0 0 0 0 0 0 0 0 0 0 0]\n[0 1 1 0 1 1 0 1 1 0 1 0 1 1 1 1 0 1 0 0 1 0 0 1 1 1 0 0 1 1 0 0 1 1 0 0 1 0 0 0\n    1 0 0 0 0 0 0 0 0 0 0 0 0 0 0 0 0 0 0 0 0 0 0 0 0 0 0 0 0 0 0 0 0 0 0 0]\n[0 0 1 1 0 0 1 1 0 0 1 1 0 0 1 0 1 1 1 1 0 0 0 0 0 1 1 0 1 1 1 0 1 0 0 0 0 0 0 0\n    0 1 0 0 0 0 0 0 0 0 0 0 0 0 0 0 0 0 0 0 0 0 0 0 0 0 0 0 0 0 0 0 0 0 0 0]\n[0 0 0 0 0 0 1 1 0 1 0 1 1 1 0 0 1 1 1 1 1 1 1 0 1 1 0 1 0 0 0 1 0 0 0 1 1 0 0 0\n    0 0 1 0 0 0 0 0 0 0 0 0 0 0 0 0 0 0 0 0 0 0 0 0 0 0 0 0 0 0 0 0 0 0 0 0]\n[1 0 1 0 1 1 0 1 1 0 1 1 0 0 0 0 0 0 1 0 0 0 0 1 0 1 0 1 0 0 1 1 1 1 0 0 1 0 0 0\n    0 0 0 1 0 0 0 0 0 0 0 0 0 0 0 0 0 0 0 0 0 0 0 0 0 0 0 0 0 0 0 0 0 0 0 0]\n[0 0 0 1 0 1 0 0 0 1 1 1 0 0 0 0 1 0 1 1 0 0 1 0 1 1 1 0 1 0 1 1 0 0 0 0 0 0 0 0\n    0 0 0 0 1 0 0 0 0 0 0 0 0 0 0 0 0 0 0 0 0 0 0 0 0 0 0 0 0 0 0 0 0 0 0 0]\n[1 0 0 1 1 0 0 1 0 1 0 0 0 1 1 1 0 1 0 1 1 0 0 0 0 0 1 0 0 1 0 0 0 0 0 1 1 0 0 0\n    0 0 0 0 0 1 0 0 0 0 0 0 0 0 0 0 0 0 0 0 0 0 0 0 0 0 0 0 0 0 0 0 0 0 0 0]\n[0 0 0 0 0 1 0 0 1 1 1 0 1 1 1 0 1 1 0 1 0 1 0 0 0 0 0 0 1 1 0 0 0 1 0 1 0 0 0 0\n    0 0 0 0 0 0 1 0 0 0 0 0 0 0 0 0 0 0 0 0 0 0 0 0 0 0 0 0 0 0 0 0 0 0 0 0]\n[1 1 0 0 0 0 1 0 1 1 1 0 0 1 0 0 1 0 1 1 1 1 1 1 0 1 0 1 0 0 1 0 1 1 0 1 1 0 0 0\n    0 0 0 0 0 0 0 1 0 0 0 0 0 0 0 0 0 0 0 0 0 0 0 0 0 0 0 0 0 0 0 0 0 0 0 0]\n[1 0 1 1 1 1 0 1 0 1 0 1 0 1 0 0 1 0 0 1 0 0 0 0 0 0 1 0 1 1 0 0 1 0 0 1 1 0 0 0\n    0 0 0 0 0 0 0 0 1 0 0 0 0 0 0 0 0 0 0 0 0 0 0 0 0 0 0 0 0 0 0 0 0 0 0 0]\n[1 0 1 0 0 0 1 1 1 1 1 0 1 1 0 1 0 1 1 1 1 1 0 1 1 1 0 1 0 1 1 0 1 1 0 0 0 0 0 0\n    0 0 0 0 0 0 0 0 0 1 0 0 0 0 0 0 0 0 0 0 0 0 0 0 0 0 0 0 0 0 0 0 0 0 0 0]\n[1 1 0 0 1 1 0 0 0 0 1 0 0 0 1 0 0 0 0 1 1 1 0 1 1 0 0 1 1 0 1 1 1 0 0 0 1 0 0 0\n    0 0 0 0 0 0 0 0 0 0 1 0 0 0 0 0 0 0 0 0 0 0 0 0 0 0 0 0 0 0 0 0 0 0 0 0]\n[0 1 0 1 0 0 0 0 1 0 0 0 1 1 0 1 0 0 1 1 1 1 0 1 1 1 0 1 1 0 1 0 0 0 0 1 0 0 0 0\n    0 0 0 0 0 0 0 0 0 0 0 1 0 0 0 0 0 0 0 0 0 0 0 0 0 0 0 0 0 0 0 0 0 0 0 0]\n[0 1 1 1 1 0 1 0 1 0 0 0 1 1 1 1 0 1 0 0 1 1 1 1 1 0 0 1 1 1 1 1 1 1 0 1 1 0 0 0\n    0 0 0 0 0 0 0 0 0 0 0 0 1 0 0 0 0 0 0 0 0 0 0 0 0 0 0 0 0 0 0 0 0 0 0 0]\n[1 1 1 0 0 0 1 0 0 0 1 1 0 1 0 0 0 1 1 1 0 0 1 0 1 0 1 1 1 0 1 0 0 0 0 1 0 0 0 0\n    0 0 0 0 0 0 0 0 0 0 0 0 0 1 0 0 0 0 0 0 0 0 0 0 0 0 0 0 0 0 0 0 0 0 0 0]\n[1 1 1 1 0 0 1 1 1 0 1 1 1 1 0 1 0 0 1 1 1 1 1 0 1 0 1 0 0 1 0 0 1 0 0 1 1 0 0 0\n    0 0 0 0 0 0 0 0 0 0 0 0 0 0 1 0 0 0 0 0 0 0 0 0 0 0 0 0 0 0 0 0 0 0 0 0]\n[0 1 0 1 0 0 0 0 0 1 1 1 1 0 1 1 0 1 1 0 1 0 0 1 0 0 0 0 0 0 1 0 1 1 0 0 0 0 0 0\n    0 0 0 0 0 0 0 0 0 0 0 0 0 0 0 1 0 0 0 0 0 0 0 0 0 0 0 0 0 0 0 0 0 0 0 0]\n[0 1 1 0 0 0 0 1 0 1 0 1 0 0 1 0 1 1 1 1 0 0 1 1 1 1 0 0 0 0 1 0 1 1 0 0 0 0 0 0\n    0 0 0 0 0 0 0 0 0 0 0 0 0 0 0 0 1 0 0 0 0 0 0 0 0 0 0 0 0 0 0 0 0 0 0 0]\n[1 1 1 1 1 0 1 0 1 0 0 0 0 0 0 0 1 1 0 0 1 1 0 0 0 1 1 0 0 1 1 0 1 0 0 0 1 0 0 0\n    0 0 0 0 0 0 0 0 0 0 0 0 0 0 0 0 0 1 0 0 0 0 0 0 0 0 0 0 0 0 0 0 0 0 0 0]\n[1 0 1 0 1 0 1 1 0 0 0 1 1 1 0 0 1 1 1 0 1 1 0 1 0 1 0 0 0 0 0 0 1 1 0 0 0 0 0 0\n    0 0 0 0 0 0 0 0 0 0 0 0 0 0 0 0 0 0 1 0 0 0 0 0 0 0 0 0 0 0 0 0 0 0 0 0]\n[1 0 1 0 1 1 0 0 1 0 1 1 1 0 0 0 0 0 0 0 0 1 1 0 0 0 1 1 0 1 0 1 1 1 0 1 0 0 0 0\n    0 0 0 0 0 0 0 0 0 0 0 0 0 0 0 0 0 0 0 1 0 0 0 0 0 0 0 0 0 0 0 0 0 0 0 0]\n[1 0 0 0 1 1 1 0 0 1 1 0 0 1 0 0 1 0 0 1 0 1 0 0 0 0 1 0 0 1 1 0 1 0 0 0 1 0 0 0\n    0 0 0 0 0 0 0 0 0 0 0 0 0 0 0 0 0 0 0 0 1 0 0 0 0 0 0 0 0 0 0 0 0 0 0 0]\n[0 0 1 0 0 0 1 1 1 0 0 0 0 0 0 0 0 1 0 0 1 0 1 0 0 1 1 1 0 0 1 1 1 0 0 0 0 0 0 0\n    0 0 0 0 0 0 0 0 0 0 0 0 0 0 0 0 0 0 0 0 0 1 0 0 0 0 0 0 0 0 0 0 0 0 0 0]\n[1 0 1 1 0 0 1 0 1 1 0 1 0 0 0 0 1 0 0 0 0 1 1 0 0 1 0 1 1 1 0 0 0 1 0 0 0 0 0 0\n    0 0 0 0 0 0 0 0 0 0 0 0 0 0 0 0 0 0 0 0 0 0 1 0 0 0 0 0 0 0 0 0 0 0 0 0]\n[1 0 1 1 0 1 0 0 1 1 0 1 1 0 0 0 1 0 0 0 0 1 1 0 1 0 0 1 0 0 1 1 0 0 0 1 1 0 0 0\n    0 0 0 0 0 0 0 0 0 0 0 0 0 0 0 0 0 0 0 0 0 0 0 1 0 0 0 0 0 0 0 0 0 0 0 0]\n[1 0 0 0 1 0 1 1 0 1 0 0 1 0 0 1 1 0 0 1 0 0 1 1 0 0 0 0 1 1 1 0 1 0 0 1 1 0 0 0\n    0 0 0 0 0 0 0 0 0 0 0 0 0 0 0 0 0 0 0 0 0 0 0 0 1 0 0 0 0 0 0 0 0 0 0 0]\n[1 1 1 1 1 0 0 1 1 1 1 0 0 0 1 0 1 1 0 1 1 1 1 0 1 1 0 1 1 1 0 0 0 0 0 1 1 0 0 0\n    0 0 0 0 0 0 0 0 0 0 0 0 0 0 0 0 0 0 0 0 0 0 0 0 0 1 0 0 0 0 0 0 0 0 0 0]\n[0 0 0 1 1 0 0 0 0 0 0 1 0 1 1 0 0 0 0 0 1 0 1 0 1 0 0 1 1 1 0 1 0 0 0 0 1 0 0 0\n    0 0 0 0 0 0 0 0 0 0 0 0 0 0 0 0 0 0 0 0 0 0 0 0 0 0 1 0 0 0 0 0 0 0 0 0]\n[0 1 1 0 0 0 0 0 1 1 1 0 0 1 1 0 0 0 0 0 1 1 1 1 0 1 0 0 0 1 1 1 0 1 0 0 1 0 0 0\n    0 0 0 0 0 0 0 0 0 0 0 0 0 0 0 0 0 0 0 0 0 0 0 0 0 0 0 1 0 0 0 0 0 0 0 0]\n[0 1 0 1 1 0 1 1 0 0 1 1 0 1 1 1 0 0 0 0 1 1 1 0 0 1 0 1 0 0 1 0 0 1 0 1 1 0 0 0\n    0 0 0 0 0 0 0 0 0 0 0 0 0 0 0 0 0 0 0 0 0 0 0 0 0 0 0 0 1 0 0 0 0 0 0 0]\n[0 0 1 0 0 1 0 1 0 0 0 1 0 1 0 1 1 0 1 1 1 1 0 1 0 0 0 0 1 0 1 0 0 1 0 1 1 0 0 0\n    0 0 0 0 0 0 0 0 0 0 0 0 0 0 0 0 0 0 0 0 0 0 0 0 0 0 0 0 0 1 0 0 0 0 0 0]\n[0 1 0 1 1 1 0 1 0 0 0 1 0 1 0 1 0 0 1 0 0 1 1 0 0 0 1 1 1 0 1 1 0 1 0 1 1 0 0 0\n    0 0 0 0 0 0 0 0 0 0 0 0 0 0 0 0 0 0 0 0 0 0 0 0 0 0 0 0 0 0 1 0 0 0 0 0]\n[1 1 0 0 0 1 1 0 0 0 0 1 1 0 1 1 1 1 0 1 1 1 1 1 1 1 0 1 0 1 0 0 1 1 0 0 0 0 0 0\n    0 0 0 0 0 0 0 0 0 0 0 0 0 0 0 0 0 0 0 0 0 0 0 0 0 0 0 0 0 0 0 1 0 0 0 0]\n[0 0 1 0 0 0 0 0 0 0 1 1 0 0 1 1 1 1 1 1 0 0 0 1 0 1 0 1 1 0 0 0 1 0 0 0 1 0 0 0\n    0 0 0 0 0 0 0 0 0 0 0 0 0 0 0 0 0 0 0 0 0 0 0 0 0 0 0 0 0 0 0 0 1 0 0 0]\n[0 1 1 0 0 0 0 1 0 0 0 0 0 0 1 0 1 1 0 0 0 1 1 0 1 0 1 0 0 0 1 0 0 1 0 1 0 0 0 0\n    0 0 0 0 0 0 0 0 0 0 0 0 0 0 0 0 0 0 0 0 0 0 0 0 0 0 0 0 0 0 0 0 0 1 0 0]\n[0 0 0 0 1 1 1 0 0 1 1 0 1 0 0 0 0 1 1 0 0 0 0 1 1 0 1 0 0 0 0 1 0 1 0 1 1 0 0 0\n    0 0 0 0 0 0 0 0 0 0 0 0 0 0 0 0 0 0 0 0 0 0 0 0 0 0 0 0 0 0 0 0 0 0 1 0]\n[0 1 1 0 1 1 1 0 0 0 0 1 1 1 0 1 0 0 1 0 0 1 0 0 1 0 0 1 1 0 0 1 0 0 0 1 1 0 0 0\n    0 0 0 0 0 0 0 0 0 0 0 0 0 0 0 0 0 0 0 0 0 0 0 0 0 0 0 0 0 0 0 0 0 0 0 1]\n[76, 40] Linear Code over GF(2)\nGenerator matrix:\n[1 0 0 0 0 0 0 0 0 0 0 0 0 0 0 0 0 0 0 0 0 0 0 0 0 0 0 0 0 0 0 0 0 0 0 0 0 0 0 1\n    0 0 0 0 1 0 0 1 0 0 1 0 0 0 1 1 0 1 1 0 0 0 0 0 1 0 0 0 0 1 0 1 0 0 0 0]\n[0 1 0 0 0 0 0 0 0 0 0 0 0 0 0 0 0 0 0 0 0 0 0 0 0 0 0 0 0 0 0 0 0 0 0 0 0 0 0 1\n    0 0 0 0 1 1 0 0 1 1 0 0 0 0 1 1 0 1 0 1 1 0 1 1 0 0 0 1 1 0 1 1 0 0 1 0]\n[0 0 1 0 0 0 0 0 0 0 0 0 0 0 0 0 0 0 0 0 0 0 0 0 0 0 0 0 0 0 0 0 0 0 0 0 0 0 0 0\n    0 1 0 0 0 1 1 0 0 1 0 0 1 1 0 0 0 1 0 0 0 1 1 1 0 1 1 0 1 1 1 1 0 0 0 1]\n[0 0 0 1 0 0 0 0 0 0 0 0 0 0 0 0 0 0 0 0 0 0 0 0 0 0 0 0 0 0 0 0 0 0 0 0 0 0 0 0\n    0 1 0 0 1 0 1 0 1 1 0 0 0 0 1 1 0 0 1 1 0 1 0 1 1 0 0 0 0 0 1 1 0 0 1 0]\n[0 0 0 0 1 0 0 0 0 0 0 0 0 0 0 0 0 0 0 0 0 0 0 0 0 0 0 0 0 0 0 0 0 0 0 0 0 0 0 1\n    0 1 0 0 1 1 1 1 0 0 0 0 0 0 0 1 1 1 0 0 1 0 1 0 0 0 0 1 0 0 0 1 1 1 1 1]\n[0 0 0 0 0 1 0 0 0 0 0 0 0 0 0 0 0 0 0 0 0 0 0 0 0 0 0 0 0 0 0 0 0 0 0 0 0 0 0 0\n    1 1 0 0 0 1 1 0 1 1 0 0 0 1 0 1 1 1 0 1 0 0 1 0 0 1 1 1 0 0 0 0 0 1 1 0]\n[0 0 0 0 0 0 1 0 0 0 0 0 0 0 0 0 0 0 0 0 0 0 0 0 0 0 0 0 0 0 0 0 0 0 0 0 0 0 0 0\n    0 0 0 1 1 1 0 0 0 0 1 0 0 1 1 1 0 0 1 1 0 1 1 0 1 1 0 0 0 1 0 0 0 0 0 1]\n[0 0 0 0 0 0 0 1 0 0 0 0 0 0 0 0 0 0 0 0 0 0 0 0 0 0 0 0 0 0 0 0 0 0 0 0 0 0 0 1\n    1 0 0 0 1 1 1 1 0 0 1 1 1 0 0 0 0 0 1 1 0 1 0 1 1 0 0 1 0 0 1 1 1 1 1 1]\n[0 0 0 0 0 0 0 0 1 0 0 0 0 0 0 0 0 0 0 0 0 0 0 0 0 0 0 0 0 0 0 0 0 0 0 0 0 0 0 1\n    1 0 0 0 1 0 0 0 1 1 0 1 1 1 1 1 0 1 0 0 1 0 1 0 0 1 1 0 0 1 0 0 0 0 1 0]\n[0 0 0 0 0 0 0 0 0 1 0 0 0 0 0 0 0 0 0 0 0 0 0 0 0 0 0 0 0 0 0 0 0 0 0 0 0 0 0 0\n    0 0 0 1 0 1 1 0 0 1 0 1 1 0 1 0 1 0 1 0 0 0 1 0 0 1 0 0 1 1 1 1 1 0 1 0]\n[0 0 0 0 0 0 0 0 0 0 1 0 0 0 0 0 0 0 0 0 0 0 0 0 0 0 0 0 0 0 0 0 0 0 0 0 0 0 0 1\n    0 1 0 0 0 0 0 0 1 1 0 1 0 0 1 0 1 0 1 1 0 1 1 1 1 0 1 0 1 1 0 0 1 0 0 0]\n[0 0 0 0 0 0 0 0 0 0 0 1 0 0 0 0 0 0 0 0 0 0 0 0 0 0 0 0 0 0 0 0 0 0 0 0 0 0 0 0\n    0 1 0 1 0 0 1 1 1 1 0 0 0 1 1 0 1 0 1 0 1 0 1 1 0 0 0 1 1 0 0 0 1 0 1 0]\n[0 0 0 0 0 0 0 0 0 0 0 0 1 0 0 0 0 0 0 0 0 0 0 0 0 0 0 0 0 0 0 0 0 0 0 0 0 0 0 0\n    1 1 0 1 0 1 0 0 1 0 0 0 0 0 1 1 0 0 1 0 1 1 1 1 1 0 1 0 0 0 0 1 1 1 1 1]\n[0 0 0 0 0 0 0 0 0 0 0 0 0 1 0 0 0 0 0 0 0 0 0 0 0 0 0 0 0 0 0 0 0 0 0 0 0 0 0 1\n    1 0 0 0 0 1 1 0 1 0 1 1 1 0 0 0 0 1 1 0 0 1 0 1 0 0 0 0 1 1 1 0 1 0 0 1]\n[0 0 0 0 0 0 0 0 0 0 0 0 0 0 1 0 0 0 0 0 0 0 0 0 0 0 0 0 0 0 0 0 0 0 0 0 0 0 0 1\n    0 1 0 1 1 1 1 0 0 1 0 0 0 0 1 0 1 1 0 0 1 1 1 0 0 1 0 1 1 0 0 0 0 1 1 1]\n[0 0 0 0 0 0 0 0 0 0 0 0 0 0 0 1 0 0 0 0 0 0 0 0 0 0 0 0 0 0 0 0 0 0 0 0 0 0 0 0\n    0 0 0 0 0 0 0 1 0 0 0 1 1 0 1 1 1 1 1 0 0 0 0 0 1 0 0 1 0 1 1 1 1 0 1 0]\n[0 0 0 0 0 0 0 0 0 0 0 0 0 0 0 0 1 0 0 0 0 0 0 0 0 0 0 0 0 0 0 0 0 0 0 0 0 0 0 1\n    1 0 0 1 1 0 1 0 1 1 1 0 1 0 1 0 0 1 0 0 1 1 0 1 0 0 0 0 1 0 1 0 0 0 0 1]\n[0 0 0 0 0 0 0 0 0 0 0 0 0 0 0 0 0 1 0 0 0 0 0 0 0 0 0 0 0 0 0 0 0 0 0 0 0 0 0 0\n    1 1 0 0 1 0 1 0 0 1 0 0 1 0 0 0 1 1 1 0 1 1 0 1 1 0 1 1 1 1 1 0 0 0 0 1]\n[0 0 0 0 0 0 0 0 0 0 0 0 0 0 0 0 0 0 1 0 0 0 0 0 0 0 0 0 0 0 0 0 0 0 0 0 0 0 0 0\n    1 0 0 1 1 0 1 1 1 0 0 0 1 1 0 0 1 0 1 1 1 0 0 0 1 1 0 1 0 1 0 1 1 0 1 0]\n[0 0 0 0 0 0 0 0 0 0 0 0 0 0 0 0 0 0 0 1 0 0 0 0 0 0 0 0 0 0 0 0 0 0 0 0 0 0 0 1\n    1 1 0 1 0 0 1 1 1 0 1 0 1 1 1 0 0 0 1 0 1 1 0 1 0 0 1 1 1 1 1 1 0 0 0 0]\n[0 0 0 0 0 0 0 0 0 0 0 0 0 0 0 0 0 0 0 0 1 0 0 0 0 0 0 0 0 0 0 0 0 0 0 0 0 0 0 0\n    1 0 0 0 1 0 1 1 0 1 1 1 1 1 0 0 0 1 1 1 0 1 0 0 0 0 0 1 0 0 0 1 0 0 1 1]\n[0 0 0 0 0 0 0 0 0 0 0 0 0 0 0 0 0 0 0 0 0 1 0 0 0 0 0 0 0 0 0 0 0 0 0 0 0 0 0 1\n    1 0 0 1 0 0 1 1 0 0 1 1 0 1 0 1 1 1 0 0 1 0 0 0 1 0 1 1 1 0 1 1 0 0 1 0]\n[0 0 0 0 0 0 0 0 0 0 0 0 0 0 0 0 0 0 0 0 0 0 1 0 0 0 0 0 0 0 0 0 0 0 0 0 0 0 0 1\n    0 0 0 0 1 0 0 0 0 0 0 0 0 1 0 1 0 0 0 1 0 1 1 1 1 0 1 1 1 0 0 1 1 1 0 0]\n[0 0 0 0 0 0 0 0 0 0 0 0 0 0 0 0 0 0 0 0 0 0 0 1 0 0 0 0 0 0 0 0 0 0 0 0 0 0 0 0\n    1 1 0 0 0 0 1 0 0 0 1 1 1 0 0 1 1 1 1 0 0 0 0 1 1 1 0 1 1 0 0 0 1 1 1 1]\n[0 0 0 0 0 0 0 0 0 0 0 0 0 0 0 0 0 0 0 0 0 0 0 0 1 0 0 0 0 0 0 0 0 0 0 0 0 0 0 0\n    1 1 0 1 0 0 0 0 0 0 1 1 1 1 0 1 1 0 0 0 0 0 0 1 1 1 1 0 0 1 1 0 0 0 1 1]\n[0 0 0 0 0 0 0 0 0 0 0 0 0 0 0 0 0 0 0 0 0 0 0 0 0 1 0 0 0 0 0 0 0 0 0 0 0 0 0 1\n    0 0 0 0 1 1 0 0 1 1 1 1 1 1 0 0 0 0 1 1 1 1 0 1 1 0 0 1 1 1 1 0 1 1 0 0]\n[0 0 0 0 0 0 0 0 0 0 0 0 0 0 0 0 0 0 0 0 0 0 0 0 0 0 1 0 0 0 0 0 0 0 0 0 0 0 0 0\n    0 1 0 0 0 0 1 1 0 0 0 0 1 1 0 1 0 0 1 0 0 1 1 1 1 0 1 0 0 0 0 0 1 0 0 0]\n[0 0 0 0 0 0 0 0 0 0 0 0 0 0 0 0 0 0 0 0 0 0 0 0 0 0 0 1 0 0 0 0 0 0 0 0 0 0 0 1\n    1 1 0 0 1 1 0 0 0 1 0 0 1 1 0 1 0 1 0 1 0 1 1 1 1 0 0 1 0 0 0 0 1 0 0 0]\n[0 0 0 0 0 0 0 0 0 0 0 0 0 0 0 0 0 0 0 0 0 0 0 0 0 0 0 0 1 0 0 0 0 0 0 0 0 0 0 1\n    0 1 0 1 0 0 1 1 0 1 1 1 1 0 1 0 0 0 1 1 1 0 1 0 0 0 1 0 0 1 0 1 1 0 1 0]\n[0 0 0 0 0 0 0 0 0 0 0 0 0 0 0 0 0 0 0 0 0 0 0 0 0 0 0 0 0 1 0 0 0 0 0 0 0 0 0 0\n    1 1 0 0 1 0 0 1 1 1 0 0 0 1 0 1 0 0 0 0 1 1 1 0 0 1 1 0 0 0 1 1 1 1 0 0]\n[0 0 0 0 0 0 0 0 0 0 0 0 0 0 0 0 0 0 0 0 0 0 0 0 0 0 0 0 0 0 1 0 0 0 0 0 0 0 0 0\n    0 1 0 1 1 1 1 1 0 0 1 1 1 0 1 0 0 1 0 0 0 1 1 0 0 0 1 1 1 0 0 1 1 0 0 1]\n[0 0 0 0 0 0 0 0 0 0 0 0 0 0 0 0 0 0 0 0 0 0 0 0 0 0 0 0 0 0 0 1 0 0 0 0 0 0 0 0\n    1 1 0 0 1 0 0 0 0 0 0 0 1 0 0 1 0 1 1 1 0 0 0 1 1 0 0 1 0 1 0 1 1 1 1 1]\n[0 0 0 0 0 0 0 0 0 0 0 0 0 0 0 0 0 0 0 0 0 0 0 0 0 0 0 0 0 0 0 0 1 0 0 0 0 0 0 1\n    0 0 0 0 0 0 0 0 0 0 1 1 0 0 1 0 1 1 1 1 1 1 1 0 0 1 0 0 1 0 0 0 1 0 0 1]\n[0 0 0 0 0 0 0 0 0 0 0 0 0 0 0 0 0 0 0 0 0 0 0 0 0 0 0 0 0 0 0 0 0 1 0 0 0 0 0 0\n    1 0 0 0 1 1 1 1 0 0 0 1 1 1 0 0 1 0 1 0 1 0 0 1 1 1 0 1 1 1 1 0 1 1 0 1]\n[0 0 0 0 0 0 0 0 0 0 0 0 0 0 0 0 0 0 0 0 0 0 0 0 0 0 0 0 0 0 0 0 0 0 1 0 0 0 0 0\n    0 1 0 1 0 1 1 0 0 1 1 1 0 1 0 1 1 0 0 0 1 0 1 0 0 1 0 0 1 0 0 0 1 1 1 0]\n[0 0 0 0 0 0 0 0 0 0 0 0 0 0 0 0 0 0 0 0 0 0 0 0 0 0 0 0 0 0 0 0 0 0 0 1 0 0 0 0\n    0 0 0 1 0 0 1 1 0 1 1 1 0 0 0 1 1 1 0 1 0 0 0 1 1 0 1 0 1 0 0 0 1 1 1 0]\n[0 0 0 0 0 0 0 0 0 0 0 0 0 0 0 0 0 0 0 0 0 0 0 0 0 0 0 0 0 0 0 0 0 0 0 0 1 0 0 0\n    0 1 0 0 0 0 1 1 0 1 0 0 0 0 0 1 0 0 0 0 1 1 1 1 1 1 1 1 0 0 0 1 0 1 0 0]\n[0 0 0 0 0 0 0 0 0 0 0 0 0 0 0 0 0 0 0 0 0 0 0 0 0 0 0 0 0 0 0 0 0 0 0 0 0 1 0 1\n    0 0 0 1 0 0 0 1 0 1 0 1 1 1 0 1 0 0 1 1 0 1 1 0 0 0 1 1 1 1 0 0 1 0 0 0]\n[0 0 0 0 0 0 0 0 0 0 0 0 0 0 0 0 0 0 0 0 0 0 0 0 0 0 0 0 0 0 0 0 0 0 0 0 0 0 1 1\n    0 0 0 0 0 1 0 0 0 0 0 0 1 0 1 1 1 1 0 1 1 0 1 0 0 0 1 1 0 0 1 1 0 1 1 1]\n[0 0 0 0 0 0 0 0 0 0 0 0 0 0 0 0 0 0 0 0 0 0 0 0 0 0 0 0 0 0 0 0 0 0 0 0 0 0 0 0\n    0 0 1 0 0 1 0 0 1 1 0 0 0 0 0 1 1 0 0 1 1 0 1 0 1 1 0 0 0 1 1 0 1 1 0 1]\nLinear Code over GF(2) of length 76 with 40 generators.\nLower Bound: 1, Upper Bound: 37\nUsing congruence d mod 2 = 0\nConstructed 2 distinct generator matrices\nRelative Ranks:  40  36 \nTime Taken: 0.00\nStarting search for low weight codewords... (reset timings)\nEnumerating using 1 generator at a time:\n     New codeword identified of weight 12, time 0.00\n   Completed Matrix  1:  lower =  2, upper = 12. Elapsed: 0.00s\n   Completed Matrix  2:  lower =  2, upper = 12. Elapsed: 0.00s\nTermination predicted with 7 generators at matrix 1\nEnumerating using 2 generators at a time:\n   Completed Matrix  1:  lower =  4, upper = 12. Elapsed: 0.00s\n   Completed Matrix  2:  lower =  4, upper = 12. Elapsed: 0.00s\nTermination predicted with 7 generators at matrix 1\nEnumerating using 3 generators at a time:\n   Completed Matrix  1:  lower =  4, upper = 12. Elapsed: 0.00s\n   Completed Matrix  2:  lower =  4, upper = 12. Elapsed: 0.00s\nTermination predicted with 7 generators at matrix 1\nEnumerating using 4 generators at a time:\n   Completed Matrix  1:  lower =  6, upper = 12. Elapsed: 0.00s\n   Completed Matrix  2:  lower =  6, upper = 12. Elapsed: 0.00s\nTermination predicted with 7 generators at matrix 1\nEnumerating using 5 generators at a time:\n   Completed Matrix  1:  lower =  8, upper = 12. Elapsed: 0.00s\n   Completed Matrix  2:  lower =  8, upper = 12. Elapsed: 0.00s\nTermination predicted with 7 generators at matrix 1\nEnumerating using 6 generators at a time:\n   Completed Matrix  1:  lower = 10, upper = 12. Elapsed: 0.00s\n   Completed Matrix  2:  lower = 10, upper = 12. Elapsed: 0.02s\nTermination predicted with 7 generators at matrix 1\nEnumerating using 7 generators at a time:\n   Completed Matrix  1:  lower = 12, upper = 12. Elapsed: 0.06s\nComputation complete 27840516 vectors enumerated in total\n (0.002532% of 76 40 code)\nFinal Results: lower = 12, upper = 12,\nTotal CPU time: 0.06, real time: 0.059\n12\n\nTotal time: 0.070 seconds, Total memory usage: 32.09MB\n</t>
  </si>
  <si>
    <t>[[77,40,13]]</t>
  </si>
  <si>
    <t>Magma V2.28-26    Tue Dec 30 2025 09:50:20 on Marks-MacBook-Air-2 [Seed = \n3062660905]\nType ? for help.  Type &lt;Ctrl&gt;-D to quit.\n[0 1 1 0 0 0 1 1 1 0 1 1 1 1 0 0 1 1 1 1 0 1 0 1 1 0 1 0 0 0 0 0 1 1 0 1 1 1 0 0\n    0 0 0 0 0 0 0 0 0 0 0 0 0 0 0 0 0 0 0 0 0 0 0 0 0 0 0 0 0 0 0 0 0 0 0 0 0]\n[0 1 0 1 0 0 1 0 0 1 1 0 0 0 1 0 1 0 0 0 1 1 1 1 0 1 1 1 0 0 0 0 1 0 1 1 0 0 1 0\n    0 0 0 0 0 0 0 0 0 0 0 0 0 0 0 0 0 0 0 0 0 0 0 0 0 0 0 0 0 0 0 0 0 0 0 0 0]\n[1 0 1 0 1 0 0 1 0 0 1 1 0 0 0 1 0 1 0 0 0 1 1 1 1 0 1 1 1 0 0 0 0 1 0 1 1 0 0 1\n    0 0 0 0 0 0 0 0 0 0 0 0 0 0 0 0 0 0 0 0 0 0 0 0 0 0 0 0 0 0 0 0 0 0 0 0 0]\n[1 0 1 1 0 1 1 1 0 0 1 0 0 1 0 0 0 1 0 1 0 1 1 0 0 1 1 1 1 1 0 0 1 1 1 1 0 0 0 0\n    1 0 0 0 0 0 0 0 0 0 0 0 0 0 0 0 0 0 0 0 0 0 0 0 0 0 0 0 0 0 0 0 0 0 0 0 0]\n[0 1 0 1 1 0 1 1 1 0 0 1 0 0 1 0 0 0 1 0 1 0 1 1 0 0 1 1 1 1 1 0 0 1 1 1 1 0 0 0\n    0 1 0 0 0 0 0 0 0 0 0 0 0 0 0 0 0 0 0 0 0 0 0 0 0 0 0 0 0 0 0 0 0 0 0 0 0]\n[1 1 0 0 1 1 1 0 0 1 1 1 0 1 0 1 1 1 1 0 0 0 0 0 0 0 1 1 1 1 1 1 1 1 1 0 0 0 0 0\n    0 0 1 0 0 0 0 0 0 0 0 0 0 0 0 0 0 0 0 0 0 0 0 0 0 0 0 0 0 0 0 0 0 0 0 0 0]\n[0 1 1 0 0 1 1 1 0 0 1 1 1 0 1 0 1 1 1 1 0 0 0 0 0 0 0 1 1 1 1 1 1 1 1 1 0 0 0 0\n    0 0 0 1 0 0 0 0 0 0 0 0 0 0 0 0 0 0 0 0 0 0 0 0 0 0 0 0 0 0 0 0 0 0 0 0 0]\n[1 0 1 1 0 0 1 1 1 0 0 1 1 1 0 1 0 1 1 1 1 0 0 0 0 0 0 0 1 1 1 1 1 1 1 1 1 0 0 0\n    0 0 0 0 1 0 0 0 0 0 0 0 0 0 0 0 0 0 0 0 0 0 0 0 0 0 0 0 0 0 0 0 0 0 0 0 0]\n[0 0 1 1 1 0 1 0 0 1 1 1 0 0 1 0 0 1 0 0 1 0 0 1 1 0 1 0 0 1 1 1 0 0 1 0 0 0 0 0\n    0 0 0 0 0 1 0 0 0 0 0 0 0 0 0 0 0 0 0 0 0 0 0 0 0 0 0 0 0 0 0 0 0 0 0 0 0]\n[0 0 0 1 1 1 0 1 0 0 1 1 1 0 0 1 0 0 1 0 0 1 0 0 1 1 0 1 0 0 1 1 1 0 0 1 0 0 0 0\n    0 0 0 0 0 0 1 0 0 0 0 0 0 0 0 0 0 0 0 0 0 0 0 0 0 0 0 0 0 0 0 0 0 0 0 0 0]\n[1 0 0 0 1 1 1 0 1 0 0 1 1 1 0 0 1 0 0 1 0 0 1 0 0 1 1 0 1 0 0 1 1 1 0 0 1 0 0 0\n    0 0 0 0 0 0 0 1 0 0 0 0 0 0 0 0 0 0 0 0 0 0 0 0 0 0 0 0 0 0 0 0 0 0 0 0 0]\n[0 0 1 0 0 1 0 0 1 1 1 1 0 0 1 0 1 0 1 1 1 1 0 0 1 0 0 1 0 1 0 0 0 0 1 1 1 0 0 0\n    0 0 0 0 0 0 0 0 1 0 0 0 0 0 0 0 0 0 0 0 0 0 0 0 0 0 0 0 0 0 0 0 0 0 0 0 0]\n[0 1 1 1 0 0 0 1 1 1 0 0 0 1 0 1 1 0 1 0 1 0 1 1 1 1 1 0 1 0 1 0 1 1 0 0 0 0 0 0\n    0 0 0 0 0 0 0 0 0 1 0 0 0 0 0 0 0 0 0 0 0 0 0 0 0 0 0 0 0 0 0 0 0 0 0 0 0]\n[1 0 1 1 1 0 0 0 1 1 1 0 0 0 1 0 1 1 0 1 0 1 0 1 1 1 1 1 0 1 0 1 0 1 1 0 0 0 0 0\n    0 0 0 0 0 0 0 0 0 0 1 0 0 0 0 0 0 0 0 0 0 0 0 0 0 0 0 0 0 0 0 0 0 0 0 0 0]\n[1 1 0 1 1 1 0 0 0 1 1 1 0 0 0 1 0 1 1 0 1 0 1 0 1 1 1 1 1 0 1 0 1 0 1 1 0 0 0 0\n    0 0 0 0 0 0 0 0 0 0 0 1 0 0 0 0 0 0 0 0 0 0 0 0 0 0 0 0 0 0 0 0 0 0 0 0 0]\n[0 1 1 0 1 1 1 0 0 0 1 1 1 0 0 0 1 0 1 1 0 1 0 1 0 1 1 1 1 1 0 1 0 1 0 1 1 0 0 0\n    0 0 0 0 0 0 0 0 0 0 0 0 1 0 0 0 0 0 0 0 0 0 0 0 0 0 0 0 0 0 0 0 0 0 0 0 0]\n[0 1 0 1 0 1 0 0 1 0 1 0 0 0 0 0 1 0 1 0 1 1 1 1 0 0 0 1 1 1 1 0 0 1 1 1 0 0 0 0\n    0 0 0 0 0 0 0 0 0 0 0 0 0 1 0 0 0 0 0 0 0 0 0 0 0 0 0 0 0 0 0 0 0 0 0 0 0]\n[0 0 1 0 1 0 1 0 0 1 0 1 0 0 0 0 0 1 0 1 0 1 1 1 1 0 0 0 1 1 1 1 0 0 1 1 1 0 0 0\n    0 0 0 0 0 0 0 0 0 0 0 0 0 0 1 0 0 0 0 0 0 0 0 0 0 0 0 0 0 0 0 0 0 0 0 0 0]\n[1 1 1 1 0 1 1 0 1 0 0 1 0 1 0 0 1 1 0 1 1 1 1 0 0 1 1 0 0 1 1 1 0 1 0 0 0 0 0 0\n    0 0 0 0 0 0 0 0 0 0 0 0 0 0 0 1 0 0 0 0 0 0 0 0 0 0 0 0 0 0 0 0 0 0 0 0 0]\n[0 1 1 1 1 0 1 1 0 1 0 0 1 0 1 0 0 1 1 0 1 1 1 1 0 0 1 1 0 0 1 1 1 0 1 0 0 0 0 0\n    0 0 0 0 0 0 0 0 0 0 0 0 0 0 0 0 1 0 0 0 0 0 0 0 0 0 0 0 0 0 0 0 0 0 0 0 0]\n[1 0 1 1 1 1 0 1 1 0 1 0 0 1 0 1 0 0 1 1 0 1 1 1 1 0 0 1 1 0 0 1 1 1 0 1 0 0 0 0\n    0 0 0 0 0 0 0 0 0 0 0 0 0 0 0 0 0 1 0 0 0 0 0 0 0 0 0 0 0 0 0 0 0 0 0 0 0]\n[0 1 0 1 1 1 1 0 1 1 0 1 0 0 1 0 1 0 0 1 1 0 1 1 1 1 0 0 1 1 0 0 1 1 1 0 1 0 0 0\n    0 0 0 0 0 0 0 0 0 0 0 0 0 0 0 0 0 0 1 0 0 0 0 0 0 0 0 0 0 0 0 0 0 0 0 0 0]\n[0 1 0 0 1 1 0 0 1 1 0 1 0 1 0 1 1 0 1 1 1 0 0 0 0 1 0 0 0 1 1 0 1 0 1 0 1 0 0 0\n    0 0 0 0 0 0 0 0 0 0 0 0 0 0 0 0 0 0 0 1 0 0 0 0 0 0 0 0 0 0 0 0 0 0 0 0 0]\n[0 1 0 0 0 1 0 1 1 1 0 1 0 1 1 0 0 0 1 0 1 0 0 1 1 0 0 0 0 0 1 1 1 0 0 0 1 0 0 0\n    0 0 0 0 0 0 0 0 0 0 0 0 0 0 0 0 0 0 0 0 1 0 0 0 0 0 0 0 0 0 0 0 0 0 0 0 0]\n[1 1 0 0 0 0 0 1 0 1 0 1 0 1 1 1 1 1 1 0 0 0 0 1 0 1 1 0 0 0 0 1 0 0 0 1 1 0 0 0\n    0 0 0 0 0 0 0 0 0 0 0 0 0 0 0 0 0 0 0 0 0 1 0 0 0 0 0 0 0 0 0 0 0 0 0 0 0]\n[1 0 0 0 0 0 1 1 0 0 0 1 0 1 1 1 0 0 0 0 0 1 0 1 0 0 0 1 0 0 0 0 0 1 0 1 0 0 0 0\n    0 0 0 0 0 0 0 0 0 0 0 0 0 0 0 0 0 0 0 0 0 0 1 0 0 0 0 0 0 0 0 0 0 0 0 0 0]\n[1 1 0 0 0 0 0 1 1 0 0 0 1 0 1 1 1 0 0 0 0 0 1 0 1 0 0 0 1 0 0 0 0 0 1 0 1 0 0 0\n    0 0 0 0 0 0 0 0 0 0 0 0 0 0 0 0 0 0 0 0 0 0 0 1 0 0 0 0 0 0 0 0 0 0 0 0 0]\n[1 0 0 0 0 0 1 1 0 1 1 1 1 0 0 1 0 0 1 1 0 1 0 0 1 1 1 0 0 1 0 0 1 1 0 0 1 0 0 0\n    0 0 0 0 0 0 0 0 0 0 0 0 0 0 0 0 0 0 0 0 0 0 0 0 1 0 0 0 0 0 0 0 0 0 0 0 0]\n[0 0 1 0 0 0 1 0 0 0 0 0 0 0 0 0 0 1 1 0 1 1 1 1 1 1 0 1 0 0 1 0 1 0 1 1 1 0 0 0\n    0 0 0 0 0 0 0 0 0 0 0 0 0 0 0 0 0 0 0 0 0 0 0 0 0 1 0 0 0 0 0 0 0 0 0 0 0]\n[1 1 1 1 0 0 1 0 1 0 1 1 1 1 0 0 1 1 0 0 0 0 1 0 0 1 0 0 1 0 0 1 1 0 0 0 0 0 0 0\n    0 0 0 0 0 0 0 0 0 0 0 0 0 0 0 0 0 0 0 0 0 0 0 0 0 0 1 0 0 0 0 0 0 0 0 0 0]\n[1 1 1 1 1 0 0 1 0 1 0 1 1 1 1 0 0 1 1 0 0 0 0 1 0 0 1 0 0 1 0 0 1 1 0 0 0 0 0 0\n    0 0 0 0 0 0 0 0 0 0 0 0 0 0 0 0 0 0 0 0 0 0 0 0 0 0 0 1 0 0 0 0 0 0 0 0 0]\n[1 1 1 1 1 1 0 0 1 0 1 0 1 1 1 1 0 0 1 1 0 0 0 0 1 0 0 1 0 0 1 0 0 1 1 0 0 0 0 0\n    0 0 0 0 0 0 0 0 0 0 0 0 0 0 0 0 0 0 0 0 0 0 0 0 0 0 0 0 1 0 0 0 0 0 0 0 0]\n[0 1 1 1 1 1 1 0 0 1 0 1 0 1 1 1 1 0 0 1 1 0 0 0 0 1 0 0 1 0 0 1 0 0 1 1 0 0 0 0\n    0 0 0 0 0 0 0 0 0 0 0 0 0 0 0 0 0 0 0 0 0 0 0 0 0 0 0 0 0 1 0 0 0 0 0 0 0]\n[0 0 1 1 1 1 1 1 0 0 1 0 1 0 1 1 1 1 0 0 1 1 0 0 0 0 1 0 0 1 0 0 1 0 0 1 1 0 0 0\n    0 0 0 0 0 0 0 0 0 0 0 0 0 0 0 0 0 0 0 0 0 0 0 0 0 0 0 0 0 0 1 0 0 0 0 0 0]\n[0 1 1 1 1 1 0 0 0 0 1 0 1 0 0 1 0 0 0 1 0 0 1 1 1 0 1 1 0 0 1 0 1 0 0 1 0 0 0 0\n    0 0 0 0 0 0 0 0 0 0 0 0 0 0 0 0 0 0 0 0 0 0 0 0 0 0 0 0 0 0 0 1 0 0 0 0 0]\n[0 0 1 1 1 1 1 0 0 0 0 1 0 1 0 0 1 0 0 0 1 0 0 1 1 1 0 1 1 0 0 1 0 1 0 0 1 0 0 0\n    0 0 0 0 0 0 0 0 0 0 0 0 0 0 0 0 0 0 0 0 0 0 0 0 0 0 0 0 0 0 0 0 1 0 0 0 0]\n[1 1 1 1 1 1 0 0 1 0 1 1 0 1 1 0 1 0 1 1 0 0 0 1 0 1 0 0 1 1 0 0 0 1 1 1 1 0 0 0\n    0 0 0 0 0 0 0 0 0 0 0 0 0 0 0 0 0 0 0 0 0 0 0 0 0 0 0 0 0 0 0 0 0 1 0 0 0]\n[0 0 0 1 1 1 0 1 1 1 1 0 0 1 1 1 1 0 1 0 1 1 0 1 0 0 0 0 0 1 1 0 1 1 1 0 0 0 0 0\n    0 0 0 0 0 0 0 0 0 0 0 0 0 0 0 0 0 0 0 0 0 0 0 0 0 0 0 0 0 0 0 0 0 0 1 0 0]\n[1 0 0 0 1 1 1 0 1 1 1 1 0 0 1 1 1 1 0 1 0 1 1 0 1 0 0 0 0 0 1 1 0 1 1 1 0 0 0 0\n    0 0 0 0 0 0 0 0 0 0 0 0 0 0 0 0 0 0 0 0 0 0 0 0 0 0 0 0 0 0 0 0 0 0 0 1 0]\n[1 1 0 0 0 1 1 1 0 1 1 1 1 0 0 1 1 1 1 0 1 0 1 1 0 1 0 0 0 0 0 1 1 0 1 1 1 0 0 0\n    0 0 0 0 0 0 0 0 0 0 0 0 0 0 0 0 0 0 0 0 0 0 0 0 0 0 0 0 0 0 0 0 0 0 0 0 1]\n[77, 40] Linear Code over GF(2)\nGenerator matrix:\n[1 0 0 0 0 0 0 0 0 0 0 0 0 0 0 0 0 0 0 0 0 0 0 0 0 0 0 0 0 0 0 0 0 0 0 0 0 0 0 0\n    1 0 0 1 1 0 0 0 1 1 1 0 1 1 1 1 0 0 1 1 1 1 0 1 0 1 1 0 1 0 0 0 0 0 1 1 0]\n[0 1 0 0 0 0 0 0 0 0 0 0 0 0 0 0 0 0 0 0 0 0 0 0 0 0 0 0 0 0 0 0 0 0 0 0 0 0 0 0\n    1 1 0 1 0 1 0 0 1 0 0 1 1 0 0 0 1 0 1 0 0 0 1 1 1 1 0 1 1 1 0 0 0 0 1 0 1]\n[0 0 1 0 0 0 0 0 0 0 0 0 0 0 0 0 0 0 0 0 0 0 0 0 0 0 0 0 0 0 0 0 0 0 0 0 0 0 0 0\n    0 1 1 0 1 0 1 0 0 1 0 0 1 1 0 0 0 1 0 1 0 0 0 1 1 1 1 0 1 1 1 0 0 0 0 1 0]\n[0 0 0 1 0 0 0 0 0 0 0 0 0 0 0 0 0 0 0 0 0 0 0 0 0 0 0 0 0 0 0 0 0 0 0 0 0 0 0 0\n    1 0 1 0 1 1 0 1 1 1 0 0 1 0 0 1 0 0 0 1 0 1 0 1 1 0 0 1 1 1 1 1 0 0 1 1 1]\n[0 0 0 0 1 0 0 0 0 0 0 0 0 0 0 0 0 0 0 0 0 0 0 0 0 0 0 0 0 0 0 0 0 0 0 0 0 0 0 0\n    0 1 0 1 0 1 1 0 1 1 1 0 0 1 0 0 1 0 0 0 1 0 1 0 1 1 0 0 1 1 1 1 1 0 0 1 1]\n[0 0 0 0 0 1 0 0 0 0 0 0 0 0 0 0 0 0 0 0 0 0 0 0 0 0 0 0 0 0 0 0 0 0 0 0 0 0 0 0\n    1 0 1 1 0 0 1 1 1 0 0 1 1 1 0 1 0 1 1 1 1 0 0 0 0 0 0 0 1 1 1 1 1 1 1 1 1]\n[0 0 0 0 0 0 1 0 0 0 0 0 0 0 0 0 0 0 0 0 0 0 0 0 0 0 0 0 0 0 0 0 0 0 0 0 0 0 0 0\n    0 1 0 1 1 0 0 1 1 1 0 0 1 1 1 0 1 0 1 1 1 1 0 0 0 0 0 0 0 1 1 1 1 1 1 1 1]\n[0 0 0 0 0 0 0 1 0 0 0 0 0 0 0 0 0 0 0 0 0 0 0 0 0 0 0 0 0 0 0 0 0 0 0 0 0 0 0 0\n    0 0 1 0 1 1 0 0 1 1 1 0 0 1 1 1 0 1 0 1 1 1 1 0 0 0 0 0 0 0 1 1 1 1 1 1 1]\n[0 0 0 0 0 0 0 0 1 0 0 0 0 0 0 0 0 0 0 0 0 0 0 0 0 0 0 0 0 0 0 0 0 0 0 0 0 0 0 0\n    1 0 0 0 1 1 1 0 1 0 0 1 1 1 0 0 1 0 0 1 0 0 1 0 0 1 1 0 1 0 0 1 1 1 0 0 1]\n[0 0 0 0 0 0 0 0 0 1 0 0 0 0 0 0 0 0 0 0 0 0 0 0 0 0 0 0 0 0 0 0 0 0 0 0 0 0 0 0\n    0 1 0 0 0 1 1 1 0 1 0 0 1 1 1 0 0 1 0 0 1 0 0 1 0 0 1 1 0 1 0 0 1 1 1 0 0]\n[0 0 0 0 0 0 0 0 0 0 1 0 0 0 0 0 0 0 0 0 0 0 0 0 0 0 0 0 0 0 0 0 0 0 0 0 0 0 0 0\n    0 0 1 0 0 0 1 1 1 0 1 0 0 1 1 1 0 0 1 0 0 1 0 0 1 0 0 1 1 0 1 0 0 1 1 1 0]\n[0 0 0 0 0 0 0 0 0 0 0 1 0 0 0 0 0 0 0 0 0 0 0 0 0 0 0 0 0 0 0 0 0 0 0 0 0 0 0 0\n    1 0 0 0 1 0 0 1 0 0 1 1 1 1 0 0 1 0 1 0 1 1 1 1 0 0 1 0 0 1 0 1 0 0 0 0 1]\n[0 0 0 0 0 0 0 0 0 0 0 0 1 0 0 0 0 0 0 0 0 0 0 0 0 0 0 0 0 0 0 0 0 0 0 0 0 0 0 0\n    1 1 0 1 1 1 0 0 0 1 1 1 0 0 0 1 0 1 1 0 1 0 1 0 1 1 1 1 1 0 1 0 1 0 1 1 0]\n[0 0 0 0 0 0 0 0 0 0 0 0 0 1 0 0 0 0 0 0 0 0 0 0 0 0 0 0 0 0 0 0 0 0 0 0 0 0 0 0\n    0 1 1 0 1 1 1 0 0 0 1 1 1 0 0 0 1 0 1 1 0 1 0 1 0 1 1 1 1 1 0 1 0 1 0 1 1]\n[0 0 0 0 0 0 0 0 0 0 0 0 0 0 1 0 0 0 0 0 0 0 0 0 0 0 0 0 0 0 0 0 0 0 0 0 0 0 0 0\n    0 0 1 1 0 1 1 1 0 0 0 1 1 1 0 0 0 1 0 1 1 0 1 0 1 0 1 1 1 1 1 0 1 0 1 0 1]\n[0 0 0 0 0 0 0 0 0 0 0 0 0 0 0 1 0 0 0 0 0 0 0 0 0 0 0 0 0 0 0 0 0 0 0 0 0 0 0 0\n    0 0 0 1 1 0 1 1 1 0 0 0 1 1 1 0 0 0 1 0 1 1 0 1 0 1 0 1 1 1 1 1 0 1 0 1 0]\n[0 0 0 0 0 0 0 0 0 0 0 0 0 0 0 0 1 0 0 0 0 0 0 0 0 0 0 0 0 0 0 0 0 0 0 0 0 0 0 0\n    1 0 0 1 0 1 0 1 0 0 1 0 1 0 0 0 0 0 1 0 1 0 1 1 1 1 0 0 0 1 1 1 1 0 0 1 1]\n[0 0 0 0 0 0 0 0 0 0 0 0 0 0 0 0 0 1 0 0 0 0 0 0 0 0 0 0 0 0 0 0 0 0 0 0 0 0 0 0\n    0 1 0 0 1 0 1 0 1 0 0 1 0 1 0 0 0 0 0 1 0 1 0 1 1 1 1 0 0 0 1 1 1 1 0 0 1]\n[0 0 0 0 0 0 0 0 0 0 0 0 0 0 0 0 0 0 1 0 0 0 0 0 0 0 0 0 0 0 0 0 0 0 0 0 0 0 0 0\n    1 0 1 1 1 1 0 1 1 0 1 0 0 1 0 1 0 0 1 1 0 1 1 1 1 0 0 1 1 0 0 1 1 1 0 1 0]\n[0 0 0 0 0 0 0 0 0 0 0 0 0 0 0 0 0 0 0 1 0 0 0 0 0 0 0 0 0 0 0 0 0 0 0 0 0 0 0 0\n    0 1 0 1 1 1 1 0 1 1 0 1 0 0 1 0 1 0 0 1 1 0 1 1 1 1 0 0 1 1 0 0 1 1 1 0 1]\n[0 0 0 0 0 0 0 0 0 0 0 0 0 0 0 0 0 0 0 0 1 0 0 0 0 0 0 0 0 0 0 0 0 0 0 0 0 0 0 0\n    0 0 1 0 1 1 1 1 0 1 1 0 1 0 0 1 0 1 0 0 1 1 0 1 1 1 1 0 0 1 1 0 0 1 1 1 0]\n[0 0 0 0 0 0 0 0 0 0 0 0 0 0 0 0 0 0 0 0 0 1 0 0 0 0 0 0 0 0 0 0 0 0 0 0 0 0 0 0\n    0 0 0 1 0 1 1 1 1 0 1 1 0 1 0 0 1 0 1 0 0 1 1 0 1 1 1 1 0 0 1 1 0 0 1 1 1]\n[0 0 0 0 0 0 0 0 0 0 0 0 0 0 0 0 0 0 0 0 0 0 1 0 0 0 0 0 0 0 0 0 0 0 0 0 0 0 0 0\n    1 0 0 1 0 0 1 1 0 0 1 1 0 1 0 1 0 1 1 0 1 1 1 0 0 0 0 1 0 0 0 1 1 0 1 0 1]\n[0 0 0 0 0 0 0 0 0 0 0 0 0 0 0 0 0 0 0 0 0 0 0 1 0 0 0 0 0 0 0 0 0 0 0 0 0 0 0 0\n    1 1 0 1 0 0 0 1 0 1 1 1 0 1 0 1 1 0 0 0 1 0 1 0 0 1 1 0 0 0 0 0 1 1 1 0 0]\n[0 0 0 0 0 0 0 0 0 0 0 0 0 0 0 0 0 0 0 0 0 0 0 0 1 0 0 0 0 0 0 0 0 0 0 0 0 0 0 0\n    1 1 1 1 0 0 0 0 0 1 0 1 0 1 0 1 1 1 1 1 1 0 0 0 0 1 0 1 1 0 0 0 0 1 0 0 0]\n[0 0 0 0 0 0 0 0 0 0 0 0 0 0 0 0 0 0 0 0 0 0 0 0 0 1 0 0 0 0 0 0 0 0 0 0 0 0 0 0\n    1 1 1 0 0 0 0 0 1 1 0 0 0 1 0 1 1 1 0 0 0 0 0 1 0 1 0 0 0 1 0 0 0 0 0 1 0]\n[0 0 0 0 0 0 0 0 0 0 0 0 0 0 0 0 0 0 0 0 0 0 0 0 0 0 1 0 0 0 0 0 0 0 0 0 0 0 0 0\n    0 1 1 1 0 0 0 0 0 1 1 0 0 0 1 0 1 1 1 0 0 0 0 0 1 0 1 0 0 0 1 0 0 0 0 0 1]\n[0 0 0 0 0 0 0 0 0 0 0 0 0 0 0 0 0 0 0 0 0 0 0 0 0 0 0 1 0 0 0 0 0 0 0 0 0 0 0 0\n    1 0 1 0 0 0 0 0 1 1 0 1 1 1 1 0 0 1 0 0 1 1 0 1 0 0 1 1 1 0 0 1 0 0 1 1 0]\n[0 0 0 0 0 0 0 0 0 0 0 0 0 0 0 0 0 0 0 0 0 0 0 0 0 0 0 0 1 0 0 0 0 0 0 0 0 0 0 0\n    1 1 0 0 1 0 0 0 1 0 0 0 0 0 0 0 0 0 0 1 1 0 1 1 1 1 1 1 0 1 0 0 1 0 1 0 1]\n[0 0 0 0 0 0 0 0 0 0 0 0 0 0 0 0 0 0 0 0 0 0 0 0 0 0 0 0 0 1 0 0 0 0 0 0 0 0 0 0\n    1 1 1 1 1 1 0 0 1 0 1 0 1 1 1 1 0 0 1 1 0 0 0 0 1 0 0 1 0 0 1 0 0 1 1 0 0]\n[0 0 0 0 0 0 0 0 0 0 0 0 0 0 0 0 0 0 0 0 0 0 0 0 0 0 0 0 0 0 1 0 0 0 0 0 0 0 0 0\n    0 1 1 1 1 1 1 0 0 1 0 1 0 1 1 1 1 0 0 1 1 0 0 0 0 1 0 0 1 0 0 1 0 0 1 1 0]\n[0 0 0 0 0 0 0 0 0 0 0 0 0 0 0 0 0 0 0 0 0 0 0 0 0 0 0 0 0 0 0 1 0 0 0 0 0 0 0 0\n    0 0 1 1 1 1 1 1 0 0 1 0 1 0 1 1 1 1 0 0 1 1 0 0 0 0 1 0 0 1 0 0 1 0 0 1 1]\n[0 0 0 0 0 0 0 0 0 0 0 0 0 0 0 0 0 0 0 0 0 0 0 0 0 0 0 0 0 0 0 0 1 0 0 0 0 0 0 0\n    0 0 0 1 1 1 1 1 1 0 0 1 0 1 0 1 1 1 1 0 0 1 1 0 0 0 0 1 0 0 1 0 0 1 0 0 1]\n[0 0 0 0 0 0 0 0 0 0 0 0 0 0 0 0 0 0 0 0 0 0 0 0 0 0 0 0 0 0 0 0 0 1 0 0 0 0 0 0\n    0 0 0 0 1 1 1 1 1 1 0 0 1 0 1 0 1 1 1 1 0 0 1 1 0 0 0 0 1 0 0 1 0 0 1 0 0]\n[0 0 0 0 0 0 0 0 0 0 0 0 0 0 0 0 0 0 0 0 0 0 0 0 0 0 0 0 0 0 0 0 0 0 1 0 0 0 0 0\n    1 0 0 1 1 1 1 1 0 0 0 0 1 0 1 0 0 1 0 0 0 1 0 0 1 1 1 0 1 1 0 0 1 0 1 0 0]\n[0 0 0 0 0 0 0 0 0 0 0 0 0 0 0 0 0 0 0 0 0 0 0 0 0 0 0 0 0 0 0 0 0 0 0 1 0 0 0 0\n    0 1 0 0 1 1 1 1 1 0 0 0 0 1 0 1 0 0 1 0 0 0 1 0 0 1 1 1 0 1 1 0 0 1 0 1 0]\n[0 0 0 0 0 0 0 0 0 0 0 0 0 0 0 0 0 0 0 0 0 0 0 0 0 0 0 0 0 0 0 0 0 0 0 0 1 0 0 0\n    1 0 1 1 1 1 1 1 0 0 1 0 1 1 0 1 1 0 1 0 1 1 0 0 0 1 0 1 0 0 1 1 0 0 0 1 1]\n[0 0 0 0 0 0 0 0 0 0 0 0 0 0 0 0 0 0 0 0 0 0 0 0 0 0 0 0 0 0 0 0 0 0 0 0 0 1 0 0\n    1 1 0 0 0 1 1 1 0 1 1 1 1 0 0 1 1 1 1 0 1 0 1 1 0 1 0 0 0 0 0 1 1 0 1 1 1]\n[0 0 0 0 0 0 0 0 0 0 0 0 0 0 0 0 0 0 0 0 0 0 0 0 0 0 0 0 0 0 0 0 0 0 0 0 0 0 1 0\n    0 1 1 0 0 0 1 1 1 0 1 1 1 1 0 0 1 1 1 1 0 1 0 1 1 0 1 0 0 0 0 0 1 1 0 1 1]\n[0 0 0 0 0 0 0 0 0 0 0 0 0 0 0 0 0 0 0 0 0 0 0 0 0 0 0 0 0 0 0 0 0 0 0 0 0 0 0 1\n    0 0 1 1 0 0 0 1 1 1 0 1 1 1 1 0 0 1 1 1 1 0 1 0 1 1 0 1 0 0 0 0 0 1 1 0 1]\nLinear Code over GF(2) of length 77 with 40 generators.\nLower Bound: 1, Upper Bound: 38\nConstructed 2 distinct generator matrices\nRelative Ranks:  40  37 \nTime Taken: 0.00\nStarting search for low weight codewords... (reset timings)\nEnumerating using 1 generator at a time:\n     New codeword identified of weight 21, time 0.00\n     New codeword identified of weight 19, time 0.00\n     New codeword identified of weight 18, time 0.00\n     New codeword identified of weight 14, time 0.00\n   Completed Matrix  1:  lower =  2, upper = 14. Elapsed: 0.00s\n   Completed Matrix  2:  lower =  2, upper = 14. Elapsed: 0.00s\nTermination predicted with 8 generators at matrix 1\nEnumerating using 2 generators at a time:\n     New codeword identified of weight 13, time 0.00\n   Completed Matrix  1:  lower =  3, upper = 13. Elapsed: 0.00s\n   Completed Matrix  2:  lower =  3, upper = 13. Elapsed: 0.00s\nTermination predicted with 7 generators at matrix 2\nEnumerating using 3 generators at a time:\n   Completed Matrix  1:  lower =  4, upper = 13. Elapsed: 0.00s\n   Completed Matrix  2:  lower =  5, upper = 13. Elapsed: 0.00s\nTermination predicted with 7 generators at matrix 2\nEnumerating using 4 generators at a time:\n   Completed Matrix  1:  lower =  6, upper = 13. Elapsed: 0.00s\n   Completed Matrix  2:  lower =  7, upper = 13. Elapsed: 0.00s\nTermination predicted with 7 generators at matrix 2\nEnumerating using 5 generators at a time:\n   Completed Matrix  1:  lower =  8, upper = 13. Elapsed: 0.00s\n   Completed Matrix  2:  lower =  9, upper = 13. Elapsed: 0.00s\nTermination predicted with 7 generators at matrix 2\nEnumerating using 6 generators at a time:\n   Completed Matrix  1:  lower = 10, upper = 13. Elapsed: 0.00s\n   Completed Matrix  2:  lower = 11, upper = 13. Elapsed: 0.02s\nTermination predicted with 7 generators at matrix 2\nEnumerating using 7 generators at a time:\n   Completed Matrix  1:  lower = 12, upper = 13. Elapsed: 0.06s\n   Completed Matrix  2:  lower = 13, upper = 13. Elapsed: 0.10s\nComputation complete 46484076 vectors enumerated in total\n (0.004228% of 77 40 code)\nFinal Results: lower = 13, upper = 13,\nTotal CPU time: 0.10, real time: 0.097\n13\n\nTotal time: 0.110 seconds, Total memory usage: 32.09MB\n</t>
  </si>
  <si>
    <t>[[78,29,19]]</t>
  </si>
  <si>
    <t>Magma V2.28-26    Tue Dec 30 2025 09:50:20 on Marks-MacBook-Air-2 [Seed = \n3095556391]\nType ? for help.  Type &lt;Ctrl&gt;-D to quit.\n[1 0 0 0 1 1 0 1 1 1 1 0 1 1 1 1 1 0 1 0 0 0 1 0 1 1 0 1 0 1 0 1 1 1 1 0 0 0 1 0\n    1 1 1 0 1 0 1 0 0 0 0 0 0 0 0 0 0 0 0 0 0 0 0 0 0 0 0 0 0 0 0 0 0 0 0 0 0 0]\n[0 1 0 0 0 1 1 0 1 1 1 1 0 1 1 1 1 1 0 1 0 0 0 1 0 1 1 0 1 0 1 0 1 1 1 1 0 0 0 1\n    0 1 1 1 0 1 0 1 0 0 0 0 0 0 0 0 0 0 0 0 0 0 0 0 0 0 0 0 0 0 0 0 0 0 0 0 0 0]\n[1 0 1 0 1 1 1 0 1 0 0 1 0 1 0 0 0 1 0 0 1 0 1 0 0 1 1 0 0 0 0 0 1 0 0 1 1 0 1 0\n    0 1 0 1 0 0 0 0 1 0 0 0 0 0 0 0 0 0 0 0 0 0 0 0 0 0 0 0 0 0 0 0 0 0 0 0 0 0]\n[0 1 0 1 0 1 1 1 0 1 0 0 1 0 1 0 0 0 1 0 0 1 0 1 0 0 1 1 0 0 0 0 0 1 0 0 1 1 0 1\n    0 0 1 0 1 0 0 0 0 1 0 0 0 0 0 0 0 0 0 0 0 0 0 0 0 0 0 0 0 0 0 0 0 0 0 0 0 0]\n[0 0 1 0 1 0 1 1 1 0 1 0 0 1 0 1 0 0 0 1 0 0 1 0 1 0 0 1 1 0 0 0 0 0 1 0 0 1 1 0\n    1 0 0 1 0 1 0 0 0 0 1 0 0 0 0 0 0 0 0 0 0 0 0 0 0 0 0 0 0 0 0 0 0 0 0 0 0 0]\n[1 0 0 1 1 0 0 0 0 0 1 1 1 1 0 1 0 0 1 0 1 0 1 1 1 0 0 1 1 0 0 1 1 1 1 1 0 0 0 1\n    1 0 1 0 0 0 0 0 0 0 0 1 0 0 0 0 0 0 0 0 0 0 0 0 0 0 0 0 0 0 0 0 0 0 0 0 0 0]\n[0 1 0 0 1 1 0 0 0 0 0 1 1 1 1 0 1 0 0 1 0 1 0 1 1 1 0 0 1 1 0 0 1 1 1 1 1 0 0 0\n    1 1 0 1 0 0 0 0 0 0 0 0 1 0 0 0 0 0 0 0 0 0 0 0 0 0 0 0 0 0 0 0 0 0 0 0 0 0]\n[0 0 1 0 0 1 1 0 0 0 0 0 1 1 1 1 0 1 0 0 1 0 1 0 1 1 1 0 0 1 1 0 0 1 1 1 1 1 0 0\n    0 1 1 0 1 0 0 0 0 0 0 0 0 1 0 0 0 0 0 0 0 0 0 0 0 0 0 0 0 0 0 0 0 0 0 0 0 0]\n[0 0 0 1 0 0 1 1 0 0 0 0 0 1 1 1 1 0 1 0 0 1 0 1 0 1 1 1 0 0 1 1 0 0 1 1 1 1 1 0\n    0 0 1 1 0 1 0 0 0 0 0 0 0 0 1 0 0 0 0 0 0 0 0 0 0 0 0 0 0 0 0 0 0 0 0 0 0 0]\n[1 0 0 0 0 1 0 0 0 1 1 0 1 1 0 0 0 1 1 1 0 0 0 0 0 1 1 0 1 1 0 0 0 1 1 1 1 1 0 1\n    1 1 1 1 0 0 0 0 0 0 0 0 0 0 0 1 0 0 0 0 0 0 0 0 0 0 0 0 0 0 0 0 0 0 0 0 0 0]\n[0 1 0 0 0 0 1 0 0 0 1 1 0 1 1 0 0 0 1 1 1 0 0 0 0 0 1 1 0 1 1 0 0 0 1 1 1 1 1 0\n    1 1 1 1 1 0 0 0 0 0 0 0 0 0 0 0 1 0 0 0 0 0 0 0 0 0 0 0 0 0 0 0 0 0 0 0 0 0]\n[0 0 1 0 0 0 0 1 0 0 0 1 1 0 1 1 0 0 0 1 1 1 0 0 0 0 0 1 1 0 1 1 0 0 0 1 1 1 1 1\n    0 1 1 1 1 1 0 0 0 0 0 0 0 0 0 0 0 1 0 0 0 0 0 0 0 0 0 0 0 0 0 0 0 0 0 0 0 0]\n[1 0 0 1 1 1 0 1 0 1 1 0 0 0 1 0 0 0 1 0 1 1 0 0 1 1 0 1 1 0 0 0 0 1 1 0 1 1 0 1\n    0 1 0 1 0 1 0 0 0 0 0 0 0 0 0 0 0 0 1 0 0 0 0 0 0 0 0 0 0 0 0 0 0 0 0 0 0 0]\n[1 1 0 0 0 0 1 1 0 1 0 1 1 1 1 0 1 0 1 1 0 1 0 0 1 0 1 1 1 0 0 1 1 1 0 1 0 1 0 0\n    0 1 0 0 0 0 0 0 0 0 0 0 0 0 0 0 0 0 0 1 0 0 0 0 0 0 0 0 0 0 0 0 0 0 0 0 0 0]\n[0 1 1 0 0 0 0 1 1 0 1 0 1 1 1 1 0 1 0 1 1 0 1 0 0 1 0 1 1 1 0 0 1 1 1 0 1 0 1 0\n    0 0 1 0 0 0 0 0 0 0 0 0 0 0 0 0 0 0 0 0 1 0 0 0 0 0 0 0 0 0 0 0 0 0 0 0 0 0]\n[0 0 1 1 0 0 0 0 1 1 0 1 0 1 1 1 1 0 1 0 1 1 0 1 0 0 1 0 1 1 1 0 0 1 1 1 0 1 0 1\n    0 0 0 1 0 0 0 0 0 0 0 0 0 0 0 0 0 0 0 0 0 1 0 0 0 0 0 0 0 0 0 0 0 0 0 0 0 0]\n[0 0 0 1 1 0 0 0 0 1 1 0 1 0 1 1 1 1 0 1 0 1 1 0 1 0 0 1 0 1 1 1 0 0 1 1 1 0 1 0\n    1 0 0 0 1 0 0 0 0 0 0 0 0 0 0 0 0 0 0 0 0 0 1 0 0 0 0 0 0 0 0 0 0 0 0 0 0 0]\n[0 0 0 0 1 1 0 0 0 0 1 1 0 1 0 1 1 1 1 0 1 0 1 1 0 1 0 0 1 0 1 1 1 0 0 1 1 1 0 1\n    0 1 0 0 0 1 0 0 0 0 0 0 0 0 0 0 0 0 0 0 0 0 0 1 0 0 0 0 0 0 0 0 0 0 0 0 0 0]\n[1 0 0 0 1 0 1 1 1 1 1 1 0 1 0 1 0 1 0 1 0 1 1 1 0 1 1 1 0 0 0 0 0 0 1 0 1 1 0 0\n    0 1 0 0 1 0 0 0 0 0 0 0 0 0 0 0 0 0 0 0 0 0 0 0 1 0 0 0 0 0 0 0 0 0 0 0 0 0]\n[0 1 0 0 0 1 0 1 1 1 1 1 1 0 1 0 1 0 1 0 1 0 1 1 1 0 1 1 1 0 0 0 0 0 0 1 0 1 1 0\n    0 0 1 0 0 1 0 0 0 0 0 0 0 0 0 0 0 0 0 0 0 0 0 0 0 1 0 0 0 0 0 0 0 0 0 0 0 0]\n[1 0 1 0 1 1 1 1 0 0 0 1 0 0 1 0 1 1 1 1 0 1 1 1 0 0 0 0 1 0 0 1 1 1 1 0 1 0 0 1\n    1 1 1 1 1 0 0 0 0 0 0 0 0 0 0 0 0 0 0 0 0 0 0 0 0 0 1 0 0 0 0 0 0 0 0 0 0 0]\n[0 1 0 1 0 1 1 1 1 0 0 0 1 0 0 1 0 1 1 1 1 0 1 1 1 0 0 0 0 1 0 0 1 1 1 1 0 1 0 0\n    1 1 1 1 1 1 0 0 0 0 0 0 0 0 0 0 0 0 0 0 0 0 0 0 0 0 0 1 0 0 0 0 0 0 0 0 0 0]\n[1 0 1 0 0 1 1 0 0 0 1 0 1 0 1 1 0 0 0 1 1 1 1 1 0 0 0 1 0 1 1 1 1 0 0 1 1 0 0 0\n    1 0 0 1 0 1 0 0 0 0 0 0 0 0 0 0 0 0 0 0 0 0 0 0 0 0 0 0 1 0 0 0 0 0 0 0 0 0]\n[1 1 0 1 1 1 1 0 1 1 1 1 1 0 1 0 0 0 1 0 1 1 0 1 0 1 0 1 1 1 1 0 0 0 1 0 1 1 1 0\n    1 0 1 0 0 0 0 0 0 0 0 0 0 0 0 0 0 0 0 0 0 0 0 0 0 0 0 0 0 1 0 0 0 0 0 0 0 0]\n[0 1 1 0 1 1 1 1 0 1 1 1 1 1 0 1 0 0 0 1 0 1 1 0 1 0 1 0 1 1 1 1 0 0 0 1 0 1 1 1\n    0 1 0 1 0 0 0 0 0 0 0 0 0 0 0 0 0 0 0 0 0 0 0 0 0 0 0 0 0 0 1 0 0 0 0 0 0 0]\n[0 0 1 1 0 1 1 1 1 0 1 1 1 1 1 0 1 0 0 0 1 0 1 1 0 1 0 1 0 1 1 1 1 0 0 0 1 0 1 1\n    1 0 1 0 1 0 0 0 0 0 0 0 0 0 0 0 0 0 0 0 0 0 0 0 0 0 0 0 0 0 0 1 0 0 0 0 0 0]\n[0 0 0 1 1 0 1 1 1 1 0 1 1 1 1 1 0 1 0 0 0 1 0 1 1 0 1 0 1 0 1 1 1 1 0 0 0 1 0 1\n    1 1 0 1 0 1 0 0 0 0 0 0 0 0 0 0 0 0 0 0 0 0 0 0 0 0 0 0 0 0 0 0 1 0 0 0 0 0]\n[0 0 1 0 0 1 0 1 0 0 0 1 0 1 0 0 1 0 1 1 0 1 0 1 1 1 0 0 0 1 1 1 1 0 1 0 0 1 0 0\n    0 1 0 1 0 0 0 0 0 0 0 0 0 0 0 0 0 0 0 0 0 0 0 0 0 0 0 0 0 0 0 0 0 1 1 1 0 0]\n[0 0 1 1 1 0 1 0 0 0 1 1 1 1 1 1 1 1 0 0 0 1 1 0 1 1 1 0 0 1 1 1 0 0 0 0 1 1 1 0\n    0 1 0 0 0 0 0 0 0 0 0 0 0 0 0 0 0 0 0 0 0 0 0 0 0 0 0 0 0 0 0 0 0 1 0 0 1 1]\n[78, 29] Linear Code over GF(2)\nGenerator matrix:\n[1 0 0 0 0 0 0 0 0 0 0 0 0 0 0 0 0 0 0 0 0 0 0 0 0 0 0 0 0 1 0 1 0 0 1 0 1 1 0 0\n    1 0 0 0 1 1 0 0 0 1 0 0 0 1 1 0 0 1 1 1 1 1 0 0 1 0 0 0 0 0 1 1 0 0 1 1 1 1]\n[0 1 0 0 0 0 0 0 0 0 0 0 0 0 0 0 0 0 0 0 0 0 0 0 0 0 0 0 0 1 0 1 0 1 0 0 1 1 0 1\n    0 0 1 1 1 1 1 0 0 1 1 0 1 0 0 1 1 0 0 0 1 1 0 1 1 0 1 0 1 1 0 0 0 1 0 0 1 1]\n[0 0 1 0 0 0 0 0 0 0 0 0 0 0 0 0 0 0 0 0 0 0 0 0 0 0 0 0 0 0 0 1 0 1 0 0 0 0 1 1\n    1 1 1 1 0 0 0 1 0 1 0 1 0 0 0 0 1 1 0 1 0 0 1 1 1 0 0 1 0 1 0 0 0 0 1 1 1 1]\n[0 0 0 1 0 0 0 0 0 0 0 0 0 0 0 0 0 0 0 0 0 0 0 0 0 0 0 0 0 1 1 1 0 1 1 1 1 0 1 0\n    1 0 0 0 0 0 0 0 1 1 1 0 0 0 1 0 1 1 0 1 1 0 1 0 0 0 1 0 0 1 1 1 1 1 0 0 1 1]\n[0 0 0 0 1 0 0 0 0 0 0 0 0 0 0 0 0 0 0 0 0 0 0 0 0 0 0 0 0 1 0 1 0 1 1 1 0 1 0 0\n    1 0 1 0 0 0 1 0 0 1 0 1 0 0 1 1 0 0 0 0 0 1 0 0 1 1 0 1 0 0 1 0 1 0 0 0 0 0]\n[0 0 0 0 0 1 0 0 0 0 0 0 0 0 0 0 0 0 0 0 0 0 0 0 0 0 0 0 0 1 1 1 1 0 0 1 0 1 1 0\n    1 1 0 1 1 1 0 1 0 1 1 0 1 1 1 1 1 1 1 1 1 1 1 0 1 1 1 0 1 0 1 0 0 0 1 1 1 1]\n[0 0 0 0 0 0 1 0 0 0 0 0 0 0 0 0 0 0 0 0 0 0 0 0 0 0 0 0 0 1 0 0 0 0 0 1 0 0 0 0\n    0 0 0 1 0 1 1 0 1 1 1 1 1 1 0 1 0 1 0 0 1 1 0 0 1 0 0 1 1 0 0 0 1 1 0 0 1 1]\n[0 0 0 0 0 0 0 1 0 0 0 0 0 0 0 0 0 0 0 0 0 0 0 0 0 0 0 0 0 1 0 0 1 1 0 0 0 0 0 1\n    1 1 1 0 1 0 0 1 0 1 0 1 1 1 0 0 1 1 0 0 1 1 1 1 1 0 0 0 1 1 0 1 0 0 0 0 0 0]\n[0 0 0 0 0 0 0 0 1 0 0 0 0 0 0 0 0 0 0 0 0 0 0 0 0 0 0 0 0 0 1 0 0 1 1 0 0 0 0 0\n    1 1 1 1 0 1 0 0 1 0 1 0 1 1 1 0 0 1 1 0 0 1 1 1 1 1 0 0 0 1 1 0 1 0 0 0 0 0]\n[0 0 0 0 0 0 0 0 0 1 0 0 0 0 0 0 0 0 0 0 0 0 0 0 0 0 0 0 0 1 0 0 0 0 0 1 1 1 0 0\n    1 1 1 1 0 1 1 0 0 0 0 1 0 0 0 1 0 1 0 0 1 1 1 1 0 1 1 0 0 0 0 0 0 0 1 1 1 1]\n[0 0 0 0 0 0 0 0 0 0 1 0 0 0 0 0 0 0 0 0 0 0 0 0 0 0 0 0 0 1 0 1 1 1 0 1 0 1 0 1\n    0 0 0 0 0 0 1 1 0 1 0 0 0 0 1 0 0 0 0 1 0 1 0 0 0 1 0 1 1 1 0 1 1 1 0 0 1 1]\n[0 0 0 0 0 0 0 0 0 0 0 1 0 0 0 0 0 0 0 0 0 0 0 0 0 0 0 0 0 1 0 0 0 0 1 0 0 0 1 1\n    0 1 1 0 0 0 1 1 1 0 0 0 0 0 1 1 0 1 1 0 0 0 1 1 1 1 1 0 1 1 1 1 1 0 0 0 0 0]\n[0 0 0 0 0 0 0 0 0 0 0 0 1 0 0 0 0 0 0 0 0 0 0 0 0 0 0 0 0 1 1 1 0 0 1 1 1 1 0 1\n    0 0 1 1 1 1 0 1 1 0 0 0 0 1 1 1 1 1 0 0 1 1 0 1 0 1 1 1 0 1 0 0 1 0 1 1 1 1]\n[0 0 0 0 0 0 0 0 0 0 0 0 0 1 0 0 0 0 0 0 0 0 0 0 0 0 0 0 0 0 0 1 0 1 1 0 1 0 0 1\n    0 1 1 0 1 0 1 0 1 1 0 0 1 1 1 1 0 0 1 0 1 0 0 1 1 1 0 1 0 1 0 0 1 1 1 1 0 0]\n[0 0 0 0 0 0 0 0 0 0 0 0 0 0 1 0 0 0 0 0 0 0 0 0 0 0 0 0 0 0 0 1 1 0 1 0 0 1 1 0\n    0 0 1 0 1 1 1 1 0 0 0 0 1 1 1 1 0 1 0 0 1 1 1 0 1 1 0 0 0 1 1 0 1 1 0 0 1 1]\n[0 0 0 0 0 0 0 0 0 0 0 0 0 0 0 1 0 0 0 0 0 0 0 0 0 0 0 0 0 1 1 0 0 0 0 1 1 0 1 0\n    1 1 1 1 0 1 0 1 1 0 1 0 0 1 0 1 1 1 0 0 1 1 1 0 1 0 1 0 0 0 1 0 0 0 0 0 0 0]\n[0 0 0 0 0 0 0 0 0 0 0 0 0 0 0 0 1 0 0 0 0 0 0 0 0 0 0 0 0 0 1 1 0 0 0 0 1 1 0 1\n    0 1 1 1 1 0 1 0 1 1 0 1 0 0 1 0 1 1 1 0 0 1 1 1 0 1 0 1 0 0 0 1 0 0 0 0 0 0]\n[0 0 0 0 0 0 0 0 0 0 0 0 0 0 0 0 0 1 0 0 0 0 0 0 0 0 0 0 0 0 0 1 1 0 0 0 0 1 1 0\n    1 0 1 1 1 1 0 1 0 1 1 0 1 0 0 1 0 1 1 1 0 0 1 1 1 0 1 0 1 0 0 0 1 0 0 0 0 0]\n[0 0 0 0 0 0 0 0 0 0 0 0 0 0 0 0 0 0 1 0 0 0 0 0 0 0 0 0 0 1 0 1 1 1 1 0 1 1 1 1\n    1 1 0 1 0 0 1 0 1 1 1 1 0 0 1 0 1 1 0 0 0 1 0 1 0 1 0 1 0 1 1 1 0 0 1 1 1 1]\n[0 0 0 0 0 0 0 0 0 0 0 0 0 0 0 0 0 0 0 1 0 0 0 0 0 0 0 0 0 1 0 1 0 0 1 0 1 1 0 0\n    1 0 0 1 0 0 0 1 0 0 1 1 0 0 1 1 1 1 0 1 0 0 0 1 0 1 0 0 0 1 1 0 0 1 0 0 1 1]\n[0 0 0 0 0 0 0 0 0 0 0 0 0 0 0 0 0 0 0 0 1 0 0 0 0 0 0 0 0 0 0 1 0 1 1 1 0 0 1 1\n    0 0 1 0 0 1 1 0 1 1 1 1 1 1 0 1 1 1 1 1 1 1 0 1 1 1 1 0 0 0 0 1 0 0 1 1 1 1]\n[0 0 0 0 0 0 0 0 0 0 0 0 0 0 0 0 0 0 0 0 0 1 0 0 0 0 0 0 0 1 1 1 0 1 1 0 0 0 1 0\n    1 1 1 0 1 0 1 1 0 0 1 1 0 1 0 0 0 1 0 0 1 1 0 1 0 0 0 1 1 1 0 1 0 1 0 0 1 1]\n[0 0 0 0 0 0 0 0 0 0 0 0 0 0 0 0 0 0 0 0 0 0 1 0 0 0 0 0 0 0 0 0 0 1 0 1 0 1 0 0\n    0 0 0 1 1 0 1 1 1 1 1 1 1 1 1 0 0 0 1 1 0 0 1 1 1 1 0 0 1 1 0 0 1 0 1 1 1 1]\n[0 0 0 0 0 0 0 0 0 0 0 0 0 0 0 0 0 0 0 0 0 0 0 1 0 0 0 0 0 0 1 0 1 1 0 1 1 1 0 1\n    1 1 1 1 1 0 0 1 1 1 1 1 0 0 1 1 1 1 0 1 0 1 1 0 1 0 0 0 1 0 0 0 1 1 1 1 0 0]\n[0 0 0 0 0 0 0 0 0 0 0 0 0 0 0 0 0 0 0 0 0 0 0 0 1 0 0 0 0 0 0 0 0 1 1 1 1 1 0 0\n    0 1 1 0 0 1 1 0 1 0 0 1 0 0 0 1 0 0 1 1 0 0 0 1 0 1 1 0 1 0 0 0 1 1 0 0 1 1]\n[0 0 0 0 0 0 0 0 0 0 0 0 0 0 0 0 0 0 0 0 0 0 0 0 0 1 0 0 0 1 1 0 1 1 1 1 0 1 1 1\n    1 1 0 1 0 0 0 1 0 1 1 0 1 0 1 0 1 1 1 1 0 0 0 1 0 1 1 1 0 1 0 1 0 0 0 0 0 0]\n[0 0 0 0 0 0 0 0 0 0 0 0 0 0 0 0 0 0 0 0 0 0 0 0 0 0 1 0 0 0 1 1 0 1 1 1 1 0 1 1\n    1 1 1 0 1 0 0 0 1 0 1 1 0 1 0 1 0 1 1 1 1 0 0 0 1 0 1 1 1 0 1 0 1 0 0 0 0 0]\n[0 0 0 0 0 0 0 0 0 0 0 0 0 0 0 0 0 0 0 0 0 0 0 0 0 0 0 1 0 1 0 0 1 0 0 1 0 0 0 1\n    0 1 1 1 1 0 0 0 0 0 0 1 1 1 0 0 1 1 0 0 0 0 0 0 1 1 0 1 1 1 1 0 0 0 1 1 1 1]\n[0 0 0 0 0 0 0 0 0 0 0 0 0 0 0 0 0 0 0 0 0 0 0 0 0 0 0 0 1 1 0 1 1 0 0 1 0 0 1 1\n    1 1 0 0 0 1 0 0 0 1 0 0 0 1 0 0 1 1 0 1 0 0 1 1 1 0 0 0 0 0 1 0 1 1 0 0 1 1]\nLinear Code over GF(2) of length 78 with 29 generators.\nLower Bound: 1, Upper Bound: 50\nConstructed 3 distinct generator matrices\nRelative Ranks:  29  29  20 \nTime Taken: 0.00\nStarting search for low weight codewords... (reset timings)\nEnumerating using 1 generator at a time:\n     New codeword identified of weight 19, time 0.00\n     Discarding non-contributing rank 20 matrix\n     New Relative Ranks:  29  29 \n   Completed Matrix  1:  lower =  3, upper = 19. Elapsed: 0.00s\n   Completed Matrix  2:  lower =  4, upper = 19. Elapsed: 0.00s\nTermination predicted with 9 generators at matrix 1\nEnumerating using 2 generators at a time:\n   Completed Matrix  1:  lower =  5, upper = 19. Elapsed: 0.00s\n   Completed Matrix  2:  lower =  6, upper = 19. Elapsed: 0.00s\nTermination predicted with 9 generators at matrix 1\nEnumerating using 3 generators at a time:\n   Completed Matrix  1:  lower =  7, upper = 19. Elapsed: 0.00s\n   Completed Matrix  2:  lower =  8, upper = 19. Elapsed: 0.00s\nTermination predicted with 9 generators at matrix 1\nEnumerating using 4 generators at a time:\n   Completed Matrix  1:  lower =  9, upper = 19. Elapsed: 0.00s\n   Completed Matrix  2:  lower = 10, upper = 19. Elapsed: 0.00s\nTermination predicted with 9 generators at matrix 1\nEnumerating using 5 generators at a time:\n   Completed Matrix  1:  lower = 11, upper = 19. Elapsed: 0.00s\n   Completed Matrix  2:  lower = 12, upper = 19. Elapsed: 0.00s\nTermination predicted with 9 generators at matrix 1\nEnumerating using 6 generators at a time:\n   Completed Matrix  1:  lower = 13, upper = 19. Elapsed: 0.00s\n   Completed Matrix  2:  lower = 14, upper = 19. Elapsed: 0.00s\nTermination predicted with 9 generators at matrix 1\nEnumerating using 7 generators at a time:\n   Completed Matrix  1:  lower = 15, upper = 19. Elapsed: 0.00s\n   Completed Matrix  2:  lower = 16, upper = 19. Elapsed: 0.00s\nTermination predicted with 9 generators at matrix 1\nEnumerating using 8 generators at a time:\n   Completed Matrix  1:  lower = 17, upper = 19. Elapsed: 0.02s\n   Completed Matrix  2:  lower = 18, upper = 19. Elapsed: 0.03s\nTermination predicted with 9 generators at matrix 1\nEnumerating using 9 generators at a time:\n   Completed Matrix  1:  lower = 19, upper = 19. Elapsed: 0.06s\nComputation complete 22964085 vectors enumerated in total\n (4.277394% of 78 29 code)\nFinal Results: lower = 19, upper = 19,\nTotal CPU time: 0.06, real time: 0.060\n19\n\nTotal time: 0.070 seconds, Total memory usage: 32.09MB\n</t>
  </si>
  <si>
    <t>[[79,20,24]]</t>
  </si>
  <si>
    <t>Magma V2.28-26    Tue Dec 30 2025 09:50:20 on Marks-MacBook-Air-2 [Seed = \n1115196381]\nType ? for help.  Type &lt;Ctrl&gt;-D to quit.\n[1 0 1 1 0 1 1 1 0 1 0 0 0 1 1 1 1 1 1 1 1 0 0 0 1 1 1 0 1 1 0 0 1 1 0 1 1 1 0 0\n    1 1 1 0 1 0 0 0 1 1 1 1 0 1 0 1 1 0 1 1 0 0 0 0 0 0 0 0 0 0 0 0 0 0 0 0 0 0 \n    0]\n[0 1 1 0 1 1 0 0 1 1 1 0 0 1 0 0 0 0 0 0 0 1 0 0 1 0 0 1 1 0 1 0 1 0 1 1 0 0 1 0\n    1 0 0 1 1 1 0 0 1 0 0 0 1 1 1 1 0 1 1 0 1 0 0 0 0 0 0 0 0 0 0 0 0 0 0 0 0 0 \n    0]\n[1 0 0 0 0 0 0 1 0 0 1 1 0 1 0 1 1 1 1 1 1 0 1 0 1 0 1 1 0 0 0 1 1 0 0 0 0 1 0 1\n    1 0 1 0 0 1 1 0 1 0 1 1 0 0 0 0 0 0 0 0 0 1 0 0 0 0 0 0 0 0 0 0 0 0 0 0 0 0 \n    0]\n[1 1 0 0 0 0 0 0 1 0 0 1 1 0 1 0 1 1 1 1 1 1 0 1 0 1 0 0 1 0 0 0 1 1 0 0 0 0 1 0\n    1 1 0 1 0 0 1 1 0 1 0 1 1 0 0 0 0 0 0 0 0 0 1 0 0 0 0 0 0 0 0 0 0 0 0 0 0 0 \n    0]\n[0 1 1 0 0 0 0 0 0 1 0 0 1 1 0 1 0 1 1 1 1 1 1 0 1 0 1 0 0 1 0 0 0 1 1 0 0 0 0 1\n    0 1 1 0 1 0 0 1 1 0 1 0 1 1 1 0 0 0 0 0 0 0 0 1 0 0 0 0 0 0 0 0 0 0 0 0 0 0 \n    0]\n[1 0 1 1 0 0 0 0 0 0 1 0 0 1 1 0 1 0 1 1 1 1 1 1 0 1 0 1 0 0 1 0 0 0 1 1 0 0 0 0\n    1 0 1 1 0 1 0 0 1 1 0 1 0 1 0 1 0 0 0 0 0 0 0 0 1 0 0 0 0 0 0 0 0 0 0 0 0 0 \n    0]\n[0 1 0 1 1 0 0 0 0 0 0 1 0 0 1 1 0 1 0 1 1 1 1 1 1 0 1 1 1 0 0 1 0 0 0 1 1 0 0 0\n    0 1 0 1 1 0 1 0 0 1 1 0 1 0 0 0 1 0 0 0 0 0 0 0 0 1 0 0 0 0 0 0 0 0 0 0 0 0 \n    0]\n[1 0 1 0 1 1 0 0 0 0 0 0 1 0 0 1 1 0 1 0 1 1 1 1 1 1 0 0 1 1 0 0 1 0 0 0 1 1 0 0\n    0 0 1 0 1 1 0 1 0 0 1 1 0 1 0 0 0 1 0 0 0 0 0 0 0 0 1 0 0 0 0 0 0 0 0 0 0 0 \n    0]\n[0 1 0 1 0 1 1 0 0 0 0 0 0 1 0 0 1 1 0 1 0 1 1 1 1 1 1 1 0 1 1 0 0 1 0 0 0 1 1 0\n    0 0 0 1 0 1 1 0 1 0 0 1 1 0 0 0 0 0 1 0 0 0 0 0 0 0 0 1 0 0 0 0 0 0 0 0 0 0 \n    0]\n[0 0 0 1 1 1 0 0 0 1 0 0 0 1 0 1 1 0 0 1 0 0 1 1 0 0 0 0 0 1 1 1 1 1 1 1 1 1 1 1\n    1 1 1 0 0 0 1 1 1 0 1 1 1 0 0 1 1 0 1 0 0 0 0 0 0 0 0 0 1 0 0 0 0 0 0 0 0 0 \n    0]\n[1 0 1 1 1 0 0 1 0 1 1 0 0 1 0 1 0 0 1 1 0 0 0 1 0 1 1 0 1 1 1 1 0 0 1 0 0 0 1 1\n    0 0 0 1 1 0 0 1 0 0 1 0 1 0 1 1 0 1 1 0 0 0 0 0 0 0 0 0 0 1 0 0 0 0 0 0 0 0 \n    0]\n[0 1 1 0 1 0 1 1 1 1 1 1 0 1 0 1 0 1 1 0 0 0 0 0 0 1 0 0 1 0 1 1 0 1 0 0 1 1 0 1\n    0 1 1 0 0 1 0 0 0 1 1 0 0 0 0 0 0 0 0 0 0 0 0 0 0 0 0 0 0 0 1 0 0 0 0 0 0 0 \n    0]\n[0 0 1 1 0 1 0 1 1 1 1 1 1 0 1 0 1 0 1 1 0 0 0 0 0 0 1 0 0 1 0 1 1 0 1 0 0 1 1 0\n    1 0 1 1 0 0 1 0 0 0 1 1 0 0 0 0 0 0 0 0 0 0 0 0 0 0 0 0 0 0 0 1 0 0 0 0 0 0 \n    0]\n[1 0 0 1 1 0 1 0 1 1 1 1 1 1 0 1 0 1 0 1 1 0 0 0 0 0 0 0 0 0 1 0 1 1 0 1 0 0 1 1\n    0 1 0 1 1 0 0 1 0 0 0 1 1 0 1 0 0 0 0 0 0 0 0 0 0 0 0 0 0 0 0 0 1 0 0 0 0 0 \n    0]\n[0 1 0 0 1 1 0 1 0 1 1 1 1 1 1 0 1 0 1 0 1 1 0 0 0 0 0 0 0 0 0 1 0 1 1 0 1 0 0 1\n    1 0 1 0 1 1 0 0 1 0 0 0 1 1 0 1 0 0 0 0 0 0 0 0 0 0 0 0 0 0 0 0 0 1 0 0 0 0 \n    0]\n[0 0 1 0 0 1 1 0 1 0 1 1 1 1 1 1 0 1 0 1 0 1 1 0 0 0 0 1 0 0 0 0 1 0 1 1 0 1 0 0\n    1 1 0 1 0 1 1 0 0 1 0 0 0 1 0 0 1 0 0 0 0 0 0 0 0 0 0 0 0 0 0 0 0 0 1 0 0 0 \n    0]\n[0 0 0 1 0 0 1 1 0 1 0 1 1 1 1 1 1 0 1 0 1 0 1 1 0 0 0 1 1 0 0 0 0 1 0 1 1 0 1 0\n    0 1 1 0 1 0 1 1 0 0 1 0 0 0 0 0 0 1 0 0 0 0 0 0 0 0 0 0 0 0 0 0 0 0 0 1 0 0 \n    0]\n[0 0 0 0 1 0 0 1 1 0 1 0 1 1 1 1 1 1 0 1 0 1 0 1 1 0 0 0 1 1 0 0 0 0 1 0 1 1 0 1\n    0 0 1 1 0 1 0 1 1 0 0 1 0 0 0 0 0 0 1 0 0 0 0 0 0 0 0 0 0 0 0 0 0 0 0 0 1 0 \n    0]\n[1 0 1 1 0 0 1 1 1 0 0 1 0 0 0 0 0 0 0 1 0 0 1 0 0 0 1 0 1 0 1 0 1 1 0 0 1 0 1 0\n    0 1 1 1 0 0 1 0 0 0 1 1 1 1 0 1 1 0 1 0 0 0 0 0 0 0 0 0 0 0 0 0 0 0 0 0 0 1 \n    0]\n[0 1 1 0 1 1 1 0 1 0 0 0 1 1 1 1 1 1 1 1 0 0 0 1 1 1 1 1 1 0 0 1 1 0 1 1 1 0 0 1\n    1 1 0 1 0 0 0 1 1 1 1 0 1 0 1 1 0 1 1 0 0 0 0 0 0 0 0 0 0 0 0 0 0 0 0 0 0 0 \n    1]\n[79, 20] Linear Code over GF(2)\nGenerator matrix:\n[1 0 0 0 0 0 0 0 0 0 0 0 0 0 0 0 0 0 0 0 1 1 0 1 1 0 1 1 0 1 0 0 1 0 0 1 0 1 0 0\n    1 0 1 0 0 1 0 0 0 0 0 1 1 0 1 1 1 0 0 1 1 0 0 1 1 1 1 1 1 1 0 1 1 1 0 0 0 0 \n    1]\n[0 1 0 0 0 0 0 0 0 0 0 0 0 0 0 0 0 0 0 0 1 0 1 1 0 1 1 1 1 1 1 0 1 1 0 1 1 1 1 0\n    1 1 1 1 0 1 1 0 0 0 0 1 0 1 0 0 0 1 0 1 0 1 0 1 0 0 0 0 0 0 1 1 0 0 1 0 0 0 \n    1]\n[0 0 1 0 0 0 0 0 0 0 0 0 0 0 0 0 0 0 0 0 1 0 0 0 0 0 0 0 1 0 1 1 1 1 1 1 1 0 1 1\n    1 1 0 1 1 1 1 1 0 0 0 1 0 0 1 1 1 0 1 1 0 0 1 1 0 1 1 1 1 1 0 0 0 1 0 1 0 0 \n    1]\n[0 0 0 1 0 0 0 0 0 0 0 0 0 0 0 0 0 0 0 0 0 1 0 0 0 0 0 0 0 1 0 1 1 1 1 1 1 1 0 1\n    1 1 1 0 1 1 1 1 1 0 0 0 1 0 1 1 1 1 0 1 1 0 0 1 1 0 1 1 1 1 1 0 0 0 1 0 1 0 \n    0]\n[0 0 0 0 1 0 0 0 0 0 0 0 0 0 0 0 0 0 0 0 0 0 1 0 0 0 0 0 0 0 1 0 1 1 1 1 1 1 1 0\n    1 1 1 1 0 1 1 1 1 1 0 0 0 1 0 1 1 1 1 0 1 1 0 0 1 1 0 1 1 1 1 1 0 0 0 1 0 1 \n    0]\n[0 0 0 0 0 1 0 0 0 0 0 0 0 0 0 0 0 0 0 0 0 0 0 1 0 0 0 1 0 0 0 1 0 1 1 1 1 1 1 1\n    0 1 1 1 1 0 1 1 1 1 1 0 0 0 1 0 1 1 1 1 0 1 1 0 0 1 1 0 1 1 1 1 1 0 0 0 1 0 \n    1]\n[0 0 0 0 0 0 1 0 0 0 0 0 0 0 0 0 0 0 0 0 0 0 0 0 1 0 0 0 1 0 0 0 1 0 1 1 1 1 1 1\n    1 0 1 1 1 1 0 1 1 1 1 1 0 0 0 1 0 1 1 1 1 0 1 1 0 0 1 1 0 1 1 1 1 1 0 0 0 1 \n    0]\n[0 0 0 0 0 0 0 1 0 0 0 0 0 0 0 0 0 0 0 0 0 0 0 0 0 1 0 0 0 1 0 0 0 1 0 1 1 1 1 1\n    1 1 0 1 1 1 1 0 1 1 1 1 1 0 0 0 1 0 1 1 1 1 0 1 1 0 0 1 1 0 1 1 1 1 1 0 0 0 \n    1]\n[0 0 0 0 0 0 0 0 1 0 0 0 0 0 0 0 0 0 0 0 0 0 0 0 0 0 1 0 0 0 1 0 0 0 1 0 1 1 1 1\n    1 1 1 0 1 1 1 1 0 1 1 1 1 1 1 0 0 1 0 1 1 1 1 0 1 1 0 0 1 1 0 1 1 1 1 1 0 0 \n    0]\n[0 0 0 0 0 0 0 0 0 1 0 0 0 0 0 0 0 0 0 0 1 1 0 1 1 0 1 0 0 1 0 1 1 0 0 0 0 0 1 1\n    0 1 0 1 0 0 1 1 1 0 1 0 0 1 1 0 1 0 1 1 0 1 1 0 1 0 0 1 1 0 1 1 0 0 1 1 1 0 \n    1]\n[0 0 0 0 0 0 0 0 0 0 1 0 0 0 0 0 0 0 0 0 1 0 1 1 0 1 1 0 0 1 1 0 0 1 0 1 0 1 0 1\n    0 0 0 0 1 1 0 1 1 1 0 0 1 0 1 0 1 1 0 0 0 0 1 0 1 0 1 1 0 0 0 0 0 1 0 1 1 1 \n    1]\n[0 0 0 0 0 0 0 0 0 0 0 1 0 0 0 0 0 0 0 0 1 0 0 0 0 0 0 1 0 1 1 1 1 0 1 1 1 1 1 0\n    0 0 1 0 0 0 1 0 1 1 1 1 1 1 1 0 1 1 1 1 1 0 0 0 1 0 1 0 0 1 0 1 1 1 1 0 1 1 \n    0]\n[0 0 0 0 0 0 0 0 0 0 0 0 1 0 0 0 0 0 0 0 0 1 0 0 0 0 0 1 1 0 1 1 1 1 0 1 1 1 1 1\n    0 0 0 1 0 0 0 1 0 1 1 1 1 1 1 1 0 1 1 1 1 1 0 0 0 1 0 1 0 0 1 0 1 1 1 1 0 1 \n    1]\n[0 0 0 0 0 0 0 0 0 0 0 0 0 1 0 0 0 0 0 0 0 0 1 0 0 0 0 1 1 1 0 1 1 1 1 0 1 1 1 1\n    1 0 0 0 1 0 0 0 1 0 1 1 1 1 0 1 1 0 1 1 1 1 1 0 0 0 1 0 1 0 0 1 0 1 1 1 1 0 \n    1]\n[0 0 0 0 0 0 0 0 0 0 0 0 0 0 1 0 0 0 0 0 0 0 0 1 0 0 0 1 1 1 1 0 1 1 1 1 0 1 1 1\n    1 1 0 0 0 1 0 0 0 1 0 1 1 1 0 0 1 1 0 1 1 1 1 1 0 0 0 1 0 1 0 0 1 0 1 1 1 1 \n    0]\n[0 0 0 0 0 0 0 0 0 0 0 0 0 0 0 1 0 0 0 0 0 0 0 0 1 0 0 1 1 1 1 1 0 1 1 1 1 0 1 1\n    1 1 1 0 0 0 1 0 0 0 1 0 1 1 1 0 0 1 1 0 1 1 1 1 1 0 0 0 1 0 1 0 0 1 0 1 1 1 \n    1]\n[0 0 0 0 0 0 0 0 0 0 0 0 0 0 0 0 1 0 0 0 0 0 0 0 0 1 0 1 1 1 1 1 1 0 1 1 1 1 0 1\n    1 1 1 1 0 0 0 1 0 0 0 1 0 1 1 1 0 0 1 1 0 1 1 1 1 1 0 0 0 1 0 1 0 0 1 0 1 1 \n    1]\n[0 0 0 0 0 0 0 0 0 0 0 0 0 0 0 0 0 1 0 0 0 0 0 0 0 0 1 1 1 1 1 1 1 1 0 1 1 1 1 0\n    1 1 1 1 1 0 0 0 1 0 0 0 1 0 0 1 1 0 0 1 1 0 1 1 1 1 1 0 0 0 1 0 1 0 0 1 0 1 \n    1]\n[0 0 0 0 0 0 0 0 0 0 0 0 0 0 0 0 0 0 1 0 1 1 0 1 1 0 1 1 1 0 1 1 0 1 1 1 1 0 1 1\n    1 1 0 1 1 0 0 0 0 1 0 1 1 1 0 1 0 1 0 1 0 1 0 0 0 0 0 0 1 1 0 0 1 0 0 0 1 0 \n    0]\n[0 0 0 0 0 0 0 0 0 0 0 0 0 0 0 0 0 0 0 1 1 0 1 1 0 1 1 0 1 0 0 1 0 0 1 0 1 0 0 1\n    0 1 0 0 1 0 0 0 0 0 1 1 0 1 1 1 0 0 1 1 0 0 1 1 1 1 1 1 1 0 1 1 1 0 0 0 0 1 \n    1]\nLinear Code over GF(2) of length 79 with 20 generators.\nLower Bound: 1, Upper Bound: 60\nConstructed 4 distinct generator matrices\nRelative Ranks:  20  20  20  19 \nTime Taken: 0.00\nStarting search for low weight codewords... (reset timings)\nEnumerating using 1 generator at a time:\n     New codeword identified of weight 32, time 0.00\n     New codeword identified of weight 30, time 0.00\n   Completed Matrix  1:  lower =  4, upper = 30. Elapsed: 0.00s\n     New codeword identified of weight 26, time 0.00\n     New codeword identified of weight 25, time 0.00\n   Completed Matrix  2:  lower =  5, upper = 25. Elapsed: 0.00s\n     New codeword identified of weight 24, time 0.00\n   Completed Matrix  3:  lower =  6, upper = 24. Elapsed: 0.00s\n   Completed Matrix  4:  lower =  7, upper = 24. Elapsed: 0.00s\nTermination predicted with 6 generators at matrix 1\nEnumerating using 2 generators at a time:\n   Completed Matrix  1:  lower =  8, upper = 24. Elapsed: 0.00s\n   Completed Matrix  2:  lower =  9, upper = 24. Elapsed: 0.00s\n   Completed Matrix  3:  lower = 10, upper = 24. Elapsed: 0.00s\n   Completed Matrix  4:  lower = 11, upper = 24. Elapsed: 0.00s\nTermination predicted with 6 generators at matrix 1\nEnumerating using 3 generators at a time:\n   Completed Matrix  1:  lower = 12, upper = 24. Elapsed: 0.00s\n   Completed Matrix  2:  lower = 13, upper = 24. Elapsed: 0.00s\n   Completed Matrix  3:  lower = 14, upper = 24. Elapsed: 0.00s\n   Completed Matrix  4:  lower = 15, upper = 24. Elapsed: 0.00s\nTermination predicted with 6 generators at matrix 1\nEnumerating using 4 generators at a time:\n   Completed Matrix  1:  lower = 16, upper = 24. Elapsed: 0.00s\n   Completed Matrix  2:  lower = 17, upper = 24. Elapsed: 0.00s\n   Completed Matrix  3:  lower = 18, upper = 24. Elapsed: 0.00s\n   Completed Matrix  4:  lower = 19, upper = 24. Elapsed: 0.00s\nTermination predicted with 6 generators at matrix 1\nEnumerating using 5 generators at a time:\n   Completed Matrix  1:  lower = 20, upper = 24. Elapsed: 0.00s\n   Completed Matrix  2:  lower = 21, upper = 24. Elapsed: 0.00s\n   Completed Matrix  3:  lower = 22, upper = 24. Elapsed: 0.00s\n   Completed Matrix  4:  lower = 23, upper = 24. Elapsed: 0.00s\nTermination predicted with 6 generators at matrix 1\nEnumerating using 6 generators at a time:\n   Completed Matrix  1:  lower = 24, upper = 24. Elapsed: 0.00s\nComputation complete 125556 vectors enumerated in total\n (11.973953% of 79 20 code)\nFinal Results: lower = 24, upper = 24,\nTotal CPU time: 0.00, real time: 0.001\n24\n\nTotal time: 0.010 seconds, Total memory usage: 32.09MB\n</t>
  </si>
  <si>
    <t>[[80,47,11]]</t>
  </si>
  <si>
    <t>Magma V2.28-26    Tue Dec 30 2025 09:50:20 on Marks-MacBook-Air-2 [Seed = \n1265730260]\nType ? for help.  Type &lt;Ctrl&gt;-D to quit.\n[1 0 1 1 0 0 1 0 0 1 1 1 0 0 1 1 1 0 0 0 1 1 1 0 1 1 1 1 0 0 1 0 0 1 0 0 0 0 0 0\n    0 0 0 0 0 0 0 0 0 0 0 0 0 0 0 0 0 0 0 0 0 0 0 0 0 0 0 0 0 0 0 0 0 0 0 0 0 0 \n    0 0]\n[0 1 0 1 1 0 0 1 0 0 1 1 1 0 0 1 1 1 0 0 0 1 1 1 0 1 1 1 1 0 0 1 0 0 1 0 0 0 0 0\n    0 0 0 0 0 0 0 0 0 0 0 0 0 0 0 0 0 0 0 0 0 0 0 0 0 0 0 0 0 0 0 0 0 0 0 0 0 0 \n    0 0]\n[0 0 1 0 1 1 0 0 1 0 0 1 1 1 0 0 1 1 1 0 0 0 1 1 1 0 1 1 1 1 0 0 1 0 0 1 0 0 0 0\n    0 0 0 0 0 0 0 0 0 0 0 0 0 0 0 0 0 0 0 0 0 0 0 0 0 0 0 0 0 0 0 0 0 0 0 0 0 0 \n    0 0]\n[1 0 1 0 0 1 0 0 0 0 1 1 1 1 0 1 1 1 1 1 1 1 1 1 0 0 1 0 1 1 0 0 0 0 0 0 1 0 0 0\n    0 0 0 0 0 0 0 0 0 0 0 0 0 0 0 0 0 0 0 0 0 0 0 0 0 0 0 0 0 0 0 0 0 0 0 0 0 0 \n    0 0]\n[0 1 0 1 0 0 1 0 0 0 0 1 1 1 1 0 1 1 1 1 1 1 1 1 1 0 0 1 0 1 1 0 0 0 0 0 0 1 0 0\n    0 0 0 0 0 0 0 0 0 0 0 0 0 0 0 0 0 0 0 0 0 0 0 0 0 0 0 0 0 0 0 0 0 0 0 0 0 0 \n    0 0]\n[0 0 1 0 1 0 0 1 0 0 0 0 1 1 1 1 0 1 1 1 1 1 1 1 1 1 0 0 1 0 1 1 0 0 0 0 0 0 1 0\n    0 0 0 0 0 0 0 0 0 0 0 0 0 0 0 0 0 0 0 0 0 0 0 0 0 0 0 0 0 0 0 0 0 0 0 0 0 0 \n    0 0]\n[0 0 0 1 0 1 0 0 1 0 0 0 0 1 1 1 1 0 1 1 1 1 1 1 1 1 1 0 0 1 0 1 1 0 0 0 0 0 0 1\n    0 0 0 0 0 0 0 0 0 0 0 0 0 0 0 0 0 0 0 0 0 0 0 0 0 0 0 0 0 0 0 0 0 0 0 0 0 0 \n    0 0]\n[1 0 1 1 1 0 0 0 0 0 1 1 0 0 0 0 0 1 0 1 0 0 0 1 0 0 0 0 0 0 0 0 1 0 0 0 0 0 0 0\n    1 0 0 0 0 0 0 0 0 0 0 0 0 0 0 0 0 0 0 0 0 0 0 0 0 0 0 0 0 0 0 0 0 0 0 0 0 0 \n    0 0]\n[1 1 1 0 1 1 1 0 0 1 1 0 1 0 1 1 1 0 1 0 0 1 1 0 0 1 1 1 0 0 1 0 0 0 0 0 0 0 0 0\n    0 1 0 0 0 0 0 0 0 0 0 0 0 0 0 0 0 0 0 0 0 0 0 0 0 0 0 0 0 0 0 0 0 0 0 0 0 0 \n    0 0]\n[0 1 1 1 0 1 1 1 0 0 1 1 0 1 0 1 1 1 0 1 0 0 1 1 0 0 1 1 1 0 0 1 0 0 0 0 0 0 0 0\n    0 0 1 0 0 0 0 0 0 0 0 0 0 0 0 0 0 0 0 0 0 0 0 0 0 0 0 0 0 0 0 0 0 0 0 0 0 0 \n    0 0]\n[0 0 1 1 1 0 1 1 1 0 0 1 1 0 1 0 1 1 1 0 1 0 0 1 1 0 0 1 1 1 0 0 1 0 0 0 0 0 0 0\n    0 0 0 1 0 0 0 0 0 0 0 0 0 0 0 0 0 0 0 0 0 0 0 0 0 0 0 0 0 0 0 0 0 0 0 0 0 0 \n    0 0]\n[1 0 1 0 1 1 1 1 1 0 1 1 1 1 1 0 1 1 1 1 1 0 1 0 0 0 1 1 1 1 0 0 0 0 0 0 0 0 0 0\n    0 0 0 0 1 0 0 0 0 0 0 0 0 0 0 0 0 0 0 0 0 0 0 0 0 0 0 0 0 0 0 0 0 0 0 0 0 0 \n    0 0]\n[0 1 0 1 0 1 1 1 1 1 0 1 1 1 1 1 0 1 1 1 1 1 0 1 0 0 0 1 1 1 1 0 0 0 0 0 0 0 0 0\n    0 0 0 0 0 1 0 0 0 0 0 0 0 0 0 0 0 0 0 0 0 0 0 0 0 0 0 0 0 0 0 0 0 0 0 0 0 0 \n    0 0]\n[0 0 1 0 1 0 1 1 1 1 1 0 1 1 1 1 1 0 1 1 1 1 1 0 1 0 0 0 1 1 1 1 0 0 0 0 0 0 0 0\n    0 0 0 0 0 0 1 0 0 0 0 0 0 0 0 0 0 0 0 0 0 0 0 0 0 0 0 0 0 0 0 0 0 0 0 0 0 0 \n    0 0]\n[0 0 0 1 0 1 0 1 1 1 1 1 0 1 1 1 1 1 0 1 1 1 1 1 0 1 0 0 0 1 1 1 1 0 0 0 0 0 0 0\n    0 0 0 0 0 0 0 1 0 0 0 0 0 0 0 0 0 0 0 0 0 0 0 0 0 0 0 0 0 0 0 0 0 0 0 0 0 0 \n    0 0]\n[1 0 1 1 1 0 0 0 1 0 0 0 1 0 0 0 0 1 1 0 0 0 0 1 0 1 0 1 0 0 0 1 1 0 0 0 0 0 0 0\n    0 0 0 0 0 0 0 0 1 0 0 0 0 0 0 0 0 0 0 0 0 0 0 0 0 0 0 0 0 0 0 0 0 0 0 0 0 0 \n    0 0]\n[1 1 1 0 1 1 1 0 0 0 1 1 0 1 1 1 1 0 1 1 1 1 1 0 0 1 0 1 1 0 1 0 1 0 0 0 0 0 0 0\n    0 0 0 0 0 0 0 0 0 1 0 0 0 0 0 0 0 0 0 0 0 0 0 0 0 0 0 0 0 0 0 0 0 0 0 0 0 0 \n    0 0]\n[1 1 0 0 0 1 0 1 0 1 1 0 1 0 0 0 0 1 0 1 0 0 0 1 1 1 0 1 1 1 1 1 0 0 0 0 0 0 0 0\n    0 0 0 0 0 0 0 0 0 0 1 0 0 0 0 0 0 0 0 0 0 0 0 0 0 0 0 0 0 0 0 0 0 0 0 0 0 0 \n    0 0]\n[0 1 1 0 0 0 1 0 1 0 1 1 0 1 0 0 0 0 1 0 1 0 0 0 1 1 1 0 1 1 1 1 1 0 0 0 0 0 0 0\n    0 0 0 0 0 0 0 0 0 0 0 1 0 0 0 0 0 0 0 0 0 0 0 0 0 0 0 0 0 0 0 0 0 0 0 0 0 0 \n    0 0]\n[1 0 0 0 0 0 1 1 0 0 1 0 1 0 0 1 1 0 0 1 1 0 1 0 1 0 0 0 0 1 0 1 1 0 0 0 0 0 0 0\n    0 0 0 0 0 0 0 0 0 0 0 0 1 0 0 0 0 0 0 0 0 0 0 0 0 0 0 0 0 0 0 0 0 0 0 0 0 0 \n    0 0]\n[1 1 1 1 0 0 1 1 1 1 1 0 0 1 1 1 0 1 0 0 0 0 1 1 1 0 1 1 0 0 0 0 1 0 0 0 0 0 0 0\n    0 0 0 0 0 0 0 0 0 0 0 0 0 1 0 0 0 0 0 0 0 0 0 0 0 0 0 0 0 0 0 0 0 0 0 0 0 0 \n    0 0]\n[1 1 0 0 1 0 1 1 1 0 0 0 0 0 0 0 0 0 1 0 1 1 1 1 0 0 1 0 1 0 1 0 0 0 0 0 0 0 0 0\n    0 0 0 0 0 0 0 0 0 0 0 0 0 0 1 0 0 0 0 0 0 0 0 0 0 0 0 0 0 0 0 0 0 0 0 0 0 0 \n    0 0]\n[0 1 1 0 0 1 0 1 1 1 0 0 0 0 0 0 0 0 0 1 0 1 1 1 1 0 0 1 0 1 0 1 0 0 0 0 0 0 0 0\n    0 0 0 0 0 0 0 0 0 0 0 0 0 0 0 1 0 0 0 0 0 0 0 0 0 0 0 0 0 0 0 0 0 0 0 0 0 0 \n    0 0]\n[0 0 1 1 0 0 1 0 1 1 1 0 0 0 0 0 0 0 0 0 1 0 1 1 1 1 0 0 1 0 1 0 1 0 0 0 0 0 0 0\n    0 0 0 0 0 0 0 0 0 0 0 0 0 0 0 0 1 0 0 0 0 0 0 0 0 0 0 0 0 0 0 0 0 0 0 0 0 0 \n    0 0]\n[1 0 1 0 1 0 1 1 0 0 0 0 0 0 1 1 1 0 0 0 1 0 1 1 0 0 0 1 0 1 1 1 0 0 0 0 0 0 0 0\n    0 0 0 0 0 0 0 0 0 0 0 0 0 0 0 0 0 1 0 0 0 0 0 0 0 0 0 0 0 0 0 0 0 0 0 0 0 0 \n    0 0]\n[0 1 0 1 0 1 0 1 1 0 0 0 0 0 0 1 1 1 0 0 0 1 0 1 1 0 0 0 1 0 1 1 1 0 0 0 0 0 0 0\n    0 0 0 0 0 0 0 0 0 0 0 0 0 0 0 0 0 0 1 0 0 0 0 0 0 0 0 0 0 0 0 0 0 0 0 0 0 0 \n    0 0]\n[1 0 0 1 1 0 0 0 1 0 1 1 0 0 1 1 0 1 1 0 1 1 0 0 0 0 1 1 0 1 1 1 1 0 0 0 0 0 0 0\n    0 0 0 0 0 0 0 0 0 0 0 0 0 0 0 0 0 0 0 1 0 0 0 0 0 0 0 0 0 0 0 0 0 0 0 0 0 0 \n    0 0]\n[1 1 1 1 1 1 1 0 0 0 1 0 1 0 1 0 0 0 1 1 1 0 0 0 1 1 1 0 1 0 0 1 1 0 0 0 0 0 0 0\n    0 0 0 0 0 0 0 0 0 0 0 0 0 0 0 0 0 0 0 0 1 0 0 0 0 0 0 0 0 0 0 0 0 0 0 0 0 0 \n    0 0]\n[1 1 0 0 1 1 0 1 0 1 1 0 0 1 1 0 1 0 0 1 0 0 1 0 1 0 0 0 0 1 1 0 1 0 0 0 0 0 0 0\n    0 0 0 0 0 0 0 0 0 0 0 0 0 0 0 0 0 0 0 0 0 1 0 0 0 0 0 0 0 0 0 0 0 0 0 0 0 0 \n    0 0]\n[1 1 0 1 0 1 0 0 1 1 0 0 0 0 0 0 1 1 0 0 0 1 1 1 1 0 1 1 0 0 0 1 0 0 0 0 0 0 0 0\n    0 0 0 0 0 0 0 0 0 0 0 0 0 0 0 0 0 0 0 0 0 0 1 0 0 0 0 0 0 0 0 0 0 0 0 0 0 0 \n    0 0]\n[0 1 1 0 1 0 1 0 0 1 1 0 0 0 0 0 0 1 1 0 0 0 1 1 1 1 0 1 1 0 0 0 1 0 0 0 0 0 0 0\n    0 0 0 0 0 0 0 0 0 0 0 0 0 0 0 0 0 0 0 0 0 0 0 1 0 0 0 0 0 0 0 0 0 0 0 0 0 0 \n    0 0]\n[1 0 0 0 0 1 1 1 0 1 0 0 0 0 1 1 1 0 1 1 1 1 1 1 0 0 0 1 1 1 1 0 0 0 0 0 0 0 0 0\n    0 0 0 0 0 0 0 0 0 0 0 0 0 0 0 0 0 0 0 0 0 0 0 0 1 0 0 0 0 0 0 0 0 0 0 0 0 0 \n    0 0]\n[0 1 0 0 0 0 1 1 1 0 1 0 0 0 0 1 1 1 0 1 1 1 1 1 1 0 0 0 1 1 1 1 0 0 0 0 0 0 0 0\n    0 0 0 0 0 0 0 0 0 0 0 0 0 0 0 0 0 0 0 0 0 0 0 0 0 1 0 0 0 0 0 0 0 0 0 0 0 0 \n    0 0]\n[0 0 1 0 0 0 0 1 1 1 0 1 0 0 0 0 1 1 1 0 1 1 1 1 1 1 0 0 0 1 1 1 1 0 0 0 0 0 0 0\n    0 0 0 0 0 0 0 0 0 0 0 0 0 0 0 0 0 0 0 0 0 0 0 0 0 0 1 0 0 0 0 0 0 0 0 0 0 0 \n    0 0]\n[1 0 1 0 0 0 1 0 1 0 0 1 1 0 1 1 1 1 1 1 1 0 0 1 0 0 0 1 0 0 0 1 1 0 0 0 0 0 0 0\n    0 0 0 0 0 0 0 0 0 0 0 0 0 0 0 0 0 0 0 0 0 0 0 0 0 0 0 1 0 0 0 0 0 0 0 0 0 0 \n    0 0]\n[1 1 1 0 0 0 1 1 0 0 1 1 1 1 1 0 0 1 1 1 0 0 1 0 0 1 1 1 1 0 1 0 1 0 0 0 0 0 0 0\n    0 0 0 0 0 0 0 0 0 0 0 0 0 0 0 0 0 0 0 0 0 0 0 0 0 0 0 0 1 0 0 0 0 0 0 0 0 0 \n    0 0]\n[1 1 0 0 0 0 1 1 1 1 1 0 1 1 0 0 1 0 1 1 0 1 1 1 1 1 0 0 1 1 1 1 0 0 0 0 0 0 0 0\n    0 0 0 0 0 0 0 0 0 0 0 0 0 0 0 0 0 0 0 0 0 0 0 0 0 0 0 0 0 1 0 0 0 0 0 0 0 0 \n    0 0]\n[0 1 1 0 0 0 0 1 1 1 1 1 0 1 1 0 0 1 0 1 1 0 1 1 1 1 1 0 0 1 1 1 1 0 0 0 0 0 0 0\n    0 0 0 0 0 0 0 0 0 0 0 0 0 0 0 0 0 0 0 0 0 0 0 0 0 0 0 0 0 0 1 0 0 0 0 0 0 0 \n    0 0]\n[1 0 0 0 0 0 1 0 1 0 0 0 1 0 0 0 1 0 1 0 0 0 1 1 0 0 0 0 0 0 0 1 1 0 0 0 0 0 0 0\n    0 0 0 0 0 0 0 0 0 0 0 0 0 0 0 0 0 0 0 0 0 0 0 0 0 0 0 0 0 0 0 1 0 0 0 0 0 0 \n    0 0]\n[1 1 1 1 0 0 1 1 0 0 1 1 0 1 1 1 1 1 0 1 1 1 1 1 0 1 1 1 0 0 1 0 1 0 0 0 0 0 0 0\n    0 0 0 0 0 0 0 0 0 0 0 0 0 0 0 0 0 0 0 0 0 0 0 0 0 0 0 0 0 0 0 0 1 0 0 0 0 0 \n    0 0]\n[1 1 0 0 1 0 1 1 1 1 1 0 1 0 0 0 0 1 1 0 0 0 0 1 0 1 0 0 1 0 1 1 0 0 0 0 0 0 0 0\n    0 0 0 0 0 0 0 0 0 0 0 0 0 0 0 0 0 0 0 0 0 0 0 0 0 0 0 0 0 0 0 0 0 1 0 0 0 0 \n    0 0]\n[0 1 1 0 0 1 0 1 1 1 1 1 0 1 0 0 0 0 1 1 0 0 0 0 1 0 1 0 0 1 0 1 1 0 0 0 0 0 0 0\n    0 0 0 0 0 0 0 0 0 0 0 0 0 0 0 0 0 0 0 0 0 0 0 0 0 0 0 0 0 0 0 0 0 0 1 0 0 0 \n    0 0]\n[1 0 0 0 0 0 0 0 1 0 0 0 1 0 0 1 1 0 0 1 0 1 1 0 1 0 1 0 0 0 0 0 1 0 0 0 0 0 0 0\n    0 0 0 0 0 0 0 0 0 0 0 0 0 0 0 0 0 0 0 0 0 0 0 0 0 0 0 0 0 0 0 0 0 0 0 1 0 0 \n    0 0]\n[1 1 1 1 0 0 1 0 0 0 1 1 0 1 1 1 0 1 0 0 0 1 0 1 1 0 1 0 0 0 1 0 0 0 0 0 0 0 0 0\n    0 0 0 0 0 0 0 0 0 0 0 0 0 0 0 0 0 0 0 0 0 0 0 0 0 0 0 0 0 0 0 0 0 0 0 0 1 0 \n    0 0]\n[0 1 1 1 1 0 0 1 0 0 0 1 1 0 1 1 1 0 1 0 0 0 1 0 1 1 0 1 0 0 0 1 0 0 0 0 0 0 0 0\n    0 0 0 0 0 0 0 0 0 0 0 0 0 0 0 0 0 0 0 0 0 0 0 0 0 0 0 0 0 0 0 0 0 0 0 0 0 1 \n    0 0]\n[0 0 1 1 1 1 0 0 1 0 0 0 1 1 0 1 1 1 0 1 0 0 0 1 0 1 1 0 1 0 0 0 1 0 0 0 0 0 0 0\n    0 0 0 0 0 0 0 0 0 0 0 0 0 0 0 0 0 0 0 0 0 0 0 0 0 0 0 0 0 0 0 0 0 0 0 0 0 0 \n    1 0]\n[1 0 1 0 1 1 0 0 0 0 1 1 0 1 0 1 0 1 1 0 0 1 1 0 0 1 0 0 0 1 1 0 0 0 0 0 0 0 0 0\n    0 0 0 0 0 0 0 0 0 0 0 0 0 0 0 0 0 0 0 0 0 0 0 0 0 0 0 0 0 0 0 0 0 0 0 0 0 0 \n    0 1]\n[80, 47] Linear Code over GF(2)\nGenerator matrix:\n[1 0 0 0 0 0 0 0 0 0 0 0 0 0 0 0 0 0 0 0 0 0 0 0 0 0 0 0 0 0 0 0 0 0 0 0 0 0 0 0\n    0 0 0 0 0 0 0 0 1 1 1 0 1 1 1 0 0 1 1 0 1 0 1 1 1 0 1 0 0 1 1 0 0 1 1 1 0 0 \n    1 0]\n[0 1 0 0 0 0 0 0 0 0 0 0 0 0 0 0 0 0 0 0 0 0 0 0 0 0 0 0 0 0 0 0 0 0 0 0 0 0 0 0\n    0 0 0 0 0 0 0 0 0 1 1 1 0 1 1 1 0 0 1 1 0 1 0 1 1 1 0 1 0 0 1 1 0 0 1 1 1 0 \n    0 1]\n[0 0 1 0 0 0 0 0 0 0 0 0 0 0 0 0 0 0 0 0 0 0 0 0 0 0 0 0 0 0 0 0 0 0 0 0 0 0 0 0\n    0 0 0 0 0 0 0 1 0 1 0 1 1 1 1 1 0 1 1 1 1 1 0 1 1 1 1 1 0 1 0 0 0 1 1 1 1 0 \n    0 0]\n[0 0 0 1 0 0 0 0 0 0 0 0 0 0 0 0 0 0 0 0 0 0 0 0 0 0 0 0 0 0 0 0 0 0 0 0 0 0 0 0\n    0 0 0 0 0 0 0 0 1 0 1 0 1 1 1 1 1 0 1 1 1 1 1 0 1 1 1 1 1 0 1 0 0 0 1 1 1 1 \n    0 0]\n[0 0 0 0 1 0 0 0 0 0 0 0 0 0 0 0 0 0 0 0 0 0 0 0 0 0 0 0 0 0 0 0 0 0 0 0 0 0 0 0\n    0 0 0 0 0 0 0 0 0 1 0 1 0 1 1 1 1 1 0 1 1 1 1 1 0 1 1 1 1 1 0 1 0 0 0 1 1 1 \n    1 0]\n[0 0 0 0 0 1 0 0 0 0 0 0 0 0 0 0 0 0 0 0 0 0 0 0 0 0 0 0 0 0 0 0 0 0 0 0 0 0 0 0\n    0 0 0 0 0 0 0 0 0 0 1 0 1 0 1 1 1 1 1 0 1 1 1 1 1 0 1 1 1 1 1 0 1 0 0 0 1 1 \n    1 1]\n[0 0 0 0 0 0 1 0 0 0 0 0 0 0 0 0 0 0 0 0 0 0 0 0 0 0 0 0 0 0 0 0 0 0 0 0 0 0 0 0\n    0 0 0 0 0 0 0 1 0 1 1 1 0 0 0 1 0 0 0 1 0 0 0 0 1 1 0 0 0 0 1 0 1 0 1 0 0 0 \n    1 1]\n[0 0 0 0 0 0 0 1 0 0 0 0 0 0 0 0 0 0 0 0 0 0 0 0 0 0 0 0 0 0 0 0 0 0 0 0 0 0 0 0\n    0 0 0 0 0 0 0 1 1 1 0 1 1 1 0 0 0 1 1 0 1 1 1 1 0 1 1 1 1 1 0 0 1 0 1 1 0 1 \n    0 1]\n[0 0 0 0 0 0 0 0 1 0 0 0 0 0 0 0 0 0 0 0 0 0 0 0 0 0 0 0 0 0 0 0 0 0 0 0 0 0 0 0\n    0 0 0 0 0 0 0 1 1 0 0 0 1 0 1 0 1 1 0 1 0 0 0 0 1 0 1 0 0 0 1 1 1 0 1 1 1 1 \n    1 0]\n[0 0 0 0 0 0 0 0 0 1 0 0 0 0 0 0 0 0 0 0 0 0 0 0 0 0 0 0 0 0 0 0 0 0 0 0 0 0 0 0\n    0 0 0 0 0 0 0 0 1 1 0 0 0 1 0 1 0 1 1 0 1 0 0 0 0 1 0 1 0 0 0 1 1 1 0 1 1 1 \n    1 1]\n[0 0 0 0 0 0 0 0 0 0 1 0 0 0 0 0 0 0 0 0 0 0 0 0 0 0 0 0 0 0 0 0 0 0 0 0 0 0 0 0\n    0 0 0 0 0 0 0 1 0 0 0 0 0 1 1 0 0 1 0 1 0 0 1 1 0 0 1 1 0 1 0 1 0 0 0 0 1 0 \n    1 1]\n[0 0 0 0 0 0 0 0 0 0 0 1 0 0 0 0 0 0 0 0 0 0 0 0 0 0 0 0 0 0 0 0 0 0 0 0 0 0 0 0\n    0 0 0 0 0 0 0 1 1 1 1 0 0 1 1 1 1 1 0 0 1 1 1 0 1 0 0 0 0 1 1 1 0 1 1 0 0 0 \n    0 1]\n[0 0 0 0 0 0 0 0 0 0 0 0 1 0 0 0 0 0 0 0 0 0 0 0 0 0 0 0 0 0 0 0 0 0 0 0 0 0 0 0\n    0 0 0 0 0 0 0 1 1 0 0 1 0 1 1 1 0 0 0 0 0 0 0 0 0 1 0 1 1 1 1 0 0 1 0 1 0 1 \n    0 0]\n[0 0 0 0 0 0 0 0 0 0 0 0 0 1 0 0 0 0 0 0 0 0 0 0 0 0 0 0 0 0 0 0 0 0 0 0 0 0 0 0\n    0 0 0 0 0 0 0 0 1 1 0 0 1 0 1 1 1 0 0 0 0 0 0 0 0 0 1 0 1 1 1 1 0 0 1 0 1 0 \n    1 0]\n[0 0 0 0 0 0 0 0 0 0 0 0 0 0 1 0 0 0 0 0 0 0 0 0 0 0 0 0 0 0 0 0 0 0 0 0 0 0 0 0\n    0 0 0 0 0 0 0 0 0 1 1 0 0 1 0 1 1 1 0 0 0 0 0 0 0 0 0 1 0 1 1 1 1 0 0 1 0 1 \n    0 1]\n[0 0 0 0 0 0 0 0 0 0 0 0 0 0 0 1 0 0 0 0 0 0 0 0 0 0 0 0 0 0 0 0 0 0 0 0 0 0 0 0\n    0 0 0 0 0 0 0 1 0 1 0 1 0 1 1 0 0 0 0 0 0 1 1 1 0 0 0 1 0 1 1 0 0 0 1 0 1 1 \n    1 0]\n[0 0 0 0 0 0 0 0 0 0 0 0 0 0 0 0 1 0 0 0 0 0 0 0 0 0 0 0 0 0 0 0 0 0 0 0 0 0 0 0\n    0 0 0 0 0 0 0 0 1 0 1 0 1 0 1 1 0 0 0 0 0 0 1 1 1 0 0 0 1 0 1 1 0 0 0 1 0 1 \n    1 1]\n[0 0 0 0 0 0 0 0 0 0 0 0 0 0 0 0 0 1 0 0 0 0 0 0 0 0 0 0 0 0 0 0 0 0 0 0 0 0 0 0\n    0 0 0 0 0 0 0 1 0 0 1 1 0 0 0 1 0 1 1 0 0 1 1 0 1 1 0 1 1 0 0 0 0 1 1 0 1 1 \n    1 1]\n[0 0 0 0 0 0 0 0 0 0 0 0 0 0 0 0 0 0 1 0 0 0 0 0 0 0 0 0 0 0 0 0 0 0 0 0 0 0 0 0\n    0 0 0 0 0 0 0 1 1 1 1 1 1 1 0 0 0 1 0 1 0 1 0 0 0 1 1 1 0 0 0 1 1 1 0 1 0 0 \n    1 1]\n[0 0 0 0 0 0 0 0 0 0 0 0 0 0 0 0 0 0 0 1 0 0 0 0 0 0 0 0 0 0 0 0 0 0 0 0 0 0 0 0\n    0 0 0 0 0 0 0 1 1 0 0 1 1 0 1 0 1 1 0 0 1 1 0 1 0 0 1 0 0 1 0 1 0 0 0 0 1 1 \n    0 1]\n[0 0 0 0 0 0 0 0 0 0 0 0 0 0 0 0 0 0 0 0 1 0 0 0 0 0 0 0 0 0 0 0 0 0 0 0 0 0 0 0\n    0 0 0 0 0 0 0 1 1 0 1 0 1 0 0 1 1 0 0 0 0 0 0 1 1 0 0 0 1 1 1 1 0 1 1 0 0 0 \n    1 0]\n[0 0 0 0 0 0 0 0 0 0 0 0 0 0 0 0 0 0 0 0 0 1 0 0 0 0 0 0 0 0 0 0 0 0 0 0 0 0 0 0\n    0 0 0 0 0 0 0 0 1 1 0 1 0 1 0 0 1 1 0 0 0 0 0 0 1 1 0 0 0 1 1 1 1 0 1 1 0 0 \n    0 1]\n[0 0 0 0 0 0 0 0 0 0 0 0 0 0 0 0 0 0 0 0 0 0 1 0 0 0 0 0 0 0 0 0 0 0 0 0 0 0 0 0\n    0 0 0 0 0 0 0 1 0 0 0 0 1 1 1 0 1 0 0 0 0 1 1 1 0 1 1 1 1 1 1 0 0 0 1 1 1 1 \n    0 0]\n[0 0 0 0 0 0 0 0 0 0 0 0 0 0 0 0 0 0 0 0 0 0 0 1 0 0 0 0 0 0 0 0 0 0 0 0 0 0 0 0\n    0 0 0 0 0 0 0 0 1 0 0 0 0 1 1 1 0 1 0 0 0 0 1 1 1 0 1 1 1 1 1 1 0 0 0 1 1 1 \n    1 0]\n[0 0 0 0 0 0 0 0 0 0 0 0 0 0 0 0 0 0 0 0 0 0 0 0 1 0 0 0 0 0 0 0 0 0 0 0 0 0 0 0\n    0 0 0 0 0 0 0 0 0 1 0 0 0 0 1 1 1 0 1 0 0 0 0 1 1 1 0 1 1 1 1 1 1 0 0 0 1 1 \n    1 1]\n[0 0 0 0 0 0 0 0 0 0 0 0 0 0 0 0 0 0 0 0 0 0 0 0 0 1 0 0 0 0 0 0 0 0 0 0 0 0 0 0\n    0 0 0 0 0 0 0 1 0 1 0 0 0 1 0 1 0 0 1 1 0 1 1 1 1 1 1 1 0 0 1 0 0 0 1 0 0 0 \n    1 1]\n[0 0 0 0 0 0 0 0 0 0 0 0 0 0 0 0 0 0 0 0 0 0 0 0 0 0 1 0 0 0 0 0 0 0 0 0 0 0 0 0\n    0 0 0 0 0 0 0 1 1 1 0 0 0 1 1 0 0 1 1 1 1 1 0 0 1 1 1 0 0 1 0 0 1 1 1 1 0 1 \n    0 1]\n[0 0 0 0 0 0 0 0 0 0 0 0 0 0 0 0 0 0 0 0 0 0 0 0 0 0 0 1 0 0 0 0 0 0 0 0 0 0 0 0\n    0 0 0 0 0 0 0 1 1 0 0 0 0 1 1 1 1 1 0 1 1 0 0 1 0 1 1 0 1 1 1 1 1 0 0 1 1 1 \n    1 0]\n[0 0 0 0 0 0 0 0 0 0 0 0 0 0 0 0 0 0 0 0 0 0 0 0 0 0 0 0 1 0 0 0 0 0 0 0 0 0 0 0\n    0 0 0 0 0 0 0 0 1 1 0 0 0 0 1 1 1 1 1 0 1 1 0 0 1 0 1 1 0 1 1 1 1 1 0 0 1 1 \n    1 1]\n[0 0 0 0 0 0 0 0 0 0 0 0 0 0 0 0 0 0 0 0 0 0 0 0 0 0 0 0 0 1 0 0 0 0 0 0 0 0 0 0\n    0 0 0 0 0 0 0 1 0 0 0 0 0 1 0 1 0 0 0 1 0 0 0 1 0 1 0 0 0 1 1 0 0 0 0 0 0 0 \n    1 1]\n[0 0 0 0 0 0 0 0 0 0 0 0 0 0 0 0 0 0 0 0 0 0 0 0 0 0 0 0 0 0 1 0 0 0 0 0 0 0 0 0\n    0 0 0 0 0 0 0 1 1 1 1 0 0 1 1 0 0 1 1 0 1 1 1 1 1 0 1 1 1 1 1 0 1 1 1 0 0 1 \n    0 1]\n[0 0 0 0 0 0 0 0 0 0 0 0 0 0 0 0 0 0 0 0 0 0 0 0 0 0 0 0 0 0 0 1 0 0 0 0 0 0 0 0\n    0 0 0 0 0 0 0 1 1 0 0 1 0 1 1 1 1 1 0 1 0 0 0 0 1 1 0 0 0 0 1 0 1 0 0 1 0 1 \n    1 0]\n[0 0 0 0 0 0 0 0 0 0 0 0 0 0 0 0 0 0 0 0 0 0 0 0 0 0 0 0 0 0 0 0 1 0 0 0 0 0 0 0\n    0 0 0 0 0 0 0 0 1 1 0 0 1 0 1 1 1 1 1 0 1 0 0 0 0 1 1 0 0 0 0 1 0 1 0 0 1 0 \n    1 1]\n[0 0 0 0 0 0 0 0 0 0 0 0 0 0 0 0 0 0 0 0 0 0 0 0 0 0 0 0 0 0 0 0 0 1 0 0 0 0 0 0\n    0 0 0 0 0 0 0 1 0 0 0 0 0 0 0 1 0 0 0 1 0 0 1 1 0 0 1 0 1 1 0 1 0 1 0 0 0 0 \n    0 1]\n[0 0 0 0 0 0 0 0 0 0 0 0 0 0 0 0 0 0 0 0 0 0 0 0 0 0 0 0 0 0 0 0 0 0 1 0 0 0 0 0\n    0 0 0 0 0 0 0 1 1 1 1 0 0 1 0 0 0 1 1 0 1 1 1 0 1 0 0 0 1 0 1 1 0 1 0 0 0 1 \n    0 0]\n[0 0 0 0 0 0 0 0 0 0 0 0 0 0 0 0 0 0 0 0 0 0 0 0 0 0 0 0 0 0 0 0 0 0 0 1 0 0 0 0\n    0 0 0 0 0 0 0 0 1 1 1 1 0 0 1 0 0 0 1 1 0 1 1 1 0 1 0 0 0 1 0 1 1 0 1 0 0 0 \n    1 0]\n[0 0 0 0 0 0 0 0 0 0 0 0 0 0 0 0 0 0 0 0 0 0 0 0 0 0 0 0 0 0 0 0 0 0 0 0 1 0 0 0\n    0 0 0 0 0 0 0 0 0 1 1 1 1 0 0 1 0 0 0 1 1 0 1 1 1 0 1 0 0 0 1 0 1 1 0 1 0 0 \n    0 1]\n[0 0 0 0 0 0 0 0 0 0 0 0 0 0 0 0 0 0 0 0 0 0 0 0 0 0 0 0 0 0 0 0 0 0 0 0 0 1 0 0\n    0 0 0 0 0 0 0 1 0 1 0 1 1 0 0 0 0 1 1 0 1 0 1 0 1 1 0 0 1 1 0 0 1 0 0 0 1 1 \n    0 0]\n[0 0 0 0 0 0 0 0 0 0 0 0 0 0 0 0 0 0 0 0 0 0 0 0 0 0 0 0 0 0 0 0 0 0 0 0 0 0 1 0\n    0 0 0 0 0 0 0 0 1 0 1 0 1 1 0 0 0 0 1 1 0 1 0 1 0 1 1 0 0 1 1 0 0 1 0 0 0 1 \n    1 0]\n[0 0 0 0 0 0 0 0 0 0 0 0 0 0 0 0 0 0 0 0 0 0 0 0 0 0 0 0 0 0 0 0 0 0 0 0 0 0 0 1\n    0 0 0 0 0 0 0 0 0 1 0 1 0 1 1 0 0 0 0 1 1 0 1 0 1 0 1 1 0 0 1 1 0 0 1 0 0 0 \n    1 1]\n[0 0 0 0 0 0 0 0 0 0 0 0 0 0 0 0 0 0 0 0 0 0 0 0 0 0 0 0 0 0 0 0 0 0 0 0 0 0 0 0\n    1 0 0 0 0 0 0 1 0 1 0 0 1 1 1 1 1 1 1 0 1 0 1 0 0 1 0 0 0 1 0 0 0 1 1 1 0 1 \n    0 1]\n[0 0 0 0 0 0 0 0 0 0 0 0 0 0 0 0 0 0 0 0 0 0 0 0 0 0 0 0 0 0 0 0 0 0 0 0 0 0 0 0\n    0 1 0 0 0 0 0 1 1 1 0 0 0 0 1 1 0 0 0 1 0 0 1 0 0 0 1 1 1 1 1 1 1 1 0 1 1 1 \n    1 0]\n[0 0 0 0 0 0 0 0 0 0 0 0 0 0 0 0 0 0 0 0 0 0 0 0 0 0 0 0 0 0 0 0 0 0 0 0 0 0 0 0\n    0 0 1 0 0 0 0 0 1 1 1 0 0 0 0 1 1 0 0 0 1 0 0 1 0 0 0 1 1 1 1 1 1 1 1 0 1 1 \n    1 1]\n[0 0 0 0 0 0 0 0 0 0 0 0 0 0 0 0 0 0 0 0 0 0 0 0 0 0 0 0 0 0 0 0 0 0 0 0 0 0 0 0\n    0 0 0 1 0 0 0 1 0 0 0 1 0 1 0 0 0 0 1 0 0 0 1 1 1 0 0 1 0 0 1 0 0 0 0 1 0 0 \n    1 1]\n[0 0 0 0 0 0 0 0 0 0 0 0 0 0 0 0 0 0 0 0 0 0 0 0 0 0 0 0 0 0 0 0 0 0 0 0 0 0 0 0\n    0 0 0 0 1 0 0 1 1 1 1 0 1 1 1 0 1 1 1 1 0 1 1 0 1 1 0 1 0 1 0 0 1 1 1 0 1 1 \n    0 1]\n[0 0 0 0 0 0 0 0 0 0 0 0 0 0 0 0 0 0 0 0 0 0 0 0 0 0 0 0 0 0 0 0 0 0 0 0 0 0 0 0\n    0 0 0 0 0 1 0 1 1 0 0 1 0 0 1 1 1 0 0 1 1 1 0 0 0 1 1 1 0 1 1 1 1 0 0 1 0 0 \n    1 0]\n[0 0 0 0 0 0 0 0 0 0 0 0 0 0 0 0 0 0 0 0 0 0 0 0 0 0 0 0 0 0 0 0 0 0 0 0 0 0 0 0\n    0 0 0 0 0 0 1 0 1 1 0 0 1 0 0 1 1 1 0 0 1 1 1 0 0 0 1 1 1 0 1 1 1 1 0 0 1 0 \n    0 1]\nLinear Code over GF(2) of length 80 with 47 generators.\nLower Bound: 1, Upper Bound: 34\nConstructed 2 distinct generator matrices\nRelative Ranks:  47  33 \nTime Taken: 0.00\nStarting search for low weight codewords... (reset timings)\nEnumerating using 1 generator at a time:\n     New codeword identified of weight 20, time 0.00\n     New codeword identified of weight 14, time 0.00\n     New codeword identified of weight 11, time 0.00\n     Discarding non-contributing rank 33 matrix\n     New Relative Ranks:  47 \n   Completed Matrix  1:  lower =  2, upper = 11. Elapsed: 0.00s\nTermination predicted with 10 generators at matrix 1\nEnumerating using 2 generators at a time:\n   Completed Matrix  1:  lower =  3, upper = 11. Elapsed: 0.00s\nTermination predicted with 10 generators at matrix 1\nEnumerating using 3 generators at a time:\n   Completed Matrix  1:  lower =  4, upper = 11. Elapsed: 0.00s\nTermination predicted with 10 generators at matrix 1\nEnumerating using 4 generators at a time:\n   Completed Matrix  1:  lower =  5, upper = 11. Elapsed: 0.00s\nTermination predicted with 10 generators at matrix 1\nEnumerating using 5 generators at a time:\n   Completed Matrix  1:  lower =  6, upper = 11. Elapsed: 0.00s\nTermination predicted with 10 generators at matrix 1\nEnumerating using 6 generators at a time:\n   Completed Matrix  1:  lower =  7, upper = 11. Elapsed: 0.03s\nTermination predicted with 10 generators at matrix 1\nEnumerating using 7 generators at a time:\n   Completed Matrix  1:  lower =  8, upper = 11. Elapsed: 0.16s\nTermination predicted with 10 generators at matrix 1\nEnumerating using 8 generators at a time:\n   Completed Matrix  1:  lower =  9, upper = 11. Elapsed: 0.82s\nTermination predicted at 15 s with 10 generators at matrix 1\nEnumerating using 9 generators at a time:\n   Completed Matrix  1:  lower = 10, upper = 11. Elapsed: 3.79s\nTermination predicted at 15 s with 10 generators at matrix 1\nEnumerating using 10 generators at a time:\n   Completed Matrix  1:  lower = 11, upper = 11. Elapsed: 15.62s\nComputation complete 6930532110 vectors enumerated in total\n (0.004924% of 80 47 code)\nFinal Results: lower = 11, upper = 11,\nTotal CPU time: 15.62, real time: 15.619\n11\n\nTotal time: 15.630 seconds, Total memory usage: 32.09MB\n</t>
  </si>
  <si>
    <t>[[81,48,11]]</t>
  </si>
  <si>
    <t>Magma V2.28-26    Tue Dec 30 2025 09:50:36 on Marks-MacBook-Air-2 [Seed = \n1533121268]\nType ? for help.  Type &lt;Ctrl&gt;-D to quit.\n[1 0 1 1 0 0 1 0 0 1 1 1 0 0 1 1 1 0 0 0 1 1 1 0 1 1 1 1 0 0 1 0 0 1 0 0 0 0 0 0\n    0 0 0 0 0 0 0 0 0 0 0 0 0 0 0 0 0 0 0 0 0 0 0 0 0 0 0 0 0 0 0 0 0 0 0 0 0 0 \n    0 0 0]\n[0 1 0 1 1 0 0 1 0 0 1 1 1 0 0 1 1 1 0 0 0 1 1 1 0 1 1 1 1 0 0 1 0 0 1 0 0 0 0 0\n    0 0 0 0 0 0 0 0 0 0 0 0 0 0 0 0 0 0 0 0 0 0 0 0 0 0 0 0 0 0 0 0 0 0 0 0 0 0 \n    0 0 0]\n[0 0 1 0 1 1 0 0 1 0 0 1 1 1 0 0 1 1 1 0 0 0 1 1 1 0 1 1 1 1 0 0 1 0 0 1 0 0 0 0\n    0 0 0 0 0 0 0 0 0 0 0 0 0 0 0 0 0 0 0 0 0 0 0 0 0 0 0 0 0 0 0 0 0 0 0 0 0 0 \n    0 0 0]\n[1 0 1 0 0 1 0 0 0 0 1 1 1 1 0 1 1 1 1 1 1 1 1 1 0 0 1 0 1 1 0 0 0 0 0 0 1 0 0 0\n    0 0 0 0 0 0 0 0 0 0 0 0 0 0 0 0 0 0 0 0 0 0 0 0 0 0 0 0 0 0 0 0 0 0 0 0 0 0 \n    0 0 0]\n[0 1 0 1 0 0 1 0 0 0 0 1 1 1 1 0 1 1 1 1 1 1 1 1 1 0 0 1 0 1 1 0 0 0 0 0 0 1 0 0\n    0 0 0 0 0 0 0 0 0 0 0 0 0 0 0 0 0 0 0 0 0 0 0 0 0 0 0 0 0 0 0 0 0 0 0 0 0 0 \n    0 0 0]\n[0 0 1 0 1 0 0 1 0 0 0 0 1 1 1 1 0 1 1 1 1 1 1 1 1 1 0 0 1 0 1 1 0 0 0 0 0 0 1 0\n    0 0 0 0 0 0 0 0 0 0 0 0 0 0 0 0 0 0 0 0 0 0 0 0 0 0 0 0 0 0 0 0 0 0 0 0 0 0 \n    0 0 0]\n[0 0 0 1 0 1 0 0 1 0 0 0 0 1 1 1 1 0 1 1 1 1 1 1 1 1 1 0 0 1 0 1 1 0 0 0 0 0 0 1\n    0 0 0 0 0 0 0 0 0 0 0 0 0 0 0 0 0 0 0 0 0 0 0 0 0 0 0 0 0 0 0 0 0 0 0 0 0 0 \n    0 0 0]\n[1 0 1 1 1 0 0 0 0 0 1 1 0 0 0 0 0 1 0 1 0 0 0 1 0 0 0 0 0 0 0 0 1 0 0 0 0 0 0 0\n    1 0 0 0 0 0 0 0 0 0 0 0 0 0 0 0 0 0 0 0 0 0 0 0 0 0 0 0 0 0 0 0 0 0 0 0 0 0 \n    0 0 0]\n[1 1 1 0 1 1 1 0 0 1 1 0 1 0 1 1 1 0 1 0 0 1 1 0 0 1 1 1 0 0 1 0 0 0 0 0 0 0 0 0\n    0 1 0 0 0 0 0 0 0 0 0 0 0 0 0 0 0 0 0 0 0 0 0 0 0 0 0 0 0 0 0 0 0 0 0 0 0 0 \n    0 0 0]\n[0 1 1 1 0 1 1 1 0 0 1 1 0 1 0 1 1 1 0 1 0 0 1 1 0 0 1 1 1 0 0 1 0 0 0 0 0 0 0 0\n    0 0 1 0 0 0 0 0 0 0 0 0 0 0 0 0 0 0 0 0 0 0 0 0 0 0 0 0 0 0 0 0 0 0 0 0 0 0 \n    0 0 0]\n[0 0 1 1 1 0 1 1 1 0 0 1 1 0 1 0 1 1 1 0 1 0 0 1 1 0 0 1 1 1 0 0 1 0 0 0 0 0 0 0\n    0 0 0 1 0 0 0 0 0 0 0 0 0 0 0 0 0 0 0 0 0 0 0 0 0 0 0 0 0 0 0 0 0 0 0 0 0 0 \n    0 0 0]\n[1 0 1 0 1 1 1 1 1 0 1 1 1 1 1 0 1 1 1 1 1 0 1 0 0 0 1 1 1 1 0 0 0 0 0 0 0 0 0 0\n    0 0 0 0 1 0 0 0 0 0 0 0 0 0 0 0 0 0 0 0 0 0 0 0 0 0 0 0 0 0 0 0 0 0 0 0 0 0 \n    0 0 0]\n[0 1 0 1 0 1 1 1 1 1 0 1 1 1 1 1 0 1 1 1 1 1 0 1 0 0 0 1 1 1 1 0 0 0 0 0 0 0 0 0\n    0 0 0 0 0 1 0 0 0 0 0 0 0 0 0 0 0 0 0 0 0 0 0 0 0 0 0 0 0 0 0 0 0 0 0 0 0 0 \n    0 0 0]\n[0 0 1 0 1 0 1 1 1 1 1 0 1 1 1 1 1 0 1 1 1 1 1 0 1 0 0 0 1 1 1 1 0 0 0 0 0 0 0 0\n    0 0 0 0 0 0 1 0 0 0 0 0 0 0 0 0 0 0 0 0 0 0 0 0 0 0 0 0 0 0 0 0 0 0 0 0 0 0 \n    0 0 0]\n[0 0 0 1 0 1 0 1 1 1 1 1 0 1 1 1 1 1 0 1 1 1 1 1 0 1 0 0 0 1 1 1 1 0 0 0 0 0 0 0\n    0 0 0 0 0 0 0 1 0 0 0 0 0 0 0 0 0 0 0 0 0 0 0 0 0 0 0 0 0 0 0 0 0 0 0 0 0 0 \n    0 0 0]\n[1 0 1 1 1 0 0 0 1 0 0 0 1 0 0 0 0 1 1 0 0 0 0 1 0 1 0 1 0 0 0 1 1 0 0 0 0 0 0 0\n    0 0 0 0 0 0 0 0 1 0 0 0 0 0 0 0 0 0 0 0 0 0 0 0 0 0 0 0 0 0 0 0 0 0 0 0 0 0 \n    0 0 0]\n[1 1 1 0 1 1 1 0 0 0 1 1 0 1 1 1 1 0 1 1 1 1 1 0 0 1 0 1 1 0 1 0 1 0 0 0 0 0 0 0\n    0 0 0 0 0 0 0 0 0 1 0 0 0 0 0 0 0 0 0 0 0 0 0 0 0 0 0 0 0 0 0 0 0 0 0 0 0 0 \n    0 0 0]\n[1 1 0 0 0 1 0 1 0 1 1 0 1 0 0 0 0 1 0 1 0 0 0 1 1 1 0 1 1 1 1 1 0 0 0 0 0 0 0 0\n    0 0 0 0 0 0 0 0 0 0 1 0 0 0 0 0 0 0 0 0 0 0 0 0 0 0 0 0 0 0 0 0 0 0 0 0 0 0 \n    0 0 0]\n[0 1 1 0 0 0 1 0 1 0 1 1 0 1 0 0 0 0 1 0 1 0 0 0 1 1 1 0 1 1 1 1 1 0 0 0 0 0 0 0\n    0 0 0 0 0 0 0 0 0 0 0 1 0 0 0 0 0 0 0 0 0 0 0 0 0 0 0 0 0 0 0 0 0 0 0 0 0 0 \n    0 0 0]\n[1 0 0 0 0 0 1 1 0 0 1 0 1 0 0 1 1 0 0 1 1 0 1 0 1 0 0 0 0 1 0 1 1 0 0 0 0 0 0 0\n    0 0 0 0 0 0 0 0 0 0 0 0 1 0 0 0 0 0 0 0 0 0 0 0 0 0 0 0 0 0 0 0 0 0 0 0 0 0 \n    0 0 0]\n[1 1 1 1 0 0 1 1 1 1 1 0 0 1 1 1 0 1 0 0 0 0 1 1 1 0 1 1 0 0 0 0 1 0 0 0 0 0 0 0\n    0 0 0 0 0 0 0 0 0 0 0 0 0 1 0 0 0 0 0 0 0 0 0 0 0 0 0 0 0 0 0 0 0 0 0 0 0 0 \n    0 0 0]\n[1 1 0 0 1 0 1 1 1 0 0 0 0 0 0 0 0 0 1 0 1 1 1 1 0 0 1 0 1 0 1 0 0 0 0 0 0 0 0 0\n    0 0 0 0 0 0 0 0 0 0 0 0 0 0 1 0 0 0 0 0 0 0 0 0 0 0 0 0 0 0 0 0 0 0 0 0 0 0 \n    0 0 0]\n[0 1 1 0 0 1 0 1 1 1 0 0 0 0 0 0 0 0 0 1 0 1 1 1 1 0 0 1 0 1 0 1 0 0 0 0 0 0 0 0\n    0 0 0 0 0 0 0 0 0 0 0 0 0 0 0 1 0 0 0 0 0 0 0 0 0 0 0 0 0 0 0 0 0 0 0 0 0 0 \n    0 0 0]\n[0 0 1 1 0 0 1 0 1 1 1 0 0 0 0 0 0 0 0 0 1 0 1 1 1 1 0 0 1 0 1 0 1 0 0 0 0 0 0 0\n    0 0 0 0 0 0 0 0 0 0 0 0 0 0 0 0 1 0 0 0 0 0 0 0 0 0 0 0 0 0 0 0 0 0 0 0 0 0 \n    0 0 0]\n[1 0 1 0 1 0 1 1 0 0 0 0 0 0 1 1 1 0 0 0 1 0 1 1 0 0 0 1 0 1 1 1 0 0 0 0 0 0 0 0\n    0 0 0 0 0 0 0 0 0 0 0 0 0 0 0 0 0 1 0 0 0 0 0 0 0 0 0 0 0 0 0 0 0 0 0 0 0 0 \n    0 0 0]\n[0 1 0 1 0 1 0 1 1 0 0 0 0 0 0 1 1 1 0 0 0 1 0 1 1 0 0 0 1 0 1 1 1 0 0 0 0 0 0 0\n    0 0 0 0 0 0 0 0 0 0 0 0 0 0 0 0 0 0 1 0 0 0 0 0 0 0 0 0 0 0 0 0 0 0 0 0 0 0 \n    0 0 0]\n[1 0 0 1 1 0 0 0 1 0 1 1 0 0 1 1 0 1 1 0 1 1 0 0 0 0 1 1 0 1 1 1 1 0 0 0 0 0 0 0\n    0 0 0 0 0 0 0 0 0 0 0 0 0 0 0 0 0 0 0 1 0 0 0 0 0 0 0 0 0 0 0 0 0 0 0 0 0 0 \n    0 0 0]\n[1 1 1 1 1 1 1 0 0 0 1 0 1 0 1 0 0 0 1 1 1 0 0 0 1 1 1 0 1 0 0 1 1 0 0 0 0 0 0 0\n    0 0 0 0 0 0 0 0 0 0 0 0 0 0 0 0 0 0 0 0 1 0 0 0 0 0 0 0 0 0 0 0 0 0 0 0 0 0 \n    0 0 0]\n[1 1 0 0 1 1 0 1 0 1 1 0 0 1 1 0 1 0 0 1 0 0 1 0 1 0 0 0 0 1 1 0 1 0 0 0 0 0 0 0\n    0 0 0 0 0 0 0 0 0 0 0 0 0 0 0 0 0 0 0 0 0 1 0 0 0 0 0 0 0 0 0 0 0 0 0 0 0 0 \n    0 0 0]\n[1 1 0 1 0 1 0 0 1 1 0 0 0 0 0 0 1 1 0 0 0 1 1 1 1 0 1 1 0 0 0 1 0 0 0 0 0 0 0 0\n    0 0 0 0 0 0 0 0 0 0 0 0 0 0 0 0 0 0 0 0 0 0 1 0 0 0 0 0 0 0 0 0 0 0 0 0 0 0 \n    0 0 0]\n[0 1 1 0 1 0 1 0 0 1 1 0 0 0 0 0 0 1 1 0 0 0 1 1 1 1 0 1 1 0 0 0 1 0 0 0 0 0 0 0\n    0 0 0 0 0 0 0 0 0 0 0 0 0 0 0 0 0 0 0 0 0 0 0 1 0 0 0 0 0 0 0 0 0 0 0 0 0 0 \n    0 0 0]\n[1 0 0 0 0 1 1 1 0 1 0 0 0 0 1 1 1 0 1 1 1 1 1 1 0 0 0 1 1 1 1 0 0 0 0 0 0 0 0 0\n    0 0 0 0 0 0 0 0 0 0 0 0 0 0 0 0 0 0 0 0 0 0 0 0 1 0 0 0 0 0 0 0 0 0 0 0 0 0 \n    0 0 0]\n[0 1 0 0 0 0 1 1 1 0 1 0 0 0 0 1 1 1 0 1 1 1 1 1 1 0 0 0 1 1 1 1 0 0 0 0 0 0 0 0\n    0 0 0 0 0 0 0 0 0 0 0 0 0 0 0 0 0 0 0 0 0 0 0 0 0 1 0 0 0 0 0 0 0 0 0 0 0 0 \n    0 0 0]\n[0 0 1 0 0 0 0 1 1 1 0 1 0 0 0 0 1 1 1 0 1 1 1 1 1 1 0 0 0 1 1 1 1 0 0 0 0 0 0 0\n    0 0 0 0 0 0 0 0 0 0 0 0 0 0 0 0 0 0 0 0 0 0 0 0 0 0 1 0 0 0 0 0 0 0 0 0 0 0 \n    0 0 0]\n[1 0 1 0 0 0 1 0 1 0 0 1 1 0 1 1 1 1 1 1 1 0 0 1 0 0 0 1 0 0 0 1 1 0 0 0 0 0 0 0\n    0 0 0 0 0 0 0 0 0 0 0 0 0 0 0 0 0 0 0 0 0 0 0 0 0 0 0 1 0 0 0 0 0 0 0 0 0 0 \n    0 0 0]\n[1 1 1 0 0 0 1 1 0 0 1 1 1 1 1 0 0 1 1 1 0 0 1 0 0 1 1 1 1 0 1 0 1 0 0 0 0 0 0 0\n    0 0 0 0 0 0 0 0 0 0 0 0 0 0 0 0 0 0 0 0 0 0 0 0 0 0 0 0 1 0 0 0 0 0 0 0 0 0 \n    0 0 0]\n[1 1 0 0 0 0 1 1 1 1 1 0 1 1 0 0 1 0 1 1 0 1 1 1 1 1 0 0 1 1 1 1 0 0 0 0 0 0 0 0\n    0 0 0 0 0 0 0 0 0 0 0 0 0 0 0 0 0 0 0 0 0 0 0 0 0 0 0 0 0 1 0 0 0 0 0 0 0 0 \n    0 0 0]\n[0 1 1 0 0 0 0 1 1 1 1 1 0 1 1 0 0 1 0 1 1 0 1 1 1 1 1 0 0 1 1 1 1 0 0 0 0 0 0 0\n    0 0 0 0 0 0 0 0 0 0 0 0 0 0 0 0 0 0 0 0 0 0 0 0 0 0 0 0 0 0 1 0 0 0 0 0 0 0 \n    0 0 0]\n[1 0 0 0 0 0 1 0 1 0 0 0 1 0 0 0 1 0 1 0 0 0 1 1 0 0 0 0 0 0 0 1 1 0 0 0 0 0 0 0\n    0 0 0 0 0 0 0 0 0 0 0 0 0 0 0 0 0 0 0 0 0 0 0 0 0 0 0 0 0 0 0 1 0 0 0 0 0 0 \n    0 0 0]\n[1 1 1 1 0 0 1 1 0 0 1 1 0 1 1 1 1 1 0 1 1 1 1 1 0 1 1 1 0 0 1 0 1 0 0 0 0 0 0 0\n    0 0 0 0 0 0 0 0 0 0 0 0 0 0 0 0 0 0 0 0 0 0 0 0 0 0 0 0 0 0 0 0 1 0 0 0 0 0 \n    0 0 0]\n[1 1 0 0 1 0 1 1 1 1 1 0 1 0 0 0 0 1 1 0 0 0 0 1 0 1 0 0 1 0 1 1 0 0 0 0 0 0 0 0\n    0 0 0 0 0 0 0 0 0 0 0 0 0 0 0 0 0 0 0 0 0 0 0 0 0 0 0 0 0 0 0 0 0 1 0 0 0 0 \n    0 0 0]\n[0 1 1 0 0 1 0 1 1 1 1 1 0 1 0 0 0 0 1 1 0 0 0 0 1 0 1 0 0 1 0 1 1 0 0 0 0 0 0 0\n    0 0 0 0 0 0 0 0 0 0 0 0 0 0 0 0 0 0 0 0 0 0 0 0 0 0 0 0 0 0 0 0 0 0 1 0 0 0 \n    0 0 0]\n[1 0 0 0 0 0 0 0 1 0 0 0 1 0 0 1 1 0 0 1 0 1 1 0 1 0 1 0 0 0 0 0 1 0 0 0 0 0 0 0\n    0 0 0 0 0 0 0 0 0 0 0 0 0 0 0 0 0 0 0 0 0 0 0 0 0 0 0 0 0 0 0 0 0 0 0 1 0 0 \n    0 0 0]\n[1 1 1 1 0 0 1 0 0 0 1 1 0 1 1 1 0 1 0 0 0 1 0 1 1 0 1 0 0 0 1 0 0 0 0 0 0 0 0 0\n    0 0 0 0 0 0 0 0 0 0 0 0 0 0 0 0 0 0 0 0 0 0 0 0 0 0 0 0 0 0 0 0 0 0 0 0 1 0 \n    0 0 0]\n[0 1 1 1 1 0 0 1 0 0 0 1 1 0 1 1 1 0 1 0 0 0 1 0 1 1 0 1 0 0 0 1 0 0 0 0 0 0 0 0\n    0 0 0 0 0 0 0 0 0 0 0 0 0 0 0 0 0 0 0 0 0 0 0 0 0 0 0 0 0 0 0 0 0 0 0 0 0 1 \n    0 0 0]\n[0 0 1 1 1 1 0 0 1 0 0 0 1 1 0 1 1 1 0 1 0 0 0 1 0 1 1 0 1 0 0 0 1 0 0 0 0 0 0 0\n    0 0 0 0 0 0 0 0 0 0 0 0 0 0 0 0 0 0 0 0 0 0 0 0 0 0 0 0 0 0 0 0 0 0 0 0 0 0 \n    1 0 0]\n[1 0 1 0 1 1 0 0 0 0 1 1 0 1 0 1 0 1 1 0 0 1 1 0 0 1 0 0 0 1 1 0 0 0 0 0 0 0 0 0\n    0 0 0 0 0 0 0 0 0 0 0 0 0 0 0 0 0 0 0 0 0 0 0 0 0 0 0 0 0 0 0 0 0 0 0 0 0 0 \n    0 1 0]\n[0 1 0 1 0 1 1 0 0 0 0 1 1 0 1 0 1 0 1 1 0 0 1 1 0 0 1 0 0 0 1 1 0 0 0 0 0 0 0 0\n    0 0 0 0 0 0 0 0 0 0 0 0 0 0 0 0 0 0 0 0 0 0 0 0 0 0 0 0 0 0 0 0 0 0 0 0 0 0 \n    0 0 1]\n[81, 48] Linear Code over GF(2)\nGenerator matrix:\n[1 0 0 0 0 0 0 0 0 0 0 0 0 0 0 0 0 0 0 0 0 0 0 0 0 0 0 0 0 0 0 0 0 0 0 0 0 0 0 0\n    0 0 0 0 0 0 0 0 1 1 1 0 1 1 1 0 0 1 1 0 1 0 1 1 1 0 1 0 0 1 1 0 0 1 1 1 0 0 \n    1 0 0]\n[0 1 0 0 0 0 0 0 0 0 0 0 0 0 0 0 0 0 0 0 0 0 0 0 0 0 0 0 0 0 0 0 0 0 0 0 0 0 0 0\n    0 0 0 0 0 0 0 0 0 1 1 1 0 1 1 1 0 0 1 1 0 1 0 1 1 1 0 1 0 0 1 1 0 0 1 1 1 0 \n    0 1 0]\n[0 0 1 0 0 0 0 0 0 0 0 0 0 0 0 0 0 0 0 0 0 0 0 0 0 0 0 0 0 0 0 0 0 0 0 0 0 0 0 0\n    0 0 0 0 0 0 0 0 0 0 1 1 1 0 1 1 1 0 0 1 1 0 1 0 1 1 1 0 1 0 0 1 1 0 0 1 1 1 \n    0 0 1]\n[0 0 0 1 0 0 0 0 0 0 0 0 0 0 0 0 0 0 0 0 0 0 0 0 0 0 0 0 0 0 0 0 0 0 0 0 0 0 0 0\n    0 0 0 0 0 0 0 0 1 0 1 0 1 1 1 1 1 0 1 1 1 1 1 0 1 1 1 1 1 0 1 0 0 0 1 1 1 1 \n    0 0 0]\n[0 0 0 0 1 0 0 0 0 0 0 0 0 0 0 0 0 0 0 0 0 0 0 0 0 0 0 0 0 0 0 0 0 0 0 0 0 0 0 0\n    0 0 0 0 0 0 0 0 0 1 0 1 0 1 1 1 1 1 0 1 1 1 1 1 0 1 1 1 1 1 0 1 0 0 0 1 1 1 \n    1 0 0]\n[0 0 0 0 0 1 0 0 0 0 0 0 0 0 0 0 0 0 0 0 0 0 0 0 0 0 0 0 0 0 0 0 0 0 0 0 0 0 0 0\n    0 0 0 0 0 0 0 0 0 0 1 0 1 0 1 1 1 1 1 0 1 1 1 1 1 0 1 1 1 1 1 0 1 0 0 0 1 1 \n    1 1 0]\n[0 0 0 0 0 0 1 0 0 0 0 0 0 0 0 0 0 0 0 0 0 0 0 0 0 0 0 0 0 0 0 0 0 0 0 0 0 0 0 0\n    0 0 0 0 0 0 0 0 0 0 0 1 0 1 0 1 1 1 1 1 0 1 1 1 1 1 0 1 1 1 1 1 0 1 0 0 0 1 \n    1 1 1]\n[0 0 0 0 0 0 0 1 0 0 0 0 0 0 0 0 0 0 0 0 0 0 0 0 0 0 0 0 0 0 0 0 0 0 0 0 0 0 0 0\n    0 0 0 0 0 0 0 0 1 0 1 1 1 0 0 0 1 0 0 0 1 0 0 0 0 1 1 0 0 0 0 1 0 1 0 1 0 0 \n    0 1 1]\n[0 0 0 0 0 0 0 0 1 0 0 0 0 0 0 0 0 0 0 0 0 0 0 0 0 0 0 0 0 0 0 0 0 0 0 0 0 0 0 0\n    0 0 0 0 0 0 0 0 1 1 1 0 1 1 1 0 0 0 1 1 0 1 1 1 1 0 1 1 1 1 1 0 0 1 0 1 1 0 \n    1 0 1]\n[0 0 0 0 0 0 0 0 0 1 0 0 0 0 0 0 0 0 0 0 0 0 0 0 0 0 0 0 0 0 0 0 0 0 0 0 0 0 0 0\n    0 0 0 0 0 0 0 0 1 1 0 0 0 1 0 1 0 1 1 0 1 0 0 0 0 1 0 1 0 0 0 1 1 1 0 1 1 1 \n    1 1 0]\n[0 0 0 0 0 0 0 0 0 0 1 0 0 0 0 0 0 0 0 0 0 0 0 0 0 0 0 0 0 0 0 0 0 0 0 0 0 0 0 0\n    0 0 0 0 0 0 0 0 0 1 1 0 0 0 1 0 1 0 1 1 0 1 0 0 0 0 1 0 1 0 0 0 1 1 1 0 1 1 \n    1 1 1]\n[0 0 0 0 0 0 0 0 0 0 0 1 0 0 0 0 0 0 0 0 0 0 0 0 0 0 0 0 0 0 0 0 0 0 0 0 0 0 0 0\n    0 0 0 0 0 0 0 0 1 0 0 0 0 0 1 1 0 0 1 0 1 0 0 1 1 0 0 1 1 0 1 0 1 0 0 0 0 1 \n    0 1 1]\n[0 0 0 0 0 0 0 0 0 0 0 0 1 0 0 0 0 0 0 0 0 0 0 0 0 0 0 0 0 0 0 0 0 0 0 0 0 0 0 0\n    0 0 0 0 0 0 0 0 1 1 1 1 0 0 1 1 1 1 1 0 0 1 1 1 0 1 0 0 0 0 1 1 1 0 1 1 0 0 \n    0 0 1]\n[0 0 0 0 0 0 0 0 0 0 0 0 0 1 0 0 0 0 0 0 0 0 0 0 0 0 0 0 0 0 0 0 0 0 0 0 0 0 0 0\n    0 0 0 0 0 0 0 0 1 1 0 0 1 0 1 1 1 0 0 0 0 0 0 0 0 0 1 0 1 1 1 1 0 0 1 0 1 0 \n    1 0 0]\n[0 0 0 0 0 0 0 0 0 0 0 0 0 0 1 0 0 0 0 0 0 0 0 0 0 0 0 0 0 0 0 0 0 0 0 0 0 0 0 0\n    0 0 0 0 0 0 0 0 0 1 1 0 0 1 0 1 1 1 0 0 0 0 0 0 0 0 0 1 0 1 1 1 1 0 0 1 0 1 \n    0 1 0]\n[0 0 0 0 0 0 0 0 0 0 0 0 0 0 0 1 0 0 0 0 0 0 0 0 0 0 0 0 0 0 0 0 0 0 0 0 0 0 0 0\n    0 0 0 0 0 0 0 0 0 0 1 1 0 0 1 0 1 1 1 0 0 0 0 0 0 0 0 0 1 0 1 1 1 1 0 0 1 0 \n    1 0 1]\n[0 0 0 0 0 0 0 0 0 0 0 0 0 0 0 0 1 0 0 0 0 0 0 0 0 0 0 0 0 0 0 0 0 0 0 0 0 0 0 0\n    0 0 0 0 0 0 0 0 1 0 1 0 1 0 1 1 0 0 0 0 0 0 1 1 1 0 0 0 1 0 1 1 0 0 0 1 0 1 \n    1 1 0]\n[0 0 0 0 0 0 0 0 0 0 0 0 0 0 0 0 0 1 0 0 0 0 0 0 0 0 0 0 0 0 0 0 0 0 0 0 0 0 0 0\n    0 0 0 0 0 0 0 0 0 1 0 1 0 1 0 1 1 0 0 0 0 0 0 1 1 1 0 0 0 1 0 1 1 0 0 0 1 0 \n    1 1 1]\n[0 0 0 0 0 0 0 0 0 0 0 0 0 0 0 0 0 0 1 0 0 0 0 0 0 0 0 0 0 0 0 0 0 0 0 0 0 0 0 0\n    0 0 0 0 0 0 0 0 1 0 0 1 1 0 0 0 1 0 1 1 0 0 1 1 0 1 1 0 1 1 0 0 0 0 1 1 0 1 \n    1 1 1]\n[0 0 0 0 0 0 0 0 0 0 0 0 0 0 0 0 0 0 0 1 0 0 0 0 0 0 0 0 0 0 0 0 0 0 0 0 0 0 0 0\n    0 0 0 0 0 0 0 0 1 1 1 1 1 1 1 0 0 0 1 0 1 0 1 0 0 0 1 1 1 0 0 0 1 1 1 0 1 0 \n    0 1 1]\n[0 0 0 0 0 0 0 0 0 0 0 0 0 0 0 0 0 0 0 0 1 0 0 0 0 0 0 0 0 0 0 0 0 0 0 0 0 0 0 0\n    0 0 0 0 0 0 0 0 1 1 0 0 1 1 0 1 0 1 1 0 0 1 1 0 1 0 0 1 0 0 1 0 1 0 0 0 0 1 \n    1 0 1]\n[0 0 0 0 0 0 0 0 0 0 0 0 0 0 0 0 0 0 0 0 0 1 0 0 0 0 0 0 0 0 0 0 0 0 0 0 0 0 0 0\n    0 0 0 0 0 0 0 0 1 1 0 1 0 1 0 0 1 1 0 0 0 0 0 0 1 1 0 0 0 1 1 1 1 0 1 1 0 0 \n    0 1 0]\n[0 0 0 0 0 0 0 0 0 0 0 0 0 0 0 0 0 0 0 0 0 0 1 0 0 0 0 0 0 0 0 0 0 0 0 0 0 0 0 0\n    0 0 0 0 0 0 0 0 0 1 1 0 1 0 1 0 0 1 1 0 0 0 0 0 0 1 1 0 0 0 1 1 1 1 0 1 1 0 \n    0 0 1]\n[0 0 0 0 0 0 0 0 0 0 0 0 0 0 0 0 0 0 0 0 0 0 0 1 0 0 0 0 0 0 0 0 0 0 0 0 0 0 0 0\n    0 0 0 0 0 0 0 0 1 0 0 0 0 1 1 1 0 1 0 0 0 0 1 1 1 0 1 1 1 1 1 1 0 0 0 1 1 1 \n    1 0 0]\n[0 0 0 0 0 0 0 0 0 0 0 0 0 0 0 0 0 0 0 0 0 0 0 0 1 0 0 0 0 0 0 0 0 0 0 0 0 0 0 0\n    0 0 0 0 0 0 0 0 0 1 0 0 0 0 1 1 1 0 1 0 0 0 0 1 1 1 0 1 1 1 1 1 1 0 0 0 1 1 \n    1 1 0]\n[0 0 0 0 0 0 0 0 0 0 0 0 0 0 0 0 0 0 0 0 0 0 0 0 0 1 0 0 0 0 0 0 0 0 0 0 0 0 0 0\n    0 0 0 0 0 0 0 0 0 0 1 0 0 0 0 1 1 1 0 1 0 0 0 0 1 1 1 0 1 1 1 1 1 1 0 0 0 1 \n    1 1 1]\n[0 0 0 0 0 0 0 0 0 0 0 0 0 0 0 0 0 0 0 0 0 0 0 0 0 0 1 0 0 0 0 0 0 0 0 0 0 0 0 0\n    0 0 0 0 0 0 0 0 1 0 1 0 0 0 1 0 1 0 0 1 1 0 1 1 1 1 1 1 1 0 0 1 0 0 0 1 0 0 \n    0 1 1]\n[0 0 0 0 0 0 0 0 0 0 0 0 0 0 0 0 0 0 0 0 0 0 0 0 0 0 0 1 0 0 0 0 0 0 0 0 0 0 0 0\n    0 0 0 0 0 0 0 0 1 1 1 0 0 0 1 1 0 0 1 1 1 1 1 0 0 1 1 1 0 0 1 0 0 1 1 1 1 0 \n    1 0 1]\n[0 0 0 0 0 0 0 0 0 0 0 0 0 0 0 0 0 0 0 0 0 0 0 0 0 0 0 0 1 0 0 0 0 0 0 0 0 0 0 0\n    0 0 0 0 0 0 0 0 1 1 0 0 0 0 1 1 1 1 1 0 1 1 0 0 1 0 1 1 0 1 1 1 1 1 0 0 1 1 \n    1 1 0]\n[0 0 0 0 0 0 0 0 0 0 0 0 0 0 0 0 0 0 0 0 0 0 0 0 0 0 0 0 0 1 0 0 0 0 0 0 0 0 0 0\n    0 0 0 0 0 0 0 0 0 1 1 0 0 0 0 1 1 1 1 1 0 1 1 0 0 1 0 1 1 0 1 1 1 1 1 0 0 1 \n    1 1 1]\n[0 0 0 0 0 0 0 0 0 0 0 0 0 0 0 0 0 0 0 0 0 0 0 0 0 0 0 0 0 0 1 0 0 0 0 0 0 0 0 0\n    0 0 0 0 0 0 0 0 1 0 0 0 0 0 1 0 1 0 0 0 1 0 0 0 1 0 1 0 0 0 1 1 0 0 0 0 0 0 \n    0 1 1]\n[0 0 0 0 0 0 0 0 0 0 0 0 0 0 0 0 0 0 0 0 0 0 0 0 0 0 0 0 0 0 0 1 0 0 0 0 0 0 0 0\n    0 0 0 0 0 0 0 0 1 1 1 1 0 0 1 1 0 0 1 1 0 1 1 1 1 1 0 1 1 1 1 1 0 1 1 1 0 0 \n    1 0 1]\n[0 0 0 0 0 0 0 0 0 0 0 0 0 0 0 0 0 0 0 0 0 0 0 0 0 0 0 0 0 0 0 0 1 0 0 0 0 0 0 0\n    0 0 0 0 0 0 0 0 1 1 0 0 1 0 1 1 1 1 1 0 1 0 0 0 0 1 1 0 0 0 0 1 0 1 0 0 1 0 \n    1 1 0]\n[0 0 0 0 0 0 0 0 0 0 0 0 0 0 0 0 0 0 0 0 0 0 0 0 0 0 0 0 0 0 0 0 0 1 0 0 0 0 0 0\n    0 0 0 0 0 0 0 0 0 1 1 0 0 1 0 1 1 1 1 1 0 1 0 0 0 0 1 1 0 0 0 0 1 0 1 0 0 1 \n    0 1 1]\n[0 0 0 0 0 0 0 0 0 0 0 0 0 0 0 0 0 0 0 0 0 0 0 0 0 0 0 0 0 0 0 0 0 0 1 0 0 0 0 0\n    0 0 0 0 0 0 0 0 1 0 0 0 0 0 0 0 1 0 0 0 1 0 0 1 1 0 0 1 0 1 1 0 1 0 1 0 0 0 \n    0 0 1]\n[0 0 0 0 0 0 0 0 0 0 0 0 0 0 0 0 0 0 0 0 0 0 0 0 0 0 0 0 0 0 0 0 0 0 0 1 0 0 0 0\n    0 0 0 0 0 0 0 0 1 1 1 1 0 0 1 0 0 0 1 1 0 1 1 1 0 1 0 0 0 1 0 1 1 0 1 0 0 0 \n    1 0 0]\n[0 0 0 0 0 0 0 0 0 0 0 0 0 0 0 0 0 0 0 0 0 0 0 0 0 0 0 0 0 0 0 0 0 0 0 0 1 0 0 0\n    0 0 0 0 0 0 0 0 0 1 1 1 1 0 0 1 0 0 0 1 1 0 1 1 1 0 1 0 0 0 1 0 1 1 0 1 0 0 \n    0 1 0]\n[0 0 0 0 0 0 0 0 0 0 0 0 0 0 0 0 0 0 0 0 0 0 0 0 0 0 0 0 0 0 0 0 0 0 0 0 0 1 0 0\n    0 0 0 0 0 0 0 0 0 0 1 1 1 1 0 0 1 0 0 0 1 1 0 1 1 1 0 1 0 0 0 1 0 1 1 0 1 0 \n    0 0 1]\n[0 0 0 0 0 0 0 0 0 0 0 0 0 0 0 0 0 0 0 0 0 0 0 0 0 0 0 0 0 0 0 0 0 0 0 0 0 0 1 0\n    0 0 0 0 0 0 0 0 1 0 1 0 1 1 0 0 0 0 1 1 0 1 0 1 0 1 1 0 0 1 1 0 0 1 0 0 0 1 \n    1 0 0]\n[0 0 0 0 0 0 0 0 0 0 0 0 0 0 0 0 0 0 0 0 0 0 0 0 0 0 0 0 0 0 0 0 0 0 0 0 0 0 0 1\n    0 0 0 0 0 0 0 0 0 1 0 1 0 1 1 0 0 0 0 1 1 0 1 0 1 0 1 1 0 0 1 1 0 0 1 0 0 0 \n    1 1 0]\n[0 0 0 0 0 0 0 0 0 0 0 0 0 0 0 0 0 0 0 0 0 0 0 0 0 0 0 0 0 0 0 0 0 0 0 0 0 0 0 0\n    1 0 0 0 0 0 0 0 0 0 1 0 1 0 1 1 0 0 0 0 1 1 0 1 0 1 0 1 1 0 0 1 1 0 0 1 0 0 \n    0 1 1]\n[0 0 0 0 0 0 0 0 0 0 0 0 0 0 0 0 0 0 0 0 0 0 0 0 0 0 0 0 0 0 0 0 0 0 0 0 0 0 0 0\n    0 1 0 0 0 0 0 0 1 0 1 0 0 1 1 1 1 1 1 1 0 1 0 1 0 0 1 0 0 0 1 0 0 0 1 1 1 0 \n    1 0 1]\n[0 0 0 0 0 0 0 0 0 0 0 0 0 0 0 0 0 0 0 0 0 0 0 0 0 0 0 0 0 0 0 0 0 0 0 0 0 0 0 0\n    0 0 1 0 0 0 0 0 1 1 1 0 0 0 0 1 1 0 0 0 1 0 0 1 0 0 0 1 1 1 1 1 1 1 1 0 1 1 \n    1 1 0]\n[0 0 0 0 0 0 0 0 0 0 0 0 0 0 0 0 0 0 0 0 0 0 0 0 0 0 0 0 0 0 0 0 0 0 0 0 0 0 0 0\n    0 0 0 1 0 0 0 0 0 1 1 1 0 0 0 0 1 1 0 0 0 1 0 0 1 0 0 0 1 1 1 1 1 1 1 1 0 1 \n    1 1 1]\n[0 0 0 0 0 0 0 0 0 0 0 0 0 0 0 0 0 0 0 0 0 0 0 0 0 0 0 0 0 0 0 0 0 0 0 0 0 0 0 0\n    0 0 0 0 1 0 0 0 1 0 0 0 1 0 1 0 0 0 0 1 0 0 0 1 1 1 0 0 1 0 0 1 0 0 0 0 1 0 \n    0 1 1]\n[0 0 0 0 0 0 0 0 0 0 0 0 0 0 0 0 0 0 0 0 0 0 0 0 0 0 0 0 0 0 0 0 0 0 0 0 0 0 0 0\n    0 0 0 0 0 1 0 0 1 1 1 1 0 1 1 1 0 1 1 1 1 0 1 1 0 1 1 0 1 0 1 0 0 1 1 1 0 1 \n    1 0 1]\n[0 0 0 0 0 0 0 0 0 0 0 0 0 0 0 0 0 0 0 0 0 0 0 0 0 0 0 0 0 0 0 0 0 0 0 0 0 0 0 0\n    0 0 0 0 0 0 1 0 1 1 0 0 1 0 0 1 1 1 0 0 1 1 1 0 0 0 1 1 1 0 1 1 1 1 0 0 1 0 \n    0 1 0]\n[0 0 0 0 0 0 0 0 0 0 0 0 0 0 0 0 0 0 0 0 0 0 0 0 0 0 0 0 0 0 0 0 0 0 0 0 0 0 0 0\n    0 0 0 0 0 0 0 1 0 1 1 0 0 1 0 0 1 1 1 0 0 1 1 1 0 0 0 1 1 1 0 1 1 1 1 0 0 1 \n    0 0 1]\nLinear Code over GF(2) of length 81 with 48 generators.\nLower Bound: 1, Upper Bound: 34\nConstructed 2 distinct generator matrices\nRelative Ranks:  48  33 \nTime Taken: 0.00\nStarting search for low weight codewords... (reset timings)\nEnumerating using 1 generator at a time:\n     New codeword identified of weight 20, time 0.00\n     New codeword identified of weight 14, time 0.00\n     New codeword identified of weight 11, time 0.00\n     Discarding non-contributing rank 33 matrix\n     New Relative Ranks:  48 \n   Completed Matrix  1:  lower =  2, upper = 11. Elapsed: 0.00s\nTermination predicted with 10 generators at matrix 1\nEnumerating using 2 generators at a time:\n   Completed Matrix  1:  lower =  3, upper = 11. Elapsed: 0.00s\nTermination predicted with 10 generators at matrix 1\nEnumerating using 3 generators at a time:\n   Completed Matrix  1:  lower =  4, upper = 11. Elapsed: 0.00s\nTermination predicted with 10 generators at matrix 1\nEnumerating using 4 generators at a time:\n   Completed Matrix  1:  lower =  5, upper = 11. Elapsed: 0.00s\nTermination predicted with 10 generators at matrix 1\nEnumerating using 5 generators at a time:\n   Completed Matrix  1:  lower =  6, upper = 11. Elapsed: 0.01s\nTermination predicted with 10 generators at matrix 1\nEnumerating using 6 generators at a time:\n   Completed Matrix  1:  lower =  7, upper = 11. Elapsed: 0.03s\nTermination predicted with 10 generators at matrix 1\nEnumerating using 7 generators at a time:\n   Completed Matrix  1:  lower =  8, upper = 11. Elapsed: 0.17s\nTermination predicted with 10 generators at matrix 1\nEnumerating using 8 generators at a time:\n   Completed Matrix  1:  lower =  9, upper = 11. Elapsed: 0.96s\nTermination predicted at 18 s with 10 generators at matrix 1\nEnumerating using 9 generators at a time:\n   Completed Matrix  1:  lower = 10, upper = 11. Elapsed: 4.66s\nTermination predicted at 19 s with 10 generators at matrix 1\nEnumerating using 10 generators at a time:\n   Completed Matrix  1:  lower = 11, upper = 11. Elapsed: 19.58s\nComputation complete 8682997470 vectors enumerated in total\n (0.003085% of 81 48 code)\nFinal Results: lower = 11, upper = 11,\nTotal CPU time: 19.58, real time: 19.661\n11\n\nTotal time: 19.609 seconds, Total memory usage: 32.09MB\n</t>
  </si>
  <si>
    <t>[[82,43,13]]</t>
  </si>
  <si>
    <t>Magma V2.28-26    Tue Dec 30 2025 09:50:56 on Marks-MacBook-Air-2 [Seed = \n1767088170]\nType ? for help.  Type &lt;Ctrl&gt;-D to quit.\n[0 0 0 0 0 1 1 0 1 1 0 0 0 1 0 0 1 1 1 1 0 1 1 0 1 1 1 0 1 1 0 1 1 1 0 0 0 1 0 1\n    0 0 0 0 0 0 0 0 0 0 0 0 0 0 0 0 0 0 0 0 0 0 0 0 0 0 0 0 0 0 0 0 0 0 0 0 0 0 \n    0 0 0 0]\n[1 0 0 0 0 0 1 1 0 1 1 0 0 0 1 0 0 1 1 1 1 0 1 1 0 1 1 1 0 1 1 0 1 1 1 0 0 0 1 0\n    1 0 0 0 0 0 0 0 0 0 0 0 0 0 0 0 0 0 0 0 0 0 0 0 0 0 0 0 0 0 0 0 0 0 0 0 0 0 \n    0 0 0 0]\n[0 1 0 0 0 1 1 1 0 1 1 1 0 1 0 1 1 1 0 0 1 0 1 1 0 1 0 1 0 1 1 0 1 0 1 1 0 1 0 0\n    0 1 0 0 0 0 0 0 0 0 0 0 0 0 0 0 0 0 0 0 0 0 0 0 0 0 0 0 0 0 0 0 0 0 0 0 0 0 \n    0 0 0 0]\n[1 0 1 0 0 0 1 1 1 0 1 1 1 0 1 0 1 1 1 0 0 1 0 1 1 0 1 0 1 0 1 1 0 1 0 1 1 0 1 0\n    0 0 1 0 0 0 0 0 0 0 0 0 0 0 0 0 0 0 0 0 0 0 0 0 0 0 0 0 0 0 0 0 0 0 0 0 0 0 \n    0 0 0 0]\n[0 1 0 1 0 1 1 1 0 0 0 1 1 0 0 1 1 0 0 0 0 1 0 0 0 0 1 1 1 0 0 0 0 1 1 0 1 0 0 0\n    0 0 0 1 0 0 0 0 0 0 0 0 0 0 0 0 0 0 0 0 0 0 0 0 0 0 0 0 0 0 0 0 0 0 0 0 0 0 \n    0 0 0 0]\n[1 0 1 0 1 0 1 1 1 0 0 0 1 1 0 0 1 1 0 0 0 0 1 0 0 0 0 1 1 1 0 0 0 0 1 1 0 1 0 0\n    0 0 0 0 1 0 0 0 0 0 0 0 0 0 0 0 0 0 0 0 0 0 0 0 0 0 0 0 0 0 0 0 0 0 0 0 0 0 \n    0 0 0 0]\n[0 1 0 1 0 1 0 1 1 1 0 0 0 1 1 0 0 1 1 0 0 0 0 1 0 0 0 0 1 1 1 0 0 0 0 1 1 0 1 0\n    0 0 0 0 0 1 0 0 0 0 0 0 0 0 0 0 0 0 0 0 0 0 0 0 0 0 0 0 0 0 0 0 0 0 0 0 0 0 \n    0 0 0 0]\n[0 0 1 0 1 1 0 0 0 0 1 0 0 1 1 1 1 1 0 0 0 1 1 0 0 1 1 0 1 0 1 0 1 1 0 0 1 0 0 0\n    0 0 0 0 0 0 1 0 0 0 0 0 0 0 0 0 0 0 0 0 0 0 0 0 0 0 0 0 0 0 0 0 0 0 0 0 0 0 \n    0 0 0 0]\n[1 0 0 1 0 1 1 0 0 0 0 1 0 0 1 1 1 1 1 0 0 0 1 1 0 0 1 1 0 1 0 1 0 1 1 0 0 1 0 0\n    0 0 0 0 0 0 0 1 0 0 0 0 0 0 0 0 0 0 0 0 0 0 0 0 0 0 0 0 0 0 0 0 0 0 0 0 0 0 \n    0 0 0 0]\n[0 1 0 0 1 0 1 1 0 0 0 0 1 0 0 1 1 1 1 1 0 0 0 1 1 0 0 1 1 0 1 0 1 0 1 1 0 0 1 0\n    0 0 0 0 0 0 0 0 1 0 0 0 0 0 0 0 0 0 0 0 0 0 0 0 0 0 0 0 0 0 0 0 0 0 0 0 0 0 \n    0 0 0 0]\n[0 0 1 0 0 0 1 1 0 1 0 0 0 0 0 0 0 0 0 0 1 1 1 0 0 0 1 0 0 0 0 0 1 0 0 1 1 1 0 0\n    0 0 0 0 0 0 0 0 0 1 0 0 0 0 0 0 0 0 0 0 0 0 0 0 0 0 0 0 0 0 0 0 0 0 0 0 0 0 \n    0 0 0 0]\n[1 0 0 1 0 0 0 1 1 0 1 0 0 0 0 0 0 0 0 0 0 1 1 1 0 0 0 1 0 0 0 0 0 1 0 0 1 1 1 0\n    0 0 0 0 0 0 0 0 0 0 1 0 0 0 0 0 0 0 0 0 0 0 0 0 0 0 0 0 0 0 0 0 0 0 0 0 0 0 \n    0 0 0 0]\n[0 1 0 0 1 1 1 0 0 0 0 1 0 1 0 0 1 1 1 1 0 1 0 1 0 1 1 0 0 1 0 1 1 1 1 0 0 0 1 0\n    0 0 0 0 0 0 0 0 0 0 0 1 0 0 0 0 0 0 0 0 0 0 0 0 0 0 0 0 0 0 0 0 0 0 0 0 0 0 \n    0 0 0 0]\n[1 0 1 0 0 0 0 1 1 1 0 0 1 1 1 0 1 0 0 0 1 1 0 0 0 1 0 1 1 1 1 1 0 0 1 1 0 1 0 0\n    0 0 0 0 0 0 0 0 0 0 0 0 1 0 0 0 0 0 0 0 0 0 0 0 0 0 0 0 0 0 0 0 0 0 0 0 0 0 \n    0 0 0 0]\n[1 1 0 1 0 0 0 0 1 1 1 0 0 1 1 1 0 1 0 0 0 1 1 0 0 0 1 0 1 1 1 1 1 0 0 1 1 0 1 0\n    0 0 0 0 0 0 0 0 0 0 0 0 0 1 0 0 0 0 0 0 0 0 0 0 0 0 0 0 0 0 0 0 0 0 0 0 0 0 \n    0 0 0 0]\n[0 1 1 0 1 1 1 0 1 0 1 1 0 1 1 1 0 1 0 1 0 1 0 1 1 1 1 1 1 0 1 0 0 0 0 0 1 0 0 0\n    0 0 0 0 0 0 0 0 0 0 0 0 0 0 1 0 0 0 0 0 0 0 0 0 0 0 0 0 0 0 0 0 0 0 0 0 0 0 \n    0 0 0 0]\n[1 0 1 1 0 1 1 1 0 1 0 1 1 0 1 1 1 0 1 0 1 0 1 0 1 1 1 1 1 1 0 1 0 0 0 0 0 1 0 0\n    0 0 0 0 0 0 0 0 0 0 0 0 0 0 0 1 0 0 0 0 0 0 0 0 0 0 0 0 0 0 0 0 0 0 0 0 0 0 \n    0 0 0 0]\n[0 1 0 1 1 0 1 1 1 0 1 0 1 1 0 1 1 1 0 1 0 1 0 1 0 1 1 1 1 1 1 0 1 0 0 0 0 0 1 0\n    0 0 0 0 0 0 0 0 0 0 0 0 0 0 0 0 1 0 0 0 0 0 0 0 0 0 0 0 0 0 0 0 0 0 0 0 0 0 \n    0 0 0 0]\n[0 0 1 0 1 0 1 1 0 0 0 1 0 0 1 0 0 0 0 1 1 1 0 0 0 1 0 1 0 0 1 0 1 0 0 0 0 1 0 0\n    0 0 0 0 0 0 0 0 0 0 0 0 0 0 0 0 0 1 0 0 0 0 0 0 0 0 0 0 0 0 0 0 0 0 0 0 0 0 \n    0 0 0 0]\n[1 0 0 1 0 1 0 1 1 0 0 0 1 0 0 1 0 0 0 0 1 1 1 0 0 0 1 0 1 0 0 1 0 1 0 0 0 0 1 0\n    0 0 0 0 0 0 0 0 0 0 0 0 0 0 0 0 0 0 1 0 0 0 0 0 0 0 0 0 0 0 0 0 0 0 0 0 0 0 \n    0 0 0 0]\n[0 1 0 0 1 1 0 0 0 0 0 0 0 0 0 0 0 1 1 1 0 0 0 1 1 1 1 1 1 0 0 1 0 1 1 0 0 1 0 0\n    0 0 0 0 0 0 0 0 0 0 0 0 0 0 0 0 0 0 0 1 0 0 0 0 0 0 0 0 0 0 0 0 0 0 0 0 0 0 \n    0 0 0 0]\n[1 0 1 0 0 1 1 0 0 0 0 0 0 0 0 0 0 0 1 1 1 0 0 0 1 1 1 1 1 1 0 0 1 0 1 1 0 0 1 0\n    0 0 0 0 0 0 0 0 0 0 0 0 0 0 0 0 0 0 0 0 1 0 0 0 0 0 0 0 0 0 0 0 0 0 0 0 0 0 \n    0 0 0 0]\n[0 1 0 1 0 1 0 1 1 1 0 0 0 1 0 0 1 1 1 0 1 0 1 0 1 0 0 1 0 0 1 1 1 0 0 1 1 1 0 0\n    0 0 0 0 0 0 0 0 0 0 0 0 0 0 0 0 0 0 0 0 0 1 0 0 0 0 0 0 0 0 0 0 0 0 0 0 0 0 \n    0 0 0 0]\n[1 0 1 0 1 0 1 0 1 1 1 0 0 0 1 0 0 1 1 1 0 1 0 1 0 1 0 0 1 0 0 1 1 1 0 0 1 1 1 0\n    0 0 0 0 0 0 0 0 0 0 0 0 0 0 0 0 0 0 0 0 0 0 1 0 0 0 0 0 0 0 0 0 0 0 0 0 0 0 \n    0 0 0 0]\n[0 1 0 1 0 0 1 1 1 0 1 1 0 1 0 1 1 1 0 0 1 1 0 0 0 1 0 0 1 0 0 1 0 0 1 0 0 0 1 0\n    0 0 0 0 0 0 0 0 0 0 0 0 0 0 0 0 0 0 0 0 0 0 0 1 0 0 0 0 0 0 0 0 0 0 0 0 0 0 \n    0 0 0 0]\n[1 0 1 0 1 1 1 1 0 0 0 1 1 1 1 0 0 0 0 1 0 0 0 0 1 1 0 0 1 0 0 1 0 1 0 1 0 1 0 0\n    0 0 0 0 0 0 0 0 0 0 0 0 0 0 0 0 0 0 0 0 0 0 0 0 1 0 0 0 0 0 0 0 0 0 0 0 0 0 \n    0 0 0 0]\n[1 1 0 1 0 1 1 1 1 0 0 0 1 1 1 1 0 0 0 0 1 0 0 0 0 1 1 0 0 1 0 0 1 0 1 0 1 0 1 0\n    0 0 0 0 0 0 0 0 0 0 0 0 0 0 0 0 0 0 0 0 0 0 0 0 0 1 0 0 0 0 0 0 0 0 0 0 0 0 \n    0 0 0 0]\n[0 1 1 0 1 1 0 1 0 0 0 0 0 0 1 1 0 1 1 1 0 0 1 0 1 1 0 1 1 1 1 1 1 0 0 1 0 0 0 0\n    0 0 0 0 0 0 0 0 0 0 0 0 0 0 0 0 0 0 0 0 0 0 0 0 0 0 1 0 0 0 0 0 0 0 0 0 0 0 \n    0 0 0 0]\n[1 0 1 1 0 1 1 0 1 0 0 0 0 0 0 1 1 0 1 1 1 0 0 1 0 1 1 0 1 1 1 1 1 1 0 0 1 0 0 0\n    0 0 0 0 0 0 0 0 0 0 0 0 0 0 0 0 0 0 0 0 0 0 0 0 0 0 0 1 0 0 0 0 0 0 0 0 0 0 \n    0 0 0 0]\n[0 1 0 1 1 0 1 1 0 1 0 0 0 0 0 0 1 1 0 1 1 1 0 0 1 0 1 1 0 1 1 1 1 1 1 0 0 1 0 0\n    0 0 0 0 0 0 0 0 0 0 0 0 0 0 0 0 0 0 0 0 0 0 0 0 0 0 0 0 1 0 0 0 0 0 0 0 0 0 \n    0 0 0 0]\n[0 0 1 0 1 1 0 1 1 0 1 0 0 0 0 0 0 1 1 0 1 1 1 0 0 1 0 1 1 0 1 1 1 1 1 1 0 0 1 0\n    0 0 0 0 0 0 0 0 0 0 0 0 0 0 0 0 0 0 0 0 0 0 0 0 0 0 0 0 0 1 0 0 0 0 0 0 0 0 \n    0 0 0 0]\n[0 0 0 1 0 0 0 0 0 0 0 1 0 1 0 0 1 1 0 0 0 0 0 1 1 1 0 0 0 0 0 0 0 0 1 1 1 1 0 0\n    0 0 0 0 0 0 0 0 0 0 0 0 0 0 0 0 0 0 0 0 0 0 0 0 0 0 0 0 0 0 1 0 0 0 0 0 0 0 \n    0 0 0 0]\n[1 0 0 0 1 0 0 0 0 0 0 0 1 0 1 0 0 1 1 0 0 0 0 0 1 1 1 0 0 0 0 0 0 0 0 1 1 1 1 0\n    0 0 0 0 0 0 0 0 0 0 0 0 0 0 0 0 0 0 0 0 0 0 0 0 0 0 0 0 0 0 0 1 0 0 0 0 0 0 \n    0 0 0 0]\n[0 1 0 0 0 0 1 0 1 1 0 0 0 0 0 1 1 1 0 0 0 1 1 0 1 0 0 1 1 1 0 1 1 1 0 0 1 0 1 0\n    0 0 0 0 0 0 0 0 0 0 0 0 0 0 0 0 0 0 0 0 0 0 0 0 0 0 0 0 0 0 0 0 1 0 0 0 0 0 \n    0 0 0 0]\n[1 0 1 0 0 1 1 1 1 0 1 0 0 1 0 0 0 0 0 1 0 1 0 1 1 0 1 0 0 0 1 1 0 0 1 0 0 0 0 0\n    0 0 0 0 0 0 0 0 0 0 0 0 0 0 0 0 0 0 0 0 0 0 0 0 0 0 0 0 0 0 0 0 0 1 0 0 0 0 \n    0 0 0 0]\n[1 1 0 1 0 0 1 1 1 1 0 1 0 0 1 0 0 0 0 0 1 0 1 0 1 1 0 1 0 0 0 1 1 0 0 1 0 0 0 0\n    0 0 0 0 0 0 0 0 0 0 0 0 0 0 0 0 0 0 0 0 0 0 0 0 0 0 0 0 0 0 0 0 0 0 1 0 0 0 \n    0 0 0 0]\n[0 1 1 0 1 0 0 1 1 1 1 0 1 0 0 1 0 0 0 0 0 1 0 1 0 1 1 0 1 0 0 0 1 1 0 0 1 0 0 0\n    0 0 0 0 0 0 0 0 0 0 0 0 0 0 0 0 0 0 0 0 0 0 0 0 0 0 0 0 0 0 0 0 0 0 0 1 0 0 \n    0 0 0 0]\n[0 0 1 1 0 1 0 0 1 1 1 1 0 1 0 0 1 0 0 0 0 0 1 0 1 0 1 1 0 1 0 0 0 1 1 0 0 1 0 0\n    0 0 0 0 0 0 0 0 0 0 0 0 0 0 0 0 0 0 0 0 0 0 0 0 0 0 0 0 0 0 0 0 0 0 0 0 1 0 \n    0 0 0 0]\n[0 0 0 1 1 0 1 0 0 1 1 1 1 0 1 0 0 1 0 0 0 0 0 1 0 1 0 1 1 0 1 0 0 0 1 1 0 0 1 0\n    0 0 0 0 0 0 0 0 0 0 0 0 0 0 0 0 0 0 0 0 0 0 0 0 0 0 0 0 0 0 0 0 0 0 0 0 0 1 \n    0 0 0 0]\n[0 0 0 0 1 0 1 1 1 1 1 1 1 0 0 1 1 1 0 1 0 1 1 0 0 1 0 0 0 0 0 0 1 1 0 1 1 1 0 0\n    0 0 0 0 0 0 0 0 0 0 0 0 0 0 0 0 0 0 0 0 0 0 0 0 0 0 0 0 0 0 0 0 0 0 0 0 0 0 \n    1 0 0 0]\n[1 0 0 0 0 1 0 1 1 1 1 1 1 1 0 0 1 1 1 0 1 0 1 1 0 0 1 0 0 0 0 0 0 1 1 0 1 1 1 0\n    0 0 0 0 0 0 0 0 0 0 0 0 0 0 0 0 0 0 0 0 0 0 0 0 0 0 0 0 0 0 0 0 0 0 0 0 0 0 \n    0 1 0 0]\n[0 1 0 0 0 1 0 0 0 0 1 1 1 0 1 0 1 0 0 0 0 0 1 1 0 1 1 1 1 1 0 1 1 1 1 1 0 0 1 0\n    0 0 0 0 0 0 0 0 0 0 0 0 0 0 0 0 0 0 0 0 0 0 0 0 0 0 0 0 0 0 0 0 0 0 0 0 0 0 \n    0 0 1 0]\n[1 0 1 0 0 1 0 0 1 1 0 1 1 0 0 1 1 0 1 1 0 1 1 1 0 1 0 1 0 0 1 1 0 0 1 1 1 1 0 0\n    0 0 0 0 0 0 0 0 0 0 0 0 0 0 0 0 0 0 0 0 0 0 0 0 0 0 0 0 0 0 0 0 0 0 0 0 0 0 \n    0 0 0 1]\n[82, 43] Linear Code over GF(2)\nGenerator matrix:\n[1 0 0 0 0 0 0 0 0 0 0 0 0 0 0 0 0 0 0 0 0 0 0 0 0 0 0 0 0 0 0 0 0 0 0 0 0 0 0 0\n    0 0 0 0 1 0 0 1 0 1 1 0 0 0 0 1 0 0 1 1 1 1 1 0 0 0 1 1 0 0 1 1 0 1 0 1 0 1 \n    1 0 0 1]\n[0 1 0 0 0 0 0 0 0 0 0 0 0 0 0 0 0 0 0 0 0 0 0 0 0 0 0 0 0 0 0 0 0 0 0 0 0 0 0 0\n    0 0 1 0 0 1 0 0 0 1 1 0 1 0 0 0 0 0 0 0 0 0 0 1 1 1 0 0 0 1 0 0 0 0 0 1 0 0 \n    1 1 1 0]\n[0 0 1 0 0 0 0 0 0 0 0 0 0 0 0 0 0 0 0 0 0 0 0 0 0 0 0 0 0 0 0 0 0 0 0 0 0 0 0 0\n    0 0 0 0 0 0 0 0 1 1 1 1 0 1 1 0 0 1 1 1 1 1 0 0 1 0 0 0 0 1 0 0 1 0 1 0 0 1 \n    0 1 0 1]\n[0 0 0 1 0 0 0 0 0 0 0 0 0 0 0 0 0 0 0 0 0 0 0 0 0 0 0 0 0 0 0 0 0 0 0 0 0 0 0 0\n    0 0 1 0 1 0 0 1 1 1 0 0 0 0 1 0 1 0 0 1 1 1 1 0 1 0 1 0 1 1 0 0 1 0 1 1 1 1 \n    0 0 0 1]\n[0 0 0 0 1 0 0 0 0 0 0 0 0 0 0 0 0 0 0 0 0 0 0 0 0 0 0 0 0 0 0 0 0 0 0 0 0 0 0 0\n    0 0 1 0 0 1 1 0 1 1 1 1 1 0 1 1 1 0 1 0 1 1 0 1 1 1 1 0 1 1 0 1 0 1 0 0 1 0 \n    1 0 0 0]\n[0 0 0 0 0 1 0 0 0 0 0 0 0 0 0 0 0 0 0 0 0 0 0 0 0 0 0 0 0 0 0 0 0 0 0 0 0 0 0 0\n    0 0 0 0 1 0 0 0 1 1 0 1 1 1 1 0 1 0 0 1 0 1 0 0 1 0 1 0 0 0 1 1 0 1 0 1 1 1 \n    1 1 1 1]\n[0 0 0 0 0 0 1 0 0 0 0 0 0 0 0 0 0 0 0 0 0 0 0 0 0 0 0 0 0 0 0 0 0 0 0 0 0 0 0 0\n    0 0 1 0 1 1 0 1 1 1 0 1 0 1 1 0 1 1 1 0 1 0 1 0 1 0 1 1 1 1 1 1 0 1 0 0 0 0 \n    0 1 0 0]\n[0 0 0 0 0 0 0 1 0 0 0 0 0 0 0 0 0 0 0 0 0 0 0 0 0 0 0 0 0 0 0 0 0 0 0 0 0 0 0 0\n    0 0 0 0 0 1 0 0 0 0 1 0 1 0 0 1 0 0 0 0 1 0 0 1 0 0 1 1 1 0 0 1 0 0 0 0 1 1 \n    0 0 0 0]\n[0 0 0 0 0 0 0 0 1 0 0 0 0 0 0 0 0 0 0 0 0 0 0 0 0 0 0 0 0 0 0 0 0 0 0 0 0 0 0 0\n    0 0 0 0 1 0 1 1 0 1 1 1 0 1 0 1 1 0 1 1 1 0 1 0 1 0 1 0 1 1 1 1 1 1 0 1 0 0 \n    0 0 0 1]\n[0 0 0 0 0 0 0 0 0 1 0 0 0 0 0 0 0 0 0 0 0 0 0 0 0 0 0 0 0 0 0 0 0 0 0 0 0 0 0 0\n    0 0 1 0 0 1 0 1 0 1 1 0 0 0 1 0 0 1 0 0 0 0 1 1 1 0 0 0 1 0 1 0 0 1 0 1 0 0 \n    0 0 1 0]\n[0 0 0 0 0 0 0 0 0 0 1 0 0 0 0 0 0 0 0 0 0 0 0 0 0 0 0 0 0 0 0 0 0 0 0 0 0 0 0 0\n    0 0 0 0 0 0 0 0 0 1 1 1 0 0 1 1 0 1 0 1 1 1 0 1 1 0 1 0 0 0 1 1 1 0 0 0 0 1 \n    0 0 1 1]\n[0 0 0 0 0 0 0 0 0 0 0 1 0 0 0 0 0 0 0 0 0 0 0 0 0 0 0 0 0 0 0 0 0 0 0 0 0 0 0 0\n    0 0 1 0 1 0 0 1 1 0 0 0 0 0 0 0 0 0 0 0 1 1 1 0 0 0 1 1 1 1 1 1 0 0 1 0 1 1 \n    0 0 1 0]\n[0 0 0 0 0 0 0 0 0 0 0 0 1 0 0 0 0 0 0 0 0 0 0 0 0 0 0 0 0 0 0 0 0 0 0 0 0 0 0 0\n    0 0 0 0 0 1 1 0 0 0 0 0 0 0 1 0 0 1 1 1 1 0 1 1 0 1 1 1 1 0 0 1 0 0 1 1 1 0 \n    1 0 1 1]\n[0 0 0 0 0 0 0 0 0 0 0 0 0 1 0 0 0 0 0 0 0 0 0 0 0 0 0 0 0 0 0 0 0 0 0 0 0 0 0 0\n    0 0 1 0 1 0 1 0 1 0 1 1 1 0 0 0 1 0 0 1 1 1 0 1 0 1 0 1 0 0 1 0 0 1 1 1 0 0 \n    1 1 1 0]\n[0 0 0 0 0 0 0 0 0 0 0 0 0 0 1 0 0 0 0 0 0 0 0 0 0 0 0 0 0 0 0 0 0 0 0 0 0 0 0 0\n    0 0 0 0 0 1 1 1 1 0 0 1 1 1 1 0 0 0 1 1 0 0 1 0 1 1 0 0 1 1 1 1 1 0 0 1 0 1 \n    0 1 0 1]\n[0 0 0 0 0 0 0 0 0 0 0 0 0 0 0 1 0 0 0 0 0 0 0 0 0 0 0 0 0 0 0 0 0 0 0 0 0 0 0 0\n    0 0 1 0 1 0 1 0 0 1 1 1 0 1 1 0 1 0 1 1 1 0 0 1 1 0 0 0 1 0 0 1 0 0 1 0 0 1 \n    0 0 0 1]\n[0 0 0 0 0 0 0 0 0 0 0 0 0 0 0 0 1 0 0 0 0 0 0 0 0 0 0 0 0 0 0 0 0 0 0 0 0 0 0 0\n    0 0 1 0 0 1 1 1 0 0 1 0 0 0 0 1 1 0 1 1 1 1 1 0 0 1 1 1 1 1 1 1 1 0 0 0 0 1 \n    1 0 0 0]\n[0 0 0 0 0 0 0 0 0 0 0 0 0 0 0 0 0 1 0 0 0 0 0 0 0 0 0 0 0 0 0 0 0 0 0 0 0 0 0 0\n    0 0 0 0 1 0 0 0 0 0 1 1 0 0 1 1 1 0 0 1 1 1 0 1 0 1 1 0 1 0 1 0 0 0 1 1 1 0 \n    0 1 1 1]\n[0 0 0 0 0 0 0 0 0 0 0 0 0 0 0 0 0 0 1 0 0 0 0 0 0 0 0 0 0 0 0 0 0 0 0 0 0 0 0 0\n    0 0 1 0 1 1 0 1 1 0 1 0 0 0 0 0 0 1 1 0 1 1 1 0 0 1 0 1 1 0 1 1 1 1 1 1 0 0 \n    1 0 0 0]\n[0 0 0 0 0 0 0 0 0 0 0 0 0 0 0 0 0 0 0 1 0 0 0 0 0 0 0 0 0 0 0 0 0 0 0 0 0 0 0 0\n    0 0 0 0 0 1 0 0 0 0 0 1 0 0 1 0 0 1 0 0 1 0 1 1 0 1 0 0 1 0 1 1 0 1 0 1 0 1 \n    0 1 1 0]\n[0 0 0 0 0 0 0 0 0 0 0 0 0 0 0 0 0 0 0 0 1 0 0 0 0 0 0 0 0 0 0 0 0 0 0 0 0 0 0 0\n    0 0 0 0 1 0 1 1 0 1 1 0 1 0 0 0 0 0 0 1 1 0 1 1 1 0 0 1 0 1 1 0 1 1 1 1 1 1 \n    0 0 1 0]\n[0 0 0 0 0 0 0 0 0 0 0 0 0 0 0 0 0 0 0 0 0 1 0 0 0 0 0 0 0 0 0 0 0 0 0 0 0 0 0 0\n    0 0 0 0 0 1 0 1 1 0 1 1 0 1 0 0 0 0 0 0 1 1 0 1 1 1 0 0 1 0 1 1 0 1 1 1 1 1 \n    1 0 0 1]\n[0 0 0 0 0 0 0 0 0 0 0 0 0 0 0 0 0 0 0 0 0 0 1 0 0 0 0 0 0 0 0 0 0 0 0 0 0 0 0 0\n    0 0 1 0 0 0 1 0 0 0 0 0 0 0 1 0 1 0 0 1 1 0 0 0 0 0 1 1 1 0 0 0 0 0 0 0 0 1 \n    1 1 1 0]\n[0 0 0 0 0 0 0 0 0 0 0 0 0 0 0 0 0 0 0 0 0 0 0 1 0 0 0 0 0 0 0 0 0 0 0 0 0 0 0 0\n    0 0 0 0 0 0 1 1 1 1 0 0 0 0 1 1 0 0 1 1 0 0 0 0 0 1 1 1 1 0 1 0 1 0 1 0 1 1 \n    1 1 0 1]\n[0 0 0 0 0 0 0 0 0 0 0 0 0 0 0 0 0 0 0 0 0 0 0 0 1 0 0 0 0 0 0 0 0 0 0 0 0 0 0 0\n    0 0 1 0 1 0 0 0 0 1 0 1 1 0 0 0 0 0 1 1 1 0 0 0 1 1 0 1 0 0 1 1 1 0 1 1 1 0 \n    0 1 0 1]\n[0 0 0 0 0 0 0 0 0 0 0 0 0 0 0 0 0 0 0 0 0 0 0 0 0 1 0 0 0 0 0 0 0 0 0 0 0 0 0 0\n    0 0 1 0 0 1 1 0 0 0 1 1 0 1 1 0 1 1 1 1 1 1 1 0 1 1 0 1 0 0 1 0 1 1 0 0 1 0 \n    0 0 1 0]\n[0 0 0 0 0 0 0 0 0 0 0 0 0 0 0 0 0 0 0 0 0 0 0 0 0 0 1 0 0 0 0 0 0 0 0 0 0 0 0 0\n    0 0 0 0 1 0 0 0 1 0 1 1 1 0 0 0 0 0 1 1 1 1 0 1 0 0 1 1 1 1 0 0 1 0 0 1 1 1 \n    1 0 1 0]\n[0 0 0 0 0 0 0 0 0 0 0 0 0 0 0 0 0 0 0 0 0 0 0 0 0 0 0 1 0 0 0 0 0 0 0 0 0 0 0 0\n    0 0 0 0 1 1 0 1 0 0 1 1 1 1 0 1 0 0 1 0 0 0 0 0 1 0 1 0 1 1 0 1 0 0 0 1 1 0 \n    0 1 0 0]\n[0 0 0 0 0 0 0 0 0 0 0 0 0 0 0 0 0 0 0 0 0 0 0 0 0 0 0 0 1 0 0 0 0 0 0 0 0 0 0 0\n    0 0 0 0 0 1 1 0 1 0 0 1 1 1 1 0 1 0 0 1 0 0 0 0 0 1 0 1 0 1 1 0 1 0 0 0 1 1 \n    0 0 1 0]\n[0 0 0 0 0 0 0 0 0 0 0 0 0 0 0 0 0 0 0 0 0 0 0 0 0 0 0 0 0 1 0 0 0 0 0 0 0 0 0 0\n    0 0 0 0 0 0 1 1 0 1 0 0 1 1 1 1 0 1 0 0 1 0 0 0 0 0 1 0 1 0 1 1 0 1 0 0 0 1 \n    1 0 0 1]\n[0 0 0 0 0 0 0 0 0 0 0 0 0 0 0 0 0 0 0 0 0 0 0 0 0 0 0 0 0 0 1 0 0 0 0 0 0 0 0 0\n    0 0 1 0 0 0 0 1 0 1 1 1 1 1 1 1 0 0 1 1 1 0 1 0 1 1 0 0 1 0 0 0 0 0 0 1 1 0 \n    1 1 1 0]\n[0 0 0 0 0 0 0 0 0 0 0 0 0 0 0 0 0 0 0 0 0 0 0 0 0 0 0 0 0 0 0 1 0 0 0 0 0 0 0 0\n    0 0 0 0 0 0 1 0 0 1 1 1 1 1 0 1 1 1 1 0 0 0 0 1 0 0 0 0 0 0 1 0 1 0 1 0 0 0 \n    0 1 0 1]\n[0 0 0 0 0 0 0 0 0 0 0 0 0 0 0 0 0 0 0 0 0 0 0 0 0 0 0 0 0 0 0 0 1 0 0 0 0 0 0 0\n    0 0 1 0 1 0 0 0 1 0 0 0 0 1 1 1 0 1 0 1 0 0 0 0 0 1 1 0 1 1 1 1 1 0 1 1 1 1 \n    1 0 0 1]\n[0 0 0 0 0 0 0 0 0 0 0 0 0 0 0 0 0 0 0 0 0 0 0 0 0 0 0 0 0 0 0 0 0 1 0 0 0 0 0 0\n    0 0 1 0 0 1 1 0 0 1 0 1 1 0 0 1 0 1 0 0 1 0 1 0 1 0 0 0 1 1 0 0 1 1 0 0 1 0 \n    1 1 0 0]\n[0 0 0 0 0 0 0 0 0 0 0 0 0 0 0 0 0 0 0 0 0 0 0 0 0 0 0 0 0 0 0 0 0 0 1 0 0 0 0 0\n    0 0 0 0 1 0 0 0 1 0 0 0 1 1 1 1 1 1 1 0 0 1 1 1 0 0 0 1 0 0 1 1 1 0 0 1 1 1 \n    1 1 0 1]\n[0 0 0 0 0 0 0 0 0 0 0 0 0 0 0 0 0 0 0 0 0 0 0 0 0 0 0 0 0 0 0 0 0 0 0 1 0 0 0 0\n    0 0 1 0 1 1 0 1 1 1 1 1 1 1 1 0 0 1 0 1 0 0 1 1 0 1 1 0 0 1 1 1 0 0 1 0 0 0 \n    0 1 0 1]\n[0 0 0 0 0 0 0 0 0 0 0 0 0 0 0 0 0 0 0 0 0 0 0 0 0 0 0 0 0 0 0 0 0 0 0 0 1 0 0 0\n    0 0 1 0 0 1 0 0 1 1 1 0 0 1 0 1 1 1 0 0 1 0 1 1 0 0 0 0 1 0 0 0 1 0 0 0 0 1 \n    0 0 1 0]\n[0 0 0 0 0 0 0 0 0 0 0 0 0 0 0 0 0 0 0 0 0 0 0 0 0 0 0 0 0 0 0 0 0 0 0 0 0 1 0 0\n    0 0 0 0 1 0 0 1 1 1 0 1 0 0 0 1 1 0 1 0 0 1 1 1 1 1 0 1 0 0 0 1 1 0 1 1 1 0 \n    0 0 1 0]\n[0 0 0 0 0 0 0 0 0 0 0 0 0 0 0 0 0 0 0 0 0 0 0 0 0 0 0 0 0 0 0 0 0 0 0 0 0 0 1 0\n    0 0 0 0 1 1 0 1 1 0 0 0 1 0 0 1 1 1 1 0 1 1 0 1 1 1 0 1 1 0 1 1 1 0 0 0 1 0 \n    1 0 0 0]\n[0 0 0 0 0 0 0 0 0 0 0 0 0 0 0 0 0 0 0 0 0 0 0 0 0 0 0 0 0 0 0 0 0 0 0 0 0 0 0 1\n    0 0 0 0 0 1 1 0 1 1 0 0 0 1 0 0 1 1 1 1 0 1 1 0 1 1 1 0 1 1 0 1 1 1 0 0 0 1 \n    0 1 0 0]\n[0 0 0 0 0 0 0 0 0 0 0 0 0 0 0 0 0 0 0 0 0 0 0 0 0 0 0 0 0 0 0 0 0 0 0 0 0 0 0 0\n    1 0 0 0 0 0 1 1 0 1 1 0 0 0 1 0 0 1 1 1 1 0 1 1 0 1 1 1 0 1 1 0 1 1 1 0 0 0 \n    1 0 1 0]\n[0 0 0 0 0 0 0 0 0 0 0 0 0 0 0 0 0 0 0 0 0 0 0 0 0 0 0 0 0 0 0 0 0 0 0 0 0 0 0 0\n    0 1 0 0 0 0 0 1 1 0 1 1 0 0 0 1 0 0 1 1 1 1 0 1 1 0 1 1 1 0 1 1 0 1 1 1 0 0 \n    0 1 0 1]\n[0 0 0 0 0 0 0 0 0 0 0 0 0 0 0 0 0 0 0 0 0 0 0 0 0 0 0 0 0 0 0 0 0 0 0 0 0 0 0 0\n    0 0 0 1 0 0 1 0 1 1 0 0 0 0 1 0 0 1 1 1 1 1 0 0 0 1 1 0 0 1 1 0 1 0 1 0 1 1 \n    0 0 1 0]\nLinear Code over GF(2) of length 82 with 43 generators.\nLower Bound: 1, Upper Bound: 40\nConstructed 2 distinct generator matrices\nRelative Ranks:  43  39 \nTime Taken: 0.00\nStarting search for low weight codewords... (reset timings)\nEnumerating using 1 generator at a time:\n     New codeword identified of weight 20, time 0.00\n     New codeword identified of weight 14, time 0.00\n     New codeword identified of weight 13, time 0.00\n   Completed Matrix  1:  lower =  2, upper = 13. Elapsed: 0.00s\n   Completed Matrix  2:  lower =  2, upper = 13. Elapsed: 0.00s\nTermination predicted with 8 generators at matrix 1\nEnumerating using 2 generators at a time:\n   Completed Matrix  1:  lower =  3, upper = 13. Elapsed: 0.00s\n   Completed Matrix  2:  lower =  3, upper = 13. Elapsed: 0.00s\nTermination predicted with 8 generators at matrix 1\nEnumerating using 3 generators at a time:\n   Completed Matrix  1:  lower =  4, upper = 13. Elapsed: 0.00s\n   Completed Matrix  2:  lower =  4, upper = 13. Elapsed: 0.00s\nTermination predicted with 8 generators at matrix 1\nEnumerating using 4 generators at a time:\n   Completed Matrix  1:  lower =  5, upper = 13. Elapsed: 0.00s\n   Completed Matrix  2:  lower =  6, upper = 13. Elapsed: 0.00s\nTermination predicted with 8 generators at matrix 1\nEnumerating using 5 generators at a time:\n   Completed Matrix  1:  lower =  7, upper = 13. Elapsed: 0.00s\n   Completed Matrix  2:  lower =  8, upper = 13. Elapsed: 0.00s\nTermination predicted with 8 generators at matrix 1\nEnumerating using 6 generators at a time:\n   Completed Matrix  1:  lower =  9, upper = 13. Elapsed: 0.02s\n   Completed Matrix  2:  lower = 10, upper = 13. Elapsed: 0.03s\nTermination predicted with 8 generators at matrix 1\nEnumerating using 7 generators at a time:\n   Completed Matrix  1:  lower = 11, upper = 13. Elapsed: 0.10s\n   Completed Matrix  2:  lower = 12, upper = 13. Elapsed: 0.18s\nTermination predicted with 8 generators at matrix 1\nEnumerating using 8 generators at a time:\n   Completed Matrix  1:  lower = 13, upper = 13. Elapsed: 0.49s\nComputation complete 223848239 vectors enumerated in total\n (0.002545% of 82 43 code)\nFinal Results: lower = 13, upper = 13,\nTotal CPU time: 0.49, real time: 0.484\n13\n\nTotal time: 0.500 seconds, Total memory usage: 32.09MB\n</t>
  </si>
  <si>
    <t>[[83,41,15]]</t>
  </si>
  <si>
    <t>Magma V2.28-26    Tue Dec 30 2025 09:50:56 on Marks-MacBook-Air-2 [Seed = \n1934211632]\nType ? for help.  Type &lt;Ctrl&gt;-D to quit.\n[1 1 0 1 0 1 0 0 1 1 0 1 1 1 1 0 1 1 1 1 1 1 1 1 1 0 1 1 1 1 0 1 1 0 0 1 0 1 0 1\n    1 0 1 0 0 0 0 0 0 0 0 0 0 0 0 0 0 0 0 0 0 0 0 0 0 0 0 0 0 0 0 0 0 0 0 0 0 0 \n    0 0 0 0 0]\n[0 1 1 0 1 0 1 0 0 1 1 0 1 1 1 1 0 1 1 1 1 1 1 1 1 1 0 1 1 1 1 0 1 1 0 0 1 0 1 0\n    1 1 0 1 0 0 0 0 0 0 0 0 0 0 0 0 0 0 0 0 0 0 0 0 0 0 0 0 0 0 0 0 0 0 0 0 0 0 \n    0 0 0 0 0]\n[0 1 1 0 0 0 0 1 1 1 1 0 1 0 0 1 0 1 0 0 0 0 0 0 0 1 0 1 0 0 1 0 1 1 1 1 0 0 0 0\n    1 1 0 0 1 0 0 0 0 0 0 0 0 0 0 0 0 0 0 0 0 0 0 0 0 0 0 0 0 0 0 0 0 0 0 0 0 0 \n    0 0 0 0 0]\n[1 1 1 0 0 1 0 0 0 0 1 0 1 0 1 0 0 1 0 1 1 1 1 1 1 0 0 1 0 1 0 0 1 1 1 0 1 1 0 1\n    1 1 0 0 0 1 0 0 0 0 0 0 0 0 0 0 0 0 0 0 0 0 0 0 0 0 0 0 0 0 0 0 0 0 0 0 0 0 \n    0 0 0 0 0]\n[0 0 1 0 0 1 1 0 1 1 0 0 1 0 1 1 1 1 0 1 0 0 0 0 0 1 1 1 0 1 1 1 1 1 1 0 0 0 1 1\n    0 1 0 0 0 0 1 0 0 0 0 0 0 0 0 0 0 0 0 0 0 0 0 0 0 0 0 0 0 0 0 0 0 0 0 0 0 0 \n    0 0 0 0 0]\n[0 1 0 0 0 1 1 1 1 0 1 1 1 0 1 1 0 0 0 1 0 1 1 1 1 0 0 0 0 1 1 0 0 1 1 0 0 1 0 0\n    0 0 0 0 0 0 0 1 0 0 0 0 0 0 0 0 0 0 0 0 0 0 0 0 0 0 0 0 0 0 0 0 0 0 0 0 0 0 \n    0 0 0 0 0]\n[1 0 1 0 0 0 1 1 1 1 0 1 1 1 0 1 1 0 0 0 1 0 1 1 1 1 0 0 0 0 1 1 0 0 1 1 0 0 1 0\n    0 0 0 0 0 0 0 0 1 0 0 0 0 0 0 0 0 0 0 0 0 0 0 0 0 0 0 0 0 0 0 0 0 0 0 0 0 0 \n    0 0 0 0 0]\n[1 1 0 1 0 0 0 1 1 1 1 0 1 1 1 0 1 1 0 0 0 1 0 1 1 1 1 0 0 0 0 1 1 0 0 1 1 0 0 1\n    0 0 0 0 0 0 0 0 0 1 0 0 0 0 0 0 0 0 0 0 0 0 0 0 0 0 0 0 0 0 0 0 0 0 0 0 0 0 \n    0 0 0 0 0]\n[0 1 1 0 1 0 0 0 1 1 1 1 0 1 1 1 0 1 1 0 0 0 1 0 1 1 1 1 0 0 0 0 1 1 0 0 1 1 0 0\n    1 0 0 0 0 0 0 0 0 0 1 0 0 0 0 0 0 0 0 0 0 0 0 0 0 0 0 0 0 0 0 0 0 0 0 0 0 0 \n    0 0 0 0 0]\n[0 0 1 1 0 1 0 0 0 1 1 1 1 0 1 1 1 0 1 1 0 0 0 1 0 1 1 1 1 0 0 0 0 1 1 0 0 1 1 0\n    0 1 0 0 0 0 0 0 0 0 0 1 0 0 0 0 0 0 0 0 0 0 0 0 0 0 0 0 0 0 0 0 0 0 0 0 0 0 \n    0 0 0 0 0]\n[1 1 0 0 1 1 1 0 1 1 1 0 0 0 1 1 0 0 1 0 0 1 1 1 0 0 0 0 0 0 0 1 1 0 1 0 0 1 1 0\n    1 0 0 0 0 0 0 0 0 0 0 0 1 0 0 0 0 0 0 0 0 0 0 0 0 0 0 0 0 0 0 0 0 0 0 0 0 0 \n    0 0 0 0 0]\n[0 1 1 0 0 1 1 1 0 1 1 1 0 0 0 1 1 0 0 1 0 0 1 1 1 0 0 0 0 0 0 0 1 1 0 1 0 0 1 1\n    0 1 0 0 0 0 0 0 0 0 0 0 0 1 0 0 0 0 0 0 0 0 0 0 0 0 0 0 0 0 0 0 0 0 0 0 0 0 \n    0 0 0 0 0]\n[0 1 1 0 0 1 1 1 0 1 1 0 0 1 1 0 0 0 1 1 0 1 1 0 0 1 1 1 1 1 0 1 1 1 1 1 1 1 0 0\n    0 0 0 0 0 0 0 0 0 0 0 0 0 0 1 0 0 0 0 0 0 0 0 0 0 0 0 0 0 0 0 0 0 0 0 0 0 0 \n    0 0 0 0 0]\n[0 0 1 1 0 0 1 1 1 0 1 1 0 0 1 1 0 0 0 1 1 0 1 1 0 0 1 1 1 1 1 0 1 1 1 1 1 1 1 0\n    0 0 0 0 0 0 0 0 0 0 0 0 0 0 0 1 0 0 0 0 0 0 0 0 0 0 0 0 0 0 0 0 0 0 0 0 0 0 \n    0 0 0 0 0]\n[1 0 0 1 1 0 0 1 1 1 0 1 1 0 0 1 1 0 0 0 1 1 0 1 1 0 0 1 1 1 1 1 0 1 1 1 1 1 1 1\n    0 0 0 0 0 0 0 0 0 0 0 0 0 0 0 0 1 0 0 0 0 0 0 0 0 0 0 0 0 0 0 0 0 0 0 0 0 0 \n    0 0 0 0 0]\n[0 1 0 0 1 1 0 0 1 1 1 0 1 1 0 0 1 1 0 0 0 1 1 0 1 1 0 0 1 1 1 1 1 0 1 1 1 1 1 1\n    1 0 0 0 0 0 0 0 0 0 0 0 0 0 0 0 0 1 0 0 0 0 0 0 0 0 0 0 0 0 0 0 0 0 0 0 0 0 \n    0 0 0 0 0]\n[0 0 1 0 0 1 1 0 0 1 1 1 0 1 1 0 0 1 1 0 0 0 1 1 0 1 1 0 0 1 1 1 1 1 0 1 1 1 1 1\n    1 1 0 0 0 0 0 0 0 0 0 0 0 0 0 0 0 0 1 0 0 0 0 0 0 0 0 0 0 0 0 0 0 0 0 0 0 0 \n    0 0 0 0 0]\n[1 1 0 0 0 1 1 1 1 1 1 0 0 1 0 1 1 1 0 0 1 1 1 0 0 0 0 0 1 1 1 0 0 1 1 1 1 0 1 0\n    0 1 0 0 0 0 0 0 0 0 0 0 0 0 0 0 0 0 0 1 0 0 0 0 0 0 0 0 0 0 0 0 0 0 0 0 0 0 \n    0 0 0 0 0]\n[1 0 1 1 0 1 1 1 0 0 1 0 1 1 0 0 0 0 0 1 1 0 0 0 1 0 1 1 1 0 1 0 1 0 1 0 1 0 0 0\n    1 0 0 0 0 0 0 0 0 0 0 0 0 0 0 0 0 0 0 0 1 0 0 0 0 0 0 0 0 0 0 0 0 0 0 0 0 0 \n    0 0 0 0 0]\n[1 1 0 1 1 0 1 1 1 0 0 1 0 1 1 0 0 0 0 0 1 1 0 0 0 1 0 1 1 1 0 1 0 1 0 1 0 1 0 0\n    0 1 0 0 0 0 0 0 0 0 0 0 0 0 0 0 0 0 0 0 0 1 0 0 0 0 0 0 0 0 0 0 0 0 0 0 0 0 \n    0 0 0 0 0]\n[0 0 1 1 1 0 0 1 0 0 0 1 0 1 0 1 1 1 1 1 1 0 0 1 1 0 0 1 0 0 1 1 0 0 1 1 1 1 1 1\n    1 0 0 0 0 0 0 0 0 0 0 0 0 0 0 0 0 0 0 0 0 0 1 0 0 0 0 0 0 0 0 0 0 0 0 0 0 0 \n    0 0 0 0 0]\n[0 0 0 1 1 1 0 0 1 0 0 0 1 0 1 0 1 1 1 1 1 1 0 0 1 1 0 0 1 0 0 1 1 0 0 1 1 1 1 1\n    1 1 0 0 0 0 0 0 0 0 0 0 0 0 0 0 0 0 0 0 0 0 0 1 0 0 0 0 0 0 0 0 0 0 0 0 0 0 \n    0 0 0 0 0]\n[0 1 0 1 1 0 1 0 1 0 0 1 1 0 1 1 1 0 0 0 0 0 0 1 1 1 0 1 1 0 0 1 0 1 0 1 1 0 1 0\n    0 1 0 0 0 0 0 0 0 0 0 0 0 0 0 0 0 0 0 0 0 0 0 0 1 0 0 0 0 0 0 0 0 0 0 0 0 0 \n    0 0 0 0 0]\n[1 1 1 1 1 0 0 1 1 0 0 1 0 0 1 1 0 0 1 1 1 1 1 1 0 1 0 1 0 0 0 1 0 0 1 1 1 0 0 0\n    1 0 0 0 0 0 0 0 0 0 0 0 0 0 0 0 0 0 0 0 0 0 0 0 0 1 0 0 0 0 0 0 0 0 0 0 0 0 \n    0 0 0 0 0]\n[1 1 1 1 1 1 0 0 1 1 0 0 1 0 0 1 1 0 0 1 1 1 1 1 1 0 1 0 1 0 0 0 1 0 0 1 1 1 0 0\n    0 1 0 0 0 0 0 0 0 0 0 0 0 0 0 0 0 0 0 0 0 0 0 0 0 0 1 0 0 0 0 0 0 0 0 0 0 0 \n    0 0 0 0 0]\n[0 0 1 0 1 0 1 0 1 0 1 1 1 0 1 0 0 0 1 1 0 0 0 0 0 1 1 0 1 0 0 1 1 1 0 1 1 0 1 1\n    1 0 0 0 0 0 0 0 0 0 0 0 0 0 0 0 0 0 0 0 0 0 0 0 0 0 0 1 0 0 0 0 0 0 0 0 0 0 \n    0 0 0 0 0]\n[0 0 0 1 0 1 0 1 0 1 0 1 1 1 0 1 0 0 0 1 1 0 0 0 0 0 1 1 0 1 0 0 1 1 1 0 1 1 0 1\n    1 1 0 0 0 0 0 0 0 0 0 0 0 0 0 0 0 0 0 0 0 0 0 0 0 0 0 0 1 0 0 0 0 0 0 0 0 0 \n    0 0 0 0 0]\n[0 1 0 1 1 1 1 0 0 1 1 1 0 0 0 0 0 1 1 1 0 0 1 1 1 0 1 0 0 1 1 1 1 1 1 0 0 0 1 1\n    0 1 0 0 0 0 0 0 0 0 0 0 0 0 0 0 0 0 0 0 0 0 0 0 0 0 0 0 0 1 0 0 0 0 0 0 0 0 \n    0 0 0 0 0]\n[1 1 1 1 1 0 1 1 1 1 1 0 0 1 1 0 1 1 0 0 0 1 1 0 0 1 1 0 1 1 1 0 0 1 1 0 0 1 0 0\n    0 0 0 0 0 0 0 0 0 0 0 0 0 0 0 0 0 0 0 0 0 0 0 0 0 0 0 0 0 0 1 0 0 0 0 0 0 0 \n    0 0 0 0 0]\n[1 1 1 1 1 1 0 1 1 1 1 1 0 0 1 1 0 1 1 0 0 0 1 1 0 0 1 1 0 1 1 1 0 0 1 1 0 0 1 0\n    0 0 0 0 0 0 0 0 0 0 0 0 0 0 0 0 0 0 0 0 0 0 0 0 0 0 0 0 0 0 0 1 0 0 0 0 0 0 \n    0 0 0 0 0]\n[1 1 1 1 1 1 1 0 1 1 1 1 1 0 0 1 1 0 1 1 0 0 0 1 1 0 0 1 1 0 1 1 1 0 0 1 1 0 0 1\n    0 0 0 0 0 0 0 0 0 0 0 0 0 0 0 0 0 0 0 0 0 0 0 0 0 0 0 0 0 0 0 0 1 0 0 0 0 0 \n    0 0 0 0 0]\n[0 1 1 1 1 1 1 1 0 1 1 1 1 1 0 0 1 1 0 1 1 0 0 0 1 1 0 0 1 1 0 1 1 1 0 0 1 1 0 0\n    1 0 0 0 0 0 0 0 0 0 0 0 0 0 0 0 0 0 0 0 0 0 0 0 0 0 0 0 0 0 0 0 0 1 0 0 0 0 \n    0 0 0 0 0]\n[0 0 1 1 1 1 1 1 1 0 1 1 1 1 1 0 0 1 1 0 1 1 0 0 0 1 1 0 0 1 1 0 1 1 1 0 0 1 1 0\n    0 1 0 0 0 0 0 0 0 0 0 0 0 0 0 0 0 0 0 0 0 0 0 0 0 0 0 0 0 0 0 0 0 0 1 0 0 0 \n    0 0 0 0 0]\n[1 1 0 0 1 0 1 1 0 0 0 0 0 0 0 1 1 1 0 0 1 0 0 1 1 0 0 0 1 1 1 0 1 1 1 0 0 1 1 0\n    1 0 0 0 0 0 0 0 0 0 0 0 0 0 0 0 0 0 0 0 0 0 0 0 0 0 0 0 0 0 0 0 0 0 0 1 0 0 \n    0 0 0 0 0]\n[0 1 1 0 0 1 0 1 1 0 0 0 0 0 0 0 1 1 1 0 0 1 0 0 1 1 0 0 0 1 1 1 0 1 1 1 0 0 1 1\n    0 1 0 0 0 0 0 0 0 0 0 0 0 0 0 0 0 0 0 0 0 0 0 0 0 0 0 0 0 0 0 0 0 0 0 0 1 0 \n    0 0 0 0 0]\n[0 1 1 0 0 1 1 0 0 0 0 1 1 1 1 0 1 0 0 0 1 1 0 1 1 1 0 1 1 1 1 0 0 0 1 0 1 1 0 0\n    0 0 0 0 0 0 0 0 0 0 0 0 0 0 0 0 0 0 0 0 0 0 0 0 0 0 0 0 0 0 0 0 0 0 0 0 0 1 \n    0 0 0 0 0]\n[0 0 1 1 0 0 1 1 0 0 0 0 1 1 1 1 0 1 0 0 0 1 1 0 1 1 1 0 1 1 1 1 0 0 0 1 0 1 1 0\n    0 0 0 0 0 0 0 0 0 0 0 0 0 0 0 0 0 0 0 0 0 0 0 0 0 0 0 0 0 0 0 0 0 0 0 0 0 0 \n    1 0 0 0 0]\n[1 0 0 1 1 0 0 1 1 0 0 0 0 1 1 1 1 0 1 0 0 0 1 1 0 1 1 1 0 1 1 1 1 0 0 0 1 0 1 1\n    0 0 0 0 0 0 0 0 0 0 0 0 0 0 0 0 0 0 0 0 0 0 0 0 0 0 0 0 0 0 0 0 0 0 0 0 0 0 \n    0 1 0 0 0]\n[0 1 0 0 1 1 0 0 1 1 0 0 0 0 1 1 1 1 0 1 0 0 0 1 1 0 1 1 1 0 1 1 1 1 0 0 0 1 0 1\n    1 0 0 0 0 0 0 0 0 0 0 0 0 0 0 0 0 0 0 0 0 0 0 0 0 0 0 0 0 0 0 0 0 0 0 0 0 0 \n    0 0 1 0 0]\n[0 0 1 0 0 1 1 0 0 1 1 0 0 0 0 1 1 1 1 0 1 0 0 0 1 1 0 1 1 1 0 1 1 1 1 0 0 0 1 0\n    1 1 0 0 0 0 0 0 0 0 0 0 0 0 0 0 0 0 0 0 0 0 0 0 0 0 0 0 0 0 0 0 0 0 0 0 0 0 \n    0 0 0 1 0]\n[1 1 0 0 0 1 1 1 1 1 1 0 1 1 1 0 0 0 0 0 1 0 1 1 1 1 0 1 0 0 1 1 0 1 1 0 0 1 0 0\n    1 1 0 0 0 0 0 0 0 0 0 0 0 0 0 0 0 0 0 0 0 0 0 0 0 0 0 0 0 0 0 0 0 0 0 0 0 0 \n    0 0 0 0 1]\n[83, 41] Linear Code over GF(2)\nGenerator matrix:\n[1 0 0 0 0 0 0 0 0 0 0 0 0 0 0 0 0 0 0 0 0 0 0 0 0 0 0 0 0 0 0 0 0 0 0 0 0 0 0 0\n    1 1 0 1 0 0 0 1 1 1 1 0 1 1 1 0 1 1 0 0 0 1 0 1 1 1 1 0 0 0 0 1 1 0 0 1 1 0 \n    0 1 0 0 0]\n[0 1 0 0 0 0 0 0 0 0 0 0 0 0 0 0 0 0 0 0 0 0 0 0 0 0 0 0 0 0 0 0 0 0 0 0 0 0 0 0\n    0 1 0 1 1 0 0 0 0 1 0 0 1 1 1 1 0 0 0 0 0 0 0 1 0 0 0 0 1 0 0 0 0 0 0 0 1 1 \n    1 1 0 0 1]\n[0 0 1 0 0 0 0 0 0 0 0 0 0 0 0 0 0 0 0 0 0 0 0 0 0 0 0 0 0 0 0 0 0 0 0 0 0 0 0 0\n    0 0 0 0 0 1 0 0 1 1 0 0 0 0 1 1 1 1 0 1 0 0 1 0 1 0 0 0 0 0 0 0 1 0 1 0 0 1 \n    0 1 1 1 1]\n[0 0 0 1 0 0 0 0 0 0 0 0 0 0 0 0 0 0 0 0 0 0 0 0 0 0 0 0 0 0 0 0 0 0 0 0 0 0 0 0\n    0 0 0 1 1 0 1 0 0 0 1 1 1 1 0 1 1 1 0 1 1 0 0 0 1 0 1 1 1 1 0 0 0 0 1 1 0 0 \n    1 1 0 0 1]\n[0 0 0 0 1 0 0 0 0 0 0 0 0 0 0 0 0 0 0 0 0 0 0 0 0 0 0 0 0 0 0 0 0 0 0 0 0 0 0 0\n    1 1 0 0 0 1 0 0 1 0 1 0 1 1 0 0 0 0 0 1 1 0 0 0 0 1 0 0 0 0 1 1 1 1 1 0 0 0 \n    0 1 0 1 0]\n[0 0 0 0 0 1 0 0 0 0 0 0 0 0 0 0 0 0 0 0 0 0 0 0 0 0 0 0 0 0 0 0 0 0 0 0 0 0 0 0\n    1 0 0 0 0 0 1 1 0 0 0 0 0 0 0 0 1 0 1 0 1 0 1 0 0 0 1 1 1 0 0 0 1 0 1 0 1 0 \n    1 0 0 0 0]\n[0 0 0 0 0 0 1 0 0 0 0 0 0 0 0 0 0 0 0 0 0 0 0 0 0 0 0 0 0 0 0 0 0 0 0 0 0 0 0 0\n    1 0 0 1 0 0 0 0 0 1 1 0 1 1 1 0 1 0 0 1 0 0 0 0 1 1 1 1 1 1 0 1 1 1 0 0 1 1 \n    0 0 0 0 0]\n[0 0 0 0 0 0 0 1 0 0 0 0 0 0 0 0 0 0 0 0 0 0 0 0 0 0 0 0 0 0 0 0 0 0 0 0 0 0 0 0\n    1 0 0 1 1 0 0 1 1 1 0 1 1 0 0 1 1 0 0 0 1 1 0 1 1 0 0 1 1 1 1 1 0 1 1 1 1 1 \n    1 1 0 0 0]\n[0 0 0 0 0 0 0 0 1 0 0 0 0 0 0 0 0 0 0 0 0 0 0 0 0 0 0 0 0 0 0 0 0 0 0 0 0 0 0 0\n    0 1 0 0 1 1 0 0 1 1 1 0 1 1 0 0 1 1 0 0 0 1 1 0 1 1 0 0 1 1 1 1 1 0 1 1 1 1 \n    1 1 1 0 0]\n[0 0 0 0 0 0 0 0 0 1 0 0 0 0 0 0 0 0 0 0 0 0 0 0 0 0 0 0 0 0 0 0 0 0 0 0 0 0 0 0\n    0 0 0 1 0 1 1 0 1 1 0 0 1 1 1 0 0 0 0 0 0 0 0 0 1 0 0 1 1 1 1 1 0 0 0 1 1 1 \n    0 0 0 1 1]\n[0 0 0 0 0 0 0 0 0 0 1 0 0 0 0 0 0 0 0 0 0 0 0 0 0 0 0 0 0 0 0 0 0 0 0 0 0 0 0 0\n    0 0 0 1 0 0 1 1 0 0 1 1 1 0 1 1 0 0 1 1 0 0 0 1 1 0 1 1 0 0 1 1 1 1 1 0 1 1 \n    1 1 1 1 1]\n[0 0 0 0 0 0 0 0 0 0 0 1 0 0 0 0 0 0 0 0 0 0 0 0 0 0 0 0 0 0 0 0 0 0 0 0 0 0 0 0\n    1 1 0 0 0 0 0 0 0 0 1 0 1 1 1 1 0 1 1 0 1 1 0 0 1 1 0 0 0 1 0 0 0 0 0 0 1 1 \n    1 1 0 0 1]\n[0 0 0 0 0 0 0 0 0 0 0 0 1 0 0 0 0 0 0 0 0 0 0 0 0 0 0 0 0 0 0 0 0 0 0 0 0 0 0 0\n    0 1 0 0 1 0 0 0 1 1 1 1 0 0 1 1 1 1 1 0 0 1 0 0 0 1 1 0 0 1 1 0 1 0 1 0 0 1 \n    0 1 1 1 1]\n[0 0 0 0 0 0 0 0 0 0 0 0 0 1 0 0 0 0 0 0 0 0 0 0 0 0 0 0 0 0 0 0 0 0 0 0 0 0 0 0\n    1 1 0 1 1 1 0 1 0 1 1 1 0 0 1 1 0 1 1 0 0 1 0 1 1 1 0 1 0 1 1 0 0 1 1 0 1 0 \n    0 1 1 0 0]\n[0 0 0 0 0 0 0 0 0 0 0 0 0 0 1 0 0 0 0 0 0 0 0 0 0 0 0 0 0 0 0 0 0 0 0 0 0 0 0 0\n    1 0 0 0 1 1 1 1 1 1 1 0 1 1 1 1 0 0 0 1 0 1 0 0 1 1 1 1 0 0 1 0 0 1 1 0 1 1 \n    1 0 0 1 1]\n[0 0 0 0 0 0 0 0 0 0 0 0 0 0 0 1 0 0 0 0 0 0 0 0 0 0 0 0 0 0 0 0 0 0 0 0 0 0 0 0\n    1 0 0 0 1 1 1 0 0 1 0 0 0 1 0 1 0 1 1 1 1 1 1 0 0 1 1 0 0 1 0 0 1 1 0 0 1 1 \n    1 1 1 1 1]\n[0 0 0 0 0 0 0 0 0 0 0 0 0 0 0 0 1 0 0 0 0 0 0 0 0 0 0 0 0 0 0 0 0 0 0 0 0 0 0 0\n    1 0 0 0 1 1 1 0 1 0 0 1 0 0 0 0 0 1 0 0 1 0 1 1 0 0 1 0 1 1 1 1 1 0 0 1 1 1 \n    1 1 0 0 1]\n[0 0 0 0 0 0 0 0 0 0 0 0 0 0 0 0 0 1 0 0 0 0 0 0 0 0 0 0 0 0 0 0 0 0 0 0 0 0 0 0\n    0 1 0 1 1 1 1 1 0 0 0 1 0 1 0 0 0 0 0 1 0 1 0 0 0 1 1 0 1 0 1 1 1 0 1 0 1 1 \n    1 0 0 1 0]\n[0 0 0 0 0 0 0 0 0 0 0 0 0 0 0 0 0 0 1 0 0 0 0 0 0 0 0 0 0 0 0 0 0 0 0 0 0 0 0 0\n    1 1 0 0 1 1 1 0 1 1 0 1 1 1 0 0 1 0 1 0 1 1 0 0 0 0 1 0 1 1 0 0 1 0 0 0 1 1 \n    0 1 1 0 0]\n[0 0 0 0 0 0 0 0 0 0 0 0 0 0 0 0 0 0 0 1 0 0 0 0 0 0 0 0 0 0 0 0 0 0 0 0 0 0 0 0\n    1 0 0 0 0 1 1 0 0 0 1 1 1 0 0 0 1 1 1 1 0 0 0 0 0 0 0 0 1 1 1 1 0 0 0 1 1 1 \n    0 0 0 1 1]\n[0 0 0 0 0 0 0 0 0 0 0 0 0 0 0 0 0 0 0 0 1 0 0 0 0 0 0 0 0 0 0 0 0 0 0 0 0 0 0 0\n    1 0 0 0 1 0 1 0 1 0 1 0 1 1 1 0 1 0 0 0 1 1 0 0 0 0 0 1 1 0 1 0 0 1 1 1 0 1 \n    1 0 1 1 1]\n[0 0 0 0 0 0 0 0 0 0 0 0 0 0 0 0 0 0 0 0 0 1 0 0 0 0 0 0 0 0 0 0 0 0 0 0 0 0 0 0\n    1 0 0 0 1 1 0 0 1 1 1 0 0 1 0 1 1 0 1 1 0 0 1 0 0 0 0 1 0 0 0 0 1 1 0 0 0 0 \n    1 1 1 0 1]\n[0 0 0 0 0 0 0 0 0 0 0 0 0 0 0 0 0 0 0 0 0 0 1 0 0 0 0 0 0 0 0 0 0 0 0 0 0 0 0 0\n    0 1 0 1 1 1 1 0 0 0 1 0 1 1 1 0 1 1 1 0 1 0 0 0 1 1 1 1 0 1 0 0 0 0 0 0 0 0 \n    0 0 0 0 0]\n[0 0 0 0 0 0 0 0 0 0 0 0 0 0 0 0 0 0 0 0 0 0 0 1 0 0 0 0 0 0 0 0 0 0 0 0 0 0 0 0\n    1 1 0 0 1 1 1 0 0 1 0 0 0 0 0 1 1 1 0 1 0 0 1 0 0 1 1 0 0 0 1 1 0 1 0 1 1 0 \n    1 0 1 0 1]\n[0 0 0 0 0 0 0 0 0 0 0 0 0 0 0 0 0 0 0 0 0 0 0 0 1 0 0 0 0 0 0 0 0 0 0 0 0 0 0 0\n    0 1 0 0 1 1 1 1 1 1 0 0 0 1 0 0 1 0 1 1 1 0 1 1 0 0 1 1 0 1 0 1 0 0 0 0 1 1 \n    1 1 0 0 1]\n[0 0 0 0 0 0 0 0 0 0 0 0 0 0 0 0 0 0 0 0 0 0 0 0 0 1 0 0 0 0 0 0 0 0 0 0 0 0 0 0\n    0 0 0 0 1 1 1 1 0 0 0 0 0 1 1 0 0 0 0 0 1 1 1 1 1 0 0 1 1 1 1 0 0 0 1 0 0 1 \n    0 1 1 1 1]\n[0 0 0 0 0 0 0 0 0 0 0 0 0 0 0 0 0 0 0 0 0 0 0 0 0 0 1 0 0 0 0 0 0 0 0 0 0 0 0 0\n    0 0 0 1 1 1 1 1 1 1 0 1 1 1 1 1 0 0 1 1 0 1 1 0 0 0 1 1 0 0 1 1 0 1 1 1 0 0 \n    1 1 0 0 1]\n[0 0 0 0 0 0 0 0 0 0 0 0 0 0 0 0 0 0 0 0 0 0 0 0 0 0 0 1 0 0 0 0 0 0 0 0 0 0 0 0\n    1 1 0 0 0 1 1 0 0 1 0 1 1 1 0 1 0 1 1 0 1 1 1 1 0 0 0 0 0 1 0 0 0 1 0 0 0 0 \n    0 1 0 1 0]\n[0 0 0 0 0 0 0 0 0 0 0 0 0 0 0 0 0 0 0 0 0 0 0 0 0 0 0 0 1 0 0 0 0 0 0 0 0 0 0 0\n    1 0 0 0 0 0 1 0 0 1 1 1 1 0 0 0 0 0 0 1 0 0 0 1 1 0 0 1 1 0 1 1 0 1 1 1 1 0 \n    1 0 0 0 0]\n[0 0 0 0 0 0 0 0 0 0 0 0 0 0 0 0 0 0 0 0 0 0 0 0 0 0 0 0 0 1 0 0 0 0 0 0 0 0 0 0\n    1 0 0 1 0 0 0 0 1 1 0 1 0 0 1 0 1 1 0 0 1 1 0 1 0 0 1 0 1 1 0 0 0 0 1 0 0 1 \n    0 0 0 0 0]\n[0 0 0 0 0 0 0 0 0 0 0 0 0 0 0 0 0 0 0 0 0 0 0 0 0 0 0 0 0 0 1 0 0 0 0 0 0 0 0 0\n    1 0 0 1 1 0 0 1 1 0 0 0 0 1 1 1 1 0 1 0 0 0 1 1 0 1 1 1 0 1 1 1 1 0 0 0 1 0 \n    1 1 0 0 0]\n[0 0 0 0 0 0 0 0 0 0 0 0 0 0 0 0 0 0 0 0 0 0 0 0 0 0 0 0 0 0 0 1 0 0 0 0 0 0 0 0\n    0 1 0 0 1 1 0 0 1 1 0 0 0 0 1 1 1 1 0 1 0 0 0 1 1 0 1 1 1 0 1 1 1 1 0 0 0 1 \n    0 1 1 0 0]\n[0 0 0 0 0 0 0 0 0 0 0 0 0 0 0 0 0 0 0 0 0 0 0 0 0 0 0 0 0 0 0 0 1 0 0 0 0 0 0 0\n    0 0 0 1 0 1 1 0 1 1 0 1 1 0 0 1 1 0 0 0 1 0 1 1 0 0 1 0 0 1 0 1 0 0 1 0 0 0 \n    0 1 0 1 1]\n[0 0 0 0 0 0 0 0 0 0 0 0 0 0 0 0 0 0 0 0 0 0 0 0 0 0 0 0 0 0 0 0 0 1 0 0 0 0 0 0\n    0 0 0 1 0 0 1 1 0 0 1 1 0 0 0 0 1 1 1 1 0 1 0 0 0 1 1 0 1 1 1 0 1 1 1 1 0 0 \n    0 1 0 1 1]\n[0 0 0 0 0 0 0 0 0 0 0 0 0 0 0 0 0 0 0 0 0 0 0 0 0 0 0 0 0 0 0 0 0 0 1 0 0 0 0 0\n    1 1 0 0 0 0 0 0 0 0 1 0 1 0 1 0 1 0 0 0 1 1 1 0 0 0 1 0 1 0 1 0 1 0 0 0 0 0 \n    0 0 0 1 1]\n[0 0 0 0 0 0 0 0 0 0 0 0 0 0 0 0 0 0 0 0 0 0 0 0 0 0 0 0 0 0 0 0 0 0 0 1 0 0 0 0\n    0 1 0 0 1 0 0 0 1 1 1 1 0 0 0 1 0 0 0 1 0 1 0 1 0 0 0 1 0 0 0 1 1 1 1 0 0 0 \n    1 0 0 1 0]\n[0 0 0 0 0 0 0 0 0 0 0 0 0 0 0 0 0 0 0 0 0 0 0 0 0 0 0 0 0 0 0 0 0 0 0 0 1 0 0 0\n    0 0 0 1 0 1 0 0 1 1 0 0 0 0 0 0 1 1 1 0 1 0 0 1 0 1 1 1 0 0 0 0 0 0 1 1 0 0 \n    1 0 1 0 0]\n[0 0 0 0 0 0 0 0 0 0 0 0 0 0 0 0 0 0 0 0 0 0 0 0 0 0 0 0 0 0 0 0 0 0 0 0 0 1 0 0\n    0 0 0 0 1 0 1 0 0 1 1 0 0 0 0 0 0 1 1 1 0 1 0 0 1 0 1 1 1 0 0 0 0 0 0 1 1 0 \n    0 1 0 1 0]\n[0 0 0 0 0 0 0 0 0 0 0 0 0 0 0 0 0 0 0 0 0 0 0 0 0 0 0 0 0 0 0 0 0 0 0 0 0 0 1 0\n    1 1 0 1 0 1 0 0 1 1 0 1 1 1 1 0 1 1 1 1 1 1 1 1 1 0 1 1 1 1 0 1 1 0 0 1 0 1 \n    0 1 1 0 1]\n[0 0 0 0 0 0 0 0 0 0 0 0 0 0 0 0 0 0 0 0 0 0 0 0 0 0 0 0 0 0 0 0 0 0 0 0 0 0 0 1\n    1 0 0 1 0 0 1 1 0 1 1 0 0 1 0 1 1 1 1 0 1 0 0 0 0 0 1 1 1 0 1 1 1 1 1 1 0 0 \n    0 1 1 0 1]\n[0 0 0 0 0 0 0 0 0 0 0 0 0 0 0 0 0 0 0 0 0 0 0 0 0 0 0 0 0 0 0 0 0 0 0 0 0 0 0 0\n    0 0 1 1 0 0 0 0 1 0 1 1 1 0 0 0 0 1 1 0 0 0 1 1 1 1 1 1 1 0 0 0 1 1 0 0 0 0 \n    1 1 1 0 1]\nLinear Code over GF(2) of length 83 with 41 generators.\nLower Bound: 1, Upper Bound: 43\nConstructed 3 distinct generator matrices\nRelative Ranks:  41  41   1 \n     Discarding non-contributing rank 1 matrix\n     New Relative Ranks:  41  41 \nTime Taken: 0.00\nStarting search for low weight codewords... (reset timings)\nEnumerating using 1 generator at a time:\n     New codeword identified of weight 23, time 0.00\n     New codeword identified of weight 16, time 0.00\n     New codeword identified of weight 15, time 0.00\n   Completed Matrix  1:  lower =  3, upper = 15. Elapsed: 0.00s\n   Completed Matrix  2:  lower =  4, upper = 15. Elapsed: 0.00s\nTermination predicted with 7 generators at matrix 1\nEnumerating using 2 generators at a time:\n   Completed Matrix  1:  lower =  5, upper = 15. Elapsed: 0.00s\n   Completed Matrix  2:  lower =  6, upper = 15. Elapsed: 0.00s\nTermination predicted with 7 generators at matrix 1\nEnumerating using 3 generators at a time:\n   Completed Matrix  1:  lower =  7, upper = 15. Elapsed: 0.00s\n   Completed Matrix  2:  lower =  8, upper = 15. Elapsed: 0.00s\nTermination predicted with 7 generators at matrix 1\nEnumerating using 4 generators at a time:\n   Completed Matrix  1:  lower =  9, upper = 15. Elapsed: 0.00s\n   Completed Matrix  2:  lower = 10, upper = 15. Elapsed: 0.00s\nTermination predicted with 7 generators at matrix 1\nEnumerating using 5 generators at a time:\n   Completed Matrix  1:  lower = 11, upper = 15. Elapsed: 0.00s\n   Completed Matrix  2:  lower = 12, upper = 15. Elapsed: 0.00s\nTermination predicted with 7 generators at matrix 1\nEnumerating using 6 generators at a time:\n   Completed Matrix  1:  lower = 13, upper = 15. Elapsed: 0.00s\n   Completed Matrix  2:  lower = 14, upper = 15. Elapsed: 0.02s\nTermination predicted with 7 generators at matrix 1\nEnumerating using 7 generators at a time:\n   Completed Matrix  1:  lower = 15, upper = 15. Elapsed: 0.06s\nComputation complete 33199094 vectors enumerated in total\n (0.001510% of 83 41 code)\nFinal Results: lower = 15, upper = 15,\nTotal CPU time: 0.06, real time: 0.070\n15\n\nTotal time: 0.080 seconds, Total memory usage: 32.09MB\n</t>
  </si>
  <si>
    <t>[[84,42,15]]</t>
  </si>
  <si>
    <t>Magma V2.28-26    Tue Dec 30 2025 09:50:56 on Marks-MacBook-Air-2 [Seed = \n1968159798]\nType ? for help.  Type &lt;Ctrl&gt;-D to quit.\n[1 1 0 1 0 1 0 0 1 1 0 1 1 1 1 0 1 1 1 1 1 1 1 1 1 0 1 1 1 1 0 1 1 0 0 1 0 1 0 1\n    1 0 1 0 0 0 0 0 0 0 0 0 0 0 0 0 0 0 0 0 0 0 0 0 0 0 0 0 0 0 0 0 0 0 0 0 0 0 \n    0 0 0 0 0 0]\n[0 1 1 0 1 0 1 0 0 1 1 0 1 1 1 1 0 1 1 1 1 1 1 1 1 1 0 1 1 1 1 0 1 1 0 0 1 0 1 0\n    1 1 0 1 0 0 0 0 0 0 0 0 0 0 0 0 0 0 0 0 0 0 0 0 0 0 0 0 0 0 0 0 0 0 0 0 0 0 \n    0 0 0 0 0 0]\n[0 1 1 0 0 0 0 1 1 1 1 0 1 0 0 1 0 1 0 0 0 0 0 0 0 1 0 1 0 0 1 0 1 1 1 1 0 0 0 0\n    1 1 0 0 1 0 0 0 0 0 0 0 0 0 0 0 0 0 0 0 0 0 0 0 0 0 0 0 0 0 0 0 0 0 0 0 0 0 \n    0 0 0 0 0 0]\n[1 1 1 0 0 1 0 0 0 0 1 0 1 0 1 0 0 1 0 1 1 1 1 1 1 0 0 1 0 1 0 0 1 1 1 0 1 1 0 1\n    1 1 0 0 0 1 0 0 0 0 0 0 0 0 0 0 0 0 0 0 0 0 0 0 0 0 0 0 0 0 0 0 0 0 0 0 0 0 \n    0 0 0 0 0 0]\n[0 0 1 0 0 1 1 0 1 1 0 0 1 0 1 1 1 1 0 1 0 0 0 0 0 1 1 1 0 1 1 1 1 1 1 0 0 0 1 1\n    0 1 0 0 0 0 1 0 0 0 0 0 0 0 0 0 0 0 0 0 0 0 0 0 0 0 0 0 0 0 0 0 0 0 0 0 0 0 \n    0 0 0 0 0 0]\n[0 1 0 0 0 1 1 1 1 0 1 1 1 0 1 1 0 0 0 1 0 1 1 1 1 0 0 0 0 1 1 0 0 1 1 0 0 1 0 0\n    0 0 0 0 0 0 0 1 0 0 0 0 0 0 0 0 0 0 0 0 0 0 0 0 0 0 0 0 0 0 0 0 0 0 0 0 0 0 \n    0 0 0 0 0 0]\n[1 0 1 0 0 0 1 1 1 1 0 1 1 1 0 1 1 0 0 0 1 0 1 1 1 1 0 0 0 0 1 1 0 0 1 1 0 0 1 0\n    0 0 0 0 0 0 0 0 1 0 0 0 0 0 0 0 0 0 0 0 0 0 0 0 0 0 0 0 0 0 0 0 0 0 0 0 0 0 \n    0 0 0 0 0 0]\n[1 1 0 1 0 0 0 1 1 1 1 0 1 1 1 0 1 1 0 0 0 1 0 1 1 1 1 0 0 0 0 1 1 0 0 1 1 0 0 1\n    0 0 0 0 0 0 0 0 0 1 0 0 0 0 0 0 0 0 0 0 0 0 0 0 0 0 0 0 0 0 0 0 0 0 0 0 0 0 \n    0 0 0 0 0 0]\n[0 1 1 0 1 0 0 0 1 1 1 1 0 1 1 1 0 1 1 0 0 0 1 0 1 1 1 1 0 0 0 0 1 1 0 0 1 1 0 0\n    1 0 0 0 0 0 0 0 0 0 1 0 0 0 0 0 0 0 0 0 0 0 0 0 0 0 0 0 0 0 0 0 0 0 0 0 0 0 \n    0 0 0 0 0 0]\n[0 0 1 1 0 1 0 0 0 1 1 1 1 0 1 1 1 0 1 1 0 0 0 1 0 1 1 1 1 0 0 0 0 1 1 0 0 1 1 0\n    0 1 0 0 0 0 0 0 0 0 0 1 0 0 0 0 0 0 0 0 0 0 0 0 0 0 0 0 0 0 0 0 0 0 0 0 0 0 \n    0 0 0 0 0 0]\n[1 1 0 0 1 1 1 0 1 1 1 0 0 0 1 1 0 0 1 0 0 1 1 1 0 0 0 0 0 0 0 1 1 0 1 0 0 1 1 0\n    1 0 0 0 0 0 0 0 0 0 0 0 1 0 0 0 0 0 0 0 0 0 0 0 0 0 0 0 0 0 0 0 0 0 0 0 0 0 \n    0 0 0 0 0 0]\n[0 1 1 0 0 1 1 1 0 1 1 1 0 0 0 1 1 0 0 1 0 0 1 1 1 0 0 0 0 0 0 0 1 1 0 1 0 0 1 1\n    0 1 0 0 0 0 0 0 0 0 0 0 0 1 0 0 0 0 0 0 0 0 0 0 0 0 0 0 0 0 0 0 0 0 0 0 0 0 \n    0 0 0 0 0 0]\n[0 1 1 0 0 1 1 1 0 1 1 0 0 1 1 0 0 0 1 1 0 1 1 0 0 1 1 1 1 1 0 1 1 1 1 1 1 1 0 0\n    0 0 0 0 0 0 0 0 0 0 0 0 0 0 1 0 0 0 0 0 0 0 0 0 0 0 0 0 0 0 0 0 0 0 0 0 0 0 \n    0 0 0 0 0 0]\n[0 0 1 1 0 0 1 1 1 0 1 1 0 0 1 1 0 0 0 1 1 0 1 1 0 0 1 1 1 1 1 0 1 1 1 1 1 1 1 0\n    0 0 0 0 0 0 0 0 0 0 0 0 0 0 0 1 0 0 0 0 0 0 0 0 0 0 0 0 0 0 0 0 0 0 0 0 0 0 \n    0 0 0 0 0 0]\n[1 0 0 1 1 0 0 1 1 1 0 1 1 0 0 1 1 0 0 0 1 1 0 1 1 0 0 1 1 1 1 1 0 1 1 1 1 1 1 1\n    0 0 0 0 0 0 0 0 0 0 0 0 0 0 0 0 1 0 0 0 0 0 0 0 0 0 0 0 0 0 0 0 0 0 0 0 0 0 \n    0 0 0 0 0 0]\n[0 1 0 0 1 1 0 0 1 1 1 0 1 1 0 0 1 1 0 0 0 1 1 0 1 1 0 0 1 1 1 1 1 0 1 1 1 1 1 1\n    1 0 0 0 0 0 0 0 0 0 0 0 0 0 0 0 0 1 0 0 0 0 0 0 0 0 0 0 0 0 0 0 0 0 0 0 0 0 \n    0 0 0 0 0 0]\n[0 0 1 0 0 1 1 0 0 1 1 1 0 1 1 0 0 1 1 0 0 0 1 1 0 1 1 0 0 1 1 1 1 1 0 1 1 1 1 1\n    1 1 0 0 0 0 0 0 0 0 0 0 0 0 0 0 0 0 1 0 0 0 0 0 0 0 0 0 0 0 0 0 0 0 0 0 0 0 \n    0 0 0 0 0 0]\n[1 1 0 0 0 1 1 1 1 1 1 0 0 1 0 1 1 1 0 0 1 1 1 0 0 0 0 0 1 1 1 0 0 1 1 1 1 0 1 0\n    0 1 0 0 0 0 0 0 0 0 0 0 0 0 0 0 0 0 0 1 0 0 0 0 0 0 0 0 0 0 0 0 0 0 0 0 0 0 \n    0 0 0 0 0 0]\n[1 0 1 1 0 1 1 1 0 0 1 0 1 1 0 0 0 0 0 1 1 0 0 0 1 0 1 1 1 0 1 0 1 0 1 0 1 0 0 0\n    1 0 0 0 0 0 0 0 0 0 0 0 0 0 0 0 0 0 0 0 1 0 0 0 0 0 0 0 0 0 0 0 0 0 0 0 0 0 \n    0 0 0 0 0 0]\n[1 1 0 1 1 0 1 1 1 0 0 1 0 1 1 0 0 0 0 0 1 1 0 0 0 1 0 1 1 1 0 1 0 1 0 1 0 1 0 0\n    0 1 0 0 0 0 0 0 0 0 0 0 0 0 0 0 0 0 0 0 0 1 0 0 0 0 0 0 0 0 0 0 0 0 0 0 0 0 \n    0 0 0 0 0 0]\n[0 0 1 1 1 0 0 1 0 0 0 1 0 1 0 1 1 1 1 1 1 0 0 1 1 0 0 1 0 0 1 1 0 0 1 1 1 1 1 1\n    1 0 0 0 0 0 0 0 0 0 0 0 0 0 0 0 0 0 0 0 0 0 1 0 0 0 0 0 0 0 0 0 0 0 0 0 0 0 \n    0 0 0 0 0 0]\n[0 0 0 1 1 1 0 0 1 0 0 0 1 0 1 0 1 1 1 1 1 1 0 0 1 1 0 0 1 0 0 1 1 0 0 1 1 1 1 1\n    1 1 0 0 0 0 0 0 0 0 0 0 0 0 0 0 0 0 0 0 0 0 0 1 0 0 0 0 0 0 0 0 0 0 0 0 0 0 \n    0 0 0 0 0 0]\n[0 1 0 1 1 0 1 0 1 0 0 1 1 0 1 1 1 0 0 0 0 0 0 1 1 1 0 1 1 0 0 1 0 1 0 1 1 0 1 0\n    0 1 0 0 0 0 0 0 0 0 0 0 0 0 0 0 0 0 0 0 0 0 0 0 1 0 0 0 0 0 0 0 0 0 0 0 0 0 \n    0 0 0 0 0 0]\n[1 1 1 1 1 0 0 1 1 0 0 1 0 0 1 1 0 0 1 1 1 1 1 1 0 1 0 1 0 0 0 1 0 0 1 1 1 0 0 0\n    1 0 0 0 0 0 0 0 0 0 0 0 0 0 0 0 0 0 0 0 0 0 0 0 0 1 0 0 0 0 0 0 0 0 0 0 0 0 \n    0 0 0 0 0 0]\n[1 1 1 1 1 1 0 0 1 1 0 0 1 0 0 1 1 0 0 1 1 1 1 1 1 0 1 0 1 0 0 0 1 0 0 1 1 1 0 0\n    0 1 0 0 0 0 0 0 0 0 0 0 0 0 0 0 0 0 0 0 0 0 0 0 0 0 1 0 0 0 0 0 0 0 0 0 0 0 \n    0 0 0 0 0 0]\n[0 0 1 0 1 0 1 0 1 0 1 1 1 0 1 0 0 0 1 1 0 0 0 0 0 1 1 0 1 0 0 1 1 1 0 1 1 0 1 1\n    1 0 0 0 0 0 0 0 0 0 0 0 0 0 0 0 0 0 0 0 0 0 0 0 0 0 0 1 0 0 0 0 0 0 0 0 0 0 \n    0 0 0 0 0 0]\n[0 0 0 1 0 1 0 1 0 1 0 1 1 1 0 1 0 0 0 1 1 0 0 0 0 0 1 1 0 1 0 0 1 1 1 0 1 1 0 1\n    1 1 0 0 0 0 0 0 0 0 0 0 0 0 0 0 0 0 0 0 0 0 0 0 0 0 0 0 1 0 0 0 0 0 0 0 0 0 \n    0 0 0 0 0 0]\n[0 1 0 1 1 1 1 0 0 1 1 1 0 0 0 0 0 1 1 1 0 0 1 1 1 0 1 0 0 1 1 1 1 1 1 0 0 0 1 1\n    0 1 0 0 0 0 0 0 0 0 0 0 0 0 0 0 0 0 0 0 0 0 0 0 0 0 0 0 0 1 0 0 0 0 0 0 0 0 \n    0 0 0 0 0 0]\n[1 1 1 1 1 0 1 1 1 1 1 0 0 1 1 0 1 1 0 0 0 1 1 0 0 1 1 0 1 1 1 0 0 1 1 0 0 1 0 0\n    0 0 0 0 0 0 0 0 0 0 0 0 0 0 0 0 0 0 0 0 0 0 0 0 0 0 0 0 0 0 1 0 0 0 0 0 0 0 \n    0 0 0 0 0 0]\n[1 1 1 1 1 1 0 1 1 1 1 1 0 0 1 1 0 1 1 0 0 0 1 1 0 0 1 1 0 1 1 1 0 0 1 1 0 0 1 0\n    0 0 0 0 0 0 0 0 0 0 0 0 0 0 0 0 0 0 0 0 0 0 0 0 0 0 0 0 0 0 0 1 0 0 0 0 0 0 \n    0 0 0 0 0 0]\n[1 1 1 1 1 1 1 0 1 1 1 1 1 0 0 1 1 0 1 1 0 0 0 1 1 0 0 1 1 0 1 1 1 0 0 1 1 0 0 1\n    0 0 0 0 0 0 0 0 0 0 0 0 0 0 0 0 0 0 0 0 0 0 0 0 0 0 0 0 0 0 0 0 1 0 0 0 0 0 \n    0 0 0 0 0 0]\n[0 1 1 1 1 1 1 1 0 1 1 1 1 1 0 0 1 1 0 1 1 0 0 0 1 1 0 0 1 1 0 1 1 1 0 0 1 1 0 0\n    1 0 0 0 0 0 0 0 0 0 0 0 0 0 0 0 0 0 0 0 0 0 0 0 0 0 0 0 0 0 0 0 0 1 0 0 0 0 \n    0 0 0 0 0 0]\n[0 0 1 1 1 1 1 1 1 0 1 1 1 1 1 0 0 1 1 0 1 1 0 0 0 1 1 0 0 1 1 0 1 1 1 0 0 1 1 0\n    0 1 0 0 0 0 0 0 0 0 0 0 0 0 0 0 0 0 0 0 0 0 0 0 0 0 0 0 0 0 0 0 0 0 1 0 0 0 \n    0 0 0 0 0 0]\n[1 1 0 0 1 0 1 1 0 0 0 0 0 0 0 1 1 1 0 0 1 0 0 1 1 0 0 0 1 1 1 0 1 1 1 0 0 1 1 0\n    1 0 0 0 0 0 0 0 0 0 0 0 0 0 0 0 0 0 0 0 0 0 0 0 0 0 0 0 0 0 0 0 0 0 0 1 0 0 \n    0 0 0 0 0 0]\n[0 1 1 0 0 1 0 1 1 0 0 0 0 0 0 0 1 1 1 0 0 1 0 0 1 1 0 0 0 1 1 1 0 1 1 1 0 0 1 1\n    0 1 0 0 0 0 0 0 0 0 0 0 0 0 0 0 0 0 0 0 0 0 0 0 0 0 0 0 0 0 0 0 0 0 0 0 1 0 \n    0 0 0 0 0 0]\n[0 1 1 0 0 1 1 0 0 0 0 1 1 1 1 0 1 0 0 0 1 1 0 1 1 1 0 1 1 1 1 0 0 0 1 0 1 1 0 0\n    0 0 0 0 0 0 0 0 0 0 0 0 0 0 0 0 0 0 0 0 0 0 0 0 0 0 0 0 0 0 0 0 0 0 0 0 0 1 \n    0 0 0 0 0 0]\n[0 0 1 1 0 0 1 1 0 0 0 0 1 1 1 1 0 1 0 0 0 1 1 0 1 1 1 0 1 1 1 1 0 0 0 1 0 1 1 0\n    0 0 0 0 0 0 0 0 0 0 0 0 0 0 0 0 0 0 0 0 0 0 0 0 0 0 0 0 0 0 0 0 0 0 0 0 0 0 \n    1 0 0 0 0 0]\n[1 0 0 1 1 0 0 1 1 0 0 0 0 1 1 1 1 0 1 0 0 0 1 1 0 1 1 1 0 1 1 1 1 0 0 0 1 0 1 1\n    0 0 0 0 0 0 0 0 0 0 0 0 0 0 0 0 0 0 0 0 0 0 0 0 0 0 0 0 0 0 0 0 0 0 0 0 0 0 \n    0 1 0 0 0 0]\n[0 1 0 0 1 1 0 0 1 1 0 0 0 0 1 1 1 1 0 1 0 0 0 1 1 0 1 1 1 0 1 1 1 1 0 0 0 1 0 1\n    1 0 0 0 0 0 0 0 0 0 0 0 0 0 0 0 0 0 0 0 0 0 0 0 0 0 0 0 0 0 0 0 0 0 0 0 0 0 \n    0 0 1 0 0 0]\n[0 0 1 0 0 1 1 0 0 1 1 0 0 0 0 1 1 1 1 0 1 0 0 0 1 1 0 1 1 1 0 1 1 1 1 0 0 0 1 0\n    1 1 0 0 0 0 0 0 0 0 0 0 0 0 0 0 0 0 0 0 0 0 0 0 0 0 0 0 0 0 0 0 0 0 0 0 0 0 \n    0 0 0 1 0 0]\n[1 1 0 0 0 1 1 1 1 1 1 0 1 1 1 0 0 0 0 0 1 0 1 1 1 1 0 1 0 0 1 1 0 1 1 0 0 1 0 0\n    1 1 0 0 0 0 0 0 0 0 0 0 0 0 0 0 0 0 0 0 0 0 0 0 0 0 0 0 0 0 0 0 0 0 0 0 0 0 \n    0 0 0 0 1 0]\n[1 0 1 1 0 1 1 1 0 0 1 0 1 0 0 1 1 1 1 1 1 0 1 0 0 1 0 1 0 1 0 0 0 0 1 0 0 1 1 1\n    1 1 0 0 0 0 0 0 0 0 0 0 0 0 0 0 0 0 0 0 0 0 0 0 0 0 0 0 0 0 0 0 0 0 0 0 0 0 \n    0 0 0 0 0 1]\n[84, 42] Linear Code over GF(2)\nGenerator matrix:\n[1 0 0 0 0 0 0 0 0 0 0 0 0 0 0 0 0 0 0 0 0 0 0 0 0 0 0 0 0 0 0 0 0 0 0 0 0 0 0 0\n    0 0 0 1 1 0 0 0 0 1 0 1 1 1 0 0 0 0 1 1 0 0 0 1 1 1 1 1 1 1 0 0 0 1 1 0 0 0 \n    0 1 1 1 0 1]\n[0 1 0 0 0 0 0 0 0 0 0 0 0 0 0 0 0 0 0 0 0 0 0 0 0 0 0 0 0 0 0 0 0 0 0 0 0 0 0 0\n    0 1 0 1 1 0 0 0 0 1 0 0 1 1 1 1 0 0 0 0 0 0 0 1 0 0 0 0 1 0 0 0 0 0 0 0 1 1 \n    1 1 0 0 1 0]\n[0 0 1 0 0 0 0 0 0 0 0 0 0 0 0 0 0 0 0 0 0 0 0 0 0 0 0 0 0 0 0 0 0 0 0 0 0 0 0 0\n    0 0 0 0 0 1 0 0 1 1 0 0 0 0 1 1 1 1 0 1 0 0 1 0 1 0 0 0 0 0 0 0 1 0 1 0 0 1 \n    0 1 1 1 1 0]\n[0 0 0 1 0 0 0 0 0 0 0 0 0 0 0 0 0 0 0 0 0 0 0 0 0 0 0 0 0 0 0 0 0 0 0 0 0 0 0 0\n    0 0 0 1 1 0 1 0 0 0 1 1 1 1 0 1 1 1 0 1 1 0 0 0 1 0 1 1 1 1 0 0 0 0 1 1 0 0 \n    1 1 0 0 1 0]\n[0 0 0 0 1 0 0 0 0 0 0 0 0 0 0 0 0 0 0 0 0 0 0 0 0 0 0 0 0 0 0 0 0 0 0 0 0 0 0 0\n    0 0 0 0 1 1 0 1 0 0 0 1 1 1 1 0 1 1 1 0 1 1 0 0 0 1 0 1 1 1 1 0 0 0 0 1 1 0 \n    0 1 1 0 0 1]\n[0 0 0 0 0 1 0 0 0 0 0 0 0 0 0 0 0 0 0 0 0 0 0 0 0 0 0 0 0 0 0 0 0 0 0 0 0 0 0 0\n    0 1 0 0 1 0 1 0 1 0 1 1 0 0 1 0 0 1 0 1 1 1 1 0 0 0 1 0 0 1 0 1 0 1 0 1 0 0 \n    1 0 1 1 0 1]\n[0 0 0 0 0 0 1 0 0 0 0 0 0 0 0 0 0 0 0 0 0 0 0 0 0 0 0 0 0 0 0 0 0 0 0 0 0 0 0 0\n    0 1 0 1 1 0 0 1 1 1 0 1 1 1 0 0 0 1 1 0 0 1 0 0 1 1 1 0 0 0 0 0 0 0 1 1 0 1 \n    0 0 1 1 0 1]\n[0 0 0 0 0 0 0 1 0 0 0 0 0 0 0 0 0 0 0 0 0 0 0 0 0 0 0 0 0 0 0 0 0 0 0 0 0 0 0 0\n    0 1 0 1 0 0 0 0 0 1 1 0 1 0 1 1 0 1 1 1 1 0 0 1 1 0 0 0 0 0 1 0 1 0 0 0 0 1 \n    1 1 1 1 0 1]\n[0 0 0 0 0 0 0 0 1 0 0 0 0 0 0 0 0 0 0 0 0 0 0 0 0 0 0 0 0 0 0 0 0 0 0 0 0 0 0 0\n    0 1 0 0 1 1 0 0 1 1 1 0 1 1 0 0 1 1 0 0 0 1 1 0 1 1 0 0 1 1 1 1 1 0 1 1 1 1 \n    1 1 1 0 0 0]\n[0 0 0 0 0 0 0 0 0 1 0 0 0 0 0 0 0 0 0 0 0 0 0 0 0 0 0 0 0 0 0 0 0 0 0 0 0 0 0 0\n    0 0 0 1 0 1 1 0 1 1 0 0 1 1 1 0 0 0 0 0 0 0 0 0 1 0 0 1 1 1 1 1 0 0 0 1 1 1 \n    0 0 0 1 1 0]\n[0 0 0 0 0 0 0 0 0 0 1 0 0 0 0 0 0 0 0 0 0 0 0 0 0 0 0 0 0 0 0 0 0 0 0 0 0 0 0 0\n    0 0 0 1 0 0 1 1 0 0 1 1 1 0 1 1 0 0 1 1 0 0 0 1 1 0 1 1 0 0 1 1 1 1 1 0 1 1 \n    1 1 1 1 1 0]\n[0 0 0 0 0 0 0 0 0 0 0 1 0 0 0 0 0 0 0 0 0 0 0 0 0 0 0 0 0 0 0 0 0 0 0 0 0 0 0 0\n    0 0 0 0 1 0 0 1 1 0 0 1 1 1 0 1 1 0 0 1 1 0 0 0 1 1 0 1 1 0 0 1 1 1 1 1 0 1 \n    1 1 1 1 1 1]\n[0 0 0 0 0 0 0 0 0 0 0 0 1 0 0 0 0 0 0 0 0 0 0 0 0 0 0 0 0 0 0 0 0 0 0 0 0 0 0 0\n    0 1 0 0 1 0 0 0 1 1 1 1 0 0 1 1 1 1 1 0 0 1 0 0 0 1 1 0 0 1 1 0 1 0 1 0 0 1 \n    0 1 1 1 1 0]\n[0 0 0 0 0 0 0 0 0 0 0 0 0 1 0 0 0 0 0 0 0 0 0 0 0 0 0 0 0 0 0 0 0 0 0 0 0 0 0 0\n    0 0 0 1 0 1 0 0 1 1 0 0 0 0 0 1 1 0 0 1 0 0 0 1 1 1 0 0 1 0 1 1 1 0 0 1 0 0 \n    0 1 0 1 0 1]\n[0 0 0 0 0 0 0 0 0 0 0 0 0 0 1 0 0 0 0 0 0 0 0 0 0 0 0 0 0 0 0 0 0 0 0 0 0 0 0 0\n    0 1 0 0 0 1 1 0 0 1 0 1 1 1 0 1 1 1 1 0 0 0 0 0 1 1 1 0 1 1 1 1 1 0 0 1 0 1 \n    1 0 1 0 1 1]\n[0 0 0 0 0 0 0 0 0 0 0 0 0 0 0 1 0 0 0 0 0 0 0 0 0 0 0 0 0 0 0 0 0 0 0 0 0 0 0 0\n    0 1 0 0 0 1 1 1 1 1 1 1 0 1 1 1 1 0 0 0 1 0 1 0 0 1 1 1 1 0 0 1 0 0 1 1 0 1 \n    1 1 0 0 1 1]\n[0 0 0 0 0 0 0 0 0 0 0 0 0 0 0 0 1 0 0 0 0 0 0 0 0 0 0 0 0 0 0 0 0 0 0 0 0 0 0 0\n    0 1 0 0 0 1 1 1 0 0 1 0 0 0 1 0 1 0 1 1 1 1 1 1 0 0 1 1 0 0 1 0 0 1 1 0 0 1 \n    1 1 1 1 1 1]\n[0 0 0 0 0 0 0 0 0 0 0 0 0 0 0 0 0 1 0 0 0 0 0 0 0 0 0 0 0 0 0 0 0 0 0 0 0 0 0 0\n    0 1 0 1 1 1 1 1 0 0 0 1 0 1 0 0 0 0 0 1 0 1 0 0 0 1 1 0 1 0 1 1 1 0 1 0 1 1 \n    1 0 0 1 0 0]\n[0 0 0 0 0 0 0 0 0 0 0 0 0 0 0 0 0 0 1 0 0 0 0 0 0 0 0 0 0 0 0 0 0 0 0 0 0 0 0 0\n    0 0 0 0 0 1 1 1 0 1 1 0 1 1 1 0 0 1 0 1 1 0 0 0 0 0 1 1 0 0 0 1 0 1 1 1 0 1 \n    0 1 0 1 0 1]\n[0 0 0 0 0 0 0 0 0 0 0 0 0 0 0 0 0 0 0 1 0 0 0 0 0 0 0 0 0 0 0 0 0 0 0 0 0 0 0 0\n    0 1 0 0 1 1 1 1 1 0 0 0 1 0 1 0 0 0 0 0 0 1 0 0 0 0 0 1 0 0 1 0 1 1 1 0 0 1 \n    0 0 1 0 1 1]\n[0 0 0 0 0 0 0 0 0 0 0 0 0 0 0 0 0 0 0 0 1 0 0 0 0 0 0 0 0 0 0 0 0 0 0 0 0 0 0 0\n    0 1 0 0 0 0 1 1 0 0 0 1 1 1 0 0 0 1 1 1 1 0 0 0 0 0 0 0 0 1 1 1 1 0 0 0 1 1 \n    1 0 0 0 1 1]\n[0 0 0 0 0 0 0 0 0 0 0 0 0 0 0 0 0 0 0 0 0 1 0 0 0 0 0 0 0 0 0 0 0 0 0 0 0 0 0 0\n    0 1 0 0 0 1 0 1 0 1 0 1 0 1 1 1 0 1 0 0 0 1 1 0 0 0 0 0 1 1 0 1 0 0 1 1 1 0 \n    1 1 0 1 1 1]\n[0 0 0 0 0 0 0 0 0 0 0 0 0 0 0 0 0 0 0 0 0 0 1 0 0 0 0 0 0 0 0 0 0 0 0 0 0 0 0 0\n    0 1 0 1 1 1 1 0 0 0 1 0 1 1 1 0 1 1 1 0 1 0 0 0 1 1 1 1 0 1 0 0 0 0 0 0 0 0 \n    0 0 0 0 0 0]\n[0 0 0 0 0 0 0 0 0 0 0 0 0 0 0 0 0 0 0 0 0 0 0 1 0 0 0 0 0 0 0 0 0 0 0 0 0 0 0 0\n    0 0 0 0 0 1 1 1 1 1 1 1 0 0 1 1 0 0 1 0 0 1 1 0 0 1 1 1 1 1 1 0 1 0 1 0 0 0 \n    1 0 0 1 1 1]\n[0 0 0 0 0 0 0 0 0 0 0 0 0 0 0 0 0 0 0 0 0 0 0 0 1 0 0 0 0 0 0 0 0 0 0 0 0 0 0 0\n    0 1 0 0 1 1 1 1 1 1 0 0 0 1 0 0 1 0 1 1 1 0 1 1 0 0 1 1 0 1 0 1 0 0 0 0 1 1 \n    1 1 0 0 1 0]\n[0 0 0 0 0 0 0 0 0 0 0 0 0 0 0 0 0 0 0 0 0 0 0 0 0 1 0 0 0 0 0 0 0 0 0 0 0 0 0 0\n    0 0 0 0 1 1 1 1 0 0 0 0 0 1 1 0 0 0 0 0 1 1 1 1 1 0 0 1 1 1 1 0 0 0 1 0 0 1 \n    0 1 1 1 1 0]\n[0 0 0 0 0 0 0 0 0 0 0 0 0 0 0 0 0 0 0 0 0 0 0 0 0 0 1 0 0 0 0 0 0 0 0 0 0 0 0 0\n    0 0 0 1 1 1 1 1 1 1 0 1 1 1 1 1 0 0 1 1 0 1 1 0 0 0 1 1 0 0 1 1 0 1 1 1 0 0 \n    1 1 0 0 1 0]\n[0 0 0 0 0 0 0 0 0 0 0 0 0 0 0 0 0 0 0 0 0 0 0 0 0 0 0 1 0 0 0 0 0 0 0 0 0 0 0 0\n    0 0 0 0 1 1 1 1 1 1 1 0 1 1 1 1 1 0 0 1 1 0 1 1 0 0 0 1 1 0 0 1 1 0 1 1 1 0 \n    0 1 1 0 0 1]\n[0 0 0 0 0 0 0 0 0 0 0 0 0 0 0 0 0 0 0 0 0 0 0 0 0 0 0 0 1 0 0 0 0 0 0 0 0 0 0 0\n    0 1 0 0 1 0 1 1 1 1 0 0 1 0 1 0 1 1 1 0 0 1 0 1 1 0 0 0 0 1 1 0 1 0 0 0 0 0 \n    1 0 1 1 0 1]\n[0 0 0 0 0 0 0 0 0 0 0 0 0 0 0 0 0 0 0 0 0 0 0 0 0 0 0 0 0 1 0 0 0 0 0 0 0 0 0 0\n    0 1 0 1 1 0 0 1 0 1 1 0 0 0 0 0 0 0 1 1 1 0 0 1 0 0 1 1 0 0 0 1 1 1 0 1 1 1 \n    0 0 1 1 0 1]\n[0 0 0 0 0 0 0 0 0 0 0 0 0 0 0 0 0 0 0 0 0 0 0 0 0 0 0 0 0 0 1 0 0 0 0 0 0 0 0 0\n    0 1 0 1 0 0 0 0 0 0 1 1 0 1 0 1 0 1 0 1 0 1 1 1 0 1 1 0 1 0 1 0 0 1 1 1 0 0 \n    1 1 1 1 0 1]\n[0 0 0 0 0 0 0 0 0 0 0 0 0 0 0 0 0 0 0 0 0 0 0 0 0 0 0 0 0 0 0 1 0 0 0 0 0 0 0 0\n    0 1 0 0 1 1 0 0 1 1 0 0 0 0 1 1 1 1 0 1 0 0 0 1 1 0 1 1 1 0 1 1 1 1 0 0 0 1 \n    0 1 1 0 0 0]\n[0 0 0 0 0 0 0 0 0 0 0 0 0 0 0 0 0 0 0 0 0 0 0 0 0 0 0 0 0 0 0 0 1 0 0 0 0 0 0 0\n    0 0 0 1 0 1 1 0 1 1 0 1 1 0 0 1 1 0 0 0 1 0 1 1 0 0 1 0 0 1 0 1 0 0 1 0 0 0 \n    0 1 0 1 1 0]\n[0 0 0 0 0 0 0 0 0 0 0 0 0 0 0 0 0 0 0 0 0 0 0 0 0 0 0 0 0 0 0 0 0 1 0 0 0 0 0 0\n    0 0 0 1 0 0 1 1 0 0 1 1 0 0 0 0 1 1 1 1 0 1 0 0 0 1 1 0 1 1 1 0 1 1 1 1 0 0 \n    0 1 0 1 1 0]\n[0 0 0 0 0 0 0 0 0 0 0 0 0 0 0 0 0 0 0 0 0 0 0 0 0 0 0 0 0 0 0 0 0 0 1 0 0 0 0 0\n    0 0 0 0 1 0 0 1 1 0 0 1 1 0 0 0 0 1 1 1 1 0 1 0 0 0 1 1 0 1 1 1 0 1 1 1 1 0 \n    0 0 1 0 1 1]\n[0 0 0 0 0 0 0 0 0 0 0 0 0 0 0 0 0 0 0 0 0 0 0 0 0 0 0 0 0 0 0 0 0 0 0 1 0 0 0 0\n    0 1 0 0 1 0 0 0 1 1 1 1 0 0 0 1 0 0 0 1 0 1 0 1 0 0 0 1 0 0 0 1 1 1 1 0 0 0 \n    1 0 0 1 0 0]\n[0 0 0 0 0 0 0 0 0 0 0 0 0 0 0 0 0 0 0 0 0 0 0 0 0 0 0 0 0 0 0 0 0 0 0 0 1 0 0 0\n    0 0 0 1 0 1 0 0 1 1 0 0 0 0 0 0 1 1 1 0 1 0 0 1 0 1 1 1 0 0 0 0 0 0 1 1 0 0 \n    1 0 1 0 0 0]\n[0 0 0 0 0 0 0 0 0 0 0 0 0 0 0 0 0 0 0 0 0 0 0 0 0 0 0 0 0 0 0 0 0 0 0 0 0 1 0 0\n    0 0 0 0 1 0 1 0 0 1 1 0 0 0 0 0 0 1 1 1 0 1 0 0 1 0 1 1 1 0 0 0 0 0 0 1 1 0 \n    0 1 0 1 0 0]\n[0 0 0 0 0 0 0 0 0 0 0 0 0 0 0 0 0 0 0 0 0 0 0 0 0 0 0 0 0 0 0 0 0 0 0 0 0 0 1 0\n    0 0 0 1 1 1 0 1 0 1 1 0 1 1 0 0 0 0 0 0 1 0 1 1 1 0 1 0 0 0 0 0 0 1 1 0 1 1 \n    0 1 0 1 1 1]\n[0 0 0 0 0 0 0 0 0 0 0 0 0 0 0 0 0 0 0 0 0 0 0 0 0 0 0 0 0 0 0 0 0 0 0 0 0 0 0 1\n    0 1 0 1 1 0 1 0 1 1 0 1 0 1 1 1 0 0 0 1 1 1 0 0 0 0 1 0 0 1 1 0 0 0 0 0 1 0 \n    0 1 0 1 1 1]\n[0 0 0 0 0 0 0 0 0 0 0 0 0 0 0 0 0 0 0 0 0 0 0 0 0 0 0 0 0 0 0 0 0 0 0 0 0 0 0 0\n    1 1 0 0 1 0 0 1 1 0 1 1 0 0 1 0 1 1 1 1 0 1 0 0 0 0 0 1 1 1 0 1 1 1 1 1 1 0 \n    0 0 1 1 0 1]\n[0 0 0 0 0 0 0 0 0 0 0 0 0 0 0 0 0 0 0 0 0 0 0 0 0 0 0 0 0 0 0 0 0 0 0 0 0 0 0 0\n    0 0 1 1 0 0 0 0 1 0 1 1 1 0 0 0 0 1 1 0 0 0 1 1 1 1 1 1 1 0 0 0 1 1 0 0 0 0 \n    1 1 1 0 1 0]\nLinear Code over GF(2) of length 84 with 42 generators.\nLower Bound: 1, Upper Bound: 43\nConstructed 2 distinct generator matrices\nRelative Ranks:  42  42 \nTime Taken: 0.00\nStarting search for low weight codewords... (reset timings)\nEnumerating using 1 generator at a time:\n     New codeword identified of weight 18, time 0.00\n     New codeword identified of weight 17, time 0.00\n     New codeword identified of weight 16, time 0.00\n   Completed Matrix  1:  lower =  3, upper = 16. Elapsed: 0.00s\n   Completed Matrix  2:  lower =  4, upper = 16. Elapsed: 0.00s\nTermination predicted with 7 generators at matrix 2\nEnumerating using 2 generators at a time:\n     New codeword identified of weight 15, time 0.00\n   Completed Matrix  1:  lower =  5, upper = 15. Elapsed: 0.00s\n   Completed Matrix  2:  lower =  6, upper = 15. Elapsed: 0.00s\nTermination predicted with 7 generators at matrix 1\nEnumerating using 3 generators at a time:\n   Completed Matrix  1:  lower =  7, upper = 15. Elapsed: 0.00s\n   Completed Matrix  2:  lower =  8, upper = 15. Elapsed: 0.00s\nTermination predicted with 7 generators at matrix 1\nEnumerating using 4 generators at a time:\n   Completed Matrix  1:  lower =  9, upper = 15. Elapsed: 0.00s\n   Completed Matrix  2:  lower = 10, upper = 15. Elapsed: 0.00s\nTermination predicted with 7 generators at matrix 1\nEnumerating using 5 generators at a time:\n   Completed Matrix  1:  lower = 11, upper = 15. Elapsed: 0.01s\n   Completed Matrix  2:  lower = 12, upper = 15. Elapsed: 0.01s\nTermination predicted with 7 generators at matrix 1\nEnumerating using 6 generators at a time:\n   Completed Matrix  1:  lower = 13, upper = 15. Elapsed: 0.02s\n   Completed Matrix  2:  lower = 14, upper = 15. Elapsed: 0.03s\nTermination predicted with 7 generators at matrix 1\nEnumerating using 7 generators at a time:\n   Completed Matrix  1:  lower = 15, upper = 15. Elapsed: 0.08s\nComputation complete 39419862 vectors enumerated in total\n (0.000896% of 84 42 code)\nFinal Results: lower = 15, upper = 15,\nTotal CPU time: 0.09, real time: 0.084\n15\n\nTotal time: 0.110 seconds, Total memory usage: 32.09MB\n</t>
  </si>
  <si>
    <t>[[85,23,24]]</t>
  </si>
  <si>
    <t>Magma V2.28-26    Tue Dec 30 2025 09:50:56 on Marks-MacBook-Air-2 [Seed = \n2135275068]\nType ? for help.  Type &lt;Ctrl&gt;-D to quit.\n[0 1 1 1 1 0 0 0 0 1 0 1 0 0 1 0 0 1 1 1 1 1 1 1 0 1 0 0 0 1 1 0 0 0 1 0 1 0 1 1\n    0 1 1 0 1 1 0 0 0 1 0 1 0 1 0 0 0 1 1 1 1 1 1 0 0 0 0 0 0 0 0 0 0 0 0 0 0 0 \n    0 0 0 0 0 0 0]\n[1 1 0 0 0 1 0 0 0 1 1 1 1 0 1 1 0 1 0 0 0 0 0 0 1 1 1 0 0 1 0 1 0 0 1 1 1 1 1 0\n    1 1 0 1 1 0 1 0 0 1 1 1 1 1 1 0 0 1 0 0 0 0 0 1 0 0 0 0 0 0 0 0 0 0 0 0 0 0 \n    0 0 0 0 0 0 0]\n[0 1 1 0 0 0 1 0 0 0 1 1 1 1 0 1 1 0 1 0 0 0 0 0 0 1 1 1 0 0 1 0 1 0 0 1 1 1 1 1\n    0 1 1 0 1 1 0 1 0 0 1 1 1 1 1 1 0 0 1 0 0 0 0 0 1 0 0 0 0 0 0 0 0 0 0 0 0 0 \n    0 0 0 0 0 0 0]\n[1 0 1 1 0 0 0 1 0 0 0 1 1 1 1 0 1 1 0 1 0 0 0 0 0 0 1 1 1 0 0 1 0 1 0 0 1 1 1 1\n    1 0 1 1 0 1 1 0 1 0 0 1 1 1 1 1 1 0 0 1 0 0 0 0 0 1 0 0 0 0 0 0 0 0 0 0 0 0 \n    0 0 0 0 0 0 0]\n[1 1 0 1 1 0 0 0 1 0 0 0 1 1 1 1 0 1 1 0 1 0 0 0 0 0 0 1 1 1 0 0 1 0 1 0 0 1 1 1\n    1 1 0 1 1 0 1 1 0 1 0 0 1 1 1 1 1 1 0 0 1 0 0 0 0 0 1 0 0 0 0 0 0 0 0 0 0 0 \n    0 0 0 0 0 0 0]\n[1 1 1 0 1 1 0 0 0 1 0 0 0 1 1 1 1 0 1 1 0 1 0 0 0 0 0 0 1 1 1 0 0 1 0 1 0 0 1 1\n    1 1 1 0 1 1 0 1 1 0 1 0 0 1 1 1 1 1 1 0 0 1 0 0 0 0 0 1 0 0 0 0 0 0 0 0 0 0 \n    0 0 0 0 0 0 0]\n[0 0 0 0 1 1 1 0 0 1 1 1 0 0 0 1 1 0 1 0 0 1 0 1 0 1 0 0 0 0 0 1 0 0 0 0 0 0 1 0\n    1 0 0 1 1 0 1 0 1 0 0 0 0 1 1 1 1 0 0 0 1 1 0 0 0 0 0 0 1 0 0 0 0 0 0 0 0 0 \n    0 0 0 0 0 0 0]\n[1 1 1 1 1 1 1 1 0 1 1 0 1 0 1 0 1 0 1 0 1 1 0 1 1 1 1 0 0 1 1 0 1 0 1 0 1 0 1 0\n    0 0 1 0 0 0 0 1 0 0 0 1 0 1 1 1 1 0 1 1 1 0 0 0 0 0 0 0 0 1 0 0 0 0 0 0 0 0 \n    0 0 0 0 0 0 0]\n[0 1 1 1 1 1 1 1 1 0 1 1 0 1 0 1 0 1 0 1 0 1 1 0 1 1 1 1 0 0 1 1 0 1 0 1 0 1 0 1\n    0 0 0 1 0 0 0 0 1 0 0 0 1 0 1 1 1 1 0 1 1 1 0 0 0 0 0 0 0 0 1 0 0 0 0 0 0 0 \n    0 0 0 0 0 0 0]\n[1 1 0 0 0 1 1 1 1 0 0 0 1 0 0 0 1 1 0 1 0 1 0 0 0 0 1 1 1 1 1 1 1 0 0 0 0 0 0 1\n    1 1 1 0 0 1 0 0 0 0 0 1 0 0 0 1 1 0 0 1 0 0 0 0 0 0 0 0 0 0 0 1 0 0 0 0 0 0 \n    0 0 0 0 0 0 0]\n[0 1 1 0 0 0 1 1 1 1 0 0 0 1 0 0 0 1 1 0 1 0 1 0 0 0 0 1 1 1 1 1 1 1 0 0 0 0 0 0\n    1 1 1 1 0 0 1 0 0 0 0 0 1 0 0 0 1 1 0 0 1 0 0 0 0 0 0 0 0 0 0 0 1 0 0 0 0 0 \n    0 0 0 0 0 0 0]\n[0 0 1 1 0 0 0 1 1 1 1 0 0 0 1 0 0 0 1 1 0 1 0 1 0 0 0 0 1 1 1 1 1 1 1 0 0 0 0 0\n    0 1 1 1 1 0 0 1 0 0 0 0 0 1 0 0 0 1 1 0 0 1 0 0 0 0 0 0 0 0 0 0 0 1 0 0 0 0 \n    0 0 0 0 0 0 0]\n[0 1 1 0 0 0 0 0 1 0 1 0 0 0 1 1 0 1 1 0 0 1 0 1 1 1 0 0 0 0 0 1 1 1 0 1 1 0 1 1\n    0 1 0 1 0 0 0 0 1 1 0 1 0 1 1 0 0 1 0 0 1 1 0 0 0 0 0 0 0 0 0 0 0 0 1 0 0 0 \n    0 0 0 0 0 0 0]\n[0 1 0 0 1 0 0 0 0 0 0 0 0 0 1 1 1 1 0 0 1 1 0 1 1 0 1 0 0 1 1 0 1 1 0 0 0 1 1 0\n    1 1 0 0 0 1 0 0 0 0 1 1 1 1 1 1 0 1 0 1 1 0 0 0 0 0 0 0 0 0 0 0 0 0 0 1 0 0 \n    0 0 0 0 0 0 0]\n[0 0 1 0 0 1 0 0 0 0 0 0 0 0 0 1 1 1 1 0 0 1 1 0 1 1 0 1 0 0 1 1 0 1 1 0 0 0 1 1\n    0 1 1 0 0 0 1 0 0 0 0 1 1 1 1 1 1 0 1 0 1 1 0 0 0 0 0 0 0 0 0 0 0 0 0 0 1 0 \n    0 0 0 0 0 0 0]\n[1 1 1 0 1 0 1 0 0 1 0 1 0 0 1 0 1 0 0 0 1 1 0 0 0 0 1 0 1 1 1 1 1 0 0 1 1 0 1 0\n    1 1 0 1 1 1 0 1 0 1 0 1 1 0 1 1 1 0 1 0 1 0 0 0 0 0 0 0 0 0 0 0 0 0 0 0 0 1 \n    0 0 0 0 0 0 0]\n[0 1 1 1 0 1 0 1 0 0 1 0 1 0 0 1 0 1 0 0 0 1 1 0 0 0 0 1 0 1 1 1 1 1 0 0 1 1 0 1\n    0 1 1 0 1 1 1 0 1 0 1 0 1 1 0 1 1 1 0 1 0 1 0 0 0 0 0 0 0 0 0 0 0 0 0 0 0 0 \n    1 0 0 0 0 0 0]\n[0 1 0 0 0 0 1 0 1 1 0 0 0 1 1 0 1 1 0 1 1 1 0 0 0 1 0 0 1 1 0 1 1 1 0 0 1 1 0 1\n    1 1 0 1 1 0 1 1 0 0 0 0 0 0 1 0 1 0 0 1 0 1 0 0 0 0 0 0 0 0 0 0 0 0 0 0 0 0 \n    0 1 0 0 0 0 0]\n[1 1 0 1 1 0 0 1 0 0 1 1 0 0 0 1 0 0 0 1 0 0 0 1 0 1 1 0 0 0 0 0 1 1 0 0 1 1 0 1\n    1 0 0 0 0 0 0 1 1 1 0 1 0 1 0 1 0 0 1 1 0 1 0 0 0 0 0 0 0 0 0 0 0 0 0 0 0 0 \n    0 0 1 0 0 0 0]\n[1 0 0 1 0 1 0 0 1 1 0 0 1 0 1 0 1 1 1 1 0 1 1 1 1 1 1 1 0 1 1 0 0 1 0 0 1 1 0 1\n    1 0 1 0 1 1 0 0 1 0 1 1 1 1 1 0 1 1 1 0 0 1 0 0 0 0 0 0 0 0 0 0 0 0 0 0 0 0 \n    0 0 0 1 0 0 0]\n[0 0 1 1 0 0 1 0 0 0 1 1 0 1 1 1 0 0 0 0 0 1 0 0 1 0 1 1 1 1 0 1 0 0 0 0 1 1 0 1\n    1 0 1 1 1 0 1 0 0 0 0 0 1 0 1 1 0 0 0 0 1 1 0 0 0 0 0 0 0 0 0 0 0 0 0 0 0 0 \n    0 0 0 0 1 0 0]\n[1 1 1 0 0 0 0 1 0 1 0 0 1 0 0 1 1 1 1 1 1 1 0 1 0 0 0 1 1 0 0 0 1 0 1 0 1 1 0 1\n    1 0 1 1 0 0 0 1 0 1 0 1 0 0 0 1 1 1 1 1 1 0 0 0 0 0 0 0 0 0 0 0 0 0 0 0 0 0 \n    0 0 0 0 0 1 0]\n[1 1 1 1 0 0 0 0 1 0 1 0 0 1 0 0 1 1 1 1 1 1 1 0 1 0 0 0 1 1 0 0 0 1 0 1 0 1 1 0\n    1 1 0 1 1 0 0 0 1 0 1 0 1 0 0 0 1 1 1 1 1 1 0 0 0 0 0 0 0 0 0 0 0 0 0 0 0 0 \n    0 0 0 0 0 0 1]\n[85, 23] Linear Code over GF(2)\nGenerator matrix:\n[1 0 0 0 0 0 0 0 0 0 0 0 0 0 0 0 0 0 0 0 0 0 0 1 0 1 1 0 1 1 1 1 0 0 0 0 1 0 1 0\n    0 1 0 0 1 1 1 1 1 1 1 0 1 0 0 0 1 1 0 0 0 1 0 1 0 1 1 0 1 1 0 1 1 0 0 0 1 0 \n    1 0 1 0 0 0 1]\n[0 1 0 0 0 0 0 0 0 0 0 0 0 0 0 0 0 0 0 0 0 0 0 1 1 1 0 1 1 0 0 0 1 0 0 0 1 1 1 1\n    0 1 1 0 1 0 0 0 0 0 0 1 1 1 0 0 1 0 1 0 0 1 1 1 1 1 0 1 1 0 1 1 0 1 0 0 1 1 \n    1 1 1 1 0 0 1]\n[0 0 1 0 0 0 0 0 0 0 0 0 0 0 0 0 0 0 0 0 0 0 0 0 1 1 1 0 1 1 0 0 0 1 0 0 0 1 1 1\n    1 0 1 1 0 1 0 0 0 0 0 0 1 1 1 0 0 1 0 1 0 0 1 1 1 1 1 0 1 1 0 1 1 0 1 0 0 1 \n    1 1 1 1 1 0 0]\n[0 0 0 1 0 0 0 0 0 0 0 0 0 0 0 0 0 0 0 0 0 0 0 0 0 1 1 1 0 1 1 0 0 0 1 0 0 0 1 1\n    1 1 0 1 1 0 1 0 0 0 0 0 0 1 1 1 0 0 1 0 1 0 0 1 1 1 1 1 0 1 1 0 1 1 0 1 0 0 \n    1 1 1 1 1 1 0]\n[0 0 0 0 1 0 0 0 0 0 0 0 0 0 0 0 0 0 0 0 0 0 0 0 0 0 1 1 1 0 1 1 0 0 0 1 0 0 0 1\n    1 1 1 0 1 1 0 1 0 0 0 0 0 0 1 1 1 0 0 1 0 1 0 0 1 1 1 1 1 0 1 1 0 1 1 0 1 0 \n    0 1 1 1 1 1 1]\n[0 0 0 0 0 1 0 0 0 0 0 0 0 0 0 0 0 0 0 0 0 0 0 0 0 0 0 1 1 1 0 1 1 0 0 0 1 0 0 0\n    1 1 1 1 0 1 1 0 1 0 0 0 0 0 0 1 1 1 0 0 1 0 1 0 0 1 1 1 1 1 0 1 1 0 1 1 0 1 \n    0 0 1 1 1 1 1]\n[0 0 0 0 0 0 1 0 0 0 0 0 0 0 0 0 0 0 0 0 0 0 0 1 0 1 1 0 0 0 0 1 1 1 0 0 1 1 1 0\n    0 0 1 1 0 1 0 0 1 0 1 0 1 0 0 0 0 0 1 0 0 0 0 0 0 1 0 1 0 0 1 1 0 1 0 1 0 0 \n    0 0 1 1 1 1 0]\n[0 0 0 0 0 0 0 1 0 0 0 0 0 0 0 0 0 0 0 0 0 0 0 1 1 1 0 1 1 1 1 1 1 1 1 0 1 1 0 1\n    0 1 0 1 0 1 0 1 1 0 1 1 1 1 0 0 1 1 0 1 0 1 0 1 0 1 0 0 0 1 0 0 0 0 1 0 0 0 \n    1 0 1 1 1 1 0]\n[0 0 0 0 0 0 0 0 1 0 0 0 0 0 0 0 0 0 0 0 0 0 0 0 1 1 1 0 1 1 1 1 1 1 1 1 0 1 1 0\n    1 0 1 0 1 0 1 0 1 1 0 1 1 1 1 0 0 1 1 0 1 0 1 0 1 0 1 0 0 0 1 0 0 0 0 1 0 0 \n    0 1 0 1 1 1 1]\n[0 0 0 0 0 0 0 0 0 1 0 0 0 0 0 0 0 0 0 0 0 0 0 1 0 0 0 1 1 0 0 0 1 1 1 1 0 0 0 1\n    0 0 0 1 1 0 1 0 1 0 0 0 0 1 1 1 1 1 1 1 0 0 0 0 0 0 1 1 1 1 0 0 1 0 0 0 0 0 \n    1 0 0 0 1 1 0]\n[0 0 0 0 0 0 0 0 0 0 1 0 0 0 0 0 0 0 0 0 0 0 0 0 1 0 0 0 1 1 0 0 0 1 1 1 1 0 0 0\n    1 0 0 0 1 1 0 1 0 1 0 0 0 0 1 1 1 1 1 1 1 0 0 0 0 0 0 1 1 1 1 0 0 1 0 0 0 0 \n    0 1 0 0 0 1 1]\n[0 0 0 0 0 0 0 0 0 0 0 1 0 0 0 0 0 0 0 0 0 0 0 0 0 1 0 0 0 1 1 0 0 0 1 1 1 1 0 0\n    0 1 0 0 0 1 1 0 1 0 1 0 0 0 0 1 1 1 1 1 1 1 0 0 0 0 0 0 1 1 1 1 0 0 1 0 0 0 \n    0 0 1 0 0 0 1]\n[0 0 0 0 0 0 0 0 0 0 0 0 1 0 0 0 0 0 0 0 0 0 0 1 0 1 0 0 1 1 0 0 0 0 0 1 0 1 0 0\n    0 1 1 0 1 1 0 0 1 0 1 1 1 0 0 0 0 0 1 1 1 0 1 1 0 1 1 0 1 0 1 0 0 0 0 1 1 0 \n    1 0 1 1 0 0 1]\n[0 0 0 0 0 0 0 0 0 0 0 0 0 1 0 0 0 0 0 0 0 0 0 1 1 1 0 0 1 0 0 1 0 0 0 0 0 0 0 0\n    0 1 1 1 1 0 0 1 1 0 1 1 0 1 0 0 1 1 0 1 1 0 0 0 1 1 0 1 1 0 0 0 1 0 0 0 0 1 \n    1 1 1 1 1 0 1]\n[0 0 0 0 0 0 0 0 0 0 0 0 0 0 1 0 0 0 0 0 0 0 0 0 1 1 1 0 0 1 0 0 1 0 0 0 0 0 0 0\n    0 0 1 1 1 1 0 0 1 1 0 1 1 0 1 0 0 1 1 0 1 1 0 0 0 1 1 0 1 1 0 0 0 1 0 0 0 0 \n    1 1 1 1 1 1 0]\n[0 0 0 0 0 0 0 0 0 0 0 0 0 0 0 1 0 0 0 0 0 0 0 1 0 0 0 1 1 1 0 1 0 1 0 0 1 0 1 0\n    0 1 0 1 0 0 0 1 1 0 0 0 0 1 0 1 1 1 1 1 0 0 1 1 0 1 0 1 1 0 1 1 1 0 1 0 1 0 \n    1 1 0 1 1 1 0]\n[0 0 0 0 0 0 0 0 0 0 0 0 0 0 0 0 1 0 0 0 0 0 0 0 1 0 0 0 1 1 1 0 1 0 1 0 0 1 0 1\n    0 0 1 0 1 0 0 0 1 1 0 0 0 0 1 0 1 1 1 1 1 0 0 1 1 0 1 0 1 1 0 1 1 1 0 1 0 1 \n    0 1 1 0 1 1 1]\n[0 0 0 0 0 0 0 0 0 0 0 0 0 0 0 0 0 1 0 0 0 0 0 1 0 0 1 0 1 0 0 0 0 1 0 1 1 0 0 0\n    1 1 0 1 1 0 1 1 1 0 0 0 1 0 0 1 1 0 1 1 1 0 0 1 1 0 1 1 1 0 1 1 0 1 1 0 0 0 \n    0 0 0 1 0 1 0]\n[0 0 0 0 0 0 0 0 0 0 0 0 0 0 0 0 0 0 1 0 0 0 0 1 1 1 1 1 1 0 1 1 0 0 1 0 0 1 1 0\n    0 0 1 0 0 0 1 0 0 0 1 0 1 1 0 0 0 0 0 1 1 0 0 1 1 0 1 1 0 0 0 0 0 0 1 1 1 0 \n    1 0 1 0 1 0 0]\n[0 0 0 0 0 0 0 0 0 0 0 0 0 0 0 0 0 0 0 1 0 0 0 1 1 0 0 1 0 0 1 0 1 0 0 1 1 0 0 1\n    0 1 0 1 1 1 1 0 1 1 1 1 1 1 1 0 1 1 0 0 1 0 0 1 1 0 1 1 0 1 0 1 1 0 0 1 0 1 \n    1 1 1 1 0 1 1]\n[0 0 0 0 0 0 0 0 0 0 0 0 0 0 0 0 0 0 0 0 1 0 0 1 1 0 1 0 0 1 1 0 0 1 0 0 0 1 1 0\n    1 1 1 0 0 0 0 0 1 0 0 1 0 1 1 1 1 0 1 0 0 0 0 1 1 0 1 1 0 1 1 1 0 1 0 0 0 0 \n    0 1 0 1 1 0 0]\n[0 0 0 0 0 0 0 0 0 0 0 0 0 0 0 0 0 0 0 0 0 1 0 1 1 0 1 1 1 1 0 0 0 0 1 0 1 0 0 1\n    0 0 1 1 1 1 1 1 1 0 1 0 0 0 1 1 0 0 0 1 0 1 0 1 1 0 1 1 0 1 1 0 0 0 1 0 1 0 \n    1 0 0 0 1 1 1]\n[0 0 0 0 0 0 0 0 0 0 0 0 0 0 0 0 0 0 0 0 0 0 1 0 1 1 0 1 1 1 1 0 0 0 0 1 0 1 0 0\n    1 0 0 1 1 1 1 1 1 1 0 1 0 0 0 1 1 0 0 0 1 0 1 0 1 1 0 1 1 0 1 1 0 0 0 1 0 1 \n    0 1 0 0 0 1 1]\nLinear Code over GF(2) of length 85 with 23 generators.\nLower Bound: 1, Upper Bound: 63\nConstructed 4 distinct generator matrices\nRelative Ranks:  23  23  23  16 \nTime Taken: 0.00\nStarting search for low weight codewords... (reset timings)\nEnumerating using 1 generator at a time:\n     New codeword identified of weight 33, time 0.00\n     New codeword identified of weight 27, time 0.00\n   Completed Matrix  1:  lower =  4, upper = 27. Elapsed: 0.00s\n   Completed Matrix  2:  lower =  5, upper = 27. Elapsed: 0.00s\n   Completed Matrix  3:  lower =  6, upper = 27. Elapsed: 0.00s\n     New codeword identified of weight 26, time 0.00\n   Completed Matrix  4:  lower =  6, upper = 26. Elapsed: 0.00s\nTermination predicted with 8 generators at matrix 1\nEnumerating using 2 generators at a time:\n     New codeword identified of weight 25, time 0.00\n   Completed Matrix  1:  lower =  7, upper = 25. Elapsed: 0.00s\n   Completed Matrix  2:  lower =  8, upper = 25. Elapsed: 0.00s\n   Completed Matrix  3:  lower =  9, upper = 25. Elapsed: 0.00s\n   Completed Matrix  4:  lower =  9, upper = 25. Elapsed: 0.00s\nTermination predicted with 7 generators at matrix 4\nEnumerating using 3 generators at a time:\n     New codeword identified of weight 24, time 0.00\n     Discarding non-contributing rank 16 matrix\n     New Relative Ranks:  23  23  23 \n   Completed Matrix  1:  lower = 10, upper = 24. Elapsed: 0.00s\n   Completed Matrix  2:  lower = 11, upper = 24. Elapsed: 0.00s\n   Completed Matrix  3:  lower = 12, upper = 24. Elapsed: 0.00s\nTermination predicted with 7 generators at matrix 3\nEnumerating using 4 generators at a time:\n   Completed Matrix  1:  lower = 13, upper = 24. Elapsed: 0.00s\n   Completed Matrix  2:  lower = 14, upper = 24. Elapsed: 0.00s\n   Completed Matrix  3:  lower = 15, upper = 24. Elapsed: 0.00s\nTermination predicted with 7 generators at matrix 3\nEnumerating using 5 generators at a time:\n   Completed Matrix  1:  lower = 16, upper = 24. Elapsed: 0.00s\n   Completed Matrix  2:  lower = 17, upper = 24. Elapsed: 0.00s\n   Completed Matrix  3:  lower = 18, upper = 24. Elapsed: 0.00s\nTermination predicted with 7 generators at matrix 3\nEnumerating using 6 generators at a time:\n   Completed Matrix  1:  lower = 19, upper = 24. Elapsed: 0.00s\n   Completed Matrix  2:  lower = 20, upper = 24. Elapsed: 0.00s\n   Completed Matrix  3:  lower = 21, upper = 24. Elapsed: 0.00s\nTermination predicted with 7 generators at matrix 3\nEnumerating using 7 generators at a time:\n   Completed Matrix  1:  lower = 22, upper = 24. Elapsed: 0.00s\n   Completed Matrix  2:  lower = 23, upper = 24. Elapsed: 0.00s\n   Completed Matrix  3:  lower = 24, upper = 24. Elapsed: 0.00s\nComputation complete 1172241 vectors enumerated in total\n (13.974202% of 85 23 code)\nFinal Results: lower = 24, upper = 24,\nTotal CPU time: 0.00, real time: 0.004\n24\n\nTotal time: 0.019 seconds, Total memory usage: 32.09MB\n</t>
  </si>
  <si>
    <t>[[86,23,25]]</t>
  </si>
  <si>
    <t>Magma V2.28-26    Tue Dec 30 2025 09:50:56 on Marks-MacBook-Air-2 [Seed = \n20695106]\nType ? for help.  Type &lt;Ctrl&gt;-D to quit.\n[1 0 1 1 1 1 0 0 0 0 1 0 1 0 0 1 0 0 1 1 1 1 1 1 1 0 1 0 0 0 1 1 0 0 0 1 0 1 0 1\n    1 0 1 1 0 1 1 0 0 0 1 0 1 0 1 0 0 0 1 1 1 1 1 1 0 0 0 0 0 0 0 0 0 0 0 0 0 0 \n    0 0 0 0 0 0 0 0]\n[0 1 1 0 0 0 1 0 0 0 1 1 1 1 0 1 1 0 1 0 0 0 0 0 0 1 1 1 0 0 1 0 1 0 0 1 1 1 1 1\n    0 1 1 0 1 1 0 1 0 0 1 1 1 1 1 1 0 0 1 0 0 0 0 0 1 0 0 0 0 0 0 0 0 0 0 0 0 0 \n    0 0 0 0 0 0 0 0]\n[1 0 1 1 0 0 0 1 0 0 0 1 1 1 1 0 1 1 0 1 0 0 0 0 0 0 1 1 1 0 0 1 0 1 0 0 1 1 1 1\n    1 0 1 1 0 1 1 0 1 0 0 1 1 1 1 1 1 0 0 1 0 0 0 0 0 1 0 0 0 0 0 0 0 0 0 0 0 0 \n    0 0 0 0 0 0 0 0]\n[1 1 0 1 1 0 0 0 1 0 0 0 1 1 1 1 0 1 1 0 1 0 0 0 0 0 0 1 1 1 0 0 1 0 1 0 0 1 1 1\n    1 1 0 1 1 0 1 1 0 1 0 0 1 1 1 1 1 1 0 0 1 0 0 0 0 0 1 0 0 0 0 0 0 0 0 0 0 0 \n    0 0 0 0 0 0 0 0]\n[1 1 1 0 1 1 0 0 0 1 0 0 0 1 1 1 1 0 1 1 0 1 0 0 0 0 0 0 1 1 1 0 0 1 0 1 0 0 1 1\n    1 1 1 0 1 1 0 1 1 0 1 0 0 1 1 1 1 1 1 0 0 1 0 0 0 0 0 1 0 0 0 0 0 0 0 0 0 0 \n    0 0 0 0 0 0 0 0]\n[0 1 1 1 0 1 1 0 0 0 1 0 0 0 1 1 1 1 0 1 1 0 1 0 0 0 0 0 0 1 1 1 0 0 1 0 1 0 0 1\n    1 1 1 1 0 1 1 0 1 1 0 1 0 0 1 1 1 1 1 1 0 0 1 0 0 0 0 0 1 0 0 0 0 0 0 0 0 0 \n    0 0 0 0 0 0 0 0]\n[1 0 0 0 0 1 1 1 0 0 1 1 1 0 0 0 1 1 0 1 0 0 1 0 1 0 1 0 0 0 0 0 1 0 0 0 0 0 0 1\n    0 1 0 0 1 1 0 1 0 1 0 0 0 0 1 1 1 1 0 0 0 1 1 0 0 0 0 0 0 1 0 0 0 0 0 0 0 0 \n    0 0 0 0 0 0 0 0]\n[0 1 1 1 1 1 1 1 1 0 1 1 0 1 0 1 0 1 0 1 0 1 1 0 1 1 1 1 0 0 1 1 0 1 0 1 0 1 0 1\n    0 0 0 1 0 0 0 0 1 0 0 0 1 0 1 1 1 1 0 1 1 1 0 0 0 0 0 0 0 0 1 0 0 0 0 0 0 0 \n    0 0 0 0 0 0 0 0]\n[1 0 1 1 1 1 1 1 1 1 0 1 1 0 1 0 1 0 1 0 1 0 1 1 0 1 1 1 1 0 0 1 1 0 1 0 1 0 1 0\n    1 0 0 0 1 0 0 0 0 1 0 0 0 1 0 1 1 1 1 0 1 1 1 0 0 0 0 0 0 0 0 1 0 0 0 0 0 0 \n    0 0 0 0 0 0 0 0]\n[0 1 1 0 0 0 1 1 1 1 0 0 0 1 0 0 0 1 1 0 1 0 1 0 0 0 0 1 1 1 1 1 1 1 0 0 0 0 0 0\n    1 1 1 1 0 0 1 0 0 0 0 0 1 0 0 0 1 1 0 0 1 0 0 0 0 0 0 0 0 0 0 0 1 0 0 0 0 0 \n    0 0 0 0 0 0 0 0]\n[0 0 1 1 0 0 0 1 1 1 1 0 0 0 1 0 0 0 1 1 0 1 0 1 0 0 0 0 1 1 1 1 1 1 1 0 0 0 0 0\n    0 1 1 1 1 0 0 1 0 0 0 0 0 1 0 0 0 1 1 0 0 1 0 0 0 0 0 0 0 0 0 0 0 1 0 0 0 0 \n    0 0 0 0 0 0 0 0]\n[0 0 0 1 1 0 0 0 1 1 1 1 0 0 0 1 0 0 0 1 1 0 1 0 1 0 0 0 0 1 1 1 1 1 1 1 0 0 0 0\n    0 0 1 1 1 1 0 0 1 0 0 0 0 0 1 0 0 0 1 1 0 0 1 0 0 0 0 0 0 0 0 0 0 0 1 0 0 0 \n    0 0 0 0 0 0 0 0]\n[0 0 1 1 0 0 0 0 0 1 0 1 0 0 0 1 1 0 1 1 0 0 1 0 1 1 1 0 0 0 0 0 1 1 1 0 1 1 0 1\n    1 0 1 0 1 0 0 0 0 1 1 0 1 0 1 1 0 0 1 0 0 1 1 0 0 0 0 0 0 0 0 0 0 0 0 1 0 0 \n    0 0 0 0 0 0 0 0]\n[0 0 1 0 0 1 0 0 0 0 0 0 0 0 0 1 1 1 1 0 0 1 1 0 1 1 0 1 0 0 1 1 0 1 1 0 0 0 1 1\n    0 1 1 0 0 0 1 0 0 0 0 1 1 1 1 1 1 0 1 0 1 1 0 0 0 0 0 0 0 0 0 0 0 0 0 0 1 0 \n    0 0 0 0 0 0 0 0]\n[1 0 0 1 0 0 1 0 0 0 0 0 0 0 0 0 1 1 1 1 0 0 1 1 0 1 1 0 1 0 0 1 1 0 1 1 0 0 0 1\n    1 0 1 1 0 0 0 1 0 0 0 0 1 1 1 1 1 1 0 1 0 1 1 0 0 0 0 0 0 0 0 0 0 0 0 0 0 1 \n    0 0 0 0 0 0 0 0]\n[0 1 1 1 0 1 0 1 0 0 1 0 1 0 0 1 0 1 0 0 0 1 1 0 0 0 0 1 0 1 1 1 1 1 0 0 1 1 0 1\n    0 1 1 0 1 1 1 0 1 0 1 0 1 1 0 1 1 1 0 1 0 1 0 0 0 0 0 0 0 0 0 0 0 0 0 0 0 0 \n    1 0 0 0 0 0 0 0]\n[0 0 1 1 1 0 1 0 1 0 0 1 0 1 0 0 1 0 1 0 0 0 1 1 0 0 0 0 1 0 1 1 1 1 1 0 0 1 1 0\n    1 0 1 1 0 1 1 1 0 1 0 1 0 1 1 0 1 1 1 0 1 0 1 0 0 0 0 0 0 0 0 0 0 0 0 0 0 0 \n    0 1 0 0 0 0 0 0]\n[1 0 1 0 0 0 0 1 0 1 1 0 0 0 1 1 0 1 1 0 1 1 1 0 0 0 1 0 0 1 1 0 1 1 1 0 0 1 1 0\n    1 1 1 0 1 1 0 1 1 0 0 0 0 0 0 1 0 1 0 0 1 0 1 0 0 0 0 0 0 0 0 0 0 0 0 0 0 0 \n    0 0 1 0 0 0 0 0]\n[1 1 1 0 1 1 0 0 1 0 0 1 1 0 0 0 1 0 0 0 1 0 0 0 1 0 1 1 0 0 0 0 0 1 1 0 0 1 1 0\n    1 1 0 0 0 0 0 0 1 1 1 0 1 0 1 0 1 0 0 1 1 0 1 0 0 0 0 0 0 0 0 0 0 0 0 0 0 0 \n    0 0 0 1 0 0 0 0]\n[0 1 0 0 1 0 1 0 0 1 1 0 0 1 0 1 0 1 1 1 1 0 1 1 1 1 1 1 1 0 1 1 0 0 1 0 0 1 1 0\n    1 1 0 1 0 1 1 0 0 1 0 1 1 1 1 1 0 1 1 1 0 0 1 0 0 0 0 0 0 0 0 0 0 0 0 0 0 0 \n    0 0 0 0 1 0 0 0]\n[1 0 0 1 1 0 0 1 0 0 0 1 1 0 1 1 1 0 0 0 0 0 1 0 0 1 0 1 1 1 1 0 1 0 0 0 0 1 1 0\n    1 1 0 1 1 1 0 1 0 0 0 0 0 1 0 1 1 0 0 0 0 1 1 0 0 0 0 0 0 0 0 0 0 0 0 0 0 0 \n    0 0 0 0 0 1 0 0]\n[1 1 1 1 0 0 0 0 1 0 1 0 0 1 0 0 1 1 1 1 1 1 1 0 1 0 0 0 1 1 0 0 0 1 0 1 0 1 1 0\n    1 1 0 1 1 0 0 0 1 0 1 0 1 0 0 0 1 1 1 1 1 1 0 0 0 0 0 0 0 0 0 0 0 0 0 0 0 0 \n    0 0 0 0 0 0 1 0]\n[0 1 1 1 1 0 0 0 0 1 0 1 0 0 1 0 0 1 1 1 1 1 1 1 0 1 0 0 0 1 1 0 0 0 1 0 1 0 1 1\n    0 1 1 0 1 1 0 0 0 1 0 1 0 1 0 0 0 1 1 1 1 1 1 0 0 0 0 0 0 0 0 0 0 0 0 0 0 0 \n    0 0 0 0 0 0 0 1]\n[86, 23] Linear Code over GF(2)\nGenerator matrix:\n[1 0 0 0 0 0 0 0 0 0 0 0 0 0 0 0 0 0 0 0 0 0 0 1 0 1 1 0 1 1 1 1 0 0 0 0 1 0 1 0\n    0 1 0 0 1 1 1 1 1 1 1 0 1 0 0 0 1 1 0 0 0 1 0 1 0 1 1 0 1 1 0 1 1 0 0 0 1 0 \n    1 0 1 0 0 0 1 1]\n[0 1 0 0 0 0 0 0 0 0 0 0 0 0 0 0 0 0 0 0 0 0 0 1 1 1 0 1 1 0 0 0 1 0 0 0 1 1 1 1\n    0 1 1 0 1 0 0 0 0 0 0 1 1 1 0 0 1 0 1 0 0 1 1 1 1 1 0 1 1 0 1 1 0 1 0 0 1 1 \n    1 1 1 1 0 0 1 0]\n[0 0 1 0 0 0 0 0 0 0 0 0 0 0 0 0 0 0 0 0 0 0 0 0 1 1 1 0 1 1 0 0 0 1 0 0 0 1 1 1\n    1 0 1 1 0 1 0 0 0 0 0 0 1 1 1 0 0 1 0 1 0 0 1 1 1 1 1 0 1 1 0 1 1 0 1 0 0 1 \n    1 1 1 1 1 0 0 1]\n[0 0 0 1 0 0 0 0 0 0 0 0 0 0 0 0 0 0 0 0 0 0 0 0 0 1 1 1 0 1 1 0 0 0 1 0 0 0 1 1\n    1 1 0 1 1 0 1 0 0 0 0 0 0 1 1 1 0 0 1 0 1 0 0 1 1 1 1 1 0 1 1 0 1 1 0 1 0 0 \n    1 1 1 1 1 1 0 0]\n[0 0 0 0 1 0 0 0 0 0 0 0 0 0 0 0 0 0 0 0 0 0 0 0 0 0 1 1 1 0 1 1 0 0 0 1 0 0 0 1\n    1 1 1 0 1 1 0 1 0 0 0 0 0 0 1 1 1 0 0 1 0 1 0 0 1 1 1 1 1 0 1 1 0 1 1 0 1 0 \n    0 1 1 1 1 1 1 0]\n[0 0 0 0 0 1 0 0 0 0 0 0 0 0 0 0 0 0 0 0 0 0 0 0 0 0 0 1 1 1 0 1 1 0 0 0 1 0 0 0\n    1 1 1 1 0 1 1 0 1 0 0 0 0 0 0 1 1 1 0 0 1 0 1 0 0 1 1 1 1 1 0 1 1 0 1 1 0 1 \n    0 0 1 1 1 1 1 1]\n[0 0 0 0 0 0 1 0 0 0 0 0 0 0 0 0 0 0 0 0 0 0 0 1 0 1 1 0 0 0 0 1 1 1 0 0 1 1 1 0\n    0 0 1 1 0 1 0 0 1 0 1 0 1 0 0 0 0 0 1 0 0 0 0 0 0 1 0 1 0 0 1 1 0 1 0 1 0 0 \n    0 0 1 1 1 1 0 0]\n[0 0 0 0 0 0 0 1 0 0 0 0 0 0 0 0 0 0 0 0 0 0 0 1 1 1 0 1 1 1 1 1 1 1 1 0 1 1 0 1\n    0 1 0 1 0 1 0 1 1 0 1 1 1 1 0 0 1 1 0 1 0 1 0 1 0 1 0 0 0 1 0 0 0 0 1 0 0 0 \n    1 0 1 1 1 1 0 1]\n[0 0 0 0 0 0 0 0 1 0 0 0 0 0 0 0 0 0 0 0 0 0 0 0 1 1 1 0 1 1 1 1 1 1 1 1 0 1 1 0\n    1 0 1 0 1 0 1 0 1 1 0 1 1 1 1 0 0 1 1 0 1 0 1 0 1 0 1 0 0 0 1 0 0 0 0 1 0 0 \n    0 1 0 1 1 1 1 0]\n[0 0 0 0 0 0 0 0 0 1 0 0 0 0 0 0 0 0 0 0 0 0 0 1 0 0 0 1 1 0 0 0 1 1 1 1 0 0 0 1\n    0 0 0 1 1 0 1 0 1 0 0 0 0 1 1 1 1 1 1 1 0 0 0 0 0 0 1 1 1 1 0 0 1 0 0 0 0 0 \n    1 0 0 0 1 1 0 0]\n[0 0 0 0 0 0 0 0 0 0 1 0 0 0 0 0 0 0 0 0 0 0 0 0 1 0 0 0 1 1 0 0 0 1 1 1 1 0 0 0\n    1 0 0 0 1 1 0 1 0 1 0 0 0 0 1 1 1 1 1 1 1 0 0 0 0 0 0 1 1 1 1 0 0 1 0 0 0 0 \n    0 1 0 0 0 1 1 0]\n[0 0 0 0 0 0 0 0 0 0 0 1 0 0 0 0 0 0 0 0 0 0 0 0 0 1 0 0 0 1 1 0 0 0 1 1 1 1 0 0\n    0 1 0 0 0 1 1 0 1 0 1 0 0 0 0 1 1 1 1 1 1 1 0 0 0 0 0 0 1 1 1 1 0 0 1 0 0 0 \n    0 0 1 0 0 0 1 1]\n[0 0 0 0 0 0 0 0 0 0 0 0 1 0 0 0 0 0 0 0 0 0 0 1 0 1 0 0 1 1 0 0 0 0 0 1 0 1 0 0\n    0 1 1 0 1 1 0 0 1 0 1 1 1 0 0 0 0 0 1 1 1 0 1 1 0 1 1 0 1 0 1 0 0 0 0 1 1 0 \n    1 0 1 1 0 0 1 0]\n[0 0 0 0 0 0 0 0 0 0 0 0 0 1 0 0 0 0 0 0 0 0 0 1 1 1 0 0 1 0 0 1 0 0 0 0 0 0 0 0\n    0 1 1 1 1 0 0 1 1 0 1 1 0 1 0 0 1 1 0 1 1 0 0 0 1 1 0 1 1 0 0 0 1 0 0 0 0 1 \n    1 1 1 1 1 0 1 0]\n[0 0 0 0 0 0 0 0 0 0 0 0 0 0 1 0 0 0 0 0 0 0 0 0 1 1 1 0 0 1 0 0 1 0 0 0 0 0 0 0\n    0 0 1 1 1 1 0 0 1 1 0 1 1 0 1 0 0 1 1 0 1 1 0 0 0 1 1 0 1 1 0 0 0 1 0 0 0 0 \n    1 1 1 1 1 1 0 1]\n[0 0 0 0 0 0 0 0 0 0 0 0 0 0 0 1 0 0 0 0 0 0 0 1 0 0 0 1 1 1 0 1 0 1 0 0 1 0 1 0\n    0 1 0 1 0 0 0 1 1 0 0 0 0 1 0 1 1 1 1 1 0 0 1 1 0 1 0 1 1 0 1 1 1 0 1 0 1 0 \n    1 1 0 1 1 1 0 1]\n[0 0 0 0 0 0 0 0 0 0 0 0 0 0 0 0 1 0 0 0 0 0 0 0 1 0 0 0 1 1 1 0 1 0 1 0 0 1 0 1\n    0 0 1 0 1 0 0 0 1 1 0 0 0 0 1 0 1 1 1 1 1 0 0 1 1 0 1 0 1 1 0 1 1 1 0 1 0 1 \n    0 1 1 0 1 1 1 0]\n[0 0 0 0 0 0 0 0 0 0 0 0 0 0 0 0 0 1 0 0 0 0 0 1 0 0 1 0 1 0 0 0 0 1 0 1 1 0 0 0\n    1 1 0 1 1 0 1 1 1 0 0 0 1 0 0 1 1 0 1 1 1 0 0 1 1 0 1 1 1 0 1 1 0 1 1 0 0 0 \n    0 0 0 1 0 1 0 0]\n[0 0 0 0 0 0 0 0 0 0 0 0 0 0 0 0 0 0 1 0 0 0 0 1 1 1 1 1 1 0 1 1 0 0 1 0 0 1 1 0\n    0 0 1 0 0 0 1 0 0 0 1 0 1 1 0 0 0 0 0 1 1 0 0 1 1 0 1 1 0 0 0 0 0 0 1 1 1 0 \n    1 0 1 0 1 0 0 1]\n[0 0 0 0 0 0 0 0 0 0 0 0 0 0 0 0 0 0 0 1 0 0 0 1 1 0 0 1 0 0 1 0 1 0 0 1 1 0 0 1\n    0 1 0 1 1 1 1 0 1 1 1 1 1 1 1 0 1 1 0 0 1 0 0 1 1 0 1 1 0 1 0 1 1 0 0 1 0 1 \n    1 1 1 1 0 1 1 1]\n[0 0 0 0 0 0 0 0 0 0 0 0 0 0 0 0 0 0 0 0 1 0 0 1 1 0 1 0 0 1 1 0 0 1 0 0 0 1 1 0\n    1 1 1 0 0 0 0 0 1 0 0 1 0 1 1 1 1 0 1 0 0 0 0 1 1 0 1 1 0 1 1 1 0 1 0 0 0 0 \n    0 1 0 1 1 0 0 0]\n[0 0 0 0 0 0 0 0 0 0 0 0 0 0 0 0 0 0 0 0 0 1 0 1 1 0 1 1 1 1 0 0 0 0 1 0 1 0 0 1\n    0 0 1 1 1 1 1 1 1 0 1 0 0 0 1 1 0 0 0 1 0 1 0 1 1 0 1 1 0 1 1 0 0 0 1 0 1 0 \n    1 0 0 0 1 1 1 1]\n[0 0 0 0 0 0 0 0 0 0 0 0 0 0 0 0 0 0 0 0 0 0 1 0 1 1 0 1 1 1 1 0 0 0 0 1 0 1 0 0\n    1 0 0 1 1 1 1 1 1 1 0 1 0 0 0 1 1 0 0 0 1 0 1 0 1 1 0 1 1 0 1 1 0 0 0 1 0 1 \n    0 1 0 0 0 1 1 1]\nLinear Code over GF(2) of length 86 with 23 generators.\nLower Bound: 1, Upper Bound: 64\nConstructed 4 distinct generator matrices\nRelative Ranks:  23  23  23  17 \nTime Taken: 0.00\nStarting search for low weight codewords... (reset timings)\nEnumerating using 1 generator at a time:\n     New codeword identified of weight 34, time 0.00\n     New codeword identified of weight 27, time 0.00\n   Completed Matrix  1:  lower =  4, upper = 27. Elapsed: 0.00s\n   Completed Matrix  2:  lower =  5, upper = 27. Elapsed: 0.00s\n   Completed Matrix  3:  lower =  6, upper = 27. Elapsed: 0.00s\n   Completed Matrix  4:  lower =  6, upper = 27. Elapsed: 0.00s\nTermination predicted with 8 generators at matrix 1\nEnumerating using 2 generators at a time:\n     New codeword identified of weight 26, time 0.00\n     New codeword identified of weight 25, time 0.00\n   Completed Matrix  1:  lower =  7, upper = 25. Elapsed: 0.00s\n   Completed Matrix  2:  lower =  8, upper = 25. Elapsed: 0.00s\n   Completed Matrix  3:  lower =  9, upper = 25. Elapsed: 0.00s\n   Completed Matrix  4:  lower =  9, upper = 25. Elapsed: 0.00s\nTermination predicted with 7 generators at matrix 3\nEnumerating using 3 generators at a time:\n   Completed Matrix  1:  lower = 10, upper = 25. Elapsed: 0.00s\n   Completed Matrix  2:  lower = 11, upper = 25. Elapsed: 0.00s\n   Completed Matrix  3:  lower = 12, upper = 25. Elapsed: 0.00s\n   Completed Matrix  4:  lower = 12, upper = 25. Elapsed: 0.00s\nTermination predicted with 7 generators at matrix 3\nEnumerating using 4 generators at a time:\n   Completed Matrix  1:  lower = 13, upper = 25. Elapsed: 0.00s\n   Completed Matrix  2:  lower = 14, upper = 25. Elapsed: 0.00s\n   Completed Matrix  3:  lower = 15, upper = 25. Elapsed: 0.00s\n   Completed Matrix  4:  lower = 15, upper = 25. Elapsed: 0.00s\nTermination predicted with 7 generators at matrix 3\nEnumerating using 5 generators at a time:\n   Completed Matrix  1:  lower = 16, upper = 25. Elapsed: 0.00s\n   Completed Matrix  2:  lower = 17, upper = 25. Elapsed: 0.00s\n   Completed Matrix  3:  lower = 18, upper = 25. Elapsed: 0.00s\n   Completed Matrix  4:  lower = 18, upper = 25. Elapsed: 0.00s\nTermination predicted with 7 generators at matrix 3\nEnumerating using 6 generators at a time:\n   Completed Matrix  1:  lower = 19, upper = 25. Elapsed: 0.00s\n   Completed Matrix  2:  lower = 20, upper = 25. Elapsed: 0.00s\n   Completed Matrix  3:  lower = 21, upper = 25. Elapsed: 0.00s\n   Completed Matrix  4:  lower = 22, upper = 25. Elapsed: 0.00s\nTermination predicted with 7 generators at matrix 3\nEnumerating using 7 generators at a time:\n   Completed Matrix  1:  lower = 23, upper = 25. Elapsed: 0.00s\n   Completed Matrix  2:  lower = 24, upper = 25. Elapsed: 0.00s\n   Completed Matrix  3:  lower = 25, upper = 25. Elapsed: 0.00s\nComputation complete 1317463 vectors enumerated in total\n (15.705383% of 86 23 code)\nFinal Results: lower = 25, upper = 25,\nTotal CPU time: 0.00, real time: 0.005\n25\n\nTotal time: 0.010 seconds, Total memory usage: 32.09MB\n</t>
  </si>
  <si>
    <t>[[87,45,15]]</t>
  </si>
  <si>
    <t>Magma V2.28-26    Tue Dec 30 2025 09:50:56 on Marks-MacBook-Air-2 [Seed = \n187810376]\nType ? for help.  Type &lt;Ctrl&gt;-D to quit.\n[1 1 0 1 0 1 0 0 1 1 0 1 1 1 1 0 1 1 1 1 1 1 1 1 1 0 1 1 1 1 0 1 1 0 0 1 0 1 0 1\n    1 0 1 0 0 0 0 0 0 0 0 0 0 0 0 0 0 0 0 0 0 0 0 0 0 0 0 0 0 0 0 0 0 0 0 0 0 0 \n    0 0 0 0 0 0 0 0 0]\n[0 1 1 0 1 0 1 0 0 1 1 0 1 1 1 1 0 1 1 1 1 1 1 1 1 1 0 1 1 1 1 0 1 1 0 0 1 0 1 0\n    1 1 0 1 0 0 0 0 0 0 0 0 0 0 0 0 0 0 0 0 0 0 0 0 0 0 0 0 0 0 0 0 0 0 0 0 0 0 \n    0 0 0 0 0 0 0 0 0]\n[0 1 1 0 0 0 0 1 1 1 1 0 1 0 0 1 0 1 0 0 0 0 0 0 0 1 0 1 0 0 1 0 1 1 1 1 0 0 0 0\n    1 1 0 0 1 0 0 0 0 0 0 0 0 0 0 0 0 0 0 0 0 0 0 0 0 0 0 0 0 0 0 0 0 0 0 0 0 0 \n    0 0 0 0 0 0 0 0 0]\n[1 1 1 0 0 1 0 0 0 0 1 0 1 0 1 0 0 1 0 1 1 1 1 1 1 0 0 1 0 1 0 0 1 1 1 0 1 1 0 1\n    1 1 0 0 0 1 0 0 0 0 0 0 0 0 0 0 0 0 0 0 0 0 0 0 0 0 0 0 0 0 0 0 0 0 0 0 0 0 \n    0 0 0 0 0 0 0 0 0]\n[0 0 1 0 0 1 1 0 1 1 0 0 1 0 1 1 1 1 0 1 0 0 0 0 0 1 1 1 0 1 1 1 1 1 1 0 0 0 1 1\n    0 1 0 0 0 0 1 0 0 0 0 0 0 0 0 0 0 0 0 0 0 0 0 0 0 0 0 0 0 0 0 0 0 0 0 0 0 0 \n    0 0 0 0 0 0 0 0 0]\n[0 1 0 0 0 1 1 1 1 0 1 1 1 0 1 1 0 0 0 1 0 1 1 1 1 0 0 0 0 1 1 0 0 1 1 0 0 1 0 0\n    0 0 0 0 0 0 0 1 0 0 0 0 0 0 0 0 0 0 0 0 0 0 0 0 0 0 0 0 0 0 0 0 0 0 0 0 0 0 \n    0 0 0 0 0 0 0 0 0]\n[1 0 1 0 0 0 1 1 1 1 0 1 1 1 0 1 1 0 0 0 1 0 1 1 1 1 0 0 0 0 1 1 0 0 1 1 0 0 1 0\n    0 0 0 0 0 0 0 0 1 0 0 0 0 0 0 0 0 0 0 0 0 0 0 0 0 0 0 0 0 0 0 0 0 0 0 0 0 0 \n    0 0 0 0 0 0 0 0 0]\n[1 1 0 1 0 0 0 1 1 1 1 0 1 1 1 0 1 1 0 0 0 1 0 1 1 1 1 0 0 0 0 1 1 0 0 1 1 0 0 1\n    0 0 0 0 0 0 0 0 0 1 0 0 0 0 0 0 0 0 0 0 0 0 0 0 0 0 0 0 0 0 0 0 0 0 0 0 0 0 \n    0 0 0 0 0 0 0 0 0]\n[0 1 1 0 1 0 0 0 1 1 1 1 0 1 1 1 0 1 1 0 0 0 1 0 1 1 1 1 0 0 0 0 1 1 0 0 1 1 0 0\n    1 0 0 0 0 0 0 0 0 0 1 0 0 0 0 0 0 0 0 0 0 0 0 0 0 0 0 0 0 0 0 0 0 0 0 0 0 0 \n    0 0 0 0 0 0 0 0 0]\n[0 0 1 1 0 1 0 0 0 1 1 1 1 0 1 1 1 0 1 1 0 0 0 1 0 1 1 1 1 0 0 0 0 1 1 0 0 1 1 0\n    0 1 0 0 0 0 0 0 0 0 0 1 0 0 0 0 0 0 0 0 0 0 0 0 0 0 0 0 0 0 0 0 0 0 0 0 0 0 \n    0 0 0 0 0 0 0 0 0]\n[1 1 0 0 1 1 1 0 1 1 1 0 0 0 1 1 0 0 1 0 0 1 1 1 0 0 0 0 0 0 0 1 1 0 1 0 0 1 1 0\n    1 0 0 0 0 0 0 0 0 0 0 0 1 0 0 0 0 0 0 0 0 0 0 0 0 0 0 0 0 0 0 0 0 0 0 0 0 0 \n    0 0 0 0 0 0 0 0 0]\n[0 1 1 0 0 1 1 1 0 1 1 1 0 0 0 1 1 0 0 1 0 0 1 1 1 0 0 0 0 0 0 0 1 1 0 1 0 0 1 1\n    0 1 0 0 0 0 0 0 0 0 0 0 0 1 0 0 0 0 0 0 0 0 0 0 0 0 0 0 0 0 0 0 0 0 0 0 0 0 \n    0 0 0 0 0 0 0 0 0]\n[0 1 1 0 0 1 1 1 0 1 1 0 0 1 1 0 0 0 1 1 0 1 1 0 0 1 1 1 1 1 0 1 1 1 1 1 1 1 0 0\n    0 0 0 0 0 0 0 0 0 0 0 0 0 0 1 0 0 0 0 0 0 0 0 0 0 0 0 0 0 0 0 0 0 0 0 0 0 0 \n    0 0 0 0 0 0 0 0 0]\n[0 0 1 1 0 0 1 1 1 0 1 1 0 0 1 1 0 0 0 1 1 0 1 1 0 0 1 1 1 1 1 0 1 1 1 1 1 1 1 0\n    0 0 0 0 0 0 0 0 0 0 0 0 0 0 0 1 0 0 0 0 0 0 0 0 0 0 0 0 0 0 0 0 0 0 0 0 0 0 \n    0 0 0 0 0 0 0 0 0]\n[1 0 0 1 1 0 0 1 1 1 0 1 1 0 0 1 1 0 0 0 1 1 0 1 1 0 0 1 1 1 1 1 0 1 1 1 1 1 1 1\n    0 0 0 0 0 0 0 0 0 0 0 0 0 0 0 0 1 0 0 0 0 0 0 0 0 0 0 0 0 0 0 0 0 0 0 0 0 0 \n    0 0 0 0 0 0 0 0 0]\n[0 1 0 0 1 1 0 0 1 1 1 0 1 1 0 0 1 1 0 0 0 1 1 0 1 1 0 0 1 1 1 1 1 0 1 1 1 1 1 1\n    1 0 0 0 0 0 0 0 0 0 0 0 0 0 0 0 0 1 0 0 0 0 0 0 0 0 0 0 0 0 0 0 0 0 0 0 0 0 \n    0 0 0 0 0 0 0 0 0]\n[0 0 1 0 0 1 1 0 0 1 1 1 0 1 1 0 0 1 1 0 0 0 1 1 0 1 1 0 0 1 1 1 1 1 0 1 1 1 1 1\n    1 1 0 0 0 0 0 0 0 0 0 0 0 0 0 0 0 0 1 0 0 0 0 0 0 0 0 0 0 0 0 0 0 0 0 0 0 0 \n    0 0 0 0 0 0 0 0 0]\n[1 1 0 0 0 1 1 1 1 1 1 0 0 1 0 1 1 1 0 0 1 1 1 0 0 0 0 0 1 1 1 0 0 1 1 1 1 0 1 0\n    0 1 0 0 0 0 0 0 0 0 0 0 0 0 0 0 0 0 0 1 0 0 0 0 0 0 0 0 0 0 0 0 0 0 0 0 0 0 \n    0 0 0 0 0 0 0 0 0]\n[1 0 1 1 0 1 1 1 0 0 1 0 1 1 0 0 0 0 0 1 1 0 0 0 1 0 1 1 1 0 1 0 1 0 1 0 1 0 0 0\n    1 0 0 0 0 0 0 0 0 0 0 0 0 0 0 0 0 0 0 0 1 0 0 0 0 0 0 0 0 0 0 0 0 0 0 0 0 0 \n    0 0 0 0 0 0 0 0 0]\n[1 1 0 1 1 0 1 1 1 0 0 1 0 1 1 0 0 0 0 0 1 1 0 0 0 1 0 1 1 1 0 1 0 1 0 1 0 1 0 0\n    0 1 0 0 0 0 0 0 0 0 0 0 0 0 0 0 0 0 0 0 0 1 0 0 0 0 0 0 0 0 0 0 0 0 0 0 0 0 \n    0 0 0 0 0 0 0 0 0]\n[0 0 1 1 1 0 0 1 0 0 0 1 0 1 0 1 1 1 1 1 1 0 0 1 1 0 0 1 0 0 1 1 0 0 1 1 1 1 1 1\n    1 0 0 0 0 0 0 0 0 0 0 0 0 0 0 0 0 0 0 0 0 0 1 0 0 0 0 0 0 0 0 0 0 0 0 0 0 0 \n    0 0 0 0 0 0 0 0 0]\n[0 0 0 1 1 1 0 0 1 0 0 0 1 0 1 0 1 1 1 1 1 1 0 0 1 1 0 0 1 0 0 1 1 0 0 1 1 1 1 1\n    1 1 0 0 0 0 0 0 0 0 0 0 0 0 0 0 0 0 0 0 0 0 0 1 0 0 0 0 0 0 0 0 0 0 0 0 0 0 \n    0 0 0 0 0 0 0 0 0]\n[0 1 0 1 1 0 1 0 1 0 0 1 1 0 1 1 1 0 0 0 0 0 0 1 1 1 0 1 1 0 0 1 0 1 0 1 1 0 1 0\n    0 1 0 0 0 0 0 0 0 0 0 0 0 0 0 0 0 0 0 0 0 0 0 0 1 0 0 0 0 0 0 0 0 0 0 0 0 0 \n    0 0 0 0 0 0 0 0 0]\n[1 1 1 1 1 0 0 1 1 0 0 1 0 0 1 1 0 0 1 1 1 1 1 1 0 1 0 1 0 0 0 1 0 0 1 1 1 0 0 0\n    1 0 0 0 0 0 0 0 0 0 0 0 0 0 0 0 0 0 0 0 0 0 0 0 0 1 0 0 0 0 0 0 0 0 0 0 0 0 \n    0 0 0 0 0 0 0 0 0]\n[1 1 1 1 1 1 0 0 1 1 0 0 1 0 0 1 1 0 0 1 1 1 1 1 1 0 1 0 1 0 0 0 1 0 0 1 1 1 0 0\n    0 1 0 0 0 0 0 0 0 0 0 0 0 0 0 0 0 0 0 0 0 0 0 0 0 0 1 0 0 0 0 0 0 0 0 0 0 0 \n    0 0 0 0 0 0 0 0 0]\n[0 0 1 0 1 0 1 0 1 0 1 1 1 0 1 0 0 0 1 1 0 0 0 0 0 1 1 0 1 0 0 1 1 1 0 1 1 0 1 1\n    1 0 0 0 0 0 0 0 0 0 0 0 0 0 0 0 0 0 0 0 0 0 0 0 0 0 0 1 0 0 0 0 0 0 0 0 0 0 \n    0 0 0 0 0 0 0 0 0]\n[0 0 0 1 0 1 0 1 0 1 0 1 1 1 0 1 0 0 0 1 1 0 0 0 0 0 1 1 0 1 0 0 1 1 1 0 1 1 0 1\n    1 1 0 0 0 0 0 0 0 0 0 0 0 0 0 0 0 0 0 0 0 0 0 0 0 0 0 0 1 0 0 0 0 0 0 0 0 0 \n    0 0 0 0 0 0 0 0 0]\n[0 1 0 1 1 1 1 0 0 1 1 1 0 0 0 0 0 1 1 1 0 0 1 1 1 0 1 0 0 1 1 1 1 1 1 0 0 0 1 1\n    0 1 0 0 0 0 0 0 0 0 0 0 0 0 0 0 0 0 0 0 0 0 0 0 0 0 0 0 0 1 0 0 0 0 0 0 0 0 \n    0 0 0 0 0 0 0 0 0]\n[1 1 1 1 1 0 1 1 1 1 1 0 0 1 1 0 1 1 0 0 0 1 1 0 0 1 1 0 1 1 1 0 0 1 1 0 0 1 0 0\n    0 0 0 0 0 0 0 0 0 0 0 0 0 0 0 0 0 0 0 0 0 0 0 0 0 0 0 0 0 0 1 0 0 0 0 0 0 0 \n    0 0 0 0 0 0 0 0 0]\n[1 1 1 1 1 1 0 1 1 1 1 1 0 0 1 1 0 1 1 0 0 0 1 1 0 0 1 1 0 1 1 1 0 0 1 1 0 0 1 0\n    0 0 0 0 0 0 0 0 0 0 0 0 0 0 0 0 0 0 0 0 0 0 0 0 0 0 0 0 0 0 0 1 0 0 0 0 0 0 \n    0 0 0 0 0 0 0 0 0]\n[1 1 1 1 1 1 1 0 1 1 1 1 1 0 0 1 1 0 1 1 0 0 0 1 1 0 0 1 1 0 1 1 1 0 0 1 1 0 0 1\n    0 0 0 0 0 0 0 0 0 0 0 0 0 0 0 0 0 0 0 0 0 0 0 0 0 0 0 0 0 0 0 0 1 0 0 0 0 0 \n    0 0 0 0 0 0 0 0 0]\n[0 1 1 1 1 1 1 1 0 1 1 1 1 1 0 0 1 1 0 1 1 0 0 0 1 1 0 0 1 1 0 1 1 1 0 0 1 1 0 0\n    1 0 0 0 0 0 0 0 0 0 0 0 0 0 0 0 0 0 0 0 0 0 0 0 0 0 0 0 0 0 0 0 0 1 0 0 0 0 \n    0 0 0 0 0 0 0 0 0]\n[0 0 1 1 1 1 1 1 1 0 1 1 1 1 1 0 0 1 1 0 1 1 0 0 0 1 1 0 0 1 1 0 1 1 1 0 0 1 1 0\n    0 1 0 0 0 0 0 0 0 0 0 0 0 0 0 0 0 0 0 0 0 0 0 0 0 0 0 0 0 0 0 0 0 0 1 0 0 0 \n    0 0 0 0 0 0 0 0 0]\n[1 1 0 0 1 0 1 1 0 0 0 0 0 0 0 1 1 1 0 0 1 0 0 1 1 0 0 0 1 1 1 0 1 1 1 0 0 1 1 0\n    1 0 0 0 0 0 0 0 0 0 0 0 0 0 0 0 0 0 0 0 0 0 0 0 0 0 0 0 0 0 0 0 0 0 0 1 0 0 \n    0 0 0 0 0 0 0 0 0]\n[0 1 1 0 0 1 0 1 1 0 0 0 0 0 0 0 1 1 1 0 0 1 0 0 1 1 0 0 0 1 1 1 0 1 1 1 0 0 1 1\n    0 1 0 0 0 0 0 0 0 0 0 0 0 0 0 0 0 0 0 0 0 0 0 0 0 0 0 0 0 0 0 0 0 0 0 0 1 0 \n    0 0 0 0 0 0 0 0 0]\n[0 1 1 0 0 1 1 0 0 0 0 1 1 1 1 0 1 0 0 0 1 1 0 1 1 1 0 1 1 1 1 0 0 0 1 0 1 1 0 0\n    0 0 0 0 0 0 0 0 0 0 0 0 0 0 0 0 0 0 0 0 0 0 0 0 0 0 0 0 0 0 0 0 0 0 0 0 0 1 \n    0 0 0 0 0 0 0 0 0]\n[0 0 1 1 0 0 1 1 0 0 0 0 1 1 1 1 0 1 0 0 0 1 1 0 1 1 1 0 1 1 1 1 0 0 0 1 0 1 1 0\n    0 0 0 0 0 0 0 0 0 0 0 0 0 0 0 0 0 0 0 0 0 0 0 0 0 0 0 0 0 0 0 0 0 0 0 0 0 0 \n    1 0 0 0 0 0 0 0 0]\n[1 0 0 1 1 0 0 1 1 0 0 0 0 1 1 1 1 0 1 0 0 0 1 1 0 1 1 1 0 1 1 1 1 0 0 0 1 0 1 1\n    0 0 0 0 0 0 0 0 0 0 0 0 0 0 0 0 0 0 0 0 0 0 0 0 0 0 0 0 0 0 0 0 0 0 0 0 0 0 \n    0 1 0 0 0 0 0 0 0]\n[0 1 0 0 1 1 0 0 1 1 0 0 0 0 1 1 1 1 0 1 0 0 0 1 1 0 1 1 1 0 1 1 1 1 0 0 0 1 0 1\n    1 0 0 0 0 0 0 0 0 0 0 0 0 0 0 0 0 0 0 0 0 0 0 0 0 0 0 0 0 0 0 0 0 0 0 0 0 0 \n    0 0 1 0 0 0 0 0 0]\n[0 0 1 0 0 1 1 0 0 1 1 0 0 0 0 1 1 1 1 0 1 0 0 0 1 1 0 1 1 1 0 1 1 1 1 0 0 0 1 0\n    1 1 0 0 0 0 0 0 0 0 0 0 0 0 0 0 0 0 0 0 0 0 0 0 0 0 0 0 0 0 0 0 0 0 0 0 0 0 \n    0 0 0 1 0 0 0 0 0]\n[1 1 0 0 0 1 1 1 1 1 1 0 1 1 1 0 0 0 0 0 1 0 1 1 1 1 0 1 0 0 1 1 0 1 1 0 0 1 0 0\n    1 1 0 0 0 0 0 0 0 0 0 0 0 0 0 0 0 0 0 0 0 0 0 0 0 0 0 0 0 0 0 0 0 0 0 0 0 0 \n    0 0 0 0 1 0 0 0 0]\n[1 0 1 1 0 1 1 1 0 0 1 0 1 0 0 1 1 1 1 1 1 0 1 0 0 1 0 1 0 1 0 0 0 0 1 0 0 1 1 1\n    1 1 0 0 0 0 0 0 0 0 0 0 0 0 0 0 0 0 0 0 0 0 0 0 0 0 0 0 0 0 0 0 0 0 0 0 0 0 \n    0 0 0 0 0 1 0 0 0]\n[0 0 0 0 1 1 1 1 0 1 0 0 1 0 1 0 0 0 0 0 0 0 1 0 1 0 0 1 0 1 1 1 1 0 0 0 0 1 1 0\n    0 1 0 0 0 0 0 0 0 0 0 0 0 0 0 0 0 0 0 0 0 0 0 0 0 0 0 0 0 0 0 0 0 0 0 0 0 0 \n    0 0 0 0 0 0 1 0 0]\n[0 1 0 1 0 0 1 1 0 1 1 1 1 0 1 1 1 1 1 1 1 1 1 0 1 1 1 1 0 1 1 0 0 1 0 1 0 1 1 0\n    1 0 0 0 0 0 0 0 0 0 0 0 0 0 0 0 0 0 0 0 0 0 0 0 0 0 0 0 0 0 0 0 0 0 0 0 0 0 \n    0 0 0 0 0 0 0 1 0]\n[1 0 1 0 1 0 0 1 1 0 1 1 1 1 0 1 1 1 1 1 1 1 1 1 0 1 1 1 1 0 1 1 0 0 1 0 1 0 1 1\n    0 1 0 0 0 0 0 0 0 0 0 0 0 0 0 0 0 0 0 0 0 0 0 0 0 0 0 0 0 0 0 0 0 0 0 0 0 0 \n    0 0 0 0 0 0 0 0 1]\n[87, 45] Linear Code over GF(2)\nGenerator matrix:\n[1 0 0 0 0 0 0 0 0 0 0 0 0 0 0 0 0 0 0 0 0 0 0 0 0 0 0 0 0 0 0 0 0 0 0 0 0 0 0 0\n    0 0 0 0 0 1 0 1 1 0 1 0 1 0 0 1 1 0 1 1 1 1 0 1 1 1 1 1 1 1 1 1 0 1 1 1 1 0 \n    1 1 0 0 1 0 1 0 1]\n[0 1 0 0 0 0 0 0 0 0 0 0 0 0 0 0 0 0 0 0 0 0 0 0 0 0 0 0 0 0 0 0 0 0 0 0 0 0 0 0\n    0 0 0 0 0 0 1 0 1 1 0 1 0 1 0 0 1 1 0 1 1 1 1 0 1 1 1 1 1 1 1 1 1 0 1 1 1 1 \n    0 1 1 0 0 1 0 1 0]\n[0 0 1 0 0 0 0 0 0 0 0 0 0 0 0 0 0 0 0 0 0 0 0 0 0 0 0 0 0 0 0 0 0 0 0 0 0 0 0 0\n    0 0 0 0 0 1 0 0 1 1 0 0 0 0 1 1 1 1 0 1 0 0 1 0 1 0 0 0 0 0 0 0 1 0 1 0 0 1 \n    0 1 1 1 1 0 0 0 0]\n[0 0 0 1 0 0 0 0 0 0 0 0 0 0 0 0 0 0 0 0 0 0 0 0 0 0 0 0 0 0 0 0 0 0 0 0 0 0 0 0\n    0 0 0 0 0 1 1 1 1 1 0 0 1 0 0 0 0 1 0 1 0 1 0 0 1 0 1 1 1 1 1 1 0 0 1 0 1 0 \n    0 1 1 1 0 1 1 0 1]\n[0 0 0 0 1 0 0 0 0 0 0 0 0 0 0 0 0 0 0 0 0 0 0 0 0 0 0 0 0 0 0 0 0 0 0 0 0 0 0 0\n    0 0 0 0 0 1 1 0 0 1 0 0 1 1 0 1 1 0 0 1 0 1 1 1 1 0 1 0 0 0 0 0 1 1 1 0 1 1 \n    1 1 1 1 0 0 0 1 1]\n[0 0 0 0 0 1 0 0 0 0 0 0 0 0 0 0 0 0 0 0 0 0 0 0 0 0 0 0 0 0 0 0 0 0 0 0 0 0 0 0\n    0 0 0 0 0 1 1 0 1 0 0 0 1 1 1 1 0 1 1 1 0 1 1 0 0 0 1 0 1 1 1 1 0 0 0 0 1 1 \n    0 0 1 1 0 0 1 0 0]\n[0 0 0 0 0 0 1 0 0 0 0 0 0 0 0 0 0 0 0 0 0 0 0 0 0 0 0 0 0 0 0 0 0 0 0 0 0 0 0 0\n    0 0 0 0 0 0 1 1 0 1 0 0 0 1 1 1 1 0 1 1 1 0 1 1 0 0 0 1 0 1 1 1 1 0 0 0 0 1 \n    1 0 0 1 1 0 0 1 0]\n[0 0 0 0 0 0 0 1 0 0 0 0 0 0 0 0 0 0 0 0 0 0 0 0 0 0 0 0 0 0 0 0 0 0 0 0 0 0 0 0\n    0 0 0 0 0 0 0 1 1 0 1 0 0 0 1 1 1 1 0 1 1 1 0 1 1 0 0 0 1 0 1 1 1 1 0 0 0 0 \n    1 1 0 0 1 1 0 0 1]\n[0 0 0 0 0 0 0 0 1 0 0 0 0 0 0 0 0 0 0 0 0 0 0 0 0 0 0 0 0 0 0 0 0 0 0 0 0 0 0 0\n    0 0 0 0 0 0 0 0 1 1 0 1 0 0 0 1 1 1 1 0 1 1 1 0 1 1 0 0 0 1 0 1 1 1 1 0 0 0 \n    0 1 1 0 0 1 1 0 0]\n[0 0 0 0 0 0 0 0 0 1 0 0 0 0 0 0 0 0 0 0 0 0 0 0 0 0 0 0 0 0 0 0 0 0 0 0 0 0 0 0\n    0 0 0 0 0 0 0 0 0 1 1 0 1 0 0 0 1 1 1 1 0 1 1 1 0 1 1 0 0 0 1 0 1 1 1 1 0 0 \n    0 0 1 1 0 0 1 1 0]\n[0 0 0 0 0 0 0 0 0 0 1 0 0 0 0 0 0 0 0 0 0 0 0 0 0 0 0 0 0 0 0 0 0 0 0 0 0 0 0 0\n    0 0 0 0 0 1 0 1 1 0 0 1 1 1 0 1 1 1 0 0 0 1 1 0 0 1 0 0 1 1 1 0 0 0 0 0 0 0 \n    1 1 0 1 0 0 1 1 0]\n[0 0 0 0 0 0 0 0 0 0 0 1 0 0 0 0 0 0 0 0 0 0 0 0 0 0 0 0 0 0 0 0 0 0 0 0 0 0 0 0\n    0 0 0 0 0 0 1 0 1 1 0 0 1 1 1 0 1 1 1 0 0 0 1 1 0 0 1 0 0 1 1 1 0 0 0 0 0 0 \n    0 1 1 0 1 0 0 1 1]\n[0 0 0 0 0 0 0 0 0 0 0 0 1 0 0 0 0 0 0 0 0 0 0 0 0 0 0 0 0 0 0 0 0 0 0 0 0 0 0 0\n    0 0 0 0 0 1 0 0 1 1 0 0 1 1 1 0 1 1 0 0 1 1 0 0 0 1 1 0 1 1 0 0 1 1 1 1 1 0 \n    1 1 1 1 1 1 1 0 0]\n[0 0 0 0 0 0 0 0 0 0 0 0 0 1 0 0 0 0 0 0 0 0 0 0 0 0 0 0 0 0 0 0 0 0 0 0 0 0 0 0\n    0 0 0 0 0 0 1 0 0 1 1 0 0 1 1 1 0 1 1 0 0 1 1 0 0 0 1 1 0 1 1 0 0 1 1 1 1 1 \n    0 1 1 1 1 1 1 1 0]\n[0 0 0 0 0 0 0 0 0 0 0 0 0 0 1 0 0 0 0 0 0 0 0 0 0 0 0 0 0 0 0 0 0 0 0 0 0 0 0 0\n    0 0 0 0 0 0 0 1 0 0 1 1 0 0 1 1 1 0 1 1 0 0 1 1 0 0 0 1 1 0 1 1 0 0 1 1 1 1 \n    1 0 1 1 1 1 1 1 1]\n[0 0 0 0 0 0 0 0 0 0 0 0 0 0 0 1 0 0 0 0 0 0 0 0 0 0 0 0 0 0 0 0 0 0 0 0 0 0 0 0\n    0 0 0 0 0 0 0 0 1 0 0 1 1 0 0 1 1 1 0 1 1 0 0 1 1 0 0 0 1 1 0 1 1 0 0 1 1 1 \n    1 1 0 1 1 1 1 1 1]\n[0 0 0 0 0 0 0 0 0 0 0 0 0 0 0 0 1 0 0 0 0 0 0 0 0 0 0 0 0 0 0 0 0 0 0 0 0 0 0 0\n    0 0 0 0 0 0 0 0 0 1 0 0 1 1 0 0 1 1 1 0 1 1 0 0 1 1 0 0 0 1 1 0 1 1 0 0 1 1 \n    1 1 1 0 1 1 1 1 1]\n[0 0 0 0 0 0 0 0 0 0 0 0 0 0 0 0 0 1 0 0 0 0 0 0 0 0 0 0 0 0 0 0 0 0 0 0 0 0 0 0\n    0 0 0 0 0 1 0 1 1 0 0 0 1 1 1 1 1 1 0 0 1 0 1 1 1 0 0 1 1 1 0 0 0 0 0 1 1 1 \n    0 0 1 1 1 1 0 1 0]\n[0 0 0 0 0 0 0 0 0 0 0 0 0 0 0 0 0 0 1 0 0 0 0 0 0 0 0 0 0 0 0 0 0 0 0 0 0 0 0 0\n    0 0 0 0 0 1 1 1 0 1 1 0 1 1 1 0 0 1 0 1 1 0 0 0 0 0 1 1 0 0 0 1 0 1 1 1 0 1 \n    0 1 0 1 0 1 0 0 0]\n[0 0 0 0 0 0 0 0 0 0 0 0 0 0 0 0 0 0 0 1 0 0 0 0 0 0 0 0 0 0 0 0 0 0 0 0 0 0 0 0\n    0 0 0 0 0 0 1 1 1 0 1 1 0 1 1 1 0 0 1 0 1 1 0 0 0 0 0 1 1 0 0 0 1 0 1 1 1 0 \n    1 0 1 0 1 0 1 0 0]\n[0 0 0 0 0 0 0 0 0 0 0 0 0 0 0 0 0 0 0 0 1 0 0 0 0 0 0 0 0 0 0 0 0 0 0 0 0 0 0 0\n    0 0 0 0 0 1 0 0 0 1 1 1 0 0 1 0 0 0 1 0 1 0 1 1 1 1 1 1 0 0 1 1 0 0 1 0 0 1 \n    1 0 0 1 1 1 1 1 1]\n[0 0 0 0 0 0 0 0 0 0 0 0 0 0 0 0 0 0 0 0 0 1 0 0 0 0 0 0 0 0 0 0 0 0 0 0 0 0 0 0\n    0 0 0 0 0 0 1 0 0 0 1 1 1 0 0 1 0 0 0 1 0 1 0 1 1 1 1 1 1 0 0 1 1 0 0 1 0 0 \n    1 1 0 0 1 1 1 1 1]\n[0 0 0 0 0 0 0 0 0 0 0 0 0 0 0 0 0 0 0 0 0 0 1 0 0 0 0 0 0 0 0 0 0 0 0 0 0 0 0 0\n    0 0 0 0 0 1 0 0 1 0 1 1 0 1 0 1 0 0 1 1 0 1 1 1 0 0 0 0 0 0 1 1 1 0 1 1 0 0 \n    1 0 1 0 1 1 0 1 0]\n[0 0 0 0 0 0 0 0 0 0 0 0 0 0 0 0 0 0 0 0 0 0 0 1 0 0 0 0 0 0 0 0 0 0 0 0 0 0 0 0\n    0 0 0 0 0 1 1 1 1 1 1 1 0 0 1 1 0 0 1 0 0 1 1 0 0 1 1 1 1 1 1 0 1 0 1 0 0 0 \n    1 0 0 1 1 1 0 0 0]\n[0 0 0 0 0 0 0 0 0 0 0 0 0 0 0 0 0 0 0 0 0 0 0 0 1 0 0 0 0 0 0 0 0 0 0 0 0 0 0 0\n    0 0 0 0 0 0 1 1 1 1 1 1 1 0 0 1 1 0 0 1 0 0 1 1 0 0 1 1 1 1 1 1 0 1 0 1 0 0 \n    0 1 0 0 1 1 1 0 0]\n[0 0 0 0 0 0 0 0 0 0 0 0 0 0 0 0 0 0 0 0 0 0 0 0 0 1 0 0 0 0 0 0 0 0 0 0 0 0 0 0\n    0 0 0 0 0 1 0 0 0 1 0 1 0 1 0 1 0 1 1 1 0 1 0 0 0 1 1 0 0 0 0 0 1 1 0 1 0 0 \n    1 1 1 0 1 1 0 1 1]\n[0 0 0 0 0 0 0 0 0 0 0 0 0 0 0 0 0 0 0 0 0 0 0 0 0 0 1 0 0 0 0 0 0 0 0 0 0 0 0 0\n    0 0 0 0 0 0 1 0 0 0 1 0 1 0 1 0 1 0 1 1 1 0 1 0 0 0 1 1 0 0 0 0 0 1 1 0 1 0 \n    0 1 1 1 0 1 1 0 1]\n[0 0 0 0 0 0 0 0 0 0 0 0 0 0 0 0 0 0 0 0 0 0 0 0 0 0 0 1 0 0 0 0 0 0 0 0 0 0 0 0\n    0 0 0 0 0 1 0 0 1 0 1 1 1 1 0 0 1 1 1 0 0 0 0 0 1 1 1 0 0 1 1 1 0 1 0 0 1 1 \n    1 1 1 1 0 0 0 1 1]\n[0 0 0 0 0 0 0 0 0 0 0 0 0 0 0 0 0 0 0 0 0 0 0 0 0 0 0 0 1 0 0 0 0 0 0 0 0 0 0 0\n    0 0 0 0 0 1 1 1 1 1 1 1 0 1 1 1 1 1 0 0 1 1 0 1 1 0 0 0 1 1 0 0 1 1 0 1 1 1 \n    0 0 1 1 0 0 1 0 0]\n[0 0 0 0 0 0 0 0 0 0 0 0 0 0 0 0 0 0 0 0 0 0 0 0 0 0 0 0 0 1 0 0 0 0 0 0 0 0 0 0\n    0 0 0 0 0 0 1 1 1 1 1 1 1 0 1 1 1 1 1 0 0 1 1 0 1 1 0 0 0 1 1 0 0 1 1 0 1 1 \n    1 0 0 1 1 0 0 1 0]\n[0 0 0 0 0 0 0 0 0 0 0 0 0 0 0 0 0 0 0 0 0 0 0 0 0 0 0 0 0 0 1 0 0 0 0 0 0 0 0 0\n    0 0 0 0 0 0 0 1 1 1 1 1 1 1 0 1 1 1 1 1 0 0 1 1 0 1 1 0 0 0 1 1 0 0 1 1 0 1 \n    1 1 0 0 1 1 0 0 1]\n[0 0 0 0 0 0 0 0 0 0 0 0 0 0 0 0 0 0 0 0 0 0 0 0 0 0 0 0 0 0 0 1 0 0 0 0 0 0 0 0\n    0 0 0 0 0 0 0 0 1 1 1 1 1 1 1 0 1 1 1 1 1 0 0 1 1 0 1 1 0 0 0 1 1 0 0 1 1 0 \n    1 1 1 0 0 1 1 0 0]\n[0 0 0 0 0 0 0 0 0 0 0 0 0 0 0 0 0 0 0 0 0 0 0 0 0 0 0 0 0 0 0 0 1 0 0 0 0 0 0 0\n    0 0 0 0 0 0 0 0 0 1 1 1 1 1 1 1 0 1 1 1 1 1 0 0 1 1 0 1 1 0 0 0 1 1 0 0 1 1 \n    0 1 1 1 0 0 1 1 0]\n[0 0 0 0 0 0 0 0 0 0 0 0 0 0 0 0 0 0 0 0 0 0 0 0 0 0 0 0 0 0 0 0 0 1 0 0 0 0 0 0\n    0 0 0 0 0 1 0 1 1 0 0 1 0 1 1 0 0 0 0 0 0 0 1 1 1 0 0 1 0 0 1 1 0 0 0 1 1 1 \n    0 1 1 1 0 0 1 1 0]\n[0 0 0 0 0 0 0 0 0 0 0 0 0 0 0 0 0 0 0 0 0 0 0 0 0 0 0 0 0 0 0 0 0 0 1 0 0 0 0 0\n    0 0 0 0 0 0 1 0 1 1 0 0 1 0 1 1 0 0 0 0 0 0 0 1 1 1 0 0 1 0 0 1 1 0 0 0 1 1 \n    1 0 1 1 1 0 0 1 1]\n[0 0 0 0 0 0 0 0 0 0 0 0 0 0 0 0 0 0 0 0 0 0 0 0 0 0 0 0 0 0 0 0 0 0 0 1 0 0 0 0\n    0 0 0 0 0 1 0 0 1 1 0 0 1 1 0 0 0 0 1 1 1 1 0 1 0 0 0 1 1 0 1 1 1 0 1 1 1 1 \n    0 0 0 1 0 1 1 0 0]\n[0 0 0 0 0 0 0 0 0 0 0 0 0 0 0 0 0 0 0 0 0 0 0 0 0 0 0 0 0 0 0 0 0 0 0 0 1 0 0 0\n    0 0 0 0 0 0 1 0 0 1 1 0 0 1 1 0 0 0 0 1 1 1 1 0 1 0 0 0 1 1 0 1 1 1 0 1 1 1 \n    1 0 0 0 1 0 1 1 0]\n[0 0 0 0 0 0 0 0 0 0 0 0 0 0 0 0 0 0 0 0 0 0 0 0 0 0 0 0 0 0 0 0 0 0 0 0 0 1 0 0\n    0 0 0 0 0 0 0 1 0 0 1 1 0 0 1 1 0 0 0 0 1 1 1 1 0 1 0 0 0 1 1 0 1 1 1 0 1 1 \n    1 1 0 0 0 1 0 1 1]\n[0 0 0 0 0 0 0 0 0 0 0 0 0 0 0 0 0 0 0 0 0 0 0 0 0 0 0 0 0 0 0 0 0 0 0 0 0 0 1 0\n    0 0 0 0 0 0 0 0 1 0 0 1 1 0 0 1 1 0 0 0 0 1 1 1 1 0 1 0 0 0 1 1 0 1 1 1 0 1 \n    1 1 1 0 0 0 1 0 1]\n[0 0 0 0 0 0 0 0 0 0 0 0 0 0 0 0 0 0 0 0 0 0 0 0 0 0 0 0 0 0 0 0 0 0 0 0 0 0 0 1\n    0 0 0 0 0 0 0 0 0 1 0 0 1 1 0 0 1 1 0 0 0 0 1 1 1 1 0 1 0 0 0 1 1 0 1 1 1 0 \n    1 1 1 1 0 0 0 1 0]\n[0 0 0 0 0 0 0 0 0 0 0 0 0 0 0 0 0 0 0 0 0 0 0 0 0 0 0 0 0 0 0 0 0 0 0 0 0 0 0 0\n    1 0 0 0 0 1 0 1 1 0 0 0 1 1 1 1 1 1 0 1 1 1 0 0 0 0 0 1 0 1 1 1 1 0 1 0 0 1 \n    1 0 1 1 0 0 1 0 0]\n[0 0 0 0 0 0 0 0 0 0 0 0 0 0 0 0 0 0 0 0 0 0 0 0 0 0 0 0 0 0 0 0 0 0 0 0 0 0 0 0\n    0 1 0 0 0 1 1 1 0 1 1 0 1 1 1 0 0 1 0 1 0 0 1 1 1 1 1 1 0 1 0 0 1 0 1 0 1 0 \n    0 0 0 1 0 0 1 1 1]\n[0 0 0 0 0 0 0 0 0 0 0 0 0 0 0 0 0 0 0 0 0 0 0 0 0 0 0 0 0 0 0 0 0 0 0 0 0 0 0 0\n    0 0 1 0 0 1 1 0 0 0 0 1 1 1 1 0 1 0 0 1 0 1 0 0 0 0 0 0 0 1 0 1 0 0 1 0 1 1 \n    1 1 0 0 0 0 1 1 0]\n[0 0 0 0 0 0 0 0 0 0 0 0 0 0 0 0 0 0 0 0 0 0 0 0 0 0 0 0 0 0 0 0 0 0 0 0 0 0 0 0\n    0 0 0 1 0 1 1 0 1 0 1 0 0 1 1 0 1 1 1 1 0 1 1 1 1 1 1 1 1 1 0 1 1 1 1 0 1 1 \n    0 0 1 0 1 0 1 1 0]\n[0 0 0 0 0 0 0 0 0 0 0 0 0 0 0 0 0 0 0 0 0 0 0 0 0 0 0 0 0 0 0 0 0 0 0 0 0 0 0 0\n    0 0 0 0 1 0 1 1 0 1 0 1 0 0 1 1 0 1 1 1 1 0 1 1 1 1 1 1 1 1 1 0 1 1 1 1 0 1 \n    1 0 0 1 0 1 0 1 1]\nLinear Code over GF(2) of length 87 with 45 generators.\nLower Bound: 1, Upper Bound: 43\nConstructed 2 distinct generator matrices\nRelative Ranks:  45  42 \nTime Taken: 0.00\nStarting search for low weight codewords... (reset timings)\nEnumerating using 1 generator at a time:\n     New codeword identified of weight 30, time 0.00\n     New codeword identified of weight 29, time 0.00\n     New codeword identified of weight 18, time 0.00\n   Completed Matrix  1:  lower =  2, upper = 18. Elapsed: 0.00s\n     New codeword identified of weight 17, time 0.00\n   Completed Matrix  2:  lower =  2, upper = 17. Elapsed: 0.00s\nTermination predicted with 9 generators at matrix 2\nEnumerating using 2 generators at a time:\n     New codeword identified of weight 16, time 0.00\n     New codeword identified of weight 15, time 0.00\n   Completed Matrix  1:  lower =  3, upper = 15. Elapsed: 0.00s\n   Completed Matrix  2:  lower =  3, upper = 15. Elapsed: 0.00s\nTermination predicted with 8 generators at matrix 2\nEnumerating using 3 generators at a time:\n   Completed Matrix  1:  lower =  4, upper = 15. Elapsed: 0.00s\n   Completed Matrix  2:  lower =  5, upper = 15. Elapsed: 0.00s\nTermination predicted with 8 generators at matrix 2\nEnumerating using 4 generators at a time:\n   Completed Matrix  1:  lower =  6, upper = 15. Elapsed: 0.00s\n   Completed Matrix  2:  lower =  7, upper = 15. Elapsed: 0.00s\nTermination predicted with 8 generators at matrix 2\nEnumerating using 5 generators at a time:\n   Completed Matrix  1:  lower =  8, upper = 15. Elapsed: 0.00s\n   Completed Matrix  2:  lower =  9, upper = 15. Elapsed: 0.01s\nTermination predicted with 8 generators at matrix 2\nEnumerating using 6 generators at a time:\n   Completed Matrix  1:  lower = 10, upper = 15. Elapsed: 0.02s\n   Completed Matrix  2:  lower = 11, upper = 15. Elapsed: 0.04s\nTermination predicted with 8 generators at matrix 2\nEnumerating using 7 generators at a time:\n   Completed Matrix  1:  lower = 12, upper = 15. Elapsed: 0.13s\n   Completed Matrix  2:  lower = 13, upper = 15. Elapsed: 0.23s\nTermination predicted at 1 s with 8 generators at matrix 2\nEnumerating using 8 generators at a time:\n   Completed Matrix  1:  lower = 14, upper = 15. Elapsed: 0.69s\n   Completed Matrix  2:  lower = 15, upper = 15. Elapsed: 1.14s\nComputation complete 540927708 vectors enumerated in total\n (0.001537% of 87 45 code)\nFinal Results: lower = 15, upper = 15,\nTotal CPU time: 1.14, real time: 1.182\n15\n\nTotal time: 1.169 seconds, Total memory usage: 32.09MB\n</t>
  </si>
  <si>
    <t>[[88,49,13]]</t>
  </si>
  <si>
    <t>Magma V2.28-26    Tue Dec 30 2025 09:50:58 on Marks-MacBook-Air-2 [Seed = \n321509970]\nType ? for help.  Type &lt;Ctrl&gt;-D to quit.\n[0 0 0 0 0 1 1 0 1 1 0 0 0 1 0 0 1 1 1 1 0 1 1 0 1 1 1 0 1 1 0 1 1 1 0 0 0 1 0 1\n    0 0 0 0 0 0 0 0 0 0 0 0 0 0 0 0 0 0 0 0 0 0 0 0 0 0 0 0 0 0 0 0 0 0 0 0 0 0 \n    0 0 0 0 0 0 0 0 0 0]\n[1 0 0 0 0 0 1 1 0 1 1 0 0 0 1 0 0 1 1 1 1 0 1 1 0 1 1 1 0 1 1 0 1 1 1 0 0 0 1 0\n    1 0 0 0 0 0 0 0 0 0 0 0 0 0 0 0 0 0 0 0 0 0 0 0 0 0 0 0 0 0 0 0 0 0 0 0 0 0 \n    0 0 0 0 0 0 0 0 0 0]\n[0 1 0 0 0 1 1 1 0 1 1 1 0 1 0 1 1 1 0 0 1 0 1 1 0 1 0 1 0 1 1 0 1 0 1 1 0 1 0 0\n    0 1 0 0 0 0 0 0 0 0 0 0 0 0 0 0 0 0 0 0 0 0 0 0 0 0 0 0 0 0 0 0 0 0 0 0 0 0 \n    0 0 0 0 0 0 0 0 0 0]\n[1 0 1 0 0 0 1 1 1 0 1 1 1 0 1 0 1 1 1 0 0 1 0 1 1 0 1 0 1 0 1 1 0 1 0 1 1 0 1 0\n    0 0 1 0 0 0 0 0 0 0 0 0 0 0 0 0 0 0 0 0 0 0 0 0 0 0 0 0 0 0 0 0 0 0 0 0 0 0 \n    0 0 0 0 0 0 0 0 0 0]\n[0 1 0 1 0 1 1 1 0 0 0 1 1 0 0 1 1 0 0 0 0 1 0 0 0 0 1 1 1 0 0 0 0 1 1 0 1 0 0 0\n    0 0 0 1 0 0 0 0 0 0 0 0 0 0 0 0 0 0 0 0 0 0 0 0 0 0 0 0 0 0 0 0 0 0 0 0 0 0 \n    0 0 0 0 0 0 0 0 0 0]\n[1 0 1 0 1 0 1 1 1 0 0 0 1 1 0 0 1 1 0 0 0 0 1 0 0 0 0 1 1 1 0 0 0 0 1 1 0 1 0 0\n    0 0 0 0 1 0 0 0 0 0 0 0 0 0 0 0 0 0 0 0 0 0 0 0 0 0 0 0 0 0 0 0 0 0 0 0 0 0 \n    0 0 0 0 0 0 0 0 0 0]\n[0 1 0 1 0 1 0 1 1 1 0 0 0 1 1 0 0 1 1 0 0 0 0 1 0 0 0 0 1 1 1 0 0 0 0 1 1 0 1 0\n    0 0 0 0 0 1 0 0 0 0 0 0 0 0 0 0 0 0 0 0 0 0 0 0 0 0 0 0 0 0 0 0 0 0 0 0 0 0 \n    0 0 0 0 0 0 0 0 0 0]\n[0 0 1 0 1 1 0 0 0 0 1 0 0 1 1 1 1 1 0 0 0 1 1 0 0 1 1 0 1 0 1 0 1 1 0 0 1 0 0 0\n    0 0 0 0 0 0 1 0 0 0 0 0 0 0 0 0 0 0 0 0 0 0 0 0 0 0 0 0 0 0 0 0 0 0 0 0 0 0 \n    0 0 0 0 0 0 0 0 0 0]\n[1 0 0 1 0 1 1 0 0 0 0 1 0 0 1 1 1 1 1 0 0 0 1 1 0 0 1 1 0 1 0 1 0 1 1 0 0 1 0 0\n    0 0 0 0 0 0 0 1 0 0 0 0 0 0 0 0 0 0 0 0 0 0 0 0 0 0 0 0 0 0 0 0 0 0 0 0 0 0 \n    0 0 0 0 0 0 0 0 0 0]\n[0 1 0 0 1 0 1 1 0 0 0 0 1 0 0 1 1 1 1 1 0 0 0 1 1 0 0 1 1 0 1 0 1 0 1 1 0 0 1 0\n    0 0 0 0 0 0 0 0 1 0 0 0 0 0 0 0 0 0 0 0 0 0 0 0 0 0 0 0 0 0 0 0 0 0 0 0 0 0 \n    0 0 0 0 0 0 0 0 0 0]\n[0 0 1 0 0 0 1 1 0 1 0 0 0 0 0 0 0 0 0 0 1 1 1 0 0 0 1 0 0 0 0 0 1 0 0 1 1 1 0 0\n    0 0 0 0 0 0 0 0 0 1 0 0 0 0 0 0 0 0 0 0 0 0 0 0 0 0 0 0 0 0 0 0 0 0 0 0 0 0 \n    0 0 0 0 0 0 0 0 0 0]\n[1 0 0 1 0 0 0 1 1 0 1 0 0 0 0 0 0 0 0 0 0 1 1 1 0 0 0 1 0 0 0 0 0 1 0 0 1 1 1 0\n    0 0 0 0 0 0 0 0 0 0 1 0 0 0 0 0 0 0 0 0 0 0 0 0 0 0 0 0 0 0 0 0 0 0 0 0 0 0 \n    0 0 0 0 0 0 0 0 0 0]\n[0 1 0 0 1 1 1 0 0 0 0 1 0 1 0 0 1 1 1 1 0 1 0 1 0 1 1 0 0 1 0 1 1 1 1 0 0 0 1 0\n    0 0 0 0 0 0 0 0 0 0 0 1 0 0 0 0 0 0 0 0 0 0 0 0 0 0 0 0 0 0 0 0 0 0 0 0 0 0 \n    0 0 0 0 0 0 0 0 0 0]\n[1 0 1 0 0 0 0 1 1 1 0 0 1 1 1 0 1 0 0 0 1 1 0 0 0 1 0 1 1 1 1 1 0 0 1 1 0 1 0 0\n    0 0 0 0 0 0 0 0 0 0 0 0 1 0 0 0 0 0 0 0 0 0 0 0 0 0 0 0 0 0 0 0 0 0 0 0 0 0 \n    0 0 0 0 0 0 0 0 0 0]\n[1 1 0 1 0 0 0 0 1 1 1 0 0 1 1 1 0 1 0 0 0 1 1 0 0 0 1 0 1 1 1 1 1 0 0 1 1 0 1 0\n    0 0 0 0 0 0 0 0 0 0 0 0 0 1 0 0 0 0 0 0 0 0 0 0 0 0 0 0 0 0 0 0 0 0 0 0 0 0 \n    0 0 0 0 0 0 0 0 0 0]\n[0 1 1 0 1 1 1 0 1 0 1 1 0 1 1 1 0 1 0 1 0 1 0 1 1 1 1 1 1 0 1 0 0 0 0 0 1 0 0 0\n    0 0 0 0 0 0 0 0 0 0 0 0 0 0 1 0 0 0 0 0 0 0 0 0 0 0 0 0 0 0 0 0 0 0 0 0 0 0 \n    0 0 0 0 0 0 0 0 0 0]\n[1 0 1 1 0 1 1 1 0 1 0 1 1 0 1 1 1 0 1 0 1 0 1 0 1 1 1 1 1 1 0 1 0 0 0 0 0 1 0 0\n    0 0 0 0 0 0 0 0 0 0 0 0 0 0 0 1 0 0 0 0 0 0 0 0 0 0 0 0 0 0 0 0 0 0 0 0 0 0 \n    0 0 0 0 0 0 0 0 0 0]\n[0 1 0 1 1 0 1 1 1 0 1 0 1 1 0 1 1 1 0 1 0 1 0 1 0 1 1 1 1 1 1 0 1 0 0 0 0 0 1 0\n    0 0 0 0 0 0 0 0 0 0 0 0 0 0 0 0 1 0 0 0 0 0 0 0 0 0 0 0 0 0 0 0 0 0 0 0 0 0 \n    0 0 0 0 0 0 0 0 0 0]\n[0 0 1 0 1 0 1 1 0 0 0 1 0 0 1 0 0 0 0 1 1 1 0 0 0 1 0 1 0 0 1 0 1 0 0 0 0 1 0 0\n    0 0 0 0 0 0 0 0 0 0 0 0 0 0 0 0 0 1 0 0 0 0 0 0 0 0 0 0 0 0 0 0 0 0 0 0 0 0 \n    0 0 0 0 0 0 0 0 0 0]\n[1 0 0 1 0 1 0 1 1 0 0 0 1 0 0 1 0 0 0 0 1 1 1 0 0 0 1 0 1 0 0 1 0 1 0 0 0 0 1 0\n    0 0 0 0 0 0 0 0 0 0 0 0 0 0 0 0 0 0 1 0 0 0 0 0 0 0 0 0 0 0 0 0 0 0 0 0 0 0 \n    0 0 0 0 0 0 0 0 0 0]\n[0 1 0 0 1 1 0 0 0 0 0 0 0 0 0 0 0 1 1 1 0 0 0 1 1 1 1 1 1 0 0 1 0 1 1 0 0 1 0 0\n    0 0 0 0 0 0 0 0 0 0 0 0 0 0 0 0 0 0 0 1 0 0 0 0 0 0 0 0 0 0 0 0 0 0 0 0 0 0 \n    0 0 0 0 0 0 0 0 0 0]\n[1 0 1 0 0 1 1 0 0 0 0 0 0 0 0 0 0 0 1 1 1 0 0 0 1 1 1 1 1 1 0 0 1 0 1 1 0 0 1 0\n    0 0 0 0 0 0 0 0 0 0 0 0 0 0 0 0 0 0 0 0 1 0 0 0 0 0 0 0 0 0 0 0 0 0 0 0 0 0 \n    0 0 0 0 0 0 0 0 0 0]\n[0 1 0 1 0 1 0 1 1 1 0 0 0 1 0 0 1 1 1 0 1 0 1 0 1 0 0 1 0 0 1 1 1 0 0 1 1 1 0 0\n    0 0 0 0 0 0 0 0 0 0 0 0 0 0 0 0 0 0 0 0 0 1 0 0 0 0 0 0 0 0 0 0 0 0 0 0 0 0 \n    0 0 0 0 0 0 0 0 0 0]\n[1 0 1 0 1 0 1 0 1 1 1 0 0 0 1 0 0 1 1 1 0 1 0 1 0 1 0 0 1 0 0 1 1 1 0 0 1 1 1 0\n    0 0 0 0 0 0 0 0 0 0 0 0 0 0 0 0 0 0 0 0 0 0 1 0 0 0 0 0 0 0 0 0 0 0 0 0 0 0 \n    0 0 0 0 0 0 0 0 0 0]\n[0 1 0 1 0 0 1 1 1 0 1 1 0 1 0 1 1 1 0 0 1 1 0 0 0 1 0 0 1 0 0 1 0 0 1 0 0 0 1 0\n    0 0 0 0 0 0 0 0 0 0 0 0 0 0 0 0 0 0 0 0 0 0 0 1 0 0 0 0 0 0 0 0 0 0 0 0 0 0 \n    0 0 0 0 0 0 0 0 0 0]\n[1 0 1 0 1 1 1 1 0 0 0 1 1 1 1 0 0 0 0 1 0 0 0 0 1 1 0 0 1 0 0 1 0 1 0 1 0 1 0 0\n    0 0 0 0 0 0 0 0 0 0 0 0 0 0 0 0 0 0 0 0 0 0 0 0 1 0 0 0 0 0 0 0 0 0 0 0 0 0 \n    0 0 0 0 0 0 0 0 0 0]\n[1 1 0 1 0 1 1 1 1 0 0 0 1 1 1 1 0 0 0 0 1 0 0 0 0 1 1 0 0 1 0 0 1 0 1 0 1 0 1 0\n    0 0 0 0 0 0 0 0 0 0 0 0 0 0 0 0 0 0 0 0 0 0 0 0 0 1 0 0 0 0 0 0 0 0 0 0 0 0 \n    0 0 0 0 0 0 0 0 0 0]\n[0 1 1 0 1 1 0 1 0 0 0 0 0 0 1 1 0 1 1 1 0 0 1 0 1 1 0 1 1 1 1 1 1 0 0 1 0 0 0 0\n    0 0 0 0 0 0 0 0 0 0 0 0 0 0 0 0 0 0 0 0 0 0 0 0 0 0 1 0 0 0 0 0 0 0 0 0 0 0 \n    0 0 0 0 0 0 0 0 0 0]\n[1 0 1 1 0 1 1 0 1 0 0 0 0 0 0 1 1 0 1 1 1 0 0 1 0 1 1 0 1 1 1 1 1 1 0 0 1 0 0 0\n    0 0 0 0 0 0 0 0 0 0 0 0 0 0 0 0 0 0 0 0 0 0 0 0 0 0 0 1 0 0 0 0 0 0 0 0 0 0 \n    0 0 0 0 0 0 0 0 0 0]\n[0 1 0 1 1 0 1 1 0 1 0 0 0 0 0 0 1 1 0 1 1 1 0 0 1 0 1 1 0 1 1 1 1 1 1 0 0 1 0 0\n    0 0 0 0 0 0 0 0 0 0 0 0 0 0 0 0 0 0 0 0 0 0 0 0 0 0 0 0 1 0 0 0 0 0 0 0 0 0 \n    0 0 0 0 0 0 0 0 0 0]\n[0 0 1 0 1 1 0 1 1 0 1 0 0 0 0 0 0 1 1 0 1 1 1 0 0 1 0 1 1 0 1 1 1 1 1 1 0 0 1 0\n    0 0 0 0 0 0 0 0 0 0 0 0 0 0 0 0 0 0 0 0 0 0 0 0 0 0 0 0 0 1 0 0 0 0 0 0 0 0 \n    0 0 0 0 0 0 0 0 0 0]\n[0 0 0 1 0 0 0 0 0 0 0 1 0 1 0 0 1 1 0 0 0 0 0 1 1 1 0 0 0 0 0 0 0 0 1 1 1 1 0 0\n    0 0 0 0 0 0 0 0 0 0 0 0 0 0 0 0 0 0 0 0 0 0 0 0 0 0 0 0 0 0 1 0 0 0 0 0 0 0 \n    0 0 0 0 0 0 0 0 0 0]\n[1 0 0 0 1 0 0 0 0 0 0 0 1 0 1 0 0 1 1 0 0 0 0 0 1 1 1 0 0 0 0 0 0 0 0 1 1 1 1 0\n    0 0 0 0 0 0 0 0 0 0 0 0 0 0 0 0 0 0 0 0 0 0 0 0 0 0 0 0 0 0 0 1 0 0 0 0 0 0 \n    0 0 0 0 0 0 0 0 0 0]\n[0 1 0 0 0 0 1 0 1 1 0 0 0 0 0 1 1 1 0 0 0 1 1 0 1 0 0 1 1 1 0 1 1 1 0 0 1 0 1 0\n    0 0 0 0 0 0 0 0 0 0 0 0 0 0 0 0 0 0 0 0 0 0 0 0 0 0 0 0 0 0 0 0 1 0 0 0 0 0 \n    0 0 0 0 0 0 0 0 0 0]\n[1 0 1 0 0 1 1 1 1 0 1 0 0 1 0 0 0 0 0 1 0 1 0 1 1 0 1 0 0 0 1 1 0 0 1 0 0 0 0 0\n    0 0 0 0 0 0 0 0 0 0 0 0 0 0 0 0 0 0 0 0 0 0 0 0 0 0 0 0 0 0 0 0 0 1 0 0 0 0 \n    0 0 0 0 0 0 0 0 0 0]\n[1 1 0 1 0 0 1 1 1 1 0 1 0 0 1 0 0 0 0 0 1 0 1 0 1 1 0 1 0 0 0 1 1 0 0 1 0 0 0 0\n    0 0 0 0 0 0 0 0 0 0 0 0 0 0 0 0 0 0 0 0 0 0 0 0 0 0 0 0 0 0 0 0 0 0 1 0 0 0 \n    0 0 0 0 0 0 0 0 0 0]\n[0 1 1 0 1 0 0 1 1 1 1 0 1 0 0 1 0 0 0 0 0 1 0 1 0 1 1 0 1 0 0 0 1 1 0 0 1 0 0 0\n    0 0 0 0 0 0 0 0 0 0 0 0 0 0 0 0 0 0 0 0 0 0 0 0 0 0 0 0 0 0 0 0 0 0 0 1 0 0 \n    0 0 0 0 0 0 0 0 0 0]\n[0 0 1 1 0 1 0 0 1 1 1 1 0 1 0 0 1 0 0 0 0 0 1 0 1 0 1 1 0 1 0 0 0 1 1 0 0 1 0 0\n    0 0 0 0 0 0 0 0 0 0 0 0 0 0 0 0 0 0 0 0 0 0 0 0 0 0 0 0 0 0 0 0 0 0 0 0 1 0 \n    0 0 0 0 0 0 0 0 0 0]\n[0 0 0 1 1 0 1 0 0 1 1 1 1 0 1 0 0 1 0 0 0 0 0 1 0 1 0 1 1 0 1 0 0 0 1 1 0 0 1 0\n    0 0 0 0 0 0 0 0 0 0 0 0 0 0 0 0 0 0 0 0 0 0 0 0 0 0 0 0 0 0 0 0 0 0 0 0 0 1 \n    0 0 0 0 0 0 0 0 0 0]\n[0 0 0 0 1 0 1 1 1 1 1 1 1 0 0 1 1 1 0 1 0 1 1 0 0 1 0 0 0 0 0 0 1 1 0 1 1 1 0 0\n    0 0 0 0 0 0 0 0 0 0 0 0 0 0 0 0 0 0 0 0 0 0 0 0 0 0 0 0 0 0 0 0 0 0 0 0 0 0 \n    1 0 0 0 0 0 0 0 0 0]\n[1 0 0 0 0 1 0 1 1 1 1 1 1 1 0 0 1 1 1 0 1 0 1 1 0 0 1 0 0 0 0 0 0 1 1 0 1 1 1 0\n    0 0 0 0 0 0 0 0 0 0 0 0 0 0 0 0 0 0 0 0 0 0 0 0 0 0 0 0 0 0 0 0 0 0 0 0 0 0 \n    0 1 0 0 0 0 0 0 0 0]\n[0 1 0 0 0 1 0 0 0 0 1 1 1 0 1 0 1 0 0 0 0 0 1 1 0 1 1 1 1 1 0 1 1 1 1 1 0 0 1 0\n    0 0 0 0 0 0 0 0 0 0 0 0 0 0 0 0 0 0 0 0 0 0 0 0 0 0 0 0 0 0 0 0 0 0 0 0 0 0 \n    0 0 1 0 0 0 0 0 0 0]\n[1 0 1 0 0 1 0 0 1 1 0 1 1 0 0 1 1 0 1 1 0 1 1 1 0 1 0 1 0 0 1 1 0 0 1 1 1 1 0 0\n    0 0 0 0 0 0 0 0 0 0 0 0 0 0 0 0 0 0 0 0 0 0 0 0 0 0 0 0 0 0 0 0 0 0 0 0 0 0 \n    0 0 0 1 0 0 0 0 0 0]\n[1 1 0 1 0 0 1 0 0 1 1 0 1 1 0 0 1 1 0 1 1 0 1 1 1 0 1 0 1 0 0 1 1 0 0 1 1 1 1 0\n    0 0 0 0 0 0 0 0 0 0 0 0 0 0 0 0 0 0 0 0 0 0 0 0 0 0 0 0 0 0 0 0 0 0 0 0 0 0 \n    0 0 0 0 1 0 0 0 0 0]\n[0 1 1 0 1 1 1 1 1 1 1 1 0 0 1 0 1 0 0 1 1 0 1 1 0 0 1 1 1 0 0 1 0 0 0 0 1 0 1 0\n    0 0 0 0 0 0 0 0 0 0 0 0 0 0 0 0 0 0 0 0 0 0 0 0 0 0 0 0 0 0 0 0 0 0 0 0 0 0 \n    0 0 0 0 0 1 0 0 0 0]\n[1 0 1 1 0 0 0 1 0 0 1 1 1 1 0 1 1 0 1 1 1 0 1 1 0 1 1 1 0 0 0 1 0 1 0 0 0 0 0 0\n    0 0 0 0 0 0 0 0 0 0 0 0 0 0 0 0 0 0 0 0 0 0 0 0 0 0 0 0 0 0 0 0 0 0 0 0 0 0 \n    0 0 0 0 0 0 1 0 0 0]\n[1 1 0 1 1 0 0 0 1 0 0 1 1 1 1 0 1 1 0 1 1 1 0 1 1 0 1 1 1 0 0 0 1 0 1 0 0 0 0 0\n    0 0 0 0 0 0 0 0 0 0 0 0 0 0 0 0 0 0 0 0 0 0 0 0 0 0 0 0 0 0 0 0 0 0 0 0 0 0 \n    0 0 0 0 0 0 0 1 0 0]\n[0 1 1 0 1 1 0 0 0 1 0 0 1 1 1 1 0 1 1 0 1 1 1 0 1 1 0 1 1 1 0 0 0 1 0 1 0 0 0 0\n    0 0 0 0 0 0 0 0 0 0 0 0 0 0 0 0 0 0 0 0 0 0 0 0 0 0 0 0 0 0 0 0 0 0 0 0 0 0 \n    0 0 0 0 0 0 0 0 1 0]\n[0 0 1 1 0 1 1 0 0 0 1 0 0 1 1 1 1 0 1 1 0 1 1 1 0 1 1 0 1 1 1 0 0 0 1 0 1 0 0 0\n    0 0 0 0 0 0 0 0 0 0 0 0 0 0 0 0 0 0 0 0 0 0 0 0 0 0 0 0 0 0 0 0 0 0 0 0 0 0 \n    0 0 0 0 0 0 0 0 0 1]\n[88, 49] Linear Code over GF(2)\nGenerator matrix:\n[1 0 0 0 0 0 0 0 0 0 0 0 0 0 0 0 0 0 0 0 0 0 0 0 0 0 0 0 0 0 0 0 0 0 0 0 0 0 0 0\n    0 0 0 0 0 0 0 0 0 1 0 1 0 0 0 1 1 1 0 1 1 1 0 1 0 1 1 1 0 0 1 0 1 1 0 1 0 1 \n    0 1 1 0 1 0 1 1 0 1]\n[0 1 0 0 0 0 0 0 0 0 0 0 0 0 0 0 0 0 0 0 0 0 0 0 0 0 0 0 0 0 0 0 0 0 0 0 0 0 0 0\n    0 0 0 0 0 0 0 0 0 0 0 0 1 0 0 0 0 0 1 1 0 1 1 0 0 0 1 0 0 1 1 1 1 0 1 1 0 1 \n    1 1 0 1 1 0 1 1 1 0]\n[0 0 1 0 0 0 0 0 0 0 0 0 0 0 0 0 0 0 0 0 0 0 0 0 0 0 0 0 0 0 0 0 0 0 0 0 0 0 0 0\n    0 0 0 0 0 0 0 0 0 1 0 1 0 1 0 1 1 1 0 0 0 1 1 0 0 1 1 0 0 0 0 1 0 0 0 0 1 1 \n    1 0 0 0 0 1 1 0 1 0]\n[0 0 0 1 0 0 0 0 0 0 0 0 0 0 0 0 0 0 0 0 0 0 0 0 0 0 0 0 0 0 0 0 0 0 0 0 0 0 0 0\n    0 0 0 0 0 0 0 0 0 0 1 0 1 0 1 0 1 1 1 0 0 0 1 1 0 0 1 1 0 0 0 0 1 0 0 0 0 1 \n    1 1 0 0 0 0 1 1 0 1]\n[0 0 0 0 1 0 0 0 0 0 0 0 0 0 0 0 0 0 0 0 0 0 0 0 0 0 0 0 0 0 0 0 0 0 0 0 0 0 0 0\n    0 0 0 0 0 0 0 0 0 0 1 1 0 1 0 1 1 0 1 0 1 0 0 1 0 0 0 0 0 1 1 0 1 0 0 1 1 1 \n    1 0 0 0 1 1 1 1 1 0]\n[0 0 0 0 0 1 0 0 0 0 0 0 0 0 0 0 0 0 0 0 0 0 0 0 0 0 0 0 0 0 0 0 0 0 0 0 0 0 0 0\n    0 0 0 0 0 0 0 0 0 1 0 0 1 0 1 1 0 0 0 0 1 0 0 1 1 1 1 1 0 0 0 1 1 0 0 1 1 0 \n    1 0 1 0 1 1 0 0 1 0]\n[0 0 0 0 0 0 1 0 0 0 0 0 0 0 0 0 0 0 0 0 0 0 0 0 0 0 0 0 0 0 0 0 0 0 0 0 0 0 0 0\n    0 0 0 0 0 0 0 0 0 0 1 0 0 1 0 1 1 0 0 0 0 1 0 0 1 1 1 1 1 0 0 0 1 1 0 0 1 1 \n    0 1 0 1 0 1 1 0 0 1]\n[0 0 0 0 0 0 0 1 0 0 0 0 0 0 0 0 0 0 0 0 0 0 0 0 0 0 0 0 0 0 0 0 0 0 0 0 0 0 0 0\n    0 0 0 0 0 0 0 0 0 0 1 1 0 0 1 0 0 0 0 1 1 0 1 0 1 1 1 0 0 0 1 0 1 0 1 1 1 0 \n    1 1 0 0 0 1 0 1 0 0]\n[0 0 0 0 0 0 0 0 1 0 0 0 0 0 0 0 0 0 0 0 0 0 0 0 0 0 0 0 0 0 0 0 0 0 0 0 0 0 0 0\n    0 0 0 0 0 0 0 0 0 1 0 0 1 0 0 0 1 1 0 1 0 0 0 0 0 0 0 0 0 0 1 1 1 0 0 0 1 0 \n    0 0 0 0 1 0 0 1 1 1]\n[0 0 0 0 0 0 0 0 0 1 0 0 0 0 0 0 0 0 0 0 0 0 0 0 0 0 0 0 0 0 0 0 0 0 0 0 0 0 0 0\n    0 0 0 0 0 0 0 0 0 0 0 0 0 1 0 0 1 0 1 1 0 0 0 0 1 0 0 1 1 1 1 1 0 0 0 1 1 0 \n    0 1 1 0 1 0 1 0 1 1]\n[0 0 0 0 0 0 0 0 0 0 1 0 0 0 0 0 0 0 0 0 0 0 0 0 0 0 0 0 0 0 0 0 0 0 0 0 0 0 0 0\n    0 0 0 0 0 0 0 0 0 1 1 1 0 0 1 1 0 1 0 1 1 1 0 1 1 0 1 0 0 0 1 1 1 0 0 0 0 1 \n    0 0 1 1 0 0 0 0 0 0]\n[0 0 0 0 0 0 0 0 0 0 0 1 0 0 0 0 0 0 0 0 0 0 0 0 0 0 0 0 0 0 0 0 0 0 0 0 0 0 0 0\n    0 0 0 0 0 0 0 0 0 1 1 0 1 0 0 0 0 1 1 1 0 0 1 1 1 0 1 0 0 0 1 1 0 0 0 1 0 1 \n    1 1 1 1 0 0 1 1 0 1]\n[0 0 0 0 0 0 0 0 0 0 0 0 1 0 0 0 0 0 0 0 0 0 0 0 0 0 0 0 0 0 0 0 0 0 0 0 0 0 0 0\n    0 0 0 0 0 0 0 0 0 0 0 1 0 1 0 0 1 1 1 0 0 0 0 1 0 1 0 0 1 1 1 1 0 1 0 1 0 1 \n    1 0 0 1 0 1 1 1 1 0]\n[0 0 0 0 0 0 0 0 0 0 0 0 0 1 0 0 0 0 0 0 0 0 0 0 0 0 0 0 0 0 0 0 0 0 0 0 0 0 0 0\n    0 0 0 0 0 0 0 0 0 1 0 1 1 0 1 1 1 0 1 0 1 1 0 1 1 1 0 1 0 1 0 1 0 1 1 1 1 1 \n    1 0 1 0 0 0 0 0 1 0]\n[0 0 0 0 0 0 0 0 0 0 0 0 0 0 1 0 0 0 0 0 0 0 0 0 0 0 0 0 0 0 0 0 0 0 0 0 0 0 0 0\n    0 0 0 0 0 0 0 0 0 0 1 0 1 1 0 1 1 1 0 1 0 1 1 0 1 1 1 0 1 0 1 0 1 0 1 1 1 1 \n    1 1 0 1 0 0 0 0 0 1]\n[0 0 0 0 0 0 0 0 0 0 0 0 0 0 0 1 0 0 0 0 0 0 0 0 0 0 0 0 0 0 0 0 0 0 0 0 0 0 0 0\n    0 0 0 0 0 0 0 0 0 0 1 1 0 1 1 0 0 0 1 1 0 0 1 1 1 1 1 0 1 0 1 1 1 0 0 0 0 0 \n    1 0 0 0 0 1 1 0 0 0]\n[0 0 0 0 0 0 0 0 0 0 0 0 0 0 0 0 1 0 0 0 0 0 0 0 0 0 0 0 0 0 0 0 0 0 0 0 0 0 0 0\n    0 0 0 0 0 0 0 0 0 1 0 0 1 0 1 0 1 1 0 0 0 1 0 0 1 0 0 0 0 1 1 1 0 0 0 1 0 1 \n    0 0 1 0 1 0 0 0 0 1]\n[0 0 0 0 0 0 0 0 0 0 0 0 0 0 0 0 0 1 0 0 0 0 0 0 0 0 0 0 0 0 0 0 0 0 0 0 0 0 0 0\n    0 0 0 0 0 0 0 0 0 0 0 0 0 1 0 1 1 0 1 1 1 0 1 0 1 1 0 1 1 1 0 1 0 1 0 1 0 1 \n    1 1 1 1 1 0 1 0 0 0]\n[0 0 0 0 0 0 0 0 0 0 0 0 0 0 0 0 0 0 1 0 0 0 0 0 0 0 0 0 0 0 0 0 0 0 0 0 0 0 0 0\n    0 0 0 0 0 0 0 0 0 1 0 1 0 0 1 1 0 0 0 0 0 0 0 0 0 0 0 1 1 1 0 0 0 1 1 1 1 1 \n    1 0 0 1 0 1 1 0 0 1]\n[0 0 0 0 0 0 0 0 0 0 0 0 0 0 0 0 0 0 0 1 0 0 0 0 0 0 0 0 0 0 0 0 0 0 0 0 0 0 0 0\n    0 0 0 0 0 0 0 0 0 0 0 0 1 0 0 1 0 1 0 1 1 0 0 0 1 0 0 1 0 0 0 0 1 1 1 0 0 0 \n    1 0 1 0 0 1 0 1 0 0]\n[0 0 0 0 0 0 0 0 0 0 0 0 0 0 0 0 0 0 0 0 1 0 0 0 0 0 0 0 0 0 0 0 0 0 0 0 0 0 0 0\n    0 0 0 0 0 0 0 0 0 1 0 1 0 1 0 1 0 1 1 1 0 0 0 1 0 0 1 1 1 0 1 0 1 0 1 0 0 1 \n    0 0 1 1 1 0 0 1 1 1]\n[0 0 0 0 0 0 0 0 0 0 0 0 0 0 0 0 0 0 0 0 0 1 0 0 0 0 0 0 0 0 0 0 0 0 0 0 0 0 0 0\n    0 0 0 0 0 0 0 0 0 0 0 0 1 0 1 0 0 1 1 0 0 0 0 0 0 0 0 0 0 0 1 1 1 0 0 0 1 1 \n    1 1 1 1 0 0 1 0 1 1]\n[0 0 0 0 0 0 0 0 0 0 0 0 0 0 0 0 0 0 0 0 0 0 1 0 0 0 0 0 0 0 0 0 0 0 0 0 0 0 0 0\n    0 0 0 0 0 0 0 0 0 1 1 1 0 1 0 0 0 0 1 1 0 1 0 1 1 1 1 0 1 1 0 1 1 1 0 0 1 1 \n    1 1 1 1 1 1 0 0 0 0]\n[0 0 0 0 0 0 0 0 0 0 0 0 0 0 0 0 0 0 0 0 0 0 0 1 0 0 0 0 0 0 0 0 0 0 0 0 0 0 0 0\n    0 0 0 0 0 0 0 0 0 1 1 0 1 0 1 1 1 1 0 0 0 1 1 1 1 0 0 0 0 1 0 0 0 0 1 1 0 0 \n    1 0 0 1 0 1 0 1 0 1]\n[0 0 0 0 0 0 0 0 0 0 0 0 0 0 0 0 0 0 0 0 0 0 0 0 1 0 0 0 0 0 0 0 0 0 0 0 0 0 0 0\n    0 0 0 0 0 0 0 0 0 0 0 1 0 1 0 1 0 0 1 1 1 0 1 1 0 1 0 1 1 1 0 0 1 1 0 0 0 1 \n    0 0 1 0 0 1 0 0 1 0]\n[0 0 0 0 0 0 0 0 0 0 0 0 0 0 0 0 0 0 0 0 0 0 0 0 0 1 0 0 0 0 0 0 0 0 0 0 0 0 0 0\n    0 0 0 0 0 0 0 0 0 1 0 1 1 0 1 1 0 1 0 0 0 0 0 0 1 1 0 1 1 1 0 0 1 0 1 1 0 1 \n    1 1 1 1 1 0 0 1 0 0]\n[0 0 0 0 0 0 0 0 0 0 0 0 0 0 0 0 0 0 0 0 0 0 0 0 0 0 1 0 0 0 0 0 0 0 0 0 0 0 0 0\n    0 0 0 0 0 0 0 0 0 0 1 0 1 1 0 1 1 0 1 0 0 0 0 0 0 1 1 0 1 1 1 0 0 1 0 1 1 0 \n    1 1 1 1 1 1 0 0 1 0]\n[0 0 0 0 0 0 0 0 0 0 0 0 0 0 0 0 0 0 0 0 0 0 0 0 0 0 0 1 0 0 0 0 0 0 0 0 0 0 0 0\n    0 0 0 0 0 0 0 0 0 0 0 1 0 1 1 0 1 1 0 1 0 0 0 0 0 0 1 1 0 1 1 1 0 0 1 0 1 1 \n    0 1 1 1 1 1 1 0 0 1]\n[0 0 0 0 0 0 0 0 0 0 0 0 0 0 0 0 0 0 0 0 0 0 0 0 0 0 0 0 1 0 0 0 0 0 0 0 0 0 0 0\n    0 0 0 0 0 0 0 0 0 0 1 0 1 0 1 1 1 0 1 1 0 0 0 0 1 0 0 0 0 1 0 1 0 1 0 0 1 0 \n    1 1 0 1 0 0 0 1 0 0]\n[0 0 0 0 0 0 0 0 0 0 0 0 0 0 0 0 0 0 0 0 0 0 0 0 0 0 0 0 0 1 0 0 0 0 0 0 0 0 0 0\n    0 0 0 0 0 0 0 0 0 1 0 0 0 1 0 0 0 0 0 0 0 1 0 1 0 0 1 1 0 0 0 0 0 1 1 1 0 0 \n    0 0 0 0 0 0 1 1 1 1]\n[0 0 0 0 0 0 0 0 0 0 0 0 0 0 0 0 0 0 0 0 0 0 0 0 0 0 0 0 0 0 1 0 0 0 0 0 0 0 0 0\n    0 0 0 0 0 0 0 0 0 0 0 0 0 0 1 0 1 1 0 1 1 0 1 0 0 0 0 0 0 1 1 0 1 1 1 0 0 1 \n    0 1 1 0 1 1 1 1 1 1]\n[0 0 0 0 0 0 0 0 0 0 0 0 0 0 0 0 0 0 0 0 0 0 0 0 0 0 0 0 0 0 0 1 0 0 0 0 0 0 0 0\n    0 0 0 0 0 0 0 0 0 1 1 1 0 0 0 0 0 1 1 0 1 0 0 0 1 1 1 0 1 1 1 1 0 1 1 1 1 0 \n    1 0 1 1 0 0 1 0 1 0]\n[0 0 0 0 0 0 0 0 0 0 0 0 0 0 0 0 0 0 0 0 0 0 0 0 0 0 0 0 0 0 0 0 1 0 0 0 0 0 0 0\n    0 0 0 0 0 0 0 0 0 1 1 0 1 0 0 1 1 1 1 0 1 0 0 1 0 0 0 0 0 1 0 1 0 1 1 0 1 0 \n    0 0 1 1 0 0 1 0 0 0]\n[0 0 0 0 0 0 0 0 0 0 0 0 0 0 0 0 0 0 0 0 0 0 0 0 0 0 0 0 0 0 0 0 0 1 0 0 0 0 0 0\n    0 0 0 0 0 0 0 0 0 0 1 1 0 1 0 0 1 1 1 1 0 1 0 0 1 0 0 0 0 0 1 0 1 0 1 1 0 1 \n    0 0 0 1 1 0 0 1 0 0]\n[0 0 0 0 0 0 0 0 0 0 0 0 0 0 0 0 0 0 0 0 0 0 0 0 0 0 0 0 0 0 0 0 0 0 1 0 0 0 0 0\n    0 0 0 0 0 0 0 0 0 0 0 1 1 0 1 0 0 1 1 1 1 0 1 0 0 1 0 0 0 0 0 1 0 1 0 1 1 0 \n    1 0 0 0 1 1 0 0 1 0]\n[0 0 0 0 0 0 0 0 0 0 0 0 0 0 0 0 0 0 0 0 0 0 0 0 0 0 0 0 0 0 0 0 0 0 0 1 0 0 0 0\n    0 0 0 0 0 0 0 0 0 0 0 0 1 1 0 1 0 0 1 1 1 1 0 1 0 0 1 0 0 0 0 0 1 0 1 0 1 1 \n    0 1 0 0 0 1 1 0 0 1]\n[0 0 0 0 0 0 0 0 0 0 0 0 0 0 0 0 0 0 0 0 0 0 0 0 0 0 0 0 0 0 0 0 0 0 0 0 1 0 0 0\n    0 0 0 0 0 0 0 0 0 0 1 0 0 1 1 0 0 1 0 0 0 1 1 0 0 0 0 0 1 1 1 0 1 0 0 0 1 0 \n    1 1 0 0 1 1 0 1 0 0]\n[0 0 0 0 0 0 0 0 0 0 0 0 0 0 0 0 0 0 0 0 0 0 0 0 0 0 0 0 0 0 0 0 0 0 0 0 0 1 0 0\n    0 0 0 0 0 0 0 0 0 1 0 0 0 0 1 0 1 1 1 1 1 1 1 0 0 1 1 1 0 1 0 1 1 0 0 1 0 0 \n    0 0 0 0 1 1 0 1 1 1]\n[0 0 0 0 0 0 0 0 0 0 0 0 0 0 0 0 0 0 0 0 0 0 0 0 0 0 0 0 0 0 0 0 0 0 0 0 0 0 1 0\n    0 0 0 0 0 0 0 0 0 0 0 0 0 0 0 1 1 0 1 0 0 1 1 1 1 0 1 0 0 1 0 0 0 0 0 1 0 1 \n    0 1 1 0 1 0 0 0 1 1]\n[0 0 0 0 0 0 0 0 0 0 0 0 0 0 0 0 0 0 0 0 0 0 0 0 0 0 0 0 0 0 0 0 0 0 0 0 0 0 0 1\n    0 0 0 0 0 0 0 0 0 1 1 1 0 0 0 1 1 1 0 1 0 1 1 0 0 0 1 1 1 1 1 0 0 0 0 0 0 0 \n    1 0 1 1 0 0 0 1 0 0]\n[0 0 0 0 0 0 0 0 0 0 0 0 0 0 0 0 0 0 0 0 0 0 0 0 0 0 0 0 0 0 0 0 0 0 0 0 0 0 0 0\n    1 0 0 0 0 0 0 0 0 1 1 0 1 0 0 1 0 0 1 1 0 1 1 0 0 1 1 0 1 1 0 1 1 1 0 1 0 1 \n    0 0 1 1 0 0 1 1 1 1]\n[0 0 0 0 0 0 0 0 0 0 0 0 0 0 0 0 0 0 0 0 0 0 0 0 0 0 0 0 0 0 0 0 0 0 0 0 0 0 0 0\n    0 1 0 0 0 0 0 0 0 0 0 1 0 1 0 0 0 1 0 0 0 0 1 1 1 0 1 0 1 0 0 0 0 0 1 1 0 1 \n    1 1 1 1 0 1 1 1 1 1]\n[0 0 0 0 0 0 0 0 0 0 0 0 0 0 0 0 0 0 0 0 0 0 0 0 0 0 0 0 0 0 0 0 0 0 0 0 0 0 0 0\n    0 0 1 0 0 0 0 0 0 1 1 1 1 0 1 1 0 0 1 0 0 1 0 0 0 0 1 1 1 0 0 0 0 0 0 1 0 0 \n    1 1 1 1 1 1 1 0 1 0]\n[0 0 0 0 0 0 0 0 0 0 0 0 0 0 0 0 0 0 0 0 0 0 0 0 0 0 0 0 0 0 0 0 0 0 0 0 0 0 0 0\n    0 0 0 1 0 0 0 0 0 1 1 0 1 1 0 0 0 1 0 0 1 1 1 1 0 1 1 0 1 1 1 0 1 1 0 1 1 1 \n    0 0 0 1 0 1 0 0 0 0]\n[0 0 0 0 0 0 0 0 0 0 0 0 0 0 0 0 0 0 0 0 0 0 0 0 0 0 0 0 0 0 0 0 0 0 0 0 0 0 0 0\n    0 0 0 0 1 0 0 0 0 0 1 1 0 1 1 0 0 0 1 0 0 1 1 1 1 0 1 1 0 1 1 1 0 1 1 0 1 1 \n    1 0 0 0 1 0 1 0 0 0]\n[0 0 0 0 0 0 0 0 0 0 0 0 0 0 0 0 0 0 0 0 0 0 0 0 0 0 0 0 0 0 0 0 0 0 0 0 0 0 0 0\n    0 0 0 0 0 1 0 0 0 0 0 1 1 0 1 1 0 0 0 1 0 0 1 1 1 1 0 1 1 0 1 1 1 0 1 1 0 1 \n    1 1 0 0 0 1 0 1 0 0]\n[0 0 0 0 0 0 0 0 0 0 0 0 0 0 0 0 0 0 0 0 0 0 0 0 0 0 0 0 0 0 0 0 0 0 0 0 0 0 0 0\n    0 0 0 0 0 0 1 0 0 0 0 0 1 1 0 1 1 0 0 0 1 0 0 1 1 1 1 0 1 1 0 1 1 1 0 1 1 0 \n    1 1 1 0 0 0 1 0 1 0]\n[0 0 0 0 0 0 0 0 0 0 0 0 0 0 0 0 0 0 0 0 0 0 0 0 0 0 0 0 0 0 0 0 0 0 0 0 0 0 0 0\n    0 0 0 0 0 0 0 1 0 0 0 0 0 1 1 0 1 1 0 0 0 1 0 0 1 1 1 1 0 1 1 0 1 1 1 0 1 1 \n    0 1 1 1 0 0 0 1 0 1]\n[0 0 0 0 0 0 0 0 0 0 0 0 0 0 0 0 0 0 0 0 0 0 0 0 0 0 0 0 0 0 0 0 0 0 0 0 0 0 0 0\n    0 0 0 0 0 0 0 0 1 0 1 0 0 0 1 1 1 0 1 1 1 0 1 0 1 1 1 0 0 1 0 1 1 0 1 0 1 0 \n    1 1 0 1 0 1 1 0 1 0]\nLinear Code over GF(2) of length 88 with 49 generators.\nLower Bound: 1, Upper Bound: 40\nConstructed 2 distinct generator matrices\nRelative Ranks:  49  39 \nTime Taken: 0.00\nStarting search for low weight codewords... (reset timings)\nEnumerating using 1 generator at a time:\n     New codeword identified of weight 24, time 0.00\n     New codeword identified of weight 21, time 0.00\n     New codeword identified of weight 18, time 0.00\n     New codeword identified of weight 14, time 0.00\n   Completed Matrix  1:  lower =  2, upper = 14. Elapsed: 0.00s\n   Completed Matrix  2:  lower =  2, upper = 14. Elapsed: 0.00s\nTermination predicted with 11 generators at matrix 2\nEnumerating using 2 generators at a time:\n     New codeword identified of weight 13, time 0.00\n   Completed Matrix  1:  lower =  3, upper = 13. Elapsed: 0.00s\n   Completed Matrix  2:  lower =  3, upper = 13. Elapsed: 0.00s\nTermination predicted with 11 generators at matrix 1\nEnumerating using 3 generators at a time:\n   Completed Matrix  1:  lower =  4, upper = 13. Elapsed: 0.00s\n   Completed Matrix  2:  lower =  4, upper = 13. Elapsed: 0.00s\nTermination predicted with 11 generators at matrix 1\nEnumerating using 4 generators at a time:\n   Completed Matrix  1:  lower =  5, upper = 13. Elapsed: 0.00s\n   Completed Matrix  2:  lower =  5, upper = 13. Elapsed: 0.00s\nTermination predicted with 11 generators at matrix 1\nEnumerating using 5 generators at a time:\n   Completed Matrix  1:  lower =  6, upper = 13. Elapsed: 0.01s\n   Completed Matrix  2:  lower =  6, upper = 13. Elapsed: 0.01s\nTermination predicted with 11 generators at matrix 1\nEnumerating using 6 generators at a time:\n   Completed Matrix  1:  lower =  7, upper = 13. Elapsed: 0.04s\n   Completed Matrix  2:  lower =  7, upper = 13. Elapsed: 0.06s\nTermination predicted with 11 generators at matrix 1\nEnumerating using 7 generators at a time:\n   Completed Matrix  1:  lower =  8, upper = 13. Elapsed: 0.24s\n   Completed Matrix  2:  lower =  8, upper = 13. Elapsed: 0.41s\nTermination predicted at 102 s (1m 42s) with 11 generators at matrix 1\nEnumerating using 8 generators at a time:\n   Completed Matrix  1:  lower =  9, upper = 13. Elapsed: 1.34s\n   Completed Matrix  2:  lower =  9, upper = 13. Elapsed: 2.28s\nTermination predicted at 105 s (1m 45s) with 11 generators at matrix 1\nEnumerating using 9 generators at a time:\n   Completed Matrix  1:  lower = 10, upper = 13. Elapsed: 6.73s\n   Completed Matrix  2:  lower = 10, upper = 13. Elapsed: 11.22s\nTermination predicted at 109 s (1m 49s) with 11 generators at matrix 1\nEnumerating using 10 generators at a time:\n   Completed Matrix  1:  lower = 11, upper = 13. Elapsed: 29.77s\n   Completed Matrix  2:  lower = 12, upper = 13. Elapsed: 48.39s\nTermination predicted at 114 s (1m 54s) with 11 generators at matrix 1\nEnumerating using 11 generators at a time:\n   Completed Matrix  1:  lower = 13, upper = 13. Elapsed: 116.67s\nComputation complete 50786474354 vectors enumerated in total\n (0.009021% of 88 49 code)\nFinal Results: lower = 13, upper = 13,\nTotal CPU time: 116.67, real time: 116.784\n13\n\nTotal time: 116.699 seconds, Total memory usage: 32.09MB\n</t>
  </si>
  <si>
    <t>[[89,32,21]]</t>
  </si>
  <si>
    <t>Magma V2.28-26    Tue Dec 30 2025 09:52:55 on Marks-MacBook-Air-2 [Seed = \n3622641378]\nType ? for help.  Type &lt;Ctrl&gt;-D to quit.\n[0 1 0 0 1 1 1 0 1 1 1 0 0 1 0 0 1 0 1 0 0 0 0 0 1 0 1 0 1 1 0 0 0 0 0 0 1 0 0 1\n    0 1 0 0 1 1 1 1 0 0 1 1 1 0 0 0 0 0 0 0 0 0 0 0 0 0 0 0 0 0 0 0 0 0 0 0 0 0 \n    0 0 0 0 0 0 0 0 0 0 0]\n[0 1 1 0 1 0 0 1 1 0 0 1 0 1 1 1 1 1 1 1 0 0 0 0 1 1 1 1 1 0 1 0 0 0 0 0 1 1 0 1\n    1 1 1 0 1 1 0 0 1 0 1 0 0 1 0 0 0 0 0 0 0 0 0 0 0 0 0 0 0 0 0 0 0 0 0 0 0 0 \n    0 0 0 0 0 0 0 0 0 0 0]\n[1 0 1 1 0 1 0 0 1 1 0 0 1 0 1 0 1 1 1 1 1 0 0 0 0 1 1 1 1 1 1 1 0 0 0 0 0 1 1 0\n    1 1 1 1 0 0 1 0 0 1 0 1 0 0 1 0 0 0 0 0 0 0 0 0 0 0 0 0 0 0 0 0 0 0 0 0 0 0 \n    0 0 0 0 0 0 0 0 0 0 0]\n[1 0 0 1 0 1 0 0 1 0 0 0 0 0 0 1 1 1 0 1 1 1 0 0 1 0 0 1 0 0 0 1 1 0 0 0 1 0 1 0\n    0 0 1 1 0 1 1 0 0 0 0 1 0 0 0 1 0 0 0 0 0 0 0 0 0 0 0 0 0 0 0 0 0 0 0 0 0 0 \n    0 0 0 0 0 0 0 0 0 0 0]\n[0 0 0 0 0 1 0 0 1 0 1 0 0 1 0 0 0 1 0 0 1 1 1 0 1 1 1 0 0 1 0 0 1 1 0 0 1 1 0 0\n    0 1 0 1 0 1 0 0 0 0 1 1 0 0 0 0 1 0 0 0 0 0 0 0 0 0 0 0 0 0 0 0 0 0 0 0 0 0 \n    0 0 0 0 0 0 0 0 0 0 0]\n[0 1 0 0 1 1 0 0 1 0 1 1 0 1 1 1 1 0 0 0 0 1 1 1 1 1 0 1 1 1 0 0 0 1 1 0 1 1 1 1\n    0 1 1 0 0 1 0 1 0 0 1 0 0 0 0 0 0 1 0 0 0 0 0 0 0 0 0 0 0 0 0 0 0 0 0 0 0 0 \n    0 0 0 0 0 0 0 0 0 0 0]\n[1 0 1 0 0 1 1 0 0 1 0 1 1 0 1 1 1 1 0 0 0 0 1 1 1 1 1 0 1 1 0 0 0 0 1 1 0 1 1 1\n    1 0 1 1 0 0 1 0 1 0 0 1 0 0 0 0 0 0 1 0 0 0 0 0 0 0 0 0 0 0 0 0 0 0 0 0 0 0 \n    0 0 0 0 0 0 0 0 0 0 0]\n[1 0 0 1 1 1 0 1 1 1 0 0 1 0 0 1 0 1 0 0 0 0 0 1 0 1 0 1 1 0 0 0 0 0 0 1 0 0 1 0\n    1 0 0 1 0 1 1 0 0 1 1 1 0 0 0 0 0 0 0 1 0 0 0 0 0 0 0 0 0 0 0 0 0 0 0 0 0 0 \n    0 0 0 0 0 0 0 0 0 0 0]\n[0 0 0 1 1 0 0 1 1 1 0 1 0 1 0 0 1 0 0 1 0 0 1 1 1 1 0 0 1 1 0 1 1 0 0 1 1 0 0 1\n    1 1 1 1 0 0 1 1 1 1 1 1 0 0 0 0 0 0 0 0 1 1 0 0 0 1 0 0 0 0 0 0 0 0 0 0 0 0 \n    0 0 0 0 0 0 0 0 0 0 0]\n[1 0 0 1 0 0 1 1 0 0 1 0 0 1 1 0 1 0 0 0 1 1 1 0 1 0 0 1 1 0 1 1 0 0 1 0 1 0 0 0\n    0 1 0 0 1 1 0 1 0 1 0 0 0 0 0 0 0 0 0 0 1 1 1 1 0 0 1 0 0 0 0 0 0 0 0 0 0 0 \n    0 0 0 0 0 0 0 0 0 0 0]\n[1 1 0 0 1 0 0 1 1 0 0 1 0 0 1 0 0 1 0 0 0 1 1 1 0 1 0 0 1 1 1 1 1 0 0 1 0 1 0 0\n    0 0 1 0 0 0 1 0 1 0 1 0 0 0 0 0 0 0 0 0 0 1 1 1 1 0 0 1 0 0 0 0 0 0 0 0 0 0 \n    0 0 0 0 0 0 0 0 0 0 0]\n[1 1 1 1 1 1 0 1 0 0 0 1 1 1 0 1 1 0 1 1 0 0 0 0 0 1 1 0 1 0 0 0 0 1 0 1 0 0 1 1\n    1 1 1 0 0 0 1 0 1 0 1 0 0 0 0 0 0 0 0 0 1 1 1 1 1 0 0 0 1 0 0 0 0 0 0 0 0 0 \n    0 0 0 0 0 0 0 0 0 0 0]\n[1 0 1 1 0 1 1 0 0 1 1 1 0 0 1 1 0 0 1 0 1 1 0 0 0 0 1 0 1 0 1 0 0 1 0 1 1 1 0 1\n    1 1 1 1 1 0 0 1 0 0 1 0 0 0 0 0 0 0 0 0 0 0 1 0 1 0 0 0 0 1 0 0 0 0 0 0 0 0 \n    0 0 0 0 0 0 0 0 0 0 0]\n[0 0 0 1 0 0 1 1 1 1 0 0 0 1 0 1 0 1 1 0 0 0 1 0 0 0 0 0 1 0 0 1 0 1 0 1 1 0 1 0\n    1 1 1 1 0 0 0 0 1 1 1 0 0 0 0 0 0 0 0 0 0 1 0 0 0 0 0 0 0 0 1 0 0 0 0 0 0 0 \n    0 0 0 0 0 0 0 0 0 0 0]\n[1 1 0 1 1 0 0 0 1 1 0 0 1 0 1 1 1 1 0 1 0 1 1 0 1 1 0 1 0 1 1 1 0 1 0 0 0 0 0 0\n    1 0 0 0 0 0 1 1 1 1 1 1 0 0 0 0 0 0 0 0 1 0 1 1 0 0 0 0 0 0 0 1 0 0 0 0 0 0 \n    0 0 0 0 0 0 0 0 0 0 0]\n[1 0 1 0 0 0 1 0 1 0 0 0 0 0 0 1 0 1 0 0 1 0 1 1 1 1 0 0 0 1 0 1 1 0 1 0 1 0 0 1\n    0 0 0 0 1 1 1 0 1 1 0 0 0 0 0 0 0 0 0 0 0 1 0 1 1 0 0 0 0 0 0 0 1 0 0 0 0 0 \n    0 0 0 0 0 0 0 0 0 0 0]\n[0 1 0 0 1 0 0 0 1 0 0 1 0 1 0 1 0 0 1 1 0 1 1 0 0 0 1 0 1 1 1 1 0 1 0 0 1 1 0 1\n    0 1 1 1 0 0 0 0 1 0 0 1 0 0 0 0 0 0 0 0 1 1 1 0 1 0 0 0 0 0 0 0 0 1 0 0 0 0 \n    0 0 0 0 0 0 0 0 0 0 0]\n[1 0 1 0 0 0 1 0 0 1 0 1 0 0 1 0 1 1 0 0 1 1 1 1 1 0 1 0 0 1 1 1 1 1 0 1 1 0 1 1\n    1 1 1 1 1 1 1 1 0 0 0 0 0 0 0 0 0 0 0 0 0 0 1 0 0 0 0 0 0 0 0 0 0 0 1 0 0 0 \n    0 0 0 0 0 0 0 0 0 0 0]\n[1 1 0 1 0 0 0 1 0 0 1 0 1 0 0 1 0 1 1 0 0 1 1 1 1 1 0 1 0 0 1 1 1 1 1 0 1 1 0 1\n    1 1 1 1 1 0 1 1 1 0 0 0 0 0 0 0 0 0 0 0 1 0 0 1 0 0 0 0 0 0 0 0 0 0 0 1 0 0 \n    0 0 0 0 0 0 0 0 0 0 0]\n[0 1 1 0 1 0 0 0 1 0 0 1 0 1 0 0 1 0 1 1 0 0 1 1 1 1 1 0 1 0 1 1 1 1 1 1 0 1 1 0\n    1 1 1 1 1 0 0 1 1 1 0 0 0 0 0 0 0 0 0 0 0 1 0 0 1 0 0 0 0 0 0 0 0 0 0 0 1 0 \n    0 0 0 0 0 0 0 0 0 0 0]\n[0 0 1 0 1 1 0 1 1 0 0 1 1 1 1 0 1 1 0 0 1 0 1 0 0 0 1 1 1 0 1 0 0 1 1 0 0 0 1 0\n    1 0 0 0 1 0 1 1 0 0 0 1 0 0 0 0 0 0 0 0 1 1 1 0 0 0 0 0 0 0 0 0 0 0 0 0 0 1 \n    0 0 0 0 0 0 0 0 0 0 0]\n[0 0 0 0 1 0 0 1 0 0 0 0 0 0 1 1 1 0 1 0 0 0 1 0 0 1 1 0 0 0 0 0 1 1 0 1 0 1 0 1\n    1 1 1 1 0 1 0 1 0 0 1 1 0 0 0 0 0 0 0 0 1 1 1 0 0 0 0 0 0 0 0 0 0 0 0 0 0 0 \n    1 0 0 0 0 0 0 0 0 0 0]\n[1 1 0 0 1 0 1 0 0 1 1 0 0 1 0 0 0 1 1 1 0 0 0 1 1 0 0 1 1 1 0 0 0 1 1 0 0 0 1 1\n    1 0 1 1 0 1 0 1 1 0 1 0 0 0 0 0 0 0 0 0 0 1 1 1 0 0 0 0 0 0 0 0 0 0 0 0 0 0 \n    0 1 0 0 0 0 0 0 0 0 0]\n[0 1 1 0 0 1 0 1 0 0 1 1 0 0 1 1 0 0 1 1 1 0 0 0 1 1 0 0 1 1 0 0 0 0 1 1 0 0 0 1\n    1 1 0 1 1 0 1 0 1 1 0 1 0 0 0 0 0 0 0 0 0 0 1 1 1 0 0 0 0 0 0 0 0 0 0 0 0 0 \n    0 0 1 0 0 0 0 0 0 0 0]\n[1 1 1 0 0 1 0 1 1 0 1 0 1 0 0 1 1 0 1 0 1 1 1 1 0 0 0 0 0 1 1 1 1 0 0 0 1 0 0 0\n    0 1 0 1 0 1 0 1 1 0 1 0 0 0 0 0 0 0 0 0 1 1 0 1 1 0 0 0 0 0 0 0 0 0 0 0 0 0 \n    0 0 0 1 0 0 0 0 0 0 0]\n[1 0 1 1 1 0 1 0 0 0 1 0 1 0 0 0 0 0 1 0 0 0 1 1 1 0 0 1 1 1 1 1 1 0 1 1 0 0 0 0\n    0 0 1 0 0 0 1 0 1 0 1 0 0 0 0 0 0 0 0 0 0 0 1 1 1 0 0 0 0 0 0 0 0 0 0 0 0 0 \n    0 0 0 0 1 0 0 0 0 0 0]\n[1 0 0 1 0 1 0 1 1 1 1 0 1 0 0 0 1 1 1 0 0 1 0 1 1 1 0 1 0 0 1 1 1 0 1 0 1 1 0 0\n    0 0 0 1 1 0 0 1 0 0 1 0 0 0 0 0 0 0 0 0 0 1 0 0 1 0 0 0 0 0 0 0 0 0 0 0 0 0 \n    0 0 0 0 0 1 0 0 0 0 0]\n[1 0 0 0 0 0 1 0 0 0 0 0 1 0 0 1 1 0 0 0 0 1 1 0 1 1 1 1 0 1 0 1 1 0 1 0 0 0 1 0\n    0 0 0 0 0 0 0 0 1 1 1 0 0 0 0 0 0 0 0 0 0 1 1 1 0 0 0 0 0 0 0 0 0 0 0 0 0 0 \n    0 0 0 0 0 0 1 0 0 0 0]\n[1 0 0 1 0 0 0 0 0 0 1 0 1 1 0 0 1 0 1 0 0 1 0 0 1 0 1 0 1 0 1 1 0 0 1 1 1 1 0 0\n    1 1 1 1 1 0 1 1 1 1 1 1 0 0 0 0 0 0 0 0 1 0 1 0 1 0 0 0 0 0 0 0 0 0 0 0 0 0 \n    0 0 0 0 0 0 0 1 0 0 0]\n[0 0 0 1 1 1 1 1 0 0 1 0 0 1 1 0 0 1 1 0 0 0 0 1 0 0 1 1 0 1 1 0 0 0 0 0 1 1 1 0\n    1 1 0 0 0 1 0 1 0 0 1 1 0 0 0 0 0 0 0 0 1 0 0 1 0 0 0 0 0 0 0 0 0 0 0 0 0 0 \n    0 0 0 0 0 0 0 0 1 0 0]\n[0 0 0 1 0 0 0 0 0 1 0 1 1 1 1 0 1 1 1 1 0 1 1 1 1 1 1 0 0 1 1 0 1 1 1 0 0 0 1 1\n    1 1 0 1 0 1 1 0 0 0 1 0 0 0 0 0 0 0 0 0 1 1 0 1 1 0 0 0 0 0 0 0 0 0 0 0 0 0 \n    0 0 0 0 0 0 0 0 0 1 0]\n[1 0 0 1 0 0 0 1 1 1 1 1 1 0 1 1 1 1 1 0 1 0 0 0 0 0 1 1 1 1 0 0 1 1 1 0 1 0 0 0\n    0 0 0 1 1 0 0 0 1 1 1 0 0 0 0 0 0 0 0 0 1 0 1 0 1 0 0 0 0 0 0 0 0 0 0 0 0 0 \n    0 0 0 0 0 0 0 0 0 0 1]\n[89, 32] Linear Code over GF(2)\nGenerator matrix:\n[1 0 0 0 0 0 0 0 0 0 0 0 0 0 0 0 0 0 0 0 0 0 0 0 0 0 0 0 1 0 0 0 0 0 0 0 1 1 0 0\n    1 0 1 0 0 1 0 0 0 1 1 1 0 1 0 0 1 1 0 0 1 0 1 1 1 1 1 0 0 1 0 0 1 0 1 1 1 1 \n    0 1 1 0 1 0 1 0 1 1 1]\n[0 1 0 0 0 0 0 0 0 0 0 0 0 0 0 0 0 0 0 0 0 0 0 0 0 0 0 0 0 1 0 0 0 0 0 0 0 1 1 0\n    0 1 0 1 0 0 1 0 0 0 1 1 1 0 1 0 0 1 1 0 1 1 0 1 1 1 1 1 0 0 1 0 0 1 0 0 1 1 \n    1 0 1 1 0 1 0 1 0 1 1]\n[0 0 1 0 0 0 0 0 0 0 0 0 0 0 0 0 0 0 0 0 0 0 0 0 0 0 0 0 1 1 0 0 0 0 0 0 0 1 0 1\n    1 1 0 1 0 1 0 1 0 0 0 0 0 1 1 1 0 0 1 0 0 1 0 0 1 1 0 1 1 1 1 1 0 1 0 0 0 0 \n    0 0 0 1 1 1 1 1 1 1 0]\n[0 0 0 1 0 0 0 0 0 0 0 0 0 0 0 0 0 0 0 0 0 0 0 0 0 0 0 0 1 0 0 0 0 0 0 0 0 1 0 0\n    0 0 0 1 0 1 1 0 1 0 0 1 1 0 0 1 1 0 0 0 0 0 0 0 0 1 0 0 1 0 0 1 1 1 0 1 0 1 \n    1 1 0 0 1 0 1 0 1 0 0]\n[0 0 0 0 1 0 0 0 0 0 0 0 0 0 0 0 0 0 0 0 0 0 0 0 0 0 0 0 0 1 0 0 0 0 0 0 0 0 1 0\n    0 0 0 0 1 0 1 1 0 1 0 0 1 1 0 0 1 1 0 0 0 0 0 0 0 0 1 0 0 1 0 0 1 1 1 1 1 0 \n    1 1 1 0 0 1 0 1 0 1 0]\n[0 0 0 0 0 1 0 0 0 0 0 0 0 0 0 0 0 0 0 0 0 0 0 0 0 0 0 0 1 1 0 0 0 0 1 1 1 0 1 0\n    1 0 0 1 1 1 0 1 0 1 0 0 1 0 0 1 1 1 1 0 1 1 0 1 1 0 0 1 1 0 0 0 1 0 0 0 1 1 \n    0 0 1 0 0 1 1 0 0 0 1]\n[0 0 0 0 0 0 1 0 0 0 0 0 0 0 0 0 0 0 0 0 0 0 0 0 0 0 0 0 1 0 0 0 0 0 1 0 0 1 1 0\n    1 1 0 1 0 1 1 0 0 1 0 0 1 0 1 1 0 1 1 1 0 0 1 1 0 1 0 0 0 1 1 0 1 0 1 1 0 1 \n    1 1 0 0 0 1 1 1 1 0 0]\n[0 0 0 0 0 0 0 1 0 0 0 0 0 0 0 0 0 0 0 0 0 0 0 0 0 0 0 0 0 1 0 0 0 0 0 1 0 0 1 1\n    0 1 1 0 1 1 1 1 0 0 1 0 0 1 0 1 1 0 1 1 1 0 0 1 1 0 1 0 0 0 1 1 0 1 0 0 1 0 \n    1 1 1 0 0 0 1 1 1 1 0]\n[0 0 0 0 0 0 0 0 1 0 0 0 0 0 0 0 0 0 0 0 0 0 0 0 0 0 0 0 1 1 0 0 0 0 1 1 0 0 1 0\n    0 0 1 0 1 0 1 1 0 1 1 1 1 1 0 1 0 1 0 1 0 0 0 1 0 1 0 1 1 0 1 1 0 1 0 0 0 1 \n    0 0 1 0 0 1 0 1 0 1 1]\n[0 0 0 0 0 0 0 0 0 1 0 0 0 0 0 0 0 0 0 0 0 0 0 0 0 0 0 0 1 0 0 0 0 0 1 0 0 0 1 0\n    1 0 0 0 1 0 0 1 0 1 0 1 0 0 0 1 0 0 1 0 0 1 0 1 0 0 1 0 0 1 1 1 0 1 0 1 0 0 \n    1 1 0 0 0 1 1 0 0 0 1]\n[0 0 0 0 0 0 0 0 0 0 1 0 0 0 0 0 0 0 0 0 0 0 0 0 0 0 0 0 0 1 0 0 0 0 1 0 1 1 0 0\n    0 0 1 0 0 0 0 0 0 1 0 1 1 1 0 1 0 0 0 0 0 1 0 1 0 0 1 1 1 1 1 1 0 0 1 1 1 1 \n    1 1 1 1 0 0 1 0 1 1 1]\n[0 0 0 0 0 0 0 0 0 0 0 1 0 0 0 0 0 0 0 0 0 0 0 0 0 0 0 0 1 1 0 0 0 0 0 1 0 0 0 0\n    1 1 1 0 1 1 0 0 0 0 1 1 0 1 0 0 1 0 0 1 1 0 0 0 1 0 1 1 1 0 0 1 1 1 1 0 1 0 \n    0 0 1 1 1 1 0 0 0 0 0]\n[0 0 0 0 0 0 0 0 0 0 0 0 1 0 0 0 0 0 0 0 0 0 0 0 0 0 0 0 1 0 0 0 0 0 1 1 0 0 1 1\n    1 1 1 0 1 0 1 0 1 1 1 1 0 1 0 1 1 1 0 0 1 0 0 1 1 1 0 1 0 1 1 0 0 0 0 0 0 1 \n    0 1 0 0 1 0 1 0 1 0 0]\n[0 0 0 0 0 0 0 0 0 0 0 0 0 1 0 0 0 0 0 0 0 0 0 0 0 0 0 0 0 1 0 0 0 0 1 0 0 1 0 0\n    1 0 0 1 0 0 0 1 1 0 0 0 1 1 1 1 0 1 1 1 0 0 1 1 0 1 0 0 0 1 1 1 1 0 0 0 0 1 \n    0 0 1 1 0 1 0 0 1 0 1]\n[0 0 0 0 0 0 0 0 0 0 0 0 0 0 1 0 0 0 0 0 0 0 0 0 0 0 0 0 1 1 0 0 0 0 0 1 0 1 0 0\n    1 0 1 1 0 0 0 0 1 1 0 1 1 1 0 1 1 0 1 0 0 0 1 1 1 0 0 0 0 1 0 1 1 0 1 1 0 1 \n    0 1 0 1 1 1 1 1 0 0 1]\n[0 0 0 0 0 0 0 0 0 0 0 0 0 0 0 1 0 0 0 0 0 0 0 0 0 0 0 0 1 1 0 0 0 0 0 0 0 1 1 0\n    1 1 1 1 1 1 0 0 0 0 0 1 1 0 1 0 0 0 0 1 0 0 1 0 0 0 1 0 0 1 1 0 0 1 1 1 0 1 \n    1 1 0 0 0 1 0 1 0 1 1]\n[0 0 0 0 0 0 0 0 0 0 0 0 0 0 0 0 1 0 0 0 0 0 0 0 0 0 0 0 1 0 0 0 0 0 1 1 1 0 0 0\n    1 1 1 0 0 0 1 0 1 1 1 0 0 0 1 0 1 0 0 0 1 1 0 0 1 0 0 1 1 0 0 1 1 1 0 1 1 0 \n    1 0 1 1 0 1 1 0 0 0 1]\n[0 0 0 0 0 0 0 0 0 0 0 0 0 0 0 0 0 1 0 0 0 0 0 0 0 0 0 0 0 1 0 0 0 0 0 1 1 1 0 0\n    0 1 1 1 0 0 0 1 0 1 1 1 0 0 0 1 0 1 0 0 0 1 1 0 0 1 0 0 1 1 0 0 1 1 1 0 1 1 \n    0 1 0 1 1 0 1 1 0 0 0]\n[0 0 0 0 0 0 0 0 0 0 0 0 0 0 0 0 0 0 1 0 0 0 0 0 0 0 0 0 1 1 0 0 0 0 0 0 1 0 0 0\n    1 1 0 0 0 1 0 0 1 0 1 0 0 0 1 0 1 0 1 1 1 0 0 1 0 0 0 0 0 0 0 0 0 0 0 0 0 0 \n    0 1 1 0 1 0 0 0 1 1 1]\n[0 0 0 0 0 0 0 0 0 0 0 0 0 0 0 0 0 0 0 1 0 0 0 0 0 0 0 0 1 0 0 0 0 0 0 0 0 0 1 0\n    1 0 0 1 1 0 1 0 0 1 0 0 1 0 1 1 0 1 0 0 0 1 1 0 1 0 1 0 0 1 1 0 0 1 1 0 0 1 \n    1 1 1 1 0 0 0 1 0 0 0]\n[0 0 0 0 0 0 0 0 0 0 0 0 0 0 0 0 0 0 0 0 1 0 0 0 0 0 0 0 0 1 0 0 0 0 1 1 1 1 0 0\n    0 0 1 0 1 0 0 1 1 1 0 1 0 0 0 0 0 0 1 1 1 1 0 0 1 1 1 1 1 1 1 1 1 0 1 1 0 1 \n    0 1 1 0 1 0 0 1 0 1 1]\n[0 0 0 0 0 0 0 0 0 0 0 0 0 0 0 0 0 0 0 0 0 1 0 0 0 0 0 0 1 1 0 0 0 0 1 0 0 1 0 1\n    1 0 0 0 1 0 0 0 0 0 0 0 0 1 1 1 1 0 0 1 1 0 1 1 1 1 1 1 0 1 0 1 0 0 1 0 1 0 \n    1 1 1 0 0 0 0 0 0 0 1]\n[0 0 0 0 0 0 0 0 0 0 0 0 0 0 0 0 0 0 0 0 0 0 1 0 0 0 0 0 1 0 0 0 0 0 1 0 1 0 0 1\n    0 1 0 1 1 0 0 0 1 1 1 0 1 1 0 0 0 1 0 0 1 0 0 0 0 1 1 1 0 0 0 0 0 1 1 0 0 1 \n    0 0 1 0 0 1 0 0 1 0 0]\n[0 0 0 0 0 0 0 0 0 0 0 0 0 0 0 0 0 0 0 0 0 0 0 1 0 0 0 0 0 1 0 0 0 0 1 0 1 0 0 1\n    1 1 0 0 1 0 0 0 1 0 0 0 0 0 1 1 1 0 1 1 1 0 1 1 1 0 0 1 0 1 0 0 1 0 1 1 0 1 \n    0 0 0 0 0 0 1 1 1 0 1]\n[0 0 0 0 0 0 0 0 0 0 0 0 0 0 0 0 0 0 0 0 0 0 0 0 1 0 0 0 1 1 0 0 0 0 1 0 1 1 1 1\n    0 1 1 1 1 0 0 0 1 0 1 0 1 1 1 0 0 1 0 1 1 0 0 0 0 1 0 0 0 0 0 0 1 0 1 0 1 0 \n    1 1 0 1 0 1 0 1 0 1 0]\n[0 0 0 0 0 0 0 0 0 0 0 0 0 0 0 0 0 0 0 0 0 0 0 0 0 1 0 0 1 0 0 0 0 0 1 0 1 1 0 0\n    0 0 1 0 0 0 0 0 1 0 1 1 1 0 0 0 1 0 1 0 1 0 0 1 1 0 1 0 1 0 1 0 1 0 1 0 0 1 \n    0 0 1 1 1 1 1 0 0 0 1]\n[0 0 0 0 0 0 0 0 0 0 0 0 0 0 0 0 0 0 0 0 0 0 0 0 0 0 1 0 0 1 0 0 0 0 0 1 0 1 1 0\n    0 0 0 1 0 0 0 0 0 1 0 1 1 1 0 0 0 1 0 1 1 1 0 0 1 1 0 1 0 1 0 1 0 1 0 1 0 0 \n    1 0 0 1 1 1 1 1 0 0 0]\n[0 0 0 0 0 0 0 0 0 0 0 0 0 0 0 0 0 0 0 0 0 0 0 0 0 0 0 1 1 1 0 0 0 0 0 0 1 1 0 1\n    1 1 1 1 0 0 0 0 0 0 1 1 0 1 0 0 0 0 1 1 0 1 0 0 0 1 0 0 1 1 0 0 1 1 0 0 1 1 \n    1 0 0 0 1 0 1 0 1 1 1]\n[0 0 0 0 0 0 0 0 0 0 0 0 0 0 0 0 0 0 0 0 0 0 0 0 0 0 0 0 0 0 1 0 0 0 1 1 1 1 0 1\n    0 1 1 0 0 0 0 0 1 1 1 1 0 1 0 1 1 0 0 1 0 1 1 1 1 0 1 0 1 1 0 0 1 0 0 1 0 1 \n    1 0 0 1 0 0 0 1 1 1 1]\n[0 0 0 0 0 0 0 0 0 0 0 0 0 0 0 0 0 0 0 0 0 0 0 0 0 0 0 0 0 0 0 1 0 0 0 1 1 1 1 0\n    1 0 1 1 0 1 0 0 0 1 1 1 1 0 1 0 1 1 0 0 0 0 1 1 1 1 0 1 0 1 1 0 0 1 0 0 1 0 \n    1 1 0 0 1 0 0 0 1 1 1]\n[0 0 0 0 0 0 0 0 0 0 0 0 0 0 0 0 0 0 0 0 0 0 0 0 0 0 0 0 0 0 0 0 1 0 0 0 1 1 1 1\n    0 1 0 1 1 0 1 0 0 0 1 1 1 1 0 1 0 1 1 0 0 0 0 1 1 1 1 0 1 0 1 1 0 0 1 1 0 1 \n    0 1 1 0 0 1 0 0 0 1 1]\n[0 0 0 0 0 0 0 0 0 0 0 0 0 0 0 0 0 0 0 0 0 0 0 0 0 0 0 0 0 0 0 0 0 1 1 1 1 0 1 0\n    1 1 0 0 1 0 0 1 1 1 1 0 1 0 1 1 0 0 1 0 1 1 1 1 0 1 0 1 1 0 0 1 0 0 0 0 1 1 \n    0 0 1 0 0 0 1 1 1 1 0]\nLinear Code over GF(2) of length 89 with 32 generators.\nLower Bound: 1, Upper Bound: 58\nConstructed 3 distinct generator matrices\nRelative Ranks:  32  32  25 \nTime Taken: 0.00\nStarting search for low weight codewords... (reset timings)\nEnumerating using 1 generator at a time:\n     New codeword identified of weight 32, time 0.00\n     New codeword identified of weight 31, time 0.00\n     New codeword identified of weight 30, time 0.00\n     New codeword identified of weight 23, time 0.00\n     New codeword identified of weight 21, time 0.00\n   Completed Matrix  1:  lower =  3, upper = 21. Elapsed: 0.00s\n   Completed Matrix  2:  lower =  4, upper = 21. Elapsed: 0.00s\n   Completed Matrix  3:  lower =  4, upper = 21. Elapsed: 0.00s\nTermination predicted with 9 generators at matrix 1\nEnumerating using 2 generators at a time:\n   Completed Matrix  1:  lower =  5, upper = 21. Elapsed: 0.00s\n   Completed Matrix  2:  lower =  6, upper = 21. Elapsed: 0.00s\n   Completed Matrix  3:  lower =  6, upper = 21. Elapsed: 0.00s\nTermination predicted with 9 generators at matrix 1\nEnumerating using 3 generators at a time:\n   Completed Matrix  1:  lower =  7, upper = 21. Elapsed: 0.00s\n   Completed Matrix  2:  lower =  8, upper = 21. Elapsed: 0.00s\n   Completed Matrix  3:  lower =  8, upper = 21. Elapsed: 0.00s\nTermination predicted with 9 generators at matrix 1\nEnumerating using 4 generators at a time:\n   Completed Matrix  1:  lower =  9, upper = 21. Elapsed: 0.00s\n   Completed Matrix  2:  lower = 10, upper = 21. Elapsed: 0.00s\n   Completed Matrix  3:  lower = 10, upper = 21. Elapsed: 0.00s\nTermination predicted with 9 generators at matrix 1\nEnumerating using 5 generators at a time:\n   Completed Matrix  1:  lower = 11, upper = 21. Elapsed: 0.00s\n   Completed Matrix  2:  lower = 12, upper = 21. Elapsed: 0.00s\n   Completed Matrix  3:  lower = 12, upper = 21. Elapsed: 0.00s\nTermination predicted with 9 generators at matrix 1\nEnumerating using 6 generators at a time:\n   Completed Matrix  1:  lower = 13, upper = 21. Elapsed: 0.00s\n   Completed Matrix  2:  lower = 14, upper = 21. Elapsed: 0.01s\n   Completed Matrix  3:  lower = 14, upper = 21. Elapsed: 0.01s\nTermination predicted with 9 generators at matrix 1\nEnumerating using 7 generators at a time:\n   Completed Matrix  1:  lower = 15, upper = 21. Elapsed: 0.02s\n   Completed Matrix  2:  lower = 16, upper = 21. Elapsed: 0.02s\n   Completed Matrix  3:  lower = 17, upper = 21. Elapsed: 0.03s\nTermination predicted with 9 generators at matrix 1\nEnumerating using 8 generators at a time:\n   Completed Matrix  1:  lower = 18, upper = 21. Elapsed: 0.06s\n   Completed Matrix  2:  lower = 19, upper = 21. Elapsed: 0.08s\n   Completed Matrix  3:  lower = 20, upper = 21. Elapsed: 0.11s\nTermination predicted with 9 generators at matrix 1\nEnumerating using 9 generators at a time:\n   Completed Matrix  1:  lower = 21, upper = 21. Elapsed: 0.18s\nComputation complete 73148316 vectors enumerated in total\n (1.703117% of 89 32 code)\nFinal Results: lower = 21, upper = 21,\nTotal CPU time: 0.18, real time: 0.185\n21\n\nTotal time: 0.199 seconds, Total memory usage: 32.09MB\n</t>
  </si>
  <si>
    <t>[[90,33,21]]</t>
  </si>
  <si>
    <t>Magma V2.28-26    Tue Dec 30 2025 09:52:55 on Marks-MacBook-Air-2 [Seed = \n3655536876]\nType ? for help.  Type &lt;Ctrl&gt;-D to quit.\n[1 1 1 1 1 1 1 1 1 1 1 1 1 1 1 1 1 1 1 1 1 1 1 1 1 1 1 1 1 1 1 1 1 1 1 1 1 1 1 1\n    1 1 1 1 1 0 0 0 0 0 0 0 0 0 0 0 0 0 0 0 0 0 0 0 0 0 0 0 0 0 0 0 0 0 0 0 0 0 \n    0 0 0 0 0 0 0 0 0 0 0 0]\n[1 0 1 1 0 0 0 1 0 0 0 1 1 0 1 1 0 1 0 1 1 1 1 1 0 1 0 1 0 0 1 1 1 1 1 1 0 1 1 0\n    1 0 1 1 0 1 1 1 0 0 1 1 1 0 0 0 0 0 0 0 0 0 0 0 0 0 0 0 0 0 0 0 0 0 0 0 0 0 \n    0 0 0 0 0 0 0 0 0 0 0 0]\n[1 0 0 1 0 1 1 0 0 1 1 0 1 0 0 0 0 0 0 0 1 1 1 1 0 0 0 0 0 1 0 1 1 1 1 1 0 0 1 0\n    0 0 0 1 0 1 0 0 1 0 1 0 0 1 0 0 0 0 0 0 0 0 0 0 0 0 0 0 0 0 0 0 0 0 0 0 0 0 \n    0 0 0 0 0 0 0 0 0 0 0 0]\n[1 0 1 1 0 1 0 0 1 1 0 0 1 0 1 0 1 1 1 1 1 0 0 0 0 1 1 1 1 1 1 1 0 0 0 0 0 1 1 0\n    1 1 1 1 0 0 1 0 0 1 0 1 0 0 1 0 0 0 0 0 0 0 0 0 0 0 0 0 0 0 0 0 0 0 0 0 0 0 \n    0 0 0 0 0 0 0 0 0 0 0 0]\n[1 0 0 1 0 1 0 0 1 0 0 0 0 0 0 1 1 1 0 1 1 1 0 0 1 0 0 1 0 0 0 1 1 0 0 0 1 0 1 0\n    0 0 1 1 0 1 1 0 0 0 0 1 0 0 0 1 0 0 0 0 0 0 0 0 0 0 0 0 0 0 0 0 0 0 0 0 0 0 \n    0 0 0 0 0 0 0 0 0 0 0 0]\n[0 0 0 0 0 1 0 0 1 0 1 0 0 1 0 0 0 1 0 0 1 1 1 0 1 1 1 0 0 1 0 0 1 1 0 0 1 1 0 0\n    0 1 0 1 0 1 0 0 0 0 1 1 0 0 0 0 1 0 0 0 0 0 0 0 0 0 0 0 0 0 0 0 0 0 0 0 0 0 \n    0 0 0 0 0 0 0 0 0 0 0 0]\n[0 1 0 0 1 1 0 0 1 0 1 1 0 1 1 1 1 0 0 0 0 1 1 1 1 1 0 1 1 1 0 0 0 1 1 0 1 1 1 1\n    0 1 1 0 0 1 0 1 0 0 1 0 0 0 0 0 0 1 0 0 0 0 0 0 0 0 0 0 0 0 0 0 0 0 0 0 0 0 \n    0 0 0 0 0 0 0 0 0 0 0 0]\n[1 0 1 0 0 1 1 0 0 1 0 1 1 0 1 1 1 1 0 0 0 0 1 1 1 1 1 0 1 1 0 0 0 0 1 1 0 1 1 1\n    1 0 1 1 0 0 1 0 1 0 0 1 0 0 0 0 0 0 1 0 0 0 0 0 0 0 0 0 0 0 0 0 0 0 0 0 0 0 \n    0 0 0 0 0 0 0 0 0 0 0 0]\n[1 0 0 1 1 1 0 1 1 1 0 0 1 0 0 1 0 1 0 0 0 0 0 1 0 1 0 1 1 0 0 0 0 0 0 1 0 0 1 0\n    1 0 0 1 0 1 1 0 0 1 1 1 0 0 0 0 0 0 0 1 0 0 0 0 0 0 0 0 0 0 0 0 0 0 0 0 0 0 \n    0 0 0 0 0 0 0 0 0 0 0 0]\n[0 1 1 0 1 1 0 0 1 1 0 1 1 0 0 1 0 1 1 1 0 0 0 1 0 1 1 0 0 1 0 0 1 1 0 1 0 1 1 1\n    1 0 1 1 0 1 0 1 0 1 0 0 0 0 0 0 0 0 0 0 1 1 1 1 0 0 1 0 0 0 0 0 0 0 0 0 0 0 \n    0 0 0 0 0 0 0 0 0 0 0 0]\n[1 1 0 0 1 0 0 1 1 0 0 1 0 0 1 0 0 1 0 0 0 1 1 1 0 1 0 0 1 1 1 1 1 0 0 1 0 1 0 0\n    0 0 1 0 0 0 1 0 1 0 1 0 0 0 0 0 0 0 0 0 0 1 1 1 1 0 0 1 0 0 0 0 0 0 0 0 0 0 \n    0 0 0 0 0 0 0 0 0 0 0 0]\n[1 1 1 0 0 1 0 0 1 1 0 0 1 0 0 1 0 0 1 0 0 0 1 1 1 0 1 0 0 1 0 1 1 1 0 0 1 0 1 0\n    0 0 0 1 0 0 0 1 0 1 0 1 0 0 0 0 0 0 0 0 0 0 1 1 1 1 0 0 1 0 0 0 0 0 0 0 0 0 \n    0 0 0 0 0 0 0 0 0 0 0 0]\n[0 1 0 1 0 0 0 0 0 1 0 1 1 0 0 0 0 1 0 0 0 0 0 0 0 0 0 1 1 0 0 0 0 0 1 1 1 0 1 1\n    1 1 1 1 0 0 1 0 1 1 0 1 0 0 0 0 0 0 0 0 1 1 1 0 1 1 0 0 0 1 0 0 0 0 0 0 0 0 \n    0 0 0 0 0 0 0 0 0 0 0 0]\n[0 0 0 0 1 0 1 0 0 0 0 1 0 0 0 1 1 1 1 1 0 0 0 1 1 1 0 0 0 1 0 0 1 1 0 0 0 0 1 1\n    0 0 0 0 0 0 1 1 0 0 0 1 0 0 0 0 0 0 0 0 1 0 0 0 0 1 0 0 0 0 1 0 0 0 0 0 0 0 \n    0 0 0 0 0 0 0 0 0 0 0 0]\n[1 1 0 1 1 0 0 0 1 1 0 0 1 0 1 1 1 1 0 1 0 1 1 0 1 1 0 1 0 1 1 1 0 1 0 0 0 0 0 0\n    1 0 0 0 0 0 1 1 1 1 1 1 0 0 0 0 0 0 0 0 1 0 1 1 0 0 0 0 0 0 0 1 0 0 0 0 0 0 \n    0 0 0 0 0 0 0 0 0 0 0 0]\n[0 1 0 1 1 1 0 1 0 1 1 1 1 1 1 0 1 0 1 1 0 1 0 0 0 0 1 1 1 0 1 0 0 1 0 1 0 1 1 0\n    1 1 1 1 0 1 1 0 1 1 0 0 0 0 0 0 0 0 0 0 0 1 0 1 1 0 0 0 0 0 0 0 1 0 0 0 0 0 \n    0 0 0 0 0 0 0 0 0 0 0 0]\n[0 1 0 1 0 0 0 1 0 1 0 0 0 0 0 1 1 0 1 0 0 1 0 1 1 1 1 0 0 0 1 0 1 1 0 1 0 1 0 0\n    1 0 0 0 0 0 1 1 0 1 1 0 0 0 0 0 0 0 0 0 0 0 1 0 1 1 0 0 0 0 0 0 0 1 0 0 0 0 \n    0 0 0 0 0 0 0 0 0 0 0 0]\n[0 1 0 0 0 1 0 0 0 1 1 1 1 0 0 1 1 0 1 0 0 0 1 1 1 0 0 1 0 1 0 1 1 0 1 1 1 1 0 1\n    1 1 1 1 0 1 0 0 1 1 1 1 0 0 0 0 0 0 0 0 1 1 1 0 0 1 0 0 0 0 0 0 0 0 1 0 0 0 \n    0 0 0 0 0 0 0 0 0 0 0 0]\n[0 0 1 0 1 1 1 0 1 1 0 1 0 1 1 0 1 0 0 1 1 0 0 0 0 0 1 0 1 1 0 0 0 0 0 1 0 0 1 0\n    0 0 0 0 0 0 1 1 1 0 0 0 0 0 0 0 0 0 0 0 1 0 0 1 0 0 0 0 0 0 0 0 0 0 0 1 0 0 \n    0 0 0 0 0 0 0 0 0 0 0 0]\n[1 0 0 1 0 1 1 1 0 1 1 0 1 0 1 1 0 1 0 0 1 1 0 0 0 0 0 1 0 1 0 0 0 0 0 0 1 0 0 1\n    0 0 0 0 0 0 0 1 1 1 0 0 0 0 0 0 0 0 0 0 0 1 0 0 1 0 0 0 0 0 0 0 0 0 0 0 1 0 \n    0 0 0 0 0 0 0 0 0 0 0 0]\n[1 1 0 0 1 0 1 1 1 0 1 1 0 1 0 1 1 0 1 0 0 1 1 0 0 0 0 0 1 0 0 0 0 0 0 0 0 1 0 0\n    1 0 0 0 0 0 0 0 1 1 1 0 0 0 0 0 0 0 0 0 0 0 1 0 0 1 0 0 0 0 0 0 0 0 0 0 0 1 \n    0 0 0 0 0 0 0 0 0 0 0 0]\n[0 0 0 0 1 0 0 1 0 0 0 0 0 0 1 1 1 0 1 0 0 0 1 0 0 1 1 0 0 0 0 0 1 1 0 1 0 1 0 1\n    1 1 1 1 0 1 0 1 0 0 1 1 0 0 0 0 0 0 0 0 1 1 1 0 0 0 0 0 0 0 0 0 0 0 0 0 0 0 \n    1 0 0 0 0 0 0 0 0 0 0 0]\n[1 1 0 0 1 0 1 0 0 1 1 0 0 1 0 0 0 1 1 1 0 0 0 1 1 0 0 1 1 1 0 0 0 1 1 0 0 0 1 1\n    1 0 1 1 0 1 0 1 1 0 1 0 0 0 0 0 0 0 0 0 0 1 1 1 0 0 0 0 0 0 0 0 0 0 0 0 0 0 \n    0 1 0 0 0 0 0 0 0 0 0 0]\n[1 0 0 1 1 0 1 0 1 1 0 0 1 1 0 0 1 1 0 0 0 1 1 1 0 0 1 1 0 0 1 1 1 1 0 0 1 1 1 0\n    0 0 1 0 0 0 1 0 1 1 0 1 0 0 0 0 0 0 0 0 0 0 1 1 1 0 0 0 0 0 0 0 0 0 0 0 0 0 \n    0 0 1 0 0 0 0 0 0 0 0 0]\n[1 1 1 1 1 1 0 0 0 1 1 1 1 1 0 1 0 0 1 1 1 1 0 0 1 1 0 0 1 0 1 0 0 0 0 1 0 0 0 1\n    1 0 1 0 0 1 1 0 0 1 0 1 0 0 0 0 0 0 0 0 0 0 0 1 1 1 0 0 0 0 0 0 0 0 0 0 0 0 \n    0 0 0 1 0 0 0 0 0 0 0 0]\n[1 0 1 0 0 0 1 1 1 1 1 1 1 1 0 0 1 0 1 1 0 0 0 0 0 1 0 1 0 0 1 0 0 0 1 0 1 0 0 1\n    1 1 0 1 0 0 0 1 0 1 0 1 0 0 0 0 0 0 0 0 1 1 1 1 1 1 0 0 0 0 0 0 0 0 0 0 0 0 \n    0 0 0 0 1 0 0 0 0 0 0 0]\n[0 1 1 1 0 0 1 1 1 1 0 0 0 0 1 1 1 0 0 0 1 0 0 1 1 1 1 0 0 0 0 1 1 1 0 0 1 0 1 0\n    0 0 0 1 0 0 1 0 1 1 0 1 0 0 0 0 0 0 0 0 1 0 0 0 1 1 0 0 0 0 0 0 0 0 0 0 0 0 \n    0 0 0 0 0 1 0 0 0 0 0 0]\n[1 0 0 1 1 0 1 1 1 1 0 1 1 1 0 1 0 0 0 1 0 1 0 1 0 0 1 1 1 0 0 0 0 0 1 1 1 0 1 1\n    1 1 1 1 0 0 1 1 0 0 0 1 0 0 0 0 0 0 0 0 1 0 1 1 0 1 0 0 0 0 0 0 0 0 0 0 0 0 \n    0 0 0 0 0 0 1 0 0 0 0 0]\n[0 1 1 0 1 1 1 1 1 1 0 1 0 0 1 1 0 1 0 1 1 0 1 1 0 1 0 1 0 1 0 0 1 1 0 0 0 0 1 1\n    0 0 0 0 0 0 1 1 1 1 1 1 0 0 0 0 0 0 0 0 1 0 1 0 1 0 0 0 0 0 0 0 0 0 0 0 0 0 \n    0 0 0 0 0 0 0 1 0 0 0 0]\n[0 0 0 0 0 1 1 0 1 1 1 1 0 0 1 0 1 1 1 1 0 0 1 0 1 1 1 1 1 0 1 1 1 0 0 1 0 1 1 1\n    0 0 1 1 0 1 1 0 1 1 0 0 0 0 0 0 0 0 0 0 0 1 0 1 0 1 0 0 0 0 0 0 0 0 0 0 0 0 \n    0 0 0 0 0 0 0 0 1 0 0 0]\n[0 0 0 1 0 0 0 0 0 1 0 1 1 1 1 0 1 1 1 1 0 1 1 1 1 1 1 0 0 1 1 0 1 1 1 0 0 0 1 1\n    1 1 0 1 0 1 1 0 0 0 1 0 0 0 0 0 0 0 0 0 1 1 0 1 1 0 0 0 0 0 0 0 0 0 0 0 0 0 \n    0 0 0 0 0 0 0 0 0 1 0 0]\n[0 1 1 1 0 1 1 1 1 1 0 1 0 0 0 0 1 0 0 0 0 1 0 0 0 0 0 0 1 1 1 0 1 0 0 0 1 1 1 0\n    0 0 0 1 0 0 1 1 0 0 0 1 0 0 0 0 0 0 0 0 0 1 1 0 1 1 0 0 0 0 0 0 0 0 0 0 0 0 \n    0 0 0 0 0 0 0 0 0 0 1 0]\n[0 0 0 1 1 0 0 1 1 1 0 1 0 1 0 0 1 0 0 1 0 0 1 1 1 1 0 0 1 1 0 1 1 0 0 1 1 0 0 1\n    1 1 1 1 0 0 1 1 1 1 1 1 0 0 0 0 0 0 0 0 1 1 0 0 0 1 0 0 0 0 0 0 0 0 0 0 0 0 \n    0 0 0 0 0 0 0 0 0 0 0 1]\n[90, 33] Quasicyclic of degree 6 Linear Code over GF(2)\nGenerator matrix:\n[1 0 0 0 0 0 0 0 0 0 0 0 0 0 0 0 0 0 0 0 0 0 0 0 0 0 0 0 1 0 0 0 0 0 0 0 1 1 0 0\n    1 0 1 0 0 1 0 0 0 1 1 1 0 1 0 0 1 1 0 0 1 0 1 1 1 1 1 0 0 1 0 0 1 0 1 1 1 1 \n    0 1 1 0 1 0 1 0 1 1 1 0]\n[0 1 0 0 0 0 0 0 0 0 0 0 0 0 0 0 0 0 0 0 0 0 0 0 0 0 0 0 0 1 0 0 0 0 0 0 0 1 1 0\n    0 1 0 1 0 0 1 0 0 0 1 1 1 0 1 0 0 1 1 0 1 1 0 1 1 1 1 1 0 0 1 0 0 1 0 0 1 1 \n    1 0 1 1 0 1 0 1 0 1 1 1]\n[0 0 1 0 0 0 0 0 0 0 0 0 0 0 0 0 0 0 0 0 0 0 0 0 0 0 0 0 1 1 0 0 0 0 0 0 0 1 0 1\n    1 1 0 1 0 1 0 1 0 0 0 0 0 1 1 1 0 0 1 0 0 1 0 0 1 1 0 1 1 1 1 1 0 1 0 0 0 0 \n    0 0 0 1 1 1 1 1 1 1 0 0]\n[0 0 0 1 0 0 0 0 0 0 0 0 0 0 0 0 0 0 0 0 0 0 0 0 0 0 0 0 1 0 0 0 0 0 0 0 0 1 0 0\n    0 0 0 1 0 1 1 0 1 0 0 1 1 0 0 1 1 0 0 0 0 0 0 0 0 1 0 0 1 0 0 1 1 1 0 1 0 1 \n    1 1 0 0 1 0 1 0 1 0 0 1]\n[0 0 0 0 1 0 0 0 0 0 0 0 0 0 0 0 0 0 0 0 0 0 0 0 0 0 0 0 0 1 0 0 0 0 0 0 0 0 1 0\n    0 0 0 0 1 0 1 1 0 1 0 0 1 1 0 0 1 1 0 0 0 0 0 0 0 0 1 0 0 1 0 0 1 1 1 1 1 0 \n    1 1 1 0 0 1 0 1 0 1 0 0]\n[0 0 0 0 0 1 0 0 0 0 0 0 0 0 0 0 0 0 0 0 0 0 0 0 0 0 0 0 1 1 0 0 0 0 0 1 0 0 1 1\n    0 0 1 0 0 1 0 1 1 1 1 0 1 1 1 1 0 0 0 0 1 0 0 0 1 0 1 0 1 1 1 1 1 0 0 0 1 0 \n    0 0 1 1 1 0 0 0 1 0 0 0]\n[0 0 0 0 0 0 1 0 0 0 0 0 0 0 0 0 0 0 0 0 0 0 0 0 0 0 0 0 1 0 0 0 0 0 0 0 1 1 1 1\n    0 1 1 0 1 1 1 0 1 1 1 0 1 1 0 1 1 0 0 1 0 1 1 0 0 1 1 1 0 0 0 1 1 0 1 1 0 0 \n    1 1 0 1 1 0 0 1 0 0 1 1]\n[0 0 0 0 0 0 0 1 0 0 0 0 0 0 0 0 0 0 0 0 0 0 0 0 0 0 0 0 0 1 0 0 0 0 0 1 0 0 1 1\n    0 1 1 0 1 1 1 1 0 0 1 0 0 1 0 1 1 0 1 1 1 0 0 1 1 0 1 0 0 0 1 1 0 1 0 0 1 0 \n    1 1 1 0 0 0 1 1 1 1 0 0]\n[0 0 0 0 0 0 0 0 1 0 0 0 0 0 0 0 0 0 0 0 0 0 0 0 0 0 0 0 1 1 0 0 0 0 0 1 1 0 1 1\n    1 0 0 1 0 0 1 1 1 1 0 1 1 0 1 1 1 0 1 1 0 1 0 0 0 1 1 0 1 1 0 0 0 1 0 0 0 0 \n    0 0 1 1 1 0 1 1 1 1 0 0]\n[0 0 0 0 0 0 0 0 0 1 0 0 0 0 0 0 0 0 0 0 0 0 0 0 0 0 0 0 1 0 0 0 0 0 0 0 1 0 1 1\n    0 0 1 1 0 0 0 1 1 1 1 1 0 1 1 1 1 1 0 0 0 0 0 0 0 0 0 1 0 0 0 0 0 1 0 1 0 1 \n    1 1 0 1 1 0 0 0 1 0 0 1]\n[0 0 0 0 0 0 0 0 0 0 1 0 0 0 0 0 0 0 0 0 0 0 0 0 0 0 0 0 0 1 0 0 0 0 0 0 0 1 0 1\n    1 0 0 1 1 0 0 0 1 1 1 1 1 0 1 1 1 1 1 0 0 0 0 0 0 0 0 0 1 0 0 0 0 0 1 1 1 0 \n    1 1 1 0 1 1 0 0 0 1 0 0]\n[0 0 0 0 0 0 0 0 0 0 0 1 0 0 0 0 0 0 0 0 0 0 0 0 0 0 0 0 1 1 0 0 0 0 0 1 0 0 0 0\n    1 1 1 0 1 1 0 0 0 0 1 1 0 1 0 0 1 0 0 1 1 0 0 0 1 0 1 1 1 0 0 1 1 1 1 0 1 0 \n    0 0 1 1 1 1 0 0 0 0 0 0]\n[0 0 0 0 0 0 0 0 0 0 0 0 1 0 0 0 0 0 0 0 0 0 0 0 0 0 0 0 1 0 0 0 0 0 0 1 1 0 1 0\n    0 1 0 1 0 0 1 0 0 1 0 1 0 0 1 1 0 0 1 0 1 1 0 0 1 1 1 0 0 0 0 1 0 0 0 0 0 0 \n    0 1 0 1 0 1 0 0 0 0 1 0]\n[0 0 0 0 0 0 0 0 0 0 0 0 0 1 0 0 0 0 0 0 0 0 0 0 0 0 0 0 0 1 0 0 0 0 0 0 1 1 0 1\n    0 0 1 0 1 0 0 1 0 0 1 0 1 0 0 1 1 0 0 1 0 1 1 0 0 1 1 1 0 0 0 0 1 0 0 0 0 0 \n    0 0 1 0 1 0 1 0 0 0 0 1]\n[0 0 0 0 0 0 0 0 0 0 0 0 0 0 1 0 0 0 0 0 0 0 0 0 0 0 0 0 1 1 0 0 0 0 0 1 0 1 0 0\n    1 0 1 1 0 0 0 0 1 1 0 1 1 1 0 1 1 0 1 0 0 0 1 1 1 0 0 0 0 1 0 1 1 0 1 1 0 1 \n    0 1 0 1 1 1 1 1 0 0 1 0]\n[0 0 0 0 0 0 0 0 0 0 0 0 0 0 0 1 0 0 0 0 0 0 0 0 0 0 0 0 1 1 0 0 0 0 0 0 0 1 1 0\n    1 1 1 1 1 1 0 0 0 0 0 1 1 0 1 0 0 0 0 1 0 0 1 0 0 0 1 0 0 1 1 0 0 1 1 1 0 1 \n    1 1 0 0 0 1 0 1 0 1 1 1]\n[0 0 0 0 0 0 0 0 0 0 0 0 0 0 0 0 1 0 0 0 0 0 0 0 0 0 0 0 1 0 0 0 0 0 0 1 0 0 0 1\n    0 1 0 1 1 0 1 0 0 1 0 0 0 1 0 0 0 1 1 0 1 0 0 1 1 0 1 0 1 1 1 0 1 1 0 1 1 1 \n    1 0 1 0 1 0 0 0 1 0 0 1]\n[0 0 0 0 0 0 0 0 0 0 0 0 0 0 0 0 0 1 0 0 0 0 0 0 0 0 0 0 0 1 0 0 0 0 0 1 1 1 0 0\n    0 1 1 1 0 0 0 1 0 1 1 1 0 0 0 1 0 1 0 0 0 1 1 0 0 1 0 0 1 1 0 0 1 1 1 0 1 1 \n    0 1 0 1 1 0 1 1 0 0 0 1]\n[0 0 0 0 0 0 0 0 0 0 0 0 0 0 0 0 0 0 1 0 0 0 0 0 0 0 0 0 1 1 0 0 0 0 0 0 1 0 0 0\n    1 1 0 0 0 1 0 0 1 0 1 0 0 0 1 0 1 0 1 1 1 0 0 1 0 0 0 0 0 0 0 0 0 0 0 0 0 0 \n    0 1 1 0 1 0 0 0 1 1 1 1]\n[0 0 0 0 0 0 0 0 0 0 0 0 0 0 0 0 0 0 0 1 0 0 0 0 0 0 0 0 1 0 0 0 0 0 0 0 0 0 1 0\n    1 0 0 1 1 0 1 0 0 1 0 0 1 0 1 1 0 1 0 0 0 1 1 0 1 0 1 0 0 1 1 0 0 1 1 0 0 1 \n    1 1 1 1 0 0 0 1 0 0 0 0]\n[0 0 0 0 0 0 0 0 0 0 0 0 0 0 0 0 0 0 0 0 1 0 0 0 0 0 0 0 0 1 0 0 0 0 0 1 0 1 0 1\n    1 0 0 1 0 0 0 1 0 1 1 1 0 1 1 0 1 1 0 1 1 0 0 1 1 1 0 0 1 0 0 0 1 0 1 1 0 0 \n    0 1 1 1 0 1 1 1 1 1 0 1]\n[0 0 0 0 0 0 0 0 0 0 0 0 0 0 0 0 0 0 0 0 0 1 0 0 0 0 0 0 1 1 0 0 0 0 0 0 1 1 0 0\n    0 0 1 1 0 0 0 0 1 0 1 0 0 0 0 1 0 1 1 1 1 1 1 0 1 1 0 0 0 0 1 0 0 0 1 0 1 1 \n    1 1 1 1 1 1 1 0 1 0 0 1]\n[0 0 0 0 0 0 0 0 0 0 0 0 0 0 0 0 0 0 0 0 0 0 1 0 0 0 0 0 1 0 0 0 0 0 0 0 0 0 0 0\n    1 1 1 0 0 0 0 0 0 1 0 0 1 0 1 0 1 0 1 0 1 1 0 1 0 1 0 0 0 1 1 1 0 1 1 0 0 0 \n    0 0 1 1 1 0 1 0 0 0 1 1]\n[0 0 0 0 0 0 0 0 0 0 0 0 0 0 0 0 0 0 0 0 0 0 0 1 0 0 0 0 0 1 0 0 0 0 0 0 0 0 0 0\n    0 1 1 1 0 0 0 0 0 0 1 0 0 1 0 1 0 1 0 1 1 1 1 0 1 0 1 0 0 0 1 1 1 0 1 1 0 0 \n    0 0 0 1 1 1 0 1 0 0 0 1]\n[0 0 0 0 0 0 0 0 0 0 0 0 0 0 0 0 0 0 0 0 0 0 0 0 1 0 0 0 1 1 0 0 0 0 0 0 0 1 1 0\n    1 1 0 0 0 0 0 0 0 0 0 0 1 0 0 0 1 0 1 1 1 1 0 1 0 1 1 1 0 1 1 1 1 0 1 0 1 1 \n    1 1 0 0 1 0 1 1 1 1 1 1]\n[0 0 0 0 0 0 0 0 0 0 0 0 0 0 0 0 0 0 0 0 0 0 0 0 0 1 0 0 1 0 0 0 0 0 0 0 0 1 0 1\n    1 0 0 1 1 0 0 0 0 0 0 1 1 1 1 0 0 1 0 0 1 1 0 0 1 0 0 1 1 1 0 1 1 0 1 0 0 0 \n    0 0 1 0 0 0 0 0 1 0 0 0]\n[0 0 0 0 0 0 0 0 0 0 0 0 0 0 0 0 0 0 0 0 0 0 0 0 0 0 1 0 0 1 0 0 0 0 0 1 0 1 1 0\n    0 0 0 1 0 0 0 0 0 1 0 1 1 1 0 0 0 1 0 1 1 1 0 0 1 1 0 1 0 1 0 1 0 1 0 1 0 0 \n    1 0 0 1 1 1 1 1 0 0 0 1]\n[0 0 0 0 0 0 0 0 0 0 0 0 0 0 0 0 0 0 0 0 0 0 0 0 0 0 0 1 1 1 0 0 0 0 0 0 1 1 0 1\n    1 1 1 1 0 0 0 0 0 0 1 1 0 1 0 0 0 0 1 1 0 1 0 0 0 1 0 0 1 1 0 0 1 1 0 0 1 1 \n    1 0 0 0 1 0 1 0 1 1 1 1]\n[0 0 0 0 0 0 0 0 0 0 0 0 0 0 0 0 0 0 0 0 0 0 0 0 0 0 0 0 0 0 1 0 0 0 0 1 0 1 0 0\n    1 1 0 1 1 0 0 0 0 1 0 1 0 0 1 1 0 1 1 1 0 0 1 0 1 0 0 1 1 0 1 1 1 0 0 1 0 0 \n    1 0 0 0 1 1 1 1 0 1 0 1]\n[0 0 0 0 0 0 0 0 0 0 0 0 0 0 0 0 0 0 0 0 0 0 0 0 0 0 0 0 0 0 0 1 0 0 0 1 1 1 1 0\n    1 0 1 1 0 1 0 0 0 1 1 1 1 0 1 0 1 1 0 0 0 0 1 1 1 1 0 1 0 1 1 0 0 1 0 0 1 0 \n    1 1 0 0 1 0 0 0 1 1 1 1]\n[0 0 0 0 0 0 0 0 0 0 0 0 0 0 0 0 0 0 0 0 0 0 0 0 0 0 0 0 0 0 0 0 1 0 0 0 1 1 1 1\n    0 1 0 1 1 0 1 0 0 0 1 1 1 1 0 1 0 1 1 0 0 0 0 1 1 1 1 0 1 0 1 1 0 0 1 1 0 1 \n    0 1 1 0 0 1 0 0 0 1 1 1]\n[0 0 0 0 0 0 0 0 0 0 0 0 0 0 0 0 0 0 0 0 0 0 0 0 0 0 0 0 0 0 0 0 0 1 0 1 0 0 1 1\n    0 1 1 1 0 0 0 1 0 1 0 0 1 1 0 1 1 1 0 0 1 0 1 0 0 1 1 0 1 1 1 0 0 0 0 0 1 0 \n    0 0 1 1 1 1 0 1 0 1 1 0]\n[0 0 0 0 0 0 0 0 0 0 0 0 0 0 0 0 0 0 0 0 0 0 0 0 0 0 0 0 0 0 0 0 0 0 1 0 1 0 0 1\n    1 0 1 1 1 0 0 0 1 0 1 0 0 1 1 0 1 1 1 0 0 1 0 1 0 0 1 1 0 1 1 1 0 0 0 0 0 1 \n    0 0 0 1 1 1 1 0 1 0 1 1]\nLinear Code over GF(2) of length 90 with 33 generators.\nLower Bound: 1, Upper Bound: 58\nConstructed 3 distinct generator matrices\nRelative Ranks:  33  33  24 \nTime Taken: 0.00\nStarting search for low weight codewords... (reset timings)\nEnumerating using 1 generator at a time:\n     New codeword identified of weight 32, time 0.00\n     New codeword identified of weight 30, time 0.00\n     New codeword identified of weight 24, time 0.00\n     New codeword identified of weight 23, time 0.00\n     New codeword identified of weight 22, time 0.00\n   Completed Matrix  1:  lower =  3, upper = 22. Elapsed: 0.00s\n   Completed Matrix  2:  lower =  4, upper = 22. Elapsed: 0.00s\n   Completed Matrix  3:  lower =  4, upper = 22. Elapsed: 0.00s\nTermination predicted with 10 generators at matrix 1\nEnumerating using 2 generators at a time:\n   Completed Matrix  1:  lower =  5, upper = 22. Elapsed: 0.00s\n     New codeword identified of weight 21, time 0.00\n   Completed Matrix  2:  lower =  6, upper = 21. Elapsed: 0.00s\n   Completed Matrix  3:  lower =  6, upper = 21. Elapsed: 0.00s\nTermination predicted with 9 generators at matrix 3\nEnumerating using 3 generators at a time:\n   Completed Matrix  1:  lower =  7, upper = 21. Elapsed: 0.00s\n   Completed Matrix  2:  lower =  8, upper = 21. Elapsed: 0.00s\n   Completed Matrix  3:  lower =  8, upper = 21. Elapsed: 0.00s\nTermination predicted with 9 generators at matrix 3\nEnumerating using 4 generators at a time:\n   Completed Matrix  1:  lower =  9, upper = 21. Elapsed: 0.00s\n   Completed Matrix  2:  lower = 10, upper = 21. Elapsed: 0.00s\n   Completed Matrix  3:  lower = 10, upper = 21. Elapsed: 0.00s\nTermination predicted with 9 generators at matrix 3\nEnumerating using 5 generators at a time:\n   Completed Matrix  1:  lower = 11, upper = 21. Elapsed: 0.00s\n   Completed Matrix  2:  lower = 12, upper = 21. Elapsed: 0.00s\n   Completed Matrix  3:  lower = 12, upper = 21. Elapsed: 0.00s\nTermination predicted with 9 generators at matrix 3\nEnumerating using 6 generators at a time:\n   Completed Matrix  1:  lower = 13, upper = 21. Elapsed: 0.00s\n   Completed Matrix  2:  lower = 14, upper = 21. Elapsed: 0.01s\n   Completed Matrix  3:  lower = 14, upper = 21. Elapsed: 0.01s\nTermination predicted with 9 generators at matrix 3\nEnumerating using 7 generators at a time:\n   Completed Matrix  1:  lower = 15, upper = 21. Elapsed: 0.02s\n   Completed Matrix  2:  lower = 16, upper = 21. Elapsed: 0.03s\n   Completed Matrix  3:  lower = 16, upper = 21. Elapsed: 0.04s\nTermination predicted with 9 generators at matrix 3\nEnumerating using 8 generators at a time:\n   Completed Matrix  1:  lower = 17, upper = 21. Elapsed: 0.07s\n   Completed Matrix  2:  lower = 18, upper = 21. Elapsed: 0.11s\n   Completed Matrix  3:  lower = 18, upper = 21. Elapsed: 0.14s\nTermination predicted with 9 generators at matrix 3\nEnumerating using 9 generators at a time:\n   Completed Matrix  1:  lower = 19, upper = 21. Elapsed: 0.24s\n   Completed Matrix  2:  lower = 20, upper = 21. Elapsed: 0.34s\n   Completed Matrix  3:  lower = 21, upper = 21. Elapsed: 0.43s\nComputation complete 174345435 vectors enumerated in total\n (2.029648% of 90 33 code)\nFinal Results: lower = 21, upper = 21,\nTotal CPU time: 0.43, real time: 0.442\n21\n\nTotal time: 0.459 seconds, Total memory usage: 32.09MB\n</t>
  </si>
  <si>
    <t>[[91,26,25]]</t>
  </si>
  <si>
    <t>Magma V2.28-26    Tue Dec 30 2025 09:52:55 on Marks-MacBook-Air-2 [Seed = \n3822660310]\nType ? for help.  Type &lt;Ctrl&gt;-D to quit.\n[1 0 0 0 1 1 0 1 0 0 0 0 1 0 1 1 1 1 1 0 1 1 1 0 0 1 0 0 1 1 0 1 0 1 1 1 1 0 1 0\n    1 1 1 1 0 1 0 0 1 0 1 1 1 0 0 0 0 0 0 0 0 1 1 0 0 1 0 0 0 0 0 0 0 0 0 0 0 0 \n    0 0 0 0 0 0 0 0 0 0 0 0 0]\n[0 1 0 0 0 1 1 0 1 0 0 0 0 1 0 1 1 1 1 1 0 1 1 1 0 0 1 0 0 1 1 1 1 0 1 1 1 1 0 1\n    0 1 1 1 1 0 1 0 0 1 0 1 1 1 0 0 0 0 0 0 0 0 0 1 0 0 1 0 0 0 0 0 0 0 0 0 0 0 \n    0 0 0 0 0 0 0 0 0 0 0 0 0]\n[1 0 1 0 0 0 1 1 0 1 0 0 0 0 1 0 1 1 1 1 1 0 1 1 1 0 0 1 0 0 1 0 1 1 0 1 1 1 1 0\n    1 0 1 1 1 1 0 1 0 0 1 0 1 1 1 0 0 0 0 0 0 0 1 0 1 0 0 1 0 0 0 0 0 0 0 0 0 0 \n    0 0 0 0 0 0 0 0 0 0 0 0 0]\n[0 1 0 1 1 1 0 0 1 0 1 0 1 0 1 0 1 0 0 1 0 0 1 1 1 0 0 0 0 1 0 1 0 0 0 1 0 1 0 1\n    1 0 1 0 1 0 1 0 0 0 1 0 1 1 1 1 0 0 0 0 0 1 1 1 0 0 0 0 1 0 0 0 0 0 0 0 0 0 \n    0 0 0 0 0 0 0 0 0 0 0 0 0]\n[0 0 1 0 1 1 1 0 0 1 0 1 0 1 0 1 0 1 0 0 1 0 0 1 1 1 0 0 0 0 1 1 1 0 0 0 1 0 1 0\n    1 1 0 1 0 1 0 1 0 0 0 1 0 1 1 1 1 0 0 0 0 0 0 1 1 0 0 0 0 1 0 0 0 0 0 0 0 0 \n    0 0 0 0 0 0 0 0 0 0 0 0 0]\n[0 0 0 1 1 0 1 0 0 0 1 0 0 0 0 1 0 1 0 0 1 0 1 0 1 0 1 0 1 1 0 1 1 0 1 1 1 1 1 1\n    1 0 0 1 1 1 1 0 0 0 1 1 0 0 1 1 1 1 0 0 0 1 0 0 1 0 0 0 0 0 1 0 0 0 0 0 0 0 \n    0 0 0 0 0 0 0 0 0 0 0 0 0]\n[1 0 0 0 0 0 0 0 0 0 0 1 1 0 1 1 0 1 0 0 1 0 1 1 0 0 0 1 1 0 1 0 1 0 1 0 0 1 0 1\n    0 0 1 1 1 0 1 1 1 0 1 0 0 0 0 1 1 1 1 0 0 1 1 0 0 0 0 0 0 0 0 1 0 0 0 0 0 0 \n    0 0 0 0 0 0 0 0 0 0 0 0 0]\n[1 1 0 0 0 0 0 0 0 0 0 0 1 1 0 1 1 0 1 0 0 1 0 1 1 0 0 0 1 1 0 1 0 1 0 1 0 0 1 0\n    1 0 0 1 1 1 0 1 1 1 0 1 0 0 0 0 1 1 1 1 0 0 1 1 0 0 0 0 0 0 0 0 1 0 0 0 0 0 \n    0 0 0 0 0 0 0 0 0 0 0 0 0]\n[0 1 1 0 0 0 0 0 0 0 0 0 0 1 1 0 1 1 0 1 0 0 1 0 1 1 0 0 0 1 1 0 1 0 1 0 1 0 0 1\n    0 1 0 0 1 1 1 0 1 1 1 0 1 0 0 0 0 1 1 1 1 0 1 1 1 0 0 0 0 0 0 0 0 1 0 0 0 0 \n    0 0 0 0 0 0 0 0 0 0 0 0 0]\n[0 0 1 1 1 1 0 1 0 0 0 0 1 0 0 0 1 0 0 0 0 1 1 1 0 0 1 0 1 1 1 1 0 0 1 0 1 1 1 0\n    0 1 0 1 0 0 1 1 1 1 0 0 1 1 0 0 0 0 1 1 1 0 1 1 1 0 0 0 0 0 0 0 0 0 1 0 0 0 \n    0 0 0 0 0 0 0 0 0 0 0 0 0]\n[0 0 0 1 0 0 1 1 1 0 0 0 1 1 1 1 1 0 1 0 1 1 0 1 1 1 0 1 1 0 1 1 1 1 1 0 1 1 0 1\n    1 1 0 1 1 1 0 1 0 1 0 1 1 1 1 0 0 0 0 1 1 0 1 1 1 0 0 0 0 0 0 0 0 0 0 1 0 0 \n    0 0 0 0 0 0 0 0 0 0 0 0 0]\n[0 0 0 0 0 1 0 0 1 1 0 0 1 1 0 0 0 0 1 1 1 0 0 0 1 0 1 0 0 0 0 1 1 0 0 0 1 1 0 0\n    0 0 0 1 1 0 1 0 0 0 0 1 0 1 1 1 0 0 0 0 1 0 0 1 1 0 0 0 0 0 0 0 0 0 0 0 1 0 \n    0 0 0 0 0 0 0 0 0 0 0 0 0]\n[1 0 0 0 1 1 1 1 0 1 1 0 1 1 0 1 1 1 1 1 0 0 1 0 0 0 0 1 1 1 0 1 1 0 1 1 1 1 0 0\n    1 1 1 1 1 0 0 1 1 0 1 1 0 0 1 1 1 0 0 0 0 0 0 0 1 0 0 0 0 0 0 0 0 0 0 0 0 1 \n    0 0 0 0 0 0 0 0 0 0 0 0 0]\n[1 1 0 0 1 0 1 0 1 0 1 1 1 1 0 1 0 0 0 1 0 1 1 1 0 1 0 0 0 0 1 1 1 0 1 0 0 1 0 0\n    1 0 0 0 1 0 0 0 0 1 1 0 0 0 0 1 1 1 0 0 0 1 0 0 0 0 0 0 0 0 0 0 0 0 0 0 0 0 \n    1 0 0 0 0 0 0 0 0 0 0 0 0]\n[1 1 1 0 0 1 0 1 0 1 0 1 1 1 1 0 1 0 0 0 1 0 1 1 1 0 1 0 0 0 0 1 1 1 0 1 0 0 1 0\n    0 1 0 0 0 1 0 0 0 0 1 1 0 0 0 0 1 1 1 0 0 0 1 0 0 0 0 0 0 0 0 0 0 0 0 0 0 0 \n    0 1 0 0 0 0 0 0 0 0 0 0 0]\n[0 1 1 1 0 0 1 0 1 0 1 0 1 1 1 1 0 1 0 0 0 1 0 1 1 1 0 1 0 0 0 0 1 1 1 0 1 0 0 1\n    0 0 1 0 0 0 1 0 0 0 0 1 1 0 0 0 0 1 1 1 0 0 1 1 0 0 0 0 0 0 0 0 0 0 0 0 0 0 \n    0 0 1 0 0 0 0 0 0 0 0 0 0]\n[0 0 1 1 1 0 0 1 0 1 0 1 0 1 1 1 1 0 1 0 0 0 1 0 1 1 1 0 1 0 0 0 0 1 1 1 0 1 0 0\n    1 0 0 1 0 0 0 1 0 0 0 0 1 1 0 0 0 0 1 1 1 0 0 1 1 0 0 0 0 0 0 0 0 0 0 0 0 0 \n    0 0 0 1 0 0 0 0 0 0 0 0 0]\n[1 0 0 1 0 0 0 1 1 0 1 0 0 0 0 0 0 0 1 1 1 1 1 1 0 0 1 1 1 0 0 1 0 1 0 0 0 0 0 0\n    1 0 1 1 1 1 0 0 0 0 1 1 1 1 1 0 0 0 0 1 1 0 1 0 1 0 0 0 0 0 0 0 0 0 0 0 0 0 \n    0 0 0 0 1 0 0 0 0 0 0 0 0]\n[1 1 0 0 0 1 0 1 1 1 0 1 1 0 1 1 1 1 1 1 0 0 0 1 1 1 0 1 0 0 0 1 1 1 0 1 1 0 1 0\n    1 0 1 0 1 0 1 0 1 0 1 0 0 1 1 1 0 0 0 0 1 0 1 1 0 0 0 0 0 0 0 0 0 0 0 0 0 0 \n    0 0 0 0 0 1 0 0 0 0 0 0 0]\n[0 1 1 0 0 0 1 0 1 1 1 0 1 1 0 1 1 1 1 1 1 0 0 0 1 1 1 0 1 0 0 0 1 1 1 0 1 1 0 1\n    0 1 0 1 0 1 0 1 0 1 0 1 0 0 1 1 1 0 0 0 0 1 1 1 1 0 0 0 0 0 0 0 0 0 0 0 0 0 \n    0 0 0 0 0 0 1 0 0 0 0 0 0]\n[1 0 1 1 1 1 0 0 0 1 1 1 1 1 0 1 0 0 0 1 0 0 1 0 0 0 1 1 1 0 0 0 0 0 0 0 1 1 0 0\n    0 1 0 1 1 1 1 0 0 0 0 1 0 0 0 1 1 1 0 0 0 1 0 1 1 0 0 0 0 0 0 0 0 0 0 0 0 0 \n    0 0 0 0 0 0 0 1 0 0 0 0 0]\n[1 1 0 1 0 0 1 1 0 0 1 1 0 1 0 1 0 1 1 0 0 1 1 1 0 1 0 1 0 0 0 0 0 1 1 1 1 1 0 0\n    1 1 0 1 1 0 1 1 1 0 1 1 0 0 0 0 1 1 1 0 0 1 1 0 1 0 0 0 0 0 0 0 0 0 0 0 0 0 \n    0 0 0 0 0 0 0 0 1 0 0 0 0]\n[1 1 1 0 0 1 0 0 1 0 0 1 0 0 0 1 0 1 0 1 1 1 0 1 1 1 1 0 0 1 0 0 0 1 0 0 0 1 0 0\n    1 0 0 1 1 0 0 1 0 1 1 0 0 0 0 0 0 1 1 1 0 1 0 1 0 0 0 0 0 0 0 0 0 0 0 0 0 0 \n    0 0 0 0 0 0 0 0 0 1 0 0 0]\n[0 1 1 1 0 0 1 0 0 1 0 0 1 0 0 0 1 0 1 0 1 1 1 0 1 1 1 1 0 0 1 1 0 0 1 0 0 0 1 0\n    0 1 0 0 1 1 0 0 1 0 1 1 0 0 0 0 0 0 1 1 1 0 1 0 1 0 0 0 0 0 0 0 0 0 0 0 0 0 \n    0 0 0 0 0 0 0 0 0 0 1 0 0]\n[0 0 1 1 0 1 0 0 0 0 1 0 1 1 1 1 1 0 1 1 1 0 0 1 0 0 1 1 0 1 0 1 1 1 1 0 1 0 1 1\n    1 1 0 1 0 0 1 0 1 1 1 0 0 0 0 0 0 0 0 1 1 0 0 1 0 0 0 0 0 0 0 0 0 0 0 0 0 0 \n    0 0 0 0 0 0 0 0 0 0 0 1 0]\n[0 0 0 1 1 0 1 0 0 0 0 1 0 1 1 1 1 1 0 1 1 1 0 0 1 0 0 1 1 0 1 0 1 1 1 1 0 1 0 1\n    1 1 1 0 1 0 0 1 0 1 1 1 0 0 0 0 0 0 0 0 1 1 0 0 1 0 0 0 0 0 0 0 0 0 0 0 0 0 \n    0 0 0 0 0 0 0 0 0 0 0 0 1]\n[91, 26] Linear Code over GF(2)\nGenerator matrix:\n[1 0 0 0 0 0 0 0 0 0 0 0 0 0 0 0 0 0 0 0 0 0 0 0 0 1 1 1 1 0 1 0 1 1 0 1 0 0 0 0\n    0 1 1 0 1 0 0 0 0 1 1 1 0 1 0 1 1 1 1 0 1 1 0 1 0 1 1 0 1 1 0 0 1 1 0 0 1 1 \n    0 1 1 1 0 0 0 1 0 0 0 0 0]\n[0 1 0 0 0 0 0 0 0 0 0 0 0 0 0 0 0 0 0 0 0 0 0 0 0 1 0 0 0 1 1 1 1 0 1 1 1 0 0 0\n    0 1 0 1 1 1 0 0 0 1 0 0 1 1 1 1 0 0 0 1 1 0 0 1 1 1 0 1 1 0 1 0 1 0 1 0 1 0 \n    1 1 0 0 1 0 0 1 1 0 0 0 0]\n[0 0 1 0 0 0 0 0 0 0 0 0 0 0 0 0 0 0 0 0 0 0 0 0 0 1 0 1 1 0 0 0 0 0 0 0 1 1 0 0\n    0 1 0 0 0 1 1 0 0 1 0 1 0 0 1 0 0 1 1 0 0 0 0 0 0 1 1 1 1 1 1 0 0 1 1 0 0 1 \n    1 1 1 0 1 0 1 0 0 0 1 1 1]\n[0 0 0 1 0 0 0 0 0 0 0 0 0 0 0 0 0 0 0 0 0 0 0 0 0 0 1 0 1 1 0 0 0 0 0 0 0 1 1 0\n    0 0 1 0 0 0 1 1 0 0 1 0 1 0 0 1 0 0 1 1 0 0 0 0 0 0 1 1 1 1 1 1 0 0 1 1 0 0 \n    1 1 1 1 0 1 0 1 0 0 0 1 1]\n[0 0 0 0 1 0 0 0 0 0 0 0 0 0 0 0 0 0 0 0 0 0 0 0 0 0 0 1 0 1 1 0 0 0 0 0 0 0 1 1\n    0 0 0 1 0 0 0 1 1 0 0 1 0 1 0 0 1 0 0 1 1 0 0 0 0 0 0 1 1 1 1 1 1 0 0 1 1 0 \n    0 1 1 1 1 0 1 0 1 0 0 0 1]\n[0 0 0 0 0 1 0 0 0 0 0 0 0 0 0 0 0 0 0 0 0 0 0 0 0 1 1 1 0 0 0 0 1 1 0 1 0 0 0 1\n    1 1 1 0 0 0 0 0 1 0 1 1 1 1 1 1 1 0 1 0 0 0 0 0 1 0 0 1 1 1 0 0 1 1 1 1 1 1 \n    1 0 1 1 0 0 1 1 1 0 1 1 1]\n[0 0 0 0 0 0 1 0 0 0 0 0 0 0 0 0 0 0 0 0 0 0 0 0 0 0 1 1 1 0 0 0 0 1 1 0 1 0 0 0\n    1 1 1 1 0 0 0 0 0 1 0 1 1 1 1 1 1 1 0 1 0 0 0 0 0 1 0 0 1 1 1 0 0 1 1 1 1 1 \n    1 1 0 1 1 0 0 1 1 1 0 1 1]\n[0 0 0 0 0 0 0 1 0 0 0 0 0 0 0 0 0 0 0 0 0 0 0 0 0 0 0 1 1 1 0 0 0 0 1 1 0 1 0 0\n    0 1 1 1 1 0 0 0 0 0 1 0 1 1 1 1 1 1 1 0 1 0 0 1 1 1 0 1 1 0 0 0 1 1 0 0 0 0 \n    0 0 0 1 0 0 1 1 0 0 0 1 0]\n[0 0 0 0 0 0 0 0 1 0 0 0 0 0 0 0 0 0 0 0 0 0 0 0 0 0 0 0 1 1 1 0 0 0 0 1 1 0 1 0\n    0 0 1 1 1 1 0 0 0 0 0 1 0 1 1 1 1 1 1 1 0 1 0 0 1 1 1 0 1 1 0 0 0 1 1 0 0 0 \n    0 0 0 0 1 0 0 1 1 0 0 0 1]\n[0 0 0 0 0 0 0 0 0 1 0 0 0 0 0 0 0 0 0 0 0 0 0 0 0 1 1 1 1 1 0 1 1 1 0 1 1 1 0 1\n    0 1 1 1 0 1 1 0 0 1 1 1 1 1 1 0 0 0 0 1 0 1 0 1 0 0 0 1 1 0 1 0 1 1 1 1 1 1 \n    0 1 1 1 0 1 0 1 1 1 0 0 0]\n[0 0 0 0 0 0 0 0 0 0 1 0 0 0 0 0 0 0 0 0 0 0 0 0 0 0 1 1 1 1 1 1 1 1 1 0 1 1 1 0\n    1 0 1 1 1 0 1 1 0 0 1 1 1 1 1 1 0 0 0 0 1 0 0 0 1 0 0 0 1 1 0 1 0 1 1 1 1 1 \n    1 0 1 1 1 0 1 0 1 1 1 0 0]\n[0 0 0 0 0 0 0 0 0 0 0 1 0 0 0 0 0 0 0 0 0 0 0 0 0 1 1 0 0 1 0 0 0 0 1 0 0 1 1 1\n    0 0 1 1 0 1 0 1 1 1 1 0 1 0 1 0 0 1 1 0 1 0 0 1 0 0 1 0 1 0 1 0 0 1 1 1 0 0 \n    1 0 1 0 1 1 0 0 0 1 1 1 0]\n[0 0 0 0 0 0 0 0 0 0 0 0 1 0 0 0 0 0 0 0 0 0 0 0 0 0 1 1 0 0 1 0 0 0 0 1 0 0 1 1\n    1 0 0 1 1 0 1 0 1 1 1 1 0 1 0 1 0 0 1 1 0 1 0 0 1 0 0 1 0 1 0 1 0 0 1 1 1 0 \n    0 1 0 1 0 1 1 0 0 0 1 1 1]\n[0 0 0 0 0 0 0 0 0 0 0 0 0 1 0 0 0 0 0 0 0 0 0 0 0 1 1 0 0 0 1 1 1 1 0 1 1 0 0 1\n    1 0 1 0 0 1 0 1 0 0 0 0 1 1 1 1 0 1 1 1 0 1 0 0 1 1 0 1 1 0 0 1 1 0 1 0 1 1 \n    1 0 1 0 0 1 0 1 1 1 1 0 0]\n[0 0 0 0 0 0 0 0 0 0 0 0 0 0 1 0 0 0 0 0 0 0 0 0 0 1 0 0 1 0 1 1 0 0 1 1 1 1 0 0\n    1 0 1 1 1 0 1 0 1 1 1 1 0 0 1 0 0 1 0 1 0 1 0 0 1 1 1 1 1 1 1 1 1 1 1 0 0 1 \n    0 1 0 1 1 1 0 0 0 0 0 0 1]\n[0 0 0 0 0 0 0 0 0 0 0 0 0 0 0 1 0 0 0 0 0 0 0 0 0 1 0 1 1 1 1 1 0 1 0 0 1 1 1 0\n    0 0 1 1 0 1 0 1 0 0 0 0 1 1 0 0 1 1 0 0 0 1 0 1 0 0 0 1 0 0 1 1 0 0 1 1 1 1 \n    1 1 0 1 1 1 1 1 0 0 0 0 0]\n[0 0 0 0 0 0 0 0 0 0 0 0 0 0 0 0 1 0 0 0 0 0 0 0 0 1 0 1 0 1 0 1 0 1 1 1 0 1 1 1\n    0 1 1 1 0 0 1 0 1 1 1 1 0 0 1 1 1 0 0 0 1 1 0 1 1 1 1 0 0 1 0 1 0 1 0 1 0 0 \n    1 0 0 1 1 1 1 0 1 0 0 0 0]\n[0 0 0 0 0 0 0 0 0 0 0 0 0 0 0 0 0 1 0 0 0 0 0 0 0 0 1 0 1 0 1 1 1 0 1 1 1 0 1 1\n    1 0 1 1 1 0 0 1 0 1 1 1 1 0 0 1 1 1 0 0 0 1 0 0 1 1 1 1 0 0 1 0 1 0 1 0 1 0 \n    0 1 0 0 1 1 1 1 0 1 0 0 0]\n[0 0 0 0 0 0 0 0 0 0 0 0 0 0 0 0 0 0 1 0 0 0 0 0 0 1 1 0 1 1 1 1 0 0 0 0 1 1 0 1\n    1 0 1 1 0 1 0 0 1 1 0 0 1 0 0 1 0 0 0 0 1 1 0 0 1 1 1 0 1 0 1 0 0 1 1 0 0 1 \n    1 0 1 0 1 0 0 1 0 1 0 1 1]\n[0 0 0 0 0 0 0 0 0 0 0 0 0 0 0 0 0 0 0 1 0 0 0 0 0 1 0 0 1 1 0 1 0 1 0 1 0 1 1 0\n    1 0 1 1 0 0 1 0 0 0 0 1 0 0 0 1 0 1 1 0 1 0 0 0 1 1 1 0 0 1 1 0 0 0 0 0 0 0 \n    0 1 0 1 1 0 1 0 0 1 0 1 0]\n[0 0 0 0 0 0 0 0 0 0 0 0 0 0 0 0 0 0 0 0 1 0 0 0 0 0 1 0 0 1 1 0 1 0 1 0 1 0 1 1\n    0 1 0 1 1 0 0 1 0 0 0 0 1 0 0 0 1 0 1 1 0 1 0 1 1 0 0 0 1 1 0 0 1 1 1 1 1 1 \n    1 1 0 1 0 0 1 0 1 1 0 1 0]\n[0 0 0 0 0 0 0 0 0 0 0 0 0 0 0 0 0 0 0 0 0 1 0 0 0 1 1 0 1 0 0 1 1 0 0 0 0 1 0 1\n    1 1 0 0 0 1 0 0 1 1 1 1 0 0 0 1 1 0 1 1 0 1 0 1 1 0 1 0 1 0 1 0 1 0 1 1 0 0 \n    1 0 0 1 1 0 0 0 0 1 1 0 1]\n[0 0 0 0 0 0 0 0 0 0 0 0 0 0 0 0 0 0 0 0 0 0 1 0 0 0 1 1 0 1 0 1 1 1 0 0 0 0 1 0\n    1 1 1 0 0 0 1 0 0 1 1 1 1 0 0 0 1 1 0 1 1 0 0 1 0 0 1 0 1 0 1 0 1 0 1 0 0 1 \n    1 0 1 1 0 0 1 1 1 1 0 0 1]\n[0 0 0 0 0 0 0 0 0 0 0 0 0 0 0 0 0 0 0 0 0 0 0 1 0 0 0 1 1 0 1 0 1 1 1 0 0 0 0 1\n    0 1 1 1 0 0 0 1 0 0 1 1 1 1 0 0 0 1 1 0 1 1 0 0 1 0 0 1 0 1 0 1 0 1 0 1 0 0 \n    1 1 0 1 1 0 0 1 1 1 1 0 0]\n[0 0 0 0 0 0 0 0 0 0 0 0 0 0 0 0 0 0 0 0 0 0 0 0 1 1 1 1 0 1 1 1 1 0 1 0 0 0 0 0\n    1 1 0 1 0 0 0 0 1 1 1 0 1 0 1 1 1 1 0 1 1 0 0 1 0 0 1 0 0 1 1 0 0 1 1 0 0 1 \n    0 0 0 1 1 1 0 1 1 1 1 1 0]\n[0 0 0 0 0 0 0 0 0 0 0 0 0 0 0 0 0 0 0 0 0 0 0 0 0 0 0 0 0 0 0 0 0 0 0 0 0 0 0 0\n    0 0 0 0 0 0 0 0 0 0 0 0 0 0 0 0 0 0 0 0 0 0 1 1 1 1 1 1 1 1 1 1 1 1 1 1 1 1 \n    1 1 1 1 1 1 1 1 1 1 1 1 1]\nLinear Code over GF(2) of length 91 with 26 generators.\nLower Bound: 1, Upper Bound: 66\nConstructed 4 distinct generator matrices\nRelative Ranks:  26  26  26  13 \nTime Taken: 0.00\nStarting search for low weight codewords... (reset timings)\nEnumerating using 1 generator at a time:\n     New codeword identified of weight 35, time 0.00\n     New codeword identified of weight 34, time 0.00\n     New codeword identified of weight 31, time 0.00\n     New codeword identified of weight 30, time 0.00\n     New codeword identified of weight 29, time 0.00\n     Discarding non-contributing rank 13 matrix\n     New Relative Ranks:  26  26  26 \n   Completed Matrix  1:  lower =  4, upper = 29. Elapsed: 0.00s\n     New codeword identified of weight 25, time 0.00\n   Completed Matrix  2:  lower =  5, upper = 25. Elapsed: 0.00s\n   Completed Matrix  3:  lower =  6, upper = 25. Elapsed: 0.00s\nTermination predicted with 8 generators at matrix 1\nEnumerating using 2 generators at a time:\n   Completed Matrix  1:  lower =  7, upper = 25. Elapsed: 0.00s\n   Completed Matrix  2:  lower =  8, upper = 25. Elapsed: 0.00s\n   Completed Matrix  3:  lower =  9, upper = 25. Elapsed: 0.00s\nTermination predicted with 8 generators at matrix 1\nEnumerating using 3 generators at a time:\n   Completed Matrix  1:  lower = 10, upper = 25. Elapsed: 0.00s\n   Completed Matrix  2:  lower = 11, upper = 25. Elapsed: 0.00s\n   Completed Matrix  3:  lower = 12, upper = 25. Elapsed: 0.00s\nTermination predicted with 8 generators at matrix 1\nEnumerating using 4 generators at a time:\n   Completed Matrix  1:  lower = 13, upper = 25. Elapsed: 0.00s\n   Completed Matrix  2:  lower = 14, upper = 25. Elapsed: 0.00s\n   Completed Matrix  3:  lower = 15, upper = 25. Elapsed: 0.00s\nTermination predicted with 8 generators at matrix 1\nEnumerating using 5 generators at a time:\n   Completed Matrix  1:  lower = 16, upper = 25. Elapsed: 0.00s\n   Completed Matrix  2:  lower = 17, upper = 25. Elapsed: 0.00s\n   Completed Matrix  3:  lower = 18, upper = 25. Elapsed: 0.00s\nTermination predicted with 8 generators at matrix 1\nEnumerating using 6 generators at a time:\n   Completed Matrix  1:  lower = 19, upper = 25. Elapsed: 0.00s\n   Completed Matrix  2:  lower = 20, upper = 25. Elapsed: 0.00s\n   Completed Matrix  3:  lower = 21, upper = 25. Elapsed: 0.00s\nTermination predicted with 8 generators at matrix 1\nEnumerating using 7 generators at a time:\n   Completed Matrix  1:  lower = 22, upper = 25. Elapsed: 0.00s\n   Completed Matrix  2:  lower = 23, upper = 25. Elapsed: 0.00s\n   Completed Matrix  3:  lower = 24, upper = 25. Elapsed: 0.00s\nTermination predicted with 8 generators at matrix 1\nEnumerating using 8 generators at a time:\n   Completed Matrix  1:  lower = 25, upper = 25. Elapsed: 0.00s\nComputation complete 4477408 vectors enumerated in total\n (6.671858% of 91 26 code)\nFinal Results: lower = 25, upper = 25,\nTotal CPU time: 0.00, real time: 0.015\n25\n\nTotal time: 0.019 seconds, Total memory usage: 32.09MB\n</t>
  </si>
  <si>
    <t>[[92,52,13]]</t>
  </si>
  <si>
    <t>Magma V2.28-26    Tue Dec 30 2025 09:52:55 on Marks-MacBook-Air-2 [Seed = \n3856608464]\nType ? for help.  Type &lt;Ctrl&gt;-D to quit.\n[1 0 0 1 1 1 1 0 1 1 0 1 1 0 1 0 1 1 1 1 1 1 0 0 0 1 1 0 1 1 0 0 0 1 1 0 1 1 1 0\n    1 0 0 0 0 0 0 0 0 0 0 0 0 0 0 0 0 0 0 0 0 0 0 0 0 0 0 0 0 0 0 0 0 0 0 0 0 0 \n    0 0 0 0 0 0 0 0 0 0 0 0 0 0]\n[0 1 0 0 1 1 1 1 0 1 1 0 1 1 0 1 0 1 1 1 1 1 1 0 0 0 1 1 0 1 1 0 0 0 1 1 0 1 1 1\n    0 1 0 0 0 0 0 0 0 0 0 0 0 0 0 0 0 0 0 0 0 0 0 0 0 0 0 0 0 0 0 0 0 0 0 0 0 0 \n    0 0 0 0 0 0 0 0 0 0 0 0 0 0]\n[1 0 1 1 1 0 0 1 0 1 1 0 1 1 0 0 0 1 0 0 0 0 1 1 0 1 1 1 0 1 1 1 0 1 1 1 0 1 0 1\n    0 0 1 0 0 0 0 0 0 0 0 0 0 0 0 0 0 0 0 0 0 0 0 0 0 0 0 0 0 0 0 0 0 0 0 0 0 0 \n    0 0 0 0 0 0 0 0 0 0 0 0 0 0]\n[1 1 0 0 0 0 1 0 0 1 1 0 1 1 0 0 1 1 0 1 1 1 0 1 1 1 0 1 0 1 1 1 1 1 0 1 0 1 0 0\n    0 0 0 1 0 0 0 0 0 0 0 0 0 0 0 0 0 0 0 0 0 0 0 0 0 0 0 0 0 0 0 0 0 0 0 0 0 0 \n    0 0 0 0 0 0 0 0 0 0 0 0 0 0]\n[0 1 1 0 0 0 0 1 0 0 1 1 0 1 1 0 0 1 1 0 1 1 1 0 1 1 1 0 1 0 1 1 1 1 1 0 1 0 1 0\n    0 0 0 0 1 0 0 0 0 0 0 0 0 0 0 0 0 0 0 0 0 0 0 0 0 0 0 0 0 0 0 0 0 0 0 0 0 0 \n    0 0 0 0 0 0 0 0 0 0 0 0 0 0]\n[0 0 1 1 0 0 0 0 1 0 0 1 1 0 1 1 0 0 1 1 0 1 1 1 0 1 1 1 0 1 0 1 1 1 1 1 0 1 0 1\n    0 0 0 0 0 1 0 0 0 0 0 0 0 0 0 0 0 0 0 0 0 0 0 0 0 0 0 0 0 0 0 0 0 0 0 0 0 0 \n    0 0 0 0 0 0 0 0 0 0 0 0 0 0]\n[1 0 0 0 0 1 1 0 1 0 0 1 0 1 1 1 0 1 1 0 0 1 1 1 1 1 0 1 0 1 1 0 1 0 0 1 0 1 0 0\n    0 0 0 0 0 0 1 0 0 0 0 0 0 0 0 0 0 0 0 0 0 0 0 0 0 0 0 0 0 0 0 0 0 0 0 0 0 0 \n    0 0 0 0 0 0 0 0 0 0 0 0 0 0]\n[0 1 0 0 0 0 1 1 0 1 0 0 1 0 1 1 1 0 1 1 0 0 1 1 1 1 1 0 1 0 1 1 0 1 0 0 1 0 1 0\n    0 0 0 0 0 0 0 1 0 0 0 0 0 0 0 0 0 0 0 0 0 0 0 0 0 0 0 0 0 0 0 0 0 0 0 0 0 0 \n    0 0 0 0 0 0 0 0 0 0 0 0 0 0]\n[0 0 1 0 0 0 0 1 1 0 1 0 0 1 0 1 1 1 0 1 1 0 0 1 1 1 1 1 0 1 0 1 1 0 1 0 0 1 0 1\n    0 0 0 0 0 0 0 0 1 0 0 0 0 0 0 0 0 0 0 0 0 0 0 0 0 0 0 0 0 0 0 0 0 0 0 0 0 0 \n    0 0 0 0 0 0 0 0 0 0 0 0 0 0]\n[1 0 0 0 1 1 1 0 0 0 0 0 1 0 0 0 0 0 0 1 0 0 0 0 1 0 0 1 0 1 1 0 1 0 1 1 1 1 0 0\n    0 0 0 0 0 0 0 0 0 1 0 0 0 0 0 0 0 0 0 0 0 0 0 0 0 0 0 0 0 0 0 0 0 0 0 0 0 0 \n    0 0 0 0 0 0 0 0 0 0 0 0 0 0]\n[0 1 0 0 0 1 1 1 0 0 0 0 0 1 0 0 0 0 0 0 1 0 0 0 0 1 0 0 1 0 1 1 0 1 0 1 1 1 1 0\n    0 0 0 0 0 0 0 0 0 0 1 0 0 0 0 0 0 0 0 0 0 0 0 0 0 0 0 0 0 0 0 0 0 0 0 0 0 0 \n    0 0 0 0 0 0 0 0 0 0 0 0 0 0]\n[0 0 1 0 0 0 1 1 1 0 0 0 0 0 1 0 0 0 0 0 0 1 0 0 0 0 1 0 0 1 0 1 1 0 1 0 1 1 1 1\n    0 0 0 0 0 0 0 0 0 0 0 1 0 0 0 0 0 0 0 0 0 0 0 0 0 0 0 0 0 0 0 0 0 0 0 0 0 0 \n    0 0 0 0 0 0 0 0 0 0 0 0 0 0]\n[1 0 0 0 1 1 1 1 0 0 0 1 1 0 1 1 1 1 1 1 1 1 1 0 0 1 1 1 1 1 1 0 1 0 1 1 1 0 0 1\n    0 0 0 0 0 0 0 0 0 0 0 0 1 0 0 0 0 0 0 0 0 0 0 0 0 0 0 0 0 0 0 0 0 0 0 0 0 0 \n    0 0 0 0 0 0 0 0 0 0 0 0 0 0]\n[1 1 0 1 1 0 0 1 0 1 0 1 0 1 1 1 0 0 0 0 0 0 1 1 0 1 0 1 0 0 1 1 0 0 1 1 0 0 1 0\n    0 0 0 0 0 0 0 0 0 0 0 0 0 1 0 0 0 0 0 0 0 0 0 0 0 0 0 0 0 0 0 0 0 0 0 0 0 0 \n    0 0 0 0 0 0 0 0 0 0 0 0 0 0]\n[0 1 1 0 1 1 0 0 1 0 1 0 1 0 1 1 1 0 0 0 0 0 0 1 1 0 1 0 1 0 0 1 1 0 0 1 1 0 0 1\n    0 0 0 0 0 0 0 0 0 0 0 0 0 0 1 0 0 0 0 0 0 0 0 0 0 0 0 0 0 0 0 0 0 0 0 0 0 0 \n    0 0 0 0 0 0 0 0 0 0 0 0 0 0]\n[1 0 1 0 1 0 0 0 1 0 0 0 1 1 1 1 0 0 1 1 1 1 0 0 1 0 1 1 1 0 0 0 1 0 1 0 0 0 1 0\n    0 0 0 0 0 0 0 0 0 0 0 0 0 0 0 1 0 0 0 0 0 0 0 0 0 0 0 0 0 0 0 0 0 0 0 0 0 0 \n    0 0 0 0 0 0 0 0 0 0 0 0 0 0]\n[0 1 0 1 0 1 0 0 0 1 0 0 0 1 1 1 1 0 0 1 1 1 1 0 0 1 0 1 1 1 0 0 0 1 0 1 0 0 0 1\n    0 0 0 0 0 0 0 0 0 0 0 0 0 0 0 0 1 0 0 0 0 0 0 0 0 0 0 0 0 0 0 0 0 0 0 0 0 0 \n    0 0 0 0 0 0 0 0 0 0 0 0 0 0]\n[1 0 1 1 0 1 0 0 1 1 1 1 1 0 0 1 0 0 1 1 0 0 1 1 0 1 0 0 0 0 1 0 0 1 0 0 0 1 1 0\n    0 0 0 0 0 0 0 0 0 0 0 0 0 0 0 0 0 1 0 0 0 0 0 0 0 0 0 0 0 0 0 0 0 0 0 0 0 0 \n    0 0 0 0 0 0 0 0 0 0 0 0 0 0]\n[0 1 0 1 1 0 1 0 0 1 1 1 1 1 0 0 1 0 0 1 1 0 0 1 1 0 1 0 0 0 0 1 0 0 1 0 0 0 1 1\n    0 0 0 0 0 0 0 0 0 0 0 0 0 0 0 0 0 0 1 0 0 0 0 0 0 0 0 0 0 0 0 0 0 0 0 0 0 0 \n    0 0 0 0 0 0 0 0 0 0 0 0 0 0]\n[1 0 1 1 0 0 1 1 1 1 1 0 0 1 0 0 1 0 1 1 0 0 0 0 1 0 1 1 1 1 0 0 1 1 1 1 1 1 1 1\n    0 0 0 0 0 0 0 0 0 0 0 0 0 0 0 0 0 0 0 1 0 0 0 0 0 0 0 0 0 0 0 0 0 0 0 0 0 0 \n    0 0 0 0 0 0 0 0 0 0 0 0 0 0]\n[1 1 0 0 0 1 1 1 0 0 1 0 1 0 0 0 1 0 1 0 0 1 0 0 0 0 1 1 0 0 1 0 0 0 0 1 0 0 0 1\n    0 0 0 0 0 0 0 0 0 0 0 0 0 0 0 0 0 0 0 0 1 0 0 0 0 0 0 0 0 0 0 0 0 0 0 0 0 0 \n    0 0 0 0 0 0 0 0 0 0 0 0 0 0]\n[1 1 1 1 1 1 0 1 0 1 0 0 1 1 1 0 1 0 1 0 1 1 1 0 0 1 1 1 0 1 0 1 0 1 1 0 0 1 1 0\n    0 0 0 0 0 0 0 0 0 0 0 0 0 0 0 0 0 0 0 0 0 1 0 0 0 0 0 0 0 0 0 0 0 0 0 0 0 0 \n    0 0 0 0 0 0 0 0 0 0 0 0 0 0]\n[0 1 1 1 1 1 1 0 1 0 1 0 0 1 1 1 0 1 0 1 0 1 1 1 0 0 1 1 1 0 1 0 1 0 1 1 0 0 1 1\n    0 0 0 0 0 0 0 0 0 0 0 0 0 0 0 0 0 0 0 0 0 0 1 0 0 0 0 0 0 0 0 0 0 0 0 0 0 0 \n    0 0 0 0 0 0 0 0 0 0 0 0 0 0]\n[1 0 1 0 0 0 0 1 1 0 0 0 1 0 0 1 0 1 0 1 0 1 1 1 1 1 1 1 0 0 0 1 0 0 1 1 0 1 1 1\n    0 0 0 0 0 0 0 0 0 0 0 0 0 0 0 0 0 0 0 0 0 0 0 1 0 0 0 0 0 0 0 0 0 0 0 0 0 0 \n    0 0 0 0 0 0 0 0 0 0 0 0 0 0]\n[1 1 0 0 1 1 1 0 0 0 0 1 1 1 1 0 0 1 0 1 0 1 1 1 1 0 0 1 0 1 0 0 1 1 1 1 0 1 0 1\n    0 0 0 0 0 0 0 0 0 0 0 0 0 0 0 0 0 0 0 0 0 0 0 0 1 0 0 0 0 0 0 0 0 0 0 0 0 0 \n    0 0 0 0 0 0 0 0 0 0 0 0 0 0]\n[1 1 1 1 1 0 0 1 1 1 0 1 0 1 0 1 1 1 0 1 0 1 1 1 1 0 1 0 0 1 1 0 0 0 0 1 0 1 0 0\n    0 0 0 0 0 0 0 0 0 0 0 0 0 0 0 0 0 0 0 0 0 0 0 0 0 1 0 0 0 0 0 0 0 0 0 0 0 0 \n    0 0 0 0 0 0 0 0 0 0 0 0 0 0]\n[0 1 1 1 1 1 0 0 1 1 1 0 1 0 1 0 1 1 1 0 1 0 1 1 1 1 0 1 0 0 1 1 0 0 0 0 1 0 1 0\n    0 0 0 0 0 0 0 0 0 0 0 0 0 0 0 0 0 0 0 0 0 0 0 0 0 0 1 0 0 0 0 0 0 0 0 0 0 0 \n    0 0 0 0 0 0 0 0 0 0 0 0 0 0]\n[0 0 1 1 1 1 1 0 0 1 1 1 0 1 0 1 0 1 1 1 0 1 0 1 1 1 1 0 1 0 0 1 1 0 0 0 0 1 0 1\n    0 0 0 0 0 0 0 0 0 0 0 0 0 0 0 0 0 0 0 0 0 0 0 0 0 0 0 1 0 0 0 0 0 0 0 0 0 0 \n    0 0 0 0 0 0 0 0 0 0 0 0 0 0]\n[1 0 0 0 0 0 0 1 1 1 1 0 0 0 0 0 0 1 0 0 0 1 1 0 1 0 0 1 1 0 0 0 1 0 1 0 1 1 0 0\n    0 0 0 0 0 0 0 0 0 0 0 0 0 0 0 0 0 0 0 0 0 0 0 0 0 0 0 0 1 0 0 0 0 0 0 0 0 0 \n    0 0 0 0 0 0 0 0 0 0 0 0 0 0]\n[0 1 0 0 0 0 0 0 1 1 1 1 0 0 0 0 0 0 1 0 0 0 1 1 0 1 0 0 1 1 0 0 0 1 0 1 0 1 1 0\n    0 0 0 0 0 0 0 0 0 0 0 0 0 0 0 0 0 0 0 0 0 0 0 0 0 0 0 0 0 1 0 0 0 0 0 0 0 0 \n    0 0 0 0 0 0 0 0 0 0 0 0 0 0]\n[0 0 1 0 0 0 0 0 0 1 1 1 1 0 0 0 0 0 0 1 0 0 0 1 1 0 1 0 0 1 1 0 0 0 1 0 1 0 1 1\n    0 0 0 0 0 0 0 0 0 0 0 0 0 0 0 0 0 0 0 0 0 0 0 0 0 0 0 0 0 0 1 0 0 0 0 0 0 0 \n    0 0 0 0 0 0 0 0 0 0 0 0 0 0]\n[1 0 0 0 1 1 1 0 1 1 1 0 0 1 1 0 1 1 1 1 0 1 0 0 1 0 1 1 1 1 1 1 0 1 1 1 1 0 1 1\n    0 0 0 0 0 0 0 0 0 0 0 0 0 0 0 0 0 0 0 0 0 0 0 0 0 0 0 0 0 0 0 1 0 0 0 0 0 0 \n    0 0 0 0 0 0 0 0 0 0 0 0 0 0]\n[1 1 0 1 1 0 0 1 1 0 1 0 1 0 0 1 1 0 0 0 0 1 1 0 0 0 1 1 0 0 1 1 1 1 0 1 0 0 1 1\n    0 0 0 0 0 0 0 0 0 0 0 0 0 0 0 0 0 0 0 0 0 0 0 0 0 0 0 0 0 0 0 0 1 0 0 0 0 0 \n    0 0 0 0 0 0 0 0 0 0 0 0 0 0]\n[1 1 1 1 0 0 1 0 0 0 0 0 1 1 1 0 0 0 1 1 1 1 1 1 0 1 1 1 0 1 0 1 1 0 0 0 0 1 1 1\n    0 0 0 0 0 0 0 0 0 0 0 0 0 0 0 0 0 0 0 0 0 0 0 0 0 0 0 0 0 0 0 0 0 1 0 0 0 0 \n    0 0 0 0 0 0 0 0 0 0 0 0 0 0]\n[1 1 1 0 0 1 1 1 1 1 0 1 1 1 0 1 1 1 1 0 0 0 1 1 1 1 0 1 0 1 1 0 1 0 1 0 1 1 0 1\n    0 0 0 0 0 0 0 0 0 0 0 0 0 0 0 0 0 0 0 0 0 0 0 0 0 0 0 0 0 0 0 0 0 0 1 0 0 0 \n    0 0 0 0 0 0 0 0 0 0 0 0 0 0]\n[1 1 1 0 1 1 0 1 0 0 1 1 0 1 0 0 0 0 0 0 1 1 0 1 1 0 0 0 0 1 1 1 0 0 1 1 1 0 0 0\n    0 0 0 0 0 0 0 0 0 0 0 0 0 0 0 0 0 0 0 0 0 0 0 0 0 0 0 0 0 0 0 0 0 0 0 1 0 0 \n    0 0 0 0 0 0 0 0 0 0 0 0 0 0]\n[0 1 1 1 0 1 1 0 1 0 0 1 1 0 1 0 0 0 0 0 0 1 1 0 1 1 0 0 0 0 1 1 1 0 0 1 1 1 0 0\n    0 0 0 0 0 0 0 0 0 0 0 0 0 0 0 0 0 0 0 0 0 0 0 0 0 0 0 0 0 0 0 0 0 0 0 0 1 0 \n    0 0 0 0 0 0 0 0 0 0 0 0 0 0]\n[0 0 1 1 1 0 1 1 0 1 0 0 1 1 0 1 0 0 0 0 0 0 1 1 0 1 1 0 0 0 0 1 1 1 0 0 1 1 1 0\n    0 0 0 0 0 0 0 0 0 0 0 0 0 0 0 0 0 0 0 0 0 0 0 0 0 0 0 0 0 0 0 0 0 0 0 0 0 1 \n    0 0 0 0 0 0 0 0 0 0 0 0 0 0]\n[0 0 0 1 1 1 0 1 1 0 1 0 0 1 1 0 1 0 0 0 0 0 0 1 1 0 1 1 0 0 0 0 1 1 1 0 0 1 1 1\n    0 0 0 0 0 0 0 0 0 0 0 0 0 0 0 0 0 0 0 0 0 0 0 0 0 0 0 0 0 0 0 0 0 0 0 0 0 0 \n    1 0 0 0 0 0 0 0 0 0 0 0 0 0]\n[1 0 0 1 0 0 0 0 0 0 0 0 1 0 0 1 1 0 1 1 1 1 0 0 1 0 1 1 0 1 0 0 0 0 0 1 1 1 0 1\n    0 0 0 0 0 0 0 0 0 0 0 0 0 0 0 0 0 0 0 0 0 0 0 0 0 0 0 0 0 0 0 0 0 0 0 0 0 0 \n    0 1 0 0 0 0 0 0 0 0 0 0 0 0]\n[1 1 0 1 0 1 1 0 1 1 0 1 1 1 1 0 0 0 1 0 0 0 1 0 0 0 1 1 0 1 1 0 0 1 1 0 0 0 0 0\n    0 0 0 0 0 0 0 0 0 0 0 0 0 0 0 0 0 0 0 0 0 0 0 0 0 0 0 0 0 0 0 0 0 0 0 0 0 0 \n    0 0 1 0 0 0 0 0 0 0 0 0 0 0]\n[0 1 1 0 1 0 1 1 0 1 1 0 1 1 1 1 0 0 0 1 0 0 0 1 0 0 0 1 1 0 1 1 0 0 1 1 0 0 0 0\n    0 0 0 0 0 0 0 0 0 0 0 0 0 0 0 0 0 0 0 0 0 0 0 0 0 0 0 0 0 0 0 0 0 0 0 0 0 0 \n    0 0 0 1 0 0 0 0 0 0 0 0 0 0]\n[0 0 1 1 0 1 0 1 1 0 1 1 0 1 1 1 1 0 0 0 1 0 0 0 1 0 0 0 1 1 0 1 1 0 0 1 1 0 0 0\n    0 0 0 0 0 0 0 0 0 0 0 0 0 0 0 0 0 0 0 0 0 0 0 0 0 0 0 0 0 0 0 0 0 0 0 0 0 0 \n    0 0 0 0 1 0 0 0 0 0 0 0 0 0]\n[0 0 0 1 1 0 1 0 1 1 0 1 1 0 1 1 1 1 0 0 0 1 0 0 0 1 0 0 0 1 1 0 1 1 0 0 1 1 0 0\n    0 0 0 0 0 0 0 0 0 0 0 0 0 0 0 0 0 0 0 0 0 0 0 0 0 0 0 0 0 0 0 0 0 0 0 0 0 0 \n    0 0 0 0 0 1 0 0 0 0 0 0 0 0]\n[0 0 0 0 1 1 0 1 0 1 1 0 1 1 0 1 1 1 1 0 0 0 1 0 0 0 1 0 0 0 1 1 0 1 1 0 0 1 1 0\n    0 0 0 0 0 0 0 0 0 0 0 0 0 0 0 0 0 0 0 0 0 0 0 0 0 0 0 0 0 0 0 0 0 0 0 0 0 0 \n    0 0 0 0 0 0 1 0 0 0 0 0 0 0]\n[0 0 0 0 0 1 1 0 1 0 1 1 0 1 1 0 1 1 1 1 0 0 0 1 0 0 0 1 0 0 0 1 1 0 1 1 0 0 1 1\n    0 0 0 0 0 0 0 0 0 0 0 0 0 0 0 0 0 0 0 0 0 0 0 0 0 0 0 0 0 0 0 0 0 0 0 0 0 0 \n    0 0 0 0 0 0 0 1 0 0 0 0 0 0]\n[1 0 0 1 1 1 0 1 1 0 0 0 0 0 0 1 1 0 0 0 0 1 0 0 1 1 1 0 0 1 0 0 1 0 1 1 0 1 1 1\n    0 0 0 0 0 0 0 0 0 0 0 0 0 0 0 0 0 0 0 0 0 0 0 0 0 0 0 0 0 0 0 0 0 0 0 0 0 0 \n    0 0 0 0 0 0 0 0 1 0 0 0 0 0]\n[1 1 0 1 0 0 0 0 0 0 0 1 1 0 1 0 0 0 1 1 1 1 1 0 0 0 0 1 1 1 1 0 0 0 1 1 0 1 0 1\n    0 0 0 0 0 0 0 0 0 0 0 0 0 0 0 0 0 0 0 0 0 0 0 0 0 0 0 0 0 0 0 0 0 0 0 0 0 0 \n    0 0 0 0 0 0 0 0 0 1 0 0 0 0]\n[1 1 1 1 0 1 1 0 1 1 0 1 0 1 1 1 1 1 1 0 0 0 1 1 0 1 1 0 0 0 1 1 0 1 1 1 0 1 0 0\n    0 0 0 0 0 0 0 0 0 0 0 0 0 0 0 0 0 0 0 0 0 0 0 0 0 0 0 0 0 0 0 0 0 0 0 0 0 0 \n    0 0 0 0 0 0 0 0 0 0 1 0 0 0]\n[0 1 1 1 1 0 1 1 0 1 1 0 1 0 1 1 1 1 1 1 0 0 0 1 1 0 1 1 0 0 0 1 1 0 1 1 1 0 1 0\n    0 0 0 0 0 0 0 0 0 0 0 0 0 0 0 0 0 0 0 0 0 0 0 0 0 0 0 0 0 0 0 0 0 0 0 0 0 0 \n    0 0 0 0 0 0 0 0 0 0 0 1 0 0]\n[0 0 1 1 1 1 0 1 1 0 1 1 0 1 0 1 1 1 1 1 1 0 0 0 1 1 0 1 1 0 0 0 1 1 0 1 1 1 0 1\n    0 0 0 0 0 0 0 0 0 0 0 0 0 0 0 0 0 0 0 0 0 0 0 0 0 0 0 0 0 0 0 0 0 0 0 0 0 0 \n    0 0 0 0 0 0 0 0 0 0 0 0 1 0]\n[1 0 1 1 1 1 1 0 1 0 0 1 1 1 0 0 1 1 0 0 0 1 1 0 1 1 1 0 1 0 0 0 0 1 1 1 0 1 1 1\n    0 0 0 0 0 0 0 0 0 0 0 0 0 0 0 0 0 0 0 0 0 0 0 0 0 0 0 0 0 0 0 0 0 0 0 0 0 0 \n    0 0 0 0 0 0 0 0 0 0 0 0 0 1]\n[92, 52] Linear Code over GF(2)\nGenerator matrix:\n[1 0 0 0 0 0 0 0 0 0 0 0 0 0 0 0 0 0 0 0 0 0 0 0 0 0 0 0 0 0 0 0 0 0 0 0 0 0 0 0\n    0 0 0 0 0 0 0 0 0 0 0 0 0 0 1 1 1 1 1 1 1 0 0 0 0 1 0 0 0 0 1 0 1 1 0 0 1 1 \n    1 1 1 0 0 0 0 0 0 1 0 0 0 1]\n[0 1 0 0 0 0 0 0 0 0 0 0 0 0 0 0 0 0 0 0 0 0 0 0 0 0 0 0 0 0 0 0 0 0 0 0 0 0 0 0\n    0 0 0 0 0 0 0 0 0 0 0 0 1 0 0 1 1 1 1 0 1 1 0 1 1 0 1 0 1 1 1 1 1 1 0 0 0 1 \n    1 0 1 1 0 0 0 1 1 0 1 1 1 0]\n[0 0 1 0 0 0 0 0 0 0 0 0 0 0 0 0 0 0 0 0 0 0 0 0 0 0 0 0 0 0 0 0 0 0 0 0 0 0 0 0\n    0 0 0 0 0 0 0 0 0 0 0 0 0 1 1 1 0 0 0 0 1 1 1 0 1 0 0 1 0 1 0 1 0 0 1 0 1 1 \n    0 0 1 1 1 0 0 0 1 0 0 1 1 1]\n[0 0 0 1 0 0 0 0 0 0 0 0 0 0 0 0 0 0 0 0 0 0 0 0 0 0 0 0 0 0 0 0 0 0 0 0 0 0 0 0\n    0 0 0 0 0 0 0 0 0 0 0 0 1 0 0 0 0 1 1 0 1 1 1 0 1 0 0 0 0 1 1 0 1 1 1 1 1 0 \n    0 0 1 1 1 1 0 1 1 0 0 1 0 1]\n[0 0 0 0 1 0 0 0 0 0 0 0 0 0 0 0 0 0 0 0 0 0 0 0 0 0 0 0 0 0 0 0 0 0 0 0 0 0 0 0\n    0 0 0 0 0 0 0 0 0 0 0 0 1 1 0 0 0 0 1 0 0 1 1 0 1 1 0 0 1 1 0 1 1 1 0 1 1 1 \n    0 1 0 1 1 1 1 1 0 1 0 1 0 0]\n[0 0 0 0 0 1 0 0 0 0 0 0 0 0 0 0 0 0 0 0 0 0 0 0 0 0 0 0 0 0 0 0 0 0 0 0 0 0 0 0\n    0 0 0 0 0 0 0 0 0 0 0 0 0 1 1 0 0 0 0 1 0 0 1 1 0 1 1 0 0 1 1 0 1 1 1 0 1 1 \n    1 0 1 0 1 1 1 1 1 0 1 0 1 0]\n[0 0 0 0 0 0 1 0 0 0 0 0 0 0 0 0 0 0 0 0 0 0 0 0 0 0 0 0 0 0 0 0 0 0 0 0 0 0 0 0\n    0 0 0 0 0 0 0 0 0 0 0 0 0 0 0 0 1 1 1 1 0 0 0 1 1 1 1 1 0 0 0 1 1 0 1 1 1 0 \n    0 0 1 1 0 1 1 1 1 0 0 1 0 1]\n[0 0 0 0 0 0 0 1 0 0 0 0 0 0 0 0 0 0 0 0 0 0 0 0 0 0 0 0 0 0 0 0 0 0 0 0 0 0 0 0\n    0 0 0 0 0 0 0 0 0 0 0 0 1 0 0 0 0 1 1 0 1 0 0 1 0 1 1 1 0 1 1 0 0 1 1 1 1 1 \n    0 1 0 1 1 0 1 0 0 1 0 1 0 0]\n[0 0 0 0 0 0 0 0 1 0 0 0 0 0 0 0 0 0 0 0 0 0 0 0 0 0 0 0 0 0 0 0 0 0 0 0 0 0 0 0\n    0 0 0 0 0 0 0 0 0 0 0 0 0 1 0 0 0 0 1 1 0 1 0 0 1 0 1 1 1 0 1 1 0 0 1 1 1 1 \n    1 0 1 0 1 1 0 1 0 0 1 0 1 0]\n[0 0 0 0 0 0 0 0 0 1 0 0 0 0 0 0 0 0 0 0 0 0 0 0 0 0 0 0 0 0 0 0 0 0 0 0 0 0 0 0\n    0 0 0 0 0 0 0 0 0 0 0 0 0 0 0 1 1 1 1 0 0 0 1 0 0 0 0 1 1 1 1 1 0 1 0 1 0 0 \n    0 0 1 1 0 1 1 0 1 1 0 1 0 1]\n[0 0 0 0 0 0 0 0 0 0 1 0 0 0 0 0 0 0 0 0 0 0 0 0 0 0 0 0 0 0 0 0 0 0 0 0 0 0 0 0\n    0 0 0 0 0 0 0 0 0 0 0 0 1 0 0 0 1 1 1 0 0 0 0 0 1 0 0 0 0 0 0 1 0 0 0 0 1 0 \n    0 1 0 1 1 0 1 0 1 1 1 1 0 0]\n[0 0 0 0 0 0 0 0 0 0 0 1 0 0 0 0 0 0 0 0 0 0 0 0 0 0 0 0 0 0 0 0 0 0 0 0 0 0 0 0\n    0 0 0 0 0 0 0 0 0 0 0 0 0 1 0 0 0 1 1 1 0 0 0 0 0 1 0 0 0 0 0 0 1 0 0 0 0 1 \n    0 0 1 0 1 1 0 1 0 1 1 1 1 0]\n[0 0 0 0 0 0 0 0 0 0 0 0 1 0 0 0 0 0 0 0 0 0 0 0 0 0 0 0 0 0 0 0 0 0 0 0 0 0 0 0\n    0 0 0 0 0 0 0 0 0 0 0 0 0 0 0 1 1 1 0 0 0 0 0 0 0 1 1 0 0 0 1 0 1 0 0 0 1 1 \n    0 1 1 1 0 1 1 0 1 1 1 1 1 1]\n[0 0 0 0 0 0 0 0 0 0 0 0 0 1 0 0 0 0 0 0 0 0 0 0 0 0 0 0 0 0 0 0 0 0 0 0 0 0 0 0\n    0 0 0 0 0 0 0 0 0 0 0 0 1 0 1 1 0 0 0 0 1 0 0 1 1 1 1 1 1 1 0 1 0 0 1 0 1 0 \n    0 0 0 1 1 0 1 0 1 0 1 0 0 1]\n[0 0 0 0 0 0 0 0 0 0 0 0 0 0 1 0 0 0 0 0 0 0 0 0 0 0 0 0 0 0 0 0 0 0 0 0 0 0 0 0\n    0 0 0 0 0 0 0 0 0 0 0 0 1 1 0 1 1 0 0 1 0 1 0 1 0 1 1 1 0 0 0 0 0 0 1 1 0 1 \n    0 1 0 0 1 1 0 0 1 1 0 0 1 0]\n[0 0 0 0 0 0 0 0 0 0 0 0 0 0 0 1 0 0 0 0 0 0 0 0 0 0 0 0 0 0 0 0 0 0 0 0 0 0 0 0\n    0 0 0 0 0 0 0 0 0 0 0 0 0 1 0 1 0 0 1 1 0 0 1 0 1 1 1 1 1 0 1 0 1 1 0 1 0 1 \n    0 1 0 0 0 1 1 0 0 0 1 0 0 1]\n[0 0 0 0 0 0 0 0 0 0 0 0 0 0 0 0 1 0 0 0 0 0 0 0 0 0 0 0 0 0 0 0 0 0 0 0 0 0 0 0\n    0 0 0 0 0 0 0 0 0 0 0 0 1 0 1 0 1 0 0 0 1 0 0 0 1 1 1 1 0 0 1 1 1 1 0 0 1 0 \n    1 1 1 0 0 0 1 0 1 0 0 0 1 0]\n[0 0 0 0 0 0 0 0 0 0 0 0 0 0 0 0 0 1 0 0 0 0 0 0 0 0 0 0 0 0 0 0 0 0 0 0 0 0 0 0\n    0 0 0 0 0 0 0 0 0 0 0 0 0 1 1 0 1 0 1 1 1 1 0 0 0 0 1 1 1 0 1 1 0 0 1 0 1 0 \n    1 0 0 1 0 0 0 1 0 0 0 0 0 1]\n[0 0 0 0 0 0 0 0 0 0 0 0 0 0 0 0 0 0 1 0 0 0 0 0 0 0 0 0 0 0 0 0 0 0 0 0 0 0 0 0\n    0 0 0 0 0 0 0 0 0 0 0 0 1 0 1 1 0 1 0 0 1 1 1 1 1 0 0 1 0 0 1 1 0 0 1 1 0 1 \n    0 0 0 0 1 0 0 1 0 0 0 1 1 0]\n[0 0 0 0 0 0 0 0 0 0 0 0 0 0 0 0 0 0 0 1 0 0 0 0 0 0 0 0 0 0 0 0 0 0 0 0 0 0 0 0\n    0 0 0 0 0 0 0 0 0 0 0 0 0 1 1 0 0 1 0 1 1 1 1 1 1 0 0 0 1 0 1 1 0 1 0 1 0 1 \n    0 1 1 0 0 1 0 0 1 1 0 0 1 1]\n[0 0 0 0 0 0 0 0 0 0 0 0 0 0 0 0 0 0 0 0 1 0 0 0 0 0 0 0 0 0 0 0 0 0 0 0 0 0 0 0\n    0 0 0 0 0 0 0 0 0 0 0 0 1 0 0 0 1 1 0 0 0 1 1 0 0 0 0 0 1 0 0 1 1 1 0 0 0 1 \n    0 0 0 1 0 0 1 1 1 0 1 1 1 1]\n[0 0 0 0 0 0 0 0 0 0 0 0 0 0 0 0 0 0 0 0 0 1 0 0 0 0 0 0 0 0 0 0 0 0 0 0 0 0 0 0\n    0 0 0 0 0 0 0 0 0 0 0 0 1 1 1 1 1 0 0 0 1 0 1 0 1 1 0 0 1 0 0 0 1 0 0 0 1 1 \n    0 0 1 0 1 0 0 0 0 0 0 0 0 1]\n[0 0 0 0 0 0 0 0 0 0 0 0 0 0 0 0 0 0 0 0 0 0 1 0 0 0 0 0 0 0 0 0 0 0 0 0 0 0 0 0\n    0 0 0 0 0 0 0 0 0 0 0 0 1 1 1 1 1 1 0 1 0 1 0 0 1 1 1 0 1 0 1 0 1 1 1 0 0 1 \n    1 1 0 1 0 1 0 1 1 0 0 1 1 0]\n[0 0 0 0 0 0 0 0 0 0 0 0 0 0 0 0 0 0 0 0 0 0 0 1 0 0 0 0 0 0 0 0 0 0 0 0 0 0 0 0\n    0 0 0 0 0 0 0 0 0 0 0 0 0 1 0 0 0 0 0 1 0 0 1 0 0 0 1 1 0 1 1 1 1 0 1 1 1 1 \n    0 0 0 0 1 0 1 0 1 0 0 0 1 1]\n[0 0 0 0 0 0 0 0 0 0 0 0 0 0 0 0 0 0 0 0 0 0 0 0 1 0 0 0 0 0 0 0 0 0 0 0 0 0 0 0\n    0 0 0 0 0 0 0 0 0 0 0 0 1 0 0 1 1 1 1 0 0 0 0 0 1 1 0 1 0 1 1 1 1 0 1 1 0 0 \n    0 0 1 0 0 1 0 0 1 0 0 1 1 1]\n[0 0 0 0 0 0 0 0 0 0 0 0 0 0 0 0 0 0 0 0 0 0 0 0 0 1 0 0 0 0 0 0 0 0 0 0 0 0 0 0\n    0 0 0 0 0 0 0 0 0 0 0 0 1 1 1 1 0 0 0 1 1 0 0 1 1 0 1 0 0 1 1 1 1 0 1 1 0 1 \n    1 0 1 1 0 0 1 1 1 0 0 1 0 1]\n[0 0 0 0 0 0 0 0 0 0 0 0 0 0 0 0 0 0 0 0 0 0 0 0 0 0 1 0 0 0 0 0 0 0 0 0 0 0 0 0\n    0 0 0 0 0 0 0 0 0 0 0 0 1 1 1 1 1 0 0 1 1 1 0 1 0 1 0 1 1 1 0 1 0 1 1 1 1 0 \n    1 0 0 1 1 0 0 0 0 1 0 1 0 0]\n[0 0 0 0 0 0 0 0 0 0 0 0 0 0 0 0 0 0 0 0 0 0 0 0 0 0 0 1 0 0 0 0 0 0 0 0 0 0 0 0\n    0 0 0 0 0 0 0 0 0 0 0 0 0 1 1 1 1 1 0 0 1 1 1 0 1 0 1 0 1 1 1 0 1 0 1 1 1 1 \n    0 1 0 0 1 1 0 0 0 0 1 0 1 0]\n[0 0 0 0 0 0 0 0 0 0 0 0 0 0 0 0 0 0 0 0 0 0 0 0 0 0 0 0 1 0 0 0 0 0 0 0 0 0 0 0\n    0 0 0 0 0 0 0 0 0 0 0 0 0 0 0 0 0 0 0 1 1 1 1 1 0 0 0 1 0 1 0 1 1 0 0 1 0 0 \n    0 1 0 0 0 1 1 0 0 1 0 1 0 1]\n[0 0 0 0 0 0 0 0 0 0 0 0 0 0 0 0 0 0 0 0 0 0 0 0 0 0 0 0 0 1 0 0 0 0 0 0 0 0 0 0\n    0 0 0 0 0 0 0 0 0 0 0 0 1 0 0 0 0 0 0 1 1 1 1 0 0 0 0 0 0 1 0 0 0 1 1 0 1 0 \n    0 1 1 0 0 0 1 0 1 0 1 1 0 0]\n[0 0 0 0 0 0 0 0 0 0 0 0 0 0 0 0 0 0 0 0 0 0 0 0 0 0 0 0 0 0 1 0 0 0 0 0 0 0 0 0\n    0 0 0 0 0 0 0 0 0 0 0 0 0 1 0 0 0 0 0 0 1 1 1 1 0 0 0 0 0 0 1 0 0 0 1 1 0 1 \n    0 0 1 1 0 0 0 1 0 1 0 1 1 0]\n[0 0 0 0 0 0 0 0 0 0 0 0 0 0 0 0 0 0 0 0 0 0 0 0 0 0 0 0 0 0 0 1 0 0 0 0 0 0 0 0\n    0 0 0 0 0 0 0 0 0 0 0 0 0 0 0 1 1 1 1 1 1 1 1 1 1 1 0 0 0 0 1 1 1 1 0 1 0 1 \n    0 1 1 1 1 0 0 0 1 1 1 0 1 1]\n[0 0 0 0 0 0 0 0 0 0 0 0 0 0 0 0 0 0 0 0 0 0 0 0 0 0 0 0 0 0 0 0 1 0 0 0 0 0 0 0\n    0 0 0 0 0 0 0 0 0 0 0 0 1 0 1 1 0 0 0 1 0 1 1 0 0 0 1 0 1 1 0 1 1 0 0 0 0 1 \n    0 0 0 1 1 1 0 1 1 0 1 0 1 1]\n[0 0 0 0 0 0 0 0 0 0 0 0 0 0 0 0 0 0 0 0 0 0 0 0 0 0 0 0 0 0 0 0 0 1 0 0 0 0 0 0\n    0 0 0 0 0 0 0 0 0 0 0 0 1 1 1 0 0 1 1 0 0 0 1 0 1 1 0 1 1 0 1 0 1 0 1 0 1 1 \n    0 0 1 0 1 1 1 1 0 0 0 0 1 1]\n[0 0 0 0 0 0 0 0 0 0 0 0 0 0 0 0 0 0 0 0 0 0 0 0 0 0 0 0 0 0 0 0 0 0 1 0 0 0 0 0\n    0 0 0 0 0 0 0 0 0 0 0 0 1 1 0 0 1 1 0 1 1 0 0 0 1 0 1 0 0 0 0 1 0 0 1 1 1 0 \n    0 0 1 1 0 1 1 0 0 1 0 1 1 1]\n[0 0 0 0 0 0 0 0 0 0 0 0 0 0 0 0 0 0 0 0 0 0 0 0 0 0 0 0 0 0 0 0 0 0 0 1 0 0 0 0\n    0 0 0 0 0 0 0 0 0 0 0 0 1 1 0 1 1 0 0 0 0 1 0 1 1 0 0 1 1 1 0 0 1 1 1 1 0 0 \n    1 0 1 1 1 0 1 0 1 1 1 1 0 1]\n[0 0 0 0 0 0 0 0 0 0 0 0 0 0 0 0 0 0 0 0 0 0 0 0 0 0 0 0 0 0 0 0 0 0 0 0 1 0 0 0\n    0 0 0 0 0 0 0 0 0 0 0 0 1 1 1 0 1 1 0 1 0 0 1 1 0 1 0 0 0 0 0 0 1 1 0 1 1 0 \n    0 0 0 1 1 1 0 0 1 1 1 0 0 0]\n[0 0 0 0 0 0 0 0 0 0 0 0 0 0 0 0 0 0 0 0 0 0 0 0 0 0 0 0 0 0 0 0 0 0 0 0 0 1 0 0\n    0 0 0 0 0 0 0 0 0 0 0 0 0 1 1 1 0 1 1 0 1 0 0 1 1 0 1 0 0 0 0 0 0 1 1 0 1 1 \n    0 0 0 0 1 1 1 0 0 1 1 1 0 0]\n[0 0 0 0 0 0 0 0 0 0 0 0 0 0 0 0 0 0 0 0 0 0 0 0 0 0 0 0 0 0 0 0 0 0 0 0 0 0 1 0\n    0 0 0 0 0 0 0 0 0 0 0 0 0 0 1 1 1 0 1 1 0 1 0 0 1 1 0 1 0 0 0 0 0 0 1 1 0 1 \n    1 0 0 0 0 1 1 1 0 0 1 1 1 0]\n[0 0 0 0 0 0 0 0 0 0 0 0 0 0 0 0 0 0 0 0 0 0 0 0 0 0 0 0 0 0 0 0 0 0 0 0 0 0 0 1\n    0 0 0 0 0 0 0 0 0 0 0 0 0 0 1 0 0 0 1 0 0 0 1 0 0 0 1 0 1 0 1 0 1 1 0 1 0 1 \n    0 0 1 0 0 0 1 1 1 1 0 1 1 1]\n[0 0 0 0 0 0 0 0 0 0 0 0 0 0 0 0 0 0 0 0 0 0 0 0 0 0 0 0 0 0 0 0 0 0 0 0 0 0 0 0\n    1 0 0 0 0 0 0 0 0 0 0 0 1 0 1 0 1 1 1 1 1 0 0 0 1 1 0 1 1 0 0 1 0 0 0 0 0 1 \n    0 0 1 1 0 0 0 0 0 0 1 1 0 1]\n[0 0 0 0 0 0 0 0 0 0 0 0 0 0 0 0 0 0 0 0 0 0 0 0 0 0 0 0 0 0 0 0 0 0 0 0 0 0 0 0\n    0 1 0 0 0 0 0 0 0 0 0 0 1 1 0 1 0 1 1 0 1 1 0 1 1 1 1 0 0 0 1 0 0 0 1 0 0 0 \n    1 1 0 1 1 0 0 1 1 0 0 0 0 0]\n[0 0 0 0 0 0 0 0 0 0 0 0 0 0 0 0 0 0 0 0 0 0 0 0 0 0 0 0 0 0 0 0 0 0 0 0 0 0 0 0\n    0 0 1 0 0 0 0 0 0 0 0 0 0 1 1 0 1 0 1 1 0 1 1 0 1 1 1 1 0 0 0 1 0 0 0 1 0 0 \n    0 1 1 0 1 1 0 0 1 1 0 0 0 0]\n[0 0 0 0 0 0 0 0 0 0 0 0 0 0 0 0 0 0 0 0 0 0 0 0 0 0 0 0 0 0 0 0 0 0 0 0 0 0 0 0\n    0 0 0 1 0 0 0 0 0 0 0 0 0 0 1 1 0 1 0 1 1 0 1 1 0 1 1 1 1 0 0 0 1 0 0 0 1 0 \n    0 0 1 1 0 1 1 0 0 1 1 0 0 0]\n[0 0 0 0 0 0 0 0 0 0 0 0 0 0 0 0 0 0 0 0 0 0 0 0 0 0 0 0 0 0 0 0 0 0 0 0 0 0 0 0\n    0 0 0 0 1 0 0 0 0 0 0 0 0 0 0 1 1 0 1 0 1 1 0 1 1 0 1 1 1 1 0 0 0 1 0 0 0 1 \n    0 0 0 1 1 0 1 1 0 0 1 1 0 0]\n[0 0 0 0 0 0 0 0 0 0 0 0 0 0 0 0 0 0 0 0 0 0 0 0 0 0 0 0 0 0 0 0 0 0 0 0 0 0 0 0\n    0 0 0 0 0 1 0 0 0 0 0 0 0 0 0 0 1 1 0 1 0 1 1 0 1 1 0 1 1 1 1 0 0 0 1 0 0 0 \n    1 0 0 0 1 1 0 1 1 0 0 1 1 0]\n[0 0 0 0 0 0 0 0 0 0 0 0 0 0 0 0 0 0 0 0 0 0 0 0 0 0 0 0 0 0 0 0 0 0 0 0 0 0 0 0\n    0 0 0 0 0 0 1 0 0 0 0 0 0 0 1 1 1 0 0 1 0 0 1 1 0 0 1 0 1 1 0 1 1 1 0 1 1 1 \n    1 0 1 0 0 1 1 0 1 0 0 0 1 1]\n[0 0 0 0 0 0 0 0 0 0 0 0 0 0 0 0 0 0 0 0 0 0 0 0 0 0 0 0 0 0 0 0 0 0 0 0 0 0 0 0\n    0 0 0 0 0 0 0 1 0 0 0 0 1 0 1 0 0 0 1 0 0 0 0 0 0 1 0 1 1 0 1 0 1 0 0 0 0 0 \n    0 1 1 1 0 0 1 0 1 0 0 1 1 1]\n[0 0 0 0 0 0 0 0 0 0 0 0 0 0 0 0 0 0 0 0 0 0 0 0 0 0 0 0 0 0 0 0 0 0 0 0 0 0 0 0\n    0 0 0 0 0 0 0 0 1 0 0 0 1 1 1 0 1 1 1 1 1 0 0 1 1 1 1 0 0 0 0 1 0 0 1 0 1 1 \n    1 0 0 1 1 0 0 0 1 0 0 1 0 1]\n[0 0 0 0 0 0 0 0 0 0 0 0 0 0 0 0 0 0 0 0 0 0 0 0 0 0 0 0 0 0 0 0 0 0 0 0 0 0 0 0\n    0 0 0 0 0 0 0 0 0 1 0 0 1 1 1 1 0 1 1 0 1 1 0 1 0 1 1 1 1 1 1 0 0 0 1 1 0 1 \n    1 0 0 0 1 1 0 1 1 1 0 1 0 0]\n[0 0 0 0 0 0 0 0 0 0 0 0 0 0 0 0 0 0 0 0 0 0 0 0 0 0 0 0 0 0 0 0 0 0 0 0 0 0 0 0\n    0 0 0 0 0 0 0 0 0 0 1 0 0 1 1 1 1 0 1 1 0 1 1 0 1 0 1 1 1 1 1 1 0 0 0 1 1 0 \n    1 1 0 0 0 1 1 0 1 1 1 0 1 0]\n[0 0 0 0 0 0 0 0 0 0 0 0 0 0 0 0 0 0 0 0 0 0 0 0 0 0 0 0 0 0 0 0 0 0 0 0 0 0 0 0\n    0 0 0 0 0 0 0 0 0 0 0 1 0 0 0 0 0 0 1 0 0 0 1 1 0 0 0 1 1 1 0 1 0 1 0 0 0 0 \n    1 0 0 0 0 0 1 1 0 0 1 1 0 1]\nLinear Code over GF(2) of length 92 with 52 generators.\nLower Bound: 1, Upper Bound: 41\nConstructed 2 distinct generator matrices\nRelative Ranks:  52  40 \nTime Taken: 0.00\nStarting search for low weight codewords... (reset timings)\nEnumerating using 1 generator at a time:\n     New codeword identified of weight 19, time 0.00\n     New codeword identified of weight 16, time 0.00\n     New codeword identified of weight 15, time 0.00\n   Completed Matrix  1:  lower =  2, upper = 15. Elapsed: 0.00s\n   Completed Matrix  2:  lower =  2, upper = 15. Elapsed: 0.00s\nTermination predicted with 13 generators at matrix 1\nEnumerating using 2 generators at a time:\n     New codeword identified of weight 14, time 0.00\n   Completed Matrix  1:  lower =  3, upper = 14. Elapsed: 0.00s\n   Completed Matrix  2:  lower =  3, upper = 14. Elapsed: 0.00s\nTermination predicted with 12 generators at matrix 2\nEnumerating using 3 generators at a time:\n   Completed Matrix  1:  lower =  4, upper = 14. Elapsed: 0.00s\n   Completed Matrix  2:  lower =  4, upper = 14. Elapsed: 0.00s\nTermination predicted with 12 generators at matrix 2\nEnumerating using 4 generators at a time:\n     New codeword identified of weight 13, time 0.00\n     Discarding non-contributing rank 40 matrix\n     New Relative Ranks:  52 \n   Completed Matrix  1:  lower =  5, upper = 13. Elapsed: 0.00s\nTermination predicted with 12 generators at matrix 1\nEnumerating using 5 generators at a time:\n   Completed Matrix  1:  lower =  6, upper = 13. Elapsed: 0.00s\nTermination predicted with 12 generators at matrix 1\nEnumerating using 6 generators at a time:\n   Completed Matrix  1:  lower =  7, upper = 13. Elapsed: 0.05s\nTermination predicted with 12 generators at matrix 1\nEnumerating using 7 generators at a time:\n   Completed Matrix  1:  lower =  8, upper = 13. Elapsed: 0.32s\nTermination predicted at 585 s (9m 45s) with 12 generators at matrix 1\nEnumerating using 8 generators at a time:\n   Completed Matrix  1:  lower =  9, upper = 13. Elapsed: 1.85s\nTermination predicted at 587 s (9m 47s) with 12 generators at matrix 1\nEnumerating using 9 generators at a time:\n   Completed Matrix  1:  lower = 10, upper = 13. Elapsed: 9.69s\nTermination predicted at 606 s (10m 6s) with 12 generators at matrix 1\nEnumerating using 10 generators at a time:\n   Completed Matrix  1:  lower = 11, upper = 13. Elapsed: 44.65s\nTermination predicted at 628 s (10m 28s) with 12 generators at matrix 1\nEnumerating using 11 generators at a time:\n   Completed Matrix  1:  lower = 12, upper = 13. Elapsed: 183.22s\nTermination predicted at 651 s (10m 51s) with 12 generators at matrix 1\nEnumerating using 12 generators at a time:\n   Completed Matrix  1:  lower = 13, upper = 13. Elapsed: 676.28s\nComputation complete 287191833201 vectors enumerated in total\n (0.006377% of 92 52 code)\nFinal Results: lower = 13, upper = 13,\nTotal CPU time: 676.28, real time: 676.783\n13\n\nTotal time: 676.299 seconds, Total memory usage: 32.09MB\n</t>
  </si>
  <si>
    <t>[[93,53,13]]</t>
  </si>
  <si>
    <t>Magma V2.28-26    Tue Dec 30 2025 10:04:12 on Marks-MacBook-Air-2 [Seed = \n1817617973]\nType ? for help.  Type &lt;Ctrl&gt;-D to quit.\n[1 0 0 1 1 1 1 0 1 1 0 1 1 0 1 0 1 1 1 1 1 1 0 0 0 1 1 0 1 1 0 0 0 1 1 0 1 1 1 0\n    1 0 0 0 0 0 0 0 0 0 0 0 0 0 0 0 0 0 0 0 0 0 0 0 0 0 0 0 0 0 0 0 0 0 0 0 0 0 \n    0 0 0 0 0 0 0 0 0 0 0 0 0 0 0]\n[0 1 0 0 1 1 1 1 0 1 1 0 1 1 0 1 0 1 1 1 1 1 1 0 0 0 1 1 0 1 1 0 0 0 1 1 0 1 1 1\n    0 1 0 0 0 0 0 0 0 0 0 0 0 0 0 0 0 0 0 0 0 0 0 0 0 0 0 0 0 0 0 0 0 0 0 0 0 0 \n    0 0 0 0 0 0 0 0 0 0 0 0 0 0 0]\n[1 0 1 1 1 0 0 1 0 1 1 0 1 1 0 0 0 1 0 0 0 0 1 1 0 1 1 1 0 1 1 1 0 1 1 1 0 1 0 1\n    0 0 1 0 0 0 0 0 0 0 0 0 0 0 0 0 0 0 0 0 0 0 0 0 0 0 0 0 0 0 0 0 0 0 0 0 0 0 \n    0 0 0 0 0 0 0 0 0 0 0 0 0 0 0]\n[1 1 0 0 0 0 1 0 0 1 1 0 1 1 0 0 1 1 0 1 1 1 0 1 1 1 0 1 0 1 1 1 1 1 0 1 0 1 0 0\n    0 0 0 1 0 0 0 0 0 0 0 0 0 0 0 0 0 0 0 0 0 0 0 0 0 0 0 0 0 0 0 0 0 0 0 0 0 0 \n    0 0 0 0 0 0 0 0 0 0 0 0 0 0 0]\n[0 1 1 0 0 0 0 1 0 0 1 1 0 1 1 0 0 1 1 0 1 1 1 0 1 1 1 0 1 0 1 1 1 1 1 0 1 0 1 0\n    0 0 0 0 1 0 0 0 0 0 0 0 0 0 0 0 0 0 0 0 0 0 0 0 0 0 0 0 0 0 0 0 0 0 0 0 0 0 \n    0 0 0 0 0 0 0 0 0 0 0 0 0 0 0]\n[0 0 1 1 0 0 0 0 1 0 0 1 1 0 1 1 0 0 1 1 0 1 1 1 0 1 1 1 0 1 0 1 1 1 1 1 0 1 0 1\n    0 0 0 0 0 1 0 0 0 0 0 0 0 0 0 0 0 0 0 0 0 0 0 0 0 0 0 0 0 0 0 0 0 0 0 0 0 0 \n    0 0 0 0 0 0 0 0 0 0 0 0 0 0 0]\n[1 0 0 0 0 1 1 0 1 0 0 1 0 1 1 1 0 1 1 0 0 1 1 1 1 1 0 1 0 1 1 0 1 0 0 1 0 1 0 0\n    0 0 0 0 0 0 1 0 0 0 0 0 0 0 0 0 0 0 0 0 0 0 0 0 0 0 0 0 0 0 0 0 0 0 0 0 0 0 \n    0 0 0 0 0 0 0 0 0 0 0 0 0 0 0]\n[0 1 0 0 0 0 1 1 0 1 0 0 1 0 1 1 1 0 1 1 0 0 1 1 1 1 1 0 1 0 1 1 0 1 0 0 1 0 1 0\n    0 0 0 0 0 0 0 1 0 0 0 0 0 0 0 0 0 0 0 0 0 0 0 0 0 0 0 0 0 0 0 0 0 0 0 0 0 0 \n    0 0 0 0 0 0 0 0 0 0 0 0 0 0 0]\n[0 0 1 0 0 0 0 1 1 0 1 0 0 1 0 1 1 1 0 1 1 0 0 1 1 1 1 1 0 1 0 1 1 0 1 0 0 1 0 1\n    0 0 0 0 0 0 0 0 1 0 0 0 0 0 0 0 0 0 0 0 0 0 0 0 0 0 0 0 0 0 0 0 0 0 0 0 0 0 \n    0 0 0 0 0 0 0 0 0 0 0 0 0 0 0]\n[1 0 0 0 1 1 1 0 0 0 0 0 1 0 0 0 0 0 0 1 0 0 0 0 1 0 0 1 0 1 1 0 1 0 1 1 1 1 0 0\n    0 0 0 0 0 0 0 0 0 1 0 0 0 0 0 0 0 0 0 0 0 0 0 0 0 0 0 0 0 0 0 0 0 0 0 0 0 0 \n    0 0 0 0 0 0 0 0 0 0 0 0 0 0 0]\n[0 1 0 0 0 1 1 1 0 0 0 0 0 1 0 0 0 0 0 0 1 0 0 0 0 1 0 0 1 0 1 1 0 1 0 1 1 1 1 0\n    0 0 0 0 0 0 0 0 0 0 1 0 0 0 0 0 0 0 0 0 0 0 0 0 0 0 0 0 0 0 0 0 0 0 0 0 0 0 \n    0 0 0 0 0 0 0 0 0 0 0 0 0 0 0]\n[0 0 1 0 0 0 1 1 1 0 0 0 0 0 1 0 0 0 0 0 0 1 0 0 0 0 1 0 0 1 0 1 1 0 1 0 1 1 1 1\n    0 0 0 0 0 0 0 0 0 0 0 1 0 0 0 0 0 0 0 0 0 0 0 0 0 0 0 0 0 0 0 0 0 0 0 0 0 0 \n    0 0 0 0 0 0 0 0 0 0 0 0 0 0 0]\n[1 0 0 0 1 1 1 1 0 0 0 1 1 0 1 1 1 1 1 1 1 1 1 0 0 1 1 1 1 1 1 0 1 0 1 1 1 0 0 1\n    0 0 0 0 0 0 0 0 0 0 0 0 1 0 0 0 0 0 0 0 0 0 0 0 0 0 0 0 0 0 0 0 0 0 0 0 0 0 \n    0 0 0 0 0 0 0 0 0 0 0 0 0 0 0]\n[1 1 0 1 1 0 0 1 0 1 0 1 0 1 1 1 0 0 0 0 0 0 1 1 0 1 0 1 0 0 1 1 0 0 1 1 0 0 1 0\n    0 0 0 0 0 0 0 0 0 0 0 0 0 1 0 0 0 0 0 0 0 0 0 0 0 0 0 0 0 0 0 0 0 0 0 0 0 0 \n    0 0 0 0 0 0 0 0 0 0 0 0 0 0 0]\n[0 1 1 0 1 1 0 0 1 0 1 0 1 0 1 1 1 0 0 0 0 0 0 1 1 0 1 0 1 0 0 1 1 0 0 1 1 0 0 1\n    0 0 0 0 0 0 0 0 0 0 0 0 0 0 1 0 0 0 0 0 0 0 0 0 0 0 0 0 0 0 0 0 0 0 0 0 0 0 \n    0 0 0 0 0 0 0 0 0 0 0 0 0 0 0]\n[1 0 1 0 1 0 0 0 1 0 0 0 1 1 1 1 0 0 1 1 1 1 0 0 1 0 1 1 1 0 0 0 1 0 1 0 0 0 1 0\n    0 0 0 0 0 0 0 0 0 0 0 0 0 0 0 1 0 0 0 0 0 0 0 0 0 0 0 0 0 0 0 0 0 0 0 0 0 0 \n    0 0 0 0 0 0 0 0 0 0 0 0 0 0 0]\n[0 1 0 1 0 1 0 0 0 1 0 0 0 1 1 1 1 0 0 1 1 1 1 0 0 1 0 1 1 1 0 0 0 1 0 1 0 0 0 1\n    0 0 0 0 0 0 0 0 0 0 0 0 0 0 0 0 1 0 0 0 0 0 0 0 0 0 0 0 0 0 0 0 0 0 0 0 0 0 \n    0 0 0 0 0 0 0 0 0 0 0 0 0 0 0]\n[1 0 1 1 0 1 0 0 1 1 1 1 1 0 0 1 0 0 1 1 0 0 1 1 0 1 0 0 0 0 1 0 0 1 0 0 0 1 1 0\n    0 0 0 0 0 0 0 0 0 0 0 0 0 0 0 0 0 1 0 0 0 0 0 0 0 0 0 0 0 0 0 0 0 0 0 0 0 0 \n    0 0 0 0 0 0 0 0 0 0 0 0 0 0 0]\n[0 1 0 1 1 0 1 0 0 1 1 1 1 1 0 0 1 0 0 1 1 0 0 1 1 0 1 0 0 0 0 1 0 0 1 0 0 0 1 1\n    0 0 0 0 0 0 0 0 0 0 0 0 0 0 0 0 0 0 1 0 0 0 0 0 0 0 0 0 0 0 0 0 0 0 0 0 0 0 \n    0 0 0 0 0 0 0 0 0 0 0 0 0 0 0]\n[1 0 1 1 0 0 1 1 1 1 1 0 0 1 0 0 1 0 1 1 0 0 0 0 1 0 1 1 1 1 0 0 1 1 1 1 1 1 1 1\n    0 0 0 0 0 0 0 0 0 0 0 0 0 0 0 0 0 0 0 1 0 0 0 0 0 0 0 0 0 0 0 0 0 0 0 0 0 0 \n    0 0 0 0 0 0 0 0 0 0 0 0 0 0 0]\n[1 1 0 0 0 1 1 1 0 0 1 0 1 0 0 0 1 0 1 0 0 1 0 0 0 0 1 1 0 0 1 0 0 0 0 1 0 0 0 1\n    0 0 0 0 0 0 0 0 0 0 0 0 0 0 0 0 0 0 0 0 1 0 0 0 0 0 0 0 0 0 0 0 0 0 0 0 0 0 \n    0 0 0 0 0 0 0 0 0 0 0 0 0 0 0]\n[1 1 1 1 1 1 0 1 0 1 0 0 1 1 1 0 1 0 1 0 1 1 1 0 0 1 1 1 0 1 0 1 0 1 1 0 0 1 1 0\n    0 0 0 0 0 0 0 0 0 0 0 0 0 0 0 0 0 0 0 0 0 1 0 0 0 0 0 0 0 0 0 0 0 0 0 0 0 0 \n    0 0 0 0 0 0 0 0 0 0 0 0 0 0 0]\n[0 1 1 1 1 1 1 0 1 0 1 0 0 1 1 1 0 1 0 1 0 1 1 1 0 0 1 1 1 0 1 0 1 0 1 1 0 0 1 1\n    0 0 0 0 0 0 0 0 0 0 0 0 0 0 0 0 0 0 0 0 0 0 1 0 0 0 0 0 0 0 0 0 0 0 0 0 0 0 \n    0 0 0 0 0 0 0 0 0 0 0 0 0 0 0]\n[1 0 1 0 0 0 0 1 1 0 0 0 1 0 0 1 0 1 0 1 0 1 1 1 1 1 1 1 0 0 0 1 0 0 1 1 0 1 1 1\n    0 0 0 0 0 0 0 0 0 0 0 0 0 0 0 0 0 0 0 0 0 0 0 1 0 0 0 0 0 0 0 0 0 0 0 0 0 0 \n    0 0 0 0 0 0 0 0 0 0 0 0 0 0 0]\n[1 1 0 0 1 1 1 0 0 0 0 1 1 1 1 0 0 1 0 1 0 1 1 1 1 0 0 1 0 1 0 0 1 1 1 1 0 1 0 1\n    0 0 0 0 0 0 0 0 0 0 0 0 0 0 0 0 0 0 0 0 0 0 0 0 1 0 0 0 0 0 0 0 0 0 0 0 0 0 \n    0 0 0 0 0 0 0 0 0 0 0 0 0 0 0]\n[1 1 1 1 1 0 0 1 1 1 0 1 0 1 0 1 1 1 0 1 0 1 1 1 1 0 1 0 0 1 1 0 0 0 0 1 0 1 0 0\n    0 0 0 0 0 0 0 0 0 0 0 0 0 0 0 0 0 0 0 0 0 0 0 0 0 1 0 0 0 0 0 0 0 0 0 0 0 0 \n    0 0 0 0 0 0 0 0 0 0 0 0 0 0 0]\n[0 1 1 1 1 1 0 0 1 1 1 0 1 0 1 0 1 1 1 0 1 0 1 1 1 1 0 1 0 0 1 1 0 0 0 0 1 0 1 0\n    0 0 0 0 0 0 0 0 0 0 0 0 0 0 0 0 0 0 0 0 0 0 0 0 0 0 1 0 0 0 0 0 0 0 0 0 0 0 \n    0 0 0 0 0 0 0 0 0 0 0 0 0 0 0]\n[0 0 1 1 1 1 1 0 0 1 1 1 0 1 0 1 0 1 1 1 0 1 0 1 1 1 1 0 1 0 0 1 1 0 0 0 0 1 0 1\n    0 0 0 0 0 0 0 0 0 0 0 0 0 0 0 0 0 0 0 0 0 0 0 0 0 0 0 1 0 0 0 0 0 0 0 0 0 0 \n    0 0 0 0 0 0 0 0 0 0 0 0 0 0 0]\n[1 0 0 0 0 0 0 1 1 1 1 0 0 0 0 0 0 1 0 0 0 1 1 0 1 0 0 1 1 0 0 0 1 0 1 0 1 1 0 0\n    0 0 0 0 0 0 0 0 0 0 0 0 0 0 0 0 0 0 0 0 0 0 0 0 0 0 0 0 1 0 0 0 0 0 0 0 0 0 \n    0 0 0 0 0 0 0 0 0 0 0 0 0 0 0]\n[0 1 0 0 0 0 0 0 1 1 1 1 0 0 0 0 0 0 1 0 0 0 1 1 0 1 0 0 1 1 0 0 0 1 0 1 0 1 1 0\n    0 0 0 0 0 0 0 0 0 0 0 0 0 0 0 0 0 0 0 0 0 0 0 0 0 0 0 0 0 1 0 0 0 0 0 0 0 0 \n    0 0 0 0 0 0 0 0 0 0 0 0 0 0 0]\n[0 0 1 0 0 0 0 0 0 1 1 1 1 0 0 0 0 0 0 1 0 0 0 1 1 0 1 0 0 1 1 0 0 0 1 0 1 0 1 1\n    0 0 0 0 0 0 0 0 0 0 0 0 0 0 0 0 0 0 0 0 0 0 0 0 0 0 0 0 0 0 1 0 0 0 0 0 0 0 \n    0 0 0 0 0 0 0 0 0 0 0 0 0 0 0]\n[1 0 0 0 1 1 1 0 1 1 1 0 0 1 1 0 1 1 1 1 0 1 0 0 1 0 1 1 1 1 1 1 0 1 1 1 1 0 1 1\n    0 0 0 0 0 0 0 0 0 0 0 0 0 0 0 0 0 0 0 0 0 0 0 0 0 0 0 0 0 0 0 1 0 0 0 0 0 0 \n    0 0 0 0 0 0 0 0 0 0 0 0 0 0 0]\n[1 1 0 1 1 0 0 1 1 0 1 0 1 0 0 1 1 0 0 0 0 1 1 0 0 0 1 1 0 0 1 1 1 1 0 1 0 0 1 1\n    0 0 0 0 0 0 0 0 0 0 0 0 0 0 0 0 0 0 0 0 0 0 0 0 0 0 0 0 0 0 0 0 1 0 0 0 0 0 \n    0 0 0 0 0 0 0 0 0 0 0 0 0 0 0]\n[1 1 1 1 0 0 1 0 0 0 0 0 1 1 1 0 0 0 1 1 1 1 1 1 0 1 1 1 0 1 0 1 1 0 0 0 0 1 1 1\n    0 0 0 0 0 0 0 0 0 0 0 0 0 0 0 0 0 0 0 0 0 0 0 0 0 0 0 0 0 0 0 0 0 1 0 0 0 0 \n    0 0 0 0 0 0 0 0 0 0 0 0 0 0 0]\n[1 1 1 0 0 1 1 1 1 1 0 1 1 1 0 1 1 1 1 0 0 0 1 1 1 1 0 1 0 1 1 0 1 0 1 0 1 1 0 1\n    0 0 0 0 0 0 0 0 0 0 0 0 0 0 0 0 0 0 0 0 0 0 0 0 0 0 0 0 0 0 0 0 0 0 1 0 0 0 \n    0 0 0 0 0 0 0 0 0 0 0 0 0 0 0]\n[1 1 1 0 1 1 0 1 0 0 1 1 0 1 0 0 0 0 0 0 1 1 0 1 1 0 0 0 0 1 1 1 0 0 1 1 1 0 0 0\n    0 0 0 0 0 0 0 0 0 0 0 0 0 0 0 0 0 0 0 0 0 0 0 0 0 0 0 0 0 0 0 0 0 0 0 1 0 0 \n    0 0 0 0 0 0 0 0 0 0 0 0 0 0 0]\n[0 1 1 1 0 1 1 0 1 0 0 1 1 0 1 0 0 0 0 0 0 1 1 0 1 1 0 0 0 0 1 1 1 0 0 1 1 1 0 0\n    0 0 0 0 0 0 0 0 0 0 0 0 0 0 0 0 0 0 0 0 0 0 0 0 0 0 0 0 0 0 0 0 0 0 0 0 1 0 \n    0 0 0 0 0 0 0 0 0 0 0 0 0 0 0]\n[0 0 1 1 1 0 1 1 0 1 0 0 1 1 0 1 0 0 0 0 0 0 1 1 0 1 1 0 0 0 0 1 1 1 0 0 1 1 1 0\n    0 0 0 0 0 0 0 0 0 0 0 0 0 0 0 0 0 0 0 0 0 0 0 0 0 0 0 0 0 0 0 0 0 0 0 0 0 1 \n    0 0 0 0 0 0 0 0 0 0 0 0 0 0 0]\n[0 0 0 1 1 1 0 1 1 0 1 0 0 1 1 0 1 0 0 0 0 0 0 1 1 0 1 1 0 0 0 0 1 1 1 0 0 1 1 1\n    0 0 0 0 0 0 0 0 0 0 0 0 0 0 0 0 0 0 0 0 0 0 0 0 0 0 0 0 0 0 0 0 0 0 0 0 0 0 \n    1 0 0 0 0 0 0 0 0 0 0 0 0 0 0]\n[1 0 0 1 0 0 0 0 0 0 0 0 1 0 0 1 1 0 1 1 1 1 0 0 1 0 1 1 0 1 0 0 0 0 0 1 1 1 0 1\n    0 0 0 0 0 0 0 0 0 0 0 0 0 0 0 0 0 0 0 0 0 0 0 0 0 0 0 0 0 0 0 0 0 0 0 0 0 0 \n    0 1 0 0 0 0 0 0 0 0 0 0 0 0 0]\n[1 1 0 1 0 1 1 0 1 1 0 1 1 1 1 0 0 0 1 0 0 0 1 0 0 0 1 1 0 1 1 0 0 1 1 0 0 0 0 0\n    0 0 0 0 0 0 0 0 0 0 0 0 0 0 0 0 0 0 0 0 0 0 0 0 0 0 0 0 0 0 0 0 0 0 0 0 0 0 \n    0 0 1 0 0 0 0 0 0 0 0 0 0 0 0]\n[0 1 1 0 1 0 1 1 0 1 1 0 1 1 1 1 0 0 0 1 0 0 0 1 0 0 0 1 1 0 1 1 0 0 1 1 0 0 0 0\n    0 0 0 0 0 0 0 0 0 0 0 0 0 0 0 0 0 0 0 0 0 0 0 0 0 0 0 0 0 0 0 0 0 0 0 0 0 0 \n    0 0 0 1 0 0 0 0 0 0 0 0 0 0 0]\n[0 0 1 1 0 1 0 1 1 0 1 1 0 1 1 1 1 0 0 0 1 0 0 0 1 0 0 0 1 1 0 1 1 0 0 1 1 0 0 0\n    0 0 0 0 0 0 0 0 0 0 0 0 0 0 0 0 0 0 0 0 0 0 0 0 0 0 0 0 0 0 0 0 0 0 0 0 0 0 \n    0 0 0 0 1 0 0 0 0 0 0 0 0 0 0]\n[0 0 0 1 1 0 1 0 1 1 0 1 1 0 1 1 1 1 0 0 0 1 0 0 0 1 0 0 0 1 1 0 1 1 0 0 1 1 0 0\n    0 0 0 0 0 0 0 0 0 0 0 0 0 0 0 0 0 0 0 0 0 0 0 0 0 0 0 0 0 0 0 0 0 0 0 0 0 0 \n    0 0 0 0 0 1 0 0 0 0 0 0 0 0 0]\n[0 0 0 0 1 1 0 1 0 1 1 0 1 1 0 1 1 1 1 0 0 0 1 0 0 0 1 0 0 0 1 1 0 1 1 0 0 1 1 0\n    0 0 0 0 0 0 0 0 0 0 0 0 0 0 0 0 0 0 0 0 0 0 0 0 0 0 0 0 0 0 0 0 0 0 0 0 0 0 \n    0 0 0 0 0 0 1 0 0 0 0 0 0 0 0]\n[0 0 0 0 0 1 1 0 1 0 1 1 0 1 1 0 1 1 1 1 0 0 0 1 0 0 0 1 0 0 0 1 1 0 1 1 0 0 1 1\n    0 0 0 0 0 0 0 0 0 0 0 0 0 0 0 0 0 0 0 0 0 0 0 0 0 0 0 0 0 0 0 0 0 0 0 0 0 0 \n    0 0 0 0 0 0 0 1 0 0 0 0 0 0 0]\n[1 0 0 1 1 1 0 1 1 0 0 0 0 0 0 1 1 0 0 0 0 1 0 0 1 1 1 0 0 1 0 0 1 0 1 1 0 1 1 1\n    0 0 0 0 0 0 0 0 0 0 0 0 0 0 0 0 0 0 0 0 0 0 0 0 0 0 0 0 0 0 0 0 0 0 0 0 0 0 \n    0 0 0 0 0 0 0 0 1 0 0 0 0 0 0]\n[1 1 0 1 0 0 0 0 0 0 0 1 1 0 1 0 0 0 1 1 1 1 1 0 0 0 0 1 1 1 1 0 0 0 1 1 0 1 0 1\n    0 0 0 0 0 0 0 0 0 0 0 0 0 0 0 0 0 0 0 0 0 0 0 0 0 0 0 0 0 0 0 0 0 0 0 0 0 0 \n    0 0 0 0 0 0 0 0 0 1 0 0 0 0 0]\n[1 1 1 1 0 1 1 0 1 1 0 1 0 1 1 1 1 1 1 0 0 0 1 1 0 1 1 0 0 0 1 1 0 1 1 1 0 1 0 0\n    0 0 0 0 0 0 0 0 0 0 0 0 0 0 0 0 0 0 0 0 0 0 0 0 0 0 0 0 0 0 0 0 0 0 0 0 0 0 \n    0 0 0 0 0 0 0 0 0 0 1 0 0 0 0]\n[0 1 1 1 1 0 1 1 0 1 1 0 1 0 1 1 1 1 1 1 0 0 0 1 1 0 1 1 0 0 0 1 1 0 1 1 1 0 1 0\n    0 0 0 0 0 0 0 0 0 0 0 0 0 0 0 0 0 0 0 0 0 0 0 0 0 0 0 0 0 0 0 0 0 0 0 0 0 0 \n    0 0 0 0 0 0 0 0 0 0 0 1 0 0 0]\n[0 0 1 1 1 1 0 1 1 0 1 1 0 1 0 1 1 1 1 1 1 0 0 0 1 1 0 1 1 0 0 0 1 1 0 1 1 1 0 1\n    0 0 0 0 0 0 0 0 0 0 0 0 0 0 0 0 0 0 0 0 0 0 0 0 0 0 0 0 0 0 0 0 0 0 0 0 0 0 \n    0 0 0 0 0 0 0 0 0 0 0 0 1 0 0]\n[1 0 1 1 1 1 1 0 1 0 0 1 1 1 0 0 1 1 0 0 0 1 1 0 1 1 1 0 1 0 0 0 0 1 1 1 0 1 1 1\n    0 0 0 0 0 0 0 0 0 0 0 0 0 0 0 0 0 0 0 0 0 0 0 0 0 0 0 0 0 0 0 0 0 0 0 0 0 0 \n    0 0 0 0 0 0 0 0 0 0 0 0 0 1 0]\n[1 1 0 0 0 0 0 1 1 0 0 1 0 1 0 0 1 0 0 1 1 1 1 1 0 0 0 1 1 0 0 0 0 1 0 1 0 1 0 1\n    0 0 0 0 0 0 0 0 0 0 0 0 0 0 0 0 0 0 0 0 0 0 0 0 0 0 0 0 0 0 0 0 0 0 0 0 0 0 \n    0 0 0 0 0 0 0 0 0 0 0 0 0 0 1]\n[93, 53] Linear Code over GF(2)\nGenerator matrix:\n[1 0 0 0 0 0 0 0 0 0 0 0 0 0 0 0 0 0 0 0 0 0 0 0 0 0 0 0 0 0 0 0 0 0 0 0 0 0 0 0\n    0 0 0 0 0 0 0 0 0 0 0 0 0 0 1 1 1 1 1 1 1 0 0 0 0 1 0 0 0 0 1 0 1 1 0 0 1 1 \n    1 1 1 0 0 0 0 0 0 1 0 0 0 1 0]\n[0 1 0 0 0 0 0 0 0 0 0 0 0 0 0 0 0 0 0 0 0 0 0 0 0 0 0 0 0 0 0 0 0 0 0 0 0 0 0 0\n    0 0 0 0 0 0 0 0 0 0 0 0 0 0 0 1 1 1 1 1 1 1 0 0 0 0 1 0 0 0 0 1 0 1 1 0 0 1 \n    1 1 1 1 0 0 0 0 0 0 1 0 0 0 1]\n[0 0 1 0 0 0 0 0 0 0 0 0 0 0 0 0 0 0 0 0 0 0 0 0 0 0 0 0 0 0 0 0 0 0 0 0 0 0 0 0\n    0 0 0 0 0 0 0 0 0 0 0 0 0 1 1 1 0 0 0 0 1 1 1 0 1 0 0 1 0 1 0 1 0 0 1 0 1 1 \n    0 0 1 1 1 0 0 0 1 0 0 1 1 1 0]\n[0 0 0 1 0 0 0 0 0 0 0 0 0 0 0 0 0 0 0 0 0 0 0 0 0 0 0 0 0 0 0 0 0 0 0 0 0 0 0 0\n    0 0 0 0 0 0 0 0 0 0 0 0 0 0 0 0 0 1 1 1 1 1 1 1 0 0 0 0 1 0 0 0 0 1 0 1 1 0 \n    0 1 1 1 1 1 0 0 0 0 0 0 1 1 1]\n[0 0 0 0 1 0 0 0 0 0 0 0 0 0 0 0 0 0 0 0 0 0 0 0 0 0 0 0 0 0 0 0 0 0 0 0 0 0 0 0\n    0 0 0 0 0 0 0 0 0 0 0 0 0 1 0 0 0 0 1 1 0 1 1 1 0 1 0 0 0 0 1 1 0 1 1 1 1 1 \n    0 0 0 1 1 1 1 0 1 1 0 0 1 0 1]\n[0 0 0 0 0 1 0 0 0 0 0 0 0 0 0 0 0 0 0 0 0 0 0 0 0 0 0 0 0 0 0 0 0 0 0 0 0 0 0 0\n    0 0 0 0 0 0 0 0 0 0 0 0 0 1 1 0 0 0 0 1 0 0 1 1 0 1 1 0 0 1 1 0 1 1 1 0 1 1 \n    1 0 1 0 1 1 1 1 1 0 1 0 1 0 0]\n[0 0 0 0 0 0 1 0 0 0 0 0 0 0 0 0 0 0 0 0 0 0 0 0 0 0 0 0 0 0 0 0 0 0 0 0 0 0 0 0\n    0 0 0 0 0 0 0 0 0 0 0 0 0 0 0 0 1 1 1 1 0 0 0 1 1 1 1 1 0 0 0 1 1 0 1 1 1 0 \n    0 0 1 1 0 1 1 1 1 0 0 1 0 1 0]\n[0 0 0 0 0 0 0 1 0 0 0 0 0 0 0 0 0 0 0 0 0 0 0 0 0 0 0 0 0 0 0 0 0 0 0 0 0 0 0 0\n    0 0 0 0 0 0 0 0 0 0 0 0 0 0 0 0 0 1 1 1 1 0 0 0 1 1 1 1 1 0 0 0 1 1 0 1 1 1 \n    0 0 0 1 1 0 1 1 1 1 0 0 1 0 1]\n[0 0 0 0 0 0 0 0 1 0 0 0 0 0 0 0 0 0 0 0 0 0 0 0 0 0 0 0 0 0 0 0 0 0 0 0 0 0 0 0\n    0 0 0 0 0 0 0 0 0 0 0 0 0 1 0 0 0 0 1 1 0 1 0 0 1 0 1 1 1 0 1 1 0 0 1 1 1 1 \n    1 0 1 0 1 1 0 1 0 0 1 0 1 0 0]\n[0 0 0 0 0 0 0 0 0 1 0 0 0 0 0 0 0 0 0 0 0 0 0 0 0 0 0 0 0 0 0 0 0 0 0 0 0 0 0 0\n    0 0 0 0 0 0 0 0 0 0 0 0 0 0 0 1 1 1 1 0 0 0 1 0 0 0 0 1 1 1 1 1 0 1 0 1 0 0 \n    0 0 1 1 0 1 1 0 1 1 0 1 0 1 0]\n[0 0 0 0 0 0 0 0 0 0 1 0 0 0 0 0 0 0 0 0 0 0 0 0 0 0 0 0 0 0 0 0 0 0 0 0 0 0 0 0\n    0 0 0 0 0 0 0 0 0 0 0 0 0 0 0 0 1 1 1 1 0 0 0 1 0 0 0 0 1 1 1 1 1 0 1 0 1 0 \n    0 0 0 1 1 0 1 1 0 1 1 0 1 0 1]\n[0 0 0 0 0 0 0 0 0 0 0 1 0 0 0 0 0 0 0 0 0 0 0 0 0 0 0 0 0 0 0 0 0 0 0 0 0 0 0 0\n    0 0 0 0 0 0 0 0 0 0 0 0 0 1 0 0 0 1 1 1 0 0 0 0 0 1 0 0 0 0 0 0 1 0 0 0 0 1 \n    0 0 1 0 1 1 0 1 0 1 1 1 1 0 0]\n[0 0 0 0 0 0 0 0 0 0 0 0 1 0 0 0 0 0 0 0 0 0 0 0 0 0 0 0 0 0 0 0 0 0 0 0 0 0 0 0\n    0 0 0 0 0 0 0 0 0 0 0 0 0 0 0 1 1 1 0 0 0 0 0 0 0 1 1 0 0 0 1 0 1 0 0 0 1 1 \n    0 1 1 1 0 1 1 0 1 1 1 1 1 1 0]\n[0 0 0 0 0 0 0 0 0 0 0 0 0 1 0 0 0 0 0 0 0 0 0 0 0 0 0 0 0 0 0 0 0 0 0 0 0 0 0 0\n    0 0 0 0 0 0 0 0 0 0 0 0 0 0 1 1 0 0 0 1 1 0 0 0 0 1 1 1 0 0 1 1 1 0 0 0 1 0 \n    0 1 0 1 1 0 1 1 0 0 1 1 1 1 1]\n[0 0 0 0 0 0 0 0 0 0 0 0 0 0 1 0 0 0 0 0 0 0 0 0 0 0 0 0 0 0 0 0 0 0 0 0 0 0 0 0\n    0 0 0 0 0 0 0 0 0 0 0 0 0 1 0 1 1 0 0 0 0 1 0 0 1 1 1 1 1 1 1 0 1 0 0 1 0 1 \n    0 0 0 0 1 1 0 1 0 1 0 1 0 0 1]\n[0 0 0 0 0 0 0 0 0 0 0 0 0 0 0 1 0 0 0 0 0 0 0 0 0 0 0 0 0 0 0 0 0 0 0 0 0 0 0 0\n    0 0 0 0 0 0 0 0 0 0 0 0 0 1 0 1 0 0 1 1 0 0 1 0 1 1 1 1 1 0 1 0 1 1 0 1 0 1 \n    0 1 0 0 0 1 1 0 0 0 1 0 0 1 0]\n[0 0 0 0 0 0 0 0 0 0 0 0 0 0 0 0 1 0 0 0 0 0 0 0 0 0 0 0 0 0 0 0 0 0 0 0 0 0 0 0\n    0 0 0 0 0 0 0 0 0 0 0 0 0 0 1 0 1 0 0 1 1 0 0 1 0 1 1 1 1 1 0 1 0 1 1 0 1 0 \n    1 0 1 0 0 0 1 1 0 0 0 1 0 0 1]\n[0 0 0 0 0 0 0 0 0 0 0 0 0 0 0 0 0 1 0 0 0 0 0 0 0 0 0 0 0 0 0 0 0 0 0 0 0 0 0 0\n    0 0 0 0 0 0 0 0 0 0 0 0 0 1 1 0 1 0 1 1 1 1 0 0 0 0 1 1 1 0 1 1 0 0 1 0 1 0 \n    1 0 0 1 0 0 0 1 0 0 0 0 0 1 0]\n[0 0 0 0 0 0 0 0 0 0 0 0 0 0 0 0 0 0 1 0 0 0 0 0 0 0 0 0 0 0 0 0 0 0 0 0 0 0 0 0\n    0 0 0 0 0 0 0 0 0 0 0 0 0 0 1 1 0 1 0 1 1 1 1 0 0 0 0 1 1 1 0 1 1 0 0 1 0 1 \n    0 1 0 0 1 0 0 0 1 0 0 0 0 0 1]\n[0 0 0 0 0 0 0 0 0 0 0 0 0 0 0 0 0 0 0 1 0 0 0 0 0 0 0 0 0 0 0 0 0 0 0 0 0 0 0 0\n    0 0 0 0 0 0 0 0 0 0 0 0 0 1 1 0 0 1 0 1 1 1 1 1 1 0 0 0 1 0 1 1 0 1 0 1 0 1 \n    0 1 1 0 0 1 0 0 1 1 0 0 1 1 0]\n[0 0 0 0 0 0 0 0 0 0 0 0 0 0 0 0 0 0 0 0 1 0 0 0 0 0 0 0 0 0 0 0 0 0 0 0 0 0 0 0\n    0 0 0 0 0 0 0 0 0 0 0 0 0 0 0 0 1 1 0 1 0 1 1 1 1 0 0 0 0 1 1 1 0 1 1 0 0 1 \n    0 1 0 1 0 0 1 0 0 0 1 0 0 1 1]\n[0 0 0 0 0 0 0 0 0 0 0 0 0 0 0 0 0 0 0 0 0 1 0 0 0 0 0 0 0 0 0 0 0 0 0 0 0 0 0 0\n    0 0 0 0 0 0 0 0 0 0 0 0 0 1 1 1 1 0 0 1 1 0 1 1 0 1 0 0 0 1 1 0 0 0 1 0 1 1 \n    0 1 1 0 1 0 0 1 1 0 0 1 1 1 1]\n[0 0 0 0 0 0 0 0 0 0 0 0 0 0 0 0 0 0 0 0 0 0 1 0 0 0 0 0 0 0 0 0 0 0 0 0 0 0 0 0\n    0 0 0 0 0 0 0 0 0 0 0 0 0 1 1 1 1 1 0 0 0 1 0 1 0 1 1 0 0 1 0 0 0 1 0 0 0 1 \n    1 0 0 1 0 1 0 0 0 0 0 0 0 0 1]\n[0 0 0 0 0 0 0 0 0 0 0 0 0 0 0 0 0 0 0 0 0 0 0 1 0 0 0 0 0 0 0 0 0 0 0 0 0 0 0 0\n    0 0 0 0 0 0 0 0 0 0 0 0 0 1 0 0 0 0 0 1 0 0 1 0 0 0 1 1 0 1 1 1 1 0 1 1 1 1 \n    0 0 0 0 1 0 1 0 1 0 0 0 1 1 0]\n[0 0 0 0 0 0 0 0 0 0 0 0 0 0 0 0 0 0 0 0 0 0 0 0 1 0 0 0 0 0 0 0 0 0 0 0 0 0 0 0\n    0 0 0 0 0 0 0 0 0 0 0 0 0 0 0 1 1 1 1 1 0 0 0 1 0 1 0 1 1 0 0 1 0 0 0 1 0 0 \n    0 1 1 0 0 1 0 1 0 0 0 0 0 1 1]\n[0 0 0 0 0 0 0 0 0 0 0 0 0 0 0 0 0 0 0 0 0 0 0 0 0 1 0 0 0 0 0 0 0 0 0 0 0 0 0 0\n    0 0 0 0 0 0 0 0 0 0 0 0 0 1 1 1 0 0 0 0 1 0 0 0 0 0 1 0 1 0 0 1 0 0 0 1 0 1 \n    1 1 1 1 0 0 1 0 0 0 0 0 1 1 1]\n[0 0 0 0 0 0 0 0 0 0 0 0 0 0 0 0 0 0 0 0 0 0 0 0 0 0 1 0 0 0 0 0 0 0 0 0 0 0 0 0\n    0 0 0 0 0 0 0 0 0 0 0 0 0 1 1 1 1 0 0 0 1 1 0 0 1 1 0 1 0 0 1 1 1 1 0 1 1 0 \n    1 1 0 1 1 0 0 1 1 1 0 0 1 0 1]\n[0 0 0 0 0 0 0 0 0 0 0 0 0 0 0 0 0 0 0 0 0 0 0 0 0 0 0 1 0 0 0 0 0 0 0 0 0 0 0 0\n    0 0 0 0 0 0 0 0 0 0 0 0 0 1 1 1 1 1 0 0 1 1 1 0 1 0 1 0 1 1 1 0 1 0 1 1 1 1 \n    0 1 0 0 1 1 0 0 0 0 1 0 1 0 0]\n[0 0 0 0 0 0 0 0 0 0 0 0 0 0 0 0 0 0 0 0 0 0 0 0 0 0 0 0 1 0 0 0 0 0 0 0 0 0 0 0\n    0 0 0 0 0 0 0 0 0 0 0 0 0 0 0 0 0 0 0 1 1 1 1 1 0 0 0 1 0 1 0 1 1 0 0 1 0 0 \n    0 1 0 0 0 1 1 0 0 1 0 1 0 1 0]\n[0 0 0 0 0 0 0 0 0 0 0 0 0 0 0 0 0 0 0 0 0 0 0 0 0 0 0 0 0 1 0 0 0 0 0 0 0 0 0 0\n    0 0 0 0 0 0 0 0 0 0 0 0 0 0 0 0 0 0 0 0 1 1 1 1 1 0 0 0 1 0 1 0 1 1 0 0 1 0 \n    0 0 1 0 0 0 1 1 0 0 1 0 1 0 1]\n[0 0 0 0 0 0 0 0 0 0 0 0 0 0 0 0 0 0 0 0 0 0 0 0 0 0 0 0 0 0 1 0 0 0 0 0 0 0 0 0\n    0 0 0 0 0 0 0 0 0 0 0 0 0 1 0 0 0 0 0 0 1 1 1 1 0 0 0 0 0 0 1 0 0 0 1 1 0 1 \n    0 0 1 1 0 0 0 1 0 1 0 1 1 0 0]\n[0 0 0 0 0 0 0 0 0 0 0 0 0 0 0 0 0 0 0 0 0 0 0 0 0 0 0 0 0 0 0 1 0 0 0 0 0 0 0 0\n    0 0 0 0 0 0 0 0 0 0 0 0 0 0 0 1 1 1 1 1 1 1 1 1 1 1 0 0 0 0 1 1 1 1 0 1 0 1 \n    0 1 1 1 1 0 0 0 1 1 1 0 1 1 0]\n[0 0 0 0 0 0 0 0 0 0 0 0 0 0 0 0 0 0 0 0 0 0 0 0 0 0 0 0 0 0 0 0 1 0 0 0 0 0 0 0\n    0 0 0 0 0 0 0 0 0 0 0 0 0 0 1 1 0 0 0 0 0 1 1 1 1 0 1 0 0 0 1 1 0 0 1 0 0 1 \n    0 1 0 1 1 1 0 0 0 0 1 1 0 1 1]\n[0 0 0 0 0 0 0 0 0 0 0 0 0 0 0 0 0 0 0 0 0 0 0 0 0 0 0 0 0 0 0 0 0 1 0 0 0 0 0 0\n    0 0 0 0 0 0 0 0 0 0 0 0 0 1 1 0 0 1 1 1 0 0 1 1 0 1 0 1 0 1 0 0 0 0 0 0 1 1 \n    0 1 1 0 1 1 1 0 1 0 0 1 0 1 1]\n[0 0 0 0 0 0 0 0 0 0 0 0 0 0 0 0 0 0 0 0 0 0 0 0 0 0 0 0 0 0 0 0 0 0 1 0 0 0 0 0\n    0 0 0 0 0 0 0 0 0 0 0 0 0 1 0 0 1 1 0 0 1 0 0 1 0 0 1 0 1 1 1 1 1 0 0 1 1 0 \n    0 1 1 1 0 1 1 1 1 1 0 0 0 1 1]\n[0 0 0 0 0 0 0 0 0 0 0 0 0 0 0 0 0 0 0 0 0 0 0 0 0 0 0 0 0 0 0 0 0 0 0 1 0 0 0 0\n    0 0 0 0 0 0 0 0 0 0 0 0 0 1 0 1 1 0 0 1 0 1 0 0 0 0 0 1 0 0 1 0 0 1 0 1 0 0 \n    1 1 1 1 1 0 1 1 0 1 1 0 1 1 1]\n[0 0 0 0 0 0 0 0 0 0 0 0 0 0 0 0 0 0 0 0 0 0 0 0 0 0 0 0 0 0 0 0 0 0 0 0 1 0 0 0\n    0 0 0 0 0 0 0 0 0 0 0 0 0 1 1 0 1 1 0 0 0 0 1 0 1 1 0 0 1 1 1 0 0 1 1 1 1 0 \n    0 1 0 1 1 1 0 1 0 1 1 1 1 0 1]\n[0 0 0 0 0 0 0 0 0 0 0 0 0 0 0 0 0 0 0 0 0 0 0 0 0 0 0 0 0 0 0 0 0 0 0 0 0 1 0 0\n    0 0 0 0 0 0 0 0 0 0 0 0 0 1 1 1 0 1 1 0 1 0 0 1 1 0 1 0 0 0 0 0 0 1 1 0 1 1 \n    0 0 0 0 1 1 1 0 0 1 1 1 0 0 0]\n[0 0 0 0 0 0 0 0 0 0 0 0 0 0 0 0 0 0 0 0 0 0 0 0 0 0 0 0 0 0 0 0 0 0 0 0 0 0 1 0\n    0 0 0 0 0 0 0 0 0 0 0 0 0 0 1 1 1 0 1 1 0 1 0 0 1 1 0 1 0 0 0 0 0 0 1 1 0 1 \n    1 0 0 0 0 1 1 1 0 0 1 1 1 0 0]\n[0 0 0 0 0 0 0 0 0 0 0 0 0 0 0 0 0 0 0 0 0 0 0 0 0 0 0 0 0 0 0 0 0 0 0 0 0 0 0 1\n    0 0 0 0 0 0 0 0 0 0 0 0 0 0 1 0 0 0 1 0 0 0 1 0 0 0 1 0 1 0 1 0 1 1 0 1 0 1 \n    0 0 1 0 0 0 1 1 1 1 0 1 1 1 0]\n[0 0 0 0 0 0 0 0 0 0 0 0 0 0 0 0 0 0 0 0 0 0 0 0 0 0 0 0 0 0 0 0 0 0 0 0 0 0 0 0\n    1 0 0 0 0 0 0 0 0 0 0 0 0 0 1 0 1 1 1 0 1 0 0 1 0 1 0 1 0 1 1 1 1 0 1 0 0 1 \n    0 1 1 1 0 0 0 1 1 0 1 0 1 1 1]\n[0 0 0 0 0 0 0 0 0 0 0 0 0 0 0 0 0 0 0 0 0 0 0 0 0 0 0 0 0 0 0 0 0 0 0 0 0 0 0 0\n    0 1 0 0 0 0 0 0 0 0 0 0 0 1 0 1 0 1 1 1 1 1 0 0 0 1 1 0 1 1 0 0 1 0 0 0 0 0 \n    1 0 0 1 1 0 0 0 0 0 0 1 1 0 1]\n[0 0 0 0 0 0 0 0 0 0 0 0 0 0 0 0 0 0 0 0 0 0 0 0 0 0 0 0 0 0 0 0 0 0 0 0 0 0 0 0\n    0 0 1 0 0 0 0 0 0 0 0 0 0 1 1 0 1 0 1 1 0 1 1 0 1 1 1 1 0 0 0 1 0 0 0 1 0 0 \n    0 1 1 0 1 1 0 0 1 1 0 0 0 0 0]\n[0 0 0 0 0 0 0 0 0 0 0 0 0 0 0 0 0 0 0 0 0 0 0 0 0 0 0 0 0 0 0 0 0 0 0 0 0 0 0 0\n    0 0 0 1 0 0 0 0 0 0 0 0 0 0 1 1 0 1 0 1 1 0 1 1 0 1 1 1 1 0 0 0 1 0 0 0 1 0 \n    0 0 1 1 0 1 1 0 0 1 1 0 0 0 0]\n[0 0 0 0 0 0 0 0 0 0 0 0 0 0 0 0 0 0 0 0 0 0 0 0 0 0 0 0 0 0 0 0 0 0 0 0 0 0 0 0\n    0 0 0 0 1 0 0 0 0 0 0 0 0 0 0 1 1 0 1 0 1 1 0 1 1 0 1 1 1 1 0 0 0 1 0 0 0 1 \n    0 0 0 1 1 0 1 1 0 0 1 1 0 0 0]\n[0 0 0 0 0 0 0 0 0 0 0 0 0 0 0 0 0 0 0 0 0 0 0 0 0 0 0 0 0 0 0 0 0 0 0 0 0 0 0 0\n    0 0 0 0 0 1 0 0 0 0 0 0 0 0 0 0 1 1 0 1 0 1 1 0 1 1 0 1 1 1 1 0 0 0 1 0 0 0 \n    1 0 0 0 1 1 0 1 1 0 0 1 1 0 0]\n[0 0 0 0 0 0 0 0 0 0 0 0 0 0 0 0 0 0 0 0 0 0 0 0 0 0 0 0 0 0 0 0 0 0 0 0 0 0 0 0\n    0 0 0 0 0 0 1 0 0 0 0 0 0 0 1 1 1 0 0 1 0 0 1 1 0 0 1 0 1 1 0 1 1 1 0 1 1 1 \n    1 0 1 0 0 1 1 0 1 0 0 0 1 1 0]\n[0 0 0 0 0 0 0 0 0 0 0 0 0 0 0 0 0 0 0 0 0 0 0 0 0 0 0 0 0 0 0 0 0 0 0 0 0 0 0 0\n    0 0 0 0 0 0 0 1 0 0 0 0 0 0 1 0 0 0 1 1 0 0 0 1 1 1 0 1 0 1 0 0 0 0 1 0 0 0 \n    0 0 1 1 0 0 1 1 0 0 0 0 0 1 1]\n[0 0 0 0 0 0 0 0 0 0 0 0 0 0 0 0 0 0 0 0 0 0 0 0 0 0 0 0 0 0 0 0 0 0 0 0 0 0 0 0\n    0 0 0 0 0 0 0 0 1 0 0 0 0 1 1 0 1 1 1 0 1 0 0 0 0 1 1 0 1 1 1 1 1 0 0 0 1 1 \n    1 1 0 1 1 0 0 1 0 0 0 0 1 1 1]\n[0 0 0 0 0 0 0 0 0 0 0 0 0 0 0 0 0 0 0 0 0 0 0 0 0 0 0 0 0 0 0 0 0 0 0 0 0 0 0 0\n    0 0 0 0 0 0 0 0 0 1 0 0 0 1 1 1 0 1 1 1 1 1 0 0 1 1 1 1 0 0 0 0 1 0 0 1 0 1 \n    1 1 0 0 1 1 0 0 0 1 0 0 1 0 1]\n[0 0 0 0 0 0 0 0 0 0 0 0 0 0 0 0 0 0 0 0 0 0 0 0 0 0 0 0 0 0 0 0 0 0 0 0 0 0 0 0\n    0 0 0 0 0 0 0 0 0 0 1 0 0 1 1 1 1 0 1 1 0 1 1 0 1 0 1 1 1 1 1 1 0 0 0 1 1 0 \n    1 1 0 0 0 1 1 0 1 1 1 0 1 0 0]\n[0 0 0 0 0 0 0 0 0 0 0 0 0 0 0 0 0 0 0 0 0 0 0 0 0 0 0 0 0 0 0 0 0 0 0 0 0 0 0 0\n    0 0 0 0 0 0 0 0 0 0 0 1 0 0 0 0 0 0 1 0 0 0 1 1 0 0 0 1 1 1 0 1 0 1 0 0 0 0 \n    1 0 0 0 0 0 1 1 0 0 1 1 0 1 0]\n[0 0 0 0 0 0 0 0 0 0 0 0 0 0 0 0 0 0 0 0 0 0 0 0 0 0 0 0 0 0 0 0 0 0 0 0 0 0 0 0\n    0 0 0 0 0 0 0 0 0 0 0 0 1 0 0 0 0 0 0 1 0 0 0 1 1 0 0 0 1 1 1 0 1 0 1 0 0 0 \n    0 1 0 0 0 0 0 1 1 0 0 1 1 0 1]\nLinear Code over GF(2) of length 93 with 53 generators.\nLower Bound: 1, Upper Bound: 41\nConstructed 2 distinct generator matrices\nRelative Ranks:  53  40 \nTime Taken: 0.00\nStarting search for low weight codewords... (reset timings)\nEnumerating using 1 generator at a time:\n     New codeword identified of weight 19, time 0.00\n     New codeword identified of weight 16, time 0.00\n     New codeword identified of weight 15, time 0.00\n   Completed Matrix  1:  lower =  2, upper = 15. Elapsed: 0.00s\n   Completed Matrix  2:  lower =  2, upper = 15. Elapsed: 0.00s\nTermination predicted with 13 generators at matrix 2\nEnumerating using 2 generators at a time:\n     New codeword identified of weight 14, time 0.00\n     Discarding non-contributing rank 40 matrix\n     New Relative Ranks:  53 \n   Completed Matrix  1:  lower =  3, upper = 14. Elapsed: 0.00s\nTermination predicted with 13 generators at matrix 1\nEnumerating using 3 generators at a time:\n   Completed Matrix  1:  lower =  4, upper = 14. Elapsed: 0.00s\nTermination predicted with 13 generators at matrix 1\nEnumerating using 4 generators at a time:\n     New codeword identified of weight 13, time 0.00\n   Completed Matrix  1:  lower =  5, upper = 13. Elapsed: 0.00s\nTermination predicted with 12 generators at matrix 1\nEnumerating using 5 generators at a time:\n   Completed Matrix  1:  lower =  6, upper = 13. Elapsed: 0.01s\nTermination predicted with 12 generators at matrix 1\nEnumerating using 6 generators at a time:\n   Completed Matrix  1:  lower =  7, upper = 13. Elapsed: 0.05s\nTermination predicted with 12 generators at matrix 1\nEnumerating using 7 generators at a time:\n   Completed Matrix  1:  lower =  8, upper = 13. Elapsed: 0.35s\nTermination predicted at 714 s (11m 54s) with 12 generators at matrix 1\nEnumerating using 8 generators at a time:\n   Completed Matrix  1:  lower =  9, upper = 13. Elapsed: 2.17s\nTermination predicted at 749 s (12m 29s) with 12 generators at matrix 1\nEnumerating using 9 generators at a time:\n   Completed Matrix  1:  lower = 10, upper = 13. Elapsed: 11.50s\nTermination predicted at 770 s (12m 50s) with 12 generators at matrix 1\nEnumerating using 10 generators at a time:\n   Completed Matrix  1:  lower = 11, upper = 13. Elapsed: 54.42s\nTermination predicted at 801 s (13m 21s) with 12 generators at matrix 1\nEnumerating using 11 generators at a time:\n   Completed Matrix  1:  lower = 12, upper = 13. Elapsed: 227.78s\nTermination predicted at 828 s (13m 48s) with 12 generators at matrix 1\nEnumerating using 12 generators at a time:\n   Completed Matrix  1:  lower = 13, upper = 13. Elapsed: 859.47s\nComputation complete 368004212630 vectors enumerated in total\n (0.004086% of 93 53 code)\nFinal Results: lower = 13, upper = 13,\nTotal CPU time: 859.47, real time: 860.605\n13\n\nTotal time: 859.490 seconds, Total memory usage: 32.09MB\n</t>
  </si>
  <si>
    <t>[[94,54,13]]</t>
  </si>
  <si>
    <t>Magma V2.28-26    Tue Dec 30 2025 10:18:33 on Marks-MacBook-Air-2 [Seed = \n2527877544]\nType ? for help.  Type &lt;Ctrl&gt;-D to quit.\n[1 0 0 1 1 1 1 0 1 1 0 1 1 0 1 0 1 1 1 1 1 1 0 0 0 1 1 0 1 1 0 0 0 1 1 0 1 1 1 0\n    1 0 0 0 0 0 0 0 0 0 0 0 0 0 0 0 0 0 0 0 0 0 0 0 0 0 0 0 0 0 0 0 0 0 0 0 0 0 \n    0 0 0 0 0 0 0 0 0 0 0 0 0 0 0 0]\n[0 1 0 0 1 1 1 1 0 1 1 0 1 1 0 1 0 1 1 1 1 1 1 0 0 0 1 1 0 1 1 0 0 0 1 1 0 1 1 1\n    0 1 0 0 0 0 0 0 0 0 0 0 0 0 0 0 0 0 0 0 0 0 0 0 0 0 0 0 0 0 0 0 0 0 0 0 0 0 \n    0 0 0 0 0 0 0 0 0 0 0 0 0 0 0 0]\n[1 0 1 1 1 0 0 1 0 1 1 0 1 1 0 0 0 1 0 0 0 0 1 1 0 1 1 1 0 1 1 1 0 1 1 1 0 1 0 1\n    0 0 1 0 0 0 0 0 0 0 0 0 0 0 0 0 0 0 0 0 0 0 0 0 0 0 0 0 0 0 0 0 0 0 0 0 0 0 \n    0 0 0 0 0 0 0 0 0 0 0 0 0 0 0 0]\n[1 1 0 0 0 0 1 0 0 1 1 0 1 1 0 0 1 1 0 1 1 1 0 1 1 1 0 1 0 1 1 1 1 1 0 1 0 1 0 0\n    0 0 0 1 0 0 0 0 0 0 0 0 0 0 0 0 0 0 0 0 0 0 0 0 0 0 0 0 0 0 0 0 0 0 0 0 0 0 \n    0 0 0 0 0 0 0 0 0 0 0 0 0 0 0 0]\n[0 1 1 0 0 0 0 1 0 0 1 1 0 1 1 0 0 1 1 0 1 1 1 0 1 1 1 0 1 0 1 1 1 1 1 0 1 0 1 0\n    0 0 0 0 1 0 0 0 0 0 0 0 0 0 0 0 0 0 0 0 0 0 0 0 0 0 0 0 0 0 0 0 0 0 0 0 0 0 \n    0 0 0 0 0 0 0 0 0 0 0 0 0 0 0 0]\n[0 0 1 1 0 0 0 0 1 0 0 1 1 0 1 1 0 0 1 1 0 1 1 1 0 1 1 1 0 1 0 1 1 1 1 1 0 1 0 1\n    0 0 0 0 0 1 0 0 0 0 0 0 0 0 0 0 0 0 0 0 0 0 0 0 0 0 0 0 0 0 0 0 0 0 0 0 0 0 \n    0 0 0 0 0 0 0 0 0 0 0 0 0 0 0 0]\n[1 0 0 0 0 1 1 0 1 0 0 1 0 1 1 1 0 1 1 0 0 1 1 1 1 1 0 1 0 1 1 0 1 0 0 1 0 1 0 0\n    0 0 0 0 0 0 1 0 0 0 0 0 0 0 0 0 0 0 0 0 0 0 0 0 0 0 0 0 0 0 0 0 0 0 0 0 0 0 \n    0 0 0 0 0 0 0 0 0 0 0 0 0 0 0 0]\n[0 1 0 0 0 0 1 1 0 1 0 0 1 0 1 1 1 0 1 1 0 0 1 1 1 1 1 0 1 0 1 1 0 1 0 0 1 0 1 0\n    0 0 0 0 0 0 0 1 0 0 0 0 0 0 0 0 0 0 0 0 0 0 0 0 0 0 0 0 0 0 0 0 0 0 0 0 0 0 \n    0 0 0 0 0 0 0 0 0 0 0 0 0 0 0 0]\n[0 0 1 0 0 0 0 1 1 0 1 0 0 1 0 1 1 1 0 1 1 0 0 1 1 1 1 1 0 1 0 1 1 0 1 0 0 1 0 1\n    0 0 0 0 0 0 0 0 1 0 0 0 0 0 0 0 0 0 0 0 0 0 0 0 0 0 0 0 0 0 0 0 0 0 0 0 0 0 \n    0 0 0 0 0 0 0 0 0 0 0 0 0 0 0 0]\n[1 0 0 0 1 1 1 0 0 0 0 0 1 0 0 0 0 0 0 1 0 0 0 0 1 0 0 1 0 1 1 0 1 0 1 1 1 1 0 0\n    0 0 0 0 0 0 0 0 0 1 0 0 0 0 0 0 0 0 0 0 0 0 0 0 0 0 0 0 0 0 0 0 0 0 0 0 0 0 \n    0 0 0 0 0 0 0 0 0 0 0 0 0 0 0 0]\n[0 1 0 0 0 1 1 1 0 0 0 0 0 1 0 0 0 0 0 0 1 0 0 0 0 1 0 0 1 0 1 1 0 1 0 1 1 1 1 0\n    0 0 0 0 0 0 0 0 0 0 1 0 0 0 0 0 0 0 0 0 0 0 0 0 0 0 0 0 0 0 0 0 0 0 0 0 0 0 \n    0 0 0 0 0 0 0 0 0 0 0 0 0 0 0 0]\n[0 0 1 0 0 0 1 1 1 0 0 0 0 0 1 0 0 0 0 0 0 1 0 0 0 0 1 0 0 1 0 1 1 0 1 0 1 1 1 1\n    0 0 0 0 0 0 0 0 0 0 0 1 0 0 0 0 0 0 0 0 0 0 0 0 0 0 0 0 0 0 0 0 0 0 0 0 0 0 \n    0 0 0 0 0 0 0 0 0 0 0 0 0 0 0 0]\n[1 0 0 0 1 1 1 1 0 0 0 1 1 0 1 1 1 1 1 1 1 1 1 0 0 1 1 1 1 1 1 0 1 0 1 1 1 0 0 1\n    0 0 0 0 0 0 0 0 0 0 0 0 1 0 0 0 0 0 0 0 0 0 0 0 0 0 0 0 0 0 0 0 0 0 0 0 0 0 \n    0 0 0 0 0 0 0 0 0 0 0 0 0 0 0 0]\n[1 1 0 1 1 0 0 1 0 1 0 1 0 1 1 1 0 0 0 0 0 0 1 1 0 1 0 1 0 0 1 1 0 0 1 1 0 0 1 0\n    0 0 0 0 0 0 0 0 0 0 0 0 0 1 0 0 0 0 0 0 0 0 0 0 0 0 0 0 0 0 0 0 0 0 0 0 0 0 \n    0 0 0 0 0 0 0 0 0 0 0 0 0 0 0 0]\n[0 1 1 0 1 1 0 0 1 0 1 0 1 0 1 1 1 0 0 0 0 0 0 1 1 0 1 0 1 0 0 1 1 0 0 1 1 0 0 1\n    0 0 0 0 0 0 0 0 0 0 0 0 0 0 1 0 0 0 0 0 0 0 0 0 0 0 0 0 0 0 0 0 0 0 0 0 0 0 \n    0 0 0 0 0 0 0 0 0 0 0 0 0 0 0 0]\n[1 0 1 0 1 0 0 0 1 0 0 0 1 1 1 1 0 0 1 1 1 1 0 0 1 0 1 1 1 0 0 0 1 0 1 0 0 0 1 0\n    0 0 0 0 0 0 0 0 0 0 0 0 0 0 0 1 0 0 0 0 0 0 0 0 0 0 0 0 0 0 0 0 0 0 0 0 0 0 \n    0 0 0 0 0 0 0 0 0 0 0 0 0 0 0 0]\n[0 1 0 1 0 1 0 0 0 1 0 0 0 1 1 1 1 0 0 1 1 1 1 0 0 1 0 1 1 1 0 0 0 1 0 1 0 0 0 1\n    0 0 0 0 0 0 0 0 0 0 0 0 0 0 0 0 1 0 0 0 0 0 0 0 0 0 0 0 0 0 0 0 0 0 0 0 0 0 \n    0 0 0 0 0 0 0 0 0 0 0 0 0 0 0 0]\n[1 0 1 1 0 1 0 0 1 1 1 1 1 0 0 1 0 0 1 1 0 0 1 1 0 1 0 0 0 0 1 0 0 1 0 0 0 1 1 0\n    0 0 0 0 0 0 0 0 0 0 0 0 0 0 0 0 0 1 0 0 0 0 0 0 0 0 0 0 0 0 0 0 0 0 0 0 0 0 \n    0 0 0 0 0 0 0 0 0 0 0 0 0 0 0 0]\n[0 1 0 1 1 0 1 0 0 1 1 1 1 1 0 0 1 0 0 1 1 0 0 1 1 0 1 0 0 0 0 1 0 0 1 0 0 0 1 1\n    0 0 0 0 0 0 0 0 0 0 0 0 0 0 0 0 0 0 1 0 0 0 0 0 0 0 0 0 0 0 0 0 0 0 0 0 0 0 \n    0 0 0 0 0 0 0 0 0 0 0 0 0 0 0 0]\n[1 0 1 1 0 0 1 1 1 1 1 0 0 1 0 0 1 0 1 1 0 0 0 0 1 0 1 1 1 1 0 0 1 1 1 1 1 1 1 1\n    0 0 0 0 0 0 0 0 0 0 0 0 0 0 0 0 0 0 0 1 0 0 0 0 0 0 0 0 0 0 0 0 0 0 0 0 0 0 \n    0 0 0 0 0 0 0 0 0 0 0 0 0 0 0 0]\n[1 1 0 0 0 1 1 1 0 0 1 0 1 0 0 0 1 0 1 0 0 1 0 0 0 0 1 1 0 0 1 0 0 0 0 1 0 0 0 1\n    0 0 0 0 0 0 0 0 0 0 0 0 0 0 0 0 0 0 0 0 1 0 0 0 0 0 0 0 0 0 0 0 0 0 0 0 0 0 \n    0 0 0 0 0 0 0 0 0 0 0 0 0 0 0 0]\n[1 1 1 1 1 1 0 1 0 1 0 0 1 1 1 0 1 0 1 0 1 1 1 0 0 1 1 1 0 1 0 1 0 1 1 0 0 1 1 0\n    0 0 0 0 0 0 0 0 0 0 0 0 0 0 0 0 0 0 0 0 0 1 0 0 0 0 0 0 0 0 0 0 0 0 0 0 0 0 \n    0 0 0 0 0 0 0 0 0 0 0 0 0 0 0 0]\n[0 1 1 1 1 1 1 0 1 0 1 0 0 1 1 1 0 1 0 1 0 1 1 1 0 0 1 1 1 0 1 0 1 0 1 1 0 0 1 1\n    0 0 0 0 0 0 0 0 0 0 0 0 0 0 0 0 0 0 0 0 0 0 1 0 0 0 0 0 0 0 0 0 0 0 0 0 0 0 \n    0 0 0 0 0 0 0 0 0 0 0 0 0 0 0 0]\n[1 0 1 0 0 0 0 1 1 0 0 0 1 0 0 1 0 1 0 1 0 1 1 1 1 1 1 1 0 0 0 1 0 0 1 1 0 1 1 1\n    0 0 0 0 0 0 0 0 0 0 0 0 0 0 0 0 0 0 0 0 0 0 0 1 0 0 0 0 0 0 0 0 0 0 0 0 0 0 \n    0 0 0 0 0 0 0 0 0 0 0 0 0 0 0 0]\n[1 1 0 0 1 1 1 0 0 0 0 1 1 1 1 0 0 1 0 1 0 1 1 1 1 0 0 1 0 1 0 0 1 1 1 1 0 1 0 1\n    0 0 0 0 0 0 0 0 0 0 0 0 0 0 0 0 0 0 0 0 0 0 0 0 1 0 0 0 0 0 0 0 0 0 0 0 0 0 \n    0 0 0 0 0 0 0 0 0 0 0 0 0 0 0 0]\n[1 1 1 1 1 0 0 1 1 1 0 1 0 1 0 1 1 1 0 1 0 1 1 1 1 0 1 0 0 1 1 0 0 0 0 1 0 1 0 0\n    0 0 0 0 0 0 0 0 0 0 0 0 0 0 0 0 0 0 0 0 0 0 0 0 0 1 0 0 0 0 0 0 0 0 0 0 0 0 \n    0 0 0 0 0 0 0 0 0 0 0 0 0 0 0 0]\n[0 1 1 1 1 1 0 0 1 1 1 0 1 0 1 0 1 1 1 0 1 0 1 1 1 1 0 1 0 0 1 1 0 0 0 0 1 0 1 0\n    0 0 0 0 0 0 0 0 0 0 0 0 0 0 0 0 0 0 0 0 0 0 0 0 0 0 1 0 0 0 0 0 0 0 0 0 0 0 \n    0 0 0 0 0 0 0 0 0 0 0 0 0 0 0 0]\n[0 0 1 1 1 1 1 0 0 1 1 1 0 1 0 1 0 1 1 1 0 1 0 1 1 1 1 0 1 0 0 1 1 0 0 0 0 1 0 1\n    0 0 0 0 0 0 0 0 0 0 0 0 0 0 0 0 0 0 0 0 0 0 0 0 0 0 0 1 0 0 0 0 0 0 0 0 0 0 \n    0 0 0 0 0 0 0 0 0 0 0 0 0 0 0 0]\n[1 0 0 0 0 0 0 1 1 1 1 0 0 0 0 0 0 1 0 0 0 1 1 0 1 0 0 1 1 0 0 0 1 0 1 0 1 1 0 0\n    0 0 0 0 0 0 0 0 0 0 0 0 0 0 0 0 0 0 0 0 0 0 0 0 0 0 0 0 1 0 0 0 0 0 0 0 0 0 \n    0 0 0 0 0 0 0 0 0 0 0 0 0 0 0 0]\n[0 1 0 0 0 0 0 0 1 1 1 1 0 0 0 0 0 0 1 0 0 0 1 1 0 1 0 0 1 1 0 0 0 1 0 1 0 1 1 0\n    0 0 0 0 0 0 0 0 0 0 0 0 0 0 0 0 0 0 0 0 0 0 0 0 0 0 0 0 0 1 0 0 0 0 0 0 0 0 \n    0 0 0 0 0 0 0 0 0 0 0 0 0 0 0 0]\n[0 0 1 0 0 0 0 0 0 1 1 1 1 0 0 0 0 0 0 1 0 0 0 1 1 0 1 0 0 1 1 0 0 0 1 0 1 0 1 1\n    0 0 0 0 0 0 0 0 0 0 0 0 0 0 0 0 0 0 0 0 0 0 0 0 0 0 0 0 0 0 1 0 0 0 0 0 0 0 \n    0 0 0 0 0 0 0 0 0 0 0 0 0 0 0 0]\n[1 0 0 0 1 1 1 0 1 1 1 0 0 1 1 0 1 1 1 1 0 1 0 0 1 0 1 1 1 1 1 1 0 1 1 1 1 0 1 1\n    0 0 0 0 0 0 0 0 0 0 0 0 0 0 0 0 0 0 0 0 0 0 0 0 0 0 0 0 0 0 0 1 0 0 0 0 0 0 \n    0 0 0 0 0 0 0 0 0 0 0 0 0 0 0 0]\n[1 1 0 1 1 0 0 1 1 0 1 0 1 0 0 1 1 0 0 0 0 1 1 0 0 0 1 1 0 0 1 1 1 1 0 1 0 0 1 1\n    0 0 0 0 0 0 0 0 0 0 0 0 0 0 0 0 0 0 0 0 0 0 0 0 0 0 0 0 0 0 0 0 1 0 0 0 0 0 \n    0 0 0 0 0 0 0 0 0 0 0 0 0 0 0 0]\n[1 1 1 1 0 0 1 0 0 0 0 0 1 1 1 0 0 0 1 1 1 1 1 1 0 1 1 1 0 1 0 1 1 0 0 0 0 1 1 1\n    0 0 0 0 0 0 0 0 0 0 0 0 0 0 0 0 0 0 0 0 0 0 0 0 0 0 0 0 0 0 0 0 0 1 0 0 0 0 \n    0 0 0 0 0 0 0 0 0 0 0 0 0 0 0 0]\n[1 1 1 0 0 1 1 1 1 1 0 1 1 1 0 1 1 1 1 0 0 0 1 1 1 1 0 1 0 1 1 0 1 0 1 0 1 1 0 1\n    0 0 0 0 0 0 0 0 0 0 0 0 0 0 0 0 0 0 0 0 0 0 0 0 0 0 0 0 0 0 0 0 0 0 1 0 0 0 \n    0 0 0 0 0 0 0 0 0 0 0 0 0 0 0 0]\n[1 1 1 0 1 1 0 1 0 0 1 1 0 1 0 0 0 0 0 0 1 1 0 1 1 0 0 0 0 1 1 1 0 0 1 1 1 0 0 0\n    0 0 0 0 0 0 0 0 0 0 0 0 0 0 0 0 0 0 0 0 0 0 0 0 0 0 0 0 0 0 0 0 0 0 0 1 0 0 \n    0 0 0 0 0 0 0 0 0 0 0 0 0 0 0 0]\n[0 1 1 1 0 1 1 0 1 0 0 1 1 0 1 0 0 0 0 0 0 1 1 0 1 1 0 0 0 0 1 1 1 0 0 1 1 1 0 0\n    0 0 0 0 0 0 0 0 0 0 0 0 0 0 0 0 0 0 0 0 0 0 0 0 0 0 0 0 0 0 0 0 0 0 0 0 1 0 \n    0 0 0 0 0 0 0 0 0 0 0 0 0 0 0 0]\n[0 0 1 1 1 0 1 1 0 1 0 0 1 1 0 1 0 0 0 0 0 0 1 1 0 1 1 0 0 0 0 1 1 1 0 0 1 1 1 0\n    0 0 0 0 0 0 0 0 0 0 0 0 0 0 0 0 0 0 0 0 0 0 0 0 0 0 0 0 0 0 0 0 0 0 0 0 0 1 \n    0 0 0 0 0 0 0 0 0 0 0 0 0 0 0 0]\n[0 0 0 1 1 1 0 1 1 0 1 0 0 1 1 0 1 0 0 0 0 0 0 1 1 0 1 1 0 0 0 0 1 1 1 0 0 1 1 1\n    0 0 0 0 0 0 0 0 0 0 0 0 0 0 0 0 0 0 0 0 0 0 0 0 0 0 0 0 0 0 0 0 0 0 0 0 0 0 \n    1 0 0 0 0 0 0 0 0 0 0 0 0 0 0 0]\n[1 0 0 1 0 0 0 0 0 0 0 0 1 0 0 1 1 0 1 1 1 1 0 0 1 0 1 1 0 1 0 0 0 0 0 1 1 1 0 1\n    0 0 0 0 0 0 0 0 0 0 0 0 0 0 0 0 0 0 0 0 0 0 0 0 0 0 0 0 0 0 0 0 0 0 0 0 0 0 \n    0 1 0 0 0 0 0 0 0 0 0 0 0 0 0 0]\n[1 1 0 1 0 1 1 0 1 1 0 1 1 1 1 0 0 0 1 0 0 0 1 0 0 0 1 1 0 1 1 0 0 1 1 0 0 0 0 0\n    0 0 0 0 0 0 0 0 0 0 0 0 0 0 0 0 0 0 0 0 0 0 0 0 0 0 0 0 0 0 0 0 0 0 0 0 0 0 \n    0 0 1 0 0 0 0 0 0 0 0 0 0 0 0 0]\n[0 1 1 0 1 0 1 1 0 1 1 0 1 1 1 1 0 0 0 1 0 0 0 1 0 0 0 1 1 0 1 1 0 0 1 1 0 0 0 0\n    0 0 0 0 0 0 0 0 0 0 0 0 0 0 0 0 0 0 0 0 0 0 0 0 0 0 0 0 0 0 0 0 0 0 0 0 0 0 \n    0 0 0 1 0 0 0 0 0 0 0 0 0 0 0 0]\n[0 0 1 1 0 1 0 1 1 0 1 1 0 1 1 1 1 0 0 0 1 0 0 0 1 0 0 0 1 1 0 1 1 0 0 1 1 0 0 0\n    0 0 0 0 0 0 0 0 0 0 0 0 0 0 0 0 0 0 0 0 0 0 0 0 0 0 0 0 0 0 0 0 0 0 0 0 0 0 \n    0 0 0 0 1 0 0 0 0 0 0 0 0 0 0 0]\n[0 0 0 1 1 0 1 0 1 1 0 1 1 0 1 1 1 1 0 0 0 1 0 0 0 1 0 0 0 1 1 0 1 1 0 0 1 1 0 0\n    0 0 0 0 0 0 0 0 0 0 0 0 0 0 0 0 0 0 0 0 0 0 0 0 0 0 0 0 0 0 0 0 0 0 0 0 0 0 \n    0 0 0 0 0 1 0 0 0 0 0 0 0 0 0 0]\n[0 0 0 0 1 1 0 1 0 1 1 0 1 1 0 1 1 1 1 0 0 0 1 0 0 0 1 0 0 0 1 1 0 1 1 0 0 1 1 0\n    0 0 0 0 0 0 0 0 0 0 0 0 0 0 0 0 0 0 0 0 0 0 0 0 0 0 0 0 0 0 0 0 0 0 0 0 0 0 \n    0 0 0 0 0 0 1 0 0 0 0 0 0 0 0 0]\n[0 0 0 0 0 1 1 0 1 0 1 1 0 1 1 0 1 1 1 1 0 0 0 1 0 0 0 1 0 0 0 1 1 0 1 1 0 0 1 1\n    0 0 0 0 0 0 0 0 0 0 0 0 0 0 0 0 0 0 0 0 0 0 0 0 0 0 0 0 0 0 0 0 0 0 0 0 0 0 \n    0 0 0 0 0 0 0 1 0 0 0 0 0 0 0 0]\n[1 0 0 1 1 1 0 1 1 0 0 0 0 0 0 1 1 0 0 0 0 1 0 0 1 1 1 0 0 1 0 0 1 0 1 1 0 1 1 1\n    0 0 0 0 0 0 0 0 0 0 0 0 0 0 0 0 0 0 0 0 0 0 0 0 0 0 0 0 0 0 0 0 0 0 0 0 0 0 \n    0 0 0 0 0 0 0 0 1 0 0 0 0 0 0 0]\n[1 1 0 1 0 0 0 0 0 0 0 1 1 0 1 0 0 0 1 1 1 1 1 0 0 0 0 1 1 1 1 0 0 0 1 1 0 1 0 1\n    0 0 0 0 0 0 0 0 0 0 0 0 0 0 0 0 0 0 0 0 0 0 0 0 0 0 0 0 0 0 0 0 0 0 0 0 0 0 \n    0 0 0 0 0 0 0 0 0 1 0 0 0 0 0 0]\n[1 1 1 1 0 1 1 0 1 1 0 1 0 1 1 1 1 1 1 0 0 0 1 1 0 1 1 0 0 0 1 1 0 1 1 1 0 1 0 0\n    0 0 0 0 0 0 0 0 0 0 0 0 0 0 0 0 0 0 0 0 0 0 0 0 0 0 0 0 0 0 0 0 0 0 0 0 0 0 \n    0 0 0 0 0 0 0 0 0 0 1 0 0 0 0 0]\n[0 1 1 1 1 0 1 1 0 1 1 0 1 0 1 1 1 1 1 1 0 0 0 1 1 0 1 1 0 0 0 1 1 0 1 1 1 0 1 0\n    0 0 0 0 0 0 0 0 0 0 0 0 0 0 0 0 0 0 0 0 0 0 0 0 0 0 0 0 0 0 0 0 0 0 0 0 0 0 \n    0 0 0 0 0 0 0 0 0 0 0 1 0 0 0 0]\n[0 0 1 1 1 1 0 1 1 0 1 1 0 1 0 1 1 1 1 1 1 0 0 0 1 1 0 1 1 0 0 0 1 1 0 1 1 1 0 1\n    0 0 0 0 0 0 0 0 0 0 0 0 0 0 0 0 0 0 0 0 0 0 0 0 0 0 0 0 0 0 0 0 0 0 0 0 0 0 \n    0 0 0 0 0 0 0 0 0 0 0 0 1 0 0 0]\n[1 0 1 1 1 1 1 0 1 0 0 1 1 1 0 0 1 1 0 0 0 1 1 0 1 1 1 0 1 0 0 0 0 1 1 1 0 1 1 1\n    0 0 0 0 0 0 0 0 0 0 0 0 0 0 0 0 0 0 0 0 0 0 0 0 0 0 0 0 0 0 0 0 0 0 0 0 0 0 \n    0 0 0 0 0 0 0 0 0 0 0 0 0 1 0 0]\n[1 1 0 0 0 0 0 1 1 0 0 1 0 1 0 0 1 0 0 1 1 1 1 1 0 0 0 1 1 0 0 0 0 1 0 1 0 1 0 1\n    0 0 0 0 0 0 0 0 0 0 0 0 0 0 0 0 0 0 0 0 0 0 0 0 0 0 0 0 0 0 0 0 0 0 0 0 0 0 \n    0 0 0 0 0 0 0 0 0 0 0 0 0 0 1 0]\n[0 1 0 0 0 0 0 0 1 0 0 0 1 1 0 0 0 1 1 1 0 1 0 1 0 0 0 0 1 0 0 0 0 0 1 1 0 0 1 1\n    0 0 0 0 0 0 0 0 0 0 0 0 0 0 0 0 0 0 0 0 0 0 0 0 0 0 0 0 0 0 0 0 0 0 0 0 0 0 \n    0 0 0 0 0 0 0 0 0 0 0 0 0 0 0 1]\n[94, 54] Linear Code over GF(2)\nGenerator matrix:\n[1 0 0 0 0 0 0 0 0 0 0 0 0 0 0 0 0 0 0 0 0 0 0 0 0 0 0 0 0 0 0 0 0 0 0 0 0 0 0 0\n    0 0 0 0 0 0 0 0 0 0 0 0 0 0 1 1 1 1 1 1 1 0 0 0 0 1 0 0 0 0 1 0 1 1 0 0 1 1 \n    1 1 1 0 0 0 0 0 0 1 0 0 0 1 0 0]\n[0 1 0 0 0 0 0 0 0 0 0 0 0 0 0 0 0 0 0 0 0 0 0 0 0 0 0 0 0 0 0 0 0 0 0 0 0 0 0 0\n    0 0 0 0 0 0 0 0 0 0 0 0 0 0 0 1 1 1 1 1 1 1 0 0 0 0 1 0 0 0 0 1 0 1 1 0 0 1 \n    1 1 1 1 0 0 0 0 0 0 1 0 0 0 1 0]\n[0 0 1 0 0 0 0 0 0 0 0 0 0 0 0 0 0 0 0 0 0 0 0 0 0 0 0 0 0 0 0 0 0 0 0 0 0 0 0 0\n    0 0 0 0 0 0 0 0 0 0 0 0 0 0 0 0 1 1 1 1 1 1 1 0 0 0 0 1 0 0 0 0 1 0 1 1 0 0 \n    1 1 1 1 1 0 0 0 0 0 0 1 0 1 0 1]\n[0 0 0 1 0 0 0 0 0 0 0 0 0 0 0 0 0 0 0 0 0 0 0 0 0 0 0 0 0 0 0 0 0 0 0 0 0 0 0 0\n    0 0 0 0 0 0 0 0 0 0 0 0 0 0 0 0 0 1 1 1 1 1 1 1 0 0 0 0 1 0 0 0 0 1 0 1 1 0 \n    0 1 1 1 1 1 0 0 0 0 0 0 1 1 1 0]\n[0 0 0 0 1 0 0 0 0 0 0 0 0 0 0 0 0 0 0 0 0 0 0 0 0 0 0 0 0 0 0 0 0 0 0 0 0 0 0 0\n    0 0 0 0 0 0 0 0 0 0 0 0 0 0 1 1 1 1 0 0 0 1 1 1 1 1 0 0 0 1 1 0 1 1 1 0 0 0 \n    1 1 0 1 1 1 1 0 0 1 0 0 0 0 1 1]\n[0 0 0 0 0 1 0 0 0 0 0 0 0 0 0 0 0 0 0 0 0 0 0 0 0 0 0 0 0 0 0 0 0 0 0 0 0 0 0 0\n    0 0 0 0 0 0 0 0 0 0 0 0 0 0 0 1 1 1 1 0 0 0 1 1 1 1 1 0 0 0 1 1 0 1 1 1 0 0 \n    0 1 1 0 1 1 1 1 0 0 1 0 0 0 0 1]\n[0 0 0 0 0 0 1 0 0 0 0 0 0 0 0 0 0 0 0 0 0 0 0 0 0 0 0 0 0 0 0 0 0 0 0 0 0 0 0 0\n    0 0 0 0 0 0 0 0 0 0 0 0 0 0 0 0 1 1 1 1 0 0 0 1 1 1 1 1 0 0 0 1 1 0 1 1 1 0 \n    0 0 1 1 0 1 1 1 1 0 0 1 0 1 0 0]\n[0 0 0 0 0 0 0 1 0 0 0 0 0 0 0 0 0 0 0 0 0 0 0 0 0 0 0 0 0 0 0 0 0 0 0 0 0 0 0 0\n    0 0 0 0 0 0 0 0 0 0 0 0 0 0 0 0 0 1 1 1 1 0 0 0 1 1 1 1 1 0 0 0 1 1 0 1 1 1 \n    0 0 0 1 1 0 1 1 1 1 0 0 1 0 1 0]\n[0 0 0 0 0 0 0 0 1 0 0 0 0 0 0 0 0 0 0 0 0 0 0 0 0 0 0 0 0 0 0 0 0 0 0 0 0 0 0 0\n    0 0 0 0 0 0 0 0 0 0 0 0 0 0 1 1 1 1 0 0 0 1 0 0 0 0 1 1 1 1 1 0 1 0 1 0 0 0 \n    0 1 1 0 1 1 0 1 1 0 1 0 0 0 0 1]\n[0 0 0 0 0 0 0 0 0 1 0 0 0 0 0 0 0 0 0 0 0 0 0 0 0 0 0 0 0 0 0 0 0 0 0 0 0 0 0 0\n    0 0 0 0 0 0 0 0 0 0 0 0 0 0 0 1 1 1 1 0 0 0 1 0 0 0 0 1 1 1 1 1 0 1 0 1 0 0 \n    0 0 1 1 0 1 1 0 1 1 0 1 0 1 0 0]\n[0 0 0 0 0 0 0 0 0 0 1 0 0 0 0 0 0 0 0 0 0 0 0 0 0 0 0 0 0 0 0 0 0 0 0 0 0 0 0 0\n    0 0 0 0 0 0 0 0 0 0 0 0 0 0 0 0 1 1 1 1 0 0 0 1 0 0 0 0 1 1 1 1 1 0 1 0 1 0 \n    0 0 0 1 1 0 1 1 0 1 1 0 1 0 1 0]\n[0 0 0 0 0 0 0 0 0 0 0 1 0 0 0 0 0 0 0 0 0 0 0 0 0 0 0 0 0 0 0 0 0 0 0 0 0 0 0 0\n    0 0 0 0 0 0 0 0 0 0 0 0 0 0 1 1 1 0 0 0 0 0 0 0 1 1 0 0 0 1 0 1 0 0 0 1 1 0 \n    1 1 1 0 1 1 0 1 1 1 1 1 0 0 0 1]\n[0 0 0 0 0 0 0 0 0 0 0 0 1 0 0 0 0 0 0 0 0 0 0 0 0 0 0 0 0 0 0 0 0 0 0 0 0 0 0 0\n    0 0 0 0 0 0 0 0 0 0 0 0 0 0 0 1 1 1 0 0 0 0 0 0 0 1 1 0 0 0 1 0 1 0 0 0 1 1 \n    0 1 1 1 0 1 1 0 1 1 1 1 1 1 0 0]\n[0 0 0 0 0 0 0 0 0 0 0 0 0 1 0 0 0 0 0 0 0 0 0 0 0 0 0 0 0 0 0 0 0 0 0 0 0 0 0 0\n    0 0 0 0 0 0 0 0 0 0 0 0 0 0 1 1 0 0 0 1 1 0 0 0 0 1 1 1 0 0 1 1 1 0 0 0 1 0 \n    0 1 0 1 1 0 1 1 0 0 1 1 1 1 1 0]\n[0 0 0 0 0 0 0 0 0 0 0 0 0 0 1 0 0 0 0 0 0 0 0 0 0 0 0 0 0 0 0 0 0 0 0 0 0 0 0 0\n    0 0 0 0 0 0 0 0 0 0 0 0 0 0 1 0 0 1 1 1 0 1 0 0 0 1 1 1 1 0 1 1 0 0 0 0 1 0 \n    1 1 0 0 1 1 0 1 1 1 0 1 1 0 1 1]\n[0 0 0 0 0 0 0 0 0 0 0 0 0 0 0 1 0 0 0 0 0 0 0 0 0 0 0 0 0 0 0 0 0 0 0 0 0 0 0 0\n    0 0 0 0 0 0 0 0 0 0 0 0 0 0 1 0 1 1 0 0 0 0 1 0 0 1 1 1 1 1 1 1 0 1 0 0 1 0 \n    1 0 0 0 0 1 1 0 1 0 1 0 1 1 0 1]\n[0 0 0 0 0 0 0 0 0 0 0 0 0 0 0 0 1 0 0 0 0 0 0 0 0 0 0 0 0 0 0 0 0 0 0 0 0 0 0 0\n    0 0 0 0 0 0 0 0 0 0 0 0 0 0 1 0 1 0 0 1 1 0 0 1 0 1 1 1 1 1 0 1 0 1 1 0 1 0 \n    1 0 1 0 0 0 1 1 0 0 0 1 0 0 1 0]\n[0 0 0 0 0 0 0 0 0 0 0 0 0 0 0 0 0 1 0 0 0 0 0 0 0 0 0 0 0 0 0 0 0 0 0 0 0 0 0 0\n    0 0 0 0 0 0 0 0 0 0 0 0 0 0 0 1 0 1 0 0 1 1 0 0 1 0 1 1 1 1 1 0 1 0 1 1 0 1 \n    0 1 0 1 0 0 0 1 1 0 0 0 1 1 0 1]\n[0 0 0 0 0 0 0 0 0 0 0 0 0 0 0 0 0 0 1 0 0 0 0 0 0 0 0 0 0 0 0 0 0 0 0 0 0 0 0 0\n    0 0 0 0 0 0 0 0 0 0 0 0 0 0 1 1 0 1 0 1 1 1 1 0 0 0 0 1 1 1 0 1 1 0 0 1 0 1 \n    0 1 0 0 1 0 0 0 1 0 0 0 0 0 1 0]\n[0 0 0 0 0 0 0 0 0 0 0 0 0 0 0 0 0 0 0 1 0 0 0 0 0 0 0 0 0 0 0 0 0 0 0 0 0 0 0 0\n    0 0 0 0 0 0 0 0 0 0 0 0 0 0 0 1 1 0 1 0 1 1 1 1 0 0 0 0 1 1 1 0 1 1 0 0 1 0 \n    1 0 1 0 0 1 0 0 0 1 0 0 0 1 0 1]\n[0 0 0 0 0 0 0 0 0 0 0 0 0 0 0 0 0 0 0 0 1 0 0 0 0 0 0 0 0 0 0 0 0 0 0 0 0 0 0 0\n    0 0 0 0 0 0 0 0 0 0 0 0 0 0 0 0 1 1 0 1 0 1 1 1 1 0 0 0 0 1 1 1 0 1 1 0 0 1 \n    0 1 0 1 0 0 1 0 0 0 1 0 0 1 1 0]\n[0 0 0 0 0 0 0 0 0 0 0 0 0 0 0 0 0 0 0 0 0 1 0 0 0 0 0 0 0 0 0 0 0 0 0 0 0 0 0 0\n    0 0 0 0 0 0 0 0 0 0 0 0 0 0 0 0 0 1 1 0 1 0 1 1 1 1 0 0 0 0 1 1 1 0 1 1 0 0 \n    1 0 1 0 1 0 0 1 0 0 0 1 0 1 1 1]\n[0 0 0 0 0 0 0 0 0 0 0 0 0 0 0 0 0 0 0 0 0 0 1 0 0 0 0 0 0 0 0 0 0 0 0 0 0 0 0 0\n    0 0 0 0 0 0 0 0 0 0 0 0 0 0 0 0 0 0 1 1 0 1 0 1 1 1 1 0 0 0 0 1 1 1 0 1 1 0 \n    0 1 0 1 0 1 0 0 1 0 0 0 1 0 1 1]\n[0 0 0 0 0 0 0 0 0 0 0 0 0 0 0 0 0 0 0 0 0 0 0 1 0 0 0 0 0 0 0 0 0 0 0 0 0 0 0 0\n    0 0 0 0 0 0 0 0 0 0 0 0 0 0 1 1 1 1 1 0 0 0 1 0 1 0 1 1 0 0 1 0 0 0 1 0 0 0 \n    1 1 0 0 1 0 1 0 0 0 0 0 0 1 0 1]\n[0 0 0 0 0 0 0 0 0 0 0 0 0 0 0 0 0 0 0 0 0 0 0 0 1 0 0 0 0 0 0 0 0 0 0 0 0 0 0 0\n    0 0 0 0 0 0 0 0 0 0 0 0 0 0 0 1 1 1 1 1 0 0 0 1 0 1 0 1 1 0 0 1 0 0 0 1 0 0 \n    0 1 1 0 0 1 0 1 0 0 0 0 0 1 1 0]\n[0 0 0 0 0 0 0 0 0 0 0 0 0 0 0 0 0 0 0 0 0 0 0 0 0 1 0 0 0 0 0 0 0 0 0 0 0 0 0 0\n    0 0 0 0 0 0 0 0 0 0 0 0 0 0 0 0 1 1 1 1 1 0 0 0 1 0 1 0 1 1 0 0 1 0 0 0 1 0 \n    0 0 1 1 0 0 1 0 1 0 0 0 0 1 1 1]\n[0 0 0 0 0 0 0 0 0 0 0 0 0 0 0 0 0 0 0 0 0 0 0 0 0 0 1 0 0 0 0 0 0 0 0 0 0 0 0 0\n    0 0 0 0 0 0 0 0 0 0 0 0 0 0 0 0 0 1 1 1 1 1 0 0 0 1 0 1 0 1 1 0 0 1 0 0 0 1 \n    0 0 0 1 1 0 0 1 0 1 0 0 0 0 1 1]\n[0 0 0 0 0 0 0 0 0 0 0 0 0 0 0 0 0 0 0 0 0 0 0 0 0 0 0 1 0 0 0 0 0 0 0 0 0 0 0 0\n    0 0 0 0 0 0 0 0 0 0 0 0 0 0 0 0 0 0 1 1 1 1 1 0 0 0 1 0 1 0 1 1 0 0 1 0 0 0 \n    1 0 0 0 1 1 0 0 1 0 1 0 0 0 0 1]\n[0 0 0 0 0 0 0 0 0 0 0 0 0 0 0 0 0 0 0 0 0 0 0 0 0 0 0 0 1 0 0 0 0 0 0 0 0 0 0 0\n    0 0 0 0 0 0 0 0 0 0 0 0 0 0 0 0 0 0 0 1 1 1 1 1 0 0 0 1 0 1 0 1 1 0 0 1 0 0 \n    0 1 0 0 0 1 1 0 0 1 0 1 0 1 0 0]\n[0 0 0 0 0 0 0 0 0 0 0 0 0 0 0 0 0 0 0 0 0 0 0 0 0 0 0 0 0 1 0 0 0 0 0 0 0 0 0 0\n    0 0 0 0 0 0 0 0 0 0 0 0 0 0 0 0 0 0 0 0 1 1 1 1 1 0 0 0 1 0 1 0 1 1 0 0 1 0 \n    0 0 1 0 0 0 1 1 0 0 1 0 1 0 1 0]\n[0 0 0 0 0 0 0 0 0 0 0 0 0 0 0 0 0 0 0 0 0 0 0 0 0 0 0 0 0 0 1 0 0 0 0 0 0 0 0 0\n    0 0 0 0 0 0 0 0 0 0 0 0 0 0 1 1 1 1 1 1 1 1 1 1 1 0 0 0 0 1 1 1 1 0 1 0 1 0 \n    1 1 1 1 0 0 0 1 1 1 0 1 0 0 0 1]\n[0 0 0 0 0 0 0 0 0 0 0 0 0 0 0 0 0 0 0 0 0 0 0 0 0 0 0 0 0 0 0 1 0 0 0 0 0 0 0 0\n    0 0 0 0 0 0 0 0 0 0 0 0 0 0 0 1 1 1 1 1 1 1 1 1 1 1 0 0 0 0 1 1 1 1 0 1 0 1 \n    0 1 1 1 1 0 0 0 1 1 1 0 1 1 0 0]\n[0 0 0 0 0 0 0 0 0 0 0 0 0 0 0 0 0 0 0 0 0 0 0 0 0 0 0 0 0 0 0 0 1 0 0 0 0 0 0 0\n    0 0 0 0 0 0 0 0 0 0 0 0 0 0 1 1 0 0 0 0 0 1 1 1 1 0 1 0 0 0 1 1 0 0 1 0 0 1 \n    0 1 0 1 1 1 0 0 0 0 1 1 0 1 1 0]\n[0 0 0 0 0 0 0 0 0 0 0 0 0 0 0 0 0 0 0 0 0 0 0 0 0 0 0 0 0 0 0 0 0 1 0 0 0 0 0 0\n    0 0 0 0 0 0 0 0 0 0 0 0 0 0 0 1 1 0 0 0 0 0 1 1 1 1 0 1 0 0 0 1 1 0 0 1 0 0 \n    1 0 1 0 1 1 1 0 0 0 0 1 1 1 1 1]\n[0 0 0 0 0 0 0 0 0 0 0 0 0 0 0 0 0 0 0 0 0 0 0 0 0 0 0 0 0 0 0 0 0 0 1 0 0 0 0 0\n    0 0 0 0 0 0 0 0 0 0 0 0 0 0 1 1 0 0 1 1 1 0 0 1 1 0 1 0 1 0 1 0 0 0 0 0 0 1 \n    1 0 1 1 0 1 1 1 0 1 0 0 1 1 1 1]\n[0 0 0 0 0 0 0 0 0 0 0 0 0 0 0 0 0 0 0 0 0 0 0 0 0 0 0 0 0 0 0 0 0 0 0 1 0 0 0 0\n    0 0 0 0 0 0 0 0 0 0 0 0 0 0 1 0 0 1 1 0 0 1 0 0 1 0 0 1 0 1 1 1 1 1 0 0 1 1 \n    0 0 1 1 1 0 1 1 1 1 1 0 0 1 1 1]\n[0 0 0 0 0 0 0 0 0 0 0 0 0 0 0 0 0 0 0 0 0 0 0 0 0 0 0 0 0 0 0 0 0 0 0 0 1 0 0 0\n    0 0 0 0 0 0 0 0 0 0 0 0 0 0 0 1 0 0 1 1 0 0 1 0 0 1 0 0 1 0 1 1 1 1 1 0 0 1 \n    1 0 0 1 1 1 0 1 1 1 1 1 0 0 1 1]\n[0 0 0 0 0 0 0 0 0 0 0 0 0 0 0 0 0 0 0 0 0 0 0 0 0 0 0 0 0 0 0 0 0 0 0 0 0 1 0 0\n    0 0 0 0 0 0 0 0 0 0 0 0 0 0 0 0 1 0 0 1 1 0 0 1 0 0 1 0 0 1 0 1 1 1 1 1 0 0 \n    1 1 0 0 1 1 1 0 1 1 1 1 1 0 0 1]\n[0 0 0 0 0 0 0 0 0 0 0 0 0 0 0 0 0 0 0 0 0 0 0 0 0 0 0 0 0 0 0 0 0 0 0 0 0 0 1 0\n    0 0 0 0 0 0 0 0 0 0 0 0 0 0 1 1 1 0 1 1 0 1 0 0 1 1 0 1 0 0 0 0 0 0 1 1 0 1 \n    1 0 0 0 0 1 1 1 0 0 1 1 1 0 0 0]\n[0 0 0 0 0 0 0 0 0 0 0 0 0 0 0 0 0 0 0 0 0 0 0 0 0 0 0 0 0 0 0 0 0 0 0 0 0 0 0 1\n    0 0 0 0 0 0 0 0 0 0 0 0 0 0 1 0 0 0 1 0 0 0 1 0 0 0 1 0 1 0 1 0 1 1 0 1 0 1 \n    0 0 1 0 0 0 1 1 1 1 0 1 1 1 0 0]\n[0 0 0 0 0 0 0 0 0 0 0 0 0 0 0 0 0 0 0 0 0 0 0 0 0 0 0 0 0 0 0 0 0 0 0 0 0 0 0 0\n    1 0 0 0 0 0 0 0 0 0 0 0 0 0 1 0 1 1 1 0 1 0 0 1 0 1 0 1 0 1 1 1 1 0 1 0 0 1 \n    0 1 1 1 0 0 0 1 1 0 1 0 1 1 1 0]\n[0 0 0 0 0 0 0 0 0 0 0 0 0 0 0 0 0 0 0 0 0 0 0 0 0 0 0 0 0 0 0 0 0 0 0 0 0 0 0 0\n    0 1 0 0 0 0 0 0 0 0 0 0 0 0 1 0 1 0 0 0 1 1 0 0 1 1 1 0 1 0 0 1 0 0 0 1 1 1 \n    0 1 0 1 1 0 0 0 1 0 0 1 0 0 1 1]\n[0 0 0 0 0 0 0 0 0 0 0 0 0 0 0 0 0 0 0 0 0 0 0 0 0 0 0 0 0 0 0 0 0 0 0 0 0 0 0 0\n    0 0 1 0 0 0 0 0 0 0 0 0 0 0 0 1 0 1 0 0 0 1 1 0 0 1 1 1 0 1 0 0 1 0 0 0 1 1 \n    1 0 1 0 1 1 0 0 0 1 0 0 1 0 0 1]\n[0 0 0 0 0 0 0 0 0 0 0 0 0 0 0 0 0 0 0 0 0 0 0 0 0 0 0 0 0 0 0 0 0 0 0 0 0 0 0 0\n    0 0 0 1 0 0 0 0 0 0 0 0 0 0 1 1 0 1 0 1 1 0 1 1 0 1 1 1 1 0 0 0 1 0 0 0 1 0 \n    0 0 1 1 0 1 1 0 0 1 1 0 0 0 0 0]\n[0 0 0 0 0 0 0 0 0 0 0 0 0 0 0 0 0 0 0 0 0 0 0 0 0 0 0 0 0 0 0 0 0 0 0 0 0 0 0 0\n    0 0 0 0 1 0 0 0 0 0 0 0 0 0 0 1 1 0 1 0 1 1 0 1 1 0 1 1 1 1 0 0 0 1 0 0 0 1 \n    0 0 0 1 1 0 1 1 0 0 1 1 0 0 0 0]\n[0 0 0 0 0 0 0 0 0 0 0 0 0 0 0 0 0 0 0 0 0 0 0 0 0 0 0 0 0 0 0 0 0 0 0 0 0 0 0 0\n    0 0 0 0 0 1 0 0 0 0 0 0 0 0 0 0 1 1 0 1 0 1 1 0 1 1 0 1 1 1 1 0 0 0 1 0 0 0 \n    1 0 0 0 1 1 0 1 1 0 0 1 1 0 0 0]\n[0 0 0 0 0 0 0 0 0 0 0 0 0 0 0 0 0 0 0 0 0 0 0 0 0 0 0 0 0 0 0 0 0 0 0 0 0 0 0 0\n    0 0 0 0 0 0 1 0 0 0 0 0 0 0 1 1 1 0 0 1 0 0 1 1 0 0 1 0 1 1 0 1 1 1 0 1 1 1 \n    1 0 1 0 0 1 1 0 1 0 0 0 1 1 0 0]\n[0 0 0 0 0 0 0 0 0 0 0 0 0 0 0 0 0 0 0 0 0 0 0 0 0 0 0 0 0 0 0 0 0 0 0 0 0 0 0 0\n    0 0 0 0 0 0 0 1 0 0 0 0 0 0 1 0 0 0 1 1 0 0 0 1 1 1 0 1 0 1 0 0 0 0 1 0 0 0 \n    0 0 1 1 0 0 1 1 0 0 0 0 0 1 1 0]\n[0 0 0 0 0 0 0 0 0 0 0 0 0 0 0 0 0 0 0 0 0 0 0 0 0 0 0 0 0 0 0 0 0 0 0 0 0 0 0 0\n    0 0 0 0 0 0 0 0 1 0 0 0 0 0 0 1 0 0 0 1 1 0 0 0 1 1 1 0 1 0 1 0 0 0 0 1 0 0 \n    0 0 0 1 1 0 0 1 1 0 0 0 0 1 1 1]\n[0 0 0 0 0 0 0 0 0 0 0 0 0 0 0 0 0 0 0 0 0 0 0 0 0 0 0 0 0 0 0 0 0 0 0 0 0 0 0 0\n    0 0 0 0 0 0 0 0 0 1 0 0 0 0 0 0 1 0 0 0 1 1 0 0 0 1 1 1 0 1 0 1 0 0 0 0 1 0 \n    0 0 0 0 1 1 0 0 1 1 0 0 0 0 1 1]\n[0 0 0 0 0 0 0 0 0 0 0 0 0 0 0 0 0 0 0 0 0 0 0 0 0 0 0 0 0 0 0 0 0 0 0 0 0 0 0 0\n    0 0 0 0 0 0 0 0 0 0 1 0 0 0 0 0 0 1 0 0 0 1 1 0 0 0 1 1 1 0 1 0 1 0 0 0 0 1 \n    0 0 0 0 0 1 1 0 0 1 1 0 0 0 0 1]\n[0 0 0 0 0 0 0 0 0 0 0 0 0 0 0 0 0 0 0 0 0 0 0 0 0 0 0 0 0 0 0 0 0 0 0 0 0 0 0 0\n    0 0 0 0 0 0 0 0 0 0 0 1 0 0 0 0 0 0 1 0 0 0 1 1 0 0 0 1 1 1 0 1 0 1 0 0 0 0 \n    1 0 0 0 0 0 1 1 0 0 1 1 0 1 0 0]\n[0 0 0 0 0 0 0 0 0 0 0 0 0 0 0 0 0 0 0 0 0 0 0 0 0 0 0 0 0 0 0 0 0 0 0 0 0 0 0 0\n    0 0 0 0 0 0 0 0 0 0 0 0 1 0 0 0 0 0 0 1 0 0 0 1 1 0 0 0 1 1 1 0 1 0 1 0 0 0 \n    0 1 0 0 0 0 0 1 1 0 0 1 1 0 1 0]\n[0 0 0 0 0 0 0 0 0 0 0 0 0 0 0 0 0 0 0 0 0 0 0 0 0 0 0 0 0 0 0 0 0 0 0 0 0 0 0 0\n    0 0 0 0 0 0 0 0 0 0 0 0 0 1 1 1 1 1 1 1 0 0 0 0 1 0 0 0 0 1 0 1 1 0 0 1 1 1 \n    1 1 0 0 0 0 0 0 1 0 0 0 1 0 0 1]\nLinear Code over GF(2) of length 94 with 54 generators.\nLower Bound: 1, Upper Bound: 41\nConstructed 2 distinct generator matrices\nRelative Ranks:  54  40 \nTime Taken: 0.00\nStarting search for low weight codewords... (reset timings)\nEnumerating using 1 generator at a time:\n     New codeword identified of weight 19, time 0.00\n     New codeword identified of weight 18, time 0.00\n     New codeword identified of weight 17, time 0.00\n     New codeword identified of weight 16, time 0.00\n     New codeword identified of weight 15, time 0.00\n     Discarding non-contributing rank 40 matrix\n     New Relative Ranks:  54 \n   Completed Matrix  1:  lower =  2, upper = 15. Elapsed: 0.00s\nTermination predicted with 14 generators at matrix 1\nEnumerating using 2 generators at a time:\n     New codeword identified of weight 14, time 0.00\n   Completed Matrix  1:  lower =  3, upper = 14. Elapsed: 0.00s\nTermination predicted with 13 generators at matrix 1\nEnumerating using 3 generators at a time:\n   Completed Matrix  1:  lower =  4, upper = 14. Elapsed: 0.00s\nTermination predicted with 13 generators at matrix 1\nEnumerating using 4 generators at a time:\n     New codeword identified of weight 13, time 0.00\n   Completed Matrix  1:  lower =  5, upper = 13. Elapsed: 0.00s\nTermination predicted with 12 generators at matrix 1\nEnumerating using 5 generators at a time:\n   Completed Matrix  1:  lower =  6, upper = 13. Elapsed: 0.01s\nTermination predicted with 12 generators at matrix 1\nEnumerating using 6 generators at a time:\n   Completed Matrix  1:  lower =  7, upper = 13. Elapsed: 0.06s\nTermination predicted with 12 generators at matrix 1\nEnumerating using 7 generators at a time:\n   Completed Matrix  1:  lower =  8, upper = 13. Elapsed: 0.40s\nTermination predicted at 909 s (15m 9s) with 12 generators at matrix 1\nEnumerating using 8 generators at a time:\n   Completed Matrix  1:  lower =  9, upper = 13. Elapsed: 2.51s\nTermination predicted at 945 s (15m 45s) with 12 generators at matrix 1\nEnumerating using 9 generators at a time:\n   Completed Matrix  1:  lower = 10, upper = 13. Elapsed: 13.67s\nTermination predicted at 977 s (16m 17s) with 12 generators at matrix 1\nEnumerating using 10 generators at a time:\n   Completed Matrix  1:  lower = 11, upper = 13. Elapsed: 65.95s\nTermination predicted at 1015 s (16m 55s) with 12 generators at matrix 1\nEnumerating using 11 generators at a time:\n   Completed Matrix  1:  lower = 12, upper = 13. Elapsed: 283.65s\nTermination predicted at 1054 s (17m 34s) with 12 generators at matrix 1\nEnumerating using 12 generators at a time:\n   Completed Matrix  1:  lower = 13, upper = 13. Elapsed: 1090.46s\nComputation complete 469225289445 vectors enumerated in total\n (0.002605% of 94 54 code)\nFinal Results: lower = 13, upper = 13,\nTotal CPU time: 1090.47, real time: 1092.550\n13\n\nTotal time: 1090.490 seconds, Total memory usage: 32.09MB\n</t>
  </si>
  <si>
    <t>[[95,46,17]]</t>
  </si>
  <si>
    <t>Magma V2.28-26    Tue Dec 30 2025 10:36:46 on Marks-MacBook-Air-2 [Seed = \n1416533683]\nType ? for help.  Type &lt;Ctrl&gt;-D to quit.\n[1 1 0 0 0 1 1 1 0 0 0 0 1 0 1 0 0 1 1 1 1 1 0 1 0 0 0 0 0 1 1 1 1 0 1 1 1 1 0 0\n    1 1 0 0 0 0 1 0 1 1 0 0 0 0 0 0 0 0 0 0 0 0 0 0 0 0 0 0 0 0 0 0 0 0 0 0 0 0 \n    0 0 0 0 0 0 0 0 0 0 0 0 0 0 0 0 0]\n[1 0 1 0 0 1 0 0 1 0 0 0 1 1 1 1 0 1 0 0 0 0 1 1 1 0 0 0 0 1 0 0 0 1 1 0 0 0 1 0\n    1 0 1 0 0 0 1 1 1 0 1 0 0 0 0 0 0 0 0 0 0 0 0 0 0 0 0 0 0 0 0 0 0 0 0 0 0 0 \n    0 0 0 0 0 0 0 0 0 0 0 0 0 0 0 0 0]\n[0 0 0 1 0 1 0 1 0 1 0 0 1 1 0 1 1 1 0 1 1 1 0 0 1 1 0 0 0 1 0 1 1 0 0 0 1 1 0 1\n    1 0 0 1 0 0 1 1 0 0 0 1 0 0 0 0 0 0 0 0 0 0 0 0 0 0 0 0 0 0 0 0 0 0 0 0 0 0 \n    0 0 0 0 0 0 0 0 0 0 0 0 0 0 0 0 0]\n[1 0 0 0 1 0 1 0 1 0 1 0 0 1 1 0 1 1 1 0 1 1 1 0 0 1 1 0 0 0 1 0 1 1 0 0 0 1 1 0\n    1 1 0 0 1 0 0 1 1 0 0 0 1 0 0 0 0 0 0 0 0 0 0 0 0 0 0 0 0 0 0 0 0 0 0 0 0 0 \n    0 0 0 0 0 0 0 0 0 0 0 0 0 0 0 0 0]\n[0 0 0 0 0 0 1 0 0 1 0 1 1 0 0 1 0 0 0 0 1 0 1 0 0 0 1 1 0 1 1 0 1 1 0 1 1 1 1 1\n    1 0 1 0 0 1 1 0 0 0 0 0 0 1 0 0 0 0 0 0 0 0 0 0 0 0 0 0 0 0 0 0 0 0 0 0 0 0 \n    0 0 0 0 0 0 0 0 0 0 0 0 0 0 0 0 0]\n[0 0 0 0 0 0 0 1 0 0 1 0 1 1 0 0 1 0 0 0 0 1 0 1 0 0 0 1 1 0 1 1 0 1 1 0 1 1 1 1\n    1 1 0 1 0 0 1 1 0 0 0 0 0 0 1 0 0 0 0 0 0 0 0 0 0 0 0 0 0 0 0 0 0 0 0 0 0 0 \n    0 0 0 0 0 0 0 0 0 0 0 0 0 0 0 0 0]\n[1 0 0 0 0 0 0 0 1 0 0 1 0 1 1 0 0 1 0 0 0 0 1 0 1 0 0 0 1 1 0 1 1 0 1 1 0 1 1 1\n    1 1 1 0 1 0 0 1 1 0 0 0 0 0 0 1 0 0 0 0 0 0 0 0 0 0 0 0 0 0 0 0 0 0 0 0 0 0 \n    0 0 0 0 0 0 0 0 0 0 0 0 0 0 0 0 0]\n[1 0 0 0 0 1 1 1 0 1 0 0 0 0 0 1 0 1 0 1 1 1 0 0 0 1 0 0 0 0 0 1 0 1 1 0 0 1 1 1\n    0 0 1 1 0 1 1 0 0 0 0 0 0 0 0 0 1 0 0 0 0 0 0 0 0 0 0 0 0 0 0 0 0 0 0 0 0 0 \n    0 0 0 0 0 0 0 0 0 0 0 0 0 0 0 0 0]\n[0 1 0 0 0 0 1 1 1 0 1 0 0 0 0 0 1 0 1 0 1 1 1 0 0 0 1 0 0 0 0 0 1 0 1 1 0 0 1 1\n    1 0 0 1 1 0 1 1 0 0 0 0 0 0 0 0 0 1 0 0 0 0 0 0 0 0 0 0 0 0 0 0 0 0 0 0 0 0 \n    0 0 0 0 0 0 0 0 0 0 0 0 0 0 0 0 0]\n[1 0 1 0 0 0 0 1 1 1 0 1 0 0 0 0 0 1 0 1 0 1 1 1 0 0 0 1 0 0 0 0 0 1 0 1 1 0 0 1\n    1 1 0 0 1 1 0 1 1 0 0 0 0 0 0 0 0 0 1 0 0 0 0 0 0 0 0 0 0 0 0 0 0 0 0 0 0 0 \n    0 0 0 0 0 0 0 0 0 0 0 0 0 0 0 0 0]\n[1 0 0 1 0 1 1 1 1 1 1 0 0 0 1 0 0 1 0 1 0 1 1 0 1 0 0 0 1 1 1 1 1 0 0 1 0 0 0 0\n    0 0 1 0 0 1 0 0 0 0 0 0 0 0 0 0 0 0 0 1 0 0 0 0 0 0 0 0 0 0 0 0 0 0 0 0 0 0 \n    0 0 0 0 0 0 0 0 0 0 0 0 0 0 0 0 0]\n[0 1 0 0 1 0 1 1 1 1 1 1 0 0 0 1 0 0 1 0 1 0 1 1 0 1 0 0 0 1 1 1 1 1 0 0 1 0 0 0\n    0 0 0 1 0 0 1 0 0 0 0 0 0 0 0 0 0 0 0 0 1 0 0 0 0 0 0 0 0 0 0 0 0 0 0 0 0 0 \n    0 0 0 0 0 0 0 0 0 0 0 0 0 0 0 0 0]\n[1 0 1 0 0 1 0 1 1 1 1 1 1 0 0 0 1 0 0 1 0 1 0 1 1 0 1 0 0 0 1 1 1 1 1 0 0 1 0 0\n    0 0 0 0 1 0 0 1 0 0 0 0 0 0 0 0 0 0 0 0 0 1 0 0 0 0 0 0 0 0 0 0 0 0 0 0 0 0 \n    0 0 0 0 0 0 0 0 0 0 0 0 0 0 0 0 0]\n[0 1 0 1 0 0 1 0 1 1 1 1 1 1 0 0 0 1 0 0 1 0 1 0 1 1 0 1 0 0 0 1 1 1 1 1 0 0 1 0\n    0 0 0 0 0 1 0 0 1 0 0 0 0 0 0 0 0 0 0 0 0 0 1 0 0 0 0 0 0 0 0 0 0 0 0 0 0 0 \n    0 0 0 0 0 0 0 0 0 0 0 0 0 0 0 0 0]\n[1 1 1 0 1 1 1 0 0 1 1 1 0 1 0 0 0 1 0 1 1 0 0 0 0 1 1 0 1 1 1 1 0 1 0 0 0 1 0 1\n    1 1 0 0 0 0 0 0 1 0 0 0 0 0 0 0 0 0 0 0 0 0 0 1 0 0 0 0 0 0 0 0 0 0 0 0 0 0 \n    0 0 0 0 0 0 0 0 0 0 0 0 0 0 0 0 0]\n[1 0 1 1 0 0 0 0 0 0 1 1 0 0 0 0 0 1 0 1 0 0 0 1 0 0 1 1 0 0 0 0 0 0 0 1 1 1 1 0\n    0 0 1 0 0 0 1 0 1 0 0 0 0 0 0 0 0 0 0 0 0 0 0 0 1 0 0 0 0 0 0 0 0 0 0 0 0 0 \n    0 0 0 0 0 0 0 0 0 0 0 0 0 0 0 0 0]\n[0 0 0 1 1 1 1 1 0 0 0 1 0 0 1 0 0 1 0 1 0 1 0 1 1 0 0 1 1 1 1 1 1 0 1 1 0 0 1 1\n    1 1 0 1 0 0 1 1 1 0 0 0 0 0 0 0 0 0 0 0 0 0 0 0 0 1 0 0 0 0 0 0 0 0 0 0 0 0 \n    0 0 0 0 0 0 0 0 0 0 0 0 0 0 0 0 0]\n[0 1 0 0 1 0 0 0 1 0 0 0 0 0 1 1 0 1 0 1 0 1 1 1 1 1 0 0 1 0 0 0 0 1 1 0 0 1 0 1\n    0 0 1 0 1 0 1 1 0 0 0 0 0 0 0 0 0 0 0 0 0 0 0 0 0 0 1 0 0 0 0 0 0 0 0 0 0 0 \n    0 0 0 0 0 0 0 0 0 0 0 0 0 0 0 0 0]\n[1 0 1 0 0 1 0 0 0 1 0 0 0 0 0 1 1 0 1 0 1 0 1 1 1 1 1 0 0 1 0 0 0 0 1 1 0 0 1 0\n    1 0 0 1 0 1 0 1 1 0 0 0 0 0 0 0 0 0 0 0 0 0 0 0 0 0 0 1 0 0 0 0 0 0 0 0 0 0 \n    0 0 0 0 0 0 0 0 0 0 0 0 0 0 0 0 0]\n[0 0 0 1 0 1 0 1 0 0 1 0 1 0 1 0 1 0 1 0 1 0 0 0 1 1 1 1 0 1 0 1 1 0 1 0 0 1 0 1\n    1 0 0 0 1 0 0 0 0 0 0 0 0 0 0 0 0 0 0 0 0 0 0 0 0 0 0 0 1 0 0 0 0 0 0 0 0 0 \n    0 0 0 0 0 0 0 0 0 0 0 0 0 0 0 0 0]\n[0 0 0 0 1 0 1 0 1 0 0 1 0 1 0 1 0 1 0 1 0 1 0 0 0 1 1 1 1 0 1 0 1 1 0 1 0 0 1 0\n    1 1 0 0 0 1 0 0 0 0 0 0 0 0 0 0 0 0 0 0 0 0 0 0 0 0 0 0 0 1 0 0 0 0 0 0 0 0 \n    0 0 0 0 0 0 0 0 0 0 0 0 0 0 0 0 0]\n[1 0 0 0 0 1 0 1 0 1 0 0 1 0 1 0 1 0 1 0 1 0 1 0 0 0 1 1 1 1 0 1 0 1 1 0 1 0 0 1\n    0 1 1 0 0 0 1 0 0 0 0 0 0 0 0 0 0 0 0 0 0 0 0 0 0 0 0 0 0 0 1 0 0 0 0 0 0 0 \n    0 0 0 0 0 0 0 0 0 0 0 0 0 0 0 0 0]\n[0 1 0 0 0 0 1 0 1 0 1 0 0 1 0 1 0 1 0 1 0 1 0 1 0 0 0 1 1 1 1 0 1 0 1 1 0 1 0 0\n    1 0 1 1 0 0 0 1 0 0 0 0 0 0 0 0 0 0 0 0 0 0 0 0 0 0 0 0 0 0 0 1 0 0 0 0 0 0 \n    0 0 0 0 0 0 0 0 0 0 0 0 0 0 0 0 0]\n[0 0 1 0 0 0 0 1 0 1 0 1 0 0 1 0 1 0 1 0 1 0 1 0 1 0 0 0 1 1 1 1 0 1 0 1 1 0 1 0\n    0 1 0 1 1 0 0 0 1 0 0 0 0 0 0 0 0 0 0 0 0 0 0 0 0 0 0 0 0 0 0 0 1 0 0 0 0 0 \n    0 0 0 0 0 0 0 0 0 0 0 0 0 0 0 0 0]\n[1 1 0 1 0 1 1 1 1 0 1 0 0 0 1 1 0 0 1 0 1 0 0 0 0 1 0 0 0 0 0 0 0 0 0 1 0 0 0 1\n    1 1 1 0 1 1 1 0 1 0 0 0 0 0 0 0 0 0 0 0 0 0 0 0 0 0 0 0 0 0 0 0 0 1 0 0 0 0 \n    0 0 0 0 0 0 0 0 0 0 0 0 0 0 0 0 0]\n[1 0 1 0 1 1 0 0 1 1 0 1 1 0 1 1 1 1 1 0 1 0 0 1 0 0 1 0 0 1 1 1 1 0 1 1 0 1 0 0\n    0 0 1 1 0 1 0 1 1 0 0 0 0 0 0 0 0 0 0 0 0 0 0 0 0 0 0 0 0 0 0 0 0 0 1 0 0 0 \n    0 0 0 0 0 0 0 0 0 0 0 0 0 0 0 0 0]\n[0 0 0 1 0 0 0 1 0 1 1 0 0 1 1 1 1 0 0 0 1 0 0 1 1 0 0 1 0 1 0 0 0 1 1 0 0 1 1 0\n    1 1 0 1 1 0 0 0 0 0 0 0 0 0 0 0 0 0 0 0 0 0 0 0 0 0 0 0 0 0 0 0 0 0 0 1 0 0 \n    0 0 0 0 0 0 0 0 0 0 0 0 0 0 0 0 0]\n[1 0 0 0 1 0 0 0 1 0 1 1 0 0 1 1 1 1 0 0 0 1 0 0 1 1 0 0 1 0 1 0 0 0 1 1 0 0 1 1\n    0 1 1 0 1 1 0 0 0 0 0 0 0 0 0 0 0 0 0 0 0 0 0 0 0 0 0 0 0 0 0 0 0 0 0 0 1 0 \n    0 0 0 0 0 0 0 0 0 0 0 0 0 0 0 0 0]\n[1 1 0 0 0 1 0 0 0 1 0 1 1 0 0 1 1 1 1 0 0 0 1 0 0 1 1 0 0 1 0 1 0 0 0 1 1 0 0 1\n    1 0 1 1 0 1 1 0 0 0 0 0 0 0 0 0 0 0 0 0 0 0 0 0 0 0 0 0 0 0 0 0 0 0 0 0 0 1 \n    0 0 0 0 0 0 0 0 0 0 0 0 0 0 0 0 0]\n[0 1 1 0 0 0 1 0 0 0 1 0 1 1 0 0 1 1 1 1 0 0 0 1 0 0 1 1 0 0 1 0 1 0 0 0 1 1 0 0\n    1 1 0 1 1 0 1 1 0 0 0 0 0 0 0 0 0 0 0 0 0 0 0 0 0 0 0 0 0 0 0 0 0 0 0 0 0 0 \n    1 0 0 0 0 0 0 0 0 0 0 0 0 0 0 0 0]\n[0 0 1 1 0 0 0 1 0 0 0 1 0 1 1 0 0 1 1 1 1 0 0 0 1 0 0 1 1 0 0 1 0 1 0 0 0 1 1 0\n    0 1 1 0 1 1 0 1 1 0 0 0 0 0 0 0 0 0 0 0 0 0 0 0 0 0 0 0 0 0 0 0 0 0 0 0 0 0 \n    0 1 0 0 0 0 0 0 0 0 0 0 0 0 0 0 0]\n[1 1 0 1 1 1 1 1 1 0 0 0 0 0 0 1 0 1 0 0 0 0 0 1 0 1 0 0 1 0 1 1 0 0 0 1 1 1 1 1\n    1 1 1 1 0 1 0 0 0 0 0 0 0 0 0 0 0 0 0 0 0 0 0 0 0 0 0 0 0 0 0 0 0 0 0 0 0 0 \n    0 0 1 0 0 0 0 0 0 0 0 0 0 0 0 0 0]\n[0 1 1 0 1 1 1 1 1 1 0 0 0 0 0 0 1 0 1 0 0 0 0 0 1 0 1 0 0 1 0 1 1 0 0 0 1 1 1 1\n    1 1 1 1 1 0 1 0 0 0 0 0 0 0 0 0 0 0 0 0 0 0 0 0 0 0 0 0 0 0 0 0 0 0 0 0 0 0 \n    0 0 0 1 0 0 0 0 0 0 0 0 0 0 0 0 0]\n[1 0 1 1 0 1 1 1 1 1 1 0 0 0 0 0 0 1 0 1 0 0 0 0 0 1 0 1 0 0 1 0 1 1 0 0 0 1 1 1\n    1 1 1 1 1 1 0 1 0 0 0 0 0 0 0 0 0 0 0 0 0 0 0 0 0 0 0 0 0 0 0 0 0 0 0 0 0 0 \n    0 0 0 0 1 0 0 0 0 0 0 0 0 0 0 0 0]\n[0 1 0 1 1 0 1 1 1 1 1 1 0 0 0 0 0 0 1 0 1 0 0 0 0 0 1 0 1 0 0 1 0 1 1 0 0 0 1 1\n    1 1 1 1 1 1 1 0 1 0 0 0 0 0 0 0 0 0 0 0 0 0 0 0 0 0 0 0 0 0 0 0 0 0 0 0 0 0 \n    0 0 0 0 0 1 0 0 0 0 0 0 0 0 0 0 0]\n[1 1 1 0 1 0 1 0 1 1 1 1 0 0 1 0 0 1 1 0 1 0 0 1 0 0 0 1 0 0 1 1 0 0 0 0 1 1 0 1\n    0 0 1 1 1 1 0 1 1 0 0 0 0 0 0 0 0 0 0 0 0 0 0 0 0 0 0 0 0 0 0 0 0 0 0 0 0 0 \n    0 0 0 0 0 0 1 0 0 0 0 0 0 0 0 0 0]\n[1 0 1 1 0 0 1 0 0 1 1 1 0 0 1 1 0 1 0 0 1 0 0 1 1 0 0 0 1 1 1 0 0 0 1 1 1 0 1 0\n    0 1 0 1 1 1 0 0 0 0 0 0 0 0 0 0 0 0 0 0 0 0 0 0 0 0 0 0 0 0 0 0 0 0 0 0 0 0 \n    0 0 0 0 0 0 0 1 0 0 0 0 0 0 0 0 0]\n[1 1 0 1 1 0 0 1 0 0 1 1 1 0 0 1 1 0 1 0 0 1 0 0 1 1 0 0 0 1 1 1 0 0 0 1 1 1 0 1\n    0 0 1 0 1 1 1 0 0 0 0 0 0 0 0 0 0 0 0 0 0 0 0 0 0 0 0 0 0 0 0 0 0 0 0 0 0 0 \n    0 0 0 0 0 0 0 0 1 0 0 0 0 0 0 0 0]\n[1 1 1 0 1 1 0 0 1 0 0 1 1 1 0 0 1 1 0 1 0 0 1 0 0 1 1 0 0 0 1 1 1 0 0 0 1 1 1 0\n    1 0 0 1 0 1 1 1 0 0 0 0 0 0 0 0 0 0 0 0 0 0 0 0 0 0 0 0 0 0 0 0 0 0 0 0 0 0 \n    0 0 0 0 0 0 0 0 0 1 0 0 0 0 0 0 0]\n[0 1 1 1 0 1 1 0 0 1 0 0 1 1 1 0 0 1 1 0 1 0 0 1 0 0 1 1 0 0 0 1 1 1 0 0 0 1 1 1\n    0 1 0 0 1 0 1 1 1 0 0 0 0 0 0 0 0 0 0 0 0 0 0 0 0 0 0 0 0 0 0 0 0 0 0 0 0 0 \n    0 0 0 0 0 0 0 0 0 0 1 0 0 0 0 0 0]\n[1 1 1 1 1 1 0 0 0 0 1 0 1 1 0 1 0 1 0 0 1 0 0 1 1 0 0 1 1 1 1 1 0 1 0 1 1 1 1 1\n    0 1 1 0 0 1 1 1 0 0 0 0 0 0 0 0 0 0 0 0 0 0 0 0 0 0 0 0 0 0 0 0 0 0 0 0 0 0 \n    0 0 0 0 0 0 0 0 0 0 0 1 0 0 0 0 0]\n[0 1 1 1 1 1 1 0 0 0 0 1 0 1 1 0 1 0 1 0 0 1 0 0 1 1 0 0 1 1 1 1 1 0 1 0 1 1 1 1\n    1 0 1 1 0 0 1 1 1 0 0 0 0 0 0 0 0 0 0 0 0 0 0 0 0 0 0 0 0 0 0 0 0 0 0 0 0 0 \n    0 0 0 0 0 0 0 0 0 0 0 0 1 0 0 0 0]\n[0 1 1 1 1 0 0 0 0 0 0 0 0 0 0 1 0 0 1 0 1 1 1 1 0 1 1 0 0 0 0 0 0 1 1 0 1 0 1 1\n    0 0 0 1 1 0 1 1 0 0 0 0 0 0 0 0 0 0 0 0 0 0 0 0 0 0 0 0 0 0 0 0 0 0 0 0 0 0 \n    0 0 0 0 0 0 0 0 0 0 0 0 0 1 0 0 0]\n[0 0 1 1 1 1 0 0 0 0 0 0 0 0 0 0 1 0 0 1 0 1 1 1 1 0 1 1 0 0 0 0 0 0 1 1 0 1 0 1\n    1 0 0 0 1 1 0 1 1 0 0 0 0 0 0 0 0 0 0 0 0 0 0 0 0 0 0 0 0 0 0 0 0 0 0 0 0 0 \n    0 0 0 0 0 0 0 0 0 0 0 0 0 0 1 0 0]\n[0 1 0 1 1 0 0 1 0 0 0 0 1 0 1 0 0 0 1 1 0 1 1 0 1 1 0 1 1 1 1 1 1 0 1 0 0 1 1 0\n    0 0 0 0 0 1 0 0 0 0 0 0 0 0 0 0 0 0 0 0 0 0 0 0 0 0 0 0 0 0 0 0 0 0 0 0 0 0 \n    0 0 0 0 0 0 0 0 0 0 0 0 0 0 0 1 0]\n[0 0 1 0 1 1 0 0 1 0 0 0 0 1 0 1 0 0 0 1 1 0 1 1 0 1 1 0 1 1 1 1 1 1 0 1 0 0 1 1\n    0 0 0 0 0 0 1 0 0 0 0 0 0 0 0 0 0 0 0 0 0 0 0 0 0 0 0 0 0 0 0 0 0 0 0 0 0 0 \n    0 0 0 0 0 0 0 0 0 0 0 0 0 0 0 0 1]\n[95, 46] Linear Code over GF(2)\nGenerator matrix:\n[1 0 0 0 0 0 0 0 0 0 0 0 0 0 0 0 0 0 0 0 0 0 0 0 0 0 0 0 0 0 0 0 0 0 0 0 0 0 0 0\n    0 0 0 0 0 1 0 1 0 0 0 0 1 1 1 0 1 0 0 0 0 0 1 0 1 0 1 1 1 0 0 0 1 0 0 0 0 0 \n    1 0 1 1 0 0 1 1 1 0 0 1 1 0 1 1 0]\n[0 1 0 0 0 0 0 0 0 0 0 0 0 0 0 0 0 0 0 0 0 0 0 0 0 0 0 0 0 0 0 0 0 0 0 0 0 0 0 0\n    0 0 0 0 0 0 0 0 1 0 0 0 0 1 0 1 0 0 0 1 1 0 0 0 0 1 0 1 0 1 1 0 0 1 1 1 0 1 \n    1 1 1 0 1 1 1 0 0 0 1 0 0 1 0 0 0]\n[0 0 1 0 0 0 0 0 0 0 0 0 0 0 0 0 0 0 0 0 0 0 0 0 0 0 0 0 0 0 0 0 0 0 0 0 0 0 0 0\n    0 0 0 0 0 0 0 0 0 1 0 0 0 0 1 0 1 0 0 0 1 1 0 0 0 0 1 0 1 0 1 1 0 0 1 1 1 0 \n    1 1 1 1 0 1 1 1 0 0 0 1 0 0 1 0 0]\n[0 0 0 1 0 0 0 0 0 0 0 0 0 0 0 0 0 0 0 0 0 0 0 0 0 0 0 0 0 0 0 0 0 0 0 0 0 0 0 0\n    0 0 0 0 0 1 0 1 0 0 1 0 1 1 1 1 1 1 0 0 0 1 0 0 1 0 1 0 1 1 0 1 0 0 0 1 1 1 \n    1 1 0 0 1 0 0 0 0 0 0 1 0 0 1 0 0]\n[0 0 0 0 1 0 0 0 0 0 0 0 0 0 0 0 0 0 0 0 0 0 0 0 0 0 0 0 0 0 0 0 0 0 0 0 0 0 0 0\n    0 0 0 0 0 0 0 0 1 0 0 1 0 1 0 1 1 0 1 1 1 0 1 1 0 1 0 1 1 1 0 0 1 0 1 1 1 0 \n    0 1 0 1 0 0 1 1 1 1 1 0 0 0 0 0 1]\n[0 0 0 0 0 1 0 0 0 0 0 0 0 0 0 0 0 0 0 0 0 0 0 0 0 0 0 0 0 0 0 0 0 0 0 0 0 0 0 0\n    0 0 0 0 0 0 0 1 0 1 0 0 1 0 1 1 1 1 1 1 0 0 0 1 0 0 1 0 1 0 1 1 0 1 0 0 0 1 \n    1 1 1 1 0 0 1 0 0 0 0 0 0 1 0 0 1]\n[0 0 0 0 0 0 1 0 0 0 0 0 0 0 0 0 0 0 0 0 0 0 0 0 0 0 0 0 0 0 0 0 0 0 0 0 0 0 0 0\n    0 0 0 0 0 0 0 1 1 0 1 0 0 1 0 0 1 1 0 1 0 1 0 0 0 0 0 1 0 0 0 0 1 0 1 1 1 0 \n    0 0 1 0 0 0 1 0 1 1 1 1 0 1 1 0 1]\n[0 0 0 0 0 0 0 1 0 0 0 0 0 0 0 0 0 0 0 0 0 0 0 0 0 0 0 0 0 0 0 0 0 0 0 0 0 0 0 0\n    0 0 0 0 0 1 0 0 1 1 0 1 1 1 0 1 1 1 0 0 0 1 0 0 0 0 1 1 0 1 0 1 1 1 0 0 0 1 \n    0 1 1 1 1 0 0 1 0 0 0 1 0 1 0 0 1]\n[0 0 0 0 0 0 0 0 1 0 0 0 0 0 0 0 0 0 0 0 0 0 0 0 0 0 0 0 0 0 0 0 0 0 0 0 0 0 0 0\n    0 0 0 0 0 1 0 0 0 1 1 0 0 0 1 1 0 0 0 1 0 1 0 1 0 0 1 0 1 1 0 1 0 1 0 0 1 1 \n    0 1 1 0 0 0 1 1 0 0 0 0 1 1 0 0 0]\n[0 0 0 0 0 0 0 0 0 1 0 0 0 0 0 0 0 0 0 0 0 0 0 0 0 0 0 0 0 0 0 0 0 0 0 0 0 0 0 0\n    0 0 0 0 0 1 0 1 0 0 1 1 1 1 0 1 0 1 0 1 0 0 0 1 0 0 1 0 0 1 0 0 0 0 0 1 0 0 \n    1 0 1 1 0 1 0 1 1 1 1 1 0 1 0 0 1]\n[0 0 0 0 0 0 0 0 0 0 1 0 0 0 0 0 0 0 0 0 0 0 0 0 0 0 0 0 0 0 0 0 0 0 0 0 0 0 0 0\n    0 0 0 0 0 1 0 0 1 0 0 1 0 0 1 1 0 1 0 1 1 1 1 1 1 0 1 0 0 1 0 1 1 0 1 0 0 1 \n    1 0 0 0 0 1 0 1 0 1 1 1 1 1 0 0 0]\n[0 0 0 0 0 0 0 0 0 0 0 1 0 0 0 0 0 0 0 0 0 0 0 0 0 0 0 0 0 0 0 0 0 0 0 0 0 0 0 0\n    0 0 0 0 0 0 0 0 0 1 0 0 1 0 1 1 1 1 1 1 0 1 1 0 1 1 0 1 1 0 0 0 1 1 1 0 0 1 \n    0 1 1 1 0 1 0 1 0 1 0 1 0 1 1 1 1]\n[0 0 0 0 0 0 0 0 0 0 0 0 1 0 0 0 0 0 0 0 0 0 0 0 0 0 0 0 0 0 0 0 0 0 0 0 0 0 0 0\n    0 0 0 0 0 1 0 0 0 0 1 0 1 0 1 0 0 1 0 1 0 1 0 1 0 1 0 1 0 0 0 1 1 1 1 0 1 0 \n    1 1 0 1 0 0 1 0 1 1 0 0 0 1 0 0 0]\n[0 0 0 0 0 0 0 0 0 0 0 0 0 1 0 0 0 0 0 0 0 0 0 0 0 0 0 0 0 0 0 0 0 0 0 0 0 0 0 0\n    0 0 0 0 0 0 0 0 0 0 0 1 0 1 1 1 0 1 1 1 0 0 1 1 1 0 1 0 0 0 1 0 1 1 0 0 0 0 \n    1 1 0 1 1 1 1 0 1 0 0 0 1 0 1 1 1]\n[0 0 0 0 0 0 0 0 0 0 0 0 0 0 1 0 0 0 0 0 0 0 0 0 0 0 0 0 0 0 0 0 0 0 0 0 0 0 0 0\n    0 0 0 0 0 0 0 1 0 0 0 0 1 0 1 0 1 0 0 1 0 1 0 1 0 1 0 1 0 1 0 0 0 1 1 1 1 0 \n    1 0 1 1 0 1 0 0 1 0 1 1 0 0 0 1 0]\n[0 0 0 0 0 0 0 0 0 0 0 0 0 0 0 1 0 0 0 0 0 0 0 0 0 0 0 0 0 0 0 0 0 0 0 0 0 0 0 0\n    0 0 0 0 0 0 0 0 1 0 0 0 0 1 0 1 0 1 0 0 1 0 1 0 1 0 1 0 1 0 1 0 0 0 1 1 1 1 \n    0 1 0 1 1 0 1 0 0 1 0 1 1 0 0 0 1]\n[0 0 0 0 0 0 0 0 0 0 0 0 0 0 0 0 1 0 0 0 0 0 0 0 0 0 0 0 0 0 0 0 0 0 0 0 0 0 0 0\n    0 0 0 0 0 0 0 1 0 1 0 0 0 0 1 1 1 0 0 0 1 0 0 1 1 1 0 1 0 0 0 0 0 0 0 0 0 1 \n    0 1 1 1 0 1 1 0 1 1 0 1 1 0 0 0 1]\n[0 0 0 0 0 0 0 0 0 0 0 0 0 0 0 0 0 1 0 0 0 0 0 0 0 0 0 0 0 0 0 0 0 0 0 0 0 0 0 0\n    0 0 0 0 0 1 0 0 1 0 1 0 1 1 1 0 0 1 1 0 1 0 1 0 1 1 0 1 0 1 0 1 1 0 0 1 1 0 \n    1 1 0 1 0 0 1 1 0 0 0 0 0 0 1 1 1]\n[0 0 0 0 0 0 0 0 0 0 0 0 0 0 0 0 0 0 1 0 0 0 0 0 0 0 0 0 0 0 0 0 0 0 0 0 0 0 0 0\n    0 0 0 0 0 1 0 0 0 1 0 1 1 0 1 0 1 1 0 0 0 0 1 0 0 1 0 1 1 1 0 1 0 1 1 0 0 0 \n    1 0 1 1 0 1 1 0 0 0 0 0 0 1 1 1 1]\n[0 0 0 0 0 0 0 0 0 0 0 0 0 0 0 0 0 0 0 1 0 0 0 0 0 0 0 0 0 0 0 0 0 0 0 0 0 0 0 0\n    0 0 0 0 0 1 0 0 0 0 1 0 0 0 0 0 1 0 0 1 0 1 1 0 0 0 0 1 1 0 0 1 0 0 0 1 1 1 \n    1 0 0 0 0 1 0 0 1 0 0 0 0 1 0 1 1]\n[0 0 0 0 0 0 0 0 0 0 0 0 0 0 0 0 0 0 0 0 1 0 0 0 0 0 0 0 0 0 0 0 0 0 0 0 0 0 0 0\n    0 0 0 0 0 0 0 1 0 0 0 1 0 0 1 1 0 0 1 1 1 1 1 0 1 0 0 0 0 0 1 1 1 0 1 0 0 0 \n    1 0 1 0 1 1 1 0 0 1 0 1 1 1 1 1 1]\n[0 0 0 0 0 0 0 0 0 0 0 0 0 0 0 0 0 0 0 0 0 1 0 0 0 0 0 0 0 0 0 0 0 0 0 0 0 0 0 0\n    0 0 0 0 0 0 0 1 1 0 0 0 1 0 0 0 1 0 1 1 0 0 1 1 1 1 0 0 0 1 0 0 1 1 0 0 1 0 \n    1 0 0 0 1 1 0 0 1 1 0 1 1 0 1 1 0]\n[0 0 0 0 0 0 0 0 0 0 0 0 0 0 0 0 0 0 0 0 0 0 1 0 0 0 0 0 0 0 0 0 0 0 0 0 0 0 0 0\n    0 0 0 0 0 0 0 0 1 1 0 0 0 1 0 0 0 1 0 1 1 0 0 1 1 1 1 0 0 0 1 0 0 1 1 0 0 1 \n    0 1 0 0 0 1 1 0 0 1 1 0 1 1 0 1 1]\n[0 0 0 0 0 0 0 0 0 0 0 0 0 0 0 0 0 0 0 0 0 0 0 1 0 0 0 0 0 0 0 0 0 0 0 0 0 0 0 0\n    0 0 0 0 0 0 0 1 0 1 1 0 0 0 1 1 0 0 0 0 0 0 0 0 0 1 1 1 0 1 0 0 0 0 1 0 1 0 \n    0 1 1 1 1 0 0 0 1 1 0 0 0 0 1 0 0]\n[0 0 0 0 0 0 0 0 0 0 0 0 0 0 0 0 0 0 0 0 0 0 0 0 1 0 0 0 0 0 0 0 0 0 0 0 0 0 0 0\n    0 0 0 0 0 1 0 1 1 0 1 1 1 1 1 1 0 0 0 0 0 0 1 0 1 0 0 0 0 0 1 0 1 0 0 1 0 1 \n    1 0 0 0 1 1 1 1 1 1 1 1 1 0 1 0 0]\n[0 0 0 0 0 0 0 0 0 0 0 0 0 0 0 0 0 0 0 0 0 0 0 0 0 1 0 0 0 0 0 0 0 0 0 0 0 0 0 0\n    0 0 0 0 0 0 0 0 1 1 0 1 1 1 0 1 1 1 0 1 1 0 0 0 0 1 0 0 1 0 1 1 0 1 1 1 1 1 \n    0 1 1 1 0 0 0 0 0 0 0 1 0 1 0 0 1]\n[0 0 0 0 0 0 0 0 0 0 0 0 0 0 0 0 0 0 0 0 0 0 0 0 0 0 1 0 0 0 0 0 0 0 0 0 0 0 0 0\n    0 0 0 0 0 0 0 1 0 1 1 0 1 1 1 1 1 1 0 0 0 0 0 0 1 0 1 0 0 0 0 0 1 0 1 0 0 1 \n    0 1 1 0 0 0 1 1 1 1 1 1 1 1 1 0 1]\n[0 0 0 0 0 0 0 0 0 0 0 0 0 0 0 0 0 0 0 0 0 0 0 0 0 0 0 1 0 0 0 0 0 0 0 0 0 0 0 0\n    0 0 0 0 0 0 0 1 1 0 1 1 0 1 1 0 1 1 0 0 1 1 0 0 1 1 0 1 0 1 0 1 0 1 0 0 1 0 \n    0 1 1 0 1 0 1 0 0 0 0 0 1 0 1 1 1]\n[0 0 0 0 0 0 0 0 0 0 0 0 0 0 0 0 0 0 0 0 0 0 0 0 0 0 0 0 1 0 0 0 0 0 0 0 0 0 0 0\n    0 0 0 0 0 1 0 0 1 1 0 1 0 1 0 0 1 1 0 0 1 0 0 0 0 1 0 1 0 1 1 1 0 0 1 1 1 1 \n    0 1 0 1 1 1 0 1 0 1 1 0 1 0 1 0 0]\n[0 0 0 0 0 0 0 0 0 0 0 0 0 0 0 0 0 0 0 0 0 0 0 0 0 0 0 0 0 1 0 0 0 0 0 0 0 0 0 0\n    0 0 0 0 0 1 0 1 0 1 1 0 0 1 1 0 1 0 1 1 1 1 1 1 1 0 0 1 1 0 0 1 0 0 1 0 1 0 \n    1 0 1 0 1 0 1 0 1 1 0 0 0 1 1 1 1]\n[0 0 0 0 0 0 0 0 0 0 0 0 0 0 0 0 0 0 0 0 0 0 0 0 0 0 0 0 0 0 1 0 0 0 0 0 0 0 0 0\n    0 0 0 0 0 0 0 1 1 0 1 1 0 0 0 0 0 0 1 0 1 0 1 0 0 1 0 0 0 0 1 1 1 0 1 1 1 0 \n    0 0 1 1 1 0 0 1 0 1 1 1 1 1 1 0 1]\n[0 0 0 0 0 0 0 0 0 0 0 0 0 0 0 0 0 0 0 0 0 0 0 0 0 0 0 0 0 0 0 1 0 0 0 0 0 0 0 0\n    0 0 0 0 0 0 0 1 1 1 0 1 1 0 0 1 0 0 1 1 1 0 0 1 1 0 1 0 0 1 0 0 1 1 0 0 0 1 \n    1 1 0 0 0 1 1 1 0 1 0 0 1 0 1 1 1]\n[0 0 0 0 0 0 0 0 0 0 0 0 0 0 0 0 0 0 0 0 0 0 0 0 0 0 0 0 0 0 0 0 1 0 0 0 0 0 0 0\n    0 0 0 0 0 0 0 1 1 1 1 0 1 1 0 1 1 0 1 1 0 0 0 0 0 1 0 1 0 1 1 1 0 1 1 1 1 0 \n    0 0 1 1 1 0 0 0 0 1 0 1 0 0 0 1 0]\n[0 0 0 0 0 0 0 0 0 0 0 0 0 0 0 0 0 0 0 0 0 0 0 0 0 0 0 0 0 0 0 0 0 1 0 0 0 0 0 0\n    0 0 0 0 0 1 0 1 1 1 1 1 1 0 0 0 0 1 0 1 1 0 1 0 1 0 0 1 0 0 1 1 0 0 1 1 1 1 \n    1 0 1 0 1 1 1 1 1 0 1 1 0 0 1 1 1]\n[0 0 0 0 0 0 0 0 0 0 0 0 0 0 0 0 0 0 0 0 0 0 0 0 0 0 0 0 0 0 0 0 0 0 1 0 0 0 0 0\n    0 0 0 0 0 0 0 1 1 1 1 1 1 1 1 1 0 1 0 1 1 0 0 0 1 1 0 0 0 1 1 0 1 0 1 1 0 0 \n    1 0 1 1 1 0 1 1 1 1 0 0 0 1 0 0 1]\n[0 0 0 0 0 0 0 0 0 0 0 0 0 0 0 0 0 0 0 0 0 0 0 0 0 0 0 0 0 0 0 0 0 0 0 1 0 0 0 0\n    0 0 0 0 0 1 0 0 1 1 1 1 0 0 0 0 0 0 0 0 0 0 1 0 0 1 0 1 1 1 1 0 1 1 0 0 0 0 \n    0 0 1 1 0 1 0 1 1 0 0 0 1 1 0 1 1]\n[0 0 0 0 0 0 0 0 0 0 0 0 0 0 0 0 0 0 0 0 0 0 0 0 0 0 0 0 0 0 0 0 0 0 0 0 1 0 0 0\n    0 0 0 0 0 0 0 1 0 1 1 1 1 0 1 1 0 1 1 1 0 1 0 0 1 0 1 0 0 0 0 0 0 1 0 0 1 1 \n    0 1 1 1 0 1 1 0 1 1 0 1 1 0 1 1 1]\n[0 0 0 0 0 0 0 0 0 0 0 0 0 0 0 0 0 0 0 0 0 0 0 0 0 0 0 0 0 0 0 0 0 0 0 0 0 1 0 0\n    0 0 0 0 0 1 0 0 1 0 1 1 0 0 1 0 0 0 0 1 0 1 0 0 0 1 1 0 1 1 0 1 1 0 1 1 1 1 \n    1 1 0 1 0 0 1 1 0 0 0 0 0 0 1 0 0]\n[0 0 0 0 0 0 0 0 0 0 0 0 0 0 0 0 0 0 0 0 0 0 0 0 0 0 0 0 0 0 0 0 0 0 0 0 0 0 1 0\n    0 0 0 0 0 0 0 0 0 1 0 1 1 0 1 1 0 1 0 1 0 0 1 1 0 0 1 1 1 1 0 0 1 1 1 0 1 0 \n    0 1 0 1 1 1 1 0 0 1 1 0 1 0 0 0 1]\n[0 0 0 0 0 0 0 0 0 0 0 0 0 0 0 0 0 0 0 0 0 0 0 0 0 0 0 0 0 0 0 0 0 0 0 0 0 0 0 1\n    0 0 0 0 0 0 0 1 0 0 1 0 1 1 0 0 1 0 0 0 0 1 0 1 0 0 0 1 1 0 1 1 0 1 1 0 1 1 \n    1 1 1 1 0 1 0 0 1 1 0 0 0 0 0 0 1]\n[0 0 0 0 0 0 0 0 0 0 0 0 0 0 0 0 0 0 0 0 0 0 0 0 0 0 0 0 0 0 0 0 0 0 0 0 0 0 0 0\n    1 0 0 0 0 0 0 1 1 0 0 1 0 1 1 1 0 1 1 0 1 1 1 0 0 0 0 0 1 0 0 0 1 0 1 0 1 1 \n    0 0 1 0 0 0 0 1 1 0 0 1 0 1 0 0 1]\n[0 0 0 0 0 0 0 0 0 0 0 0 0 0 0 0 0 0 0 0 0 0 0 0 0 0 0 0 0 0 0 0 0 0 0 0 0 0 0 0\n    0 1 0 0 0 1 0 0 1 1 0 0 0 1 0 0 0 0 0 1 1 0 0 1 0 0 1 1 1 0 0 1 1 1 0 0 1 1 \n    1 1 1 1 1 0 0 0 1 0 1 0 0 1 0 1 1]\n[0 0 0 0 0 0 0 0 0 0 0 0 0 0 0 0 0 0 0 0 0 0 0 0 0 0 0 0 0 0 0 0 0 0 0 0 0 0 0 0\n    0 0 1 0 0 1 0 0 0 1 1 0 1 1 1 1 1 1 1 1 1 0 1 1 1 0 1 0 1 0 1 1 0 1 0 0 1 0 \n    0 0 1 0 0 0 1 1 1 1 0 1 0 1 0 0 1]\n[0 0 0 0 0 0 0 0 0 0 0 0 0 0 0 0 0 0 0 0 0 0 0 0 0 0 0 0 0 0 0 0 0 0 0 0 0 0 0 0\n    0 0 0 1 0 1 0 0 0 0 1 1 1 0 1 0 0 0 0 0 1 0 1 0 1 1 1 0 0 0 1 0 0 0 0 0 1 0 \n    1 1 0 0 1 1 1 0 0 1 1 0 1 1 0 0 0]\n[0 0 0 0 0 0 0 0 0 0 0 0 0 0 0 0 0 0 0 0 0 0 0 0 0 0 0 0 0 0 0 0 0 0 0 0 0 0 0 0\n    0 0 0 0 1 0 0 0 0 0 0 1 1 1 1 1 0 1 0 1 1 1 0 0 0 1 1 1 1 0 1 1 0 0 1 1 0 0 \n    1 1 0 1 0 0 0 0 1 1 0 1 1 1 1 1 1]\n[0 0 0 0 0 0 0 0 0 0 0 0 0 0 0 0 0 0 0 0 0 0 0 0 0 0 0 0 0 0 0 0 0 0 0 0 0 0 0 0\n    0 0 0 0 0 0 1 0 0 0 0 0 0 0 1 0 0 1 0 1 1 0 0 1 0 0 0 0 1 0 1 0 0 0 1 1 0 1 \n    1 0 1 1 0 1 1 1 1 1 1 0 1 0 0 1 1]\nLinear Code over GF(2) of length 95 with 46 generators.\nLower Bound: 1, Upper Bound: 50\nConstructed 3 distinct generator matrices\nRelative Ranks:  46  46   3 \n     Discarding non-contributing rank 3 matrix\n     New Relative Ranks:  46  46 \nTime Taken: 0.00\nStarting search for low weight codewords... (reset timings)\nEnumerating using 1 generator at a time:\n     New codeword identified of weight 23, time 0.00\n     New codeword identified of weight 22, time 0.00\n     New codeword identified of weight 19, time 0.00\n   Completed Matrix  1:  lower =  3, upper = 19. Elapsed: 0.00s\n     New codeword identified of weight 18, time 0.00\n   Completed Matrix  2:  lower =  4, upper = 18. Elapsed: 0.00s\nTermination predicted with 8 generators at matrix 2\nEnumerating using 2 generators at a time:\n   Completed Matrix  1:  lower =  5, upper = 18. Elapsed: 0.00s\n     New codeword identified of weight 17, time 0.00\n   Completed Matrix  2:  lower =  6, upper = 17. Elapsed: 0.00s\nTermination predicted with 8 generators at matrix 1\nEnumerating using 3 generators at a time:\n   Completed Matrix  1:  lower =  7, upper = 17. Elapsed: 0.00s\n   Completed Matrix  2:  lower =  8, upper = 17. Elapsed: 0.00s\nTermination predicted with 8 generators at matrix 1\nEnumerating using 4 generators at a time:\n   Completed Matrix  1:  lower =  9, upper = 17. Elapsed: 0.00s\n   Completed Matrix  2:  lower = 10, upper = 17. Elapsed: 0.00s\nTermination predicted with 8 generators at matrix 1\nEnumerating using 5 generators at a time:\n   Completed Matrix  1:  lower = 11, upper = 17. Elapsed: 0.00s\n   Completed Matrix  2:  lower = 12, upper = 17. Elapsed: 0.00s\nTermination predicted with 8 generators at matrix 1\nEnumerating using 6 generators at a time:\n   Completed Matrix  1:  lower = 13, upper = 17. Elapsed: 0.03s\n   Completed Matrix  2:  lower = 14, upper = 17. Elapsed: 0.05s\nTermination predicted with 8 generators at matrix 1\nEnumerating using 7 generators at a time:\n   Completed Matrix  1:  lower = 15, upper = 17. Elapsed: 0.16s\n   Completed Matrix  2:  lower = 16, upper = 17. Elapsed: 0.26s\nTermination predicted at 1 s with 8 generators at matrix 1\nEnumerating using 8 generators at a time:\n   Completed Matrix  1:  lower = 17, upper = 17. Elapsed: 0.85s\nComputation complete 389816213 vectors enumerated in total\n (0.000554% of 95 46 code)\nFinal Results: lower = 17, upper = 17,\nTotal CPU time: 0.85, real time: 0.841\n17\n\nTotal time: 0.860 seconds, Total memory usage: 32.09MB\n</t>
  </si>
  <si>
    <t>[[96,48,16]]</t>
  </si>
  <si>
    <t>Magma V2.28-26    Tue Dec 30 2025 10:36:47 on Marks-MacBook-Air-2 [Seed = \n1299681195]\nType ? for help.  Type &lt;Ctrl&gt;-D to quit.\n[1 0 0 0 1 1 1 0 0 0 0 1 0 1 0 0 1 1 1 1 1 0 1 0 0 0 0 0 1 1 1 1 0 1 1 1 1 0 0 1\n    1 0 0 0 0 1 0 1 1 0 0 0 0 0 0 0 0 0 0 0 0 0 0 0 0 0 0 0 0 0 0 0 0 0 0 0 0 0 \n    0 0 0 0 0 0 0 0 0 0 0 0 0 0 0 0 0 0]\n[0 1 0 0 1 0 0 1 0 0 0 1 1 1 1 0 1 0 0 0 0 1 1 1 0 0 0 0 1 0 0 0 1 1 0 0 0 1 0 1\n    0 1 0 0 0 1 1 1 0 1 0 0 0 0 0 0 0 0 0 0 0 0 0 0 0 0 0 0 0 0 0 0 0 0 0 0 0 0 \n    0 0 0 0 0 0 0 0 0 0 0 0 0 0 0 0 0 0]\n[0 0 1 0 1 0 1 0 1 0 0 1 1 0 1 1 1 0 1 1 1 0 0 1 1 0 0 0 1 0 1 1 0 0 0 1 1 0 1 1\n    0 0 1 0 0 1 1 0 0 0 1 0 0 0 0 0 0 0 0 0 0 0 0 0 0 0 0 0 0 0 0 0 0 0 0 0 0 0 \n    0 0 0 0 0 0 0 0 0 0 0 0 0 0 0 0 0 0]\n[0 0 0 1 0 1 0 1 0 1 0 0 1 1 0 1 1 1 0 1 1 1 0 0 1 1 0 0 0 1 0 1 1 0 0 0 1 1 0 1\n    1 0 0 1 0 0 1 1 0 0 0 1 0 0 0 0 0 0 0 0 0 0 0 0 0 0 0 0 0 0 0 0 0 0 0 0 0 0 \n    0 0 0 0 0 0 0 0 0 0 0 0 0 0 0 0 0 0]\n[0 0 0 0 0 1 0 0 1 0 1 1 0 0 1 0 0 0 0 1 0 1 0 0 0 1 1 0 1 1 0 1 1 0 1 1 1 1 1 1\n    0 1 0 0 1 1 0 0 0 0 0 0 1 0 0 0 0 0 0 0 0 0 0 0 0 0 0 0 0 0 0 0 0 0 0 0 0 0 \n    0 0 0 0 0 0 0 0 0 0 0 0 0 0 0 0 0 0]\n[0 0 0 0 0 0 1 0 0 1 0 1 1 0 0 1 0 0 0 0 1 0 1 0 0 0 1 1 0 1 1 0 1 1 0 1 1 1 1 1\n    1 0 1 0 0 1 1 0 0 0 0 0 0 1 0 0 0 0 0 0 0 0 0 0 0 0 0 0 0 0 0 0 0 0 0 0 0 0 \n    0 0 0 0 0 0 0 0 0 0 0 0 0 0 0 0 0 0]\n[0 0 0 0 0 0 0 1 0 0 1 0 1 1 0 0 1 0 0 0 0 1 0 1 0 0 0 1 1 0 1 1 0 1 1 0 1 1 1 1\n    1 1 0 1 0 0 1 1 0 0 0 0 0 0 1 0 0 0 0 0 0 0 0 0 0 0 0 0 0 0 0 0 0 0 0 0 0 0 \n    0 0 0 0 0 0 0 0 0 0 0 0 0 0 0 0 0 0]\n[0 0 0 0 1 1 1 0 1 0 0 0 0 0 1 0 1 0 1 1 1 0 0 0 1 0 0 0 0 0 1 0 1 1 0 0 1 1 1 0\n    0 1 1 0 1 1 0 0 0 0 0 0 0 0 0 1 0 0 0 0 0 0 0 0 0 0 0 0 0 0 0 0 0 0 0 0 0 0 \n    0 0 0 0 0 0 0 0 0 0 0 0 0 0 0 0 0 0]\n[1 0 0 0 0 1 1 1 0 1 0 0 0 0 0 1 0 1 0 1 1 1 0 0 0 1 0 0 0 0 0 1 0 1 1 0 0 1 1 1\n    0 0 1 1 0 1 1 0 0 0 0 0 0 0 0 0 1 0 0 0 0 0 0 0 0 0 0 0 0 0 0 0 0 0 0 0 0 0 \n    0 0 0 0 0 0 0 0 0 0 0 0 0 0 0 0 0 0]\n[0 1 0 0 0 0 1 1 1 0 1 0 0 0 0 0 1 0 1 0 1 1 1 0 0 0 1 0 0 0 0 0 1 0 1 1 0 0 1 1\n    1 0 0 1 1 0 1 1 0 0 0 0 0 0 0 0 0 1 0 0 0 0 0 0 0 0 0 0 0 0 0 0 0 0 0 0 0 0 \n    0 0 0 0 0 0 0 0 0 0 0 0 0 0 0 0 0 0]\n[0 0 1 0 1 1 1 1 1 1 0 0 0 1 0 0 1 0 1 0 1 1 0 1 0 0 0 1 1 1 1 1 0 0 1 0 0 0 0 0\n    0 1 0 0 1 0 0 0 0 0 0 0 0 0 0 0 0 0 1 0 0 0 0 0 0 0 0 0 0 0 0 0 0 0 0 0 0 0 \n    0 0 0 0 0 0 0 0 0 0 0 0 0 0 0 0 0 0]\n[1 0 0 1 0 1 1 1 1 1 1 0 0 0 1 0 0 1 0 1 0 1 1 0 1 0 0 0 1 1 1 1 1 0 0 1 0 0 0 0\n    0 0 1 0 0 1 0 0 0 0 0 0 0 0 0 0 0 0 0 1 0 0 0 0 0 0 0 0 0 0 0 0 0 0 0 0 0 0 \n    0 0 0 0 0 0 0 0 0 0 0 0 0 0 0 0 0 0]\n[0 1 0 0 1 0 1 1 1 1 1 1 0 0 0 1 0 0 1 0 1 0 1 1 0 1 0 0 0 1 1 1 1 1 0 0 1 0 0 0\n    0 0 0 1 0 0 1 0 0 0 0 0 0 0 0 0 0 0 0 0 1 0 0 0 0 0 0 0 0 0 0 0 0 0 0 0 0 0 \n    0 0 0 0 0 0 0 0 0 0 0 0 0 0 0 0 0 0]\n[1 0 1 0 0 1 0 1 1 1 1 1 1 0 0 0 1 0 0 1 0 1 0 1 1 0 1 0 0 0 1 1 1 1 1 0 0 1 0 0\n    0 0 0 0 1 0 0 1 0 0 0 0 0 0 0 0 0 0 0 0 0 1 0 0 0 0 0 0 0 0 0 0 0 0 0 0 0 0 \n    0 0 0 0 0 0 0 0 0 0 0 0 0 0 0 0 0 0]\n[1 1 0 1 1 1 0 0 1 1 1 0 1 0 0 0 1 0 1 1 0 0 0 0 1 1 0 1 1 1 1 0 1 0 0 0 1 0 1 1\n    1 0 0 0 0 0 0 1 0 0 0 0 0 0 0 0 0 0 0 0 0 0 1 0 0 0 0 0 0 0 0 0 0 0 0 0 0 0 \n    0 0 0 0 0 0 0 0 0 0 0 0 0 0 0 0 0 0]\n[0 1 1 0 0 0 0 0 0 1 1 0 0 0 0 0 1 0 1 0 0 0 1 0 0 1 1 0 0 0 0 0 0 0 1 1 1 1 0 0\n    0 1 0 0 0 1 0 1 0 0 0 0 0 0 0 0 0 0 0 0 0 0 0 1 0 0 0 0 0 0 0 0 0 0 0 0 0 0 \n    0 0 0 0 0 0 0 0 0 0 0 0 0 0 0 0 0 0]\n[0 0 1 1 1 1 1 0 0 0 1 0 0 1 0 0 1 0 1 0 1 0 1 1 0 0 1 1 1 1 1 1 0 1 1 0 0 1 1 1\n    1 0 1 0 0 1 1 1 0 0 0 0 0 0 0 0 0 0 0 0 0 0 0 0 1 0 0 0 0 0 0 0 0 0 0 0 0 0 \n    0 0 0 0 0 0 0 0 0 0 0 0 0 0 0 0 0 0]\n[1 0 0 1 0 0 0 1 0 0 0 0 0 1 1 0 1 0 1 0 1 1 1 1 1 0 0 1 0 0 0 0 1 1 0 0 1 0 1 0\n    0 1 0 1 0 1 1 0 0 0 0 0 0 0 0 0 0 0 0 0 0 0 0 0 0 1 0 0 0 0 0 0 0 0 0 0 0 0 \n    0 0 0 0 0 0 0 0 0 0 0 0 0 0 0 0 0 0]\n[0 1 0 0 1 0 0 0 1 0 0 0 0 0 1 1 0 1 0 1 0 1 1 1 1 1 0 0 1 0 0 0 0 1 1 0 0 1 0 1\n    0 0 1 0 1 0 1 1 0 0 0 0 0 0 0 0 0 0 0 0 0 0 0 0 0 0 1 0 0 0 0 0 0 0 0 0 0 0 \n    0 0 0 0 0 0 0 0 0 0 0 0 0 0 0 0 0 0]\n[0 0 1 0 1 0 1 0 0 1 0 1 0 1 0 1 0 1 0 1 0 0 0 1 1 1 1 0 1 0 1 1 0 1 0 0 1 0 1 1\n    0 0 0 1 0 0 0 0 0 0 0 0 0 0 0 0 0 0 0 0 0 0 0 0 0 0 0 1 0 0 0 0 0 0 0 0 0 0 \n    0 0 0 0 0 0 0 0 0 0 0 0 0 0 0 0 0 0]\n[0 0 0 1 0 1 0 1 0 0 1 0 1 0 1 0 1 0 1 0 1 0 0 0 1 1 1 1 0 1 0 1 1 0 1 0 0 1 0 1\n    1 0 0 0 1 0 0 0 0 0 0 0 0 0 0 0 0 0 0 0 0 0 0 0 0 0 0 0 1 0 0 0 0 0 0 0 0 0 \n    0 0 0 0 0 0 0 0 0 0 0 0 0 0 0 0 0 0]\n[0 0 0 0 1 0 1 0 1 0 0 1 0 1 0 1 0 1 0 1 0 1 0 0 0 1 1 1 1 0 1 0 1 1 0 1 0 0 1 0\n    1 1 0 0 0 1 0 0 0 0 0 0 0 0 0 0 0 0 0 0 0 0 0 0 0 0 0 0 0 1 0 0 0 0 0 0 0 0 \n    0 0 0 0 0 0 0 0 0 0 0 0 0 0 0 0 0 0]\n[1 0 0 0 0 1 0 1 0 1 0 0 1 0 1 0 1 0 1 0 1 0 1 0 0 0 1 1 1 1 0 1 0 1 1 0 1 0 0 1\n    0 1 1 0 0 0 1 0 0 0 0 0 0 0 0 0 0 0 0 0 0 0 0 0 0 0 0 0 0 0 1 0 0 0 0 0 0 0 \n    0 0 0 0 0 0 0 0 0 0 0 0 0 0 0 0 0 0]\n[0 1 0 0 0 0 1 0 1 0 1 0 0 1 0 1 0 1 0 1 0 1 0 1 0 0 0 1 1 1 1 0 1 0 1 1 0 1 0 0\n    1 0 1 1 0 0 0 1 0 0 0 0 0 0 0 0 0 0 0 0 0 0 0 0 0 0 0 0 0 0 0 1 0 0 0 0 0 0 \n    0 0 0 0 0 0 0 0 0 0 0 0 0 0 0 0 0 0]\n[1 0 1 0 1 1 1 1 0 1 0 0 0 1 1 0 0 1 0 1 0 0 0 0 1 0 0 0 0 0 0 0 0 0 1 0 0 0 1 1\n    1 1 0 1 1 1 0 1 0 0 0 0 0 0 0 0 0 0 0 0 0 0 0 0 0 0 0 0 0 0 0 0 1 0 0 0 0 0 \n    0 0 0 0 0 0 0 0 0 0 0 0 0 0 0 0 0 0]\n[0 1 0 1 1 0 0 1 1 0 1 1 0 1 1 1 1 1 0 1 0 0 1 0 0 1 0 0 1 1 1 1 0 1 1 0 1 0 0 0\n    0 1 1 0 1 0 1 1 0 0 0 0 0 0 0 0 0 0 0 0 0 0 0 0 0 0 0 0 0 0 0 0 0 1 0 0 0 0 \n    0 0 0 0 0 0 0 0 0 0 0 0 0 0 0 0 0 0]\n[0 0 1 0 0 0 1 0 1 1 0 0 1 1 1 1 0 0 0 1 0 0 1 1 0 0 1 0 1 0 0 0 1 1 0 0 1 1 0 1\n    1 0 1 1 0 0 0 0 0 0 0 0 0 0 0 0 0 0 0 0 0 0 0 0 0 0 0 0 0 0 0 0 0 0 1 0 0 0 \n    0 0 0 0 0 0 0 0 0 0 0 0 0 0 0 0 0 0]\n[0 0 0 1 0 0 0 1 0 1 1 0 0 1 1 1 1 0 0 0 1 0 0 1 1 0 0 1 0 1 0 0 0 1 1 0 0 1 1 0\n    1 1 0 1 1 0 0 0 0 0 0 0 0 0 0 0 0 0 0 0 0 0 0 0 0 0 0 0 0 0 0 0 0 0 0 1 0 0 \n    0 0 0 0 0 0 0 0 0 0 0 0 0 0 0 0 0 0]\n[1 0 0 0 1 0 0 0 1 0 1 1 0 0 1 1 1 1 0 0 0 1 0 0 1 1 0 0 1 0 1 0 0 0 1 1 0 0 1 1\n    0 1 1 0 1 1 0 0 0 0 0 0 0 0 0 0 0 0 0 0 0 0 0 0 0 0 0 0 0 0 0 0 0 0 0 0 1 0 \n    0 0 0 0 0 0 0 0 0 0 0 0 0 0 0 0 0 0]\n[1 1 0 0 0 1 0 0 0 1 0 1 1 0 0 1 1 1 1 0 0 0 1 0 0 1 1 0 0 1 0 1 0 0 0 1 1 0 0 1\n    1 0 1 1 0 1 1 0 0 0 0 0 0 0 0 0 0 0 0 0 0 0 0 0 0 0 0 0 0 0 0 0 0 0 0 0 0 1 \n    0 0 0 0 0 0 0 0 0 0 0 0 0 0 0 0 0 0]\n[0 1 1 0 0 0 1 0 0 0 1 0 1 1 0 0 1 1 1 1 0 0 0 1 0 0 1 1 0 0 1 0 1 0 0 0 1 1 0 0\n    1 1 0 1 1 0 1 1 0 0 0 0 0 0 0 0 0 0 0 0 0 0 0 0 0 0 0 0 0 0 0 0 0 0 0 0 0 0 \n    1 0 0 0 0 0 0 0 0 0 0 0 0 0 0 0 0 0]\n[1 0 1 1 1 1 1 1 0 0 0 0 0 0 1 0 1 0 0 0 0 0 1 0 1 0 0 1 0 1 1 0 0 0 1 1 1 1 1 1\n    1 1 1 0 1 0 0 0 0 0 0 0 0 0 0 0 0 0 0 0 0 0 0 0 0 0 0 0 0 0 0 0 0 0 0 0 0 0 \n    0 1 0 0 0 0 0 0 0 0 0 0 0 0 0 0 0 0]\n[1 1 0 1 1 1 1 1 1 0 0 0 0 0 0 1 0 1 0 0 0 0 0 1 0 1 0 0 1 0 1 1 0 0 0 1 1 1 1 1\n    1 1 1 1 0 1 0 0 0 0 0 0 0 0 0 0 0 0 0 0 0 0 0 0 0 0 0 0 0 0 0 0 0 0 0 0 0 0 \n    0 0 1 0 0 0 0 0 0 0 0 0 0 0 0 0 0 0]\n[0 1 1 0 1 1 1 1 1 1 0 0 0 0 0 0 1 0 1 0 0 0 0 0 1 0 1 0 0 1 0 1 1 0 0 0 1 1 1 1\n    1 1 1 1 1 0 1 0 0 0 0 0 0 0 0 0 0 0 0 0 0 0 0 0 0 0 0 0 0 0 0 0 0 0 0 0 0 0 \n    0 0 0 1 0 0 0 0 0 0 0 0 0 0 0 0 0 0]\n[1 0 1 1 0 1 1 1 1 1 1 0 0 0 0 0 0 1 0 1 0 0 0 0 0 1 0 1 0 0 1 0 1 1 0 0 0 1 1 1\n    1 1 1 1 1 1 0 1 0 0 0 0 0 0 0 0 0 0 0 0 0 0 0 0 0 0 0 0 0 0 0 0 0 0 0 0 0 0 \n    0 0 0 0 1 0 0 0 0 0 0 0 0 0 0 0 0 0]\n[1 1 0 1 0 1 0 1 1 1 1 0 0 1 0 0 1 1 0 1 0 0 1 0 0 0 1 0 0 1 1 0 0 0 0 1 1 0 1 0\n    0 1 1 1 1 0 1 1 0 0 0 0 0 0 0 0 0 0 0 0 0 0 0 0 0 0 0 0 0 0 0 0 0 0 0 0 0 0 \n    0 0 0 0 0 1 0 0 0 0 0 0 0 0 0 0 0 0]\n[0 1 1 0 0 1 0 0 1 1 1 0 0 1 1 0 1 0 0 1 0 0 1 1 0 0 0 1 1 1 0 0 0 1 1 1 0 1 0 0\n    1 0 1 1 1 0 0 0 0 0 0 0 0 0 0 0 0 0 0 0 0 0 0 0 0 0 0 0 0 0 0 0 0 0 0 0 0 0 \n    0 0 0 0 0 0 1 0 0 0 0 0 0 0 0 0 0 0]\n[1 0 1 1 0 0 1 0 0 1 1 1 0 0 1 1 0 1 0 0 1 0 0 1 1 0 0 0 1 1 1 0 0 0 1 1 1 0 1 0\n    0 1 0 1 1 1 0 0 0 0 0 0 0 0 0 0 0 0 0 0 0 0 0 0 0 0 0 0 0 0 0 0 0 0 0 0 0 0 \n    0 0 0 0 0 0 0 1 0 0 0 0 0 0 0 0 0 0]\n[1 1 0 1 1 0 0 1 0 0 1 1 1 0 0 1 1 0 1 0 0 1 0 0 1 1 0 0 0 1 1 1 0 0 0 1 1 1 0 1\n    0 0 1 0 1 1 1 0 0 0 0 0 0 0 0 0 0 0 0 0 0 0 0 0 0 0 0 0 0 0 0 0 0 0 0 0 0 0 \n    0 0 0 0 0 0 0 0 1 0 0 0 0 0 0 0 0 0]\n[1 1 1 0 1 1 0 0 1 0 0 1 1 1 0 0 1 1 0 1 0 0 1 0 0 1 1 0 0 0 1 1 1 0 0 0 1 1 1 0\n    1 0 0 1 0 1 1 1 0 0 0 0 0 0 0 0 0 0 0 0 0 0 0 0 0 0 0 0 0 0 0 0 0 0 0 0 0 0 \n    0 0 0 0 0 0 0 0 0 1 0 0 0 0 0 0 0 0]\n[1 1 1 1 1 0 0 0 0 1 0 1 1 0 1 0 1 0 0 1 0 0 1 1 0 0 1 1 1 1 1 0 1 0 1 1 1 1 1 0\n    1 1 0 0 1 1 1 0 0 0 0 0 0 0 0 0 0 0 0 0 0 0 0 0 0 0 0 0 0 0 0 0 0 0 0 0 0 0 \n    0 0 0 0 0 0 0 0 0 0 1 0 0 0 0 0 0 0]\n[1 1 1 1 1 1 0 0 0 0 1 0 1 1 0 1 0 1 0 0 1 0 0 1 1 0 0 1 1 1 1 1 0 1 0 1 1 1 1 1\n    0 1 1 0 0 1 1 1 0 0 0 0 0 0 0 0 0 0 0 0 0 0 0 0 0 0 0 0 0 0 0 0 0 0 0 0 0 0 \n    0 0 0 0 0 0 0 0 0 0 0 1 0 0 0 0 0 0]\n[1 1 1 1 0 0 0 0 0 0 0 0 0 0 1 0 0 1 0 1 1 1 1 0 1 1 0 0 0 0 0 0 1 1 0 1 0 1 1 0\n    0 0 1 1 0 1 1 0 0 0 0 0 0 0 0 0 0 0 0 0 0 0 0 0 0 0 0 0 0 0 0 0 0 0 0 0 0 0 \n    0 0 0 0 0 0 0 0 0 0 0 0 1 0 0 0 0 0]\n[0 1 1 1 1 0 0 0 0 0 0 0 0 0 0 1 0 0 1 0 1 1 1 1 0 1 1 0 0 0 0 0 0 1 1 0 1 0 1 1\n    0 0 0 1 1 0 1 1 0 0 0 0 0 0 0 0 0 0 0 0 0 0 0 0 0 0 0 0 0 0 0 0 0 0 0 0 0 0 \n    0 0 0 0 0 0 0 0 0 0 0 0 0 1 0 0 0 0]\n[1 0 1 1 0 0 1 0 0 0 0 1 0 1 0 0 0 1 1 0 1 1 0 1 1 0 1 1 1 1 1 1 0 1 0 0 1 1 0 0\n    0 0 0 0 1 0 0 0 0 0 0 0 0 0 0 0 0 0 0 0 0 0 0 0 0 0 0 0 0 0 0 0 0 0 0 0 0 0 \n    0 0 0 0 0 0 0 0 0 0 0 0 0 0 1 0 0 0]\n[0 1 0 1 1 0 0 1 0 0 0 0 1 0 1 0 0 0 1 1 0 1 1 0 1 1 0 1 1 1 1 1 1 0 1 0 0 1 1 0\n    0 0 0 0 0 1 0 0 0 0 0 0 0 0 0 0 0 0 0 0 0 0 0 0 0 0 0 0 0 0 0 0 0 0 0 0 0 0 \n    0 0 0 0 0 0 0 0 0 0 0 0 0 0 0 1 0 0]\n[0 0 1 0 1 1 0 0 1 0 0 0 0 1 0 1 0 0 0 1 1 0 1 1 0 1 1 0 1 1 1 1 1 1 0 1 0 0 1 1\n    0 0 0 0 0 0 1 0 0 0 0 0 0 0 0 0 0 0 0 0 0 0 0 0 0 0 0 0 0 0 0 0 0 0 0 0 0 0 \n    0 0 0 0 0 0 0 0 0 0 0 0 0 0 0 0 1 0]\n[1 0 0 1 0 1 1 0 0 1 0 0 0 0 1 0 1 0 0 0 1 1 0 1 1 0 1 1 0 1 1 1 1 1 1 0 1 0 0 1\n    1 0 0 0 0 0 0 1 0 0 0 0 0 0 0 0 0 0 0 0 0 0 0 0 0 0 0 0 0 0 0 0 0 0 0 0 0 0 \n    0 0 0 0 0 0 0 0 0 0 0 0 0 0 0 0 0 1]\n[96, 48] Linear Code over GF(2)\nGenerator matrix:\n[1 0 0 0 0 0 0 0 0 0 0 0 0 0 0 0 0 0 0 0 0 0 0 0 0 0 0 0 0 0 0 0 0 0 0 0 0 0 0 0\n    0 0 0 0 0 0 0 0 0 0 0 0 1 0 1 1 0 0 0 1 1 1 0 0 0 0 1 0 1 0 0 1 1 1 1 1 0 1 \n    0 0 0 0 0 1 1 1 1 0 1 1 1 1 0 0 1 1]\n[0 1 0 0 0 0 0 0 0 0 0 0 0 0 0 0 0 0 0 0 0 0 0 0 0 0 0 0 0 0 0 0 0 0 0 0 0 0 0 0\n    0 0 0 0 0 0 0 0 1 0 0 0 0 1 0 1 0 0 0 1 1 0 0 0 0 1 0 1 0 1 1 0 0 1 1 1 0 1 \n    1 1 1 0 1 1 1 0 0 0 1 0 0 1 0 0 0 0]\n[0 0 1 0 0 0 0 0 0 0 0 0 0 0 0 0 0 0 0 0 0 0 0 0 0 0 0 0 0 0 0 0 0 0 0 0 0 0 0 0\n    0 0 0 0 0 0 0 0 0 1 0 0 0 0 1 0 1 0 0 0 1 1 0 0 0 0 1 0 1 0 1 1 0 0 1 1 1 0 \n    1 1 1 1 0 1 1 1 0 0 0 1 0 0 1 0 0 0]\n[0 0 0 1 0 0 0 0 0 0 0 0 0 0 0 0 0 0 0 0 0 0 0 0 0 0 0 0 0 0 0 0 0 0 0 0 0 0 0 0\n    0 0 0 0 0 0 0 0 0 0 1 0 1 0 1 0 0 1 0 1 1 0 1 0 0 0 1 1 1 1 0 0 0 1 1 0 1 0 \n    0 1 1 1 1 1 0 0 0 0 1 1 0 1 0 1 1 1]\n[0 0 0 0 1 0 0 0 0 0 0 0 0 0 0 0 0 0 0 0 0 0 0 0 0 0 0 0 0 0 0 0 0 0 0 0 0 0 0 0\n    0 0 0 0 0 0 0 0 1 0 0 1 0 1 0 1 1 0 1 1 1 0 1 1 0 1 0 1 1 1 0 0 1 0 1 1 1 0 \n    0 1 0 1 0 0 1 1 1 1 1 0 0 0 0 0 1 0]\n[0 0 0 0 0 1 0 0 0 0 0 0 0 0 0 0 0 0 0 0 0 0 0 0 0 0 0 0 0 0 0 0 0 0 0 0 0 0 0 0\n    0 0 0 0 0 0 0 0 0 1 0 0 1 0 1 0 1 1 0 1 1 1 0 1 1 0 1 0 1 1 1 0 0 1 0 1 1 1 \n    0 0 1 0 1 0 0 1 1 1 1 1 0 0 0 0 0 1]\n[0 0 0 0 0 0 1 0 0 0 0 0 0 0 0 0 0 0 0 0 0 0 0 0 0 0 0 0 0 0 0 0 0 0 0 0 0 0 0 0\n    0 0 0 0 0 0 0 0 1 0 1 0 0 1 0 1 1 1 1 1 1 0 0 0 1 0 0 1 0 1 0 1 1 0 1 0 0 0 \n    1 1 1 1 1 0 0 1 0 0 0 0 0 0 1 0 0 1]\n[0 0 0 0 0 0 0 1 0 0 0 0 0 0 0 0 0 0 0 0 0 0 0 0 0 0 0 0 0 0 0 0 0 0 0 0 0 0 0 0\n    0 0 0 0 0 0 0 0 1 1 0 1 1 0 0 1 0 1 1 1 0 1 1 0 0 0 1 0 0 0 0 1 1 0 1 0 1 0 \n    0 0 0 1 0 1 1 0 1 1 0 0 0 1 1 1 1 0]\n[0 0 0 0 0 0 0 0 1 0 0 0 0 0 0 0 0 0 0 0 0 0 0 0 0 0 0 0 0 0 0 0 0 0 0 0 0 0 0 0\n    0 0 0 0 0 0 0 0 0 1 1 0 0 1 1 1 1 0 1 0 0 1 1 1 0 0 1 1 1 0 0 1 0 0 1 0 0 0 \n    0 0 0 0 1 1 0 0 1 1 0 1 1 1 1 1 0 0]\n[0 0 0 0 0 0 0 0 0 1 0 0 0 0 0 0 0 0 0 0 0 0 0 0 0 0 0 0 0 0 0 0 0 0 0 0 0 0 0 0\n    0 0 0 0 0 0 0 0 0 0 1 1 1 0 0 0 1 1 0 0 1 1 1 1 1 0 1 1 0 1 0 1 0 1 1 0 0 1 \n    0 0 0 0 0 0 0 1 1 1 0 1 0 0 1 1 0 1]\n[0 0 0 0 0 0 0 0 0 0 1 0 0 0 0 0 0 0 0 0 0 0 0 0 0 0 0 0 0 0 0 0 0 0 0 0 0 0 0 0\n    0 0 0 0 0 0 0 0 1 0 0 1 0 1 1 1 1 1 1 0 1 1 0 1 1 0 1 1 0 0 0 1 1 1 0 0 1 0 \n    1 1 1 0 1 0 1 0 1 0 1 0 1 1 1 1 0 0]\n[0 0 0 0 0 0 0 0 0 0 0 1 0 0 0 0 0 0 0 0 0 0 0 0 0 0 0 0 0 0 0 0 0 0 0 0 0 0 0 0\n    0 0 0 0 0 0 0 0 0 1 0 0 1 0 1 1 1 1 1 1 0 1 1 0 1 1 0 1 1 0 0 0 1 1 1 0 0 1 \n    0 1 1 1 0 1 0 1 0 1 0 1 0 1 1 1 1 0]\n[0 0 0 0 0 0 0 0 0 0 0 0 1 0 0 0 0 0 0 0 0 0 0 0 0 0 0 0 0 0 0 0 0 0 0 0 0 0 0 0\n    0 0 0 0 0 0 0 0 0 0 1 0 1 1 1 0 1 1 1 0 0 1 1 1 0 1 0 0 0 1 0 1 1 0 0 0 0 1 \n    1 0 1 1 1 1 0 1 0 0 0 1 0 1 1 1 0 0]\n[0 0 0 0 0 0 0 0 0 0 0 0 0 1 0 0 0 0 0 0 0 0 0 0 0 0 0 0 0 0 0 0 0 0 0 0 0 0 0 0\n    0 0 0 0 0 0 0 0 0 0 0 1 0 1 1 1 0 1 1 1 0 0 1 1 1 0 1 0 0 0 1 0 1 1 0 0 0 0 \n    1 1 0 1 1 1 1 0 1 0 0 0 1 0 1 1 1 0]\n[0 0 0 0 0 0 0 0 0 0 0 0 0 0 1 0 0 0 0 0 0 0 0 0 0 0 0 0 0 0 0 0 0 0 0 0 0 0 0 0\n    0 0 0 0 0 0 0 0 0 0 0 0 1 0 1 1 1 0 1 1 1 0 0 1 1 1 0 1 0 0 0 1 0 1 1 0 0 0 \n    0 1 1 0 1 1 1 1 0 1 0 0 0 1 0 1 1 1]\n[0 0 0 0 0 0 0 0 0 0 0 0 0 0 0 1 0 0 0 0 0 0 0 0 0 0 0 0 0 0 0 0 0 0 0 0 0 0 0 0\n    0 0 0 0 0 0 0 0 1 0 0 0 0 1 0 1 0 1 0 0 1 0 1 0 1 0 1 0 1 0 1 0 0 0 1 1 1 1 \n    0 1 0 1 1 0 1 0 0 1 0 1 1 0 0 0 1 0]\n[0 0 0 0 0 0 0 0 0 0 0 0 0 0 0 0 1 0 0 0 0 0 0 0 0 0 0 0 0 0 0 0 0 0 0 0 0 0 0 0\n    0 0 0 0 0 0 0 0 0 1 0 0 0 0 1 0 1 0 1 0 0 1 0 1 0 1 0 1 0 1 0 1 0 0 0 1 1 1 \n    1 0 1 0 1 1 0 1 0 0 1 0 1 1 0 0 0 1]\n[0 0 0 0 0 0 0 0 0 0 0 0 0 0 0 0 0 1 0 0 0 0 0 0 0 0 0 0 0 0 0 0 0 0 0 0 0 0 0 0\n    0 0 0 0 0 0 0 0 1 0 1 0 1 0 1 0 1 1 0 1 1 0 0 0 1 1 0 0 0 0 0 1 1 1 1 1 0 1 \n    1 0 1 1 1 1 0 0 1 1 0 1 0 0 0 0 1 0]\n[0 0 0 0 0 0 0 0 0 0 0 0 0 0 0 0 0 0 1 0 0 0 0 0 0 0 0 0 0 0 0 0 0 0 0 0 0 0 0 0\n    0 0 0 0 0 0 0 0 0 1 0 1 1 1 1 0 0 1 1 1 0 0 0 0 0 1 0 0 1 0 0 1 0 0 0 0 1 1 \n    1 1 0 1 1 0 0 1 1 1 0 1 0 1 0 0 1 0]\n[0 0 0 0 0 0 0 0 0 0 0 0 0 0 0 0 0 0 0 1 0 0 0 0 0 0 0 0 0 0 0 0 0 0 0 0 0 0 0 0\n    0 0 0 0 0 0 0 0 0 0 1 0 0 1 0 0 0 0 1 0 0 1 0 0 0 0 0 0 1 1 0 1 0 1 1 1 0 0 \n    1 1 1 0 1 0 1 1 0 1 0 1 0 1 1 0 1 0]\n[0 0 0 0 0 0 0 0 0 0 0 0 0 0 0 0 0 0 0 0 1 0 0 0 0 0 0 0 0 0 0 0 0 0 0 0 0 0 0 0\n    0 0 0 0 0 0 0 0 0 0 0 1 0 0 1 0 0 0 0 1 0 0 1 0 0 0 0 0 0 1 1 0 1 0 1 1 1 0 \n    0 1 1 1 0 1 0 1 1 0 1 0 1 0 1 1 0 1]\n[0 0 0 0 0 0 0 0 0 0 0 0 0 0 0 0 0 0 0 0 0 1 0 0 0 0 0 0 0 0 0 0 0 0 0 0 0 0 0 0\n    0 0 0 0 0 0 0 0 1 0 0 0 1 0 0 1 1 0 0 1 1 1 1 1 0 1 0 0 0 0 0 1 1 1 0 1 0 0 \n    0 1 0 1 0 1 1 1 0 0 1 0 1 1 1 1 1 1]\n[0 0 0 0 0 0 0 0 0 0 0 0 0 0 0 0 0 0 0 0 0 0 1 0 0 0 0 0 0 0 0 0 0 0 0 0 0 0 0 0\n    0 0 0 0 0 0 0 0 1 1 0 0 0 1 0 0 0 1 0 1 1 0 0 1 1 1 1 0 0 0 1 0 0 1 1 0 0 1 \n    0 1 0 0 0 1 1 0 0 1 1 0 1 1 0 1 1 0]\n[0 0 0 0 0 0 0 0 0 0 0 0 0 0 0 0 0 0 0 0 0 0 0 1 0 0 0 0 0 0 0 0 0 0 0 0 0 0 0 0\n    0 0 0 0 0 0 0 0 0 1 1 0 0 0 1 0 0 0 1 0 1 1 0 0 1 1 1 1 0 0 0 1 0 0 1 1 0 0 \n    1 0 1 0 0 0 1 1 0 0 1 1 0 1 1 0 1 1]\n[0 0 0 0 0 0 0 0 0 0 0 0 0 0 0 0 0 0 0 0 0 0 0 0 1 0 0 0 0 0 0 0 0 0 0 0 0 0 0 0\n    0 0 0 0 0 0 0 0 1 0 1 1 1 0 1 0 1 0 0 1 1 1 0 0 0 0 0 1 0 0 1 1 1 1 1 0 0 0 \n    0 0 1 1 1 0 1 1 1 1 0 1 1 1 0 1 1 1]\n[0 0 0 0 0 0 0 0 0 0 0 0 0 0 0 0 0 0 0 0 0 0 0 0 0 1 0 0 0 0 0 0 0 0 0 0 0 0 0 0\n    0 0 0 0 0 0 0 0 1 1 0 1 1 1 0 1 1 1 0 1 1 0 0 0 0 1 0 0 1 0 1 1 0 1 1 1 1 1 \n    0 1 1 1 0 0 0 0 0 0 0 1 0 1 0 0 1 0]\n[0 0 0 0 0 0 0 0 0 0 0 0 0 0 0 0 0 0 0 0 0 0 0 0 0 0 1 0 0 0 0 0 0 0 0 0 0 0 0 0\n    0 0 0 0 0 0 0 0 0 1 1 0 1 1 1 0 1 1 1 0 1 1 0 0 0 0 1 0 0 1 0 1 1 0 1 1 1 1 \n    1 0 1 1 1 0 0 0 0 0 0 0 1 0 1 0 0 1]\n[0 0 0 0 0 0 0 0 0 0 0 0 0 0 0 0 0 0 0 0 0 0 0 0 0 0 0 1 0 0 0 0 0 0 0 0 0 0 0 0\n    0 0 0 0 0 0 0 0 1 0 1 1 0 1 1 1 1 1 1 0 0 0 0 0 0 1 0 1 0 0 0 0 0 1 0 1 0 0 \n    1 0 1 1 0 0 0 1 1 1 1 1 1 1 1 1 0 1]\n[0 0 0 0 0 0 0 0 0 0 0 0 0 0 0 0 0 0 0 0 0 0 0 0 0 0 0 0 1 0 0 0 0 0 0 0 0 0 0 0\n    0 0 0 0 0 0 0 0 1 1 0 1 0 0 0 0 0 1 1 1 1 0 1 0 0 1 0 0 0 0 1 1 0 1 0 1 0 0 \n    0 0 1 1 0 0 1 0 1 0 1 1 1 0 0 1 0 0]\n[0 0 0 0 0 0 0 0 0 0 0 0 0 0 0 0 0 0 0 0 0 0 0 0 0 0 0 0 0 1 0 0 0 0 0 0 0 0 0 0\n    0 0 0 0 0 0 0 0 0 1 1 0 0 0 1 1 0 0 1 0 0 0 0 1 0 0 0 0 1 0 0 0 0 1 0 1 1 1 \n    0 0 0 1 1 1 1 0 1 1 1 0 0 0 0 0 0 1]\n[0 0 0 0 0 0 0 0 0 0 0 0 0 0 0 0 0 0 0 0 0 0 0 0 0 0 0 0 0 0 1 0 0 0 0 0 0 0 0 0\n    0 0 0 0 0 0 0 0 1 0 1 1 0 0 0 1 0 0 0 0 0 1 1 0 1 1 0 0 0 1 1 0 1 0 1 0 0 0 \n    1 1 1 0 0 0 1 0 1 0 0 0 1 0 1 0 0 1]\n[0 0 0 0 0 0 0 0 0 0 0 0 0 0 0 0 0 0 0 0 0 0 0 0 0 0 0 0 0 0 0 1 0 0 0 0 0 0 0 0\n    0 0 0 0 0 0 0 0 1 1 0 1 1 0 0 0 0 0 0 1 0 1 0 1 0 0 1 0 0 0 0 1 1 1 0 1 1 1 \n    0 0 0 1 1 1 0 0 1 0 1 1 1 1 1 1 0 1]\n[0 0 0 0 0 0 0 0 0 0 0 0 0 0 0 0 0 0 0 0 0 0 0 0 0 0 0 0 0 0 0 0 1 0 0 0 0 0 0 0\n    0 0 0 0 0 0 0 0 1 1 1 0 1 1 0 0 1 0 0 1 1 1 0 0 1 1 0 1 0 0 1 0 0 1 1 0 0 0 \n    1 1 1 0 0 0 1 1 1 0 1 0 0 1 0 1 1 1]\n[0 0 0 0 0 0 0 0 0 0 0 0 0 0 0 0 0 0 0 0 0 0 0 0 0 0 0 0 0 0 0 0 0 1 0 0 0 0 0 0\n    0 0 0 0 0 0 0 0 1 1 1 1 1 1 0 1 1 1 0 0 0 1 0 0 0 0 0 0 0 0 1 0 0 1 0 0 1 0 \n    0 0 0 1 1 0 1 1 1 0 0 1 0 1 0 0 0 1]\n[0 0 0 0 0 0 0 0 0 0 0 0 0 0 0 0 0 0 0 0 0 0 0 0 0 0 0 0 0 0 0 0 0 0 1 0 0 0 0 0\n    0 0 0 0 0 0 0 0 1 1 1 1 1 1 1 0 0 1 1 1 0 1 0 0 0 1 0 0 0 0 1 1 1 0 1 0 1 0 \n    0 1 1 0 0 0 0 0 0 0 1 1 0 0 0 0 0 1]\n[0 0 0 0 0 0 0 0 0 0 0 0 0 0 0 0 0 0 0 0 0 0 0 0 0 0 0 0 0 0 0 0 0 0 0 1 0 0 0 0\n    0 0 0 0 0 0 0 0 1 1 1 1 0 1 0 0 1 0 1 1 0 0 0 0 0 1 0 0 1 0 1 0 1 0 1 0 1 1 \n    0 1 0 1 1 0 1 0 0 1 0 1 1 1 1 0 1 0]\n[0 0 0 0 0 0 0 0 0 0 0 0 0 0 0 0 0 0 0 0 0 0 0 0 0 0 0 0 0 0 0 0 0 0 0 0 1 0 0 0\n    0 0 0 0 0 0 0 0 0 1 1 1 1 0 1 0 0 1 0 1 1 0 0 0 0 0 1 0 0 1 0 1 0 1 0 1 0 1 \n    1 0 1 0 1 1 0 1 0 0 1 0 1 1 1 1 0 1]\n[0 0 0 0 0 0 0 0 0 0 0 0 0 0 0 0 0 0 0 0 0 0 0 0 0 0 0 0 0 0 0 0 0 0 0 0 0 1 0 0\n    0 0 0 0 0 0 0 0 1 0 1 1 0 1 1 0 1 0 1 0 0 1 1 0 0 1 1 1 1 0 0 1 1 1 0 1 0 0 \n    1 0 1 1 1 1 0 0 1 1 0 1 0 0 0 1 0 0]\n[0 0 0 0 0 0 0 0 0 0 0 0 0 0 0 0 0 0 0 0 0 0 0 0 0 0 0 0 0 0 0 0 0 0 0 0 0 0 1 0\n    0 0 0 0 0 0 0 0 0 1 0 1 1 0 1 1 0 1 0 1 0 0 1 1 0 0 1 1 1 1 0 0 1 1 1 0 1 0 \n    0 1 0 1 1 1 1 0 0 1 1 0 1 0 0 0 1 0]\n[0 0 0 0 0 0 0 0 0 0 0 0 0 0 0 0 0 0 0 0 0 0 0 0 0 0 0 0 0 0 0 0 0 0 0 0 0 0 0 1\n    0 0 0 0 0 0 0 0 0 0 1 0 1 1 0 1 1 0 1 0 1 0 0 1 1 0 0 1 1 1 1 0 0 1 1 1 0 1 \n    0 0 1 0 1 1 1 1 0 0 1 1 0 1 0 0 0 1]\n[0 0 0 0 0 0 0 0 0 0 0 0 0 0 0 0 0 0 0 0 0 0 0 0 0 0 0 0 0 0 0 0 0 0 0 0 0 0 0 0\n    1 0 0 0 0 0 0 0 1 0 0 1 0 1 1 0 0 1 0 0 0 0 1 0 1 0 0 0 1 1 0 1 1 0 1 1 0 1 \n    1 1 1 1 1 0 1 0 0 1 1 0 0 0 0 0 0 1]\n[0 0 0 0 0 0 0 0 0 0 0 0 0 0 0 0 0 0 0 0 0 0 0 0 0 0 0 0 0 0 0 0 0 0 0 0 0 0 0 0\n    0 1 0 0 0 0 0 0 1 1 0 0 0 0 0 0 1 0 1 0 1 0 1 1 0 0 1 0 1 1 0 1 1 0 1 0 0 0 \n    1 0 0 1 0 1 1 1 0 1 1 1 0 1 1 0 1 0]\n[0 0 0 0 0 0 0 0 0 0 0 0 0 0 0 0 0 0 0 0 0 0 0 0 0 0 0 0 0 0 0 0 0 0 0 0 0 0 0 0\n    0 0 1 0 0 0 0 0 0 1 1 0 1 0 1 1 0 1 0 0 1 0 0 1 1 0 1 1 1 1 1 1 0 0 1 0 0 1 \n    0 1 0 0 1 1 0 0 0 0 0 0 0 1 1 1 1 0]\n[0 0 0 0 0 0 0 0 0 0 0 0 0 0 0 0 0 0 0 0 0 0 0 0 0 0 0 0 0 0 0 0 0 0 0 0 0 0 0 0\n    0 0 0 1 0 0 0 0 0 0 1 1 1 1 1 0 1 0 1 1 1 0 0 0 1 1 1 1 0 1 1 0 0 1 1 0 0 1 \n    1 0 1 0 0 0 0 1 1 0 1 1 1 1 1 1 0 0]\n[0 0 0 0 0 0 0 0 0 0 0 0 0 0 0 0 0 0 0 0 0 0 0 0 0 0 0 0 0 0 0 0 0 0 0 0 0 0 0 0\n    0 0 0 0 1 0 0 0 0 0 0 1 1 1 1 1 0 1 0 1 1 1 0 0 0 1 1 1 1 0 1 1 0 0 1 1 0 0 \n    1 1 0 1 0 0 0 0 1 1 0 1 1 1 1 1 1 0]\n[0 0 0 0 0 0 0 0 0 0 0 0 0 0 0 0 0 0 0 0 0 0 0 0 0 0 0 0 0 0 0 0 0 0 0 0 0 0 0 0\n    0 0 0 0 0 1 0 0 0 0 0 0 0 1 0 0 1 0 1 1 0 0 1 0 0 0 0 1 0 1 0 0 0 1 1 0 1 1 \n    0 1 1 0 1 1 1 1 1 1 0 1 0 0 1 1 0 0]\n[0 0 0 0 0 0 0 0 0 0 0 0 0 0 0 0 0 0 0 0 0 0 0 0 0 0 0 0 0 0 0 0 0 0 0 0 0 0 0 0\n    0 0 0 0 0 0 1 0 0 0 0 0 0 0 1 0 0 1 0 1 1 0 0 1 0 0 0 0 1 0 1 0 0 0 1 1 0 1 \n    1 0 1 1 0 1 1 1 1 1 1 0 1 0 0 1 1 0]\n[0 0 0 0 0 0 0 0 0 0 0 0 0 0 0 0 0 0 0 0 0 0 0 0 0 0 0 0 0 0 0 0 0 0 0 0 0 0 0 0\n    0 0 0 0 0 0 0 1 0 0 0 0 0 0 0 1 0 0 1 0 1 1 0 0 1 0 0 0 0 1 0 1 0 0 0 1 1 0 \n    1 1 0 1 1 0 1 1 1 1 1 1 0 1 0 0 1 1]\nLinear Code over GF(2) of length 96 with 48 generators.\nLower Bound: 1, Upper Bound: 49\nConstructed 2 distinct generator matrices\nRelative Ranks:  48  48 \nTime Taken: 0.00\nStarting search for low weight codewords... (reset timings)\nEnumerating using 1 generator at a time:\n     New codeword identified of weight 25, time 0.00\n     New codeword identified of weight 22, time 0.00\n     New codeword identified of weight 20, time 0.00\n   Completed Matrix  1:  lower =  3, upper = 20. Elapsed: 0.00s\n     New codeword identified of weight 17, time 0.00\n   Completed Matrix  2:  lower =  4, upper = 17. Elapsed: 0.00s\nTermination predicted with 8 generators at matrix 1\nEnumerating using 2 generators at a time:\n   Completed Matrix  1:  lower =  5, upper = 17. Elapsed: 0.00s\n   Completed Matrix  2:  lower =  6, upper = 17. Elapsed: 0.00s\nTermination predicted with 8 generators at matrix 1\nEnumerating using 3 generators at a time:\n     New codeword identified of weight 16, time 0.00\n   Completed Matrix  1:  lower =  7, upper = 16. Elapsed: 0.00s\n   Completed Matrix  2:  lower =  8, upper = 16. Elapsed: 0.00s\nTermination predicted with 7 generators at matrix 2\nEnumerating using 4 generators at a time:\n   Completed Matrix  1:  lower =  9, upper = 16. Elapsed: 0.00s\n   Completed Matrix  2:  lower = 10, upper = 16. Elapsed: 0.00s\nTermination predicted with 7 generators at matrix 2\nEnumerating using 5 generators at a time:\n   Completed Matrix  1:  lower = 11, upper = 16. Elapsed: 0.00s\n   Completed Matrix  2:  lower = 12, upper = 16. Elapsed: 0.00s\nTermination predicted with 7 generators at matrix 2\nEnumerating using 6 generators at a time:\n   Completed Matrix  1:  lower = 13, upper = 16. Elapsed: 0.03s\n   Completed Matrix  2:  lower = 14, upper = 16. Elapsed: 0.06s\nTermination predicted with 7 generators at matrix 2\nEnumerating using 7 generators at a time:\n   Completed Matrix  1:  lower = 15, upper = 16. Elapsed: 0.22s\n   Completed Matrix  2:  lower = 16, upper = 16. Elapsed: 0.38s\nComputation complete 175651880 vectors enumerated in total\n (0.000062% of 96 48 code)\nFinal Results: lower = 16, upper = 16,\nTotal CPU time: 0.38, real time: 0.382\n16\n\nTotal time: 0.390 seconds, Total memory usage: 32.09MB\n</t>
  </si>
  <si>
    <t>[[97,50,15]]</t>
  </si>
  <si>
    <t>Magma V2.28-26    Tue Dec 30 2025 10:36:47 on Marks-MacBook-Air-2 [Seed = \n1165985699]\nType ? for help.  Type &lt;Ctrl&gt;-D to quit.\n[0 0 0 1 1 1 0 0 0 0 1 0 1 0 0 1 1 1 1 1 0 1 0 0 0 0 0 1 1 1 1 0 1 1 1 1 0 0 1 1\n    0 0 0 0 1 0 1 1 0 0 0 0 0 0 0 0 0 0 0 0 0 0 0 0 0 0 0 0 0 0 0 0 0 0 0 0 0 0 \n    0 0 0 0 0 0 0 0 0 0 0 0 0 0 0 0 0 0 0]\n[1 0 0 1 0 0 1 0 0 0 1 1 1 1 0 1 0 0 0 0 1 1 1 0 0 0 0 1 0 0 0 1 1 0 0 0 1 0 1 0\n    1 0 0 0 1 1 1 0 1 0 0 0 0 0 0 0 0 0 0 0 0 0 0 0 0 0 0 0 0 0 0 0 0 0 0 0 0 0 \n    0 0 0 0 0 0 0 0 0 0 0 0 0 0 0 0 0 0 0]\n[0 1 0 1 0 1 0 1 0 0 1 1 0 1 1 1 0 1 1 1 0 0 1 1 0 0 0 1 0 1 1 0 0 0 1 1 0 1 1 0\n    0 1 0 0 1 1 0 0 0 1 0 0 0 0 0 0 0 0 0 0 0 0 0 0 0 0 0 0 0 0 0 0 0 0 0 0 0 0 \n    0 0 0 0 0 0 0 0 0 0 0 0 0 0 0 0 0 0 0]\n[0 0 1 0 1 0 1 0 1 0 0 1 1 0 1 1 1 0 1 1 1 0 0 1 1 0 0 0 1 0 1 1 0 0 0 1 1 0 1 1\n    0 0 1 0 0 1 1 0 0 0 1 0 0 0 0 0 0 0 0 0 0 0 0 0 0 0 0 0 0 0 0 0 0 0 0 0 0 0 \n    0 0 0 0 0 0 0 0 0 0 0 0 0 0 0 0 0 0 0]\n[0 0 0 0 1 0 0 1 0 1 1 0 0 1 0 0 0 0 1 0 1 0 0 0 1 1 0 1 1 0 1 1 0 1 1 1 1 1 1 0\n    1 0 0 1 1 0 0 0 0 0 0 1 0 0 0 0 0 0 0 0 0 0 0 0 0 0 0 0 0 0 0 0 0 0 0 0 0 0 \n    0 0 0 0 0 0 0 0 0 0 0 0 0 0 0 0 0 0 0]\n[0 0 0 0 0 1 0 0 1 0 1 1 0 0 1 0 0 0 0 1 0 1 0 0 0 1 1 0 1 1 0 1 1 0 1 1 1 1 1 1\n    0 1 0 0 1 1 0 0 0 0 0 0 1 0 0 0 0 0 0 0 0 0 0 0 0 0 0 0 0 0 0 0 0 0 0 0 0 0 \n    0 0 0 0 0 0 0 0 0 0 0 0 0 0 0 0 0 0 0]\n[0 0 0 0 0 0 1 0 0 1 0 1 1 0 0 1 0 0 0 0 1 0 1 0 0 0 1 1 0 1 1 0 1 1 0 1 1 1 1 1\n    1 0 1 0 0 1 1 0 0 0 0 0 0 1 0 0 0 0 0 0 0 0 0 0 0 0 0 0 0 0 0 0 0 0 0 0 0 0 \n    0 0 0 0 0 0 0 0 0 0 0 0 0 0 0 0 0 0 0]\n[0 0 0 1 1 1 0 1 0 0 0 0 0 1 0 1 0 1 1 1 0 0 0 1 0 0 0 0 0 1 0 1 1 0 0 1 1 1 0 0\n    1 1 0 1 1 0 0 0 0 0 0 0 0 0 1 0 0 0 0 0 0 0 0 0 0 0 0 0 0 0 0 0 0 0 0 0 0 0 \n    0 0 0 0 0 0 0 0 0 0 0 0 0 0 0 0 0 0 0]\n[0 0 0 0 1 1 1 0 1 0 0 0 0 0 1 0 1 0 1 1 1 0 0 0 1 0 0 0 0 0 1 0 1 1 0 0 1 1 1 0\n    0 1 1 0 1 1 0 0 0 0 0 0 0 0 0 1 0 0 0 0 0 0 0 0 0 0 0 0 0 0 0 0 0 0 0 0 0 0 \n    0 0 0 0 0 0 0 0 0 0 0 0 0 0 0 0 0 0 0]\n[1 0 0 0 0 1 1 1 0 1 0 0 0 0 0 1 0 1 0 1 1 1 0 0 0 1 0 0 0 0 0 1 0 1 1 0 0 1 1 1\n    0 0 1 1 0 1 1 0 0 0 0 0 0 0 0 0 1 0 0 0 0 0 0 0 0 0 0 0 0 0 0 0 0 0 0 0 0 0 \n    0 0 0 0 0 0 0 0 0 0 0 0 0 0 0 0 0 0 0]\n[0 1 0 1 1 1 1 1 1 0 0 0 1 0 0 1 0 1 0 1 1 0 1 0 0 0 1 1 1 1 1 0 0 1 0 0 0 0 0 0\n    1 0 0 1 0 0 0 0 0 0 0 0 0 0 0 0 0 1 0 0 0 0 0 0 0 0 0 0 0 0 0 0 0 0 0 0 0 0 \n    0 0 0 0 0 0 0 0 0 0 0 0 0 0 0 0 0 0 0]\n[0 0 1 0 1 1 1 1 1 1 0 0 0 1 0 0 1 0 1 0 1 1 0 1 0 0 0 1 1 1 1 1 0 0 1 0 0 0 0 0\n    0 1 0 0 1 0 0 0 0 0 0 0 0 0 0 0 0 0 1 0 0 0 0 0 0 0 0 0 0 0 0 0 0 0 0 0 0 0 \n    0 0 0 0 0 0 0 0 0 0 0 0 0 0 0 0 0 0 0]\n[1 0 0 1 0 1 1 1 1 1 1 0 0 0 1 0 0 1 0 1 0 1 1 0 1 0 0 0 1 1 1 1 1 0 0 1 0 0 0 0\n    0 0 1 0 0 1 0 0 0 0 0 0 0 0 0 0 0 0 0 1 0 0 0 0 0 0 0 0 0 0 0 0 0 0 0 0 0 0 \n    0 0 0 0 0 0 0 0 0 0 0 0 0 0 0 0 0 0 0]\n[0 1 0 0 1 0 1 1 1 1 1 1 0 0 0 1 0 0 1 0 1 0 1 1 0 1 0 0 0 1 1 1 1 1 0 0 1 0 0 0\n    0 0 0 1 0 0 1 0 0 0 0 0 0 0 0 0 0 0 0 0 1 0 0 0 0 0 0 0 0 0 0 0 0 0 0 0 0 0 \n    0 0 0 0 0 0 0 0 0 0 0 0 0 0 0 0 0 0 0]\n[1 0 1 1 1 0 0 1 1 1 0 1 0 0 0 1 0 1 1 0 0 0 0 1 1 0 1 1 1 1 0 1 0 0 0 1 0 1 1 1\n    0 0 0 0 0 0 1 0 0 0 0 0 0 0 0 0 0 0 0 0 0 1 0 0 0 0 0 0 0 0 0 0 0 0 0 0 0 0 \n    0 0 0 0 0 0 0 0 0 0 0 0 0 0 0 0 0 0 0]\n[1 1 0 0 0 0 0 0 1 1 0 0 0 0 0 1 0 1 0 0 0 1 0 0 1 1 0 0 0 0 0 0 0 1 1 1 1 0 0 0\n    1 0 0 0 1 0 1 0 0 0 0 0 0 0 0 0 0 0 0 0 0 0 1 0 0 0 0 0 0 0 0 0 0 0 0 0 0 0 \n    0 0 0 0 0 0 0 0 0 0 0 0 0 0 0 0 0 0 0]\n[0 1 1 1 1 1 0 0 0 1 0 0 1 0 0 1 0 1 0 1 0 1 1 0 0 1 1 1 1 1 1 0 1 1 0 0 1 1 1 1\n    0 1 0 0 1 1 1 0 0 0 0 0 0 0 0 0 0 0 0 0 0 0 0 1 0 0 0 0 0 0 0 0 0 0 0 0 0 0 \n    0 0 0 0 0 0 0 0 0 0 0 0 0 0 0 0 0 0 0]\n[0 0 1 0 0 0 1 0 0 0 0 0 1 1 0 1 0 1 0 1 1 1 1 1 0 0 1 0 0 0 0 1 1 0 0 1 0 1 0 0\n    1 0 1 0 1 1 0 0 0 0 0 0 0 0 0 0 0 0 0 0 0 0 0 0 1 0 0 0 0 0 0 0 0 0 0 0 0 0 \n    0 0 0 0 0 0 0 0 0 0 0 0 0 0 0 0 0 0 0]\n[1 0 0 1 0 0 0 1 0 0 0 0 0 1 1 0 1 0 1 0 1 1 1 1 1 0 0 1 0 0 0 0 1 1 0 0 1 0 1 0\n    0 1 0 1 0 1 1 0 0 0 0 0 0 0 0 0 0 0 0 0 0 0 0 0 0 1 0 0 0 0 0 0 0 0 0 0 0 0 \n    0 0 0 0 0 0 0 0 0 0 0 0 0 0 0 0 0 0 0]\n[0 1 0 1 0 1 0 0 1 0 1 0 1 0 1 0 1 0 1 0 0 0 1 1 1 1 0 1 0 1 1 0 1 0 0 1 0 1 1 0\n    0 0 1 0 0 0 0 0 0 0 0 0 0 0 0 0 0 0 0 0 0 0 0 0 0 0 1 0 0 0 0 0 0 0 0 0 0 0 \n    0 0 0 0 0 0 0 0 0 0 0 0 0 0 0 0 0 0 0]\n[0 0 1 0 1 0 1 0 0 1 0 1 0 1 0 1 0 1 0 1 0 0 0 1 1 1 1 0 1 0 1 1 0 1 0 0 1 0 1 1\n    0 0 0 1 0 0 0 0 0 0 0 0 0 0 0 0 0 0 0 0 0 0 0 0 0 0 0 1 0 0 0 0 0 0 0 0 0 0 \n    0 0 0 0 0 0 0 0 0 0 0 0 0 0 0 0 0 0 0]\n[0 0 0 1 0 1 0 1 0 0 1 0 1 0 1 0 1 0 1 0 1 0 0 0 1 1 1 1 0 1 0 1 1 0 1 0 0 1 0 1\n    1 0 0 0 1 0 0 0 0 0 0 0 0 0 0 0 0 0 0 0 0 0 0 0 0 0 0 0 1 0 0 0 0 0 0 0 0 0 \n    0 0 0 0 0 0 0 0 0 0 0 0 0 0 0 0 0 0 0]\n[0 0 0 0 1 0 1 0 1 0 0 1 0 1 0 1 0 1 0 1 0 1 0 0 0 1 1 1 1 0 1 0 1 1 0 1 0 0 1 0\n    1 1 0 0 0 1 0 0 0 0 0 0 0 0 0 0 0 0 0 0 0 0 0 0 0 0 0 0 0 1 0 0 0 0 0 0 0 0 \n    0 0 0 0 0 0 0 0 0 0 0 0 0 0 0 0 0 0 0]\n[1 0 0 0 0 1 0 1 0 1 0 0 1 0 1 0 1 0 1 0 1 0 1 0 0 0 1 1 1 1 0 1 0 1 1 0 1 0 0 1\n    0 1 1 0 0 0 1 0 0 0 0 0 0 0 0 0 0 0 0 0 0 0 0 0 0 0 0 0 0 0 1 0 0 0 0 0 0 0 \n    0 0 0 0 0 0 0 0 0 0 0 0 0 0 0 0 0 0 0]\n[0 1 0 1 1 1 1 0 1 0 0 0 1 1 0 0 1 0 1 0 0 0 0 1 0 0 0 0 0 0 0 0 0 1 0 0 0 1 1 1\n    1 0 1 1 1 0 1 0 0 0 0 0 0 0 0 0 0 0 0 0 0 0 0 0 0 0 0 0 0 0 0 1 0 0 0 0 0 0 \n    0 0 0 0 0 0 0 0 0 0 0 0 0 0 0 0 0 0 0]\n[1 0 1 1 0 0 1 1 0 1 1 0 1 1 1 1 1 0 1 0 0 1 0 0 1 0 0 1 1 1 1 0 1 1 0 1 0 0 0 0\n    1 1 0 1 0 1 1 0 0 0 0 0 0 0 0 0 0 0 0 0 0 0 0 0 0 0 0 0 0 0 0 0 1 0 0 0 0 0 \n    0 0 0 0 0 0 0 0 0 0 0 0 0 0 0 0 0 0 0]\n[0 1 0 0 0 1 0 1 1 0 0 1 1 1 1 0 0 0 1 0 0 1 1 0 0 1 0 1 0 0 0 1 1 0 0 1 1 0 1 1\n    0 1 1 0 0 0 0 0 0 0 0 0 0 0 0 0 0 0 0 0 0 0 0 0 0 0 0 0 0 0 0 0 0 1 0 0 0 0 \n    0 0 0 0 0 0 0 0 0 0 0 0 0 0 0 0 0 0 0]\n[0 0 1 0 0 0 1 0 1 1 0 0 1 1 1 1 0 0 0 1 0 0 1 1 0 0 1 0 1 0 0 0 1 1 0 0 1 1 0 1\n    1 0 1 1 0 0 0 0 0 0 0 0 0 0 0 0 0 0 0 0 0 0 0 0 0 0 0 0 0 0 0 0 0 0 1 0 0 0 \n    0 0 0 0 0 0 0 0 0 0 0 0 0 0 0 0 0 0 0]\n[0 0 0 1 0 0 0 1 0 1 1 0 0 1 1 1 1 0 0 0 1 0 0 1 1 0 0 1 0 1 0 0 0 1 1 0 0 1 1 0\n    1 1 0 1 1 0 0 0 0 0 0 0 0 0 0 0 0 0 0 0 0 0 0 0 0 0 0 0 0 0 0 0 0 0 0 1 0 0 \n    0 0 0 0 0 0 0 0 0 0 0 0 0 0 0 0 0 0 0]\n[1 0 0 0 1 0 0 0 1 0 1 1 0 0 1 1 1 1 0 0 0 1 0 0 1 1 0 0 1 0 1 0 0 0 1 1 0 0 1 1\n    0 1 1 0 1 1 0 0 0 0 0 0 0 0 0 0 0 0 0 0 0 0 0 0 0 0 0 0 0 0 0 0 0 0 0 0 1 0 \n    0 0 0 0 0 0 0 0 0 0 0 0 0 0 0 0 0 0 0]\n[1 1 0 0 0 1 0 0 0 1 0 1 1 0 0 1 1 1 1 0 0 0 1 0 0 1 1 0 0 1 0 1 0 0 0 1 1 0 0 1\n    1 0 1 1 0 1 1 0 0 0 0 0 0 0 0 0 0 0 0 0 0 0 0 0 0 0 0 0 0 0 0 0 0 0 0 0 0 1 \n    0 0 0 0 0 0 0 0 0 0 0 0 0 0 0 0 0 0 0]\n[0 1 1 1 1 1 1 0 0 0 0 0 0 1 0 1 0 0 0 0 0 1 0 1 0 0 1 0 1 1 0 0 0 1 1 1 1 1 1 1\n    1 1 0 1 0 0 0 0 0 0 0 0 0 0 0 0 0 0 0 0 0 0 0 0 0 0 0 0 0 0 0 0 0 0 0 0 0 0 \n    1 0 0 0 0 0 0 0 0 0 0 0 0 0 0 0 0 0 0]\n[1 0 1 1 1 1 1 1 0 0 0 0 0 0 1 0 1 0 0 0 0 0 1 0 1 0 0 1 0 1 1 0 0 0 1 1 1 1 1 1\n    1 1 1 0 1 0 0 0 0 0 0 0 0 0 0 0 0 0 0 0 0 0 0 0 0 0 0 0 0 0 0 0 0 0 0 0 0 0 \n    0 1 0 0 0 0 0 0 0 0 0 0 0 0 0 0 0 0 0]\n[1 1 0 1 1 1 1 1 1 0 0 0 0 0 0 1 0 1 0 0 0 0 0 1 0 1 0 0 1 0 1 1 0 0 0 1 1 1 1 1\n    1 1 1 1 0 1 0 0 0 0 0 0 0 0 0 0 0 0 0 0 0 0 0 0 0 0 0 0 0 0 0 0 0 0 0 0 0 0 \n    0 0 1 0 0 0 0 0 0 0 0 0 0 0 0 0 0 0 0]\n[0 1 1 0 1 1 1 1 1 1 0 0 0 0 0 0 1 0 1 0 0 0 0 0 1 0 1 0 0 1 0 1 1 0 0 0 1 1 1 1\n    1 1 1 1 1 0 1 0 0 0 0 0 0 0 0 0 0 0 0 0 0 0 0 0 0 0 0 0 0 0 0 0 0 0 0 0 0 0 \n    0 0 0 1 0 0 0 0 0 0 0 0 0 0 0 0 0 0 0]\n[1 0 1 0 1 0 1 1 1 1 0 0 1 0 0 1 1 0 1 0 0 1 0 0 0 1 0 0 1 1 0 0 0 0 1 1 0 1 0 0\n    1 1 1 1 0 1 1 0 0 0 0 0 0 0 0 0 0 0 0 0 0 0 0 0 0 0 0 0 0 0 0 0 0 0 0 0 0 0 \n    0 0 0 0 1 0 0 0 0 0 0 0 0 0 0 0 0 0 0]\n[1 1 0 0 1 0 0 1 1 1 0 0 1 1 0 1 0 0 1 0 0 1 1 0 0 0 1 1 1 0 0 0 1 1 1 0 1 0 0 1\n    0 1 1 1 0 0 0 0 0 0 0 0 0 0 0 0 0 0 0 0 0 0 0 0 0 0 0 0 0 0 0 0 0 0 0 0 0 0 \n    0 0 0 0 0 1 0 0 0 0 0 0 0 0 0 0 0 0 0]\n[0 1 1 0 0 1 0 0 1 1 1 0 0 1 1 0 1 0 0 1 0 0 1 1 0 0 0 1 1 1 0 0 0 1 1 1 0 1 0 0\n    1 0 1 1 1 0 0 0 0 0 0 0 0 0 0 0 0 0 0 0 0 0 0 0 0 0 0 0 0 0 0 0 0 0 0 0 0 0 \n    0 0 0 0 0 0 1 0 0 0 0 0 0 0 0 0 0 0 0]\n[1 0 1 1 0 0 1 0 0 1 1 1 0 0 1 1 0 1 0 0 1 0 0 1 1 0 0 0 1 1 1 0 0 0 1 1 1 0 1 0\n    0 1 0 1 1 1 0 0 0 0 0 0 0 0 0 0 0 0 0 0 0 0 0 0 0 0 0 0 0 0 0 0 0 0 0 0 0 0 \n    0 0 0 0 0 0 0 1 0 0 0 0 0 0 0 0 0 0 0]\n[1 1 0 1 1 0 0 1 0 0 1 1 1 0 0 1 1 0 1 0 0 1 0 0 1 1 0 0 0 1 1 1 0 0 0 1 1 1 0 1\n    0 0 1 0 1 1 1 0 0 0 0 0 0 0 0 0 0 0 0 0 0 0 0 0 0 0 0 0 0 0 0 0 0 0 0 0 0 0 \n    0 0 0 0 0 0 0 0 1 0 0 0 0 0 0 0 0 0 0]\n[1 1 1 1 0 0 0 0 1 0 1 1 0 1 0 1 0 0 1 0 0 1 1 0 0 1 1 1 1 1 0 1 0 1 1 1 1 1 0 1\n    1 0 0 1 1 1 0 0 0 0 0 0 0 0 0 0 0 0 0 0 0 0 0 0 0 0 0 0 0 0 0 0 0 0 0 0 0 0 \n    0 0 0 0 0 0 0 0 0 1 0 0 0 0 0 0 0 0 0]\n[1 1 1 1 1 0 0 0 0 1 0 1 1 0 1 0 1 0 0 1 0 0 1 1 0 0 1 1 1 1 1 0 1 0 1 1 1 1 1 0\n    1 1 0 0 1 1 1 0 0 0 0 0 0 0 0 0 0 0 0 0 0 0 0 0 0 0 0 0 0 0 0 0 0 0 0 0 0 0 \n    0 0 0 0 0 0 0 0 0 0 1 0 0 0 0 0 0 0 0]\n[1 1 1 0 0 0 0 0 0 0 0 0 0 1 0 0 1 0 1 1 1 1 0 1 1 0 0 0 0 0 0 1 1 0 1 0 1 1 0 0\n    0 1 1 0 1 1 0 0 0 0 0 0 0 0 0 0 0 0 0 0 0 0 0 0 0 0 0 0 0 0 0 0 0 0 0 0 0 0 \n    0 0 0 0 0 0 0 0 0 0 0 1 0 0 0 0 0 0 0]\n[1 1 1 1 0 0 0 0 0 0 0 0 0 0 1 0 0 1 0 1 1 1 1 0 1 1 0 0 0 0 0 0 1 1 0 1 0 1 1 0\n    0 0 1 1 0 1 1 0 0 0 0 0 0 0 0 0 0 0 0 0 0 0 0 0 0 0 0 0 0 0 0 0 0 0 0 0 0 0 \n    0 0 0 0 0 0 0 0 0 0 0 0 1 0 0 0 0 0 0]\n[0 1 1 0 0 1 0 0 0 0 1 0 1 0 0 0 1 1 0 1 1 0 1 1 0 1 1 1 1 1 1 0 1 0 0 1 1 0 0 0\n    0 0 0 1 0 0 0 0 0 0 0 0 0 0 0 0 0 0 0 0 0 0 0 0 0 0 0 0 0 0 0 0 0 0 0 0 0 0 \n    0 0 0 0 0 0 0 0 0 0 0 0 0 1 0 0 0 0 0]\n[1 0 1 1 0 0 1 0 0 0 0 1 0 1 0 0 0 1 1 0 1 1 0 1 1 0 1 1 1 1 1 1 0 1 0 0 1 1 0 0\n    0 0 0 0 1 0 0 0 0 0 0 0 0 0 0 0 0 0 0 0 0 0 0 0 0 0 0 0 0 0 0 0 0 0 0 0 0 0 \n    0 0 0 0 0 0 0 0 0 0 0 0 0 0 1 0 0 0 0]\n[0 1 0 1 1 0 0 1 0 0 0 0 1 0 1 0 0 0 1 1 0 1 1 0 1 1 0 1 1 1 1 1 1 0 1 0 0 1 1 0\n    0 0 0 0 0 1 0 0 0 0 0 0 0 0 0 0 0 0 0 0 0 0 0 0 0 0 0 0 0 0 0 0 0 0 0 0 0 0 \n    0 0 0 0 0 0 0 0 0 0 0 0 0 0 0 1 0 0 0]\n[0 0 1 0 1 1 0 0 1 0 0 0 0 1 0 1 0 0 0 1 1 0 1 1 0 1 1 0 1 1 1 1 1 1 0 1 0 0 1 1\n    0 0 0 0 0 0 1 0 0 0 0 0 0 0 0 0 0 0 0 0 0 0 0 0 0 0 0 0 0 0 0 0 0 0 0 0 0 0 \n    0 0 0 0 0 0 0 0 0 0 0 0 0 0 0 0 1 0 0]\n[1 0 0 0 1 0 1 0 0 1 1 0 1 0 1 1 0 1 1 1 1 0 0 1 1 0 1 0 1 0 0 1 0 0 0 1 1 0 1 0\n    1 0 0 0 1 0 1 0 0 0 0 0 0 0 0 0 0 0 0 0 0 0 0 0 0 0 0 0 0 0 0 0 0 0 0 0 0 0 \n    0 0 0 0 0 0 0 0 0 0 0 0 0 0 0 0 0 1 0]\n[1 1 0 1 1 0 0 1 0 0 0 1 1 1 0 0 0 1 0 0 1 0 0 0 1 1 0 0 1 0 1 0 0 1 1 1 1 1 1 0\n    0 1 0 0 1 1 1 0 0 0 0 0 0 0 0 0 0 0 0 0 0 0 0 0 0 0 0 0 0 0 0 0 0 0 0 0 0 0 \n    0 0 0 0 0 0 0 0 0 0 0 0 0 0 0 0 0 0 1]\n[97, 50] Linear Code over GF(2)\nGenerator matrix:\n[1 0 0 0 0 0 0 0 0 0 0 0 0 0 0 0 0 0 0 0 0 0 0 0 0 0 0 0 0 0 0 0 0 0 0 0 0 0 0 0\n    0 0 0 0 0 0 0 0 0 0 0 0 1 0 1 1 0 0 0 1 1 1 0 0 0 0 1 0 1 0 0 1 1 1 1 1 0 1 \n    0 0 0 0 0 1 1 1 1 0 1 1 1 1 0 0 1 1 0]\n[0 1 0 0 0 0 0 0 0 0 0 0 0 0 0 0 0 0 0 0 0 0 0 0 0 0 0 0 0 0 0 0 0 0 0 0 0 0 0 0\n    0 0 0 0 0 0 0 0 0 0 0 0 1 1 1 0 1 0 0 1 0 0 1 0 0 0 1 1 1 1 0 1 0 0 0 0 1 1 \n    1 0 0 0 0 1 0 0 0 1 1 0 0 0 1 0 1 0 1]\n[0 0 1 0 0 0 0 0 0 0 0 0 0 0 0 0 0 0 0 0 0 0 0 0 0 0 0 0 0 0 0 0 0 0 0 0 0 0 0 0\n    0 0 0 0 0 0 0 0 0 1 0 0 0 0 1 0 1 0 0 0 1 1 0 0 0 0 1 0 1 0 1 1 0 0 1 1 1 0 \n    1 1 1 1 0 1 1 1 0 0 0 1 0 0 1 0 0 0 0]\n[0 0 0 1 0 0 0 0 0 0 0 0 0 0 0 0 0 0 0 0 0 0 0 0 0 0 0 0 0 0 0 0 0 0 0 0 0 0 0 0\n    0 0 0 0 0 0 0 0 0 0 1 0 1 0 1 0 0 1 0 1 1 0 1 0 0 0 1 1 1 1 0 0 0 1 1 0 1 0 \n    0 1 1 1 1 1 0 0 0 0 1 1 0 1 0 1 1 1 0]\n[0 0 0 0 1 0 0 0 0 0 0 0 0 0 0 0 0 0 0 0 0 0 0 0 0 0 0 0 0 0 0 0 0 0 0 0 0 0 0 0\n    0 0 0 0 0 0 0 0 0 0 0 0 1 0 0 0 0 0 0 0 1 0 0 1 0 1 1 0 0 1 0 0 0 0 1 0 1 0 \n    0 0 1 1 0 1 1 0 1 1 0 1 1 1 1 1 1 0 1]\n[0 0 0 0 0 1 0 0 0 0 0 0 0 0 0 0 0 0 0 0 0 0 0 0 0 0 0 0 0 0 0 0 0 0 0 0 0 0 0 0\n    0 0 0 0 0 0 0 0 0 1 0 0 1 0 1 0 1 1 0 1 1 1 0 1 1 0 1 0 1 1 1 0 0 1 0 1 1 1 \n    0 0 1 0 1 0 0 1 1 1 1 1 0 0 0 0 0 1 0]\n[0 0 0 0 0 0 1 0 0 0 0 0 0 0 0 0 0 0 0 0 0 0 0 0 0 0 0 0 0 0 0 0 0 0 0 0 0 0 0 0\n    0 0 0 0 0 0 0 0 0 0 1 0 1 1 1 0 0 1 1 1 0 0 1 0 1 1 1 1 1 1 1 0 1 1 0 1 1 0 \n    1 0 0 1 0 0 1 1 0 1 0 0 0 1 0 0 1 1 1]\n[0 0 0 0 0 0 0 1 0 0 0 0 0 0 0 0 0 0 0 0 0 0 0 0 0 0 0 0 0 0 0 0 0 0 0 0 0 0 0 0\n    0 0 0 0 0 0 0 0 0 1 0 0 0 1 0 0 1 1 0 0 0 1 0 0 0 0 0 1 1 0 0 1 0 0 1 1 1 0 \n    0 1 1 1 0 0 1 1 1 1 1 1 1 0 0 0 1 0 1]\n[0 0 0 0 0 0 0 0 1 0 0 0 0 0 0 0 0 0 0 0 0 0 0 0 0 0 0 0 0 0 0 0 0 0 0 0 0 0 0 0\n    0 0 0 0 0 0 0 0 0 1 1 0 0 1 1 1 1 0 1 0 0 1 1 1 0 0 1 1 1 0 0 1 0 0 1 0 0 0 \n    0 0 0 0 1 1 0 0 1 1 0 1 1 1 1 1 0 0 0]\n[0 0 0 0 0 0 0 0 0 1 0 0 0 0 0 0 0 0 0 0 0 0 0 0 0 0 0 0 0 0 0 0 0 0 0 0 0 0 0 0\n    0 0 0 0 0 0 0 0 0 0 1 0 1 1 1 0 1 1 1 1 0 1 1 1 1 1 1 0 0 1 1 0 1 0 0 0 1 1 \n    0 0 0 0 1 1 1 0 1 0 1 0 1 0 1 0 1 1 0]\n[0 0 0 0 0 0 0 0 0 0 1 0 0 0 0 0 0 0 0 0 0 0 0 0 0 0 0 0 0 0 0 0 0 0 0 0 0 0 0 0\n    0 0 0 0 0 0 0 0 0 0 0 0 1 0 1 0 0 1 0 1 1 1 1 1 1 0 0 0 1 0 0 1 0 1 0 1 1 0 \n    1 0 0 0 1 1 1 1 1 0 0 1 0 0 0 0 0 0 1]\n[0 0 0 0 0 0 0 0 0 0 0 1 0 0 0 0 0 0 0 0 0 0 0 0 0 0 0 0 0 0 0 0 0 0 0 0 0 0 0 0\n    0 0 0 0 0 0 0 0 0 1 0 0 1 0 1 1 1 1 1 1 0 1 1 0 1 1 0 1 1 0 0 0 1 1 1 0 0 1 \n    0 1 1 1 0 1 0 1 0 1 0 1 0 1 1 1 1 0 0]\n[0 0 0 0 0 0 0 0 0 0 0 0 1 0 0 0 0 0 0 0 0 0 0 0 0 0 0 0 0 0 0 0 0 0 0 0 0 0 0 0\n    0 0 0 0 0 0 0 0 0 0 1 0 1 1 1 0 1 1 1 0 0 1 1 1 0 1 0 0 0 1 0 1 1 0 0 0 0 1 \n    1 0 1 1 1 1 0 1 0 0 0 1 0 1 1 1 0 0 0]\n[0 0 0 0 0 0 0 0 0 0 0 0 0 1 0 0 0 0 0 0 0 0 0 0 0 0 0 0 0 0 0 0 0 0 0 0 0 0 0 0\n    0 0 0 0 0 0 0 0 0 0 0 0 0 0 0 1 0 1 0 0 1 0 1 1 1 1 1 1 0 0 0 1 0 0 1 0 1 0 \n    1 1 0 1 0 0 0 1 1 1 1 1 0 0 1 0 0 0 0]\n[0 0 0 0 0 0 0 0 0 0 0 0 0 0 1 0 0 0 0 0 0 0 0 0 0 0 0 0 0 0 0 0 0 0 0 0 0 0 0 0\n    0 0 0 0 0 0 0 0 0 0 0 0 1 0 1 1 1 0 1 1 1 0 0 1 1 1 0 1 0 0 0 1 0 1 1 0 0 0 \n    0 1 1 0 1 1 1 1 0 1 0 0 0 1 0 1 1 1 0]\n[0 0 0 0 0 0 0 0 0 0 0 0 0 0 0 1 0 0 0 0 0 0 0 0 0 0 0 0 0 0 0 0 0 0 0 0 0 0 0 0\n    0 0 0 0 0 0 0 0 0 0 0 0 1 1 1 0 1 1 0 0 0 0 0 0 1 1 0 0 0 0 0 1 0 1 0 0 0 1 \n    0 0 1 1 0 0 0 0 0 0 0 1 1 1 1 0 0 0 1]\n[0 0 0 0 0 0 0 0 0 0 0 0 0 0 0 0 1 0 0 0 0 0 0 0 0 0 0 0 0 0 0 0 0 0 0 0 0 0 0 0\n    0 0 0 0 0 0 0 0 0 1 0 0 0 0 1 0 1 0 1 0 0 1 0 1 0 1 0 1 0 1 0 1 0 0 0 1 1 1 \n    1 0 1 0 1 1 0 1 0 0 1 0 1 1 0 0 0 1 0]\n[0 0 0 0 0 0 0 0 0 0 0 0 0 0 0 0 0 1 0 0 0 0 0 0 0 0 0 0 0 0 0 0 0 0 0 0 0 0 0 0\n    0 0 0 0 0 0 0 0 0 0 1 0 0 0 0 1 0 1 0 1 0 0 1 0 1 0 1 0 1 0 1 0 1 0 0 0 1 1 \n    1 1 0 1 0 1 1 0 1 0 0 1 0 1 1 0 0 0 1]\n[0 0 0 0 0 0 0 0 0 0 0 0 0 0 0 0 0 0 1 0 0 0 0 0 0 0 0 0 0 0 0 0 0 0 0 0 0 0 0 0\n    0 0 0 0 0 0 0 0 0 1 0 0 1 0 0 0 0 1 0 0 1 0 0 0 0 0 0 1 1 0 1 0 1 1 1 0 0 1 \n    1 1 0 1 0 1 1 0 1 0 1 0 1 1 0 1 0 0 0]\n[0 0 0 0 0 0 0 0 0 0 0 0 0 0 0 0 0 0 0 1 0 0 0 0 0 0 0 0 0 0 0 0 0 0 0 0 0 0 0 0\n    0 0 0 0 0 0 0 0 0 0 1 0 0 1 0 0 0 0 1 0 0 1 0 0 0 0 0 0 1 1 0 1 0 1 1 1 0 0 \n    1 1 1 0 1 0 1 1 0 1 0 1 0 1 1 0 1 0 0]\n[0 0 0 0 0 0 0 0 0 0 0 0 0 0 0 0 0 0 0 0 1 0 0 0 0 0 0 0 0 0 0 0 0 0 0 0 0 0 0 0\n    0 0 0 0 0 0 0 0 0 0 0 0 0 1 0 0 0 0 1 0 1 0 1 0 0 1 0 1 0 1 0 1 0 1 0 1 0 0 \n    0 1 1 1 1 0 1 0 1 1 0 1 0 0 1 0 1 1 0]\n[0 0 0 0 0 0 0 0 0 0 0 0 0 0 0 0 0 0 0 0 0 1 0 0 0 0 0 0 0 0 0 0 0 0 0 0 0 0 0 0\n    0 0 0 0 0 0 0 0 0 0 0 0 0 0 1 0 0 0 0 1 0 1 0 1 0 0 1 0 1 0 1 0 1 0 1 0 1 0 \n    0 0 1 1 1 1 0 1 0 1 1 0 1 0 0 1 0 1 1]\n[0 0 0 0 0 0 0 0 0 0 0 0 0 0 0 0 0 0 0 0 0 0 1 0 0 0 0 0 0 0 0 0 0 0 0 0 0 0 0 0\n    0 0 0 0 0 0 0 0 0 1 0 0 1 1 1 1 1 1 0 1 0 0 1 1 1 0 0 0 1 0 0 1 0 0 0 1 1 1 \n    0 0 1 0 1 1 0 0 0 0 1 0 1 0 1 1 0 0 1]\n[0 0 0 0 0 0 0 0 0 0 0 0 0 0 0 0 0 0 0 0 0 0 0 1 0 0 0 0 0 0 0 0 0 0 0 0 0 0 0 0\n    0 0 0 0 0 0 0 0 0 1 1 0 0 0 1 0 0 0 1 0 1 1 0 0 1 1 1 1 0 0 0 1 0 0 1 1 0 0 \n    1 0 1 0 0 0 1 1 0 0 1 1 0 1 1 0 1 1 0]\n[0 0 0 0 0 0 0 0 0 0 0 0 0 0 0 0 0 0 0 0 0 0 0 0 1 0 0 0 0 0 0 0 0 0 0 0 0 0 0 0\n    0 0 0 0 0 0 0 0 0 0 1 0 0 1 1 1 0 0 1 0 1 1 1 0 0 0 1 0 1 0 1 1 0 1 1 1 0 0 \n    0 1 0 1 1 1 1 0 1 1 1 0 0 0 1 0 1 1 1]\n[0 0 0 0 0 0 0 0 0 0 0 0 0 0 0 0 0 0 0 0 0 0 0 0 0 1 0 0 0 0 0 0 0 0 0 0 0 0 0 0\n    0 0 0 0 0 0 0 0 0 1 0 0 0 0 0 0 0 1 1 0 1 0 1 0 0 1 1 1 0 0 1 1 1 1 1 0 1 1 \n    0 0 0 1 0 1 0 1 0 0 1 0 1 0 1 1 1 0 1]\n[0 0 0 0 0 0 0 0 0 0 0 0 0 0 0 0 0 0 0 0 0 0 0 0 0 0 1 0 0 0 0 0 0 0 0 0 0 0 0 0\n    0 0 0 0 0 0 0 0 0 1 1 0 1 1 1 0 1 1 1 0 1 1 0 0 0 0 1 0 0 1 0 1 1 0 1 1 1 1 \n    1 0 1 1 1 0 0 0 0 0 0 0 1 0 1 0 0 1 0]\n[0 0 0 0 0 0 0 0 0 0 0 0 0 0 0 0 0 0 0 0 0 0 0 0 0 0 0 1 0 0 0 0 0 0 0 0 0 0 0 0\n    0 0 0 0 0 0 0 0 0 0 1 0 1 0 1 0 0 1 0 1 0 0 1 0 0 1 1 0 1 0 0 0 1 1 0 0 0 0 \n    1 1 0 1 0 1 0 0 1 1 0 0 0 0 0 0 0 1 1]\n[0 0 0 0 0 0 0 0 0 0 0 0 0 0 0 0 0 0 0 0 0 0 0 0 0 0 0 0 1 0 0 0 0 0 0 0 0 0 0 0\n    0 0 0 0 0 0 0 0 0 1 0 0 1 1 0 1 1 1 0 0 1 0 0 0 0 1 1 1 1 0 1 1 1 1 0 0 0 0 \n    0 1 0 1 0 1 1 1 1 0 0 0 0 1 1 0 0 0 1]\n[0 0 0 0 0 0 0 0 0 0 0 0 0 0 0 0 0 0 0 0 0 0 0 0 0 0 0 0 0 1 0 0 0 0 0 0 0 0 0 0\n    0 0 0 0 0 0 0 0 0 1 1 0 0 0 1 1 0 0 1 0 0 0 0 1 0 0 0 0 1 0 0 0 0 1 0 1 1 1 \n    0 0 0 1 1 1 1 0 1 1 1 0 0 0 0 0 0 1 0]\n[0 0 0 0 0 0 0 0 0 0 0 0 0 0 0 0 0 0 0 0 0 0 0 0 0 0 0 0 0 0 1 0 0 0 0 0 0 0 0 0\n    0 0 0 0 0 0 0 0 0 0 1 0 1 1 0 0 1 0 1 1 0 1 0 0 1 1 1 1 1 1 1 0 0 0 1 1 0 0 \n    1 0 0 0 0 1 1 1 1 0 1 1 0 1 0 1 0 1 1]\n[0 0 0 0 0 0 0 0 0 0 0 0 0 0 0 0 0 0 0 0 0 0 0 0 0 0 0 0 0 0 0 1 0 0 0 0 0 0 0 0\n    0 0 0 0 0 0 0 0 0 1 0 0 0 1 0 1 1 0 1 0 0 1 1 1 0 0 0 1 1 0 0 1 0 1 0 0 1 1 \n    0 1 1 1 1 0 0 1 1 0 0 0 0 0 0 0 0 1 1]\n[0 0 0 0 0 0 0 0 0 0 0 0 0 0 0 0 0 0 0 0 0 0 0 0 0 0 0 0 0 0 0 0 1 0 0 0 0 0 0 0\n    0 0 0 0 0 0 0 0 0 1 1 0 0 1 1 1 0 0 0 1 0 1 1 0 1 0 1 1 1 0 0 1 0 0 0 1 1 0 \n    1 0 0 0 1 0 0 1 1 1 1 0 0 0 1 1 0 1 1]\n[0 0 0 0 0 0 0 0 0 0 0 0 0 0 0 0 0 0 0 0 0 0 0 0 0 0 0 0 0 0 0 0 0 1 0 0 0 0 0 0\n    0 0 0 0 0 0 0 0 0 1 1 0 0 0 0 0 0 1 1 1 0 1 1 0 0 0 1 1 1 0 1 0 1 1 0 1 1 0 \n    0 1 1 1 1 1 1 0 1 0 1 0 1 0 1 1 0 1 1]\n[0 0 0 0 0 0 0 0 0 0 0 0 0 0 0 0 0 0 0 0 0 0 0 0 0 0 0 0 0 0 0 0 0 0 1 0 0 0 0 0\n    0 0 0 0 0 0 0 0 0 1 1 0 0 0 1 1 1 1 0 0 0 1 1 0 0 1 1 1 1 0 1 1 0 0 1 1 1 0 \n    0 0 0 0 0 1 0 1 0 0 0 0 1 1 1 1 0 1 1]\n[0 0 0 0 0 0 0 0 0 0 0 0 0 0 0 0 0 0 0 0 0 0 0 0 0 0 0 0 0 0 0 0 0 0 0 1 0 0 0 0\n    0 0 0 0 0 0 0 0 0 1 1 0 1 0 0 1 0 0 0 0 0 0 1 0 0 1 1 1 0 0 1 0 0 0 1 1 1 1 \n    0 0 1 1 1 1 1 1 0 1 1 0 0 0 0 1 1 0 1]\n[0 0 0 0 0 0 0 0 0 0 0 0 0 0 0 0 0 0 0 0 0 0 0 0 0 0 0 0 0 0 0 0 0 0 0 0 1 0 0 0\n    0 0 0 0 0 0 0 0 0 1 1 0 1 1 0 0 0 1 1 0 0 0 0 0 0 1 1 1 0 1 1 0 1 0 1 1 1 1 \n    1 0 1 0 0 0 1 0 0 1 0 1 0 1 1 0 1 1 0]\n[0 0 0 0 0 0 0 0 0 0 0 0 0 0 0 0 0 0 0 0 0 0 0 0 0 0 0 0 0 0 0 0 0 0 0 0 0 1 0 0\n    0 0 0 0 0 0 0 0 0 0 1 0 1 0 1 1 0 0 0 1 0 1 0 0 0 1 0 0 0 0 0 1 0 1 0 0 0 0 \n    1 1 0 1 1 0 0 1 1 1 1 0 1 1 1 0 0 0 1]\n[0 0 0 0 0 0 0 0 0 0 0 0 0 0 0 0 0 0 0 0 0 0 0 0 0 0 0 0 0 0 0 0 0 0 0 0 0 0 1 0\n    0 0 0 0 0 0 0 0 0 1 0 0 1 1 0 1 0 1 1 0 1 0 1 1 0 1 1 0 1 1 1 1 0 0 0 0 0 0 \n    0 1 0 1 0 0 0 1 0 0 0 1 0 0 0 1 0 0 0]\n[0 0 0 0 0 0 0 0 0 0 0 0 0 0 0 0 0 0 0 0 0 0 0 0 0 0 0 0 0 0 0 0 0 0 0 0 0 0 0 1\n    0 0 0 0 0 0 0 0 0 0 1 0 1 1 0 1 1 0 1 0 1 0 0 1 1 0 0 1 1 1 1 0 0 1 1 1 0 1 \n    0 0 1 0 1 1 1 1 0 0 1 1 0 1 0 0 0 1 0]\n[0 0 0 0 0 0 0 0 0 0 0 0 0 0 0 0 0 0 0 0 0 0 0 0 0 0 0 0 0 0 0 0 0 0 0 0 0 0 0 0\n    1 0 0 0 0 0 0 0 0 0 0 0 1 0 1 1 1 1 1 1 0 0 0 0 1 0 1 1 0 1 0 1 0 0 1 0 0 1 \n    1 0 0 1 1 1 1 1 0 1 0 1 1 1 1 1 0 1 1]\n[0 0 0 0 0 0 0 0 0 0 0 0 0 0 0 0 0 0 0 0 0 0 0 0 0 0 0 0 0 0 0 0 0 0 0 0 0 0 0 0\n    0 1 0 0 0 0 0 0 0 1 0 0 1 0 1 1 0 0 1 0 0 0 0 1 0 1 0 0 0 1 1 0 1 1 0 1 1 0 \n    1 1 1 1 1 1 0 1 0 0 1 1 0 0 0 0 0 0 1]\n[0 0 0 0 0 0 0 0 0 0 0 0 0 0 0 0 0 0 0 0 0 0 0 0 0 0 0 0 0 0 0 0 0 0 0 0 0 0 0 0\n    0 0 1 0 0 0 0 0 0 1 1 0 1 0 1 1 0 1 0 0 1 0 0 1 1 0 1 1 1 1 1 1 0 0 1 0 0 1 \n    0 1 0 0 1 1 0 0 0 0 0 0 0 1 1 1 1 0 0]\n[0 0 0 0 0 0 0 0 0 0 0 0 0 0 0 0 0 0 0 0 0 0 0 0 0 0 0 0 0 0 0 0 0 0 0 0 0 0 0 0\n    0 0 0 1 0 0 0 0 0 0 1 0 1 0 0 0 1 0 0 0 0 0 0 0 1 0 1 0 0 1 0 1 1 0 0 0 1 1 \n    1 0 1 0 1 1 1 0 1 1 0 0 0 1 1 0 1 0 0]\n[0 0 0 0 0 0 0 0 0 0 0 0 0 0 0 0 0 0 0 0 0 0 0 0 0 0 0 0 0 0 0 0 0 0 0 0 0 0 0 0\n    0 0 0 0 1 0 0 0 0 0 0 0 1 0 0 1 0 1 1 0 0 1 0 0 0 0 1 0 1 0 0 0 1 1 0 1 1 0 \n    1 1 0 1 1 1 1 1 1 0 1 0 0 1 1 0 0 0 0]\n[0 0 0 0 0 0 0 0 0 0 0 0 0 0 0 0 0 0 0 0 0 0 0 0 0 0 0 0 0 0 0 0 0 0 0 0 0 0 0 0\n    0 0 0 0 0 1 0 0 0 0 0 0 0 1 0 0 1 0 1 1 0 0 1 0 0 0 0 1 0 1 0 0 0 1 1 0 1 1 \n    0 1 1 0 1 1 1 1 1 1 0 1 0 0 1 1 0 0 0]\n[0 0 0 0 0 0 0 0 0 0 0 0 0 0 0 0 0 0 0 0 0 0 0 0 0 0 0 0 0 0 0 0 0 0 0 0 0 0 0 0\n    0 0 0 0 0 0 1 0 0 0 0 0 0 0 1 0 0 1 0 1 1 0 0 1 0 0 0 0 1 0 1 0 0 0 1 1 0 1 \n    1 0 1 1 0 1 1 1 1 1 1 0 1 0 0 1 1 0 0]\n[0 0 0 0 0 0 0 0 0 0 0 0 0 0 0 0 0 0 0 0 0 0 0 0 0 0 0 0 0 0 0 0 0 0 0 0 0 0 0 0\n    0 0 0 0 0 0 0 1 0 0 0 0 0 0 0 1 0 0 1 0 1 1 0 0 1 0 0 0 0 1 0 1 0 0 0 1 1 0 \n    1 1 0 1 1 0 1 1 1 1 1 1 0 1 0 0 1 1 0]\n[0 0 0 0 0 0 0 0 0 0 0 0 0 0 0 0 0 0 0 0 0 0 0 0 0 0 0 0 0 0 0 0 0 0 0 0 0 0 0 0\n    0 0 0 0 0 0 0 0 1 0 0 0 1 0 1 1 1 0 0 0 1 0 1 0 0 1 1 0 1 0 1 1 0 1 1 1 1 0 \n    0 1 1 0 1 0 1 0 0 1 0 0 0 1 1 0 1 0 1]\n[0 0 0 0 0 0 0 0 0 0 0 0 0 0 0 0 0 0 0 0 0 0 0 0 0 0 0 0 0 0 0 0 0 0 0 0 0 0 0 0\n    0 0 0 0 0 0 0 0 0 0 0 1 0 1 1 0 0 0 1 1 1 0 0 0 0 1 0 1 0 0 1 1 1 1 1 0 1 0 \n    0 0 0 0 1 1 1 1 0 1 1 1 1 0 0 1 1 0 0]\nLinear Code over GF(2) of length 97 with 50 generators.\nLower Bound: 1, Upper Bound: 48\nConstructed 2 distinct generator matrices\nRelative Ranks:  50  47 \nTime Taken: 0.00\nStarting search for low weight codewords... (reset timings)\nEnumerating using 1 generator at a time:\n     New codeword identified of weight 25, time 0.00\n     New codeword identified of weight 21, time 0.00\n     New codeword identified of weight 18, time 0.00\n   Completed Matrix  1:  lower =  2, upper = 18. Elapsed: 0.00s\n     New codeword identified of weight 17, time 0.00\n   Completed Matrix  2:  lower =  2, upper = 17. Elapsed: 0.00s\nTermination predicted with 9 generators at matrix 2\nEnumerating using 2 generators at a time:\n     New codeword identified of weight 16, time 0.00\n   Completed Matrix  1:  lower =  3, upper = 16. Elapsed: 0.00s\n   Completed Matrix  2:  lower =  3, upper = 16. Elapsed: 0.00s\nTermination predicted with 9 generators at matrix 1\nEnumerating using 3 generators at a time:\n     New codeword identified of weight 15, time 0.00\n   Completed Matrix  1:  lower =  4, upper = 15. Elapsed: 0.00s\n   Completed Matrix  2:  lower =  5, upper = 15. Elapsed: 0.00s\nTermination predicted with 8 generators at matrix 2\nEnumerating using 4 generators at a time:\n   Completed Matrix  1:  lower =  6, upper = 15. Elapsed: 0.00s\n   Completed Matrix  2:  lower =  7, upper = 15. Elapsed: 0.00s\nTermination predicted with 8 generators at matrix 2\nEnumerating using 5 generators at a time:\n   Completed Matrix  1:  lower =  8, upper = 15. Elapsed: 0.01s\n   Completed Matrix  2:  lower =  9, upper = 15. Elapsed: 0.01s\nTermination predicted with 8 generators at matrix 2\nEnumerating using 6 generators at a time:\n   Completed Matrix  1:  lower = 10, upper = 15. Elapsed: 0.04s\n   Completed Matrix  2:  lower = 11, upper = 15. Elapsed: 0.07s\nTermination predicted with 8 generators at matrix 2\nEnumerating using 7 generators at a time:\n   Completed Matrix  1:  lower = 12, upper = 15. Elapsed: 0.27s\n   Completed Matrix  2:  lower = 13, upper = 15. Elapsed: 0.47s\nTermination predicted at 3 s with 8 generators at matrix 2\nEnumerating using 8 generators at a time:\n   Completed Matrix  1:  lower = 14, upper = 15. Elapsed: 1.59s\n   Completed Matrix  2:  lower = 15, upper = 15. Elapsed: 2.72s\nComputation complete 1310047370 vectors enumerated in total\n (0.000116% of 97 50 code)\nFinal Results: lower = 15, upper = 15,\nTotal CPU time: 2.72, real time: 2.721\n15\n\nTotal time: 2.740 seconds, Total memory usage: 32.09MB\n</t>
  </si>
  <si>
    <t>[[98,51,15]]</t>
  </si>
  <si>
    <t>Magma V2.28-26    Tue Dec 30 2025 10:36:50 on Marks-MacBook-Air-2 [Seed = \n2067904992]\nType ? for help.  Type &lt;Ctrl&gt;-D to quit.\n[0 0 0 1 1 1 0 0 0 0 1 0 1 0 0 1 1 1 1 1 0 1 0 0 0 0 0 1 1 1 1 0 1 1 1 1 0 0 1 1\n    0 0 0 0 1 0 1 1 0 0 0 0 0 0 0 0 0 0 0 0 0 0 0 0 0 0 0 0 0 0 0 0 0 0 0 0 0 0 \n    0 0 0 0 0 0 0 0 0 0 0 0 0 0 0 0 0 0 0 0]\n[1 0 0 1 0 0 1 0 0 0 1 1 1 1 0 1 0 0 0 0 1 1 1 0 0 0 0 1 0 0 0 1 1 0 0 0 1 0 1 0\n    1 0 0 0 1 1 1 0 1 0 0 0 0 0 0 0 0 0 0 0 0 0 0 0 0 0 0 0 0 0 0 0 0 0 0 0 0 0 \n    0 0 0 0 0 0 0 0 0 0 0 0 0 0 0 0 0 0 0 0]\n[0 1 0 1 0 1 0 1 0 0 1 1 0 1 1 1 0 1 1 1 0 0 1 1 0 0 0 1 0 1 1 0 0 0 1 1 0 1 1 0\n    0 1 0 0 1 1 0 0 0 1 0 0 0 0 0 0 0 0 0 0 0 0 0 0 0 0 0 0 0 0 0 0 0 0 0 0 0 0 \n    0 0 0 0 0 0 0 0 0 0 0 0 0 0 0 0 0 0 0 0]\n[0 0 1 0 1 0 1 0 1 0 0 1 1 0 1 1 1 0 1 1 1 0 0 1 1 0 0 0 1 0 1 1 0 0 0 1 1 0 1 1\n    0 0 1 0 0 1 1 0 0 0 1 0 0 0 0 0 0 0 0 0 0 0 0 0 0 0 0 0 0 0 0 0 0 0 0 0 0 0 \n    0 0 0 0 0 0 0 0 0 0 0 0 0 0 0 0 0 0 0 0]\n[0 0 0 0 1 0 0 1 0 1 1 0 0 1 0 0 0 0 1 0 1 0 0 0 1 1 0 1 1 0 1 1 0 1 1 1 1 1 1 0\n    1 0 0 1 1 0 0 0 0 0 0 1 0 0 0 0 0 0 0 0 0 0 0 0 0 0 0 0 0 0 0 0 0 0 0 0 0 0 \n    0 0 0 0 0 0 0 0 0 0 0 0 0 0 0 0 0 0 0 0]\n[0 0 0 0 0 1 0 0 1 0 1 1 0 0 1 0 0 0 0 1 0 1 0 0 0 1 1 0 1 1 0 1 1 0 1 1 1 1 1 1\n    0 1 0 0 1 1 0 0 0 0 0 0 1 0 0 0 0 0 0 0 0 0 0 0 0 0 0 0 0 0 0 0 0 0 0 0 0 0 \n    0 0 0 0 0 0 0 0 0 0 0 0 0 0 0 0 0 0 0 0]\n[0 0 0 0 0 0 1 0 0 1 0 1 1 0 0 1 0 0 0 0 1 0 1 0 0 0 1 1 0 1 1 0 1 1 0 1 1 1 1 1\n    1 0 1 0 0 1 1 0 0 0 0 0 0 1 0 0 0 0 0 0 0 0 0 0 0 0 0 0 0 0 0 0 0 0 0 0 0 0 \n    0 0 0 0 0 0 0 0 0 0 0 0 0 0 0 0 0 0 0 0]\n[0 0 0 1 1 1 0 1 0 0 0 0 0 1 0 1 0 1 1 1 0 0 0 1 0 0 0 0 0 1 0 1 1 0 0 1 1 1 0 0\n    1 1 0 1 1 0 0 0 0 0 0 0 0 0 1 0 0 0 0 0 0 0 0 0 0 0 0 0 0 0 0 0 0 0 0 0 0 0 \n    0 0 0 0 0 0 0 0 0 0 0 0 0 0 0 0 0 0 0 0]\n[0 0 0 0 1 1 1 0 1 0 0 0 0 0 1 0 1 0 1 1 1 0 0 0 1 0 0 0 0 0 1 0 1 1 0 0 1 1 1 0\n    0 1 1 0 1 1 0 0 0 0 0 0 0 0 0 1 0 0 0 0 0 0 0 0 0 0 0 0 0 0 0 0 0 0 0 0 0 0 \n    0 0 0 0 0 0 0 0 0 0 0 0 0 0 0 0 0 0 0 0]\n[1 0 0 0 0 1 1 1 0 1 0 0 0 0 0 1 0 1 0 1 1 1 0 0 0 1 0 0 0 0 0 1 0 1 1 0 0 1 1 1\n    0 0 1 1 0 1 1 0 0 0 0 0 0 0 0 0 1 0 0 0 0 0 0 0 0 0 0 0 0 0 0 0 0 0 0 0 0 0 \n    0 0 0 0 0 0 0 0 0 0 0 0 0 0 0 0 0 0 0 0]\n[0 1 0 1 1 1 1 1 1 0 0 0 1 0 0 1 0 1 0 1 1 0 1 0 0 0 1 1 1 1 1 0 0 1 0 0 0 0 0 0\n    1 0 0 1 0 0 0 0 0 0 0 0 0 0 0 0 0 1 0 0 0 0 0 0 0 0 0 0 0 0 0 0 0 0 0 0 0 0 \n    0 0 0 0 0 0 0 0 0 0 0 0 0 0 0 0 0 0 0 0]\n[0 0 1 0 1 1 1 1 1 1 0 0 0 1 0 0 1 0 1 0 1 1 0 1 0 0 0 1 1 1 1 1 0 0 1 0 0 0 0 0\n    0 1 0 0 1 0 0 0 0 0 0 0 0 0 0 0 0 0 1 0 0 0 0 0 0 0 0 0 0 0 0 0 0 0 0 0 0 0 \n    0 0 0 0 0 0 0 0 0 0 0 0 0 0 0 0 0 0 0 0]\n[1 0 0 1 0 1 1 1 1 1 1 0 0 0 1 0 0 1 0 1 0 1 1 0 1 0 0 0 1 1 1 1 1 0 0 1 0 0 0 0\n    0 0 1 0 0 1 0 0 0 0 0 0 0 0 0 0 0 0 0 1 0 0 0 0 0 0 0 0 0 0 0 0 0 0 0 0 0 0 \n    0 0 0 0 0 0 0 0 0 0 0 0 0 0 0 0 0 0 0 0]\n[0 1 0 0 1 0 1 1 1 1 1 1 0 0 0 1 0 0 1 0 1 0 1 1 0 1 0 0 0 1 1 1 1 1 0 0 1 0 0 0\n    0 0 0 1 0 0 1 0 0 0 0 0 0 0 0 0 0 0 0 0 1 0 0 0 0 0 0 0 0 0 0 0 0 0 0 0 0 0 \n    0 0 0 0 0 0 0 0 0 0 0 0 0 0 0 0 0 0 0 0]\n[1 0 1 1 1 0 0 1 1 1 0 1 0 0 0 1 0 1 1 0 0 0 0 1 1 0 1 1 1 1 0 1 0 0 0 1 0 1 1 1\n    0 0 0 0 0 0 1 0 0 0 0 0 0 0 0 0 0 0 0 0 0 1 0 0 0 0 0 0 0 0 0 0 0 0 0 0 0 0 \n    0 0 0 0 0 0 0 0 0 0 0 0 0 0 0 0 0 0 0 0]\n[1 1 0 0 0 0 0 0 1 1 0 0 0 0 0 1 0 1 0 0 0 1 0 0 1 1 0 0 0 0 0 0 0 1 1 1 1 0 0 0\n    1 0 0 0 1 0 1 0 0 0 0 0 0 0 0 0 0 0 0 0 0 0 1 0 0 0 0 0 0 0 0 0 0 0 0 0 0 0 \n    0 0 0 0 0 0 0 0 0 0 0 0 0 0 0 0 0 0 0 0]\n[0 1 1 1 1 1 0 0 0 1 0 0 1 0 0 1 0 1 0 1 0 1 1 0 0 1 1 1 1 1 1 0 1 1 0 0 1 1 1 1\n    0 1 0 0 1 1 1 0 0 0 0 0 0 0 0 0 0 0 0 0 0 0 0 1 0 0 0 0 0 0 0 0 0 0 0 0 0 0 \n    0 0 0 0 0 0 0 0 0 0 0 0 0 0 0 0 0 0 0 0]\n[0 0 1 0 0 0 1 0 0 0 0 0 1 1 0 1 0 1 0 1 1 1 1 1 0 0 1 0 0 0 0 1 1 0 0 1 0 1 0 0\n    1 0 1 0 1 1 0 0 0 0 0 0 0 0 0 0 0 0 0 0 0 0 0 0 1 0 0 0 0 0 0 0 0 0 0 0 0 0 \n    0 0 0 0 0 0 0 0 0 0 0 0 0 0 0 0 0 0 0 0]\n[1 0 0 1 0 0 0 1 0 0 0 0 0 1 1 0 1 0 1 0 1 1 1 1 1 0 0 1 0 0 0 0 1 1 0 0 1 0 1 0\n    0 1 0 1 0 1 1 0 0 0 0 0 0 0 0 0 0 0 0 0 0 0 0 0 0 1 0 0 0 0 0 0 0 0 0 0 0 0 \n    0 0 0 0 0 0 0 0 0 0 0 0 0 0 0 0 0 0 0 0]\n[0 1 0 1 0 1 0 0 1 0 1 0 1 0 1 0 1 0 1 0 0 0 1 1 1 1 0 1 0 1 1 0 1 0 0 1 0 1 1 0\n    0 0 1 0 0 0 0 0 0 0 0 0 0 0 0 0 0 0 0 0 0 0 0 0 0 0 1 0 0 0 0 0 0 0 0 0 0 0 \n    0 0 0 0 0 0 0 0 0 0 0 0 0 0 0 0 0 0 0 0]\n[0 0 1 0 1 0 1 0 0 1 0 1 0 1 0 1 0 1 0 1 0 0 0 1 1 1 1 0 1 0 1 1 0 1 0 0 1 0 1 1\n    0 0 0 1 0 0 0 0 0 0 0 0 0 0 0 0 0 0 0 0 0 0 0 0 0 0 0 1 0 0 0 0 0 0 0 0 0 0 \n    0 0 0 0 0 0 0 0 0 0 0 0 0 0 0 0 0 0 0 0]\n[0 0 0 1 0 1 0 1 0 0 1 0 1 0 1 0 1 0 1 0 1 0 0 0 1 1 1 1 0 1 0 1 1 0 1 0 0 1 0 1\n    1 0 0 0 1 0 0 0 0 0 0 0 0 0 0 0 0 0 0 0 0 0 0 0 0 0 0 0 1 0 0 0 0 0 0 0 0 0 \n    0 0 0 0 0 0 0 0 0 0 0 0 0 0 0 0 0 0 0 0]\n[0 0 0 0 1 0 1 0 1 0 0 1 0 1 0 1 0 1 0 1 0 1 0 0 0 1 1 1 1 0 1 0 1 1 0 1 0 0 1 0\n    1 1 0 0 0 1 0 0 0 0 0 0 0 0 0 0 0 0 0 0 0 0 0 0 0 0 0 0 0 1 0 0 0 0 0 0 0 0 \n    0 0 0 0 0 0 0 0 0 0 0 0 0 0 0 0 0 0 0 0]\n[1 0 0 0 0 1 0 1 0 1 0 0 1 0 1 0 1 0 1 0 1 0 1 0 0 0 1 1 1 1 0 1 0 1 1 0 1 0 0 1\n    0 1 1 0 0 0 1 0 0 0 0 0 0 0 0 0 0 0 0 0 0 0 0 0 0 0 0 0 0 0 1 0 0 0 0 0 0 0 \n    0 0 0 0 0 0 0 0 0 0 0 0 0 0 0 0 0 0 0 0]\n[0 1 0 1 1 1 1 0 1 0 0 0 1 1 0 0 1 0 1 0 0 0 0 1 0 0 0 0 0 0 0 0 0 1 0 0 0 1 1 1\n    1 0 1 1 1 0 1 0 0 0 0 0 0 0 0 0 0 0 0 0 0 0 0 0 0 0 0 0 0 0 0 1 0 0 0 0 0 0 \n    0 0 0 0 0 0 0 0 0 0 0 0 0 0 0 0 0 0 0 0]\n[1 0 1 1 0 0 1 1 0 1 1 0 1 1 1 1 1 0 1 0 0 1 0 0 1 0 0 1 1 1 1 0 1 1 0 1 0 0 0 0\n    1 1 0 1 0 1 1 0 0 0 0 0 0 0 0 0 0 0 0 0 0 0 0 0 0 0 0 0 0 0 0 0 1 0 0 0 0 0 \n    0 0 0 0 0 0 0 0 0 0 0 0 0 0 0 0 0 0 0 0]\n[0 1 0 0 0 1 0 1 1 0 0 1 1 1 1 0 0 0 1 0 0 1 1 0 0 1 0 1 0 0 0 1 1 0 0 1 1 0 1 1\n    0 1 1 0 0 0 0 0 0 0 0 0 0 0 0 0 0 0 0 0 0 0 0 0 0 0 0 0 0 0 0 0 0 1 0 0 0 0 \n    0 0 0 0 0 0 0 0 0 0 0 0 0 0 0 0 0 0 0 0]\n[0 0 1 0 0 0 1 0 1 1 0 0 1 1 1 1 0 0 0 1 0 0 1 1 0 0 1 0 1 0 0 0 1 1 0 0 1 1 0 1\n    1 0 1 1 0 0 0 0 0 0 0 0 0 0 0 0 0 0 0 0 0 0 0 0 0 0 0 0 0 0 0 0 0 0 1 0 0 0 \n    0 0 0 0 0 0 0 0 0 0 0 0 0 0 0 0 0 0 0 0]\n[0 0 0 1 0 0 0 1 0 1 1 0 0 1 1 1 1 0 0 0 1 0 0 1 1 0 0 1 0 1 0 0 0 1 1 0 0 1 1 0\n    1 1 0 1 1 0 0 0 0 0 0 0 0 0 0 0 0 0 0 0 0 0 0 0 0 0 0 0 0 0 0 0 0 0 0 1 0 0 \n    0 0 0 0 0 0 0 0 0 0 0 0 0 0 0 0 0 0 0 0]\n[1 0 0 0 1 0 0 0 1 0 1 1 0 0 1 1 1 1 0 0 0 1 0 0 1 1 0 0 1 0 1 0 0 0 1 1 0 0 1 1\n    0 1 1 0 1 1 0 0 0 0 0 0 0 0 0 0 0 0 0 0 0 0 0 0 0 0 0 0 0 0 0 0 0 0 0 0 1 0 \n    0 0 0 0 0 0 0 0 0 0 0 0 0 0 0 0 0 0 0 0]\n[1 1 0 0 0 1 0 0 0 1 0 1 1 0 0 1 1 1 1 0 0 0 1 0 0 1 1 0 0 1 0 1 0 0 0 1 1 0 0 1\n    1 0 1 1 0 1 1 0 0 0 0 0 0 0 0 0 0 0 0 0 0 0 0 0 0 0 0 0 0 0 0 0 0 0 0 0 0 1 \n    0 0 0 0 0 0 0 0 0 0 0 0 0 0 0 0 0 0 0 0]\n[0 1 1 1 1 1 1 0 0 0 0 0 0 1 0 1 0 0 0 0 0 1 0 1 0 0 1 0 1 1 0 0 0 1 1 1 1 1 1 1\n    1 1 0 1 0 0 0 0 0 0 0 0 0 0 0 0 0 0 0 0 0 0 0 0 0 0 0 0 0 0 0 0 0 0 0 0 0 0 \n    1 0 0 0 0 0 0 0 0 0 0 0 0 0 0 0 0 0 0 0]\n[1 0 1 1 1 1 1 1 0 0 0 0 0 0 1 0 1 0 0 0 0 0 1 0 1 0 0 1 0 1 1 0 0 0 1 1 1 1 1 1\n    1 1 1 0 1 0 0 0 0 0 0 0 0 0 0 0 0 0 0 0 0 0 0 0 0 0 0 0 0 0 0 0 0 0 0 0 0 0 \n    0 1 0 0 0 0 0 0 0 0 0 0 0 0 0 0 0 0 0 0]\n[1 1 0 1 1 1 1 1 1 0 0 0 0 0 0 1 0 1 0 0 0 0 0 1 0 1 0 0 1 0 1 1 0 0 0 1 1 1 1 1\n    1 1 1 1 0 1 0 0 0 0 0 0 0 0 0 0 0 0 0 0 0 0 0 0 0 0 0 0 0 0 0 0 0 0 0 0 0 0 \n    0 0 1 0 0 0 0 0 0 0 0 0 0 0 0 0 0 0 0 0]\n[0 1 1 0 1 1 1 1 1 1 0 0 0 0 0 0 1 0 1 0 0 0 0 0 1 0 1 0 0 1 0 1 1 0 0 0 1 1 1 1\n    1 1 1 1 1 0 1 0 0 0 0 0 0 0 0 0 0 0 0 0 0 0 0 0 0 0 0 0 0 0 0 0 0 0 0 0 0 0 \n    0 0 0 1 0 0 0 0 0 0 0 0 0 0 0 0 0 0 0 0]\n[1 0 1 0 1 0 1 1 1 1 0 0 1 0 0 1 1 0 1 0 0 1 0 0 0 1 0 0 1 1 0 0 0 0 1 1 0 1 0 0\n    1 1 1 1 0 1 1 0 0 0 0 0 0 0 0 0 0 0 0 0 0 0 0 0 0 0 0 0 0 0 0 0 0 0 0 0 0 0 \n    0 0 0 0 1 0 0 0 0 0 0 0 0 0 0 0 0 0 0 0]\n[1 1 0 0 1 0 0 1 1 1 0 0 1 1 0 1 0 0 1 0 0 1 1 0 0 0 1 1 1 0 0 0 1 1 1 0 1 0 0 1\n    0 1 1 1 0 0 0 0 0 0 0 0 0 0 0 0 0 0 0 0 0 0 0 0 0 0 0 0 0 0 0 0 0 0 0 0 0 0 \n    0 0 0 0 0 1 0 0 0 0 0 0 0 0 0 0 0 0 0 0]\n[0 1 1 0 0 1 0 0 1 1 1 0 0 1 1 0 1 0 0 1 0 0 1 1 0 0 0 1 1 1 0 0 0 1 1 1 0 1 0 0\n    1 0 1 1 1 0 0 0 0 0 0 0 0 0 0 0 0 0 0 0 0 0 0 0 0 0 0 0 0 0 0 0 0 0 0 0 0 0 \n    0 0 0 0 0 0 1 0 0 0 0 0 0 0 0 0 0 0 0 0]\n[1 0 1 1 0 0 1 0 0 1 1 1 0 0 1 1 0 1 0 0 1 0 0 1 1 0 0 0 1 1 1 0 0 0 1 1 1 0 1 0\n    0 1 0 1 1 1 0 0 0 0 0 0 0 0 0 0 0 0 0 0 0 0 0 0 0 0 0 0 0 0 0 0 0 0 0 0 0 0 \n    0 0 0 0 0 0 0 1 0 0 0 0 0 0 0 0 0 0 0 0]\n[1 1 0 1 1 0 0 1 0 0 1 1 1 0 0 1 1 0 1 0 0 1 0 0 1 1 0 0 0 1 1 1 0 0 0 1 1 1 0 1\n    0 0 1 0 1 1 1 0 0 0 0 0 0 0 0 0 0 0 0 0 0 0 0 0 0 0 0 0 0 0 0 0 0 0 0 0 0 0 \n    0 0 0 0 0 0 0 0 1 0 0 0 0 0 0 0 0 0 0 0]\n[1 1 1 1 0 0 0 0 1 0 1 1 0 1 0 1 0 0 1 0 0 1 1 0 0 1 1 1 1 1 0 1 0 1 1 1 1 1 0 1\n    1 0 0 1 1 1 0 0 0 0 0 0 0 0 0 0 0 0 0 0 0 0 0 0 0 0 0 0 0 0 0 0 0 0 0 0 0 0 \n    0 0 0 0 0 0 0 0 0 1 0 0 0 0 0 0 0 0 0 0]\n[1 1 1 1 1 0 0 0 0 1 0 1 1 0 1 0 1 0 0 1 0 0 1 1 0 0 1 1 1 1 1 0 1 0 1 1 1 1 1 0\n    1 1 0 0 1 1 1 0 0 0 0 0 0 0 0 0 0 0 0 0 0 0 0 0 0 0 0 0 0 0 0 0 0 0 0 0 0 0 \n    0 0 0 0 0 0 0 0 0 0 1 0 0 0 0 0 0 0 0 0]\n[1 1 1 0 0 0 0 0 0 0 0 0 0 1 0 0 1 0 1 1 1 1 0 1 1 0 0 0 0 0 0 1 1 0 1 0 1 1 0 0\n    0 1 1 0 1 1 0 0 0 0 0 0 0 0 0 0 0 0 0 0 0 0 0 0 0 0 0 0 0 0 0 0 0 0 0 0 0 0 \n    0 0 0 0 0 0 0 0 0 0 0 1 0 0 0 0 0 0 0 0]\n[1 1 1 1 0 0 0 0 0 0 0 0 0 0 1 0 0 1 0 1 1 1 1 0 1 1 0 0 0 0 0 0 1 1 0 1 0 1 1 0\n    0 0 1 1 0 1 1 0 0 0 0 0 0 0 0 0 0 0 0 0 0 0 0 0 0 0 0 0 0 0 0 0 0 0 0 0 0 0 \n    0 0 0 0 0 0 0 0 0 0 0 0 1 0 0 0 0 0 0 0]\n[0 1 1 0 0 1 0 0 0 0 1 0 1 0 0 0 1 1 0 1 1 0 1 1 0 1 1 1 1 1 1 0 1 0 0 1 1 0 0 0\n    0 0 0 1 0 0 0 0 0 0 0 0 0 0 0 0 0 0 0 0 0 0 0 0 0 0 0 0 0 0 0 0 0 0 0 0 0 0 \n    0 0 0 0 0 0 0 0 0 0 0 0 0 1 0 0 0 0 0 0]\n[1 0 1 1 0 0 1 0 0 0 0 1 0 1 0 0 0 1 1 0 1 1 0 1 1 0 1 1 1 1 1 1 0 1 0 0 1 1 0 0\n    0 0 0 0 1 0 0 0 0 0 0 0 0 0 0 0 0 0 0 0 0 0 0 0 0 0 0 0 0 0 0 0 0 0 0 0 0 0 \n    0 0 0 0 0 0 0 0 0 0 0 0 0 0 1 0 0 0 0 0]\n[0 1 0 1 1 0 0 1 0 0 0 0 1 0 1 0 0 0 1 1 0 1 1 0 1 1 0 1 1 1 1 1 1 0 1 0 0 1 1 0\n    0 0 0 0 0 1 0 0 0 0 0 0 0 0 0 0 0 0 0 0 0 0 0 0 0 0 0 0 0 0 0 0 0 0 0 0 0 0 \n    0 0 0 0 0 0 0 0 0 0 0 0 0 0 0 1 0 0 0 0]\n[0 0 1 0 1 1 0 0 1 0 0 0 0 1 0 1 0 0 0 1 1 0 1 1 0 1 1 0 1 1 1 1 1 1 0 1 0 0 1 1\n    0 0 0 0 0 0 1 0 0 0 0 0 0 0 0 0 0 0 0 0 0 0 0 0 0 0 0 0 0 0 0 0 0 0 0 0 0 0 \n    0 0 0 0 0 0 0 0 0 0 0 0 0 0 0 0 1 0 0 0]\n[1 0 0 0 1 0 1 0 0 1 1 0 1 0 1 1 0 1 1 1 1 0 0 1 1 0 1 0 1 0 0 1 0 0 0 1 1 0 1 0\n    1 0 0 0 1 0 1 0 0 0 0 0 0 0 0 0 0 0 0 0 0 0 0 0 0 0 0 0 0 0 0 0 0 0 0 0 0 0 \n    0 0 0 0 0 0 0 0 0 0 0 0 0 0 0 0 0 1 0 0]\n[1 1 0 1 1 0 0 1 0 0 0 1 1 1 0 0 0 1 0 0 1 0 0 0 1 1 0 0 1 0 1 0 0 1 1 1 1 1 1 0\n    0 1 0 0 1 1 1 0 0 0 0 0 0 0 0 0 0 0 0 0 0 0 0 0 0 0 0 0 0 0 0 0 0 0 0 0 0 0 \n    0 0 0 0 0 0 0 0 0 0 0 0 0 0 0 0 0 0 1 0]\n[0 1 1 1 0 0 0 0 1 0 1 0 0 1 1 1 1 1 0 1 0 0 0 0 0 1 1 1 1 0 1 1 1 1 0 0 1 1 0 0\n    0 0 1 0 1 1 0 0 0 0 0 0 0 0 0 0 0 0 0 0 0 0 0 0 0 0 0 0 0 0 0 0 0 0 0 0 0 0 \n    0 0 0 0 0 0 0 0 0 0 0 0 0 0 0 0 0 0 0 1]\n[98, 51] Linear Code over GF(2)\nGenerator matrix:\n[1 0 0 0 0 0 0 0 0 0 0 0 0 0 0 0 0 0 0 0 0 0 0 0 0 0 0 0 0 0 0 0 0 0 0 0 0 0 0 0\n    0 0 0 0 0 0 0 0 0 0 0 0 1 0 1 1 0 0 0 1 1 1 0 0 0 0 1 0 1 0 0 1 1 1 1 1 0 1 \n    0 0 0 0 0 1 1 1 1 0 1 1 1 1 0 0 1 1 0 0]\n[0 1 0 0 0 0 0 0 0 0 0 0 0 0 0 0 0 0 0 0 0 0 0 0 0 0 0 0 0 0 0 0 0 0 0 0 0 0 0 0\n    0 0 0 0 0 0 0 0 0 0 0 0 1 1 1 0 1 0 0 1 0 0 1 0 0 0 1 1 1 1 0 1 0 0 0 0 1 1 \n    1 0 0 0 0 1 0 0 0 1 1 0 0 0 1 0 1 0 1 0]\n[0 0 1 0 0 0 0 0 0 0 0 0 0 0 0 0 0 0 0 0 0 0 0 0 0 0 0 0 0 0 0 0 0 0 0 0 0 0 0 0\n    0 0 0 0 0 0 0 0 0 0 0 0 1 1 0 0 0 1 0 1 0 1 0 1 0 0 1 1 0 1 1 1 0 1 1 1 0 0 \n    1 1 0 0 0 1 0 1 1 0 0 0 1 1 0 1 1 0 0 1]\n[0 0 0 1 0 0 0 0 0 0 0 0 0 0 0 0 0 0 0 0 0 0 0 0 0 0 0 0 0 0 0 0 0 0 0 0 0 0 0 0\n    0 0 0 0 0 0 0 0 0 0 1 0 1 0 1 0 0 1 0 1 1 0 1 0 0 0 1 1 1 1 0 0 0 1 1 0 1 0 \n    0 1 1 1 1 1 0 0 0 0 1 1 0 1 0 1 1 1 0 0]\n[0 0 0 0 1 0 0 0 0 0 0 0 0 0 0 0 0 0 0 0 0 0 0 0 0 0 0 0 0 0 0 0 0 0 0 0 0 0 0 0\n    0 0 0 0 0 0 0 0 0 0 0 0 1 0 0 0 0 0 0 0 1 0 0 1 0 1 1 0 0 1 0 0 0 0 1 0 1 0 \n    0 0 1 1 0 1 1 0 1 1 0 1 1 1 1 1 1 0 1 0]\n[0 0 0 0 0 1 0 0 0 0 0 0 0 0 0 0 0 0 0 0 0 0 0 0 0 0 0 0 0 0 0 0 0 0 0 0 0 0 0 0\n    0 0 0 0 0 0 0 0 0 0 0 0 0 1 0 0 0 0 0 0 0 1 0 0 1 0 1 1 0 0 1 0 0 0 0 1 0 1 \n    0 0 0 1 1 0 1 1 0 1 1 0 1 1 1 1 1 1 0 1]\n[0 0 0 0 0 0 1 0 0 0 0 0 0 0 0 0 0 0 0 0 0 0 0 0 0 0 0 0 0 0 0 0 0 0 0 0 0 0 0 0\n    0 0 0 0 0 0 0 0 0 0 1 0 1 1 1 0 0 1 1 1 0 0 1 0 1 1 1 1 1 1 1 0 1 1 0 1 1 0 \n    1 0 0 1 0 0 1 1 0 1 0 0 0 1 0 0 1 1 1 0]\n[0 0 0 0 0 0 0 1 0 0 0 0 0 0 0 0 0 0 0 0 0 0 0 0 0 0 0 0 0 0 0 0 0 0 0 0 0 0 0 0\n    0 0 0 0 0 0 0 0 0 0 0 0 1 0 1 0 0 0 0 1 1 1 0 1 0 0 0 0 0 1 0 1 0 1 1 1 0 0 \n    0 1 0 0 0 0 0 1 0 1 1 0 0 1 1 1 0 0 1 1]\n[0 0 0 0 0 0 0 0 1 0 0 0 0 0 0 0 0 0 0 0 0 0 0 0 0 0 0 0 0 0 0 0 0 0 0 0 0 0 0 0\n    0 0 0 0 0 0 0 0 0 0 1 0 1 0 0 1 0 1 1 1 1 1 1 0 0 0 1 0 0 1 0 1 0 1 1 0 1 0 \n    0 0 1 1 1 1 1 0 0 1 0 0 0 0 0 0 1 0 0 1]\n[0 0 0 0 0 0 0 0 0 1 0 0 0 0 0 0 0 0 0 0 0 0 0 0 0 0 0 0 0 0 0 0 0 0 0 0 0 0 0 0\n    0 0 0 0 0 0 0 0 0 0 1 0 1 1 1 0 1 1 1 1 0 1 1 1 1 1 1 0 0 1 1 0 1 0 0 0 1 1 \n    0 0 0 0 1 1 1 0 1 0 1 0 1 0 1 0 1 1 0 0]\n[0 0 0 0 0 0 0 0 0 0 1 0 0 0 0 0 0 0 0 0 0 0 0 0 0 0 0 0 0 0 0 0 0 0 0 0 0 0 0 0\n    0 0 0 0 0 0 0 0 0 0 0 0 1 0 1 0 0 1 0 1 1 1 1 1 1 0 0 0 1 0 0 1 0 1 0 1 1 0 \n    1 0 0 0 1 1 1 1 1 0 0 1 0 0 0 0 0 0 1 0]\n[0 0 0 0 0 0 0 0 0 0 0 1 0 0 0 0 0 0 0 0 0 0 0 0 0 0 0 0 0 0 0 0 0 0 0 0 0 0 0 0\n    0 0 0 0 0 0 0 0 0 0 0 0 0 1 0 1 0 0 1 0 1 1 1 1 1 1 0 0 0 1 0 0 1 0 1 0 1 1 \n    0 1 0 0 0 1 1 1 1 1 0 0 1 0 0 0 0 0 0 1]\n[0 0 0 0 0 0 0 0 0 0 0 0 1 0 0 0 0 0 0 0 0 0 0 0 0 0 0 0 0 0 0 0 0 0 0 0 0 0 0 0\n    0 0 0 0 0 0 0 0 0 0 1 0 1 1 1 0 1 1 1 0 0 1 1 1 0 1 0 0 0 1 0 1 1 0 0 0 0 1 \n    1 0 1 1 1 1 0 1 0 0 0 1 0 1 1 1 0 0 0 0]\n[0 0 0 0 0 0 0 0 0 0 0 0 0 1 0 0 0 0 0 0 0 0 0 0 0 0 0 0 0 0 0 0 0 0 0 0 0 0 0 0\n    0 0 0 0 0 0 0 0 0 0 0 0 0 0 0 1 0 1 0 0 1 0 1 1 1 1 1 1 0 0 0 1 0 0 1 0 1 0 \n    1 1 0 1 0 0 0 1 1 1 1 1 0 0 1 0 0 0 0 0]\n[0 0 0 0 0 0 0 0 0 0 0 0 0 0 1 0 0 0 0 0 0 0 0 0 0 0 0 0 0 0 0 0 0 0 0 0 0 0 0 0\n    0 0 0 0 0 0 0 0 0 0 0 0 1 0 1 1 1 0 1 1 1 0 0 1 1 1 0 1 0 0 0 1 0 1 1 0 0 0 \n    0 1 1 0 1 1 1 1 0 1 0 0 0 1 0 1 1 1 0 0]\n[0 0 0 0 0 0 0 0 0 0 0 0 0 0 0 1 0 0 0 0 0 0 0 0 0 0 0 0 0 0 0 0 0 0 0 0 0 0 0 0\n    0 0 0 0 0 0 0 0 0 0 0 0 1 1 1 0 1 1 0 0 0 0 0 0 1 1 0 0 0 0 0 1 0 1 0 0 0 1 \n    0 0 1 1 0 0 0 0 0 0 0 1 1 1 1 0 0 0 1 0]\n[0 0 0 0 0 0 0 0 0 0 0 0 0 0 0 0 1 0 0 0 0 0 0 0 0 0 0 0 0 0 0 0 0 0 0 0 0 0 0 0\n    0 0 0 0 0 0 0 0 0 0 0 0 1 1 0 0 0 1 1 1 1 1 0 0 0 1 0 0 1 0 0 1 0 1 0 1 0 1 \n    1 0 0 1 1 1 1 1 1 0 1 1 0 0 1 1 1 1 0 1]\n[0 0 0 0 0 0 0 0 0 0 0 0 0 0 0 0 0 1 0 0 0 0 0 0 0 0 0 0 0 0 0 0 0 0 0 0 0 0 0 0\n    0 0 0 0 0 0 0 0 0 0 1 0 0 0 0 1 0 1 0 1 0 0 1 0 1 0 1 0 1 0 1 0 1 0 0 0 1 1 \n    1 1 0 1 0 1 1 0 1 0 0 1 0 1 1 0 0 0 1 0]\n[0 0 0 0 0 0 0 0 0 0 0 0 0 0 0 0 0 0 1 0 0 0 0 0 0 0 0 0 0 0 0 0 0 0 0 0 0 0 0 0\n    0 0 0 0 0 0 0 0 0 0 0 0 0 1 1 0 1 0 0 1 0 0 0 1 0 0 0 0 0 1 1 0 1 0 1 0 1 1 \n    1 1 1 0 0 1 0 0 0 0 1 1 0 0 1 0 1 0 0 1]\n[0 0 0 0 0 0 0 0 0 0 0 0 0 0 0 0 0 0 0 1 0 0 0 0 0 0 0 0 0 0 0 0 0 0 0 0 0 0 0 0\n    0 0 0 0 0 0 0 0 0 0 1 0 0 1 0 0 0 0 1 0 0 1 0 0 0 0 0 0 1 1 0 1 0 1 1 1 0 0 \n    1 1 1 0 1 0 1 1 0 1 0 1 0 1 1 0 1 0 0 0]\n[0 0 0 0 0 0 0 0 0 0 0 0 0 0 0 0 0 0 0 0 1 0 0 0 0 0 0 0 0 0 0 0 0 0 0 0 0 0 0 0\n    0 0 0 0 0 0 0 0 0 0 0 0 0 1 0 0 0 0 1 0 1 0 1 0 0 1 0 1 0 1 0 1 0 1 0 1 0 0 \n    0 1 1 1 1 0 1 0 1 1 0 1 0 0 1 0 1 1 0 0]\n[0 0 0 0 0 0 0 0 0 0 0 0 0 0 0 0 0 0 0 0 0 1 0 0 0 0 0 0 0 0 0 0 0 0 0 0 0 0 0 0\n    0 0 0 0 0 0 0 0 0 0 0 0 0 0 1 0 0 0 0 1 0 1 0 1 0 0 1 0 1 0 1 0 1 0 1 0 1 0 \n    0 0 1 1 1 1 0 1 0 1 1 0 1 0 0 1 0 1 1 0]\n[0 0 0 0 0 0 0 0 0 0 0 0 0 0 0 0 0 0 0 0 0 0 1 0 0 0 0 0 0 0 0 0 0 0 0 0 0 0 0 0\n    0 0 0 0 0 0 0 0 0 0 0 0 0 0 0 1 0 0 0 0 1 0 1 0 1 0 0 1 0 1 0 1 0 1 0 1 0 1 \n    0 0 0 1 1 1 1 0 1 0 1 1 0 1 0 0 1 0 1 1]\n[0 0 0 0 0 0 0 0 0 0 0 0 0 0 0 0 0 0 0 0 0 0 0 1 0 0 0 0 0 0 0 0 0 0 0 0 0 0 0 0\n    0 0 0 0 0 0 0 0 0 0 1 0 1 1 0 0 1 1 1 1 0 1 0 1 1 1 1 0 1 1 0 1 0 1 1 1 1 0 \n    1 0 0 1 0 0 0 1 1 0 1 0 1 0 0 1 0 1 0 1]\n[0 0 0 0 0 0 0 0 0 0 0 0 0 0 0 0 0 0 0 0 0 0 0 0 1 0 0 0 0 0 0 0 0 0 0 0 0 0 0 0\n    0 0 0 0 0 0 0 0 0 0 1 0 0 1 1 1 0 0 1 0 1 1 1 0 0 0 1 0 1 0 1 1 0 1 1 1 0 0 \n    0 1 0 1 1 1 1 0 1 1 1 0 0 0 1 0 1 1 1 0]\n[0 0 0 0 0 0 0 0 0 0 0 0 0 0 0 0 0 0 0 0 0 0 0 0 0 1 0 0 0 0 0 0 0 0 0 0 0 0 0 0\n    0 0 0 0 0 0 0 0 0 0 0 0 1 1 1 0 1 0 1 1 0 0 1 1 0 1 1 0 1 1 1 1 1 0 1 0 0 1 \n    0 0 1 0 0 1 1 1 1 0 1 1 0 1 0 0 0 0 1 1]\n[0 0 0 0 0 0 0 0 0 0 0 0 0 0 0 0 0 0 0 0 0 0 0 0 0 0 1 0 0 0 0 0 0 0 0 0 0 0 0 0\n    0 0 0 0 0 0 0 0 0 0 1 0 0 0 0 0 0 0 1 1 0 1 0 1 0 0 1 1 1 0 0 1 1 1 1 1 0 1 \n    1 0 0 0 1 0 1 0 1 0 0 1 0 1 0 1 1 1 0 1]\n[0 0 0 0 0 0 0 0 0 0 0 0 0 0 0 0 0 0 0 0 0 0 0 0 0 0 0 1 0 0 0 0 0 0 0 0 0 0 0 0\n    0 0 0 0 0 0 0 0 0 0 1 0 1 0 1 0 0 1 0 1 0 0 1 0 0 1 1 0 1 0 0 0 1 1 0 0 0 0 \n    1 1 0 1 0 1 0 0 1 1 0 0 0 0 0 0 0 1 1 0]\n[0 0 0 0 0 0 0 0 0 0 0 0 0 0 0 0 0 0 0 0 0 0 0 0 0 0 0 0 1 0 0 0 0 0 0 0 0 0 0 0\n    0 0 0 0 0 0 0 0 0 0 0 0 0 0 1 1 0 0 0 1 0 0 0 1 0 1 1 0 0 1 1 1 1 0 0 0 1 0 \n    0 1 1 0 0 1 0 1 0 0 0 1 1 0 0 1 1 0 1 1]\n[0 0 0 0 0 0 0 0 0 0 0 0 0 0 0 0 0 0 0 0 0 0 0 0 0 0 0 0 0 1 0 0 0 0 0 0 0 0 0 0\n    0 0 0 0 0 0 0 0 0 0 1 0 1 1 0 1 1 1 1 1 1 0 0 0 0 0 0 1 0 1 0 0 0 0 0 1 0 1 \n    0 0 1 0 1 1 0 0 0 1 1 1 1 1 1 1 1 1 0 1]\n[0 0 0 0 0 0 0 0 0 0 0 0 0 0 0 0 0 0 0 0 0 0 0 0 0 0 0 0 0 0 1 0 0 0 0 0 0 0 0 0\n    0 0 0 0 0 0 0 0 0 0 1 0 1 1 0 0 1 0 1 1 0 1 0 0 1 1 1 1 1 1 1 0 0 0 1 1 0 0 \n    1 0 0 0 0 1 1 1 1 0 1 1 0 1 0 1 0 1 1 0]\n[0 0 0 0 0 0 0 0 0 0 0 0 0 0 0 0 0 0 0 0 0 0 0 0 0 0 0 0 0 0 0 1 0 0 0 0 0 0 0 0\n    0 0 0 0 0 0 0 0 0 0 0 0 1 0 1 1 0 1 1 1 1 1 1 0 0 0 0 0 0 1 0 1 0 0 0 0 0 1 \n    0 1 0 0 1 0 1 1 0 0 0 1 1 1 1 1 1 1 1 1]\n[0 0 0 0 0 0 0 0 0 0 0 0 0 0 0 0 0 0 0 0 0 0 0 0 0 0 0 0 0 0 0 0 1 0 0 0 0 0 0 0\n    0 0 0 0 0 0 0 0 0 0 1 0 1 0 0 1 1 1 0 0 1 1 1 1 1 0 1 0 0 1 0 1 0 1 0 1 0 0 \n    1 0 1 1 1 0 1 1 0 1 1 1 1 1 0 0 1 1 1 1]\n[0 0 0 0 0 0 0 0 0 0 0 0 0 0 0 0 0 0 0 0 0 0 0 0 0 0 0 0 0 0 0 0 0 1 0 0 0 0 0 0\n    0 0 0 0 0 0 0 0 0 0 1 0 1 1 1 0 1 0 1 0 1 1 1 1 0 0 1 0 0 1 1 0 1 0 0 1 0 0 \n    0 1 0 0 1 1 0 0 0 0 1 1 0 1 0 0 1 1 1 1]\n[0 0 0 0 0 0 0 0 0 0 0 0 0 0 0 0 0 0 0 0 0 0 0 0 0 0 0 0 0 0 0 0 0 0 1 0 0 0 0 0\n    0 0 0 0 0 0 0 0 0 0 1 0 1 1 0 1 0 0 0 1 1 1 1 1 0 1 1 0 0 1 1 1 0 1 1 1 0 0 \n    0 0 1 1 0 1 1 1 1 0 0 1 0 0 0 0 1 1 1 1]\n[0 0 0 0 0 0 0 0 0 0 0 0 0 0 0 0 0 0 0 0 0 0 0 0 0 0 0 0 0 0 0 0 0 0 0 1 0 0 0 0\n    0 0 0 0 0 0 0 0 0 0 1 0 0 1 1 1 1 1 0 1 1 0 1 1 0 1 1 0 1 1 1 0 0 1 1 1 0 1 \n    0 0 0 0 1 1 0 1 1 1 1 1 1 1 1 0 0 0 1 1]\n[0 0 0 0 0 0 0 0 0 0 0 0 0 0 0 0 0 0 0 0 0 0 0 0 0 0 0 0 0 0 0 0 0 0 0 0 1 0 0 0\n    0 0 0 0 0 0 0 0 0 0 1 0 0 0 1 0 1 0 1 1 1 0 0 1 0 1 1 0 1 0 1 0 1 1 1 1 0 1 \n    1 0 0 1 0 0 0 0 1 1 0 0 1 0 0 1 0 1 0 1]\n[0 0 0 0 0 0 0 0 0 0 0 0 0 0 0 0 0 0 0 0 0 0 0 0 0 0 0 0 0 0 0 0 0 0 0 0 0 1 0 0\n    0 0 0 0 0 0 0 0 0 0 1 0 1 0 1 1 0 0 0 1 0 1 0 0 0 1 0 0 0 0 0 1 0 1 0 0 0 0 \n    1 1 0 1 1 0 0 1 1 1 1 0 1 1 1 0 0 0 1 0]\n[0 0 0 0 0 0 0 0 0 0 0 0 0 0 0 0 0 0 0 0 0 0 0 0 0 0 0 0 0 0 0 0 0 0 0 0 0 0 1 0\n    0 0 0 0 0 0 0 0 0 0 0 0 0 0 1 1 1 0 1 1 0 0 1 0 0 1 1 1 0 0 1 1 0 1 0 0 1 0 \n    0 1 1 0 0 0 1 1 1 0 0 0 1 1 1 0 1 0 0 1]\n[0 0 0 0 0 0 0 0 0 0 0 0 0 0 0 0 0 0 0 0 0 0 0 0 0 0 0 0 0 0 0 0 0 0 0 0 0 0 0 1\n    0 0 0 0 0 0 0 0 0 0 1 0 1 1 0 1 1 0 1 0 1 0 0 1 1 0 0 1 1 1 1 0 0 1 1 1 0 1 \n    0 0 1 0 1 1 1 1 0 0 1 1 0 1 0 0 0 1 0 0]\n[0 0 0 0 0 0 0 0 0 0 0 0 0 0 0 0 0 0 0 0 0 0 0 0 0 0 0 0 0 0 0 0 0 0 0 0 0 0 0 0\n    1 0 0 0 0 0 0 0 0 0 0 0 1 0 1 1 1 1 1 1 0 0 0 0 1 0 1 1 0 1 0 1 0 0 1 0 0 1 \n    1 0 0 1 1 1 1 1 0 1 0 1 1 1 1 1 0 1 1 0]\n[0 0 0 0 0 0 0 0 0 0 0 0 0 0 0 0 0 0 0 0 0 0 0 0 0 0 0 0 0 0 0 0 0 0 0 0 0 0 0 0\n    0 1 0 0 0 0 0 0 0 0 0 0 0 1 0 1 1 1 1 1 1 0 0 0 0 1 0 1 1 0 1 0 1 0 0 1 0 0 \n    1 1 0 0 1 1 1 1 1 0 1 0 1 1 1 1 1 0 1 1]\n[0 0 0 0 0 0 0 0 0 0 0 0 0 0 0 0 0 0 0 0 0 0 0 0 0 0 0 0 0 0 0 0 0 0 0 0 0 0 0 0\n    0 0 1 0 0 0 0 0 0 0 1 0 0 1 0 1 1 0 0 1 0 0 0 0 1 0 1 0 0 0 1 1 0 1 1 0 1 1 \n    0 1 1 1 1 1 1 0 1 0 0 1 1 0 0 0 0 0 0 1]\n[0 0 0 0 0 0 0 0 0 0 0 0 0 0 0 0 0 0 0 0 0 0 0 0 0 0 0 0 0 0 0 0 0 0 0 0 0 0 0 0\n    0 0 0 1 0 0 0 0 0 0 1 0 1 0 0 0 1 0 0 0 0 0 0 0 1 0 1 0 0 1 0 1 1 0 0 0 1 1 \n    1 0 1 0 1 1 1 0 1 1 0 0 0 1 1 0 1 0 0 0]\n[0 0 0 0 0 0 0 0 0 0 0 0 0 0 0 0 0 0 0 0 0 0 0 0 0 0 0 0 0 0 0 0 0 0 0 0 0 0 0 0\n    0 0 0 0 1 0 0 0 0 0 0 0 1 0 0 1 0 1 1 0 0 1 0 0 0 0 1 0 1 0 0 0 1 1 0 1 1 0 \n    1 1 0 1 1 1 1 1 1 0 1 0 0 1 1 0 0 0 0 0]\n[0 0 0 0 0 0 0 0 0 0 0 0 0 0 0 0 0 0 0 0 0 0 0 0 0 0 0 0 0 0 0 0 0 0 0 0 0 0 0 0\n    0 0 0 0 0 1 0 0 0 0 0 0 0 1 0 0 1 0 1 1 0 0 1 0 0 0 0 1 0 1 0 0 0 1 1 0 1 1 \n    0 1 1 0 1 1 1 1 1 1 0 1 0 0 1 1 0 0 0 0]\n[0 0 0 0 0 0 0 0 0 0 0 0 0 0 0 0 0 0 0 0 0 0 0 0 0 0 0 0 0 0 0 0 0 0 0 0 0 0 0 0\n    0 0 0 0 0 0 1 0 0 0 0 0 0 0 1 0 0 1 0 1 1 0 0 1 0 0 0 0 1 0 1 0 0 0 1 1 0 1 \n    1 0 1 1 0 1 1 1 1 1 1 0 1 0 0 1 1 0 0 0]\n[0 0 0 0 0 0 0 0 0 0 0 0 0 0 0 0 0 0 0 0 0 0 0 0 0 0 0 0 0 0 0 0 0 0 0 0 0 0 0 0\n    0 0 0 0 0 0 0 1 0 0 0 0 0 0 0 1 0 0 1 0 1 1 0 0 1 0 0 0 0 1 0 1 0 0 0 1 1 0 \n    1 1 0 1 1 0 1 1 1 1 1 1 0 1 0 0 1 1 0 0]\n[0 0 0 0 0 0 0 0 0 0 0 0 0 0 0 0 0 0 0 0 0 0 0 0 0 0 0 0 0 0 0 0 0 0 0 0 0 0 0 0\n    0 0 0 0 0 0 0 0 1 0 0 0 1 0 1 1 1 0 0 0 1 0 1 0 0 1 1 0 1 0 1 1 0 1 1 1 1 0 \n    0 1 1 0 1 0 1 0 0 1 0 0 0 1 1 0 1 0 1 0]\n[0 0 0 0 0 0 0 0 0 0 0 0 0 0 0 0 0 0 0 0 0 0 0 0 0 0 0 0 0 0 0 0 0 0 0 0 0 0 0 0\n    0 0 0 0 0 0 0 0 0 1 0 0 1 1 1 0 1 1 0 1 1 0 0 1 0 0 0 1 1 1 0 0 0 1 0 0 1 0 \n    0 0 1 1 0 0 1 0 1 0 0 1 1 1 1 1 1 0 0 1]\n[0 0 0 0 0 0 0 0 0 0 0 0 0 0 0 0 0 0 0 0 0 0 0 0 0 0 0 0 0 0 0 0 0 0 0 0 0 0 0 0\n    0 0 0 0 0 0 0 0 0 0 0 1 0 1 1 0 0 0 1 1 1 0 0 0 0 1 0 1 0 0 1 1 1 1 1 0 1 0 \n    0 0 0 0 1 1 1 1 0 1 1 1 1 0 0 1 1 0 0 0]\nLinear Code over GF(2) of length 98 with 51 generators.\nLower Bound: 1, Upper Bound: 48\nConstructed 2 distinct generator matrices\nRelative Ranks:  51  47 \nTime Taken: 0.00\nStarting search for low weight codewords... (reset timings)\nEnumerating using 1 generator at a time:\n     New codeword identified of weight 25, time 0.00\n     New codeword identified of weight 21, time 0.00\n     New codeword identified of weight 18, time 0.00\n   Completed Matrix  1:  lower =  2, upper = 18. Elapsed: 0.00s\n   Completed Matrix  2:  lower =  2, upper = 18. Elapsed: 0.00s\nTermination predicted with 10 generators at matrix 2\nEnumerating using 2 generators at a time:\n     New codeword identified of weight 16, time 0.00\n   Completed Matrix  1:  lower =  3, upper = 16. Elapsed: 0.00s\n   Completed Matrix  2:  lower =  3, upper = 16. Elapsed: 0.00s\nTermination predicted with 9 generators at matrix 2\nEnumerating using 3 generators at a time:\n     New codeword identified of weight 15, time 0.00\n   Completed Matrix  1:  lower =  4, upper = 15. Elapsed: 0.00s\n   Completed Matrix  2:  lower =  4, upper = 15. Elapsed: 0.00s\nTermination predicted with 9 generators at matrix 1\nEnumerating using 4 generators at a time:\n   Completed Matrix  1:  lower =  5, upper = 15. Elapsed: 0.00s\n   Completed Matrix  2:  lower =  6, upper = 15. Elapsed: 0.00s\nTermination predicted with 9 generators at matrix 1\nEnumerating using 5 generators at a time:\n   Completed Matrix  1:  lower =  7, upper = 15. Elapsed: 0.00s\n   Completed Matrix  2:  lower =  8, upper = 15. Elapsed: 0.00s\nTermination predicted with 9 generators at matrix 1\nEnumerating using 6 generators at a time:\n   Completed Matrix  1:  lower =  9, upper = 15. Elapsed: 0.05s\n   Completed Matrix  2:  lower = 10, upper = 15. Elapsed: 0.08s\nTermination predicted with 9 generators at matrix 1\nEnumerating using 7 generators at a time:\n   Completed Matrix  1:  lower = 11, upper = 15. Elapsed: 0.32s\n   Completed Matrix  2:  lower = 12, upper = 15. Elapsed: 0.54s\nTermination predicted at 9 s with 9 generators at matrix 1\nEnumerating using 8 generators at a time:\n   Completed Matrix  1:  lower = 13, upper = 15. Elapsed: 1.85s\n   Completed Matrix  2:  lower = 14, upper = 15. Elapsed: 3.16s\nTermination predicted at 9 s with 9 generators at matrix 1\nEnumerating using 9 generators at a time:\n   Completed Matrix  1:  lower = 15, upper = 15. Elapsed: 9.70s\nComputation complete 4588649792 vectors enumerated in total\n (0.000204% of 98 51 code)\nFinal Results: lower = 15, upper = 15,\nTotal CPU time: 9.70, real time: 9.695\n15\n\nTotal time: 9.710 seconds, Total memory usage: 32.09MB\n</t>
  </si>
  <si>
    <t>[[99,52,15]]</t>
  </si>
  <si>
    <t>Magma V2.28-26    Tue Dec 30 2025 10:36:59 on Marks-MacBook-Air-2 [Seed = \n2001581538]\nType ? for help.  Type &lt;Ctrl&gt;-D to quit.\n[0 0 0 1 1 1 0 0 0 0 1 0 1 0 0 1 1 1 1 1 0 1 0 0 0 0 0 1 1 1 1 0 1 1 1 1 0 0 1 1\n    0 0 0 0 1 0 1 1 0 0 0 0 0 0 0 0 0 0 0 0 0 0 0 0 0 0 0 0 0 0 0 0 0 0 0 0 0 0 \n    0 0 0 0 0 0 0 0 0 0 0 0 0 0 0 0 0 0 0 0 0]\n[1 0 0 1 0 0 1 0 0 0 1 1 1 1 0 1 0 0 0 0 1 1 1 0 0 0 0 1 0 0 0 1 1 0 0 0 1 0 1 0\n    1 0 0 0 1 1 1 0 1 0 0 0 0 0 0 0 0 0 0 0 0 0 0 0 0 0 0 0 0 0 0 0 0 0 0 0 0 0 \n    0 0 0 0 0 0 0 0 0 0 0 0 0 0 0 0 0 0 0 0 0]\n[0 1 0 1 0 1 0 1 0 0 1 1 0 1 1 1 0 1 1 1 0 0 1 1 0 0 0 1 0 1 1 0 0 0 1 1 0 1 1 0\n    0 1 0 0 1 1 0 0 0 1 0 0 0 0 0 0 0 0 0 0 0 0 0 0 0 0 0 0 0 0 0 0 0 0 0 0 0 0 \n    0 0 0 0 0 0 0 0 0 0 0 0 0 0 0 0 0 0 0 0 0]\n[0 0 1 0 1 0 1 0 1 0 0 1 1 0 1 1 1 0 1 1 1 0 0 1 1 0 0 0 1 0 1 1 0 0 0 1 1 0 1 1\n    0 0 1 0 0 1 1 0 0 0 1 0 0 0 0 0 0 0 0 0 0 0 0 0 0 0 0 0 0 0 0 0 0 0 0 0 0 0 \n    0 0 0 0 0 0 0 0 0 0 0 0 0 0 0 0 0 0 0 0 0]\n[0 0 0 0 1 0 0 1 0 1 1 0 0 1 0 0 0 0 1 0 1 0 0 0 1 1 0 1 1 0 1 1 0 1 1 1 1 1 1 0\n    1 0 0 1 1 0 0 0 0 0 0 1 0 0 0 0 0 0 0 0 0 0 0 0 0 0 0 0 0 0 0 0 0 0 0 0 0 0 \n    0 0 0 0 0 0 0 0 0 0 0 0 0 0 0 0 0 0 0 0 0]\n[0 0 0 0 0 1 0 0 1 0 1 1 0 0 1 0 0 0 0 1 0 1 0 0 0 1 1 0 1 1 0 1 1 0 1 1 1 1 1 1\n    0 1 0 0 1 1 0 0 0 0 0 0 1 0 0 0 0 0 0 0 0 0 0 0 0 0 0 0 0 0 0 0 0 0 0 0 0 0 \n    0 0 0 0 0 0 0 0 0 0 0 0 0 0 0 0 0 0 0 0 0]\n[0 0 0 0 0 0 1 0 0 1 0 1 1 0 0 1 0 0 0 0 1 0 1 0 0 0 1 1 0 1 1 0 1 1 0 1 1 1 1 1\n    1 0 1 0 0 1 1 0 0 0 0 0 0 1 0 0 0 0 0 0 0 0 0 0 0 0 0 0 0 0 0 0 0 0 0 0 0 0 \n    0 0 0 0 0 0 0 0 0 0 0 0 0 0 0 0 0 0 0 0 0]\n[0 0 0 1 1 1 0 1 0 0 0 0 0 1 0 1 0 1 1 1 0 0 0 1 0 0 0 0 0 1 0 1 1 0 0 1 1 1 0 0\n    1 1 0 1 1 0 0 0 0 0 0 0 0 0 1 0 0 0 0 0 0 0 0 0 0 0 0 0 0 0 0 0 0 0 0 0 0 0 \n    0 0 0 0 0 0 0 0 0 0 0 0 0 0 0 0 0 0 0 0 0]\n[0 0 0 0 1 1 1 0 1 0 0 0 0 0 1 0 1 0 1 1 1 0 0 0 1 0 0 0 0 0 1 0 1 1 0 0 1 1 1 0\n    0 1 1 0 1 1 0 0 0 0 0 0 0 0 0 1 0 0 0 0 0 0 0 0 0 0 0 0 0 0 0 0 0 0 0 0 0 0 \n    0 0 0 0 0 0 0 0 0 0 0 0 0 0 0 0 0 0 0 0 0]\n[1 0 0 0 0 1 1 1 0 1 0 0 0 0 0 1 0 1 0 1 1 1 0 0 0 1 0 0 0 0 0 1 0 1 1 0 0 1 1 1\n    0 0 1 1 0 1 1 0 0 0 0 0 0 0 0 0 1 0 0 0 0 0 0 0 0 0 0 0 0 0 0 0 0 0 0 0 0 0 \n    0 0 0 0 0 0 0 0 0 0 0 0 0 0 0 0 0 0 0 0 0]\n[0 1 0 1 1 1 1 1 1 0 0 0 1 0 0 1 0 1 0 1 1 0 1 0 0 0 1 1 1 1 1 0 0 1 0 0 0 0 0 0\n    1 0 0 1 0 0 0 0 0 0 0 0 0 0 0 0 0 1 0 0 0 0 0 0 0 0 0 0 0 0 0 0 0 0 0 0 0 0 \n    0 0 0 0 0 0 0 0 0 0 0 0 0 0 0 0 0 0 0 0 0]\n[0 0 1 0 1 1 1 1 1 1 0 0 0 1 0 0 1 0 1 0 1 1 0 1 0 0 0 1 1 1 1 1 0 0 1 0 0 0 0 0\n    0 1 0 0 1 0 0 0 0 0 0 0 0 0 0 0 0 0 1 0 0 0 0 0 0 0 0 0 0 0 0 0 0 0 0 0 0 0 \n    0 0 0 0 0 0 0 0 0 0 0 0 0 0 0 0 0 0 0 0 0]\n[1 0 0 1 0 1 1 1 1 1 1 0 0 0 1 0 0 1 0 1 0 1 1 0 1 0 0 0 1 1 1 1 1 0 0 1 0 0 0 0\n    0 0 1 0 0 1 0 0 0 0 0 0 0 0 0 0 0 0 0 1 0 0 0 0 0 0 0 0 0 0 0 0 0 0 0 0 0 0 \n    0 0 0 0 0 0 0 0 0 0 0 0 0 0 0 0 0 0 0 0 0]\n[0 1 0 0 1 0 1 1 1 1 1 1 0 0 0 1 0 0 1 0 1 0 1 1 0 1 0 0 0 1 1 1 1 1 0 0 1 0 0 0\n    0 0 0 1 0 0 1 0 0 0 0 0 0 0 0 0 0 0 0 0 1 0 0 0 0 0 0 0 0 0 0 0 0 0 0 0 0 0 \n    0 0 0 0 0 0 0 0 0 0 0 0 0 0 0 0 0 0 0 0 0]\n[1 0 1 1 1 0 0 1 1 1 0 1 0 0 0 1 0 1 1 0 0 0 0 1 1 0 1 1 1 1 0 1 0 0 0 1 0 1 1 1\n    0 0 0 0 0 0 1 0 0 0 0 0 0 0 0 0 0 0 0 0 0 1 0 0 0 0 0 0 0 0 0 0 0 0 0 0 0 0 \n    0 0 0 0 0 0 0 0 0 0 0 0 0 0 0 0 0 0 0 0 0]\n[1 1 0 0 0 0 0 0 1 1 0 0 0 0 0 1 0 1 0 0 0 1 0 0 1 1 0 0 0 0 0 0 0 1 1 1 1 0 0 0\n    1 0 0 0 1 0 1 0 0 0 0 0 0 0 0 0 0 0 0 0 0 0 1 0 0 0 0 0 0 0 0 0 0 0 0 0 0 0 \n    0 0 0 0 0 0 0 0 0 0 0 0 0 0 0 0 0 0 0 0 0]\n[0 1 1 1 1 1 0 0 0 1 0 0 1 0 0 1 0 1 0 1 0 1 1 0 0 1 1 1 1 1 1 0 1 1 0 0 1 1 1 1\n    0 1 0 0 1 1 1 0 0 0 0 0 0 0 0 0 0 0 0 0 0 0 0 1 0 0 0 0 0 0 0 0 0 0 0 0 0 0 \n    0 0 0 0 0 0 0 0 0 0 0 0 0 0 0 0 0 0 0 0 0]\n[0 0 1 0 0 0 1 0 0 0 0 0 1 1 0 1 0 1 0 1 1 1 1 1 0 0 1 0 0 0 0 1 1 0 0 1 0 1 0 0\n    1 0 1 0 1 1 0 0 0 0 0 0 0 0 0 0 0 0 0 0 0 0 0 0 1 0 0 0 0 0 0 0 0 0 0 0 0 0 \n    0 0 0 0 0 0 0 0 0 0 0 0 0 0 0 0 0 0 0 0 0]\n[1 0 0 1 0 0 0 1 0 0 0 0 0 1 1 0 1 0 1 0 1 1 1 1 1 0 0 1 0 0 0 0 1 1 0 0 1 0 1 0\n    0 1 0 1 0 1 1 0 0 0 0 0 0 0 0 0 0 0 0 0 0 0 0 0 0 1 0 0 0 0 0 0 0 0 0 0 0 0 \n    0 0 0 0 0 0 0 0 0 0 0 0 0 0 0 0 0 0 0 0 0]\n[0 1 0 1 0 1 0 0 1 0 1 0 1 0 1 0 1 0 1 0 0 0 1 1 1 1 0 1 0 1 1 0 1 0 0 1 0 1 1 0\n    0 0 1 0 0 0 0 0 0 0 0 0 0 0 0 0 0 0 0 0 0 0 0 0 0 0 1 0 0 0 0 0 0 0 0 0 0 0 \n    0 0 0 0 0 0 0 0 0 0 0 0 0 0 0 0 0 0 0 0 0]\n[0 0 1 0 1 0 1 0 0 1 0 1 0 1 0 1 0 1 0 1 0 0 0 1 1 1 1 0 1 0 1 1 0 1 0 0 1 0 1 1\n    0 0 0 1 0 0 0 0 0 0 0 0 0 0 0 0 0 0 0 0 0 0 0 0 0 0 0 1 0 0 0 0 0 0 0 0 0 0 \n    0 0 0 0 0 0 0 0 0 0 0 0 0 0 0 0 0 0 0 0 0]\n[0 0 0 1 0 1 0 1 0 0 1 0 1 0 1 0 1 0 1 0 1 0 0 0 1 1 1 1 0 1 0 1 1 0 1 0 0 1 0 1\n    1 0 0 0 1 0 0 0 0 0 0 0 0 0 0 0 0 0 0 0 0 0 0 0 0 0 0 0 1 0 0 0 0 0 0 0 0 0 \n    0 0 0 0 0 0 0 0 0 0 0 0 0 0 0 0 0 0 0 0 0]\n[0 0 0 0 1 0 1 0 1 0 0 1 0 1 0 1 0 1 0 1 0 1 0 0 0 1 1 1 1 0 1 0 1 1 0 1 0 0 1 0\n    1 1 0 0 0 1 0 0 0 0 0 0 0 0 0 0 0 0 0 0 0 0 0 0 0 0 0 0 0 1 0 0 0 0 0 0 0 0 \n    0 0 0 0 0 0 0 0 0 0 0 0 0 0 0 0 0 0 0 0 0]\n[1 0 0 0 0 1 0 1 0 1 0 0 1 0 1 0 1 0 1 0 1 0 1 0 0 0 1 1 1 1 0 1 0 1 1 0 1 0 0 1\n    0 1 1 0 0 0 1 0 0 0 0 0 0 0 0 0 0 0 0 0 0 0 0 0 0 0 0 0 0 0 1 0 0 0 0 0 0 0 \n    0 0 0 0 0 0 0 0 0 0 0 0 0 0 0 0 0 0 0 0 0]\n[0 1 0 1 1 1 1 0 1 0 0 0 1 1 0 0 1 0 1 0 0 0 0 1 0 0 0 0 0 0 0 0 0 1 0 0 0 1 1 1\n    1 0 1 1 1 0 1 0 0 0 0 0 0 0 0 0 0 0 0 0 0 0 0 0 0 0 0 0 0 0 0 1 0 0 0 0 0 0 \n    0 0 0 0 0 0 0 0 0 0 0 0 0 0 0 0 0 0 0 0 0]\n[1 0 1 1 0 0 1 1 0 1 1 0 1 1 1 1 1 0 1 0 0 1 0 0 1 0 0 1 1 1 1 0 1 1 0 1 0 0 0 0\n    1 1 0 1 0 1 1 0 0 0 0 0 0 0 0 0 0 0 0 0 0 0 0 0 0 0 0 0 0 0 0 0 1 0 0 0 0 0 \n    0 0 0 0 0 0 0 0 0 0 0 0 0 0 0 0 0 0 0 0 0]\n[0 1 0 0 0 1 0 1 1 0 0 1 1 1 1 0 0 0 1 0 0 1 1 0 0 1 0 1 0 0 0 1 1 0 0 1 1 0 1 1\n    0 1 1 0 0 0 0 0 0 0 0 0 0 0 0 0 0 0 0 0 0 0 0 0 0 0 0 0 0 0 0 0 0 1 0 0 0 0 \n    0 0 0 0 0 0 0 0 0 0 0 0 0 0 0 0 0 0 0 0 0]\n[0 0 1 0 0 0 1 0 1 1 0 0 1 1 1 1 0 0 0 1 0 0 1 1 0 0 1 0 1 0 0 0 1 1 0 0 1 1 0 1\n    1 0 1 1 0 0 0 0 0 0 0 0 0 0 0 0 0 0 0 0 0 0 0 0 0 0 0 0 0 0 0 0 0 0 1 0 0 0 \n    0 0 0 0 0 0 0 0 0 0 0 0 0 0 0 0 0 0 0 0 0]\n[0 0 0 1 0 0 0 1 0 1 1 0 0 1 1 1 1 0 0 0 1 0 0 1 1 0 0 1 0 1 0 0 0 1 1 0 0 1 1 0\n    1 1 0 1 1 0 0 0 0 0 0 0 0 0 0 0 0 0 0 0 0 0 0 0 0 0 0 0 0 0 0 0 0 0 0 1 0 0 \n    0 0 0 0 0 0 0 0 0 0 0 0 0 0 0 0 0 0 0 0 0]\n[1 0 0 0 1 0 0 0 1 0 1 1 0 0 1 1 1 1 0 0 0 1 0 0 1 1 0 0 1 0 1 0 0 0 1 1 0 0 1 1\n    0 1 1 0 1 1 0 0 0 0 0 0 0 0 0 0 0 0 0 0 0 0 0 0 0 0 0 0 0 0 0 0 0 0 0 0 1 0 \n    0 0 0 0 0 0 0 0 0 0 0 0 0 0 0 0 0 0 0 0 0]\n[1 1 0 0 0 1 0 0 0 1 0 1 1 0 0 1 1 1 1 0 0 0 1 0 0 1 1 0 0 1 0 1 0 0 0 1 1 0 0 1\n    1 0 1 1 0 1 1 0 0 0 0 0 0 0 0 0 0 0 0 0 0 0 0 0 0 0 0 0 0 0 0 0 0 0 0 0 0 1 \n    0 0 0 0 0 0 0 0 0 0 0 0 0 0 0 0 0 0 0 0 0]\n[0 1 1 1 1 1 1 0 0 0 0 0 0 1 0 1 0 0 0 0 0 1 0 1 0 0 1 0 1 1 0 0 0 1 1 1 1 1 1 1\n    1 1 0 1 0 0 0 0 0 0 0 0 0 0 0 0 0 0 0 0 0 0 0 0 0 0 0 0 0 0 0 0 0 0 0 0 0 0 \n    1 0 0 0 0 0 0 0 0 0 0 0 0 0 0 0 0 0 0 0 0]\n[1 0 1 1 1 1 1 1 0 0 0 0 0 0 1 0 1 0 0 0 0 0 1 0 1 0 0 1 0 1 1 0 0 0 1 1 1 1 1 1\n    1 1 1 0 1 0 0 0 0 0 0 0 0 0 0 0 0 0 0 0 0 0 0 0 0 0 0 0 0 0 0 0 0 0 0 0 0 0 \n    0 1 0 0 0 0 0 0 0 0 0 0 0 0 0 0 0 0 0 0 0]\n[1 1 0 1 1 1 1 1 1 0 0 0 0 0 0 1 0 1 0 0 0 0 0 1 0 1 0 0 1 0 1 1 0 0 0 1 1 1 1 1\n    1 1 1 1 0 1 0 0 0 0 0 0 0 0 0 0 0 0 0 0 0 0 0 0 0 0 0 0 0 0 0 0 0 0 0 0 0 0 \n    0 0 1 0 0 0 0 0 0 0 0 0 0 0 0 0 0 0 0 0 0]\n[0 1 1 0 1 1 1 1 1 1 0 0 0 0 0 0 1 0 1 0 0 0 0 0 1 0 1 0 0 1 0 1 1 0 0 0 1 1 1 1\n    1 1 1 1 1 0 1 0 0 0 0 0 0 0 0 0 0 0 0 0 0 0 0 0 0 0 0 0 0 0 0 0 0 0 0 0 0 0 \n    0 0 0 1 0 0 0 0 0 0 0 0 0 0 0 0 0 0 0 0 0]\n[1 0 1 0 1 0 1 1 1 1 0 0 1 0 0 1 1 0 1 0 0 1 0 0 0 1 0 0 1 1 0 0 0 0 1 1 0 1 0 0\n    1 1 1 1 0 1 1 0 0 0 0 0 0 0 0 0 0 0 0 0 0 0 0 0 0 0 0 0 0 0 0 0 0 0 0 0 0 0 \n    0 0 0 0 1 0 0 0 0 0 0 0 0 0 0 0 0 0 0 0 0]\n[1 1 0 0 1 0 0 1 1 1 0 0 1 1 0 1 0 0 1 0 0 1 1 0 0 0 1 1 1 0 0 0 1 1 1 0 1 0 0 1\n    0 1 1 1 0 0 0 0 0 0 0 0 0 0 0 0 0 0 0 0 0 0 0 0 0 0 0 0 0 0 0 0 0 0 0 0 0 0 \n    0 0 0 0 0 1 0 0 0 0 0 0 0 0 0 0 0 0 0 0 0]\n[0 1 1 0 0 1 0 0 1 1 1 0 0 1 1 0 1 0 0 1 0 0 1 1 0 0 0 1 1 1 0 0 0 1 1 1 0 1 0 0\n    1 0 1 1 1 0 0 0 0 0 0 0 0 0 0 0 0 0 0 0 0 0 0 0 0 0 0 0 0 0 0 0 0 0 0 0 0 0 \n    0 0 0 0 0 0 1 0 0 0 0 0 0 0 0 0 0 0 0 0 0]\n[1 0 1 1 0 0 1 0 0 1 1 1 0 0 1 1 0 1 0 0 1 0 0 1 1 0 0 0 1 1 1 0 0 0 1 1 1 0 1 0\n    0 1 0 1 1 1 0 0 0 0 0 0 0 0 0 0 0 0 0 0 0 0 0 0 0 0 0 0 0 0 0 0 0 0 0 0 0 0 \n    0 0 0 0 0 0 0 1 0 0 0 0 0 0 0 0 0 0 0 0 0]\n[1 1 0 1 1 0 0 1 0 0 1 1 1 0 0 1 1 0 1 0 0 1 0 0 1 1 0 0 0 1 1 1 0 0 0 1 1 1 0 1\n    0 0 1 0 1 1 1 0 0 0 0 0 0 0 0 0 0 0 0 0 0 0 0 0 0 0 0 0 0 0 0 0 0 0 0 0 0 0 \n    0 0 0 0 0 0 0 0 1 0 0 0 0 0 0 0 0 0 0 0 0]\n[1 1 1 1 0 0 0 0 1 0 1 1 0 1 0 1 0 0 1 0 0 1 1 0 0 1 1 1 1 1 0 1 0 1 1 1 1 1 0 1\n    1 0 0 1 1 1 0 0 0 0 0 0 0 0 0 0 0 0 0 0 0 0 0 0 0 0 0 0 0 0 0 0 0 0 0 0 0 0 \n    0 0 0 0 0 0 0 0 0 1 0 0 0 0 0 0 0 0 0 0 0]\n[1 1 1 1 1 0 0 0 0 1 0 1 1 0 1 0 1 0 0 1 0 0 1 1 0 0 1 1 1 1 1 0 1 0 1 1 1 1 1 0\n    1 1 0 0 1 1 1 0 0 0 0 0 0 0 0 0 0 0 0 0 0 0 0 0 0 0 0 0 0 0 0 0 0 0 0 0 0 0 \n    0 0 0 0 0 0 0 0 0 0 1 0 0 0 0 0 0 0 0 0 0]\n[1 1 1 0 0 0 0 0 0 0 0 0 0 1 0 0 1 0 1 1 1 1 0 1 1 0 0 0 0 0 0 1 1 0 1 0 1 1 0 0\n    0 1 1 0 1 1 0 0 0 0 0 0 0 0 0 0 0 0 0 0 0 0 0 0 0 0 0 0 0 0 0 0 0 0 0 0 0 0 \n    0 0 0 0 0 0 0 0 0 0 0 1 0 0 0 0 0 0 0 0 0]\n[1 1 1 1 0 0 0 0 0 0 0 0 0 0 1 0 0 1 0 1 1 1 1 0 1 1 0 0 0 0 0 0 1 1 0 1 0 1 1 0\n    0 0 1 1 0 1 1 0 0 0 0 0 0 0 0 0 0 0 0 0 0 0 0 0 0 0 0 0 0 0 0 0 0 0 0 0 0 0 \n    0 0 0 0 0 0 0 0 0 0 0 0 1 0 0 0 0 0 0 0 0]\n[0 1 1 0 0 1 0 0 0 0 1 0 1 0 0 0 1 1 0 1 1 0 1 1 0 1 1 1 1 1 1 0 1 0 0 1 1 0 0 0\n    0 0 0 1 0 0 0 0 0 0 0 0 0 0 0 0 0 0 0 0 0 0 0 0 0 0 0 0 0 0 0 0 0 0 0 0 0 0 \n    0 0 0 0 0 0 0 0 0 0 0 0 0 1 0 0 0 0 0 0 0]\n[1 0 1 1 0 0 1 0 0 0 0 1 0 1 0 0 0 1 1 0 1 1 0 1 1 0 1 1 1 1 1 1 0 1 0 0 1 1 0 0\n    0 0 0 0 1 0 0 0 0 0 0 0 0 0 0 0 0 0 0 0 0 0 0 0 0 0 0 0 0 0 0 0 0 0 0 0 0 0 \n    0 0 0 0 0 0 0 0 0 0 0 0 0 0 1 0 0 0 0 0 0]\n[0 1 0 1 1 0 0 1 0 0 0 0 1 0 1 0 0 0 1 1 0 1 1 0 1 1 0 1 1 1 1 1 1 0 1 0 0 1 1 0\n    0 0 0 0 0 1 0 0 0 0 0 0 0 0 0 0 0 0 0 0 0 0 0 0 0 0 0 0 0 0 0 0 0 0 0 0 0 0 \n    0 0 0 0 0 0 0 0 0 0 0 0 0 0 0 1 0 0 0 0 0]\n[0 0 1 0 1 1 0 0 1 0 0 0 0 1 0 1 0 0 0 1 1 0 1 1 0 1 1 0 1 1 1 1 1 1 0 1 0 0 1 1\n    0 0 0 0 0 0 1 0 0 0 0 0 0 0 0 0 0 0 0 0 0 0 0 0 0 0 0 0 0 0 0 0 0 0 0 0 0 0 \n    0 0 0 0 0 0 0 0 0 0 0 0 0 0 0 0 1 0 0 0 0]\n[1 0 0 0 1 0 1 0 0 1 1 0 1 0 1 1 0 1 1 1 1 0 0 1 1 0 1 0 1 0 0 1 0 0 0 1 1 0 1 0\n    1 0 0 0 1 0 1 0 0 0 0 0 0 0 0 0 0 0 0 0 0 0 0 0 0 0 0 0 0 0 0 0 0 0 0 0 0 0 \n    0 0 0 0 0 0 0 0 0 0 0 0 0 0 0 0 0 1 0 0 0]\n[1 1 0 1 1 0 0 1 0 0 0 1 1 1 0 0 0 1 0 0 1 0 0 0 1 1 0 0 1 0 1 0 0 1 1 1 1 1 1 0\n    0 1 0 0 1 1 1 0 0 0 0 0 0 0 0 0 0 0 0 0 0 0 0 0 0 0 0 0 0 0 0 0 0 0 0 0 0 0 \n    0 0 0 0 0 0 0 0 0 0 0 0 0 0 0 0 0 0 1 0 0]\n[0 1 1 1 0 0 0 0 1 0 1 0 0 1 1 1 1 1 0 1 0 0 0 0 0 1 1 1 1 0 1 1 1 1 0 0 1 1 0 0\n    0 0 1 0 1 1 0 0 0 0 0 0 0 0 0 0 0 0 0 0 0 0 0 0 0 0 0 0 0 0 0 0 0 0 0 0 0 0 \n    0 0 0 0 0 0 0 0 0 0 0 0 0 0 0 0 0 0 0 1 0]\n[0 0 1 1 1 0 0 0 0 1 0 1 0 0 1 1 1 1 1 0 1 0 0 0 0 0 1 1 1 1 0 1 1 1 1 0 0 1 1 0\n    0 0 0 1 0 1 1 0 0 0 0 0 0 0 0 0 0 0 0 0 0 0 0 0 0 0 0 0 0 0 0 0 0 0 0 0 0 0 \n    0 0 0 0 0 0 0 0 0 0 0 0 0 0 0 0 0 0 0 0 1]\n[99, 52] Linear Code over GF(2)\nGenerator matrix:\n[1 0 0 0 0 0 0 0 0 0 0 0 0 0 0 0 0 0 0 0 0 0 0 0 0 0 0 0 0 0 0 0 0 0 0 0 0 0 0 0\n    0 0 0 0 0 0 0 0 0 0 0 0 1 0 1 1 0 0 0 1 1 1 0 0 0 0 1 0 1 0 0 1 1 1 1 1 0 1 \n    0 0 0 0 0 1 1 1 1 0 1 1 1 1 0 0 1 1 0 0 0]\n[0 1 0 0 0 0 0 0 0 0 0 0 0 0 0 0 0 0 0 0 0 0 0 0 0 0 0 0 0 0 0 0 0 0 0 0 0 0 0 0\n    0 0 0 0 0 0 0 0 0 0 0 0 1 1 1 0 1 0 0 1 0 0 1 0 0 0 1 1 1 1 0 1 0 0 0 0 1 1 \n    1 0 0 0 0 1 0 0 0 1 1 0 0 0 1 0 1 0 1 0 0]\n[0 0 1 0 0 0 0 0 0 0 0 0 0 0 0 0 0 0 0 0 0 0 0 0 0 0 0 0 0 0 0 0 0 0 0 0 0 0 0 0\n    0 0 0 0 0 0 0 0 0 0 0 0 1 1 0 0 0 1 0 1 0 1 0 1 0 0 1 1 0 1 1 1 0 1 1 1 0 0 \n    1 1 0 0 0 1 0 1 1 0 0 0 1 1 0 1 1 0 0 1 0]\n[0 0 0 1 0 0 0 0 0 0 0 0 0 0 0 0 0 0 0 0 0 0 0 0 0 0 0 0 0 0 0 0 0 0 0 0 0 0 0 0\n    0 0 0 0 0 0 0 0 0 0 0 0 0 1 1 0 0 0 1 0 1 0 1 0 1 0 0 1 1 0 1 1 1 0 1 1 1 0 \n    0 1 1 0 0 0 1 0 1 1 0 0 0 1 1 0 1 1 0 0 1]\n[0 0 0 0 1 0 0 0 0 0 0 0 0 0 0 0 0 0 0 0 0 0 0 0 0 0 0 0 0 0 0 0 0 0 0 0 0 0 0 0\n    0 0 0 0 0 0 0 0 0 0 0 0 1 0 0 0 0 0 0 0 1 0 0 1 0 1 1 0 0 1 0 0 0 0 1 0 1 0 \n    0 0 1 1 0 1 1 0 1 1 0 1 1 1 1 1 1 0 1 0 0]\n[0 0 0 0 0 1 0 0 0 0 0 0 0 0 0 0 0 0 0 0 0 0 0 0 0 0 0 0 0 0 0 0 0 0 0 0 0 0 0 0\n    0 0 0 0 0 0 0 0 0 0 0 0 0 1 0 0 0 0 0 0 0 1 0 0 1 0 1 1 0 0 1 0 0 0 0 1 0 1 \n    0 0 0 1 1 0 1 1 0 1 1 0 1 1 1 1 1 1 0 1 0]\n[0 0 0 0 0 0 1 0 0 0 0 0 0 0 0 0 0 0 0 0 0 0 0 0 0 0 0 0 0 0 0 0 0 0 0 0 0 0 0 0\n    0 0 0 0 0 0 0 0 0 0 0 0 0 0 1 0 0 0 0 0 0 0 1 0 0 1 0 1 1 0 0 1 0 0 0 0 1 0 \n    1 0 0 0 1 1 0 1 1 0 1 1 0 1 1 1 1 1 1 0 1]\n[0 0 0 0 0 0 0 1 0 0 0 0 0 0 0 0 0 0 0 0 0 0 0 0 0 0 0 0 0 0 0 0 0 0 0 0 0 0 0 0\n    0 0 0 0 0 0 0 0 0 0 0 0 1 0 1 0 0 0 0 1 1 1 0 1 0 0 0 0 0 1 0 1 0 1 1 1 0 0 \n    0 1 0 0 0 0 0 1 0 1 1 0 0 1 1 1 0 0 1 1 0]\n[0 0 0 0 0 0 0 0 1 0 0 0 0 0 0 0 0 0 0 0 0 0 0 0 0 0 0 0 0 0 0 0 0 0 0 0 0 0 0 0\n    0 0 0 0 0 0 0 0 0 0 0 0 0 1 0 1 0 0 0 0 1 1 1 0 1 0 0 0 0 0 1 0 1 0 1 1 1 0 \n    0 0 1 0 0 0 0 0 1 0 1 1 0 0 1 1 1 0 0 1 1]\n[0 0 0 0 0 0 0 0 0 1 0 0 0 0 0 0 0 0 0 0 0 0 0 0 0 0 0 0 0 0 0 0 0 0 0 0 0 0 0 0\n    0 0 0 0 0 0 0 0 0 0 0 0 0 0 1 0 1 0 0 0 0 1 1 1 0 1 0 0 0 0 0 1 0 1 0 1 1 1 \n    0 0 0 1 0 0 0 0 0 1 0 1 1 0 0 1 1 1 0 0 1]\n[0 0 0 0 0 0 0 0 0 0 1 0 0 0 0 0 0 0 0 0 0 0 0 0 0 0 0 0 0 0 0 0 0 0 0 0 0 0 0 0\n    0 0 0 0 0 0 0 0 0 0 0 0 1 0 1 0 0 1 0 1 1 1 1 1 1 0 0 0 1 0 0 1 0 1 0 1 1 0 \n    1 0 0 0 1 1 1 1 1 0 0 1 0 0 0 0 0 0 1 0 0]\n[0 0 0 0 0 0 0 0 0 0 0 1 0 0 0 0 0 0 0 0 0 0 0 0 0 0 0 0 0 0 0 0 0 0 0 0 0 0 0 0\n    0 0 0 0 0 0 0 0 0 0 0 0 0 1 0 1 0 0 1 0 1 1 1 1 1 1 0 0 0 1 0 0 1 0 1 0 1 1 \n    0 1 0 0 0 1 1 1 1 1 0 0 1 0 0 0 0 0 0 1 0]\n[0 0 0 0 0 0 0 0 0 0 0 0 1 0 0 0 0 0 0 0 0 0 0 0 0 0 0 0 0 0 0 0 0 0 0 0 0 0 0 0\n    0 0 0 0 0 0 0 0 0 0 0 0 0 0 1 0 1 0 0 1 0 1 1 1 1 1 1 0 0 0 1 0 0 1 0 1 0 1 \n    1 0 1 0 0 0 1 1 1 1 1 0 0 1 0 0 0 0 0 0 1]\n[0 0 0 0 0 0 0 0 0 0 0 0 0 1 0 0 0 0 0 0 0 0 0 0 0 0 0 0 0 0 0 0 0 0 0 0 0 0 0 0\n    0 0 0 0 0 0 0 0 0 0 0 0 0 0 0 1 0 1 0 0 1 0 1 1 1 1 1 1 0 0 0 1 0 0 1 0 1 0 \n    1 1 0 1 0 0 0 1 1 1 1 1 0 0 1 0 0 0 0 0 0]\n[0 0 0 0 0 0 0 0 0 0 0 0 0 0 1 0 0 0 0 0 0 0 0 0 0 0 0 0 0 0 0 0 0 0 0 0 0 0 0 0\n    0 0 0 0 0 0 0 0 0 0 0 0 1 0 1 1 1 0 1 1 1 0 0 1 1 1 0 1 0 0 0 1 0 1 1 0 0 0 \n    0 1 1 0 1 1 1 1 0 1 0 0 0 1 0 1 1 1 0 0 0]\n[0 0 0 0 0 0 0 0 0 0 0 0 0 0 0 1 0 0 0 0 0 0 0 0 0 0 0 0 0 0 0 0 0 0 0 0 0 0 0 0\n    0 0 0 0 0 0 0 0 0 0 0 0 1 1 1 0 1 1 0 0 0 0 0 0 1 1 0 0 0 0 0 1 0 1 0 0 0 1 \n    0 0 1 1 0 0 0 0 0 0 0 1 1 1 1 0 0 0 1 0 0]\n[0 0 0 0 0 0 0 0 0 0 0 0 0 0 0 0 1 0 0 0 0 0 0 0 0 0 0 0 0 0 0 0 0 0 0 0 0 0 0 0\n    0 0 0 0 0 0 0 0 0 0 0 0 1 1 0 0 0 1 1 1 1 1 0 0 0 1 0 0 1 0 0 1 0 1 0 1 0 1 \n    1 0 0 1 1 1 1 1 1 0 1 1 0 0 1 1 1 1 0 1 0]\n[0 0 0 0 0 0 0 0 0 0 0 0 0 0 0 0 0 1 0 0 0 0 0 0 0 0 0 0 0 0 0 0 0 0 0 0 0 0 0 0\n    0 0 0 0 0 0 0 0 0 0 0 0 1 1 0 1 0 0 1 0 0 0 1 0 0 0 0 0 1 1 0 1 0 1 0 1 1 1 \n    1 1 0 0 1 0 0 0 0 1 1 0 0 1 0 1 0 0 1 0 1]\n[0 0 0 0 0 0 0 0 0 0 0 0 0 0 0 0 0 0 1 0 0 0 0 0 0 0 0 0 0 0 0 0 0 0 0 0 0 0 0 0\n    0 0 0 0 0 0 0 0 0 0 0 0 0 1 1 0 1 0 0 1 0 0 0 1 0 0 0 0 0 1 1 0 1 0 1 0 1 1 \n    1 1 1 0 0 1 0 0 0 0 1 1 0 0 1 0 1 0 0 1 0]\n[0 0 0 0 0 0 0 0 0 0 0 0 0 0 0 0 0 0 0 1 0 0 0 0 0 0 0 0 0 0 0 0 0 0 0 0 0 0 0 0\n    0 0 0 0 0 0 0 0 0 0 0 0 1 0 0 0 0 1 0 1 0 1 0 0 1 0 1 0 1 0 1 0 1 0 1 0 0 0 \n    1 1 1 1 0 1 0 1 1 0 1 0 0 1 0 1 1 0 0 0 1]\n[0 0 0 0 0 0 0 0 0 0 0 0 0 0 0 0 0 0 0 0 1 0 0 0 0 0 0 0 0 0 0 0 0 0 0 0 0 0 0 0\n    0 0 0 0 0 0 0 0 0 0 0 0 0 1 0 0 0 0 1 0 1 0 1 0 0 1 0 1 0 1 0 1 0 1 0 1 0 0 \n    0 1 1 1 1 0 1 0 1 1 0 1 0 0 1 0 1 1 0 0 0]\n[0 0 0 0 0 0 0 0 0 0 0 0 0 0 0 0 0 0 0 0 0 1 0 0 0 0 0 0 0 0 0 0 0 0 0 0 0 0 0 0\n    0 0 0 0 0 0 0 0 0 0 0 0 0 0 1 0 0 0 0 1 0 1 0 1 0 0 1 0 1 0 1 0 1 0 1 0 1 0 \n    0 0 1 1 1 1 0 1 0 1 1 0 1 0 0 1 0 1 1 0 0]\n[0 0 0 0 0 0 0 0 0 0 0 0 0 0 0 0 0 0 0 0 0 0 1 0 0 0 0 0 0 0 0 0 0 0 0 0 0 0 0 0\n    0 0 0 0 0 0 0 0 0 0 0 0 0 0 0 1 0 0 0 0 1 0 1 0 1 0 0 1 0 1 0 1 0 1 0 1 0 1 \n    0 0 0 1 1 1 1 0 1 0 1 1 0 1 0 0 1 0 1 1 0]\n[0 0 0 0 0 0 0 0 0 0 0 0 0 0 0 0 0 0 0 0 0 0 0 1 0 0 0 0 0 0 0 0 0 0 0 0 0 0 0 0\n    0 0 0 0 0 0 0 0 0 0 0 0 0 0 0 0 1 0 0 0 0 1 0 1 0 1 0 0 1 0 1 0 1 0 1 0 1 0 \n    1 0 0 0 1 1 1 1 0 1 0 1 1 0 1 0 0 1 0 1 1]\n[0 0 0 0 0 0 0 0 0 0 0 0 0 0 0 0 0 0 0 0 0 0 0 0 1 0 0 0 0 0 0 0 0 0 0 0 0 0 0 0\n    0 0 0 0 0 0 0 0 0 0 0 0 1 0 1 1 0 1 0 1 1 1 1 0 1 0 0 0 1 1 0 0 1 0 1 0 0 0 \n    0 1 0 0 0 0 0 0 0 0 0 1 0 0 0 1 1 1 1 0 1]\n[0 0 0 0 0 0 0 0 0 0 0 0 0 0 0 0 0 0 0 0 0 0 0 0 0 1 0 0 0 0 0 0 0 0 0 0 0 0 0 0\n    0 0 0 0 0 0 0 0 0 0 0 0 1 1 1 0 1 0 1 1 0 0 1 1 0 1 1 0 1 1 1 1 1 0 1 0 0 1 \n    0 0 1 0 0 1 1 1 1 0 1 1 0 1 0 0 0 0 1 1 0]\n[0 0 0 0 0 0 0 0 0 0 0 0 0 0 0 0 0 0 0 0 0 0 0 0 0 0 1 0 0 0 0 0 0 0 0 0 0 0 0 0\n    0 0 0 0 0 0 0 0 0 0 0 0 1 1 0 0 0 1 0 0 0 1 0 1 1 0 0 1 1 1 1 0 0 0 1 0 0 1 \n    1 0 0 1 0 1 0 0 0 1 1 0 0 1 1 0 1 1 0 1 1]\n[0 0 0 0 0 0 0 0 0 0 0 0 0 0 0 0 0 0 0 0 0 0 0 0 0 0 0 1 0 0 0 0 0 0 0 0 0 0 0 0\n    0 0 0 0 0 0 0 0 0 0 0 0 0 1 1 0 0 0 1 0 0 0 1 0 1 1 0 0 1 1 1 1 0 0 0 1 0 0 \n    1 1 0 0 1 0 1 0 0 0 1 1 0 0 1 1 0 1 1 0 1]\n[0 0 0 0 0 0 0 0 0 0 0 0 0 0 0 0 0 0 0 0 0 0 0 0 0 0 0 0 1 0 0 0 0 0 0 0 0 0 0 0\n    0 0 0 0 0 0 0 0 0 0 0 0 0 0 1 1 0 0 0 1 0 0 0 1 0 1 1 0 0 1 1 1 1 0 0 0 1 0 \n    0 1 1 0 0 1 0 1 0 0 0 1 1 0 0 1 1 0 1 1 0]\n[0 0 0 0 0 0 0 0 0 0 0 0 0 0 0 0 0 0 0 0 0 0 0 0 0 0 0 0 0 1 0 0 0 0 0 0 0 0 0 0\n    0 0 0 0 0 0 0 0 0 0 0 0 0 0 0 1 1 0 0 0 1 0 0 0 1 0 1 1 0 0 1 1 1 1 0 0 0 1 \n    0 0 1 1 0 0 1 0 1 0 0 0 1 1 0 0 1 1 0 1 1]\n[0 0 0 0 0 0 0 0 0 0 0 0 0 0 0 0 0 0 0 0 0 0 0 0 0 0 0 0 0 0 1 0 0 0 0 0 0 0 0 0\n    0 0 0 0 0 0 0 0 0 0 0 0 0 0 0 0 1 1 0 0 0 1 0 0 0 1 0 1 1 0 0 1 1 1 1 0 0 0 \n    1 0 0 1 1 0 0 1 0 1 0 0 0 1 1 0 0 1 1 0 1]\n[0 0 0 0 0 0 0 0 0 0 0 0 0 0 0 0 0 0 0 0 0 0 0 0 0 0 0 0 0 0 0 1 0 0 0 0 0 0 0 0\n    0 0 0 0 0 0 0 0 0 0 0 0 1 0 1 1 0 1 1 1 1 1 1 0 0 0 0 0 0 1 0 1 0 0 0 0 0 1 \n    0 1 0 0 1 0 1 1 0 0 0 1 1 1 1 1 1 1 1 1 0]\n[0 0 0 0 0 0 0 0 0 0 0 0 0 0 0 0 0 0 0 0 0 0 0 0 0 0 0 0 0 0 0 0 1 0 0 0 0 0 0 0\n    0 0 0 0 0 0 0 0 0 0 0 0 0 1 0 1 1 0 1 1 1 1 1 1 0 0 0 0 0 0 1 0 1 0 0 0 0 0 \n    1 0 1 0 0 1 0 1 1 0 0 0 1 1 1 1 1 1 1 1 1]\n[0 0 0 0 0 0 0 0 0 0 0 0 0 0 0 0 0 0 0 0 0 0 0 0 0 0 0 0 0 0 0 0 0 1 0 0 0 0 0 0\n    0 0 0 0 0 0 0 0 0 0 0 0 0 0 1 0 1 1 0 1 1 1 1 1 1 0 0 0 0 0 0 1 0 1 0 0 0 0 \n    0 1 0 1 0 0 1 0 1 1 0 0 0 1 1 1 1 1 1 1 1]\n[0 0 0 0 0 0 0 0 0 0 0 0 0 0 0 0 0 0 0 0 0 0 0 0 0 0 0 0 0 0 0 0 0 0 1 0 0 0 0 0\n    0 0 0 0 0 0 0 0 0 0 0 0 0 0 0 1 0 1 1 0 1 1 1 1 1 1 0 0 0 0 0 0 1 0 1 0 0 0 \n    0 0 1 0 1 0 0 1 0 1 1 0 0 0 1 1 1 1 1 1 1]\n[0 0 0 0 0 0 0 0 0 0 0 0 0 0 0 0 0 0 0 0 0 0 0 0 0 0 0 0 0 0 0 0 0 0 0 1 0 0 0 0\n    0 0 0 0 0 0 0 0 0 0 0 0 1 0 1 1 1 0 1 0 1 0 1 1 1 1 0 0 1 0 0 1 1 0 1 0 0 1 \n    0 0 0 1 0 0 1 1 0 0 0 0 1 1 0 1 0 0 1 1 1]\n[0 0 0 0 0 0 0 0 0 0 0 0 0 0 0 0 0 0 0 0 0 0 0 0 0 0 0 0 0 0 0 0 0 0 0 0 1 0 0 0\n    0 0 0 0 0 0 0 0 0 0 0 0 1 1 1 0 1 1 0 0 1 0 0 1 1 1 0 0 1 1 0 1 0 0 1 0 0 1 \n    1 0 0 0 1 1 1 0 0 0 1 1 1 0 1 0 0 1 0 1 1]\n[0 0 0 0 0 0 0 0 0 0 0 0 0 0 0 0 0 0 0 0 0 0 0 0 0 0 0 0 0 0 0 0 0 0 0 0 0 1 0 0\n    0 0 0 0 0 0 0 0 0 0 0 0 0 1 1 1 0 1 1 0 0 1 0 0 1 1 1 0 0 1 1 0 1 0 0 1 0 0 \n    1 1 0 0 0 1 1 1 0 0 0 1 1 1 0 1 0 0 1 0 1]\n[0 0 0 0 0 0 0 0 0 0 0 0 0 0 0 0 0 0 0 0 0 0 0 0 0 0 0 0 0 0 0 0 0 0 0 0 0 0 1 0\n    0 0 0 0 0 0 0 0 0 0 0 0 0 0 1 1 1 0 1 1 0 0 1 0 0 1 1 1 0 0 1 1 0 1 0 0 1 0 \n    0 1 1 0 0 0 1 1 1 0 0 0 1 1 1 0 1 0 0 1 0]\n[0 0 0 0 0 0 0 0 0 0 0 0 0 0 0 0 0 0 0 0 0 0 0 0 0 0 0 0 0 0 0 0 0 0 0 0 0 0 0 1\n    0 0 0 0 0 0 0 0 0 0 0 0 0 0 0 1 1 1 0 1 1 0 0 1 0 0 1 1 1 0 0 1 1 0 1 0 0 1 \n    0 0 1 1 0 0 0 1 1 1 0 0 0 1 1 1 0 1 0 0 1]\n[0 0 0 0 0 0 0 0 0 0 0 0 0 0 0 0 0 0 0 0 0 0 0 0 0 0 0 0 0 0 0 0 0 0 0 0 0 0 0 0\n    1 0 0 0 0 0 0 0 0 0 0 0 1 0 1 1 1 1 1 1 0 0 0 0 1 0 1 1 0 1 0 1 0 0 1 0 0 1 \n    1 0 0 1 1 1 1 1 0 1 0 1 1 1 1 1 0 1 1 0 0]\n[0 0 0 0 0 0 0 0 0 0 0 0 0 0 0 0 0 0 0 0 0 0 0 0 0 0 0 0 0 0 0 0 0 0 0 0 0 0 0 0\n    0 1 0 0 0 0 0 0 0 0 0 0 0 1 0 1 1 1 1 1 1 0 0 0 0 1 0 1 1 0 1 0 1 0 0 1 0 0 \n    1 1 0 0 1 1 1 1 1 0 1 0 1 1 1 1 1 0 1 1 0]\n[0 0 0 0 0 0 0 0 0 0 0 0 0 0 0 0 0 0 0 0 0 0 0 0 0 0 0 0 0 0 0 0 0 0 0 0 0 0 0 0\n    0 0 1 0 0 0 0 0 0 0 0 0 1 0 0 1 1 1 1 0 0 0 0 0 0 0 0 0 0 1 0 0 1 0 1 1 1 1 \n    0 1 1 0 0 0 0 0 0 1 1 0 1 0 1 1 0 0 0 1 1]\n[0 0 0 0 0 0 0 0 0 0 0 0 0 0 0 0 0 0 0 0 0 0 0 0 0 0 0 0 0 0 0 0 0 0 0 0 0 0 0 0\n    0 0 0 1 0 0 0 0 0 0 0 0 0 1 0 0 1 1 1 1 0 0 0 0 0 0 0 0 0 0 1 0 0 1 0 1 1 1 \n    1 0 1 1 0 0 0 0 0 0 1 1 0 1 0 1 1 0 0 0 1]\n[0 0 0 0 0 0 0 0 0 0 0 0 0 0 0 0 0 0 0 0 0 0 0 0 0 0 0 0 0 0 0 0 0 0 0 0 0 0 0 0\n    0 0 0 0 1 0 0 0 0 0 0 0 1 0 0 1 0 1 1 0 0 1 0 0 0 0 1 0 1 0 0 0 1 1 0 1 1 0 \n    1 1 0 1 1 1 1 1 1 0 1 0 0 1 1 0 0 0 0 0 0]\n[0 0 0 0 0 0 0 0 0 0 0 0 0 0 0 0 0 0 0 0 0 0 0 0 0 0 0 0 0 0 0 0 0 0 0 0 0 0 0 0\n    0 0 0 0 0 1 0 0 0 0 0 0 0 1 0 0 1 0 1 1 0 0 1 0 0 0 0 1 0 1 0 0 0 1 1 0 1 1 \n    0 1 1 0 1 1 1 1 1 1 0 1 0 0 1 1 0 0 0 0 0]\n[0 0 0 0 0 0 0 0 0 0 0 0 0 0 0 0 0 0 0 0 0 0 0 0 0 0 0 0 0 0 0 0 0 0 0 0 0 0 0 0\n    0 0 0 0 0 0 1 0 0 0 0 0 0 0 1 0 0 1 0 1 1 0 0 1 0 0 0 0 1 0 1 0 0 0 1 1 0 1 \n    1 0 1 1 0 1 1 1 1 1 1 0 1 0 0 1 1 0 0 0 0]\n[0 0 0 0 0 0 0 0 0 0 0 0 0 0 0 0 0 0 0 0 0 0 0 0 0 0 0 0 0 0 0 0 0 0 0 0 0 0 0 0\n    0 0 0 0 0 0 0 1 0 0 0 0 0 0 0 1 0 0 1 0 1 1 0 0 1 0 0 0 0 1 0 1 0 0 0 1 1 0 \n    1 1 0 1 1 0 1 1 1 1 1 1 0 1 0 0 1 1 0 0 0]\n[0 0 0 0 0 0 0 0 0 0 0 0 0 0 0 0 0 0 0 0 0 0 0 0 0 0 0 0 0 0 0 0 0 0 0 0 0 0 0 0\n    0 0 0 0 0 0 0 0 1 0 0 0 1 0 1 1 1 0 0 0 1 0 1 0 0 1 1 0 1 0 1 1 0 1 1 1 1 0 \n    0 1 1 0 1 0 1 0 0 1 0 0 0 1 1 0 1 0 1 0 0]\n[0 0 0 0 0 0 0 0 0 0 0 0 0 0 0 0 0 0 0 0 0 0 0 0 0 0 0 0 0 0 0 0 0 0 0 0 0 0 0 0\n    0 0 0 0 0 0 0 0 0 1 0 0 1 1 1 0 1 1 0 1 1 0 0 1 0 0 0 1 1 1 0 0 0 1 0 0 1 0 \n    0 0 1 1 0 0 1 0 1 0 0 1 1 1 1 1 1 0 0 1 0]\n[0 0 0 0 0 0 0 0 0 0 0 0 0 0 0 0 0 0 0 0 0 0 0 0 0 0 0 0 0 0 0 0 0 0 0 0 0 0 0 0\n    0 0 0 0 0 0 0 0 0 0 1 0 1 1 0 0 0 1 1 1 0 0 0 0 1 0 1 0 0 1 1 1 1 1 0 1 0 0 \n    0 0 0 1 1 1 1 0 1 1 1 1 0 0 1 1 0 0 0 0 1]\n[0 0 0 0 0 0 0 0 0 0 0 0 0 0 0 0 0 0 0 0 0 0 0 0 0 0 0 0 0 0 0 0 0 0 0 0 0 0 0 0\n    0 0 0 0 0 0 0 0 0 0 0 1 0 1 1 0 0 0 1 1 1 0 0 0 0 1 0 1 0 0 1 1 1 1 1 0 1 0 \n    0 0 0 0 1 1 1 1 0 1 1 1 1 0 0 1 1 0 0 0 0]\nLinear Code over GF(2) of length 99 with 52 generators.\nLower Bound: 1, Upper Bound: 48\nConstructed 2 distinct generator matrices\nRelative Ranks:  52  47 \nTime Taken: 0.00\nStarting search for low weight codewords... (reset timings)\nEnumerating using 1 generator at a time:\n     New codeword identified of weight 25, time 0.00\n     New codeword identified of weight 21, time 0.00\n     New codeword identified of weight 20, time 0.00\n     New codeword identified of weight 18, time 0.00\n   Completed Matrix  1:  lower =  2, upper = 18. Elapsed: 0.00s\n   Completed Matrix  2:  lower =  2, upper = 18. Elapsed: 0.00s\nTermination predicted with 11 generators at matrix 1\nEnumerating using 2 generators at a time:\n     New codeword identified of weight 17, time 0.00\n   Completed Matrix  1:  lower =  3, upper = 17. Elapsed: 0.00s\n     New codeword identified of weight 15, time 0.00\n   Completed Matrix  2:  lower =  3, upper = 15. Elapsed: 0.00s\nTermination predicted with 9 generators at matrix 2\nEnumerating using 3 generators at a time:\n   Completed Matrix  1:  lower =  4, upper = 15. Elapsed: 0.00s\n   Completed Matrix  2:  lower =  4, upper = 15. Elapsed: 0.00s\nTermination predicted with 9 generators at matrix 2\nEnumerating using 4 generators at a time:\n   Completed Matrix  1:  lower =  5, upper = 15. Elapsed: 0.00s\n   Completed Matrix  2:  lower =  5, upper = 15. Elapsed: 0.00s\nTermination predicted with 9 generators at matrix 2\nEnumerating using 5 generators at a time:\n   Completed Matrix  1:  lower =  6, upper = 15. Elapsed: 0.00s\n   Completed Matrix  2:  lower =  7, upper = 15. Elapsed: 0.00s\nTermination predicted with 9 generators at matrix 2\nEnumerating using 6 generators at a time:\n   Completed Matrix  1:  lower =  8, upper = 15. Elapsed: 0.05s\n   Completed Matrix  2:  lower =  9, upper = 15. Elapsed: 0.09s\nTermination predicted with 9 generators at matrix 2\nEnumerating using 7 generators at a time:\n   Completed Matrix  1:  lower = 10, upper = 15. Elapsed: 0.36s\n   Completed Matrix  2:  lower = 11, upper = 15. Elapsed: 0.63s\nTermination predicted at 18 s with 9 generators at matrix 2\nEnumerating using 8 generators at a time:\n   Completed Matrix  1:  lower = 12, upper = 15. Elapsed: 2.16s\n   Completed Matrix  2:  lower = 13, upper = 15. Elapsed: 3.72s\nTermination predicted at 19 s with 9 generators at matrix 2\nEnumerating using 9 generators at a time:\n   Completed Matrix  1:  lower = 14, upper = 15. Elapsed: 11.53s\n   Completed Matrix  2:  lower = 15, upper = 15. Elapsed: 19.41s\nComputation complete 9177299586 vectors enumerated in total\n (0.000204% of 99 52 code)\nFinal Results: lower = 15, upper = 15,\nTotal CPU time: 19.41, real time: 19.452\n15\n\nTotal time: 19.419 seconds, Total memory usage: 32.09MB\n</t>
  </si>
  <si>
    <t>[[100,52,16]]</t>
  </si>
  <si>
    <t>Magma V2.28-26    Tue Dec 30 2025 10:37:19 on Marks-MacBook-Air-2 [Seed = \n221761419]\nType ? for help.  Type &lt;Ctrl&gt;-D to quit.\n[1 0 0 0 1 1 1 0 0 0 0 1 0 1 0 0 1 1 1 1 1 0 1 0 0 0 0 0 1 1 1 1 0 1 1 1 1 0 0 1\n    1 0 0 0 0 1 0 1 1 0 0 0 0 0 0 0 0 0 0 0 0 0 0 0 0 0 0 0 0 0 0 0 0 0 0 0 0 0 \n    0 0 0 0 0 0 0 0 0 0 0 0 0 0 0 0 0 0 0 0 0 0]\n[0 1 0 0 1 0 0 1 0 0 0 1 1 1 1 0 1 0 0 0 0 1 1 1 0 0 0 0 1 0 0 0 1 1 0 0 0 1 0 1\n    0 1 0 0 0 1 1 1 0 1 0 0 0 0 0 0 0 0 0 0 0 0 0 0 0 0 0 0 0 0 0 0 0 0 0 0 0 0 \n    0 0 0 0 0 0 0 0 0 0 0 0 0 0 0 0 0 0 0 0 0 0]\n[0 0 1 0 1 0 1 0 1 0 0 1 1 0 1 1 1 0 1 1 1 0 0 1 1 0 0 0 1 0 1 1 0 0 0 1 1 0 1 1\n    0 0 1 0 0 1 1 0 0 0 1 0 0 0 0 0 0 0 0 0 0 0 0 0 0 0 0 0 0 0 0 0 0 0 0 0 0 0 \n    0 0 0 0 0 0 0 0 0 0 0 0 0 0 0 0 0 0 0 0 0 0]\n[0 0 0 1 0 1 0 1 0 1 0 0 1 1 0 1 1 1 0 1 1 1 0 0 1 1 0 0 0 1 0 1 1 0 0 0 1 1 0 1\n    1 0 0 1 0 0 1 1 0 0 0 1 0 0 0 0 0 0 0 0 0 0 0 0 0 0 0 0 0 0 0 0 0 0 0 0 0 0 \n    0 0 0 0 0 0 0 0 0 0 0 0 0 0 0 0 0 0 0 0 0 0]\n[0 0 0 0 0 1 0 0 1 0 1 1 0 0 1 0 0 0 0 1 0 1 0 0 0 1 1 0 1 1 0 1 1 0 1 1 1 1 1 1\n    0 1 0 0 1 1 0 0 0 0 0 0 1 0 0 0 0 0 0 0 0 0 0 0 0 0 0 0 0 0 0 0 0 0 0 0 0 0 \n    0 0 0 0 0 0 0 0 0 0 0 0 0 0 0 0 0 0 0 0 0 0]\n[0 0 0 0 0 0 1 0 0 1 0 1 1 0 0 1 0 0 0 0 1 0 1 0 0 0 1 1 0 1 1 0 1 1 0 1 1 1 1 1\n    1 0 1 0 0 1 1 0 0 0 0 0 0 1 0 0 0 0 0 0 0 0 0 0 0 0 0 0 0 0 0 0 0 0 0 0 0 0 \n    0 0 0 0 0 0 0 0 0 0 0 0 0 0 0 0 0 0 0 0 0 0]\n[0 0 0 0 0 0 0 1 0 0 1 0 1 1 0 0 1 0 0 0 0 1 0 1 0 0 0 1 1 0 1 1 0 1 1 0 1 1 1 1\n    1 1 0 1 0 0 1 1 0 0 0 0 0 0 1 0 0 0 0 0 0 0 0 0 0 0 0 0 0 0 0 0 0 0 0 0 0 0 \n    0 0 0 0 0 0 0 0 0 0 0 0 0 0 0 0 0 0 0 0 0 0]\n[0 0 0 0 1 1 1 0 1 0 0 0 0 0 1 0 1 0 1 1 1 0 0 0 1 0 0 0 0 0 1 0 1 1 0 0 1 1 1 0\n    0 1 1 0 1 1 0 0 0 0 0 0 0 0 0 1 0 0 0 0 0 0 0 0 0 0 0 0 0 0 0 0 0 0 0 0 0 0 \n    0 0 0 0 0 0 0 0 0 0 0 0 0 0 0 0 0 0 0 0 0 0]\n[1 0 0 0 0 1 1 1 0 1 0 0 0 0 0 1 0 1 0 1 1 1 0 0 0 1 0 0 0 0 0 1 0 1 1 0 0 1 1 1\n    0 0 1 1 0 1 1 0 0 0 0 0 0 0 0 0 1 0 0 0 0 0 0 0 0 0 0 0 0 0 0 0 0 0 0 0 0 0 \n    0 0 0 0 0 0 0 0 0 0 0 0 0 0 0 0 0 0 0 0 0 0]\n[0 1 0 0 0 0 1 1 1 0 1 0 0 0 0 0 1 0 1 0 1 1 1 0 0 0 1 0 0 0 0 0 1 0 1 1 0 0 1 1\n    1 0 0 1 1 0 1 1 0 0 0 0 0 0 0 0 0 1 0 0 0 0 0 0 0 0 0 0 0 0 0 0 0 0 0 0 0 0 \n    0 0 0 0 0 0 0 0 0 0 0 0 0 0 0 0 0 0 0 0 0 0]\n[0 0 1 0 1 1 1 1 1 1 0 0 0 1 0 0 1 0 1 0 1 1 0 1 0 0 0 1 1 1 1 1 0 0 1 0 0 0 0 0\n    0 1 0 0 1 0 0 0 0 0 0 0 0 0 0 0 0 0 1 0 0 0 0 0 0 0 0 0 0 0 0 0 0 0 0 0 0 0 \n    0 0 0 0 0 0 0 0 0 0 0 0 0 0 0 0 0 0 0 0 0 0]\n[1 0 0 1 0 1 1 1 1 1 1 0 0 0 1 0 0 1 0 1 0 1 1 0 1 0 0 0 1 1 1 1 1 0 0 1 0 0 0 0\n    0 0 1 0 0 1 0 0 0 0 0 0 0 0 0 0 0 0 0 1 0 0 0 0 0 0 0 0 0 0 0 0 0 0 0 0 0 0 \n    0 0 0 0 0 0 0 0 0 0 0 0 0 0 0 0 0 0 0 0 0 0]\n[0 1 0 0 1 0 1 1 1 1 1 1 0 0 0 1 0 0 1 0 1 0 1 1 0 1 0 0 0 1 1 1 1 1 0 0 1 0 0 0\n    0 0 0 1 0 0 1 0 0 0 0 0 0 0 0 0 0 0 0 0 1 0 0 0 0 0 0 0 0 0 0 0 0 0 0 0 0 0 \n    0 0 0 0 0 0 0 0 0 0 0 0 0 0 0 0 0 0 0 0 0 0]\n[1 0 1 0 0 1 0 1 1 1 1 1 1 0 0 0 1 0 0 1 0 1 0 1 1 0 1 0 0 0 1 1 1 1 1 0 0 1 0 0\n    0 0 0 0 1 0 0 1 0 0 0 0 0 0 0 0 0 0 0 0 0 1 0 0 0 0 0 0 0 0 0 0 0 0 0 0 0 0 \n    0 0 0 0 0 0 0 0 0 0 0 0 0 0 0 0 0 0 0 0 0 0]\n[1 1 0 1 1 1 0 0 1 1 1 0 1 0 0 0 1 0 1 1 0 0 0 0 1 1 0 1 1 1 1 0 1 0 0 0 1 0 1 1\n    1 0 0 0 0 0 0 1 0 0 0 0 0 0 0 0 0 0 0 0 0 0 1 0 0 0 0 0 0 0 0 0 0 0 0 0 0 0 \n    0 0 0 0 0 0 0 0 0 0 0 0 0 0 0 0 0 0 0 0 0 0]\n[0 1 1 0 0 0 0 0 0 1 1 0 0 0 0 0 1 0 1 0 0 0 1 0 0 1 1 0 0 0 0 0 0 0 1 1 1 1 0 0\n    0 1 0 0 0 1 0 1 0 0 0 0 0 0 0 0 0 0 0 0 0 0 0 1 0 0 0 0 0 0 0 0 0 0 0 0 0 0 \n    0 0 0 0 0 0 0 0 0 0 0 0 0 0 0 0 0 0 0 0 0 0]\n[0 0 1 1 1 1 1 0 0 0 1 0 0 1 0 0 1 0 1 0 1 0 1 1 0 0 1 1 1 1 1 1 0 1 1 0 0 1 1 1\n    1 0 1 0 0 1 1 1 0 0 0 0 0 0 0 0 0 0 0 0 0 0 0 0 1 0 0 0 0 0 0 0 0 0 0 0 0 0 \n    0 0 0 0 0 0 0 0 0 0 0 0 0 0 0 0 0 0 0 0 0 0]\n[1 0 0 1 0 0 0 1 0 0 0 0 0 1 1 0 1 0 1 0 1 1 1 1 1 0 0 1 0 0 0 0 1 1 0 0 1 0 1 0\n    0 1 0 1 0 1 1 0 0 0 0 0 0 0 0 0 0 0 0 0 0 0 0 0 0 1 0 0 0 0 0 0 0 0 0 0 0 0 \n    0 0 0 0 0 0 0 0 0 0 0 0 0 0 0 0 0 0 0 0 0 0]\n[0 1 0 0 1 0 0 0 1 0 0 0 0 0 1 1 0 1 0 1 0 1 1 1 1 1 0 0 1 0 0 0 0 1 1 0 0 1 0 1\n    0 0 1 0 1 0 1 1 0 0 0 0 0 0 0 0 0 0 0 0 0 0 0 0 0 0 1 0 0 0 0 0 0 0 0 0 0 0 \n    0 0 0 0 0 0 0 0 0 0 0 0 0 0 0 0 0 0 0 0 0 0]\n[0 0 1 0 1 0 1 0 0 1 0 1 0 1 0 1 0 1 0 1 0 0 0 1 1 1 1 0 1 0 1 1 0 1 0 0 1 0 1 1\n    0 0 0 1 0 0 0 0 0 0 0 0 0 0 0 0 0 0 0 0 0 0 0 0 0 0 0 1 0 0 0 0 0 0 0 0 0 0 \n    0 0 0 0 0 0 0 0 0 0 0 0 0 0 0 0 0 0 0 0 0 0]\n[0 0 0 1 0 1 0 1 0 0 1 0 1 0 1 0 1 0 1 0 1 0 0 0 1 1 1 1 0 1 0 1 1 0 1 0 0 1 0 1\n    1 0 0 0 1 0 0 0 0 0 0 0 0 0 0 0 0 0 0 0 0 0 0 0 0 0 0 0 1 0 0 0 0 0 0 0 0 0 \n    0 0 0 0 0 0 0 0 0 0 0 0 0 0 0 0 0 0 0 0 0 0]\n[0 0 0 0 1 0 1 0 1 0 0 1 0 1 0 1 0 1 0 1 0 1 0 0 0 1 1 1 1 0 1 0 1 1 0 1 0 0 1 0\n    1 1 0 0 0 1 0 0 0 0 0 0 0 0 0 0 0 0 0 0 0 0 0 0 0 0 0 0 0 1 0 0 0 0 0 0 0 0 \n    0 0 0 0 0 0 0 0 0 0 0 0 0 0 0 0 0 0 0 0 0 0]\n[1 0 0 0 0 1 0 1 0 1 0 0 1 0 1 0 1 0 1 0 1 0 1 0 0 0 1 1 1 1 0 1 0 1 1 0 1 0 0 1\n    0 1 1 0 0 0 1 0 0 0 0 0 0 0 0 0 0 0 0 0 0 0 0 0 0 0 0 0 0 0 1 0 0 0 0 0 0 0 \n    0 0 0 0 0 0 0 0 0 0 0 0 0 0 0 0 0 0 0 0 0 0]\n[0 1 0 0 0 0 1 0 1 0 1 0 0 1 0 1 0 1 0 1 0 1 0 1 0 0 0 1 1 1 1 0 1 0 1 1 0 1 0 0\n    1 0 1 1 0 0 0 1 0 0 0 0 0 0 0 0 0 0 0 0 0 0 0 0 0 0 0 0 0 0 0 1 0 0 0 0 0 0 \n    0 0 0 0 0 0 0 0 0 0 0 0 0 0 0 0 0 0 0 0 0 0]\n[1 0 1 0 1 1 1 1 0 1 0 0 0 1 1 0 0 1 0 1 0 0 0 0 1 0 0 0 0 0 0 0 0 0 1 0 0 0 1 1\n    1 1 0 1 1 1 0 1 0 0 0 0 0 0 0 0 0 0 0 0 0 0 0 0 0 0 0 0 0 0 0 0 1 0 0 0 0 0 \n    0 0 0 0 0 0 0 0 0 0 0 0 0 0 0 0 0 0 0 0 0 0]\n[0 1 0 1 1 0 0 1 1 0 1 1 0 1 1 1 1 1 0 1 0 0 1 0 0 1 0 0 1 1 1 1 0 1 1 0 1 0 0 0\n    0 1 1 0 1 0 1 1 0 0 0 0 0 0 0 0 0 0 0 0 0 0 0 0 0 0 0 0 0 0 0 0 0 1 0 0 0 0 \n    0 0 0 0 0 0 0 0 0 0 0 0 0 0 0 0 0 0 0 0 0 0]\n[0 0 1 0 0 0 1 0 1 1 0 0 1 1 1 1 0 0 0 1 0 0 1 1 0 0 1 0 1 0 0 0 1 1 0 0 1 1 0 1\n    1 0 1 1 0 0 0 0 0 0 0 0 0 0 0 0 0 0 0 0 0 0 0 0 0 0 0 0 0 0 0 0 0 0 1 0 0 0 \n    0 0 0 0 0 0 0 0 0 0 0 0 0 0 0 0 0 0 0 0 0 0]\n[0 0 0 1 0 0 0 1 0 1 1 0 0 1 1 1 1 0 0 0 1 0 0 1 1 0 0 1 0 1 0 0 0 1 1 0 0 1 1 0\n    1 1 0 1 1 0 0 0 0 0 0 0 0 0 0 0 0 0 0 0 0 0 0 0 0 0 0 0 0 0 0 0 0 0 0 1 0 0 \n    0 0 0 0 0 0 0 0 0 0 0 0 0 0 0 0 0 0 0 0 0 0]\n[1 0 0 0 1 0 0 0 1 0 1 1 0 0 1 1 1 1 0 0 0 1 0 0 1 1 0 0 1 0 1 0 0 0 1 1 0 0 1 1\n    0 1 1 0 1 1 0 0 0 0 0 0 0 0 0 0 0 0 0 0 0 0 0 0 0 0 0 0 0 0 0 0 0 0 0 0 1 0 \n    0 0 0 0 0 0 0 0 0 0 0 0 0 0 0 0 0 0 0 0 0 0]\n[1 1 0 0 0 1 0 0 0 1 0 1 1 0 0 1 1 1 1 0 0 0 1 0 0 1 1 0 0 1 0 1 0 0 0 1 1 0 0 1\n    1 0 1 1 0 1 1 0 0 0 0 0 0 0 0 0 0 0 0 0 0 0 0 0 0 0 0 0 0 0 0 0 0 0 0 0 0 1 \n    0 0 0 0 0 0 0 0 0 0 0 0 0 0 0 0 0 0 0 0 0 0]\n[0 1 1 0 0 0 1 0 0 0 1 0 1 1 0 0 1 1 1 1 0 0 0 1 0 0 1 1 0 0 1 0 1 0 0 0 1 1 0 0\n    1 1 0 1 1 0 1 1 0 0 0 0 0 0 0 0 0 0 0 0 0 0 0 0 0 0 0 0 0 0 0 0 0 0 0 0 0 0 \n    1 0 0 0 0 0 0 0 0 0 0 0 0 0 0 0 0 0 0 0 0 0]\n[1 0 1 1 1 1 1 1 0 0 0 0 0 0 1 0 1 0 0 0 0 0 1 0 1 0 0 1 0 1 1 0 0 0 1 1 1 1 1 1\n    1 1 1 0 1 0 0 0 0 0 0 0 0 0 0 0 0 0 0 0 0 0 0 0 0 0 0 0 0 0 0 0 0 0 0 0 0 0 \n    0 1 0 0 0 0 0 0 0 0 0 0 0 0 0 0 0 0 0 0 0 0]\n[1 1 0 1 1 1 1 1 1 0 0 0 0 0 0 1 0 1 0 0 0 0 0 1 0 1 0 0 1 0 1 1 0 0 0 1 1 1 1 1\n    1 1 1 1 0 1 0 0 0 0 0 0 0 0 0 0 0 0 0 0 0 0 0 0 0 0 0 0 0 0 0 0 0 0 0 0 0 0 \n    0 0 1 0 0 0 0 0 0 0 0 0 0 0 0 0 0 0 0 0 0 0]\n[0 1 1 0 1 1 1 1 1 1 0 0 0 0 0 0 1 0 1 0 0 0 0 0 1 0 1 0 0 1 0 1 1 0 0 0 1 1 1 1\n    1 1 1 1 1 0 1 0 0 0 0 0 0 0 0 0 0 0 0 0 0 0 0 0 0 0 0 0 0 0 0 0 0 0 0 0 0 0 \n    0 0 0 1 0 0 0 0 0 0 0 0 0 0 0 0 0 0 0 0 0 0]\n[1 0 1 1 0 1 1 1 1 1 1 0 0 0 0 0 0 1 0 1 0 0 0 0 0 1 0 1 0 0 1 0 1 1 0 0 0 1 1 1\n    1 1 1 1 1 1 0 1 0 0 0 0 0 0 0 0 0 0 0 0 0 0 0 0 0 0 0 0 0 0 0 0 0 0 0 0 0 0 \n    0 0 0 0 1 0 0 0 0 0 0 0 0 0 0 0 0 0 0 0 0 0]\n[1 1 0 1 0 1 0 1 1 1 1 0 0 1 0 0 1 1 0 1 0 0 1 0 0 0 1 0 0 1 1 0 0 0 0 1 1 0 1 0\n    0 1 1 1 1 0 1 1 0 0 0 0 0 0 0 0 0 0 0 0 0 0 0 0 0 0 0 0 0 0 0 0 0 0 0 0 0 0 \n    0 0 0 0 0 1 0 0 0 0 0 0 0 0 0 0 0 0 0 0 0 0]\n[0 1 1 0 0 1 0 0 1 1 1 0 0 1 1 0 1 0 0 1 0 0 1 1 0 0 0 1 1 1 0 0 0 1 1 1 0 1 0 0\n    1 0 1 1 1 0 0 0 0 0 0 0 0 0 0 0 0 0 0 0 0 0 0 0 0 0 0 0 0 0 0 0 0 0 0 0 0 0 \n    0 0 0 0 0 0 1 0 0 0 0 0 0 0 0 0 0 0 0 0 0 0]\n[1 0 1 1 0 0 1 0 0 1 1 1 0 0 1 1 0 1 0 0 1 0 0 1 1 0 0 0 1 1 1 0 0 0 1 1 1 0 1 0\n    0 1 0 1 1 1 0 0 0 0 0 0 0 0 0 0 0 0 0 0 0 0 0 0 0 0 0 0 0 0 0 0 0 0 0 0 0 0 \n    0 0 0 0 0 0 0 1 0 0 0 0 0 0 0 0 0 0 0 0 0 0]\n[1 1 0 1 1 0 0 1 0 0 1 1 1 0 0 1 1 0 1 0 0 1 0 0 1 1 0 0 0 1 1 1 0 0 0 1 1 1 0 1\n    0 0 1 0 1 1 1 0 0 0 0 0 0 0 0 0 0 0 0 0 0 0 0 0 0 0 0 0 0 0 0 0 0 0 0 0 0 0 \n    0 0 0 0 0 0 0 0 1 0 0 0 0 0 0 0 0 0 0 0 0 0]\n[1 1 1 0 1 1 0 0 1 0 0 1 1 1 0 0 1 1 0 1 0 0 1 0 0 1 1 0 0 0 1 1 1 0 0 0 1 1 1 0\n    1 0 0 1 0 1 1 1 0 0 0 0 0 0 0 0 0 0 0 0 0 0 0 0 0 0 0 0 0 0 0 0 0 0 0 0 0 0 \n    0 0 0 0 0 0 0 0 0 1 0 0 0 0 0 0 0 0 0 0 0 0]\n[1 1 1 1 1 0 0 0 0 1 0 1 1 0 1 0 1 0 0 1 0 0 1 1 0 0 1 1 1 1 1 0 1 0 1 1 1 1 1 0\n    1 1 0 0 1 1 1 0 0 0 0 0 0 0 0 0 0 0 0 0 0 0 0 0 0 0 0 0 0 0 0 0 0 0 0 0 0 0 \n    0 0 0 0 0 0 0 0 0 0 1 0 0 0 0 0 0 0 0 0 0 0]\n[1 1 1 1 1 1 0 0 0 0 1 0 1 1 0 1 0 1 0 0 1 0 0 1 1 0 0 1 1 1 1 1 0 1 0 1 1 1 1 1\n    0 1 1 0 0 1 1 1 0 0 0 0 0 0 0 0 0 0 0 0 0 0 0 0 0 0 0 0 0 0 0 0 0 0 0 0 0 0 \n    0 0 0 0 0 0 0 0 0 0 0 1 0 0 0 0 0 0 0 0 0 0]\n[1 1 1 1 0 0 0 0 0 0 0 0 0 0 1 0 0 1 0 1 1 1 1 0 1 1 0 0 0 0 0 0 1 1 0 1 0 1 1 0\n    0 0 1 1 0 1 1 0 0 0 0 0 0 0 0 0 0 0 0 0 0 0 0 0 0 0 0 0 0 0 0 0 0 0 0 0 0 0 \n    0 0 0 0 0 0 0 0 0 0 0 0 1 0 0 0 0 0 0 0 0 0]\n[0 1 1 1 1 0 0 0 0 0 0 0 0 0 0 1 0 0 1 0 1 1 1 1 0 1 1 0 0 0 0 0 0 1 1 0 1 0 1 1\n    0 0 0 1 1 0 1 1 0 0 0 0 0 0 0 0 0 0 0 0 0 0 0 0 0 0 0 0 0 0 0 0 0 0 0 0 0 0 \n    0 0 0 0 0 0 0 0 0 0 0 0 0 1 0 0 0 0 0 0 0 0]\n[1 0 1 1 0 0 1 0 0 0 0 1 0 1 0 0 0 1 1 0 1 1 0 1 1 0 1 1 1 1 1 1 0 1 0 0 1 1 0 0\n    0 0 0 0 1 0 0 0 0 0 0 0 0 0 0 0 0 0 0 0 0 0 0 0 0 0 0 0 0 0 0 0 0 0 0 0 0 0 \n    0 0 0 0 0 0 0 0 0 0 0 0 0 0 1 0 0 0 0 0 0 0]\n[0 1 0 1 1 0 0 1 0 0 0 0 1 0 1 0 0 0 1 1 0 1 1 0 1 1 0 1 1 1 1 1 1 0 1 0 0 1 1 0\n    0 0 0 0 0 1 0 0 0 0 0 0 0 0 0 0 0 0 0 0 0 0 0 0 0 0 0 0 0 0 0 0 0 0 0 0 0 0 \n    0 0 0 0 0 0 0 0 0 0 0 0 0 0 0 1 0 0 0 0 0 0]\n[0 0 1 0 1 1 0 0 1 0 0 0 0 1 0 1 0 0 0 1 1 0 1 1 0 1 1 0 1 1 1 1 1 1 0 1 0 0 1 1\n    0 0 0 0 0 0 1 0 0 0 0 0 0 0 0 0 0 0 0 0 0 0 0 0 0 0 0 0 0 0 0 0 0 0 0 0 0 0 \n    0 0 0 0 0 0 0 0 0 0 0 0 0 0 0 0 1 0 0 0 0 0]\n[1 0 0 1 0 1 1 0 0 1 0 0 0 0 1 0 1 0 0 0 1 1 0 1 1 0 1 1 0 1 1 1 1 1 1 0 1 0 0 1\n    1 0 0 0 0 0 0 1 0 0 0 0 0 0 0 0 0 0 0 0 0 0 0 0 0 0 0 0 0 0 0 0 0 0 0 0 0 0 \n    0 0 0 0 0 0 0 0 0 0 0 0 0 0 0 0 0 1 0 0 0 0]\n[1 1 0 0 0 1 0 1 0 0 1 1 0 1 0 1 1 0 1 1 1 1 0 0 1 1 0 1 0 1 0 0 1 0 0 0 1 1 0 1\n    0 1 0 0 0 1 0 1 0 0 0 0 0 0 0 0 0 0 0 0 0 0 0 0 0 0 0 0 0 0 0 0 0 0 0 0 0 0 \n    0 0 0 0 0 0 0 0 0 0 0 0 0 0 0 0 0 0 1 0 0 0]\n[0 1 1 0 1 1 0 0 1 0 0 0 1 1 1 0 0 0 1 0 0 1 0 0 0 1 1 0 0 1 0 1 0 0 1 1 1 1 1 1\n    0 0 1 0 0 1 1 1 0 0 0 0 0 0 0 0 0 0 0 0 0 0 0 0 0 0 0 0 0 0 0 0 0 0 0 0 0 0 \n    0 0 0 0 0 0 0 0 0 0 0 0 0 0 0 0 0 0 0 1 0 0]\n[0 0 1 1 1 0 0 0 0 1 0 1 0 0 1 1 1 1 1 0 1 0 0 0 0 0 1 1 1 1 0 1 1 1 1 0 0 1 1 0\n    0 0 0 1 0 1 1 0 0 0 0 0 0 0 0 0 0 0 0 0 0 0 0 0 0 0 0 0 0 0 0 0 0 0 0 0 0 0 \n    0 0 0 0 0 0 0 0 0 0 0 0 0 0 0 0 0 0 0 0 1 0]\n[0 0 0 1 1 1 0 0 0 0 1 0 1 0 0 1 1 1 1 1 0 1 0 0 0 0 0 1 1 1 1 0 1 1 1 1 0 0 1 1\n    0 0 0 0 1 0 1 1 0 0 0 0 0 0 0 0 0 0 0 0 0 0 0 0 0 0 0 0 0 0 0 0 0 0 0 0 0 0 \n    0 0 0 0 0 0 0 0 0 0 0 0 0 0 0 0 0 0 0 0 0 1]\n[100, 52] Linear Code over GF(2)\nGenerator matrix:\n[1 0 0 0 0 0 0 0 0 0 0 0 0 0 0 0 0 0 0 0 0 0 0 0 0 0 0 0 0 0 0 0 0 0 0 0 0 0 0 0\n    0 0 0 0 0 0 0 0 0 0 0 0 1 0 1 1 0 0 0 1 1 1 0 0 0 0 1 0 1 0 0 1 1 1 1 1 0 1 \n    0 0 0 0 0 1 1 1 1 0 1 1 1 1 0 0 1 1 0 0 0 0]\n[0 1 0 0 0 0 0 0 0 0 0 0 0 0 0 0 0 0 0 0 0 0 0 0 0 0 0 0 0 0 0 0 0 0 0 0 0 0 0 0\n    0 0 0 0 0 0 0 0 0 0 0 0 1 1 1 0 1 0 0 1 0 0 1 0 0 0 1 1 1 1 0 1 0 0 0 0 1 1 \n    1 0 0 0 0 1 0 0 0 1 1 0 0 0 1 0 1 0 1 0 0 0]\n[0 0 1 0 0 0 0 0 0 0 0 0 0 0 0 0 0 0 0 0 0 0 0 0 0 0 0 0 0 0 0 0 0 0 0 0 0 0 0 0\n    0 0 0 0 0 0 0 0 0 0 0 0 1 1 0 0 0 1 0 1 0 1 0 1 0 0 1 1 0 1 1 1 0 1 1 1 0 0 \n    1 1 0 0 0 1 0 1 1 0 0 0 1 1 0 1 1 0 0 1 0 0]\n[0 0 0 1 0 0 0 0 0 0 0 0 0 0 0 0 0 0 0 0 0 0 0 0 0 0 0 0 0 0 0 0 0 0 0 0 0 0 0 0\n    0 0 0 0 0 0 0 0 0 0 0 0 0 1 1 0 0 0 1 0 1 0 1 0 1 0 0 1 1 0 1 1 1 0 1 1 1 0 \n    0 1 1 0 0 0 1 0 1 1 0 0 0 1 1 0 1 1 0 0 1 0]\n[0 0 0 0 1 0 0 0 0 0 0 0 0 0 0 0 0 0 0 0 0 0 0 0 0 0 0 0 0 0 0 0 0 0 0 0 0 0 0 0\n    0 0 0 0 0 0 0 0 0 0 0 0 1 0 0 0 0 0 0 0 1 0 0 1 0 1 1 0 0 1 0 0 0 0 1 0 1 0 \n    0 0 1 1 0 1 1 0 1 1 0 1 1 1 1 1 1 0 1 0 0 1]\n[0 0 0 0 0 1 0 0 0 0 0 0 0 0 0 0 0 0 0 0 0 0 0 0 0 0 0 0 0 0 0 0 0 0 0 0 0 0 0 0\n    0 0 0 0 0 0 0 0 0 0 0 0 0 1 0 0 0 0 0 0 0 1 0 0 1 0 1 1 0 0 1 0 0 0 0 1 0 1 \n    0 0 0 1 1 0 1 1 0 1 1 0 1 1 1 1 1 1 0 1 0 0]\n[0 0 0 0 0 0 1 0 0 0 0 0 0 0 0 0 0 0 0 0 0 0 0 0 0 0 0 0 0 0 0 0 0 0 0 0 0 0 0 0\n    0 0 0 0 0 0 0 0 0 0 0 0 0 0 1 0 0 0 0 0 0 0 1 0 0 1 0 1 1 0 0 1 0 0 0 0 1 0 \n    1 0 0 0 1 1 0 1 1 0 1 1 0 1 1 1 1 1 1 0 1 0]\n[0 0 0 0 0 0 0 1 0 0 0 0 0 0 0 0 0 0 0 0 0 0 0 0 0 0 0 0 0 0 0 0 0 0 0 0 0 0 0 0\n    0 0 0 0 0 0 0 0 0 0 0 0 1 0 1 0 0 0 0 1 1 1 0 1 0 0 0 0 0 1 0 1 0 1 1 1 0 0 \n    0 1 0 0 0 0 0 1 0 1 1 0 0 1 1 1 0 0 1 1 0 1]\n[0 0 0 0 0 0 0 0 1 0 0 0 0 0 0 0 0 0 0 0 0 0 0 0 0 0 0 0 0 0 0 0 0 0 0 0 0 0 0 0\n    0 0 0 0 0 0 0 0 0 0 0 0 0 1 0 1 0 0 0 0 1 1 1 0 1 0 0 0 0 0 1 0 1 0 1 1 1 0 \n    0 0 1 0 0 0 0 0 1 0 1 1 0 0 1 1 1 0 0 1 1 0]\n[0 0 0 0 0 0 0 0 0 1 0 0 0 0 0 0 0 0 0 0 0 0 0 0 0 0 0 0 0 0 0 0 0 0 0 0 0 0 0 0\n    0 0 0 0 0 0 0 0 0 0 0 0 0 0 1 0 1 0 0 0 0 1 1 1 0 1 0 0 0 0 0 1 0 1 0 1 1 1 \n    0 0 0 1 0 0 0 0 0 1 0 1 1 0 0 1 1 1 0 0 1 1]\n[0 0 0 0 0 0 0 0 0 0 1 0 0 0 0 0 0 0 0 0 0 0 0 0 0 0 0 0 0 0 0 0 0 0 0 0 0 0 0 0\n    0 0 0 0 0 0 0 0 0 0 0 0 1 0 1 0 0 1 0 1 1 1 1 1 1 0 0 0 1 0 0 1 0 1 0 1 1 0 \n    1 0 0 0 1 1 1 1 1 0 0 1 0 0 0 0 0 0 1 0 0 1]\n[0 0 0 0 0 0 0 0 0 0 0 1 0 0 0 0 0 0 0 0 0 0 0 0 0 0 0 0 0 0 0 0 0 0 0 0 0 0 0 0\n    0 0 0 0 0 0 0 0 0 0 0 0 0 1 0 1 0 0 1 0 1 1 1 1 1 1 0 0 0 1 0 0 1 0 1 0 1 1 \n    0 1 0 0 0 1 1 1 1 1 0 0 1 0 0 0 0 0 0 1 0 0]\n[0 0 0 0 0 0 0 0 0 0 0 0 1 0 0 0 0 0 0 0 0 0 0 0 0 0 0 0 0 0 0 0 0 0 0 0 0 0 0 0\n    0 0 0 0 0 0 0 0 0 0 0 0 0 0 1 0 1 0 0 1 0 1 1 1 1 1 1 0 0 0 1 0 0 1 0 1 0 1 \n    1 0 1 0 0 0 1 1 1 1 1 0 0 1 0 0 0 0 0 0 1 0]\n[0 0 0 0 0 0 0 0 0 0 0 0 0 1 0 0 0 0 0 0 0 0 0 0 0 0 0 0 0 0 0 0 0 0 0 0 0 0 0 0\n    0 0 0 0 0 0 0 0 0 0 0 0 0 0 0 1 0 1 0 0 1 0 1 1 1 1 1 1 0 0 0 1 0 0 1 0 1 0 \n    1 1 0 1 0 0 0 1 1 1 1 1 0 0 1 0 0 0 0 0 0 1]\n[0 0 0 0 0 0 0 0 0 0 0 0 0 0 1 0 0 0 0 0 0 0 0 0 0 0 0 0 0 0 0 0 0 0 0 0 0 0 0 0\n    0 0 0 0 0 0 0 0 0 0 0 0 1 0 1 1 1 0 1 1 1 0 0 1 1 1 0 1 0 0 0 1 0 1 1 0 0 0 \n    0 1 1 0 1 1 1 1 0 1 0 0 0 1 0 1 1 1 0 0 0 0]\n[0 0 0 0 0 0 0 0 0 0 0 0 0 0 0 1 0 0 0 0 0 0 0 0 0 0 0 0 0 0 0 0 0 0 0 0 0 0 0 0\n    0 0 0 0 0 0 0 0 0 0 0 0 1 1 1 0 1 1 0 0 0 0 0 0 1 1 0 0 0 0 0 1 0 1 0 0 0 1 \n    0 0 1 1 0 0 0 0 0 0 0 1 1 1 1 0 0 0 1 0 0 0]\n[0 0 0 0 0 0 0 0 0 0 0 0 0 0 0 0 1 0 0 0 0 0 0 0 0 0 0 0 0 0 0 0 0 0 0 0 0 0 0 0\n    0 0 0 0 0 0 0 0 0 0 0 0 1 1 0 0 0 1 1 1 1 1 0 0 0 1 0 0 1 0 0 1 0 1 0 1 0 1 \n    1 0 0 1 1 1 1 1 1 0 1 1 0 0 1 1 1 1 0 1 0 0]\n[0 0 0 0 0 0 0 0 0 0 0 0 0 0 0 0 0 1 0 0 0 0 0 0 0 0 0 0 0 0 0 0 0 0 0 0 0 0 0 0\n    0 0 0 0 0 0 0 0 0 0 0 0 1 1 0 1 0 0 1 0 0 0 1 0 0 0 0 0 1 1 0 1 0 1 0 1 1 1 \n    1 1 0 0 1 0 0 0 0 1 1 0 0 1 0 1 0 0 1 0 1 0]\n[0 0 0 0 0 0 0 0 0 0 0 0 0 0 0 0 0 0 1 0 0 0 0 0 0 0 0 0 0 0 0 0 0 0 0 0 0 0 0 0\n    0 0 0 0 0 0 0 0 0 0 0 0 0 1 1 0 1 0 0 1 0 0 0 1 0 0 0 0 0 1 1 0 1 0 1 0 1 1 \n    1 1 1 0 0 1 0 0 0 0 1 1 0 0 1 0 1 0 0 1 0 1]\n[0 0 0 0 0 0 0 0 0 0 0 0 0 0 0 0 0 0 0 1 0 0 0 0 0 0 0 0 0 0 0 0 0 0 0 0 0 0 0 0\n    0 0 0 0 0 0 0 0 0 0 0 0 1 0 0 0 0 1 0 1 0 1 0 0 1 0 1 0 1 0 1 0 1 0 1 0 0 0 \n    1 1 1 1 0 1 0 1 1 0 1 0 0 1 0 1 1 0 0 0 1 0]\n[0 0 0 0 0 0 0 0 0 0 0 0 0 0 0 0 0 0 0 0 1 0 0 0 0 0 0 0 0 0 0 0 0 0 0 0 0 0 0 0\n    0 0 0 0 0 0 0 0 0 0 0 0 0 1 0 0 0 0 1 0 1 0 1 0 0 1 0 1 0 1 0 1 0 1 0 1 0 0 \n    0 1 1 1 1 0 1 0 1 1 0 1 0 0 1 0 1 1 0 0 0 1]\n[0 0 0 0 0 0 0 0 0 0 0 0 0 0 0 0 0 0 0 0 0 1 0 0 0 0 0 0 0 0 0 0 0 0 0 0 0 0 0 0\n    0 0 0 0 0 0 0 0 0 0 0 0 0 0 1 0 0 0 0 1 0 1 0 1 0 0 1 0 1 0 1 0 1 0 1 0 1 0 \n    0 0 1 1 1 1 0 1 0 1 1 0 1 0 0 1 0 1 1 0 0 0]\n[0 0 0 0 0 0 0 0 0 0 0 0 0 0 0 0 0 0 0 0 0 0 1 0 0 0 0 0 0 0 0 0 0 0 0 0 0 0 0 0\n    0 0 0 0 0 0 0 0 0 0 0 0 0 0 0 1 0 0 0 0 1 0 1 0 1 0 0 1 0 1 0 1 0 1 0 1 0 1 \n    0 0 0 1 1 1 1 0 1 0 1 1 0 1 0 0 1 0 1 1 0 0]\n[0 0 0 0 0 0 0 0 0 0 0 0 0 0 0 0 0 0 0 0 0 0 0 1 0 0 0 0 0 0 0 0 0 0 0 0 0 0 0 0\n    0 0 0 0 0 0 0 0 0 0 0 0 0 0 0 0 1 0 0 0 0 1 0 1 0 1 0 0 1 0 1 0 1 0 1 0 1 0 \n    1 0 0 0 1 1 1 1 0 1 0 1 1 0 1 0 0 1 0 1 1 0]\n[0 0 0 0 0 0 0 0 0 0 0 0 0 0 0 0 0 0 0 0 0 0 0 0 1 0 0 0 0 0 0 0 0 0 0 0 0 0 0 0\n    0 0 0 0 0 0 0 0 0 0 0 0 1 0 1 1 0 1 0 1 1 1 1 0 1 0 0 0 1 1 0 0 1 0 1 0 0 0 \n    0 1 0 0 0 0 0 0 0 0 0 1 0 0 0 1 1 1 1 0 1 1]\n[0 0 0 0 0 0 0 0 0 0 0 0 0 0 0 0 0 0 0 0 0 0 0 0 0 1 0 0 0 0 0 0 0 0 0 0 0 0 0 0\n    0 0 0 0 0 0 0 0 0 0 0 0 1 1 1 0 1 0 1 1 0 0 1 1 0 1 1 0 1 1 1 1 1 0 1 0 0 1 \n    0 0 1 0 0 1 1 1 1 0 1 1 0 1 0 0 0 0 1 1 0 1]\n[0 0 0 0 0 0 0 0 0 0 0 0 0 0 0 0 0 0 0 0 0 0 0 0 0 0 1 0 0 0 0 0 0 0 0 0 0 0 0 0\n    0 0 0 0 0 0 0 0 0 0 0 0 1 1 0 0 0 1 0 0 0 1 0 1 1 0 0 1 1 1 1 0 0 0 1 0 0 1 \n    1 0 0 1 0 1 0 0 0 1 1 0 0 1 1 0 1 1 0 1 1 0]\n[0 0 0 0 0 0 0 0 0 0 0 0 0 0 0 0 0 0 0 0 0 0 0 0 0 0 0 1 0 0 0 0 0 0 0 0 0 0 0 0\n    0 0 0 0 0 0 0 0 0 0 0 0 0 1 1 0 0 0 1 0 0 0 1 0 1 1 0 0 1 1 1 1 0 0 0 1 0 0 \n    1 1 0 0 1 0 1 0 0 0 1 1 0 0 1 1 0 1 1 0 1 1]\n[0 0 0 0 0 0 0 0 0 0 0 0 0 0 0 0 0 0 0 0 0 0 0 0 0 0 0 0 1 0 0 0 0 0 0 0 0 0 0 0\n    0 0 0 0 0 0 0 0 0 0 0 0 0 0 1 1 0 0 0 1 0 0 0 1 0 1 1 0 0 1 1 1 1 0 0 0 1 0 \n    0 1 1 0 0 1 0 1 0 0 0 1 1 0 0 1 1 0 1 1 0 1]\n[0 0 0 0 0 0 0 0 0 0 0 0 0 0 0 0 0 0 0 0 0 0 0 0 0 0 0 0 0 1 0 0 0 0 0 0 0 0 0 0\n    0 0 0 0 0 0 0 0 0 0 0 0 0 0 0 1 1 0 0 0 1 0 0 0 1 0 1 1 0 0 1 1 1 1 0 0 0 1 \n    0 0 1 1 0 0 1 0 1 0 0 0 1 1 0 0 1 1 0 1 1 0]\n[0 0 0 0 0 0 0 0 0 0 0 0 0 0 0 0 0 0 0 0 0 0 0 0 0 0 0 0 0 0 1 0 0 0 0 0 0 0 0 0\n    0 0 0 0 0 0 0 0 0 0 0 0 0 0 0 0 1 1 0 0 0 1 0 0 0 1 0 1 1 0 0 1 1 1 1 0 0 0 \n    1 0 0 1 1 0 0 1 0 1 0 0 0 1 1 0 0 1 1 0 1 1]\n[0 0 0 0 0 0 0 0 0 0 0 0 0 0 0 0 0 0 0 0 0 0 0 0 0 0 0 0 0 0 0 1 0 0 0 0 0 0 0 0\n    0 0 0 0 0 0 0 0 0 0 0 0 1 0 1 1 0 1 1 1 1 1 1 0 0 0 0 0 0 1 0 1 0 0 0 0 0 1 \n    0 1 0 0 1 0 1 1 0 0 0 1 1 1 1 1 1 1 1 1 0 1]\n[0 0 0 0 0 0 0 0 0 0 0 0 0 0 0 0 0 0 0 0 0 0 0 0 0 0 0 0 0 0 0 0 1 0 0 0 0 0 0 0\n    0 0 0 0 0 0 0 0 0 0 0 0 0 1 0 1 1 0 1 1 1 1 1 1 0 0 0 0 0 0 1 0 1 0 0 0 0 0 \n    1 0 1 0 0 1 0 1 1 0 0 0 1 1 1 1 1 1 1 1 1 0]\n[0 0 0 0 0 0 0 0 0 0 0 0 0 0 0 0 0 0 0 0 0 0 0 0 0 0 0 0 0 0 0 0 0 1 0 0 0 0 0 0\n    0 0 0 0 0 0 0 0 0 0 0 0 0 0 1 0 1 1 0 1 1 1 1 1 1 0 0 0 0 0 0 1 0 1 0 0 0 0 \n    0 1 0 1 0 0 1 0 1 1 0 0 0 1 1 1 1 1 1 1 1 1]\n[0 0 0 0 0 0 0 0 0 0 0 0 0 0 0 0 0 0 0 0 0 0 0 0 0 0 0 0 0 0 0 0 0 0 1 0 0 0 0 0\n    0 0 0 0 0 0 0 0 0 0 0 0 0 0 0 1 0 1 1 0 1 1 1 1 1 1 0 0 0 0 0 0 1 0 1 0 0 0 \n    0 0 1 0 1 0 0 1 0 1 1 0 0 0 1 1 1 1 1 1 1 1]\n[0 0 0 0 0 0 0 0 0 0 0 0 0 0 0 0 0 0 0 0 0 0 0 0 0 0 0 0 0 0 0 0 0 0 0 1 0 0 0 0\n    0 0 0 0 0 0 0 0 0 0 0 0 1 0 1 1 1 0 1 0 1 0 1 1 1 1 0 0 1 0 0 1 1 0 1 0 0 1 \n    0 0 0 1 0 0 1 1 0 0 0 0 1 1 0 1 0 0 1 1 1 1]\n[0 0 0 0 0 0 0 0 0 0 0 0 0 0 0 0 0 0 0 0 0 0 0 0 0 0 0 0 0 0 0 0 0 0 0 0 1 0 0 0\n    0 0 0 0 0 0 0 0 0 0 0 0 1 1 1 0 1 1 0 0 1 0 0 1 1 1 0 0 1 1 0 1 0 0 1 0 0 1 \n    1 0 0 0 1 1 1 0 0 0 1 1 1 0 1 0 0 1 0 1 1 1]\n[0 0 0 0 0 0 0 0 0 0 0 0 0 0 0 0 0 0 0 0 0 0 0 0 0 0 0 0 0 0 0 0 0 0 0 0 0 1 0 0\n    0 0 0 0 0 0 0 0 0 0 0 0 0 1 1 1 0 1 1 0 0 1 0 0 1 1 1 0 0 1 1 0 1 0 0 1 0 0 \n    1 1 0 0 0 1 1 1 0 0 0 1 1 1 0 1 0 0 1 0 1 1]\n[0 0 0 0 0 0 0 0 0 0 0 0 0 0 0 0 0 0 0 0 0 0 0 0 0 0 0 0 0 0 0 0 0 0 0 0 0 0 1 0\n    0 0 0 0 0 0 0 0 0 0 0 0 0 0 1 1 1 0 1 1 0 0 1 0 0 1 1 1 0 0 1 1 0 1 0 0 1 0 \n    0 1 1 0 0 0 1 1 1 0 0 0 1 1 1 0 1 0 0 1 0 1]\n[0 0 0 0 0 0 0 0 0 0 0 0 0 0 0 0 0 0 0 0 0 0 0 0 0 0 0 0 0 0 0 0 0 0 0 0 0 0 0 1\n    0 0 0 0 0 0 0 0 0 0 0 0 0 0 0 1 1 1 0 1 1 0 0 1 0 0 1 1 1 0 0 1 1 0 1 0 0 1 \n    0 0 1 1 0 0 0 1 1 1 0 0 0 1 1 1 0 1 0 0 1 0]\n[0 0 0 0 0 0 0 0 0 0 0 0 0 0 0 0 0 0 0 0 0 0 0 0 0 0 0 0 0 0 0 0 0 0 0 0 0 0 0 0\n    1 0 0 0 0 0 0 0 0 0 0 0 1 0 1 1 1 1 1 1 0 0 0 0 1 0 1 1 0 1 0 1 0 0 1 0 0 1 \n    1 0 0 1 1 1 1 1 0 1 0 1 1 1 1 1 0 1 1 0 0 1]\n[0 0 0 0 0 0 0 0 0 0 0 0 0 0 0 0 0 0 0 0 0 0 0 0 0 0 0 0 0 0 0 0 0 0 0 0 0 0 0 0\n    0 1 0 0 0 0 0 0 0 0 0 0 0 1 0 1 1 1 1 1 1 0 0 0 0 1 0 1 1 0 1 0 1 0 0 1 0 0 \n    1 1 0 0 1 1 1 1 1 0 1 0 1 1 1 1 1 0 1 1 0 0]\n[0 0 0 0 0 0 0 0 0 0 0 0 0 0 0 0 0 0 0 0 0 0 0 0 0 0 0 0 0 0 0 0 0 0 0 0 0 0 0 0\n    0 0 1 0 0 0 0 0 0 0 0 0 1 0 0 1 1 1 1 0 0 0 0 0 0 0 0 0 0 1 0 0 1 0 1 1 1 1 \n    0 1 1 0 0 0 0 0 0 1 1 0 1 0 1 1 0 0 0 1 1 0]\n[0 0 0 0 0 0 0 0 0 0 0 0 0 0 0 0 0 0 0 0 0 0 0 0 0 0 0 0 0 0 0 0 0 0 0 0 0 0 0 0\n    0 0 0 1 0 0 0 0 0 0 0 0 0 1 0 0 1 1 1 1 0 0 0 0 0 0 0 0 0 0 1 0 0 1 0 1 1 1 \n    1 0 1 1 0 0 0 0 0 0 1 1 0 1 0 1 1 0 0 0 1 1]\n[0 0 0 0 0 0 0 0 0 0 0 0 0 0 0 0 0 0 0 0 0 0 0 0 0 0 0 0 0 0 0 0 0 0 0 0 0 0 0 0\n    0 0 0 0 1 0 0 0 0 0 0 0 1 0 0 1 0 1 1 0 0 1 0 0 0 0 1 0 1 0 0 0 1 1 0 1 1 0 \n    1 1 0 1 1 1 1 1 1 0 1 0 0 1 1 0 0 0 0 0 0 1]\n[0 0 0 0 0 0 0 0 0 0 0 0 0 0 0 0 0 0 0 0 0 0 0 0 0 0 0 0 0 0 0 0 0 0 0 0 0 0 0 0\n    0 0 0 0 0 1 0 0 0 0 0 0 0 1 0 0 1 0 1 1 0 0 1 0 0 0 0 1 0 1 0 0 0 1 1 0 1 1 \n    0 1 1 0 1 1 1 1 1 1 0 1 0 0 1 1 0 0 0 0 0 0]\n[0 0 0 0 0 0 0 0 0 0 0 0 0 0 0 0 0 0 0 0 0 0 0 0 0 0 0 0 0 0 0 0 0 0 0 0 0 0 0 0\n    0 0 0 0 0 0 1 0 0 0 0 0 0 0 1 0 0 1 0 1 1 0 0 1 0 0 0 0 1 0 1 0 0 0 1 1 0 1 \n    1 0 1 1 0 1 1 1 1 1 1 0 1 0 0 1 1 0 0 0 0 0]\n[0 0 0 0 0 0 0 0 0 0 0 0 0 0 0 0 0 0 0 0 0 0 0 0 0 0 0 0 0 0 0 0 0 0 0 0 0 0 0 0\n    0 0 0 0 0 0 0 1 0 0 0 0 0 0 0 1 0 0 1 0 1 1 0 0 1 0 0 0 0 1 0 1 0 0 0 1 1 0 \n    1 1 0 1 1 0 1 1 1 1 1 1 0 1 0 0 1 1 0 0 0 0]\n[0 0 0 0 0 0 0 0 0 0 0 0 0 0 0 0 0 0 0 0 0 0 0 0 0 0 0 0 0 0 0 0 0 0 0 0 0 0 0 0\n    0 0 0 0 0 0 0 0 1 0 0 0 1 0 1 1 1 0 0 0 1 0 1 0 0 1 1 0 1 0 1 1 0 1 1 1 1 0 \n    0 1 1 0 1 0 1 0 0 1 0 0 0 1 1 0 1 0 1 0 0 0]\n[0 0 0 0 0 0 0 0 0 0 0 0 0 0 0 0 0 0 0 0 0 0 0 0 0 0 0 0 0 0 0 0 0 0 0 0 0 0 0 0\n    0 0 0 0 0 0 0 0 0 1 0 0 1 1 1 0 1 1 0 1 1 0 0 1 0 0 0 1 1 1 0 0 0 1 0 0 1 0 \n    0 0 1 1 0 0 1 0 1 0 0 1 1 1 1 1 1 0 0 1 0 0]\n[0 0 0 0 0 0 0 0 0 0 0 0 0 0 0 0 0 0 0 0 0 0 0 0 0 0 0 0 0 0 0 0 0 0 0 0 0 0 0 0\n    0 0 0 0 0 0 0 0 0 0 1 0 1 1 0 0 0 1 1 1 0 0 0 0 1 0 1 0 0 1 1 1 1 1 0 1 0 0 \n    0 0 0 1 1 1 1 0 1 1 1 1 0 0 1 1 0 0 0 0 1 0]\n[0 0 0 0 0 0 0 0 0 0 0 0 0 0 0 0 0 0 0 0 0 0 0 0 0 0 0 0 0 0 0 0 0 0 0 0 0 0 0 0\n    0 0 0 0 0 0 0 0 0 0 0 1 0 1 1 0 0 0 1 1 1 0 0 0 0 1 0 1 0 0 1 1 1 1 1 0 1 0 \n    0 0 0 0 1 1 1 1 0 1 1 1 1 0 0 1 1 0 0 0 0 1]\nLinear Code over GF(2) of length 100 with 52 generators.\nLower Bound: 1, Upper Bound: 49\nConstructed 2 distinct generator matrices\nRelative Ranks:  52  48 \nTime Taken: 0.00\nStarting search for low weight codewords... (reset timings)\nEnumerating using 1 generator at a time:\n     New codeword identified of weight 25, time 0.00\n     New codeword identified of weight 21, time 0.00\n     New codeword identified of weight 18, time 0.00\n   Completed Matrix  1:  lower =  2, upper = 18. Elapsed: 0.00s\n   Completed Matrix  2:  lower =  2, upper = 18. Elapsed: 0.00s\nTermination predicted with 10 generators at matrix 2\nEnumerating using 2 generators at a time:\n     New codeword identified of weight 17, time 0.00\n   Completed Matrix  1:  lower =  3, upper = 17. Elapsed: 0.00s\n   Completed Matrix  2:  lower =  3, upper = 17. Elapsed: 0.00s\nTermination predicted with 10 generators at matrix 1\nEnumerating using 3 generators at a time:\n     New codeword identified of weight 16, time 0.00\n   Completed Matrix  1:  lower =  4, upper = 16. Elapsed: 0.00s\n   Completed Matrix  2:  lower =  4, upper = 16. Elapsed: 0.00s\nTermination predicted with 9 generators at matrix 2\nEnumerating using 4 generators at a time:\n   Completed Matrix  1:  lower =  5, upper = 16. Elapsed: 0.00s\n   Completed Matrix  2:  lower =  6, upper = 16. Elapsed: 0.00s\nTermination predicted with 9 generators at matrix 2\nEnumerating using 5 generators at a time:\n   Completed Matrix  1:  lower =  7, upper = 16. Elapsed: 0.01s\n   Completed Matrix  2:  lower =  8, upper = 16. Elapsed: 0.01s\nTermination predicted with 9 generators at matrix 2\nEnumerating using 6 generators at a time:\n   Completed Matrix  1:  lower =  9, upper = 16. Elapsed: 0.05s\n   Completed Matrix  2:  lower = 10, upper = 16. Elapsed: 0.09s\nTermination predicted with 9 generators at matrix 2\nEnumerating using 7 generators at a time:\n   Completed Matrix  1:  lower = 11, upper = 16. Elapsed: 0.35s\n   Completed Matrix  2:  lower = 12, upper = 16. Elapsed: 0.61s\nTermination predicted at 18 s with 9 generators at matrix 2\nEnumerating using 8 generators at a time:\n   Completed Matrix  1:  lower = 13, upper = 16. Elapsed: 2.16s\n   Completed Matrix  2:  lower = 14, upper = 16. Elapsed: 3.70s\nTermination predicted at 19 s with 9 generators at matrix 2\nEnumerating using 9 generators at a time:\n   Completed Matrix  1:  lower = 15, upper = 16. Elapsed: 11.54s\n   Completed Matrix  2:  lower = 16, upper = 16. Elapsed: 19.45s\nComputation complete 9177299586 vectors enumerated in total\n (0.000204% of 100 52 code)\nFinal Results: lower = 16, upper = 16,\nTotal CPU time: 19.45, real time: 19.521\n16\n\nTotal time: 19.479 seconds, Total memory usage: 32.09MB\n</t>
  </si>
  <si>
    <t>[[101,53,15]]</t>
  </si>
  <si>
    <t>Magma V2.28-26    Tue Dec 30 2025 10:37:39 on Marks-MacBook-Air-2 [Seed = \n1007091350]\nType ? for help.  Type &lt;Ctrl&gt;-D to quit.\n[1 1 1 1 0 1 0 0 1 0 1 0 1 0 1 1 0 1 0 0 1 1 0 1 0 1 0 0 1 1 1 0 1 1 0 1 0 1 1 1\n    0 0 0 0 0 1 0 0 1 0 0 0 0 0 0 0 0 0 0 0 0 0 0 0 0 0 0 0 0 0 0 0 0 0 0 0 0 0 \n    0 0 0 0 0 0 0 0 0 0 0 0 0 0 0 0 0 0 0 0 0 0 0]\n[0 1 0 1 0 0 0 1 0 0 1 1 1 1 1 0 0 1 0 1 0 1 1 0 1 1 0 0 1 1 1 1 1 0 1 1 0 1 1 0\n    0 0 0 1 0 1 1 0 0 1 0 0 0 0 0 0 0 0 0 0 0 0 0 0 0 0 0 0 0 0 0 0 0 0 0 0 0 0 \n    0 0 0 0 0 0 0 0 0 0 0 0 0 0 0 0 0 0 0 0 0 0 0]\n[0 1 0 1 0 0 1 1 0 1 0 1 0 1 1 1 1 1 1 0 1 0 0 1 0 0 1 1 0 0 1 1 0 1 1 0 0 0 0 1\n    1 1 0 1 0 1 1 0 0 0 1 0 0 0 0 0 0 0 0 0 0 0 0 0 0 0 0 0 0 0 0 0 0 0 0 0 0 0 \n    0 0 0 0 0 0 0 0 0 0 0 0 0 0 0 0 0 0 0 0 0 0 0]\n[0 0 1 1 0 0 1 0 1 0 0 1 0 1 0 0 1 1 1 0 0 0 0 1 1 0 0 1 0 1 1 1 0 0 0 1 0 0 0 0\n    1 1 1 1 1 0 1 0 0 0 0 1 0 0 0 0 0 0 0 0 0 0 0 0 0 0 0 0 0 0 0 0 0 0 0 0 0 0 \n    0 0 0 0 0 0 0 0 0 0 0 0 0 0 0 0 0 0 0 0 0 0 0]\n[0 0 0 1 1 1 1 1 1 1 1 0 0 1 0 0 1 1 0 0 1 0 0 0 0 1 1 1 0 1 1 0 1 0 1 0 1 1 0 1\n    0 0 0 1 0 0 0 0 0 0 0 0 1 0 0 0 0 0 0 0 0 0 0 0 0 0 0 0 0 0 0 0 0 0 0 0 0 0 \n    0 0 0 0 0 0 0 0 0 0 0 0 0 0 0 0 0 0 0 0 0 0 0]\n[1 1 1 0 1 1 1 0 0 1 1 1 1 1 1 1 0 0 1 0 0 1 0 1 0 1 0 1 0 0 1 1 1 0 0 1 1 0 1 1\n    0 0 1 0 0 1 0 0 0 0 0 0 0 1 0 0 0 0 0 0 0 0 0 0 0 0 0 0 0 0 0 0 0 0 0 0 0 0 \n    0 0 0 0 0 0 0 0 0 0 0 0 0 0 0 0 0 0 0 0 0 0 0]\n[0 0 1 0 0 0 1 1 0 0 0 0 0 1 0 1 0 1 0 0 1 1 0 1 1 0 1 1 0 0 0 1 1 0 0 1 0 1 1 1\n    1 1 1 1 0 0 1 1 0 0 0 0 0 0 1 0 0 0 0 0 0 0 0 0 0 0 0 0 0 0 0 0 0 0 0 0 0 0 \n    0 0 0 0 0 0 0 0 0 0 0 0 0 0 0 0 0 0 0 0 0 0 0]\n[1 0 1 0 1 0 0 0 1 1 0 1 0 0 0 0 1 0 1 0 1 1 0 0 1 0 0 1 1 0 1 1 0 0 1 1 0 1 0 1\n    1 1 1 0 0 1 1 0 0 0 0 0 0 0 0 1 0 0 0 0 0 0 0 0 0 0 0 0 0 0 0 0 0 0 0 0 0 0 \n    0 0 0 0 0 0 0 0 0 0 0 0 0 0 0 0 0 0 0 0 0 0 0]\n[1 1 0 0 1 0 1 0 1 0 1 1 1 0 0 0 0 1 1 1 0 0 1 1 0 1 0 0 0 0 0 1 0 0 1 1 0 0 0 1\n    1 1 1 1 0 0 0 0 0 0 0 0 0 0 0 0 1 0 0 0 0 0 0 0 0 0 0 0 0 0 0 0 0 0 0 0 0 0 \n    0 0 0 0 0 0 0 0 0 0 0 0 0 0 0 0 0 0 0 0 0 0 0]\n[1 1 0 1 0 1 1 1 0 1 1 0 1 0 0 1 0 0 1 1 0 1 0 1 0 0 0 0 0 0 1 1 1 1 1 0 0 0 0 0\n    0 1 0 0 1 0 0 0 0 0 0 0 0 0 0 0 0 1 0 0 0 0 0 0 0 0 0 0 0 0 0 0 0 0 0 0 0 0 \n    0 0 0 0 0 0 0 0 0 0 0 0 0 0 0 0 0 0 0 0 0 0 0]\n[0 1 0 0 1 0 0 0 1 0 0 0 1 1 1 0 1 1 0 0 0 1 1 1 1 0 1 1 0 0 0 0 1 1 1 1 0 1 1 0\n    0 1 1 1 1 0 1 0 0 0 0 0 0 0 0 0 0 0 1 0 0 0 0 0 0 0 0 0 0 0 0 0 0 0 0 0 0 0 \n    0 0 0 0 0 0 0 0 0 0 0 0 0 0 0 0 0 0 0 0 0 0 0]\n[0 0 0 0 1 1 1 0 0 1 1 0 1 1 0 1 0 0 1 1 0 1 1 0 1 1 0 1 1 1 0 1 1 1 0 0 1 1 0 1\n    1 1 1 0 1 1 0 1 0 0 0 0 0 0 0 0 0 0 0 1 0 0 0 0 0 0 0 0 0 0 0 0 0 0 0 0 0 0 \n    0 0 0 0 0 0 0 0 0 0 0 0 0 0 0 0 0 0 0 0 0 0 0]\n[1 0 0 1 1 1 1 0 1 0 1 0 1 1 0 0 1 0 0 1 1 0 0 0 1 0 0 0 1 0 0 0 0 1 0 1 1 0 0 0\n    0 1 0 1 0 0 0 0 0 0 0 0 0 0 0 0 0 0 0 0 1 0 0 0 0 0 0 0 0 0 0 0 0 0 0 0 0 0 \n    0 0 0 0 0 0 0 0 0 0 0 0 0 0 0 0 0 0 0 0 0 0 0]\n[0 0 0 1 0 1 1 0 0 0 0 0 1 0 1 0 1 0 0 0 0 0 1 0 1 1 0 0 0 1 1 1 1 0 0 1 0 0 0 0\n    1 0 0 1 0 1 1 1 0 0 0 0 0 0 0 0 0 0 0 0 0 1 0 0 0 0 0 0 0 0 0 0 0 0 0 0 0 0 \n    0 0 0 0 0 0 0 0 0 0 0 0 0 0 0 0 0 0 0 0 0 0 0]\n[0 0 1 1 1 1 1 0 1 1 0 1 1 1 0 1 0 0 0 1 1 0 1 0 0 1 1 0 1 1 1 0 0 1 1 0 1 0 0 0\n    1 0 1 1 0 1 0 1 0 0 0 0 0 0 0 0 0 0 0 0 0 0 1 0 0 0 0 0 0 0 0 0 0 0 0 0 0 0 \n    0 0 0 0 0 0 0 0 0 0 0 0 0 0 0 0 0 0 0 0 0 0 0]\n[0 1 0 1 0 1 1 1 0 1 1 0 0 0 1 1 1 1 0 0 0 1 0 1 1 1 1 0 0 0 0 0 0 0 1 1 0 1 1 0\n    0 0 0 0 0 0 0 1 0 0 0 0 0 0 0 0 0 0 0 0 0 0 0 1 0 0 0 0 0 0 0 0 0 0 0 0 0 0 \n    0 0 0 0 0 0 0 0 0 0 0 0 0 0 0 0 0 0 0 0 0 0 0]\n[1 0 0 0 1 1 1 1 0 0 1 1 1 0 0 0 1 1 0 0 1 0 0 0 1 1 1 1 0 0 0 0 1 1 1 1 0 0 0 0\n    0 0 1 1 1 0 0 0 0 0 0 0 0 0 0 0 0 0 0 0 0 0 0 0 1 0 0 0 0 0 0 0 0 0 0 0 0 0 \n    0 0 0 0 0 0 0 0 0 0 0 0 0 0 0 0 0 0 0 0 0 0 0]\n[0 0 1 0 0 1 1 0 1 0 0 0 1 1 1 1 1 1 1 0 1 0 0 1 0 1 0 1 0 1 1 1 0 1 1 0 1 1 0 1\n    1 0 0 0 1 1 1 1 0 0 0 0 0 0 0 0 0 0 0 0 0 0 0 0 0 1 0 0 0 0 0 0 0 0 0 0 0 0 \n    0 0 0 0 0 0 0 0 0 0 0 0 0 0 0 0 0 0 0 0 0 0 0]\n[1 0 0 0 1 0 0 1 1 1 1 0 0 0 0 1 1 0 1 0 0 0 1 1 1 0 0 1 1 0 1 1 0 1 0 1 1 1 1 1\n    0 0 0 0 1 1 0 1 0 0 0 0 0 0 0 0 0 0 0 0 0 0 0 0 0 0 1 0 0 0 0 0 0 0 0 0 0 0 \n    0 0 0 0 0 0 0 0 0 0 0 0 0 0 0 0 0 0 0 0 0 0 0]\n[0 0 1 1 1 0 1 1 0 0 0 0 0 0 0 1 0 1 0 0 0 0 1 1 1 1 1 1 1 1 1 0 1 1 1 1 1 1 1 1\n    1 1 0 0 0 1 1 1 0 0 0 0 0 0 0 0 0 0 0 0 0 0 0 0 0 0 0 1 0 0 0 0 0 0 0 0 0 0 \n    0 0 0 0 0 0 0 0 0 0 0 0 0 0 0 0 0 0 0 0 0 0 0]\n[0 1 0 0 1 1 1 1 0 0 0 1 1 1 0 1 0 0 1 0 1 1 1 1 1 0 0 0 0 1 0 0 1 0 1 1 0 0 0 0\n    1 0 0 1 0 0 1 0 0 0 0 0 0 0 0 0 0 0 0 0 0 0 0 0 0 0 0 0 1 0 0 0 0 0 0 0 0 0 \n    0 0 0 0 0 0 0 0 0 0 0 0 0 0 0 0 0 0 0 0 0 0 0]\n[0 1 0 0 0 1 1 0 0 0 0 1 1 0 0 0 0 1 1 1 0 0 1 0 0 1 1 1 0 0 0 1 0 1 0 1 1 1 0 1\n    1 1 0 1 0 1 1 0 0 0 0 0 0 0 0 0 0 0 0 0 0 0 0 0 0 0 0 0 0 1 0 0 0 0 0 0 0 0 \n    0 0 0 0 0 0 0 0 0 0 0 0 0 0 0 0 0 0 0 0 0 0 0]\n[0 1 0 0 0 0 1 0 1 0 0 1 1 1 0 1 0 1 1 1 0 0 0 0 1 0 1 1 1 0 0 1 0 0 0 0 0 1 0 0\n    0 0 1 0 1 1 0 0 0 0 0 0 0 0 0 0 0 0 0 0 0 0 0 0 0 0 0 0 0 0 1 0 0 0 0 0 0 0 \n    0 0 0 0 0 0 0 0 0 0 0 0 0 0 0 0 0 0 0 0 0 0 0]\n[1 1 1 0 1 1 0 0 0 0 0 1 0 0 0 0 0 1 0 0 1 0 1 1 0 1 1 1 1 0 0 0 1 1 1 0 1 0 0 1\n    0 0 0 1 0 0 1 1 0 0 0 0 0 0 0 0 0 0 0 0 0 0 0 0 0 0 0 0 0 0 0 1 0 0 0 0 0 0 \n    0 0 0 0 0 0 0 0 0 0 0 0 0 0 0 0 0 0 0 0 0 0 0]\n[0 0 1 0 0 1 1 1 1 1 1 1 1 0 0 1 0 1 1 1 1 0 0 1 1 1 1 1 1 1 0 1 1 1 1 1 1 1 0 1\n    1 1 1 0 0 1 1 1 0 0 0 0 0 0 0 0 0 0 0 0 0 0 0 0 0 0 0 0 0 0 0 0 1 0 0 0 0 0 \n    0 0 0 0 0 0 0 0 0 0 0 0 0 0 0 0 0 0 0 0 0 0 0]\n[1 0 0 1 1 0 1 1 1 0 0 0 1 1 1 1 1 1 1 0 0 1 0 1 1 0 1 1 1 0 1 0 1 1 1 1 0 0 1 0\n    0 1 0 1 1 0 1 1 0 0 0 0 0 0 0 0 0 0 0 0 0 0 0 0 0 0 0 0 0 0 0 0 0 1 0 0 0 0 \n    0 0 0 0 0 0 0 0 0 0 0 0 0 0 0 0 0 0 0 0 0 0 0]\n[1 1 0 0 1 0 1 1 0 0 1 1 0 0 1 1 1 1 0 0 1 1 0 1 0 1 1 0 1 1 1 1 0 1 0 0 1 0 1 1\n    0 1 1 1 1 1 1 1 0 0 0 0 0 0 0 0 0 0 0 0 0 0 0 0 0 0 0 0 0 0 0 0 0 0 1 0 0 0 \n    0 0 0 0 0 0 0 0 0 0 0 0 0 0 0 0 0 0 0 0 0 0 0]\n[0 0 1 0 0 1 0 0 0 0 0 0 1 0 1 1 1 0 0 0 1 0 0 1 0 1 1 0 0 1 0 0 1 0 1 0 1 1 0 1\n    0 1 1 1 1 1 1 1 0 0 0 0 0 0 0 0 0 0 0 0 0 0 0 0 0 0 0 0 0 0 0 0 0 0 0 1 0 0 \n    0 0 0 0 0 0 0 0 0 0 0 0 0 0 0 0 0 0 0 0 0 0 0]\n[0 0 1 0 0 1 1 1 0 1 0 0 1 1 1 1 1 1 0 1 1 0 1 0 1 0 0 0 1 0 0 0 0 0 0 1 1 0 1 0\n    1 1 0 0 1 1 0 1 0 0 0 0 0 0 0 0 0 0 0 0 0 0 0 0 0 0 0 0 0 0 0 0 0 0 0 0 1 0 \n    0 0 0 0 0 0 0 0 0 0 0 0 0 0 0 0 0 0 0 0 0 0 0]\n[1 1 1 0 0 1 0 1 0 1 1 1 1 0 1 0 0 1 1 1 0 0 1 1 0 0 1 1 0 0 1 1 1 0 0 0 1 0 1 0\n    0 0 0 0 1 0 1 1 0 0 0 0 0 0 0 0 0 0 0 0 0 0 0 0 0 0 0 0 0 0 0 0 0 0 0 0 0 1 \n    0 0 0 0 0 0 0 0 0 0 0 0 0 0 0 0 0 0 0 0 0 0 0]\n[1 1 1 1 0 1 1 1 0 1 0 0 1 0 0 0 0 0 1 0 0 0 0 1 0 1 0 1 1 1 0 0 1 1 0 1 0 0 0 1\n    0 1 0 1 0 0 0 0 0 0 0 0 0 0 0 0 0 0 0 0 0 0 0 0 0 0 0 0 0 0 0 0 0 0 0 0 0 0 \n    1 0 0 0 0 0 0 0 0 0 0 0 0 0 0 0 0 0 0 0 0 0 0]\n[1 0 0 0 1 1 0 1 0 0 1 1 1 0 0 1 0 1 1 0 1 1 0 1 0 1 0 1 0 1 1 1 0 1 0 0 0 0 1 1\n    0 0 1 0 0 1 0 0 0 0 0 0 0 0 0 0 0 0 0 0 0 0 0 0 0 0 0 0 0 0 0 0 0 0 0 0 0 0 \n    0 1 0 0 0 0 0 0 0 0 0 0 0 0 0 0 0 0 0 0 0 0 0]\n[1 1 1 1 0 1 1 1 0 0 0 0 0 0 1 1 1 0 0 0 1 1 0 0 1 0 1 1 0 1 1 1 0 1 0 0 1 1 1 1\n    1 0 1 0 1 1 0 1 0 0 0 0 0 0 0 0 0 0 0 0 0 0 0 0 0 0 0 0 0 0 0 0 0 0 0 0 0 0 \n    0 0 1 0 0 0 0 0 0 0 0 0 0 0 0 0 0 0 0 0 0 0 0]\n[1 0 0 0 1 1 1 0 1 1 0 1 0 0 0 0 0 0 0 0 1 1 1 1 1 1 0 0 0 1 1 1 0 1 1 0 1 1 1 1\n    1 1 0 0 0 0 1 1 0 0 0 0 0 0 0 0 0 0 0 0 0 0 0 0 0 0 0 0 0 0 0 0 0 0 0 0 0 0 \n    0 0 0 1 0 0 0 0 0 0 0 0 0 0 0 0 0 0 0 0 0 0 0]\n[0 0 0 1 0 0 1 1 1 1 1 1 1 1 0 1 1 0 1 0 0 1 0 0 1 0 0 0 0 1 1 1 1 0 0 0 0 1 0 1\n    0 0 0 1 0 0 1 1 0 0 0 0 0 0 0 0 0 0 0 0 0 0 0 0 0 0 0 0 0 0 0 0 0 0 0 0 0 0 \n    0 0 0 0 1 0 0 0 0 0 0 0 0 0 0 0 0 0 0 0 0 0 0]\n[1 0 1 1 0 1 0 0 1 0 1 0 1 0 1 0 1 1 0 1 1 0 1 0 0 0 0 0 1 1 0 1 0 1 1 0 0 0 0 0\n    1 1 0 1 0 1 1 0 0 0 0 0 0 0 0 0 0 0 0 0 0 0 0 0 0 0 0 0 0 0 0 0 0 0 0 0 0 0 \n    0 0 0 0 0 1 0 0 0 0 0 0 0 0 0 0 0 0 0 0 0 0 0]\n[0 0 0 1 0 1 1 1 1 0 1 1 0 1 0 0 0 0 1 0 0 1 1 1 0 1 0 0 0 1 0 1 0 1 0 0 1 1 0 1\n    0 1 1 0 0 0 1 1 0 0 0 0 0 0 0 0 0 0 0 0 0 0 0 0 0 0 0 0 0 0 0 0 0 0 0 0 0 0 \n    0 0 0 0 0 0 1 0 0 0 0 0 0 0 0 0 0 0 0 0 0 0 0]\n[0 1 0 0 1 1 0 1 0 1 0 1 1 1 1 0 1 1 1 1 1 1 0 1 0 1 0 0 1 1 1 1 1 1 0 0 0 1 1 1\n    0 1 1 1 0 0 1 0 0 0 0 0 0 0 0 0 0 0 0 0 0 0 0 0 0 0 0 0 0 0 0 0 0 0 0 0 0 0 \n    0 0 0 0 0 0 0 1 0 0 0 0 0 0 0 0 0 0 0 0 0 0 0]\n[0 0 1 0 0 1 1 0 0 1 1 0 0 0 1 1 0 1 1 0 1 1 1 1 0 0 1 1 0 0 1 1 1 1 0 1 0 0 0 1\n    0 1 1 0 1 1 1 1 0 0 0 0 0 0 0 0 0 0 0 0 0 0 0 0 0 0 0 0 0 0 0 0 0 0 0 0 0 0 \n    0 0 0 0 0 0 0 0 1 0 0 0 0 0 0 0 0 0 0 0 0 0 0]\n[0 0 1 0 0 0 1 1 0 1 1 0 0 0 0 0 0 0 1 1 0 0 1 0 0 0 0 1 0 1 1 1 1 0 1 1 1 1 1 1\n    0 1 0 0 1 1 0 1 0 0 0 0 0 0 0 0 0 0 0 0 0 0 0 0 0 0 0 0 0 0 0 0 0 0 0 0 0 0 \n    0 0 0 0 0 0 0 0 0 1 0 0 0 0 0 0 0 0 0 0 0 0 0]\n[0 0 1 0 0 1 0 1 0 1 0 1 0 0 1 1 0 0 0 1 0 1 0 1 1 0 0 0 0 1 1 0 1 0 1 0 1 1 1 0\n    0 1 1 1 0 0 0 0 0 0 0 0 0 0 0 0 0 0 0 0 0 0 0 0 0 0 0 0 0 0 0 0 0 0 0 0 0 0 \n    0 0 0 0 0 0 0 0 0 0 1 0 0 0 0 0 0 0 0 0 0 0 0]\n[0 0 1 0 0 1 1 1 1 0 1 1 0 0 1 0 1 1 0 1 1 1 0 0 0 0 0 1 0 1 1 1 0 0 0 1 1 0 1 0\n    0 0 0 0 0 0 0 1 0 0 0 0 0 0 0 0 0 0 0 0 0 0 0 0 0 0 0 0 0 0 0 0 0 0 0 0 0 0 \n    0 0 0 0 0 0 0 0 0 0 0 1 0 0 0 0 0 0 0 0 0 0 0]\n[1 1 1 0 1 1 0 0 1 1 1 1 1 0 1 1 0 1 0 0 0 1 0 1 1 0 1 0 0 1 1 1 1 1 0 1 0 0 1 0\n    0 1 0 1 0 1 1 1 0 0 0 0 0 0 0 0 0 0 0 0 0 0 0 0 0 0 0 0 0 0 0 0 0 0 0 0 0 0 \n    0 0 0 0 0 0 0 0 0 0 0 0 1 0 0 0 0 0 0 0 0 0 0]\n[0 0 1 0 1 0 0 0 1 0 0 1 0 0 0 1 1 0 1 0 1 1 0 1 0 1 1 1 1 1 0 0 1 1 1 0 1 0 1 1\n    1 1 0 1 1 1 1 0 0 0 0 0 0 0 0 0 0 0 0 0 0 0 0 0 0 0 0 0 0 0 0 0 0 0 0 0 0 0 \n    0 0 0 0 0 0 0 0 0 0 0 0 0 1 0 0 0 0 0 0 0 0 0]\n[1 1 1 1 0 1 0 0 1 0 0 1 0 1 0 0 0 0 1 1 1 0 0 1 0 0 1 0 1 1 0 1 0 1 1 1 0 0 1 1\n    1 1 0 0 0 1 1 0 0 0 0 0 0 0 0 0 0 0 0 0 0 0 0 0 0 0 0 0 0 0 0 0 0 0 0 0 0 0 \n    0 0 0 0 0 0 0 0 0 0 0 0 0 0 1 0 0 0 0 0 0 0 0]\n[1 1 1 1 1 0 0 0 1 0 0 1 1 1 1 0 1 0 0 0 1 1 0 1 0 1 1 1 0 0 1 0 1 0 1 0 0 0 0 0\n    0 0 1 0 1 1 0 0 0 0 0 0 0 0 0 0 0 0 0 0 0 0 0 0 0 0 0 0 0 0 0 0 0 0 0 0 0 0 \n    0 0 0 0 0 0 0 0 0 0 0 0 0 0 0 1 0 0 0 0 0 0 0]\n[1 1 0 1 0 0 1 1 0 1 0 0 0 1 1 1 0 0 0 0 1 1 1 1 1 0 1 0 0 0 1 1 0 0 1 0 1 1 0 1\n    0 1 1 1 0 1 0 0 0 0 0 0 0 0 0 0 0 0 0 0 0 0 0 0 0 0 0 0 0 0 0 0 0 0 0 0 0 0 \n    0 0 0 0 0 0 0 0 0 0 0 0 0 0 0 0 1 0 0 0 0 0 0]\n[1 0 0 0 1 1 0 1 1 1 0 1 0 1 0 1 1 0 1 1 0 1 0 1 1 0 0 1 0 0 0 0 1 1 0 0 0 0 0 0\n    1 0 1 0 0 1 1 1 0 0 0 0 0 0 0 0 0 0 0 0 0 0 0 0 0 0 0 0 0 0 0 0 0 0 0 0 0 0 \n    0 0 0 0 0 0 0 0 0 0 0 0 0 0 0 0 0 1 0 0 0 0 0]\n[0 1 1 0 1 0 0 1 1 1 0 0 0 1 0 1 0 0 0 1 0 1 1 1 0 1 0 1 1 0 0 0 1 0 1 0 1 1 1 1\n    1 1 0 1 0 0 1 0 0 0 0 0 0 0 0 0 0 0 0 0 0 0 0 0 0 0 0 0 0 0 0 0 0 0 0 0 0 0 \n    0 0 0 0 0 0 0 0 0 0 0 0 0 0 0 0 0 0 1 0 0 0 0]\n[1 0 1 0 1 0 1 0 1 1 1 0 0 1 1 1 0 0 0 0 0 1 1 0 1 1 1 0 1 1 1 0 0 1 1 1 0 0 0 0\n    0 0 0 1 0 1 0 1 0 0 0 0 0 0 0 0 0 0 0 0 0 0 0 0 0 0 0 0 0 0 0 0 0 0 0 0 0 0 \n    0 0 0 0 0 0 0 0 0 0 0 0 0 0 0 0 0 0 0 1 0 0 0]\n[0 1 1 1 1 0 1 0 0 1 1 0 0 0 1 1 1 1 0 1 0 0 0 1 0 1 1 0 1 0 0 0 1 0 0 0 0 1 1 0\n    0 0 1 0 0 1 1 1 0 0 0 0 0 0 0 0 0 0 0 0 0 0 0 0 0 0 0 0 0 0 0 0 0 0 0 0 0 0 \n    0 0 0 0 0 0 0 0 0 0 0 0 0 0 0 0 0 0 0 0 1 0 0]\n[1 0 0 1 0 0 0 1 0 0 1 1 1 0 1 1 0 1 0 0 1 1 1 0 1 0 0 1 0 1 0 0 0 0 1 1 1 0 1 1\n    1 0 1 0 0 0 1 0 0 0 0 0 0 0 0 0 0 0 0 0 0 0 0 0 0 0 0 0 0 0 0 0 0 0 0 0 0 0 \n    0 0 0 0 0 0 0 0 0 0 0 0 0 0 0 0 0 0 0 0 0 1 0]\n[1 0 1 0 1 1 1 0 0 1 1 0 1 0 1 1 0 1 0 0 0 0 1 0 0 0 1 0 0 0 1 0 0 0 0 0 0 1 0 1\n    0 1 0 0 1 0 0 1 0 0 0 0 0 0 0 0 0 0 0 0 0 0 0 0 0 0 0 0 0 0 0 0 0 0 0 0 0 0 \n    0 0 0 0 0 0 0 0 0 0 0 0 0 0 0 0 0 0 0 0 0 0 1]\n[101, 53] Linear Code over GF(2)\nGenerator matrix:\n[1 0 0 0 0 0 0 0 0 0 0 0 0 0 0 0 0 0 0 0 0 0 0 0 0 0 0 0 0 0 0 0 0 0 0 0 0 0 0 0\n    0 0 0 0 0 0 0 0 0 0 0 0 0 0 0 1 1 0 0 0 1 1 0 0 1 0 0 0 0 0 1 0 0 0 1 1 1 0 \n    1 1 1 1 1 1 0 0 1 1 1 0 0 0 1 0 1 1 0 1 1 1 0]\n[0 1 0 0 0 0 0 0 0 0 0 0 0 0 0 0 0 0 0 0 0 0 0 0 0 0 0 0 0 0 0 0 0 0 0 0 0 0 0 0\n    0 0 0 0 0 0 0 0 0 0 0 0 0 1 0 1 1 0 0 1 0 1 0 1 1 1 0 1 0 1 1 1 0 1 0 1 1 1 \n    0 0 0 0 1 0 0 0 1 1 0 1 1 1 0 0 0 1 1 1 0 1 1]\n[0 0 1 0 0 0 0 0 0 0 0 0 0 0 0 0 0 0 0 0 0 0 0 0 0 0 0 0 0 0 0 0 0 0 0 0 0 0 0 0\n    0 0 0 0 0 0 0 0 0 0 1 0 0 1 0 1 0 1 1 0 1 0 0 0 1 0 0 0 1 0 1 0 1 0 0 1 0 1 \n    0 1 0 0 0 1 1 1 1 1 1 1 1 0 0 1 1 1 0 1 1 0 1]\n[0 0 0 1 0 0 0 0 0 0 0 0 0 0 0 0 0 0 0 0 0 0 0 0 0 0 0 0 0 0 0 0 0 0 0 0 0 0 0 0\n    0 0 0 0 0 0 0 0 0 0 0 0 0 0 0 0 0 0 1 0 1 1 0 0 0 0 0 1 1 0 1 0 1 0 0 0 1 1 \n    1 1 0 0 0 0 1 1 1 1 1 0 1 0 1 1 1 1 1 0 1 0 1]\n[0 0 0 0 1 0 0 0 0 0 0 0 0 0 0 0 0 0 0 0 0 0 0 0 0 0 0 0 0 0 0 0 0 0 0 0 0 0 0 0\n    0 0 0 0 0 0 0 0 0 0 0 0 0 1 0 0 0 1 1 0 0 1 0 1 0 0 0 0 1 1 0 1 0 0 0 1 1 0 \n    1 1 1 1 1 0 0 1 1 0 0 0 1 0 1 1 0 0 0 0 1 1 1]\n[0 0 0 0 0 1 0 0 0 0 0 0 0 0 0 0 0 0 0 0 0 0 0 0 0 0 0 0 0 0 0 0 0 0 0 0 0 0 0 0\n    0 0 0 0 0 0 0 0 0 0 0 0 0 0 0 1 1 1 0 1 0 1 1 0 1 0 1 1 0 0 0 0 1 0 1 1 1 1 \n    1 1 1 0 1 0 0 1 0 0 1 1 0 0 0 0 0 1 1 1 0 1 1]\n[0 0 0 0 0 0 1 0 0 0 0 0 0 0 0 0 0 0 0 0 0 0 0 0 0 0 0 0 0 0 0 0 0 0 0 0 0 0 0 0\n    0 0 0 0 0 0 0 0 0 0 1 0 0 1 0 1 1 1 1 1 1 1 1 0 1 1 0 0 1 1 0 0 0 1 1 0 0 0 \n    1 0 0 0 0 0 0 0 1 1 0 0 0 1 1 0 1 1 0 0 1 0 0]\n[0 0 0 0 0 0 0 1 0 0 0 0 0 0 0 0 0 0 0 0 0 0 0 0 0 0 0 0 0 0 0 0 0 0 0 0 0 0 0 0\n    0 0 0 0 0 0 0 0 0 0 0 0 0 0 0 1 1 1 0 1 1 1 1 1 1 1 0 0 1 0 0 0 1 1 1 0 1 0 \n    1 1 1 0 1 1 1 1 1 1 1 0 1 1 1 1 0 1 1 0 0 1 0]\n[0 0 0 0 0 0 0 0 1 0 0 0 0 0 0 0 0 0 0 0 0 0 0 0 0 0 0 0 0 0 0 0 0 0 0 0 0 0 0 0\n    0 0 0 0 0 0 0 0 0 0 1 0 0 1 0 1 0 1 1 1 1 0 0 1 0 0 1 1 1 0 0 1 1 0 0 0 0 0 \n    1 1 1 0 0 1 0 1 0 0 0 1 1 1 0 1 1 0 1 0 0 0 1]\n[0 0 0 0 0 0 0 0 0 1 0 0 0 0 0 0 0 0 0 0 0 0 0 0 0 0 0 0 0 0 0 0 0 0 0 0 0 0 0 0\n    0 0 0 0 0 0 0 0 0 0 1 0 0 0 0 0 1 0 1 1 0 0 1 1 1 0 0 0 0 0 0 1 0 1 1 0 0 1 \n    1 0 0 0 0 1 1 0 0 1 0 0 0 0 0 0 0 0 1 1 1 0 1]\n[0 0 0 0 0 0 0 0 0 0 1 0 0 0 0 0 0 0 0 0 0 0 0 0 0 0 0 0 0 0 0 0 0 0 0 0 0 0 0 0\n    0 0 0 0 0 0 0 0 0 0 1 0 0 0 0 1 1 1 0 1 1 1 0 1 1 0 1 0 1 1 0 1 1 0 0 0 1 1 \n    0 1 1 1 1 0 0 1 1 1 0 1 1 1 0 1 1 0 1 0 0 1 1]\n[0 0 0 0 0 0 0 0 0 0 0 1 0 0 0 0 0 0 0 0 0 0 0 0 0 0 0 0 0 0 0 0 0 0 0 0 0 0 0 0\n    0 0 0 0 0 0 0 0 0 0 0 0 0 1 0 0 1 0 1 0 0 0 1 1 0 1 1 1 1 1 1 1 1 1 0 0 0 0 \n    1 0 0 1 1 1 1 1 0 1 1 0 1 1 0 1 0 1 1 1 1 0 0]\n[0 0 0 0 0 0 0 0 0 0 0 0 1 0 0 0 0 0 0 0 0 0 0 0 0 0 0 0 0 0 0 0 0 0 0 0 0 0 0 0\n    0 0 0 0 0 0 0 0 0 0 1 0 0 1 0 0 1 0 1 0 0 1 0 0 1 0 1 0 1 0 1 1 0 1 0 0 1 0 \n    0 0 0 1 1 0 1 1 1 0 1 1 0 1 0 0 0 0 1 1 1 0 0]\n[0 0 0 0 0 0 0 0 0 0 0 0 0 1 0 0 0 0 0 0 0 0 0 0 0 0 0 0 0 0 0 0 0 0 0 0 0 0 0 0\n    0 0 0 0 0 0 0 0 0 0 0 0 0 0 0 0 1 0 0 1 1 1 0 1 1 1 1 1 1 1 0 0 0 0 1 1 0 0 \n    1 1 1 0 1 0 0 1 1 0 0 0 0 1 1 1 1 1 1 0 0 0 0]\n[0 0 0 0 0 0 0 0 0 0 0 0 0 0 1 0 0 0 0 0 0 0 0 0 0 0 0 0 0 0 0 0 0 0 0 0 0 0 0 0\n    0 0 0 0 0 0 0 0 0 0 1 0 0 0 0 0 1 1 0 1 1 0 0 1 1 0 1 0 0 1 1 0 0 0 1 1 0 1 \n    1 0 1 0 0 0 0 0 1 1 1 0 0 0 0 0 0 1 1 0 1 1 1]\n[0 0 0 0 0 0 0 0 0 0 0 0 0 0 0 1 0 0 0 0 0 0 0 0 0 0 0 0 0 0 0 0 0 0 0 0 0 0 0 0\n    0 0 0 0 0 0 0 0 0 0 1 0 0 1 0 0 1 1 1 0 0 0 0 0 1 0 0 0 1 1 0 0 0 0 1 1 1 1 \n    1 0 0 0 1 1 0 1 1 0 1 1 1 1 1 0 0 1 1 0 0 0 1]\n[0 0 0 0 0 0 0 0 0 0 0 0 0 0 0 0 1 0 0 0 0 0 0 0 0 0 0 0 0 0 0 0 0 0 0 0 0 0 0 0\n    0 0 0 0 0 0 0 0 0 0 1 0 0 0 0 0 0 1 1 0 0 0 1 0 1 1 0 0 0 1 0 1 0 0 1 1 0 0 \n    1 1 0 1 1 0 0 0 0 0 1 1 0 1 1 1 0 1 1 1 0 1 0]\n[0 0 0 0 0 0 0 0 0 0 0 0 0 0 0 0 0 1 0 0 0 0 0 0 0 0 0 0 0 0 0 0 0 0 0 0 0 0 0 0\n    0 0 0 0 0 0 0 0 0 0 1 0 0 1 0 1 1 0 1 1 0 0 1 0 1 0 1 1 0 1 0 0 1 0 1 0 1 0 \n    1 1 0 0 1 0 0 0 0 1 0 0 1 1 1 1 0 0 0 1 0 1 1]\n[0 0 0 0 0 0 0 0 0 0 0 0 0 0 0 0 0 0 1 0 0 0 0 0 0 0 0 0 0 0 0 0 0 0 0 0 0 0 0 0\n    0 0 0 0 0 0 0 0 0 0 0 0 0 1 0 1 1 0 0 0 1 1 0 1 0 1 0 0 0 0 0 0 1 1 1 0 1 1 \n    0 1 1 0 1 1 0 1 0 0 1 1 1 1 1 0 0 1 0 1 1 1 1]\n[0 0 0 0 0 0 0 0 0 0 0 0 0 0 0 0 0 0 0 1 0 0 0 0 0 0 0 0 0 0 0 0 0 0 0 0 0 0 0 0\n    0 0 0 0 0 0 0 0 0 0 0 0 0 1 0 0 0 0 0 1 0 0 1 1 0 1 1 1 1 0 0 0 1 0 1 0 1 1 \n    0 0 1 0 1 0 1 0 0 1 1 1 0 0 1 1 1 1 1 1 0 1 1]\n[0 0 0 0 0 0 0 0 0 0 0 0 0 0 0 0 0 0 0 0 1 0 0 0 0 0 0 0 0 0 0 0 0 0 0 0 0 0 0 0\n    0 0 0 0 0 0 0 0 0 0 1 0 0 0 0 0 0 1 1 1 1 1 1 0 1 1 0 1 0 1 1 0 0 1 0 1 0 1 \n    1 0 1 1 1 0 1 1 1 1 0 1 1 1 0 0 1 1 1 0 0 0 1]\n[0 0 0 0 0 0 0 0 0 0 0 0 0 0 0 0 0 0 0 0 0 1 0 0 0 0 0 0 0 0 0 0 0 0 0 0 0 0 0 0\n    0 0 0 0 0 0 0 0 0 0 0 0 0 0 0 0 0 1 0 1 1 0 1 1 0 1 1 1 0 1 1 0 0 1 1 0 1 0 \n    0 0 1 1 0 0 0 0 0 1 1 0 1 1 1 0 0 0 1 1 1 1 1]\n[0 0 0 0 0 0 0 0 0 0 0 0 0 0 0 0 0 0 0 0 0 0 1 0 0 0 0 0 0 0 0 0 0 0 0 0 0 0 0 0\n    0 0 0 0 0 0 0 0 0 0 0 0 0 1 0 0 0 1 0 0 1 1 1 0 1 1 1 1 1 0 1 0 1 0 1 0 0 0 \n    1 0 1 0 1 0 0 1 1 1 1 1 1 0 0 1 1 0 0 0 1 1 0]\n[0 0 0 0 0 0 0 0 0 0 0 0 0 0 0 0 0 0 0 0 0 0 0 1 0 0 0 0 0 0 0 0 0 0 0 0 0 0 0 0\n    0 0 0 0 0 0 0 0 0 0 0 0 0 0 0 0 1 0 0 1 1 1 1 1 0 1 0 0 0 1 1 0 1 1 0 0 1 0 \n    1 1 0 1 1 1 1 0 0 1 0 0 0 0 1 0 0 1 1 0 1 1 0]\n[0 0 0 0 0 0 0 0 0 0 0 0 0 0 0 0 0 0 0 0 0 0 0 0 1 0 0 0 0 0 0 0 0 0 0 0 0 0 0 0\n    0 0 0 0 0 0 0 0 0 0 0 0 0 0 0 1 0 0 1 1 1 1 1 1 1 1 1 1 0 1 0 1 1 1 1 1 0 1 \n    1 1 0 1 0 0 1 1 0 0 0 0 1 1 0 1 0 1 1 1 1 0 1]\n[0 0 0 0 0 0 0 0 0 0 0 0 0 0 0 0 0 0 0 0 0 0 0 0 0 1 0 0 0 0 0 0 0 0 0 0 0 0 0 0\n    0 0 0 0 0 0 0 0 0 0 0 0 0 1 0 1 1 0 1 1 1 1 1 0 0 1 1 1 1 1 0 1 0 1 0 0 0 0 \n    1 0 1 1 1 0 1 0 1 1 1 1 0 1 0 0 1 1 1 1 0 0 1]\n[0 0 0 0 0 0 0 0 0 0 0 0 0 0 0 0 0 0 0 0 0 0 0 0 0 0 1 0 0 0 0 0 0 0 0 0 0 0 0 0\n    0 0 0 0 0 0 0 0 0 0 1 0 0 0 0 0 1 0 0 1 1 0 1 0 1 0 0 1 0 0 1 1 1 1 0 0 1 0 \n    1 1 1 1 1 0 1 1 0 1 0 0 1 1 0 1 1 1 1 0 1 0 1]\n[0 0 0 0 0 0 0 0 0 0 0 0 0 0 0 0 0 0 0 0 0 0 0 0 0 0 0 1 0 0 0 0 0 0 0 0 0 0 0 0\n    0 0 0 0 0 0 0 0 0 0 1 0 0 1 0 1 0 1 1 1 1 0 1 0 1 1 1 1 0 1 1 1 1 0 0 1 0 1 \n    0 0 0 0 1 1 0 1 0 0 0 0 0 0 0 0 0 1 1 0 0 1 1]\n[0 0 0 0 0 0 0 0 0 0 0 0 0 0 0 0 0 0 0 0 0 0 0 0 0 0 0 0 1 0 0 0 0 0 0 0 0 0 0 0\n    0 0 0 0 0 0 0 0 0 0 1 0 0 0 0 1 0 1 0 1 0 1 1 0 0 0 1 0 1 0 0 0 1 0 1 1 0 1 \n    0 0 0 0 0 0 1 1 0 1 1 0 1 1 0 0 1 0 0 1 0 0 0]\n[0 0 0 0 0 0 0 0 0 0 0 0 0 0 0 0 0 0 0 0 0 0 0 0 0 0 0 0 0 1 0 0 0 0 0 0 0 0 0 0\n    0 0 0 0 0 0 0 0 0 0 0 0 0 0 0 0 1 0 0 1 0 0 0 0 0 0 0 1 0 1 1 0 0 1 0 0 0 0 \n    1 1 1 0 0 0 1 1 0 0 1 1 1 0 1 1 1 0 1 1 1 1 1]\n[0 0 0 0 0 0 0 0 0 0 0 0 0 0 0 0 0 0 0 0 0 0 0 0 0 0 0 0 0 0 1 0 0 0 0 0 0 0 0 0\n    0 0 0 0 0 0 0 0 0 0 1 0 0 1 0 0 0 0 1 0 0 0 1 0 1 0 0 1 1 0 1 1 1 1 1 1 1 1 \n    0 0 1 1 0 0 0 0 1 0 1 1 0 0 1 0 1 1 1 0 0 1 0]\n[0 0 0 0 0 0 0 0 0 0 0 0 0 0 0 0 0 0 0 0 0 0 0 0 0 0 0 0 0 0 0 1 0 0 0 0 0 0 0 0\n    0 0 0 0 0 0 0 0 0 0 1 0 0 0 0 0 1 0 0 1 1 1 0 1 0 1 1 0 0 0 0 0 0 1 0 0 1 0 \n    0 0 1 1 0 0 0 1 1 1 0 1 0 0 1 0 0 0 1 1 1 0 0]\n[0 0 0 0 0 0 0 0 0 0 0 0 0 0 0 0 0 0 0 0 0 0 0 0 0 0 0 0 0 0 0 0 1 0 0 0 0 0 0 0\n    0 0 0 0 0 0 0 0 0 0 0 0 0 0 0 0 0 0 0 1 1 0 1 0 0 1 1 0 0 1 0 0 1 0 1 1 1 1 \n    0 1 1 1 1 1 1 1 0 1 1 0 1 1 1 1 1 1 0 0 1 0 1]\n[0 0 0 0 0 0 0 0 0 0 0 0 0 0 0 0 0 0 0 0 0 0 0 0 0 0 0 0 0 0 0 0 0 1 0 0 0 0 0 0\n    0 0 0 0 0 0 0 0 0 0 0 0 0 0 0 0 0 1 0 1 0 1 0 1 0 1 0 1 0 0 1 0 1 0 0 0 0 1 \n    0 1 0 1 0 0 1 0 0 0 1 0 1 1 0 1 1 1 1 0 0 1 1]\n[0 0 0 0 0 0 0 0 0 0 0 0 0 0 0 0 0 0 0 0 0 0 0 0 0 0 0 0 0 0 0 0 0 0 1 0 0 0 0 0\n    0 0 0 0 0 0 0 0 0 0 0 0 0 0 0 1 1 1 0 1 1 0 1 1 0 0 1 1 1 1 0 0 1 0 1 1 0 0 \n    0 0 1 0 1 1 1 1 0 1 1 1 1 0 0 1 0 0 0 0 0 0 0]\n[0 0 0 0 0 0 0 0 0 0 0 0 0 0 0 0 0 0 0 0 0 0 0 0 0 0 0 0 0 0 0 0 0 0 0 1 0 0 0 0\n    0 0 0 0 0 0 0 0 0 0 1 0 0 1 0 1 0 0 1 1 0 0 0 1 0 1 0 0 1 1 1 0 1 0 1 0 0 0 \n    1 1 1 0 0 1 1 1 0 0 1 0 1 1 1 0 0 1 0 1 1 0 1]\n[0 0 0 0 0 0 0 0 0 0 0 0 0 0 0 0 0 0 0 0 0 0 0 0 0 0 0 0 0 0 0 0 0 0 0 0 1 0 0 0\n    0 0 0 0 0 0 0 0 0 0 1 0 0 0 0 0 0 0 0 0 1 0 0 1 1 0 0 0 1 1 1 0 0 0 0 0 0 1 \n    1 1 1 1 0 1 0 1 1 1 1 0 1 1 1 1 1 0 0 0 1 0 0]\n[0 0 0 0 0 0 0 0 0 0 0 0 0 0 0 0 0 0 0 0 0 0 0 0 0 0 0 0 0 0 0 0 0 0 0 0 0 1 0 0\n    0 0 0 0 0 0 0 0 0 0 0 0 0 1 0 1 0 0 1 1 0 1 1 1 0 1 0 1 0 1 1 1 1 1 0 0 0 1 \n    0 0 0 1 0 1 0 1 1 1 0 0 0 1 0 0 0 1 0 1 0 0 1]\n[0 0 0 0 0 0 0 0 0 0 0 0 0 0 0 0 0 0 0 0 0 0 0 0 0 0 0 0 0 0 0 0 0 0 0 0 0 0 1 0\n    0 0 0 0 0 0 0 0 0 0 0 0 0 1 0 1 1 0 0 1 1 0 1 0 0 1 0 1 0 0 1 1 0 1 1 0 0 1 \n    1 1 0 1 1 1 0 0 1 0 0 0 0 0 1 1 0 1 0 1 1 0 0]\n[0 0 0 0 0 0 0 0 0 0 0 0 0 0 0 0 0 0 0 0 0 0 0 0 0 0 0 0 0 0 0 0 0 0 0 0 0 0 0 1\n    0 0 0 0 0 0 0 0 0 0 0 0 0 0 0 1 1 0 1 0 0 0 0 0 1 0 0 1 1 1 1 1 0 1 0 1 0 1 \n    1 1 0 1 1 1 0 1 1 1 1 0 0 0 0 0 0 1 0 1 1 0 0]\n[0 0 0 0 0 0 0 0 0 0 0 0 0 0 0 0 0 0 0 0 0 0 0 0 0 0 0 0 0 0 0 0 0 0 0 0 0 0 0 0\n    1 0 0 0 0 0 0 0 0 0 1 0 0 1 0 0 0 1 0 0 0 0 1 0 1 1 0 1 0 0 0 0 1 1 0 1 0 1 \n    0 0 1 0 1 1 1 0 0 1 0 1 0 0 1 0 1 1 1 1 0 1 0]\n[0 0 0 0 0 0 0 0 0 0 0 0 0 0 0 0 0 0 0 0 0 0 0 0 0 0 0 0 0 0 0 0 0 0 0 0 0 0 0 0\n    0 1 0 0 0 0 0 0 0 0 0 0 0 0 0 1 0 1 1 0 0 1 0 1 0 1 1 0 0 1 1 0 1 0 1 1 0 1 \n    1 0 1 1 0 1 1 1 1 1 0 1 0 0 1 0 1 0 0 1 0 1 1]\n[0 0 0 0 0 0 0 0 0 0 0 0 0 0 0 0 0 0 0 0 0 0 0 0 0 0 0 0 0 0 0 0 0 0 0 0 0 0 0 0\n    0 0 1 0 0 0 0 0 0 0 1 0 0 1 0 1 0 0 0 0 0 1 0 0 1 1 0 0 1 0 1 0 0 0 1 0 1 1 \n    1 1 0 0 0 1 0 1 1 0 0 0 0 0 1 0 1 0 1 0 1 1 1]\n[0 0 0 0 0 0 0 0 0 0 0 0 0 0 0 0 0 0 0 0 0 0 0 0 0 0 0 0 0 0 0 0 0 0 0 0 0 0 0 0\n    0 0 0 1 0 0 0 0 0 0 1 0 0 0 0 1 0 0 0 1 0 1 1 0 0 1 1 0 1 0 0 0 0 0 0 1 1 0 \n    1 0 1 0 1 1 1 1 0 1 0 0 0 0 0 0 0 1 1 1 0 0 1]\n[0 0 0 0 0 0 0 0 0 0 0 0 0 0 0 0 0 0 0 0 0 0 0 0 0 0 0 0 0 0 0 0 0 0 0 0 0 0 0 0\n    0 0 0 0 1 0 0 0 0 0 1 0 0 1 0 1 1 0 1 1 1 1 0 0 0 1 1 0 1 1 1 1 0 0 1 0 1 0 \n    1 1 0 0 0 1 0 1 1 0 1 1 0 0 1 1 1 1 0 0 0 0 0]\n[0 0 0 0 0 0 0 0 0 0 0 0 0 0 0 0 0 0 0 0 0 0 0 0 0 0 0 0 0 0 0 0 0 0 0 0 0 0 0 0\n    0 0 0 0 0 1 0 0 0 0 1 0 0 1 0 1 1 1 0 1 1 1 1 1 0 0 1 0 0 0 1 1 0 1 0 0 0 1 \n    0 0 0 0 0 0 0 0 1 1 1 0 1 1 1 0 0 0 0 0 0 0 1]\n[0 0 0 0 0 0 0 0 0 0 0 0 0 0 0 0 0 0 0 0 0 0 0 0 0 0 0 0 0 0 0 0 0 0 0 0 0 0 0 0\n    0 0 0 0 0 0 1 0 0 0 1 0 0 0 0 1 0 0 0 0 1 1 1 1 1 1 0 1 0 0 1 1 1 0 0 1 1 0 \n    0 0 0 0 0 0 0 0 1 0 0 0 0 1 0 1 1 1 0 1 0 0 0]\n[0 0 0 0 0 0 0 0 0 0 0 0 0 0 0 0 0 0 0 0 0 0 0 0 0 0 0 0 0 0 0 0 0 0 0 0 0 0 0 0\n    0 0 0 0 0 0 0 1 0 0 1 0 0 0 0 0 0 1 0 1 0 0 0 0 0 1 0 1 0 0 1 1 1 1 1 1 0 0 \n    1 1 1 1 0 0 1 0 0 0 0 1 1 1 0 1 1 1 0 1 0 1 0]\n[0 0 0 0 0 0 0 0 0 0 0 0 0 0 0 0 0 0 0 0 0 0 0 0 0 0 0 0 0 0 0 0 0 0 0 0 0 0 0 0\n    0 0 0 0 0 0 0 0 1 0 0 0 0 0 0 0 0 1 0 0 1 1 0 0 0 0 1 0 1 0 1 0 1 0 1 1 0 0 \n    0 0 0 1 1 0 1 0 1 0 1 1 1 1 0 1 0 1 1 0 0 1 0]\n[0 0 0 0 0 0 0 0 0 0 0 0 0 0 0 0 0 0 0 0 0 0 0 0 0 0 0 0 0 0 0 0 0 0 0 0 0 0 0 0\n    0 0 0 0 0 0 0 0 0 1 1 0 0 0 0 0 0 0 1 0 1 1 1 1 1 0 1 0 0 0 0 1 1 1 0 0 1 0 \n    1 0 1 1 0 0 1 0 1 0 0 0 1 0 1 0 1 0 0 0 0 0 1]\n[0 0 0 0 0 0 0 0 0 0 0 0 0 0 0 0 0 0 0 0 0 0 0 0 0 0 0 0 0 0 0 0 0 0 0 0 0 0 0 0\n    0 0 0 0 0 0 0 0 0 0 0 1 0 0 0 1 1 1 1 0 0 0 1 0 1 0 0 1 1 0 0 0 0 1 1 0 0 1 \n    1 1 0 1 1 0 0 1 0 0 1 0 1 0 1 1 0 0 0 1 1 0 0]\n[0 0 0 0 0 0 0 0 0 0 0 0 0 0 0 0 0 0 0 0 0 0 0 0 0 0 0 0 0 0 0 0 0 0 0 0 0 0 0 0\n    0 0 0 0 0 0 0 0 0 0 0 0 1 0 0 0 0 0 1 1 1 1 1 1 0 0 0 0 1 1 1 1 0 0 0 1 0 1 \n    1 0 1 1 1 0 0 1 0 1 1 1 0 1 1 1 0 1 1 1 1 1 1]\n[0 0 0 0 0 0 0 0 0 0 0 0 0 0 0 0 0 0 0 0 0 0 0 0 0 0 0 0 0 0 0 0 0 0 0 0 0 0 0 0\n    0 0 0 0 0 0 0 0 0 0 0 0 0 0 1 0 0 0 1 1 0 0 1 0 0 1 1 1 1 0 0 0 0 1 1 1 1 0 \n    0 1 0 0 1 0 0 0 1 1 1 1 1 0 0 0 1 1 1 0 0 1 0]\nLinear Code over GF(2) of length 101 with 53 generators.\nLower Bound: 1, Upper Bound: 49\nConstructed 2 distinct generator matrices\nRelative Ranks:  53  48 \nTime Taken: 0.00\nStarting search for low weight codewords... (reset timings)\nEnumerating using 1 generator at a time:\n     New codeword identified of weight 25, time 0.00\n     New codeword identified of weight 24, time 0.00\n     New codeword identified of weight 20, time 0.00\n   Completed Matrix  1:  lower =  2, upper = 20. Elapsed: 0.00s\n     New codeword identified of weight 16, time 0.00\n   Completed Matrix  2:  lower =  2, upper = 16. Elapsed: 0.00s\nTermination predicted with 10 generators at matrix 1\nEnumerating using 2 generators at a time:\n   Completed Matrix  1:  lower =  3, upper = 16. Elapsed: 0.00s\n   Completed Matrix  2:  lower =  3, upper = 16. Elapsed: 0.00s\nTermination predicted with 10 generators at matrix 1\nEnumerating using 3 generators at a time:\n     New codeword identified of weight 15, time 0.00\n   Completed Matrix  1:  lower =  4, upper = 15. Elapsed: 0.00s\n   Completed Matrix  2:  lower =  4, upper = 15. Elapsed: 0.00s\nTermination predicted with 9 generators at matrix 2\nEnumerating using 4 generators at a time:\n   Completed Matrix  1:  lower =  5, upper = 15. Elapsed: 0.00s\n   Completed Matrix  2:  lower =  5, upper = 15. Elapsed: 0.00s\nTermination predicted with 9 generators at matrix 2\nEnumerating using 5 generators at a time:\n   Completed Matrix  1:  lower =  6, upper = 15. Elapsed: 0.01s\n   Completed Matrix  2:  lower =  7, upper = 15. Elapsed: 0.01s\nTermination predicted with 9 generators at matrix 2\nEnumerating using 6 generators at a time:\n   Completed Matrix  1:  lower =  8, upper = 15. Elapsed: 0.06s\n   Completed Matrix  2:  lower =  9, upper = 15. Elapsed: 0.10s\nTermination predicted with 9 generators at matrix 2\nEnumerating using 7 generators at a time:\n   Completed Matrix  1:  lower = 10, upper = 15. Elapsed: 0.40s\n   Completed Matrix  2:  lower = 11, upper = 15. Elapsed: 0.70s\nTermination predicted at 21 s with 9 generators at matrix 2\nEnumerating using 8 generators at a time:\n   Completed Matrix  1:  lower = 12, upper = 15. Elapsed: 2.51s\n   Completed Matrix  2:  lower = 13, upper = 15. Elapsed: 4.30s\nTermination predicted at 22 s with 9 generators at matrix 2\nEnumerating using 9 generators at a time:\n   Completed Matrix  1:  lower = 14, upper = 15. Elapsed: 13.77s\n   Completed Matrix  2:  lower = 15, upper = 15. Elapsed: 23.16s\nComputation complete 10996448374 vectors enumerated in total\n (0.000122% of 101 53 code)\nFinal Results: lower = 15, upper = 15,\nTotal CPU time: 23.16, real time: 23.195\n15\n\nTotal time: 23.179 seconds, Total memory usage: 32.09MB\n</t>
  </si>
  <si>
    <t>[[102,54,15]]</t>
  </si>
  <si>
    <t>Magma V2.28-26    Tue Dec 30 2025 10:38:02 on Marks-MacBook-Air-2 [Seed = \n538632819]\nType ? for help.  Type &lt;Ctrl&gt;-D to quit.\n[1 1 1 1 0 1 0 0 1 0 1 0 1 0 1 1 0 1 0 0 1 1 0 1 0 1 0 0 1 1 1 0 1 1 0 1 0 1 1 1\n    0 0 0 0 0 1 0 0 1 0 0 0 0 0 0 0 0 0 0 0 0 0 0 0 0 0 0 0 0 0 0 0 0 0 0 0 0 0 \n    0 0 0 0 0 0 0 0 0 0 0 0 0 0 0 0 0 0 0 0 0 0 0 0]\n[0 1 0 1 0 0 0 1 0 0 1 1 1 1 1 0 0 1 0 1 0 1 1 0 1 1 0 0 1 1 1 1 1 0 1 1 0 1 1 0\n    0 0 0 1 0 1 1 0 0 1 0 0 0 0 0 0 0 0 0 0 0 0 0 0 0 0 0 0 0 0 0 0 0 0 0 0 0 0 \n    0 0 0 0 0 0 0 0 0 0 0 0 0 0 0 0 0 0 0 0 0 0 0 0]\n[0 1 0 1 0 0 1 1 0 1 0 1 0 1 1 1 1 1 1 0 1 0 0 1 0 0 1 1 0 0 1 1 0 1 1 0 0 0 0 1\n    1 1 0 1 0 1 1 0 0 0 1 0 0 0 0 0 0 0 0 0 0 0 0 0 0 0 0 0 0 0 0 0 0 0 0 0 0 0 \n    0 0 0 0 0 0 0 0 0 0 0 0 0 0 0 0 0 0 0 0 0 0 0 0]\n[0 0 1 1 0 0 1 0 1 0 0 1 0 1 0 0 1 1 1 0 0 0 0 1 1 0 0 1 0 1 1 1 0 0 0 1 0 0 0 0\n    1 1 1 1 1 0 1 0 0 0 0 1 0 0 0 0 0 0 0 0 0 0 0 0 0 0 0 0 0 0 0 0 0 0 0 0 0 0 \n    0 0 0 0 0 0 0 0 0 0 0 0 0 0 0 0 0 0 0 0 0 0 0 0]\n[0 0 0 1 1 1 1 1 1 1 1 0 0 1 0 0 1 1 0 0 1 0 0 0 0 1 1 1 0 1 1 0 1 0 1 0 1 1 0 1\n    0 0 0 1 0 0 0 0 0 0 0 0 1 0 0 0 0 0 0 0 0 0 0 0 0 0 0 0 0 0 0 0 0 0 0 0 0 0 \n    0 0 0 0 0 0 0 0 0 0 0 0 0 0 0 0 0 0 0 0 0 0 0 0]\n[1 1 1 0 1 1 1 0 0 1 1 1 1 1 1 1 0 0 1 0 0 1 0 1 0 1 0 1 0 0 1 1 1 0 0 1 1 0 1 1\n    0 0 1 0 0 1 0 0 0 0 0 0 0 1 0 0 0 0 0 0 0 0 0 0 0 0 0 0 0 0 0 0 0 0 0 0 0 0 \n    0 0 0 0 0 0 0 0 0 0 0 0 0 0 0 0 0 0 0 0 0 0 0 0]\n[0 0 1 0 0 0 1 1 0 0 0 0 0 1 0 1 0 1 0 0 1 1 0 1 1 0 1 1 0 0 0 1 1 0 0 1 0 1 1 1\n    1 1 1 1 0 0 1 1 0 0 0 0 0 0 1 0 0 0 0 0 0 0 0 0 0 0 0 0 0 0 0 0 0 0 0 0 0 0 \n    0 0 0 0 0 0 0 0 0 0 0 0 0 0 0 0 0 0 0 0 0 0 0 0]\n[1 0 1 0 1 0 0 0 1 1 0 1 0 0 0 0 1 0 1 0 1 1 0 0 1 0 0 1 1 0 1 1 0 0 1 1 0 1 0 1\n    1 1 1 0 0 1 1 0 0 0 0 0 0 0 0 1 0 0 0 0 0 0 0 0 0 0 0 0 0 0 0 0 0 0 0 0 0 0 \n    0 0 0 0 0 0 0 0 0 0 0 0 0 0 0 0 0 0 0 0 0 0 0 0]\n[1 1 0 0 1 0 1 0 1 0 1 1 1 0 0 0 0 1 1 1 0 0 1 1 0 1 0 0 0 0 0 1 0 0 1 1 0 0 0 1\n    1 1 1 1 0 0 0 0 0 0 0 0 0 0 0 0 1 0 0 0 0 0 0 0 0 0 0 0 0 0 0 0 0 0 0 0 0 0 \n    0 0 0 0 0 0 0 0 0 0 0 0 0 0 0 0 0 0 0 0 0 0 0 0]\n[1 1 0 1 0 1 1 1 0 1 1 0 1 0 0 1 0 0 1 1 0 1 0 1 0 0 0 0 0 0 1 1 1 1 1 0 0 0 0 0\n    0 1 0 0 1 0 0 0 0 0 0 0 0 0 0 0 0 1 0 0 0 0 0 0 0 0 0 0 0 0 0 0 0 0 0 0 0 0 \n    0 0 0 0 0 0 0 0 0 0 0 0 0 0 0 0 0 0 0 0 0 0 0 0]\n[0 1 0 0 1 0 0 0 1 0 0 0 1 1 1 0 1 1 0 0 0 1 1 1 1 0 1 1 0 0 0 0 1 1 1 1 0 1 1 0\n    0 1 1 1 1 0 1 0 0 0 0 0 0 0 0 0 0 0 1 0 0 0 0 0 0 0 0 0 0 0 0 0 0 0 0 0 0 0 \n    0 0 0 0 0 0 0 0 0 0 0 0 0 0 0 0 0 0 0 0 0 0 0 0]\n[0 0 0 0 1 1 1 0 0 1 1 0 1 1 0 1 0 0 1 1 0 1 1 0 1 1 0 1 1 1 0 1 1 1 0 0 1 1 0 1\n    1 1 1 0 1 1 0 1 0 0 0 0 0 0 0 0 0 0 0 1 0 0 0 0 0 0 0 0 0 0 0 0 0 0 0 0 0 0 \n    0 0 0 0 0 0 0 0 0 0 0 0 0 0 0 0 0 0 0 0 0 0 0 0]\n[1 0 0 1 1 1 1 0 1 0 1 0 1 1 0 0 1 0 0 1 1 0 0 0 1 0 0 0 1 0 0 0 0 1 0 1 1 0 0 0\n    0 1 0 1 0 0 0 0 0 0 0 0 0 0 0 0 0 0 0 0 1 0 0 0 0 0 0 0 0 0 0 0 0 0 0 0 0 0 \n    0 0 0 0 0 0 0 0 0 0 0 0 0 0 0 0 0 0 0 0 0 0 0 0]\n[0 0 0 1 0 1 1 0 0 0 0 0 1 0 1 0 1 0 0 0 0 0 1 0 1 1 0 0 0 1 1 1 1 0 0 1 0 0 0 0\n    1 0 0 1 0 1 1 1 0 0 0 0 0 0 0 0 0 0 0 0 0 1 0 0 0 0 0 0 0 0 0 0 0 0 0 0 0 0 \n    0 0 0 0 0 0 0 0 0 0 0 0 0 0 0 0 0 0 0 0 0 0 0 0]\n[0 0 1 1 1 1 1 0 1 1 0 1 1 1 0 1 0 0 0 1 1 0 1 0 0 1 1 0 1 1 1 0 0 1 1 0 1 0 0 0\n    1 0 1 1 0 1 0 1 0 0 0 0 0 0 0 0 0 0 0 0 0 0 1 0 0 0 0 0 0 0 0 0 0 0 0 0 0 0 \n    0 0 0 0 0 0 0 0 0 0 0 0 0 0 0 0 0 0 0 0 0 0 0 0]\n[0 1 0 1 0 1 1 1 0 1 1 0 0 0 1 1 1 1 0 0 0 1 0 1 1 1 1 0 0 0 0 0 0 0 1 1 0 1 1 0\n    0 0 0 0 0 0 0 1 0 0 0 0 0 0 0 0 0 0 0 0 0 0 0 1 0 0 0 0 0 0 0 0 0 0 0 0 0 0 \n    0 0 0 0 0 0 0 0 0 0 0 0 0 0 0 0 0 0 0 0 0 0 0 0]\n[1 0 0 0 1 1 1 1 0 0 1 1 1 0 0 0 1 1 0 0 1 0 0 0 1 1 1 1 0 0 0 0 1 1 1 1 0 0 0 0\n    0 0 1 1 1 0 0 0 0 0 0 0 0 0 0 0 0 0 0 0 0 0 0 0 1 0 0 0 0 0 0 0 0 0 0 0 0 0 \n    0 0 0 0 0 0 0 0 0 0 0 0 0 0 0 0 0 0 0 0 0 0 0 0]\n[0 0 1 0 0 1 1 0 1 0 0 0 1 1 1 1 1 1 1 0 1 0 0 1 0 1 0 1 0 1 1 1 0 1 1 0 1 1 0 1\n    1 0 0 0 1 1 1 1 0 0 0 0 0 0 0 0 0 0 0 0 0 0 0 0 0 1 0 0 0 0 0 0 0 0 0 0 0 0 \n    0 0 0 0 0 0 0 0 0 0 0 0 0 0 0 0 0 0 0 0 0 0 0 0]\n[1 0 0 0 1 0 0 1 1 1 1 0 0 0 0 1 1 0 1 0 0 0 1 1 1 0 0 1 1 0 1 1 0 1 0 1 1 1 1 1\n    0 0 0 0 1 1 0 1 0 0 0 0 0 0 0 0 0 0 0 0 0 0 0 0 0 0 1 0 0 0 0 0 0 0 0 0 0 0 \n    0 0 0 0 0 0 0 0 0 0 0 0 0 0 0 0 0 0 0 0 0 0 0 0]\n[0 0 1 1 1 0 1 1 0 0 0 0 0 0 0 1 0 1 0 0 0 0 1 1 1 1 1 1 1 1 1 0 1 1 1 1 1 1 1 1\n    1 1 0 0 0 1 1 1 0 0 0 0 0 0 0 0 0 0 0 0 0 0 0 0 0 0 0 1 0 0 0 0 0 0 0 0 0 0 \n    0 0 0 0 0 0 0 0 0 0 0 0 0 0 0 0 0 0 0 0 0 0 0 0]\n[0 1 0 0 1 1 1 1 0 0 0 1 1 1 0 1 0 0 1 0 1 1 1 1 1 0 0 0 0 1 0 0 1 0 1 1 0 0 0 0\n    1 0 0 1 0 0 1 0 0 0 0 0 0 0 0 0 0 0 0 0 0 0 0 0 0 0 0 0 1 0 0 0 0 0 0 0 0 0 \n    0 0 0 0 0 0 0 0 0 0 0 0 0 0 0 0 0 0 0 0 0 0 0 0]\n[0 1 0 0 0 1 1 0 0 0 0 1 1 0 0 0 0 1 1 1 0 0 1 0 0 1 1 1 0 0 0 1 0 1 0 1 1 1 0 1\n    1 1 0 1 0 1 1 0 0 0 0 0 0 0 0 0 0 0 0 0 0 0 0 0 0 0 0 0 0 1 0 0 0 0 0 0 0 0 \n    0 0 0 0 0 0 0 0 0 0 0 0 0 0 0 0 0 0 0 0 0 0 0 0]\n[0 1 0 0 0 0 1 0 1 0 0 1 1 1 0 1 0 1 1 1 0 0 0 0 1 0 1 1 1 0 0 1 0 0 0 0 0 1 0 0\n    0 0 1 0 1 1 0 0 0 0 0 0 0 0 0 0 0 0 0 0 0 0 0 0 0 0 0 0 0 0 1 0 0 0 0 0 0 0 \n    0 0 0 0 0 0 0 0 0 0 0 0 0 0 0 0 0 0 0 0 0 0 0 0]\n[1 1 1 0 1 1 0 0 0 0 0 1 0 0 0 0 0 1 0 0 1 0 1 1 0 1 1 1 1 0 0 0 1 1 1 0 1 0 0 1\n    0 0 0 1 0 0 1 1 0 0 0 0 0 0 0 0 0 0 0 0 0 0 0 0 0 0 0 0 0 0 0 1 0 0 0 0 0 0 \n    0 0 0 0 0 0 0 0 0 0 0 0 0 0 0 0 0 0 0 0 0 0 0 0]\n[0 0 1 0 0 1 1 1 1 1 1 1 1 0 0 1 0 1 1 1 1 0 0 1 1 1 1 1 1 1 0 1 1 1 1 1 1 1 0 1\n    1 1 1 0 0 1 1 1 0 0 0 0 0 0 0 0 0 0 0 0 0 0 0 0 0 0 0 0 0 0 0 0 1 0 0 0 0 0 \n    0 0 0 0 0 0 0 0 0 0 0 0 0 0 0 0 0 0 0 0 0 0 0 0]\n[1 0 0 1 1 0 1 1 1 0 0 0 1 1 1 1 1 1 1 0 0 1 0 1 1 0 1 1 1 0 1 0 1 1 1 1 0 0 1 0\n    0 1 0 1 1 0 1 1 0 0 0 0 0 0 0 0 0 0 0 0 0 0 0 0 0 0 0 0 0 0 0 0 0 1 0 0 0 0 \n    0 0 0 0 0 0 0 0 0 0 0 0 0 0 0 0 0 0 0 0 0 0 0 0]\n[1 1 0 0 1 0 1 1 0 0 1 1 0 0 1 1 1 1 0 0 1 1 0 1 0 1 1 0 1 1 1 1 0 1 0 0 1 0 1 1\n    0 1 1 1 1 1 1 1 0 0 0 0 0 0 0 0 0 0 0 0 0 0 0 0 0 0 0 0 0 0 0 0 0 0 1 0 0 0 \n    0 0 0 0 0 0 0 0 0 0 0 0 0 0 0 0 0 0 0 0 0 0 0 0]\n[0 0 1 0 0 1 0 0 0 0 0 0 1 0 1 1 1 0 0 0 1 0 0 1 0 1 1 0 0 1 0 0 1 0 1 0 1 1 0 1\n    0 1 1 1 1 1 1 1 0 0 0 0 0 0 0 0 0 0 0 0 0 0 0 0 0 0 0 0 0 0 0 0 0 0 0 1 0 0 \n    0 0 0 0 0 0 0 0 0 0 0 0 0 0 0 0 0 0 0 0 0 0 0 0]\n[0 0 1 0 0 1 1 1 0 1 0 0 1 1 1 1 1 1 0 1 1 0 1 0 1 0 0 0 1 0 0 0 0 0 0 1 1 0 1 0\n    1 1 0 0 1 1 0 1 0 0 0 0 0 0 0 0 0 0 0 0 0 0 0 0 0 0 0 0 0 0 0 0 0 0 0 0 1 0 \n    0 0 0 0 0 0 0 0 0 0 0 0 0 0 0 0 0 0 0 0 0 0 0 0]\n[1 1 1 0 0 1 0 1 0 1 1 1 1 0 1 0 0 1 1 1 0 0 1 1 0 0 1 1 0 0 1 1 1 0 0 0 1 0 1 0\n    0 0 0 0 1 0 1 1 0 0 0 0 0 0 0 0 0 0 0 0 0 0 0 0 0 0 0 0 0 0 0 0 0 0 0 0 0 1 \n    0 0 0 0 0 0 0 0 0 0 0 0 0 0 0 0 0 0 0 0 0 0 0 0]\n[1 1 1 1 0 1 1 1 0 1 0 0 1 0 0 0 0 0 1 0 0 0 0 1 0 1 0 1 1 1 0 0 1 1 0 1 0 0 0 1\n    0 1 0 1 0 0 0 0 0 0 0 0 0 0 0 0 0 0 0 0 0 0 0 0 0 0 0 0 0 0 0 0 0 0 0 0 0 0 \n    1 0 0 0 0 0 0 0 0 0 0 0 0 0 0 0 0 0 0 0 0 0 0 0]\n[1 0 0 0 1 1 0 1 0 0 1 1 1 0 0 1 0 1 1 0 1 1 0 1 0 1 0 1 0 1 1 1 0 1 0 0 0 0 1 1\n    0 0 1 0 0 1 0 0 0 0 0 0 0 0 0 0 0 0 0 0 0 0 0 0 0 0 0 0 0 0 0 0 0 0 0 0 0 0 \n    0 1 0 0 0 0 0 0 0 0 0 0 0 0 0 0 0 0 0 0 0 0 0 0]\n[1 1 1 1 0 1 1 1 0 0 0 0 0 0 1 1 1 0 0 0 1 1 0 0 1 0 1 1 0 1 1 1 0 1 0 0 1 1 1 1\n    1 0 1 0 1 1 0 1 0 0 0 0 0 0 0 0 0 0 0 0 0 0 0 0 0 0 0 0 0 0 0 0 0 0 0 0 0 0 \n    0 0 1 0 0 0 0 0 0 0 0 0 0 0 0 0 0 0 0 0 0 0 0 0]\n[1 0 0 0 1 1 1 0 1 1 0 1 0 0 0 0 0 0 0 0 1 1 1 1 1 1 0 0 0 1 1 1 0 1 1 0 1 1 1 1\n    1 1 0 0 0 0 1 1 0 0 0 0 0 0 0 0 0 0 0 0 0 0 0 0 0 0 0 0 0 0 0 0 0 0 0 0 0 0 \n    0 0 0 1 0 0 0 0 0 0 0 0 0 0 0 0 0 0 0 0 0 0 0 0]\n[0 0 0 1 0 0 1 1 1 1 1 1 1 1 0 1 1 0 1 0 0 1 0 0 1 0 0 0 0 1 1 1 1 0 0 0 0 1 0 1\n    0 0 0 1 0 0 1 1 0 0 0 0 0 0 0 0 0 0 0 0 0 0 0 0 0 0 0 0 0 0 0 0 0 0 0 0 0 0 \n    0 0 0 0 1 0 0 0 0 0 0 0 0 0 0 0 0 0 0 0 0 0 0 0]\n[1 0 1 1 0 1 0 0 1 0 1 0 1 0 1 0 1 1 0 1 1 0 1 0 0 0 0 0 1 1 0 1 0 1 1 0 0 0 0 0\n    1 1 0 1 0 1 1 0 0 0 0 0 0 0 0 0 0 0 0 0 0 0 0 0 0 0 0 0 0 0 0 0 0 0 0 0 0 0 \n    0 0 0 0 0 1 0 0 0 0 0 0 0 0 0 0 0 0 0 0 0 0 0 0]\n[0 0 0 1 0 1 1 1 1 0 1 1 0 1 0 0 0 0 1 0 0 1 1 1 0 1 0 0 0 1 0 1 0 1 0 0 1 1 0 1\n    0 1 1 0 0 0 1 1 0 0 0 0 0 0 0 0 0 0 0 0 0 0 0 0 0 0 0 0 0 0 0 0 0 0 0 0 0 0 \n    0 0 0 0 0 0 1 0 0 0 0 0 0 0 0 0 0 0 0 0 0 0 0 0]\n[0 1 0 0 1 1 0 1 0 1 0 1 1 1 1 0 1 1 1 1 1 1 0 1 0 1 0 0 1 1 1 1 1 1 0 0 0 1 1 1\n    0 1 1 1 0 0 1 0 0 0 0 0 0 0 0 0 0 0 0 0 0 0 0 0 0 0 0 0 0 0 0 0 0 0 0 0 0 0 \n    0 0 0 0 0 0 0 1 0 0 0 0 0 0 0 0 0 0 0 0 0 0 0 0]\n[0 0 1 0 0 1 1 0 0 1 1 0 0 0 1 1 0 1 1 0 1 1 1 1 0 0 1 1 0 0 1 1 1 1 0 1 0 0 0 1\n    0 1 1 0 1 1 1 1 0 0 0 0 0 0 0 0 0 0 0 0 0 0 0 0 0 0 0 0 0 0 0 0 0 0 0 0 0 0 \n    0 0 0 0 0 0 0 0 1 0 0 0 0 0 0 0 0 0 0 0 0 0 0 0]\n[0 0 1 0 0 0 1 1 0 1 1 0 0 0 0 0 0 0 1 1 0 0 1 0 0 0 0 1 0 1 1 1 1 0 1 1 1 1 1 1\n    0 1 0 0 1 1 0 1 0 0 0 0 0 0 0 0 0 0 0 0 0 0 0 0 0 0 0 0 0 0 0 0 0 0 0 0 0 0 \n    0 0 0 0 0 0 0 0 0 1 0 0 0 0 0 0 0 0 0 0 0 0 0 0]\n[0 0 1 0 0 1 0 1 0 1 0 1 0 0 1 1 0 0 0 1 0 1 0 1 1 0 0 0 0 1 1 0 1 0 1 0 1 1 1 0\n    0 1 1 1 0 0 0 0 0 0 0 0 0 0 0 0 0 0 0 0 0 0 0 0 0 0 0 0 0 0 0 0 0 0 0 0 0 0 \n    0 0 0 0 0 0 0 0 0 0 1 0 0 0 0 0 0 0 0 0 0 0 0 0]\n[0 0 1 0 0 1 1 1 1 0 1 1 0 0 1 0 1 1 0 1 1 1 0 0 0 0 0 1 0 1 1 1 0 0 0 1 1 0 1 0\n    0 0 0 0 0 0 0 1 0 0 0 0 0 0 0 0 0 0 0 0 0 0 0 0 0 0 0 0 0 0 0 0 0 0 0 0 0 0 \n    0 0 0 0 0 0 0 0 0 0 0 1 0 0 0 0 0 0 0 0 0 0 0 0]\n[1 1 1 0 1 1 0 0 1 1 1 1 1 0 1 1 0 1 0 0 0 1 0 1 1 0 1 0 0 1 1 1 1 1 0 1 0 0 1 0\n    0 1 0 1 0 1 1 1 0 0 0 0 0 0 0 0 0 0 0 0 0 0 0 0 0 0 0 0 0 0 0 0 0 0 0 0 0 0 \n    0 0 0 0 0 0 0 0 0 0 0 0 1 0 0 0 0 0 0 0 0 0 0 0]\n[0 0 1 0 1 0 0 0 1 0 0 1 0 0 0 1 1 0 1 0 1 1 0 1 0 1 1 1 1 1 0 0 1 1 1 0 1 0 1 1\n    1 1 0 1 1 1 1 0 0 0 0 0 0 0 0 0 0 0 0 0 0 0 0 0 0 0 0 0 0 0 0 0 0 0 0 0 0 0 \n    0 0 0 0 0 0 0 0 0 0 0 0 0 1 0 0 0 0 0 0 0 0 0 0]\n[1 1 1 1 0 1 0 0 1 0 0 1 0 1 0 0 0 0 1 1 1 0 0 1 0 0 1 0 1 1 0 1 0 1 1 1 0 0 1 1\n    1 1 0 0 0 1 1 0 0 0 0 0 0 0 0 0 0 0 0 0 0 0 0 0 0 0 0 0 0 0 0 0 0 0 0 0 0 0 \n    0 0 0 0 0 0 0 0 0 0 0 0 0 0 1 0 0 0 0 0 0 0 0 0]\n[1 1 1 1 1 0 0 0 1 0 0 1 1 1 1 0 1 0 0 0 1 1 0 1 0 1 1 1 0 0 1 0 1 0 1 0 0 0 0 0\n    0 0 1 0 1 1 0 0 0 0 0 0 0 0 0 0 0 0 0 0 0 0 0 0 0 0 0 0 0 0 0 0 0 0 0 0 0 0 \n    0 0 0 0 0 0 0 0 0 0 0 0 0 0 0 1 0 0 0 0 0 0 0 0]\n[1 1 0 1 0 0 1 1 0 1 0 0 0 1 1 1 0 0 0 0 1 1 1 1 1 0 1 0 0 0 1 1 0 0 1 0 1 1 0 1\n    0 1 1 1 0 1 0 0 0 0 0 0 0 0 0 0 0 0 0 0 0 0 0 0 0 0 0 0 0 0 0 0 0 0 0 0 0 0 \n    0 0 0 0 0 0 0 0 0 0 0 0 0 0 0 0 1 0 0 0 0 0 0 0]\n[1 0 0 0 1 1 0 1 1 1 0 1 0 1 0 1 1 0 1 1 0 1 0 1 1 0 0 1 0 0 0 0 1 1 0 0 0 0 0 0\n    1 0 1 0 0 1 1 1 0 0 0 0 0 0 0 0 0 0 0 0 0 0 0 0 0 0 0 0 0 0 0 0 0 0 0 0 0 0 \n    0 0 0 0 0 0 0 0 0 0 0 0 0 0 0 0 0 1 0 0 0 0 0 0]\n[0 1 1 0 1 0 0 1 1 1 0 0 0 1 0 1 0 0 0 1 0 1 1 1 0 1 0 1 1 0 0 0 1 0 1 0 1 1 1 1\n    1 1 0 1 0 0 1 0 0 0 0 0 0 0 0 0 0 0 0 0 0 0 0 0 0 0 0 0 0 0 0 0 0 0 0 0 0 0 \n    0 0 0 0 0 0 0 0 0 0 0 0 0 0 0 0 0 0 1 0 0 0 0 0]\n[1 0 1 0 1 0 1 0 1 1 1 0 0 1 1 1 0 0 0 0 0 1 1 0 1 1 1 0 1 1 1 0 0 1 1 1 0 0 0 0\n    0 0 0 1 0 1 0 1 0 0 0 0 0 0 0 0 0 0 0 0 0 0 0 0 0 0 0 0 0 0 0 0 0 0 0 0 0 0 \n    0 0 0 0 0 0 0 0 0 0 0 0 0 0 0 0 0 0 0 1 0 0 0 0]\n[0 1 1 1 1 0 1 0 0 1 1 0 0 0 1 1 1 1 0 1 0 0 0 1 0 1 1 0 1 0 0 0 1 0 0 0 0 1 1 0\n    0 0 1 0 0 1 1 1 0 0 0 0 0 0 0 0 0 0 0 0 0 0 0 0 0 0 0 0 0 0 0 0 0 0 0 0 0 0 \n    0 0 0 0 0 0 0 0 0 0 0 0 0 0 0 0 0 0 0 0 1 0 0 0]\n[1 0 0 1 0 0 0 1 0 0 1 1 1 0 1 1 0 1 0 0 1 1 1 0 1 0 0 1 0 1 0 0 0 0 1 1 1 0 1 1\n    1 0 1 0 0 0 1 0 0 0 0 0 0 0 0 0 0 0 0 0 0 0 0 0 0 0 0 0 0 0 0 0 0 0 0 0 0 0 \n    0 0 0 0 0 0 0 0 0 0 0 0 0 0 0 0 0 0 0 0 0 1 0 0]\n[1 0 1 0 1 1 1 0 0 1 1 0 1 0 1 1 0 1 0 0 0 0 1 0 0 0 1 0 0 0 1 0 0 0 0 0 0 1 0 1\n    0 1 0 0 1 0 0 1 0 0 0 0 0 0 0 0 0 0 0 0 0 0 0 0 0 0 0 0 0 0 0 0 0 0 0 0 0 0 \n    0 0 0 0 0 0 0 0 0 0 0 0 0 0 0 0 0 0 0 0 0 0 1 0]\n[1 1 0 1 1 1 1 1 0 0 1 0 1 0 1 0 0 0 0 1 1 0 1 0 1 1 1 0 1 1 1 0 0 1 1 1 0 0 1 1\n    0 1 0 0 0 0 1 0 0 0 0 0 0 0 0 0 0 0 0 0 0 0 0 0 0 0 0 0 0 0 0 0 0 0 0 0 0 0 \n    0 0 0 0 0 0 0 0 0 0 0 0 0 0 0 0 0 0 0 0 0 0 0 1]\n[102, 54] Linear Code over GF(2)\nGenerator matrix:\n[1 0 0 0 0 0 0 0 0 0 0 0 0 0 0 0 0 0 0 0 0 0 0 0 0 0 0 0 0 0 0 0 0 0 0 0 0 0 0 0\n    0 0 0 0 0 0 0 0 0 0 0 0 0 0 0 0 1 0 1 1 1 0 0 0 0 1 1 0 0 1 1 1 1 0 1 0 1 0 \n    0 0 1 0 0 0 0 0 0 1 1 0 0 1 0 1 0 1 1 1 0 0 1 1]\n[0 1 0 0 0 0 0 0 0 0 0 0 0 0 0 0 0 0 0 0 0 0 0 0 0 0 0 0 0 0 0 0 0 0 0 0 0 0 0 0\n    0 0 0 0 0 0 0 0 0 0 0 0 0 1 0 0 1 0 1 0 0 0 0 1 0 0 1 1 0 0 1 0 1 1 0 0 1 1 \n    1 1 0 1 0 1 0 0 0 1 0 1 1 0 1 1 1 1 0 1 1 0 0 1]\n[0 0 1 0 0 0 0 0 0 0 0 0 0 0 0 0 0 0 0 0 0 0 0 0 0 0 0 0 0 0 0 0 0 0 0 0 0 0 0 0\n    0 0 0 0 0 0 0 0 0 0 1 0 0 1 0 0 0 1 0 1 1 1 0 0 0 1 1 0 1 1 1 1 0 0 0 0 0 1 \n    1 0 0 1 1 0 1 1 0 1 1 1 1 1 1 0 0 1 1 1 0 1 0 1]\n[0 0 0 1 0 0 0 0 0 0 0 0 0 0 0 0 0 0 0 0 0 0 0 0 0 0 0 0 0 0 0 0 0 0 0 0 0 0 0 0\n    0 0 0 0 0 0 0 0 0 0 0 0 0 0 0 0 0 0 1 0 1 1 0 0 0 0 0 1 1 0 1 0 1 0 0 0 1 1 \n    1 1 0 0 0 0 1 1 1 1 1 0 1 0 1 1 1 1 1 0 1 0 1 0]\n[0 0 0 0 1 0 0 0 0 0 0 0 0 0 0 0 0 0 0 0 0 0 0 0 0 0 0 0 0 0 0 0 0 0 0 0 0 0 0 0\n    0 0 0 0 0 0 0 0 0 0 0 0 0 1 0 0 0 1 1 0 0 1 0 1 0 0 0 0 1 1 0 1 0 0 0 1 1 0 \n    1 1 1 1 1 0 0 1 1 0 0 0 1 0 1 1 0 0 0 0 1 1 1 0]\n[0 0 0 0 0 1 0 0 0 0 0 0 0 0 0 0 0 0 0 0 0 0 0 0 0 0 0 0 0 0 0 0 0 0 0 0 0 0 0 0\n    0 0 0 0 0 0 0 0 0 0 0 0 0 0 0 0 1 1 1 0 0 0 1 0 0 1 0 1 0 1 0 1 0 0 1 0 1 1 \n    0 0 1 1 0 1 0 1 1 0 1 1 0 1 1 1 1 1 0 1 1 0 0 1]\n[0 0 0 0 0 0 1 0 0 0 0 0 0 0 0 0 0 0 0 0 0 0 0 0 0 0 0 0 0 0 0 0 0 0 0 0 0 0 0 0\n    0 0 0 0 0 0 0 0 0 0 1 0 0 1 0 0 1 1 0 0 1 0 1 0 0 0 1 0 1 0 0 1 1 1 1 1 0 0 \n    0 1 0 1 1 1 0 0 0 1 0 0 0 0 0 1 0 1 1 0 0 1 1 1]\n[0 0 0 0 0 0 0 1 0 0 0 0 0 0 0 0 0 0 0 0 0 0 0 0 0 0 0 0 0 0 0 0 0 0 0 0 0 0 0 0\n    0 0 0 0 0 0 0 0 0 0 0 0 0 0 0 0 1 1 1 0 1 0 1 1 0 0 1 0 1 1 0 1 0 1 1 1 1 0 \n    0 0 1 1 0 0 1 1 0 1 1 0 1 0 0 0 1 1 0 0 1 0 1 1]\n[0 0 0 0 0 0 0 0 1 0 0 0 0 0 0 0 0 0 0 0 0 0 0 0 0 0 0 0 0 0 0 0 0 0 0 0 0 0 0 0\n    0 0 0 0 0 0 0 0 0 0 1 0 0 1 0 0 0 1 0 0 1 1 0 1 1 1 0 1 1 1 0 0 0 0 0 1 0 0 \n    0 0 1 1 1 0 0 1 1 0 0 1 1 0 1 0 0 0 0 0 1 1 0 1]\n[0 0 0 0 0 0 0 0 0 1 0 0 0 0 0 0 0 0 0 0 0 0 0 0 0 0 0 0 0 0 0 0 0 0 0 0 0 0 0 0\n    0 0 0 0 0 0 0 0 0 0 1 0 0 0 0 0 1 0 1 1 0 0 1 1 1 0 0 0 0 0 0 1 0 1 1 0 0 1 \n    1 0 0 0 0 1 1 0 0 1 0 0 0 0 0 0 0 0 1 1 1 0 1 0]\n[0 0 0 0 0 0 0 0 0 0 1 0 0 0 0 0 0 0 0 0 0 0 0 0 0 0 0 0 0 0 0 0 0 0 0 0 0 0 0 0\n    0 0 0 0 0 0 0 0 0 0 1 0 0 0 0 0 1 1 1 0 1 0 0 1 0 1 0 0 1 0 0 0 0 0 0 1 1 1 \n    1 0 1 0 0 1 0 1 0 1 0 1 1 0 1 0 0 0 0 0 1 0 0 1]\n[0 0 0 0 0 0 0 0 0 0 0 1 0 0 0 0 0 0 0 0 0 0 0 0 0 0 0 0 0 0 0 0 0 0 0 0 0 0 0 0\n    0 0 0 0 0 0 0 0 0 0 0 0 0 1 0 0 1 0 1 0 0 0 1 1 0 1 1 1 1 1 1 1 1 1 0 0 0 0 \n    1 0 0 1 1 1 1 1 0 1 1 0 1 1 0 1 0 1 1 1 1 0 0 0]\n[0 0 0 0 0 0 0 0 0 0 0 0 1 0 0 0 0 0 0 0 0 0 0 0 0 0 0 0 0 0 0 0 0 0 0 0 0 0 0 0\n    0 0 0 0 0 0 0 0 0 0 1 0 0 1 0 0 1 0 1 0 0 1 0 0 1 0 1 0 1 0 1 1 0 1 0 0 1 0 \n    0 0 0 1 1 0 1 1 1 0 1 1 0 1 0 0 0 0 1 1 1 0 0 0]\n[0 0 0 0 0 0 0 0 0 0 0 0 0 1 0 0 0 0 0 0 0 0 0 0 0 0 0 0 0 0 0 0 0 0 0 0 0 0 0 0\n    0 0 0 0 0 0 0 0 0 0 0 0 0 0 0 0 1 0 0 1 1 1 0 1 1 1 1 1 1 1 0 0 0 0 1 1 0 0 \n    1 1 1 0 1 0 0 1 1 0 0 0 0 1 1 1 1 1 1 0 0 0 0 0]\n[0 0 0 0 0 0 0 0 0 0 0 0 0 0 1 0 0 0 0 0 0 0 0 0 0 0 0 0 0 0 0 0 0 0 0 0 0 0 0 0\n    0 0 0 0 0 0 0 0 0 0 1 0 0 0 0 0 1 1 0 1 1 0 0 1 1 0 1 0 0 1 1 0 0 0 1 1 0 1 \n    1 0 1 0 0 0 0 0 1 1 1 0 0 0 0 0 0 1 1 0 1 1 1 0]\n[0 0 0 0 0 0 0 0 0 0 0 0 0 0 0 1 0 0 0 0 0 0 0 0 0 0 0 0 0 0 0 0 0 0 0 0 0 0 0 0\n    0 0 0 0 0 0 0 0 0 0 1 0 0 1 0 0 1 1 1 0 0 0 0 0 1 0 0 0 1 1 0 0 0 0 1 1 1 1 \n    1 0 0 0 1 1 0 1 1 0 1 1 1 1 1 0 0 1 1 0 0 0 1 0]\n[0 0 0 0 0 0 0 0 0 0 0 0 0 0 0 0 1 0 0 0 0 0 0 0 0 0 0 0 0 0 0 0 0 0 0 0 0 0 0 0\n    0 0 0 0 0 0 0 0 0 0 1 0 0 0 0 0 0 1 1 0 0 0 1 0 1 1 0 0 0 1 0 1 0 0 1 1 0 0 \n    1 1 0 1 1 0 0 0 0 0 1 1 0 1 1 1 0 1 1 1 0 1 0 0]\n[0 0 0 0 0 0 0 0 0 0 0 0 0 0 0 0 0 1 0 0 0 0 0 0 0 0 0 0 0 0 0 0 0 0 0 0 0 0 0 0\n    0 0 0 0 0 0 0 0 0 0 1 0 0 1 0 0 1 0 0 0 0 1 1 0 0 1 0 1 0 0 0 1 0 0 1 1 1 0 \n    0 0 0 1 0 1 0 0 1 1 0 0 1 0 0 0 1 0 1 1 1 0 0 1]\n[0 0 0 0 0 0 0 0 0 0 0 0 0 0 0 0 0 0 1 0 0 0 0 0 0 0 0 0 0 0 0 0 0 0 0 0 0 0 0 0\n    0 0 0 0 0 0 0 0 0 0 0 0 0 1 0 0 1 0 1 1 1 0 0 1 1 0 1 0 0 1 0 1 0 1 1 1 1 1 \n    1 0 1 1 0 0 0 1 1 0 1 1 1 0 0 1 1 1 1 1 0 0 0 1]\n[0 0 0 0 0 0 0 0 0 0 0 0 0 0 0 0 0 0 0 1 0 0 0 0 0 0 0 0 0 0 0 0 0 0 0 0 0 0 0 0\n    0 0 0 0 0 0 0 0 0 0 0 0 0 1 0 0 0 0 0 1 0 0 1 1 0 1 1 1 1 0 0 0 1 0 1 0 1 1 \n    0 0 1 0 1 0 1 0 0 1 1 1 0 0 1 1 1 1 1 1 0 1 1 0]\n[0 0 0 0 0 0 0 0 0 0 0 0 0 0 0 0 0 0 0 0 1 0 0 0 0 0 0 0 0 0 0 0 0 0 0 0 0 0 0 0\n    0 0 0 0 0 0 0 0 0 0 1 0 0 0 0 0 0 1 1 1 1 1 1 0 1 1 0 1 0 1 1 0 0 1 0 1 0 1 \n    1 0 1 1 1 0 1 1 1 1 0 1 1 1 0 0 1 1 1 0 0 0 1 0]\n[0 0 0 0 0 0 0 0 0 0 0 0 0 0 0 0 0 0 0 0 0 1 0 0 0 0 0 0 0 0 0 0 0 0 0 0 0 0 0 0\n    0 0 0 0 0 0 0 0 0 0 0 0 0 0 0 0 0 1 0 1 1 0 1 1 0 1 1 1 0 1 1 0 0 1 1 0 1 0 \n    0 0 1 1 0 0 0 0 0 1 1 0 1 1 1 0 0 0 1 1 1 1 1 0]\n[0 0 0 0 0 0 0 0 0 0 0 0 0 0 0 0 0 0 0 0 0 0 1 0 0 0 0 0 0 0 0 0 0 0 0 0 0 0 0 0\n    0 0 0 0 0 0 0 0 0 0 0 0 0 1 0 0 0 1 0 0 1 1 1 0 1 1 1 1 1 0 1 0 1 0 1 0 0 0 \n    1 0 1 0 1 0 0 1 1 1 1 1 1 0 0 1 1 0 0 0 1 1 0 0]\n[0 0 0 0 0 0 0 0 0 0 0 0 0 0 0 0 0 0 0 0 0 0 0 1 0 0 0 0 0 0 0 0 0 0 0 0 0 0 0 0\n    0 0 0 0 0 0 0 0 0 0 0 0 0 0 0 0 1 0 0 1 1 1 1 1 0 1 0 0 0 1 1 0 1 1 0 0 1 0 \n    1 1 0 1 1 1 1 0 0 1 0 0 0 0 1 0 0 1 1 0 1 1 0 0]\n[0 0 0 0 0 0 0 0 0 0 0 0 0 0 0 0 0 0 0 0 0 0 0 0 1 0 0 0 0 0 0 0 0 0 0 0 0 0 0 0\n    0 0 0 0 0 0 0 0 0 0 0 0 0 0 0 0 0 0 0 0 1 0 1 1 0 0 0 1 0 0 0 0 0 1 1 0 0 1 \n    0 0 0 0 1 1 1 1 1 0 0 0 1 0 1 0 1 1 0 1 0 1 0 1]\n[0 0 0 0 0 0 0 0 0 0 0 0 0 0 0 0 0 0 0 0 0 0 0 0 0 1 0 0 0 0 0 0 0 0 0 0 0 0 0 0\n    0 0 0 0 0 0 0 0 0 0 0 0 0 1 0 0 1 0 0 0 1 0 1 0 1 0 0 1 1 0 0 0 1 1 0 1 0 0 \n    0 1 1 0 0 1 1 0 0 1 1 1 0 0 1 1 0 1 0 1 1 1 0 1]\n[0 0 0 0 0 0 0 0 0 0 0 0 0 0 0 0 0 0 0 0 0 0 0 0 0 0 1 0 0 0 0 0 0 0 0 0 0 0 0 0\n    0 0 0 0 0 0 0 0 0 0 1 0 0 0 0 0 1 0 0 1 1 0 1 0 1 0 0 1 0 0 1 1 1 1 0 0 1 0 \n    1 1 1 1 1 0 1 1 0 1 0 0 1 1 0 1 1 1 1 0 1 0 1 0]\n[0 0 0 0 0 0 0 0 0 0 0 0 0 0 0 0 0 0 0 0 0 0 0 0 0 0 0 1 0 0 0 0 0 0 0 0 0 0 0 0\n    0 0 0 0 0 0 0 0 0 0 1 0 0 1 0 0 0 1 0 0 1 1 1 0 0 0 0 1 0 0 1 0 0 0 0 0 0 1 \n    1 1 0 1 0 0 0 1 1 0 0 0 0 1 1 1 1 1 0 0 1 0 0 1]\n[0 0 0 0 0 0 0 0 0 0 0 0 0 0 0 0 0 0 0 0 0 0 0 0 0 0 0 0 1 0 0 0 0 0 0 0 0 0 0 0\n    0 0 0 0 0 0 0 0 0 0 1 0 0 0 0 0 0 1 1 0 0 0 1 0 1 1 0 0 1 1 0 1 0 0 1 0 0 1 \n    1 1 0 1 1 1 1 1 1 1 1 0 1 0 1 1 0 0 1 1 1 1 1 1]\n[0 0 0 0 0 0 0 0 0 0 0 0 0 0 0 0 0 0 0 0 0 0 0 0 0 0 0 0 0 1 0 0 0 0 0 0 0 0 0 0\n    0 0 0 0 0 0 0 0 0 0 0 0 0 0 0 0 1 0 0 1 0 0 0 0 0 0 0 1 0 1 1 0 0 1 0 0 0 0 \n    1 1 1 0 0 0 1 1 0 0 1 1 1 0 1 1 1 0 1 1 1 1 1 0]\n[0 0 0 0 0 0 0 0 0 0 0 0 0 0 0 0 0 0 0 0 0 0 0 0 0 0 0 0 0 0 1 0 0 0 0 0 0 0 0 0\n    0 0 0 0 0 0 0 0 0 0 1 0 0 1 0 0 0 0 1 0 0 0 1 0 1 0 0 1 1 0 1 1 1 1 1 1 1 1 \n    0 0 1 1 0 0 0 0 1 0 1 1 0 0 1 0 1 1 1 0 0 1 0 0]\n[0 0 0 0 0 0 0 0 0 0 0 0 0 0 0 0 0 0 0 0 0 0 0 0 0 0 0 0 0 0 0 1 0 0 0 0 0 0 0 0\n    0 0 0 0 0 0 0 0 0 0 1 0 0 0 0 0 1 0 0 1 1 1 0 1 0 1 1 0 0 0 0 0 0 1 0 0 1 0 \n    0 0 1 1 0 0 0 1 1 1 0 1 0 0 1 0 0 0 1 1 1 0 0 0]\n[0 0 0 0 0 0 0 0 0 0 0 0 0 0 0 0 0 0 0 0 0 0 0 0 0 0 0 0 0 0 0 0 1 0 0 0 0 0 0 0\n    0 0 0 0 0 0 0 0 0 0 0 0 0 0 0 0 0 0 0 1 1 0 1 0 0 1 1 0 0 1 0 0 1 0 1 1 1 1 \n    0 1 1 1 1 1 1 1 0 1 1 0 1 1 1 1 1 1 0 0 1 0 1 0]\n[0 0 0 0 0 0 0 0 0 0 0 0 0 0 0 0 0 0 0 0 0 0 0 0 0 0 0 0 0 0 0 0 0 1 0 0 0 0 0 0\n    0 0 0 0 0 0 0 0 0 0 0 0 0 0 0 0 0 1 0 1 0 1 0 1 0 1 0 1 0 0 1 0 1 0 0 0 0 1 \n    0 1 0 1 0 0 1 0 0 0 1 0 1 1 0 1 1 1 1 0 0 1 1 0]\n[0 0 0 0 0 0 0 0 0 0 0 0 0 0 0 0 0 0 0 0 0 0 0 0 0 0 0 0 0 0 0 0 0 0 1 0 0 0 0 0\n    0 0 0 0 0 0 0 0 0 0 0 0 0 0 0 0 1 1 1 0 1 1 1 1 1 1 0 1 1 0 0 1 0 0 1 0 0 0 \n    1 1 1 1 0 0 1 1 1 1 1 1 1 1 1 0 1 0 1 0 1 1 1 1]\n[0 0 0 0 0 0 0 0 0 0 0 0 0 0 0 0 0 0 0 0 0 0 0 0 0 0 0 0 0 0 0 0 0 0 0 1 0 0 0 0\n    0 0 0 0 0 0 0 0 0 0 1 0 0 1 0 0 0 0 0 0 0 1 0 1 1 0 1 0 1 0 1 1 0 0 1 1 0 0 \n    0 0 1 1 1 0 1 1 1 0 1 0 1 0 0 1 1 1 1 1 0 1 0 1]\n[0 0 0 0 0 0 0 0 0 0 0 0 0 0 0 0 0 0 0 0 0 0 0 0 0 0 0 0 0 0 0 0 0 0 0 0 1 0 0 0\n    0 0 0 0 0 0 0 0 0 0 1 0 0 0 0 0 0 0 0 0 1 0 0 1 1 0 0 0 1 1 1 0 0 0 0 0 0 1 \n    1 1 1 1 0 1 0 1 1 1 1 0 1 1 1 1 1 0 0 0 1 0 0 0]\n[0 0 0 0 0 0 0 0 0 0 0 0 0 0 0 0 0 0 0 0 0 0 0 0 0 0 0 0 0 0 0 0 0 0 0 0 0 1 0 0\n    0 0 0 0 0 0 0 0 0 0 0 0 0 1 0 0 0 0 0 0 0 0 1 1 1 0 1 1 0 0 1 0 0 1 0 1 0 1 \n    1 1 0 0 1 0 0 1 0 1 0 0 0 0 1 1 1 1 1 1 1 1 0 1]\n[0 0 0 0 0 0 0 0 0 0 0 0 0 0 0 0 0 0 0 0 0 0 0 0 0 0 0 0 0 0 0 0 0 0 0 0 0 0 1 0\n    0 0 0 0 0 0 0 0 0 0 0 0 0 1 0 0 1 0 1 0 1 1 1 0 1 0 1 1 0 1 1 0 1 1 1 1 0 1 \n    0 0 0 0 0 0 0 0 0 0 0 0 0 1 0 0 1 1 1 1 0 1 1 1]\n[0 0 0 0 0 0 0 0 0 0 0 0 0 0 0 0 0 0 0 0 0 0 0 0 0 0 0 0 0 0 0 0 0 0 0 0 0 0 0 1\n    0 0 0 0 0 0 0 0 0 0 0 0 0 0 0 0 1 0 0 1 0 1 0 0 0 1 1 1 1 0 1 0 1 1 0 0 0 1 \n    0 0 0 0 0 0 0 1 0 1 1 0 0 1 1 1 1 1 1 1 0 1 1 1]\n[0 0 0 0 0 0 0 0 0 0 0 0 0 0 0 0 0 0 0 0 0 0 0 0 0 0 0 0 0 0 0 0 0 0 0 0 0 0 0 0\n    1 0 0 0 0 0 0 0 0 0 1 0 0 1 0 0 0 1 0 0 0 0 1 0 1 1 0 1 0 0 0 0 1 1 0 1 0 1 \n    0 0 1 0 1 1 1 0 0 1 0 1 0 0 1 0 1 1 1 1 0 1 0 0]\n[0 0 0 0 0 0 0 0 0 0 0 0 0 0 0 0 0 0 0 0 0 0 0 0 0 0 0 0 0 0 0 0 0 0 0 0 0 0 0 0\n    0 1 0 0 0 0 0 0 0 0 0 0 0 0 0 0 0 1 0 1 0 0 0 1 1 0 0 0 0 0 1 1 0 0 1 0 0 1 \n    0 1 1 0 1 0 1 1 0 1 0 1 0 1 0 1 0 0 1 1 1 0 0 1]\n[0 0 0 0 0 0 0 0 0 0 0 0 0 0 0 0 0 0 0 0 0 0 0 0 0 0 0 0 0 0 0 0 0 0 0 0 0 0 0 0\n    0 0 1 0 0 0 0 0 0 0 1 0 0 1 0 0 0 0 1 1 0 0 0 0 0 0 1 0 1 1 1 1 1 0 1 1 1 1 \n    0 0 0 1 1 0 0 1 0 0 0 0 0 1 0 1 0 0 0 0 0 0 0 1]\n[0 0 0 0 0 0 0 0 0 0 0 0 0 0 0 0 0 0 0 0 0 0 0 0 0 0 0 0 0 0 0 0 0 0 0 0 0 0 0 0\n    0 0 0 1 0 0 0 0 0 0 1 0 0 0 0 0 0 0 1 0 0 0 1 0 1 0 0 0 1 1 0 1 1 0 0 0 1 0 \n    0 1 1 1 0 0 1 1 1 1 0 0 0 1 1 1 1 1 0 1 1 1 0 1]\n[0 0 0 0 0 0 0 0 0 0 0 0 0 0 0 0 0 0 0 0 0 0 0 0 0 0 0 0 0 0 0 0 0 0 0 0 0 0 0 0\n    0 0 0 0 1 0 0 0 0 0 1 0 0 1 0 0 1 0 0 0 1 0 0 0 1 0 0 0 1 0 1 0 1 0 1 1 1 0 \n    0 0 0 1 1 0 0 1 0 0 1 1 0 1 0 0 0 1 1 0 1 1 1 1]\n[0 0 0 0 0 0 0 0 0 0 0 0 0 0 0 0 0 0 0 0 0 0 0 0 0 0 0 0 0 0 0 0 0 0 0 0 0 0 0 0\n    0 0 0 0 0 1 0 0 0 0 1 0 0 1 0 0 1 1 1 0 1 0 1 1 1 1 0 0 0 1 1 0 1 1 0 1 0 1 \n    1 1 0 1 1 1 0 0 0 1 1 0 1 0 0 1 1 0 1 0 1 1 0 1]\n[0 0 0 0 0 0 0 0 0 0 0 0 0 0 0 0 0 0 0 0 0 0 0 0 0 0 0 0 0 0 0 0 0 0 0 0 0 0 0 0\n    0 0 0 0 0 0 1 0 0 0 1 0 0 0 0 0 0 0 1 1 1 0 1 1 0 0 1 1 0 1 1 0 0 0 0 0 1 0 \n    1 1 0 1 1 1 0 0 0 0 0 0 0 0 1 0 0 1 1 1 1 1 1 1]\n[0 0 0 0 0 0 0 0 0 0 0 0 0 0 0 0 0 0 0 0 0 0 0 0 0 0 0 0 0 0 0 0 0 0 0 0 0 0 0 0\n    0 0 0 0 0 0 0 1 0 0 1 0 0 0 0 0 0 1 0 1 0 0 0 0 0 1 0 1 0 0 1 1 1 1 1 1 0 0 \n    1 1 1 1 0 0 1 0 0 0 0 1 1 1 0 1 1 1 0 1 0 1 0 0]\n[0 0 0 0 0 0 0 0 0 0 0 0 0 0 0 0 0 0 0 0 0 0 0 0 0 0 0 0 0 0 0 0 0 0 0 0 0 0 0 0\n    0 0 0 0 0 0 0 0 1 0 0 0 0 0 0 0 0 1 0 0 1 1 0 0 0 0 1 0 1 0 1 0 1 0 1 1 0 0 \n    0 0 0 1 1 0 1 0 1 0 1 1 1 1 0 1 0 1 1 0 0 1 0 0]\n[0 0 0 0 0 0 0 0 0 0 0 0 0 0 0 0 0 0 0 0 0 0 0 0 0 0 0 0 0 0 0 0 0 0 0 0 0 0 0 0\n    0 0 0 0 0 0 0 0 0 1 1 0 0 0 0 0 0 0 1 0 1 1 1 1 1 0 1 0 0 0 0 1 1 1 0 0 1 0 \n    1 0 1 1 0 0 1 0 1 0 0 0 1 0 1 0 1 0 0 0 0 0 1 0]\n[0 0 0 0 0 0 0 0 0 0 0 0 0 0 0 0 0 0 0 0 0 0 0 0 0 0 0 0 0 0 0 0 0 0 0 0 0 0 0 0\n    0 0 0 0 0 0 0 0 0 0 0 1 0 0 0 0 1 1 0 1 0 1 1 0 0 1 1 1 1 1 0 1 1 1 1 1 0 1 \n    0 0 0 0 0 1 0 1 1 0 1 0 1 1 0 0 1 0 1 1 0 1 1 1]\n[0 0 0 0 0 0 0 0 0 0 0 0 0 0 0 0 0 0 0 0 0 0 0 0 0 0 0 0 0 0 0 0 0 0 0 0 0 0 0 0\n    0 0 0 0 0 0 0 0 0 0 0 0 1 0 0 0 0 0 1 1 1 1 1 1 0 0 0 0 1 1 1 1 0 0 0 1 0 1 \n    1 0 1 1 1 0 0 1 0 1 1 1 0 1 1 1 0 1 1 1 1 1 1 0]\n[0 0 0 0 0 0 0 0 0 0 0 0 0 0 0 0 0 0 0 0 0 0 0 0 0 0 0 0 0 0 0 0 0 0 0 0 0 0 0 0\n    0 0 0 0 0 0 0 0 0 0 0 0 0 0 1 0 0 0 1 1 0 0 1 0 0 1 1 1 1 0 0 0 0 1 1 1 1 0 \n    0 1 0 0 1 0 0 0 1 1 1 1 1 0 0 0 1 1 1 0 0 1 0 0]\n[0 0 0 0 0 0 0 0 0 0 0 0 0 0 0 0 0 0 0 0 0 0 0 0 0 0 0 0 0 0 0 0 0 0 0 0 0 0 0 0\n    0 0 0 0 0 0 0 0 0 0 0 0 0 0 0 1 0 0 1 1 0 1 0 0 1 1 1 0 0 1 0 1 1 0 0 1 0 0 \n    1 1 0 1 1 1 0 0 1 0 0 0 0 1 1 1 1 0 1 0 1 1 1 1]\nLinear Code over GF(2) of length 102 with 54 generators.\nLower Bound: 1, Upper Bound: 49\nConstructed 2 distinct generator matrices\nRelative Ranks:  54  48 \nTime Taken: 0.00\nStarting search for low weight codewords... (reset timings)\nEnumerating using 1 generator at a time:\n     New codeword identified of weight 23, time 0.00\n     New codeword identified of weight 20, time 0.00\n   Completed Matrix  1:  lower =  2, upper = 20. Elapsed: 0.00s\n     New codeword identified of weight 19, time 0.00\n   Completed Matrix  2:  lower =  2, upper = 19. Elapsed: 0.00s\nTermination predicted with 12 generators at matrix 1\nEnumerating using 2 generators at a time:\n     New codeword identified of weight 16, time 0.00\n   Completed Matrix  1:  lower =  3, upper = 16. Elapsed: 0.00s\n     New codeword identified of weight 15, time 0.00\n   Completed Matrix  2:  lower =  3, upper = 15. Elapsed: 0.00s\nTermination predicted with 10 generators at matrix 1\nEnumerating using 3 generators at a time:\n   Completed Matrix  1:  lower =  4, upper = 15. Elapsed: 0.00s\n   Completed Matrix  2:  lower =  4, upper = 15. Elapsed: 0.00s\nTermination predicted with 10 generators at matrix 1\nEnumerating using 4 generators at a time:\n   Completed Matrix  1:  lower =  5, upper = 15. Elapsed: 0.00s\n   Completed Matrix  2:  lower =  5, upper = 15. Elapsed: 0.00s\nTermination predicted with 10 generators at matrix 1\nEnumerating using 5 generators at a time:\n   Completed Matrix  1:  lower =  6, upper = 15. Elapsed: 0.00s\n   Completed Matrix  2:  lower =  6, upper = 15. Elapsed: 0.00s\nTermination predicted with 10 generators at matrix 1\nEnumerating using 6 generators at a time:\n   Completed Matrix  1:  lower =  7, upper = 15. Elapsed: 0.06s\n   Completed Matrix  2:  lower =  8, upper = 15. Elapsed: 0.11s\nTermination predicted with 10 generators at matrix 1\nEnumerating using 7 generators at a time:\n   Completed Matrix  1:  lower =  9, upper = 15. Elapsed: 0.46s\n   Completed Matrix  2:  lower = 10, upper = 15. Elapsed: 0.81s\nTermination predicted at 73 s (1m 13s) with 10 generators at matrix 1\nEnumerating using 8 generators at a time:\n   Completed Matrix  1:  lower = 11, upper = 15. Elapsed: 2.91s\n   Completed Matrix  2:  lower = 12, upper = 15. Elapsed: 5.02s\nTermination predicted at 75 s (1m 15s) with 10 generators at matrix 1\nEnumerating using 9 generators at a time:\n   Completed Matrix  1:  lower = 13, upper = 15. Elapsed: 16.26s\n   Completed Matrix  2:  lower = 14, upper = 15. Elapsed: 27.44s\nTermination predicted at 77 s (1m 17s) with 10 generators at matrix 1\nEnumerating using 10 generators at a time:\n   Completed Matrix  1:  lower = 15, upper = 15. Elapsed: 79.60s\nComputation complete 37060382820 vectors enumerated in total\n (0.000206% of 102 54 code)\nFinal Results: lower = 15, upper = 15,\nTotal CPU time: 79.62, real time: 79.656\n15\n\nTotal time: 79.629 seconds, Total memory usage: 32.09MB\n</t>
  </si>
  <si>
    <t>[[103,34,25]]</t>
  </si>
  <si>
    <t>Magma V2.28-26    Tue Dec 30 2025 10:39:22 on Marks-MacBook-Air-2 [Seed = \n4206901496]\nType ? for help.  Type &lt;Ctrl&gt;-D to quit.\n[1 1 0 1 1 1 0 1 1 0 0 0 0 1 1 0 1 0 1 1 1 0 0 1 1 0 1 0 0 0 1 0 0 0 1 0 0 0 1 0\n    1 1 0 0 0 0 1 1 0 0 0 1 0 1 0 0 0 1 0 1 0 0 1 0 1 0 0 0 0 1 0 0 0 0 0 0 0 0 \n    0 0 0 0 0 0 0 0 0 0 0 0 0 0 0 0 0 0 0 0 0 0 0 0 0]\n[0 1 1 0 1 1 1 0 1 1 0 0 0 0 1 1 0 1 0 1 1 1 0 0 1 1 0 1 0 0 0 1 0 0 0 1 0 0 0 1\n    0 1 1 0 0 0 0 1 1 0 0 0 1 0 1 0 0 0 1 0 1 0 0 1 0 1 0 0 0 0 1 0 0 0 0 0 0 0 \n    0 0 0 0 0 0 0 0 0 0 0 0 0 0 0 0 0 0 0 0 0 0 0 0 0]\n[0 0 1 1 0 1 1 1 0 1 1 0 0 0 0 1 1 0 1 0 1 1 1 0 0 1 1 0 1 0 0 0 1 0 0 0 1 0 0 0\n    1 0 1 1 0 0 0 0 1 1 0 0 0 1 0 1 0 0 0 1 0 1 0 0 1 0 1 0 0 0 0 1 0 0 0 0 0 0 \n    0 0 0 0 0 0 0 0 0 0 0 0 0 0 0 0 0 0 0 0 0 0 0 0 0]\n[0 0 0 1 1 0 1 1 1 0 1 1 0 0 0 0 1 1 0 1 0 1 1 1 0 0 1 1 0 1 0 0 0 1 0 0 0 1 0 0\n    0 1 0 1 1 0 0 0 0 1 1 0 0 0 1 0 1 0 0 0 1 0 1 0 0 1 0 1 0 0 0 0 1 0 0 0 0 0 \n    0 0 0 0 0 0 0 0 0 0 0 0 0 0 0 0 0 0 0 0 0 0 0 0 0]\n[1 0 0 0 1 1 0 1 1 1 0 1 1 0 0 0 0 1 1 0 1 0 1 1 1 0 0 1 1 0 1 0 0 0 1 0 0 0 1 0\n    0 0 1 0 1 1 0 0 0 0 1 0 0 0 0 1 0 1 0 0 0 1 0 1 0 0 1 0 1 0 0 0 0 1 0 0 0 0 \n    0 0 0 0 0 0 0 0 0 0 0 0 0 0 0 0 0 0 0 0 0 0 0 0 0]\n[0 0 0 1 1 0 1 1 0 1 1 0 1 0 1 0 1 0 0 0 1 1 0 0 0 1 1 0 1 1 1 1 0 0 1 1 0 0 1 1\n    1 1 0 1 0 1 0 1 0 0 0 1 0 1 0 0 1 1 1 1 0 0 0 0 0 0 0 1 0 0 0 0 0 0 1 0 0 0 \n    0 0 0 0 0 0 0 0 0 0 0 0 0 0 0 0 0 0 0 0 0 0 0 0 0]\n[0 0 0 0 1 1 0 1 1 0 1 1 0 1 0 1 0 1 0 0 0 1 1 0 0 0 1 1 0 1 1 1 1 0 0 1 1 0 0 1\n    1 1 1 0 1 0 1 0 1 0 0 0 1 0 1 0 0 1 1 1 1 0 0 0 0 0 0 0 1 0 0 0 0 0 0 1 0 0 \n    0 0 0 0 0 0 0 0 0 0 0 0 0 0 0 0 0 0 0 0 0 0 0 0 0]\n[1 1 0 1 1 0 1 1 0 1 0 1 1 1 0 0 0 0 0 1 1 0 1 0 1 0 1 1 1 0 0 1 1 1 1 0 1 1 1 0\n    0 0 1 1 0 1 1 0 0 1 0 1 0 0 0 1 0 1 1 0 1 1 1 0 1 0 0 0 0 0 0 0 0 0 0 0 1 0 \n    0 0 0 0 0 0 0 0 0 0 0 0 0 0 0 0 0 0 0 0 0 0 0 0 0]\n[0 1 1 0 1 1 0 1 1 0 1 0 1 1 1 0 0 0 0 0 1 1 0 1 0 1 0 1 1 1 0 0 1 1 1 1 0 1 1 1\n    0 0 0 1 1 0 1 1 0 0 1 0 1 0 0 0 1 0 1 1 0 1 1 1 0 1 0 0 0 0 0 0 0 0 0 0 0 1 \n    0 0 0 0 0 0 0 0 0 0 0 0 0 0 0 0 0 0 0 0 0 0 0 0 0]\n[1 0 1 1 0 1 1 0 1 1 0 1 0 1 1 1 0 0 0 0 0 1 1 0 1 0 1 0 1 1 1 0 0 1 1 1 1 0 1 1\n    1 0 0 0 1 1 0 1 1 0 0 0 0 1 0 0 0 1 0 1 1 0 1 1 1 0 1 0 0 0 0 0 0 0 0 0 0 0 \n    1 0 0 0 0 0 0 0 0 0 0 0 0 0 0 0 0 0 0 0 0 0 0 0 0]\n[0 1 0 1 1 0 1 1 0 1 1 0 1 0 1 1 1 0 0 0 0 0 1 1 0 1 0 1 0 1 1 1 0 0 1 1 1 1 0 1\n    1 1 0 0 0 1 1 0 1 1 0 0 0 0 1 0 0 0 1 0 1 1 0 1 1 1 0 1 0 0 0 0 0 0 0 0 0 0 \n    0 1 0 0 0 0 0 0 0 0 0 0 0 0 0 0 0 0 0 0 0 0 0 0 0]\n[0 0 1 0 1 1 0 1 1 0 1 1 0 1 0 1 1 1 0 0 0 0 0 1 1 0 1 0 1 0 1 1 1 0 0 1 1 1 1 0\n    1 1 1 0 0 0 1 1 0 1 1 0 0 0 0 1 0 0 0 1 0 1 1 0 1 1 1 0 1 0 0 0 0 0 0 0 0 0 \n    0 0 1 0 0 0 0 0 0 0 0 0 0 0 0 0 0 0 0 0 0 0 0 0 0]\n[0 1 0 0 1 0 1 1 0 1 0 1 1 1 0 0 0 1 0 1 1 0 0 1 0 1 1 1 0 1 1 1 1 1 1 0 1 1 0 1\n    1 0 1 1 0 0 1 0 1 0 1 1 0 1 0 0 1 1 0 1 1 0 0 1 1 1 1 1 0 0 0 0 0 0 0 0 0 0 \n    0 0 0 1 0 0 0 0 0 0 0 0 0 0 0 0 0 0 0 0 0 0 0 0 0]\n[1 0 1 0 0 1 0 1 1 0 1 0 1 1 1 0 0 0 1 0 1 1 0 0 1 0 1 1 1 0 1 1 1 1 1 1 0 1 1 0\n    1 1 0 1 1 0 0 1 0 1 0 0 1 0 1 0 0 1 1 0 1 1 0 0 1 1 1 1 1 0 0 0 0 0 0 0 0 0 \n    0 0 0 0 1 0 0 0 0 0 0 0 0 0 0 0 0 0 0 0 0 0 0 0 0]\n[1 0 0 0 1 1 1 1 0 1 0 1 0 0 0 1 1 0 1 0 1 1 1 1 1 1 1 1 1 1 1 1 1 1 0 1 1 0 0 1\n    1 0 1 0 1 1 1 1 1 0 1 1 0 0 0 1 0 1 1 0 0 1 0 0 1 1 1 1 1 0 0 0 0 0 0 0 0 0 \n    0 0 0 0 0 1 0 0 0 0 0 0 0 0 0 0 0 0 0 0 0 0 0 0 0]\n[0 0 0 1 1 0 1 0 0 0 1 0 1 1 1 0 0 1 1 0 1 1 1 0 0 1 0 1 1 1 0 1 1 1 0 0 1 1 1 0\n    0 0 0 1 0 1 0 0 1 1 0 1 1 1 0 0 1 1 1 0 0 0 0 0 1 1 1 1 1 0 0 0 0 0 0 0 0 0 \n    0 0 0 0 0 0 1 0 0 0 0 0 0 0 0 0 0 0 0 0 0 0 0 0 0]\n[1 1 0 1 0 0 0 0 1 0 0 1 0 0 0 1 1 0 0 0 1 1 1 0 1 0 0 0 1 1 0 0 1 1 0 0 0 1 0 1\n    1 1 0 0 1 0 0 1 0 1 1 1 1 0 1 0 0 0 1 0 0 0 1 0 1 1 1 1 1 0 0 0 0 0 0 0 0 0 \n    0 0 0 0 0 0 0 1 0 0 0 0 0 0 0 0 0 0 0 0 0 0 0 0 0]\n[0 0 1 1 0 1 0 1 1 1 0 0 1 1 1 0 0 1 1 1 1 1 1 0 1 1 1 0 0 1 0 0 0 1 0 0 0 0 0 0\n    0 0 1 0 0 1 1 1 1 0 1 1 1 0 0 1 0 1 0 0 0 0 1 1 1 1 1 1 1 0 0 0 0 0 0 0 0 0 \n    0 0 0 0 0 0 0 0 1 0 0 0 0 0 0 0 0 0 0 0 0 0 0 0 0]\n[0 1 0 0 0 1 1 1 0 1 1 0 0 0 0 1 1 0 0 0 0 1 1 0 1 1 0 1 0 0 0 0 0 0 0 0 0 0 1 0\n    1 1 0 1 0 0 0 0 1 1 0 1 1 0 0 0 1 1 1 1 0 0 1 1 0 1 1 1 1 0 0 0 0 0 0 0 0 0 \n    0 0 0 0 0 0 0 0 0 1 0 0 0 0 0 0 0 0 0 0 0 0 0 0 0]\n[1 1 1 1 1 1 1 0 0 0 1 1 0 1 1 0 0 1 1 1 1 0 1 0 1 1 0 0 1 0 1 0 0 0 1 0 0 0 1 1\n    1 0 1 0 1 0 1 1 0 1 1 1 1 0 0 0 0 0 1 0 1 0 1 1 0 0 1 1 1 0 0 0 0 0 0 0 0 0 \n    0 0 0 0 0 0 0 0 0 0 1 0 0 0 0 0 0 0 0 0 0 0 0 0 0]\n[0 0 1 0 0 0 1 0 1 0 0 1 1 1 0 1 1 0 0 0 0 1 0 0 1 1 0 0 0 1 1 1 0 0 1 1 0 0 1 1\n    0 0 0 1 0 1 1 0 1 0 1 1 1 0 0 0 0 1 0 0 0 1 1 1 0 0 0 1 1 0 0 0 0 0 0 0 0 0 \n    0 0 0 0 0 0 0 0 0 0 0 1 0 0 0 0 0 0 0 0 0 0 0 0 0]\n[0 1 0 0 1 1 0 0 1 1 0 0 1 0 0 0 0 1 1 1 1 0 1 1 1 1 0 0 0 0 0 1 1 0 1 1 1 0 1 1\n    0 1 0 0 1 0 0 0 0 1 0 1 1 0 0 0 0 1 1 1 0 0 0 1 0 0 0 0 1 0 0 0 0 0 0 0 0 0 \n    0 0 0 0 0 0 0 0 0 0 0 0 1 0 0 0 0 0 0 0 0 0 0 0 0]\n[1 1 1 1 1 0 1 1 1 1 1 0 0 0 1 0 1 0 0 0 0 1 0 0 0 1 0 0 0 0 1 0 1 1 1 1 1 1 1 1\n    0 1 1 0 0 1 1 1 0 0 1 1 1 0 0 0 0 1 1 0 1 0 1 0 0 0 0 0 0 0 0 0 0 0 0 0 0 0 \n    0 0 0 0 0 0 0 0 0 0 0 0 0 1 0 0 0 0 0 0 0 0 0 0 0]\n[1 1 1 1 1 1 0 1 1 1 1 1 0 0 0 1 0 1 0 0 0 0 1 0 0 0 1 0 0 0 0 1 0 1 1 1 1 1 1 1\n    1 0 1 1 0 0 1 1 1 0 0 0 1 1 0 0 0 0 1 1 0 1 0 1 0 0 0 0 0 0 0 0 0 0 0 0 0 0 \n    0 0 0 0 0 0 0 0 0 0 0 0 0 0 1 0 0 0 0 0 0 0 0 0 0]\n[0 1 1 1 1 1 1 0 1 1 1 1 1 0 0 0 1 0 1 0 0 0 0 1 0 0 0 1 0 0 0 0 1 0 1 1 1 1 1 1\n    1 1 0 1 1 0 0 1 1 1 0 0 0 1 1 0 0 0 0 1 1 0 1 0 1 0 0 0 0 0 0 0 0 0 0 0 0 0 \n    0 0 0 0 0 0 0 0 0 0 0 0 0 0 0 1 0 0 0 0 0 0 0 0 0]\n[0 0 1 1 1 1 1 1 0 1 1 1 1 1 0 0 0 1 0 1 0 0 0 0 1 0 0 0 1 0 0 0 0 1 0 1 1 1 1 1\n    1 1 1 0 1 1 0 0 1 1 1 0 0 0 1 1 0 0 0 0 1 1 0 1 0 1 0 0 0 0 0 0 0 0 0 0 0 0 \n    0 0 0 0 0 0 0 0 0 0 0 0 0 0 0 0 1 0 0 0 0 0 0 0 0]\n[1 0 0 1 1 1 1 1 1 0 1 1 1 1 1 0 0 0 1 0 1 0 0 0 0 1 0 0 0 1 0 0 0 0 1 0 1 1 1 1\n    1 1 1 1 0 1 1 0 0 1 1 0 0 0 0 1 1 0 0 0 0 1 1 0 1 0 1 0 0 0 0 0 0 0 0 0 0 0 \n    0 0 0 0 0 0 0 0 0 0 0 0 0 0 0 0 0 1 0 0 0 0 0 0 0]\n[1 1 0 0 1 1 1 1 1 1 0 1 1 1 1 1 0 0 0 1 0 1 0 0 0 0 1 0 0 0 1 0 0 0 0 1 0 1 1 1\n    1 1 1 1 1 0 1 1 0 0 1 0 0 0 0 0 1 1 0 0 0 0 1 1 0 1 0 1 0 0 0 0 0 0 0 0 0 0 \n    0 0 0 0 0 0 0 0 0 0 0 0 0 0 0 0 0 0 1 0 0 0 0 0 0]\n[1 1 1 0 0 1 1 1 1 1 1 0 1 1 1 1 1 0 0 0 1 0 1 0 0 0 0 1 0 0 0 1 0 0 0 0 1 0 1 1\n    1 1 1 1 1 1 0 1 1 0 0 0 0 0 0 0 0 1 1 0 0 0 0 1 1 0 1 0 1 0 0 0 0 0 0 0 0 0 \n    0 0 0 0 0 0 0 0 0 0 0 0 0 0 0 0 0 0 0 1 0 0 0 0 0]\n[1 0 1 0 1 1 1 0 0 1 1 1 0 0 0 1 0 1 1 1 1 1 0 0 1 0 1 0 1 0 1 0 1 0 1 0 0 1 1 1\n    0 0 1 1 1 1 0 1 1 1 0 1 0 1 0 0 0 1 1 0 0 0 1 0 0 1 0 1 0 0 0 0 0 0 0 0 0 0 \n    0 0 0 0 0 0 0 0 0 0 0 0 0 0 0 0 0 0 0 0 1 0 0 0 0]\n[0 1 0 1 0 1 1 1 0 0 1 1 1 0 0 0 1 0 1 1 1 1 1 0 0 1 0 1 0 1 0 1 0 1 0 1 0 0 1 1\n    1 0 0 1 1 1 1 0 1 1 1 0 1 0 1 0 0 0 1 1 0 0 0 1 0 0 1 0 1 0 0 0 0 0 0 0 0 0 \n    0 0 0 0 0 0 0 0 0 0 0 0 0 0 0 0 0 0 0 0 0 1 0 0 0]\n[0 1 1 1 0 1 1 0 0 0 0 1 1 0 1 0 1 1 1 0 0 1 1 0 1 0 0 0 1 0 0 0 1 0 0 0 1 0 1 1\n    0 0 0 0 1 1 0 0 0 1 1 1 0 0 0 1 0 1 0 0 1 0 1 0 0 0 0 1 0 0 0 0 0 0 0 0 0 0 \n    0 0 0 0 0 0 0 0 0 0 0 0 0 0 0 0 0 0 0 0 0 0 1 0 0]\n[1 0 1 1 1 0 1 1 0 0 0 0 1 1 0 1 0 1 1 1 0 0 1 1 0 1 0 0 0 1 0 0 0 1 0 0 0 1 0 1\n    1 0 0 0 0 1 1 0 0 0 1 0 1 0 0 0 1 0 1 0 0 1 0 1 0 0 0 0 1 0 0 0 0 0 0 0 0 0 \n    0 0 0 0 0 0 0 0 0 0 0 0 0 0 0 0 0 0 0 0 0 0 0 1 0]\n[0 1 1 1 1 1 0 0 1 1 0 1 1 1 1 0 0 0 1 0 0 0 0 1 0 1 0 1 1 0 0 0 0 0 1 1 0 1 0 1\n    0 0 0 0 0 0 1 0 1 1 0 1 1 1 0 1 1 1 0 0 0 0 1 1 1 0 1 1 0 0 0 0 0 0 0 0 0 0 \n    0 0 0 0 0 0 0 0 0 0 0 0 0 0 0 0 0 0 0 0 0 0 0 0 1]\n[103, 34] Linear Code over GF(2)\nGenerator matrix:\n[1 0 0 0 0 0 0 0 0 0 0 0 0 0 0 0 0 0 0 0 0 0 0 0 0 0 0 0 0 0 0 0 0 1 0 1 0 0 0 1\n    0 1 0 0 1 0 1 0 0 0 0 0 0 0 0 1 0 1 1 0 1 1 1 0 0 1 0 0 1 0 1 1 0 1 1 0 1 1 \n    0 0 1 1 0 0 1 1 1 0 1 1 1 1 1 1 1 1 1 1 0 0 0 0 0]\n[0 1 0 0 0 0 0 0 0 0 0 0 0 0 0 0 0 0 0 0 0 0 0 0 0 0 0 0 0 0 0 0 0 0 1 0 1 0 0 0\n    1 0 1 0 0 1 0 1 0 0 0 0 0 0 0 0 1 0 1 1 0 1 1 1 0 0 1 0 0 1 0 1 1 0 1 1 0 1 \n    1 0 0 1 1 0 0 1 1 1 0 1 1 1 1 1 1 1 1 1 1 0 0 0 0]\n[0 0 1 0 0 0 0 0 0 0 0 0 0 0 0 0 0 0 0 0 0 0 0 0 0 0 0 0 0 0 0 0 0 0 0 1 0 1 0 0\n    0 1 0 1 0 0 1 0 1 0 0 0 0 0 0 0 0 1 0 1 1 0 1 1 1 0 0 1 0 0 1 0 1 1 0 1 1 0 \n    1 1 0 0 1 1 0 0 1 1 1 0 1 1 1 1 1 1 1 1 1 1 0 0 0]\n[0 0 0 1 0 0 0 0 0 0 0 0 0 0 0 0 0 0 0 0 0 0 0 0 0 0 0 0 0 0 0 0 0 0 0 0 1 0 1 0\n    0 0 1 0 1 0 0 1 0 1 0 0 0 0 0 0 0 0 1 0 1 1 0 1 1 1 0 0 1 0 0 1 0 1 1 0 1 1 \n    0 1 1 0 0 1 1 0 0 1 1 1 0 1 1 1 1 1 1 1 1 1 1 0 0]\n[0 0 0 0 1 0 0 0 0 0 0 0 0 0 0 0 0 0 0 0 0 0 0 0 0 0 0 0 0 0 0 0 0 0 0 0 0 1 0 1\n    0 0 0 1 0 1 0 0 1 0 1 0 0 0 0 0 0 0 0 1 0 1 1 0 1 1 1 0 0 1 0 0 1 0 1 1 0 1 \n    1 0 1 1 0 0 1 1 0 0 1 1 1 0 1 1 1 1 1 1 1 1 1 1 0]\n[0 0 0 0 0 1 0 0 0 0 0 0 0 0 0 0 0 0 0 0 0 0 0 0 0 0 0 0 0 0 0 0 0 1 0 1 0 0 1 1\n    1 1 0 0 0 0 0 0 0 1 0 0 1 0 1 0 0 0 0 0 1 0 0 0 1 0 0 0 1 1 1 1 1 1 1 0 1 1 \n    0 0 1 1 0 0 0 1 0 1 0 0 1 1 1 1 1 0 1 1 1 0 0 1 1]\n[0 0 0 0 0 0 1 0 0 0 0 0 0 0 0 0 0 0 0 0 0 0 0 0 0 0 0 0 0 0 0 0 0 0 1 0 1 0 0 1\n    1 1 1 0 0 0 0 0 0 0 1 0 0 0 1 1 1 1 0 1 1 1 1 1 0 0 1 0 1 0 1 0 0 1 0 0 0 0 \n    0 0 1 0 1 1 1 0 0 1 1 1 1 1 0 0 1 0 1 1 0 0 0 1 1]\n[0 0 0 0 0 0 0 1 0 0 0 0 0 0 0 0 0 0 0 0 0 0 0 0 0 0 0 0 0 0 0 0 0 1 0 0 0 1 0 1\n    1 0 1 1 1 0 1 0 0 0 0 0 0 1 1 0 0 1 0 1 1 0 1 0 1 0 1 1 0 0 1 1 1 1 1 1 1 0 \n    1 0 0 1 0 0 1 0 0 1 0 1 1 0 1 0 1 1 0 0 0 1 0 1 1]\n[0 0 0 0 0 0 0 0 1 0 0 0 0 0 0 0 0 0 0 0 0 0 0 0 0 0 0 0 0 0 0 0 0 0 1 0 0 0 1 0\n    1 1 0 1 1 1 0 1 0 0 0 0 0 1 0 1 1 1 1 1 0 1 1 0 0 0 1 1 0 1 0 0 0 1 0 0 1 0 \n    1 1 1 1 1 1 1 1 1 1 1 1 0 1 1 0 0 0 0 0 1 1 1 1 1]\n[0 0 0 0 0 0 0 0 0 1 0 0 0 0 0 0 0 0 0 0 0 0 0 0 0 0 0 0 0 0 0 0 0 0 0 1 0 0 0 1\n    0 1 1 0 1 1 1 0 1 0 0 0 0 1 0 0 0 0 1 0 0 0 0 0 0 1 1 1 0 1 1 1 1 0 0 1 0 0 \n    1 1 0 0 1 0 0 1 0 0 1 0 0 0 0 0 0 1 1 0 1 0 1 0 1]\n[0 0 0 0 0 0 0 0 0 0 1 0 0 0 0 0 0 0 0 0 0 0 0 0 0 0 0 0 0 0 0 0 0 0 0 0 1 0 0 0\n    1 0 1 1 0 1 1 1 0 1 0 0 1 1 1 1 1 0 1 0 0 1 1 0 1 1 1 0 0 0 0 0 1 0 1 0 0 1 \n    0 0 0 0 1 0 0 1 0 0 1 0 0 1 1 0 1 1 1 0 1 1 1 0 0]\n[0 0 0 0 0 0 0 0 0 0 0 1 0 0 0 0 0 0 0 0 0 0 0 0 0 0 0 0 0 0 0 0 0 0 0 0 0 1 0 0\n    0 1 0 1 1 0 1 1 1 0 1 0 0 1 1 1 1 1 0 1 0 0 1 1 0 1 1 1 0 0 0 0 0 1 0 1 0 0 \n    1 0 0 0 0 1 0 0 1 0 0 1 0 0 1 1 0 1 1 1 0 1 1 1 0]\n[0 0 0 0 0 0 0 0 0 0 0 0 1 0 0 0 0 0 0 0 0 0 0 0 0 0 0 0 0 0 0 0 0 1 0 1 0 0 1 1\n    0 1 1 0 0 1 1 1 1 1 0 0 1 0 0 1 1 1 1 0 1 0 1 0 0 1 0 0 0 1 0 1 1 0 0 1 1 1 \n    1 0 1 0 1 0 1 0 1 0 0 1 1 0 1 1 1 1 1 1 1 1 0 1 1]\n[0 0 0 0 0 0 0 0 0 0 0 0 0 1 0 0 0 0 0 0 0 0 0 0 0 0 0 0 0 0 0 0 0 0 1 0 1 0 0 1\n    1 0 1 1 0 0 1 1 1 1 1 0 0 0 1 0 0 0 1 0 1 1 1 0 0 1 0 0 1 1 1 1 0 1 1 1 1 0 \n    0 1 1 0 0 0 1 1 1 0 0 1 0 1 1 0 1 0 0 1 0 0 1 1 1]\n[0 0 0 0 0 0 0 0 0 0 0 0 0 0 1 0 0 0 0 0 0 0 0 0 0 0 0 0 0 0 0 0 0 1 0 0 0 1 0 1\n    1 0 0 1 0 0 1 1 1 1 1 0 0 1 1 0 1 0 1 0 0 0 1 0 0 0 0 0 0 0 0 1 0 1 1 0 0 1 \n    1 0 1 1 0 1 0 0 1 0 1 0 1 1 1 1 1 1 0 1 0 1 0 0 1]\n[0 0 0 0 0 0 0 0 0 0 0 0 0 0 0 1 0 0 0 0 0 0 0 0 0 0 0 0 0 0 0 0 0 1 1 1 0 0 1 1\n    1 0 0 0 0 0 1 1 1 1 1 0 1 1 1 1 1 0 0 0 1 0 0 1 1 0 0 1 0 0 0 0 1 0 1 1 0 0 \n    1 0 0 0 0 1 0 0 0 1 0 1 1 1 1 0 1 1 0 0 0 0 0 1 0]\n[0 0 0 0 0 0 0 0 0 0 0 0 0 0 0 0 1 0 0 0 0 0 0 0 0 0 0 0 0 0 0 0 0 1 1 0 1 0 0 0\n    1 0 0 0 1 0 1 1 1 1 1 0 1 1 0 1 1 1 0 0 0 1 1 1 0 0 1 1 0 1 0 1 1 1 1 0 1 1 \n    1 0 1 0 1 0 1 0 1 1 1 1 1 1 0 1 0 0 1 0 0 1 1 0 1]\n[0 0 0 0 0 0 0 0 0 0 0 0 0 0 0 0 0 1 0 0 0 0 0 0 0 0 0 0 0 0 0 0 0 1 1 0 0 1 0 1\n    0 0 0 0 1 1 1 1 1 1 1 0 1 0 1 0 0 0 1 1 1 0 1 1 0 0 0 0 1 0 1 0 1 1 1 1 0 1 \n    1 0 0 0 1 0 1 1 0 1 1 1 0 1 1 1 1 0 1 1 1 0 0 0 0]\n[0 0 0 0 0 0 0 0 0 0 0 0 0 0 0 0 0 0 1 0 0 0 0 0 0 0 0 0 0 0 0 0 0 1 1 0 0 0 1 1\n    1 1 0 0 1 1 0 1 1 1 1 0 0 1 0 0 0 1 1 1 0 0 1 1 1 1 0 0 1 1 1 0 0 0 0 1 0 1 \n    1 1 1 1 0 1 1 0 0 0 0 0 0 1 0 0 0 0 1 0 1 1 0 0 0]\n[0 0 0 0 0 0 0 0 0 0 0 0 0 0 0 0 0 0 0 1 0 0 0 0 0 0 0 0 0 0 0 0 0 1 1 0 0 0 0 0\n    1 0 1 0 1 1 0 0 1 1 1 0 0 0 1 1 0 1 0 1 0 1 1 1 1 0 1 0 1 1 0 0 0 1 1 0 0 1 \n    1 1 0 0 1 0 0 0 1 0 1 1 1 1 0 1 1 1 1 0 0 1 1 0 0]\n[0 0 0 0 0 0 0 0 0 0 0 0 0 0 0 0 0 0 0 0 1 0 0 0 0 0 0 0 0 0 0 0 0 1 1 0 0 0 0 1\n    0 0 0 1 1 1 0 0 0 1 1 0 0 0 0 0 1 1 0 0 0 1 0 1 1 0 0 1 1 1 0 1 0 1 0 1 1 1 \n    1 1 0 1 0 1 1 1 1 1 1 0 0 0 0 1 0 0 0 0 0 0 1 1 0]\n[0 0 0 0 0 0 0 0 0 0 0 0 0 0 0 0 0 0 0 0 0 1 0 0 0 0 0 0 0 0 0 0 0 1 1 0 0 0 0 1\n    1 1 0 0 0 1 0 0 0 0 1 0 1 0 1 0 0 1 1 0 0 0 0 1 0 0 1 1 0 0 1 1 0 0 0 1 1 0 \n    0 0 0 0 0 0 1 1 0 0 1 0 0 0 1 0 1 1 0 0 0 1 1 1 1]\n[0 0 0 0 0 0 0 0 0 0 0 0 0 0 0 0 0 0 0 0 0 0 1 0 0 0 0 0 0 0 0 0 0 1 1 0 0 0 0 1\n    1 0 1 0 1 0 0 0 0 0 0 0 0 0 1 0 1 0 0 0 0 1 0 1 1 0 1 1 1 1 1 1 0 1 0 1 0 1 \n    1 0 0 0 0 1 0 0 1 1 1 1 0 1 0 1 1 1 1 1 1 1 1 0 1]\n[0 0 0 0 0 0 0 0 0 0 0 0 0 0 0 0 0 0 0 0 0 0 0 1 0 0 0 0 0 0 0 0 0 0 1 1 0 0 0 0\n    1 1 0 1 0 1 0 0 0 0 0 0 1 1 0 0 1 1 1 1 0 1 0 0 0 0 0 0 0 1 0 0 1 1 0 0 0 1 \n    1 0 1 0 1 1 1 1 1 1 0 0 1 1 0 0 0 0 1 0 0 1 0 0 0]\n[0 0 0 0 0 0 0 0 0 0 0 0 0 0 0 0 0 0 0 0 0 0 0 0 1 0 0 0 0 0 0 0 0 0 0 1 1 0 0 0\n    0 1 1 0 1 0 1 0 0 0 0 0 0 1 1 0 0 1 1 1 1 0 1 0 0 0 0 0 0 0 1 0 0 1 1 0 0 0 \n    1 1 0 1 0 1 1 1 1 1 1 0 0 1 1 0 0 0 0 1 0 0 1 0 0]\n[0 0 0 0 0 0 0 0 0 0 0 0 0 0 0 0 0 0 0 0 0 0 0 0 0 1 0 0 0 0 0 0 0 0 0 0 1 1 0 0\n    0 0 1 1 0 1 0 1 0 0 0 0 0 0 1 1 0 0 1 1 1 1 0 1 0 0 0 0 0 0 0 1 0 0 1 1 0 0 \n    0 1 1 0 1 0 1 1 1 1 1 1 0 0 1 1 0 0 0 0 1 0 0 1 0]\n[0 0 0 0 0 0 0 0 0 0 0 0 0 0 0 0 0 0 0 0 0 0 0 0 0 0 1 0 0 0 0 0 0 0 0 0 0 1 1 0\n    0 0 0 1 1 0 1 0 1 0 0 0 1 0 1 0 1 1 1 1 0 0 1 1 0 0 1 1 0 1 1 0 0 1 0 0 0 0 \n    1 1 1 0 1 1 1 0 1 0 0 1 0 1 0 0 0 0 1 1 0 0 1 0 1]\n[0 0 0 0 0 0 0 0 0 0 0 0 0 0 0 0 0 0 0 0 0 0 0 0 0 0 0 1 0 0 0 0 0 0 0 0 0 0 1 1\n    0 0 0 0 1 1 0 1 0 1 0 0 1 0 0 0 1 1 0 0 1 1 1 1 0 1 0 0 0 0 0 0 0 1 0 0 1 1 \n    0 0 0 1 1 0 1 0 1 1 1 1 1 1 0 0 1 1 0 0 0 0 1 0 0]\n[0 0 0 0 0 0 0 0 0 0 0 0 0 0 0 0 0 0 0 0 0 0 0 0 0 0 0 0 1 0 0 0 0 0 0 0 0 0 0 1\n    1 0 0 0 0 1 1 0 1 0 1 0 0 1 0 0 0 1 1 0 0 1 1 1 1 0 1 0 0 0 0 0 0 0 1 0 0 1 \n    1 0 0 0 1 1 0 1 0 1 1 1 1 1 1 0 0 1 1 0 0 0 0 1 0]\n[0 0 0 0 0 0 0 0 0 0 0 0 0 0 0 0 0 0 0 0 0 0 0 0 0 0 0 0 0 1 0 0 0 1 0 1 0 0 0 1\n    1 0 0 0 1 0 0 1 0 1 0 0 1 0 0 0 0 0 1 1 0 0 0 0 0 0 1 0 1 1 0 1 1 0 1 0 0 1 \n    0 0 1 0 1 1 1 0 0 1 1 0 1 1 0 1 0 1 1 1 0 1 1 0 1]\n[0 0 0 0 0 0 0 0 0 0 0 0 0 0 0 0 0 0 0 0 0 0 0 0 0 0 0 0 0 0 1 0 0 0 1 0 1 0 0 0\n    1 1 0 0 0 1 0 0 1 0 1 0 1 0 0 1 1 0 1 0 1 1 1 0 1 1 0 0 1 1 0 1 1 0 1 1 1 1 \n    1 1 1 1 1 0 1 0 1 0 0 0 0 0 0 0 0 1 1 0 0 0 0 0 0]\n[0 0 0 0 0 0 0 0 0 0 0 0 0 0 0 0 0 0 0 0 0 0 0 0 0 0 0 0 0 0 0 1 0 1 0 0 0 1 0 1\n    0 0 1 0 1 0 0 0 0 1 0 0 0 1 0 1 1 0 1 1 1 0 0 1 0 0 1 0 1 1 0 1 1 0 1 1 0 0 \n    1 1 0 0 1 1 1 0 1 1 1 1 1 1 1 1 1 1 0 0 0 0 0 0 0]\n[0 0 0 0 0 0 0 0 0 0 0 0 0 0 0 0 0 0 0 0 0 0 0 0 0 0 0 0 0 0 0 0 1 0 1 0 0 0 1 0\n    1 0 0 1 0 1 0 0 0 0 1 0 0 0 1 0 1 1 0 1 1 1 0 0 1 0 0 1 0 1 1 0 1 1 0 1 1 0 \n    0 1 1 0 0 1 1 1 0 1 1 1 1 1 1 1 1 1 1 0 0 0 0 0 0]\n[0 0 0 0 0 0 0 0 0 0 0 0 0 0 0 0 0 0 0 0 0 0 0 0 0 0 0 0 0 0 0 0 0 0 0 0 0 0 0 0\n    0 0 0 0 0 0 0 0 0 0 0 1 1 0 1 1 0 1 1 0 1 1 0 1 1 0 1 1 0 1 1 0 1 1 0 1 1 0 \n    1 1 0 1 1 0 1 1 0 1 1 0 1 1 0 1 1 0 1 1 0 1 1 0 1]\nLinear Code over GF(2) of length 103 with 34 generators.\nLower Bound: 1, Upper Bound: 70\nConstructed 4 distinct generator matrices\nRelative Ranks:  34  34  34   1 \n     Discarding non-contributing rank 1 matrix\n     New Relative Ranks:  34  34  34 \nTime Taken: 0.00\nStarting search for low weight codewords... (reset timings)\nEnumerating using 1 generator at a time:\n     New codeword identified of weight 31, time 0.00\n     New codeword identified of weight 25, time 0.00\n   Completed Matrix  1:  lower =  4, upper = 25. Elapsed: 0.00s\n   Completed Matrix  2:  lower =  5, upper = 25. Elapsed: 0.00s\n   Completed Matrix  3:  lower =  6, upper = 25. Elapsed: 0.00s\nTermination predicted with 8 generators at matrix 1\nEnumerating using 2 generators at a time:\n   Completed Matrix  1:  lower =  7, upper = 25. Elapsed: 0.00s\n   Completed Matrix  2:  lower =  8, upper = 25. Elapsed: 0.00s\n   Completed Matrix  3:  lower =  9, upper = 25. Elapsed: 0.00s\nTermination predicted with 8 generators at matrix 1\nEnumerating using 3 generators at a time:\n   Completed Matrix  1:  lower = 10, upper = 25. Elapsed: 0.00s\n   Completed Matrix  2:  lower = 11, upper = 25. Elapsed: 0.00s\n   Completed Matrix  3:  lower = 12, upper = 25. Elapsed: 0.00s\nTermination predicted with 8 generators at matrix 1\nEnumerating using 4 generators at a time:\n   Completed Matrix  1:  lower = 13, upper = 25. Elapsed: 0.00s\n   Completed Matrix  2:  lower = 14, upper = 25. Elapsed: 0.00s\n   Completed Matrix  3:  lower = 15, upper = 25. Elapsed: 0.00s\nTermination predicted with 8 generators at matrix 1\nEnumerating using 5 generators at a time:\n   Completed Matrix  1:  lower = 16, upper = 25. Elapsed: 0.00s\n   Completed Matrix  2:  lower = 17, upper = 25. Elapsed: 0.00s\n   Completed Matrix  3:  lower = 18, upper = 25. Elapsed: 0.00s\nTermination predicted with 8 generators at matrix 1\nEnumerating using 6 generators at a time:\n   Completed Matrix  1:  lower = 19, upper = 25. Elapsed: 0.00s\n   Completed Matrix  2:  lower = 20, upper = 25. Elapsed: 0.00s\n   Completed Matrix  3:  lower = 21, upper = 25. Elapsed: 0.00s\nTermination predicted with 8 generators at matrix 1\nEnumerating using 7 generators at a time:\n   Completed Matrix  1:  lower = 22, upper = 25. Elapsed: 0.03s\n   Completed Matrix  2:  lower = 23, upper = 25. Elapsed: 0.03s\n   Completed Matrix  3:  lower = 24, upper = 25. Elapsed: 0.06s\nTermination predicted with 8 generators at matrix 1\nEnumerating using 8 generators at a time:\n   Completed Matrix  1:  lower = 25, upper = 25. Elapsed: 0.11s\nComputation complete 39323397 vectors enumerated in total\n (0.228892% of 103 34 code)\nFinal Results: lower = 25, upper = 25,\nTotal CPU time: 0.11, real time: 0.110\n25\n\nTotal time: 0.120 seconds, Total memory usage: 32.09MB\n</t>
  </si>
  <si>
    <t>[[104,28,29]]</t>
  </si>
  <si>
    <t>Magma V2.28-26    Tue Dec 30 2025 10:39:22 on Marks-MacBook-Air-2 [Seed = \n4039783154]\nType ? for help.  Type &lt;Ctrl&gt;-D to quit.\n[1 0 1 1 0 0 1 0 0 1 1 1 0 0 1 1 0 0 1 1 1 1 0 1 1 0 1 1 0 1 1 1 0 1 0 0 1 0 0 0\n    0 0 1 1 1 0 0 1 0 0 1 1 0 0 1 1 0 0 1 0 1 1 1 0 0 1 1 0 0 0 0 0 1 1 1 1 0 0 \n    0 0 0 0 0 0 0 0 0 0 0 0 0 0 0 0 0 0 0 0 0 0 0 0 0 0]\n[0 1 1 0 1 0 1 1 0 1 0 0 1 0 1 0 1 0 1 0 0 0 1 1 0 1 1 0 1 1 0 0 1 1 1 0 1 1 0 0\n    0 0 1 0 0 1 0 1 1 0 1 1 1 0 1 0 1 0 1 1 1 0 0 1 0 1 0 1 0 0 0 0 1 0 0 0 1 0 \n    0 0 0 0 0 0 0 0 0 0 0 0 0 0 0 0 0 0 0 0 0 0 0 0 0 0]\n[1 0 1 1 0 1 0 1 1 0 1 0 0 1 0 1 0 1 0 1 0 0 0 1 1 0 1 1 0 1 1 0 0 1 1 1 0 1 1 0\n    0 0 0 1 0 0 1 0 1 1 0 0 1 1 0 1 0 1 0 1 1 1 0 0 1 0 1 0 1 0 0 0 0 1 0 0 0 1 \n    0 0 0 0 0 0 0 0 0 0 0 0 0 0 0 0 0 0 0 0 0 0 0 0 0 0]\n[0 1 0 1 1 0 1 0 1 1 0 1 0 0 1 0 1 0 1 0 1 0 0 0 1 1 0 1 1 0 1 1 0 0 1 1 1 0 1 1\n    0 0 0 0 1 0 0 1 0 1 1 0 0 1 1 0 1 0 1 0 1 1 1 0 0 1 0 1 0 1 0 0 0 0 1 0 0 0 \n    1 0 0 0 0 0 0 0 0 0 0 0 0 0 0 0 0 0 0 0 0 0 0 0 0 0]\n[0 0 0 1 1 1 1 1 0 0 0 1 1 0 1 0 0 1 1 0 1 0 0 1 1 1 0 1 1 0 1 0 1 1 0 1 0 1 0 1\n    1 0 1 1 1 1 0 1 1 0 0 1 0 0 0 0 0 1 1 1 1 0 0 1 0 1 0 0 1 0 1 0 1 1 1 0 0 0 \n    0 1 0 0 0 0 0 0 0 0 0 0 0 0 0 0 0 0 0 0 0 0 0 0 0 0]\n[1 0 1 1 1 1 0 1 1 1 1 1 1 1 1 0 0 0 0 0 1 0 0 1 0 1 0 1 1 0 1 0 0 0 1 0 0 0 1 0\n    1 1 1 0 0 1 1 1 1 1 1 1 1 0 1 1 0 0 0 1 0 0 1 0 1 1 0 0 0 1 0 1 1 0 0 0 0 0 \n    0 0 1 0 0 0 0 0 0 0 0 0 0 0 0 0 0 0 0 0 0 0 0 0 0 0]\n[1 1 0 1 1 1 1 0 1 1 1 1 1 1 1 1 0 0 0 0 0 1 0 0 1 0 1 0 1 1 0 1 0 0 0 1 0 0 0 1\n    0 1 1 1 0 0 1 1 1 1 1 0 1 1 0 1 1 0 0 0 1 0 0 1 0 1 1 0 0 0 1 0 1 1 0 0 0 0 \n    0 0 0 1 0 0 0 0 0 0 0 0 0 0 0 0 0 0 0 0 0 0 0 0 0 0]\n[1 1 1 0 1 1 1 1 0 1 1 1 1 1 1 1 1 0 0 0 0 0 1 0 0 1 0 1 0 1 1 0 1 0 0 0 1 0 0 0\n    1 0 1 1 1 0 0 1 1 1 1 0 0 1 1 0 1 1 0 0 0 1 0 0 1 0 1 1 0 0 0 1 0 1 1 0 0 0 \n    0 0 0 0 1 0 0 0 0 0 0 0 0 0 0 0 0 0 0 0 0 0 0 0 0 0]\n[0 1 0 0 0 1 0 1 1 1 0 0 1 1 0 0 1 1 1 1 1 1 0 0 1 0 0 1 1 1 0 0 0 0 0 0 1 1 0 0\n    0 1 1 0 0 1 0 1 1 1 0 1 0 0 0 0 0 1 0 0 1 1 0 0 0 0 1 1 1 0 0 0 0 1 0 0 0 0 \n    0 0 0 0 0 1 0 0 0 0 0 0 0 0 0 0 0 0 0 0 0 0 0 0 0 0]\n[0 0 1 0 0 0 1 0 1 1 1 0 0 1 1 0 0 1 1 1 1 1 1 0 0 1 0 0 1 1 1 0 0 0 0 0 0 1 1 0\n    0 0 1 1 0 0 1 0 1 1 1 0 1 0 0 0 0 0 1 0 0 1 1 0 0 0 0 1 1 1 0 0 0 0 1 0 0 0 \n    0 0 0 0 0 0 1 0 0 0 0 0 0 0 0 0 0 0 0 0 0 0 0 0 0 0]\n[0 0 1 0 0 0 1 1 0 0 0 0 0 0 0 0 0 0 0 0 0 0 1 0 1 0 0 1 0 0 0 0 0 1 0 0 1 0 1 1\n    0 0 1 0 0 0 0 0 0 1 0 1 0 1 1 1 0 0 1 1 1 1 0 1 0 1 1 0 1 1 1 0 1 1 1 0 0 0 \n    0 0 0 0 0 0 0 1 0 0 0 0 0 0 0 0 0 0 0 0 0 0 0 0 0 0]\n[1 0 1 0 0 0 1 1 1 1 1 1 0 0 1 1 0 0 1 1 1 1 0 0 1 1 1 1 1 1 1 1 0 1 1 0 1 1 0 1\n    1 0 1 0 1 0 0 1 0 0 0 1 1 0 0 0 1 0 1 1 0 0 0 0 1 1 0 1 0 1 1 1 1 0 0 0 0 0 \n    0 0 0 0 0 0 0 0 1 0 0 0 0 0 0 0 0 0 0 0 0 0 0 0 0 0]\n[0 1 0 1 0 0 0 1 1 1 1 1 1 0 0 1 1 0 0 1 1 1 1 0 0 1 1 1 1 1 1 1 1 0 1 1 0 1 1 0\n    1 1 0 1 0 1 0 0 1 0 0 0 1 1 0 0 0 1 0 1 1 0 0 0 0 1 1 0 1 0 1 1 1 1 0 0 0 0 \n    0 0 0 0 0 0 0 0 0 1 0 0 0 0 0 0 0 0 0 0 0 0 0 0 0 0]\n[0 0 1 0 1 0 0 0 1 1 1 1 1 1 0 0 1 1 0 0 1 1 1 1 0 0 1 1 1 1 1 1 1 1 0 1 1 0 1 1\n    0 1 1 0 1 0 1 0 0 1 0 0 0 1 1 0 0 0 1 0 1 1 0 0 0 0 1 1 0 1 0 1 1 1 1 0 0 0 \n    0 0 0 0 0 0 0 0 0 0 1 0 0 0 0 0 0 0 0 0 0 0 0 0 0 0]\n[1 0 1 0 0 1 1 0 0 0 0 0 1 1 0 1 0 1 0 1 1 0 1 0 0 0 1 0 1 0 0 0 1 0 1 0 0 1 0 1\n    1 0 0 0 1 1 0 0 0 0 0 1 0 0 0 0 0 0 1 1 1 0 0 0 0 1 1 1 1 0 1 0 0 0 0 0 0 0 \n    0 0 0 0 0 0 0 0 0 0 0 1 0 0 0 0 0 0 0 0 0 0 0 0 0 0]\n[0 1 0 1 0 0 1 1 0 0 0 0 0 1 1 0 1 0 1 0 1 1 0 1 0 0 0 1 0 1 0 0 0 1 0 1 0 0 1 0\n    1 1 0 0 0 1 1 0 0 0 0 0 1 0 0 0 0 0 0 1 1 1 0 0 0 0 1 1 1 1 0 1 0 0 0 0 0 0 \n    0 0 0 0 0 0 0 0 0 0 0 0 1 0 0 0 0 0 0 0 0 0 0 0 0 0]\n[0 0 1 0 1 0 0 1 1 0 0 0 0 0 1 1 0 1 0 1 0 1 1 0 1 0 0 0 1 0 1 0 0 0 1 0 1 0 0 1\n    0 1 1 0 0 0 1 1 0 0 0 0 0 1 0 0 0 0 0 0 1 1 1 0 0 0 0 1 1 1 1 0 1 0 0 0 0 0 \n    0 0 0 0 0 0 0 0 0 0 0 0 0 1 0 0 0 0 0 0 0 0 0 0 0 0]\n[0 0 0 1 0 1 0 0 1 1 0 0 0 0 0 1 1 0 1 0 1 0 1 1 0 1 0 0 0 1 0 1 0 0 0 1 0 1 0 0\n    1 0 1 1 0 0 0 1 1 0 0 0 0 0 1 0 0 0 0 0 0 1 1 1 0 0 0 0 1 1 1 1 0 1 0 0 0 0 \n    0 0 0 0 0 0 0 0 0 0 0 0 0 0 1 0 0 0 0 0 0 0 0 0 0 0]\n[0 0 0 0 1 0 1 0 0 1 1 0 0 0 0 0 1 1 0 1 0 1 0 1 1 0 1 0 0 0 1 0 1 0 0 0 1 0 1 0\n    0 1 0 1 1 0 0 0 1 1 0 0 0 0 0 1 0 0 0 0 0 0 1 1 1 0 0 0 0 1 1 1 1 0 1 0 0 0 \n    0 0 0 0 0 0 0 0 0 0 0 0 0 0 0 1 0 0 0 0 0 0 0 0 0 0]\n[1 0 1 1 0 1 1 1 0 1 0 0 0 0 1 1 0 1 0 1 0 1 1 1 0 1 1 0 0 1 1 0 0 0 0 0 1 1 0 1\n    0 0 0 1 0 1 0 1 0 1 0 1 0 0 1 1 1 0 1 0 1 1 1 1 1 0 1 0 0 0 1 1 0 0 1 0 0 0 \n    0 0 0 0 0 0 0 0 0 0 0 0 0 0 0 0 1 0 0 0 0 0 0 0 0 0]\n[1 1 1 0 1 0 0 1 1 1 0 1 0 0 1 0 1 0 0 1 0 1 1 0 0 0 0 0 0 1 0 0 0 1 0 0 1 1 1 0\n    1 0 1 1 0 0 1 1 1 0 0 1 1 0 1 0 1 1 1 1 1 0 0 1 1 0 1 1 0 0 0 1 0 1 1 0 0 0 \n    0 0 0 0 0 0 0 0 0 0 0 0 0 0 0 0 0 1 0 0 0 0 0 0 0 0]\n[1 1 0 0 0 1 1 0 1 0 0 1 1 0 1 0 0 1 1 1 0 1 1 0 1 0 1 1 0 1 0 1 0 1 1 0 1 1 1 1\n    0 1 1 0 0 0 0 0 1 1 1 1 1 1 1 0 0 1 0 1 0 0 1 0 1 0 1 1 1 0 0 0 0 1 0 0 0 0 \n    0 0 0 0 0 0 0 0 0 0 0 0 0 0 0 0 0 0 1 0 0 0 0 0 0 0]\n[1 1 1 0 0 0 1 1 0 1 0 0 1 1 0 1 0 0 1 1 1 0 1 1 0 1 0 1 1 0 1 0 1 0 1 1 0 1 1 1\n    1 0 1 1 0 0 0 0 0 1 1 0 1 1 1 1 0 0 1 0 1 0 0 1 0 1 0 1 1 1 0 0 0 0 1 0 0 0 \n    0 0 0 0 0 0 0 0 0 0 0 0 0 0 0 0 0 0 0 1 0 0 0 0 0 0]\n[0 1 0 0 0 0 1 1 1 1 0 1 0 1 0 1 1 0 1 0 0 0 0 0 0 0 0 1 1 0 1 0 0 0 0 1 0 0 1 1\n    1 1 1 0 0 0 0 1 0 0 0 1 0 1 0 0 1 0 1 1 1 0 1 0 1 1 0 0 1 1 1 0 1 1 1 0 0 0 \n    0 0 0 0 0 0 0 0 0 0 0 0 0 0 0 0 0 0 0 0 1 0 0 0 0 0]\n[1 0 0 1 0 0 1 1 1 0 0 1 1 0 0 1 1 1 1 0 1 1 0 1 1 0 1 1 1 0 1 0 0 1 0 0 0 0 0 1\n    1 1 0 0 1 0 0 1 1 0 1 1 1 0 0 1 0 1 1 1 0 0 1 1 0 0 0 0 0 1 1 1 1 0 0 0 0 0 \n    0 0 0 0 0 0 0 0 0 0 0 0 0 0 0 0 0 0 0 0 0 1 0 0 0 0]\n[1 1 0 0 1 0 0 1 1 1 0 0 1 1 0 0 1 1 1 1 0 1 1 0 1 1 0 1 1 1 0 1 0 0 1 0 0 0 0 0\n    1 1 1 0 0 1 0 0 1 1 0 0 1 1 0 0 1 0 1 1 1 0 0 1 1 0 0 0 0 0 1 1 1 1 0 0 0 0 \n    0 0 0 0 0 0 0 0 0 0 0 0 0 0 0 0 0 0 0 0 0 0 1 0 0 0]\n[0 1 1 0 0 1 0 0 1 1 1 0 0 1 1 0 0 1 1 1 1 0 1 1 0 1 1 0 1 1 1 0 1 0 0 1 0 0 0 0\n    0 1 1 1 0 0 1 0 0 1 1 0 0 1 1 0 0 1 0 1 1 1 0 0 1 1 0 0 0 0 0 1 1 1 1 0 0 0 \n    0 0 0 0 0 0 0 0 0 0 0 0 0 0 0 0 0 0 0 0 0 0 0 1 0 0]\n[1 1 1 1 1 1 1 1 1 1 1 1 1 1 1 1 1 1 1 1 1 1 1 1 1 1 1 1 1 1 1 1 1 1 1 1 1 1 1 1\n    1 1 1 1 1 1 1 1 1 1 1 0 0 0 0 0 0 0 0 0 0 0 0 0 0 0 0 0 0 0 0 0 0 0 0 0 0 0 \n    0 0 0 0 0 0 0 0 0 0 0 0 0 0 0 0 0 0 0 0 0 0 0 0 1 1]\n[104, 28] Linear Code over GF(2)\nGenerator matrix:\n[1 0 0 0 0 0 0 0 0 0 0 0 0 0 0 0 0 0 0 0 0 0 0 0 0 0 0 1 0 0 1 1 0 0 1 0 1 1 1 0\n    0 1 1 0 0 0 0 0 1 1 1 0 1 1 1 1 1 0 1 0 1 1 1 0 1 0 0 1 0 1 1 1 1 1 1 1 1 1 \n    0 0 1 1 1 0 1 1 0 1 1 1 1 1 1 1 0 0 1 1 0 0 0 0 1 1]\n[0 1 0 0 0 0 0 0 0 0 0 0 0 0 0 0 0 0 0 0 0 0 0 0 0 0 0 1 1 0 1 0 1 0 1 1 1 0 0 1\n    0 1 0 1 0 0 0 0 1 0 0 0 1 0 0 0 0 1 1 1 1 0 0 1 1 1 0 1 1 1 0 0 0 0 0 0 0 0 \n    1 0 1 0 0 1 1 0 1 1 0 0 0 0 0 0 1 0 1 0 1 0 0 0 0 0]\n[0 0 1 0 0 0 0 0 0 0 0 0 0 0 0 0 0 0 0 0 0 0 0 0 0 0 0 0 1 1 0 1 0 1 0 1 1 1 0 0\n    1 0 1 0 1 0 0 0 0 1 0 0 0 1 0 0 0 0 1 1 1 1 0 0 1 1 1 0 1 1 1 0 0 0 0 0 0 0 \n    0 1 0 1 0 0 1 1 0 1 1 0 0 0 0 0 0 1 0 1 0 1 0 0 0 0]\n[0 0 0 1 0 0 0 0 0 0 0 0 0 0 0 0 0 0 0 0 0 0 0 0 0 0 0 0 0 1 1 0 1 0 1 0 1 1 1 0\n    0 1 0 1 0 1 0 0 0 0 1 0 0 0 1 0 0 0 0 1 1 1 1 0 0 1 1 1 0 1 1 1 0 0 0 0 0 0 \n    0 0 1 0 1 0 0 1 1 0 1 1 0 0 0 0 0 0 1 0 1 0 1 0 0 0]\n[0 0 0 0 1 0 0 0 0 0 0 0 0 0 0 0 0 0 0 0 0 0 0 0 0 0 0 1 0 0 0 0 0 1 1 1 1 0 0 1\n    0 1 0 0 1 0 1 0 1 1 1 0 1 1 1 0 1 0 1 0 0 0 0 1 1 0 1 0 1 1 0 0 0 1 1 1 1 1 \n    0 0 1 0 1 1 1 1 1 0 1 0 0 1 1 1 0 0 1 0 0 1 0 1 1 1]\n[0 0 0 0 0 1 0 0 0 0 0 0 0 0 0 0 0 0 0 0 0 0 0 0 0 0 0 1 1 0 1 1 0 0 0 1 0 0 1 0\n    1 1 0 0 0 1 0 1 1 0 0 0 0 1 1 1 0 0 0 0 0 0 0 1 1 0 1 1 1 1 1 0 0 0 1 1 1 1 \n    0 1 0 1 0 0 1 1 0 1 0 1 0 0 1 1 0 1 0 1 1 1 0 1 1 1]\n[0 0 0 0 0 0 1 0 0 0 0 0 0 0 0 0 0 0 0 0 0 0 0 0 0 0 0 0 1 1 0 1 1 0 0 0 1 0 0 1\n    0 1 1 0 0 0 1 0 1 1 0 0 1 1 0 0 0 1 1 1 1 1 1 1 0 0 1 0 0 0 0 0 1 1 1 0 0 0 \n    0 1 0 1 0 1 1 0 0 1 0 1 0 1 1 0 0 1 0 1 0 0 0 1 0 0]\n[0 0 0 0 0 0 0 1 0 0 0 0 0 0 0 0 0 0 0 0 0 0 0 0 0 0 0 0 0 1 1 0 1 1 0 0 0 1 0 0\n    1 0 1 1 0 0 0 1 0 1 1 0 1 0 0 1 1 1 0 0 0 0 0 0 0 1 1 0 1 1 1 1 1 0 0 0 1 1 \n    1 1 0 1 0 1 0 0 1 1 0 1 0 1 0 0 1 1 0 1 0 1 1 1 1 1]\n[0 0 0 0 0 0 0 0 1 0 0 0 0 0 0 0 0 0 0 0 0 0 0 0 0 0 0 1 0 0 0 0 0 1 0 0 1 1 0 0\n    0 0 1 1 1 0 0 0 0 1 0 0 0 1 0 0 1 0 1 1 0 0 0 1 0 1 0 1 1 1 1 1 1 1 0 0 0 1 \n    0 0 1 0 1 1 1 0 1 1 1 0 1 0 1 0 1 0 1 0 0 1 0 0 1 1]\n[0 0 0 0 0 0 0 0 0 1 0 0 0 0 0 0 0 0 0 0 0 0 0 0 0 0 0 0 1 0 0 0 0 0 1 0 0 1 1 0\n    0 0 0 1 1 1 0 0 0 0 1 0 0 0 1 0 0 1 0 1 1 0 0 0 1 0 1 0 1 1 1 1 1 1 1 0 0 0 \n    1 0 0 1 0 1 1 1 0 1 1 1 0 1 0 1 0 1 0 1 0 0 1 0 1 1]\n[0 0 0 0 0 0 0 0 0 0 1 0 0 0 0 0 0 0 0 0 0 0 0 0 0 0 0 1 0 1 1 1 0 0 1 1 1 1 0 1\n    0 1 1 0 1 1 1 0 1 1 1 0 1 1 1 0 1 0 0 0 0 0 1 0 1 1 0 0 0 0 0 0 0 0 0 0 1 1 \n    0 1 1 1 0 0 0 0 1 1 0 0 0 1 0 1 1 0 0 1 1 0 0 1 0 0]\n[0 0 0 0 0 0 0 0 0 0 0 1 0 0 0 0 0 0 0 0 0 0 0 0 0 0 0 1 1 0 0 0 1 0 1 1 0 0 0 0\n    1 1 0 1 0 1 1 1 1 0 0 0 0 1 1 1 0 0 0 1 0 0 0 0 0 0 0 0 1 0 0 0 0 0 0 0 0 1 \n    0 1 1 1 1 1 0 0 1 1 1 0 0 0 1 0 0 0 0 0 0 0 1 1 0 0]\n[0 0 0 0 0 0 0 0 0 0 0 0 1 0 0 0 0 0 0 0 0 0 0 0 0 0 0 0 1 1 0 0 0 1 0 1 1 0 0 0\n    0 1 1 0 1 0 1 1 1 1 0 0 1 1 0 0 0 1 1 1 0 1 1 1 1 1 1 1 1 0 1 1 1 1 1 1 1 1 \n    0 1 0 0 0 0 0 1 1 0 0 0 1 1 1 0 1 1 1 1 1 1 1 0 1 1]\n[0 0 0 0 0 0 0 0 0 0 0 0 0 1 0 0 0 0 0 0 0 0 0 0 0 0 0 0 0 1 1 0 0 0 1 0 1 1 0 0\n    0 0 1 1 0 1 0 1 1 1 1 0 0 1 1 0 0 0 1 1 1 0 1 1 1 1 1 1 1 1 0 1 1 1 1 1 1 1 \n    1 0 1 0 0 0 0 0 1 1 0 0 0 1 1 1 0 1 1 1 1 1 1 1 1 1]\n[0 0 0 0 0 0 0 0 0 0 0 0 0 0 1 0 0 0 0 0 0 0 0 0 0 0 0 1 0 0 0 0 0 0 1 1 1 0 0 0\n    0 1 1 1 1 0 1 0 0 0 0 0 0 0 1 1 0 1 0 0 1 1 0 0 1 0 0 1 0 1 1 0 1 1 1 1 1 1 \n    0 0 0 1 0 1 0 0 1 1 1 0 0 0 1 1 0 1 1 1 0 0 0 0 1 1]\n[0 0 0 0 0 0 0 0 0 0 0 0 0 0 0 1 0 0 0 0 0 0 0 0 0 0 0 0 1 0 0 0 0 0 0 1 1 1 0 0\n    0 0 1 1 1 1 0 1 0 0 0 0 0 0 0 1 1 0 1 0 0 1 1 0 0 1 0 0 1 0 1 1 0 1 1 1 1 1 \n    1 0 0 0 1 0 1 0 0 1 1 1 0 0 0 1 1 0 1 1 1 0 0 0 1 1]\n[0 0 0 0 0 0 0 0 0 0 0 0 0 0 0 0 1 0 0 0 0 0 0 0 0 0 0 0 0 1 0 0 0 0 0 0 1 1 1 0\n    0 0 0 1 1 1 1 0 1 0 0 0 0 0 0 0 1 1 0 1 0 0 1 1 0 0 1 0 0 1 0 1 1 0 1 1 1 1 \n    1 1 0 0 0 1 0 1 0 0 1 1 1 0 0 0 1 1 0 1 1 1 0 0 1 1]\n[0 0 0 0 0 0 0 0 0 0 0 0 0 0 0 0 0 1 0 0 0 0 0 0 0 0 0 0 0 0 1 0 0 0 0 0 0 1 1 1\n    0 0 0 0 1 1 1 1 0 1 0 0 0 0 0 0 0 1 1 0 1 0 0 1 1 0 0 1 0 0 1 0 1 1 0 1 1 1 \n    1 1 1 0 0 0 1 0 1 0 0 1 1 1 0 0 0 1 1 0 1 1 1 0 1 1]\n[0 0 0 0 0 0 0 0 0 0 0 0 0 0 0 0 0 0 1 0 0 0 0 0 0 0 0 0 0 0 0 1 0 0 0 0 0 0 1 1\n    1 0 0 0 0 1 1 1 1 0 1 0 0 0 0 0 0 0 1 1 0 1 0 0 1 1 0 0 1 0 0 1 0 1 1 0 1 1 \n    1 1 1 1 0 0 0 1 0 1 0 0 1 1 1 0 0 0 1 1 0 1 1 1 1 1]\n[0 0 0 0 0 0 0 0 0 0 0 0 0 0 0 0 0 0 0 1 0 0 0 0 0 0 0 1 0 0 1 1 1 0 1 0 1 1 1 1\n    1 0 1 0 0 0 1 1 0 0 1 0 0 0 0 0 0 1 0 0 1 0 1 1 0 0 0 0 1 1 0 0 1 0 1 1 0 1 \n    0 0 1 1 1 1 0 0 0 0 1 0 0 1 1 1 1 1 0 1 0 1 0 0 1 1]\n[0 0 0 0 0 0 0 0 0 0 0 0 0 0 0 0 0 0 0 0 1 0 0 0 0 0 0 1 1 0 1 0 1 1 1 1 1 0 0 1\n    1 0 1 1 0 0 0 1 0 1 1 0 1 1 1 1 1 0 0 0 1 0 1 1 0 0 0 1 0 0 0 1 1 0 1 0 0 1 \n    1 0 1 0 0 1 0 1 0 1 1 0 1 1 0 0 1 1 0 1 1 0 1 0 0 0]\n[0 0 0 0 0 0 0 0 0 0 0 0 0 0 0 0 0 0 0 0 0 1 0 0 0 0 0 1 1 1 1 0 0 1 0 1 0 0 1 0\n    1 0 1 1 1 0 0 0 0 1 0 0 1 0 0 0 0 1 1 0 1 0 1 1 0 0 0 1 1 1 1 1 0 0 1 0 1 1 \n    1 1 1 0 1 0 0 1 1 1 0 0 1 0 0 1 0 1 0 1 1 1 0 1 1 1]\n[0 0 0 0 0 0 0 0 0 0 0 0 0 0 0 0 0 0 0 0 0 0 1 0 0 0 0 0 1 1 1 1 0 0 1 0 1 0 0 1\n    0 1 0 1 1 1 0 0 0 0 1 0 1 0 1 1 1 1 0 0 1 0 1 0 0 1 1 1 0 0 0 0 0 1 1 0 1 0 \n    0 0 0 0 1 0 1 1 0 0 0 1 1 0 1 1 0 1 0 1 0 0 0 1 0 0]\n[0 0 0 0 0 0 0 0 0 0 0 0 0 0 0 0 0 0 0 0 0 0 0 1 0 0 0 1 0 1 0 0 1 0 1 1 1 0 1 0\n    1 1 0 0 1 1 1 0 1 1 1 0 0 1 0 1 1 0 1 1 0 1 0 0 0 1 0 1 0 0 0 0 0 0 1 1 0 1 \n    1 1 0 0 0 0 0 1 0 0 0 0 1 1 0 1 0 1 1 0 0 1 1 1 0 0]\n[0 0 0 0 0 0 0 0 0 0 0 0 0 0 0 0 0 0 0 0 0 0 0 0 1 0 0 1 1 0 0 1 0 1 1 1 0 0 1 1\n    0 0 0 0 0 1 1 1 1 0 0 0 0 0 1 0 1 0 0 0 1 0 1 1 0 1 0 0 0 0 0 0 0 0 0 1 1 0 \n    0 0 1 0 0 1 0 0 0 0 0 0 0 1 1 0 0 1 1 1 1 1 0 0 0 0]\n[0 0 0 0 0 0 0 0 0 0 0 0 0 0 0 0 0 0 0 0 0 0 0 0 0 1 0 0 1 1 0 0 1 0 1 1 1 0 0 1\n    1 0 0 0 0 0 1 1 1 1 0 0 0 0 0 1 0 1 0 0 0 1 0 1 1 0 1 0 0 0 0 0 0 0 0 0 1 1 \n    0 0 0 1 0 0 1 0 0 0 0 0 0 0 1 1 0 0 1 1 1 1 1 0 0 0]\n[0 0 0 0 0 0 0 0 0 0 0 0 0 0 0 0 0 0 0 0 0 0 0 0 0 0 1 0 0 1 1 0 0 1 0 1 1 1 0 0\n    1 1 0 0 0 0 0 1 1 1 1 0 0 0 0 0 1 0 1 0 0 0 1 0 1 1 0 1 0 0 0 0 0 0 0 0 0 1 \n    1 0 0 0 1 0 0 1 0 0 0 0 0 0 0 1 1 0 0 1 1 1 1 1 0 0]\n[0 0 0 0 0 0 0 0 0 0 0 0 0 0 0 0 0 0 0 0 0 0 0 0 0 0 0 0 0 0 0 0 0 0 0 0 0 0 0 0\n    0 0 0 0 0 0 0 0 0 0 0 1 1 1 1 1 1 1 1 1 1 1 1 1 1 1 1 1 1 1 1 1 1 1 1 1 1 1 \n    1 1 1 1 1 1 1 1 1 1 1 1 1 1 1 1 1 1 1 1 1 1 1 1 1 1]\nLinear Code over GF(2) of length 104 with 28 generators.\nLower Bound: 1, Upper Bound: 77\nConstructed 4 distinct generator matrices\nRelative Ranks:  28  28  28  20 \nTime Taken: 0.00\nStarting search for low weight codewords... (reset timings)\nEnumerating using 1 generator at a time:\n     New codeword identified of weight 49, time 0.00\n     New codeword identified of weight 32, time 0.00\n     New codeword identified of weight 30, time 0.00\n   Completed Matrix  1:  lower =  4, upper = 30. Elapsed: 0.00s\n   Completed Matrix  2:  lower =  5, upper = 30. Elapsed: 0.00s\n   Completed Matrix  3:  lower =  6, upper = 30. Elapsed: 0.00s\n   Completed Matrix  4:  lower =  6, upper = 30. Elapsed: 0.00s\nTermination predicted with 9 generators at matrix 2\nEnumerating using 2 generators at a time:\n   Completed Matrix  1:  lower =  7, upper = 30. Elapsed: 0.00s\n   Completed Matrix  2:  lower =  8, upper = 30. Elapsed: 0.00s\n   Completed Matrix  3:  lower =  9, upper = 30. Elapsed: 0.00s\n   Completed Matrix  4:  lower =  9, upper = 30. Elapsed: 0.00s\nTermination predicted with 9 generators at matrix 2\nEnumerating using 3 generators at a time:\n   Completed Matrix  1:  lower = 10, upper = 30. Elapsed: 0.00s\n   Completed Matrix  2:  lower = 11, upper = 30. Elapsed: 0.00s\n   Completed Matrix  3:  lower = 12, upper = 30. Elapsed: 0.00s\n   Completed Matrix  4:  lower = 12, upper = 30. Elapsed: 0.00s\nTermination predicted with 9 generators at matrix 2\nEnumerating using 4 generators at a time:\n     New codeword identified of weight 29, time 0.00\n   Completed Matrix  1:  lower = 13, upper = 29. Elapsed: 0.00s\n   Completed Matrix  2:  lower = 14, upper = 29. Elapsed: 0.00s\n   Completed Matrix  3:  lower = 15, upper = 29. Elapsed: 0.00s\n   Completed Matrix  4:  lower = 15, upper = 29. Elapsed: 0.00s\nTermination predicted with 9 generators at matrix 1\nEnumerating using 5 generators at a time:\n   Completed Matrix  1:  lower = 16, upper = 29. Elapsed: 0.00s\n   Completed Matrix  2:  lower = 17, upper = 29. Elapsed: 0.00s\n   Completed Matrix  3:  lower = 18, upper = 29. Elapsed: 0.00s\n   Completed Matrix  4:  lower = 18, upper = 29. Elapsed: 0.00s\nTermination predicted with 9 generators at matrix 1\nEnumerating using 6 generators at a time:\n   Completed Matrix  1:  lower = 19, upper = 29. Elapsed: 0.00s\n   Completed Matrix  2:  lower = 20, upper = 29. Elapsed: 0.00s\n   Completed Matrix  3:  lower = 21, upper = 29. Elapsed: 0.00s\n   Completed Matrix  4:  lower = 21, upper = 29. Elapsed: 0.00s\nTermination predicted with 9 generators at matrix 1\nEnumerating using 7 generators at a time:\n   Completed Matrix  1:  lower = 22, upper = 29. Elapsed: 0.00s\n   Completed Matrix  2:  lower = 23, upper = 29. Elapsed: 0.00s\n   Completed Matrix  3:  lower = 24, upper = 29. Elapsed: 0.02s\n   Completed Matrix  4:  lower = 24, upper = 29. Elapsed: 0.02s\nTermination predicted with 9 generators at matrix 1\nEnumerating using 8 generators at a time:\n   Completed Matrix  1:  lower = 25, upper = 29. Elapsed: 0.03s\n   Completed Matrix  2:  lower = 26, upper = 29. Elapsed: 0.03s\n   Completed Matrix  3:  lower = 27, upper = 29. Elapsed: 0.05s\n   Completed Matrix  4:  lower = 28, upper = 29. Elapsed: 0.06s\nTermination predicted with 9 generators at matrix 1\nEnumerating using 9 generators at a time:\n   Completed Matrix  1:  lower = 29, upper = 29. Elapsed: 0.08s\nComputation complete 26072188 vectors enumerated in total\n (9.712647% of 104 28 code)\nFinal Results: lower = 29, upper = 29,\nTotal CPU time: 0.08, real time: 0.083\n29\n\nTotal time: 0.090 seconds, Total memory usage: 32.09MB\n</t>
  </si>
  <si>
    <t>[[105,54,17]]</t>
  </si>
  <si>
    <t>Magma V2.28-26    Tue Dec 30 2025 10:39:22 on Marks-MacBook-Air-2 [Seed = \n4140578036]\nType ? for help.  Type &lt;Ctrl&gt;-D to quit.\n[1 0 0 1 0 1 1 0 1 1 1 0 1 0 1 1 1 0 0 0 0 0 0 1 1 0 0 1 1 0 0 0 0 0 0 1 1 1 0 1\n    0 1 1 1 0 1 1 0 1 0 0 1 0 0 0 0 0 0 0 0 0 0 0 0 0 0 0 0 0 0 0 0 0 0 0 0 0 0 \n    0 0 0 0 0 0 0 0 0 0 0 0 0 0 0 0 0 0 0 0 0 0 0 0 0 0 0]\n[0 1 1 0 1 0 0 1 0 0 0 1 0 1 0 0 0 1 1 1 1 1 1 0 0 1 1 0 0 1 1 1 1 1 1 0 0 0 1 0\n    1 0 0 0 1 0 0 1 0 1 1 0 1 0 0 0 0 0 0 0 0 0 0 0 0 0 0 0 0 0 0 0 0 0 0 0 0 0 \n    0 0 0 0 0 0 0 0 0 0 0 0 0 0 0 0 0 0 0 0 0 0 0 0 0 0 0]\n[0 0 1 0 0 0 1 0 0 1 1 0 0 0 0 1 1 0 1 1 1 1 1 0 1 0 1 0 1 0 1 1 1 1 1 0 1 1 0 0\n    0 0 1 1 0 0 1 0 0 0 1 0 0 1 0 0 0 0 0 0 0 0 0 0 0 0 0 0 0 0 0 0 0 0 0 0 0 0 \n    0 0 0 0 0 0 0 0 0 0 0 0 0 0 0 0 0 0 0 0 0 0 0 0 0 0 0]\n[1 0 1 0 0 1 0 1 1 0 1 1 1 0 1 0 1 1 1 0 0 0 0 0 0 1 1 0 0 1 1 0 0 0 0 0 0 1 1 1\n    0 1 0 1 1 1 0 1 1 0 1 0 0 0 1 0 0 0 0 0 0 0 0 0 0 0 0 0 0 0 0 0 0 0 0 0 0 0 \n    0 0 0 0 0 0 0 0 0 0 0 0 0 0 0 0 0 0 0 0 0 0 0 0 0 0 0]\n[1 1 0 0 0 1 0 0 0 0 1 1 0 1 1 0 1 1 1 1 0 0 0 1 1 0 1 0 1 0 1 1 0 0 0 1 1 1 1 0\n    1 1 0 1 1 0 0 0 0 1 0 0 0 0 0 1 0 0 0 0 0 0 0 0 0 0 0 0 0 0 0 0 0 0 0 0 0 0 \n    0 0 0 0 0 0 0 0 0 0 0 0 0 0 0 0 0 0 0 0 0 0 0 0 0 0 0]\n[0 1 0 0 0 0 0 0 0 1 1 1 1 0 1 0 1 1 0 0 0 1 1 0 0 1 1 1 1 1 1 0 0 1 1 0 0 0 1 1\n    0 1 0 1 1 1 1 0 0 0 0 0 0 0 0 0 1 0 0 0 0 0 0 0 0 0 0 0 0 0 0 0 0 0 0 0 0 0 \n    0 0 0 0 0 0 0 0 0 0 0 0 0 0 0 0 0 0 0 0 0 0 0 0 0 0 0]\n[0 0 0 0 0 0 1 0 0 1 0 1 1 1 0 0 1 1 0 1 1 1 0 1 1 0 0 1 0 1 0 0 1 1 0 1 1 1 0 1\n    1 0 0 1 1 1 0 1 0 0 1 0 0 0 0 0 0 1 0 0 0 0 0 0 0 0 0 0 0 0 0 0 0 0 0 0 0 0 \n    0 0 0 0 0 0 0 0 0 0 0 0 0 0 0 0 0 0 0 0 0 0 0 0 0 0 0]\n[1 0 1 1 0 1 0 1 1 0 1 0 0 1 0 0 0 1 0 1 0 0 0 1 1 1 1 1 1 0 0 1 1 0 0 1 1 1 1 1\n    1 0 0 0 1 0 1 0 0 0 1 0 0 0 0 0 0 0 1 0 0 0 0 0 0 0 0 0 0 0 0 0 0 0 0 0 0 0 \n    0 0 0 0 0 0 0 0 0 0 0 0 0 0 0 0 0 0 0 0 0 0 0 0 0 0 0]\n[1 1 0 0 1 1 0 0 0 0 1 1 1 0 0 1 1 0 1 0 1 0 0 1 0 1 1 0 0 1 0 0 1 1 0 1 0 0 1 0\n    1 0 1 1 0 0 1 1 1 0 0 0 0 0 0 0 0 0 0 1 0 0 0 0 0 0 0 0 0 0 0 0 0 0 0 0 0 0 \n    0 0 0 0 0 0 0 0 0 0 0 0 0 0 0 0 0 0 0 0 0 0 0 0 0 0 0]\n[0 1 0 0 0 1 0 0 0 1 1 1 1 1 0 1 0 1 1 0 1 0 1 0 0 0 0 1 1 0 0 1 1 0 0 0 0 1 0 1\n    0 1 1 0 1 0 1 1 1 1 1 0 0 0 0 0 0 0 0 0 1 0 0 0 0 0 0 0 0 0 0 0 0 0 0 0 0 0 \n    0 0 0 0 0 0 0 0 0 0 0 0 0 0 0 0 0 0 0 0 0 0 0 0 0 0 0]\n[1 0 0 1 0 1 1 0 1 0 1 1 0 1 0 0 1 0 0 0 1 0 1 0 0 0 1 1 1 1 1 1 0 0 1 1 0 0 1 1\n    1 1 1 1 0 0 0 1 0 1 0 0 0 0 0 0 0 0 0 0 0 1 0 0 0 0 0 0 0 0 0 0 0 0 0 0 0 0 \n    0 0 0 0 0 0 0 0 0 0 0 0 0 0 0 0 0 0 0 0 0 0 0 0 0 0 0]\n[0 1 0 0 1 0 1 1 0 1 0 1 1 0 1 0 0 1 0 0 0 1 0 1 0 0 0 1 1 1 1 1 1 0 0 1 1 0 0 1\n    1 1 1 1 1 0 0 0 1 0 1 0 0 0 0 0 0 0 0 0 0 0 1 0 0 0 0 0 0 0 0 0 0 0 0 0 0 0 \n    0 0 0 0 0 0 0 0 0 0 0 0 0 0 0 0 0 0 0 0 0 0 0 0 0 0 0]\n[1 0 1 1 0 0 1 1 0 1 0 0 0 1 1 0 1 0 1 0 0 0 1 1 0 0 0 1 0 1 1 1 1 1 0 1 0 0 0 1\n    1 0 0 0 1 0 1 0 1 1 0 0 0 0 0 0 0 0 0 0 0 0 0 1 0 0 0 0 0 0 0 0 0 0 0 0 0 0 \n    0 0 0 0 0 0 0 0 0 0 0 0 0 0 0 0 0 0 0 0 0 0 0 0 0 0 0]\n[0 1 1 1 1 0 1 1 1 1 0 0 0 0 1 0 1 1 1 0 1 1 1 1 0 0 1 0 0 0 0 0 0 0 0 0 0 1 0 0\n    1 1 1 1 0 1 1 1 0 1 0 0 0 0 0 0 0 0 0 0 0 0 0 0 1 0 0 0 0 0 0 0 0 0 0 0 0 0 \n    0 0 0 0 0 0 0 0 0 0 0 0 0 0 0 0 0 0 0 0 0 0 0 0 0 0 0]\n[0 0 0 1 1 1 1 1 1 0 0 0 0 0 0 0 1 1 0 0 1 0 0 1 0 0 1 1 1 0 1 1 1 1 1 0 1 1 1 0\n    0 1 0 0 1 0 0 1 1 0 0 0 0 0 0 0 0 0 0 0 0 0 0 0 0 1 0 0 0 0 0 0 0 0 0 0 0 0 \n    0 0 0 0 0 0 0 0 0 0 0 0 0 0 0 0 0 0 0 0 0 0 0 0 0 0 0]\n[0 0 1 0 1 1 0 1 1 0 1 0 0 0 0 1 1 1 0 1 1 0 1 0 0 0 1 1 0 1 1 0 0 0 0 1 1 0 1 1\n    0 0 0 1 0 1 1 0 1 1 1 0 0 0 0 0 0 0 0 0 0 0 0 0 0 0 1 0 0 0 0 0 0 0 0 0 0 0 \n    0 0 0 0 0 0 0 0 0 0 0 0 0 0 0 0 0 0 0 0 0 0 0 0 0 0 0]\n[1 0 1 0 0 0 1 0 0 1 0 1 1 0 1 0 1 1 0 1 0 0 1 0 0 0 1 0 1 0 0 0 1 1 1 1 1 1 0 0\n    1 1 0 0 1 1 1 1 1 1 0 0 0 0 0 0 0 0 0 0 0 0 0 0 0 0 0 1 0 0 0 0 0 0 0 0 0 0 \n    0 0 0 0 0 0 0 0 0 0 0 0 0 0 0 0 0 0 0 0 0 0 0 0 0 0 0]\n[0 1 0 1 0 0 0 1 0 0 1 0 1 1 0 1 0 1 1 0 1 0 0 1 0 0 0 1 0 1 0 0 0 1 1 1 1 1 1 0\n    0 1 1 0 0 1 1 1 1 1 1 0 0 0 0 0 0 0 0 0 0 0 0 0 0 0 0 0 1 0 0 0 0 0 0 0 0 0 \n    0 0 0 0 0 0 0 0 0 0 0 0 0 0 0 0 0 0 0 0 0 0 0 0 0 0 0]\n[1 0 1 1 1 1 1 0 0 1 1 1 1 1 0 1 0 0 1 1 0 1 0 1 0 0 0 1 0 0 1 0 0 0 1 0 0 0 1 0\n    0 1 0 0 0 1 0 1 0 1 1 0 0 0 0 0 0 0 0 0 0 0 0 0 0 0 0 0 0 1 0 0 0 0 0 0 0 0 \n    0 0 0 0 0 0 0 0 0 0 0 0 0 0 0 0 0 0 0 0 0 0 0 0 0 0 0]\n[1 1 1 0 1 0 1 1 1 0 1 1 0 1 0 0 1 0 1 0 0 1 0 1 1 0 1 1 1 0 1 0 1 1 1 0 0 0 0 0\n    0 1 1 0 0 1 1 0 0 0 0 0 0 0 0 0 0 0 0 0 0 0 0 0 0 0 0 0 0 0 1 0 0 0 0 0 0 0 \n    0 0 0 0 0 0 0 0 0 0 0 0 0 0 0 0 0 0 0 0 0 0 0 0 0 0 0]\n[0 1 1 1 0 1 0 1 1 1 0 1 1 0 1 0 0 1 0 1 0 0 1 0 1 1 0 1 1 1 0 1 0 1 1 1 0 0 0 0\n    0 0 1 1 0 0 1 1 0 0 0 0 0 0 0 0 0 0 0 0 0 0 0 0 0 0 0 0 0 0 0 1 0 0 0 0 0 0 \n    0 0 0 0 0 0 0 0 0 0 0 0 0 0 0 0 0 0 0 0 0 0 0 0 0 0 0]\n[0 0 1 1 1 0 1 0 1 1 1 0 1 1 0 1 0 0 1 0 1 0 0 1 0 1 1 0 1 1 1 0 1 0 1 1 1 0 0 0\n    0 0 0 1 1 0 0 1 1 0 0 0 0 0 0 0 0 0 0 0 0 0 0 0 0 0 0 0 0 0 0 0 1 0 0 0 0 0 \n    0 0 0 0 0 0 0 0 0 0 0 0 0 0 0 0 0 0 0 0 0 0 0 0 0 0 0]\n[0 0 0 1 1 1 0 1 0 1 1 1 0 1 1 0 1 0 0 1 0 1 0 0 1 0 1 1 0 1 1 1 0 1 0 1 1 1 0 0\n    0 0 0 0 1 1 0 0 1 1 0 0 0 0 0 0 0 0 0 0 0 0 0 0 0 0 0 0 0 0 0 0 0 1 0 0 0 0 \n    0 0 0 0 0 0 0 0 0 0 0 0 0 0 0 0 0 0 0 0 0 0 0 0 0 0 0]\n[0 0 0 0 1 1 1 0 1 0 1 1 1 0 1 1 0 1 0 0 1 0 1 0 0 1 0 1 1 0 1 1 1 0 1 0 1 1 1 0\n    0 0 0 0 0 1 1 0 0 1 1 0 0 0 0 0 0 0 0 0 0 0 0 0 0 0 0 0 0 0 0 0 0 0 1 0 0 0 \n    0 0 0 0 0 0 0 0 0 0 0 0 0 0 0 0 0 0 0 0 0 0 0 0 0 0 0]\n[1 0 0 1 0 0 0 1 1 0 1 1 0 1 1 0 0 0 1 0 0 1 0 0 1 0 1 1 0 1 0 1 1 1 0 0 1 0 1 0\n    0 1 1 1 0 1 0 1 1 0 1 0 0 0 0 0 0 0 0 0 0 0 0 0 0 0 0 0 0 0 0 0 0 0 0 1 0 0 \n    0 0 0 0 0 0 0 0 0 0 0 0 0 0 0 0 0 0 0 0 0 0 0 0 0 0 0]\n[1 1 1 1 1 1 0 0 0 1 0 1 0 0 0 1 0 0 1 0 1 1 0 1 0 1 1 0 1 0 0 1 0 0 0 1 0 1 0 0\n    0 1 1 1 1 1 1 0 0 1 1 0 0 0 0 0 0 0 0 0 0 0 0 0 0 0 0 0 0 0 0 0 0 0 0 0 1 0 \n    0 0 0 0 0 0 0 0 0 0 0 0 0 0 0 0 0 0 0 0 0 0 0 0 0 0 0]\n[1 1 1 0 1 0 0 0 1 1 0 0 0 0 1 1 0 0 0 1 0 1 1 1 0 0 1 0 1 1 0 0 1 0 0 1 0 1 1 1\n    0 1 0 0 1 0 0 1 1 0 1 0 0 0 0 0 0 0 0 0 0 0 0 0 0 0 0 0 0 0 0 0 0 0 0 0 0 1 \n    0 0 0 0 0 0 0 0 0 0 0 0 0 0 0 0 0 0 0 0 0 0 0 0 0 0 0]\n[1 1 0 0 0 0 0 0 1 1 1 0 1 0 1 1 1 0 1 1 0 1 0 0 1 0 1 0 0 1 0 1 1 0 1 1 1 0 1 0\n    1 1 1 0 0 0 0 0 0 1 1 0 0 0 0 0 0 0 0 0 0 0 0 0 0 0 0 0 0 0 0 0 0 0 0 0 0 0 \n    1 0 0 0 0 0 0 0 0 0 0 0 0 0 0 0 0 0 0 0 0 0 0 0 0 0 0]\n[1 1 1 1 0 1 1 0 1 0 0 1 1 1 1 0 0 1 0 1 1 0 1 1 1 1 0 0 1 0 1 0 1 1 0 0 0 0 0 0\n    0 0 0 0 0 1 1 0 1 0 1 0 0 0 0 0 0 0 0 0 0 0 0 0 0 0 0 0 0 0 0 0 0 0 0 0 0 0 \n    0 1 0 0 0 0 0 0 0 0 0 0 0 0 0 0 0 0 0 0 0 0 0 0 0 0 0]\n[1 1 0 0 1 1 1 1 1 1 0 0 0 1 0 1 0 0 0 1 0 0 1 0 1 1 0 1 0 1 1 0 1 0 0 1 0 0 0 1\n    0 1 0 0 0 1 1 1 1 1 1 0 0 0 0 0 0 0 0 0 0 0 0 0 0 0 0 0 0 0 0 0 0 0 0 0 0 0 \n    0 0 1 0 0 0 0 0 0 0 0 0 0 0 0 0 0 0 0 0 0 0 0 0 0 0 0]\n[1 1 1 1 0 0 0 1 0 0 0 0 1 0 0 1 0 0 0 0 1 0 0 0 1 1 1 1 0 0 1 1 0 1 0 1 0 1 0 1\n    1 1 0 1 0 1 0 1 0 1 1 0 0 0 0 0 0 0 0 0 0 0 0 0 0 0 0 0 0 0 0 0 0 0 0 0 0 0 \n    0 0 0 1 0 0 0 0 0 0 0 0 0 0 0 0 0 0 0 0 0 0 0 0 0 0 0]\n[1 1 0 0 1 1 0 0 0 0 0 0 1 1 1 0 1 0 1 1 1 0 1 1 0 1 0 0 1 0 1 0 0 1 0 1 1 0 1 1\n    1 0 1 0 1 1 1 0 0 0 0 0 0 0 0 0 0 0 0 0 0 0 0 0 0 0 0 0 0 0 0 0 0 0 0 0 0 0 \n    0 0 0 0 1 0 0 0 0 0 0 0 0 0 0 0 0 0 0 0 0 0 0 0 0 0 0]\n[0 1 1 0 0 1 1 0 0 0 0 0 0 1 1 1 0 1 0 1 1 1 0 1 1 0 1 0 0 1 0 1 0 0 1 0 1 1 0 1\n    1 1 0 1 0 1 1 1 0 0 0 0 0 0 0 0 0 0 0 0 0 0 0 0 0 0 0 0 0 0 0 0 0 0 0 0 0 0 \n    0 0 0 0 0 1 0 0 0 0 0 0 0 0 0 0 0 0 0 0 0 0 0 0 0 0 0]\n[0 0 1 1 0 0 1 1 0 0 0 0 0 0 1 1 1 0 1 0 1 1 1 0 1 1 0 1 0 0 1 0 1 0 0 1 0 1 1 0\n    1 1 1 0 1 0 1 1 1 0 0 0 0 0 0 0 0 0 0 0 0 0 0 0 0 0 0 0 0 0 0 0 0 0 0 0 0 0 \n    0 0 0 0 0 0 1 0 0 0 0 0 0 0 0 0 0 0 0 0 0 0 0 0 0 0 0]\n[0 0 0 1 1 0 0 1 1 0 0 0 0 0 0 1 1 1 0 1 0 1 1 1 0 1 1 0 1 0 0 1 0 1 0 0 1 0 1 1\n    0 1 1 1 0 1 0 1 1 1 0 0 0 0 0 0 0 0 0 0 0 0 0 0 0 0 0 0 0 0 0 0 0 0 0 0 0 0 \n    0 0 0 0 0 0 0 1 0 0 0 0 0 0 0 0 0 0 0 0 0 0 0 0 0 0 0]\n[0 0 0 0 1 1 0 0 1 1 0 0 0 0 0 0 1 1 1 0 1 0 1 1 1 0 1 1 0 1 0 0 1 0 1 0 0 1 0 1\n    1 0 1 1 1 0 1 0 1 1 1 0 0 0 0 0 0 0 0 0 0 0 0 0 0 0 0 0 0 0 0 0 0 0 0 0 0 0 \n    0 0 0 0 0 0 0 0 1 0 0 0 0 0 0 0 0 0 0 0 0 0 0 0 0 0 0]\n[1 0 0 1 0 0 0 0 1 0 0 0 1 0 1 1 1 1 1 1 0 1 0 0 0 1 0 0 0 0 1 0 0 1 0 0 1 1 1 1\n    1 0 1 0 1 0 1 1 1 1 1 0 0 0 0 0 0 0 0 0 0 0 0 0 0 0 0 0 0 0 0 0 0 0 0 0 0 0 \n    0 0 0 0 0 0 0 0 0 1 0 0 0 0 0 0 0 0 0 0 0 0 0 0 0 0 0]\n[1 1 1 1 1 1 0 0 1 1 0 0 1 1 1 1 1 1 0 0 0 1 0 1 0 0 0 1 0 0 1 0 1 1 0 1 0 1 1 0\n    1 0 0 1 0 0 0 1 0 1 0 0 0 0 0 0 0 0 0 0 0 0 0 0 0 0 0 0 0 0 0 0 0 0 0 0 0 0 \n    0 0 0 0 0 0 0 0 0 0 1 0 0 0 0 0 0 0 0 0 0 0 0 0 0 0 0]\n[0 1 1 1 1 1 1 0 0 1 1 0 0 1 1 1 1 1 1 0 0 0 1 0 1 0 0 0 1 0 0 1 0 1 1 0 1 0 1 1\n    0 1 0 0 1 0 0 0 1 0 1 0 0 0 0 0 0 0 0 0 0 0 0 0 0 0 0 0 0 0 0 0 0 0 0 0 0 0 \n    0 0 0 0 0 0 0 0 0 0 0 1 0 0 0 0 0 0 0 0 0 0 0 0 0 0 0]\n[1 0 1 0 1 0 0 1 1 1 0 1 1 0 0 0 0 1 1 1 0 0 0 0 1 1 0 1 1 1 0 0 1 0 1 0 1 0 0 0\n    1 1 0 1 0 0 1 0 1 1 0 0 0 0 0 0 0 0 0 0 0 0 0 0 0 0 0 0 0 0 0 0 0 0 0 0 0 0 \n    0 0 0 0 0 0 0 0 0 0 0 0 1 0 0 0 0 0 0 0 0 0 0 0 0 0 0]\n[0 1 1 1 0 1 1 0 1 0 0 0 1 1 0 1 1 0 0 0 0 1 1 0 1 1 0 0 0 1 0 1 1 0 1 1 1 0 0 0\n    0 1 0 1 1 0 1 1 0 1 0 0 0 0 0 0 0 0 0 0 0 0 0 0 0 0 0 0 0 0 0 0 0 0 0 0 0 0 \n    0 0 0 0 0 0 0 0 0 0 0 0 0 1 0 0 0 0 0 0 0 0 0 0 0 0 0]\n[0 0 0 1 1 0 0 1 0 0 1 0 0 1 1 1 0 1 1 1 1 1 0 1 1 1 0 0 1 0 0 1 0 0 1 1 0 0 0 0\n    0 0 0 1 1 1 1 1 1 0 0 0 0 0 0 0 0 0 0 0 0 0 0 0 0 0 0 0 0 0 0 0 0 0 0 0 0 0 \n    0 0 0 0 0 0 0 0 0 0 0 0 0 0 1 0 0 0 0 0 0 0 0 0 0 0 0]\n[0 0 1 0 1 1 1 0 1 1 1 1 0 0 1 0 0 0 0 0 0 0 0 0 0 1 0 0 1 1 1 1 0 1 1 1 0 1 0 0\n    0 0 1 1 1 1 0 1 1 1 1 0 0 0 0 0 0 0 0 0 0 0 0 0 0 0 0 0 0 0 0 0 0 0 0 0 0 0 \n    0 0 0 0 0 0 0 0 0 0 0 0 0 0 0 1 0 0 0 0 0 0 0 0 0 0 0]\n[1 0 1 0 0 0 1 1 1 1 1 1 0 0 1 1 0 0 1 1 1 1 1 1 0 0 0 1 0 1 0 0 0 1 0 0 1 0 1 1\n    0 1 0 1 1 0 1 0 0 1 0 0 0 0 0 0 0 0 0 0 0 0 0 0 0 0 0 0 0 0 0 0 0 0 0 0 0 0 \n    0 0 0 0 0 0 0 0 0 0 0 0 0 0 0 0 1 0 0 0 0 0 0 0 0 0 0]\n[0 1 0 1 0 0 0 1 1 1 1 1 1 0 0 1 1 0 0 1 1 1 1 1 1 0 0 0 1 0 1 0 0 0 1 0 0 1 0 1\n    1 0 1 0 1 1 0 1 0 0 1 0 0 0 0 0 0 0 0 0 0 0 0 0 0 0 0 0 0 0 0 0 0 0 0 0 0 0 \n    0 0 0 0 0 0 0 0 0 0 0 0 0 0 0 0 0 1 0 0 0 0 0 0 0 0 0]\n[1 0 1 1 1 1 1 0 0 0 0 1 0 1 1 1 0 1 0 0 1 1 1 0 0 1 0 1 1 1 0 1 0 0 0 0 1 1 1 1\n    1 0 1 0 0 0 0 0 0 0 0 0 0 0 0 0 0 0 0 0 0 0 0 0 0 0 0 0 0 0 0 0 0 0 0 0 0 0 \n    0 0 0 0 0 0 0 0 0 0 0 0 0 0 0 0 0 0 1 0 0 0 0 0 0 0 0]\n[0 1 1 1 1 1 0 1 0 1 1 0 1 0 1 0 0 0 0 1 1 0 0 1 1 0 0 0 0 1 0 1 0 1 1 0 1 0 1 1\n    1 1 1 0 0 0 1 0 0 0 1 0 0 0 0 0 0 0 0 0 0 0 0 0 0 0 0 0 0 0 0 0 0 0 0 0 0 0 \n    0 0 0 0 0 0 0 0 0 0 0 0 0 0 0 0 0 0 0 1 0 0 0 0 0 0 0]\n[1 0 0 0 1 0 1 0 0 0 1 1 1 1 1 1 0 0 1 1 0 0 1 1 1 1 1 1 0 0 0 1 0 1 0 0 0 1 0 0\n    1 0 1 1 0 1 0 1 1 0 1 0 0 0 0 0 0 0 0 0 0 0 0 0 0 0 0 0 0 0 0 0 0 0 0 0 0 0 \n    0 0 0 0 0 0 0 0 0 0 0 0 0 0 0 0 0 0 0 0 1 0 0 0 0 0 0]\n[1 1 0 1 0 0 1 1 1 1 1 1 0 1 0 0 0 0 0 1 1 0 0 0 0 1 1 0 0 0 0 0 1 0 1 1 1 1 1 1\n    0 0 1 0 1 1 0 0 0 1 0 0 0 0 0 0 0 0 0 0 0 0 0 0 0 0 0 0 0 0 0 0 0 0 0 0 0 0 \n    0 0 0 0 0 0 0 0 0 0 0 0 0 0 0 0 0 0 0 0 0 1 0 0 0 0 0]\n[0 1 0 0 1 0 1 1 1 0 0 1 1 0 1 1 1 0 1 1 0 0 1 0 1 0 0 1 1 0 1 1 1 0 1 1 0 0 1 1\n    1 0 1 0 0 1 0 0 0 0 0 0 0 0 0 0 0 0 0 0 0 0 0 0 0 0 0 0 0 0 0 0 0 0 0 0 0 0 \n    0 0 0 0 0 0 0 0 0 0 0 0 0 0 0 0 0 0 0 0 0 0 1 0 0 0 0]\n[0 0 0 0 0 1 1 1 1 0 1 0 1 1 0 0 0 1 1 0 0 1 1 1 1 1 1 0 0 1 1 0 0 0 1 1 0 1 0 1\n    1 1 1 0 0 0 0 0 0 0 1 0 0 0 0 0 0 0 0 0 0 0 0 0 0 0 0 0 0 0 0 0 0 0 0 0 0 0 \n    0 0 0 0 0 0 0 0 0 0 0 0 0 0 0 0 0 0 0 0 0 0 0 1 0 0 0]\n[1 0 1 1 0 1 1 1 0 1 0 1 1 1 0 0 0 0 0 0 1 1 0 0 1 1 0 0 0 0 0 0 1 1 1 0 1 0 1 1\n    1 0 1 1 0 1 0 0 1 0 1 0 0 0 0 0 0 0 0 0 0 0 0 0 0 0 0 0 0 0 0 0 0 0 0 0 0 0 \n    0 0 0 0 0 0 0 0 0 0 0 0 0 0 0 0 0 0 0 0 0 0 0 0 1 0 0]\n[1 1 0 0 1 1 0 1 0 1 0 0 0 1 0 1 1 0 0 0 0 1 1 1 1 1 1 1 1 0 0 0 0 1 1 0 1 0 0 0\n    1 0 1 0 1 1 0 0 1 1 0 0 0 0 0 0 0 0 0 0 0 0 0 0 0 0 0 0 0 0 0 0 0 0 0 0 0 0 \n    0 0 0 0 0 0 0 0 0 0 0 0 0 0 0 0 0 0 0 0 0 0 0 0 0 1 0]\n[0 1 0 0 0 1 0 0 1 1 0 0 0 0 1 1 0 1 1 1 1 1 0 1 0 1 0 1 0 1 1 1 1 1 0 1 1 0 0 0\n    0 1 1 0 0 1 0 0 0 1 0 0 0 0 0 0 0 0 0 0 0 0 0 0 0 0 0 0 0 0 0 0 0 0 0 0 0 0 \n    0 0 0 0 0 0 0 0 0 0 0 0 0 0 0 0 0 0 0 0 0 0 0 0 0 0 1]\n[105, 54] Linear Code over GF(2)\nGenerator matrix:\n[1 0 0 0 0 0 0 0 0 0 0 0 0 0 0 0 0 0 0 0 0 0 0 0 0 0 0 0 0 0 0 0 0 0 0 0 0 0 0 0\n    0 0 0 0 0 0 0 0 0 0 0 0 0 0 0 1 1 0 1 0 0 1 0 0 0 1 0 1 0 0 0 1 1 1 1 1 1 0 \n    0 1 1 0 0 1 1 1 1 1 1 0 0 0 1 0 1 0 0 0 1 0 0 1 0 1 1]\n[0 1 0 0 0 0 0 0 0 0 0 0 0 0 0 0 0 0 0 0 0 0 0 0 0 0 0 0 0 0 0 0 0 0 0 0 0 0 0 0\n    0 0 0 0 0 0 0 0 0 0 0 0 0 0 0 0 1 1 0 1 0 0 1 0 0 0 1 0 1 0 0 0 1 1 1 1 1 1 \n    0 0 1 1 0 0 1 1 1 1 1 1 0 0 0 1 0 1 0 0 0 1 0 0 1 0 1]\n[0 0 1 0 0 0 0 0 0 0 0 0 0 0 0 0 0 0 0 0 0 0 0 0 0 0 0 0 0 0 0 0 0 0 0 0 0 0 0 0\n    0 0 0 0 0 0 0 0 0 0 0 0 0 0 1 1 1 0 0 1 0 1 1 0 1 1 1 0 1 0 1 1 1 0 0 0 0 0 \n    0 1 1 0 0 1 1 0 0 0 0 0 0 1 1 1 0 1 0 1 1 1 0 1 1 0 1]\n[0 0 0 1 0 0 0 0 0 0 0 0 0 0 0 0 0 0 0 0 0 0 0 0 0 0 0 0 0 0 0 0 0 0 0 0 0 0 0 0\n    0 0 0 0 0 0 0 0 0 0 0 0 0 0 0 1 1 1 0 0 1 0 1 1 0 1 1 1 0 1 0 1 1 1 0 0 0 0 \n    0 0 1 1 0 0 1 1 0 0 0 0 0 0 1 1 1 0 1 0 1 1 1 0 1 1 0]\n[0 0 0 0 1 0 0 0 0 0 0 0 0 0 0 0 0 0 0 0 0 0 0 0 0 0 0 0 0 0 0 0 0 0 0 0 0 0 0 0\n    0 0 0 0 0 0 0 0 0 0 0 0 0 0 1 1 0 0 0 1 1 0 1 0 0 1 0 0 0 1 0 1 0 0 0 1 1 1 \n    1 1 1 0 0 1 1 0 0 1 1 1 1 1 1 0 0 0 1 0 1 0 0 0 1 0 0]\n[0 0 0 0 0 1 0 0 0 0 0 0 0 0 0 0 0 0 0 0 0 0 0 0 0 0 0 0 0 0 0 0 0 0 0 0 0 0 0 0\n    0 0 0 0 0 0 0 0 0 0 0 0 0 0 1 0 0 1 1 1 0 0 1 0 1 1 0 1 1 1 0 1 0 1 1 1 0 0 \n    0 0 0 0 1 1 0 0 1 1 0 0 0 0 0 0 1 1 1 0 1 0 1 1 1 0 1]\n[0 0 0 0 0 0 1 0 0 0 0 0 0 0 0 0 0 0 0 0 0 0 0 0 0 0 0 0 0 0 0 0 0 0 0 0 0 0 0 0\n    0 0 0 0 0 0 0 0 0 0 0 0 0 0 1 0 1 1 0 0 0 1 1 0 1 0 0 1 0 0 0 1 0 1 0 0 0 1 \n    1 1 1 1 1 0 0 1 1 0 0 1 1 1 1 1 1 0 0 0 1 0 1 0 0 0 1]\n[0 0 0 0 0 0 0 1 0 0 0 0 0 0 0 0 0 0 0 0 0 0 0 0 0 0 0 0 0 0 0 0 0 0 0 0 0 0 0 0\n    0 0 0 0 0 0 0 0 0 0 0 0 0 0 0 1 0 1 1 0 0 0 1 1 0 1 0 0 1 0 0 0 1 0 1 0 0 0 \n    1 1 1 1 1 1 0 0 1 1 0 0 1 1 1 1 1 1 0 0 0 1 0 1 0 0 0]\n[0 0 0 0 0 0 0 0 1 0 0 0 0 0 0 0 0 0 0 0 0 0 0 0 0 0 0 0 0 0 0 0 0 0 0 0 0 0 0 0\n    0 0 0 0 0 0 0 0 0 0 0 0 0 0 1 1 0 1 0 0 1 1 1 0 0 1 0 1 1 0 1 1 1 0 1 0 1 1 \n    1 0 0 0 0 0 0 1 1 0 0 1 1 0 0 0 0 0 0 1 1 1 0 1 0 1 1]\n[0 0 0 0 0 0 0 0 0 1 0 0 0 0 0 0 0 0 0 0 0 0 0 0 0 0 0 0 0 0 0 0 0 0 0 0 0 0 0 0\n    0 0 0 0 0 0 0 0 0 0 0 0 0 0 1 0 0 1 0 1 1 0 0 0 1 1 0 1 0 0 1 0 0 0 1 0 1 0 \n    0 0 1 1 1 1 1 1 0 0 1 1 0 0 1 1 1 1 1 1 0 0 0 1 0 1 0]\n[0 0 0 0 0 0 0 0 0 0 1 0 0 0 0 0 0 0 0 0 0 0 0 0 0 0 0 0 0 0 0 0 0 0 0 0 0 0 0 0\n    0 0 0 0 0 0 0 0 0 0 0 0 0 0 0 1 0 0 1 0 1 1 0 0 0 1 1 0 1 0 0 1 0 0 0 1 0 1 \n    0 0 0 1 1 1 1 1 1 0 0 1 1 0 0 1 1 1 1 1 1 0 0 0 1 0 1]\n[0 0 0 0 0 0 0 0 0 0 0 1 0 0 0 0 0 0 0 0 0 0 0 0 0 0 0 0 0 0 0 0 0 0 0 0 0 0 0 0\n    0 0 0 0 0 0 0 0 0 0 0 0 0 0 0 0 1 0 0 1 0 1 1 0 0 0 1 1 0 1 0 0 1 0 0 0 1 0 \n    1 0 0 0 1 1 1 1 1 1 0 0 1 1 0 0 1 1 1 1 1 1 0 0 0 1 0]\n[0 0 0 0 0 0 0 0 0 0 0 0 1 0 0 0 0 0 0 0 0 0 0 0 0 0 0 0 0 0 0 0 0 0 0 0 0 0 0 0\n    0 0 0 0 0 0 0 0 0 0 0 0 0 0 1 1 1 0 1 1 0 1 0 0 1 1 1 0 0 1 0 1 1 0 1 1 1 0 \n    1 0 1 1 1 0 0 0 0 0 0 1 1 0 0 1 1 0 0 0 0 0 0 1 1 1 0]\n[0 0 0 0 0 0 0 0 0 0 0 0 0 1 0 0 0 0 0 0 0 0 0 0 0 0 0 0 0 0 0 0 0 0 0 0 0 0 0 0\n    0 0 0 0 0 0 0 0 0 0 0 0 0 0 1 0 0 0 1 0 0 1 0 1 1 0 0 0 1 1 0 1 0 0 1 0 0 0 \n    1 0 1 0 0 0 1 1 1 1 1 1 0 0 1 1 0 0 1 1 1 1 1 1 0 0 0]\n[0 0 0 0 0 0 0 0 0 0 0 0 0 0 1 0 0 0 0 0 0 0 0 0 0 0 0 0 0 0 0 0 0 0 0 0 0 0 0 0\n    0 0 0 0 0 0 0 0 0 0 0 0 0 0 1 0 1 1 1 0 1 1 0 1 0 0 1 1 1 0 0 1 0 1 1 0 1 1 \n    1 0 1 0 1 1 1 0 0 0 0 0 0 1 1 0 0 1 1 0 0 0 0 0 0 1 1]\n[0 0 0 0 0 0 0 0 0 0 0 0 0 0 0 1 0 0 0 0 0 0 0 0 0 0 0 0 0 0 0 0 0 0 0 0 0 0 0 0\n    0 0 0 0 0 0 0 0 0 0 0 0 0 0 1 0 1 0 0 0 1 0 0 1 0 1 1 0 0 0 1 1 0 1 0 0 1 0 \n    0 0 1 0 1 0 0 0 1 1 1 1 1 1 0 0 1 1 0 0 1 1 1 1 1 1 0]\n[0 0 0 0 0 0 0 0 0 0 0 0 0 0 0 0 1 0 0 0 0 0 0 0 0 0 0 0 0 0 0 0 0 0 0 0 0 0 0 0\n    0 0 0 0 0 0 0 0 0 0 0 0 0 0 0 1 0 1 0 0 0 1 0 0 1 0 1 1 0 0 0 1 1 0 1 0 0 1 \n    0 0 0 1 0 1 0 0 0 1 1 1 1 1 1 0 0 1 1 0 0 1 1 1 1 1 1]\n[0 0 0 0 0 0 0 0 0 0 0 0 0 0 0 0 0 1 0 0 0 0 0 0 0 0 0 0 0 0 0 0 0 0 0 0 0 0 0 0\n    0 0 0 0 0 0 0 0 0 0 0 0 0 0 0 0 1 0 1 0 0 0 1 0 0 1 0 1 1 0 0 0 1 1 0 1 0 0 \n    1 0 0 0 1 0 1 0 0 0 1 1 1 1 1 1 0 0 1 1 0 0 1 1 1 1 1]\n[0 0 0 0 0 0 0 0 0 0 0 0 0 0 0 0 0 0 1 0 0 0 0 0 0 0 0 0 0 0 0 0 0 0 0 0 0 0 0 0\n    0 0 0 0 0 0 0 0 0 0 0 0 0 0 1 1 1 0 1 0 1 1 1 0 1 1 0 1 0 0 1 1 1 0 0 1 0 1 \n    1 0 1 1 1 0 1 0 1 1 1 0 0 0 0 0 0 1 1 0 0 1 1 0 0 0 0]\n[0 0 0 0 0 0 0 0 0 0 0 0 0 0 0 0 0 0 0 1 0 0 0 0 0 0 0 0 0 0 0 0 0 0 0 0 0 0 0 0\n    0 0 0 0 0 0 0 0 0 0 0 0 0 0 0 1 1 1 0 1 0 1 1 1 0 1 1 0 1 0 0 1 1 1 0 0 1 0 \n    1 1 0 1 1 1 0 1 0 1 1 1 0 0 0 0 0 0 1 1 0 0 1 1 0 0 0]\n[0 0 0 0 0 0 0 0 0 0 0 0 0 0 0 0 0 0 0 0 1 0 0 0 0 0 0 0 0 0 0 0 0 0 0 0 0 0 0 0\n    0 0 0 0 0 0 0 0 0 0 0 0 0 0 0 0 1 1 1 0 1 0 1 1 1 0 1 1 0 1 0 0 1 1 1 0 0 1 \n    0 1 1 0 1 1 1 0 1 0 1 1 1 0 0 0 0 0 0 1 1 0 0 1 1 0 0]\n[0 0 0 0 0 0 0 0 0 0 0 0 0 0 0 0 0 0 0 0 0 1 0 0 0 0 0 0 0 0 0 0 0 0 0 0 0 0 0 0\n    0 0 0 0 0 0 0 0 0 0 0 0 0 0 0 0 0 1 1 1 0 1 0 1 1 1 0 1 1 0 1 0 0 1 1 1 0 0 \n    1 0 1 1 0 1 1 1 0 1 0 1 1 1 0 0 0 0 0 0 1 1 0 0 1 1 0]\n[0 0 0 0 0 0 0 0 0 0 0 0 0 0 0 0 0 0 0 0 0 0 1 0 0 0 0 0 0 0 0 0 0 0 0 0 0 0 0 0\n    0 0 0 0 0 0 0 0 0 0 0 0 0 0 0 0 0 0 1 1 1 0 1 0 1 1 1 0 1 1 0 1 0 0 1 1 1 0 \n    0 1 0 1 1 0 1 1 1 0 1 0 1 1 1 0 0 0 0 0 0 1 1 0 0 1 1]\n[0 0 0 0 0 0 0 0 0 0 0 0 0 0 0 0 0 0 0 0 0 0 0 1 0 0 0 0 0 0 0 0 0 0 0 0 0 0 0 0\n    0 0 0 0 0 0 0 0 0 0 0 0 0 0 0 0 0 0 0 1 1 1 0 1 0 1 1 1 0 1 1 0 1 0 0 1 1 1 \n    0 0 1 0 1 1 0 1 1 1 0 1 0 1 1 1 0 0 0 0 0 0 1 1 0 0 1]\n[0 0 0 0 0 0 0 0 0 0 0 0 0 0 0 0 0 0 0 0 0 0 0 0 1 0 0 0 0 0 0 0 0 0 0 0 0 0 0 0\n    0 0 0 0 0 0 0 0 0 0 0 0 0 0 1 1 1 1 1 1 0 0 0 1 0 1 0 0 0 1 0 0 1 0 1 1 0 0 \n    0 1 1 0 1 0 0 1 0 0 0 1 0 1 0 0 0 1 1 1 1 1 1 0 0 1 1]\n[0 0 0 0 0 0 0 0 0 0 0 0 0 0 0 0 0 0 0 0 0 0 0 0 0 1 0 0 0 0 0 0 0 0 0 0 0 0 0 0\n    0 0 0 0 0 0 0 0 0 0 0 0 0 0 0 1 1 1 1 1 1 0 0 0 1 0 1 0 0 0 1 0 0 1 0 1 1 0 \n    0 0 1 1 0 1 0 0 1 0 0 0 1 0 1 0 0 0 1 1 1 1 1 1 0 0 1]\n[0 0 0 0 0 0 0 0 0 0 0 0 0 0 0 0 0 0 0 0 0 0 0 0 0 0 1 0 0 0 0 0 0 0 0 0 0 0 0 0\n    0 0 0 0 0 0 0 0 0 0 0 0 0 0 1 1 0 0 0 0 0 0 1 1 1 0 1 0 1 1 1 0 1 1 0 1 0 0 \n    1 1 1 0 0 1 0 1 1 0 1 1 1 0 1 0 1 1 1 0 0 0 0 0 0 1 1]\n[0 0 0 0 0 0 0 0 0 0 0 0 0 0 0 0 0 0 0 0 0 0 0 0 0 0 0 1 0 0 0 0 0 0 0 0 0 0 0 0\n    0 0 0 0 0 0 0 0 0 0 0 0 0 0 0 1 1 0 0 0 0 0 0 1 1 1 0 1 0 1 1 1 0 1 1 0 1 0 \n    0 1 1 1 0 0 1 0 1 1 0 1 1 1 0 1 0 1 1 1 0 0 0 0 0 0 1]\n[0 0 0 0 0 0 0 0 0 0 0 0 0 0 0 0 0 0 0 0 0 0 0 0 0 0 0 0 1 0 0 0 0 0 0 0 0 0 0 0\n    0 0 0 0 0 0 0 0 0 0 0 0 0 0 1 1 0 0 1 1 1 1 1 1 0 0 0 1 0 1 0 0 0 1 0 0 1 0 \n    1 1 0 0 0 1 1 0 1 0 0 1 0 0 0 1 0 1 0 0 0 1 1 1 1 1 1]\n[0 0 0 0 0 0 0 0 0 0 0 0 0 0 0 0 0 0 0 0 0 0 0 0 0 0 0 0 0 1 0 0 0 0 0 0 0 0 0 0\n    0 0 0 0 0 0 0 0 0 0 0 0 0 0 0 1 1 0 0 1 1 1 1 1 1 0 0 0 1 0 1 0 0 0 1 0 0 1 \n    0 1 1 0 0 0 1 1 0 1 0 0 1 0 0 0 1 0 1 0 0 0 1 1 1 1 1]\n[0 0 0 0 0 0 0 0 0 0 0 0 0 0 0 0 0 0 0 0 0 0 0 0 0 0 0 0 0 0 1 0 0 0 0 0 0 0 0 0\n    0 0 0 0 0 0 0 0 0 0 0 0 0 0 1 1 0 0 1 1 0 0 0 0 0 0 1 1 1 0 1 0 1 1 1 0 1 1 \n    0 1 0 0 1 1 1 0 0 1 0 1 1 0 1 1 1 0 1 0 1 1 1 0 0 0 0]\n[0 0 0 0 0 0 0 0 0 0 0 0 0 0 0 0 0 0 0 0 0 0 0 0 0 0 0 0 0 0 0 1 0 0 0 0 0 0 0 0\n    0 0 0 0 0 0 0 0 0 0 0 0 0 0 0 1 1 0 0 1 1 0 0 0 0 0 0 1 1 1 0 1 0 1 1 1 0 1 \n    1 0 1 0 0 1 1 1 0 0 1 0 1 1 0 1 1 1 0 1 0 1 1 1 0 0 0]\n[0 0 0 0 0 0 0 0 0 0 0 0 0 0 0 0 0 0 0 0 0 0 0 0 0 0 0 0 0 0 0 0 1 0 0 0 0 0 0 0\n    0 0 0 0 0 0 0 0 0 0 0 0 0 0 0 0 1 1 0 0 1 1 0 0 0 0 0 0 1 1 1 0 1 0 1 1 1 0 \n    1 1 0 1 0 0 1 1 1 0 0 1 0 1 1 0 1 1 1 0 1 0 1 1 1 0 0]\n[0 0 0 0 0 0 0 0 0 0 0 0 0 0 0 0 0 0 0 0 0 0 0 0 0 0 0 0 0 0 0 0 0 1 0 0 0 0 0 0\n    0 0 0 0 0 0 0 0 0 0 0 0 0 0 0 0 0 1 1 0 0 1 1 0 0 0 0 0 0 1 1 1 0 1 0 1 1 1 \n    0 1 1 0 1 0 0 1 1 1 0 0 1 0 1 1 0 1 1 1 0 1 0 1 1 1 0]\n[0 0 0 0 0 0 0 0 0 0 0 0 0 0 0 0 0 0 0 0 0 0 0 0 0 0 0 0 0 0 0 0 0 0 1 0 0 0 0 0\n    0 0 0 0 0 0 0 0 0 0 0 0 0 0 0 0 0 0 1 1 0 0 1 1 0 0 0 0 0 0 1 1 1 0 1 0 1 1 \n    1 0 1 1 0 1 0 0 1 1 1 0 0 1 0 1 1 0 1 1 1 0 1 0 1 1 1]\n[0 0 0 0 0 0 0 0 0 0 0 0 0 0 0 0 0 0 0 0 0 0 0 0 0 0 0 0 0 0 0 0 0 0 0 1 0 0 0 0\n    0 0 0 0 0 0 0 0 0 0 0 0 0 0 0 0 0 0 0 1 1 0 0 1 1 0 0 0 0 0 0 1 1 1 0 1 0 1 \n    1 1 0 1 1 0 1 0 0 1 1 1 0 0 1 0 1 1 0 1 1 1 0 1 0 1 1]\n[0 0 0 0 0 0 0 0 0 0 0 0 0 0 0 0 0 0 0 0 0 0 0 0 0 0 0 0 0 0 0 0 0 0 0 0 1 0 0 0\n    0 0 0 0 0 0 0 0 0 0 0 0 0 0 1 1 1 1 1 1 0 0 1 1 0 0 1 1 1 1 1 1 0 0 0 1 0 1 \n    0 0 0 1 0 0 1 0 1 1 0 0 0 1 1 0 1 0 0 1 0 0 0 1 0 1 0]\n[0 0 0 0 0 0 0 0 0 0 0 0 0 0 0 0 0 0 0 0 0 0 0 0 0 0 0 0 0 0 0 0 0 0 0 0 0 1 0 0\n    0 0 0 0 0 0 0 0 0 0 0 0 0 0 0 1 1 1 1 1 1 0 0 1 1 0 0 1 1 1 1 1 1 0 0 0 1 0 \n    1 0 0 0 1 0 0 1 0 1 1 0 0 0 1 1 0 1 0 0 1 0 0 0 1 0 1]\n[0 0 0 0 0 0 0 0 0 0 0 0 0 0 0 0 0 0 0 0 0 0 0 0 0 0 0 0 0 0 0 0 0 0 0 0 0 0 1 0\n    0 0 0 0 0 0 0 0 0 0 0 0 0 0 0 0 1 1 1 1 1 1 0 0 1 1 0 0 1 1 1 1 1 1 0 0 0 1 \n    0 1 0 0 0 1 0 0 1 0 1 1 0 0 0 1 1 0 1 0 0 1 0 0 0 1 0]\n[0 0 0 0 0 0 0 0 0 0 0 0 0 0 0 0 0 0 0 0 0 0 0 0 0 0 0 0 0 0 0 0 0 0 0 0 0 0 0 1\n    0 0 0 0 0 0 0 0 0 0 0 0 0 0 1 1 1 0 0 0 0 0 0 1 1 0 0 1 1 0 0 0 0 0 0 1 1 1 \n    0 1 0 1 1 1 0 1 1 0 1 0 0 1 1 1 0 0 1 0 1 1 0 1 1 1 0]\n[0 0 0 0 0 0 0 0 0 0 0 0 0 0 0 0 0 0 0 0 0 0 0 0 0 0 0 0 0 0 0 0 0 0 0 0 0 0 0 0\n    1 0 0 0 0 0 0 0 0 0 0 0 0 0 1 0 0 0 1 1 1 1 1 1 0 0 1 1 0 0 1 1 1 1 1 1 0 0 \n    0 1 0 1 0 0 0 1 0 0 1 0 1 1 0 0 0 1 1 0 1 0 0 1 0 0 0]\n[0 0 0 0 0 0 0 0 0 0 0 0 0 0 0 0 0 0 0 0 0 0 0 0 0 0 0 0 0 0 0 0 0 0 0 0 0 0 0 0\n    0 1 0 0 0 0 0 0 0 0 0 0 0 0 1 0 1 1 1 0 0 0 0 0 0 1 1 0 0 1 1 0 0 0 0 0 0 1 \n    1 1 0 1 0 1 1 1 0 1 1 0 1 0 0 1 1 1 0 0 1 0 1 1 0 1 1]\n[0 0 0 0 0 0 0 0 0 0 0 0 0 0 0 0 0 0 0 0 0 0 0 0 0 0 0 0 0 0 0 0 0 0 0 0 0 0 0 0\n    0 0 1 0 0 0 0 0 0 0 0 0 0 0 1 0 1 0 0 0 1 1 1 1 1 1 0 0 1 1 0 0 1 1 1 1 1 1 \n    0 0 0 1 0 1 0 0 0 1 0 0 1 0 1 1 0 0 0 1 1 0 1 0 0 1 0]\n[0 0 0 0 0 0 0 0 0 0 0 0 0 0 0 0 0 0 0 0 0 0 0 0 0 0 0 0 0 0 0 0 0 0 0 0 0 0 0 0\n    0 0 0 1 0 0 0 0 0 0 0 0 0 0 0 1 0 1 0 0 0 1 1 1 1 1 1 0 0 1 1 0 0 1 1 1 1 1 \n    1 0 0 0 1 0 1 0 0 0 1 0 0 1 0 1 1 0 0 0 1 1 0 1 0 0 1]\n[0 0 0 0 0 0 0 0 0 0 0 0 0 0 0 0 0 0 0 0 0 0 0 0 0 0 0 0 0 0 0 0 0 0 0 0 0 0 0 0\n    0 0 0 0 1 0 0 0 0 0 0 0 0 0 0 0 1 0 1 0 0 0 1 1 1 1 1 1 0 0 1 1 0 0 1 1 1 1 \n    1 1 0 0 0 1 0 1 0 0 0 1 0 0 1 0 1 1 0 0 0 1 1 0 1 0 0]\n[0 0 0 0 0 0 0 0 0 0 0 0 0 0 0 0 0 0 0 0 0 0 0 0 0 0 0 0 0 0 0 0 0 0 0 0 0 0 0 0\n    0 0 0 0 0 1 0 0 0 0 0 0 0 0 1 1 1 0 1 0 1 1 1 0 0 0 0 0 0 1 1 0 0 1 1 0 0 0 \n    0 0 0 1 1 1 0 1 0 1 1 1 0 1 1 0 1 0 0 1 1 1 0 0 1 0 1]\n[0 0 0 0 0 0 0 0 0 0 0 0 0 0 0 0 0 0 0 0 0 0 0 0 0 0 0 0 0 0 0 0 0 0 0 0 0 0 0 0\n    0 0 0 0 0 0 1 0 0 0 0 0 0 0 1 0 0 0 1 0 1 0 0 0 1 1 1 1 1 1 0 0 1 1 0 0 1 1 \n    1 1 1 1 0 0 0 1 0 1 0 0 0 1 0 0 1 0 1 1 0 0 0 1 1 0 1]\n[0 0 0 0 0 0 0 0 0 0 0 0 0 0 0 0 0 0 0 0 0 0 0 0 0 0 0 0 0 0 0 0 0 0 0 0 0 0 0 0\n    0 0 0 0 0 0 0 1 0 0 0 0 0 0 0 1 0 0 0 1 0 1 0 0 0 1 1 1 1 1 1 0 0 1 1 0 0 1 \n    1 1 1 1 1 0 0 0 1 0 1 0 0 0 1 0 0 1 0 1 1 0 0 0 1 1 0]\n[0 0 0 0 0 0 0 0 0 0 0 0 0 0 0 0 0 0 0 0 0 0 0 0 0 0 0 0 0 0 0 0 0 0 0 0 0 0 0 0\n    0 0 0 0 0 0 0 0 1 0 0 0 0 0 1 1 0 1 1 1 0 1 0 1 1 1 0 0 0 0 0 0 1 1 0 0 1 1 \n    0 0 0 0 0 0 1 1 1 0 1 0 1 1 1 0 1 1 0 1 0 0 1 1 1 0 0]\n[0 0 0 0 0 0 0 0 0 0 0 0 0 0 0 0 0 0 0 0 0 0 0 0 0 0 0 0 0 0 0 0 0 0 0 0 0 0 0 0\n    0 0 0 0 0 0 0 0 0 1 0 0 0 0 1 0 0 1 0 0 0 1 0 1 0 0 0 1 1 1 1 1 1 0 0 1 1 0 \n    0 1 1 1 1 1 1 0 0 0 1 0 1 0 0 0 1 0 0 1 0 1 1 0 0 0 1]\n[0 0 0 0 0 0 0 0 0 0 0 0 0 0 0 0 0 0 0 0 0 0 0 0 0 0 0 0 0 0 0 0 0 0 0 0 0 0 0 0\n    0 0 0 0 0 0 0 0 0 0 1 0 0 0 1 0 1 1 0 1 1 1 0 1 0 1 1 1 0 0 0 0 0 0 1 1 0 0 \n    1 1 0 0 0 0 0 0 1 1 1 0 1 0 1 1 1 0 1 1 0 1 0 0 1 1 1]\n[0 0 0 0 0 0 0 0 0 0 0 0 0 0 0 0 0 0 0 0 0 0 0 0 0 0 0 0 0 0 0 0 0 0 0 0 0 0 0 0\n    0 0 0 0 0 0 0 0 0 0 0 1 0 0 0 1 0 1 1 0 1 1 1 0 1 0 1 1 1 0 0 0 0 0 0 1 1 0 \n    0 1 1 0 0 0 0 0 0 1 1 1 0 1 0 1 1 1 0 1 1 0 1 0 0 1 1]\n[0 0 0 0 0 0 0 0 0 0 0 0 0 0 0 0 0 0 0 0 0 0 0 0 0 0 0 0 0 0 0 0 0 0 0 0 0 0 0 0\n    0 0 0 0 0 0 0 0 0 0 0 0 1 0 1 1 0 1 0 0 1 0 0 0 1 0 1 0 0 0 1 1 1 1 1 1 0 0 \n    1 1 0 0 1 1 1 1 1 1 0 0 0 1 0 1 0 0 0 1 0 0 1 0 1 1 0]\n[0 0 0 0 0 0 0 0 0 0 0 0 0 0 0 0 0 0 0 0 0 0 0 0 0 0 0 0 0 0 0 0 0 0 0 0 0 0 0 0\n    0 0 0 0 0 0 0 0 0 0 0 0 0 1 1 1 1 1 1 1 1 1 1 1 1 1 1 1 1 1 1 1 1 1 1 1 1 1 \n    1 1 1 1 1 1 1 1 1 1 1 1 1 1 1 1 1 1 1 1 1 1 1 1 1 1 1]\nLinear Code over GF(2) of length 105 with 54 generators.\nLower Bound: 1, Upper Bound: 52\nConstructed 2 distinct generator matrices\nRelative Ranks:  54  51 \nTime Taken: 0.00\nStarting search for low weight codewords... (reset timings)\nEnumerating using 1 generator at a time:\n     New codeword identified of weight 27, time 0.00\n     New codeword identified of weight 26, time 0.00\n   Completed Matrix  1:  lower =  2, upper = 26. Elapsed: 0.00s\n     New codeword identified of weight 24, time 0.00\n     New codeword identified of weight 23, time 0.00\n   Completed Matrix  2:  lower =  2, upper = 23. Elapsed: 0.00s\nTermination predicted with 12 generators at matrix 2\nEnumerating using 2 generators at a time:\n   Completed Matrix  1:  lower =  3, upper = 23. Elapsed: 0.00s\n     New codeword identified of weight 22, time 0.00\n     New codeword identified of weight 21, time 0.00\n   Completed Matrix  2:  lower =  3, upper = 21. Elapsed: 0.00s\nTermination predicted with 11 generators at matrix 2\nEnumerating using 3 generators at a time:\n   Completed Matrix  1:  lower =  4, upper = 21. Elapsed: 0.00s\n     New codeword identified of weight 20, time 0.00\n     New codeword identified of weight 19, time 0.00\n     New codeword identified of weight 18, time 0.00\n   Completed Matrix  2:  lower =  5, upper = 18. Elapsed: 0.00s\nTermination predicted with 10 generators at matrix 1\nEnumerating using 4 generators at a time:\n   Completed Matrix  1:  lower =  6, upper = 18. Elapsed: 0.00s\n   Completed Matrix  2:  lower =  7, upper = 18. Elapsed: 0.00s\nTermination predicted with 10 generators at matrix 1\nEnumerating using 5 generators at a time:\n   Completed Matrix  1:  lower =  8, upper = 18. Elapsed: 0.00s\n     New codeword identified of weight 17, time 0.00\n   Completed Matrix  2:  lower =  9, upper = 17. Elapsed: 0.00s\nTermination predicted with 9 generators at matrix 2\nEnumerating using 6 generators at a time:\n   Completed Matrix  1:  lower = 10, upper = 17. Elapsed: 0.06s\n   Completed Matrix  2:  lower = 11, upper = 17. Elapsed: 0.11s\nTermination predicted with 9 generators at matrix 2\nEnumerating using 7 generators at a time:\n   Completed Matrix  1:  lower = 12, upper = 17. Elapsed: 0.47s\n   Completed Matrix  2:  lower = 13, upper = 17. Elapsed: 0.81s\nTermination predicted at 26 s with 9 generators at matrix 2\nEnumerating using 8 generators at a time:\n   Completed Matrix  1:  lower = 14, upper = 17. Elapsed: 2.94s\n   Completed Matrix  2:  lower = 15, upper = 17. Elapsed: 5.08s\nTermination predicted at 27 s with 9 generators at matrix 2\nEnumerating using 9 generators at a time:\n   Completed Matrix  1:  lower = 16, upper = 17. Elapsed: 16.28s\n   Completed Matrix  2:  lower = 17, upper = 17. Elapsed: 27.46s\nComputation complete 13129669650 vectors enumerated in total\n (0.000073% of 105 54 code)\nFinal Results: lower = 17, upper = 17,\nTotal CPU time: 27.46, real time: 27.530\n17\n\nTotal time: 27.479 seconds, Total memory usage: 32.09MB\n</t>
  </si>
  <si>
    <t>[[106,44,21]]</t>
  </si>
  <si>
    <t>Magma V2.28-26    Tue Dec 30 2025 10:39:49 on Marks-MacBook-Air-2 [Seed = \n2611042742]\nType ? for help.  Type &lt;Ctrl&gt;-D to quit.\n[0 1 1 0 1 1 0 1 1 0 1 0 0 1 1 1 0 1 1 0 0 1 0 0 0 1 1 1 0 1 0 0 0 1 0 0 1 1 1 0\n    0 0 1 1 1 0 1 1 0 0 0 1 0 0 1 1 1 1 1 1 1 0 1 0 0 0 0 0 0 0 0 0 0 0 0 0 0 0 \n    0 0 0 0 0 0 0 0 0 0 0 0 0 0 0 0 0 0 0 0 0 0 0 0 0 0 0 0]\n[0 1 1 1 1 1 0 0 1 0 0 0 1 1 0 1 1 0 1 0 0 0 0 1 0 0 0 1 0 0 1 1 0 0 0 0 0 1 1 1\n    0 0 1 0 0 1 0 1 0 1 0 1 1 1 1 1 0 1 0 0 0 0 0 1 0 0 0 0 0 0 0 0 0 0 0 0 0 0 \n    0 0 0 0 0 0 0 0 0 0 0 0 0 0 0 0 0 0 0 0 0 0 0 0 0 0 0 0]\n[0 0 0 0 1 0 1 0 0 0 1 0 0 1 0 1 0 0 0 0 1 0 0 1 0 1 0 1 1 1 0 1 0 1 0 0 1 1 1 1\n    1 0 0 0 0 0 1 0 1 0 1 1 1 0 0 1 0 0 1 0 1 0 0 0 1 0 0 0 0 0 0 0 0 0 0 0 0 0 \n    0 0 0 0 0 0 0 0 0 0 0 0 0 0 0 0 0 0 0 0 0 0 0 0 0 0 0 0]\n[1 1 1 0 1 1 1 0 0 0 1 0 0 1 0 1 1 1 0 1 1 1 0 0 0 0 1 1 1 0 0 1 1 0 0 1 0 0 1 0\n    1 0 0 1 0 1 0 1 0 0 0 0 0 1 1 0 0 1 0 0 1 0 0 0 0 1 0 0 0 0 0 0 0 0 0 0 0 0 \n    0 0 0 0 0 0 0 0 0 0 0 0 0 0 0 0 0 0 0 0 0 0 0 0 0 0 0 0]\n[1 0 1 1 0 0 1 1 1 1 1 1 1 0 1 0 0 1 1 1 0 1 0 1 1 0 0 1 1 0 0 1 0 1 0 1 0 0 1 0\n    1 0 1 0 0 0 1 0 1 1 1 1 0 1 1 1 0 0 1 0 1 0 0 0 0 0 1 0 0 0 0 0 0 0 0 0 0 0 \n    0 0 0 0 0 0 0 0 0 0 0 0 0 0 0 0 0 0 0 0 0 0 0 0 0 0 0 0]\n[1 1 0 0 1 1 0 1 0 0 1 0 1 0 0 1 0 1 1 1 1 0 0 0 0 0 1 1 1 0 1 1 0 0 0 1 1 0 1 0\n    1 1 0 1 1 1 1 1 0 0 1 0 1 1 0 1 1 1 0 1 0 0 0 0 0 0 0 1 0 0 0 0 0 0 0 0 0 0 \n    0 0 0 0 0 0 0 0 0 0 0 0 0 0 0 0 0 0 0 0 0 0 0 0 0 0 0 0]\n[0 0 1 0 1 1 0 0 0 0 1 1 1 0 1 0 1 1 1 1 1 0 0 0 0 0 0 0 0 0 1 0 1 0 0 1 0 0 0 1\n    1 1 1 0 0 0 0 0 1 1 1 1 1 0 0 0 0 0 0 0 0 1 0 0 0 0 0 0 1 0 0 0 0 0 0 0 0 0 \n    0 0 0 0 0 0 0 0 0 0 0 0 0 0 0 0 0 0 0 0 0 0 0 0 0 0 0 0]\n[1 0 1 0 1 0 1 1 0 0 0 0 0 1 0 0 0 1 1 0 1 0 1 0 0 0 0 1 1 0 0 0 1 0 0 0 0 0 1 0\n    0 1 0 0 0 0 1 0 1 1 0 1 0 1 0 0 0 1 1 0 1 0 0 0 0 0 0 0 0 1 0 0 0 0 0 0 0 0 \n    0 0 0 0 0 0 0 0 0 0 0 0 0 0 0 0 0 0 0 0 0 0 0 0 0 0 0 0]\n[0 0 0 1 1 1 1 0 1 1 1 1 0 0 1 0 1 0 1 0 0 0 0 1 1 0 0 0 1 1 1 0 0 0 1 1 0 1 1 1\n    0 1 0 1 1 1 0 0 1 1 0 0 1 0 0 0 0 1 1 1 0 1 0 0 0 0 0 0 0 0 1 0 0 0 0 0 0 0 \n    0 0 0 0 0 0 0 0 0 0 0 0 0 0 0 0 0 0 0 0 0 0 0 0 0 0 0 0]\n[1 0 1 0 0 1 0 1 1 0 0 0 0 1 0 1 0 1 1 1 0 0 0 0 1 1 1 0 0 1 0 1 0 0 0 0 1 0 0 0\n    0 1 1 1 1 1 0 1 0 0 1 0 0 1 1 0 1 0 0 1 1 0 0 0 0 0 0 0 0 0 0 1 0 0 0 0 0 0 \n    0 0 0 0 0 0 0 0 0 0 0 0 0 0 0 0 0 0 0 0 0 0 0 0 0 0 0 0]\n[1 0 0 0 1 1 0 0 1 0 1 1 1 0 0 0 1 0 1 1 1 1 1 0 1 0 0 1 1 0 1 0 0 0 1 0 1 0 1 1\n    0 0 1 1 1 1 1 1 1 0 1 0 1 0 1 1 1 1 1 0 0 1 0 0 0 0 0 0 0 0 0 0 1 0 0 0 0 0 \n    0 0 0 0 0 0 0 0 0 0 0 0 0 0 0 0 0 0 0 0 0 0 0 0 0 0 0 0]\n[1 0 0 1 0 0 0 0 1 1 1 1 0 0 0 0 1 0 1 1 1 0 1 0 1 1 0 1 1 1 0 0 0 1 0 0 0 1 1 0\n    1 0 0 1 0 1 1 0 1 0 1 1 1 1 1 0 1 0 0 1 1 1 0 0 0 0 0 0 0 0 0 0 0 1 0 0 0 0 \n    0 0 0 0 0 0 0 0 0 0 0 0 0 0 0 0 0 0 0 0 0 0 0 0 0 0 0 0]\n[0 0 0 1 0 0 0 0 0 1 1 0 0 0 1 0 0 0 1 1 0 0 0 0 0 1 0 1 0 0 1 1 1 1 0 0 1 0 1 1\n    1 0 0 1 0 0 1 0 1 0 0 1 0 1 1 0 1 0 0 1 0 0 0 0 0 0 0 0 0 0 0 0 0 0 1 0 0 0 \n    0 0 0 0 0 0 0 0 0 0 0 0 0 0 0 0 0 0 0 0 0 0 0 0 0 0 0 0]\n[1 0 1 1 0 0 1 1 0 0 1 1 1 0 1 0 1 0 0 1 1 0 0 1 1 1 0 0 1 1 0 0 1 1 1 1 1 0 0 0\n    1 1 1 1 1 0 1 1 0 0 1 1 0 0 1 1 1 1 0 1 1 1 0 0 0 0 0 0 0 0 0 0 0 0 0 1 0 0 \n    0 0 0 0 0 0 0 0 0 0 0 0 0 0 0 0 0 0 0 0 0 0 0 0 0 0 0 0]\n[1 1 0 0 0 1 0 0 0 1 0 0 0 0 0 1 0 0 1 1 1 1 0 1 1 1 1 1 0 1 0 1 0 1 0 1 1 0 0 1\n    0 0 0 0 1 0 0 1 0 1 0 1 0 0 0 0 1 1 0 0 0 0 0 0 0 0 0 0 0 0 0 0 0 0 0 0 1 0 \n    0 0 0 0 0 0 0 0 0 0 0 0 0 0 0 0 0 0 0 0 0 0 0 0 0 0 0 0]\n[0 1 1 0 0 0 0 1 0 1 1 0 0 0 1 1 0 0 0 1 0 1 1 0 0 0 0 1 1 1 1 1 0 1 0 1 0 1 1 0\n    0 0 1 1 0 0 1 1 0 0 1 1 0 1 0 1 0 1 1 0 0 1 0 0 0 0 0 0 0 0 0 0 0 0 0 0 0 1 \n    0 0 0 0 0 0 0 0 0 0 0 0 0 0 0 0 0 0 0 0 0 0 0 0 0 0 0 0]\n[0 0 0 1 0 1 1 1 0 1 0 0 1 0 0 0 1 1 1 1 1 1 0 0 0 1 0 1 0 0 1 0 1 1 0 0 0 1 0 1\n    0 0 0 1 1 0 1 0 0 1 0 1 1 1 1 1 1 1 1 1 0 1 0 0 0 0 0 0 0 0 0 0 0 0 0 0 0 0 \n    1 0 0 0 0 0 0 0 0 0 0 0 0 0 0 0 0 0 0 0 0 0 0 0 0 0 0 0]\n[1 0 1 1 1 0 1 1 1 1 0 0 1 0 1 0 1 1 0 0 0 0 1 1 0 1 1 0 0 1 1 0 0 1 0 0 0 1 0 1\n    1 0 1 1 0 1 1 1 0 0 1 0 0 0 0 1 1 1 1 1 1 1 0 0 0 0 0 0 0 0 0 0 0 0 0 0 0 0 \n    0 1 0 0 0 0 0 0 0 0 0 0 0 0 0 0 0 0 0 0 0 0 0 0 0 0 0 0]\n[1 0 0 1 0 0 0 1 0 0 1 0 1 0 1 1 0 1 0 0 1 1 1 0 0 1 1 1 1 0 0 1 0 1 1 1 1 0 0 1\n    1 0 0 0 1 1 0 0 0 0 0 0 1 1 1 1 0 1 1 0 0 1 0 0 0 0 0 0 0 0 0 0 0 0 0 0 0 0 \n    0 0 1 0 0 0 0 0 0 0 0 0 0 0 0 0 0 0 0 0 0 0 0 0 0 0 0 0]\n[1 1 0 1 0 0 0 0 0 1 1 1 0 1 1 0 1 0 0 0 0 1 0 1 0 0 0 1 1 0 1 1 0 0 1 1 0 0 1 0\n    1 1 1 0 0 1 1 1 0 0 0 0 1 1 0 1 0 1 1 1 0 0 0 0 0 0 0 0 0 0 0 0 0 0 0 0 0 0 \n    0 0 0 1 0 0 0 0 0 0 0 0 0 0 0 0 0 0 0 0 0 0 0 0 0 0 0 0]\n[0 1 1 1 0 0 1 0 1 0 1 0 1 0 0 1 1 1 0 1 1 1 1 1 1 1 1 0 0 0 0 0 1 0 1 0 1 1 0 1\n    1 0 0 1 1 0 1 0 1 1 0 0 1 0 1 0 0 0 0 1 1 1 0 0 0 0 0 0 0 0 0 0 0 0 0 0 0 0 \n    0 0 0 0 1 0 0 0 0 0 0 0 0 0 0 0 0 0 0 0 0 0 0 0 0 0 0 0]\n[0 1 0 1 0 1 0 1 0 0 1 0 1 1 0 1 0 1 0 1 1 0 1 1 0 0 0 1 1 0 0 1 0 1 1 1 0 0 1 0\n    0 0 0 0 0 1 0 0 1 0 1 1 1 0 1 0 0 1 0 1 1 0 0 0 0 0 0 0 0 0 0 0 0 0 0 0 0 0 \n    0 0 0 0 0 1 0 0 0 0 0 0 0 0 0 0 0 0 0 0 0 0 0 0 0 0 0 0]\n[0 1 0 0 1 1 1 1 0 0 0 1 0 1 1 1 0 1 1 1 1 1 0 1 1 0 1 1 0 1 1 1 0 0 1 1 0 1 1 1\n    1 0 0 0 0 1 1 0 1 0 1 0 0 1 0 1 0 1 0 0 0 0 0 0 0 0 0 0 0 0 0 0 0 0 0 0 0 0 \n    0 0 0 0 0 0 1 0 0 0 0 0 0 0 0 0 0 0 0 0 0 0 0 0 0 0 0 0]\n[0 1 1 1 1 0 1 1 0 1 1 1 0 0 0 1 0 0 0 0 1 1 1 1 1 0 1 0 0 1 1 1 0 0 1 1 1 0 1 1\n    1 0 1 1 1 1 1 1 0 0 0 1 0 0 1 0 0 0 1 1 0 0 0 0 0 0 0 0 0 0 0 0 0 0 0 0 0 0 \n    0 0 0 0 0 0 0 1 0 0 0 0 0 0 0 0 0 0 0 0 0 0 0 0 0 0 0 0]\n[1 1 1 1 1 0 1 1 1 1 1 0 0 1 1 0 1 1 1 0 0 0 1 0 0 1 0 1 1 0 0 1 0 0 0 1 0 0 1 0\n    1 0 0 0 0 1 1 0 0 1 1 1 1 0 1 1 0 0 0 0 0 0 0 0 0 0 0 0 0 0 0 0 0 0 0 0 0 0 \n    0 0 0 0 0 0 0 0 1 0 0 0 0 0 0 0 0 0 0 0 0 0 0 0 0 0 0 0]\n[1 1 1 0 1 0 0 1 0 0 1 0 0 1 1 1 0 0 1 1 0 0 1 1 1 1 0 1 1 0 1 1 0 0 1 1 1 0 1 0\n    1 1 0 0 1 1 0 1 0 1 1 0 1 0 1 1 1 1 0 0 0 1 0 0 0 0 0 0 0 0 0 0 0 0 0 0 0 0 \n    0 0 0 0 0 0 0 0 0 1 0 0 0 0 0 0 0 0 0 0 0 0 0 0 0 0 0 0]\n[1 1 1 1 0 0 1 0 1 1 1 1 0 0 1 1 1 1 1 1 0 0 1 0 0 0 1 1 1 0 0 0 1 1 0 1 1 0 1 0\n    1 0 1 1 1 1 1 0 0 1 0 0 0 1 0 0 1 0 0 1 0 1 0 0 0 0 0 0 0 0 0 0 0 0 0 0 0 0 \n    0 0 0 0 0 0 0 0 0 0 1 0 0 0 0 0 0 0 0 0 0 0 0 0 0 0 0 0]\n[1 1 0 1 0 0 0 0 0 0 1 1 0 1 1 0 0 0 0 0 0 1 1 0 1 1 1 0 1 1 0 1 1 0 1 1 1 0 0 0\n    1 0 0 0 1 1 0 0 0 1 0 0 0 1 0 1 1 0 1 1 1 1 0 0 0 0 0 0 0 0 0 0 0 0 0 0 0 0 \n    0 0 0 0 0 0 0 0 0 0 0 1 0 0 0 0 0 0 0 0 0 0 0 0 0 0 0 0]\n[0 0 1 0 1 0 0 0 0 0 1 1 1 0 1 0 0 0 0 1 0 0 1 1 1 0 1 0 0 0 1 1 0 1 0 1 1 0 1 0\n    1 1 1 0 1 1 0 1 1 1 0 1 1 0 1 0 0 0 1 1 0 0 0 0 0 0 0 0 0 0 0 0 0 0 0 0 0 0 \n    0 0 0 0 0 0 0 0 0 0 0 0 1 0 0 0 0 0 0 0 0 0 0 0 0 0 0 0]\n[0 1 1 1 0 0 1 0 0 0 1 0 1 1 1 1 0 0 0 0 0 1 1 0 0 0 1 1 1 0 0 1 1 1 1 0 0 1 0 1\n    1 1 1 1 0 0 1 0 0 0 1 1 0 0 0 0 0 0 1 0 0 0 0 0 0 0 0 0 0 0 0 0 0 0 0 0 0 0 \n    0 0 0 0 0 0 0 0 0 0 0 0 0 1 0 0 0 0 0 0 0 0 0 0 0 0 0 0]\n[0 1 0 0 0 1 0 0 1 0 0 1 1 0 0 1 1 0 0 1 0 1 1 0 0 0 1 1 0 0 1 0 1 1 0 1 1 0 0 0\n    1 1 0 1 0 0 0 1 1 1 1 1 1 1 0 1 0 1 1 1 0 0 0 0 0 0 0 0 0 0 0 0 0 0 0 0 0 0 \n    0 0 0 0 0 0 0 0 0 0 0 0 0 0 1 0 0 0 0 0 0 0 0 0 0 0 0 0]\n[0 0 0 0 1 1 1 0 0 0 1 0 0 0 0 0 1 1 0 1 0 1 1 1 1 1 0 1 1 0 0 0 0 0 0 0 0 1 0 0\n    1 1 0 1 0 1 0 0 1 1 1 1 0 1 0 1 0 0 1 1 1 1 0 0 0 0 0 0 0 0 0 0 0 0 0 0 0 0 \n    0 0 0 0 0 0 0 0 0 0 0 0 0 0 0 1 0 0 0 0 0 0 0 0 0 0 0 0]\n[0 1 1 0 1 0 0 0 1 1 0 1 1 0 1 0 0 0 0 0 0 0 0 0 1 1 0 1 0 1 1 0 1 1 1 0 0 0 0 0\n    1 0 1 0 0 0 1 1 1 0 0 0 0 0 0 0 1 0 0 1 1 1 0 0 0 0 0 0 0 0 0 0 0 0 0 0 0 0 \n    0 0 0 0 0 0 0 0 0 0 0 0 0 0 0 0 1 0 0 0 0 0 0 0 0 0 0 0]\n[0 0 1 0 0 1 0 1 0 1 1 0 1 0 1 0 1 1 1 1 0 1 1 0 1 0 0 1 1 0 1 0 0 1 0 0 0 0 1 0\n    0 0 0 0 0 1 1 1 0 1 0 0 0 0 1 0 0 0 1 0 1 0 0 0 0 0 0 0 0 0 0 0 0 0 0 0 0 0 \n    0 0 0 0 0 0 0 0 0 0 0 0 0 0 0 0 0 1 0 0 0 0 0 0 0 0 0 0]\n[0 0 0 0 1 0 0 0 1 1 0 1 0 1 1 1 1 0 1 1 0 0 0 1 0 0 0 1 0 1 1 0 0 0 1 0 1 0 0 1\n    0 1 0 1 1 1 0 1 0 1 0 1 0 1 0 1 1 1 1 0 0 0 0 0 0 0 0 0 0 0 0 0 0 0 0 0 0 0 \n    0 0 0 0 0 0 0 0 0 0 0 0 0 0 0 0 0 0 1 0 0 0 0 0 0 0 0 0]\n[0 0 1 0 1 0 0 0 0 0 0 0 0 1 1 1 1 1 0 0 0 1 0 0 0 1 0 0 1 0 1 0 0 1 1 1 1 1 0 0\n    0 0 0 1 0 0 1 0 1 0 1 0 0 0 0 1 0 1 1 1 0 1 0 0 0 0 0 0 0 0 0 0 0 0 0 0 0 0 \n    0 0 0 0 0 0 0 0 0 0 0 0 0 0 0 0 0 0 0 1 0 0 0 0 0 0 0 0]\n[0 0 1 1 1 0 0 1 0 0 0 0 0 1 1 0 1 1 0 0 1 0 0 0 0 1 0 1 0 1 1 0 1 0 1 1 0 0 0 0\n    0 0 0 0 1 1 1 1 0 0 1 0 1 0 1 1 1 0 0 0 0 1 0 0 0 0 0 0 0 0 0 0 0 0 0 0 0 0 \n    0 0 0 0 0 0 0 0 0 0 0 0 0 0 0 0 0 0 0 0 1 0 0 0 0 0 0 0]\n[1 0 0 0 0 0 1 1 0 0 1 1 0 0 1 0 0 0 0 1 1 0 1 0 0 1 1 1 0 1 1 0 1 1 0 1 0 0 0 1\n    1 0 0 0 0 0 0 1 1 0 1 1 0 1 0 1 0 0 0 1 0 1 0 0 0 0 0 0 0 0 0 0 0 0 0 0 0 0 \n    0 0 0 0 0 0 0 0 0 0 0 0 0 0 0 0 0 0 0 0 0 1 0 0 0 0 0 0]\n[1 0 0 0 1 1 1 1 1 1 0 0 1 0 1 0 0 1 1 1 1 0 1 0 1 0 0 0 1 0 0 1 1 0 1 0 0 0 1 1\n    1 1 0 1 0 0 1 0 0 0 0 1 0 1 0 0 1 0 1 1 1 0 0 0 0 0 0 0 0 0 0 0 0 0 0 0 0 0 \n    0 0 0 0 0 0 0 0 0 0 0 0 0 0 0 0 0 0 0 0 0 0 1 0 0 0 0 0]\n[0 0 0 0 1 1 1 0 0 0 0 1 0 1 0 0 0 1 0 0 1 0 1 1 0 0 1 1 1 0 1 1 1 0 0 0 1 1 0 1\n    0 0 0 1 0 0 1 0 0 1 1 0 0 0 1 1 1 0 1 1 0 0 0 0 0 0 0 0 0 0 0 0 0 0 0 0 0 0 \n    0 0 0 0 0 0 0 0 0 0 0 0 0 0 0 0 0 0 0 0 0 0 0 1 0 0 0 0]\n[1 1 0 1 1 0 1 0 1 1 0 0 0 0 1 1 1 1 1 1 1 1 0 0 1 0 1 0 0 1 1 0 1 0 1 0 1 1 1 1\n    1 0 0 0 1 0 0 0 0 0 1 0 1 1 0 0 0 0 1 0 0 1 0 0 0 0 0 0 0 0 0 0 0 0 0 0 0 0 \n    0 0 0 0 0 0 0 0 0 0 0 0 0 0 0 0 0 0 0 0 0 0 0 0 1 0 0 0]\n[0 1 0 0 1 0 0 0 0 0 0 0 0 1 0 1 1 1 0 1 0 0 0 1 0 1 1 1 0 1 1 0 1 0 1 0 1 0 0 1\n    1 0 0 0 0 0 1 0 1 0 0 0 0 0 1 0 1 1 1 1 1 1 0 0 0 0 0 0 0 0 0 0 0 0 0 0 0 0 \n    0 0 0 0 0 0 0 0 0 0 0 0 0 0 0 0 0 0 0 0 0 0 0 0 0 1 0 0]\n[1 1 0 0 0 1 0 0 0 1 0 1 0 0 0 0 1 0 0 0 1 1 0 0 1 0 0 0 0 1 1 0 0 1 0 1 1 0 1 1\n    1 0 0 1 1 1 0 1 0 1 1 0 1 1 0 1 0 0 1 1 0 0 0 0 0 0 0 0 0 0 0 0 0 0 0 0 0 0 \n    0 0 0 0 0 0 0 0 0 0 0 0 0 0 0 0 0 0 0 0 0 0 0 0 0 0 1 0]\n[0 1 1 1 1 0 1 0 1 1 0 1 0 1 1 1 1 1 0 1 0 1 0 0 0 1 1 0 0 0 0 0 1 0 1 1 0 1 0 1\n    1 1 0 1 0 1 0 1 0 0 0 1 0 0 1 1 1 1 0 0 0 1 0 0 0 0 0 0 0 0 0 0 0 0 0 0 0 0 \n    0 0 0 0 0 0 0 0 0 0 0 0 0 0 0 0 0 0 0 0 0 0 0 0 0 0 0 1]\n[106, 44] Linear Code over GF(2)\nGenerator matrix:\n[1 0 0 0 0 0 0 0 0 0 0 0 0 0 0 0 0 0 0 0 0 0 0 0 0 0 0 0 0 0 0 0 0 0 0 0 0 0 0 0\n    0 0 0 0 1 0 0 1 1 1 0 0 1 1 0 1 1 1 1 0 0 1 0 0 1 0 0 1 0 0 0 1 1 1 1 0 1 1 \n    1 0 1 1 0 1 1 1 0 1 1 1 0 0 1 0 0 1 0 1 1 0 1 0 0 1 0 0]\n[0 1 0 0 0 0 0 0 0 0 0 0 0 0 0 0 0 0 0 0 0 0 0 0 0 0 0 0 0 0 0 0 0 0 0 0 0 0 0 0\n    0 0 0 0 1 0 0 1 0 1 0 0 0 1 0 0 1 1 0 0 1 1 0 0 1 1 1 1 0 1 0 0 1 0 0 0 1 1 \n    0 1 0 0 0 1 0 1 1 1 1 1 1 0 0 1 1 1 0 0 1 1 0 0 1 1 1 1]\n[0 0 1 0 0 0 0 0 0 0 0 0 0 0 0 0 0 0 0 0 0 0 0 0 0 0 0 0 0 0 0 0 0 0 0 0 0 0 0 0\n    0 0 0 0 1 0 0 1 1 1 1 0 0 1 0 0 1 0 1 0 1 1 1 1 1 1 0 1 0 1 0 0 0 1 1 0 1 0 \n    0 1 0 1 0 1 0 0 0 1 1 1 0 1 1 0 0 0 1 0 0 0 0 1 0 1 0 1]\n[0 0 0 1 0 0 0 0 0 0 0 0 0 0 0 0 0 0 0 0 0 0 0 0 0 0 0 0 0 0 0 0 0 0 0 0 0 0 0 0\n    0 0 0 0 1 0 1 0 1 1 1 1 1 1 1 1 1 0 1 0 0 0 0 1 1 0 1 1 1 1 1 1 0 0 1 1 1 1 \n    0 0 1 0 0 1 1 0 0 0 0 1 0 0 0 1 0 1 0 0 1 1 0 0 1 1 0 1]\n[0 0 0 0 1 0 0 0 0 0 0 0 0 0 0 0 0 0 0 0 0 0 0 0 0 0 0 0 0 0 0 0 0 0 0 0 0 0 0 0\n    0 0 0 0 1 1 1 0 1 0 0 0 0 0 1 1 1 0 1 0 1 1 0 1 0 1 1 0 1 1 0 0 0 0 0 1 0 1 \n    1 0 1 1 1 0 0 1 0 1 0 1 0 1 0 0 0 1 1 1 1 1 1 1 1 1 1 0]\n[0 0 0 0 0 1 0 0 0 0 0 0 0 0 0 0 0 0 0 0 0 0 0 0 0 0 0 0 0 0 0 0 0 0 0 0 0 0 0 0\n    0 0 0 0 1 1 0 1 1 0 1 1 1 0 1 0 1 1 0 0 0 0 1 1 0 1 1 0 1 1 0 0 1 0 1 0 1 1 \n    0 0 0 1 0 1 1 0 0 1 0 0 1 0 0 1 0 0 0 0 1 0 0 1 0 0 1 0]\n[0 0 0 0 0 0 1 0 0 0 0 0 0 0 0 0 0 0 0 0 0 0 0 0 0 0 0 0 0 0 0 0 0 0 0 0 0 0 0 0\n    0 0 0 0 0 1 1 0 1 0 0 0 1 0 0 1 1 0 0 0 0 0 1 1 0 0 0 0 0 1 0 1 1 1 1 1 0 1 \n    0 1 0 1 1 1 1 0 1 1 0 1 0 1 1 1 1 0 1 1 1 0 1 0 0 0 1 0]\n[0 0 0 0 0 0 0 1 0 0 0 0 0 0 0 0 0 0 0 0 0 0 0 0 0 0 0 0 0 0 0 0 0 0 0 0 0 0 0 0\n    0 0 0 0 1 0 0 0 0 0 0 0 1 0 0 0 1 0 1 0 1 0 0 1 1 0 0 1 0 0 0 0 1 0 0 0 0 1 \n    0 0 1 1 1 0 0 0 0 0 0 0 1 1 1 0 0 0 0 1 1 1 0 0 1 1 0 1]\n[0 0 0 0 0 0 0 0 1 0 0 0 0 0 0 0 0 0 0 0 0 0 0 0 0 0 0 0 0 0 0 0 0 0 0 0 0 0 0 0\n    0 0 0 0 0 1 1 1 1 1 0 1 1 0 1 0 1 0 1 1 1 0 1 0 1 1 1 1 0 1 0 0 0 0 0 0 0 1 \n    1 0 0 1 1 0 1 0 0 0 1 1 0 0 1 1 1 1 1 1 1 0 1 1 0 0 0 1]\n[0 0 0 0 0 0 0 0 0 1 0 0 0 0 0 0 0 0 0 0 0 0 0 0 0 0 0 0 0 0 0 0 0 0 0 0 0 0 0 0\n    0 0 0 0 1 1 1 1 1 0 1 0 1 1 0 0 1 1 1 1 1 1 0 0 1 0 1 1 1 1 0 1 0 0 0 0 0 0 \n    1 1 0 1 1 0 1 1 0 0 1 0 1 1 0 0 1 1 0 1 0 1 0 1 1 1 1 1]\n[0 0 0 0 0 0 0 0 0 0 1 0 0 0 0 0 0 0 0 0 0 0 0 0 0 0 0 0 0 0 0 0 0 0 0 0 0 0 0 0\n    0 0 0 0 0 0 1 0 1 0 1 1 0 0 1 0 0 0 1 0 0 1 0 0 0 1 1 1 1 1 1 1 0 1 1 0 0 0 \n    1 0 1 1 0 1 1 1 0 1 1 1 0 1 0 0 1 0 0 0 0 0 0 1 0 0 1 0]\n[0 0 0 0 0 0 0 0 0 0 0 1 0 0 0 0 0 0 0 0 0 0 0 0 0 0 0 0 0 0 0 0 0 0 0 0 0 0 0 0\n    0 0 0 0 0 0 1 0 1 1 1 1 0 1 1 0 1 0 1 1 1 0 1 1 0 1 1 1 1 0 0 0 0 0 1 0 0 1 \n    0 0 1 0 0 0 1 1 0 0 0 0 0 1 0 1 1 1 0 0 0 0 0 0 0 1 0 0]\n[0 0 0 0 0 0 0 0 0 0 0 0 1 0 0 0 0 0 0 0 0 0 0 0 0 0 0 0 0 0 0 0 0 0 0 0 0 0 0 0\n    0 0 0 0 0 1 1 1 1 1 0 0 0 0 0 1 1 1 1 0 1 0 0 1 1 0 1 0 0 0 0 1 1 0 1 1 0 1 \n    0 1 0 0 1 1 0 1 0 1 0 1 0 1 0 0 1 1 1 1 1 1 1 0 1 0 0 0]\n[0 0 0 0 0 0 0 0 0 0 0 0 0 1 0 0 0 0 0 0 0 0 0 0 0 0 0 0 0 0 0 0 0 0 0 0 0 0 0 0\n    0 0 0 0 1 0 1 1 1 0 0 0 1 1 1 1 0 1 0 1 0 1 0 1 0 0 1 0 0 1 1 0 0 0 0 0 0 1 \n    0 1 1 1 1 0 0 0 0 1 1 0 1 1 1 0 0 0 0 1 0 0 0 0 0 0 1 1]\n[0 0 0 0 0 0 0 0 0 0 0 0 0 0 1 0 0 0 0 0 0 0 0 0 0 0 0 0 0 0 0 0 0 0 0 0 0 0 0 0\n    0 0 0 0 0 1 1 0 0 0 0 1 1 0 0 1 0 1 0 0 0 1 0 0 1 0 1 0 1 1 1 1 0 1 0 0 0 1 \n    1 0 1 1 1 0 1 0 0 0 0 0 0 0 1 1 1 1 1 1 1 1 0 1 0 1 1 0]\n[0 0 0 0 0 0 0 0 0 0 0 0 0 0 0 1 0 0 0 0 0 0 0 0 0 0 0 0 0 0 0 0 0 0 0 0 0 0 0 0\n    0 0 0 0 0 1 1 1 1 0 0 0 1 0 1 1 0 1 1 0 0 1 1 1 0 0 0 0 1 1 0 1 0 0 1 1 1 0 \n    1 0 0 0 1 1 1 1 1 0 0 1 0 1 1 0 1 1 0 1 1 1 0 0 1 1 0 0]\n[0 0 0 0 0 0 0 0 0 0 0 0 0 0 0 0 1 0 0 0 0 0 0 0 0 0 0 0 0 0 0 0 0 0 0 0 0 0 0 0\n    0 0 0 0 1 1 1 0 1 0 1 0 0 0 1 0 0 1 1 1 0 0 0 1 1 1 1 0 0 1 0 1 0 0 1 0 0 1 \n    0 1 1 0 1 0 0 1 1 0 1 0 1 0 1 0 0 1 0 0 1 0 0 1 0 0 0 0]\n[0 0 0 0 0 0 0 0 0 0 0 0 0 0 0 0 0 1 0 0 0 0 0 0 0 0 0 0 0 0 0 0 0 0 0 0 0 0 0 0\n    0 0 0 0 0 1 1 0 1 0 1 1 0 0 1 0 1 0 1 0 0 1 1 1 1 0 0 0 1 0 0 1 1 1 1 0 1 0 \n    0 0 1 1 1 1 0 0 1 0 1 0 0 0 0 0 1 1 1 0 1 1 0 1 0 0 1 0]\n[0 0 0 0 0 0 0 0 0 0 0 0 0 0 0 0 0 0 1 0 0 0 0 0 0 0 0 0 0 0 0 0 0 0 0 0 0 0 0 0\n    0 0 0 0 0 0 0 1 1 1 0 0 1 1 0 1 1 1 1 0 0 1 1 1 1 1 1 0 1 0 0 0 1 0 0 0 1 1 \n    0 0 0 0 1 0 1 0 0 1 1 1 0 1 1 1 0 0 1 0 1 1 1 1 0 0 1 1]\n[0 0 0 0 0 0 0 0 0 0 0 0 0 0 0 0 0 0 0 1 0 0 0 0 0 0 0 0 0 0 0 0 0 0 0 0 0 0 0 0\n    0 0 0 0 1 1 0 1 1 1 1 0 1 1 0 1 0 0 0 0 1 0 0 0 0 0 1 0 0 0 1 1 0 1 1 1 1 0 \n    1 0 0 0 0 0 0 1 0 0 0 1 1 1 0 1 0 0 0 1 0 0 1 1 0 0 1 1]\n[0 0 0 0 0 0 0 0 0 0 0 0 0 0 0 0 0 0 0 0 1 0 0 0 0 0 0 0 0 0 0 0 0 0 0 0 0 0 0 0\n    0 0 0 0 1 0 0 1 1 0 0 1 0 1 0 0 1 1 1 0 1 1 0 0 0 0 1 1 0 0 1 0 0 0 0 1 1 1 \n    0 0 0 1 1 1 1 1 0 0 0 1 1 0 1 0 0 0 0 0 1 1 1 1 0 1 0 1]\n[0 0 0 0 0 0 0 0 0 0 0 0 0 0 0 0 0 0 0 0 0 1 0 0 0 0 0 0 0 0 0 0 0 0 0 0 0 0 0 0\n    0 0 0 0 1 1 0 1 1 0 1 1 1 0 1 1 0 1 1 0 1 1 1 1 0 1 0 0 1 1 0 0 0 1 0 0 1 1 \n    1 0 0 1 0 1 1 0 1 0 1 0 1 0 0 1 1 1 1 1 1 0 1 0 1 0 1 1]\n[0 0 0 0 0 0 0 0 0 0 0 0 0 0 0 0 0 0 0 0 0 0 1 0 0 0 0 0 0 0 0 0 0 0 0 0 0 0 0 0\n    0 0 0 0 0 1 0 0 1 0 1 0 1 1 0 1 1 1 1 1 0 1 0 0 1 0 0 1 1 0 0 0 0 0 0 0 1 0 \n    1 0 1 1 0 1 1 1 1 0 1 1 1 0 0 1 1 0 0 0 0 0 1 0 0 0 0 0]\n[0 0 0 0 0 0 0 0 0 0 0 0 0 0 0 0 0 0 0 0 0 0 0 1 0 0 0 0 0 0 0 0 0 0 0 0 0 0 0 0\n    0 0 0 0 1 0 0 1 1 0 1 1 0 0 1 1 0 1 0 1 0 1 1 1 0 0 1 1 0 1 0 1 0 0 1 1 1 1 \n    0 1 0 1 0 1 1 0 1 1 0 1 1 1 1 1 0 1 1 0 0 1 0 1 1 0 1 1]\n[0 0 0 0 0 0 0 0 0 0 0 0 0 0 0 0 0 0 0 0 0 0 0 0 1 0 0 0 0 0 0 0 0 0 0 0 0 0 0 0\n    0 0 0 0 1 0 1 0 1 0 1 1 1 1 0 0 1 0 1 0 1 0 1 1 1 1 0 1 0 0 0 0 0 0 0 1 0 0 \n    0 0 0 1 0 1 0 0 0 1 0 0 0 1 0 0 1 1 0 1 1 0 1 1 0 1 0 0]\n[0 0 0 0 0 0 0 0 0 0 0 0 0 0 0 0 0 0 0 0 0 0 0 0 0 1 0 0 0 0 0 0 0 0 0 0 0 0 0 0\n    0 0 0 0 0 0 0 0 0 1 1 1 0 1 1 1 0 0 1 1 1 1 0 1 1 0 1 1 0 0 0 0 1 1 1 1 1 0 \n    0 0 1 0 0 0 1 0 0 1 1 0 1 1 0 0 1 1 0 0 0 1 0 1 1 1 1 1]\n[0 0 0 0 0 0 0 0 0 0 0 0 0 0 0 0 0 0 0 0 0 0 0 0 0 0 1 0 0 0 0 0 0 0 0 0 0 0 0 0\n    0 0 0 0 0 0 1 0 1 1 1 1 1 0 1 1 1 1 0 0 1 0 0 0 0 1 0 0 0 1 1 1 1 0 1 0 0 1 \n    1 1 0 1 0 0 0 0 1 1 1 0 0 0 1 0 0 0 0 0 0 1 0 1 1 1 1 0]\n[0 0 0 0 0 0 0 0 0 0 0 0 0 0 0 0 0 0 0 0 0 0 0 0 0 0 0 1 0 0 0 0 0 0 0 0 0 0 0 0\n    0 0 0 0 0 1 1 0 0 1 1 1 0 0 0 0 0 0 1 0 1 1 0 1 1 1 1 1 0 1 1 0 1 0 1 0 1 1 \n    0 1 1 0 1 0 0 1 0 0 1 0 0 0 0 1 1 1 1 0 1 0 1 1 0 1 0 0]\n[0 0 0 0 0 0 0 0 0 0 0 0 0 0 0 0 0 0 0 0 0 0 0 0 0 0 0 0 1 0 0 0 0 0 0 0 0 0 0 0\n    0 0 0 0 0 1 0 1 1 0 1 1 1 1 1 0 1 1 1 0 0 0 1 1 0 0 1 0 1 0 0 1 0 0 1 0 1 1 \n    0 0 0 1 1 0 0 1 0 0 0 1 0 1 1 0 1 0 0 0 0 0 1 1 0 1 0 0]\n[0 0 0 0 0 0 0 0 0 0 0 0 0 0 0 0 0 0 0 0 0 0 0 0 0 0 0 0 0 1 0 0 0 0 0 0 0 0 0 0\n    0 0 0 0 1 1 0 0 1 1 1 1 0 1 1 1 0 1 0 0 0 0 1 1 1 0 1 0 0 1 1 1 0 0 0 0 1 0 \n    1 1 0 0 0 0 0 1 0 0 0 0 1 1 0 0 0 1 1 0 1 0 1 1 1 0 1 1]\n[0 0 0 0 0 0 0 0 0 0 0 0 0 0 0 0 0 0 0 0 0 0 0 0 0 0 0 0 0 0 1 0 0 0 0 0 0 0 0 0\n    0 0 0 0 0 0 0 1 0 1 1 0 1 1 1 1 1 0 1 1 1 0 0 0 1 1 0 0 1 1 0 0 0 1 0 0 1 0 \n    1 1 0 0 0 1 1 0 1 0 0 0 1 0 0 1 1 0 1 0 0 0 0 1 0 1 0 1]\n[0 0 0 0 0 0 0 0 0 0 0 0 0 0 0 0 0 0 0 0 0 0 0 0 0 0 0 0 0 0 0 1 0 0 0 0 0 0 0 0\n    0 0 0 0 0 0 0 0 1 1 1 0 0 0 1 1 0 0 1 1 1 1 1 0 1 1 0 1 0 1 0 1 1 0 0 0 0 1 \n    1 0 1 1 0 1 1 0 1 0 1 1 0 1 1 1 1 1 1 0 1 1 1 0 0 0 0 1]\n[0 0 0 0 0 0 0 0 0 0 0 0 0 0 0 0 0 0 0 0 0 0 0 0 0 0 0 0 0 0 0 0 1 0 0 0 0 0 0 0\n    0 0 0 0 1 0 0 0 1 1 1 0 0 0 1 1 0 0 0 1 1 0 0 1 0 1 0 0 0 1 0 0 1 1 1 1 1 0 \n    0 1 0 0 1 0 1 0 0 0 0 0 1 0 1 0 1 1 0 0 0 0 1 1 1 0 1 1]\n[0 0 0 0 0 0 0 0 0 0 0 0 0 0 0 0 0 0 0 0 0 0 0 0 0 0 0 0 0 0 0 0 0 1 0 0 0 0 0 0\n    0 0 0 0 0 0 0 0 0 1 0 0 0 1 1 0 0 1 0 1 1 1 0 0 0 1 0 1 1 0 0 1 0 0 0 1 0 0 \n    1 1 0 0 1 0 1 0 1 0 1 0 1 0 1 1 0 1 0 1 1 0 1 1 1 1 1 0]\n[0 0 0 0 0 0 0 0 0 0 0 0 0 0 0 0 0 0 0 0 0 0 0 0 0 0 0 0 0 0 0 0 0 0 1 0 0 0 0 0\n    0 0 0 0 0 1 0 1 0 1 0 1 1 1 1 0 1 0 1 0 0 1 0 0 1 1 0 0 0 1 1 1 1 1 0 1 1 0 \n    1 0 0 1 1 0 0 0 1 1 1 0 1 0 0 0 0 0 1 1 1 0 1 1 0 0 0 1]\n[0 0 0 0 0 0 0 0 0 0 0 0 0 0 0 0 0 0 0 0 0 0 0 0 0 0 0 0 0 0 0 0 0 0 0 1 0 0 0 0\n    0 0 0 0 0 0 0 0 1 0 0 0 1 0 1 1 1 1 1 1 0 0 1 1 1 1 1 0 1 1 1 0 0 1 1 0 0 0 \n    1 1 1 0 0 1 0 1 0 1 1 0 1 0 1 0 0 1 0 1 1 1 0 0 0 1 1 0]\n[0 0 0 0 0 0 0 0 0 0 0 0 0 0 0 0 0 0 0 0 0 0 0 0 0 0 0 0 0 0 0 0 0 0 0 0 1 0 0 0\n    0 0 0 0 0 0 0 0 1 1 1 0 1 1 0 0 0 0 1 1 1 1 0 0 1 0 0 1 1 1 0 0 0 1 1 1 0 1 \n    1 1 1 0 1 0 0 0 1 1 0 1 0 0 1 1 0 1 0 0 1 0 1 1 0 1 0 0]\n[0 0 0 0 0 0 0 0 0 0 0 0 0 0 0 0 0 0 0 0 0 0 0 0 0 0 0 0 0 0 0 0 0 0 0 0 0 1 0 0\n    0 0 0 0 1 0 0 0 1 0 1 1 0 0 0 0 0 1 1 1 1 0 1 0 1 1 0 1 0 0 1 1 1 0 1 0 0 0 \n    1 0 1 1 0 0 0 0 1 1 0 0 1 0 1 1 1 0 1 0 1 1 1 1 1 0 1 0]\n[0 0 0 0 0 0 0 0 0 0 0 0 0 0 0 0 0 0 0 0 0 0 0 0 0 0 0 0 0 0 0 0 0 0 0 0 0 0 1 0\n    0 0 0 0 0 0 1 0 1 0 1 0 1 1 1 1 1 0 1 1 1 0 1 1 0 0 0 0 1 1 0 1 0 1 1 0 0 1 \n    0 1 1 1 0 1 1 0 0 0 0 1 1 1 1 1 1 0 0 0 1 0 1 0 1 1 1 1]\n[0 0 0 0 0 0 0 0 0 0 0 0 0 0 0 0 0 0 0 0 0 0 0 0 0 0 0 0 0 0 0 0 0 0 0 0 0 0 0 1\n    0 0 0 0 1 1 1 1 1 0 0 0 1 1 0 1 0 0 0 1 0 1 1 0 1 0 1 1 0 0 0 1 0 0 0 0 1 1 \n    1 1 0 1 1 0 1 1 0 0 1 1 1 1 0 0 0 0 0 0 0 0 1 1 1 0 0 0]\n[0 0 0 0 0 0 0 0 0 0 0 0 0 0 0 0 0 0 0 0 0 0 0 0 0 0 0 0 0 0 0 0 0 0 0 0 0 0 0 0\n    1 0 0 0 1 1 1 0 1 0 1 1 0 1 1 1 1 0 0 1 0 0 1 0 0 0 0 0 1 1 0 1 1 1 0 0 0 1 \n    1 1 1 1 0 1 0 0 1 0 1 1 1 0 1 0 1 1 1 1 1 1 0 0 1 1 0 1]\n[0 0 0 0 0 0 0 0 0 0 0 0 0 0 0 0 0 0 0 0 0 0 0 0 0 0 0 0 0 0 0 0 0 0 0 0 0 0 0 0\n    0 1 0 0 1 0 1 0 1 0 1 1 0 1 0 0 1 1 0 0 0 1 0 1 1 1 0 0 0 0 1 1 1 0 0 0 1 0 \n    1 0 0 1 0 1 1 0 1 0 1 1 0 0 0 1 1 1 0 1 1 1 0 0 0 0 1 1]\n[0 0 0 0 0 0 0 0 0 0 0 0 0 0 0 0 0 0 0 0 0 0 0 0 0 0 0 0 0 0 0 0 0 0 0 0 0 0 0 0\n    0 0 1 0 0 1 0 0 1 0 0 1 0 1 0 0 0 0 1 1 0 0 0 1 0 1 0 1 1 0 0 1 1 1 0 1 0 0 \n    1 0 0 0 1 0 0 1 1 1 1 0 1 0 0 1 1 0 0 1 1 1 1 1 1 0 0 0]\n[0 0 0 0 0 0 0 0 0 0 0 0 0 0 0 0 0 0 0 0 0 0 0 0 0 0 0 0 0 0 0 0 0 0 0 0 0 0 0 0\n    0 0 0 1 0 0 1 1 0 0 0 1 1 0 0 1 1 0 0 1 0 0 1 0 0 1 1 1 0 1 1 0 0 1 1 0 0 1 \n    0 1 1 1 0 0 0 1 1 0 1 1 1 0 0 0 0 0 0 1 1 1 1 0 0 0 1 0]\nLinear Code over GF(2) of length 106 with 44 generators.\nLower Bound: 1, Upper Bound: 63\nConstructed 3 distinct generator matrices\nRelative Ranks:  44  44  18 \nTime Taken: 0.00\nStarting search for low weight codewords... (reset timings)\nEnumerating using 1 generator at a time:\n     New codeword identified of weight 35, time 0.00\n     New codeword identified of weight 34, time 0.00\n     New codeword identified of weight 32, time 0.00\n     New codeword identified of weight 30, time 0.00\n     New codeword identified of weight 23, time 0.00\n     Discarding non-contributing rank 18 matrix\n     New Relative Ranks:  44  44 \n   Completed Matrix  1:  lower =  3, upper = 23. Elapsed: 0.00s\n   Completed Matrix  2:  lower =  4, upper = 23. Elapsed: 0.00s\nTermination predicted with 11 generators at matrix 1\nEnumerating using 2 generators at a time:\n     New codeword identified of weight 22, time 0.00\n   Completed Matrix  1:  lower =  5, upper = 22. Elapsed: 0.00s\n     New codeword identified of weight 21, time 0.00\n   Completed Matrix  2:  lower =  6, upper = 21. Elapsed: 0.00s\nTermination predicted with 10 generators at matrix 1\nEnumerating using 3 generators at a time:\n   Completed Matrix  1:  lower =  7, upper = 21. Elapsed: 0.00s\n   Completed Matrix  2:  lower =  8, upper = 21. Elapsed: 0.00s\nTermination predicted with 10 generators at matrix 1\nEnumerating using 4 generators at a time:\n   Completed Matrix  1:  lower =  9, upper = 21. Elapsed: 0.00s\n   Completed Matrix  2:  lower = 10, upper = 21. Elapsed: 0.00s\nTermination predicted with 10 generators at matrix 1\nEnumerating using 5 generators at a time:\n   Completed Matrix  1:  lower = 11, upper = 21. Elapsed: 0.00s\n   Completed Matrix  2:  lower = 12, upper = 21. Elapsed: 0.00s\nTermination predicted with 10 generators at matrix 1\nEnumerating using 6 generators at a time:\n   Completed Matrix  1:  lower = 13, upper = 21. Elapsed: 0.02s\n   Completed Matrix  2:  lower = 14, upper = 21. Elapsed: 0.03s\nTermination predicted with 10 generators at matrix 1\nEnumerating using 7 generators at a time:\n   Completed Matrix  1:  lower = 15, upper = 21. Elapsed: 0.11s\n   Completed Matrix  2:  lower = 16, upper = 21. Elapsed: 0.19s\nTermination predicted with 10 generators at matrix 1\nEnumerating using 8 generators at a time:\n   Completed Matrix  1:  lower = 17, upper = 21. Elapsed: 0.59s\n   Completed Matrix  2:  lower = 18, upper = 21. Elapsed: 0.97s\nTermination predicted at 9 s with 10 generators at matrix 1\nEnumerating using 9 generators at a time:\n   Completed Matrix  1:  lower = 19, upper = 21. Elapsed: 2.56s\n   Completed Matrix  2:  lower = 20, upper = 21. Elapsed: 4.19s\nTermination predicted at 10 s with 10 generators at matrix 1\nEnumerating using 10 generators at a time:\n   Completed Matrix  1:  lower = 21, upper = 21. Elapsed: 10.05s\nComputation complete 4346814274 vectors enumerated in total\n (0.024709% of 106 44 code)\nFinal Results: lower = 21, upper = 21,\nTotal CPU time: 10.05, real time: 10.050\n21\n\nTotal time: 10.060 seconds, Total memory usage: 32.09MB\n</t>
  </si>
  <si>
    <t>[[107,45,21]]</t>
  </si>
  <si>
    <t>Magma V2.28-26    Tue Dec 30 2025 10:40:00 on Marks-MacBook-Air-2 [Seed = \n2544718415]\nType ? for help.  Type &lt;Ctrl&gt;-D to quit.\n[1 1 1 0 0 0 1 1 0 0 0 1 0 0 0 1 1 1 1 0 1 1 0 0 1 1 0 1 1 0 0 0 1 1 1 1 0 1 0 1\n    1 1 1 0 1 0 1 1 1 0 1 1 0 0 0 1 0 1 0 0 1 0 1 0 0 0 0 0 0 0 0 0 0 0 0 0 0 0 \n    0 0 0 0 0 0 0 0 0 0 0 0 0 0 0 0 0 0 0 0 0 0 0 0 0 0 0 0 0]\n[1 1 1 1 0 0 1 0 0 0 1 1 1 0 1 1 0 0 1 0 1 0 0 1 1 0 1 1 1 1 1 1 1 0 1 1 1 1 0 0\n    1 1 1 1 0 1 0 1 1 1 1 1 1 1 0 1 1 1 1 1 0 0 0 1 0 0 0 0 0 0 0 0 0 0 0 0 0 0 \n    0 0 0 0 0 0 0 0 0 0 0 0 0 0 0 0 0 0 0 0 0 0 0 0 0 0 0 0 0]\n[1 0 0 0 0 1 0 0 1 0 0 1 0 0 1 1 1 0 0 0 0 0 0 1 1 1 1 1 0 0 0 1 1 1 1 1 0 1 0 0\n    0 1 0 1 0 0 1 0 0 0 0 1 1 0 1 1 1 0 0 1 1 0 0 0 1 0 0 0 0 0 0 0 0 0 0 0 0 0 \n    0 0 0 0 0 0 0 0 0 0 0 0 0 0 0 0 0 0 0 0 0 0 0 0 0 0 0 0 0]\n[1 1 1 0 1 1 1 0 0 0 1 0 0 1 0 1 1 1 0 1 1 1 0 0 0 0 1 1 1 0 0 1 1 0 0 1 0 0 1 0\n    1 0 0 1 0 1 0 1 0 0 0 0 0 1 1 0 0 1 0 0 1 0 0 0 0 1 0 0 0 0 0 0 0 0 0 0 0 0 \n    0 0 0 0 0 0 0 0 0 0 0 0 0 0 0 0 0 0 0 0 0 0 0 0 0 0 0 0 0]\n[1 0 1 1 0 0 1 1 1 1 1 1 1 0 1 0 0 1 1 1 0 1 0 1 1 0 0 1 1 0 0 1 0 1 0 1 0 0 1 0\n    1 0 1 0 0 0 1 0 1 1 1 1 0 1 1 1 0 0 1 0 1 0 0 0 0 0 1 0 0 0 0 0 0 0 0 0 0 0 \n    0 0 0 0 0 0 0 0 0 0 0 0 0 0 0 0 0 0 0 0 0 0 0 0 0 0 0 0 0]\n[0 1 0 0 0 0 1 1 1 0 0 1 1 1 1 1 1 1 1 1 0 0 0 0 1 0 0 1 0 1 1 1 1 0 1 0 0 0 0 1\n    0 0 0 0 1 1 1 1 1 0 0 0 1 1 1 1 0 1 1 0 0 0 0 0 0 0 0 1 0 0 0 0 0 0 0 0 0 0 \n    0 0 0 0 0 0 0 0 0 0 0 0 0 0 0 0 0 0 0 0 0 0 0 0 0 0 0 0 0]\n[0 0 1 0 1 1 0 0 0 0 1 1 1 0 1 0 1 1 1 1 1 0 0 0 0 0 0 0 0 0 1 0 1 0 0 1 0 0 0 1\n    1 1 1 0 0 0 0 0 1 1 1 1 1 0 0 0 0 0 0 0 0 1 0 0 0 0 0 0 1 0 0 0 0 0 0 0 0 0 \n    0 0 0 0 0 0 0 0 0 0 0 0 0 0 0 0 0 0 0 0 0 0 0 0 0 0 0 0 0]\n[1 0 1 0 1 0 1 1 0 0 0 0 0 1 0 0 0 1 1 0 1 0 1 0 0 0 0 1 1 0 0 0 1 0 0 0 0 0 1 0\n    0 1 0 0 0 0 1 0 1 1 0 1 0 1 0 0 0 1 1 0 1 0 0 0 0 0 0 0 0 1 0 0 0 0 0 0 0 0 \n    0 0 0 0 0 0 0 0 0 0 0 0 0 0 0 0 0 0 0 0 0 0 0 0 0 0 0 0 0]\n[1 0 0 1 0 0 0 0 0 1 0 0 0 1 0 0 0 0 1 0 1 0 0 1 0 0 1 0 0 0 1 0 1 0 0 0 1 1 0 0\n    1 0 0 0 1 1 0 0 0 1 1 0 1 0 1 0 1 1 0 0 0 1 0 0 0 0 0 0 0 0 1 0 0 0 0 0 0 0 \n    0 0 0 0 0 0 0 0 0 0 0 0 0 0 0 0 0 0 0 0 0 0 0 0 0 0 0 0 0]\n[0 0 1 0 1 0 1 1 0 0 1 1 0 0 1 1 1 1 1 1 1 0 0 0 0 1 0 0 1 0 0 1 1 0 1 1 0 0 1 1\n    1 0 1 0 1 1 0 1 1 0 0 0 0 1 0 0 0 0 1 0 1 0 0 0 0 0 0 0 0 0 0 1 0 0 0 0 0 0 \n    0 0 0 0 0 0 0 0 0 0 0 0 0 0 0 0 0 0 0 0 0 0 0 0 0 0 0 0 0]\n[0 0 0 0 0 0 1 0 0 0 0 0 1 1 1 0 0 0 1 1 0 1 1 0 0 0 1 1 0 1 1 0 1 0 0 1 0 0 0 0\n    1 1 1 0 1 1 1 1 0 0 0 0 1 0 0 1 0 1 0 1 0 1 0 0 0 0 0 0 0 0 0 0 1 0 0 0 0 0 \n    0 0 0 0 0 0 0 0 0 0 0 0 0 0 0 0 0 0 0 0 0 0 0 0 0 0 0 0 0]\n[1 0 0 1 0 0 0 0 1 1 1 1 0 0 0 0 1 0 1 1 1 0 1 0 1 1 0 1 1 1 0 0 0 1 0 0 0 1 1 0\n    1 0 0 1 0 1 1 0 1 0 1 1 1 1 1 0 1 0 0 1 1 1 0 0 0 0 0 0 0 0 0 0 0 1 0 0 0 0 \n    0 0 0 0 0 0 0 0 0 0 0 0 0 0 0 0 0 0 0 0 0 0 0 0 0 0 0 0 0]\n[1 0 0 1 1 1 1 0 1 1 0 1 0 1 0 0 1 0 1 1 1 0 0 0 1 1 1 1 1 1 1 1 0 1 1 1 0 0 0 0\n    0 1 0 0 0 0 1 0 0 0 1 1 0 1 0 0 0 0 1 0 0 0 0 0 0 0 0 0 0 0 0 0 0 0 1 0 0 0 \n    0 0 0 0 0 0 0 0 0 0 0 0 0 0 0 0 0 0 0 0 0 0 0 0 0 0 0 0 0]\n[0 0 1 1 1 1 0 1 1 0 0 0 1 1 0 0 0 0 0 1 0 0 0 1 0 1 1 0 0 0 0 0 0 1 0 0 0 0 1 1\n    0 0 1 0 1 0 1 1 1 0 0 1 0 0 0 1 0 1 1 0 1 1 0 0 0 0 0 0 0 0 0 0 0 0 0 1 0 0 \n    0 0 0 0 0 0 0 0 0 0 0 0 0 0 0 0 0 0 0 0 0 0 0 0 0 0 0 0 0]\n[0 1 0 0 1 0 1 0 1 1 1 1 0 1 1 1 1 0 1 1 0 1 0 1 0 1 0 1 1 0 0 1 1 1 1 0 0 0 1 0\n    1 1 0 1 1 0 0 1 1 1 1 1 0 0 1 0 0 1 1 1 0 0 0 0 0 0 0 0 0 0 0 0 0 0 0 0 1 0 \n    0 0 0 0 0 0 0 0 0 0 0 0 0 0 0 0 0 0 0 0 0 0 0 0 0 0 0 0 0]\n[1 1 1 0 1 1 1 1 1 1 0 1 0 1 0 1 1 0 0 1 1 1 1 0 1 0 1 1 0 0 1 1 1 1 1 0 1 1 0 1\n    1 1 1 0 0 0 1 1 1 0 0 1 0 1 1 1 1 1 0 1 0 1 0 0 0 0 0 0 0 0 0 0 0 0 0 0 0 1 \n    0 0 0 0 0 0 0 0 0 0 0 0 0 0 0 0 0 0 0 0 0 0 0 0 0 0 0 0 0]\n[0 0 0 1 0 1 1 1 0 1 0 0 1 0 0 0 1 1 1 1 1 1 0 0 0 1 0 1 0 0 1 0 1 1 0 0 0 1 0 1\n    0 0 0 1 1 0 1 0 0 1 0 1 1 1 1 1 1 1 1 1 0 1 0 0 0 0 0 0 0 0 0 0 0 0 0 0 0 0 \n    1 0 0 0 0 0 0 0 0 0 0 0 0 0 0 0 0 0 0 0 0 0 0 0 0 0 0 0 0]\n[1 0 1 1 1 0 1 1 1 1 0 0 1 0 1 0 1 1 0 0 0 0 1 1 0 1 1 0 0 1 1 0 0 1 0 0 0 1 0 1\n    1 0 1 1 0 1 1 1 0 0 1 0 0 0 0 1 1 1 1 1 1 1 0 0 0 0 0 0 0 0 0 0 0 0 0 0 0 0 \n    0 1 0 0 0 0 0 0 0 0 0 0 0 0 0 0 0 0 0 0 0 0 0 0 0 0 0 0 0]\n[1 0 0 1 0 0 0 1 0 0 1 0 1 0 1 1 0 1 0 0 1 1 1 0 0 1 1 1 1 0 0 1 0 1 1 1 1 0 0 1\n    1 0 0 0 1 1 0 0 0 0 0 0 1 1 1 1 0 1 1 0 0 1 0 0 0 0 0 0 0 0 0 0 0 0 0 0 0 0 \n    0 0 1 0 0 0 0 0 0 0 0 0 0 0 0 0 0 0 0 0 0 0 0 0 0 0 0 0 0]\n[0 1 0 1 1 1 1 0 1 1 0 0 0 0 0 0 0 0 0 0 1 1 0 1 1 0 1 1 0 1 1 1 1 0 0 0 1 0 0 1\n    0 0 1 1 0 1 1 1 1 0 1 0 1 1 1 1 1 1 0 0 0 0 0 0 0 0 0 0 0 0 0 0 0 0 0 0 0 0 \n    0 0 0 1 0 0 0 0 0 0 0 0 0 0 0 0 0 0 0 0 0 0 0 0 0 0 0 0 0]\n[1 1 1 1 1 1 0 0 0 0 0 1 1 1 1 1 0 1 0 1 0 1 1 1 0 1 0 0 1 1 0 0 0 0 0 1 0 1 1 0\n    0 1 0 0 1 0 1 0 0 1 1 0 1 0 0 0 1 0 1 0 1 1 0 0 0 0 0 0 0 0 0 0 0 0 0 0 0 0 \n    0 0 0 0 1 0 0 0 0 0 0 0 0 0 0 0 0 0 0 0 0 0 0 0 0 0 0 0 0]\n[0 1 0 1 0 1 0 1 0 0 1 0 1 1 0 1 0 1 0 1 1 0 1 1 0 0 0 1 1 0 0 1 0 1 1 1 0 0 1 0\n    0 0 0 0 0 1 0 0 1 0 1 1 1 0 1 0 0 1 0 1 1 0 0 0 0 0 0 0 0 0 0 0 0 0 0 0 0 0 \n    0 0 0 0 0 1 0 0 0 0 0 0 0 0 0 0 0 0 0 0 0 0 0 0 0 0 0 0 0]\n[1 1 0 0 0 0 0 1 1 0 1 0 0 0 0 1 1 1 1 1 0 1 0 1 0 0 0 1 1 0 1 1 1 0 0 0 1 1 0 0\n    0 1 0 1 0 1 1 0 0 0 0 0 0 1 1 1 1 1 1 1 0 0 0 0 0 0 0 0 0 0 0 0 0 0 0 0 0 0 \n    0 0 0 0 0 0 1 0 0 0 0 0 0 0 0 0 0 0 0 0 0 0 0 0 0 0 0 0 0]\n[0 1 1 1 1 0 1 1 0 1 1 1 0 0 0 1 0 0 0 0 1 1 1 1 1 0 1 0 0 1 1 1 0 0 1 1 1 0 1 1\n    1 0 1 1 1 1 1 1 0 0 0 1 0 0 1 0 0 0 1 1 0 0 0 0 0 0 0 0 0 0 0 0 0 0 0 0 0 0 \n    0 0 0 0 0 0 0 1 0 0 0 0 0 0 0 0 0 0 0 0 0 0 0 0 0 0 0 0 0]\n[1 1 1 1 1 0 1 1 1 1 1 0 0 1 1 0 1 1 1 0 0 0 1 0 0 1 0 1 1 0 0 1 0 0 0 1 0 0 1 0\n    1 0 0 0 0 1 1 0 0 1 1 1 1 0 1 1 0 0 0 0 0 0 0 0 0 0 0 0 0 0 0 0 0 0 0 0 0 0 \n    0 0 0 0 0 0 0 0 1 0 0 0 0 0 0 0 0 0 0 0 0 0 0 0 0 0 0 0 0]\n[0 1 1 0 0 1 1 1 1 0 0 1 0 0 0 1 1 0 1 1 1 0 1 1 0 1 1 1 0 1 1 1 1 0 0 0 0 0 0 1\n    0 0 0 1 1 1 0 1 1 1 0 0 1 0 0 1 0 1 1 1 0 1 0 0 0 0 0 0 0 0 0 0 0 0 0 0 0 0 \n    0 0 0 0 0 0 0 0 0 1 0 0 0 0 0 0 0 0 0 0 0 0 0 0 0 0 0 0 0]\n[1 1 1 1 0 0 1 0 1 1 1 1 0 0 1 1 1 1 1 1 0 0 1 0 0 0 1 1 1 0 0 0 1 1 0 1 1 0 1 0\n    1 0 1 1 1 1 1 0 0 1 0 0 0 1 0 0 1 0 0 1 0 1 0 0 0 0 0 0 0 0 0 0 0 0 0 0 0 0 \n    0 0 0 0 0 0 0 0 0 0 1 0 0 0 0 0 0 0 0 0 0 0 0 0 0 0 0 0 0]\n[0 1 0 1 1 1 1 0 1 0 0 0 0 0 0 0 1 0 0 0 1 1 1 0 0 1 0 0 0 0 0 1 0 0 0 0 0 0 1 1\n    0 1 0 1 1 1 0 0 1 1 1 0 0 1 1 1 0 0 0 0 1 1 0 0 0 0 0 0 0 0 0 0 0 0 0 0 0 0 \n    0 0 0 0 0 0 0 0 0 0 0 1 0 0 0 0 0 0 0 0 0 0 0 0 0 0 0 0 0]\n[1 0 1 0 0 1 1 0 1 0 0 0 1 1 0 0 1 0 0 1 1 0 1 1 0 0 0 0 1 1 1 1 1 1 1 0 0 0 0 1\n    0 0 1 1 1 1 0 1 0 1 1 1 1 0 0 0 1 0 0 0 0 0 0 0 0 0 0 0 0 0 0 0 0 0 0 0 0 0 \n    0 0 0 0 0 0 0 0 0 0 0 0 1 0 0 0 0 0 0 0 0 0 0 0 0 0 0 0 0]\n[1 1 1 1 1 1 0 0 1 0 0 1 1 0 0 1 1 0 0 0 1 1 1 0 1 0 0 1 0 1 0 1 0 1 0 1 1 1 1 0\n    0 0 1 0 0 0 1 0 1 0 0 1 0 0 1 0 1 0 0 1 0 0 0 0 0 0 0 0 0 0 0 0 0 0 0 0 0 0 \n    0 0 0 0 0 0 0 0 0 0 0 0 0 1 0 0 0 0 0 0 0 0 0 0 0 0 0 0 0]\n[0 1 0 0 0 1 0 0 1 0 0 1 1 0 0 1 1 0 0 1 0 1 1 0 0 0 1 1 0 0 1 0 1 1 0 1 1 0 0 0\n    1 1 0 1 0 0 0 1 1 1 1 1 1 1 0 1 0 1 1 1 0 0 0 0 0 0 0 0 0 0 0 0 0 0 0 0 0 0 \n    0 0 0 0 0 0 0 0 0 0 0 0 0 0 1 0 0 0 0 0 0 0 0 0 0 0 0 0 0]\n[0 0 0 0 1 1 1 0 0 0 1 0 0 0 0 0 1 1 0 1 0 1 1 1 1 1 0 1 1 0 0 0 0 0 0 0 0 1 0 0\n    1 1 0 1 0 1 0 0 1 1 1 1 0 1 0 1 0 0 1 1 1 1 0 0 0 0 0 0 0 0 0 0 0 0 0 0 0 0 \n    0 0 0 0 0 0 0 0 0 0 0 0 0 0 0 1 0 0 0 0 0 0 0 0 0 0 0 0 0]\n[0 1 1 0 1 0 0 0 1 1 0 1 1 0 1 0 0 0 0 0 0 0 0 0 1 1 0 1 0 1 1 0 1 1 1 0 0 0 0 0\n    1 0 1 0 0 0 1 1 1 0 0 0 0 0 0 0 1 0 0 1 1 1 0 0 0 0 0 0 0 0 0 0 0 0 0 0 0 0 \n    0 0 0 0 0 0 0 0 0 0 0 0 0 0 0 0 1 0 0 0 0 0 0 0 0 0 0 0 0]\n[1 0 1 0 1 0 1 1 1 1 0 1 1 1 0 0 0 1 1 1 1 1 1 0 0 0 1 1 0 1 1 0 1 1 1 1 1 0 0 1\n    1 1 0 1 0 1 1 1 1 1 1 0 0 0 0 0 1 0 0 1 1 0 0 0 0 0 0 0 0 0 0 0 0 0 0 0 0 0 \n    0 0 0 0 0 0 0 0 0 0 0 0 0 0 0 0 0 1 0 0 0 0 0 0 0 0 0 0 0]\n[0 0 0 0 1 0 0 0 1 1 0 1 0 1 1 1 1 0 1 1 0 0 0 1 0 0 0 1 0 1 1 0 0 0 1 0 1 0 0 1\n    0 1 0 1 1 1 0 1 0 1 0 1 0 1 0 1 1 1 1 0 0 0 0 0 0 0 0 0 0 0 0 0 0 0 0 0 0 0 \n    0 0 0 0 0 0 0 0 0 0 0 0 0 0 0 0 0 0 1 0 0 0 0 0 0 0 0 0 0]\n[0 0 1 0 1 0 0 0 0 0 0 0 0 1 1 1 1 1 0 0 0 1 0 0 0 1 0 0 1 0 1 0 0 1 1 1 1 1 0 0\n    0 0 0 1 0 0 1 0 1 0 1 0 0 0 0 1 0 1 1 1 0 1 0 0 0 0 0 0 0 0 0 0 0 0 0 0 0 0 \n    0 0 0 0 0 0 0 0 0 0 0 0 0 0 0 0 0 0 0 1 0 0 0 0 0 0 0 0 0]\n[1 0 1 1 0 1 1 1 1 0 1 1 0 0 0 0 0 1 0 0 0 0 0 0 1 1 1 1 1 0 1 0 0 0 0 0 1 0 1 1\n    1 1 0 1 1 1 1 1 1 0 0 0 1 0 0 1 0 0 1 1 0 1 0 0 0 0 0 0 0 0 0 0 0 0 0 0 0 0 \n    0 0 0 0 0 0 0 0 0 0 0 0 0 0 0 0 0 0 0 0 1 0 0 0 0 0 0 0 0]\n[1 0 0 0 0 0 1 1 0 0 1 1 0 0 1 0 0 0 0 1 1 0 1 0 0 1 1 1 0 1 1 0 1 1 0 1 0 0 0 1\n    1 0 0 0 0 0 0 1 1 0 1 1 0 1 0 1 0 0 0 1 0 1 0 0 0 0 0 0 0 0 0 0 0 0 0 0 0 0 \n    0 0 0 0 0 0 0 0 0 0 0 0 0 0 0 0 0 0 0 0 0 1 0 0 0 0 0 0 0]\n[1 0 0 0 1 1 1 1 1 1 0 0 1 0 1 0 0 1 1 1 1 0 1 0 1 0 0 0 1 0 0 1 1 0 1 0 0 0 1 1\n    1 1 0 1 0 0 1 0 0 0 0 1 0 1 0 0 1 0 1 1 1 0 0 0 0 0 0 0 0 0 0 0 0 0 0 0 0 0 \n    0 0 0 0 0 0 0 0 0 0 0 0 0 0 0 0 0 0 0 0 0 0 1 0 0 0 0 0 0]\n[0 0 0 0 1 1 1 0 0 0 0 1 0 1 0 0 0 1 0 0 1 0 1 1 0 0 1 1 1 0 1 1 1 0 0 0 1 1 0 1\n    0 0 0 1 0 0 1 0 0 1 1 0 0 0 1 1 1 0 1 1 0 0 0 0 0 0 0 0 0 0 0 0 0 0 0 0 0 0 \n    0 0 0 0 0 0 0 0 0 0 0 0 0 0 0 0 0 0 0 0 0 0 0 1 0 0 0 0 0]\n[0 1 0 1 0 1 0 0 0 1 1 1 0 1 0 1 0 1 1 1 0 1 0 0 0 0 0 0 1 0 1 0 0 0 0 1 0 1 0 0\n    0 1 0 1 1 0 0 0 1 0 0 0 1 1 1 0 1 0 0 1 0 1 0 0 0 0 0 0 0 0 0 0 0 0 0 0 0 0 \n    0 0 0 0 0 0 0 0 0 0 0 0 0 0 0 0 0 0 0 0 0 0 0 0 1 0 0 0 0]\n[0 1 0 0 1 0 0 0 0 0 0 0 0 1 0 1 1 1 0 1 0 0 0 1 0 1 1 1 0 1 1 0 1 0 1 0 1 0 0 1\n    1 0 0 0 0 0 1 0 1 0 0 0 0 0 1 0 1 1 1 1 1 1 0 0 0 0 0 0 0 0 0 0 0 0 0 0 0 0 \n    0 0 0 0 0 0 0 0 0 0 0 0 0 0 0 0 0 0 0 0 0 0 0 0 0 1 0 0 0]\n[0 1 0 0 1 0 1 0 1 1 1 0 0 1 1 0 0 0 0 0 0 1 0 0 0 0 1 0 1 0 1 0 1 1 1 0 0 0 0 0\n    0 1 0 0 1 1 0 1 1 1 0 0 1 1 1 1 1 0 0 0 0 0 0 0 0 0 0 0 0 0 0 0 0 0 0 0 0 0 \n    0 0 0 0 0 0 0 0 0 0 0 0 0 0 0 0 0 0 0 0 0 0 0 0 0 0 1 0 0]\n[0 1 1 1 1 0 1 0 1 1 0 1 0 1 1 1 1 1 0 1 0 1 0 0 0 1 1 0 0 0 0 0 1 0 1 1 0 1 0 1\n    1 1 0 1 0 1 0 1 0 0 0 1 0 0 1 1 1 1 0 0 0 1 0 0 0 0 0 0 0 0 0 0 0 0 0 0 0 0 \n    0 0 0 0 0 0 0 0 0 0 0 0 0 0 0 0 0 0 0 0 0 0 0 0 0 0 0 1 0]\n[1 0 0 0 1 1 1 0 1 0 1 1 0 1 1 0 1 0 0 0 1 0 0 0 1 0 1 0 1 1 0 0 1 0 1 1 1 0 1 1\n    1 1 0 1 0 0 0 0 1 0 1 0 0 0 1 0 1 0 1 1 0 0 0 0 0 0 0 0 0 0 0 0 0 0 0 0 0 0 \n    0 0 0 0 0 0 0 0 0 0 0 0 0 0 0 0 0 0 0 0 0 0 0 0 0 0 0 0 1]\n[107, 45] Linear Code over GF(2)\nGenerator matrix:\n[1 0 0 0 0 0 0 0 0 0 0 0 0 0 0 0 0 0 0 0 0 0 0 0 0 0 0 0 0 0 0 0 0 0 0 0 0 0 0 0\n    0 0 0 0 1 0 0 1 1 1 0 0 1 1 0 1 1 1 1 0 0 1 0 0 1 0 0 1 0 0 0 1 1 1 1 0 1 1 \n    1 0 1 1 0 1 1 1 0 1 1 1 0 0 1 0 0 1 0 1 1 0 1 0 0 1 0 0 1]\n[0 1 0 0 0 0 0 0 0 0 0 0 0 0 0 0 0 0 0 0 0 0 0 0 0 0 0 0 0 0 0 0 0 0 0 0 0 0 0 0\n    0 0 0 0 1 0 0 1 0 1 0 0 0 1 0 0 1 1 0 0 1 1 0 0 1 1 1 1 0 1 0 0 1 0 0 0 1 1 \n    0 1 0 0 0 1 0 1 1 1 1 1 1 0 0 1 1 1 0 0 1 1 0 0 1 1 1 1 0]\n[0 0 1 0 0 0 0 0 0 0 0 0 0 0 0 0 0 0 0 0 0 0 0 0 0 0 0 0 0 0 0 0 0 0 0 0 0 0 0 0\n    0 0 0 0 1 0 0 1 1 1 1 0 0 1 0 0 1 0 1 0 1 1 1 1 1 1 0 1 0 1 0 0 0 1 1 0 1 0 \n    0 1 0 1 0 1 0 0 0 1 1 1 0 1 1 0 0 0 1 0 0 0 0 1 0 1 0 1 0]\n[0 0 0 1 0 0 0 0 0 0 0 0 0 0 0 0 0 0 0 0 0 0 0 0 0 0 0 0 0 0 0 0 0 0 0 0 0 0 0 0\n    0 0 0 0 1 0 1 0 1 1 1 1 1 1 1 1 1 0 1 0 0 0 0 1 1 0 1 1 1 1 1 1 0 0 1 1 1 1 \n    0 0 1 0 0 1 1 0 0 0 0 1 0 0 0 1 0 1 0 0 1 1 0 0 1 1 0 1 0]\n[0 0 0 0 1 0 0 0 0 0 0 0 0 0 0 0 0 0 0 0 0 0 0 0 0 0 0 0 0 0 0 0 0 0 0 0 0 0 0 0\n    0 0 0 0 1 0 0 1 1 0 0 0 1 1 1 0 0 1 1 0 0 1 0 0 1 0 1 1 1 0 0 1 0 1 1 0 1 0 \n    0 0 1 1 1 0 0 0 0 0 0 0 0 1 0 0 1 0 0 1 0 1 1 0 0 1 0 1 1]\n[0 0 0 0 0 1 0 0 0 0 0 0 0 0 0 0 0 0 0 0 0 0 0 0 0 0 0 0 0 0 0 0 0 0 0 0 0 0 0 0\n    0 0 0 0 1 0 1 0 1 0 1 1 0 1 1 1 0 0 0 0 1 0 1 0 1 0 1 1 1 0 0 1 1 1 0 1 0 0 \n    1 0 0 1 0 1 1 1 0 0 0 1 1 0 0 1 1 1 1 0 0 0 0 0 1 0 0 1 1]\n[0 0 0 0 0 0 1 0 0 0 0 0 0 0 0 0 0 0 0 0 0 0 0 0 0 0 0 0 0 0 0 0 0 0 0 0 0 0 0 0\n    0 0 0 0 0 0 0 1 1 0 0 0 0 1 0 0 0 1 0 0 1 0 1 0 1 1 0 1 0 0 0 0 1 0 0 0 1 0 \n    1 1 0 1 1 1 1 1 1 0 0 0 0 1 1 1 0 1 0 1 0 0 1 1 1 0 0 1 0]\n[0 0 0 0 0 0 0 1 0 0 0 0 0 0 0 0 0 0 0 0 0 0 0 0 0 0 0 0 0 0 0 0 0 0 0 0 0 0 0 0\n    0 0 0 0 1 0 0 0 0 0 0 0 1 0 0 0 1 0 1 0 1 0 0 1 1 0 0 1 0 0 0 0 1 0 0 0 0 1 \n    0 0 1 1 1 0 0 0 0 0 0 0 1 1 1 0 0 0 0 1 1 1 0 0 1 1 0 1 1]\n[0 0 0 0 0 0 0 0 1 0 0 0 0 0 0 0 0 0 0 0 0 0 0 0 0 0 0 0 0 0 0 0 0 0 0 0 0 0 0 0\n    0 0 0 0 0 0 0 0 1 1 0 1 0 1 1 1 0 1 1 1 0 0 1 1 0 0 1 0 0 0 0 1 0 1 1 1 1 0 \n    0 0 0 1 1 0 1 1 0 1 1 0 0 0 1 1 0 0 0 1 0 0 1 0 1 0 1 0 1]\n[0 0 0 0 0 0 0 0 0 1 0 0 0 0 0 0 0 0 0 0 0 0 0 0 0 0 0 0 0 0 0 0 0 0 0 0 0 0 0 0\n    0 0 0 0 1 0 0 0 1 0 1 0 0 0 0 1 0 0 1 1 0 1 0 1 0 1 1 0 1 0 0 0 0 1 1 1 1 1 \n    0 1 0 1 1 0 1 0 0 1 1 1 1 1 0 0 0 0 1 1 1 1 0 0 0 1 0 0 0]\n[0 0 0 0 0 0 0 0 0 0 1 0 0 0 0 0 0 0 0 0 0 0 0 0 0 0 0 0 0 0 0 0 0 0 0 0 0 0 0 0\n    0 0 0 0 0 0 1 0 1 0 1 1 0 0 1 0 0 0 1 0 0 1 0 0 0 1 1 1 1 1 1 1 0 1 1 0 0 0 \n    1 0 1 1 0 1 1 1 0 1 1 1 0 1 0 0 1 0 0 0 0 0 0 1 0 0 1 0 0]\n[0 0 0 0 0 0 0 0 0 0 0 1 0 0 0 0 0 0 0 0 0 0 0 0 0 0 0 0 0 0 0 0 0 0 0 0 0 0 0 0\n    0 0 0 0 0 0 1 0 1 1 1 1 0 1 1 0 1 0 1 1 1 0 1 1 0 1 1 1 1 0 0 0 0 0 1 0 0 1 \n    0 0 1 0 0 0 1 1 0 0 0 0 0 1 0 1 1 1 0 0 0 0 0 0 0 1 0 0 0]\n[0 0 0 0 0 0 0 0 0 0 0 0 1 0 0 0 0 0 0 0 0 0 0 0 0 0 0 0 0 0 0 0 0 0 0 0 0 0 0 0\n    0 0 0 0 0 0 0 0 1 1 0 0 1 1 0 0 0 0 1 0 0 0 0 0 0 1 1 1 0 1 0 0 1 1 0 0 1 0 \n    1 1 0 0 1 1 0 0 0 0 0 0 0 1 0 0 0 0 0 1 0 1 1 1 0 0 1 1 1]\n[0 0 0 0 0 0 0 0 0 0 0 0 0 1 0 0 0 0 0 0 0 0 0 0 0 0 0 0 0 0 0 0 0 0 0 0 0 0 0 0\n    0 0 0 0 1 0 1 1 1 0 0 0 1 1 1 1 0 1 0 1 0 1 0 1 0 0 1 0 0 1 1 0 0 0 0 0 0 1 \n    0 1 1 1 1 0 0 0 0 1 1 0 1 1 1 0 0 0 0 1 0 0 0 0 0 0 1 1 1]\n[0 0 0 0 0 0 0 0 0 0 0 0 0 0 1 0 0 0 0 0 0 0 0 0 0 0 0 0 0 0 0 0 0 0 0 0 0 0 0 0\n    0 0 0 0 0 0 0 1 0 0 0 1 0 1 0 0 1 0 0 0 1 1 0 1 0 1 1 1 1 0 1 0 0 0 1 1 1 0 \n    0 0 1 1 1 0 1 1 0 1 0 1 0 0 1 1 0 0 0 1 0 1 0 0 1 1 0 1 1]\n[0 0 0 0 0 0 0 0 0 0 0 0 0 0 0 1 0 0 0 0 0 0 0 0 0 0 0 0 0 0 0 0 0 0 0 0 0 0 0 0\n    0 0 0 0 0 0 0 0 1 0 0 0 0 1 1 0 1 0 1 0 1 1 1 0 1 1 0 1 1 0 0 0 0 1 0 0 0 1 \n    0 0 0 0 1 1 1 0 1 1 0 0 0 1 1 0 0 0 1 1 0 1 0 1 0 1 1 1 0]\n[0 0 0 0 0 0 0 0 0 0 0 0 0 0 0 0 1 0 0 0 0 0 0 0 0 0 0 0 0 0 0 0 0 0 0 0 0 0 0 0\n    0 0 0 0 1 0 0 1 1 0 1 0 1 1 1 1 1 0 1 1 1 0 0 0 0 0 1 1 0 0 0 0 0 1 0 1 1 0 \n    1 1 1 0 1 0 0 0 1 1 1 1 1 0 1 0 1 0 1 0 0 0 0 0 1 0 1 1 0]\n[0 0 0 0 0 0 0 0 0 0 0 0 0 0 0 0 0 1 0 0 0 0 0 0 0 0 0 0 0 0 0 0 0 0 0 0 0 0 0 0\n    0 0 0 0 0 0 0 1 1 0 1 1 1 1 1 1 0 1 1 0 1 1 1 0 0 1 0 1 1 1 0 0 1 0 0 1 0 1 \n    1 0 1 1 1 1 0 1 1 1 1 1 0 0 0 0 0 0 0 0 0 1 0 0 1 0 0 1 1]\n[0 0 0 0 0 0 0 0 0 0 0 0 0 0 0 0 0 0 1 0 0 0 0 0 0 0 0 0 0 0 0 0 0 0 0 0 0 0 0 0\n    0 0 0 0 0 0 0 1 1 1 0 0 1 1 0 1 1 1 1 0 0 1 1 1 1 1 1 0 1 0 0 0 1 0 0 0 1 1 \n    0 0 0 0 1 0 1 0 0 1 1 1 0 1 1 1 0 0 1 0 1 1 1 1 0 0 1 1 1]\n[0 0 0 0 0 0 0 0 0 0 0 0 0 0 0 0 0 0 0 1 0 0 0 0 0 0 0 0 0 0 0 0 0 0 0 0 0 0 0 0\n    0 0 0 0 1 0 1 0 1 1 1 0 0 0 0 0 1 1 0 0 0 0 0 1 1 1 1 1 0 1 1 0 0 0 0 0 0 1 \n    0 0 0 0 0 0 0 0 0 1 0 0 1 1 0 1 1 1 1 1 1 0 1 0 1 0 0 0 0]\n[0 0 0 0 0 0 0 0 0 0 0 0 0 0 0 0 0 0 0 0 1 0 0 0 0 0 0 0 0 0 0 0 0 0 0 0 0 0 0 0\n    0 0 0 0 1 0 0 1 1 0 0 1 0 1 0 0 1 1 1 0 1 1 0 0 0 0 1 1 0 0 1 0 0 0 0 1 1 1 \n    0 0 0 1 1 1 1 1 0 0 0 1 1 0 1 0 0 0 0 0 1 1 1 1 0 1 0 1 1]\n[0 0 0 0 0 0 0 0 0 0 0 0 0 0 0 0 0 0 0 0 0 1 0 0 0 0 0 0 0 0 0 0 0 0 0 0 0 0 0 0\n    0 0 0 0 1 0 1 0 1 0 1 1 0 1 1 0 1 0 1 0 0 1 1 0 1 0 0 1 1 0 0 1 0 0 1 1 0 0 \n    0 0 0 1 0 1 1 1 1 1 1 1 1 0 0 1 0 0 0 1 0 0 1 1 0 0 0 0 0]\n[0 0 0 0 0 0 0 0 0 0 0 0 0 0 0 0 0 0 0 0 0 0 1 0 0 0 0 0 0 0 0 0 0 0 0 0 0 0 0 0\n    0 0 0 0 0 0 1 1 1 0 1 0 0 0 0 0 0 0 1 1 1 1 0 1 0 1 0 0 1 1 0 1 0 1 1 1 0 1 \n    0 0 1 1 0 1 1 0 1 1 1 0 1 0 0 1 0 1 1 0 1 0 1 1 1 0 1 1 0]\n[0 0 0 0 0 0 0 0 0 0 0 0 0 0 0 0 0 0 0 0 0 0 0 1 0 0 0 0 0 0 0 0 0 0 0 0 0 0 0 0\n    0 0 0 0 1 0 0 1 1 0 1 1 0 0 1 1 0 1 0 1 0 1 1 1 0 0 1 1 0 1 0 1 0 0 1 1 1 1 \n    0 1 0 1 0 1 1 0 1 1 0 1 1 1 1 1 0 1 1 0 0 1 0 1 1 0 1 1 1]\n[0 0 0 0 0 0 0 0 0 0 0 0 0 0 0 0 0 0 0 0 0 0 0 0 1 0 0 0 0 0 0 0 0 0 0 0 0 0 0 0\n    0 0 0 0 1 0 1 0 1 0 1 1 1 1 0 0 1 0 1 0 1 0 1 1 1 1 0 1 0 0 0 0 0 0 0 1 0 0 \n    0 0 0 1 0 1 0 0 0 1 0 0 0 1 0 0 1 1 0 1 1 0 1 1 0 1 0 0 0]\n[0 0 0 0 0 0 0 0 0 0 0 0 0 0 0 0 0 0 0 0 0 0 0 0 0 1 0 0 0 0 0 0 0 0 0 0 0 0 0 0\n    0 0 0 0 0 0 0 0 0 1 1 1 0 1 1 1 0 0 1 1 1 1 0 1 1 0 1 1 0 0 0 0 1 1 1 1 1 0 \n    0 0 1 0 0 0 1 0 0 1 1 0 1 1 0 0 1 1 0 0 0 1 0 1 1 1 1 1 0]\n[0 0 0 0 0 0 0 0 0 0 0 0 0 0 0 0 0 0 0 0 0 0 0 0 0 0 1 0 0 0 0 0 0 0 0 0 0 0 0 0\n    0 0 0 0 0 0 1 0 1 1 1 1 1 0 1 1 1 1 0 0 1 0 0 0 0 1 0 0 0 1 1 1 1 0 1 0 0 1 \n    1 1 0 1 0 0 0 0 1 1 1 0 0 0 1 0 0 0 0 0 0 1 0 1 1 1 1 0 1]\n[0 0 0 0 0 0 0 0 0 0 0 0 0 0 0 0 0 0 0 0 0 0 0 0 0 0 0 1 0 0 0 0 0 0 0 0 0 0 0 0\n    0 0 0 0 0 0 0 1 0 1 1 1 1 1 0 1 1 1 1 0 0 1 0 0 0 0 1 0 0 0 1 1 1 1 0 1 0 0 \n    1 1 1 0 1 0 0 0 0 1 1 1 0 0 0 1 0 0 0 0 0 0 1 0 1 1 1 1 0]\n[0 0 0 0 0 0 0 0 0 0 0 0 0 0 0 0 0 0 0 0 0 0 0 0 0 0 0 0 1 0 0 0 0 0 0 0 0 0 0 0\n    0 0 0 0 0 0 1 0 1 0 1 1 0 0 1 1 0 0 1 0 1 0 1 0 1 1 1 1 1 1 0 0 0 1 0 1 0 0 \n    1 0 0 1 1 0 0 0 0 1 0 0 0 1 1 0 0 1 1 0 1 0 1 0 1 1 1 1 1]\n[0 0 0 0 0 0 0 0 0 0 0 0 0 0 0 0 0 0 0 0 0 0 0 0 0 0 0 0 0 1 0 0 0 0 0 0 0 0 0 0\n    0 0 0 0 1 0 1 1 1 1 1 1 1 0 1 0 1 0 0 0 1 0 1 0 0 1 1 1 0 0 1 0 0 1 1 1 0 1 \n    0 1 0 0 0 0 0 0 0 1 0 1 1 1 0 0 1 0 0 0 0 0 1 0 0 0 0 0 1]\n[0 0 0 0 0 0 0 0 0 0 0 0 0 0 0 0 0 0 0 0 0 0 0 0 0 0 0 0 0 0 1 0 0 0 0 0 0 0 0 0\n    0 0 0 0 0 0 0 1 0 1 1 0 1 1 1 1 1 0 1 1 1 0 0 0 1 1 0 0 1 1 0 0 0 1 0 0 1 0 \n    1 1 0 0 0 1 1 0 1 0 0 0 1 0 0 1 1 0 1 0 0 0 0 1 0 1 0 1 0]\n[0 0 0 0 0 0 0 0 0 0 0 0 0 0 0 0 0 0 0 0 0 0 0 0 0 0 0 0 0 0 0 1 0 0 0 0 0 0 0 0\n    0 0 0 0 0 0 0 0 1 1 1 0 0 0 1 1 0 0 1 1 1 1 1 0 1 1 0 1 0 1 0 1 1 0 0 0 0 1 \n    1 0 1 1 0 1 1 0 1 0 1 1 0 1 1 1 1 1 1 0 1 1 1 0 0 0 0 1 0]\n[0 0 0 0 0 0 0 0 0 0 0 0 0 0 0 0 0 0 0 0 0 0 0 0 0 0 0 0 0 0 0 0 1 0 0 0 0 0 0 0\n    0 0 0 0 1 0 0 0 1 1 1 0 0 0 1 1 0 0 0 1 1 0 0 1 0 1 0 0 0 1 0 0 1 1 1 1 1 0 \n    0 1 0 0 1 0 1 0 0 0 0 0 1 0 1 0 1 1 0 0 0 0 1 1 1 0 1 1 1]\n[0 0 0 0 0 0 0 0 0 0 0 0 0 0 0 0 0 0 0 0 0 0 0 0 0 0 0 0 0 0 0 0 0 1 0 0 0 0 0 0\n    0 0 0 0 0 0 0 0 0 1 0 0 0 1 1 0 0 1 0 1 1 1 0 0 0 1 0 1 1 0 0 1 0 0 0 1 0 0 \n    1 1 0 0 1 0 1 0 1 0 1 0 1 0 1 1 0 1 0 1 1 0 1 1 1 1 1 0 0]\n[0 0 0 0 0 0 0 0 0 0 0 0 0 0 0 0 0 0 0 0 0 0 0 0 0 0 0 0 0 0 0 0 0 0 1 0 0 0 0 0\n    0 0 0 0 0 0 1 0 0 1 0 1 0 0 1 1 0 1 1 0 1 1 0 1 0 0 0 1 0 0 1 0 1 0 1 0 0 1 \n    0 0 0 1 1 0 0 1 1 0 1 1 1 0 0 0 1 1 0 1 0 0 1 0 1 0 1 0 0]\n[0 0 0 0 0 0 0 0 0 0 0 0 0 0 0 0 0 0 0 0 0 0 0 0 0 0 0 0 0 0 0 0 0 0 0 1 0 0 0 0\n    0 0 0 0 0 0 0 0 1 0 0 0 1 0 1 1 1 1 1 1 0 0 1 1 1 1 1 0 1 1 1 0 0 1 1 0 0 0 \n    1 1 1 0 0 1 0 1 0 1 1 0 1 0 1 0 0 1 0 1 1 1 0 0 0 1 1 0 0]\n[0 0 0 0 0 0 0 0 0 0 0 0 0 0 0 0 0 0 0 0 0 0 0 0 0 0 0 0 0 0 0 0 0 0 0 0 1 0 0 0\n    0 0 0 0 0 0 0 0 1 1 1 0 1 1 0 0 0 0 1 1 1 1 0 0 1 0 0 1 1 1 0 0 0 1 1 1 0 1 \n    1 1 1 0 1 0 0 0 1 1 0 1 0 0 1 1 0 1 0 0 1 0 1 1 0 1 0 0 0]\n[0 0 0 0 0 0 0 0 0 0 0 0 0 0 0 0 0 0 0 0 0 0 0 0 0 0 0 0 0 0 0 0 0 0 0 0 0 1 0 0\n    0 0 0 0 1 0 0 0 1 0 1 1 0 0 0 0 0 1 1 1 1 0 1 0 1 1 0 1 0 0 1 1 1 0 1 0 0 0 \n    1 0 1 1 0 0 0 0 1 1 0 0 1 0 1 1 1 0 1 0 1 1 1 1 1 0 1 0 1]\n[0 0 0 0 0 0 0 0 0 0 0 0 0 0 0 0 0 0 0 0 0 0 0 0 0 0 0 0 0 0 0 0 0 0 0 0 0 0 1 0\n    0 0 0 0 0 0 1 0 1 0 1 0 1 1 1 1 1 0 1 1 1 0 1 1 0 0 0 0 1 1 0 1 0 1 1 0 0 1 \n    0 1 1 1 0 1 1 0 0 0 0 1 1 1 1 1 1 0 0 0 1 0 1 0 1 1 1 1 1]\n[0 0 0 0 0 0 0 0 0 0 0 0 0 0 0 0 0 0 0 0 0 0 0 0 0 0 0 0 0 0 0 0 0 0 0 0 0 0 0 1\n    0 0 0 0 1 0 0 0 1 0 0 0 0 0 0 0 1 1 0 1 1 1 1 1 0 1 1 0 0 1 0 0 0 1 1 1 0 0 \n    0 1 0 1 1 0 1 0 0 1 1 0 1 1 0 0 1 1 1 0 1 0 1 0 0 0 1 1 0]\n[0 0 0 0 0 0 0 0 0 0 0 0 0 0 0 0 0 0 0 0 0 0 0 0 0 0 0 0 0 0 0 0 0 0 0 0 0 0 0 0\n    1 0 0 0 1 0 0 1 1 0 1 1 1 0 1 0 0 1 0 1 1 0 1 1 1 1 0 1 1 0 0 0 1 0 1 1 1 0 \n    0 1 1 1 0 1 0 1 1 1 1 0 1 0 1 0 0 0 0 1 0 1 0 1 0 1 1 0 1]\n[0 0 0 0 0 0 0 0 0 0 0 0 0 0 0 0 0 0 0 0 0 0 0 0 0 0 0 0 0 0 0 0 0 0 0 0 0 0 0 0\n    0 1 0 0 1 0 1 0 1 0 1 1 0 1 0 0 1 1 0 0 0 1 0 1 1 1 0 0 0 0 1 1 1 0 0 0 1 0 \n    1 0 0 1 0 1 1 0 1 0 1 1 0 0 0 1 1 1 0 1 1 1 0 0 0 0 1 1 0]\n[0 0 0 0 0 0 0 0 0 0 0 0 0 0 0 0 0 0 0 0 0 0 0 0 0 0 0 0 0 0 0 0 0 0 0 0 0 0 0 0\n    0 0 1 0 0 0 1 1 1 0 0 1 1 0 0 1 1 1 1 1 1 0 0 0 1 0 0 0 1 1 0 0 1 0 1 0 1 1 \n    0 0 0 0 1 0 0 0 1 0 1 1 1 0 0 1 0 1 1 1 0 1 1 0 0 0 1 1 1]\n[0 0 0 0 0 0 0 0 0 0 0 0 0 0 0 0 0 0 0 0 0 0 0 0 0 0 0 0 0 0 0 0 0 0 0 0 0 0 0 0\n    0 0 0 1 0 0 1 1 0 0 0 1 1 0 0 1 1 0 0 1 0 0 1 0 0 1 1 1 0 1 1 0 0 1 1 0 0 1 \n    0 1 1 1 0 0 0 1 1 0 1 1 1 0 0 0 0 0 0 1 1 1 1 0 0 0 1 0 0]\n[0 0 0 0 0 0 0 0 0 0 0 0 0 0 0 0 0 0 0 0 0 0 0 0 0 0 0 0 0 0 0 0 0 0 0 0 0 0 0 0\n    0 0 0 0 0 1 1 1 0 0 0 0 1 1 0 1 1 1 0 0 1 0 0 1 1 1 0 1 0 1 0 1 0 1 1 1 1 1 \n    1 0 0 0 0 0 0 1 0 1 0 1 0 0 0 0 1 1 1 0 1 0 0 1 1 0 1 1 1]\nLinear Code over GF(2) of length 107 with 45 generators.\nLower Bound: 1, Upper Bound: 63\nConstructed 3 distinct generator matrices\nRelative Ranks:  45  45  17 \nTime Taken: 0.00\nStarting search for low weight codewords... (reset timings)\nEnumerating using 1 generator at a time:\n     New codeword identified of weight 36, time 0.00\n     New codeword identified of weight 34, time 0.00\n     New codeword identified of weight 32, time 0.00\n     New codeword identified of weight 29, time 0.00\n     New codeword identified of weight 24, time 0.00\n     Discarding non-contributing rank 17 matrix\n     New Relative Ranks:  45  45 \n   Completed Matrix  1:  lower =  3, upper = 24. Elapsed: 0.00s\n     New codeword identified of weight 23, time 0.00\n   Completed Matrix  2:  lower =  4, upper = 23. Elapsed: 0.00s\nTermination predicted with 11 generators at matrix 1\nEnumerating using 2 generators at a time:\n     New codeword identified of weight 21, time 0.00\n   Completed Matrix  1:  lower =  5, upper = 21. Elapsed: 0.00s\n   Completed Matrix  2:  lower =  6, upper = 21. Elapsed: 0.00s\nTermination predicted with 10 generators at matrix 1\nEnumerating using 3 generators at a time:\n   Completed Matrix  1:  lower =  7, upper = 21. Elapsed: 0.00s\n   Completed Matrix  2:  lower =  8, upper = 21. Elapsed: 0.00s\nTermination predicted with 10 generators at matrix 1\nEnumerating using 4 generators at a time:\n   Completed Matrix  1:  lower =  9, upper = 21. Elapsed: 0.00s\n   Completed Matrix  2:  lower = 10, upper = 21. Elapsed: 0.00s\nTermination predicted with 10 generators at matrix 1\nEnumerating using 5 generators at a time:\n   Completed Matrix  1:  lower = 11, upper = 21. Elapsed: 0.00s\n   Completed Matrix  2:  lower = 12, upper = 21. Elapsed: 0.00s\nTermination predicted with 10 generators at matrix 1\nEnumerating using 6 generators at a time:\n   Completed Matrix  1:  lower = 13, upper = 21. Elapsed: 0.02s\n   Completed Matrix  2:  lower = 14, upper = 21. Elapsed: 0.03s\nTermination predicted with 10 generators at matrix 1\nEnumerating using 7 generators at a time:\n   Completed Matrix  1:  lower = 15, upper = 21. Elapsed: 0.14s\n   Completed Matrix  2:  lower = 16, upper = 21. Elapsed: 0.23s\nTermination predicted at 12 s with 10 generators at matrix 1\nEnumerating using 8 generators at a time:\n   Completed Matrix  1:  lower = 17, upper = 21. Elapsed: 0.71s\n   Completed Matrix  2:  lower = 18, upper = 21. Elapsed: 1.16s\nTermination predicted at 12 s with 10 generators at matrix 1\nEnumerating using 9 generators at a time:\n   Completed Matrix  1:  lower = 19, upper = 21. Elapsed: 3.14s\n   Completed Matrix  2:  lower = 20, upper = 21. Elapsed: 5.15s\nTermination predicted at 12 s with 10 generators at matrix 1\nEnumerating using 10 generators at a time:\n   Completed Matrix  1:  lower = 21, upper = 21. Elapsed: 12.64s\nComputation complete 5503441264 vectors enumerated in total\n (0.015642% of 107 45 code)\nFinal Results: lower = 21, upper = 21,\nTotal CPU time: 12.64, real time: 12.653\n21\n\nTotal time: 12.650 seconds, Total memory usage: 32.09MB\n</t>
  </si>
  <si>
    <t>[[108,55,17]]</t>
  </si>
  <si>
    <t>Magma V2.28-26    Tue Dec 30 2025 10:40:12 on Marks-MacBook-Air-2 [Seed = \n2277327443]\nType ? for help.  Type &lt;Ctrl&gt;-D to quit.\n[1 1 1 0 1 0 0 1 1 1 0 1 0 0 1 1 1 0 1 0 0 1 1 1 0 1 0 0 1 1 1 0 1 0 0 1 1 1 0 1\n    0 0 1 1 1 0 1 0 0 1 1 1 0 1 0 0 0 0 0 0 0 0 0 0 0 0 0 0 0 0 0 0 0 0 0 0 0 0 \n    0 0 0 0 0 0 0 0 0 0 0 0 0 0 0 0 0 0 0 0 0 0 0 0 0 0 0 0 0 0]\n[0 1 1 1 0 1 0 0 1 1 1 0 1 0 0 1 1 1 0 1 0 0 1 1 1 0 1 0 0 1 1 1 0 1 0 0 1 1 1 0\n    1 0 0 1 1 1 0 1 0 0 1 1 1 0 1 0 0 0 0 0 0 0 0 0 0 0 0 0 0 0 0 0 0 0 0 0 0 0 \n    0 0 0 0 0 0 0 0 0 0 0 0 0 0 0 0 0 0 0 0 0 0 0 0 0 0 0 0 0 0]\n[1 1 0 1 0 0 1 1 1 0 1 0 0 1 1 1 0 1 0 0 1 1 1 0 1 0 0 1 1 1 0 1 0 0 1 1 1 0 1 0\n    0 1 1 1 0 1 0 0 1 1 1 0 1 0 0 1 0 0 0 0 0 0 0 0 0 0 0 0 0 0 0 0 0 0 0 0 0 0 \n    0 0 0 0 0 0 0 0 0 0 0 0 0 0 0 0 0 0 0 0 0 0 0 0 0 0 0 0 0 0]\n[0 0 1 0 0 0 1 1 1 1 1 1 1 1 0 0 1 1 1 0 1 0 0 0 1 1 0 0 0 0 1 0 0 1 1 1 0 0 1 0\n    0 0 0 0 1 0 1 0 0 1 1 0 1 0 0 0 1 0 0 0 0 0 0 0 0 0 0 0 0 0 0 0 0 0 0 0 0 0 \n    0 0 0 0 0 0 0 0 0 0 0 0 0 0 0 0 0 0 0 0 0 0 0 0 0 0 0 0 0 0]\n[1 0 1 1 1 1 1 1 1 1 0 1 0 1 0 0 0 0 0 0 0 0 1 0 1 0 1 0 1 0 1 1 0 1 0 0 0 0 0 0\n    0 0 1 0 1 0 1 1 1 0 0 1 0 0 0 0 0 1 0 0 0 0 0 0 0 0 0 0 0 0 0 0 0 0 0 0 0 0 \n    0 0 0 0 0 0 0 0 0 0 0 0 0 0 0 0 0 0 0 0 0 0 0 0 0 0 0 0 0 0]\n[0 0 0 1 1 0 0 0 0 0 0 1 0 0 1 1 1 1 0 1 0 0 0 0 1 1 0 1 0 0 0 1 0 1 0 0 0 1 0 0\n    0 0 0 0 0 0 0 1 0 0 0 1 1 0 0 0 0 0 1 0 0 0 0 0 0 0 0 0 0 0 0 0 0 0 0 0 0 0 \n    0 0 0 0 0 0 0 0 0 0 0 0 0 0 0 0 0 0 0 0 0 0 0 0 0 0 0 0 0 0]\n[1 0 1 0 0 0 1 0 0 0 1 0 0 0 1 1 1 0 0 1 1 1 1 0 1 0 1 0 0 0 1 0 1 1 0 1 1 0 1 1\n    0 0 1 0 1 1 1 0 0 0 1 0 1 0 0 0 0 0 0 1 0 0 0 0 0 0 0 0 0 0 0 0 0 0 0 0 0 0 \n    0 0 0 0 0 0 0 0 0 0 0 0 0 0 0 0 0 0 0 0 0 0 0 0 0 0 0 0 0 0]\n[1 0 1 1 1 0 0 0 1 1 0 0 0 0 1 0 0 1 1 0 1 0 0 0 0 0 0 1 1 1 1 1 1 1 1 1 0 0 0 0\n    1 0 1 0 1 1 0 1 0 1 1 0 0 0 0 0 0 0 0 0 1 0 0 0 0 0 0 0 0 0 0 0 0 0 0 0 0 0 \n    0 0 0 0 0 0 0 0 0 0 0 0 0 0 0 0 0 0 0 0 0 0 0 0 0 0 0 0 0 0]\n[0 1 0 1 1 1 0 0 0 1 1 0 0 0 0 1 0 0 1 1 0 1 0 0 0 0 0 0 1 1 1 1 1 1 1 1 1 0 0 0\n    0 1 0 1 0 1 1 0 1 0 1 1 0 0 0 0 0 0 0 0 0 1 0 0 0 0 0 0 0 0 0 0 0 0 0 0 0 0 \n    0 0 0 0 0 0 0 0 0 0 0 0 0 0 0 0 0 0 0 0 0 0 0 0 0 0 0 0 0 0]\n[0 1 1 0 1 0 0 1 1 1 0 0 1 0 0 1 0 1 0 0 1 0 1 1 1 0 0 0 0 0 1 1 0 0 0 1 1 0 0 0\n    0 0 1 1 1 1 1 1 1 0 0 0 1 0 0 0 0 0 0 0 0 0 1 0 0 0 0 0 0 0 0 0 0 0 0 0 0 0 \n    0 0 0 0 0 0 0 0 0 0 0 0 0 0 0 0 0 0 0 0 0 0 0 0 0 0 0 0 0 0]\n[1 1 0 1 1 1 0 1 0 0 1 1 0 1 1 1 0 0 0 0 0 0 1 0 1 0 0 0 1 1 1 1 0 0 0 1 0 0 0 1\n    0 0 1 0 0 1 0 1 1 0 1 1 0 0 0 0 0 0 0 0 0 0 0 1 0 0 0 0 0 0 0 0 0 0 0 0 0 0 \n    0 0 0 0 0 0 0 0 0 0 0 0 0 0 0 0 0 0 0 0 0 0 0 0 0 0 0 0 0 0]\n[0 0 1 0 1 0 0 1 0 1 1 0 0 0 1 0 0 1 0 1 0 0 0 0 1 1 0 0 0 0 1 1 0 1 1 0 1 1 0 0\n    1 0 0 0 0 1 1 0 0 0 0 0 1 0 0 0 0 0 0 0 0 0 0 0 1 0 0 0 0 0 0 0 0 0 0 0 0 0 \n    0 0 0 0 0 0 0 0 0 0 0 0 0 0 0 0 0 0 0 0 0 0 0 0 0 0 0 0 0 0]\n[1 0 1 1 1 0 1 0 1 0 0 1 1 0 1 1 0 1 0 1 1 1 1 0 1 0 1 0 1 0 1 1 1 1 0 0 1 1 1 1\n    0 1 1 0 1 1 0 1 1 0 1 0 0 0 0 0 0 0 0 0 0 0 0 0 0 1 0 0 0 0 0 0 0 0 0 0 0 0 \n    0 0 0 0 0 0 0 0 0 0 0 0 0 0 0 0 0 0 0 0 0 0 0 0 0 0 0 0 0 0]\n[0 0 0 1 1 0 1 0 1 0 1 1 0 1 0 0 0 1 1 1 1 1 1 0 1 1 0 1 0 0 0 1 0 0 0 0 0 0 1 1\n    1 0 1 0 0 0 1 0 0 0 0 0 0 0 0 0 0 0 0 0 0 0 0 0 0 0 1 0 0 0 0 0 0 0 0 0 0 0 \n    0 0 0 0 0 0 0 0 0 0 0 0 0 0 0 0 0 0 0 0 0 0 0 0 0 0 0 0 0 0]\n[0 0 0 0 1 1 0 1 0 1 0 1 1 0 1 0 0 0 1 1 1 1 1 1 0 1 1 0 1 0 0 0 1 0 0 0 0 0 0 1\n    1 1 0 1 0 0 0 1 0 0 0 0 0 0 0 0 0 0 0 0 0 0 0 0 0 0 0 1 0 0 0 0 0 0 0 0 0 0 \n    0 0 0 0 0 0 0 0 0 0 0 0 0 0 0 0 0 0 0 0 0 0 0 0 0 0 0 0 0 0]\n[0 0 0 0 0 1 1 0 1 0 1 0 1 1 0 1 0 0 0 1 1 1 1 1 1 0 1 1 0 1 0 0 0 1 0 0 0 0 0 0\n    1 1 1 0 1 0 0 0 1 0 0 0 0 0 0 0 0 0 0 0 0 0 0 0 0 0 0 0 1 0 0 0 0 0 0 0 0 0 \n    0 0 0 0 0 0 0 0 0 0 0 0 0 0 0 0 0 0 0 0 0 0 0 0 0 0 0 0 0 0]\n[0 1 0 0 0 1 0 0 1 0 1 0 1 1 1 1 0 1 0 1 1 1 1 0 0 1 0 1 1 1 1 0 1 1 0 0 0 1 0 0\n    0 1 1 0 0 0 0 0 1 0 0 1 0 0 0 0 0 0 0 0 0 0 0 0 0 0 0 0 0 1 0 0 0 0 0 0 0 0 \n    0 0 0 0 0 0 0 0 0 0 0 0 0 0 0 0 0 0 0 0 0 0 0 0 0 0 0 0 0 0]\n[0 0 1 0 0 0 1 0 0 1 0 1 0 1 1 1 1 0 1 0 1 1 1 1 0 0 1 0 1 1 1 1 0 1 1 0 0 0 1 0\n    0 0 1 1 0 0 0 0 0 1 0 0 1 0 0 0 0 0 0 0 0 0 0 0 0 0 0 0 0 0 1 0 0 0 0 0 0 0 \n    0 0 0 0 0 0 0 0 0 0 0 0 0 0 0 0 0 0 0 0 0 0 0 0 0 0 0 0 0 0]\n[1 0 1 1 1 1 1 1 0 0 0 0 0 0 0 1 1 0 1 0 0 0 0 1 0 1 0 1 1 1 0 1 1 1 0 0 1 0 0 0\n    0 0 1 1 0 1 1 0 1 0 0 0 0 0 0 0 0 0 0 0 0 0 0 0 0 0 0 0 0 0 0 1 0 0 0 0 0 0 \n    0 0 0 0 0 0 0 0 0 0 0 0 0 0 0 0 0 0 0 0 0 0 0 0 0 0 0 0 0 0]\n[0 0 0 1 1 0 0 0 0 1 1 1 1 0 0 1 0 0 0 0 0 0 0 1 0 0 1 0 1 0 1 0 0 0 0 0 0 0 0 0\n    0 0 0 0 1 1 1 1 1 0 0 1 0 0 0 0 0 0 0 0 0 0 0 0 0 0 0 0 0 0 0 0 1 0 0 0 0 0 \n    0 0 0 0 0 0 0 0 0 0 0 0 0 0 0 0 0 0 0 0 0 0 0 0 0 0 0 0 0 0]\n[0 1 0 0 1 0 1 1 1 1 0 0 0 1 0 1 0 1 0 1 0 0 0 1 0 0 0 1 0 0 0 1 1 1 1 0 0 1 0 0\n    0 0 0 1 0 0 1 1 0 0 0 1 1 0 0 0 0 0 0 0 0 0 0 0 0 0 0 0 0 0 0 0 0 1 0 0 0 0 \n    0 0 0 0 0 0 0 0 0 0 0 0 0 0 0 0 0 0 0 0 0 0 0 0 0 0 0 0 0 0]\n[1 1 0 0 1 1 0 0 0 0 1 1 0 0 0 1 0 0 0 0 1 1 1 1 1 1 0 0 0 1 1 0 0 1 1 0 1 1 1 1\n    0 0 1 1 0 0 1 1 1 1 1 1 1 0 0 0 0 0 0 0 0 0 0 0 0 0 0 0 0 0 0 0 0 0 1 0 0 0 \n    0 0 0 0 0 0 0 0 0 0 0 0 0 0 0 0 0 0 0 0 0 0 0 0 0 0 0 0 0 0]\n[1 0 0 0 1 1 1 1 1 1 0 0 1 0 1 1 0 0 1 0 0 0 0 0 1 0 1 0 1 1 0 1 1 0 1 0 1 0 1 0\n    1 0 1 0 0 0 1 1 1 0 0 0 1 0 0 0 0 0 0 0 0 0 0 0 0 0 0 0 0 0 0 0 0 0 0 1 0 0 \n    0 0 0 0 0 0 0 0 0 0 0 0 0 0 0 0 0 0 0 0 0 0 0 0 0 0 0 0 0 0]\n[1 1 1 0 1 0 0 1 1 1 0 0 1 1 1 1 1 1 1 0 0 1 1 0 1 0 0 1 1 1 0 0 1 0 1 0 1 1 0 0\n    0 1 1 1 1 1 1 1 0 1 1 0 0 0 0 0 0 0 0 0 0 0 0 0 0 0 0 0 0 0 0 0 0 0 0 0 1 0 \n    0 0 0 0 0 0 0 0 0 0 0 0 0 0 0 0 0 0 0 0 0 0 0 0 0 0 0 0 0 0]\n[0 1 1 1 0 1 0 0 1 1 1 0 0 1 1 1 1 1 1 1 0 0 1 1 0 1 0 0 1 1 1 0 0 1 0 1 0 1 1 0\n    0 0 1 1 1 1 1 1 1 0 1 1 0 0 0 0 0 0 0 0 0 0 0 0 0 0 0 0 0 0 0 0 0 0 0 0 0 1 \n    0 0 0 0 0 0 0 0 0 0 0 0 0 0 0 0 0 0 0 0 0 0 0 0 0 0 0 0 0 0]\n[0 1 1 1 1 1 0 1 1 0 0 0 1 0 1 0 0 0 1 0 1 0 0 0 0 0 1 0 0 0 1 1 1 1 0 0 1 1 1 1\n    0 0 0 0 1 0 1 1 0 0 0 0 1 0 0 0 0 0 0 0 0 0 0 0 0 0 0 0 0 0 0 0 0 0 0 0 0 0 \n    1 0 0 0 0 0 0 0 0 0 0 0 0 0 0 0 0 0 0 0 0 0 0 0 0 0 0 0 0 0]\n[1 0 0 1 0 0 0 0 1 1 1 0 1 1 1 1 0 1 1 0 0 0 1 0 1 1 0 1 1 0 1 1 1 0 0 1 1 1 1 0\n    1 0 1 0 1 0 1 1 0 0 1 0 0 0 0 0 0 0 0 0 0 0 0 0 0 0 0 0 0 0 0 0 0 0 0 0 0 0 \n    0 1 0 0 0 0 0 0 0 0 0 0 0 0 0 0 0 0 0 0 0 0 0 0 0 0 0 0 0 0]\n[0 0 0 0 1 1 1 1 1 0 0 0 1 1 1 0 0 1 1 0 0 0 0 0 1 1 1 0 1 0 0 1 0 0 1 0 1 0 1 1\n    0 1 0 0 0 0 0 1 0 1 0 0 0 0 0 0 0 0 0 0 0 0 0 0 0 0 0 0 0 0 0 0 0 0 0 0 0 0 \n    0 0 1 0 0 0 0 0 0 0 0 0 0 0 0 0 0 0 0 0 0 0 0 0 0 0 0 0 0 0]\n[0 0 0 0 0 1 1 1 1 1 0 0 0 1 1 1 0 0 1 1 0 0 0 0 0 1 1 1 0 1 0 0 1 0 0 1 0 1 0 1\n    1 0 1 0 0 0 0 0 1 0 1 0 0 0 0 0 0 0 0 0 0 0 0 0 0 0 0 0 0 0 0 0 0 0 0 0 0 0 \n    0 0 0 1 0 0 0 0 0 0 0 0 0 0 0 0 0 0 0 0 0 0 0 0 0 0 0 0 0 0]\n[0 0 0 0 0 0 1 1 1 1 1 0 0 0 1 1 1 0 0 1 1 0 0 0 0 0 1 1 1 0 1 0 0 1 0 0 1 0 1 0\n    1 1 0 1 0 0 0 0 0 1 0 1 0 0 0 0 0 0 0 0 0 0 0 0 0 0 0 0 0 0 0 0 0 0 0 0 0 0 \n    0 0 0 0 1 0 0 0 0 0 0 0 0 0 0 0 0 0 0 0 0 0 0 0 0 0 0 0 0 0]\n[0 1 0 0 0 1 1 0 0 0 0 0 1 0 0 0 0 0 0 1 1 1 0 1 1 0 0 1 1 0 0 1 1 1 0 0 0 0 0 1\n    0 1 1 1 1 1 0 0 1 1 1 1 1 0 0 0 0 0 0 0 0 0 0 0 0 0 0 0 0 0 0 0 0 0 0 0 0 0 \n    0 0 0 0 0 1 0 0 0 0 0 0 0 0 0 0 0 0 0 0 0 0 0 0 0 0 0 0 0 0]\n[1 1 0 0 1 0 1 0 1 1 0 1 0 1 1 1 1 0 1 0 1 0 0 1 1 0 0 0 0 0 1 0 0 1 1 1 1 1 0 1\n    1 0 0 0 0 1 0 0 0 0 0 0 1 0 0 0 0 0 0 0 0 0 0 0 0 0 0 0 0 0 0 0 0 0 0 0 0 0 \n    0 0 0 0 0 0 1 0 0 0 0 0 0 0 0 0 0 0 0 0 0 0 0 0 0 0 0 0 0 0]\n[1 1 0 0 1 0 1 1 0 1 0 0 0 0 0 1 1 0 1 0 0 0 1 0 0 0 0 0 1 0 1 1 0 1 0 0 0 1 1 1\n    1 1 1 0 1 1 0 0 1 0 1 0 0 0 0 0 0 0 0 0 0 0 0 0 0 0 0 0 0 0 0 0 0 0 0 0 0 0 \n    0 0 0 0 0 0 0 1 0 0 0 0 0 0 0 0 0 0 0 0 0 0 0 0 0 0 0 0 0 0]\n[0 0 1 0 0 0 1 0 0 1 0 1 1 0 0 1 0 0 0 0 0 0 0 0 1 0 0 0 0 0 0 1 0 1 0 0 0 1 1 1\n    1 1 1 0 0 0 1 0 1 0 0 0 0 0 0 0 0 0 0 0 0 0 0 0 0 0 0 0 0 0 0 0 0 0 0 0 0 0 \n    0 0 0 0 0 0 0 0 1 0 0 0 0 0 0 0 0 0 0 0 0 0 0 0 0 0 0 0 0 0]\n[0 1 0 1 0 1 1 0 1 1 0 1 0 1 0 1 0 1 0 1 0 0 0 1 1 1 0 0 0 1 0 0 0 1 0 0 0 1 1 1\n    1 1 1 0 0 1 0 1 1 0 0 1 0 0 0 0 0 0 0 0 0 0 0 0 0 0 0 0 0 0 0 0 0 0 0 0 0 0 \n    0 0 0 0 0 0 0 0 0 1 0 0 0 0 0 0 0 0 0 0 0 0 0 0 0 0 0 0 0 0]\n[0 0 1 0 1 0 1 1 0 1 1 0 1 0 1 0 1 0 1 0 1 0 0 0 1 1 1 0 0 0 1 0 0 0 1 0 0 0 1 1\n    1 1 1 1 0 0 1 0 1 1 0 0 1 0 0 0 0 0 0 0 0 0 0 0 0 0 0 0 0 0 0 0 0 0 0 0 0 0 \n    0 0 0 0 0 0 0 0 0 0 1 0 0 0 0 0 0 0 0 0 0 0 0 0 0 0 0 0 0 0]\n[1 1 1 1 1 1 0 0 0 1 1 0 0 1 1 0 1 1 1 1 0 0 1 1 0 0 1 1 1 1 1 1 1 0 0 0 1 1 0 0\n    1 1 0 0 0 0 1 1 0 0 0 1 0 0 0 0 0 0 0 0 0 0 0 0 0 0 0 0 0 0 0 0 0 0 0 0 0 0 \n    0 0 0 0 0 0 0 0 0 0 0 1 0 0 0 0 0 0 0 0 0 0 0 0 0 0 0 0 0 0]\n[0 0 1 1 1 0 0 1 1 1 0 0 1 0 1 0 1 0 1 0 1 0 0 0 0 0 0 1 1 0 1 1 0 0 1 0 0 0 1 0\n    0 1 1 1 0 1 0 1 0 1 0 1 1 0 0 0 0 0 0 0 0 0 0 0 0 0 0 0 0 0 0 0 0 0 0 0 0 0 \n    0 0 0 0 0 0 0 0 0 0 0 0 1 0 0 0 0 0 0 0 0 0 0 0 0 0 0 0 0 0]\n[1 1 1 1 0 1 0 1 0 0 1 1 0 1 1 0 1 1 1 1 0 0 1 1 0 1 0 0 0 0 1 1 0 0 0 0 1 1 0 0\n    0 0 0 0 0 0 0 0 1 1 0 1 1 0 0 0 0 0 0 0 0 0 0 0 0 0 0 0 0 0 0 0 0 0 0 0 0 0 \n    0 0 0 0 0 0 0 0 0 0 0 0 0 1 0 0 0 0 0 0 0 0 0 0 0 0 0 0 0 0]\n[1 1 0 1 0 1 0 0 1 0 1 1 0 0 0 1 0 0 0 0 1 1 1 1 0 1 1 0 1 0 1 1 1 1 1 1 1 1 1 1\n    0 0 1 0 1 1 1 0 1 1 0 0 1 0 0 0 0 0 0 0 0 0 0 0 0 0 0 0 0 0 0 0 0 0 0 0 0 0 \n    0 0 0 0 0 0 0 0 0 0 0 0 0 0 1 0 0 0 0 0 0 0 0 0 0 0 0 0 0 0]\n[1 1 0 0 0 1 0 0 0 1 1 1 0 0 1 0 1 1 1 1 0 0 0 1 0 1 1 1 1 1 1 1 1 0 0 0 0 1 1 0\n    1 0 1 1 1 0 0 1 1 1 0 0 0 0 0 0 0 0 0 0 0 0 0 0 0 0 0 0 0 0 0 0 0 0 0 0 0 0 \n    0 0 0 0 0 0 0 0 0 0 0 0 0 0 0 1 0 0 0 0 0 0 0 0 0 0 0 0 0 0]\n[0 0 1 0 0 1 0 1 1 1 0 0 0 0 0 0 1 0 1 0 1 0 0 1 0 0 1 1 1 0 1 1 0 0 1 0 0 1 1 1\n    0 1 0 0 1 0 0 0 0 0 1 1 0 0 0 0 0 0 0 0 0 0 0 0 0 0 0 0 0 0 0 0 0 0 0 0 0 0 \n    0 0 0 0 0 0 0 0 0 0 0 0 0 0 0 0 1 0 0 0 0 0 0 0 0 0 0 0 0 0]\n[0 0 0 1 0 0 1 0 1 1 1 0 0 0 0 0 0 1 0 1 0 1 0 0 1 0 0 1 1 1 0 1 1 0 0 1 0 0 1 1\n    1 0 1 0 0 1 0 0 0 0 0 1 1 0 0 0 0 0 0 0 0 0 0 0 0 0 0 0 0 0 0 0 0 0 0 0 0 0 \n    0 0 0 0 0 0 0 0 0 0 0 0 0 0 0 0 0 1 0 0 0 0 0 0 0 0 0 0 0 0]\n[1 1 1 0 0 0 0 0 1 0 1 0 0 0 1 1 1 0 0 0 1 1 0 1 0 0 0 0 0 0 0 0 0 1 0 1 0 1 0 0\n    1 1 1 0 1 0 0 0 0 1 1 1 1 0 0 0 0 0 0 0 0 0 0 0 0 0 0 0 0 0 0 0 0 0 0 0 0 0 \n    0 0 0 0 0 0 0 0 0 0 0 0 0 0 0 0 0 0 1 0 0 0 0 0 0 0 0 0 0 0]\n[1 1 0 1 1 1 1 0 0 1 1 1 1 0 1 1 1 0 1 1 0 0 0 0 0 1 0 0 1 0 1 0 0 1 0 1 0 0 1 1\n    0 1 0 1 1 0 1 0 1 0 0 1 1 0 0 0 0 0 0 0 0 0 0 0 0 0 0 0 0 0 0 0 0 0 0 0 0 0 \n    0 0 0 0 0 0 0 0 0 0 0 0 0 0 0 0 0 0 0 1 0 0 0 0 0 0 0 0 0 0]\n[1 0 0 0 0 1 1 0 1 1 1 0 1 1 1 0 0 1 1 1 1 1 1 1 0 1 1 0 1 0 1 1 1 0 1 1 0 1 0 0\n    1 0 0 1 0 1 1 1 0 0 1 1 1 0 0 0 0 0 0 0 0 0 0 0 0 0 0 0 0 0 0 0 0 0 0 0 0 0 \n    0 0 0 0 0 0 0 0 0 0 0 0 0 0 0 0 0 0 0 0 1 0 0 0 0 0 0 0 0 0]\n[1 1 1 0 1 1 0 1 0 1 0 1 1 1 0 1 0 1 0 0 1 0 0 1 0 1 1 1 1 1 1 1 1 0 1 0 0 0 1 1\n    0 1 1 0 0 1 0 1 0 0 1 1 1 0 0 0 0 0 0 0 0 0 0 0 0 0 0 0 0 0 0 0 0 0 0 0 0 0 \n    0 0 0 0 0 0 0 0 0 0 0 0 0 0 0 0 0 0 0 0 0 1 0 0 0 0 0 0 0 0]\n[1 1 0 1 1 0 0 0 1 0 0 0 0 1 0 0 1 1 0 1 0 0 1 0 0 1 1 1 0 1 0 1 1 0 1 0 1 0 0 0\n    1 0 0 1 1 1 0 0 0 0 1 1 1 0 0 0 0 0 0 0 0 0 0 0 0 0 0 0 0 0 0 0 0 0 0 0 0 0 \n    0 0 0 0 0 0 0 0 0 0 0 0 0 0 0 0 0 0 0 0 0 0 1 0 0 0 0 0 0 0]\n[1 1 0 0 0 0 1 0 0 1 1 0 1 0 0 0 0 0 0 1 1 1 1 1 1 1 1 1 0 0 0 0 1 0 1 0 1 1 0 1\n    0 1 1 0 0 0 0 0 1 0 1 1 1 0 0 0 0 0 0 0 0 0 0 0 0 0 0 0 0 0 0 0 0 0 0 0 0 0 \n    0 0 0 0 0 0 0 0 0 0 0 0 0 0 0 0 0 0 0 0 0 0 0 1 0 0 0 0 0 0]\n[1 0 0 0 1 0 0 0 1 1 1 0 0 1 1 1 1 0 1 0 1 0 0 0 1 0 1 1 0 1 1 0 1 1 0 0 1 0 1 1\n    1 0 0 0 1 0 1 0 0 0 1 0 1 0 0 0 0 0 0 0 0 0 0 0 0 0 0 0 0 0 0 0 0 0 0 0 0 0 \n    0 0 0 0 0 0 0 0 0 0 0 0 0 0 0 0 0 0 0 0 0 0 0 0 1 0 0 0 0 0]\n[1 0 1 0 1 1 0 1 1 0 1 0 0 0 0 0 0 1 1 1 0 0 1 1 0 0 0 1 0 1 0 1 1 1 1 1 1 0 0 0\n    1 1 1 1 1 1 1 1 0 1 1 0 0 0 0 0 0 0 0 0 0 0 0 0 0 0 0 0 0 0 0 0 0 0 0 0 0 0 \n    0 0 0 0 0 0 0 0 0 0 0 0 0 0 0 0 0 0 0 0 0 0 0 0 0 1 0 0 0 0]\n[0 0 0 1 0 0 0 1 0 0 1 0 1 0 0 1 1 1 1 0 1 0 0 0 0 0 0 0 1 1 1 0 0 0 0 1 1 0 0 0\n    0 1 1 0 1 0 1 1 0 1 1 0 0 0 0 0 0 0 0 0 0 0 0 0 0 0 0 0 0 0 0 0 0 0 0 0 0 0 \n    0 0 0 0 0 0 0 0 0 0 0 0 0 0 0 0 0 0 0 0 0 0 0 0 0 0 1 0 0 0]\n[0 0 0 0 1 0 0 0 1 0 0 1 0 1 0 0 1 1 1 1 0 1 0 0 0 0 0 0 0 1 1 1 0 0 0 0 1 1 0 0\n    0 0 1 1 0 1 0 1 1 0 1 1 0 0 0 0 0 0 0 0 0 0 0 0 0 0 0 0 0 0 0 0 0 0 0 0 0 0 \n    0 0 0 0 0 0 0 0 0 0 0 0 0 0 0 0 0 0 0 0 0 0 0 0 0 0 0 1 0 0]\n[0 1 0 0 0 0 1 1 1 0 1 1 0 0 1 1 1 0 1 0 1 0 1 1 1 0 0 0 0 1 1 1 0 1 1 0 0 0 1 0\n    0 0 0 0 1 1 1 0 0 0 0 0 1 0 0 0 0 0 0 0 0 0 0 0 0 0 0 0 0 0 0 0 0 0 0 0 0 0 \n    0 0 0 0 0 0 0 0 0 0 0 0 0 0 0 0 0 0 0 0 0 0 0 0 0 0 0 0 1 0]\n[1 0 0 0 1 1 1 1 1 1 1 1 0 0 1 1 1 0 1 0 0 0 1 1 0 0 0 0 1 0 0 1 1 1 0 0 1 0 0 0\n    0 0 1 0 1 0 0 1 1 0 1 0 0 0 0 0 0 0 0 0 0 0 0 0 0 0 0 0 0 0 0 0 0 0 0 0 0 0 \n    0 0 0 0 0 0 0 0 0 0 0 0 0 0 0 0 0 0 0 0 0 0 0 0 0 0 0 0 0 1]\n[108, 55] Linear Code over GF(2)\nGenerator matrix:\n[1 0 0 0 0 0 0 0 0 0 0 0 0 0 0 0 0 0 0 0 0 0 0 0 0 0 0 0 0 0 0 0 0 0 0 0 0 0 0 0\n    0 0 0 0 0 0 0 0 0 0 0 0 0 1 0 1 0 0 0 0 0 1 0 1 1 1 1 1 1 0 0 0 0 1 0 0 1 0 \n    1 1 1 1 1 0 1 0 0 1 1 0 0 1 0 1 1 1 0 1 1 0 1 0 0 0 0 0 1 1]\n[0 1 0 0 0 0 0 0 0 0 0 0 0 0 0 0 0 0 0 0 0 0 0 0 0 0 0 0 0 0 0 0 0 0 0 0 0 0 0 0\n    0 0 0 0 0 0 0 0 0 0 0 0 0 1 1 1 0 0 1 0 1 0 0 1 0 1 0 1 1 0 0 0 1 1 0 1 0 1 \n    1 1 0 1 1 0 1 1 1 1 1 0 1 1 1 0 0 1 0 0 0 1 0 1 1 1 1 0 1 1]\n[0 0 1 0 0 0 0 0 0 0 0 0 0 0 0 0 0 0 0 0 0 0 0 0 0 0 0 0 0 0 0 0 0 0 0 0 0 0 0 0\n    0 0 0 0 0 0 0 0 0 0 0 0 0 1 1 0 0 0 1 1 1 1 1 1 0 0 0 0 1 0 0 0 1 0 0 1 1 0 \n    0 1 0 0 1 0 1 1 0 0 1 0 1 0 1 1 1 0 0 0 1 0 1 0 0 0 0 1 1 1]\n[0 0 0 1 0 0 0 0 0 0 0 0 0 0 0 0 0 0 0 0 0 0 0 0 0 0 0 0 0 0 0 0 0 0 0 0 0 0 0 0\n    0 0 0 0 0 0 0 0 0 0 0 0 0 0 1 1 0 0 1 1 0 0 0 1 1 1 0 1 1 0 0 0 1 1 1 1 0 1 \n    0 1 1 1 1 0 0 1 0 0 1 0 1 1 0 0 1 0 1 1 0 1 1 1 1 1 1 0 1 0]\n[0 0 0 0 1 0 0 0 0 0 0 0 0 0 0 0 0 0 0 0 0 0 0 0 0 0 0 0 0 0 0 0 0 0 0 0 0 0 0 0\n    0 0 0 0 0 0 0 0 0 0 0 0 0 1 0 0 0 0 1 1 0 0 1 1 0 1 0 0 1 0 0 0 1 0 0 0 1 0 \n    0 0 0 1 1 0 1 0 0 1 0 0 1 0 1 0 1 1 1 1 0 0 1 1 0 0 0 1 1 1]\n[0 0 0 0 0 1 0 0 0 0 0 0 0 0 0 0 0 0 0 0 0 0 0 0 0 0 0 0 0 0 0 0 0 0 0 0 0 0 0 0\n    0 0 0 0 0 0 0 0 0 0 0 0 0 0 1 0 0 0 1 1 0 1 1 1 1 1 1 1 1 0 0 0 1 1 1 1 1 1 \n    0 1 0 1 0 0 0 1 1 0 0 1 1 1 0 0 0 0 0 0 1 0 1 1 0 1 1 0 1 0]\n[0 0 0 0 0 0 1 0 0 0 0 0 0 0 0 0 0 0 0 0 0 0 0 0 0 0 0 0 0 0 0 0 0 0 0 0 0 0 0 0\n    0 0 0 0 0 0 0 0 0 0 0 0 0 0 0 1 0 0 0 1 1 0 1 1 1 1 1 1 1 1 0 0 0 1 1 1 1 1 \n    1 0 1 0 1 0 0 0 1 1 0 0 1 1 1 0 0 0 0 0 0 1 0 1 1 0 1 1 0 1]\n[0 0 0 0 0 0 0 1 0 0 0 0 0 0 0 0 0 0 0 0 0 0 0 0 0 0 0 0 0 0 0 0 0 0 0 0 0 0 0 0\n    0 0 0 0 0 0 0 0 0 0 0 0 0 1 0 1 0 0 0 0 1 0 0 0 0 0 0 0 0 1 1 0 0 1 1 1 0 1 \n    0 0 1 0 1 1 1 0 0 0 0 0 0 0 1 0 1 1 0 1 1 0 0 0 1 1 0 1 0 1]\n[0 0 0 0 0 0 0 0 1 0 0 0 0 0 0 0 0 0 0 0 0 0 0 0 0 0 0 0 0 0 0 0 0 0 0 0 0 0 0 0\n    0 0 0 0 0 0 0 0 0 0 0 0 0 1 1 1 0 0 0 0 0 0 0 1 1 1 1 1 1 0 1 1 0 1 1 1 0 0 \n    0 1 1 0 1 1 0 1 0 1 1 0 0 1 0 0 1 0 1 1 0 1 1 0 0 1 1 0 0 1]\n[0 0 0 0 0 0 0 0 0 1 0 0 0 0 0 0 0 0 0 0 0 0 0 0 0 0 0 0 0 0 0 0 0 0 0 0 0 0 0 0\n    0 0 0 0 0 0 0 0 0 0 0 0 0 1 1 0 0 0 0 0 0 1 0 1 0 0 0 0 0 1 0 1 1 1 1 1 0 0 \n    1 1 0 0 1 1 0 0 1 1 0 1 0 1 1 1 1 0 0 0 0 0 0 1 0 0 1 1 1 1]\n[0 0 0 0 0 0 0 0 0 0 1 0 0 0 0 0 0 0 0 0 0 0 0 0 0 0 0 0 0 0 0 0 0 0 0 0 0 0 0 0\n    0 0 0 0 0 0 0 0 0 0 0 0 0 0 1 1 0 0 0 0 0 0 1 0 1 0 0 0 0 0 1 0 1 1 1 1 1 0 \n    0 1 1 0 0 1 1 0 0 1 1 0 1 0 1 1 1 1 0 0 0 0 0 0 1 0 0 1 1 1]\n[0 0 0 0 0 0 0 0 0 0 0 1 0 0 0 0 0 0 0 0 0 0 0 0 0 0 0 0 0 0 0 0 0 0 0 0 0 0 0 0\n    0 0 0 0 0 0 0 0 0 0 0 0 0 1 0 0 0 0 1 0 1 0 1 0 1 1 1 0 0 1 0 1 1 0 0 0 1 1 \n    1 0 0 1 0 1 0 1 1 1 1 0 1 0 0 1 0 1 0 0 1 0 0 0 1 0 1 0 0 1]\n[0 0 0 0 0 0 0 0 0 0 0 0 1 0 0 0 0 0 0 0 0 0 0 0 0 0 0 0 0 0 0 0 0 0 0 0 0 0 0 0\n    0 0 0 0 0 0 0 0 0 0 0 0 0 0 1 0 0 0 0 1 0 1 0 1 0 1 1 1 0 0 1 0 1 1 0 0 0 1 \n    1 1 0 0 1 0 1 0 1 1 1 1 0 1 0 0 1 0 1 0 0 1 0 0 0 1 0 1 0 0]\n[0 0 0 0 0 0 0 0 0 0 0 0 0 1 0 0 0 0 0 0 0 0 0 0 0 0 0 0 0 0 0 0 0 0 0 0 0 0 0 0\n    0 0 0 0 0 0 0 0 0 0 0 0 0 0 0 1 0 0 1 0 0 1 0 0 1 1 1 0 0 1 0 1 1 1 0 1 1 0 \n    1 0 1 1 1 0 0 1 1 1 0 0 0 0 1 1 0 0 1 0 0 0 0 0 1 1 0 0 1 1]\n[0 0 0 0 0 0 0 0 0 0 0 0 0 0 1 0 0 0 0 0 0 0 0 0 0 0 0 0 0 0 0 0 0 0 0 0 0 0 0 0\n    0 0 0 0 0 0 0 0 0 0 0 0 0 1 0 1 0 0 1 1 1 0 0 1 1 1 0 1 0 1 1 0 0 0 0 1 1 1 \n    1 1 1 1 1 0 1 0 0 0 1 1 1 1 0 1 0 0 1 1 1 0 0 0 1 0 0 0 1 1]\n[0 0 0 0 0 0 0 0 0 0 0 0 0 0 0 1 0 0 0 0 0 0 0 0 0 0 0 0 0 0 0 0 0 0 0 0 0 0 0 0\n    0 0 0 0 0 0 0 0 0 0 0 0 0 1 1 1 0 0 0 1 1 0 0 1 0 0 0 1 0 0 1 1 0 1 0 0 0 1 \n    0 0 0 0 0 1 1 1 0 1 1 1 1 0 1 1 0 1 0 0 0 1 1 0 0 1 0 0 1 0]\n[0 0 0 0 0 0 0 0 0 0 0 0 0 0 0 0 1 0 0 0 0 0 0 0 0 0 0 0 0 0 0 0 0 0 0 0 0 0 0 0\n    0 0 0 0 0 0 0 0 0 0 0 0 0 1 1 0 0 0 1 0 0 1 1 1 0 0 1 0 1 1 0 1 0 1 0 1 0 0 \n    0 0 1 0 0 1 0 1 0 1 1 0 0 0 0 1 0 0 0 0 1 0 1 1 1 1 0 0 1 1]\n[0 0 0 0 0 0 0 0 0 0 0 0 0 0 0 0 0 1 0 0 0 0 0 0 0 0 0 0 0 0 0 0 0 0 0 0 0 0 0 0\n    0 0 0 0 0 0 0 0 0 0 0 0 0 0 1 1 0 0 1 1 1 1 0 1 1 1 0 0 1 0 1 0 0 0 0 1 0 0 \n    0 1 0 0 1 1 1 0 0 0 0 0 1 0 0 1 1 1 1 1 0 1 1 1 0 0 0 0 0 0]\n[0 0 0 0 0 0 0 0 0 0 0 0 0 0 0 0 0 0 1 0 0 0 0 0 0 0 0 0 0 0 0 0 0 0 0 0 0 0 0 0\n    0 0 0 0 0 0 0 0 0 0 0 0 0 1 0 0 0 0 1 1 0 1 0 1 0 1 0 0 0 0 0 1 1 1 1 1 1 0 \n    1 0 0 0 0 0 0 1 1 1 0 1 1 0 0 0 0 1 0 1 0 0 1 1 0 1 1 0 1 0]\n[0 0 0 0 0 0 0 0 0 0 0 0 0 0 0 0 0 0 0 1 0 0 0 0 0 0 0 0 0 0 0 0 0 0 0 0 0 0 0 0\n    0 0 0 0 0 0 0 0 0 0 0 0 0 0 1 0 0 0 0 1 1 0 1 0 1 0 1 0 0 0 0 0 1 1 1 1 1 1 \n    0 1 0 0 0 0 0 0 1 1 1 0 1 1 0 0 0 0 1 0 1 0 0 1 1 0 1 1 0 1]\n[0 0 0 0 0 0 0 0 0 0 0 0 0 0 0 0 0 0 0 0 1 0 0 0 0 0 0 0 0 0 0 0 0 0 0 0 0 0 0 0\n    0 0 0 0 0 0 0 0 0 0 0 0 0 0 0 1 0 0 1 0 0 0 1 1 0 0 0 0 1 1 0 0 1 1 0 0 0 1 \n    1 1 1 1 1 1 0 0 1 1 0 0 1 1 1 1 0 1 1 0 0 1 1 0 0 0 1 1 1 1]\n[0 0 0 0 0 0 0 0 0 0 0 0 0 0 0 0 0 0 0 0 0 1 0 0 0 0 0 0 0 0 0 0 0 0 0 0 0 0 0 0\n    0 0 0 0 0 0 0 0 0 0 0 0 0 1 0 1 0 0 0 1 0 1 0 0 0 1 1 1 1 1 1 0 0 0 1 0 1 0 \n    0 0 0 0 0 1 0 0 0 0 0 0 0 0 1 0 0 1 1 0 1 0 0 1 0 0 0 1 0 0]\n[0 0 0 0 0 0 0 0 0 0 0 0 0 0 0 0 0 0 0 0 0 0 1 0 0 0 0 0 0 0 0 0 0 0 0 0 0 0 0 0\n    0 0 0 0 0 0 0 0 0 0 0 0 0 1 1 1 0 0 0 0 1 1 1 1 1 1 0 0 0 1 1 1 0 1 0 1 1 1 \n    1 1 1 1 1 0 0 0 0 1 1 0 0 1 0 0 1 1 1 0 1 1 1 0 1 0 0 0 0 1]\n[0 0 0 0 0 0 0 0 0 0 0 0 0 0 0 0 0 0 0 0 0 0 0 1 0 0 0 0 0 0 0 0 0 0 0 0 0 0 0 0\n    0 0 0 0 0 0 0 0 0 0 0 0 0 1 1 0 0 0 1 0 1 1 0 0 0 1 0 0 0 1 1 1 0 1 0 1 1 1 \n    0 1 0 1 1 0 1 0 1 1 1 0 1 1 1 0 1 1 0 1 1 1 1 1 1 0 1 0 1 0]\n[0 0 0 0 0 0 0 0 0 0 0 0 0 0 0 0 0 0 0 0 0 0 0 0 1 0 0 0 0 0 0 0 0 0 0 0 0 0 0 0\n    0 0 0 0 0 0 0 0 0 0 0 0 0 0 1 1 0 0 1 1 1 0 0 0 0 1 1 1 1 1 1 1 0 0 0 1 0 1 \n    1 1 1 1 0 0 0 1 1 1 0 0 1 1 1 0 0 0 0 1 1 1 0 1 0 0 1 1 0 0]\n[0 0 0 0 0 0 0 0 0 0 0 0 0 0 0 0 0 0 0 0 0 0 0 0 0 1 0 0 0 0 0 0 0 0 0 0 0 0 0 0\n    0 0 0 0 0 0 0 0 0 0 0 0 0 1 0 0 0 0 0 1 1 0 0 1 1 1 0 0 0 1 1 1 1 1 0 0 0 0 \n    0 0 0 0 0 0 1 0 1 0 0 0 0 0 1 0 1 1 0 1 0 1 0 0 1 0 0 1 0 1]\n[0 0 0 0 0 0 0 0 0 0 0 0 0 0 0 0 0 0 0 0 0 0 0 0 0 0 1 0 0 0 0 0 0 0 0 0 0 0 0 0\n    0 0 0 0 0 0 0 0 0 0 0 0 0 0 1 0 0 0 0 0 1 1 0 0 1 1 1 0 0 0 1 1 1 1 1 0 0 0 \n    0 0 0 0 0 0 0 1 0 1 0 0 0 0 0 1 0 1 1 0 1 0 1 0 0 1 0 0 1 0]\n[0 0 0 0 0 0 0 0 0 0 0 0 0 0 0 0 0 0 0 0 0 0 0 0 0 0 0 1 0 0 0 0 0 0 0 0 0 0 0 0\n    0 0 0 0 0 0 0 0 0 0 0 0 0 0 0 1 0 0 1 0 1 0 0 0 0 0 1 0 1 1 0 1 0 1 0 0 1 0 \n    0 1 0 1 1 1 0 0 0 0 0 1 1 0 0 1 1 1 0 0 0 1 1 1 1 1 0 0 0 0]\n[0 0 0 0 0 0 0 0 0 0 0 0 0 0 0 0 0 0 0 0 0 0 0 0 0 0 0 0 1 0 0 0 0 0 0 0 0 0 0 0\n    0 0 0 0 0 0 0 0 0 0 0 0 0 1 0 1 0 0 0 1 0 0 0 1 1 1 1 0 1 1 1 0 1 1 1 0 1 1 \n    1 1 0 1 0 1 0 0 0 1 1 0 1 0 0 1 0 0 1 1 1 0 0 1 1 1 1 0 1 1]\n[0 0 0 0 0 0 0 0 0 0 0 0 0 0 0 0 0 0 0 0 0 0 0 0 0 0 0 0 0 1 0 0 0 0 0 0 0 0 0 0\n    0 0 0 0 0 0 0 0 0 0 0 0 0 1 1 1 0 0 1 0 0 0 1 1 0 1 0 1 0 0 1 1 1 0 0 0 0 1 \n    0 1 0 0 1 1 0 0 1 1 1 0 1 0 0 0 0 0 1 1 0 1 0 0 0 0 0 1 1 1]\n[0 0 0 0 0 0 0 0 0 0 0 0 0 0 0 0 0 0 0 0 0 0 0 0 0 0 0 0 0 0 1 0 0 0 0 0 0 0 0 0\n    0 0 0 0 0 0 0 0 0 0 0 0 0 1 1 0 0 0 1 1 1 0 1 0 0 0 0 0 1 1 0 1 0 0 1 1 0 0 \n    0 0 0 0 0 0 0 0 1 0 1 0 1 0 0 0 1 0 1 1 0 0 1 0 1 1 1 0 0 1]\n[0 0 0 0 0 0 0 0 0 0 0 0 0 0 0 0 0 0 0 0 0 0 0 0 0 0 0 0 0 0 0 1 0 0 0 0 0 0 0 0\n    0 0 0 0 0 0 0 0 0 0 0 0 0 0 1 1 0 0 1 1 0 0 1 1 0 1 0 1 1 0 1 0 0 0 1 0 0 0 \n    0 1 0 1 1 1 0 0 1 1 1 0 1 1 0 1 0 0 1 0 1 0 1 1 1 0 0 1 0 1]\n[0 0 0 0 0 0 0 0 0 0 0 0 0 0 0 0 0 0 0 0 0 0 0 0 0 0 0 0 0 0 0 0 1 0 0 0 0 0 0 0\n    0 0 0 0 0 0 0 0 0 0 0 0 0 1 0 0 0 0 1 1 0 0 1 0 0 0 0 0 1 0 0 1 1 1 1 0 0 0 \n    1 0 0 0 1 0 0 0 1 0 1 0 1 0 1 0 0 0 1 1 1 1 0 1 0 0 1 0 0 0]\n[0 0 0 0 0 0 0 0 0 0 0 0 0 0 0 0 0 0 0 0 0 0 0 0 0 0 0 0 0 0 0 0 0 1 0 0 0 0 0 0\n    0 0 0 0 0 0 0 0 0 0 0 0 0 0 1 0 0 0 1 1 0 1 1 1 0 1 0 1 1 0 0 0 0 1 0 0 1 0 \n    0 0 0 1 1 0 0 0 1 1 1 0 1 1 0 0 0 1 1 0 1 1 0 0 0 1 1 1 0 1]\n[0 0 0 0 0 0 0 0 0 0 0 0 0 0 0 0 0 0 0 0 0 0 0 0 0 0 0 0 0 0 0 0 0 0 1 0 0 0 0 0\n    0 0 0 0 0 0 0 0 0 0 0 0 0 0 0 1 0 0 0 1 1 0 1 1 1 0 1 0 1 1 0 0 0 0 1 0 0 1 \n    0 0 0 0 1 1 0 0 0 1 1 1 0 1 1 0 0 0 1 1 0 1 1 0 0 0 1 1 1 0]\n[0 0 0 0 0 0 0 0 0 0 0 0 0 0 0 0 0 0 0 0 0 0 0 0 0 0 0 0 0 0 0 0 0 0 0 1 0 0 0 0\n    0 0 0 0 0 0 0 0 0 0 0 0 0 1 0 1 0 0 1 0 0 1 1 0 0 1 1 1 0 0 1 0 1 1 1 0 0 0 \n    0 0 1 0 0 0 0 0 1 1 1 0 0 1 1 1 1 0 1 1 0 0 1 1 1 1 1 1 0 1]\n[0 0 0 0 0 0 0 0 0 0 0 0 0 0 0 0 0 0 0 0 0 0 0 0 0 0 0 0 0 0 0 0 0 0 0 0 1 0 0 0\n    0 0 0 0 0 0 0 0 0 0 0 0 0 1 1 1 0 0 0 1 0 1 1 0 1 1 0 0 0 0 0 1 0 0 1 1 1 0 \n    1 1 1 0 1 0 1 0 0 0 0 1 0 1 1 0 0 0 0 0 0 0 1 1 1 1 1 1 0 1]\n[0 0 0 0 0 0 0 0 0 0 0 0 0 0 0 0 0 0 0 0 0 0 0 0 0 0 0 0 0 0 0 0 0 0 0 0 0 1 0 0\n    0 0 0 0 0 0 0 0 0 0 0 0 0 1 1 0 0 0 0 0 1 1 1 0 1 0 0 1 1 0 0 0 1 1 0 1 0 1 \n    1 0 0 0 1 1 1 1 0 1 1 0 1 1 1 0 1 1 0 1 1 0 1 1 1 1 1 1 0 1]\n[0 0 0 0 0 0 0 0 0 0 0 0 0 0 0 0 0 0 0 0 0 0 0 0 0 0 0 0 0 0 0 0 0 0 0 0 0 0 1 0\n    0 0 0 0 0 0 0 0 0 0 0 0 0 0 1 1 0 0 1 0 1 0 0 1 0 0 0 1 0 0 0 0 1 1 0 1 0 0 \n    1 0 0 1 1 0 1 1 0 0 0 0 1 1 1 0 0 0 0 1 1 1 1 1 0 0 0 1 1 1]\n[0 0 0 0 0 0 0 0 0 0 0 0 0 0 0 0 0 0 0 0 0 0 0 0 0 0 0 0 0 0 0 0 0 0 0 0 0 0 0 1\n    0 0 0 0 0 0 0 0 0 0 0 0 0 1 0 0 0 0 0 1 0 0 0 1 0 1 1 1 0 0 0 0 0 0 1 0 0 0 \n    1 0 1 1 0 1 1 1 1 1 1 0 0 0 1 0 1 1 0 1 0 1 0 1 1 0 0 0 0 0]\n[0 0 0 0 0 0 0 0 0 0 0 0 0 0 0 0 0 0 0 0 0 0 0 0 0 0 0 0 0 0 0 0 0 0 0 0 0 0 0 0\n    1 0 0 0 0 0 0 0 0 0 0 0 0 0 1 0 0 0 0 0 1 0 0 0 1 0 1 1 1 0 0 0 0 0 0 1 0 0 \n    0 1 0 1 1 0 1 1 1 1 1 1 0 0 0 1 0 1 1 0 1 0 1 0 1 1 0 0 0 0]\n[0 0 0 0 0 0 0 0 0 0 0 0 0 0 0 0 0 0 0 0 0 0 0 0 0 0 0 0 0 0 0 0 0 0 0 0 0 0 0 0\n    0 1 0 0 0 0 0 0 0 0 0 0 0 0 0 1 0 0 0 0 0 1 0 0 0 1 0 1 1 1 0 0 0 0 0 0 1 0 \n    0 0 1 0 1 1 0 1 1 1 1 1 1 0 0 0 1 0 1 1 0 1 0 1 0 1 1 0 0 0]\n[0 0 0 0 0 0 0 0 0 0 0 0 0 0 0 0 0 0 0 0 0 0 0 0 0 0 0 0 0 0 0 0 0 0 0 0 0 0 0 0\n    0 0 1 0 0 0 0 0 0 0 0 0 0 1 0 1 0 0 0 0 0 1 1 1 1 1 0 1 0 1 1 0 0 1 0 0 1 1 \n    1 1 1 0 1 1 0 0 1 0 0 1 1 0 0 1 1 0 0 0 0 0 0 0 1 0 1 1 1 1]\n[0 0 0 0 0 0 0 0 0 0 0 0 0 0 0 0 0 0 0 0 0 0 0 0 0 0 0 0 0 0 0 0 0 0 0 0 0 0 0 0\n    0 0 0 1 0 0 0 0 0 0 0 0 0 1 1 1 0 0 1 0 1 0 0 0 0 1 0 0 1 1 1 1 1 1 0 1 0 1 \n    0 1 0 1 0 0 0 0 1 0 0 1 0 0 0 0 0 1 1 0 1 0 0 0 1 0 1 1 0 1]\n[0 0 0 0 0 0 0 0 0 0 0 0 0 0 0 0 0 0 0 0 0 0 0 0 0 0 0 0 0 0 0 0 0 0 0 0 0 0 0 0\n    0 0 0 0 1 0 0 0 0 0 0 0 0 1 1 0 0 0 1 1 1 1 1 1 1 0 0 0 0 0 1 1 0 0 0 1 1 0 \n    0 0 0 0 1 1 1 0 1 0 0 1 0 1 0 0 1 0 0 1 1 1 0 0 1 0 1 1 0 0]\n[0 0 0 0 0 0 0 0 0 0 0 0 0 0 0 0 0 0 0 0 0 0 0 0 0 0 0 0 0 0 0 0 0 0 0 0 0 0 0 0\n    0 0 0 0 0 1 0 0 0 0 0 0 0 0 1 1 0 0 1 1 0 0 0 1 1 0 0 1 1 1 0 1 0 0 1 1 0 1 \n    0 1 0 1 1 0 1 1 1 1 1 1 0 0 1 1 0 0 1 1 1 1 0 0 1 0 1 1 1 1]\n[0 0 0 0 0 0 0 0 0 0 0 0 0 0 0 0 0 0 0 0 0 0 0 0 0 0 0 0 0 0 0 0 0 0 0 0 0 0 0 0\n    0 0 0 0 0 0 1 0 0 0 0 0 0 1 0 0 0 0 1 1 0 0 1 1 0 1 1 0 1 0 1 0 0 1 1 0 1 0 \n    0 0 0 0 1 0 1 1 0 0 1 0 0 1 0 1 0 0 1 1 0 1 1 0 1 0 1 1 0 1]\n[0 0 0 0 0 0 0 0 0 0 0 0 0 0 0 0 0 0 0 0 0 0 0 0 0 0 0 0 0 0 0 0 0 0 0 0 0 0 0 0\n    0 0 0 0 0 0 0 1 0 0 0 0 0 0 1 0 0 0 1 1 0 1 1 1 1 1 1 0 1 0 0 1 1 0 0 0 1 1 \n    0 1 0 1 1 0 0 1 0 0 1 0 1 0 1 1 1 1 1 0 1 0 0 1 1 0 1 1 1 1]\n[0 0 0 0 0 0 0 0 0 0 0 0 0 0 0 0 0 0 0 0 0 0 0 0 0 0 0 0 0 0 0 0 0 0 0 0 0 0 0 0\n    0 0 0 0 0 0 0 0 1 0 0 0 0 0 0 1 0 0 1 1 0 1 0 1 1 0 1 0 1 0 0 0 0 1 1 1 1 1 \n    1 1 1 1 0 0 0 0 0 0 1 0 1 1 0 0 1 0 0 0 0 1 1 0 0 0 1 1 1 0]\n[0 0 0 0 0 0 0 0 0 0 0 0 0 0 0 0 0 0 0 0 0 0 0 0 0 0 0 0 0 0 0 0 0 0 0 0 0 0 0 0\n    0 0 0 0 0 0 0 0 0 1 0 0 0 1 0 1 0 0 0 1 1 1 1 1 0 0 1 0 1 1 0 0 0 1 1 1 0 1 \n    0 0 0 0 0 0 1 0 0 1 1 1 0 0 1 1 1 0 0 1 1 0 0 1 0 0 0 1 0 0]\n[0 0 0 0 0 0 0 0 0 0 0 0 0 0 0 0 0 0 0 0 0 0 0 0 0 0 0 0 0 0 0 0 0 0 0 0 0 0 0 0\n    0 0 0 0 0 0 0 0 0 0 1 0 0 1 1 1 0 0 1 0 0 1 0 0 0 0 1 1 0 0 1 0 1 1 0 0 1 0 \n    0 0 1 0 0 1 1 1 1 1 1 0 0 1 0 1 0 1 1 0 0 1 0 0 0 1 1 0 0 0]\n[0 0 0 0 0 0 0 0 0 0 0 0 0 0 0 0 0 0 0 0 0 0 0 0 0 0 0 0 0 0 0 0 0 0 0 0 0 0 0 0\n    0 0 0 0 0 0 0 0 0 0 0 1 0 1 1 0 0 0 0 1 0 1 1 1 1 1 1 0 0 0 0 1 0 0 1 0 1 1 \n    1 1 1 0 1 0 0 1 1 0 0 1 0 1 1 1 0 1 1 0 1 0 0 0 0 0 1 1 1 1]\n[0 0 0 0 0 0 0 0 0 0 0 0 0 0 0 0 0 0 0 0 0 0 0 0 0 0 0 0 0 0 0 0 0 0 0 0 0 0 0 0\n    0 0 0 0 0 0 0 0 0 0 0 0 1 0 1 1 0 0 0 0 1 0 1 1 1 1 1 1 0 0 0 0 1 0 0 1 0 1 \n    1 1 1 1 0 1 0 0 1 1 0 0 1 0 1 1 1 0 1 1 0 1 0 0 0 0 0 1 1 1]\n[0 0 0 0 0 0 0 0 0 0 0 0 0 0 0 0 0 0 0 0 0 0 0 0 0 0 0 0 0 0 0 0 0 0 0 0 0 0 0 0\n    0 0 0 0 0 0 0 0 0 0 0 0 0 0 0 0 1 0 1 1 1 0 0 1 0 1 1 1 0 0 1 0 1 1 1 0 0 1 \n    0 1 1 1 0 0 1 0 1 1 1 0 0 1 0 1 1 1 0 0 1 0 1 1 1 0 0 1 0 1]\n[0 0 0 0 0 0 0 0 0 0 0 0 0 0 0 0 0 0 0 0 0 0 0 0 0 0 0 0 0 0 0 0 0 0 0 0 0 0 0 0\n    0 0 0 0 0 0 0 0 0 0 0 0 0 0 0 0 0 1 0 1 1 1 0 0 1 0 1 1 1 0 0 1 0 1 1 1 0 0 \n    1 0 1 1 1 0 0 1 0 1 1 1 0 0 1 0 1 1 1 0 0 1 0 1 1 1 0 0 1 0]\nLinear Code over GF(2) of length 108 with 55 generators.\nLower Bound: 1, Upper Bound: 54\nConstructed 2 distinct generator matrices\nRelative Ranks:  55  53 \nTime Taken: 0.00\nStarting search for low weight codewords... (reset timings)\nEnumerating using 1 generator at a time:\n     New codeword identified of weight 29, time 0.00\n     New codeword identified of weight 27, time 0.00\n     New codeword identified of weight 25, time 0.00\n     New codeword identified of weight 23, time 0.00\n     New codeword identified of weight 20, time 0.00\n   Completed Matrix  1:  lower =  2, upper = 20. Elapsed: 0.00s\n     New codeword identified of weight 18, time 0.00\n   Completed Matrix  2:  lower =  2, upper = 18. Elapsed: 0.00s\nTermination predicted with 9 generators at matrix 2\nEnumerating using 2 generators at a time:\n   Completed Matrix  1:  lower =  3, upper = 18. Elapsed: 0.00s\n     New codeword identified of weight 17, time 0.00\n   Completed Matrix  2:  lower =  4, upper = 17. Elapsed: 0.00s\nTermination predicted with 9 generators at matrix 1\nEnumerating using 3 generators at a time:\n   Completed Matrix  1:  lower =  5, upper = 17. Elapsed: 0.00s\n   Completed Matrix  2:  lower =  6, upper = 17. Elapsed: 0.00s\nTermination predicted with 9 generators at matrix 1\nEnumerating using 4 generators at a time:\n   Completed Matrix  1:  lower =  7, upper = 17. Elapsed: 0.00s\n   Completed Matrix  2:  lower =  8, upper = 17. Elapsed: 0.00s\nTermination predicted with 9 generators at matrix 1\nEnumerating using 5 generators at a time:\n   Completed Matrix  1:  lower =  9, upper = 17. Elapsed: 0.00s\n   Completed Matrix  2:  lower = 10, upper = 17. Elapsed: 0.02s\nTermination predicted with 9 generators at matrix 1\nEnumerating using 6 generators at a time:\n   Completed Matrix  1:  lower = 11, upper = 17. Elapsed: 0.06s\n   Completed Matrix  2:  lower = 12, upper = 17. Elapsed: 0.12s\nTermination predicted with 9 generators at matrix 1\nEnumerating using 7 generators at a time:\n   Completed Matrix  1:  lower = 13, upper = 17. Elapsed: 0.53s\n   Completed Matrix  2:  lower = 14, upper = 17. Elapsed: 0.92s\nTermination predicted at 18 s with 9 generators at matrix 1\nEnumerating using 8 generators at a time:\n   Completed Matrix  1:  lower = 15, upper = 17. Elapsed: 3.39s\n   Completed Matrix  2:  lower = 16, upper = 17. Elapsed: 5.83s\nTermination predicted at 19 s with 9 generators at matrix 1\nEnumerating using 9 generators at a time:\n   Completed Matrix  1:  lower = 17, upper = 17. Elapsed: 19.33s\nComputation complete 9265064732 vectors enumerated in total\n (0.000026% of 108 55 code)\nFinal Results: lower = 17, upper = 17,\nTotal CPU time: 19.33, real time: 19.402\n17\n\nTotal time: 19.339 seconds, Total memory usage: 32.09MB\n</t>
  </si>
  <si>
    <t>[[109,37,25]]</t>
  </si>
  <si>
    <t>Magma V2.28-26    Tue Dec 30 2025 10:40:32 on Marks-MacBook-Air-2 [Seed = \n2878434899]\nType ? for help.  Type &lt;Ctrl&gt;-D to quit.\n[0 1 0 0 0 1 1 1 1 0 1 0 0 1 0 1 1 1 1 1 1 0 0 1 1 0 0 0 0 1 0 1 1 1 0 1 0 1 0 1\n    1 0 1 1 1 0 1 1 0 0 1 1 0 1 1 1 0 0 1 1 1 0 0 0 1 0 0 1 0 0 0 1 1 0 0 0 0 0 \n    0 0 0 0 0 0 0 0 0 0 0 0 0 0 0 0 0 0 0 0 0 0 0 0 0 0 0 0 0 0 0]\n[1 0 1 0 0 0 1 1 1 1 0 1 0 0 1 0 1 1 1 1 1 1 0 0 1 1 0 0 0 0 1 0 1 1 1 0 1 0 1 0\n    1 1 0 1 1 1 0 1 1 0 0 1 1 0 1 1 1 0 0 1 1 1 0 0 0 1 0 0 1 0 0 0 0 1 0 0 0 0 \n    0 0 0 0 0 0 0 0 0 0 0 0 0 0 0 0 0 0 0 0 0 0 0 0 0 0 0 0 0 0 0]\n[0 1 0 1 0 0 0 1 1 1 1 0 1 0 0 1 0 1 1 1 1 1 1 0 0 1 1 0 0 0 0 1 0 1 1 1 0 1 0 1\n    0 1 1 0 1 1 1 0 1 1 0 0 1 1 0 1 1 1 0 0 1 1 1 0 0 0 1 0 0 1 0 0 0 0 1 0 0 0 \n    0 0 0 0 0 0 0 0 0 0 0 0 0 0 0 0 0 0 0 0 0 0 0 0 0 0 0 0 0 0 0]\n[1 0 1 0 1 0 0 0 1 1 1 1 0 1 0 0 1 0 1 1 1 1 1 1 0 0 1 1 0 0 0 0 1 0 1 1 0 0 1 0\n    1 0 1 1 0 1 1 1 0 1 1 0 0 1 1 0 1 1 1 0 0 1 1 1 0 0 0 1 0 0 1 0 0 0 0 1 0 0 \n    0 0 0 0 0 0 0 0 0 0 0 0 0 0 0 0 0 0 0 0 0 0 0 0 0 0 0 0 0 0 0]\n[1 1 0 1 0 1 0 0 0 1 1 1 1 0 1 0 0 1 0 1 1 1 1 1 1 0 0 1 1 0 0 0 0 1 0 1 0 0 0 1\n    0 1 0 1 1 0 1 1 1 0 1 1 0 0 1 1 0 1 1 1 0 0 1 1 1 0 0 0 1 0 0 1 0 0 0 0 1 0 \n    0 0 0 0 0 0 0 0 0 0 0 0 0 0 0 0 0 0 0 0 0 0 0 0 0 0 0 0 0 0 0]\n[1 1 1 0 1 0 1 0 0 0 1 1 1 1 0 1 0 0 1 0 1 1 1 1 1 1 0 0 1 1 0 0 0 0 1 0 1 0 0 0\n    1 0 1 0 1 1 0 1 1 1 0 1 1 0 0 1 1 0 1 1 1 0 0 1 1 1 0 0 0 1 0 0 0 0 0 0 0 1 \n    0 0 0 0 0 0 0 0 0 0 0 0 0 0 0 0 0 0 0 0 0 0 0 0 0 0 0 0 0 0 0]\n[0 1 1 1 0 1 0 1 0 0 0 1 1 1 1 0 1 0 0 1 0 1 1 1 1 1 1 0 0 1 1 0 0 0 0 1 0 1 0 0\n    0 1 0 1 0 1 1 0 1 1 1 0 1 1 0 0 1 1 0 1 1 1 0 0 1 1 1 0 0 0 1 0 0 0 0 0 0 0 \n    1 0 0 0 0 0 0 0 0 0 0 0 0 0 0 0 0 0 0 0 0 0 0 0 0 0 0 0 0 0 0]\n[1 0 1 1 1 0 1 0 1 0 0 0 1 1 1 1 0 1 0 0 1 0 1 1 1 1 1 1 0 0 1 1 0 0 0 0 0 0 1 0\n    0 0 1 0 1 0 1 1 0 1 1 1 0 1 1 0 0 1 1 0 1 1 1 0 0 1 1 1 0 0 0 1 0 0 0 0 0 0 \n    0 1 0 0 0 0 0 0 0 0 0 0 0 0 0 0 0 0 0 0 0 0 0 0 0 0 0 0 0 0 0]\n[0 1 0 1 1 1 0 1 0 1 0 0 0 1 1 1 1 0 1 0 0 1 0 1 1 1 1 1 1 0 0 1 1 0 0 0 1 0 0 1\n    0 0 0 1 0 1 0 1 1 0 1 1 1 0 1 1 0 0 1 1 0 1 1 1 0 0 1 1 1 0 0 0 0 0 0 0 0 0 \n    0 0 1 0 0 0 0 0 0 0 0 0 0 0 0 0 0 0 0 0 0 0 0 0 0 0 0 0 0 0 0]\n[0 0 1 0 1 1 1 0 1 0 1 0 0 0 1 1 1 1 0 1 0 0 1 0 1 1 1 1 1 1 0 0 1 1 0 0 0 1 0 0\n    1 0 0 0 1 0 1 0 1 1 0 1 1 1 0 1 1 0 0 1 1 0 1 1 1 0 0 1 1 1 0 0 0 0 0 0 0 0 \n    0 0 0 1 0 0 0 0 0 0 0 0 0 0 0 0 0 0 0 0 0 0 0 0 0 0 0 0 0 0 0]\n[0 0 0 1 0 1 1 1 0 1 0 1 0 0 0 1 1 1 1 0 1 0 0 1 0 1 1 1 1 1 1 0 0 1 1 0 0 0 1 0\n    0 1 0 0 0 1 0 1 0 1 1 0 1 1 1 0 1 1 0 0 1 1 0 1 1 1 0 0 1 1 1 0 0 0 0 0 0 0 \n    0 0 0 0 1 0 0 0 0 0 0 0 0 0 0 0 0 0 0 0 0 0 0 0 0 0 0 0 0 0 0]\n[0 0 0 0 1 0 1 1 1 0 1 0 1 0 0 0 1 1 1 1 0 1 0 0 1 0 1 1 1 1 1 1 0 0 1 1 0 0 0 1\n    0 0 1 0 0 0 1 0 1 0 1 1 0 1 1 1 0 1 1 0 0 1 1 0 1 1 1 0 0 1 1 1 0 0 0 0 0 0 \n    0 0 0 0 0 1 0 0 0 0 0 0 0 0 0 0 0 0 0 0 0 0 0 0 0 0 0 0 0 0 0]\n[1 0 0 0 0 1 0 1 1 1 0 1 0 1 0 0 0 1 1 1 1 0 1 0 0 1 0 1 1 1 1 1 1 0 0 1 1 0 0 0\n    1 0 0 1 0 0 0 1 0 1 0 1 1 0 1 1 1 0 1 1 0 0 1 1 0 1 1 1 0 0 1 1 0 0 0 0 0 0 \n    0 0 0 0 0 0 1 0 0 0 0 0 0 0 0 0 0 0 0 0 0 0 0 0 0 0 0 0 0 0 0]\n[1 1 0 0 0 0 1 0 1 1 1 0 1 0 1 0 0 0 1 1 1 1 0 1 0 0 1 0 1 1 1 1 1 1 0 0 1 1 0 0\n    0 1 0 0 1 0 0 0 1 0 1 0 1 1 0 1 1 1 0 1 1 0 0 1 1 0 1 1 1 0 0 1 0 0 0 0 0 0 \n    0 0 0 0 0 0 0 1 0 0 0 0 0 0 0 0 0 0 0 0 0 0 0 0 0 0 0 0 0 0 0]\n[0 1 1 0 0 0 0 1 0 1 1 1 0 1 0 1 0 0 0 1 1 1 1 0 1 0 0 1 0 1 1 1 1 1 1 0 1 1 1 0\n    0 0 1 0 0 1 0 0 0 1 0 1 0 1 1 0 1 1 1 0 1 1 0 0 1 1 0 1 1 1 0 0 0 0 0 0 0 0 \n    0 0 0 0 0 0 0 0 1 0 0 0 0 0 0 0 0 0 0 0 0 0 0 0 0 0 0 0 0 0 0]\n[0 0 1 1 0 0 0 0 1 0 1 1 1 0 1 0 1 0 0 0 1 1 1 1 0 1 0 0 1 0 1 1 1 1 1 1 0 1 1 1\n    0 0 0 1 0 0 1 0 0 0 1 0 1 0 1 1 0 1 1 1 0 1 1 0 0 1 1 0 1 1 1 0 0 0 0 0 0 0 \n    0 0 0 0 0 0 0 0 0 1 0 0 0 0 0 0 0 0 0 0 0 0 0 0 0 0 0 0 0 0 0]\n[1 0 0 1 1 0 0 0 0 1 0 1 1 1 0 1 0 1 0 0 0 1 1 1 1 0 1 0 0 1 0 1 1 1 1 1 0 0 1 1\n    1 0 0 0 1 0 0 1 0 0 0 1 0 1 0 1 1 0 1 1 1 0 1 1 0 0 1 1 0 1 1 1 0 0 0 0 0 0 \n    0 0 0 0 0 0 0 0 0 0 1 0 0 0 0 0 0 0 0 0 0 0 0 0 0 0 0 0 0 0 0]\n[1 1 0 0 1 1 0 0 0 0 1 0 1 1 1 0 1 0 1 0 0 0 1 1 1 1 0 1 0 0 1 0 1 1 1 1 1 0 0 1\n    1 1 0 0 0 1 0 0 1 0 0 0 1 0 1 0 1 1 0 1 1 1 0 1 1 0 0 1 1 0 1 1 0 0 0 0 0 0 \n    0 0 0 0 0 0 0 0 0 0 0 1 0 0 0 0 0 0 0 0 0 0 0 0 0 0 0 0 0 0 0]\n[1 1 1 0 0 1 1 0 0 0 0 1 0 1 1 1 0 1 0 1 0 0 0 1 1 1 1 0 1 0 0 1 0 1 1 1 1 1 0 0\n    1 1 1 0 0 0 1 0 0 1 0 0 0 1 0 1 0 1 1 0 1 1 1 0 1 1 0 0 1 1 0 1 0 0 0 0 0 0 \n    0 0 0 0 0 0 0 0 0 0 0 0 1 0 0 0 0 0 0 0 0 0 0 0 0 0 0 0 0 0 0]\n[1 1 1 1 0 0 1 1 0 0 0 0 1 0 1 1 1 0 1 0 1 0 0 0 1 1 1 1 0 1 0 0 1 0 1 1 1 1 1 0\n    0 1 1 1 0 0 0 1 0 0 1 0 0 0 1 0 1 0 1 1 0 1 1 1 0 1 1 0 0 1 1 0 0 0 0 0 0 0 \n    0 0 0 0 0 0 0 0 0 0 0 0 0 1 0 0 0 0 0 0 0 0 0 0 0 0 0 0 0 0 0]\n[1 1 1 1 1 0 0 1 1 0 0 0 0 1 0 1 1 1 0 1 0 1 0 0 0 1 1 1 1 0 1 0 0 1 0 1 0 1 1 1\n    0 0 1 1 1 0 0 0 1 0 0 1 0 0 0 1 0 1 0 1 1 0 1 1 1 0 1 1 0 0 1 1 0 0 0 0 0 0 \n    0 0 0 0 0 0 0 0 0 0 0 0 0 0 1 0 0 0 0 0 0 0 0 0 0 0 0 0 0 0 0]\n[1 1 1 1 1 1 0 0 1 1 0 0 0 0 1 0 1 1 1 0 1 0 1 0 0 0 1 1 1 1 0 1 0 0 1 0 1 0 1 1\n    1 0 0 1 1 1 0 0 0 1 0 0 1 0 0 0 1 0 1 0 1 1 0 1 1 1 0 1 1 0 0 1 0 0 0 0 0 0 \n    0 0 0 0 0 0 0 0 0 0 0 0 0 0 0 1 0 0 0 0 0 0 0 0 0 0 0 0 0 0 0]\n[0 1 1 1 1 1 1 0 0 1 1 0 0 0 0 1 0 1 1 1 0 1 0 1 0 0 0 1 1 1 1 0 1 0 0 1 1 1 0 1\n    1 1 0 0 1 1 1 0 0 0 1 0 0 1 0 0 0 1 0 1 0 1 1 0 1 1 1 0 1 1 0 0 0 0 0 0 0 0 \n    0 0 0 0 0 0 0 0 0 0 0 0 0 0 0 0 1 0 0 0 0 0 0 0 0 0 0 0 0 0 0]\n[1 0 1 1 1 1 1 1 0 0 1 1 0 0 0 0 1 0 1 1 1 0 1 0 1 0 0 0 1 1 1 1 0 1 0 0 0 1 1 0\n    1 1 1 0 0 1 1 1 0 0 0 1 0 0 1 0 0 0 1 0 1 0 1 1 0 1 1 1 0 1 1 0 0 0 0 0 0 0 \n    0 0 0 0 0 0 0 0 0 0 0 0 0 0 0 0 0 1 0 0 0 0 0 0 0 0 0 0 0 0 0]\n[0 1 0 1 1 1 1 1 1 0 0 1 1 0 0 0 0 1 0 1 1 1 0 1 0 1 0 0 0 1 1 1 1 0 1 0 0 0 1 1\n    0 1 1 1 0 0 1 1 1 0 0 0 1 0 0 1 0 0 0 1 0 1 0 1 1 0 1 1 1 0 1 1 0 0 0 0 0 0 \n    0 0 0 0 0 0 0 0 0 0 0 0 0 0 0 0 0 0 1 0 0 0 0 0 0 0 0 0 0 0 0]\n[0 0 1 0 1 1 1 1 1 1 0 0 1 1 0 0 0 0 1 0 1 1 1 0 1 0 1 0 0 0 1 1 1 1 0 1 1 0 0 1\n    1 0 1 1 1 0 0 1 1 1 0 0 0 1 0 0 1 0 0 0 1 0 1 0 1 1 0 1 1 1 0 1 0 0 0 0 0 0 \n    0 0 0 0 0 0 0 0 0 0 0 0 0 0 0 0 0 0 0 1 0 0 0 0 0 0 0 0 0 0 0]\n[1 0 0 1 0 1 1 1 1 1 1 0 0 1 1 0 0 0 0 1 0 1 1 1 0 1 0 1 0 0 0 1 1 1 1 0 1 1 0 0\n    1 1 0 1 1 1 0 0 1 1 1 0 0 0 1 0 0 1 0 0 0 1 0 1 0 1 1 0 1 1 1 0 0 0 0 0 0 0 \n    0 0 0 0 0 0 0 0 0 0 0 0 0 0 0 0 0 0 0 0 1 0 0 0 0 0 0 0 0 0 0]\n[0 1 0 0 1 0 1 1 1 1 1 1 0 0 1 1 0 0 0 0 1 0 1 1 1 0 1 0 1 0 0 0 1 1 1 1 0 1 1 0\n    0 1 1 0 1 1 1 0 0 1 1 1 0 0 0 1 0 0 1 0 0 0 1 0 1 0 1 1 0 1 1 1 0 0 0 0 0 0 \n    0 0 0 0 0 0 0 0 0 0 0 0 0 0 0 0 0 0 0 0 0 1 0 0 0 0 0 0 0 0 0]\n[1 0 1 0 0 1 0 1 1 1 1 1 1 0 0 1 1 0 0 0 0 1 0 1 1 1 0 1 0 1 0 0 0 1 1 1 1 0 1 1\n    0 0 1 1 0 1 1 1 0 0 1 1 1 0 0 0 1 0 0 1 0 0 0 1 0 1 0 1 1 0 1 1 0 0 0 0 0 0 \n    0 0 0 0 0 0 0 0 0 0 0 0 0 0 0 0 0 0 0 0 0 0 1 0 0 0 0 0 0 0 0]\n[1 1 0 1 0 0 1 0 1 1 1 1 1 1 0 0 1 1 0 0 0 0 1 0 1 1 1 0 1 0 1 0 0 0 1 1 1 1 0 1\n    1 0 0 1 1 0 1 1 1 0 0 1 1 1 0 0 0 1 0 0 1 0 0 0 1 0 1 0 1 1 0 1 0 0 0 0 0 0 \n    0 0 0 0 0 0 0 0 0 0 0 0 0 0 0 0 0 0 0 0 0 0 0 1 0 0 0 0 0 0 0]\n[1 1 1 0 1 0 0 1 0 1 1 1 1 1 1 0 0 1 1 0 0 0 0 1 0 1 1 1 0 1 0 1 0 0 0 1 1 1 1 0\n    1 1 0 0 1 1 0 1 1 1 0 0 1 1 1 0 0 0 1 0 0 1 0 0 0 1 0 1 0 1 1 0 0 0 0 0 0 0 \n    0 0 0 0 0 0 0 0 0 0 0 0 0 0 0 0 0 0 0 0 0 0 0 0 1 0 0 0 0 0 0]\n[1 1 1 1 0 1 0 0 1 0 1 1 1 1 1 1 0 0 1 1 0 0 0 0 1 0 1 1 1 0 1 0 1 0 0 0 0 1 1 1\n    0 1 1 0 0 1 1 0 1 1 1 0 0 1 1 1 0 0 0 1 0 0 1 0 0 0 1 0 1 0 1 1 0 0 0 0 0 0 \n    0 0 0 0 0 0 0 0 0 0 0 0 0 0 0 0 0 0 0 0 0 0 0 0 0 1 0 0 0 0 0]\n[0 1 1 1 1 0 1 0 0 1 0 1 1 1 1 1 1 0 0 1 1 0 0 0 0 1 0 1 1 1 0 1 0 1 0 0 1 0 1 1\n    1 0 1 1 0 0 1 1 0 1 1 1 0 0 1 1 1 0 0 0 1 0 0 1 0 0 0 1 0 1 0 1 0 0 0 0 0 0 \n    0 0 0 0 0 0 0 0 0 0 0 0 0 0 0 0 0 0 0 0 0 0 0 0 0 0 1 0 0 0 0]\n[0 0 1 1 1 1 0 1 0 0 1 0 1 1 1 1 1 1 0 0 1 1 0 0 0 0 1 0 1 1 1 0 1 0 1 0 1 1 0 1\n    1 1 0 1 1 0 0 1 1 0 1 1 1 0 0 1 1 1 0 0 0 1 0 0 1 0 0 0 1 0 1 0 0 0 0 0 0 0 \n    0 0 0 0 0 0 0 0 0 0 0 0 0 0 0 0 0 0 0 0 0 0 0 0 0 0 0 1 0 0 0]\n[0 0 0 1 1 1 1 0 1 0 0 1 0 1 1 1 1 1 1 0 0 1 1 0 0 0 0 1 0 1 1 1 0 1 0 1 0 1 1 0\n    1 1 1 0 1 1 0 0 1 1 0 1 1 1 0 0 1 1 1 0 0 0 1 0 0 1 0 0 0 1 0 1 0 0 0 0 0 0 \n    0 0 0 0 0 0 0 0 0 0 0 0 0 0 0 0 0 0 0 0 0 0 0 0 0 0 0 0 1 0 0]\n[1 0 0 0 1 1 1 1 0 1 0 0 1 0 1 1 1 1 1 1 0 0 1 1 0 0 0 0 1 0 1 1 1 0 1 0 1 0 1 1\n    0 1 1 1 0 1 1 0 0 1 1 0 1 1 1 0 0 1 1 1 0 0 0 1 0 0 1 0 0 0 1 0 0 0 0 0 0 0 \n    0 0 0 0 0 0 0 0 0 0 0 0 0 0 0 0 0 0 0 0 0 0 0 0 0 0 0 0 0 1 0]\n[0 0 0 0 0 0 0 0 0 0 0 0 0 0 0 0 0 0 0 0 0 0 0 0 0 0 0 0 0 0 0 0 0 0 0 0 1 1 1 1\n    1 1 1 1 1 1 1 1 1 1 1 1 1 1 1 1 1 1 1 1 1 1 1 1 1 1 1 1 1 1 1 1 0 0 0 0 0 0 \n    0 0 0 0 0 0 0 0 0 0 0 0 0 0 0 0 0 0 0 0 0 0 0 0 0 0 0 0 0 0 1]\n[109, 37] Linear Code over GF(2)\nGenerator matrix:\n[1 0 0 0 0 0 0 0 0 0 0 0 0 0 0 0 0 0 0 0 0 0 0 0 0 0 0 0 0 0 0 0 0 0 1 0 0 0 0 0\n    0 0 0 1 1 1 0 1 1 0 0 0 1 0 1 1 0 1 0 1 1 1 1 1 1 1 1 1 1 0 0 0 0 1 0 0 0 1 \n    1 1 0 1 1 0 0 1 0 1 0 1 1 1 1 1 0 1 0 0 1 0 0 1 0 0 1 0 1 1 1]\n[0 1 0 0 0 0 0 0 0 0 0 0 0 0 0 0 0 0 0 0 0 0 0 0 0 0 0 0 0 0 0 0 0 0 0 1 0 0 0 0\n    0 0 0 0 1 1 1 0 1 1 0 0 0 1 0 1 1 0 1 0 1 1 1 1 1 1 1 1 1 1 0 0 0 1 0 1 1 1 \n    0 0 0 1 0 0 1 1 0 1 0 1 0 0 0 0 0 1 0 1 1 0 1 1 0 1 1 0 1 0 0]\n[0 0 1 0 0 0 0 0 0 0 0 0 0 0 0 0 0 0 0 0 0 0 0 0 0 0 0 0 0 0 0 0 0 0 1 0 0 0 0 0\n    0 0 0 1 1 0 1 0 1 1 1 0 1 0 0 1 1 0 0 0 1 0 0 0 0 0 0 0 0 1 1 0 0 1 1 0 1 0 \n    0 1 0 1 0 0 0 0 1 1 1 1 0 1 1 1 0 1 1 0 0 1 0 0 1 0 0 1 1 0 1]\n[0 0 0 1 0 0 0 0 0 0 0 0 0 0 0 0 0 0 0 0 0 0 0 0 0 0 0 0 0 0 0 0 0 0 0 1 0 0 0 0\n    0 0 0 0 1 1 0 1 0 1 1 1 0 1 0 0 1 1 0 0 0 1 0 0 0 0 0 0 0 0 1 1 0 0 1 1 0 1 \n    0 0 1 0 1 0 0 0 0 1 1 1 1 0 1 1 1 0 1 1 0 0 1 0 0 1 0 0 1 1 1]\n[0 0 0 0 1 0 0 0 0 0 0 0 0 0 0 0 0 0 0 0 0 0 0 0 0 0 0 0 0 0 0 0 0 0 1 0 0 0 1 0\n    1 0 1 1 0 0 0 1 1 0 0 1 1 0 1 1 1 0 0 1 0 1 1 1 0 1 0 1 0 0 1 1 0 1 1 1 0 1 \n    1 1 1 0 0 1 1 1 1 1 0 0 1 0 0 0 0 0 1 1 1 0 1 0 1 0 1 0 0 0 0]\n[0 0 0 0 0 1 0 0 0 0 0 0 0 0 0 0 0 0 0 0 0 0 0 0 0 0 0 0 0 0 0 0 0 0 0 1 0 0 1 1\n    1 1 1 1 0 0 1 0 0 1 1 0 0 1 1 1 0 1 1 0 0 0 0 1 0 0 0 0 0 0 1 1 0 1 1 0 1 1 \n    1 0 1 0 0 1 1 0 1 0 1 1 0 0 0 1 0 1 0 0 1 0 0 0 0 0 0 0 0 1 1]\n[0 0 0 0 0 0 1 0 0 0 0 0 0 0 0 0 0 0 0 0 0 0 0 0 0 0 0 0 0 0 0 0 0 0 1 0 0 0 1 1\n    0 1 0 0 1 1 1 0 0 0 0 1 0 0 1 0 0 1 0 0 0 1 0 1 1 1 0 1 0 0 1 1 0 1 0 1 1 0 \n    1 0 1 0 0 0 0 0 1 0 1 0 1 1 0 1 0 1 0 0 0 1 1 1 1 0 0 0 0 1 0]\n[0 0 0 0 0 0 0 1 0 0 0 0 0 0 0 0 0 0 0 0 0 0 0 0 0 0 0 0 0 0 0 0 0 0 0 1 0 0 1 1\n    0 0 0 0 1 1 0 1 1 0 1 0 0 0 1 1 1 0 0 0 1 0 0 0 0 1 0 0 0 0 1 1 0 0 0 0 0 1 \n    1 1 1 1 1 0 1 0 1 1 1 1 1 1 0 0 0 0 0 0 1 0 0 1 0 1 1 0 1 0 0]\n[0 0 0 0 0 0 0 0 1 0 0 0 0 0 0 0 0 0 0 0 0 0 0 0 0 0 0 0 0 0 0 0 0 0 1 0 0 0 1 1\n    0 0 1 1 0 0 0 1 1 1 1 1 0 0 0 0 0 0 1 1 0 0 0 1 0 1 1 1 0 0 1 1 0 0 0 1 0 0 \n    0 1 1 1 0 0 0 1 0 1 1 1 0 1 0 0 0 0 0 1 1 0 0 0 1 1 0 0 1 1 0]\n[0 0 0 0 0 0 0 0 0 1 0 0 0 0 0 0 0 0 0 0 0 0 0 0 0 0 0 0 0 0 0 0 0 0 0 1 0 0 1 1\n    0 0 1 1 0 0 1 0 0 1 0 1 0 0 1 0 1 0 1 1 0 0 1 0 0 0 0 1 0 0 1 1 0 0 1 0 0 0 \n    1 0 0 1 0 0 1 0 0 0 0 1 0 0 0 0 1 0 1 0 0 1 1 0 1 1 0 0 1 1 0]\n[0 0 0 0 0 0 0 0 0 0 1 0 0 0 0 0 0 0 0 0 0 0 0 0 0 0 0 0 0 0 0 0 0 0 1 0 0 0 1 1\n    0 0 1 0 1 1 1 0 0 0 0 0 1 0 0 0 1 0 1 0 1 1 0 0 0 1 0 1 1 0 1 1 0 1 1 1 1 1 \n    0 0 1 1 1 0 1 0 1 1 1 1 1 1 0 1 1 0 1 1 0 0 0 0 1 1 1 0 0 0 1]\n[0 0 0 0 0 0 0 0 0 0 0 1 0 0 0 0 0 0 0 0 0 0 0 0 0 0 0 0 0 0 0 0 0 0 0 1 0 0 1 1\n    0 0 1 1 1 1 0 1 1 0 1 0 1 1 1 0 1 1 1 1 1 1 0 0 1 0 0 0 0 1 1 1 0 1 1 0 1 0 \n    1 1 0 0 1 0 0 0 0 0 1 0 1 0 1 1 1 0 0 0 1 1 0 1 0 0 1 0 0 1 0]\n[0 0 0 0 0 0 0 0 0 0 0 0 1 0 0 0 0 0 0 0 0 0 0 0 0 0 0 0 0 0 0 0 0 0 1 0 0 0 1 1\n    0 0 1 0 1 0 0 1 1 1 1 1 0 1 1 0 1 0 0 0 1 0 1 1 0 0 0 1 0 0 0 1 0 1 0 1 1 0 \n    0 0 0 1 0 1 1 1 1 1 1 0 0 0 0 0 0 0 1 0 0 1 0 1 0 0 0 1 0 1 1]\n[0 0 0 0 0 0 0 0 0 0 0 0 0 1 0 0 0 0 0 0 0 0 0 0 0 0 0 0 0 0 0 0 0 0 0 1 0 0 1 1\n    0 0 1 1 1 1 1 0 0 1 0 1 0 0 0 1 1 1 1 0 1 1 1 1 0 0 1 0 0 0 1 0 0 0 0 0 0 1 \n    1 0 1 0 0 0 0 1 0 1 0 1 1 0 1 0 1 0 1 1 1 0 0 0 0 0 1 0 0 0 1]\n[0 0 0 0 0 0 0 0 0 0 0 0 0 0 1 0 0 0 0 0 0 0 0 0 0 0 0 0 0 0 0 0 0 0 1 0 0 0 0 1\n    1 0 0 0 0 0 1 0 1 0 1 0 0 0 1 1 1 0 1 0 1 0 0 0 0 1 1 0 1 0 0 1 0 1 0 0 0 1 \n    0 0 0 0 1 0 0 1 1 1 1 1 0 0 1 0 0 0 0 1 0 1 0 1 0 0 1 1 1 1 0]\n[0 0 0 0 0 0 0 0 0 0 0 0 0 0 0 1 0 0 0 0 0 0 0 0 0 0 0 0 0 0 0 0 0 0 0 1 0 0 1 0\n    0 1 1 0 1 0 1 1 1 1 1 1 1 0 1 1 0 1 1 1 1 1 1 0 1 0 0 1 1 1 1 0 0 0 0 0 1 0 \n    0 0 1 0 1 1 1 0 0 1 0 1 0 0 1 1 1 0 1 0 0 0 0 0 0 0 1 1 0 1 0]\n[0 0 0 0 0 0 0 0 0 0 0 0 0 0 0 0 1 0 0 0 0 0 0 0 0 0 0 0 0 0 0 0 0 0 1 0 0 0 0 1\n    0 0 1 0 1 0 0 0 0 1 1 1 0 1 1 0 1 1 1 0 0 0 0 0 1 0 1 1 0 1 1 1 0 0 1 1 1 1 \n    0 0 1 1 0 0 0 1 1 0 0 0 1 0 0 1 0 1 1 0 0 1 1 0 1 1 0 0 1 0 0]\n[0 0 0 0 0 0 0 0 0 0 0 0 0 0 0 0 0 1 0 0 0 0 0 0 0 0 0 0 0 0 0 0 0 0 0 1 0 0 1 0\n    0 0 1 1 1 1 1 0 1 0 0 1 0 0 0 1 1 1 0 1 1 0 1 0 1 1 1 1 0 0 0 1 0 1 0 0 1 0 \n    1 1 0 0 1 1 0 1 1 0 0 1 0 0 0 1 1 1 1 0 0 1 1 0 0 0 1 1 0 0 1]\n[0 0 0 0 0 0 0 0 0 0 0 0 0 0 0 0 0 0 1 0 0 0 0 0 0 0 0 0 0 0 0 0 0 0 1 0 0 0 1 1\n    1 0 1 0 1 0 0 0 0 1 1 0 1 0 0 1 0 0 0 1 1 0 0 0 0 0 1 0 1 0 1 0 0 0 1 1 0 1 \n    1 1 1 0 1 0 1 0 1 1 0 0 0 0 1 0 1 1 1 0 1 1 1 1 0 1 1 0 0 0 1]\n[0 0 0 0 0 0 0 0 0 0 0 0 0 0 0 0 0 0 0 1 0 0 0 0 0 0 0 0 0 0 0 0 0 0 0 1 0 0 0 1\n    1 1 0 1 0 1 0 0 0 0 1 1 0 1 0 0 1 0 0 0 1 1 0 0 0 0 0 1 0 1 0 1 0 0 0 1 1 0 \n    1 1 1 1 0 1 0 1 0 1 1 0 0 0 0 1 0 1 1 1 0 1 1 1 1 0 1 1 0 0 1]\n[0 0 0 0 0 0 0 0 0 0 0 0 0 0 0 0 0 0 0 0 1 0 0 0 0 0 0 0 0 0 0 0 0 0 1 0 0 0 1 0\n    0 1 0 1 1 1 0 1 0 0 1 1 1 0 1 1 1 0 1 1 0 0 1 1 0 1 0 1 1 0 0 0 0 0 0 1 1 1 \n    1 1 1 1 0 1 1 0 1 0 1 1 1 0 1 0 1 0 1 0 0 1 1 1 1 0 1 0 0 0 1]\n[0 0 0 0 0 0 0 0 0 0 0 0 0 0 0 0 0 0 0 0 0 1 0 0 0 0 0 0 0 0 0 0 0 0 0 1 0 0 0 1\n    0 0 1 0 1 1 1 0 1 0 0 1 1 1 0 1 1 1 0 1 1 0 0 1 1 0 1 0 1 1 0 0 0 0 0 0 1 1 \n    1 1 1 1 1 0 1 1 0 1 0 1 1 1 0 1 0 1 0 1 0 0 1 1 1 1 0 1 0 0 1]\n[0 0 0 0 0 0 0 0 0 0 0 0 0 0 0 0 0 0 0 0 0 0 1 0 0 0 0 0 0 0 0 0 0 0 1 0 0 0 0 0\n    1 0 0 0 1 0 1 0 1 1 0 0 0 1 0 1 1 0 1 1 0 0 1 1 0 0 1 0 1 1 1 0 0 1 0 0 0 0 \n    0 0 1 0 0 1 0 0 1 1 1 1 0 0 0 1 1 1 1 0 0 0 0 0 1 1 0 0 0 1 0]\n[0 0 0 0 0 0 0 0 0 0 0 0 0 0 0 0 0 0 0 0 0 0 0 1 0 0 0 0 0 0 0 0 0 0 0 1 0 0 0 0\n    0 1 0 0 0 1 0 1 0 1 1 0 0 0 1 0 1 1 0 1 1 0 0 1 1 0 0 1 0 1 1 1 0 1 0 1 1 1 \n    1 1 1 0 1 1 0 1 1 0 0 0 0 1 1 1 0 0 0 0 1 1 1 1 1 0 0 1 1 1 1]\n[0 0 0 0 0 0 0 0 0 0 0 0 0 0 0 0 0 0 0 0 0 0 0 0 1 0 0 0 0 0 0 0 0 0 1 0 0 0 1 0\n    1 0 0 1 0 1 0 1 1 0 0 1 0 0 0 0 1 0 0 1 1 0 0 1 1 0 0 1 1 0 0 1 0 1 0 0 0 0 \n    1 0 0 0 0 1 0 1 0 0 1 1 0 1 1 0 0 1 1 0 0 1 0 0 0 1 0 0 1 0 0]\n[0 0 0 0 0 0 0 0 0 0 0 0 0 0 0 0 0 0 0 0 0 0 0 0 0 1 0 0 0 0 0 0 0 0 0 1 0 0 1 1\n    1 1 1 0 0 0 0 0 0 1 1 0 0 0 1 0 1 1 1 0 0 1 1 0 0 1 1 0 0 1 1 0 0 1 1 1 0 1 \n    0 0 0 1 0 1 1 1 1 1 0 0 1 1 1 0 0 1 1 0 0 1 1 1 0 1 1 1 0 0 1]\n[0 0 0 0 0 0 0 0 0 0 0 0 0 0 0 0 0 0 0 0 0 0 0 0 0 0 1 0 0 0 0 0 0 0 1 0 0 0 0 1\n    1 1 1 0 1 1 0 1 1 0 1 1 1 0 1 0 0 0 1 0 1 1 0 0 1 1 0 0 1 0 1 1 0 1 1 1 1 1 \n    0 1 0 1 0 0 1 0 1 0 1 1 1 0 0 0 0 1 1 1 1 0 1 0 1 0 0 1 0 1 0]\n[0 0 0 0 0 0 0 0 0 0 0 0 0 0 0 0 0 0 0 0 0 0 0 0 0 0 0 1 0 0 0 0 0 0 0 1 0 0 1 0\n    0 1 0 1 1 1 0 0 0 1 1 1 0 1 1 1 1 0 1 1 1 1 0 0 1 1 0 0 1 1 1 1 0 0 0 1 0 1 \n    0 0 0 0 0 0 1 1 1 1 1 1 0 1 1 0 1 0 0 1 0 1 1 1 1 1 1 0 0 0 0]\n[0 0 0 0 0 0 0 0 0 0 0 0 0 0 0 0 0 0 0 0 0 0 0 0 0 0 0 0 1 0 0 0 0 0 1 0 0 0 1 1\n    1 0 0 1 1 0 0 1 0 0 0 1 1 0 1 0 0 0 1 0 1 0 1 1 0 0 1 1 0 1 0 1 0 0 0 1 1 0 \n    0 0 0 0 1 1 0 1 1 1 1 1 0 0 0 1 0 1 0 1 0 1 1 1 1 0 0 0 1 0 0]\n[0 0 0 0 0 0 0 0 0 0 0 0 0 0 0 0 0 0 0 0 0 0 0 0 0 0 0 0 0 1 0 0 0 0 0 1 0 0 1 1\n    0 1 1 0 0 1 1 0 0 0 1 0 0 1 1 1 1 0 1 1 1 1 1 1 0 0 1 1 0 0 0 0 0 1 0 1 1 0 \n    0 1 0 1 0 0 1 1 1 0 1 0 1 1 0 1 1 1 1 1 1 1 1 0 1 0 0 1 0 0 1]\n[0 0 0 0 0 0 0 0 0 0 0 0 0 0 0 0 0 0 0 0 0 0 0 0 0 0 0 0 0 0 1 0 0 0 1 0 0 0 0 1\n    1 0 1 0 1 1 1 0 1 0 0 1 1 0 0 0 1 0 0 0 0 0 0 0 0 1 1 0 0 0 0 0 0 1 1 0 1 0 \n    1 1 1 1 0 0 0 0 1 0 0 0 1 0 0 1 1 0 1 1 0 1 1 0 0 1 1 0 0 1 0]\n[0 0 0 0 0 0 0 0 0 0 0 0 0 0 0 0 0 0 0 0 0 0 0 0 0 0 0 0 0 0 0 1 0 0 0 1 0 0 0 0\n    1 1 0 1 0 1 1 1 0 1 0 0 1 1 0 0 0 1 0 0 0 0 0 0 0 0 1 1 0 0 0 0 0 1 0 0 1 0 \n    1 0 0 0 0 1 1 1 1 0 1 1 1 0 1 1 0 0 1 0 0 1 0 0 1 1 0 0 1 1 1]\n[0 0 0 0 0 0 0 0 0 0 0 0 0 0 0 0 0 0 0 0 0 0 0 0 0 0 0 0 0 0 0 0 1 0 1 0 0 0 0 0\n    0 1 1 1 0 1 1 0 0 0 1 0 1 1 0 1 0 1 1 1 1 1 1 1 1 1 1 0 0 0 0 0 0 0 0 1 1 1 \n    0 1 1 0 0 1 0 1 0 1 1 1 1 1 0 1 0 0 1 0 0 1 0 0 1 0 1 1 0 1 1]\n[0 0 0 0 0 0 0 0 0 0 0 0 0 0 0 0 0 0 0 0 0 0 0 0 0 0 0 0 0 0 0 0 0 1 0 1 0 0 0 0\n    0 0 1 1 1 0 1 1 0 0 0 1 0 1 1 0 1 0 1 1 1 1 1 1 1 1 1 1 0 0 0 0 0 1 1 1 0 0 \n    0 1 0 0 1 1 0 1 0 1 0 0 0 0 0 1 0 1 1 0 1 1 0 1 1 0 1 0 0 1 0]\n[0 0 0 0 0 0 0 0 0 0 0 0 0 0 0 0 0 0 0 0 0 0 0 0 0 0 0 0 0 0 0 0 0 0 0 0 1 0 1 0\n    1 0 1 0 1 0 1 0 1 0 1 0 1 0 1 0 1 0 1 0 1 0 1 0 1 0 1 0 1 0 1 0 0 1 0 1 0 1 \n    0 1 0 1 0 1 0 1 0 1 0 1 0 1 0 1 0 1 0 1 0 1 0 1 0 1 0 1 0 1 1]\n[0 0 0 0 0 0 0 0 0 0 0 0 0 0 0 0 0 0 0 0 0 0 0 0 0 0 0 0 0 0 0 0 0 0 0 0 0 1 0 1\n    0 1 0 1 0 1 0 1 0 1 0 1 0 1 0 1 0 1 0 1 0 1 0 1 0 1 0 1 0 1 0 1 0 1 0 1 0 1 \n    0 1 0 1 0 1 0 1 0 1 0 1 0 1 0 1 0 1 0 1 0 1 0 1 0 1 0 1 0 1 0]\n[0 0 0 0 0 0 0 0 0 0 0 0 0 0 0 0 0 0 0 0 0 0 0 0 0 0 0 0 0 0 0 0 0 0 0 0 0 0 0 0\n    0 0 0 0 0 0 0 0 0 0 0 0 0 0 0 0 0 0 0 0 0 0 0 0 0 0 0 0 0 0 0 0 1 1 1 1 1 1 \n    1 1 1 1 1 1 1 1 1 1 1 1 1 1 1 1 1 1 1 1 1 1 1 1 1 1 1 1 1 1 1]\nLinear Code over GF(2) of length 109 with 37 generators.\nLower Bound: 1, Upper Bound: 73\nConstructed 3 distinct generator matrices\nRelative Ranks:  37  37  35 \nTime Taken: 0.00\nStarting search for low weight codewords... (reset timings)\nEnumerating using 1 generator at a time:\n     New codeword identified of weight 41, time 0.00\n     New codeword identified of weight 38, time 0.00\n     New codeword identified of weight 33, time 0.00\n     New codeword identified of weight 30, time 0.00\n   Completed Matrix  1:  lower =  3, upper = 30. Elapsed: 0.00s\n     New codeword identified of weight 26, time 0.00\n   Completed Matrix  2:  lower =  4, upper = 26. Elapsed: 0.00s\n   Completed Matrix  3:  lower =  4, upper = 26. Elapsed: 0.00s\nTermination predicted with 9 generators at matrix 1\nEnumerating using 2 generators at a time:\n   Completed Matrix  1:  lower =  5, upper = 26. Elapsed: 0.00s\n   Completed Matrix  2:  lower =  6, upper = 26. Elapsed: 0.00s\n   Completed Matrix  3:  lower =  7, upper = 26. Elapsed: 0.00s\nTermination predicted with 9 generators at matrix 1\nEnumerating using 3 generators at a time:\n   Completed Matrix  1:  lower =  8, upper = 26. Elapsed: 0.00s\n   Completed Matrix  2:  lower =  9, upper = 26. Elapsed: 0.00s\n   Completed Matrix  3:  lower = 10, upper = 26. Elapsed: 0.00s\nTermination predicted with 9 generators at matrix 1\nEnumerating using 4 generators at a time:\n     New codeword identified of weight 25, time 0.00\n   Completed Matrix  1:  lower = 11, upper = 25. Elapsed: 0.00s\n   Completed Matrix  2:  lower = 12, upper = 25. Elapsed: 0.00s\n   Completed Matrix  3:  lower = 13, upper = 25. Elapsed: 0.00s\nTermination predicted with 8 generators at matrix 3\nEnumerating using 5 generators at a time:\n   Completed Matrix  1:  lower = 14, upper = 25. Elapsed: 0.00s\n   Completed Matrix  2:  lower = 15, upper = 25. Elapsed: 0.00s\n   Completed Matrix  3:  lower = 16, upper = 25. Elapsed: 0.00s\nTermination predicted with 8 generators at matrix 3\nEnumerating using 6 generators at a time:\n   Completed Matrix  1:  lower = 17, upper = 25. Elapsed: 0.00s\n   Completed Matrix  2:  lower = 18, upper = 25. Elapsed: 0.02s\n   Completed Matrix  3:  lower = 19, upper = 25. Elapsed: 0.02s\nTermination predicted with 8 generators at matrix 3\nEnumerating using 7 generators at a time:\n   Completed Matrix  1:  lower = 20, upper = 25. Elapsed: 0.05s\n   Completed Matrix  2:  lower = 21, upper = 25. Elapsed: 0.08s\n   Completed Matrix  3:  lower = 22, upper = 25. Elapsed: 0.11s\nTermination predicted with 8 generators at matrix 3\nEnumerating using 8 generators at a time:\n   Completed Matrix  1:  lower = 23, upper = 25. Elapsed: 0.22s\n   Completed Matrix  2:  lower = 24, upper = 25. Elapsed: 0.32s\n   Completed Matrix  3:  lower = 25, upper = 25. Elapsed: 0.43s\nComputation complete 155216073 vectors enumerated in total\n (0.112935% of 109 37 code)\nFinal Results: lower = 25, upper = 25,\nTotal CPU time: 0.43, real time: 0.424\n25\n\nTotal time: 0.440 seconds, Total memory usage: 32.09MB\n</t>
  </si>
  <si>
    <t>[[110,33,28]]</t>
  </si>
  <si>
    <t>Magma V2.28-26    Tue Dec 30 2025 10:40:32 on Marks-MacBook-Air-2 [Seed = \n2711315545]\nType ? for help.  Type &lt;Ctrl&gt;-D to quit.\n[0 0 0 0 0 1 0 1 1 1 1 0 1 0 0 1 0 0 1 0 0 0 1 0 0 0 0 0 1 0 1 0 1 1 0 1 0 1 0 0\n    1 1 1 1 0 0 1 0 0 0 1 0 1 0 0 1 0 1 1 0 1 1 1 1 1 1 1 1 0 0 1 0 1 0 1 0 0 1 \n    0 0 0 0 0 0 0 0 0 0 0 0 0 0 0 0 0 0 0 0 0 0 0 0 0 0 0 0 0 0 0 0]\n[1 0 0 0 0 0 1 0 1 1 1 1 0 1 0 0 1 0 0 1 0 0 0 1 0 0 0 0 0 1 0 1 0 1 1 0 1 0 1 0\n    0 1 1 1 1 0 0 1 0 0 0 1 0 1 0 0 1 0 1 1 0 1 1 1 1 1 1 1 1 0 0 1 0 1 0 1 0 0 \n    1 0 0 0 0 0 0 0 0 0 0 0 0 0 0 0 0 0 0 0 0 0 0 0 0 0 0 0 0 0 0 0]\n[1 1 0 0 0 0 0 1 0 1 1 1 1 0 1 0 0 1 0 0 1 0 0 0 1 0 0 0 0 0 1 0 1 0 1 1 0 1 0 1\n    0 0 1 1 1 1 0 0 1 0 0 0 1 0 1 0 0 1 0 1 1 0 1 1 1 1 1 1 1 1 0 0 1 0 1 0 1 0 \n    0 1 0 0 0 0 0 0 0 0 0 0 0 0 0 0 0 0 0 0 0 0 0 0 0 0 0 0 0 0 0 0]\n[0 1 1 0 0 1 0 1 0 1 0 1 0 1 0 0 0 0 0 0 0 1 1 0 0 1 0 0 1 0 1 1 1 0 0 0 1 1 1 0\n    0 1 1 0 1 1 0 0 0 1 1 0 1 1 0 0 0 1 0 0 0 0 1 0 0 0 0 0 1 1 0 0 1 1 1 1 0 0 \n    0 0 1 0 0 0 0 0 0 0 0 0 0 0 0 0 0 0 0 0 0 0 0 0 0 0 0 0 0 0 0 0]\n[0 0 1 1 0 0 1 0 1 0 1 0 1 0 1 0 0 0 0 0 0 0 1 1 0 0 1 0 0 1 0 1 1 1 0 0 0 1 1 1\n    0 0 1 1 0 1 1 0 0 0 1 1 0 1 1 0 0 0 1 0 0 0 0 1 0 0 0 0 0 1 1 0 0 1 1 1 1 0 \n    0 0 0 1 0 0 0 0 0 0 0 0 0 0 0 0 0 0 0 0 0 0 0 0 0 0 0 0 0 0 0 0]\n[1 0 0 1 1 1 0 0 1 0 1 1 1 1 0 0 0 0 1 0 0 0 1 1 1 0 0 1 1 0 0 0 0 0 1 1 0 1 1 1\n    0 1 1 0 1 0 0 1 0 0 1 1 0 0 1 0 0 1 1 1 1 1 1 1 0 1 1 1 0 0 0 1 1 0 0 1 1 0 \n    0 0 0 0 1 0 0 0 0 0 0 0 0 0 0 0 0 0 0 0 0 0 0 0 0 0 0 0 0 0 0 0]\n[1 1 0 0 1 0 1 1 1 0 1 1 0 1 1 1 0 0 1 1 0 0 1 1 1 1 0 0 0 1 1 0 1 1 0 0 1 1 1 1\n    0 1 0 0 0 1 1 0 1 0 1 1 0 0 0 0 0 1 0 1 0 0 0 0 0 1 0 0 1 0 1 0 0 1 1 0 1 0 \n    0 0 0 0 0 1 0 0 0 0 0 0 0 0 0 0 0 0 0 0 0 0 0 0 0 0 0 0 0 0 0 0]\n[1 1 1 0 0 0 0 0 0 0 1 1 0 0 1 0 1 0 1 1 1 0 1 1 1 1 1 0 1 0 0 1 1 0 1 1 0 0 1 1\n    0 1 0 1 0 0 0 1 0 1 1 1 0 0 0 1 0 1 0 0 0 1 1 1 1 1 0 1 0 1 1 1 1 0 0 1 0 0 \n    0 0 0 0 0 0 1 0 0 0 0 0 0 0 0 0 0 0 0 0 0 0 0 0 0 0 0 0 0 0 0 0]\n[0 1 1 1 0 0 0 0 0 0 0 1 1 0 0 1 0 1 0 1 1 1 0 1 1 1 1 1 0 1 0 0 1 1 0 1 1 0 0 1\n    1 0 1 0 1 0 0 0 1 0 1 1 1 0 0 0 1 0 1 0 0 0 1 1 1 1 1 0 1 0 1 1 1 1 0 0 1 0 \n    0 0 0 0 0 0 0 1 0 0 0 0 0 0 0 0 0 0 0 0 0 0 0 0 0 0 0 0 0 0 0 0]\n[0 0 1 1 1 1 0 1 1 1 1 0 0 1 0 1 1 0 0 0 1 1 0 0 1 1 1 1 0 0 0 0 1 0 1 1 1 0 0 0\n    0 0 1 0 0 1 1 0 0 1 1 1 0 1 0 1 0 0 1 1 1 1 1 0 0 0 0 0 0 1 1 1 0 1 0 0 0 0 \n    0 0 0 0 0 0 0 0 1 0 0 0 0 0 0 0 0 0 0 0 0 0 0 0 0 0 0 0 0 0 0 0]\n[0 0 0 1 1 1 1 0 1 1 1 1 0 0 1 0 1 1 0 0 0 1 1 0 0 1 1 1 1 0 0 0 0 1 0 1 1 1 0 0\n    0 0 0 1 0 0 1 1 0 0 1 1 1 0 1 0 1 0 0 1 1 1 1 1 0 0 0 0 0 0 1 1 1 0 1 0 0 0 \n    0 0 0 0 0 0 0 0 0 1 0 0 0 0 0 0 0 0 0 0 0 0 0 0 0 0 0 0 0 0 0 0]\n[0 0 0 0 1 1 1 1 0 1 1 1 1 0 0 1 0 1 1 0 0 0 1 1 0 0 1 1 1 1 0 0 0 0 1 0 1 1 1 0\n    0 0 0 0 1 0 0 1 1 0 0 1 1 1 0 1 0 1 0 0 1 1 1 1 1 0 0 0 0 0 0 1 1 1 0 1 0 0 \n    0 0 0 0 0 0 0 0 0 0 1 0 0 0 0 0 0 0 0 0 0 0 0 0 0 0 0 0 0 0 0 0]\n[0 0 0 0 0 1 1 1 1 0 1 1 1 1 0 0 1 0 1 1 0 0 0 1 1 0 0 1 1 1 1 0 0 0 0 1 0 1 1 1\n    0 0 0 0 0 1 0 0 1 1 0 0 1 1 1 0 1 0 1 0 0 1 1 1 1 1 0 0 0 0 0 0 1 1 1 0 1 0 \n    0 0 0 0 0 0 0 0 0 0 0 1 0 0 0 0 0 0 0 0 0 0 0 0 0 0 0 0 0 0 0 0]\n[1 0 0 0 0 1 1 0 0 0 1 1 0 1 1 1 0 1 1 1 1 0 1 0 1 1 0 0 0 1 0 1 1 1 0 1 1 1 1 1\n    0 1 1 1 0 0 0 0 0 1 0 0 1 1 1 0 0 0 1 1 1 1 0 0 0 0 0 1 0 0 1 0 1 1 0 1 0 0 \n    0 0 0 0 0 0 0 0 0 0 0 0 1 0 0 0 0 0 0 0 0 0 0 0 0 0 0 0 0 0 0 0]\n[1 1 0 0 0 0 1 1 0 0 0 1 1 0 1 1 1 0 1 1 1 1 0 1 0 1 1 0 0 0 1 0 1 1 1 0 1 1 1 1\n    1 0 1 1 1 0 0 0 0 0 1 0 0 1 1 1 0 0 0 1 1 1 1 0 0 0 0 0 1 0 0 1 0 1 1 0 1 0 \n    0 0 0 0 0 0 0 0 0 0 0 0 0 1 0 0 0 0 0 0 0 0 0 0 0 0 0 0 0 0 0 0]\n[1 1 1 0 0 1 0 0 0 1 1 0 0 1 0 0 1 1 1 1 1 1 0 0 1 0 1 1 1 0 1 1 1 0 1 0 0 0 1 1\n    0 0 1 0 1 1 1 0 0 0 1 1 1 0 1 0 1 1 1 0 0 0 0 0 1 1 1 1 0 1 1 0 0 0 0 1 0 0 \n    0 0 0 0 0 0 0 0 0 0 0 0 0 0 1 0 0 0 0 0 0 0 0 0 0 0 0 0 0 0 0 0]\n[1 1 1 1 0 0 1 0 0 0 1 1 0 0 1 0 0 1 1 1 1 1 1 0 0 1 0 1 1 1 0 1 1 1 0 1 0 0 0 1\n    1 0 0 1 0 1 1 1 0 0 0 1 1 1 0 1 0 1 1 1 0 0 0 0 0 1 1 1 1 0 1 1 0 0 0 0 1 0 \n    0 0 0 0 0 0 0 0 0 0 0 0 0 0 0 1 0 0 0 0 0 0 0 0 0 0 0 0 0 0 0 0]\n[0 1 1 1 1 1 0 0 1 1 1 1 0 0 0 0 0 0 0 1 1 1 0 1 0 0 1 0 0 1 0 0 0 0 1 1 1 1 0 0\n    0 0 1 1 1 0 0 1 1 0 1 0 0 1 1 1 1 1 0 1 0 1 1 1 1 1 0 0 1 1 1 1 0 0 1 0 0 0 \n    0 0 0 0 0 0 0 0 0 0 0 0 0 0 0 0 1 0 0 0 0 0 0 0 0 0 0 0 0 0 0 0]\n[1 0 1 1 1 1 1 0 0 1 1 1 1 0 0 0 0 0 0 0 1 1 1 0 1 0 0 1 0 0 1 0 0 0 0 1 1 1 1 0\n    0 0 0 1 1 1 0 0 1 1 0 1 0 0 1 1 1 1 1 0 1 0 1 1 1 1 1 0 0 1 1 1 1 0 0 1 0 0 \n    0 0 0 0 0 0 0 0 0 0 0 0 0 0 0 0 0 1 0 0 0 0 0 0 0 0 0 0 0 0 0 0]\n[0 1 0 1 1 1 1 1 0 0 1 1 1 1 0 0 0 0 0 0 0 1 1 1 0 1 0 0 1 0 0 1 0 0 0 0 1 1 1 1\n    0 0 0 0 1 1 1 0 0 1 1 0 1 0 0 1 1 1 1 1 0 1 0 1 1 1 1 1 0 0 1 1 1 1 0 0 1 0 \n    0 0 0 0 0 0 0 0 0 0 0 0 0 0 0 0 0 0 1 0 0 0 0 0 0 0 0 0 0 0 0 0]\n[0 0 1 0 1 0 1 0 0 1 1 1 0 1 1 1 0 0 1 0 0 0 0 1 1 0 1 0 1 1 1 0 0 1 0 1 0 0 1 1\n    0 1 1 1 0 1 0 1 0 0 0 1 1 1 0 1 1 0 0 1 0 1 0 1 0 0 0 0 1 0 1 1 0 1 0 0 0 0 \n    0 0 0 0 0 0 0 0 0 0 0 0 0 0 0 0 0 0 0 1 0 0 0 0 0 0 0 0 0 0 0 0]\n[0 0 0 1 0 1 0 1 0 0 1 1 1 0 1 1 1 0 0 1 0 0 0 0 1 1 0 1 0 1 1 1 0 0 1 0 1 0 0 1\n    1 0 1 1 1 0 1 0 1 0 0 0 1 1 1 0 1 1 0 0 1 0 1 0 1 0 0 0 0 1 0 1 1 0 1 0 0 0 \n    0 0 0 0 0 0 0 0 0 0 0 0 0 0 0 0 0 0 0 0 1 0 0 0 0 0 0 0 0 0 0 0]\n[1 0 0 0 1 0 1 0 1 0 0 1 1 1 0 1 1 1 0 0 1 0 0 0 0 1 1 0 1 0 1 1 1 0 0 1 0 1 0 0\n    1 1 0 1 1 1 0 1 0 1 0 0 0 1 1 1 0 1 1 0 0 1 0 1 0 1 0 0 0 0 1 0 1 1 0 1 0 0 \n    0 0 0 0 0 0 0 0 0 0 0 0 0 0 0 0 0 0 0 0 0 1 0 0 0 0 0 0 0 0 0 0]\n[0 1 0 0 0 1 0 1 0 1 0 0 1 1 1 0 1 1 1 0 0 1 0 0 0 0 1 1 0 1 0 1 1 1 0 0 1 0 1 0\n    0 1 1 0 1 1 1 0 1 0 1 0 0 0 1 1 1 0 1 1 0 0 1 0 1 0 1 0 0 0 0 1 0 1 1 0 1 0 \n    0 0 0 0 0 0 0 0 0 0 0 0 0 0 0 0 0 0 0 0 0 0 1 0 0 0 0 0 0 0 0 0]\n[1 0 1 0 0 1 1 1 0 1 0 0 1 1 1 0 0 1 0 1 0 0 0 0 0 0 0 1 0 0 0 0 0 0 1 1 0 0 0 1\n    1 1 0 0 0 1 0 1 0 1 1 1 1 0 0 0 1 0 1 1 0 1 1 0 1 0 1 0 0 0 1 0 0 0 0 1 0 0 \n    0 0 0 0 0 0 0 0 0 0 0 0 0 0 0 0 0 0 0 0 0 0 0 1 0 0 0 0 0 0 0 0]\n[1 1 0 1 0 0 1 1 1 0 1 0 0 1 1 1 0 0 1 0 1 0 0 0 0 0 0 0 1 0 0 0 0 0 0 1 1 0 0 0\n    1 1 1 0 0 0 1 0 1 0 1 1 1 1 0 0 0 1 0 1 1 0 1 1 0 1 0 1 0 0 0 1 0 0 0 0 1 0 \n    0 0 0 0 0 0 0 0 0 0 0 0 0 0 0 0 0 0 0 0 0 0 0 0 1 0 0 0 0 0 0 0]\n[1 1 1 0 1 1 0 0 0 0 1 1 1 0 1 0 1 0 1 1 0 1 1 0 0 0 0 0 1 1 1 0 1 1 0 1 1 0 0 0\n    1 0 0 0 0 0 1 1 0 1 1 1 0 1 1 1 0 1 0 0 0 0 1 0 0 1 0 1 1 0 1 0 0 0 1 0 0 0 \n    0 0 0 0 0 0 0 0 0 0 0 0 0 0 0 0 0 0 0 0 0 0 0 0 0 1 0 0 0 0 0 0]\n[1 1 1 1 0 1 1 0 0 0 0 1 1 1 0 1 0 1 0 1 1 0 1 1 0 0 0 0 0 1 1 1 0 1 1 0 1 1 0 0\n    0 1 0 0 0 0 0 1 1 0 1 1 1 0 1 1 1 0 1 0 0 0 0 1 0 0 1 0 1 1 0 1 0 0 0 1 0 0 \n    0 0 0 0 0 0 0 0 0 0 0 0 0 0 0 0 0 0 0 0 0 0 0 0 0 0 1 0 0 0 0 0]\n[0 1 1 1 1 0 1 1 0 0 0 0 1 1 1 0 1 0 1 0 1 1 0 1 1 0 0 0 0 0 1 1 1 0 1 1 0 1 1 0\n    0 0 1 0 0 0 0 0 1 1 0 1 1 1 0 1 1 1 0 1 0 0 0 0 1 0 0 1 0 1 1 0 1 0 0 0 1 0 \n    0 0 0 0 0 0 0 0 0 0 0 0 0 0 0 0 0 0 0 0 0 0 0 0 0 0 0 1 0 0 0 0]\n[0 0 1 1 1 0 0 0 0 1 1 0 1 1 1 0 0 1 1 1 0 1 0 0 1 1 0 0 1 0 1 1 0 0 0 0 1 1 1 1\n    1 1 1 0 0 0 1 0 0 1 0 0 0 1 1 1 1 0 0 0 0 1 1 1 1 0 1 1 1 0 0 1 1 1 1 0 0 0 \n    0 0 0 0 0 0 0 0 0 0 0 0 0 0 0 0 0 0 0 0 0 0 0 0 0 0 0 0 1 0 0 0]\n[0 0 0 1 1 1 0 0 0 0 1 1 0 1 1 1 0 0 1 1 1 0 1 0 0 1 1 0 0 1 0 1 1 0 0 0 0 1 1 1\n    1 1 1 1 0 0 0 1 0 0 1 0 0 0 1 1 1 1 0 0 0 0 1 1 1 1 0 1 1 1 0 0 1 1 1 1 0 0 \n    0 0 0 0 0 0 0 0 0 0 0 0 0 0 0 0 0 0 0 0 0 0 0 0 0 0 0 0 0 1 0 0]\n[1 0 0 0 1 1 1 0 0 0 0 1 1 0 1 1 1 0 0 1 1 1 0 1 0 0 1 1 0 0 1 0 1 1 0 0 0 0 1 1\n    1 1 1 1 1 0 0 0 1 0 0 1 0 0 0 1 1 1 1 0 0 0 0 1 1 1 1 0 1 1 1 0 0 1 1 1 1 0 \n    0 0 0 0 0 0 0 0 0 0 0 0 0 0 0 0 0 0 0 0 0 0 0 0 0 0 0 0 0 0 1 0]\n[0 1 0 0 0 0 1 0 1 1 1 0 0 1 0 0 1 1 1 0 1 1 0 0 1 0 0 1 0 0 1 1 1 0 1 1 0 1 0 1\n    0 0 0 0 1 1 1 0 0 1 1 0 0 0 0 1 1 0 0 1 1 1 1 1 0 0 0 0 0 1 0 1 1 0 0 1 1 0 \n    0 0 0 0 0 0 0 0 0 0 0 0 0 0 0 0 0 0 0 0 0 0 0 0 0 0 0 0 0 0 0 1]\n[110, 33] Linear Code over GF(2)\nGenerator matrix:\n[1 0 0 0 0 0 0 0 0 0 0 0 0 0 0 0 0 0 0 0 0 0 0 0 0 0 0 0 0 0 0 0 0 0 1 0 0 1 1 1\n    0 0 0 1 0 0 1 0 0 1 0 0 1 1 0 1 1 0 1 0 1 0 1 0 0 0 1 0 0 0 0 1 1 0 0 0 0 1 \n    1 1 0 0 1 1 1 0 1 0 1 0 0 0 1 1 0 0 1 1 0 1 0 0 0 0 0 0 1 1 1 0]\n[0 1 0 0 0 0 0 0 0 0 0 0 0 0 0 0 0 0 0 0 0 0 0 0 0 0 0 0 0 0 0 0 0 0 0 1 0 0 1 1\n    1 0 0 0 1 0 0 1 0 0 1 0 0 1 1 0 1 1 0 1 0 1 0 1 0 0 0 1 0 0 0 0 1 1 0 0 0 0 \n    1 1 1 0 0 1 1 1 0 1 0 1 0 0 0 1 1 0 0 1 1 0 1 0 0 0 0 0 0 1 1 1]\n[0 0 1 0 0 0 0 0 0 0 0 0 0 0 0 0 0 0 0 0 0 0 0 0 0 0 0 0 0 0 0 0 1 0 0 1 1 1 1 0\n    1 0 0 0 1 0 0 0 0 1 0 0 1 1 0 0 1 1 1 0 0 0 0 0 0 0 0 0 0 1 0 0 1 0 1 0 1 0 \n    0 1 1 1 0 1 0 1 1 0 1 0 1 1 1 0 0 1 0 0 0 1 1 0 1 1 0 0 0 1 1 1]\n[0 0 0 1 0 0 0 0 0 0 0 0 0 0 0 0 0 0 0 0 0 0 0 0 0 0 0 0 0 0 0 0 1 0 0 1 0 1 1 0\n    0 0 1 0 1 1 0 0 0 1 1 0 0 0 1 0 1 0 1 0 1 1 1 0 1 1 0 0 1 1 0 1 1 0 0 1 0 0 \n    1 0 1 0 0 0 0 1 1 0 0 1 0 1 1 1 1 1 0 0 0 0 0 0 1 0 1 1 1 0 1 1]\n[0 0 0 0 1 0 0 0 0 0 0 0 0 0 0 0 0 0 0 0 0 0 0 0 0 0 0 0 0 0 0 0 1 0 1 1 0 1 0 1\n    0 1 1 0 1 1 0 0 0 0 1 1 1 0 0 0 0 0 1 0 0 0 1 1 1 0 0 0 1 0 0 0 1 0 0 0 1 0 \n    0 0 0 0 0 1 0 1 0 0 1 0 1 0 0 0 0 0 1 1 0 1 1 1 1 0 0 0 1 0 1 1]\n[0 0 0 0 0 1 0 0 0 0 0 0 0 0 0 0 0 0 0 0 0 0 0 0 0 0 0 0 0 0 0 0 1 0 0 0 0 0 1 1\n    1 1 0 1 1 1 1 0 0 1 0 1 1 0 0 0 1 1 0 0 1 1 1 1 0 0 0 0 1 0 1 1 1 0 0 0 0 0 \n    1 0 0 1 1 0 0 1 1 1 0 1 0 1 0 0 1 1 1 1 1 0 0 0 0 0 0 1 1 1 0 1]\n[0 0 0 0 0 0 1 0 0 0 0 0 0 0 0 0 0 0 0 0 0 0 0 0 0 0 0 0 0 0 0 0 1 0 1 1 1 1 1 1\n    1 0 0 1 0 1 0 1 0 0 1 0 0 1 0 1 0 0 0 1 0 0 1 1 0 1 1 0 1 0 1 1 1 0 0 0 0 0 \n    0 0 0 1 1 0 0 1 0 0 0 0 1 0 0 1 1 0 1 0 1 0 1 1 1 1 0 1 1 0 0 0]\n[0 0 0 0 0 0 0 1 0 0 0 0 0 0 0 0 0 0 0 0 0 0 0 0 0 0 0 0 0 0 0 0 0 0 1 1 0 1 1 0\n    1 1 1 1 1 1 0 0 0 1 0 0 0 1 0 0 0 1 1 1 0 1 1 1 1 1 0 1 0 1 1 1 0 1 0 0 1 0 \n    0 1 0 1 1 1 1 1 0 1 1 0 0 0 0 1 1 0 0 0 1 0 0 1 1 1 1 1 1 1 1 0]\n[0 0 0 0 0 0 0 0 1 0 0 0 0 0 0 0 0 0 0 0 0 0 0 0 0 0 0 0 0 0 0 0 0 0 1 1 1 1 0 0\n    0 1 1 0 1 1 0 0 0 1 1 0 1 1 1 1 1 0 0 1 0 0 0 1 1 1 0 0 1 0 1 0 0 0 1 0 0 0 \n    1 1 1 0 0 0 0 1 0 0 0 1 0 0 1 1 1 1 1 1 0 0 0 0 1 1 1 1 0 0 0 1]\n[0 0 0 0 0 0 0 0 0 1 0 0 0 0 0 0 0 0 0 0 0 0 0 0 0 0 0 0 0 0 0 0 1 0 1 0 1 1 1 0\n    0 1 1 0 1 0 0 0 1 0 1 0 0 1 0 1 1 1 1 0 1 0 0 0 0 1 0 0 1 0 0 0 0 1 0 1 1 1 \n    1 0 1 1 1 0 0 0 0 0 1 0 1 1 0 0 0 1 0 0 0 1 1 1 1 0 1 1 0 0 1 0]\n[0 0 0 0 0 0 0 0 0 0 1 0 0 0 0 0 0 0 0 0 0 0 0 0 0 0 0 0 0 0 0 0 0 0 1 1 1 1 1 0\n    0 0 0 0 0 0 1 0 1 0 0 0 0 1 0 0 0 0 0 0 1 0 1 0 0 1 0 0 0 1 1 0 1 0 1 0 0 1 \n    1 0 0 0 1 1 1 1 1 1 1 1 0 0 1 1 0 1 1 1 1 1 1 1 1 1 0 0 1 0 1 1]\n[0 0 0 0 0 0 0 0 0 0 0 1 0 0 0 0 0 0 0 0 0 0 0 0 0 0 0 0 0 0 0 0 1 0 0 0 1 0 0 0\n    0 1 0 0 1 1 0 1 1 0 0 1 1 1 0 1 1 0 0 0 1 1 1 1 1 0 1 0 1 1 1 1 1 0 0 1 1 0 \n    1 1 0 0 0 0 0 1 1 1 1 1 1 1 1 1 0 0 1 1 0 1 0 0 0 0 1 0 0 0 0 1]\n[0 0 0 0 0 0 0 0 0 0 0 0 1 0 0 0 0 0 0 0 0 0 0 0 0 0 0 0 0 0 0 0 1 0 0 1 1 1 0 1\n    0 1 0 0 1 1 1 0 1 0 0 0 1 0 1 0 0 0 0 1 1 0 0 1 0 0 0 1 1 0 0 0 0 0 0 0 1 0 \n    1 1 1 1 1 0 1 1 1 0 1 1 1 1 1 1 0 1 1 1 1 0 0 1 1 1 0 0 1 0 0 0]\n[0 0 0 0 0 0 0 0 0 0 0 0 0 1 0 0 0 0 0 0 0 0 0 0 0 0 0 0 0 0 0 0 0 0 1 0 0 1 1 1\n    1 0 0 1 0 0 0 1 1 0 0 1 0 0 1 1 1 1 1 1 0 0 1 0 1 1 1 0 1 1 1 0 1 0 0 0 1 1 \n    0 0 1 0 1 1 1 0 0 0 1 1 1 0 1 0 1 1 1 0 0 0 0 0 1 1 1 1 0 1 1 0]\n[0 0 0 0 0 0 0 0 0 0 0 0 0 0 1 0 0 0 0 0 0 0 0 0 0 0 0 0 0 0 0 0 0 0 0 1 0 0 1 1\n    1 1 0 0 1 0 0 0 1 1 0 0 1 0 0 1 1 1 1 1 1 0 0 1 0 1 1 1 0 1 1 1 0 1 0 0 0 1 \n    1 0 0 1 0 1 1 1 0 0 0 1 1 1 0 1 0 1 1 1 0 0 0 0 0 1 1 1 1 0 1 1]\n[0 0 0 0 0 0 0 0 0 0 0 0 0 0 0 1 0 0 0 0 0 0 0 0 0 0 0 0 0 0 0 0 1 0 1 1 1 0 0 1\n    1 0 1 1 1 0 1 0 1 1 1 1 0 1 1 0 1 1 0 1 1 1 0 0 0 0 0 1 0 1 1 0 1 1 1 0 1 1 \n    0 0 0 0 0 0 1 1 0 0 1 0 1 0 1 1 0 0 0 0 0 1 1 1 1 1 1 1 0 1 1 1]\n[0 0 0 0 0 0 0 0 0 0 0 0 0 0 0 0 1 0 0 0 0 0 0 0 0 0 0 0 0 0 0 0 1 0 1 0 0 0 1 0\n    1 0 1 0 0 1 1 1 0 1 1 1 0 0 1 0 0 0 0 1 1 0 1 0 1 1 1 0 0 1 0 1 0 0 1 1 0 1 \n    1 1 0 1 0 1 0 0 0 1 1 1 0 1 1 0 0 1 0 1 0 1 0 0 0 0 1 0 1 1 0 1]\n[0 0 0 0 0 0 0 0 0 0 0 0 0 0 0 0 0 1 0 0 0 0 0 0 0 0 0 0 0 0 0 0 1 0 1 0 1 1 1 1\n    0 0 1 0 1 0 0 1 1 0 1 1 0 0 0 0 0 1 1 1 1 0 0 1 1 0 0 1 1 1 0 0 1 1 0 1 1 0 \n    1 0 1 1 1 1 1 1 1 1 0 1 1 0 0 0 1 1 1 1 1 1 0 1 1 1 0 0 0 0 0 0]\n[0 0 0 0 0 0 0 0 0 0 0 0 0 0 0 0 0 0 1 0 0 0 0 0 0 0 0 0 0 0 0 0 0 0 1 1 1 1 1 0\n    1 0 1 0 0 0 1 0 0 0 0 0 1 1 1 0 1 1 0 0 0 0 1 0 1 0 1 0 1 1 0 0 1 1 1 0 0 1 \n    0 0 0 0 1 1 0 0 0 0 0 0 1 0 0 1 0 0 1 0 0 0 1 0 1 1 1 1 0 0 1 0]\n[0 0 0 0 0 0 0 0 0 0 0 0 0 0 0 0 0 0 0 1 0 0 0 0 0 0 0 0 0 0 0 0 0 0 1 1 1 0 0 0\n    0 1 0 0 0 0 1 1 0 1 0 0 1 0 1 0 1 1 0 0 1 0 1 1 0 1 1 1 0 1 1 1 1 1 1 1 0 1 \n    0 1 0 0 1 0 0 0 1 0 1 0 0 1 1 1 1 0 1 0 0 1 0 1 0 1 1 1 0 1 1 1]\n[0 0 0 0 0 0 0 0 0 0 0 0 0 0 0 0 0 0 0 0 1 0 0 0 0 0 0 0 0 0 0 0 1 0 1 0 1 1 0 0\n    0 1 1 1 1 1 1 1 0 0 1 1 0 1 1 1 0 1 0 0 0 1 0 1 0 0 0 1 0 1 1 0 1 0 1 1 0 1 \n    0 1 1 0 1 1 0 0 1 1 1 1 0 1 1 0 0 1 1 0 1 1 0 1 0 1 1 1 0 0 0 1]\n[0 0 0 0 0 0 0 0 0 0 0 0 0 0 0 0 0 0 0 0 0 1 0 0 0 0 0 0 0 0 0 0 1 0 0 0 1 1 1 1\n    0 1 0 1 0 1 1 1 1 1 0 1 1 1 1 1 0 1 1 1 1 1 0 0 0 1 0 0 0 1 0 0 1 0 0 1 1 1 \n    0 0 1 0 1 1 0 1 0 0 1 1 1 0 1 1 1 1 0 1 0 1 0 1 0 1 1 0 0 0 0 0]\n[0 0 0 0 0 0 0 0 0 0 0 0 0 0 0 0 0 0 0 0 0 0 1 0 0 0 0 0 0 0 0 0 0 0 1 0 1 1 1 0\n    1 0 0 1 1 1 0 1 0 0 1 1 1 0 0 1 0 1 0 0 0 0 0 0 0 1 0 0 0 0 0 0 1 1 0 0 0 1 \n    1 1 0 0 0 1 0 1 0 1 1 1 1 0 0 0 1 0 1 1 0 1 1 0 1 0 1 0 0 0 1 0]\n[0 0 0 0 0 0 0 0 0 0 0 0 0 0 0 0 0 0 0 0 0 0 0 1 0 0 0 0 0 0 0 0 0 0 0 1 0 1 1 1\n    0 1 0 0 1 1 1 0 1 0 0 1 1 1 0 0 1 0 1 0 0 0 0 0 0 0 1 0 0 0 0 0 0 1 1 0 0 0 \n    1 1 1 0 0 0 1 0 1 0 1 1 1 1 0 0 0 1 0 1 1 0 1 1 0 1 0 1 0 0 0 1]\n[0 0 0 0 0 0 0 0 0 0 0 0 0 0 0 0 0 0 0 0 0 0 0 0 1 0 0 0 0 0 0 0 1 0 1 1 1 0 1 1\n    1 1 1 1 1 0 0 1 1 1 0 1 1 1 0 0 0 1 1 1 0 0 0 0 1 0 1 1 1 1 0 1 0 1 1 1 1 1 \n    1 0 1 1 1 0 0 1 1 1 1 1 1 0 1 1 1 0 0 1 0 0 1 0 0 1 1 0 0 0 1 0]\n[0 0 0 0 0 0 0 0 0 0 0 0 0 0 0 0 0 0 0 0 0 0 0 0 0 1 0 0 0 0 0 0 0 0 0 1 0 0 1 1\n    1 1 0 1 1 0 0 0 0 1 1 1 0 1 0 1 0 1 1 0 1 1 0 0 0 0 0 1 1 1 0 1 1 0 1 1 0 0 \n    0 1 0 0 0 0 0 1 1 0 1 1 1 0 1 1 1 0 1 0 0 0 0 1 0 0 1 0 1 1 0 1]\n[0 0 0 0 0 0 0 0 0 0 0 0 0 0 0 0 0 0 0 0 0 0 0 0 0 0 1 0 0 0 0 0 1 0 1 1 1 0 0 1\n    1 0 1 1 0 0 1 0 1 0 1 0 1 0 0 0 1 0 0 1 0 1 1 0 1 0 1 0 0 0 1 1 1 0 0 1 0 1 \n    1 1 1 0 1 0 0 0 0 1 1 1 1 0 0 0 0 1 1 0 1 1 1 1 0 1 0 1 1 1 0 0]\n[0 0 0 0 0 0 0 0 0 0 0 0 0 0 0 0 0 0 0 0 0 0 0 0 0 0 0 1 0 0 0 0 0 0 0 1 0 0 1 0\n    1 1 1 1 1 1 0 1 1 1 0 0 1 1 1 1 0 0 0 1 1 1 1 1 0 0 0 1 0 0 1 0 1 1 0 0 0 1 \n    0 1 1 0 1 0 0 1 0 1 1 1 1 0 1 0 0 1 0 1 1 1 1 1 1 0 1 1 0 0 1 0]\n[0 0 0 0 0 0 0 0 0 0 0 0 0 0 0 0 0 0 0 0 0 0 0 0 0 0 0 0 1 0 0 0 0 0 1 0 1 1 1 0\n    0 1 1 0 1 1 0 0 1 0 1 0 1 0 1 0 0 0 1 0 0 1 0 1 1 0 1 0 1 0 0 0 1 1 1 0 0 1 \n    0 1 1 1 1 0 1 0 0 0 0 1 1 1 1 0 0 0 0 1 1 0 1 1 1 1 0 1 0 1 1 1]\n[0 0 0 0 0 0 0 0 0 0 0 0 0 0 0 0 0 0 0 0 0 0 0 0 0 0 0 0 0 1 0 0 1 0 0 0 0 0 0 0\n    0 1 1 1 1 0 1 0 1 0 0 0 1 0 1 0 1 0 0 1 1 0 0 0 0 1 0 1 1 0 0 0 1 0 1 1 1 0 \n    1 0 1 1 1 0 1 1 0 0 0 0 1 0 0 1 1 0 0 0 0 1 1 0 0 0 1 0 1 1 1 1]\n[0 0 0 0 0 0 0 0 0 0 0 0 0 0 0 0 0 0 0 0 0 0 0 0 0 0 0 0 0 0 1 0 1 0 0 1 1 0 0 1\n    0 1 0 1 0 1 0 1 0 0 0 0 0 0 0 1 1 0 0 1 0 0 1 0 1 1 1 0 0 0 1 1 1 0 0 1 1 0 \n    1 1 0 0 0 1 1 0 1 1 0 0 0 1 0 0 0 0 1 0 0 0 0 0 1 1 0 0 1 1 1 1]\n[0 0 0 0 0 0 0 0 0 0 0 0 0 0 0 0 0 0 0 0 0 0 0 0 0 0 0 0 0 0 0 1 1 0 1 1 0 0 1 0\n    1 1 0 1 0 0 0 0 1 0 0 0 1 0 0 1 1 0 1 1 1 1 0 1 1 0 0 1 1 1 1 1 1 0 0 0 1 1 \n    0 0 1 1 0 1 1 0 1 0 0 0 0 0 0 1 1 1 0 0 0 1 1 1 1 0 1 1 0 0 0 1]\n[0 0 0 0 0 0 0 0 0 0 0 0 0 0 0 0 0 0 0 0 0 0 0 0 0 0 0 0 0 0 0 0 0 1 0 0 1 1 1 0\n    0 0 1 0 0 1 0 0 1 0 0 1 1 0 1 1 0 1 0 1 0 1 0 0 0 1 0 0 0 0 1 1 0 0 0 0 1 1 \n    1 0 0 1 1 1 0 1 0 1 0 0 0 1 1 0 0 1 1 0 1 0 0 0 0 0 0 1 1 1 0 0]\nLinear Code over GF(2) of length 110 with 33 generators.\nLower Bound: 1, Upper Bound: 78\nConstructed 4 distinct generator matrices\nRelative Ranks:  33  33  33  11 \nTime Taken: 0.00\nStarting search for low weight codewords... (reset timings)\nEnumerating using 1 generator at a time:\n     New codeword identified of weight 34, time 0.00\n     New codeword identified of weight 33, time 0.00\n     Discarding non-contributing rank 11 matrix\n     New Relative Ranks:  33  33  33 \n   Completed Matrix  1:  lower =  4, upper = 33. Elapsed: 0.00s\n   Completed Matrix  2:  lower =  5, upper = 33. Elapsed: 0.00s\n     New codeword identified of weight 30, time 0.00\n   Completed Matrix  3:  lower =  6, upper = 30. Elapsed: 0.00s\nTermination predicted with 9 generators at matrix 3\nEnumerating using 2 generators at a time:\n     New codeword identified of weight 29, time 0.00\n   Completed Matrix  1:  lower =  7, upper = 29. Elapsed: 0.00s\n   Completed Matrix  2:  lower =  8, upper = 29. Elapsed: 0.00s\n   Completed Matrix  3:  lower =  9, upper = 29. Elapsed: 0.00s\nTermination predicted with 9 generators at matrix 2\nEnumerating using 3 generators at a time:\n   Completed Matrix  1:  lower = 10, upper = 29. Elapsed: 0.00s\n   Completed Matrix  2:  lower = 11, upper = 29. Elapsed: 0.00s\n   Completed Matrix  3:  lower = 12, upper = 29. Elapsed: 0.00s\nTermination predicted with 9 generators at matrix 2\nEnumerating using 4 generators at a time:\n     New codeword identified of weight 28, time 0.00\n   Completed Matrix  1:  lower = 13, upper = 28. Elapsed: 0.00s\n   Completed Matrix  2:  lower = 14, upper = 28. Elapsed: 0.00s\n   Completed Matrix  3:  lower = 15, upper = 28. Elapsed: 0.00s\nTermination predicted with 9 generators at matrix 1\nEnumerating using 5 generators at a time:\n   Completed Matrix  1:  lower = 16, upper = 28. Elapsed: 0.00s\n   Completed Matrix  2:  lower = 17, upper = 28. Elapsed: 0.00s\n   Completed Matrix  3:  lower = 18, upper = 28. Elapsed: 0.00s\nTermination predicted with 9 generators at matrix 1\nEnumerating using 6 generators at a time:\n   Completed Matrix  1:  lower = 19, upper = 28. Elapsed: 0.00s\n   Completed Matrix  2:  lower = 20, upper = 28. Elapsed: 0.00s\n   Completed Matrix  3:  lower = 21, upper = 28. Elapsed: 0.00s\nTermination predicted with 9 generators at matrix 1\nEnumerating using 7 generators at a time:\n   Completed Matrix  1:  lower = 22, upper = 28. Elapsed: 0.02s\n   Completed Matrix  2:  lower = 23, upper = 28. Elapsed: 0.03s\n   Completed Matrix  3:  lower = 24, upper = 28. Elapsed: 0.05s\nTermination predicted with 9 generators at matrix 1\nEnumerating using 8 generators at a time:\n   Completed Matrix  1:  lower = 25, upper = 28. Elapsed: 0.09s\n   Completed Matrix  2:  lower = 26, upper = 28. Elapsed: 0.13s\n   Completed Matrix  3:  lower = 27, upper = 28. Elapsed: 0.17s\nTermination predicted with 9 generators at matrix 1\nEnumerating using 9 generators at a time:\n   Completed Matrix  1:  lower = 28, upper = 28. Elapsed: 0.30s\nComputation complete 97211235 vectors enumerated in total\n (1.131688% of 110 33 code)\nFinal Results: lower = 28, upper = 28,\nTotal CPU time: 0.30, real time: 0.289\n28\n\nTotal time: 0.310 seconds, Total memory usage: 32.09MB\n</t>
  </si>
  <si>
    <t>[[111,57,17]]</t>
  </si>
  <si>
    <t>Magma V2.28-26    Tue Dec 30 2025 10:40:33 on Marks-MacBook-Air-2 [Seed = \n2812109406]\nType ? for help.  Type &lt;Ctrl&gt;-D to quit.\n[0 0 1 0 0 0 0 0 1 1 0 1 0 0 1 1 0 0 1 0 0 1 1 1 0 0 1 0 0 0 1 0 0 1 0 0 0 1 1 1\n    1 1 1 1 1 0 1 1 0 1 0 1 0 0 1 0 0 0 0 0 0 0 0 0 0 0 0 0 0 0 0 0 0 0 0 0 0 0 \n    0 0 0 0 0 0 0 0 0 0 0 0 0 0 0 0 0 0 0 0 0 0 0 0 0 0 0 0 0 0 0 0 0]\n[0 0 0 1 0 0 0 0 0 1 1 0 1 0 0 1 1 0 0 1 0 0 1 1 1 0 0 1 0 0 0 1 0 0 1 0 0 0 1 1\n    1 1 1 1 1 1 0 1 1 0 1 0 1 0 0 1 0 0 0 0 0 0 0 0 0 0 0 0 0 0 0 0 0 0 0 0 0 0 \n    0 0 0 0 0 0 0 0 0 0 0 0 0 0 0 0 0 0 0 0 0 0 0 0 0 0 0 0 0 0 0 0 0]\n[1 0 0 0 1 0 0 0 0 0 1 1 0 1 0 0 1 1 0 0 1 0 0 1 1 1 0 0 1 0 0 0 1 0 0 1 0 0 0 1\n    1 1 1 1 1 1 1 0 1 1 0 1 0 1 0 0 1 0 0 0 0 0 0 0 0 0 0 0 0 0 0 0 0 0 0 0 0 0 \n    0 0 0 0 0 0 0 0 0 0 0 0 0 0 0 0 0 0 0 0 0 0 0 0 0 0 0 0 0 0 0 0 0]\n[0 1 1 0 0 1 0 0 1 1 0 0 1 0 0 1 0 1 0 0 0 0 1 1 1 1 0 0 0 1 1 0 0 0 0 0 1 1 1 1\n    0 0 0 0 0 1 0 0 0 0 1 1 1 0 0 0 0 1 0 0 0 0 0 0 0 0 0 0 0 0 0 0 0 0 0 0 0 0 \n    0 0 0 0 0 0 0 0 0 0 0 0 0 0 0 0 0 0 0 0 0 0 0 0 0 0 0 0 0 0 0 0 0]\n[0 0 1 1 0 0 1 0 0 1 1 0 0 1 0 0 1 0 1 0 0 0 0 1 1 1 1 0 0 0 1 1 0 0 0 0 0 1 1 1\n    1 0 0 0 0 0 1 0 0 0 0 1 1 1 0 0 0 0 1 0 0 0 0 0 0 0 0 0 0 0 0 0 0 0 0 0 0 0 \n    0 0 0 0 0 0 0 0 0 0 0 0 0 0 0 0 0 0 0 0 0 0 0 0 0 0 0 0 0 0 0 0 0]\n[1 0 1 1 1 0 0 1 1 1 1 0 0 0 0 1 0 1 1 1 0 1 1 1 1 1 0 1 0 0 1 1 1 1 0 0 0 1 0 0\n    0 0 1 1 1 0 1 0 0 1 0 1 1 1 0 0 0 0 0 1 0 0 0 0 0 0 0 0 0 0 0 0 0 0 0 0 0 0 \n    0 0 0 0 0 0 0 0 0 0 0 0 0 0 0 0 0 0 0 0 0 0 0 0 0 0 0 0 0 0 0 0 0]\n[0 1 1 1 1 1 0 0 0 0 1 0 0 0 1 1 1 0 0 1 1 1 0 0 1 1 0 0 1 0 1 1 1 0 1 0 0 1 0 1\n    1 1 1 0 0 1 1 0 0 1 1 1 1 1 0 0 0 0 0 0 1 0 0 0 0 0 0 0 0 0 0 0 0 0 0 0 0 0 \n    0 0 0 0 0 0 0 0 0 0 0 0 0 0 0 0 0 0 0 0 0 0 0 0 0 0 0 0 0 0 0 0 0]\n[1 0 0 1 1 1 1 0 1 1 0 0 0 0 1 0 1 1 1 0 1 0 0 1 0 1 0 0 0 1 1 1 1 0 0 1 0 1 0 1\n    0 0 0 0 1 0 0 0 0 1 1 0 1 1 0 0 0 0 0 0 0 1 0 0 0 0 0 0 0 0 0 0 0 0 0 0 0 0 \n    0 0 0 0 0 0 0 0 0 0 0 0 0 0 0 0 0 0 0 0 0 0 0 0 0 0 0 0 0 0 0 0 0]\n[1 1 1 0 1 1 1 1 1 0 1 1 0 0 1 0 0 1 0 1 0 0 1 1 1 0 0 0 0 0 0 1 1 0 0 0 1 1 0 1\n    0 1 1 1 1 1 1 1 0 1 1 0 0 1 0 0 0 0 0 0 0 0 1 0 0 0 0 0 0 0 0 0 0 0 0 0 0 0 \n    0 0 0 0 0 0 0 0 0 0 0 0 0 0 0 0 0 0 0 0 0 0 0 0 0 0 0 0 0 0 0 0 0]\n[1 1 0 1 0 1 1 1 0 0 0 0 1 0 1 0 0 0 0 0 1 1 1 0 1 1 1 0 0 0 1 0 1 0 0 0 0 0 0 1\n    0 1 0 0 0 1 0 0 1 1 1 0 0 0 0 0 0 0 0 0 0 0 0 1 0 0 0 0 0 0 0 0 0 0 0 0 0 0 \n    0 0 0 0 0 0 0 0 0 0 0 0 0 0 0 0 0 0 0 0 0 0 0 0 0 0 0 0 0 0 0 0 0]\n[1 1 1 0 1 0 1 1 1 0 0 0 0 1 0 1 0 0 0 0 0 1 1 1 0 1 1 1 0 0 0 1 0 1 0 0 0 0 0 0\n    1 0 1 0 0 0 1 0 0 1 1 1 0 0 0 0 0 0 0 0 0 0 0 0 1 0 0 0 0 0 0 0 0 0 0 0 0 0 \n    0 0 0 0 0 0 0 0 0 0 0 0 0 0 0 0 0 0 0 0 0 0 0 0 0 0 0 0 0 0 0 0 0]\n[1 1 1 1 0 1 0 1 1 1 0 0 0 0 1 0 1 0 0 0 0 0 1 1 1 0 1 1 1 0 0 0 1 0 1 0 0 0 0 0\n    0 1 0 1 0 0 0 1 0 0 1 1 1 0 0 0 0 0 0 0 0 0 0 0 0 1 0 0 0 0 0 0 0 0 0 0 0 0 \n    0 0 0 0 0 0 0 0 0 0 0 0 0 0 0 0 0 0 0 0 0 0 0 0 0 0 0 0 0 0 0 0 0]\n[0 1 1 1 1 0 1 0 1 1 1 0 0 0 0 1 0 1 0 0 0 0 0 1 1 1 0 1 1 1 0 0 0 1 0 1 0 0 0 0\n    0 0 1 0 1 0 0 0 1 0 0 1 1 1 0 0 0 0 0 0 0 0 0 0 0 0 1 0 0 0 0 0 0 0 0 0 0 0 \n    0 0 0 0 0 0 0 0 0 0 0 0 0 0 0 0 0 0 0 0 0 0 0 0 0 0 0 0 0 0 0 0 0]\n[0 0 0 1 1 1 0 1 1 0 1 0 0 0 1 1 1 0 0 0 0 1 1 1 1 1 0 0 1 1 0 0 0 1 1 0 1 1 1 1\n    1 1 1 0 1 1 1 1 0 0 0 1 1 1 0 0 0 0 0 0 0 0 0 0 0 0 0 1 0 0 0 0 0 0 0 0 0 0 \n    0 0 0 0 0 0 0 0 0 0 0 0 0 0 0 0 0 0 0 0 0 0 0 0 0 0 0 0 0 0 0 0 0]\n[0 0 1 0 1 1 1 0 0 0 0 0 0 0 1 0 1 1 1 0 0 1 0 0 1 1 0 0 0 1 0 0 0 1 1 1 0 0 0 0\n    0 0 0 0 1 1 0 0 1 1 0 1 1 1 0 0 0 0 0 0 0 0 0 0 0 0 0 0 1 0 0 0 0 0 0 0 0 0 \n    0 0 0 0 0 0 0 0 0 0 0 0 0 0 0 0 0 0 0 0 0 0 0 0 0 0 0 0 0 0 0 0 0]\n[1 0 1 1 0 1 1 1 1 1 0 1 0 0 1 0 0 1 0 1 0 1 0 1 0 1 0 0 0 0 0 0 0 1 1 1 1 1 1 1\n    1 1 1 1 1 1 0 1 0 0 1 1 1 1 0 0 0 0 0 0 0 0 0 0 0 0 0 0 0 1 0 0 0 0 0 0 0 0 \n    0 0 0 0 0 0 0 0 0 0 0 0 0 0 0 0 0 0 0 0 0 0 0 0 0 0 0 0 0 0 0 0 0]\n[1 1 1 1 1 0 1 1 0 0 1 1 1 0 1 0 0 0 0 0 1 1 0 1 1 0 0 0 0 0 1 0 0 1 1 1 1 0 0 0\n    0 0 0 0 0 1 0 1 1 1 0 0 1 1 0 0 0 0 0 0 0 0 0 0 0 0 0 0 0 0 1 0 0 0 0 0 0 0 \n    0 0 0 0 0 0 0 0 0 0 0 0 0 0 0 0 0 0 0 0 0 0 0 0 0 0 0 0 0 0 0 0 0]\n[1 1 0 1 1 1 0 1 0 1 0 0 1 1 1 0 0 0 1 0 0 0 0 1 1 1 1 0 0 0 1 1 0 1 1 1 1 0 1 1\n    1 1 1 1 1 0 0 1 1 0 1 1 0 1 0 0 0 0 0 0 0 0 0 0 0 0 0 0 0 0 0 1 0 0 0 0 0 0 \n    0 0 0 0 0 0 0 0 0 0 0 0 0 0 0 0 0 0 0 0 0 0 0 0 0 0 0 0 0 0 0 0 0]\n[1 1 0 0 1 1 1 0 0 1 1 1 0 1 0 0 0 0 1 1 0 1 1 1 1 1 0 1 0 0 1 1 1 1 1 1 1 0 1 0\n    0 0 0 0 0 1 1 1 1 0 0 0 1 0 0 0 0 0 0 0 0 0 0 0 0 0 0 0 0 0 0 0 1 0 0 0 0 0 \n    0 0 0 0 0 0 0 0 0 0 0 0 0 0 0 0 0 0 0 0 0 0 0 0 0 0 0 0 0 0 0 0 0]\n[1 1 1 0 0 1 1 1 0 0 1 1 1 0 1 0 0 0 0 1 1 0 1 1 1 1 1 0 1 0 0 1 1 1 1 1 1 1 0 1\n    0 0 0 0 0 0 1 1 1 1 0 0 0 1 0 0 0 0 0 0 0 0 0 0 0 0 0 0 0 0 0 0 0 1 0 0 0 0 \n    0 0 0 0 0 0 0 0 0 0 0 0 0 0 0 0 0 0 0 0 0 0 0 0 0 0 0 0 0 0 0 0 0]\n[1 1 0 1 0 0 1 1 0 1 0 0 1 1 1 0 0 0 1 0 1 0 1 0 1 1 0 1 0 1 1 0 1 0 1 1 1 0 0 1\n    0 1 1 1 1 0 1 0 1 0 1 1 0 0 0 0 0 0 0 0 0 0 0 0 0 0 0 0 0 0 0 0 0 0 1 0 0 0 \n    0 0 0 0 0 0 0 0 0 0 0 0 0 0 0 0 0 0 0 0 0 0 0 0 0 0 0 0 0 0 0 0 0]\n[0 1 1 0 1 0 0 1 1 0 1 0 0 1 1 1 0 0 0 1 0 1 0 1 0 1 1 0 1 0 1 1 0 1 0 1 1 1 0 0\n    1 0 1 1 1 1 0 1 0 1 0 1 1 0 0 0 0 0 0 0 0 0 0 0 0 0 0 0 0 0 0 0 0 0 0 1 0 0 \n    0 0 0 0 0 0 0 0 0 0 0 0 0 0 0 0 0 0 0 0 0 0 0 0 0 0 0 0 0 0 0 0 0]\n[1 0 1 1 0 1 0 0 1 1 0 1 0 0 1 1 1 0 0 0 1 0 1 0 1 0 1 1 0 1 0 1 1 0 1 0 1 1 1 0\n    0 1 0 1 1 1 1 0 1 0 1 0 1 1 0 0 0 0 0 0 0 0 0 0 0 0 0 0 0 0 0 0 0 0 0 0 1 0 \n    0 0 0 0 0 0 0 0 0 0 0 0 0 0 0 0 0 0 0 0 0 0 0 0 0 0 0 0 0 0 0 0 0]\n[0 1 1 1 1 0 1 0 1 0 1 1 1 0 1 0 1 1 1 0 0 0 1 0 0 1 1 1 1 0 0 0 1 0 0 1 0 0 0 0\n    1 1 0 1 0 1 0 0 0 0 0 0 0 1 0 0 0 0 0 0 0 0 0 0 0 0 0 0 0 0 0 0 0 0 0 0 0 1 \n    0 0 0 0 0 0 0 0 0 0 0 0 0 0 0 0 0 0 0 0 0 0 0 0 0 0 0 0 0 0 0 0 0]\n[0 0 0 1 1 1 0 1 1 0 0 0 1 1 1 0 0 1 0 1 0 1 1 0 0 0 0 1 1 1 1 0 0 0 0 0 1 1 1 1\n    1 0 0 1 0 0 0 1 0 1 0 1 0 0 0 0 0 0 0 0 0 0 0 0 0 0 0 0 0 0 0 0 0 0 0 0 0 0 \n    1 0 0 0 0 0 0 0 0 0 0 0 0 0 0 0 0 0 0 0 0 0 0 0 0 0 0 0 0 0 0 0 0]\n[1 0 0 0 1 1 1 0 1 1 0 0 0 1 1 1 0 0 1 0 1 0 1 1 0 0 0 0 1 1 1 1 0 0 0 0 0 1 1 1\n    1 1 0 0 1 0 0 0 1 0 1 0 1 0 0 0 0 0 0 0 0 0 0 0 0 0 0 0 0 0 0 0 0 0 0 0 0 0 \n    0 1 0 0 0 0 0 0 0 0 0 0 0 0 0 0 0 0 0 0 0 0 0 0 0 0 0 0 0 0 0 0 0]\n[1 1 0 0 0 1 1 1 0 1 1 0 0 0 1 1 1 0 0 1 0 1 0 1 1 0 0 0 0 1 1 1 1 0 0 0 0 0 1 1\n    1 1 1 0 0 1 0 0 0 1 0 1 0 1 0 0 0 0 0 0 0 0 0 0 0 0 0 0 0 0 0 0 0 0 0 0 0 0 \n    0 0 1 0 0 0 0 0 0 0 0 0 0 0 0 0 0 0 0 0 0 0 0 0 0 0 0 0 0 0 0 0 0]\n[0 1 0 0 0 0 1 1 0 1 1 0 0 0 1 0 1 1 1 0 1 1 0 1 1 1 1 0 0 0 0 1 1 0 0 0 0 1 1 0\n    0 0 0 0 1 0 0 1 0 1 1 1 1 0 0 0 0 0 0 0 0 0 0 0 0 0 0 0 0 0 0 0 0 0 0 0 0 0 \n    0 0 0 1 0 0 0 0 0 0 0 0 0 0 0 0 0 0 0 0 0 0 0 0 0 0 0 0 0 0 0 0 0]\n[0 0 1 0 0 0 0 1 1 0 1 1 0 0 0 1 0 1 1 1 0 1 1 0 1 1 1 1 0 0 0 0 1 1 0 0 0 0 1 1\n    0 0 0 0 0 1 0 0 1 0 1 1 1 1 0 0 0 0 0 0 0 0 0 0 0 0 0 0 0 0 0 0 0 0 0 0 0 0 \n    0 0 0 0 1 0 0 0 0 0 0 0 0 0 0 0 0 0 0 0 0 0 0 0 0 0 0 0 0 0 0 0 0]\n[1 0 1 1 0 0 0 0 0 0 0 0 1 0 1 1 1 0 0 1 1 1 0 0 0 1 0 1 1 0 1 0 0 0 1 0 0 1 1 0\n    0 1 1 1 1 0 0 1 0 0 0 0 1 1 0 0 0 0 0 0 0 0 0 0 0 0 0 0 0 0 0 0 0 0 0 0 0 0 \n    0 0 0 0 0 1 0 0 0 0 0 0 0 0 0 0 0 0 0 0 0 0 0 0 0 0 0 0 0 0 0 0 0]\n[0 1 1 1 1 0 0 0 1 1 0 1 0 1 1 0 1 1 1 0 1 0 0 1 0 0 0 0 1 1 1 1 0 1 0 1 0 1 0 0\n    1 1 0 0 0 1 1 1 1 1 0 1 0 1 0 0 0 0 0 0 0 0 0 0 0 0 0 0 0 0 0 0 0 0 0 0 0 0 \n    0 0 0 0 0 0 1 0 0 0 0 0 0 0 0 0 0 0 0 0 0 0 0 0 0 0 0 0 0 0 0 0 0]\n[1 0 0 1 1 1 0 0 1 0 1 1 1 0 0 0 0 1 0 1 0 0 1 1 1 0 1 0 0 1 0 1 1 1 1 0 1 1 0 1\n    1 0 0 1 1 0 0 0 1 0 1 1 1 0 0 0 0 0 0 0 0 0 0 0 0 0 0 0 0 0 0 0 0 0 0 0 0 0 \n    0 0 0 0 0 0 0 1 0 0 0 0 0 0 0 0 0 0 0 0 0 0 0 0 0 0 0 0 0 0 0 0 0]\n[1 1 0 0 1 1 1 0 0 1 0 1 1 1 0 0 0 0 1 0 1 0 0 1 1 1 0 1 0 0 1 0 1 1 1 1 0 1 1 0\n    1 1 0 0 1 1 0 0 0 1 0 1 1 1 0 0 0 0 0 0 0 0 0 0 0 0 0 0 0 0 0 0 0 0 0 0 0 0 \n    0 0 0 0 0 0 0 0 1 0 0 0 0 0 0 0 0 0 0 0 0 0 0 0 0 0 0 0 0 0 0 0 0]\n[1 1 0 0 0 1 1 1 1 1 1 1 1 1 0 1 0 0 1 1 0 0 1 1 1 1 0 0 1 0 1 1 0 0 1 1 1 1 0 0\n    1 0 0 1 1 1 0 1 0 1 1 1 1 1 0 0 0 0 0 0 0 0 0 0 0 0 0 0 0 0 0 0 0 0 0 0 0 0 \n    0 0 0 0 0 0 0 0 0 1 0 0 0 0 0 0 0 0 0 0 0 0 0 0 0 0 0 0 0 0 0 0 0]\n[0 1 0 0 0 0 1 1 0 0 1 0 1 1 0 1 1 0 1 1 1 1 1 0 1 1 0 0 0 1 1 1 1 1 0 1 1 0 0 1\n    1 0 1 1 0 1 0 1 1 1 1 0 1 1 0 0 0 0 0 0 0 0 0 0 0 0 0 0 0 0 0 0 0 0 0 0 0 0 \n    0 0 0 0 0 0 0 0 0 0 1 0 0 0 0 0 0 0 0 0 0 0 0 0 0 0 0 0 0 0 0 0 0]\n[1 0 0 0 0 0 0 1 0 1 0 0 0 1 0 1 1 1 1 1 1 0 0 0 0 1 0 0 0 0 0 1 1 0 1 0 1 0 1 1\n    0 0 1 0 0 0 0 1 1 0 1 0 0 1 0 0 0 0 0 0 0 0 0 0 0 0 0 0 0 0 0 0 0 0 0 0 0 0 \n    0 0 0 0 0 0 0 0 0 0 0 1 0 0 0 0 0 0 0 0 0 0 0 0 0 0 0 0 0 0 0 0 0]\n[1 1 1 0 0 0 0 0 0 1 1 1 0 0 0 1 1 1 0 1 1 0 1 1 0 0 0 0 0 0 1 0 1 0 0 1 0 0 1 0\n    0 1 1 0 1 0 1 1 1 0 0 0 0 0 0 0 0 0 0 0 0 0 0 0 0 0 0 0 0 0 0 0 0 0 0 0 0 0 \n    0 0 0 0 0 0 0 0 0 0 0 0 1 0 0 0 0 0 0 0 0 0 0 0 0 0 0 0 0 0 0 0 0]\n[1 1 1 1 0 0 0 0 0 0 1 1 1 0 0 0 1 1 1 0 1 1 0 1 1 0 0 0 0 0 0 1 0 1 0 0 1 0 0 1\n    0 0 1 1 0 1 0 1 1 1 0 0 0 0 0 0 0 0 0 0 0 0 0 0 0 0 0 0 0 0 0 0 0 0 0 0 0 0 \n    0 0 0 0 0 0 0 0 0 0 0 0 0 1 0 0 0 0 0 0 0 0 0 0 0 0 0 0 0 0 0 0 0]\n[1 1 1 1 1 0 0 0 0 0 0 1 1 1 0 0 0 1 1 1 0 1 1 0 1 1 0 0 0 0 0 0 1 0 1 0 0 1 0 0\n    1 0 0 1 1 0 1 0 1 1 1 0 0 0 0 0 0 0 0 0 0 0 0 0 0 0 0 0 0 0 0 0 0 0 0 0 0 0 \n    0 0 0 0 0 0 0 0 0 0 0 0 0 0 1 0 0 0 0 0 0 0 0 0 0 0 0 0 0 0 0 0 0]\n[0 1 1 1 1 1 0 0 0 0 0 0 1 1 1 0 0 0 1 1 1 0 1 1 0 1 1 0 0 0 0 0 0 1 0 1 0 0 1 0\n    0 1 0 0 1 1 0 1 0 1 1 1 0 0 0 0 0 0 0 0 0 0 0 0 0 0 0 0 0 0 0 0 0 0 0 0 0 0 \n    0 0 0 0 0 0 0 0 0 0 0 0 0 0 0 1 0 0 0 0 0 0 0 0 0 0 0 0 0 0 0 0 0]\n[0 0 1 1 1 1 1 0 0 0 0 0 0 1 1 1 0 0 0 1 1 1 0 1 1 0 1 1 0 0 0 0 0 0 1 0 1 0 0 1\n    0 0 1 0 0 1 1 0 1 0 1 1 1 0 0 0 0 0 0 0 0 0 0 0 0 0 0 0 0 0 0 0 0 0 0 0 0 0 \n    0 0 0 0 0 0 0 0 0 0 0 0 0 0 0 0 1 0 0 0 0 0 0 0 0 0 0 0 0 0 0 0 0]\n[0 0 0 1 1 1 1 1 0 0 0 0 0 0 1 1 1 0 0 0 1 1 1 0 1 1 0 1 1 0 0 0 0 0 0 1 0 1 0 0\n    1 0 0 1 0 0 1 1 0 1 0 1 1 1 0 0 0 0 0 0 0 0 0 0 0 0 0 0 0 0 0 0 0 0 0 0 0 0 \n    0 0 0 0 0 0 0 0 0 0 0 0 0 0 0 0 0 1 0 0 0 0 0 0 0 0 0 0 0 0 0 0 0]\n[0 0 1 0 1 1 1 1 0 1 0 1 0 0 1 0 1 1 1 0 0 0 0 0 0 1 0 0 1 1 1 0 0 1 0 0 1 1 0 1\n    1 0 1 1 0 0 1 0 1 1 1 1 1 1 0 0 0 0 0 0 0 0 0 0 0 0 0 0 0 0 0 0 0 0 0 0 0 0 \n    0 0 0 0 0 0 0 0 0 0 0 0 0 0 0 0 0 0 1 0 0 0 0 0 0 0 0 0 0 0 0 0 0]\n[0 0 1 1 0 1 1 1 0 1 1 1 1 0 1 0 0 1 0 1 0 1 1 1 0 0 0 0 0 1 0 1 0 1 1 0 0 0 0 1\n    0 0 1 0 0 0 1 0 0 0 1 0 1 1 0 0 0 0 0 0 0 0 0 0 0 0 0 0 0 0 0 0 0 0 0 0 0 0 \n    0 0 0 0 0 0 0 0 0 0 0 0 0 0 0 0 0 0 0 1 0 0 0 0 0 0 0 0 0 0 0 0 0]\n[1 0 1 1 1 0 1 1 0 1 1 0 1 1 1 0 0 0 0 0 1 1 0 0 1 0 1 0 0 0 0 0 1 1 1 1 0 1 1 1\n    0 1 1 0 1 0 1 0 0 1 0 0 0 1 0 0 0 0 0 0 0 0 0 0 0 0 0 0 0 0 0 0 0 0 0 0 0 0 \n    0 0 0 0 0 0 0 0 0 0 0 0 0 0 0 0 0 0 0 0 1 0 0 0 0 0 0 0 0 0 0 0 0]\n[1 1 1 1 1 1 0 1 0 1 1 0 0 1 0 0 0 0 1 0 0 0 0 1 0 1 1 1 0 0 1 0 0 0 1 1 1 1 0 0\n    0 1 0 0 1 1 1 0 0 1 1 1 0 0 0 0 0 0 0 0 0 0 0 0 0 0 0 0 0 0 0 0 0 0 0 0 0 0 \n    0 0 0 0 0 0 0 0 0 0 0 0 0 0 0 0 0 0 0 0 0 1 0 0 0 0 0 0 0 0 0 0 0]\n[1 1 1 1 1 1 1 0 1 0 1 1 0 0 1 0 0 0 0 1 0 0 0 0 1 0 1 1 1 0 0 1 0 0 0 1 1 1 1 0\n    0 0 1 0 0 1 1 1 0 0 1 1 1 0 0 0 0 0 0 0 0 0 0 0 0 0 0 0 0 0 0 0 0 0 0 0 0 0 \n    0 0 0 0 0 0 0 0 0 0 0 0 0 0 0 0 0 0 0 0 0 0 1 0 0 0 0 0 0 0 0 0 0]\n[1 1 1 1 1 1 1 1 0 1 0 1 1 0 0 1 0 0 0 0 1 0 0 0 0 1 0 1 1 1 0 0 1 0 0 0 1 1 1 1\n    0 0 0 1 0 0 1 1 1 0 0 1 1 1 0 0 0 0 0 0 0 0 0 0 0 0 0 0 0 0 0 0 0 0 0 0 0 0 \n    0 0 0 0 0 0 0 0 0 0 0 0 0 0 0 0 0 0 0 0 0 0 0 1 0 0 0 0 0 0 0 0 0]\n[0 1 0 1 1 1 1 1 0 1 1 1 1 1 1 1 1 0 1 0 0 0 1 1 0 0 0 0 1 1 0 0 0 0 0 0 0 0 0 0\n    0 1 1 1 0 0 1 0 1 0 0 1 1 1 0 0 0 0 0 0 0 0 0 0 0 0 0 0 0 0 0 0 0 0 0 0 0 0 \n    0 0 0 0 0 0 0 0 0 0 0 0 0 0 0 0 0 0 0 0 0 0 0 0 1 0 0 0 0 0 0 0 0]\n[0 0 0 0 1 1 1 1 0 1 1 0 1 1 0 0 1 1 1 1 0 1 1 0 1 0 1 0 0 1 0 0 0 1 0 0 0 1 1 1\n    1 1 0 0 0 0 1 0 0 0 0 1 1 1 0 0 0 0 0 0 0 0 0 0 0 0 0 0 0 0 0 0 0 0 0 0 0 0 \n    0 0 0 0 0 0 0 0 0 0 0 0 0 0 0 0 0 0 0 0 0 0 0 0 0 1 0 0 0 0 0 0 0]\n[1 0 1 0 0 1 1 1 0 1 1 0 0 1 0 1 0 1 0 1 1 1 0 0 0 1 1 1 0 0 0 0 0 1 1 0 0 1 0 0\n    0 0 0 1 1 0 1 0 0 1 0 1 1 1 0 0 0 0 0 0 0 0 0 0 0 0 0 0 0 0 0 0 0 0 0 0 0 0 \n    0 0 0 0 0 0 0 0 0 0 0 0 0 0 0 0 0 0 0 0 0 0 0 0 0 0 1 0 0 0 0 0 0]\n[1 1 1 1 0 0 1 1 0 1 1 0 0 0 0 1 1 0 0 0 1 0 0 1 0 0 0 1 1 0 1 0 0 1 1 1 0 1 0 1\n    1 1 1 1 0 1 1 0 0 1 1 1 1 1 0 0 0 0 0 0 0 0 0 0 0 0 0 0 0 0 0 0 0 0 0 0 0 0 \n    0 0 0 0 0 0 0 0 0 0 0 0 0 0 0 0 0 0 0 0 0 0 0 0 0 0 0 1 0 0 0 0 0]\n[1 1 0 1 1 0 0 1 0 1 1 0 0 0 1 1 1 1 1 0 0 0 1 1 1 0 1 0 1 1 1 1 0 1 1 1 1 1 0 1\n    0 0 0 0 0 0 0 0 0 1 1 0 1 1 0 0 0 0 0 0 0 0 0 0 0 0 0 0 0 0 0 0 0 0 0 0 0 0 \n    0 0 0 0 0 0 0 0 0 0 0 0 0 0 0 0 0 0 0 0 0 0 0 0 0 0 0 0 1 0 0 0 0]\n[1 1 0 0 1 1 0 0 0 1 1 0 0 0 1 0 1 1 0 1 0 1 1 0 1 1 1 1 0 1 0 1 1 1 1 1 1 0 0 1\n    0 1 1 1 1 0 1 1 0 1 1 0 0 1 0 0 0 0 0 0 0 0 0 0 0 0 0 0 0 0 0 0 0 0 0 0 0 0 \n    0 0 0 0 0 0 0 0 0 0 0 0 0 0 0 0 0 0 0 0 0 0 0 0 0 0 0 0 0 1 0 0 0]\n[1 1 0 0 0 1 1 0 1 1 1 0 0 0 1 0 0 1 0 0 1 1 0 0 0 1 0 1 1 0 0 0 1 0 1 1 1 0 1 1\n    0 1 0 0 0 1 1 0 1 1 1 0 0 0 0 0 0 0 0 0 0 0 0 0 0 0 0 0 0 0 0 0 0 0 0 0 0 0 \n    0 0 0 0 0 0 0 0 0 0 0 0 0 0 0 0 0 0 0 0 0 0 0 0 0 0 0 0 0 0 1 0 0]\n[1 1 1 0 0 0 1 1 0 1 1 1 0 0 0 1 0 0 1 0 0 1 1 0 0 0 1 0 1 1 0 0 0 1 0 1 1 1 0 1\n    1 0 1 0 0 0 1 1 0 1 1 1 0 0 0 0 0 0 0 0 0 0 0 0 0 0 0 0 0 0 0 0 0 0 0 0 0 0 \n    0 0 0 0 0 0 0 0 0 0 0 0 0 0 0 0 0 0 0 0 0 0 0 0 0 0 0 0 0 0 0 1 0]\n[1 1 1 1 0 0 0 1 1 0 1 1 1 0 0 0 1 0 0 1 0 0 1 1 0 0 0 1 0 1 1 0 0 0 1 0 1 1 1 0\n    1 1 0 1 0 0 0 1 1 0 1 1 1 0 0 0 0 0 0 0 0 0 0 0 0 0 0 0 0 0 0 0 0 0 0 0 0 0 \n    0 0 0 0 0 0 0 0 0 0 0 0 0 0 0 0 0 0 0 0 0 0 0 0 0 0 0 0 0 0 0 0 1]\n[111, 57] Linear Code over GF(2)\nGenerator matrix:\n[1 0 0 0 0 0 0 0 0 0 0 0 0 0 0 0 0 0 0 0 0 0 0 0 0 0 0 0 0 0 0 0 0 0 0 0 0 0 0 0\n    0 0 0 0 0 0 0 0 0 0 0 0 0 0 0 0 0 0 1 0 0 1 1 0 0 1 1 1 0 1 0 0 0 0 1 0 1 1 \n    0 0 0 1 1 0 0 0 0 1 0 0 0 0 0 0 1 1 1 1 1 1 1 1 0 0 0 1 1 1 1 0 0]\n[0 1 0 0 0 0 0 0 0 0 0 0 0 0 0 0 0 0 0 0 0 0 0 0 0 0 0 0 0 0 0 0 0 0 0 0 0 0 0 0\n    0 0 0 0 0 0 0 0 0 0 0 0 0 0 0 0 0 0 1 1 0 1 0 1 0 1 0 0 1 1 1 0 0 0 1 1 1 0 \n    1 0 0 1 0 1 0 0 0 1 1 0 0 0 0 0 1 0 0 0 0 0 0 0 1 0 0 1 0 0 0 1 0]\n[0 0 1 0 0 0 0 0 0 0 0 0 0 0 0 0 0 0 0 0 0 0 0 0 0 0 0 0 0 0 0 0 0 0 0 0 0 0 0 0\n    0 0 0 0 0 0 0 0 0 0 0 0 0 0 0 0 0 0 1 1 1 1 0 0 1 1 0 1 0 0 1 1 0 0 1 1 0 0 \n    0 1 0 1 0 0 1 0 0 1 1 1 0 0 0 0 1 0 1 1 1 1 1 1 0 1 0 1 0 1 1 0 1]\n[0 0 0 1 0 0 0 0 0 0 0 0 0 0 0 0 0 0 0 0 0 0 0 0 0 0 0 0 0 0 0 0 0 0 0 0 0 0 0 0\n    0 0 0 0 0 0 0 0 0 0 0 0 0 0 0 0 1 0 1 1 1 1 1 1 0 1 1 1 0 1 0 1 0 1 0 1 0 1 \n    0 1 0 0 1 1 0 1 1 0 1 1 1 1 1 0 0 1 0 1 1 1 1 0 0 1 0 0 0 1 0 0 1]\n[0 0 0 0 1 0 0 0 0 0 0 0 0 0 0 0 0 0 0 0 0 0 0 0 0 0 0 0 0 0 0 0 0 0 0 0 0 0 0 0\n    0 0 0 0 0 0 0 0 0 0 0 0 0 0 0 0 1 0 1 1 0 0 1 0 0 1 0 0 1 1 1 0 0 0 1 1 1 1 \n    1 1 1 1 0 0 1 0 1 1 0 1 1 0 0 0 1 1 0 1 0 0 0 0 1 1 1 1 0 0 0 1 1]\n[0 0 0 0 0 1 0 0 0 0 0 0 0 0 0 0 0 0 0 0 0 0 0 0 0 0 0 0 0 0 0 0 0 0 0 0 0 0 0 0\n    0 0 0 0 0 0 0 0 0 0 0 0 0 0 0 0 1 0 1 1 0 1 0 0 1 1 0 1 0 0 1 1 1 0 0 0 1 0 \n    1 0 1 0 1 1 0 1 0 1 1 0 1 0 1 1 1 0 0 1 0 1 1 1 1 0 1 0 1 0 1 1 0]\n[0 0 0 0 0 0 1 0 0 0 0 0 0 0 0 0 0 0 0 0 0 0 0 0 0 0 0 0 0 0 0 0 0 0 0 0 0 0 0 0\n    0 0 0 0 0 0 0 0 0 0 0 0 0 0 0 0 0 0 0 1 0 1 1 0 1 0 0 0 0 0 0 1 1 0 0 1 1 1 \n    0 1 1 0 0 1 1 0 0 0 1 1 0 1 0 0 0 0 1 1 0 1 0 1 1 1 1 0 1 0 0 1 1]\n[0 0 0 0 0 0 0 1 0 0 0 0 0 0 0 0 0 0 0 0 0 0 0 0 0 0 0 0 0 0 0 0 0 0 0 0 0 0 0 0\n    0 0 0 0 0 0 0 0 0 0 0 0 0 0 0 0 1 0 1 0 1 0 1 0 0 1 0 1 1 1 0 0 0 0 0 0 0 0 \n    1 1 0 1 0 1 1 1 1 0 0 1 1 1 0 0 0 0 0 1 1 0 1 1 0 0 0 1 1 0 1 1 0]\n[0 0 0 0 0 0 0 0 1 0 0 0 0 0 0 0 0 0 0 0 0 0 0 0 0 0 0 0 0 0 0 0 0 0 0 0 0 0 0 0\n    0 0 0 0 0 0 0 0 0 0 0 0 0 0 0 0 0 0 0 1 1 0 0 1 1 1 0 0 0 1 1 0 0 1 0 1 1 0 \n    0 1 0 1 1 0 1 1 0 1 0 0 1 1 1 1 1 1 1 1 0 0 1 1 1 0 1 1 0 0 0 1 1]\n[0 0 0 0 0 0 0 0 0 1 0 0 0 0 0 0 0 0 0 0 0 0 0 0 0 0 0 0 0 0 0 0 0 0 0 0 0 0 0 0\n    0 0 0 0 0 0 0 0 0 0 0 0 0 0 0 0 1 0 0 0 1 0 1 1 1 0 0 0 1 0 1 1 1 1 0 0 1 1 \n    0 1 0 1 0 0 0 1 0 1 1 0 0 0 0 1 0 0 0 0 0 1 1 1 0 0 1 0 1 0 0 1 0]\n[0 0 0 0 0 0 0 0 0 0 1 0 0 0 0 0 0 0 0 0 0 0 0 0 0 0 0 0 0 0 0 0 0 0 0 0 0 0 0 0\n    0 0 0 0 0 0 0 0 0 0 0 0 0 0 0 0 0 0 1 0 1 1 1 1 0 1 0 1 1 0 0 1 1 0 0 1 0 0 \n    1 0 0 0 0 0 0 0 0 1 1 1 0 0 0 1 1 0 0 0 0 0 1 0 1 0 1 1 0 1 1 0 1]\n[0 0 0 0 0 0 0 0 0 0 0 1 0 0 0 0 0 0 0 0 0 0 0 0 0 0 0 0 0 0 0 0 0 0 0 0 0 0 0 0\n    0 0 0 0 0 0 0 0 0 0 0 0 0 0 0 0 1 0 1 1 0 1 1 0 1 0 1 1 0 0 0 0 0 0 0 0 0 1 \n    0 0 1 0 0 1 0 0 1 0 1 1 1 1 1 0 1 1 0 0 0 0 0 0 1 0 1 1 0 1 0 0 1]\n[0 0 0 0 0 0 0 0 0 0 0 0 1 0 0 0 0 0 0 0 0 0 0 0 0 0 0 0 0 0 0 0 0 0 0 0 0 0 0 0\n    0 0 0 0 0 0 0 0 0 0 0 0 0 0 0 0 1 0 0 1 0 0 0 0 1 1 0 1 1 0 0 0 1 0 1 1 1 0 \n    1 1 0 1 1 1 1 0 0 0 0 1 1 0 0 0 0 1 1 0 0 0 0 0 1 0 0 1 0 1 1 1 1]\n[0 0 0 0 0 0 0 0 0 0 0 0 0 1 0 0 0 0 0 0 0 0 0 0 0 0 0 0 0 0 0 0 0 0 0 0 0 0 0 0\n    0 0 0 0 0 0 0 0 0 0 0 0 0 0 0 0 1 0 0 0 0 0 1 1 1 1 1 0 1 1 0 0 1 1 1 0 0 1 \n    0 0 1 0 0 0 1 1 0 1 0 0 1 0 1 1 0 0 1 1 0 0 0 0 1 0 0 0 0 1 1 0 0]\n[0 0 0 0 0 0 0 0 0 0 0 0 0 0 1 0 0 0 0 0 0 0 0 0 0 0 0 0 0 0 0 0 0 0 0 0 0 0 0 0\n    0 0 0 0 0 0 0 0 0 0 0 0 0 0 0 0 0 0 1 0 1 0 1 1 0 1 1 0 1 0 1 0 0 0 0 0 0 1 \n    1 0 1 1 1 0 0 1 0 1 1 0 0 1 0 0 1 0 0 1 1 0 0 1 0 1 1 0 0 0 0 1 0]\n[0 0 0 0 0 0 0 0 0 0 0 0 0 0 0 1 0 0 0 0 0 0 0 0 0 0 0 0 0 0 0 0 0 0 0 0 0 0 0 0\n    0 0 0 0 0 0 0 0 0 0 0 0 0 0 0 0 0 0 0 1 0 1 0 1 1 0 1 1 0 1 0 1 0 0 0 0 0 0 \n    1 1 0 1 1 1 0 0 1 0 1 1 0 0 1 0 0 1 0 0 1 1 0 0 1 0 1 1 0 0 0 0 1]\n[0 0 0 0 0 0 0 0 0 0 0 0 0 0 0 0 1 0 0 0 0 0 0 0 0 0 0 0 0 0 0 0 0 0 0 0 0 0 0 0\n    0 0 0 0 0 0 0 0 0 0 0 0 0 0 0 0 1 0 1 0 1 0 1 1 1 1 0 0 0 1 1 0 0 1 0 0 1 1 \n    0 0 0 0 1 0 1 0 1 1 0 1 1 1 1 1 0 0 1 0 0 1 1 1 1 0 1 1 0 1 1 1 1]\n[0 0 0 0 0 0 0 0 0 0 0 0 0 0 0 0 0 1 0 0 0 0 0 0 0 0 0 0 0 0 0 0 0 0 0 0 0 0 0 0\n    0 0 0 0 0 0 0 0 0 0 0 0 0 0 0 0 1 0 1 1 1 0 0 0 0 0 0 1 0 1 1 1 1 0 1 1 0 0 \n    1 1 0 1 0 0 0 1 0 1 1 0 1 0 0 0 0 1 1 0 1 1 0 0 0 0 0 0 1 0 0 0 0]\n[0 0 0 0 0 0 0 0 0 0 0 0 0 0 0 0 0 0 1 0 0 0 0 0 0 0 0 0 0 0 0 0 0 0 0 0 0 0 0 0\n    0 0 0 0 0 0 0 0 0 0 0 0 0 0 0 0 0 0 1 1 0 1 1 0 1 0 0 1 0 1 1 1 1 0 1 0 1 1 \n    0 1 0 0 0 0 0 0 0 1 1 1 0 1 0 1 0 0 1 1 0 1 1 1 0 0 1 0 0 1 1 0 0]\n[0 0 0 0 0 0 0 0 0 0 0 0 0 0 0 0 0 0 0 1 0 0 0 0 0 0 0 0 0 0 0 0 0 0 0 0 0 0 0 0\n    0 0 0 0 0 0 0 0 0 0 0 0 0 0 0 0 0 0 0 1 1 0 1 1 0 1 0 0 1 0 1 1 1 1 0 1 0 1 \n    1 0 1 0 0 0 0 0 0 0 1 1 1 0 1 0 1 0 0 1 1 0 1 1 1 0 0 1 0 0 1 1 0]\n[0 0 0 0 0 0 0 0 0 0 0 0 0 0 0 0 0 0 0 0 1 0 0 0 0 0 0 0 0 0 0 0 0 0 0 0 0 0 0 0\n    0 0 0 0 0 0 0 0 0 0 0 0 0 0 0 0 0 0 1 0 1 0 1 1 1 1 0 1 0 0 0 1 1 1 0 0 0 1 \n    1 1 0 0 1 0 0 0 0 1 0 1 1 1 0 1 1 0 1 1 0 0 1 0 1 1 0 1 0 1 1 1 1]\n[0 0 0 0 0 0 0 0 0 0 0 0 0 0 0 0 0 0 0 0 0 1 0 0 0 0 0 0 0 0 0 0 0 0 0 0 0 0 0 0\n    0 0 0 0 0 0 0 0 0 0 0 0 0 0 0 0 1 0 1 1 0 1 0 0 1 1 1 1 0 1 0 0 0 0 1 0 1 1 \n    1 0 0 0 0 0 0 0 1 0 1 0 1 0 0 0 1 1 0 1 1 0 0 0 1 0 0 0 0 1 0 0 0]\n[0 0 0 0 0 0 0 0 0 0 0 0 0 0 0 0 0 0 0 0 0 0 1 0 0 0 0 0 0 0 0 0 0 0 0 0 0 0 0 0\n    0 0 0 0 0 0 0 0 0 0 0 0 0 0 0 0 0 0 1 1 0 0 0 0 1 1 1 0 0 1 1 0 0 1 1 0 0 0 \n    1 1 1 0 1 0 0 0 1 0 0 1 0 1 0 1 0 1 1 0 1 1 0 1 0 1 1 0 0 0 0 0 0]\n[0 0 0 0 0 0 0 0 0 0 0 0 0 0 0 0 0 0 0 0 0 0 0 1 0 0 0 0 0 0 0 0 0 0 0 0 0 0 0 0\n    0 0 0 0 0 0 0 0 0 0 0 0 0 0 0 0 0 0 1 1 1 1 1 0 0 0 0 0 0 1 1 1 0 0 0 1 1 1 \n    0 1 1 0 1 1 0 0 0 0 0 0 1 0 1 0 0 1 0 0 1 0 0 1 1 0 1 0 1 1 1 0 0]\n[0 0 0 0 0 0 0 0 0 0 0 0 0 0 0 0 0 0 0 0 0 0 0 0 1 0 0 0 0 0 0 0 0 0 0 0 0 0 0 0\n    0 0 0 0 0 0 0 0 0 0 0 0 0 0 0 0 0 0 0 1 1 1 1 1 0 0 0 0 0 0 1 1 1 0 0 0 1 1 \n    1 0 1 1 0 1 1 0 0 0 0 0 0 1 0 1 0 0 1 0 0 1 0 0 1 1 0 1 0 1 1 1 0]\n[0 0 0 0 0 0 0 0 0 0 0 0 0 0 0 0 0 0 0 0 0 0 0 0 0 1 0 0 0 0 0 0 0 0 0 0 0 0 0 0\n    0 0 0 0 0 0 0 0 0 0 0 0 0 0 0 0 0 0 0 0 1 1 1 1 1 0 0 0 0 0 0 1 1 1 0 0 0 1 \n    1 1 0 1 1 0 1 1 0 0 0 0 0 0 1 0 1 0 0 1 0 0 1 0 0 1 1 0 1 0 1 1 1]\n[0 0 0 0 0 0 0 0 0 0 0 0 0 0 0 0 0 0 0 0 0 0 0 0 0 0 1 0 0 0 0 0 0 0 0 0 0 0 0 0\n    0 0 0 0 0 0 0 0 0 0 0 0 0 0 0 0 1 0 0 0 0 0 0 0 1 0 1 0 1 0 0 0 0 0 0 0 0 0 \n    1 0 0 1 0 0 0 1 0 1 0 0 0 1 1 1 1 0 1 1 0 1 1 1 1 1 0 0 0 1 0 0 0]\n[0 0 0 0 0 0 0 0 0 0 0 0 0 0 0 0 0 0 0 0 0 0 0 0 0 0 0 1 0 0 0 0 0 0 0 0 0 0 0 0\n    0 0 0 0 0 0 0 0 0 0 0 0 0 0 0 0 0 0 0 0 1 1 0 0 1 0 1 1 1 1 0 0 0 1 0 1 1 0 \n    0 1 1 1 1 0 0 0 0 0 1 0 0 0 1 0 0 0 1 0 0 1 0 1 1 1 0 1 1 1 1 0 0]\n[0 0 0 0 0 0 0 0 0 0 0 0 0 0 0 0 0 0 0 0 0 0 0 0 0 0 0 0 1 0 0 0 0 0 0 0 0 0 0 0\n    0 0 0 0 0 0 0 0 0 0 0 0 0 0 0 0 0 0 0 0 0 1 1 0 0 1 0 1 1 1 1 0 0 0 1 0 1 1 \n    0 0 1 1 1 1 0 0 0 0 0 1 0 0 0 1 0 0 0 1 0 0 1 0 1 1 1 0 1 1 1 1 0]\n[0 0 0 0 0 0 0 0 0 0 0 0 0 0 0 0 0 0 0 0 0 0 0 0 0 0 0 0 0 1 0 0 0 0 0 0 0 0 0 0\n    0 0 0 0 0 0 0 0 0 0 0 0 0 0 0 0 0 0 1 0 0 1 0 1 0 1 0 1 1 0 1 1 0 0 1 1 1 0 \n    1 0 0 0 0 1 1 0 0 1 0 0 1 0 0 0 0 1 1 1 0 1 1 0 0 1 1 0 1 0 0 1 1]\n[0 0 0 0 0 0 0 0 0 0 0 0 0 0 0 0 0 0 0 0 0 0 0 0 0 0 0 0 0 0 1 0 0 0 0 0 0 0 0 0\n    0 0 0 0 0 0 0 0 0 0 0 0 0 0 0 0 1 0 1 1 0 0 1 1 1 0 1 1 0 0 0 1 0 1 0 1 0 0 \n    0 0 1 0 0 1 1 1 1 0 1 0 0 0 1 0 0 0 1 1 1 0 1 0 1 1 0 1 1 0 1 1 0]\n[0 0 0 0 0 0 0 0 0 0 0 0 0 0 0 0 0 0 0 0 0 0 0 0 0 0 0 0 0 0 0 1 0 0 0 0 0 0 0 0\n    0 0 0 0 0 0 0 0 0 0 0 0 0 0 0 0 0 0 1 1 0 0 1 1 0 1 0 0 0 1 0 0 1 1 0 1 1 1 \n    0 0 1 1 1 0 1 1 0 0 0 1 0 0 0 0 0 0 0 1 1 1 0 0 0 1 0 0 1 1 1 1 1]\n[0 0 0 0 0 0 0 0 0 0 0 0 0 0 0 0 0 0 0 0 0 0 0 0 0 0 0 0 0 0 0 0 1 0 0 0 0 0 0 0\n    0 0 0 0 0 0 0 0 0 0 0 0 0 0 0 0 1 0 1 1 1 0 0 0 1 0 1 1 1 1 1 0 1 0 1 0 0 0 \n    1 1 1 1 1 0 0 1 0 0 0 0 1 1 1 0 0 0 0 0 1 1 1 1 1 1 0 0 1 0 0 0 0]\n[0 0 0 0 0 0 0 0 0 0 0 0 0 0 0 0 0 0 0 0 0 0 0 0 0 0 0 0 0 0 0 0 0 1 0 0 0 0 0 0\n    0 0 0 0 0 0 0 0 0 0 0 0 0 0 0 0 0 0 0 1 0 0 0 0 1 0 1 1 0 1 1 1 0 0 0 0 1 0 \n    0 1 0 0 1 1 0 0 0 0 0 0 0 1 1 0 1 1 1 1 1 0 0 1 1 1 0 1 1 0 0 0 0]\n[0 0 0 0 0 0 0 0 0 0 0 0 0 0 0 0 0 0 0 0 0 0 0 0 0 0 0 0 0 0 0 0 0 0 1 0 0 0 0 0\n    0 0 0 0 0 0 0 0 0 0 0 0 0 0 0 0 0 0 0 0 1 0 0 0 0 1 0 1 1 0 1 1 1 0 0 0 0 1 \n    0 0 1 0 0 1 1 0 0 0 0 0 0 0 1 1 0 1 1 1 1 1 0 0 1 1 1 0 1 1 0 0 0]\n[0 0 0 0 0 0 0 0 0 0 0 0 0 0 0 0 0 0 0 0 0 0 0 0 0 0 0 0 0 0 0 0 0 0 0 1 0 0 0 0\n    0 0 0 0 0 0 0 0 0 0 0 0 0 0 0 0 0 0 1 0 0 0 1 0 0 1 0 1 1 0 0 1 1 1 1 0 1 1 \n    1 0 0 0 1 0 1 1 0 1 0 0 0 0 0 1 0 1 0 0 0 0 0 1 0 1 1 0 1 0 0 0 0]\n[0 0 0 0 0 0 0 0 0 0 0 0 0 0 0 0 0 0 0 0 0 0 0 0 0 0 0 0 0 0 0 0 0 0 0 0 1 0 0 0\n    0 0 0 0 0 0 0 0 0 0 0 0 0 0 0 0 0 0 1 1 0 1 1 1 0 1 0 1 1 0 0 0 1 1 0 1 1 0 \n    1 1 0 1 1 1 0 1 1 1 1 0 0 0 0 0 0 1 0 1 1 1 1 1 1 0 1 0 1 0 1 0 0]\n[0 0 0 0 0 0 0 0 0 0 0 0 0 0 0 0 0 0 0 0 0 0 0 0 0 0 0 0 0 0 0 0 0 0 0 0 0 1 0 0\n    0 0 0 0 0 0 0 0 0 0 0 0 0 0 0 0 0 0 1 1 1 1 0 1 1 1 0 1 1 0 0 0 0 1 0 0 0 0 \n    0 1 1 1 0 1 1 0 1 0 1 1 0 0 0 0 1 1 0 1 0 0 0 0 1 1 0 0 1 0 1 1 0]\n[0 0 0 0 0 0 0 0 0 0 0 0 0 0 0 0 0 0 0 0 0 0 0 0 0 0 0 0 0 0 0 0 0 0 0 0 0 0 1 0\n    0 0 0 0 0 0 0 0 0 0 0 0 0 0 0 0 0 0 1 1 1 0 0 0 1 0 0 1 1 0 0 0 0 0 0 0 1 1 \n    0 0 1 0 0 0 1 1 0 0 0 1 1 0 0 0 1 0 0 1 0 1 1 1 0 1 1 1 1 0 1 1 1]\n[0 0 0 0 0 0 0 0 0 0 0 0 0 0 0 0 0 0 0 0 0 0 0 0 0 0 0 0 0 0 0 0 0 0 0 0 0 0 0 1\n    0 0 0 0 0 0 0 0 0 0 0 0 0 0 0 0 1 0 1 1 1 1 0 1 0 1 0 1 0 0 0 0 1 1 0 0 1 0 \n    1 1 1 1 0 1 0 1 0 0 0 0 1 0 1 0 0 1 0 0 1 0 1 0 0 1 0 1 0 0 1 0 0]\n[0 0 0 0 0 0 0 0 0 0 0 0 0 0 0 0 0 0 0 0 0 0 0 0 0 0 0 0 0 0 0 0 0 0 0 0 0 0 0 0\n    1 0 0 0 0 0 0 0 0 0 0 0 0 0 0 0 0 0 1 1 0 1 0 0 0 0 1 1 0 1 0 0 0 0 0 1 0 0 \n    0 1 0 1 0 0 1 0 0 1 0 0 0 1 0 0 0 0 1 0 0 1 0 0 0 0 0 0 1 0 1 1 0]\n[0 0 0 0 0 0 0 0 0 0 0 0 0 0 0 0 0 0 0 0 0 0 0 0 0 0 0 0 0 0 0 0 0 0 0 0 0 0 0 0\n    0 1 0 0 0 0 0 0 0 0 0 0 0 0 0 0 0 0 1 1 1 1 0 0 0 1 1 0 1 1 1 0 0 0 1 0 0 1 \n    0 0 1 1 0 0 0 1 0 1 1 0 0 0 1 0 1 1 1 0 1 1 0 1 0 0 0 1 1 0 1 1 1]\n[0 0 0 0 0 0 0 0 0 0 0 0 0 0 0 0 0 0 0 0 0 0 0 0 0 0 0 0 0 0 0 0 0 0 0 0 0 0 0 0\n    0 0 1 0 0 0 0 0 0 0 0 0 0 0 0 0 1 0 0 1 1 0 0 1 0 1 0 1 1 1 1 1 1 1 1 1 0 0 \n    1 1 1 0 0 1 0 0 0 1 1 1 0 1 1 1 1 0 0 0 1 0 0 0 0 1 1 1 1 1 0 0 0]\n[0 0 0 0 0 0 0 0 0 0 0 0 0 0 0 0 0 0 0 0 0 0 0 0 0 0 0 0 0 0 0 0 0 0 0 0 0 0 0 0\n    0 0 0 1 0 0 0 0 0 0 0 0 0 0 0 0 0 0 0 0 0 0 0 0 0 1 0 0 0 1 1 1 1 0 1 0 0 0 \n    0 1 0 0 0 0 1 0 1 0 1 1 1 0 1 0 0 0 1 1 1 0 1 0 0 0 0 0 0 0 1 0 0]\n[0 0 0 0 0 0 0 0 0 0 0 0 0 0 0 0 0 0 0 0 0 0 0 0 0 0 0 0 0 0 0 0 0 0 0 0 0 0 0 0\n    0 0 0 0 1 0 0 0 0 0 0 0 0 0 0 0 0 0 0 0 0 0 0 0 0 0 1 0 0 0 1 1 1 1 0 1 0 0 \n    0 0 1 0 0 0 0 1 0 1 0 1 1 1 0 1 0 0 0 1 1 1 0 1 0 0 0 0 0 0 0 1 0]\n[0 0 0 0 0 0 0 0 0 0 0 0 0 0 0 0 0 0 0 0 0 0 0 0 0 0 0 0 0 0 0 0 0 0 0 0 0 0 0 0\n    0 0 0 0 0 1 0 0 0 0 0 0 0 0 0 0 0 0 1 0 0 1 1 0 0 1 1 0 0 1 0 1 1 1 0 0 0 1 \n    0 0 0 0 1 0 0 0 1 1 1 0 1 1 1 0 0 1 1 1 0 0 0 1 1 0 0 1 1 1 1 0 1]\n[0 0 0 0 0 0 0 0 0 0 0 0 0 0 0 0 0 0 0 0 0 0 0 0 0 0 0 0 0 0 0 0 0 0 0 0 0 0 0 0\n    0 0 0 0 0 0 1 0 0 0 0 0 0 0 0 0 1 0 1 1 0 0 1 0 0 0 1 0 1 1 1 0 0 0 1 0 1 1 \n    1 1 1 0 0 0 0 0 1 1 1 1 0 0 0 1 0 0 1 1 1 0 0 1 0 0 1 0 0 0 0 0 1]\n[0 0 0 0 0 0 0 0 0 0 0 0 0 0 0 0 0 0 0 0 0 0 0 0 0 0 0 0 0 0 0 0 0 0 0 0 0 0 0 0\n    0 0 0 0 0 0 0 1 0 0 0 0 0 0 0 0 1 0 1 1 0 1 0 0 1 1 1 0 0 0 1 1 1 0 0 0 0 0 \n    1 0 1 0 0 1 0 0 0 1 1 1 1 1 1 1 0 1 1 0 0 0 1 1 0 1 0 0 0 0 1 1 1]\n[0 0 0 0 0 0 0 0 0 0 0 0 0 0 0 0 0 0 0 0 0 0 0 0 0 0 0 0 0 0 0 0 0 0 0 0 0 0 0 0\n    0 0 0 0 0 0 0 0 1 0 0 0 0 0 0 0 1 0 1 1 0 1 1 1 1 0 0 0 0 1 0 1 0 1 0 1 0 1 \n    0 0 0 0 0 1 1 0 0 0 1 1 1 0 0 0 0 1 0 0 1 1 1 0 0 1 1 1 0 0 1 0 0]\n[0 0 0 0 0 0 0 0 0 0 0 0 0 0 0 0 0 0 0 0 0 0 0 0 0 0 0 0 0 0 0 0 0 0 0 0 0 0 0 0\n    0 0 0 0 0 0 0 0 0 1 0 0 0 0 0 0 0 0 0 1 0 1 1 1 0 0 1 0 1 0 1 0 1 1 1 1 0 0 \n    1 0 1 1 0 0 1 1 1 0 0 1 1 1 0 1 1 1 0 1 1 0 0 1 0 0 0 0 0 1 0 1 0]\n[0 0 0 0 0 0 0 0 0 0 0 0 0 0 0 0 0 0 0 0 0 0 0 0 0 0 0 0 0 0 0 0 0 0 0 0 0 0 0 0\n    0 0 0 0 0 0 0 0 0 0 1 0 0 0 0 0 0 0 1 0 1 1 0 1 1 1 1 0 0 0 0 1 0 1 0 1 0 1 \n    0 1 0 0 0 0 0 1 1 0 0 0 1 1 1 0 0 0 0 1 0 0 1 1 1 0 0 1 1 1 0 0 1]\n[0 0 0 0 0 0 0 0 0 0 0 0 0 0 0 0 0 0 0 0 0 0 0 0 0 0 0 0 0 0 0 0 0 0 0 0 0 0 0 0\n    0 0 0 0 0 0 0 0 0 0 0 1 0 0 0 0 1 0 0 1 0 0 0 1 1 0 0 1 1 0 0 0 0 1 0 0 1 0 \n    1 1 0 1 1 1 0 0 0 0 0 0 0 0 0 1 1 1 1 1 0 1 1 1 0 0 1 1 1 1 1 1 1]\n[0 0 0 0 0 0 0 0 0 0 0 0 0 0 0 0 0 0 0 0 0 0 0 0 0 0 0 0 0 0 0 0 0 0 0 0 0 0 0 0\n    0 0 0 0 0 0 0 0 0 0 0 0 1 0 0 0 1 0 0 0 0 0 1 1 0 1 0 0 1 1 0 0 1 0 0 1 1 1 \n    0 0 1 0 0 0 1 0 0 1 0 0 0 1 1 1 1 1 1 1 1 0 1 1 0 1 0 1 0 0 1 0 0]\n[0 0 0 0 0 0 0 0 0 0 0 0 0 0 0 0 0 0 0 0 0 0 0 0 0 0 0 0 0 0 0 0 0 0 0 0 0 0 0 0\n    0 0 0 0 0 0 0 0 0 0 0 0 0 1 0 0 0 0 0 0 1 1 0 1 0 1 0 0 1 1 1 0 0 0 0 1 0 1 \n    1 0 1 0 0 0 0 1 1 0 1 0 0 0 1 0 0 0 0 0 0 0 1 1 1 0 0 1 0 1 0 1 0]\n[0 0 0 0 0 0 0 0 0 0 0 0 0 0 0 0 0 0 0 0 0 0 0 0 0 0 0 0 0 0 0 0 0 0 0 0 0 0 0 0\n    0 0 0 0 0 0 0 0 0 0 0 0 0 0 1 0 0 0 1 0 0 0 0 0 1 1 0 1 0 0 1 1 0 0 1 0 0 1 \n    1 1 0 0 1 0 0 0 1 0 0 1 0 0 0 1 1 1 1 1 1 1 1 0 1 1 0 1 0 1 0 0 1]\n[0 0 0 0 0 0 0 0 0 0 0 0 0 0 0 0 0 0 0 0 0 0 0 0 0 0 0 0 0 0 0 0 0 0 0 0 0 0 0 0\n    0 0 0 0 0 0 0 0 0 0 0 0 0 0 0 1 1 0 0 1 0 1 1 1 0 0 0 0 0 0 0 1 0 1 1 1 0 0 \n    1 0 0 1 1 0 0 0 1 0 0 0 1 1 1 0 0 0 0 0 0 0 0 1 1 0 0 1 1 0 1 1 1]\n[0 0 0 0 0 0 0 0 0 0 0 0 0 0 0 0 0 0 0 0 0 0 0 0 0 0 0 0 0 0 0 0 0 0 0 0 0 0 0 0\n    0 0 0 0 0 0 0 0 0 0 0 0 0 0 0 0 0 1 0 0 1 1 0 0 1 1 1 0 1 0 0 0 0 1 0 1 1 0 \n    0 0 1 1 0 0 0 0 1 0 0 0 0 0 0 1 1 1 1 1 1 1 1 0 0 0 1 1 1 1 0 0 0]\nLinear Code over GF(2) of length 111 with 57 generators.\nLower Bound: 1, Upper Bound: 55\nConstructed 2 distinct generator matrices\nRelative Ranks:  57  54 \nTime Taken: 0.00\nStarting search for low weight codewords... (reset timings)\nEnumerating using 1 generator at a time:\n     New codeword identified of weight 26, time 0.00\n     New codeword identified of weight 21, time 0.00\n     New codeword identified of weight 18, time 0.00\n   Completed Matrix  1:  lower =  2, upper = 18. Elapsed: 0.00s\n   Completed Matrix  2:  lower =  2, upper = 18. Elapsed: 0.00s\nTermination predicted with 10 generators at matrix 1\nEnumerating using 2 generators at a time:\n   Completed Matrix  1:  lower =  3, upper = 18. Elapsed: 0.00s\n   Completed Matrix  2:  lower =  3, upper = 18. Elapsed: 0.00s\nTermination predicted with 10 generators at matrix 1\nEnumerating using 3 generators at a time:\n     New codeword identified of weight 17, time 0.00\n   Completed Matrix  1:  lower =  4, upper = 17. Elapsed: 0.00s\n   Completed Matrix  2:  lower =  5, upper = 17. Elapsed: 0.00s\nTermination predicted with 9 generators at matrix 2\nEnumerating using 4 generators at a time:\n   Completed Matrix  1:  lower =  6, upper = 17. Elapsed: 0.00s\n   Completed Matrix  2:  lower =  7, upper = 17. Elapsed: 0.00s\nTermination predicted with 9 generators at matrix 2\nEnumerating using 5 generators at a time:\n   Completed Matrix  1:  lower =  8, upper = 17. Elapsed: 0.00s\n   Completed Matrix  2:  lower =  9, upper = 17. Elapsed: 0.02s\nTermination predicted with 9 generators at matrix 2\nEnumerating using 6 generators at a time:\n   Completed Matrix  1:  lower = 10, upper = 17. Elapsed: 0.10s\n   Completed Matrix  2:  lower = 11, upper = 17. Elapsed: 0.16s\nTermination predicted with 9 generators at matrix 2\nEnumerating using 7 generators at a time:\n   Completed Matrix  1:  lower = 12, upper = 17. Elapsed: 0.67s\n   Completed Matrix  2:  lower = 13, upper = 17. Elapsed: 1.17s\nTermination predicted at 42 s with 9 generators at matrix 2\nEnumerating using 8 generators at a time:\n   Completed Matrix  1:  lower = 14, upper = 17. Elapsed: 4.52s\n   Completed Matrix  2:  lower = 15, upper = 17. Elapsed: 7.86s\nTermination predicted at 44 s with 9 generators at matrix 2\nEnumerating using 9 generators at a time:\n   Completed Matrix  1:  lower = 16, upper = 17. Elapsed: 26.48s\n   Completed Matrix  2:  lower = 17, upper = 17. Elapsed: 45.07s\nComputation complete 21908322134 vectors enumerated in total\n (0.000015% of 111 57 code)\nFinal Results: lower = 17, upper = 17,\nTotal CPU time: 45.07, real time: 45.136\n17\n\nTotal time: 45.080 seconds, Total memory usage: 32.09MB\n</t>
  </si>
  <si>
    <t>[[112,36,27]]</t>
  </si>
  <si>
    <t>Magma V2.28-26    Tue Dec 30 2025 10:41:18 on Marks-MacBook-Air-2 [Seed = \n1098613975]\nType ? for help.  Type &lt;Ctrl&gt;-D to quit.\n[0 0 0 0 1 0 1 1 1 1 0 1 0 0 1 0 0 1 0 0 0 1 0 0 0 0 0 1 0 1 0 1 1 0 1 0 1 0 0 1\n    1 1 1 0 0 1 0 0 0 1 0 1 0 0 1 0 1 1 0 1 1 1 1 1 1 1 1 0 0 1 0 1 0 1 0 0 1 0 \n    0 0 0 0 0 0 0 0 0 0 0 0 0 0 0 0 0 0 0 0 0 0 0 0 0 0 0 0 0 0 0 0 0 0]\n[0 0 0 0 0 1 0 1 1 1 1 0 1 0 0 1 0 0 1 0 0 0 1 0 0 0 0 0 1 0 1 0 1 1 0 1 0 1 0 0\n    1 1 1 1 0 0 1 0 0 0 1 0 1 0 0 1 0 1 1 0 1 1 1 1 1 1 1 1 0 0 1 0 1 0 1 0 0 1 \n    0 0 0 0 0 0 0 0 0 0 0 0 0 0 0 0 0 0 0 0 0 0 0 0 0 0 0 0 0 0 0 0 0 0]\n[1 0 0 0 0 0 1 0 1 1 1 1 0 1 0 0 1 0 0 1 0 0 0 1 0 0 0 0 0 1 0 1 0 1 1 0 1 0 1 0\n    0 1 1 1 1 0 0 1 0 0 0 1 0 1 0 0 1 0 1 1 0 1 1 1 1 1 1 1 1 0 0 1 0 1 0 1 0 0 \n    1 0 0 0 0 0 0 0 0 0 0 0 0 0 0 0 0 0 0 0 0 0 0 0 0 0 0 0 0 0 0 0 0 0]\n[1 1 0 0 1 0 1 0 1 0 1 0 1 0 0 0 0 0 0 0 1 1 0 0 1 0 0 1 0 1 1 1 0 0 0 1 1 1 0 0\n    1 1 0 1 1 0 0 0 1 1 0 1 1 0 0 0 1 0 0 0 0 1 0 0 0 0 0 1 1 0 0 1 1 1 1 0 0 0 \n    0 1 0 0 0 0 0 0 0 0 0 0 0 0 0 0 0 0 0 0 0 0 0 0 0 0 0 0 0 0 0 0 0 0]\n[0 1 1 0 0 1 0 1 0 1 0 1 0 1 0 0 0 0 0 0 0 1 1 0 0 1 0 0 1 0 1 1 1 0 0 0 1 1 1 0\n    0 1 1 0 1 1 0 0 0 1 1 0 1 1 0 0 0 1 0 0 0 0 1 0 0 0 0 0 1 1 0 0 1 1 1 1 0 0 \n    0 0 1 0 0 0 0 0 0 0 0 0 0 0 0 0 0 0 0 0 0 0 0 0 0 0 0 0 0 0 0 0 0 0]\n[0 0 1 1 1 0 0 1 0 1 1 1 1 0 0 0 0 1 0 0 0 1 1 1 0 0 1 1 0 0 0 0 0 1 1 0 1 1 1 0\n    1 1 0 1 0 0 1 0 0 1 1 0 0 1 0 0 1 1 1 1 1 1 1 0 1 1 1 0 0 0 1 1 0 0 1 1 0 0 \n    0 0 0 1 0 0 0 0 0 0 0 0 0 0 0 0 0 0 0 0 0 0 0 0 0 0 0 0 0 0 0 0 0 0]\n[1 0 0 1 0 1 1 1 0 1 1 0 1 1 1 0 0 1 1 0 0 1 1 1 1 0 0 0 1 1 0 1 1 0 0 1 1 1 1 0\n    1 0 0 0 1 1 0 1 0 1 1 0 0 0 0 0 1 0 1 0 0 0 0 0 1 0 0 1 0 1 0 0 1 1 0 1 0 0 \n    0 0 0 0 1 0 0 0 0 0 0 0 0 0 0 0 0 0 0 0 0 0 0 0 0 0 0 0 0 0 0 0 0 0]\n[1 1 0 0 0 0 0 0 0 1 1 0 0 1 0 1 0 1 1 1 0 1 1 1 1 1 0 1 0 0 1 1 0 1 1 0 0 1 1 0\n    1 0 1 0 0 0 1 0 1 1 1 0 0 0 1 0 1 0 0 0 1 1 1 1 1 0 1 0 1 1 1 1 0 0 1 0 0 0 \n    0 0 0 0 0 1 0 0 0 0 0 0 0 0 0 0 0 0 0 0 0 0 0 0 0 0 0 0 0 0 0 0 0 0]\n[1 1 1 0 0 0 0 0 0 0 1 1 0 0 1 0 1 0 1 1 1 0 1 1 1 1 1 0 1 0 0 1 1 0 1 1 0 0 1 1\n    0 1 0 1 0 0 0 1 0 1 1 1 0 0 0 1 0 1 0 0 0 1 1 1 1 1 0 1 0 1 1 1 1 0 0 1 0 0 \n    0 0 0 0 0 0 1 0 0 0 0 0 0 0 0 0 0 0 0 0 0 0 0 0 0 0 0 0 0 0 0 0 0 0]\n[0 1 1 1 1 0 1 1 1 1 0 0 1 0 1 1 0 0 0 1 1 0 0 1 1 1 1 0 0 0 0 1 0 1 1 1 0 0 0 0\n    0 1 0 0 1 1 0 0 1 1 1 0 1 0 1 0 0 1 1 1 1 1 0 0 0 0 0 0 1 1 1 0 1 0 0 0 0 0 \n    0 0 0 0 0 0 0 1 0 0 0 0 0 0 0 0 0 0 0 0 0 0 0 0 0 0 0 0 0 0 0 0 0 0]\n[0 0 1 1 1 1 0 1 1 1 1 0 0 1 0 1 1 0 0 0 1 1 0 0 1 1 1 1 0 0 0 0 1 0 1 1 1 0 0 0\n    0 0 1 0 0 1 1 0 0 1 1 1 0 1 0 1 0 0 1 1 1 1 1 0 0 0 0 0 0 1 1 1 0 1 0 0 0 0 \n    0 0 0 0 0 0 0 0 1 0 0 0 0 0 0 0 0 0 0 0 0 0 0 0 0 0 0 0 0 0 0 0 0 0]\n[0 0 0 1 1 1 1 0 1 1 1 1 0 0 1 0 1 1 0 0 0 1 1 0 0 1 1 1 1 0 0 0 0 1 0 1 1 1 0 0\n    0 0 0 1 0 0 1 1 0 0 1 1 1 0 1 0 1 0 0 1 1 1 1 1 0 0 0 0 0 0 1 1 1 0 1 0 0 0 \n    0 0 0 0 0 0 0 0 0 1 0 0 0 0 0 0 0 0 0 0 0 0 0 0 0 0 0 0 0 0 0 0 0 0]\n[0 0 0 0 1 1 1 1 0 1 1 1 1 0 0 1 0 1 1 0 0 0 1 1 0 0 1 1 1 1 0 0 0 0 1 0 1 1 1 0\n    0 0 0 0 1 0 0 1 1 0 0 1 1 1 0 1 0 1 0 0 1 1 1 1 1 0 0 0 0 0 0 1 1 1 0 1 0 0 \n    0 0 0 0 0 0 0 0 0 0 1 0 0 0 0 0 0 0 0 0 0 0 0 0 0 0 0 0 0 0 0 0 0 0]\n[0 0 0 0 1 1 0 0 0 1 1 0 1 1 1 0 1 1 1 1 0 1 0 1 1 0 0 0 1 0 1 1 1 0 1 1 1 1 1 0\n    1 1 1 0 0 0 0 0 1 0 0 1 1 1 0 0 0 1 1 1 1 0 0 0 0 0 1 0 0 1 0 1 1 0 1 0 0 0 \n    0 0 0 0 0 0 0 0 0 0 0 1 0 0 0 0 0 0 0 0 0 0 0 0 0 0 0 0 0 0 0 0 0 0]\n[1 0 0 0 0 1 1 0 0 0 1 1 0 1 1 1 0 1 1 1 1 0 1 0 1 1 0 0 0 1 0 1 1 1 0 1 1 1 1 1\n    0 1 1 1 0 0 0 0 0 1 0 0 1 1 1 0 0 0 1 1 1 1 0 0 0 0 0 1 0 0 1 0 1 1 0 1 0 0 \n    0 0 0 0 0 0 0 0 0 0 0 0 1 0 0 0 0 0 0 0 0 0 0 0 0 0 0 0 0 0 0 0 0 0]\n[1 1 0 0 1 0 0 0 1 1 0 0 1 0 0 1 1 1 1 1 1 0 0 1 0 1 1 1 0 1 1 1 0 1 0 0 0 1 1 0\n    0 1 0 1 1 1 0 0 0 1 1 1 0 1 0 1 1 1 0 0 0 0 0 1 1 1 1 0 1 1 0 0 0 0 1 0 0 0 \n    0 0 0 0 0 0 0 0 0 0 0 0 0 1 0 0 0 0 0 0 0 0 0 0 0 0 0 0 0 0 0 0 0 0]\n[1 1 1 0 0 1 0 0 0 1 1 0 0 1 0 0 1 1 1 1 1 1 0 0 1 0 1 1 1 0 1 1 1 0 1 0 0 0 1 1\n    0 0 1 0 1 1 1 0 0 0 1 1 1 0 1 0 1 1 1 0 0 0 0 0 1 1 1 1 0 1 1 0 0 0 0 1 0 0 \n    0 0 0 0 0 0 0 0 0 0 0 0 0 0 1 0 0 0 0 0 0 0 0 0 0 0 0 0 0 0 0 0 0 0]\n[1 1 1 1 1 0 0 1 1 1 1 0 0 0 0 0 0 0 1 1 1 0 1 0 0 1 0 0 1 0 0 0 0 1 1 1 1 0 0 0\n    0 1 1 1 0 0 1 1 0 1 0 0 1 1 1 1 1 0 1 0 1 1 1 1 1 0 0 1 1 1 1 0 0 1 0 0 0 0 \n    0 0 0 0 0 0 0 0 0 0 0 0 0 0 0 1 0 0 0 0 0 0 0 0 0 0 0 0 0 0 0 0 0 0]\n[0 1 1 1 1 1 0 0 1 1 1 1 0 0 0 0 0 0 0 1 1 1 0 1 0 0 1 0 0 1 0 0 0 0 1 1 1 1 0 0\n    0 0 1 1 1 0 0 1 1 0 1 0 0 1 1 1 1 1 0 1 0 1 1 1 1 1 0 0 1 1 1 1 0 0 1 0 0 0 \n    0 0 0 0 0 0 0 0 0 0 0 0 0 0 0 0 1 0 0 0 0 0 0 0 0 0 0 0 0 0 0 0 0 0]\n[1 0 1 1 1 1 1 0 0 1 1 1 1 0 0 0 0 0 0 0 1 1 1 0 1 0 0 1 0 0 1 0 0 0 0 1 1 1 1 0\n    0 0 0 1 1 1 0 0 1 1 0 1 0 0 1 1 1 1 1 0 1 0 1 1 1 1 1 0 0 1 1 1 1 0 0 1 0 0 \n    0 0 0 0 0 0 0 0 0 0 0 0 0 0 0 0 0 1 0 0 0 0 0 0 0 0 0 0 0 0 0 0 0 0]\n[0 1 0 1 0 1 0 0 1 1 1 0 1 1 1 0 0 1 0 0 0 0 1 1 0 1 0 1 1 1 0 0 1 0 1 0 0 1 1 0\n    1 1 1 0 1 0 1 0 0 0 1 1 1 0 1 1 0 0 1 0 1 0 1 0 0 0 0 1 0 1 1 0 1 0 0 0 0 0 \n    0 0 0 0 0 0 0 0 0 0 0 0 0 0 0 0 0 0 1 0 0 0 0 0 0 0 0 0 0 0 0 0 0 0]\n[0 0 1 0 1 0 1 0 0 1 1 1 0 1 1 1 0 0 1 0 0 0 0 1 1 0 1 0 1 1 1 0 0 1 0 1 0 0 1 1\n    0 1 1 1 0 1 0 1 0 0 0 1 1 1 0 1 1 0 0 1 0 1 0 1 0 0 0 0 1 0 1 1 0 1 0 0 0 0 \n    0 0 0 0 0 0 0 0 0 0 0 0 0 0 0 0 0 0 0 1 0 0 0 0 0 0 0 0 0 0 0 0 0 0]\n[0 0 0 1 0 1 0 1 0 0 1 1 1 0 1 1 1 0 0 1 0 0 0 0 1 1 0 1 0 1 1 1 0 0 1 0 1 0 0 1\n    1 0 1 1 1 0 1 0 1 0 0 0 1 1 1 0 1 1 0 0 1 0 1 0 1 0 0 0 0 1 0 1 1 0 1 0 0 0 \n    0 0 0 0 0 0 0 0 0 0 0 0 0 0 0 0 0 0 0 0 1 0 0 0 0 0 0 0 0 0 0 0 0 0]\n[1 0 0 0 1 0 1 0 1 0 0 1 1 1 0 1 1 1 0 0 1 0 0 0 0 1 1 0 1 0 1 1 1 0 0 1 0 1 0 0\n    1 1 0 1 1 1 0 1 0 1 0 0 0 1 1 1 0 1 1 0 0 1 0 1 0 1 0 0 0 0 1 0 1 1 0 1 0 0 \n    0 0 0 0 0 0 0 0 0 0 0 0 0 0 0 0 0 0 0 0 0 1 0 0 0 0 0 0 0 0 0 0 0 0]\n[0 1 0 0 1 1 1 0 1 0 0 1 1 1 0 0 1 0 1 0 0 0 0 0 0 0 1 0 0 0 0 0 0 1 1 0 0 0 1 1\n    1 0 0 0 1 0 1 0 1 1 1 1 0 0 0 1 0 1 1 0 1 1 0 1 0 1 0 0 0 1 0 0 0 0 1 0 0 0 \n    0 0 0 0 0 0 0 0 0 0 0 0 0 0 0 0 0 0 0 0 0 0 1 0 0 0 0 0 0 0 0 0 0 0]\n[1 0 1 0 0 1 1 1 0 1 0 0 1 1 1 0 0 1 0 1 0 0 0 0 0 0 0 1 0 0 0 0 0 0 1 1 0 0 0 1\n    1 1 0 0 0 1 0 1 0 1 1 1 1 0 0 0 1 0 1 1 0 1 1 0 1 0 1 0 0 0 1 0 0 0 0 1 0 0 \n    0 0 0 0 0 0 0 0 0 0 0 0 0 0 0 0 0 0 0 0 0 0 0 1 0 0 0 0 0 0 0 0 0 0]\n[1 1 0 1 1 0 0 0 0 1 1 1 0 1 0 1 0 1 1 0 1 1 0 0 0 0 0 1 1 1 0 1 1 0 1 1 0 0 0 1\n    0 0 0 0 0 1 1 0 1 1 1 0 1 1 1 0 1 0 0 0 0 1 0 0 1 0 1 1 0 1 0 0 0 1 0 0 0 0 \n    0 0 0 0 0 0 0 0 0 0 0 0 0 0 0 0 0 0 0 0 0 0 0 0 1 0 0 0 0 0 0 0 0 0]\n[1 1 1 0 1 1 0 0 0 0 1 1 1 0 1 0 1 0 1 1 0 1 1 0 0 0 0 0 1 1 1 0 1 1 0 1 1 0 0 0\n    1 0 0 0 0 0 1 1 0 1 1 1 0 1 1 1 0 1 0 0 0 0 1 0 0 1 0 1 1 0 1 0 0 0 1 0 0 0 \n    0 0 0 0 0 0 0 0 0 0 0 0 0 0 0 0 0 0 0 0 0 0 0 0 0 1 0 0 0 0 0 0 0 0]\n[1 1 1 1 0 1 1 0 0 0 0 1 1 1 0 1 0 1 0 1 1 0 1 1 0 0 0 0 0 1 1 1 0 1 1 0 1 1 0 0\n    0 1 0 0 0 0 0 1 1 0 1 1 1 0 1 1 1 0 1 0 0 0 0 1 0 0 1 0 1 1 0 1 0 0 0 1 0 0 \n    0 0 0 0 0 0 0 0 0 0 0 0 0 0 0 0 0 0 0 0 0 0 0 0 0 0 1 0 0 0 0 0 0 0]\n[0 1 1 1 0 0 0 0 1 1 0 1 1 1 0 0 1 1 1 0 1 0 0 1 1 0 0 1 0 1 1 0 0 0 0 1 1 1 1 1\n    1 1 0 0 0 1 0 0 1 0 0 0 1 1 1 1 0 0 0 0 1 1 1 1 0 1 1 1 0 0 1 1 1 1 0 0 0 0 \n    0 0 0 0 0 0 0 0 0 0 0 0 0 0 0 0 0 0 0 0 0 0 0 0 0 0 0 1 0 0 0 0 0 0]\n[0 0 1 1 1 0 0 0 0 1 1 0 1 1 1 0 0 1 1 1 0 1 0 0 1 1 0 0 1 0 1 1 0 0 0 0 1 1 1 1\n    1 1 1 0 0 0 1 0 0 1 0 0 0 1 1 1 1 0 0 0 0 1 1 1 1 0 1 1 1 0 0 1 1 1 1 0 0 0 \n    0 0 0 0 0 0 0 0 0 0 0 0 0 0 0 0 0 0 0 0 0 0 0 0 0 0 0 0 1 0 0 0 0 0]\n[0 0 0 1 1 1 0 0 0 0 1 1 0 1 1 1 0 0 1 1 1 0 1 0 0 1 1 0 0 1 0 1 1 0 0 0 0 1 1 1\n    1 1 1 1 0 0 0 1 0 0 1 0 0 0 1 1 1 1 0 0 0 0 1 1 1 1 0 1 1 1 0 0 1 1 1 1 0 0 \n    0 0 0 0 0 0 0 0 0 0 0 0 0 0 0 0 0 0 0 0 0 0 0 0 0 0 0 0 0 1 0 0 0 0]\n[1 0 0 0 0 1 0 1 1 1 0 0 1 0 0 1 1 1 0 1 1 0 0 1 0 0 1 0 0 1 1 1 0 1 1 0 1 0 1 0\n    0 0 0 1 1 1 0 0 1 1 0 0 0 0 1 1 0 0 1 1 1 1 1 0 0 0 0 0 1 0 1 1 0 0 1 1 0 0 \n    0 0 0 0 0 0 0 0 0 0 0 0 0 0 0 0 0 0 0 0 0 0 0 0 0 0 0 0 0 0 1 0 0 0]\n[0 1 0 0 1 0 0 1 0 0 1 1 0 1 1 0 1 0 1 0 1 0 0 0 1 0 0 0 0 1 1 0 0 0 0 1 1 1 0 0\n    1 1 1 0 1 0 1 0 0 0 1 1 0 0 1 1 0 1 0 0 0 0 0 0 1 1 1 0 0 0 0 0 1 1 0 1 0 0 \n    0 0 0 0 0 0 0 0 0 0 0 0 0 0 0 0 0 0 0 0 0 0 0 0 0 0 0 0 0 0 0 1 0 0]\n[0 0 1 0 1 1 1 1 0 1 0 0 1 0 0 1 0 0 0 1 0 0 0 0 0 1 0 1 0 1 1 0 1 0 1 0 0 1 1 1\n    1 0 0 1 0 0 0 1 0 1 0 0 1 0 1 1 0 1 1 1 1 1 1 1 1 0 0 1 0 1 0 1 0 0 1 0 0 0 \n    0 0 0 0 0 0 0 0 0 0 0 0 0 0 0 0 0 0 0 0 0 0 0 0 0 0 0 0 0 0 0 0 1 0]\n[0 0 0 1 0 1 1 1 1 0 1 0 0 1 0 0 1 0 0 0 1 0 0 0 0 0 1 0 1 0 1 1 0 1 0 1 0 0 1 1\n    1 1 0 0 1 0 0 0 1 0 1 0 0 1 0 1 1 0 1 1 1 1 1 1 1 1 0 0 1 0 1 0 1 0 0 1 0 0 \n    0 0 0 0 0 0 0 0 0 0 0 0 0 0 0 0 0 0 0 0 0 0 0 0 0 0 0 0 0 0 0 0 0 1]\n[112, 36] Linear Code over GF(2)\nGenerator matrix:\n[1 0 0 0 0 0 0 0 0 0 0 0 0 0 0 0 0 0 0 0 0 0 0 0 0 0 0 0 0 0 0 0 0 0 0 0 1 0 1 1\n    0 0 0 0 0 1 0 1 1 1 1 0 1 0 0 1 0 0 1 0 0 0 1 0 0 0 0 0 1 0 1 0 1 1 0 1 0 1 \n    0 0 1 1 1 1 0 0 1 0 0 0 1 0 1 0 0 1 0 1 1 0 1 1 1 1 1 1 1 1 0 0 1 0]\n[0 1 0 0 0 0 0 0 0 0 0 0 0 0 0 0 0 0 0 0 0 0 0 0 0 0 0 0 0 0 0 0 0 0 0 0 0 1 0 1\n    1 0 0 0 0 0 1 0 1 1 1 1 0 1 0 0 1 0 0 1 0 0 0 1 0 0 0 0 0 1 0 1 0 1 1 0 1 0 \n    1 0 0 1 1 1 1 0 0 1 0 0 0 1 0 1 0 0 1 0 1 1 0 1 1 1 1 1 1 1 1 0 0 1]\n[0 0 1 0 0 0 0 0 0 0 0 0 0 0 0 0 0 0 0 0 0 0 0 0 0 0 0 0 0 0 0 0 0 0 0 0 0 0 1 0\n    1 1 0 0 0 0 0 1 0 1 1 1 1 0 1 0 0 1 0 0 1 0 0 0 1 0 0 0 0 0 1 0 1 0 1 1 0 1 \n    0 1 0 0 1 1 1 1 0 0 1 0 0 0 1 0 1 0 0 1 0 1 1 0 1 1 1 1 1 1 1 1 0 0]\n[0 0 0 1 0 0 0 0 0 0 0 0 0 0 0 0 0 0 0 0 0 0 0 0 0 0 0 0 0 0 0 0 0 0 0 0 1 0 1 0\n    0 1 1 0 0 1 0 1 0 1 0 1 0 1 0 0 0 0 0 0 0 1 1 0 0 1 0 0 1 0 1 1 1 0 0 0 1 1 \n    1 0 0 1 1 0 1 1 0 0 0 1 1 0 1 1 0 0 0 1 0 0 0 0 1 0 0 0 0 0 1 1 0 0]\n[0 0 0 0 1 0 0 0 0 0 0 0 0 0 0 0 0 0 0 0 0 0 0 0 0 0 0 0 0 0 0 0 0 0 0 0 0 1 0 1\n    0 0 1 1 0 0 1 0 1 0 1 0 1 0 1 0 0 0 0 0 0 0 1 1 0 0 1 0 0 1 0 1 1 1 0 0 0 1 \n    1 1 0 0 1 1 0 1 1 0 0 0 1 1 0 1 1 0 0 0 1 0 0 0 0 1 0 0 0 0 0 1 1 0]\n[0 0 0 0 0 1 0 0 0 0 0 0 0 0 0 0 0 0 0 0 0 0 0 0 0 0 0 0 0 0 0 0 0 0 0 0 1 0 0 1\n    1 0 0 1 1 1 0 0 1 0 1 1 1 1 0 0 0 0 1 0 0 0 1 1 1 0 0 1 1 0 0 0 0 0 1 1 0 1 \n    1 1 0 1 1 0 1 0 0 1 0 0 1 1 0 0 1 0 0 1 1 1 1 1 1 1 0 1 1 1 0 0 0 1]\n[0 0 0 0 0 0 1 0 0 0 0 0 0 0 0 0 0 0 0 0 0 0 0 0 0 0 0 0 0 0 0 0 0 0 0 0 1 1 1 1\n    1 1 0 0 1 0 1 1 1 0 1 1 0 1 1 1 0 0 1 1 0 0 1 1 1 1 0 0 0 1 1 0 1 1 0 0 1 1 \n    1 1 0 1 0 0 0 1 1 0 1 0 1 1 0 0 0 0 0 1 0 1 0 0 0 0 0 1 0 0 1 0 1 0]\n[0 0 0 0 0 0 0 1 0 0 0 0 0 0 0 0 0 0 0 0 0 0 0 0 0 0 0 0 0 0 0 0 0 0 0 0 1 1 0 0\n    1 1 1 0 0 0 0 0 0 0 1 1 0 0 1 0 1 0 1 1 1 0 1 1 1 1 1 0 1 0 0 1 1 0 1 1 0 0 \n    1 1 0 1 0 1 0 0 0 1 0 1 1 1 0 0 0 1 0 1 0 0 0 1 1 1 1 1 0 1 0 1 1 1]\n[0 0 0 0 0 0 0 0 1 0 0 0 0 0 0 0 0 0 0 0 0 0 0 0 0 0 0 0 0 0 0 0 0 0 0 0 0 1 1 0\n    0 1 1 1 0 0 0 0 0 0 0 1 1 0 0 1 0 1 0 1 1 1 0 1 1 1 1 1 0 1 0 0 1 1 0 1 1 0 \n    0 1 1 0 1 0 1 0 0 0 1 0 1 1 1 0 0 0 1 0 1 0 0 0 1 1 1 1 1 0 1 0 1 1]\n[0 0 0 0 0 0 0 0 0 1 0 0 0 0 0 0 0 0 0 0 0 0 0 0 0 0 0 0 0 0 0 0 0 0 0 0 1 0 0 0\n    0 0 1 1 1 1 0 1 1 1 1 0 0 1 0 1 1 0 0 0 1 1 0 0 1 1 1 1 0 0 0 0 1 0 1 1 1 0 \n    0 0 0 0 1 0 0 1 1 0 0 1 1 1 0 1 0 1 0 0 1 1 1 1 1 0 0 0 0 0 0 1 1 1]\n[0 0 0 0 0 0 0 0 0 0 1 0 0 0 0 0 0 0 0 0 0 0 0 0 0 0 0 0 0 0 0 0 0 0 0 0 0 1 0 0\n    0 0 0 1 1 1 1 0 1 1 1 1 0 0 1 0 1 1 0 0 0 1 1 0 0 1 1 1 1 0 0 0 0 1 0 1 1 1 \n    0 0 0 0 0 1 0 0 1 1 0 0 1 1 1 0 1 0 1 0 0 1 1 1 1 1 0 0 0 0 0 0 1 1]\n[0 0 0 0 0 0 0 0 0 0 0 1 0 0 0 0 0 0 0 0 0 0 0 0 0 0 0 0 0 0 0 0 0 0 0 0 0 0 1 0\n    0 0 0 0 1 1 1 1 0 1 1 1 1 0 0 1 0 1 1 0 0 0 1 1 0 0 1 1 1 1 0 0 0 0 1 0 1 1 \n    1 0 0 0 0 0 1 0 0 1 1 0 0 1 1 1 0 1 0 1 0 0 1 1 1 1 1 0 0 0 0 0 0 1]\n[0 0 0 0 0 0 0 0 0 0 0 0 1 0 0 0 0 0 0 0 0 0 0 0 0 0 0 0 0 0 0 0 0 0 0 0 0 0 0 1\n    0 0 0 0 0 1 1 1 1 0 1 1 1 1 0 0 1 0 1 1 0 0 0 1 1 0 0 1 1 1 1 0 0 0 0 1 0 1 \n    1 1 0 0 0 0 0 1 0 0 1 1 0 0 1 1 1 0 1 0 1 0 0 1 1 1 1 1 0 0 0 0 0 0]\n[0 0 0 0 0 0 0 0 0 0 0 0 0 1 0 0 0 0 0 0 0 0 0 0 0 0 0 0 0 0 0 0 0 0 0 0 1 0 1 1\n    1 0 0 0 0 1 1 0 0 0 1 1 0 1 1 1 0 1 1 1 1 0 1 0 1 1 0 0 0 1 0 1 1 1 0 1 1 1 \n    1 1 0 1 1 1 0 0 0 0 0 1 0 0 1 1 1 0 0 0 1 1 1 1 0 0 0 0 0 1 0 0 1 0]\n[0 0 0 0 0 0 0 0 0 0 0 0 0 0 1 0 0 0 0 0 0 0 0 0 0 0 0 0 0 0 0 0 0 0 0 0 0 1 0 1\n    1 1 0 0 0 0 1 1 0 0 0 1 1 0 1 1 1 0 1 1 1 1 0 1 0 1 1 0 0 0 1 0 1 1 1 0 1 1 \n    1 1 1 0 1 1 1 0 0 0 0 0 1 0 0 1 1 1 0 0 0 1 1 1 1 0 0 0 0 0 1 0 0 1]\n[0 0 0 0 0 0 0 0 0 0 0 0 0 0 0 1 0 0 0 0 0 0 0 0 0 0 0 0 0 0 0 0 0 0 0 0 1 0 0 1\n    1 1 1 0 0 1 0 0 0 1 1 0 0 1 0 0 1 1 1 1 1 1 0 0 1 0 1 1 1 0 1 1 1 0 1 0 0 0 \n    1 1 0 0 1 0 1 1 1 0 0 0 1 1 1 0 1 0 1 1 1 0 0 0 0 0 1 1 1 1 0 1 1 0]\n[0 0 0 0 0 0 0 0 0 0 0 0 0 0 0 0 1 0 0 0 0 0 0 0 0 0 0 0 0 0 0 0 0 0 0 0 0 1 0 0\n    1 1 1 1 0 0 1 0 0 0 1 1 0 0 1 0 0 1 1 1 1 1 1 0 0 1 0 1 1 1 0 1 1 1 0 1 0 0 \n    0 1 1 0 0 1 0 1 1 1 0 0 0 1 1 1 0 1 0 1 1 1 0 0 0 0 0 1 1 1 1 0 1 1]\n[0 0 0 0 0 0 0 0 0 0 0 0 0 0 0 0 0 1 0 0 0 0 0 0 0 0 0 0 0 0 0 0 0 0 0 0 1 0 0 1\n    0 1 1 1 1 1 0 0 1 1 1 1 0 0 0 0 0 0 0 1 1 1 0 1 0 0 1 0 0 1 0 0 0 0 1 1 1 1 \n    0 0 0 0 1 1 1 0 0 1 1 0 1 0 0 1 1 1 1 1 0 1 0 1 1 1 1 1 0 0 1 1 1 1]\n[0 0 0 0 0 0 0 0 0 0 0 0 0 0 0 0 0 0 1 0 0 0 0 0 0 0 0 0 0 0 0 0 0 0 0 0 0 1 0 0\n    1 0 1 1 1 1 1 0 0 1 1 1 1 0 0 0 0 0 0 0 1 1 1 0 1 0 0 1 0 0 1 0 0 0 0 1 1 1 \n    1 0 0 0 0 1 1 1 0 0 1 1 0 1 0 0 1 1 1 1 1 0 1 0 1 1 1 1 1 0 0 1 1 1]\n[0 0 0 0 0 0 0 0 0 0 0 0 0 0 0 0 0 0 0 1 0 0 0 0 0 0 0 0 0 0 0 0 0 0 0 0 0 0 1 0\n    0 1 0 1 1 1 1 1 0 0 1 1 1 1 0 0 0 0 0 0 0 1 1 1 0 1 0 0 1 0 0 1 0 0 0 0 1 1 \n    1 1 0 0 0 0 1 1 1 0 0 1 1 0 1 0 0 1 1 1 1 1 0 1 0 1 1 1 1 1 0 0 1 1]\n[0 0 0 0 0 0 0 0 0 0 0 0 0 0 0 0 0 0 0 0 1 0 0 0 0 0 0 0 0 0 0 0 0 0 0 0 1 0 1 0\n    0 0 1 0 1 0 1 0 0 1 1 1 0 1 1 1 0 0 1 0 0 0 0 1 1 0 1 0 1 1 1 0 0 1 0 1 0 0 \n    1 1 0 1 1 1 0 1 0 1 0 0 0 1 1 1 0 1 1 0 0 1 0 1 0 1 0 0 0 0 1 0 1 1]\n[0 0 0 0 0 0 0 0 0 0 0 0 0 0 0 0 0 0 0 0 0 1 0 0 0 0 0 0 0 0 0 0 0 0 0 0 0 1 0 1\n    0 0 0 1 0 1 0 1 0 0 1 1 1 0 1 1 1 0 0 1 0 0 0 0 1 1 0 1 0 1 1 1 0 0 1 0 1 0 \n    0 1 1 0 1 1 1 0 1 0 1 0 0 0 1 1 1 0 1 1 0 0 1 0 1 0 1 0 0 0 0 1 0 1]\n[0 0 0 0 0 0 0 0 0 0 0 0 0 0 0 0 0 0 0 0 0 0 1 0 0 0 0 0 0 0 0 0 0 0 0 0 0 0 1 0\n    1 0 0 0 1 0 1 0 1 0 0 1 1 1 0 1 1 1 0 0 1 0 0 0 0 1 1 0 1 0 1 1 1 0 0 1 0 1 \n    0 0 1 1 0 1 1 1 0 1 0 1 0 0 0 1 1 1 0 1 1 0 0 1 0 1 0 1 0 0 0 0 1 0]\n[0 0 0 0 0 0 0 0 0 0 0 0 0 0 0 0 0 0 0 0 0 0 0 1 0 0 0 0 0 0 0 0 0 0 0 0 0 0 0 1\n    0 1 0 0 0 1 0 1 0 1 0 0 1 1 1 0 1 1 1 0 0 1 0 0 0 0 1 1 0 1 0 1 1 1 0 0 1 0 \n    1 0 0 1 1 0 1 1 1 0 1 0 1 0 0 0 1 1 1 0 1 1 0 0 1 0 1 0 1 0 0 0 0 1]\n[0 0 0 0 0 0 0 0 0 0 0 0 0 0 0 0 0 0 0 0 0 0 0 0 1 0 0 0 0 0 0 0 0 0 0 0 1 0 1 1\n    1 0 1 0 0 1 1 1 0 1 0 0 1 1 1 0 0 1 0 1 0 0 0 0 0 0 0 1 0 0 0 0 0 0 1 1 0 0 \n    0 1 1 1 0 0 0 1 0 1 0 1 1 1 1 0 0 0 1 0 1 1 0 1 1 0 1 0 1 0 0 0 1 0]\n[0 0 0 0 0 0 0 0 0 0 0 0 0 0 0 0 0 0 0 0 0 0 0 0 0 1 0 0 0 0 0 0 0 0 0 0 0 1 0 1\n    1 1 0 1 0 0 1 1 1 0 1 0 0 1 1 1 0 0 1 0 1 0 0 0 0 0 0 0 1 0 0 0 0 0 0 1 1 0 \n    0 0 1 1 1 0 0 0 1 0 1 0 1 1 1 1 0 0 0 1 0 1 1 0 1 1 0 1 0 1 0 0 0 1]\n[0 0 0 0 0 0 0 0 0 0 0 0 0 0 0 0 0 0 0 0 0 0 0 0 0 0 1 0 0 0 0 0 0 0 0 0 1 0 0 1\n    1 1 1 0 1 1 0 0 0 0 1 1 1 0 1 0 1 0 1 1 0 1 1 0 0 0 0 0 1 1 1 0 1 1 0 1 1 0 \n    0 0 1 0 0 0 0 0 1 1 0 1 1 1 0 1 1 1 0 1 0 0 0 0 1 0 0 1 0 1 1 0 1 0]\n[0 0 0 0 0 0 0 0 0 0 0 0 0 0 0 0 0 0 0 0 0 0 0 0 0 0 0 1 0 0 0 0 0 0 0 0 0 1 0 0\n    1 1 1 1 0 1 1 0 0 0 0 1 1 1 0 1 0 1 0 1 1 0 1 1 0 0 0 0 0 1 1 1 0 1 1 0 1 1 \n    0 0 0 1 0 0 0 0 0 1 1 0 1 1 1 0 1 1 1 0 1 0 0 0 0 1 0 0 1 0 1 1 0 1]\n[0 0 0 0 0 0 0 0 0 0 0 0 0 0 0 0 0 0 0 0 0 0 0 0 0 0 0 0 1 0 0 0 0 0 0 0 0 0 1 0\n    0 1 1 1 1 0 1 1 0 0 0 0 1 1 1 0 1 0 1 0 1 1 0 1 1 0 0 0 0 0 1 1 1 0 1 1 0 1 \n    1 0 0 0 1 0 0 0 0 0 1 1 0 1 1 1 0 1 1 1 0 1 0 0 0 0 1 0 0 1 0 1 1 0]\n[0 0 0 0 0 0 0 0 0 0 0 0 0 0 0 0 0 0 0 0 0 0 0 0 0 0 0 0 0 1 0 0 0 0 0 0 1 0 1 0\n    0 0 1 1 1 0 0 0 0 1 1 0 1 1 1 0 0 1 1 1 0 1 0 0 1 1 0 0 1 0 1 1 0 0 0 0 1 1 \n    1 1 1 1 1 0 0 0 1 0 0 1 0 0 0 1 1 1 1 0 0 0 0 1 1 1 1 0 1 1 1 0 0 1]\n[0 0 0 0 0 0 0 0 0 0 0 0 0 0 0 0 0 0 0 0 0 0 0 0 0 0 0 0 0 0 1 0 0 0 0 0 0 1 0 1\n    0 0 0 1 1 1 0 0 0 0 1 1 0 1 1 1 0 0 1 1 1 0 1 0 0 1 1 0 0 1 0 1 1 0 0 0 0 1 \n    1 1 1 1 1 1 0 0 0 1 0 0 1 0 0 0 1 1 1 1 0 0 0 0 1 1 1 1 0 1 1 1 0 0]\n[0 0 0 0 0 0 0 0 0 0 0 0 0 0 0 0 0 0 0 0 0 0 0 0 0 0 0 0 0 0 0 1 0 0 0 0 0 0 1 0\n    1 0 0 0 1 1 1 0 0 0 0 1 1 0 1 1 1 0 0 1 1 1 0 1 0 0 1 1 0 0 1 0 1 1 0 0 0 0 \n    1 1 1 1 1 1 1 0 0 0 1 0 0 1 0 0 0 1 1 1 1 0 0 0 0 1 1 1 1 0 1 1 1 0]\n[0 0 0 0 0 0 0 0 0 0 0 0 0 0 0 0 0 0 0 0 0 0 0 0 0 0 0 0 0 0 0 0 1 0 0 0 1 0 1 0\n    0 1 0 0 0 0 1 0 1 1 1 0 0 1 0 0 1 1 1 0 1 1 0 0 1 0 0 1 0 0 1 1 1 0 1 1 0 1 \n    0 1 0 0 0 0 1 1 1 0 0 1 1 0 0 0 0 1 1 0 0 1 1 1 1 1 0 0 0 0 0 1 0 1]\n[0 0 0 0 0 0 0 0 0 0 0 0 0 0 0 0 0 0 0 0 0 0 0 0 0 0 0 0 0 0 0 0 0 1 0 0 1 1 1 0\n    0 0 1 0 0 1 0 0 1 0 0 1 1 0 1 1 0 1 0 1 0 1 0 0 0 1 0 0 0 0 1 1 0 0 0 0 1 1 \n    1 0 0 1 1 1 0 1 0 1 0 0 0 1 1 0 0 1 1 0 1 0 0 0 0 0 0 1 1 1 0 0 0 0]\n[0 0 0 0 0 0 0 0 0 0 0 0 0 0 0 0 0 0 0 0 0 0 0 0 0 0 0 0 0 0 0 0 0 0 1 0 1 1 0 0\n    0 0 0 1 0 1 1 1 1 0 1 0 0 1 0 0 1 0 0 0 1 0 0 0 0 0 1 0 1 0 1 1 0 1 0 1 0 0 \n    1 1 1 1 0 0 1 0 0 0 1 0 1 0 0 1 0 1 1 0 1 1 1 1 1 1 1 1 0 0 1 0 1 0]\n[0 0 0 0 0 0 0 0 0 0 0 0 0 0 0 0 0 0 0 0 0 0 0 0 0 0 0 0 0 0 0 0 0 0 0 1 0 1 1 0\n    0 0 0 0 1 0 1 1 1 1 0 1 0 0 1 0 0 1 0 0 0 1 0 0 0 0 0 1 0 1 0 1 1 0 1 0 1 0 \n    0 1 1 1 1 0 0 1 0 0 0 1 0 1 0 0 1 0 1 1 0 1 1 1 1 1 1 1 1 0 0 1 0 1]\nLinear Code over GF(2) of length 112 with 36 generators.\nLower Bound: 1, Upper Bound: 77\nConstructed 4 distinct generator matrices\nRelative Ranks:  36  36  36   4 \n     Discarding non-contributing rank 4 matrix\n     New Relative Ranks:  36  36  36 \nTime Taken: 0.00\nStarting search for low weight codewords... (reset timings)\nEnumerating using 1 generator at a time:\n     New codeword identified of weight 38, time 0.00\n     New codeword identified of weight 37, time 0.00\n     New codeword identified of weight 32, time 0.00\n   Completed Matrix  1:  lower =  4, upper = 32. Elapsed: 0.00s\n   Completed Matrix  2:  lower =  5, upper = 32. Elapsed: 0.00s\n   Completed Matrix  3:  lower =  6, upper = 32. Elapsed: 0.00s\nTermination predicted with 10 generators at matrix 2\nEnumerating using 2 generators at a time:\n     New codeword identified of weight 30, time 0.00\n     New codeword identified of weight 29, time 0.00\n     New codeword identified of weight 28, time 0.00\n   Completed Matrix  1:  lower =  7, upper = 28. Elapsed: 0.00s\n   Completed Matrix  2:  lower =  8, upper = 28. Elapsed: 0.00s\n     New codeword identified of weight 27, time 0.00\n   Completed Matrix  3:  lower =  9, upper = 27. Elapsed: 0.00s\nTermination predicted with 8 generators at matrix 3\nEnumerating using 3 generators at a time:\n   Completed Matrix  1:  lower = 10, upper = 27. Elapsed: 0.00s\n   Completed Matrix  2:  lower = 11, upper = 27. Elapsed: 0.00s\n   Completed Matrix  3:  lower = 12, upper = 27. Elapsed: 0.00s\nTermination predicted with 8 generators at matrix 3\nEnumerating using 4 generators at a time:\n   Completed Matrix  1:  lower = 13, upper = 27. Elapsed: 0.00s\n   Completed Matrix  2:  lower = 14, upper = 27. Elapsed: 0.00s\n   Completed Matrix  3:  lower = 15, upper = 27. Elapsed: 0.00s\nTermination predicted with 8 generators at matrix 3\nEnumerating using 5 generators at a time:\n   Completed Matrix  1:  lower = 16, upper = 27. Elapsed: 0.00s\n   Completed Matrix  2:  lower = 17, upper = 27. Elapsed: 0.00s\n   Completed Matrix  3:  lower = 18, upper = 27. Elapsed: 0.00s\nTermination predicted with 8 generators at matrix 3\nEnumerating using 6 generators at a time:\n   Completed Matrix  1:  lower = 19, upper = 27. Elapsed: 0.00s\n   Completed Matrix  2:  lower = 20, upper = 27. Elapsed: 0.00s\n   Completed Matrix  3:  lower = 21, upper = 27. Elapsed: 0.02s\nTermination predicted with 8 generators at matrix 3\nEnumerating using 7 generators at a time:\n   Completed Matrix  1:  lower = 22, upper = 27. Elapsed: 0.03s\n   Completed Matrix  2:  lower = 23, upper = 27. Elapsed: 0.06s\n   Completed Matrix  3:  lower = 24, upper = 27. Elapsed: 0.08s\nTermination predicted with 8 generators at matrix 3\nEnumerating using 8 generators at a time:\n   Completed Matrix  1:  lower = 25, upper = 27. Elapsed: 0.17s\n   Completed Matrix  2:  lower = 26, upper = 27. Elapsed: 0.25s\n   Completed Matrix  3:  lower = 27, upper = 27. Elapsed: 0.35s\nComputation complete 122998545 vectors enumerated in total\n (0.178986% of 112 36 code)\nFinal Results: lower = 27, upper = 27,\nTotal CPU time: 0.35, real time: 0.336\n27\n\nTotal time: 0.360 seconds, Total memory usage: 32.09MB\n</t>
  </si>
  <si>
    <t>[[113,26,34]]</t>
  </si>
  <si>
    <t>Magma V2.28-26    Tue Dec 30 2025 10:41:18 on Marks-MacBook-Air-2 [Seed = \n1199407825]\nType ? for help.  Type &lt;Ctrl&gt;-D to quit.\n[1 1 1 0 1 0 0 1 1 1 0 1 1 1 1 1 0 1 0 0 0 0 0 1 0 1 0 1 0 1 0 0 0 0 1 0 1 1 1 1\n    0 1 0 0 0 1 0 0 0 1 0 1 0 1 1 0 0 0 1 1 0 0 1 0 0 1 1 1 0 1 1 0 1 1 0 1 0 0 \n    0 0 1 1 0 0 1 1 1 1 0 0 0 0 0 0 0 0 0 0 0 0 0 0 0 0 0 0 0 0 0 0 0 0 0]\n[1 0 0 0 1 1 0 1 1 0 1 1 0 0 0 0 1 1 1 0 0 0 0 1 1 1 0 1 1 1 1 0 0 0 0 1 1 0 0 0\n    1 1 1 0 0 1 1 0 0 1 1 1 1 1 0 1 0 0 0 0 1 0 1 1 0 1 0 0 1 1 0 1 1 0 1 1 1 0 \n    0 0 1 0 1 0 1 0 0 0 1 0 0 0 0 0 0 0 0 0 0 0 0 0 0 0 0 0 0 0 0 0 0 0 0]\n[1 0 0 1 0 1 1 0 1 1 0 1 1 0 0 0 0 1 1 1 0 0 0 0 1 1 1 0 1 1 1 1 0 0 1 0 1 1 0 0\n    0 1 1 1 0 0 1 1 0 0 1 1 1 1 0 0 1 0 1 0 0 0 0 1 1 0 1 0 0 1 1 0 1 1 0 1 1 1 \n    0 0 0 1 0 1 0 1 0 0 0 1 0 0 0 0 0 0 0 0 0 0 0 0 0 0 0 0 0 0 0 0 0 0 0]\n[0 1 0 0 1 0 1 1 1 1 1 0 1 1 0 0 0 0 1 1 1 0 0 0 0 1 1 1 0 1 1 1 1 0 0 1 0 1 1 0\n    0 0 1 1 1 0 0 1 1 0 0 1 1 1 1 0 0 1 0 1 0 1 0 0 1 1 0 1 0 0 1 1 0 1 1 0 1 1 \n    1 0 0 0 1 0 1 0 1 0 0 0 1 0 0 0 0 0 0 0 0 0 0 0 0 0 0 0 0 0 0 0 0 0 0]\n[0 0 0 0 1 1 0 0 1 0 1 0 1 0 0 1 0 1 0 1 1 1 0 1 0 1 1 0 1 1 1 1 1 1 1 0 0 1 0 0\n    0 1 0 1 1 0 0 0 1 0 0 1 1 0 0 1 0 0 1 1 1 0 0 0 0 0 0 1 0 1 1 1 0 1 1 0 0 1 \n    1 1 1 1 0 1 1 0 1 0 0 0 0 1 0 0 0 0 0 0 0 0 0 0 0 0 0 0 0 0 0 0 0 0 0]\n[1 0 1 0 1 1 1 1 0 0 0 0 1 0 1 1 1 1 1 0 1 1 1 1 1 1 1 0 0 0 1 1 1 1 0 1 1 1 0 1\n    0 1 1 0 1 0 0 0 0 0 0 1 1 0 1 0 1 0 1 0 1 0 1 0 0 1 1 1 0 1 0 1 0 1 1 0 0 0 \n    1 1 0 0 1 0 0 0 1 0 0 0 0 0 1 0 0 0 0 0 0 0 0 0 0 0 0 0 0 0 0 0 0 0 0]\n[0 0 1 0 1 1 1 0 1 1 0 1 1 0 1 0 1 0 1 1 0 1 1 0 1 0 1 0 0 1 0 1 1 1 1 0 0 0 0 1\n    1 1 1 1 0 0 0 0 0 1 0 1 1 0 0 1 0 1 0 0 0 1 1 1 0 1 0 0 0 1 0 0 0 1 1 0 0 0 \n    0 1 0 1 0 1 1 1 1 0 0 0 0 0 0 1 0 0 0 0 0 0 0 0 0 0 0 0 0 0 0 0 0 0 0]\n[1 1 1 1 1 1 1 0 0 0 1 1 0 0 1 0 0 0 0 1 1 0 1 0 0 0 1 0 0 1 1 0 1 1 1 1 1 1 1 1\n    1 0 1 1 1 1 0 0 0 1 1 1 1 0 0 0 1 0 0 1 0 1 0 1 1 1 0 1 0 1 0 0 1 1 1 0 0 0 \n    0 0 0 1 1 0 0 0 0 0 0 0 0 0 0 0 1 0 0 0 0 0 0 0 0 0 0 0 0 0 0 0 0 0 0]\n[0 1 1 1 1 1 1 1 0 0 0 1 1 0 0 1 0 0 0 0 1 1 0 1 0 0 0 1 0 0 1 1 0 1 0 1 1 1 1 1\n    1 1 0 1 1 1 1 0 0 0 1 1 1 1 1 0 0 1 0 0 1 0 1 0 1 1 1 0 1 0 1 0 0 1 1 1 0 0 \n    0 0 0 0 1 1 0 0 0 0 0 0 0 0 0 0 0 1 0 0 0 0 0 0 0 0 0 0 0 0 0 0 0 0 0]\n[0 1 1 1 1 1 1 1 0 0 0 0 1 1 0 0 1 0 0 0 0 1 1 0 1 0 0 0 1 0 0 1 1 0 1 0 1 1 1 1\n    1 1 1 0 1 1 1 1 0 0 0 1 1 1 0 1 0 0 0 0 0 0 0 1 0 1 1 1 1 1 0 1 0 0 1 1 1 0 \n    0 0 0 0 0 1 1 0 0 0 0 0 0 0 0 0 0 0 1 0 0 0 0 0 0 0 0 0 0 0 0 0 0 0 0]\n[1 0 1 1 1 1 1 1 1 0 0 0 0 1 1 0 0 1 0 0 0 0 1 1 0 1 0 0 0 1 0 0 1 1 1 1 0 1 1 1\n    1 1 1 1 0 1 1 1 1 0 0 0 1 1 1 0 1 0 1 0 0 1 0 0 1 0 1 1 0 1 1 0 1 0 0 1 1 1 \n    0 0 0 0 0 0 1 1 0 0 0 0 0 0 0 0 0 0 0 1 0 0 0 0 0 0 0 0 0 0 0 0 0 0 0]\n[0 0 0 1 1 1 1 1 1 1 0 0 0 0 1 1 0 0 1 0 0 0 0 1 1 0 0 0 0 0 1 0 0 1 0 1 1 0 1 1\n    1 1 1 1 1 0 1 1 1 1 0 0 0 1 1 1 0 1 0 1 0 0 1 0 0 1 0 1 1 0 1 1 0 1 0 0 1 1 \n    1 0 0 0 0 0 0 1 1 0 0 0 0 0 0 0 0 0 0 0 1 0 0 0 0 0 0 0 0 0 0 0 0 0 0]\n[1 0 1 1 0 1 1 0 0 0 1 1 1 1 1 0 1 1 0 1 0 0 0 1 1 0 1 1 0 1 0 1 0 0 0 0 0 0 1 0\n    1 0 1 1 1 0 0 1 1 0 1 1 0 1 0 1 1 0 1 1 1 0 1 1 0 1 0 1 1 0 1 1 0 1 1 1 0 1 \n    1 1 1 1 0 0 1 1 0 0 0 0 0 0 0 0 0 0 0 0 0 1 0 0 0 0 0 0 0 0 0 0 0 0 0]\n[0 1 0 0 1 0 1 1 1 0 0 1 1 1 1 1 0 1 1 0 1 0 0 0 1 1 0 1 1 0 1 0 1 0 0 0 0 0 0 1\n    0 1 0 1 1 1 0 0 1 1 0 1 1 0 0 0 1 1 0 1 1 0 0 1 1 0 1 0 0 1 0 1 1 0 1 1 1 0 \n    1 1 1 1 1 0 0 1 1 0 0 0 0 0 0 0 0 0 0 0 0 0 1 0 0 0 0 0 0 0 0 0 0 0 0]\n[0 0 0 1 1 1 0 0 1 0 0 1 0 0 0 0 1 1 1 1 0 1 0 1 0 0 0 1 1 0 0 1 0 1 1 0 1 1 1 1\n    1 1 1 0 1 0 1 0 0 0 1 1 1 0 0 0 0 1 1 1 1 1 1 0 1 0 1 0 1 1 0 0 0 0 0 0 1 1 \n    0 1 0 0 1 1 1 1 0 0 0 0 0 0 0 0 0 0 0 0 0 0 0 1 0 0 0 0 0 0 0 0 0 0 0]\n[1 1 0 0 1 1 1 0 1 1 0 0 1 0 0 0 0 1 1 1 1 0 1 0 1 0 1 0 1 1 0 0 1 0 1 1 0 1 1 1\n    1 1 1 1 0 1 0 1 0 0 0 1 1 1 1 0 0 0 0 1 1 1 1 1 0 1 0 1 1 1 1 0 0 0 0 0 0 1 \n    1 0 1 0 0 1 1 1 1 0 0 0 0 0 0 0 0 0 0 0 0 0 0 0 1 0 0 0 0 0 0 0 0 0 0]\n[0 1 0 0 1 1 1 0 1 0 1 1 1 0 1 1 0 1 1 1 1 1 0 0 0 0 0 0 0 0 1 0 0 1 0 1 0 1 0 0\n    1 0 1 1 1 1 1 0 1 1 0 1 1 0 1 1 0 0 0 1 1 1 0 1 1 1 0 1 0 0 0 1 1 1 0 1 0 0 \n    1 1 1 0 0 0 0 0 0 0 0 0 0 0 0 0 0 0 0 0 0 0 0 0 0 1 0 0 0 0 0 0 0 0 0]\n[1 0 1 0 0 1 1 1 0 1 0 1 1 1 0 1 1 0 1 1 1 1 1 0 0 0 0 0 0 0 0 1 0 0 1 0 1 0 1 0\n    0 1 0 1 1 1 1 1 0 1 1 0 1 1 0 1 1 0 1 0 1 1 1 0 1 1 1 0 0 0 0 0 1 1 1 0 1 0 \n    0 1 1 1 0 0 0 0 0 0 0 0 0 0 0 0 0 0 0 0 0 0 0 0 0 0 1 0 0 0 0 0 0 0 0]\n[1 0 0 0 0 0 1 1 0 0 1 0 1 1 1 0 1 1 0 1 1 1 1 1 0 0 0 0 0 0 0 0 1 0 1 1 0 1 0 1\n    0 0 1 0 1 1 1 1 1 0 1 1 0 1 0 0 1 1 0 1 0 1 1 1 0 1 1 1 1 0 0 0 0 1 1 1 0 1 \n    0 0 1 1 1 0 0 0 0 0 0 0 0 0 0 0 0 0 0 0 0 0 0 0 0 0 0 1 0 0 0 0 0 0 0]\n[1 1 0 1 0 0 0 1 1 0 0 1 0 1 1 1 0 1 1 0 1 1 1 1 1 0 0 0 0 0 0 0 0 1 0 1 1 0 1 0\n    1 0 0 1 0 1 1 1 1 1 0 1 1 0 1 0 0 1 0 0 1 1 1 1 1 0 1 1 0 1 0 0 0 0 1 1 1 0 \n    1 0 0 1 1 1 0 0 0 0 0 0 0 0 0 0 0 0 0 0 0 0 0 0 0 0 0 0 1 0 0 0 0 0 0]\n[0 1 1 0 1 0 0 0 1 1 0 0 1 0 1 1 1 0 1 1 0 1 1 1 1 1 0 0 0 0 0 0 0 0 0 0 1 1 0 1\n    0 1 0 0 1 0 1 1 1 1 1 0 1 1 1 1 0 0 1 0 0 0 1 1 1 1 0 1 1 0 1 0 0 0 0 1 1 1 \n    0 1 0 0 1 1 1 0 0 0 0 0 0 0 0 0 0 0 0 0 0 0 0 0 0 0 0 0 0 1 0 0 0 0 0]\n[0 1 1 0 0 1 0 0 1 1 1 0 0 1 0 1 1 1 0 1 1 0 1 1 1 1 0 0 0 0 0 0 0 0 1 0 0 1 1 0\n    1 0 1 0 0 1 0 1 1 1 1 1 0 1 0 1 1 0 1 1 0 1 0 1 1 1 1 0 1 1 0 1 0 0 0 0 1 1 \n    1 0 1 0 0 1 1 1 0 0 0 0 0 0 0 0 0 0 0 0 0 0 0 0 0 0 0 0 0 0 1 0 0 0 0]\n[0 0 1 1 0 0 1 0 0 1 1 1 0 0 1 0 1 1 1 0 1 1 0 1 1 1 1 0 0 0 0 0 0 0 0 1 0 0 1 1\n    0 1 0 1 0 0 1 0 1 1 1 1 1 0 1 0 1 1 0 1 1 0 1 0 1 1 1 1 1 1 1 0 1 0 0 0 0 1 \n    1 1 0 1 0 0 1 1 1 0 0 0 0 0 0 0 0 0 0 0 0 0 0 0 0 0 0 0 0 0 0 1 0 0 0]\n[1 1 1 1 0 0 0 0 1 1 1 0 0 1 1 0 0 0 1 1 0 1 1 1 1 0 1 0 0 1 0 0 0 0 1 0 0 1 1 0\n    1 1 1 0 1 1 0 1 0 0 1 0 1 0 0 1 0 1 1 1 1 0 1 1 0 0 0 0 0 0 0 1 1 0 0 1 0 0 \n    1 1 0 1 1 0 1 0 0 0 0 0 0 0 0 0 0 0 0 0 0 0 0 0 0 0 0 0 0 0 0 0 1 0 0]\n[0 1 1 1 1 0 0 0 0 1 1 1 0 0 1 1 0 0 0 1 1 0 1 1 1 1 1 1 0 0 1 0 0 0 1 1 0 0 1 1\n    0 1 1 1 0 1 1 0 1 0 0 1 0 1 1 0 1 0 0 1 1 1 0 1 1 0 0 0 0 0 0 0 1 1 0 0 1 0 \n    0 1 1 0 1 1 0 1 0 0 0 0 0 0 0 0 0 0 0 0 0 0 0 0 0 0 0 0 0 0 0 0 0 1 0]\n[1 1 1 1 1 1 0 0 0 0 1 1 1 0 0 1 1 0 0 0 1 1 0 1 1 1 0 1 1 0 0 1 0 0 0 1 1 0 0 1\n    1 0 1 1 1 0 1 1 0 1 0 0 1 0 0 1 0 1 1 0 1 1 1 0 1 1 0 0 0 0 0 0 0 1 1 0 0 1 \n    0 0 1 1 0 1 1 0 1 0 0 0 0 0 0 0 0 0 0 0 0 0 0 0 0 0 0 0 0 0 0 0 0 0 1]\n[113, 26] Linear Code over GF(2)\nGenerator matrix:\n[1 0 0 0 0 0 0 0 0 0 0 0 0 0 0 0 0 0 0 0 0 0 0 0 0 1 0 0 1 1 0 1 1 0 1 0 1 0 1 0\n    1 1 0 0 1 0 0 0 0 0 0 1 0 0 0 0 1 0 0 0 1 1 0 1 1 0 0 0 0 1 1 0 0 1 1 1 1 0 \n    1 1 0 0 0 0 1 0 1 0 1 0 0 1 1 0 1 1 0 0 0 0 0 0 0 0 1 0 0 1 1 0 0 1 1]\n[0 1 0 0 0 0 0 0 0 0 0 0 0 0 0 0 0 0 0 0 0 0 0 0 0 1 0 0 0 0 1 1 0 0 0 1 1 1 1 1\n    1 0 1 1 1 0 1 1 0 1 1 1 0 1 0 0 0 0 0 0 0 1 1 1 1 1 1 1 1 0 1 1 1 0 0 0 0 1 \n    0 1 0 0 1 1 0 0 0 1 1 1 1 1 0 1 0 0 0 0 1 0 1 1 1 0 0 1 0 0 1 1 1 1 0]\n[0 0 1 0 0 0 0 0 0 0 0 0 0 0 0 0 0 0 0 0 0 0 0 0 0 1 0 0 1 1 1 0 1 1 0 1 0 1 1 0\n    1 1 0 1 0 1 0 0 1 1 0 1 0 1 0 1 0 1 0 1 0 1 1 1 1 0 0 1 0 1 0 1 0 0 0 0 1 1 \n    0 1 1 0 0 1 1 1 1 1 1 1 0 0 1 1 0 0 1 0 1 1 0 0 0 0 1 0 0 1 0 1 0 1 0]\n[0 0 0 1 0 0 0 0 0 0 0 0 0 0 0 0 0 0 0 0 0 0 0 0 0 0 0 0 1 0 1 1 0 0 1 0 1 1 0 1\n    1 1 0 1 1 0 0 0 0 1 1 1 0 0 0 1 1 1 0 1 1 1 0 0 0 1 0 1 0 0 0 1 1 1 0 0 1 1 \n    0 0 1 1 1 1 1 0 0 1 0 0 1 0 0 1 0 0 1 1 0 1 0 0 0 1 1 0 1 1 0 1 1 1 0]\n[0 0 0 0 1 0 0 0 0 0 0 0 0 0 0 0 0 0 0 0 0 0 0 0 0 0 0 0 1 0 1 1 0 0 1 0 0 0 1 1\n    1 0 0 1 1 1 1 1 0 1 0 1 1 1 0 0 0 1 1 0 0 1 0 0 0 1 0 1 0 1 0 1 0 0 0 1 1 0 \n    0 0 0 1 0 0 0 1 1 1 1 1 1 1 1 1 0 1 0 1 0 0 0 1 1 0 0 0 0 0 1 1 0 1 0]\n[0 0 0 0 0 1 0 0 0 0 0 0 0 0 0 0 0 0 0 0 0 0 0 0 0 0 1 0 1 1 1 0 1 0 1 1 1 1 0 0\n    0 0 0 1 0 1 1 1 1 1 0 1 1 1 1 1 1 1 0 0 1 1 1 0 0 1 1 1 1 0 1 1 0 1 0 0 0 0 \n    0 0 1 1 0 1 1 0 1 0 1 1 0 1 1 0 1 0 0 1 1 1 0 0 1 0 1 0 1 1 0 0 0 1 1]\n[0 0 0 0 0 0 1 0 0 0 0 0 0 0 0 0 0 0 0 0 0 0 0 0 0 0 1 0 0 1 0 1 0 0 0 1 1 1 0 0\n    0 0 1 1 0 1 1 1 1 0 0 1 0 1 0 1 0 0 1 0 0 1 0 1 0 1 0 0 0 0 1 0 1 1 1 0 1 0 \n    1 0 1 1 0 0 1 1 1 0 1 1 0 1 0 1 0 0 0 0 0 0 1 1 0 0 0 1 1 0 0 1 1 0 1]\n[0 0 0 0 0 0 0 1 0 0 0 0 0 0 0 0 0 0 0 0 0 0 0 0 0 1 1 0 1 1 1 1 1 0 1 1 0 1 0 1\n    0 0 1 0 1 1 1 0 1 1 0 1 1 1 1 1 0 0 1 0 0 0 0 0 1 0 1 1 0 1 1 0 1 1 1 1 0 0 \n    0 0 1 1 0 0 0 0 1 1 1 1 1 0 0 1 0 1 1 0 0 1 0 1 0 0 1 0 1 1 1 1 1 1 1]\n[0 0 0 0 0 0 0 0 1 0 0 0 0 0 0 0 0 0 0 0 0 0 0 0 0 0 0 0 1 0 0 1 1 1 1 1 1 1 1 0\n    0 0 0 1 1 0 0 1 0 0 0 0 1 1 1 0 0 0 1 0 0 1 0 1 1 0 1 1 1 1 1 1 0 1 1 1 1 0 \n    0 0 1 1 1 1 0 1 0 0 1 0 0 0 1 0 0 1 0 1 1 1 0 1 1 0 1 0 0 1 1 1 0 0 0]\n[0 0 0 0 0 0 0 0 0 1 0 0 0 0 0 0 0 0 0 0 0 0 0 0 0 1 0 0 1 0 0 1 0 1 0 1 0 1 0 1\n    1 1 0 0 0 1 0 0 1 0 0 1 0 1 0 1 1 0 0 1 1 0 1 1 0 1 0 1 1 0 0 1 1 1 0 0 0 1 \n    1 1 0 1 1 1 0 0 0 0 1 1 0 1 1 1 1 1 1 0 1 1 1 0 1 1 1 1 0 1 0 1 1 1 1]\n[0 0 0 0 0 0 0 0 0 0 1 0 0 0 0 0 0 0 0 0 0 0 0 0 0 1 0 0 1 1 1 1 1 1 0 1 0 1 0 1\n    0 1 0 0 1 1 1 0 0 1 0 1 0 0 1 0 0 0 0 0 0 1 1 0 1 1 1 0 1 0 0 1 1 0 1 0 0 1 \n    0 1 0 0 1 1 0 1 1 1 1 0 1 1 1 0 0 1 0 1 0 1 1 1 0 1 0 0 1 1 1 1 1 0 1]\n[0 0 0 0 0 0 0 0 0 0 0 1 0 0 0 0 0 0 0 0 0 0 0 0 0 1 0 0 0 0 1 0 0 0 1 0 0 0 0 0\n    0 1 1 1 1 0 0 0 0 1 0 1 0 1 1 1 0 1 0 0 0 1 1 0 0 1 0 0 0 1 0 0 0 1 1 0 1 0 \n    1 0 0 0 1 0 1 1 1 1 0 1 1 0 0 1 0 1 0 0 0 0 0 0 0 0 1 0 0 1 1 1 0 0 1]\n[0 0 0 0 0 0 0 0 0 0 0 0 1 0 0 0 0 0 0 0 0 0 0 0 0 1 1 0 1 1 1 1 1 1 0 1 0 1 1 1\n    0 0 1 1 1 0 1 1 0 0 1 0 0 1 1 0 0 0 1 1 1 0 1 0 0 1 0 0 1 0 1 1 0 1 0 0 0 0 \n    0 1 0 1 0 1 1 0 1 0 0 0 1 0 1 1 1 1 1 1 1 1 1 1 1 1 1 1 1 1 1 0 1 0 1]\n[0 0 0 0 0 0 0 0 0 0 0 0 0 1 0 0 0 0 0 0 0 0 0 0 0 1 1 0 0 1 0 0 0 1 1 0 0 1 0 1\n    1 1 0 1 1 0 1 1 1 1 1 0 0 0 0 0 0 0 1 0 0 1 0 1 0 1 0 0 0 1 1 1 1 1 0 1 1 0 \n    1 1 0 0 1 1 0 0 1 0 1 1 1 1 0 1 1 1 0 1 0 0 0 0 1 1 1 0 1 0 0 1 1 1 0]\n[0 0 0 0 0 0 0 0 0 0 0 0 0 0 1 0 0 0 0 0 0 0 0 0 0 0 1 0 0 0 0 1 1 1 0 0 1 1 1 0\n    1 1 0 1 1 1 1 1 1 1 1 0 1 0 0 0 0 0 0 1 1 1 0 1 1 1 0 1 0 1 0 1 0 0 0 1 1 1 \n    0 0 0 1 1 1 0 0 0 0 0 1 1 0 1 0 0 1 0 1 0 0 1 1 0 0 1 1 1 0 1 0 1 1 1]\n[0 0 0 0 0 0 0 0 0 0 0 0 0 0 0 1 0 0 0 0 0 0 0 0 0 1 0 0 1 0 0 0 0 1 1 0 0 1 0 0\n    1 1 1 1 0 0 0 1 1 1 1 1 0 1 1 0 1 1 1 0 1 1 1 0 1 1 0 1 1 0 0 1 0 0 1 1 1 0 \n    0 1 0 1 0 1 1 1 1 0 1 1 1 1 0 0 0 0 1 1 0 0 1 0 1 1 1 0 0 1 1 0 0 0 1]\n[0 0 0 0 0 0 0 0 0 0 0 0 0 0 0 0 1 0 0 0 0 0 0 0 0 0 1 0 0 1 0 1 1 0 0 0 1 1 0 0\n    0 1 1 1 0 1 1 0 1 0 0 1 1 0 0 1 1 0 0 1 1 0 1 0 0 1 1 0 0 1 0 1 0 0 1 0 0 1 \n    1 1 1 1 1 0 0 1 0 1 1 1 0 1 0 0 1 1 1 0 1 1 1 1 0 1 1 1 0 0 1 0 1 0 0]\n[0 0 0 0 0 0 0 0 0 0 0 0 0 0 0 0 0 1 0 0 0 0 0 0 0 0 1 0 0 1 0 0 1 0 1 0 0 0 1 0\n    1 0 1 0 0 0 1 0 0 1 0 0 0 0 0 1 1 0 0 1 0 1 0 0 0 1 1 0 0 0 0 0 0 1 0 1 0 0 \n    0 0 1 1 0 1 1 0 0 1 1 0 1 1 0 0 0 0 1 1 0 0 1 1 0 0 1 0 1 1 1 1 0 0 1]\n[0 0 0 0 0 0 0 0 0 0 0 0 0 0 0 0 0 0 1 0 0 0 0 0 0 1 0 0 1 1 1 1 0 1 0 0 1 0 1 0\n    0 1 1 0 0 1 0 0 0 0 1 1 0 1 0 1 0 1 1 1 1 1 0 0 0 0 1 0 1 1 1 1 1 0 1 0 1 1 \n    0 1 1 1 0 0 1 0 0 0 0 1 0 1 0 1 1 1 1 1 1 1 0 1 0 0 1 1 0 1 0 0 1 0 1]\n[0 0 0 0 0 0 0 0 0 0 0 0 0 0 0 0 0 0 0 1 0 0 0 0 0 0 0 0 0 0 1 1 1 0 1 0 0 0 1 1\n    1 0 0 1 0 1 1 1 0 1 1 0 1 1 1 1 0 0 0 0 0 0 0 1 0 0 1 1 1 0 1 0 0 1 0 1 1 1 \n    1 1 0 1 1 0 1 1 0 0 1 1 0 0 1 0 1 1 1 1 0 1 1 1 0 1 0 0 0 0 1 1 1 0 1]\n[0 0 0 0 0 0 0 0 0 0 0 0 0 0 0 0 0 0 0 0 1 0 0 0 0 0 1 0 1 1 1 0 1 1 0 1 1 0 1 0\n    1 0 1 1 0 1 1 0 1 0 1 1 0 0 0 1 1 1 1 0 0 0 1 1 1 1 1 0 0 0 0 1 0 1 1 0 1 0 \n    1 0 1 1 0 0 0 1 1 1 1 0 1 0 0 0 0 1 0 0 0 1 1 0 0 0 0 1 0 1 0 1 1 1 1]\n[0 0 0 0 0 0 0 0 0 0 0 0 0 0 0 0 0 0 0 0 0 1 0 0 0 0 0 0 0 1 0 1 0 0 1 0 1 1 1 1\n    0 1 1 0 0 1 1 1 0 0 1 0 0 0 0 0 0 0 1 1 0 0 1 1 1 0 0 0 0 1 1 1 1 1 1 1 1 1 \n    1 1 1 1 0 0 0 0 0 0 0 1 1 0 1 0 0 1 1 0 1 1 1 0 0 1 0 0 0 1 0 1 0 1 1]\n[0 0 0 0 0 0 0 0 0 0 0 0 0 0 0 0 0 0 0 0 0 0 1 0 0 1 1 0 1 1 0 0 0 1 1 1 0 0 0 0\n    1 0 1 1 0 1 0 0 1 0 0 1 1 1 0 1 1 0 1 0 0 1 0 0 1 0 1 0 0 0 1 0 1 0 0 0 1 0 \n    1 1 1 0 1 0 1 1 0 1 1 0 1 0 1 0 0 1 1 0 1 0 0 0 1 1 0 0 1 1 1 1 1 0 0]\n[0 0 0 0 0 0 0 0 0 0 0 0 0 0 0 0 0 0 0 0 0 0 0 1 0 0 1 0 0 1 1 1 0 0 0 1 0 1 1 1\n    1 0 1 0 1 0 0 1 0 0 1 0 1 0 0 1 0 0 1 0 0 0 0 0 1 1 0 0 0 0 0 1 0 0 0 0 0 0 \n    0 0 0 0 1 1 0 0 1 0 0 1 1 0 1 0 1 1 1 0 0 1 1 0 1 1 1 0 0 0 1 1 0 0 0]\n[0 0 0 0 0 0 0 0 0 0 0 0 0 0 0 0 0 0 0 0 0 0 0 0 1 0 1 0 0 1 1 1 0 0 0 1 1 1 0 0\n    1 0 0 0 1 1 0 0 1 1 1 0 0 1 1 0 0 0 1 1 0 0 0 0 1 1 0 1 0 1 0 0 1 1 1 1 0 1 \n    1 1 0 0 1 1 1 1 1 1 1 1 0 0 0 0 0 1 0 1 1 1 1 0 0 0 1 0 1 1 0 1 0 0 1]\n[0 0 0 0 0 0 0 0 0 0 0 0 0 0 0 0 0 0 0 0 0 0 0 0 0 0 0 1 0 0 1 1 1 1 1 1 1 1 0 0\n    0 0 1 1 0 0 1 0 0 0 0 1 1 0 0 0 0 0 0 0 1 0 1 1 0 1 1 1 1 1 1 0 1 1 1 1 0 0 \n    0 1 1 1 1 0 1 0 0 1 0 0 0 1 0 0 1 0 1 1 1 0 1 1 0 1 0 0 1 1 1 0 0 0 0]\nLinear Code over GF(2) of length 113 with 26 generators.\nLower Bound: 1, Upper Bound: 88\nConstructed 5 distinct generator matrices\nRelative Ranks:  26  26  26  26   9 \nTime Taken: 0.00\nStarting search for low weight codewords... (reset timings)\nEnumerating using 1 generator at a time:\n     New codeword identified of weight 38, time 0.00\n     New codeword identified of weight 36, time 0.00\n     Discarding non-contributing rank 9 matrix\n     New Relative Ranks:  26  26  26  26 \n   Completed Matrix  1:  lower =  5, upper = 36. Elapsed: 0.00s\n   Completed Matrix  2:  lower =  6, upper = 36. Elapsed: 0.00s\n   Completed Matrix  3:  lower =  7, upper = 36. Elapsed: 0.00s\n   Completed Matrix  4:  lower =  8, upper = 36. Elapsed: 0.00s\nTermination predicted with 8 generators at matrix 4\nEnumerating using 2 generators at a time:\n     New codeword identified of weight 34, time 0.00\n   Completed Matrix  1:  lower =  9, upper = 34. Elapsed: 0.00s\n   Completed Matrix  2:  lower = 10, upper = 34. Elapsed: 0.00s\n   Completed Matrix  3:  lower = 11, upper = 34. Elapsed: 0.00s\n   Completed Matrix  4:  lower = 12, upper = 34. Elapsed: 0.00s\nTermination predicted with 8 generators at matrix 2\nEnumerating using 3 generators at a time:\n   Completed Matrix  1:  lower = 13, upper = 34. Elapsed: 0.00s\n   Completed Matrix  2:  lower = 14, upper = 34. Elapsed: 0.00s\n   Completed Matrix  3:  lower = 15, upper = 34. Elapsed: 0.00s\n   Completed Matrix  4:  lower = 16, upper = 34. Elapsed: 0.00s\nTermination predicted with 8 generators at matrix 2\nEnumerating using 4 generators at a time:\n   Completed Matrix  1:  lower = 17, upper = 34. Elapsed: 0.00s\n   Completed Matrix  2:  lower = 18, upper = 34. Elapsed: 0.00s\n   Completed Matrix  3:  lower = 19, upper = 34. Elapsed: 0.00s\n   Completed Matrix  4:  lower = 20, upper = 34. Elapsed: 0.00s\nTermination predicted with 8 generators at matrix 2\nEnumerating using 5 generators at a time:\n   Completed Matrix  1:  lower = 21, upper = 34. Elapsed: 0.00s\n   Completed Matrix  2:  lower = 22, upper = 34. Elapsed: 0.00s\n   Completed Matrix  3:  lower = 23, upper = 34. Elapsed: 0.00s\n   Completed Matrix  4:  lower = 24, upper = 34. Elapsed: 0.00s\nTermination predicted with 8 generators at matrix 2\nEnumerating using 6 generators at a time:\n   Completed Matrix  1:  lower = 25, upper = 34. Elapsed: 0.00s\n   Completed Matrix  2:  lower = 26, upper = 34. Elapsed: 0.00s\n   Completed Matrix  3:  lower = 27, upper = 34. Elapsed: 0.00s\n   Completed Matrix  4:  lower = 28, upper = 34. Elapsed: 0.00s\nTermination predicted with 8 generators at matrix 2\nEnumerating using 7 generators at a time:\n   Completed Matrix  1:  lower = 29, upper = 34. Elapsed: 0.00s\n   Completed Matrix  2:  lower = 30, upper = 34. Elapsed: 0.00s\n   Completed Matrix  3:  lower = 31, upper = 34. Elapsed: 0.00s\n   Completed Matrix  4:  lower = 32, upper = 34. Elapsed: 0.00s\nTermination predicted with 8 generators at matrix 2\nEnumerating using 8 generators at a time:\n   Completed Matrix  1:  lower = 33, upper = 34. Elapsed: 0.02s\n   Completed Matrix  2:  lower = 34, upper = 34. Elapsed: 0.02s\nComputation complete 7011394 vectors enumerated in total\n (10.447791% of 113 26 code)\nFinal Results: lower = 34, upper = 34,\nTotal CPU time: 0.02, real time: 0.023\n34\n\nTotal time: 0.030 seconds, Total memory usage: 32.09MB\n</t>
  </si>
  <si>
    <t>[[114,27,34]]</t>
  </si>
  <si>
    <t>Magma V2.28-26    Tue Dec 30 2025 10:41:18 on Marks-MacBook-Air-2 [Seed = \n2101852395]\nType ? for help.  Type &lt;Ctrl&gt;-D to quit.\n[1 1 1 0 1 0 0 1 1 1 0 1 1 1 1 1 0 1 0 0 0 0 0 1 0 1 0 1 0 1 0 0 0 0 1 0 1 1 1 1\n    0 1 0 0 0 1 0 0 0 1 0 1 0 1 1 0 0 0 1 1 0 0 1 0 0 1 1 1 0 1 1 0 1 1 0 1 0 0 \n    0 0 1 1 0 0 1 1 1 1 0 0 0 0 0 0 0 0 0 0 0 0 0 0 0 0 0 0 0 0 0 0 0 0 0 0]\n[1 0 0 0 1 1 0 1 1 0 1 1 0 0 0 0 1 1 1 0 0 0 0 1 1 1 0 1 1 1 1 0 0 0 0 1 1 0 0 0\n    1 1 1 0 0 1 1 0 0 1 1 1 1 1 0 1 0 0 0 0 1 0 1 1 0 1 0 0 1 1 0 1 1 0 1 1 1 0 \n    0 0 1 0 1 0 1 0 0 0 1 0 0 0 0 0 0 0 0 0 0 0 0 0 0 0 0 0 0 0 0 0 0 0 0 0]\n[1 0 0 1 0 1 1 0 1 1 0 1 1 0 0 0 0 1 1 1 0 0 0 0 1 1 1 0 1 1 1 1 0 0 1 0 1 1 0 0\n    0 1 1 1 0 0 1 1 0 0 1 1 1 1 0 0 1 0 1 0 0 0 0 1 1 0 1 0 0 1 1 0 1 1 0 1 1 1 \n    0 0 0 1 0 1 0 1 0 0 0 1 0 0 0 0 0 0 0 0 0 0 0 0 0 0 0 0 0 0 0 0 0 0 0 0]\n[0 1 0 0 1 0 1 1 1 1 1 0 1 1 0 0 0 0 1 1 1 0 0 0 0 1 1 1 0 1 1 1 1 0 0 1 0 1 1 0\n    0 0 1 1 1 0 0 1 1 0 0 1 1 1 1 0 0 1 0 1 0 1 0 0 1 1 0 1 0 0 1 1 0 1 1 0 1 1 \n    1 0 0 0 1 0 1 0 1 0 0 0 1 0 0 0 0 0 0 0 0 0 0 0 0 0 0 0 0 0 0 0 0 0 0 0]\n[0 0 0 0 1 1 0 0 1 0 1 0 1 0 0 1 0 1 0 1 1 1 0 1 0 1 1 0 1 1 1 1 1 1 1 0 0 1 0 0\n    0 1 0 1 1 0 0 0 1 0 0 1 1 0 0 1 0 0 1 1 1 0 0 0 0 0 0 1 0 1 1 1 0 1 1 0 0 1 \n    1 1 1 1 0 1 1 0 1 0 0 0 0 1 0 0 0 0 0 0 0 0 0 0 0 0 0 0 0 0 0 0 0 0 0 0]\n[1 0 1 0 1 1 1 1 0 0 0 0 1 0 1 1 1 1 1 0 1 1 1 1 1 1 1 0 0 0 1 1 1 1 0 1 1 1 0 1\n    0 1 1 0 1 0 0 0 0 0 0 1 1 0 1 0 1 0 1 0 1 0 1 0 0 1 1 1 0 1 0 1 0 1 1 0 0 0 \n    1 1 0 0 1 0 0 0 1 0 0 0 0 0 1 0 0 0 0 0 0 0 0 0 0 0 0 0 0 0 0 0 0 0 0 0]\n[0 0 1 0 1 1 1 0 1 1 0 1 1 0 1 0 1 0 1 1 0 1 1 0 1 0 1 0 0 1 0 1 1 1 1 0 0 0 0 1\n    1 1 1 1 0 0 0 0 0 1 0 1 1 0 0 1 0 1 0 0 0 1 1 1 0 1 0 0 0 1 0 0 0 1 1 0 0 0 \n    0 1 0 1 0 1 1 1 1 0 0 0 0 0 0 1 0 0 0 0 0 0 0 0 0 0 0 0 0 0 0 0 0 0 0 0]\n[1 1 1 1 1 1 1 0 0 0 1 1 0 0 1 0 0 0 0 1 1 0 1 0 0 0 1 0 0 1 1 0 1 1 1 1 1 1 1 1\n    1 0 1 1 1 1 0 0 0 1 1 1 1 0 0 0 1 0 0 1 0 1 0 1 1 1 0 1 0 1 0 0 1 1 1 0 0 0 \n    0 0 0 1 1 0 0 0 0 0 0 0 0 0 0 0 1 0 0 0 0 0 0 0 0 0 0 0 0 0 0 0 0 0 0 0]\n[0 1 1 1 1 1 1 1 0 0 0 1 1 0 0 1 0 0 0 0 1 1 0 1 0 0 0 1 0 0 1 1 0 1 0 1 1 1 1 1\n    1 1 0 1 1 1 1 0 0 0 1 1 1 1 1 0 0 1 0 0 1 0 1 0 1 1 1 0 1 0 1 0 0 1 1 1 0 0 \n    0 0 0 0 1 1 0 0 0 0 0 0 0 0 0 0 0 1 0 0 0 0 0 0 0 0 0 0 0 0 0 0 0 0 0 0]\n[0 1 1 1 1 1 1 1 0 0 0 0 1 1 0 0 1 0 0 0 0 1 1 0 1 0 0 0 1 0 0 1 1 0 1 0 1 1 1 1\n    1 1 1 0 1 1 1 1 0 0 0 1 1 1 0 1 0 0 0 0 0 0 0 1 0 1 1 1 1 1 0 1 0 0 1 1 1 0 \n    0 0 0 0 0 1 1 0 0 0 0 0 0 0 0 0 0 0 1 0 0 0 0 0 0 0 0 0 0 0 0 0 0 0 0 0]\n[1 0 1 1 1 1 1 1 1 0 0 0 0 1 1 0 0 1 0 0 0 0 1 1 0 1 0 0 0 1 0 0 1 1 1 1 0 1 1 1\n    1 1 1 1 0 1 1 1 1 0 0 0 1 1 1 0 1 0 1 0 0 1 0 0 1 0 1 1 0 1 1 0 1 0 0 1 1 1 \n    0 0 0 0 0 0 1 1 0 0 0 0 0 0 0 0 0 0 0 1 0 0 0 0 0 0 0 0 0 0 0 0 0 0 0 0]\n[0 0 0 1 1 1 1 1 1 1 0 0 0 0 1 1 0 0 1 0 0 0 0 1 1 0 0 0 0 0 1 0 0 1 0 1 1 0 1 1\n    1 1 1 1 1 0 1 1 1 1 0 0 0 1 1 1 0 1 0 1 0 0 1 0 0 1 0 1 1 0 1 1 0 1 0 0 1 1 \n    1 0 0 0 0 0 0 1 1 0 0 0 0 0 0 0 0 0 0 0 1 0 0 0 0 0 0 0 0 0 0 0 0 0 0 0]\n[1 0 1 1 0 1 1 0 0 0 1 1 1 1 1 0 1 1 0 1 0 0 0 1 1 0 1 1 0 1 0 1 0 0 0 0 0 0 1 0\n    1 0 1 1 1 0 0 1 1 0 1 1 0 1 0 1 1 0 1 1 1 0 1 1 0 1 0 1 1 0 1 1 0 1 1 1 0 1 \n    1 1 1 1 0 0 1 1 0 0 0 0 0 0 0 0 0 0 0 0 0 1 0 0 0 0 0 0 0 0 0 0 0 0 0 0]\n[0 1 0 0 1 0 1 1 1 0 0 1 1 1 1 1 0 1 1 0 1 0 0 0 1 1 0 1 1 0 1 0 1 0 0 0 0 0 0 1\n    0 1 0 1 1 1 0 0 1 1 0 1 1 0 0 0 1 1 0 1 1 0 0 1 1 0 1 0 0 1 0 1 1 0 1 1 1 0 \n    1 1 1 1 1 0 0 1 1 0 0 0 0 0 0 0 0 0 0 0 0 0 1 0 0 0 0 0 0 0 0 0 0 0 0 0]\n[0 0 0 1 1 1 0 0 1 0 0 1 0 0 0 0 1 1 1 1 0 1 0 1 0 0 0 1 1 0 0 1 0 1 1 0 1 1 1 1\n    1 1 1 0 1 0 1 0 0 0 1 1 1 0 0 0 0 1 1 1 1 1 1 0 1 0 1 0 1 1 0 0 0 0 0 0 1 1 \n    0 1 0 0 1 1 1 1 0 0 0 0 0 0 0 0 0 0 0 0 0 0 0 1 0 0 0 0 0 0 0 0 0 0 0 0]\n[1 1 0 0 1 1 1 0 1 1 0 0 1 0 0 0 0 1 1 1 1 0 1 0 1 0 1 0 1 1 0 0 1 0 1 1 0 1 1 1\n    1 1 1 1 0 1 0 1 0 0 0 1 1 1 1 0 0 0 0 1 1 1 1 1 0 1 0 1 1 1 1 0 0 0 0 0 0 1 \n    1 0 1 0 0 1 1 1 1 0 0 0 0 0 0 0 0 0 0 0 0 0 0 0 1 0 0 0 0 0 0 0 0 0 0 0]\n[0 1 0 0 1 1 1 0 1 0 1 1 1 0 1 1 0 1 1 1 1 1 0 0 0 0 0 0 0 0 1 0 0 1 0 1 0 1 0 0\n    1 0 1 1 1 1 1 0 1 1 0 1 1 0 1 1 0 0 0 1 1 1 0 1 1 1 0 1 0 0 0 1 1 1 0 1 0 0 \n    1 1 1 0 0 0 0 0 0 0 0 0 0 0 0 0 0 0 0 0 0 0 0 0 0 1 0 0 0 0 0 0 0 0 0 0]\n[1 0 1 0 0 1 1 1 0 1 0 1 1 1 0 1 1 0 1 1 1 1 1 0 0 0 0 0 0 0 0 1 0 0 1 0 1 0 1 0\n    0 1 0 1 1 1 1 1 0 1 1 0 1 1 0 1 1 0 1 0 1 1 1 0 1 1 1 0 0 0 0 0 1 1 1 0 1 0 \n    0 1 1 1 0 0 0 0 0 0 0 0 0 0 0 0 0 0 0 0 0 0 0 0 0 0 1 0 0 0 0 0 0 0 0 0]\n[1 0 0 0 0 0 1 1 0 0 1 0 1 1 1 0 1 1 0 1 1 1 1 1 0 0 0 0 0 0 0 0 1 0 1 1 0 1 0 1\n    0 0 1 0 1 1 1 1 1 0 1 1 0 1 0 0 1 1 0 1 0 1 1 1 0 1 1 1 1 0 0 0 0 1 1 1 0 1 \n    0 0 1 1 1 0 0 0 0 0 0 0 0 0 0 0 0 0 0 0 0 0 0 0 0 0 0 1 0 0 0 0 0 0 0 0]\n[1 1 0 1 0 0 0 1 1 0 0 1 0 1 1 1 0 1 1 0 1 1 1 1 1 0 0 0 0 0 0 0 0 1 0 1 1 0 1 0\n    1 0 0 1 0 1 1 1 1 1 0 1 1 0 1 0 0 1 0 0 1 1 1 1 1 0 1 1 0 1 0 0 0 0 1 1 1 0 \n    1 0 0 1 1 1 0 0 0 0 0 0 0 0 0 0 0 0 0 0 0 0 0 0 0 0 0 0 1 0 0 0 0 0 0 0]\n[0 1 1 0 1 0 0 0 1 1 0 0 1 0 1 1 1 0 1 1 0 1 1 1 1 1 0 0 0 0 0 0 0 0 0 0 1 1 0 1\n    0 1 0 0 1 0 1 1 1 1 1 0 1 1 1 1 0 0 1 0 0 0 1 1 1 1 0 1 1 0 1 0 0 0 0 1 1 1 \n    0 1 0 0 1 1 1 0 0 0 0 0 0 0 0 0 0 0 0 0 0 0 0 0 0 0 0 0 0 1 0 0 0 0 0 0]\n[0 1 1 0 0 1 0 0 1 1 1 0 0 1 0 1 1 1 0 1 1 0 1 1 1 1 0 0 0 0 0 0 0 0 1 0 0 1 1 0\n    1 0 1 0 0 1 0 1 1 1 1 1 0 1 0 1 1 0 1 1 0 1 0 1 1 1 1 0 1 1 0 1 0 0 0 0 1 1 \n    1 0 1 0 0 1 1 1 0 0 0 0 0 0 0 0 0 0 0 0 0 0 0 0 0 0 0 0 0 0 1 0 0 0 0 0]\n[0 0 1 1 0 0 1 0 0 1 1 1 0 0 1 0 1 1 1 0 1 1 0 1 1 1 1 0 0 0 0 0 0 0 0 1 0 0 1 1\n    0 1 0 1 0 0 1 0 1 1 1 1 1 0 1 0 1 1 0 1 1 0 1 0 1 1 1 1 1 1 1 0 1 0 0 0 0 1 \n    1 1 0 1 0 0 1 1 1 0 0 0 0 0 0 0 0 0 0 0 0 0 0 0 0 0 0 0 0 0 0 1 0 0 0 0]\n[1 1 1 1 0 0 0 0 1 1 1 0 0 1 1 0 0 0 1 1 0 1 1 1 1 0 1 0 0 1 0 0 0 0 1 0 0 1 1 0\n    1 1 1 0 1 1 0 1 0 0 1 0 1 0 0 1 0 1 1 1 1 0 1 1 0 0 0 0 0 0 0 1 1 0 0 1 0 0 \n    1 1 0 1 1 0 1 0 0 0 0 0 0 0 0 0 0 0 0 0 0 0 0 0 0 0 0 0 0 0 0 0 1 0 0 0]\n[0 1 1 1 1 0 0 0 0 1 1 1 0 0 1 1 0 0 0 1 1 0 1 1 1 1 1 1 0 0 1 0 0 0 1 1 0 0 1 1\n    0 1 1 1 0 1 1 0 1 0 0 1 0 1 1 0 1 0 0 1 1 1 0 1 1 0 0 0 0 0 0 0 1 1 0 0 1 0 \n    0 1 1 0 1 1 0 1 0 0 0 0 0 0 0 0 0 0 0 0 0 0 0 0 0 0 0 0 0 0 0 0 0 1 0 0]\n[1 1 1 1 1 1 0 0 0 0 1 1 1 0 0 1 1 0 0 0 1 1 0 1 1 1 0 1 1 0 0 1 0 0 0 1 1 0 0 1\n    1 0 1 1 1 0 1 1 0 1 0 0 1 0 0 1 0 1 1 0 1 1 1 0 1 1 0 0 0 0 0 0 0 1 1 0 0 1 \n    0 0 1 1 0 1 1 0 1 0 0 0 0 0 0 0 0 0 0 0 0 0 0 0 0 0 0 0 0 0 0 0 0 0 1 0]\n[0 1 0 1 0 1 1 1 1 1 0 0 0 0 1 1 1 0 0 0 0 1 1 1 1 0 1 1 1 0 0 0 1 0 1 0 0 0 1 1\n    1 0 0 1 1 0 0 1 1 1 1 1 0 0 0 0 1 0 1 0 0 1 0 1 0 0 0 1 0 1 1 0 1 1 1 0 0 0 \n    1 0 1 0 1 0 0 0 1 0 0 0 0 0 0 0 0 0 0 0 0 0 0 0 0 0 0 0 0 0 0 0 0 0 0 1]\n[114, 27] Linear Code over GF(2)\nGenerator matrix:\n[1 0 0 0 0 0 0 0 0 0 0 0 0 0 0 0 0 0 0 0 0 0 0 0 0 0 1 0 1 1 1 1 0 0 0 0 1 0 1 1\n    0 1 1 1 1 1 0 1 0 0 0 0 0 1 1 0 0 1 1 0 0 0 1 1 0 1 1 1 0 1 0 0 0 1 0 0 0 1 \n    0 1 0 1 1 1 0 0 0 1 1 1 0 0 0 1 0 0 1 1 1 1 0 1 1 0 1 1 0 1 0 0 0 0 1 1]\n[0 1 0 0 0 0 0 0 0 0 0 0 0 0 0 0 0 0 0 0 0 0 0 0 0 0 1 0 0 0 0 1 1 0 1 1 1 1 1 0\n    0 0 0 0 1 1 1 0 0 1 1 0 0 0 1 0 1 1 1 0 1 0 0 1 0 0 0 0 1 0 0 1 1 0 1 1 1 0 \n    1 1 0 1 0 0 1 0 1 0 1 0 1 0 1 0 1 1 1 1 0 1 1 0 0 0 0 0 0 0 0 1 1 0 0 1]\n[0 0 1 0 0 0 0 0 0 0 0 0 0 0 0 0 0 0 0 0 0 0 0 0 0 0 1 0 1 1 0 0 0 1 1 1 0 1 1 1\n    0 1 1 0 0 0 0 1 1 1 0 0 0 0 1 1 1 0 1 1 1 0 0 1 0 1 1 0 0 1 1 1 0 0 1 1 0 0 \n    1 1 1 1 1 0 0 1 0 0 1 0 0 1 0 0 1 1 0 1 0 0 0 1 1 0 1 1 0 1 1 1 0 0 0 1]\n[0 0 0 1 0 0 0 0 0 0 0 0 0 0 0 0 0 0 0 0 0 0 0 0 0 0 0 0 1 0 1 1 0 0 1 0 1 1 0 1\n    1 1 0 1 1 0 0 0 0 1 1 1 0 0 0 1 1 1 0 1 1 1 0 0 0 1 0 1 0 0 0 1 1 1 0 0 1 1 \n    0 0 1 1 1 1 1 0 0 1 0 0 1 0 0 1 0 0 1 1 0 1 0 0 0 1 1 0 1 1 0 1 1 1 0 0]\n[0 0 0 0 1 0 0 0 0 0 0 0 0 0 0 0 0 0 0 0 0 0 0 0 0 0 0 0 1 0 1 1 0 0 1 0 0 0 1 1\n    1 0 0 1 1 1 1 1 0 1 0 1 1 1 0 0 0 1 1 0 0 1 0 0 0 1 0 1 0 1 0 1 0 0 0 1 1 0 \n    0 0 0 1 0 0 0 1 1 1 1 1 1 1 1 1 0 1 0 1 0 0 0 1 1 0 0 0 0 0 1 1 0 1 0 0]\n[0 0 0 0 0 1 0 0 0 0 0 0 0 0 0 0 0 0 0 0 0 0 0 0 0 0 1 0 1 1 1 0 1 0 1 1 1 1 0 0\n    0 0 0 1 0 1 1 1 1 1 0 1 1 1 1 1 1 1 0 0 1 1 1 0 0 1 1 1 1 0 1 1 0 1 0 0 0 0 \n    0 0 1 1 0 1 1 0 1 0 1 1 0 1 1 0 1 0 0 1 1 1 0 0 1 0 1 0 1 1 0 0 0 1 1 0]\n[0 0 0 0 0 0 1 0 0 0 0 0 0 0 0 0 0 0 0 0 0 0 0 0 0 0 1 0 0 1 0 1 0 0 0 1 1 1 0 0\n    0 0 1 1 0 1 1 1 1 0 0 1 0 1 0 1 0 0 1 0 0 1 0 1 0 1 0 0 0 0 1 0 1 1 1 0 1 0 \n    1 0 1 1 0 0 1 1 1 0 1 1 0 1 0 1 0 0 0 0 0 0 1 1 0 0 0 1 1 0 0 1 1 0 1 0]\n[0 0 0 0 0 0 0 1 0 0 0 0 0 0 0 0 0 0 0 0 0 0 0 0 0 0 0 0 1 1 0 1 0 0 0 1 0 1 0 0\n    1 0 0 1 1 0 1 1 1 1 0 0 1 0 0 1 1 1 0 0 1 1 1 0 0 1 0 0 0 1 0 0 1 1 0 0 1 1 \n    1 0 1 0 1 1 1 0 0 0 1 0 1 1 1 0 1 0 0 1 1 0 0 0 1 0 1 1 1 1 0 1 1 0 1 1]\n[0 0 0 0 0 0 0 0 1 0 0 0 0 0 0 0 0 0 0 0 0 0 0 0 0 0 0 0 1 0 0 1 1 1 1 1 1 1 1 0\n    0 0 0 1 1 0 0 1 0 0 0 0 1 1 1 0 0 0 1 0 0 1 0 1 1 0 1 1 1 1 1 1 0 1 1 1 1 0 \n    0 0 1 1 1 1 0 1 0 0 1 0 0 0 1 0 0 1 0 1 1 1 0 1 1 0 1 0 0 1 1 1 0 0 0 0]\n[0 0 0 0 0 0 0 0 0 1 0 0 0 0 0 0 0 0 0 0 0 0 0 0 0 0 1 0 1 0 1 1 1 1 1 1 0 1 0 0\n    0 1 1 1 0 0 0 1 1 0 0 0 0 0 1 1 0 1 1 1 0 1 0 1 1 0 1 0 1 0 1 1 1 1 1 1 1 0 \n    0 1 0 0 0 0 1 0 1 1 1 0 0 0 0 0 0 0 0 1 0 0 1 1 0 1 1 0 0 1 1 1 1 0 1 1]\n[0 0 0 0 0 0 0 0 0 0 1 0 0 0 0 0 0 0 0 0 0 0 0 0 0 0 1 0 1 1 0 1 0 1 1 1 0 1 0 0\n    1 1 1 1 1 0 1 1 0 1 0 0 0 1 0 0 1 1 1 0 1 0 0 0 0 0 0 1 1 0 1 1 1 0 0 1 1 0 \n    1 1 0 1 0 0 1 1 0 0 1 1 1 0 0 1 1 0 1 0 1 0 1 0 1 1 0 1 1 1 0 1 1 1 1 1]\n[0 0 0 0 0 0 0 0 0 0 0 1 0 0 0 0 0 0 0 0 0 0 0 0 0 0 1 0 0 0 0 0 1 0 0 0 0 0 0 1\n    1 1 0 0 1 1 0 1 0 1 0 0 0 0 0 1 1 0 1 0 1 0 0 0 1 0 1 1 0 1 1 0 0 1 0 1 0 1 \n    0 0 0 1 0 1 0 1 0 0 0 0 1 1 1 0 1 0 1 1 1 1 0 1 1 0 1 1 0 1 0 1 0 1 1 1]\n[0 0 0 0 0 0 0 0 0 0 0 0 1 0 0 0 0 0 0 0 0 0 0 0 0 0 0 0 1 1 0 1 0 1 1 1 0 1 1 0\n    1 0 0 0 1 1 1 0 0 0 1 1 0 0 0 0 1 1 0 1 0 1 0 0 1 0 1 1 1 0 0 1 0 1 1 1 1 1 \n    1 1 0 0 1 0 0 0 0 1 0 1 1 1 0 0 0 0 0 0 0 0 1 0 0 1 1 0 1 1 0 0 1 1 1 1]\n[0 0 0 0 0 0 0 0 0 0 0 0 0 1 0 0 0 0 0 0 0 0 0 0 0 0 0 0 0 1 1 0 1 1 0 0 0 1 0 0\n    0 1 1 0 1 1 1 0 1 1 1 1 0 1 1 0 1 1 0 0 1 0 1 1 1 0 1 1 0 1 0 1 1 1 1 0 0 1 \n    0 1 0 1 0 0 1 0 0 1 1 0 1 0 1 0 0 0 1 0 1 1 0 1 0 1 1 1 1 0 1 1 1 0 0 1]\n[0 0 0 0 0 0 0 0 0 0 0 0 0 0 1 0 0 0 0 0 0 0 0 0 0 0 1 0 0 0 0 1 1 1 0 0 1 1 1 0\n    1 1 0 1 1 1 1 1 1 1 1 0 1 0 0 0 0 0 0 1 1 1 0 1 1 1 0 1 0 1 0 1 0 0 0 1 1 1 \n    0 0 0 1 1 1 0 0 0 0 0 1 1 0 1 0 0 1 0 1 0 0 1 1 0 0 1 1 1 0 1 0 1 1 1 0]\n[0 0 0 0 0 0 0 0 0 0 0 0 0 0 0 1 0 0 0 0 0 0 0 0 0 0 1 0 1 0 1 0 1 1 0 0 0 1 0 1\n    0 1 0 0 0 1 0 0 1 1 1 0 0 0 0 0 0 0 0 0 0 0 0 0 0 0 1 0 1 0 1 1 0 0 0 0 0 1 \n    1 1 0 0 1 0 0 1 0 1 1 0 1 0 1 1 1 1 0 0 1 1 1 1 0 1 1 1 0 1 0 0 0 1 1 1]\n[0 0 0 0 0 0 0 0 0 0 0 0 0 0 0 0 1 0 0 0 0 0 0 0 0 0 1 0 0 1 0 1 1 0 0 0 1 1 0 0\n    0 1 1 1 0 1 1 0 1 0 0 1 1 0 0 1 1 0 0 1 1 0 1 0 0 1 1 0 0 1 0 1 0 0 1 0 0 1 \n    1 1 1 1 1 0 0 1 0 1 1 1 0 1 0 0 1 1 1 0 1 1 1 1 0 1 1 1 0 0 1 0 1 0 0 0]\n[0 0 0 0 0 0 0 0 0 0 0 0 0 0 0 0 0 1 0 0 0 0 0 0 0 0 1 0 0 1 0 0 1 0 1 0 0 0 1 0\n    1 0 1 0 0 0 1 0 0 1 0 0 0 0 0 1 1 0 0 1 0 1 0 0 0 1 1 0 0 0 0 0 0 1 0 1 0 0 \n    0 0 1 1 0 1 1 0 0 1 1 0 1 1 0 0 0 0 1 1 0 0 1 1 0 0 1 0 1 1 1 1 0 0 1 0]\n[0 0 0 0 0 0 0 0 0 0 0 0 0 0 0 0 0 0 1 0 0 0 0 0 0 0 1 0 1 1 0 1 1 1 1 0 1 0 1 1\n    1 1 0 1 0 0 0 1 0 0 1 0 0 0 1 1 1 0 0 1 0 0 1 0 1 1 0 1 1 1 0 1 1 0 0 1 0 0 \n    1 1 1 0 1 1 0 0 1 1 0 0 0 0 1 0 0 0 0 0 0 0 0 0 1 0 1 0 0 1 1 0 1 1 1 1]\n[0 0 0 0 0 0 0 0 0 0 0 0 0 0 0 0 0 0 0 1 0 0 0 0 0 0 0 0 0 0 1 1 1 0 1 0 0 0 1 1\n    1 0 0 1 0 1 1 1 0 1 1 0 1 1 1 1 0 0 0 0 0 0 0 1 0 0 1 1 1 0 1 0 0 1 0 1 1 1 \n    1 1 0 1 1 0 1 1 0 0 1 1 0 0 1 0 1 1 1 1 0 1 1 1 0 1 0 0 0 0 1 1 1 0 1 0]\n[0 0 0 0 0 0 0 0 0 0 0 0 0 0 0 0 0 0 0 0 1 0 0 0 0 0 1 0 1 1 1 0 1 1 0 1 1 0 1 0\n    1 0 1 1 0 1 1 0 1 0 1 1 0 0 0 1 1 1 1 0 0 0 1 1 1 1 1 0 0 0 0 1 0 1 1 0 1 0 \n    1 0 1 1 0 0 0 1 1 1 1 0 1 0 0 0 0 1 0 0 0 1 1 0 0 0 0 1 0 1 0 1 1 1 1 0]\n[0 0 0 0 0 0 0 0 0 0 0 0 0 0 0 0 0 0 0 0 0 1 0 0 0 0 0 0 0 1 0 1 0 0 1 0 1 1 1 1\n    0 1 1 0 0 1 1 1 0 0 1 0 0 0 0 0 0 0 1 1 0 0 1 1 1 0 0 0 0 1 1 1 1 1 1 1 1 1 \n    1 1 1 1 0 0 0 0 0 0 0 1 1 0 1 0 0 1 1 0 1 1 1 0 0 1 0 0 0 1 0 1 0 1 1 0]\n[0 0 0 0 0 0 0 0 0 0 0 0 0 0 0 0 0 0 0 0 0 0 1 0 0 0 0 0 1 1 1 0 1 1 0 1 0 0 0 1\n    0 0 0 0 0 0 0 1 1 0 0 0 1 0 1 1 0 1 0 0 1 0 1 0 0 1 0 1 0 0 0 0 1 0 1 1 0 1 \n    0 1 1 1 0 1 0 1 1 0 1 1 1 1 0 1 1 0 0 1 0 1 0 1 0 1 0 1 1 1 0 1 1 1 0 1]\n[0 0 0 0 0 0 0 0 0 0 0 0 0 0 0 0 0 0 0 0 0 0 0 1 0 0 1 0 0 1 1 1 0 0 0 1 0 1 1 1\n    1 0 1 0 1 0 0 1 0 0 1 0 1 0 0 1 0 0 1 0 0 0 0 0 1 1 0 0 0 0 0 1 0 0 0 0 0 0 \n    0 0 0 0 1 1 0 0 1 0 0 1 1 0 1 0 1 1 1 0 0 1 1 0 1 1 1 0 0 0 1 1 0 0 0 0]\n[0 0 0 0 0 0 0 0 0 0 0 0 0 0 0 0 0 0 0 0 0 0 0 0 1 0 1 0 0 1 1 1 0 0 0 1 1 1 0 0\n    1 0 0 0 1 1 0 0 1 1 1 0 0 1 1 0 0 0 1 1 0 0 0 0 1 1 0 1 0 1 0 0 1 1 1 1 0 1 \n    1 1 0 0 1 1 1 1 1 1 1 1 0 0 0 0 0 1 0 1 1 1 1 0 0 0 1 0 1 1 0 1 0 0 1 0]\n[0 0 0 0 0 0 0 0 0 0 0 0 0 0 0 0 0 0 0 0 0 0 0 0 0 1 1 0 0 0 1 0 1 0 1 0 0 0 0 1\n    1 0 1 1 0 1 0 1 0 0 0 1 0 1 1 0 1 1 1 0 1 1 1 0 1 1 1 1 0 0 1 0 0 0 1 1 1 1 \n    1 0 0 1 1 1 1 0 1 1 0 1 0 1 1 1 1 1 1 1 1 1 0 1 1 0 0 1 0 0 1 0 0 1 0 1]\n[0 0 0 0 0 0 0 0 0 0 0 0 0 0 0 0 0 0 0 0 0 0 0 0 0 0 0 1 0 0 1 1 1 1 1 1 1 1 0 0\n    0 0 1 1 0 0 1 0 0 0 0 1 1 0 0 0 0 0 0 0 1 0 1 1 0 1 1 1 1 1 1 0 1 1 1 1 0 0 \n    0 1 1 1 1 0 1 0 0 1 0 0 0 1 0 0 1 0 1 1 1 0 1 1 0 1 0 0 1 1 1 0 0 0 0 0]\nLinear Code over GF(2) of length 114 with 27 generators.\nLower Bound: 1, Upper Bound: 88\nConstructed 5 distinct generator matrices\nRelative Ranks:  27  27  27  27   6 \n     Discarding non-contributing rank 6 matrix\n     New Relative Ranks:  27  27  27  27 \nTime Taken: 0.00\nStarting search for low weight codewords... (reset timings)\nEnumerating using 1 generator at a time:\n     New codeword identified of weight 46, time 0.00\n     New codeword identified of weight 43, time 0.00\n     New codeword identified of weight 42, time 0.00\n     New codeword identified of weight 40, time 0.00\n     New codeword identified of weight 36, time 0.00\n   Completed Matrix  1:  lower =  5, upper = 36. Elapsed: 0.00s\n   Completed Matrix  2:  lower =  6, upper = 36. Elapsed: 0.00s\n   Completed Matrix  3:  lower =  7, upper = 36. Elapsed: 0.00s\n   Completed Matrix  4:  lower =  8, upper = 36. Elapsed: 0.00s\nTermination predicted with 8 generators at matrix 4\nEnumerating using 2 generators at a time:\n     New codeword identified of weight 35, time 0.00\n     New codeword identified of weight 34, time 0.00\n   Completed Matrix  1:  lower =  9, upper = 34. Elapsed: 0.00s\n   Completed Matrix  2:  lower = 10, upper = 34. Elapsed: 0.00s\n   Completed Matrix  3:  lower = 11, upper = 34. Elapsed: 0.00s\n   Completed Matrix  4:  lower = 12, upper = 34. Elapsed: 0.00s\nTermination predicted with 8 generators at matrix 2\nEnumerating using 3 generators at a time:\n   Completed Matrix  1:  lower = 13, upper = 34. Elapsed: 0.00s\n   Completed Matrix  2:  lower = 14, upper = 34. Elapsed: 0.00s\n   Completed Matrix  3:  lower = 15, upper = 34. Elapsed: 0.00s\n   Completed Matrix  4:  lower = 16, upper = 34. Elapsed: 0.00s\nTermination predicted with 8 generators at matrix 2\nEnumerating using 4 generators at a time:\n   Completed Matrix  1:  lower = 17, upper = 34. Elapsed: 0.00s\n   Completed Matrix  2:  lower = 18, upper = 34. Elapsed: 0.00s\n   Completed Matrix  3:  lower = 19, upper = 34. Elapsed: 0.00s\n   Completed Matrix  4:  lower = 20, upper = 34. Elapsed: 0.00s\nTermination predicted with 8 generators at matrix 2\nEnumerating using 5 generators at a time:\n   Completed Matrix  1:  lower = 21, upper = 34. Elapsed: 0.00s\n   Completed Matrix  2:  lower = 22, upper = 34. Elapsed: 0.00s\n   Completed Matrix  3:  lower = 23, upper = 34. Elapsed: 0.00s\n   Completed Matrix  4:  lower = 24, upper = 34. Elapsed: 0.00s\nTermination predicted with 8 generators at matrix 2\nEnumerating using 6 generators at a time:\n   Completed Matrix  1:  lower = 25, upper = 34. Elapsed: 0.00s\n   Completed Matrix  2:  lower = 26, upper = 34. Elapsed: 0.00s\n   Completed Matrix  3:  lower = 27, upper = 34. Elapsed: 0.00s\n   Completed Matrix  4:  lower = 28, upper = 34. Elapsed: 0.00s\nTermination predicted with 8 generators at matrix 2\nEnumerating using 7 generators at a time:\n   Completed Matrix  1:  lower = 29, upper = 34. Elapsed: 0.00s\n   Completed Matrix  2:  lower = 30, upper = 34. Elapsed: 0.00s\n   Completed Matrix  3:  lower = 31, upper = 34. Elapsed: 0.00s\n   Completed Matrix  4:  lower = 32, upper = 34. Elapsed: 0.02s\nTermination predicted with 8 generators at matrix 2\nEnumerating using 8 generators at a time:\n   Completed Matrix  1:  lower = 33, upper = 34. Elapsed: 0.02s\n   Completed Matrix  2:  lower = 34, upper = 34. Elapsed: 0.03s\nComputation complete 9582642 vectors enumerated in total\n (7.139625% of 114 27 code)\nFinal Results: lower = 34, upper = 34,\nTotal CPU time: 0.03, real time: 0.031\n34\n\nTotal time: 0.040 seconds, Total memory usage: 32.09MB\n</t>
  </si>
  <si>
    <t>[[115,29,33]]</t>
  </si>
  <si>
    <t>Magma V2.28-26    Tue Dec 30 2025 10:41:18 on Marks-MacBook-Air-2 [Seed = \n1934210789]\nType ? for help.  Type &lt;Ctrl&gt;-D to quit.\n[1 1 0 0 1 1 1 0 1 0 0 1 0 1 0 1 1 0 0 0 0 0 0 1 1 0 0 1 1 0 0 0 0 0 0 0 1 0 1 0\n    0 1 1 1 1 0 0 0 0 1 1 0 0 1 1 1 1 1 1 0 0 0 1 1 1 0 1 0 1 0 1 1 0 1 1 0 0 0 \n    0 0 1 0 0 0 1 0 1 0 0 0 0 0 0 0 0 0 0 0 0 0 0 0 0 0 0 0 0 0 0 0 0 0 0 0 0]\n[0 0 1 0 0 1 1 1 0 1 0 0 1 0 1 0 1 1 0 0 0 0 0 0 1 1 0 0 1 1 0 0 0 0 1 0 0 1 0 1\n    0 0 1 1 1 1 0 0 0 0 1 1 0 0 0 1 1 1 0 1 0 0 0 1 1 1 0 1 1 1 0 1 1 0 1 1 0 0 \n    0 0 0 1 0 0 0 1 0 1 0 0 0 0 0 0 0 0 0 0 0 0 0 0 0 0 0 0 0 0 0 0 0 0 0 0 0]\n[1 0 0 0 1 1 0 1 1 0 1 1 0 0 0 0 1 1 1 0 0 0 0 1 1 1 0 1 1 1 1 0 0 0 0 1 1 0 0 0\n    1 1 1 0 0 1 1 0 0 1 1 1 1 1 0 1 0 0 0 0 1 0 1 1 0 1 0 0 1 1 0 1 1 0 1 1 1 0 \n    0 0 1 0 1 0 1 0 0 0 1 0 0 0 0 0 0 0 0 0 0 0 0 0 0 0 0 0 0 0 0 0 0 0 0 0 0]\n[1 0 0 1 0 1 1 0 1 1 0 1 1 0 0 0 0 1 1 1 0 0 0 0 1 1 1 0 1 1 1 1 0 0 1 0 1 1 0 0\n    0 1 1 1 0 0 1 1 0 0 1 1 1 1 0 0 1 0 1 0 0 0 0 1 1 0 1 0 0 1 1 0 1 1 0 1 1 1 \n    0 0 0 1 0 1 0 1 0 0 0 1 0 0 0 0 0 0 0 0 0 0 0 0 0 0 0 0 0 0 0 0 0 0 0 0 0]\n[1 0 0 0 0 1 0 1 0 1 1 1 1 0 0 1 1 0 1 1 1 0 0 1 1 1 1 0 1 1 1 1 1 0 0 1 1 1 0 0\n    0 1 0 0 0 0 0 1 1 1 1 1 1 0 0 1 1 0 1 1 0 1 1 1 0 1 1 1 1 0 0 0 0 0 0 0 1 1 \n    1 0 1 0 1 0 0 0 0 0 0 0 1 0 0 0 0 0 0 0 0 0 0 0 0 0 0 0 0 0 0 0 0 0 0 0 0]\n[1 1 0 0 0 0 1 0 0 0 1 1 1 1 0 0 1 1 0 1 1 1 0 0 1 1 1 1 0 1 1 1 1 1 1 0 1 1 1 0\n    0 0 1 0 0 0 0 0 1 1 1 1 1 1 1 0 1 1 0 1 1 0 1 1 1 0 1 1 1 1 0 0 0 0 0 0 0 1 \n    1 1 0 1 0 1 0 0 0 0 0 0 0 1 0 0 0 0 0 0 0 0 0 0 0 0 0 0 0 0 0 0 0 0 0 0 0]\n[0 1 1 0 0 0 0 1 1 0 0 1 1 1 1 0 0 1 1 0 1 1 1 0 0 1 1 1 1 0 1 1 1 1 0 1 0 1 1 1\n    0 0 0 1 0 0 0 0 0 1 1 1 1 1 0 1 0 1 0 0 1 0 0 1 1 1 0 1 1 1 1 0 0 0 0 0 0 0 \n    1 1 1 0 1 0 1 0 0 0 0 0 0 0 1 0 0 0 0 0 0 0 0 0 0 0 0 0 0 0 0 0 0 0 0 0 0]\n[1 1 1 0 0 0 0 0 0 1 0 0 1 1 1 1 0 0 1 1 0 1 1 1 0 0 1 1 1 1 0 1 1 1 1 0 1 0 1 1\n    1 0 0 0 1 0 0 0 0 0 1 1 1 1 1 0 1 0 1 0 0 1 0 0 1 1 1 0 1 1 1 1 0 0 0 0 0 0 \n    0 1 1 1 0 1 0 1 0 0 0 0 0 0 0 1 0 0 0 0 0 0 0 0 0 0 0 0 0 0 0 0 0 0 0 0 0]\n[1 1 1 1 1 1 1 0 0 0 1 1 0 0 1 0 0 0 0 1 1 0 1 0 0 0 1 0 0 1 1 0 1 1 1 1 1 1 1 1\n    1 0 1 1 1 1 0 0 0 1 1 1 1 0 0 0 1 0 0 1 0 1 0 1 1 1 0 1 0 1 0 0 1 1 1 0 0 0 \n    0 0 0 1 1 0 0 0 0 0 0 0 0 0 0 0 1 0 0 0 0 0 0 0 0 0 0 0 0 0 0 0 0 0 0 0 0]\n[0 1 1 1 1 1 1 1 0 0 0 1 1 0 0 1 0 0 0 0 1 1 0 1 0 0 0 1 0 0 1 1 0 1 0 1 1 1 1 1\n    1 1 0 1 1 1 1 0 0 0 1 1 1 1 1 0 0 1 0 0 1 0 1 0 1 1 1 0 1 0 1 0 0 1 1 1 0 0 \n    0 0 0 0 1 1 0 0 0 0 0 0 0 0 0 0 0 1 0 0 0 0 0 0 0 0 0 0 0 0 0 0 0 0 0 0 0]\n[0 1 1 1 1 1 1 1 0 0 0 0 1 1 0 0 1 0 0 0 0 1 1 0 1 0 0 0 1 0 0 1 1 0 1 0 1 1 1 1\n    1 1 1 0 1 1 1 1 0 0 0 1 1 1 0 1 0 0 0 0 0 0 0 1 0 1 1 1 1 1 0 1 0 0 1 1 1 0 \n    0 0 0 0 0 1 1 0 0 0 0 0 0 0 0 0 0 0 1 0 0 0 0 0 0 0 0 0 0 0 0 0 0 0 0 0 0]\n[1 0 1 1 1 1 1 1 1 0 0 0 0 1 1 0 0 1 0 0 0 0 1 1 0 1 0 0 0 1 0 0 1 1 1 1 0 1 1 1\n    1 1 1 1 0 1 1 1 1 0 0 0 1 1 1 0 1 0 1 0 0 1 0 0 1 0 1 1 0 1 1 0 1 0 0 1 1 1 \n    0 0 0 0 0 0 1 1 0 0 0 0 0 0 0 0 0 0 0 1 0 0 0 0 0 0 0 0 0 0 0 0 0 0 0 0 0]\n[1 1 0 1 0 0 0 1 0 1 0 1 0 1 1 0 1 0 1 0 0 0 0 0 0 0 0 1 1 0 1 0 0 1 0 1 0 0 0 1\n    1 0 0 0 0 0 1 1 1 0 1 0 0 0 0 0 1 0 1 1 0 0 0 1 1 1 1 1 0 0 0 0 0 0 1 0 1 1 \n    1 0 1 0 0 0 1 1 0 0 0 0 0 0 0 0 0 0 0 0 1 0 0 0 0 0 0 0 0 0 0 0 0 0 0 0 0]\n[1 0 1 1 0 1 1 0 0 0 1 1 1 1 1 0 1 1 0 1 0 0 0 1 1 0 1 1 0 1 0 1 0 0 0 0 0 0 1 0\n    1 0 1 1 1 0 0 1 1 0 1 1 0 1 0 1 1 0 1 1 1 0 1 1 0 1 0 1 1 0 1 1 0 1 1 1 0 1 \n    1 1 1 1 0 0 1 1 0 0 0 0 0 0 0 0 0 0 0 0 0 1 0 0 0 0 0 0 0 0 0 0 0 0 0 0 0]\n[1 0 0 0 0 1 0 1 0 0 0 0 1 0 1 0 1 1 1 0 1 0 0 1 0 1 0 0 0 0 1 0 1 0 0 0 1 0 1 1\n    0 0 1 0 0 1 0 0 1 0 1 1 1 1 1 1 0 0 1 1 1 0 1 0 0 0 0 0 1 1 1 0 1 1 0 1 1 0 \n    1 1 0 1 1 0 1 1 0 0 0 0 0 0 0 0 0 0 0 0 0 0 1 0 0 0 0 0 0 0 0 0 0 0 0 0 0]\n[0 0 0 1 1 1 0 0 1 0 0 1 0 0 0 0 1 1 1 1 0 1 0 1 0 0 0 1 1 0 0 1 0 1 1 0 1 1 1 1\n    1 1 1 0 1 0 1 0 0 0 1 1 1 0 0 0 0 1 1 1 1 1 1 0 1 0 1 0 1 1 0 0 0 0 0 0 1 1 \n    0 1 0 0 1 1 1 1 0 0 0 0 0 0 0 0 0 0 0 0 0 0 0 1 0 0 0 0 0 0 0 0 0 0 0 0 0]\n[0 0 0 0 0 0 0 0 0 1 0 1 1 1 0 1 1 1 1 1 1 0 1 1 0 0 1 1 0 1 0 0 1 0 1 1 1 1 0 1\n    1 0 0 0 1 1 0 1 0 1 1 1 1 0 0 1 1 1 1 1 1 1 0 0 1 1 1 1 0 1 0 1 0 1 1 0 0 1 \n    1 0 0 0 0 1 0 1 0 0 0 0 0 0 0 0 0 0 0 0 0 0 0 0 1 0 0 0 0 0 0 0 0 0 0 0 0]\n[0 1 0 0 1 1 1 0 1 0 1 1 1 0 1 1 0 1 1 1 1 1 0 0 0 0 0 0 0 0 1 0 0 1 0 1 0 1 0 0\n    1 0 1 1 1 1 1 0 1 1 0 1 1 0 1 1 0 0 0 1 1 1 0 1 1 1 0 1 0 0 0 1 1 1 0 1 0 0 \n    1 1 1 0 0 0 0 0 0 0 0 0 0 0 0 0 0 0 0 0 0 0 0 0 0 1 0 0 0 0 0 0 0 0 0 0 0]\n[1 0 1 0 0 1 1 1 0 1 0 1 1 1 0 1 1 0 1 1 1 1 1 0 0 0 0 0 0 0 0 1 0 0 1 0 1 0 1 0\n    0 1 0 1 1 1 1 1 0 1 1 0 1 1 0 1 1 0 1 0 1 1 1 0 1 1 1 0 0 0 0 0 1 1 1 0 1 0 \n    0 1 1 1 0 0 0 0 0 0 0 0 0 0 0 0 0 0 0 0 0 0 0 0 0 0 1 0 0 0 0 0 0 0 0 0 0]\n[1 0 0 0 0 0 1 1 0 0 1 0 1 1 1 0 1 1 0 1 1 1 1 1 0 0 0 0 0 0 0 0 1 0 1 1 0 1 0 1\n    0 0 1 0 1 1 1 1 1 0 1 1 0 1 0 0 1 1 0 1 0 1 1 1 0 1 1 1 1 0 0 0 0 1 1 1 0 1 \n    0 0 1 1 1 0 0 0 0 0 0 0 0 0 0 0 0 0 0 0 0 0 0 0 0 0 0 1 0 0 0 0 0 0 0 0 0]\n[1 1 0 1 0 0 0 1 1 0 0 1 0 1 1 1 0 1 1 0 1 1 1 1 1 0 0 0 0 0 0 0 0 1 0 1 1 0 1 0\n    1 0 0 1 0 1 1 1 1 1 0 1 1 0 1 0 0 1 0 0 1 1 1 1 1 0 1 1 0 1 0 0 0 0 1 1 1 0 \n    1 0 0 1 1 1 0 0 0 0 0 0 0 0 0 0 0 0 0 0 0 0 0 0 0 0 0 0 1 0 0 0 0 0 0 0 0]\n[0 1 1 0 1 0 0 0 1 1 0 0 1 0 1 1 1 0 1 1 0 1 1 1 1 1 0 0 0 0 0 0 0 0 0 0 1 1 0 1\n    0 1 0 0 1 0 1 1 1 1 1 0 1 1 1 1 0 0 1 0 0 0 1 1 1 1 0 1 1 0 1 0 0 0 0 1 1 1 \n    0 1 0 0 1 1 1 0 0 0 0 0 0 0 0 0 0 0 0 0 0 0 0 0 0 0 0 0 0 1 0 0 0 0 0 0 0]\n[0 1 1 0 0 1 0 0 1 1 1 0 0 1 0 1 1 1 0 1 1 0 1 1 1 1 0 0 0 0 0 0 0 0 1 0 0 1 1 0\n    1 0 1 0 0 1 0 1 1 1 1 1 0 1 0 1 1 0 1 1 0 1 0 1 1 1 1 0 1 1 0 1 0 0 0 0 1 1 \n    1 0 1 0 0 1 1 1 0 0 0 0 0 0 0 0 0 0 0 0 0 0 0 0 0 0 0 0 0 0 1 0 0 0 0 0 0]\n[1 1 1 1 1 1 0 0 1 1 1 0 0 1 1 1 0 1 1 0 1 1 0 0 0 1 1 1 1 0 0 0 0 0 0 1 1 0 0 1\n    0 0 1 0 1 0 1 0 1 0 0 1 1 1 0 1 0 0 1 1 1 0 0 1 0 1 0 1 0 1 0 1 1 1 1 0 0 1 \n    1 1 1 1 0 0 0 1 0 0 0 0 0 0 0 0 0 0 0 0 0 0 0 0 0 0 0 0 0 0 0 1 0 0 0 0 0]\n[1 1 1 1 0 0 0 0 1 1 1 0 0 1 1 0 0 0 1 1 0 1 1 1 1 0 1 0 0 1 0 0 0 0 1 0 0 1 1 0\n    1 1 1 0 1 1 0 1 0 0 1 0 1 0 0 1 0 1 1 1 1 0 1 1 0 0 0 0 0 0 0 1 1 0 0 1 0 0 \n    1 1 0 1 1 0 1 0 0 0 0 0 0 0 0 0 0 0 0 0 0 0 0 0 0 0 0 0 0 0 0 0 1 0 0 0 0]\n[0 1 1 1 1 0 0 0 0 1 1 1 0 0 1 1 0 0 0 1 1 0 1 1 1 1 1 1 0 0 1 0 0 0 1 1 0 0 1 1\n    0 1 1 1 0 1 1 0 1 0 0 1 0 1 1 0 1 0 0 1 1 1 0 1 1 0 0 0 0 0 0 0 1 1 0 0 1 0 \n    0 1 1 0 1 1 0 1 0 0 0 0 0 0 0 0 0 0 0 0 0 0 0 0 0 0 0 0 0 0 0 0 0 1 0 0 0]\n[0 0 1 1 0 0 1 0 1 0 1 0 1 1 0 0 0 0 0 0 1 1 0 0 0 1 0 0 0 0 0 1 0 0 0 1 0 0 1 1\n    1 1 0 0 0 0 1 1 0 0 1 0 1 1 1 0 1 0 0 0 1 1 0 1 0 1 1 0 1 0 1 1 0 0 0 0 0 1 \n    0 0 0 1 0 1 0 0 0 0 0 0 0 0 0 0 0 0 0 0 0 0 0 0 0 0 0 0 0 0 0 0 0 0 1 0 0]\n[1 0 0 1 1 0 0 1 0 1 0 1 0 1 1 0 0 0 0 0 0 1 1 0 0 0 1 0 0 0 0 0 1 0 1 0 1 0 0 1\n    1 1 1 0 0 0 0 1 1 0 0 1 0 1 1 1 0 1 0 0 0 1 1 0 1 0 1 1 1 1 0 1 1 0 0 0 0 0 \n    1 0 0 0 1 0 1 0 0 0 0 0 0 0 0 0 0 0 0 0 0 0 0 0 0 0 0 0 0 0 0 0 0 0 0 1 0]\n[0 0 0 1 1 1 0 0 0 0 1 0 1 0 1 1 0 0 0 0 0 0 1 1 0 0 1 1 0 0 0 0 0 1 0 1 0 1 0 0\n    1 1 1 1 0 0 0 0 1 1 0 0 1 0 1 1 1 0 0 0 0 1 1 1 0 1 0 1 0 1 1 0 1 1 0 0 0 0 \n    0 1 0 0 0 1 0 1 0 0 0 0 0 0 0 0 0 0 0 0 0 0 0 0 0 0 0 0 0 0 0 0 0 0 0 0 1]\n[115, 29] Linear Code over GF(2)\nGenerator matrix:\n[1 0 0 0 0 0 0 0 0 0 0 0 0 0 0 0 0 0 0 0 0 0 0 0 0 0 0 0 0 1 0 1 1 1 1 0 0 1 1 1\n    1 0 0 0 0 0 1 0 1 1 1 1 1 0 1 1 1 1 1 1 0 0 1 1 1 1 0 0 1 1 0 1 0 1 1 0 1 0 \n    0 0 0 0 0 1 1 0 1 1 0 1 0 1 1 0 1 1 0 1 0 0 1 1 1 0 0 1 0 1 0 1 1 0 0 0 1]\n[0 1 0 0 0 0 0 0 0 0 0 0 0 0 0 0 0 0 0 0 0 0 0 0 0 0 0 0 0 1 0 0 1 0 0 0 0 1 1 1\n    0 0 1 0 0 1 0 1 0 1 1 0 0 0 0 0 1 1 0 0 1 0 0 0 0 0 1 0 1 0 1 0 0 1 1 1 1 0 \n    0 0 0 1 1 0 0 1 0 1 1 1 1 0 1 0 0 0 0 1 1 1 0 1 0 1 1 0 1 1 0 1 1 0 0 0 0]\n[0 0 1 0 0 0 0 0 0 0 0 0 0 0 0 0 0 0 0 0 0 0 0 0 0 0 0 0 0 1 1 0 1 0 0 1 1 0 1 1\n    1 0 0 1 1 1 1 0 0 0 1 1 1 1 1 0 0 0 1 0 1 0 0 1 1 1 0 1 1 1 1 0 0 0 0 1 1 1 \n    1 0 1 0 0 0 1 1 1 0 0 0 0 0 1 1 0 0 1 1 1 1 1 1 1 0 0 1 0 1 1 0 1 0 1 0 1]\n[0 0 0 1 0 0 0 0 0 0 0 0 0 0 0 0 0 0 0 0 0 0 0 0 0 0 0 0 0 1 0 0 1 1 1 1 1 0 0 0\n    0 0 0 0 1 1 0 0 1 0 0 0 1 1 1 0 0 1 1 0 1 1 0 1 1 1 0 0 1 0 1 1 0 0 1 0 0 0 \n    1 0 1 0 1 1 1 1 0 0 1 1 1 1 1 0 0 0 1 1 0 0 0 1 0 0 1 0 0 0 0 0 0 1 1 0 1]\n[0 0 0 0 1 0 0 0 0 0 0 0 0 0 0 0 0 0 0 0 0 0 0 0 0 0 0 0 0 1 0 0 1 1 1 1 0 1 1 0\n    0 1 0 0 1 0 1 1 1 0 1 0 0 0 1 1 1 1 0 1 0 1 0 1 1 1 0 0 1 1 1 1 1 1 1 1 0 1 \n    1 0 0 0 0 0 0 0 1 0 0 0 1 0 0 0 0 1 0 1 0 1 0 0 1 1 0 0 1 1 1 0 1 1 1 0 1]\n[0 0 0 0 0 1 0 0 0 0 0 0 0 0 0 0 0 0 0 0 0 0 0 0 0 0 0 0 0 1 0 0 0 1 0 1 0 0 0 0\n    1 1 1 0 1 0 0 0 0 0 1 0 0 0 1 0 0 1 0 1 1 1 1 0 1 1 0 0 0 0 1 0 0 1 1 0 1 1 \n    0 1 1 0 1 1 0 0 0 0 0 1 0 0 0 1 0 1 1 1 0 0 1 0 1 0 0 0 1 1 0 1 1 1 0 1 1]\n[0 0 0 0 0 0 1 0 0 0 0 0 0 0 0 0 0 0 0 0 0 0 0 0 0 0 0 0 0 0 0 0 0 0 1 0 0 1 0 1\n    0 0 0 1 1 1 0 0 1 0 0 1 0 1 1 1 0 0 0 0 0 1 0 0 0 1 1 0 0 0 0 1 0 0 1 0 1 0 \n    0 1 1 1 1 0 0 0 0 1 1 0 0 1 0 1 1 1 1 0 1 0 0 0 0 1 1 1 0 1 0 1 1 0 1 1 0]\n[0 0 0 0 0 0 0 1 0 0 0 0 0 0 0 0 0 0 0 0 0 0 0 0 0 0 0 0 0 0 1 0 1 1 0 0 0 0 0 1\n    0 1 0 0 1 1 1 1 0 0 1 1 0 1 1 0 0 1 1 1 1 1 1 1 1 1 0 1 1 1 1 0 0 0 1 0 0 0 \n    0 0 1 1 1 1 1 1 0 1 0 1 1 0 0 1 1 0 0 1 1 1 0 1 1 1 1 1 0 0 0 0 0 0 0 1 1]\n[0 0 0 0 0 0 0 0 1 0 0 0 0 0 0 0 0 0 0 0 0 0 0 0 0 0 0 0 0 1 1 0 0 0 1 0 1 0 1 1\n    1 1 0 0 1 1 0 1 1 1 1 1 0 0 0 1 1 0 0 1 0 1 0 0 0 0 1 0 0 1 0 1 1 0 0 1 0 1 \n    1 0 1 0 1 1 0 0 0 1 0 1 0 1 0 1 0 1 0 1 1 0 0 0 1 1 1 0 1 0 1 0 1 0 1 0 1]\n[0 0 0 0 0 0 0 0 0 1 0 0 0 0 0 0 0 0 0 0 0 0 0 0 0 0 0 0 0 0 0 1 0 0 0 1 1 0 0 0\n    1 0 0 0 1 1 1 0 0 1 1 1 1 1 1 0 1 1 1 0 0 1 0 1 0 0 0 1 0 0 1 0 1 1 0 1 0 1 \n    0 0 0 1 1 0 0 0 0 1 0 0 0 1 1 1 1 1 1 1 1 1 0 1 0 1 0 0 0 1 1 0 0 0 0 0 1]\n[0 0 0 0 0 0 0 0 0 0 1 0 0 0 0 0 0 0 0 0 0 0 0 0 0 0 0 0 0 1 1 1 1 0 0 1 1 0 0 0\n    0 0 0 0 0 1 0 0 1 0 1 1 1 0 0 1 0 1 1 1 1 0 0 0 1 0 1 0 0 0 1 0 1 0 1 1 0 1 \n    1 0 0 0 1 0 0 1 1 0 0 1 1 1 1 0 0 1 0 0 0 1 0 0 1 1 1 1 1 1 0 0 0 1 0 0 1]\n[0 0 0 0 0 0 0 0 0 0 0 1 0 0 0 0 0 0 0 0 0 0 0 0 0 0 0 0 0 1 0 1 1 0 1 1 1 0 0 0\n    1 1 1 0 0 1 1 0 0 1 0 0 0 0 1 1 1 0 0 0 1 0 0 1 1 0 0 1 0 1 0 1 1 0 0 1 0 1 \n    1 1 0 1 1 1 1 0 1 1 0 1 1 1 1 0 0 1 0 1 0 1 1 0 1 1 0 1 1 0 0 1 0 1 1 0 0]\n[0 0 0 0 0 0 0 0 0 0 0 0 1 0 0 0 0 0 0 0 0 0 0 0 0 0 0 0 0 0 1 0 1 0 1 0 0 0 1 1\n    0 1 0 1 1 0 1 0 1 1 0 0 1 1 1 1 0 1 1 0 0 1 0 1 0 0 1 0 0 0 1 1 1 0 0 1 0 0 \n    0 1 0 1 1 0 0 1 0 0 1 0 1 0 1 1 0 0 0 0 0 1 1 1 0 0 1 0 0 0 0 1 0 1 0 1 1]\n[0 0 0 0 0 0 0 0 0 0 0 0 0 1 0 0 0 0 0 0 0 0 0 0 0 0 0 0 0 1 1 0 1 1 0 0 0 1 0 0\n    0 1 1 0 1 1 1 0 1 1 1 1 0 1 1 0 1 1 0 0 1 0 1 1 1 0 1 1 0 1 0 1 1 1 1 0 0 1 \n    0 1 0 1 0 0 1 0 0 1 1 0 1 0 1 0 0 0 1 0 1 1 0 1 0 1 1 1 1 0 1 1 1 0 0 1 0]\n[0 0 0 0 0 0 0 0 0 0 0 0 0 0 1 0 0 0 0 0 0 0 0 0 0 0 0 0 0 1 0 0 1 1 1 1 0 1 1 1\n    1 1 1 1 0 1 0 0 1 1 1 0 1 0 1 0 0 0 1 1 1 1 0 0 1 1 1 1 0 1 1 0 1 1 0 1 1 1 \n    1 1 0 1 0 1 1 1 1 1 0 0 1 0 1 0 1 0 1 1 1 0 0 0 0 1 0 1 0 1 1 0 1 1 1 1 0]\n[0 0 0 0 0 0 0 0 0 0 0 0 0 0 0 1 0 0 0 0 0 0 0 0 0 0 0 0 0 0 0 0 0 0 1 0 1 0 0 1\n    1 0 1 1 1 0 1 1 0 0 0 1 1 1 0 1 1 0 0 1 0 0 0 0 1 0 0 1 0 0 1 0 0 0 1 0 1 0 \n    1 0 0 1 0 0 1 1 1 1 0 0 1 1 0 0 0 0 1 0 0 0 0 1 0 1 0 1 0 1 0 1 1 1 0 0 1]\n[0 0 0 0 0 0 0 0 0 0 0 0 0 0 0 0 1 0 0 0 0 0 0 0 0 0 0 0 0 0 0 0 1 0 1 1 0 1 0 1\n    0 1 0 1 1 1 0 1 1 0 0 1 1 0 1 1 1 0 1 1 1 0 1 1 0 1 0 0 0 1 1 0 1 1 1 0 0 1 \n    0 0 1 1 0 0 1 0 1 0 1 0 0 1 0 0 0 0 0 0 0 1 0 0 0 0 0 1 1 1 1 0 1 0 0 1 0]\n[0 0 0 0 0 0 0 0 0 0 0 0 0 0 0 0 0 1 0 0 0 0 0 0 0 0 0 0 0 0 0 1 1 0 0 1 1 0 1 1\n    1 0 0 0 1 0 0 1 0 1 0 0 0 0 1 1 1 0 1 1 0 1 0 1 0 1 0 0 0 0 1 1 1 0 0 1 0 0 \n    1 1 1 1 1 1 0 1 1 0 1 1 1 1 0 0 1 1 0 1 1 0 0 0 0 1 0 0 0 0 1 1 0 0 1 1 0]\n[0 0 0 0 0 0 0 0 0 0 0 0 0 0 0 0 0 0 1 0 0 0 0 0 0 0 0 0 0 1 1 1 0 0 0 0 0 1 1 1\n    0 0 1 0 1 1 1 0 1 1 0 1 1 1 1 0 0 0 0 0 0 0 1 0 0 1 1 0 0 1 0 0 1 0 1 1 1 1 \n    1 0 1 1 0 1 1 0 0 1 1 0 0 1 0 1 1 1 1 0 1 1 1 0 1 0 0 0 0 1 1 1 0 1 0 0 1]\n[0 0 0 0 0 0 0 0 0 0 0 0 0 0 0 0 0 0 0 1 0 0 0 0 0 0 0 0 0 0 1 1 1 0 1 0 0 0 1 1\n    1 0 0 1 0 1 1 1 0 1 1 0 1 1 1 1 0 0 0 0 0 0 0 1 0 0 1 1 1 0 1 0 0 1 0 1 1 1 \n    1 1 0 1 1 0 1 1 0 0 1 1 0 0 1 0 1 1 1 1 0 1 1 1 0 1 0 0 0 0 1 1 1 0 1 0 0]\n[0 0 0 0 0 0 0 0 0 0 0 0 0 0 0 0 0 0 0 0 1 0 0 0 0 0 0 0 0 1 0 0 0 0 1 1 0 1 1 0\n    0 1 0 0 1 0 0 1 0 1 0 0 1 1 0 0 0 1 1 1 0 0 1 1 0 1 0 1 1 0 0 0 0 1 0 0 0 1 \n    1 1 1 0 1 0 1 1 0 1 0 0 1 1 1 1 1 0 1 0 1 0 0 0 0 0 1 1 0 1 0 0 0 1 0 1 1]\n[0 0 0 0 0 0 0 0 0 0 0 0 0 0 0 0 0 0 0 0 0 1 0 0 0 0 0 0 0 1 0 1 0 0 1 0 1 1 1 1\n    0 1 1 0 0 1 1 1 0 0 1 0 0 0 0 0 0 0 1 1 0 0 1 1 1 0 0 0 0 1 1 1 1 1 1 1 1 1 \n    1 1 1 1 0 0 0 0 0 0 0 1 1 0 1 0 0 1 1 0 1 1 1 0 0 1 0 0 0 1 0 1 0 1 1 0 0]\n[0 0 0 0 0 0 0 0 0 0 0 0 0 0 0 0 0 0 0 0 0 0 1 0 0 0 0 0 0 0 0 1 0 0 0 0 0 1 0 0\n    1 1 0 1 0 1 0 1 0 1 1 1 0 1 0 0 1 1 1 1 1 0 1 1 1 1 0 0 1 0 1 0 0 1 0 1 1 0 \n    1 1 1 0 0 1 0 0 1 1 0 0 1 0 1 0 1 0 0 1 0 0 0 0 0 0 0 1 0 0 0 0 0 1 1 1 1]\n[0 0 0 0 0 0 0 0 0 0 0 0 0 0 0 0 0 0 0 0 0 0 0 1 0 0 0 0 0 0 1 0 0 0 1 0 1 1 1 0\n    1 0 0 0 0 0 1 0 0 0 1 0 1 0 1 1 0 0 0 0 0 0 0 1 1 1 1 0 0 0 1 0 1 1 0 0 0 0 \n    1 1 0 0 0 1 1 1 0 1 0 0 1 0 1 0 0 0 0 0 1 1 0 1 1 0 0 0 1 1 1 1 0 0 0 1 0]\n[0 0 0 0 0 0 0 0 0 0 0 0 0 0 0 0 0 0 0 0 0 0 0 0 1 0 0 0 0 0 1 0 0 0 1 0 0 1 0 1\n    1 0 1 0 0 1 1 1 1 1 1 0 0 1 0 0 0 0 0 1 0 0 0 1 1 1 1 1 0 1 1 1 0 0 1 1 0 1 \n    0 0 0 0 0 1 0 0 0 0 1 0 0 0 0 0 1 0 1 1 0 1 0 1 0 1 0 0 0 0 0 1 0 0 1 1 0]\n[0 0 0 0 0 0 0 0 0 0 0 0 0 0 0 0 0 0 0 0 0 0 0 0 0 1 0 0 0 1 1 1 1 0 0 1 1 0 0 0\n    1 0 0 1 1 1 1 0 0 0 0 1 0 1 0 0 1 1 0 0 1 1 1 1 1 1 0 1 0 0 0 1 1 1 1 1 1 1 \n    0 1 0 1 0 1 0 1 0 0 0 0 0 1 1 1 0 0 0 1 0 1 1 0 1 1 1 1 1 1 1 0 0 1 0 0 0]\n[0 0 0 0 0 0 0 0 0 0 0 0 0 0 0 0 0 0 0 0 0 0 0 0 0 0 1 0 0 1 0 1 0 0 1 1 1 0 0 1\n    0 0 1 0 1 0 1 1 0 0 0 0 0 0 1 0 0 0 1 0 0 0 0 1 0 0 1 0 0 0 1 1 1 1 0 0 0 0 \n    1 1 0 0 1 0 1 1 1 1 0 1 0 0 0 0 1 1 1 0 1 0 1 1 0 1 1 0 1 1 0 0 0 0 0 1 0]\n[0 0 0 0 0 0 0 0 0 0 0 0 0 0 0 0 0 0 0 0 0 0 0 0 0 0 0 1 0 0 1 1 1 1 1 1 1 1 0 0\n    0 0 1 1 0 0 1 0 0 0 0 1 1 0 0 0 0 0 0 0 1 0 1 1 0 1 1 1 1 1 1 0 1 1 1 1 0 0 \n    0 1 1 1 1 0 1 0 0 1 0 0 0 1 0 0 1 0 1 1 1 0 1 1 0 1 0 0 1 1 1 0 0 0 0 0 0]\n[0 0 0 0 0 0 0 0 0 0 0 0 0 0 0 0 0 0 0 0 0 0 0 0 0 0 0 0 1 1 1 1 1 1 0 1 0 1 0 1\n    1 1 0 1 0 1 0 0 1 1 1 1 1 1 1 1 1 0 1 1 0 0 0 1 1 0 0 1 1 0 1 0 1 1 1 0 1 1 \n    1 0 0 1 0 0 0 1 0 1 1 1 0 1 1 1 0 0 0 0 0 1 0 1 0 1 0 0 1 1 0 1 1 0 1 0 1]\nLinear Code over GF(2) of length 115 with 29 generators.\nLower Bound: 1, Upper Bound: 87\nConstructed 4 distinct generator matrices\nRelative Ranks:  29  29  29  28 \nTime Taken: 0.00\nStarting search for low weight codewords... (reset timings)\nEnumerating using 1 generator at a time:\n     New codeword identified of weight 44, time 0.00\n     New codeword identified of weight 41, time 0.00\n     New codeword identified of weight 36, time 0.00\n   Completed Matrix  1:  lower =  4, upper = 36. Elapsed: 0.00s\n   Completed Matrix  2:  lower =  5, upper = 36. Elapsed: 0.00s\n   Completed Matrix  3:  lower =  6, upper = 36. Elapsed: 0.00s\n   Completed Matrix  4:  lower =  7, upper = 36. Elapsed: 0.00s\nTermination predicted with 9 generators at matrix 1\nEnumerating using 2 generators at a time:\n     New codeword identified of weight 35, time 0.00\n     New codeword identified of weight 34, time 0.00\n   Completed Matrix  1:  lower =  8, upper = 34. Elapsed: 0.00s\n   Completed Matrix  2:  lower =  9, upper = 34. Elapsed: 0.00s\n   Completed Matrix  3:  lower = 10, upper = 34. Elapsed: 0.00s\n   Completed Matrix  4:  lower = 11, upper = 34. Elapsed: 0.00s\nTermination predicted with 8 generators at matrix 3\nEnumerating using 3 generators at a time:\n   Completed Matrix  1:  lower = 12, upper = 34. Elapsed: 0.00s\n   Completed Matrix  2:  lower = 13, upper = 34. Elapsed: 0.00s\n   Completed Matrix  3:  lower = 14, upper = 34. Elapsed: 0.00s\n   Completed Matrix  4:  lower = 15, upper = 34. Elapsed: 0.00s\nTermination predicted with 8 generators at matrix 3\nEnumerating using 4 generators at a time:\n   Completed Matrix  1:  lower = 16, upper = 34. Elapsed: 0.00s\n   Completed Matrix  2:  lower = 17, upper = 34. Elapsed: 0.00s\n     New codeword identified of weight 33, time 0.00\n   Completed Matrix  3:  lower = 18, upper = 33. Elapsed: 0.00s\n   Completed Matrix  4:  lower = 19, upper = 33. Elapsed: 0.00s\nTermination predicted with 8 generators at matrix 2\nEnumerating using 5 generators at a time:\n   Completed Matrix  1:  lower = 20, upper = 33. Elapsed: 0.00s\n   Completed Matrix  2:  lower = 21, upper = 33. Elapsed: 0.00s\n   Completed Matrix  3:  lower = 22, upper = 33. Elapsed: 0.00s\n   Completed Matrix  4:  lower = 23, upper = 33. Elapsed: 0.00s\nTermination predicted with 8 generators at matrix 2\nEnumerating using 6 generators at a time:\n   Completed Matrix  1:  lower = 24, upper = 33. Elapsed: 0.00s\n   Completed Matrix  2:  lower = 25, upper = 33. Elapsed: 0.00s\n   Completed Matrix  3:  lower = 26, upper = 33. Elapsed: 0.00s\n   Completed Matrix  4:  lower = 27, upper = 33. Elapsed: 0.00s\nTermination predicted with 8 generators at matrix 2\nEnumerating using 7 generators at a time:\n   Completed Matrix  1:  lower = 28, upper = 33. Elapsed: 0.00s\n   Completed Matrix  2:  lower = 29, upper = 33. Elapsed: 0.02s\n   Completed Matrix  3:  lower = 30, upper = 33. Elapsed: 0.02s\n   Completed Matrix  4:  lower = 31, upper = 33. Elapsed: 0.03s\nTermination predicted with 8 generators at matrix 2\nEnumerating using 8 generators at a time:\n   Completed Matrix  1:  lower = 32, upper = 33. Elapsed: 0.03s\n   Completed Matrix  2:  lower = 33, upper = 33. Elapsed: 0.05s\nComputation complete 17313870 vectors enumerated in total\n (3.224960% of 115 29 code)\nFinal Results: lower = 33, upper = 33,\nTotal CPU time: 0.05, real time: 0.053\n33\n\nTotal time: 0.060 seconds, Total memory usage: 32.09MB\n</t>
  </si>
  <si>
    <t>[[116,28,34]]</t>
  </si>
  <si>
    <t>Magma V2.28-26    Tue Dec 30 2025 10:41:18 on Marks-MacBook-Air-2 [Seed = \n1767091455]\nType ? for help.  Type &lt;Ctrl&gt;-D to quit.\n[0 0 0 0 0 1 1 1 1 1 0 1 0 0 0 1 0 1 1 0 0 1 0 1 0 1 0 0 0 1 0 0 0 0 0 0 1 0 0 0\n    0 1 0 0 1 1 1 1 1 1 1 0 1 0 1 0 0 0 0 1 1 0 0 0 0 1 0 1 1 0 0 0 0 1 0 0 1 1 \n    1 1 1 0 0 0 1 1 0 1 1 0 0 0 0 0 0 0 0 0 0 0 0 0 0 0 0 0 0 0 0 0 0 0 0 0 0 0]\n[1 1 0 0 1 1 1 1 0 0 0 1 1 0 1 0 1 1 0 1 0 0 1 0 1 0 0 0 0 1 0 0 0 0 0 1 1 0 1 1\n    0 0 0 1 1 0 1 0 0 0 0 1 1 1 0 0 1 1 0 1 0 1 0 0 1 1 1 0 0 1 0 1 1 0 0 1 1 1 \n    1 1 0 1 1 0 0 1 0 0 0 1 0 0 0 0 0 0 0 0 0 0 0 0 0 0 0 0 0 0 0 0 0 0 0 0 0 0]\n[0 0 0 0 1 1 0 0 0 1 0 1 0 0 0 1 1 1 0 0 1 0 1 0 1 0 0 1 0 1 1 0 1 0 0 1 0 1 1 1\n    0 1 1 1 1 0 0 1 0 1 0 1 0 0 0 1 1 1 1 0 1 0 0 0 0 0 1 1 0 0 0 0 0 1 1 0 0 1 \n    1 1 0 1 0 0 0 1 0 0 0 0 1 0 0 0 0 0 0 0 0 0 0 0 0 0 0 0 0 0 0 0 0 0 0 0 0 0]\n[1 0 1 1 0 0 0 1 0 0 1 1 1 0 0 1 1 1 1 1 0 1 0 1 1 1 1 0 0 0 1 0 1 0 0 0 1 0 0 0\n    1 0 1 1 0 0 1 0 0 0 1 1 0 0 0 0 1 0 0 0 1 1 1 1 1 1 1 1 1 0 1 0 1 0 0 0 1 1 \n    0 0 0 0 0 1 1 0 1 0 0 0 0 1 0 0 0 0 0 0 0 0 0 0 0 0 0 0 0 0 0 0 0 0 0 0 0 0]\n[1 0 1 1 1 1 0 1 0 1 0 1 0 1 1 1 1 1 0 1 1 1 1 0 1 1 1 0 0 1 0 0 1 1 0 0 1 1 1 1\n    0 1 0 1 0 1 0 1 1 0 0 1 1 1 1 1 1 0 0 1 0 1 1 0 0 0 1 0 0 0 1 1 1 1 1 1 1 0 \n    0 1 1 0 1 1 0 0 1 1 0 0 0 0 1 0 0 0 0 0 0 0 0 0 0 0 0 0 0 0 0 0 0 0 0 0 0 0]\n[0 0 0 1 1 1 0 0 1 0 0 1 1 0 0 0 0 0 1 0 1 0 0 1 0 1 1 1 1 0 0 0 0 1 1 0 0 0 1 0\n    1 1 0 0 1 1 1 1 0 0 0 1 1 1 1 1 1 0 1 1 1 1 1 1 1 0 0 0 1 1 0 0 0 1 0 1 0 1 \n    0 1 1 0 1 0 0 0 1 0 0 0 0 0 0 1 0 0 0 0 0 0 0 0 0 0 0 0 0 0 0 0 0 0 0 0 0 0]\n[1 1 1 0 0 1 0 1 1 0 0 1 0 0 0 0 1 0 1 1 0 1 1 1 0 1 1 0 1 0 0 0 1 0 1 0 1 0 1 1\n    1 0 0 1 0 1 1 1 1 1 0 1 0 0 0 0 0 1 0 1 1 1 0 1 1 0 0 0 0 1 0 0 1 0 0 0 0 0 \n    1 0 0 0 1 0 0 1 1 1 0 0 0 0 0 0 1 0 0 0 0 0 0 0 0 0 0 0 0 0 0 0 0 0 0 0 0 0]\n[1 1 1 1 0 1 0 1 1 1 0 0 1 1 1 1 0 0 0 1 1 1 1 1 0 0 0 1 1 1 0 1 0 1 0 1 0 1 1 0\n    0 0 1 0 0 1 0 0 1 1 1 0 0 0 1 1 1 1 0 0 1 0 0 1 0 1 0 1 0 0 1 0 0 0 0 0 1 0 \n    0 0 0 0 0 0 1 1 1 1 0 0 0 0 0 0 0 1 0 0 0 0 0 0 0 0 0 0 0 0 0 0 0 0 0 0 0 0]\n[0 1 1 1 0 0 1 1 1 0 1 0 0 0 0 1 0 1 1 0 1 1 0 1 0 0 0 0 1 0 1 1 1 0 1 1 0 0 1 0\n    1 0 1 0 0 1 0 1 0 1 0 0 0 0 1 1 1 0 1 0 1 1 1 1 0 1 1 0 1 1 0 1 0 1 0 1 1 1 \n    0 0 1 1 0 0 0 0 1 0 0 0 0 0 0 0 0 0 1 0 0 0 0 0 0 0 0 0 0 0 0 0 0 0 0 0 0 0]\n[1 1 1 0 0 1 0 1 0 1 0 0 1 0 1 1 0 0 1 0 0 1 0 0 0 0 0 1 0 1 0 1 1 0 0 0 1 0 1 1\n    0 0 0 0 1 0 0 0 1 0 0 0 0 1 1 1 1 1 0 1 0 0 0 1 1 1 0 1 1 1 1 0 1 0 1 1 1 1 \n    1 1 1 0 1 1 1 1 1 0 0 0 0 0 0 0 0 0 0 1 0 0 0 0 0 0 0 0 0 0 0 0 0 0 0 0 0 0]\n[0 0 1 1 0 1 1 1 1 1 0 0 0 1 1 1 0 0 1 1 0 0 0 1 0 1 0 0 0 1 0 0 1 1 0 0 1 0 0 0\n    1 0 1 0 1 0 1 0 0 1 1 1 1 0 0 1 1 0 0 0 0 1 0 0 0 0 1 0 1 0 1 0 1 0 1 1 1 0 \n    0 1 0 0 1 0 1 0 0 1 0 0 0 0 0 0 0 0 0 0 1 0 0 0 0 0 0 0 0 0 0 0 0 0 0 0 0 0]\n[1 0 1 1 1 1 0 0 1 1 0 0 1 1 0 1 0 1 0 1 1 0 1 1 0 1 0 1 0 0 0 0 1 1 1 0 0 0 0 1\n    1 0 0 1 1 0 0 0 1 0 0 0 1 0 1 0 1 0 0 1 1 0 0 0 1 0 0 1 1 1 1 0 0 1 0 0 1 1 \n    0 0 1 1 0 0 0 0 0 0 0 0 0 0 0 0 0 0 0 0 0 1 0 0 0 0 0 0 0 0 0 0 0 0 0 0 0 0]\n[1 0 0 0 0 0 1 0 1 0 1 0 1 0 1 1 0 0 0 1 1 1 1 0 1 1 0 1 0 1 0 1 0 0 1 0 1 0 0 1\n    0 0 1 1 0 1 1 0 1 0 0 0 0 0 1 0 1 0 1 1 0 1 0 1 1 1 1 0 1 1 1 1 0 0 1 1 0 0 \n    0 1 0 0 1 0 1 1 1 0 0 0 0 0 0 0 0 0 0 0 0 0 1 0 0 0 0 0 0 0 0 0 0 0 0 0 0 0]\n[1 0 0 1 0 0 1 1 1 0 0 0 1 1 1 1 1 0 1 1 1 0 1 1 1 1 0 1 0 1 1 0 1 1 0 1 1 1 0 0\n    1 0 0 1 1 0 0 1 0 1 0 1 1 1 1 0 1 1 1 1 0 0 0 0 1 1 0 0 1 0 1 1 1 0 0 1 1 0 \n    0 0 1 0 0 1 0 0 0 1 0 0 0 0 0 0 0 0 0 0 0 0 0 1 0 0 0 0 0 0 0 0 0 0 0 0 0 0]\n[1 1 1 0 1 1 1 0 0 0 1 1 1 1 1 1 0 0 1 1 1 1 1 1 1 1 1 1 0 1 0 0 1 1 1 0 0 0 0 0\n    0 0 1 0 0 1 0 1 1 1 1 1 1 0 0 0 1 1 0 1 1 1 0 1 0 0 1 0 0 1 1 0 1 1 0 1 1 0 \n    1 0 1 0 0 0 1 1 0 1 0 0 0 0 0 0 0 0 0 0 0 0 0 0 1 0 0 0 0 0 0 0 0 0 0 0 0 0]\n[1 1 0 1 1 1 1 0 1 1 1 1 0 0 0 0 1 1 1 1 1 0 1 0 0 0 1 0 0 1 0 0 1 1 1 0 1 1 1 1\n    1 0 0 0 0 1 1 1 0 1 1 1 0 0 1 1 1 0 0 1 1 0 0 0 0 1 0 0 1 1 0 0 0 1 1 0 1 1 \n    0 0 1 1 0 0 1 0 1 1 0 0 0 0 0 0 0 0 0 0 0 0 0 0 0 1 0 0 0 0 0 0 0 0 0 0 0 0]\n[0 0 0 0 0 0 1 1 1 0 1 0 0 0 1 1 1 0 0 1 1 0 1 0 0 1 1 0 1 1 1 1 1 1 1 0 1 1 1 0\n    1 1 0 1 1 1 0 0 1 1 1 0 1 1 0 1 1 0 1 0 1 0 0 1 1 1 1 1 0 1 0 0 1 1 0 1 0 1 \n    1 1 1 0 0 0 1 1 1 1 0 0 0 0 0 0 0 0 0 0 0 0 0 0 0 0 1 0 0 0 0 0 0 0 0 0 0 0]\n[1 0 0 0 1 0 0 0 0 1 0 0 0 0 0 1 0 0 0 0 1 1 1 0 0 1 0 1 1 1 1 1 1 1 1 0 0 1 0 1\n    0 1 1 1 1 0 0 1 1 0 1 0 0 1 0 1 0 1 1 0 0 0 0 0 1 1 1 1 0 1 1 0 0 0 1 1 0 1 \n    0 1 1 0 0 1 0 0 1 1 0 0 0 0 0 0 0 0 0 0 0 0 0 0 0 0 0 1 0 0 0 0 0 0 0 0 0 0]\n[1 0 1 1 1 1 1 1 1 0 0 1 0 1 0 1 1 1 0 1 0 1 1 0 0 1 0 0 1 1 0 1 0 0 1 0 0 1 0 1\n    0 0 1 0 1 1 1 1 0 1 0 0 0 0 1 0 1 1 1 0 1 1 0 0 1 0 0 1 1 0 0 0 0 0 0 1 1 0 \n    1 1 0 1 0 0 0 0 1 0 0 0 0 0 0 0 0 0 0 0 0 0 0 0 0 0 0 0 1 0 0 0 0 0 0 0 0 0]\n[0 0 1 0 0 0 1 1 0 0 1 0 1 1 1 0 1 1 0 1 1 1 1 1 0 0 0 0 0 0 0 0 0 1 0 0 1 1 0 1\n    0 1 0 0 1 1 1 1 1 1 0 1 1 0 1 1 0 0 1 1 0 0 1 0 1 1 1 1 0 1 1 1 0 1 0 0 0 0 \n    1 1 1 0 1 0 0 1 1 1 0 0 0 0 0 0 0 0 0 0 0 0 0 0 0 0 0 0 0 1 0 0 0 0 0 0 0 0]\n[1 0 0 1 0 1 1 0 0 1 0 0 0 1 1 0 0 0 0 0 1 0 1 0 1 1 0 0 0 1 0 0 0 0 1 0 1 1 1 0\n    1 1 1 0 1 1 0 0 0 0 0 0 0 1 1 1 1 0 0 0 0 0 0 1 0 0 1 0 0 0 1 1 1 1 1 0 1 1 \n    1 0 0 1 0 1 1 1 1 0 0 0 0 0 0 0 0 0 0 0 0 0 0 0 0 0 0 0 0 0 1 0 0 0 0 0 0 0]\n[0 0 1 0 0 0 0 0 0 1 1 1 1 1 1 1 1 0 1 0 0 1 1 0 1 0 1 1 0 1 1 0 1 0 0 0 1 1 0 1\n    1 0 0 0 0 1 1 0 0 1 0 1 1 1 0 0 0 1 0 0 0 0 1 0 1 1 0 1 0 0 1 1 0 1 0 1 1 1 \n    1 1 1 1 0 1 1 0 0 1 0 0 0 0 0 0 0 0 0 0 0 0 0 0 0 0 0 0 0 0 0 1 0 0 0 0 0 0]\n[0 0 1 1 1 0 0 1 0 0 0 0 0 1 1 0 1 0 0 1 0 1 1 1 0 1 1 0 1 0 0 0 1 1 0 1 0 0 1 0\n    1 1 1 1 0 0 1 0 0 1 0 0 0 0 0 0 0 0 1 0 1 0 0 0 0 1 1 1 1 1 1 0 1 0 1 0 1 0 \n    0 0 1 1 1 1 0 0 0 0 0 0 0 0 0 0 0 0 0 0 0 0 0 0 0 0 0 0 0 0 0 0 1 0 0 0 0 0]\n[0 0 0 0 1 0 1 1 0 0 1 1 1 0 1 1 1 1 0 1 1 1 0 0 0 1 0 0 0 1 1 0 0 0 1 0 1 1 0 0\n    0 1 0 1 0 1 0 1 0 0 0 0 0 1 0 1 1 1 0 1 0 0 1 0 1 1 0 0 0 1 1 0 1 0 1 1 0 0 \n    1 0 1 0 0 0 1 0 0 0 0 0 0 0 0 0 0 0 0 0 0 0 0 0 0 0 0 0 0 0 0 0 0 1 0 0 0 0]\n[1 0 0 0 0 1 0 1 1 1 0 0 1 0 1 1 1 1 0 0 1 1 1 1 1 1 0 0 1 1 1 0 0 0 0 1 1 1 0 1\n    1 0 0 0 1 0 1 0 0 1 1 0 0 0 1 1 0 0 0 1 0 1 1 0 1 0 1 0 1 0 1 1 0 1 0 1 1 1 \n    1 1 1 1 0 1 0 1 0 1 0 0 0 0 0 0 0 0 0 0 0 0 0 0 0 0 0 0 0 0 0 0 0 0 1 0 0 0]\n[0 0 0 1 1 0 0 1 0 0 1 0 1 1 1 1 0 0 0 1 0 0 0 0 0 0 1 1 0 0 1 1 0 1 0 1 0 1 0 0\n    1 1 0 1 0 1 0 0 1 1 1 1 1 1 0 1 1 0 0 1 0 1 0 1 0 1 1 0 0 1 0 1 1 1 1 1 0 0 \n    0 1 1 0 1 1 1 0 0 0 0 0 0 0 0 0 0 0 0 0 0 0 0 0 0 0 0 0 0 0 0 0 0 0 0 1 0 0]\n[1 1 1 1 1 1 1 0 0 0 1 1 0 0 1 0 0 0 0 1 1 0 1 0 0 0 0 1 0 0 1 1 0 1 1 0 1 1 1 1\n    1 1 1 0 1 1 1 0 0 0 1 1 1 1 0 1 0 0 1 0 0 0 1 0 0 1 0 1 1 1 0 1 1 0 1 0 0 1 \n    1 1 0 0 0 0 0 0 1 1 0 0 0 0 0 0 0 0 0 0 0 0 0 0 0 0 0 0 0 0 0 0 0 0 0 0 1 0]\n[1 1 1 1 1 0 0 0 1 1 0 0 1 0 0 0 0 1 1 0 1 0 0 0 0 1 0 0 1 1 0 1 1 0 1 1 1 1 1 1\n    1 0 1 1 1 0 0 0 1 1 1 1 0 1 0 0 1 0 0 0 1 0 0 1 0 1 1 1 0 1 1 0 1 0 0 1 1 1 \n    0 0 0 0 0 0 1 1 0 0 0 0 0 0 0 0 0 0 0 0 0 0 0 0 0 0 0 0 0 0 0 0 0 0 0 0 0 1]\n[116, 28] Linear Code over GF(2)\nGenerator matrix:\n[1 0 0 0 0 0 0 0 0 0 0 0 0 0 0 0 0 0 0 0 0 0 0 0 0 0 0 1 0 0 1 0 0 0 1 1 0 1 1 0\n    0 1 1 0 0 1 1 0 0 1 0 0 1 1 0 0 0 1 0 0 0 0 1 1 1 0 1 0 1 1 0 0 0 0 1 0 0 1 \n    1 0 1 0 0 1 1 0 1 0 1 0 0 0 1 1 1 1 1 0 1 0 0 1 0 1 1 0 0 1 0 0 0 0 0 1 1 1]\n[0 1 0 0 0 0 0 0 0 0 0 0 0 0 0 0 0 0 0 0 0 0 0 0 0 0 0 1 0 1 1 0 0 0 1 0 1 1 0 1\n    1 1 0 1 1 0 0 0 1 1 1 0 0 0 0 1 1 1 1 0 1 1 1 1 0 0 0 1 0 1 1 0 0 0 1 1 1 0 \n    0 1 1 0 0 1 1 1 1 1 0 0 1 0 0 1 0 0 1 0 0 1 0 0 0 1 1 0 1 1 0 1 0 0 0 0 1 0]\n[0 0 1 0 0 0 0 0 0 0 0 0 0 0 0 0 0 0 0 0 0 0 0 0 0 0 0 0 0 0 1 0 1 1 1 0 1 0 0 1\n    1 1 1 0 0 0 0 1 0 1 1 1 1 1 0 1 1 1 1 1 1 1 1 0 0 0 1 1 1 1 0 0 1 1 1 0 1 0 \n    1 1 0 1 0 0 0 0 0 0 1 1 0 1 1 0 1 0 1 0 0 1 0 0 1 1 1 0 0 1 0 0 1 0 0 1 1 0]\n[0 0 0 1 0 0 0 0 0 0 0 0 0 0 0 0 0 0 0 0 0 0 0 0 0 0 0 0 0 1 0 1 1 0 0 0 1 0 1 1\n    0 1 1 1 0 1 0 0 0 0 1 1 1 0 0 0 0 1 1 1 1 0 1 1 1 1 0 0 0 1 0 1 1 0 0 0 1 1 \n    1 0 0 1 1 0 0 1 1 1 1 1 0 0 1 0 0 1 0 1 1 1 0 1 0 0 0 1 1 0 1 0 1 1 0 0 1 0]\n[0 0 0 0 1 0 0 0 0 0 0 0 0 0 0 0 0 0 0 0 0 0 0 0 0 0 0 1 0 0 0 0 1 1 1 1 0 0 1 1\n    1 1 0 1 1 0 0 0 0 1 0 1 0 0 0 0 0 1 1 1 1 1 1 0 0 1 0 0 1 1 1 0 1 1 1 0 0 0 \n    0 1 1 0 1 0 1 0 0 1 0 1 1 0 1 0 1 1 0 0 1 1 1 1 1 1 1 0 1 0 0 1 1 1 1 1 1 0]\n[0 0 0 0 0 1 0 0 0 0 0 0 0 0 0 0 0 0 0 0 0 0 0 0 0 0 0 1 0 1 1 1 0 1 0 0 1 1 1 1\n    0 0 0 0 0 0 1 1 1 1 1 0 1 1 1 1 1 1 1 1 0 0 0 1 1 1 1 0 0 1 1 1 0 1 0 1 1 0 \n    1 0 0 0 0 0 0 1 1 0 1 1 0 1 0 1 1 0 1 0 0 1 1 1 0 0 1 0 1 0 1 0 0 1 1 0 1 0]\n[0 0 0 0 0 0 1 0 0 0 0 0 0 0 0 0 0 0 0 0 0 0 0 0 0 0 0 1 0 0 0 0 0 1 1 0 1 1 1 0\n    1 1 1 0 1 0 1 0 1 0 1 1 0 1 1 0 1 0 1 1 0 0 1 0 1 1 1 0 1 0 0 0 0 1 1 1 1 1 \n    0 0 0 0 0 1 0 1 1 0 1 0 1 0 1 1 0 0 0 1 0 1 0 0 0 0 1 0 0 0 1 0 0 0 1 1 0 1]\n[0 0 0 0 0 0 0 1 0 0 0 0 0 0 0 0 0 0 0 0 0 0 0 0 0 0 0 1 0 0 1 1 1 1 1 1 1 1 1 0\n    0 0 0 1 1 0 1 0 0 0 0 1 1 0 1 0 0 0 0 1 0 0 1 1 0 1 1 0 1 1 1 1 1 1 1 0 1 1 \n    1 1 0 0 0 1 1 1 1 0 1 0 0 1 0 0 0 1 0 1 1 1 0 1 1 0 1 0 0 1 1 0 0 0 0 1 1 0]\n[0 0 0 0 0 0 0 0 1 0 0 0 0 0 0 0 0 0 0 0 0 0 0 0 0 0 0 0 0 1 0 0 1 1 1 1 1 1 1 1\n    1 0 0 0 0 1 0 0 1 0 0 0 0 1 1 0 1 0 0 0 0 1 0 0 1 1 0 1 1 0 1 1 1 1 1 1 1 0 \n    1 1 1 1 0 0 0 1 1 1 1 0 1 0 0 1 0 0 0 0 0 1 1 1 0 1 1 0 1 0 0 1 0 0 0 0 0 1]\n[0 0 0 0 0 0 0 0 0 1 0 0 0 0 0 0 0 0 0 0 0 0 0 0 0 0 0 0 0 0 1 0 0 1 1 1 1 1 1 1\n    1 1 0 0 0 1 1 0 0 1 0 0 0 0 1 1 0 1 0 0 0 0 1 0 0 1 1 0 1 1 0 1 1 1 1 1 1 1 \n    0 1 1 1 1 0 0 0 1 1 1 1 0 1 0 0 1 0 0 1 1 0 1 1 1 0 1 1 0 1 0 1 1 0 0 0 0 0]\n[0 0 0 0 0 0 0 0 0 0 1 0 0 0 0 0 0 0 0 0 0 0 0 0 0 0 0 0 0 0 0 1 0 0 1 1 1 1 1 1\n    1 1 1 0 0 0 1 1 0 0 1 0 0 0 0 1 1 0 1 0 0 0 0 1 0 0 1 1 0 1 1 0 1 1 1 1 1 1 \n    1 0 1 1 1 1 0 0 0 1 1 1 1 0 1 0 0 1 0 0 0 1 0 1 1 1 0 1 1 0 1 0 1 1 0 0 0 0]\n[0 0 0 0 0 0 0 0 0 0 0 1 0 0 0 0 0 0 0 0 0 0 0 0 0 0 0 1 0 0 1 0 1 0 1 0 1 0 0 1\n    1 0 0 1 0 1 1 1 1 1 0 1 1 1 0 0 1 0 0 1 0 0 1 1 0 0 1 1 0 1 1 1 0 1 0 1 1 0 \n    0 1 1 1 1 0 0 0 1 0 0 1 1 1 1 0 1 1 0 0 1 0 1 1 1 0 0 0 1 0 0 0 1 1 1 1 1 1]\n[0 0 0 0 0 0 0 0 0 0 0 0 1 0 0 0 0 0 0 0 0 0 0 0 0 0 0 0 0 1 0 0 0 1 0 1 0 1 0 0\n    0 1 0 0 0 1 1 0 0 1 1 0 0 1 0 1 1 1 0 0 0 1 0 0 1 1 1 1 0 1 1 1 1 0 1 0 0 0 \n    0 0 1 0 1 1 1 0 0 1 1 1 0 1 0 0 0 1 0 0 0 1 0 0 0 1 1 1 1 1 1 0 0 1 1 1 0 1]\n[0 0 0 0 0 0 0 0 0 0 0 0 0 1 0 0 0 0 0 0 0 0 0 0 0 0 0 1 0 1 0 0 1 1 1 0 0 0 1 1\n    1 1 0 0 0 0 0 1 1 1 1 1 1 0 0 0 0 0 1 0 0 1 0 1 0 0 0 0 1 1 0 0 0 0 0 0 1 1 \n    0 1 0 0 0 0 0 0 0 1 1 1 0 0 0 0 1 1 0 1 0 1 0 0 0 0 1 1 0 0 1 1 1 0 1 0 0 0]\n[0 0 0 0 0 0 0 0 0 0 0 0 0 0 1 0 0 0 0 0 0 0 0 0 0 0 0 0 0 1 1 1 0 1 1 1 0 0 0 1\n    0 1 1 0 1 0 0 1 0 1 1 1 0 1 1 1 1 0 0 1 1 1 1 1 1 1 1 0 1 0 1 0 0 0 0 0 1 0 \n    1 0 1 1 0 0 1 0 0 0 0 0 0 0 1 1 0 1 0 1 1 0 1 1 1 0 1 0 0 0 1 1 1 1 0 0 1 0]\n[0 0 0 0 0 0 0 0 0 0 0 0 0 0 0 1 0 0 0 0 0 0 0 0 0 0 0 1 0 1 0 1 0 1 1 1 0 0 0 1\n    0 1 0 1 0 0 1 0 0 1 1 1 0 0 0 1 0 0 0 0 1 0 0 0 1 0 0 0 0 0 1 0 1 1 0 1 1 0 \n    0 0 0 0 1 1 1 0 0 1 0 0 1 0 1 1 0 1 0 1 0 0 1 1 1 1 0 1 1 1 0 0 0 1 1 0 1 1]\n[0 0 0 0 0 0 0 0 0 0 0 0 0 0 0 0 1 0 0 0 0 0 0 0 0 0 0 0 0 1 1 1 1 0 1 1 1 0 0 0\n    0 0 1 0 0 1 0 0 1 0 1 1 0 0 1 1 0 0 0 0 1 0 0 1 0 0 1 0 1 1 0 1 0 1 1 0 0 0 \n    0 0 0 1 0 1 0 1 0 0 0 1 1 1 1 0 1 0 0 1 0 0 0 0 0 1 0 1 0 1 0 1 0 0 1 1 1 1]\n[0 0 0 0 0 0 0 0 0 0 0 0 0 0 0 0 0 1 0 0 0 0 0 0 0 0 0 0 0 1 1 1 0 0 1 0 0 0 1 1\n    1 0 0 1 0 1 1 0 1 1 0 1 1 1 1 1 0 0 0 0 0 0 0 0 0 1 0 0 1 1 0 1 0 1 0 0 1 0 \n    1 1 1 1 1 0 1 1 0 1 1 0 0 1 1 0 0 1 0 1 0 1 1 1 0 1 0 0 0 0 1 1 1 0 0 1 1 0]\n[0 0 0 0 0 0 0 0 0 0 0 0 0 0 0 0 0 0 1 0 0 0 0 0 0 0 0 0 0 0 1 1 1 0 0 1 0 0 0 1\n    1 1 0 0 1 1 1 1 0 1 1 0 1 1 1 1 1 0 0 0 0 0 0 0 0 0 1 0 0 1 1 0 1 0 1 0 0 1 \n    0 1 1 1 1 1 0 1 1 0 1 1 0 0 1 1 0 0 1 1 1 0 1 1 1 0 1 0 0 0 0 1 0 1 0 1 1 1]\n[0 0 0 0 0 0 0 0 0 0 0 0 0 0 0 0 0 0 0 1 0 0 0 0 0 0 0 0 0 0 0 1 1 1 0 0 1 0 0 0\n    1 1 1 0 0 0 1 1 1 0 1 1 0 1 1 1 1 1 0 0 0 0 0 0 0 0 0 1 0 0 1 1 0 1 0 1 0 0 \n    1 0 1 1 1 1 1 0 1 1 0 1 1 0 0 1 1 0 0 0 1 1 0 1 1 1 0 1 0 0 0 1 1 0 1 0 1 1]\n[0 0 0 0 0 0 0 0 0 0 0 0 0 0 0 0 0 0 0 0 1 0 0 0 0 0 0 0 0 0 0 0 1 1 1 0 0 1 0 0\n    0 1 1 1 0 1 0 1 1 1 0 1 1 0 1 1 1 1 1 0 0 0 0 0 0 0 0 0 1 0 0 1 1 0 1 0 1 0 \n    0 1 0 1 1 1 1 1 0 1 1 0 1 1 0 0 1 1 0 1 1 1 1 0 1 1 1 0 1 0 0 0 1 1 0 0 0 1]\n[0 0 0 0 0 0 0 0 0 0 0 0 0 0 0 0 0 0 0 0 0 1 0 0 0 0 0 0 0 0 0 0 0 1 1 1 0 0 1 0\n    0 0 1 1 1 0 1 0 1 1 1 0 1 1 0 1 1 1 1 1 0 0 0 0 0 0 0 0 0 1 0 0 1 1 0 1 0 1 \n    0 0 1 0 1 1 1 1 1 0 1 1 0 1 1 0 0 1 1 0 1 1 1 1 0 1 1 1 0 1 0 0 1 1 1 1 0 0]\n[0 0 0 0 0 0 0 0 0 0 0 0 0 0 0 0 0 0 0 0 0 0 1 0 0 0 0 1 0 0 1 0 0 0 0 0 1 1 1 1\n    0 1 1 1 1 1 1 1 0 0 1 1 1 0 1 0 1 0 1 1 1 0 1 1 1 0 1 0 1 1 1 0 0 1 0 0 1 1 \n    0 0 1 1 0 0 0 1 0 1 1 1 1 0 0 0 1 1 0 0 1 1 1 0 1 1 0 1 1 1 1 0 0 1 1 1 0 1]\n[0 0 0 0 0 0 0 0 0 0 0 0 0 0 0 0 0 0 0 0 0 0 0 1 0 0 0 0 0 1 0 0 0 0 0 0 0 1 1 1\n    0 0 1 1 0 0 1 0 0 0 0 1 0 1 1 0 1 1 0 1 0 0 0 0 1 0 1 1 1 0 1 1 0 0 1 0 1 0 \n    1 0 0 0 1 0 1 0 1 0 0 0 0 1 1 1 0 1 0 1 0 1 1 0 1 1 0 1 0 1 0 1 0 0 1 0 0 0]\n[0 0 0 0 0 0 0 0 0 0 0 0 0 0 0 0 0 0 0 0 0 0 0 0 1 0 0 0 0 1 1 0 1 1 1 1 1 1 0 0\n    0 0 0 1 1 0 0 1 1 0 0 0 1 1 0 1 1 1 1 0 1 1 0 0 1 0 0 0 0 1 1 0 0 1 1 0 1 1 \n    1 0 1 1 0 1 0 0 1 0 1 0 1 0 1 0 1 0 1 1 1 1 0 0 0 0 0 0 0 0 1 0 1 0 0 1 0 1]\n[0 0 0 0 0 0 0 0 0 0 0 0 0 0 0 0 0 0 0 0 0 0 0 0 0 1 0 1 0 0 0 1 0 1 0 0 1 0 0 0\n    0 1 1 0 1 0 1 0 1 0 0 0 1 0 1 0 1 0 1 1 0 1 0 1 1 1 1 0 1 1 1 1 0 0 0 1 0 0 \n    0 1 1 1 1 1 0 0 1 1 1 1 0 1 1 0 1 0 1 1 1 1 1 1 0 1 1 0 0 1 0 1 0 1 0 0 0 1]\n[0 0 0 0 0 0 0 0 0 0 0 0 0 0 0 0 0 0 0 0 0 0 0 0 0 0 1 1 0 1 1 1 1 0 0 1 0 0 1 0\n    1 1 0 1 1 1 1 0 1 0 0 0 0 0 1 0 1 0 0 1 0 1 0 0 0 0 1 1 0 1 1 1 1 0 1 0 0 0 \n    1 0 0 0 1 0 1 0 1 1 1 0 0 0 1 1 1 0 0 1 1 1 1 1 0 1 1 0 1 1 0 0 0 0 1 0 0 1]\n[0 0 0 0 0 0 0 0 0 0 0 0 0 0 0 0 0 0 0 0 0 0 0 0 0 0 0 0 1 0 0 1 1 1 1 1 1 1 1 1\n    0 0 0 0 1 0 0 1 0 0 0 0 1 1 0 1 0 0 0 0 1 0 0 1 1 0 1 1 0 1 1 1 1 1 1 1 0 1 \n    1 1 1 0 0 0 1 1 1 1 0 1 0 0 1 0 0 0 1 0 1 1 1 0 1 1 0 1 0 0 1 1 0 0 0 0 1 1]\nLinear Code over GF(2) of length 116 with 28 generators.\nLower Bound: 1, Upper Bound: 89\nConstructed 5 distinct generator matrices\nRelative Ranks:  28  28  28  28   4 \n     Discarding non-contributing rank 4 matrix\n     New Relative Ranks:  28  28  28  28 \nTime Taken: 0.00\nStarting search for low weight codewords... (reset timings)\nEnumerating using 1 generator at a time:\n     New codeword identified of weight 42, time 0.00\n     New codeword identified of weight 37, time 0.00\n   Completed Matrix  1:  lower =  5, upper = 37. Elapsed: 0.00s\n   Completed Matrix  2:  lower =  6, upper = 37. Elapsed: 0.00s\n   Completed Matrix  3:  lower =  7, upper = 37. Elapsed: 0.00s\n   Completed Matrix  4:  lower =  8, upper = 37. Elapsed: 0.00s\nTermination predicted with 9 generators at matrix 1\nEnumerating using 2 generators at a time:\n   Completed Matrix  1:  lower =  9, upper = 37. Elapsed: 0.00s\n   Completed Matrix  2:  lower = 10, upper = 37. Elapsed: 0.00s\n     New codeword identified of weight 36, time 0.00\n   Completed Matrix  3:  lower = 11, upper = 36. Elapsed: 0.00s\n   Completed Matrix  4:  lower = 12, upper = 36. Elapsed: 0.00s\nTermination predicted with 8 generators at matrix 4\nEnumerating using 3 generators at a time:\n     New codeword identified of weight 34, time 0.00\n   Completed Matrix  1:  lower = 13, upper = 34. Elapsed: 0.00s\n   Completed Matrix  2:  lower = 14, upper = 34. Elapsed: 0.00s\n   Completed Matrix  3:  lower = 15, upper = 34. Elapsed: 0.00s\n   Completed Matrix  4:  lower = 16, upper = 34. Elapsed: 0.00s\nTermination predicted with 8 generators at matrix 2\nEnumerating using 4 generators at a time:\n   Completed Matrix  1:  lower = 17, upper = 34. Elapsed: 0.00s\n   Completed Matrix  2:  lower = 18, upper = 34. Elapsed: 0.00s\n   Completed Matrix  3:  lower = 19, upper = 34. Elapsed: 0.00s\n   Completed Matrix  4:  lower = 20, upper = 34. Elapsed: 0.00s\nTermination predicted with 8 generators at matrix 2\nEnumerating using 5 generators at a time:\n   Completed Matrix  1:  lower = 21, upper = 34. Elapsed: 0.00s\n   Completed Matrix  2:  lower = 22, upper = 34. Elapsed: 0.00s\n   Completed Matrix  3:  lower = 23, upper = 34. Elapsed: 0.00s\n   Completed Matrix  4:  lower = 24, upper = 34. Elapsed: 0.00s\nTermination predicted with 8 generators at matrix 2\nEnumerating using 6 generators at a time:\n   Completed Matrix  1:  lower = 25, upper = 34. Elapsed: 0.00s\n   Completed Matrix  2:  lower = 26, upper = 34. Elapsed: 0.00s\n   Completed Matrix  3:  lower = 27, upper = 34. Elapsed: 0.00s\n   Completed Matrix  4:  lower = 28, upper = 34. Elapsed: 0.00s\nTermination predicted with 8 generators at matrix 2\nEnumerating using 7 generators at a time:\n   Completed Matrix  1:  lower = 29, upper = 34. Elapsed: 0.00s\n   Completed Matrix  2:  lower = 30, upper = 34. Elapsed: 0.00s\n   Completed Matrix  3:  lower = 31, upper = 34. Elapsed: 0.02s\n   Completed Matrix  4:  lower = 32, upper = 34. Elapsed: 0.02s\nTermination predicted with 8 generators at matrix 2\nEnumerating using 8 generators at a time:\n   Completed Matrix  1:  lower = 33, upper = 34. Elapsed: 0.03s\n   Completed Matrix  2:  lower = 34, upper = 34. Elapsed: 0.03s\nComputation complete 12949078 vectors enumerated in total\n (4.823907% of 116 28 code)\nFinal Results: lower = 34, upper = 34,\nTotal CPU time: 0.03, real time: 0.041\n34\n\nTotal time: 0.049 seconds, Total memory usage: 32.09MB\n</t>
  </si>
  <si>
    <t>[[117,29,34]]</t>
  </si>
  <si>
    <t>Magma V2.28-26    Tue Dec 30 2025 10:41:19 on Marks-MacBook-Air-2 [Seed = \n1867885304]\nType ? for help.  Type &lt;Ctrl&gt;-D to quit.\n[1 1 0 0 1 1 1 0 1 0 0 1 0 1 0 1 1 0 0 0 0 0 0 1 1 0 0 0 1 1 0 0 0 0 0 0 0 1 0 1\n    0 0 1 1 1 1 0 0 0 0 1 1 0 0 1 0 1 1 1 1 1 0 0 0 1 1 1 0 1 0 1 0 1 1 0 1 1 0 \n    0 0 0 0 1 0 0 0 1 0 1 0 0 0 0 0 0 0 0 0 0 0 0 0 0 0 0 0 0 0 0 0 0 0 0 0 0 0 \n    0]\n[0 0 1 0 0 1 1 1 0 1 0 0 1 0 1 0 1 1 0 0 0 0 0 0 1 1 0 0 0 1 1 0 0 0 0 1 0 0 1 0\n    1 0 0 1 1 1 1 0 0 0 0 1 1 0 0 1 0 1 1 1 0 1 0 0 0 1 1 1 0 1 1 1 0 1 1 0 1 1 \n    0 0 0 0 0 1 0 0 0 1 0 1 0 0 0 0 0 0 0 0 0 0 0 0 0 0 0 0 0 0 0 0 0 0 0 0 0 0 \n    0]\n[1 0 0 0 1 1 0 1 1 0 1 1 0 0 0 0 1 1 1 0 0 0 0 1 1 1 1 0 1 1 1 1 0 0 0 0 1 1 0 0\n    0 1 1 1 0 0 1 1 0 0 1 1 1 1 1 0 0 1 0 0 0 0 1 0 1 1 0 1 0 0 1 1 0 1 1 0 1 1 \n    1 0 0 0 1 0 1 0 1 0 0 0 1 0 0 0 0 0 0 0 0 0 0 0 0 0 0 0 0 0 0 0 0 0 0 0 0 0 \n    0]\n[1 0 0 1 0 1 1 0 1 1 0 1 1 0 0 0 0 1 1 1 0 0 0 0 1 1 1 1 0 1 1 1 1 0 0 1 0 1 1 0\n    0 0 1 1 1 0 0 1 1 0 0 1 1 1 1 1 0 0 1 0 1 0 0 0 0 1 1 0 1 0 0 1 1 0 1 1 0 1 \n    1 1 0 0 0 1 0 1 0 1 0 0 0 1 0 0 0 0 0 0 0 0 0 0 0 0 0 0 0 0 0 0 0 0 0 0 0 0 \n    0]\n[1 0 0 0 0 1 0 1 0 1 1 1 1 0 0 1 1 0 1 1 1 0 0 1 1 1 1 1 0 1 1 1 1 1 0 0 1 1 1 0\n    0 0 1 0 0 0 0 0 1 1 1 1 1 1 0 1 0 1 1 0 1 1 0 1 1 1 0 1 1 1 1 0 0 0 0 0 0 0 \n    1 1 1 0 1 0 1 0 0 0 0 0 0 0 1 0 0 0 0 0 0 0 0 0 0 0 0 0 0 0 0 0 0 0 0 0 0 0 \n    0]\n[1 1 0 0 0 0 1 0 0 0 1 1 1 1 0 0 1 1 0 1 1 1 0 0 1 1 1 1 1 0 1 1 1 1 1 1 0 1 1 1\n    0 0 0 1 0 0 0 0 0 1 1 1 1 1 1 0 1 0 1 1 0 1 1 0 1 1 1 0 1 1 1 1 0 0 0 0 0 0 \n    0 1 1 1 0 1 0 1 0 0 0 0 0 0 0 1 0 0 0 0 0 0 0 0 0 0 0 0 0 0 0 0 0 0 0 0 0 0 \n    0]\n[0 1 1 0 0 0 0 1 1 0 0 1 1 1 1 0 0 1 1 0 1 1 1 0 0 1 1 1 1 1 0 1 1 1 1 0 1 0 1 1\n    1 0 0 0 1 0 0 0 0 0 1 1 1 1 1 1 0 1 0 1 0 0 1 0 0 1 1 1 0 1 1 1 1 0 0 0 0 0 \n    0 0 1 1 1 0 1 0 1 0 0 0 0 0 0 0 1 0 0 0 0 0 0 0 0 0 0 0 0 0 0 0 0 0 0 0 0 0 \n    0]\n[1 1 1 0 0 0 0 0 0 1 0 0 1 1 1 1 0 0 1 1 0 1 1 1 0 0 1 1 1 1 1 0 1 1 1 1 0 1 0 1\n    1 1 0 0 0 1 0 0 0 0 0 1 1 1 1 1 1 0 1 0 1 0 0 1 0 0 1 1 1 0 1 1 1 1 0 0 0 0 \n    0 0 0 1 1 1 0 1 0 1 0 0 0 0 0 0 0 1 0 0 0 0 0 0 0 0 0 0 0 0 0 0 0 0 0 0 0 0 \n    0]\n[1 1 1 1 1 1 1 0 0 0 1 1 0 0 1 0 0 0 0 1 1 0 1 0 0 0 0 1 0 0 1 1 0 1 1 1 1 1 1 1\n    1 1 0 1 1 1 1 0 0 0 1 1 1 1 0 1 0 0 1 0 0 1 0 1 0 1 1 1 0 1 0 1 0 0 1 1 1 0 \n    0 0 0 0 0 1 1 0 0 0 0 0 0 0 0 0 0 0 1 0 0 0 0 0 0 0 0 0 0 0 0 0 0 0 0 0 0 0 \n    0]\n[0 1 1 1 1 1 1 1 0 0 0 1 1 0 0 1 0 0 0 0 1 1 0 1 0 0 0 0 1 0 0 1 1 0 1 0 1 1 1 1\n    1 1 1 0 1 1 1 1 0 0 0 1 1 1 1 0 1 0 0 1 0 0 1 0 1 0 1 1 1 0 1 0 1 0 0 1 1 1 \n    0 0 0 0 0 0 1 1 0 0 0 0 0 0 0 0 0 0 0 1 0 0 0 0 0 0 0 0 0 0 0 0 0 0 0 0 0 0 \n    0]\n[0 1 1 1 1 1 1 1 0 0 0 0 1 1 0 0 1 0 0 0 0 1 1 0 1 0 0 0 0 1 0 0 1 1 0 1 0 1 1 1\n    1 1 1 1 0 1 1 1 1 0 0 0 1 1 1 1 0 1 0 0 0 0 0 0 0 1 0 1 1 1 1 1 0 1 0 0 1 1 \n    1 0 0 0 0 0 0 1 1 0 0 0 0 0 0 0 0 0 0 0 1 0 0 0 0 0 0 0 0 0 0 0 0 0 0 0 0 0 \n    0]\n[1 0 1 1 1 1 1 1 1 0 0 0 0 1 1 0 0 1 0 0 0 0 1 1 0 1 0 0 0 0 1 0 0 1 1 1 1 0 1 1\n    1 1 1 1 1 0 1 1 1 1 0 0 0 1 1 1 1 0 1 0 1 0 0 1 0 0 1 0 1 1 0 1 1 0 1 0 0 1 \n    1 1 0 0 0 0 0 0 1 1 0 0 0 0 0 0 0 0 0 0 0 1 0 0 0 0 0 0 0 0 0 0 0 0 0 0 0 0 \n    0]\n[1 1 0 1 0 0 0 1 0 1 0 1 0 1 1 0 1 0 1 0 0 0 0 0 0 0 1 0 1 1 0 1 0 0 1 0 1 0 0 0\n    1 1 0 0 0 0 0 1 1 1 0 1 0 0 0 1 0 0 1 0 1 1 0 0 0 1 1 1 1 1 0 0 0 0 0 0 1 0 \n    1 1 1 0 1 0 0 0 1 1 0 0 0 0 0 0 0 0 0 0 0 0 1 0 0 0 0 0 0 0 0 0 0 0 0 0 0 0 \n    0]\n[1 0 1 1 0 1 1 0 0 0 1 1 1 1 1 0 1 1 0 1 0 0 0 1 1 0 0 1 1 0 1 0 1 0 0 0 0 0 0 1\n    0 1 0 1 1 1 0 0 1 1 0 1 1 0 1 0 0 1 1 0 1 1 1 0 1 1 0 1 0 1 1 0 1 1 0 1 1 1 \n    0 1 1 1 1 1 0 0 1 1 0 0 0 0 0 0 0 0 0 0 0 0 0 1 0 0 0 0 0 0 0 0 0 0 0 0 0 0 \n    0]\n[1 0 0 0 0 1 0 1 0 0 0 0 1 0 1 0 1 1 1 0 1 0 0 1 0 1 0 0 0 0 0 1 0 1 0 0 0 1 0 1\n    1 0 0 1 0 0 1 0 0 1 0 1 1 1 1 1 1 1 0 0 1 1 1 0 1 0 0 0 0 0 1 1 1 0 1 1 0 1 \n    1 0 1 1 0 1 1 0 1 1 0 0 0 0 0 0 0 0 0 0 0 0 0 0 1 0 0 0 0 0 0 0 0 0 0 0 0 0 \n    0]\n[0 0 0 1 1 1 0 0 1 0 0 1 0 0 0 0 1 1 1 1 0 1 0 1 0 0 1 0 1 1 0 0 1 0 1 1 0 1 1 1\n    1 1 1 1 0 1 0 1 0 0 0 1 1 1 0 1 0 0 0 1 1 1 1 1 1 0 1 0 1 0 1 1 0 0 0 0 0 0 \n    1 1 0 1 0 0 1 1 1 1 0 0 0 0 0 0 0 0 0 0 0 0 0 0 0 1 0 0 0 0 0 0 0 0 0 0 0 0 \n    0]\n[0 0 0 0 0 0 0 0 0 1 0 1 1 1 0 1 1 1 1 1 1 0 1 1 0 0 0 1 1 0 1 0 0 1 0 1 1 1 1 0\n    1 1 0 0 0 1 1 0 1 0 1 1 1 1 0 0 0 1 1 1 1 1 1 1 0 0 1 1 1 1 0 1 0 1 0 1 1 0 \n    0 1 1 0 0 0 0 1 0 1 0 0 0 0 0 0 0 0 0 0 0 0 0 0 0 0 1 0 0 0 0 0 0 0 0 0 0 0 \n    0]\n[0 1 0 0 1 1 1 0 1 0 1 1 1 0 1 1 0 1 1 1 1 1 0 0 0 0 0 0 0 0 0 1 0 0 1 0 1 0 1 0\n    0 1 0 1 1 1 1 1 0 1 1 0 1 1 0 0 1 1 0 0 0 1 1 1 0 1 1 1 0 1 0 0 0 1 1 1 0 1 \n    0 0 1 1 1 0 0 0 0 0 0 0 0 0 0 0 0 0 0 0 0 0 0 0 0 0 0 1 0 0 0 0 0 0 0 0 0 0 \n    0]\n[1 0 1 0 0 1 1 1 0 1 0 1 1 1 0 1 1 0 1 1 1 1 1 0 0 0 0 0 0 0 0 0 1 0 0 1 0 1 0 1\n    0 0 1 0 1 1 1 1 1 0 1 1 0 1 1 0 0 1 1 0 1 0 1 1 1 0 1 1 1 0 0 0 0 0 1 1 1 0 \n    1 0 0 1 1 1 0 0 0 0 0 0 0 0 0 0 0 0 0 0 0 0 0 0 0 0 0 0 1 0 0 0 0 0 0 0 0 0 \n    0]\n[1 0 0 0 0 0 1 1 0 0 1 0 1 1 1 0 1 1 0 1 1 1 1 1 0 0 0 0 0 0 0 0 0 1 0 1 1 0 1 0\n    1 0 0 1 0 1 1 1 1 1 0 1 1 0 1 1 0 0 1 1 0 1 0 1 1 1 0 1 1 1 1 0 0 0 0 1 1 1 \n    0 1 0 0 1 1 1 0 0 0 0 0 0 0 0 0 0 0 0 0 0 0 0 0 0 0 0 0 0 1 0 0 0 0 0 0 0 0 \n    0]\n[1 1 0 1 0 0 0 1 1 0 0 1 0 1 1 1 0 1 1 0 1 1 1 1 1 0 0 0 0 0 0 0 0 0 1 0 1 1 0 1\n    0 1 0 0 1 0 1 1 1 1 1 0 1 1 0 1 1 0 0 1 0 0 1 1 1 1 1 0 1 1 0 1 0 0 0 0 1 1 \n    1 0 1 0 0 1 1 1 0 0 0 0 0 0 0 0 0 0 0 0 0 0 0 0 0 0 0 0 0 0 1 0 0 0 0 0 0 0 \n    0]\n[0 1 1 0 1 0 0 0 1 1 0 0 1 0 1 1 1 0 1 1 0 1 1 1 1 1 0 0 0 0 0 0 0 0 0 0 0 1 1 0\n    1 0 1 0 0 1 0 1 1 1 1 1 0 1 1 0 1 1 0 0 1 0 0 0 1 1 1 1 0 1 1 0 1 0 0 0 0 1 \n    1 1 0 1 0 0 1 1 1 0 0 0 0 0 0 0 0 0 0 0 0 0 0 0 0 0 0 0 0 0 0 1 0 0 0 0 0 0 \n    0]\n[0 1 1 0 0 1 0 0 1 1 1 0 0 1 0 1 1 1 0 1 1 0 1 1 1 1 1 0 0 0 0 0 0 0 0 1 0 0 1 1\n    0 1 0 1 0 0 1 0 1 1 1 1 1 0 1 1 0 1 1 0 1 1 0 1 0 1 1 1 1 0 1 1 0 1 0 0 0 0 \n    1 1 1 0 1 0 0 1 1 1 0 0 0 0 0 0 0 0 0 0 0 0 0 0 0 0 0 0 0 0 0 0 1 0 0 0 0 0 \n    0]\n[1 1 1 1 1 1 0 0 1 1 1 0 0 1 1 1 0 1 1 0 1 1 0 0 0 1 1 1 1 1 0 0 0 0 0 0 1 1 0 0\n    1 0 0 1 0 1 0 1 0 1 0 0 1 1 1 1 0 1 0 0 1 1 1 0 0 1 0 1 0 1 0 1 0 1 1 1 1 0 \n    0 1 1 1 1 1 0 0 0 1 0 0 0 0 0 0 0 0 0 0 0 0 0 0 0 0 0 0 0 0 0 0 0 1 0 0 0 0 \n    0]\n[1 1 1 1 0 0 0 0 1 1 1 0 0 1 1 0 0 0 1 1 0 1 1 1 1 0 1 1 0 0 1 0 0 0 0 1 0 0 1 1\n    0 1 1 1 0 1 1 0 1 0 0 1 0 1 0 1 0 1 0 1 1 1 1 0 1 1 0 0 0 0 0 0 0 1 1 0 0 1 \n    0 0 1 1 0 1 1 0 1 0 0 0 0 0 0 0 0 0 0 0 0 0 0 0 0 0 0 0 0 0 0 0 0 0 1 0 0 0 \n    0]\n[0 1 1 1 1 0 0 0 0 1 1 1 0 0 1 1 0 0 0 1 1 0 1 1 1 1 0 1 1 0 0 1 0 0 0 1 1 0 0 1\n    1 0 1 1 1 0 1 1 0 1 0 0 1 0 1 0 1 0 1 0 0 1 1 1 0 1 1 0 0 0 0 0 0 0 1 1 0 0 \n    1 0 0 1 1 0 1 1 0 1 0 0 0 0 0 0 0 0 0 0 0 0 0 0 0 0 0 0 0 0 0 0 0 0 0 1 0 0 \n    0]\n[0 0 1 1 0 0 1 0 1 0 1 0 1 1 0 0 0 0 0 0 1 1 0 0 0 1 1 0 0 0 0 0 1 0 0 0 1 0 0 1\n    1 1 1 0 0 0 0 1 1 0 0 1 0 1 1 1 1 0 1 0 0 0 1 1 0 1 0 1 1 0 1 0 1 1 0 0 0 0 \n    0 1 0 0 0 1 0 1 0 0 0 0 0 0 0 0 0 0 0 0 0 0 0 0 0 0 0 0 0 0 0 0 0 0 0 0 1 0 \n    0]\n[1 0 0 1 1 0 0 1 0 1 0 1 0 1 1 0 0 0 0 0 0 1 1 0 0 0 1 1 0 0 0 0 0 1 0 1 0 1 0 0\n    1 1 1 1 0 0 0 0 1 1 0 0 1 0 1 1 1 1 0 1 0 0 0 1 1 0 1 0 1 1 1 1 0 1 1 0 0 0 \n    0 0 1 0 0 0 1 0 1 0 0 0 0 0 0 0 0 0 0 0 0 0 0 0 0 0 0 0 0 0 0 0 0 0 0 0 0 1 \n    0]\n[0 0 0 1 1 1 0 0 0 0 1 0 1 0 1 1 0 0 0 0 0 0 1 1 0 0 0 1 1 0 0 0 0 0 1 0 1 0 1 0\n    0 1 1 1 1 0 0 0 0 1 1 0 0 1 0 1 1 1 1 0 0 0 0 1 1 1 0 1 0 1 0 1 1 0 1 1 0 0 \n    0 0 0 1 0 0 0 1 0 1 0 0 0 0 0 0 0 0 0 0 0 0 0 0 0 0 0 0 0 0 0 0 0 0 0 0 0 0 \n    1]\n[117, 29] Linear Code over GF(2)\nGenerator matrix:\n[1 0 0 0 0 0 0 0 0 0 0 0 0 0 0 0 0 0 0 0 0 0 0 0 0 0 0 0 0 0 1 0 1 1 1 1 0 0 1 1\n    1 1 0 0 0 0 0 1 0 1 1 1 1 1 0 1 1 1 1 1 1 1 0 0 1 1 1 1 0 0 1 1 0 1 0 1 1 0 \n    1 0 0 0 0 0 0 1 1 0 1 1 0 1 0 1 1 0 1 1 0 1 0 0 1 1 1 0 0 1 0 1 0 1 1 0 0 0 \n    1]\n[0 1 0 0 0 0 0 0 0 0 0 0 0 0 0 0 0 0 0 0 0 0 0 0 0 0 0 0 0 0 1 0 0 1 0 0 0 0 1 1\n    1 0 0 1 0 0 1 0 1 0 1 1 0 0 0 0 0 0 1 1 0 0 1 0 0 0 0 0 1 0 1 0 1 0 0 1 1 1 \n    1 0 0 0 0 1 1 0 0 1 0 1 1 1 1 0 1 0 0 0 0 1 1 1 0 1 0 1 1 0 1 1 0 1 1 0 0 0 \n    0]\n[0 0 1 0 0 0 0 0 0 0 0 0 0 0 0 0 0 0 0 0 0 0 0 0 0 0 0 0 0 1 0 0 1 0 1 0 0 1 1 1\n    0 0 1 0 0 1 0 1 0 1 1 0 0 0 0 0 0 1 1 0 0 1 1 0 0 0 0 1 0 0 0 1 0 0 1 1 1 1 \n    0 0 0 0 1 1 0 0 1 0 1 1 1 1 0 1 0 0 0 0 1 1 1 0 1 0 1 1 0 1 1 0 1 1 0 0 0 0 \n    0]\n[0 0 0 1 0 0 0 0 0 0 0 0 0 0 0 0 0 0 0 0 0 0 0 0 0 0 0 0 0 1 0 1 1 0 0 1 0 1 1 0\n    1 1 1 0 1 1 0 0 0 0 1 1 1 0 0 0 0 1 1 1 0 1 1 1 0 0 0 1 0 1 0 0 0 1 1 1 0 0 \n    1 1 0 0 1 1 1 1 1 0 0 1 0 0 1 0 0 1 0 0 1 1 0 1 0 0 0 1 1 0 1 1 0 1 1 1 0 0 \n    0]\n[0 0 0 0 1 0 0 0 0 0 0 0 0 0 0 0 0 0 0 0 0 0 0 0 0 0 0 0 0 0 1 0 0 1 1 1 1 0 1 1\n    0 0 1 0 0 1 0 1 1 1 0 1 0 0 0 1 1 1 1 1 0 1 0 1 0 1 1 1 0 0 1 1 1 1 1 1 1 1 \n    0 1 1 0 0 0 0 0 0 0 1 0 0 0 1 0 0 0 0 1 0 1 0 1 0 0 1 1 0 0 1 1 1 0 1 1 1 0 \n    1]\n[0 0 0 0 0 1 0 0 0 0 0 0 0 0 0 0 0 0 0 0 0 0 0 0 0 0 0 0 0 1 0 1 1 1 0 0 0 0 1 0\n    1 0 0 1 1 1 1 0 0 1 1 0 1 1 1 0 0 1 1 1 1 0 1 1 1 1 0 1 0 1 1 0 0 0 1 0 0 0 \n    0 0 1 1 1 1 1 1 0 1 0 1 1 0 0 1 1 0 0 1 1 1 0 1 1 1 1 1 0 0 0 0 0 0 0 1 1 1 \n    0]\n[0 0 0 0 0 0 1 0 0 0 0 0 0 0 0 0 0 0 0 0 0 0 0 0 0 0 0 0 0 0 0 0 0 0 0 1 0 0 1 0\n    1 0 0 0 1 1 1 0 0 1 0 0 1 0 1 0 1 1 0 0 0 0 0 1 0 0 0 1 1 0 0 0 0 1 0 0 1 0 \n    1 0 0 1 1 1 1 0 0 0 0 1 1 0 0 1 0 1 1 1 1 0 1 0 0 0 0 1 1 1 0 1 0 1 1 0 1 1 \n    0]\n[0 0 0 0 0 0 0 1 0 0 0 0 0 0 0 0 0 0 0 0 0 0 0 0 0 0 0 0 0 0 0 1 0 1 1 0 0 0 0 0\n    1 0 1 0 0 1 1 1 1 0 0 1 1 0 1 1 1 0 0 1 1 1 1 1 1 1 1 1 0 1 1 1 1 0 0 0 1 0 \n    0 0 0 0 1 1 1 1 1 1 0 1 0 1 1 0 0 1 1 0 0 1 1 1 0 1 1 1 1 1 0 0 0 0 0 0 0 1 \n    1]\n[0 0 0 0 0 0 0 0 1 0 0 0 0 0 0 0 0 0 0 0 0 0 0 0 0 0 0 0 0 1 0 0 1 1 1 1 1 1 1 1\n    0 0 0 0 1 1 0 0 1 0 0 0 0 1 1 0 1 0 0 0 1 0 0 1 0 1 1 0 1 1 1 1 1 1 0 1 1 1 \n    1 0 0 0 1 1 1 1 0 1 0 0 1 0 0 0 1 0 0 1 0 1 1 1 0 1 1 0 1 0 0 1 1 1 0 0 0 0 \n    0]\n[0 0 0 0 0 0 0 0 0 1 0 0 0 0 0 0 0 0 0 0 0 0 0 0 0 0 0 0 0 0 0 0 1 0 0 0 1 1 0 0\n    0 1 0 0 0 1 1 1 0 0 1 1 1 1 1 0 1 0 1 1 1 0 0 1 0 1 0 0 0 1 0 0 1 0 1 1 0 1 \n    0 1 0 0 0 1 1 0 0 0 0 1 0 0 0 1 1 1 1 1 1 1 1 1 0 1 0 1 0 0 0 1 1 0 0 0 0 0 \n    1]\n[0 0 0 0 0 0 0 0 0 0 1 0 0 0 0 0 0 0 0 0 0 0 0 0 0 0 0 0 0 0 1 1 1 1 0 0 1 1 0 0\n    0 0 0 0 0 0 1 0 0 1 0 1 1 1 0 0 0 1 0 1 1 1 1 0 0 0 1 0 1 0 0 0 1 0 1 0 1 1 \n    0 1 1 0 0 0 1 0 0 1 1 0 0 1 1 1 1 0 0 1 0 0 0 1 0 0 1 1 1 1 1 1 0 0 0 1 0 0 \n    1]\n[0 0 0 0 0 0 0 0 0 0 0 1 0 0 0 0 0 0 0 0 0 0 0 0 0 0 0 0 0 0 1 0 1 1 0 1 1 1 0 0\n    0 1 1 1 0 0 1 1 0 0 1 0 0 0 0 0 1 1 1 0 0 0 1 0 0 1 1 0 0 1 0 1 0 1 1 0 0 1 \n    0 1 1 1 0 1 1 1 1 0 1 1 0 1 1 1 1 0 0 1 0 1 0 1 1 0 1 1 0 1 1 0 0 1 0 1 1 0 \n    0]\n[0 0 0 0 0 0 0 0 0 0 0 0 1 0 0 0 0 0 0 0 0 0 0 0 0 0 0 0 0 1 1 0 1 0 1 1 1 0 1 1\n    0 1 0 0 0 1 1 1 0 0 0 1 1 0 0 0 0 0 1 1 0 1 0 1 0 0 1 0 1 1 1 0 0 1 0 1 1 1 \n    1 1 1 1 0 0 1 0 0 0 0 1 0 1 1 1 0 0 0 0 0 0 0 0 1 0 0 1 1 0 1 1 0 0 1 1 1 1 \n    0]\n[0 0 0 0 0 0 0 0 0 0 0 0 0 1 0 0 0 0 0 0 0 0 0 0 0 0 0 0 0 1 0 0 1 0 0 0 1 0 0 0\n    1 1 0 1 1 1 0 1 0 0 0 0 0 1 0 0 0 1 0 1 1 1 1 0 1 0 0 0 1 0 1 1 1 1 0 0 0 0 \n    1 0 1 1 0 0 0 0 1 1 0 0 0 1 1 1 0 1 0 0 1 0 1 0 0 0 0 0 1 1 0 1 1 0 0 0 1 1 \n    1]\n[0 0 0 0 0 0 0 0 0 0 0 0 0 0 1 0 0 0 0 0 0 0 0 0 0 0 0 0 0 1 0 1 1 0 0 1 0 0 0 1\n    0 0 0 1 0 0 0 0 0 0 0 0 1 0 1 0 0 1 1 0 0 0 1 1 0 1 0 1 1 0 1 1 0 0 0 0 1 1 \n    0 0 0 1 0 0 0 1 1 0 1 0 1 1 1 1 0 1 1 0 1 1 1 1 0 1 0 0 0 1 1 0 1 1 0 1 0 1 \n    1]\n[0 0 0 0 0 0 0 0 0 0 0 0 0 0 0 1 0 0 0 0 0 0 0 0 0 0 0 0 0 1 1 1 1 1 1 1 1 1 1 0\n    0 0 1 1 0 1 1 1 1 1 1 1 0 0 0 0 1 0 0 0 1 0 0 0 0 1 0 0 0 0 1 0 0 0 1 1 0 0 \n    0 1 0 0 0 0 0 0 1 0 1 0 1 1 1 0 1 1 0 0 1 0 0 1 0 0 0 0 0 1 1 0 0 0 0 1 1 0 \n    0]\n[0 0 0 0 0 0 0 0 0 0 0 0 0 0 0 0 1 0 0 0 0 0 0 0 0 0 0 0 0 1 1 1 1 0 1 1 0 0 0 0\n    0 1 0 0 0 1 0 0 1 0 1 1 0 0 1 1 0 0 0 0 0 0 1 0 1 0 1 1 0 1 1 1 0 0 0 0 0 0 \n    1 0 1 0 1 0 0 0 1 1 1 1 0 1 0 0 1 1 0 0 0 0 0 0 0 1 0 1 0 1 0 0 1 1 0 0 1 1 \n    1]\n[0 0 0 0 0 0 0 0 0 0 0 0 0 0 0 0 0 1 0 0 0 0 0 0 0 0 0 0 0 1 1 1 0 0 1 0 0 1 1 1\n    0 0 1 0 1 1 1 0 1 1 0 1 1 1 1 1 0 0 0 0 0 0 0 1 0 0 1 1 0 1 1 0 0 1 0 1 1 1 \n    1 1 0 1 1 0 1 1 0 0 1 1 0 0 1 0 1 1 1 1 0 1 1 1 0 1 0 0 0 0 1 1 1 0 1 0 0 1 \n    1]\n[0 0 0 0 0 0 0 0 0 0 0 0 0 0 0 0 0 0 1 0 0 0 0 0 0 0 0 0 0 0 1 1 1 0 0 0 0 0 1 1\n    1 0 0 1 0 1 1 1 0 1 1 0 1 1 1 1 1 0 0 0 0 0 0 0 1 0 0 1 1 0 0 1 0 0 1 0 1 1 \n    1 1 1 0 1 1 0 1 1 0 0 1 1 0 0 1 0 1 1 1 1 0 1 1 1 0 1 0 0 0 0 1 1 1 0 1 0 0 \n    1]\n[0 0 0 0 0 0 0 0 0 0 0 0 0 0 0 0 0 0 0 1 0 0 0 0 0 0 0 0 0 0 0 1 1 1 0 1 0 0 0 1\n    1 1 0 0 1 0 1 1 1 0 1 1 0 1 1 1 1 1 0 0 0 0 0 0 0 1 0 0 1 1 1 0 1 0 0 1 0 1 \n    1 1 1 1 0 1 1 0 1 1 0 0 1 1 0 0 1 0 1 1 1 1 0 1 1 1 0 1 0 0 0 0 1 1 1 0 1 0 \n    0]\n[0 0 0 0 0 0 0 0 0 0 0 0 0 0 0 0 0 0 0 0 1 0 0 0 0 0 0 0 0 0 1 0 0 0 0 1 1 0 1 1\n    0 0 1 0 0 1 0 0 1 0 1 0 0 1 1 0 0 0 0 1 1 1 0 0 1 1 0 1 0 1 1 0 0 0 0 1 0 0 \n    0 1 1 1 1 0 1 0 1 1 0 1 0 0 1 1 1 1 1 0 1 0 1 0 0 0 0 0 1 1 0 1 0 0 0 1 0 1 \n    1]\n[0 0 0 0 0 0 0 0 0 0 0 0 0 0 0 0 0 0 0 0 0 1 0 0 0 0 0 0 0 0 1 0 1 0 0 1 0 1 1 1\n    1 0 1 1 0 0 1 1 1 0 0 1 0 0 0 0 0 0 0 0 1 1 0 0 1 1 1 0 0 0 0 1 1 1 1 1 1 1 \n    1 1 1 1 1 1 0 0 0 0 0 0 0 1 1 0 1 0 0 1 1 0 1 1 1 0 0 1 0 0 0 1 0 1 0 1 1 0 \n    0]\n[0 0 0 0 0 0 0 0 0 0 0 0 0 0 0 0 0 0 0 0 0 0 1 0 0 0 0 0 0 0 0 0 1 0 0 0 0 0 1 0\n    0 1 1 0 1 0 1 0 1 0 1 1 1 0 1 1 0 0 1 1 1 1 1 0 1 1 1 1 0 0 1 0 1 0 0 1 0 1 \n    1 0 1 1 1 0 0 1 0 0 1 1 0 0 1 0 1 0 1 0 0 1 0 0 0 0 0 0 0 1 0 0 0 0 0 1 1 1 \n    1]\n[0 0 0 0 0 0 0 0 0 0 0 0 0 0 0 0 0 0 0 0 0 0 0 1 0 0 0 0 0 1 1 0 1 1 1 1 1 1 0 1\n    1 0 1 0 1 0 1 1 0 1 1 0 1 0 1 1 0 0 1 0 1 1 0 0 0 0 0 1 1 1 1 0 0 0 0 0 1 0 \n    1 1 0 1 0 1 0 1 1 0 0 0 1 1 1 1 0 1 0 0 0 0 1 0 0 0 1 1 0 0 0 0 1 0 1 0 1 1 \n    1]\n[0 0 0 0 0 0 0 0 0 0 0 0 0 0 0 0 0 0 0 0 0 0 0 0 1 0 0 0 0 1 1 0 1 1 1 1 1 0 0 0\n    0 0 1 1 1 0 0 1 1 0 0 0 1 1 0 1 1 1 1 0 1 0 0 0 0 0 0 1 1 0 1 1 0 1 1 1 0 1 \n    1 0 1 0 0 1 0 1 0 1 0 1 0 1 0 1 1 1 1 0 1 1 0 0 0 0 0 0 0 0 1 1 0 0 1 0 0 1 \n    1]\n[0 0 0 0 0 0 0 0 0 0 0 0 0 0 0 0 0 0 0 0 0 0 0 0 0 1 0 0 0 0 1 1 1 1 0 0 1 1 0 0\n    0 1 0 0 1 1 1 1 0 0 0 0 1 0 1 1 0 0 1 1 0 0 1 1 1 1 1 1 0 1 0 0 0 1 1 1 1 1 \n    1 1 0 1 0 1 0 1 0 1 0 0 0 0 0 1 1 1 0 0 0 1 0 1 1 0 1 1 1 1 1 1 1 0 0 1 0 0 \n    0]\n[0 0 0 0 0 0 0 0 0 0 0 0 0 0 0 0 0 0 0 0 0 0 0 0 0 0 1 0 0 1 1 1 1 1 1 0 1 0 1 0\n    1 1 1 0 1 0 1 0 0 1 1 1 1 1 1 0 1 1 1 0 1 1 0 0 0 1 1 0 0 1 1 0 1 0 1 1 1 0 \n    1 1 1 0 0 1 0 0 0 1 0 1 1 1 0 1 1 1 0 0 0 0 0 1 0 1 0 1 0 0 1 1 0 1 1 0 1 0 \n    1]\n[0 0 0 0 0 0 0 0 0 0 0 0 0 0 0 0 0 0 0 0 0 0 0 0 0 0 0 1 0 0 1 0 1 0 0 1 1 1 0 0\n    1 0 0 1 0 1 0 1 1 0 0 0 0 0 0 1 1 0 0 0 1 0 0 0 0 1 0 0 1 0 0 0 1 1 1 1 0 0 \n    0 0 1 1 0 0 1 0 1 1 1 1 0 1 0 0 0 0 1 1 1 0 1 0 1 1 0 1 1 0 1 1 0 0 0 0 0 1 \n    0]\n[0 0 0 0 0 0 0 0 0 0 0 0 0 0 0 0 0 0 0 0 0 0 0 0 0 0 0 0 1 0 0 1 1 1 1 1 1 1 1 0\n    0 0 0 1 1 0 0 1 0 0 0 0 1 1 0 1 0 0 0 0 0 0 1 0 1 1 0 1 1 1 1 1 1 0 1 1 1 1 \n    0 0 0 1 1 1 1 0 1 0 0 1 0 0 0 1 0 0 1 0 1 1 1 0 1 1 0 1 0 0 1 1 1 0 0 0 0 0 \n    0]\nLinear Code over GF(2) of length 117 with 29 generators.\nLower Bound: 1, Upper Bound: 89\nConstructed 5 distinct generator matrices\nRelative Ranks:  29  29  29  29   1 \n     Discarding non-contributing rank 1 matrix\n     New Relative Ranks:  29  29  29  29 \nTime Taken: 0.00\nStarting search for low weight codewords... (reset timings)\nEnumerating using 1 generator at a time:\n     New codeword identified of weight 40, time 0.00\n     New codeword identified of weight 38, time 0.00\n   Completed Matrix  1:  lower =  5, upper = 38. Elapsed: 0.00s\n   Completed Matrix  2:  lower =  6, upper = 38. Elapsed: 0.00s\n   Completed Matrix  3:  lower =  7, upper = 38. Elapsed: 0.00s\n   Completed Matrix  4:  lower =  8, upper = 38. Elapsed: 0.00s\nTermination predicted with 9 generators at matrix 2\nEnumerating using 2 generators at a time:\n     New codeword identified of weight 37, time 0.00\n     New codeword identified of weight 36, time 0.00\n   Completed Matrix  1:  lower =  9, upper = 36. Elapsed: 0.00s\n   Completed Matrix  2:  lower = 10, upper = 36. Elapsed: 0.00s\n   Completed Matrix  3:  lower = 11, upper = 36. Elapsed: 0.00s\n     New codeword identified of weight 35, time 0.00\n   Completed Matrix  4:  lower = 12, upper = 35. Elapsed: 0.00s\nTermination predicted with 8 generators at matrix 3\nEnumerating using 3 generators at a time:\n   Completed Matrix  1:  lower = 13, upper = 35. Elapsed: 0.00s\n   Completed Matrix  2:  lower = 14, upper = 35. Elapsed: 0.00s\n     New codeword identified of weight 34, time 0.00\n   Completed Matrix  3:  lower = 15, upper = 34. Elapsed: 0.00s\n   Completed Matrix  4:  lower = 16, upper = 34. Elapsed: 0.00s\nTermination predicted with 8 generators at matrix 2\nEnumerating using 4 generators at a time:\n   Completed Matrix  1:  lower = 17, upper = 34. Elapsed: 0.00s\n   Completed Matrix  2:  lower = 18, upper = 34. Elapsed: 0.00s\n   Completed Matrix  3:  lower = 19, upper = 34. Elapsed: 0.00s\n   Completed Matrix  4:  lower = 20, upper = 34. Elapsed: 0.00s\nTermination predicted with 8 generators at matrix 2\nEnumerating using 5 generators at a time:\n   Completed Matrix  1:  lower = 21, upper = 34. Elapsed: 0.00s\n   Completed Matrix  2:  lower = 22, upper = 34. Elapsed: 0.00s\n   Completed Matrix  3:  lower = 23, upper = 34. Elapsed: 0.00s\n   Completed Matrix  4:  lower = 24, upper = 34. Elapsed: 0.00s\nTermination predicted with 8 generators at matrix 2\nEnumerating using 6 generators at a time:\n   Completed Matrix  1:  lower = 25, upper = 34. Elapsed: 0.00s\n   Completed Matrix  2:  lower = 26, upper = 34. Elapsed: 0.00s\n   Completed Matrix  3:  lower = 27, upper = 34. Elapsed: 0.00s\n   Completed Matrix  4:  lower = 28, upper = 34. Elapsed: 0.00s\nTermination predicted with 8 generators at matrix 2\nEnumerating using 7 generators at a time:\n   Completed Matrix  1:  lower = 29, upper = 34. Elapsed: 0.00s\n   Completed Matrix  2:  lower = 30, upper = 34. Elapsed: 0.02s\n   Completed Matrix  3:  lower = 31, upper = 34. Elapsed: 0.02s\n   Completed Matrix  4:  lower = 32, upper = 34. Elapsed: 0.03s\nTermination predicted with 8 generators at matrix 2\nEnumerating using 8 generators at a time:\n   Completed Matrix  1:  lower = 33, upper = 34. Elapsed: 0.03s\n   Completed Matrix  2:  lower = 34, upper = 34. Elapsed: 0.05s\nComputation complete 17313870 vectors enumerated in total\n (3.224960% of 117 29 code)\nFinal Results: lower = 34, upper = 34,\nTotal CPU time: 0.05, real time: 0.053\n34\n\nTotal time: 0.060 seconds, Total memory usage: 32.09MB\n</t>
  </si>
  <si>
    <t>[[118,29,35]]</t>
  </si>
  <si>
    <t>Magma V2.28-26    Tue Dec 30 2025 10:41:19 on Marks-MacBook-Air-2 [Seed = \n1700765938]\nType ? for help.  Type &lt;Ctrl&gt;-D to quit.\n[1 1 1 0 1 0 0 1 1 1 0 1 1 1 1 1 0 1 0 0 0 0 0 1 0 1 0 0 1 0 1 0 0 0 0 1 0 1 1 1\n    1 0 1 0 0 0 1 0 0 0 1 0 1 0 1 1 1 0 0 0 1 1 0 0 1 0 0 1 1 1 0 1 1 0 1 1 0 1 \n    0 0 0 0 1 1 0 0 1 1 1 1 0 0 0 0 0 0 0 0 0 0 0 0 0 0 0 0 0 0 0 0 0 0 0 0 0 0 \n    0 0]\n[1 0 0 0 1 1 0 1 1 0 1 1 0 0 0 0 1 1 1 0 0 0 0 1 1 1 1 0 1 1 1 1 0 0 0 0 1 1 0 0\n    0 1 1 1 0 0 1 1 0 0 1 1 1 1 1 0 0 1 0 0 0 0 1 0 1 1 0 1 0 0 1 1 0 1 1 0 1 1 \n    1 0 0 0 1 0 1 0 1 0 0 0 1 0 0 0 0 0 0 0 0 0 0 0 0 0 0 0 0 0 0 0 0 0 0 0 0 0 \n    0 0]\n[1 0 0 1 0 1 1 0 1 1 0 1 1 0 0 0 0 1 1 1 0 0 0 0 1 1 1 1 0 1 1 1 1 0 0 1 0 1 1 0\n    0 0 1 1 1 0 0 1 1 0 0 1 1 1 1 1 0 0 1 0 1 0 0 0 0 1 1 0 1 0 0 1 1 0 1 1 0 1 \n    1 1 0 0 0 1 0 1 0 1 0 0 0 1 0 0 0 0 0 0 0 0 0 0 0 0 0 0 0 0 0 0 0 0 0 0 0 0 \n    0 0]\n[0 1 0 0 1 0 1 1 1 1 1 0 1 1 0 0 0 0 1 1 1 0 0 0 0 1 1 1 1 0 1 1 1 1 0 0 1 0 1 1\n    0 0 0 1 1 1 0 0 1 1 0 0 1 1 1 1 1 0 0 1 0 1 0 1 0 0 1 1 0 1 0 0 1 1 0 1 1 0 \n    1 1 1 0 0 0 1 0 1 0 1 0 0 0 1 0 0 0 0 0 0 0 0 0 0 0 0 0 0 0 0 0 0 0 0 0 0 0 \n    0 0]\n[0 0 0 0 1 1 0 0 1 0 1 0 1 0 0 1 0 1 0 1 1 1 0 1 0 1 1 1 0 1 1 1 1 1 1 1 0 0 1 0\n    0 0 1 0 1 1 0 0 0 1 0 0 1 1 0 0 0 1 0 0 1 1 1 0 0 0 0 0 0 1 0 1 1 1 0 1 1 0 \n    0 1 1 1 1 1 0 1 1 0 1 0 0 0 0 1 0 0 0 0 0 0 0 0 0 0 0 0 0 0 0 0 0 0 0 0 0 0 \n    0 0]\n[1 0 1 0 1 1 1 1 0 0 0 0 1 0 1 1 1 1 1 0 1 1 1 1 1 1 1 1 0 0 0 1 1 1 1 0 1 1 1 0\n    1 0 1 1 0 1 0 0 0 0 0 0 1 1 0 1 1 0 1 0 1 0 1 0 1 0 0 1 1 1 0 1 0 1 0 1 1 0 \n    0 0 1 1 0 0 1 0 0 0 1 0 0 0 0 0 1 0 0 0 0 0 0 0 0 0 0 0 0 0 0 0 0 0 0 0 0 0 \n    0 0]\n[0 0 1 0 1 1 1 0 1 1 0 1 1 0 1 0 1 0 1 1 0 1 1 0 1 0 1 1 0 0 1 0 1 1 1 1 0 0 0 0\n    1 1 1 1 1 0 0 0 0 0 1 0 1 1 0 1 0 1 0 1 0 0 0 1 1 1 0 1 0 0 0 1 0 0 0 1 1 0 \n    0 0 0 1 0 1 0 1 1 1 1 0 0 0 0 0 0 1 0 0 0 0 0 0 0 0 0 0 0 0 0 0 0 0 0 0 0 0 \n    0 0]\n[1 1 1 1 1 1 1 0 0 0 1 1 0 0 1 0 0 0 0 1 1 0 1 0 0 0 0 1 0 0 1 1 0 1 1 1 1 1 1 1\n    1 1 0 1 1 1 1 0 0 0 1 1 1 1 0 1 0 0 1 0 0 1 0 1 0 1 1 1 0 1 0 1 0 0 1 1 1 0 \n    0 0 0 0 0 1 1 0 0 0 0 0 0 0 0 0 0 0 1 0 0 0 0 0 0 0 0 0 0 0 0 0 0 0 0 0 0 0 \n    0 0]\n[0 1 1 1 1 1 1 1 0 0 0 1 1 0 0 1 0 0 0 0 1 1 0 1 0 0 0 0 1 0 0 1 1 0 1 0 1 1 1 1\n    1 1 1 0 1 1 1 1 0 0 0 1 1 1 1 0 1 0 0 1 0 0 1 0 1 0 1 1 1 0 1 0 1 0 0 1 1 1 \n    0 0 0 0 0 0 1 1 0 0 0 0 0 0 0 0 0 0 0 1 0 0 0 0 0 0 0 0 0 0 0 0 0 0 0 0 0 0 \n    0 0]\n[0 1 1 1 1 1 1 1 0 0 0 0 1 1 0 0 1 0 0 0 0 1 1 0 1 0 0 0 0 1 0 0 1 1 0 1 0 1 1 1\n    1 1 1 1 0 1 1 1 1 0 0 0 1 1 1 1 0 1 0 0 0 0 0 0 0 1 0 1 1 1 1 1 0 1 0 0 1 1 \n    1 0 0 0 0 0 0 1 1 0 0 0 0 0 0 0 0 0 0 0 1 0 0 0 0 0 0 0 0 0 0 0 0 0 0 0 0 0 \n    0 0]\n[1 0 1 1 1 1 1 1 1 0 0 0 0 1 1 0 0 1 0 0 0 0 1 1 0 1 0 0 0 0 1 0 0 1 1 1 1 0 1 1\n    1 1 1 1 1 0 1 1 1 1 0 0 0 1 1 1 1 0 1 0 1 0 0 1 0 0 1 0 1 1 0 1 1 0 1 0 0 1 \n    1 1 0 0 0 0 0 0 1 1 0 0 0 0 0 0 0 0 0 0 0 1 0 0 0 0 0 0 0 0 0 0 0 0 0 0 0 0 \n    0 0]\n[0 0 0 1 1 1 1 1 1 1 0 0 0 0 1 1 0 0 1 0 0 0 0 1 1 0 1 0 0 0 0 1 0 0 1 0 1 1 0 1\n    1 1 1 1 1 1 0 1 1 1 1 0 0 0 1 1 1 1 0 1 0 1 0 0 1 0 0 1 0 1 1 0 1 1 0 1 0 0 \n    1 1 1 0 0 0 0 0 0 1 1 0 0 0 0 0 0 0 0 0 0 0 1 0 0 0 0 0 0 0 0 0 0 0 0 0 0 0 \n    0 0]\n[1 0 1 1 0 1 1 0 0 0 1 1 1 1 1 0 1 1 0 1 0 0 0 1 1 0 0 1 1 0 1 0 1 0 0 0 0 0 0 1\n    0 1 0 1 1 1 0 0 1 1 0 1 1 0 1 0 0 1 1 0 1 1 1 0 1 1 0 1 0 1 1 0 1 1 0 1 1 1 \n    0 1 1 1 1 1 0 0 1 1 0 0 0 0 0 0 0 0 0 0 0 0 0 1 0 0 0 0 0 0 0 0 0 0 0 0 0 0 \n    0 0]\n[0 1 0 0 1 0 1 1 1 0 0 1 1 1 1 1 0 1 1 0 1 0 0 0 1 1 0 0 1 1 0 1 0 1 0 0 0 0 0 0\n    1 0 1 0 1 1 1 0 0 1 1 0 1 1 0 1 0 0 1 1 0 1 1 0 0 1 1 0 1 0 0 1 0 1 1 0 1 1 \n    1 0 1 1 1 1 1 0 0 1 1 0 0 0 0 0 0 0 0 0 0 0 0 0 1 0 0 0 0 0 0 0 0 0 0 0 0 0 \n    0 0]\n[0 0 0 1 1 1 0 0 1 0 0 1 0 0 0 0 1 1 1 1 0 1 0 1 0 0 1 0 1 1 0 0 1 0 1 1 0 1 1 1\n    1 1 1 1 0 1 0 1 0 0 0 1 1 1 0 1 0 0 0 1 1 1 1 1 1 0 1 0 1 0 1 1 0 0 0 0 0 0 \n    1 1 0 1 0 0 1 1 1 1 0 0 0 0 0 0 0 0 0 0 0 0 0 0 0 1 0 0 0 0 0 0 0 0 0 0 0 0 \n    0 0]\n[1 1 0 0 1 1 1 0 1 1 0 0 1 0 0 0 0 1 1 1 1 0 1 0 1 0 0 1 0 1 1 0 0 1 0 1 1 0 1 1\n    1 1 1 1 1 0 1 0 1 0 0 0 1 1 1 0 1 0 0 0 0 1 1 1 1 1 0 1 0 1 1 1 1 0 0 0 0 0 \n    0 1 1 0 1 0 0 1 1 1 1 0 0 0 0 0 0 0 0 0 0 0 0 0 0 0 1 0 0 0 0 0 0 0 0 0 0 0 \n    0 0]\n[0 1 0 0 1 1 1 0 1 0 1 1 1 0 1 1 0 1 1 1 1 1 0 0 0 0 0 0 0 0 0 1 0 0 1 0 1 0 1 0\n    0 1 0 1 1 1 1 1 0 1 1 0 1 1 0 0 1 1 0 0 0 1 1 1 0 1 1 1 0 1 0 0 0 1 1 1 0 1 \n    0 0 1 1 1 0 0 0 0 0 0 0 0 0 0 0 0 0 0 0 0 0 0 0 0 0 0 1 0 0 0 0 0 0 0 0 0 0 \n    0 0]\n[1 0 1 0 0 1 1 1 0 1 0 1 1 1 0 1 1 0 1 1 1 1 1 0 0 0 0 0 0 0 0 0 1 0 0 1 0 1 0 1\n    0 0 1 0 1 1 1 1 1 0 1 1 0 1 1 0 0 1 1 0 1 0 1 1 1 0 1 1 1 0 0 0 0 0 1 1 1 0 \n    1 0 0 1 1 1 0 0 0 0 0 0 0 0 0 0 0 0 0 0 0 0 0 0 0 0 0 0 1 0 0 0 0 0 0 0 0 0 \n    0 0]\n[1 0 0 0 0 0 1 1 0 0 1 0 1 1 1 0 1 1 0 1 1 1 1 1 0 0 0 0 0 0 0 0 0 1 0 1 1 0 1 0\n    1 0 0 1 0 1 1 1 1 1 0 1 1 0 1 1 0 0 1 1 0 1 0 1 1 1 0 1 1 1 1 0 0 0 0 1 1 1 \n    0 1 0 0 1 1 1 0 0 0 0 0 0 0 0 0 0 0 0 0 0 0 0 0 0 0 0 0 0 1 0 0 0 0 0 0 0 0 \n    0 0]\n[1 1 0 1 0 0 0 1 1 0 0 1 0 1 1 1 0 1 1 0 1 1 1 1 1 0 0 0 0 0 0 0 0 0 1 0 1 1 0 1\n    0 1 0 0 1 0 1 1 1 1 1 0 1 1 0 1 1 0 0 1 0 0 1 1 1 1 1 0 1 1 0 1 0 0 0 0 1 1 \n    1 0 1 0 0 1 1 1 0 0 0 0 0 0 0 0 0 0 0 0 0 0 0 0 0 0 0 0 0 0 1 0 0 0 0 0 0 0 \n    0 0]\n[0 1 1 0 1 0 0 0 1 1 0 0 1 0 1 1 1 0 1 1 0 1 1 1 1 1 0 0 0 0 0 0 0 0 0 0 0 1 1 0\n    1 0 1 0 0 1 0 1 1 1 1 1 0 1 1 0 1 1 0 0 1 0 0 0 1 1 1 1 0 1 1 0 1 0 0 0 0 1 \n    1 1 0 1 0 0 1 1 1 0 0 0 0 0 0 0 0 0 0 0 0 0 0 0 0 0 0 0 0 0 0 1 0 0 0 0 0 0 \n    0 0]\n[0 1 1 0 0 1 0 0 1 1 1 0 0 1 0 1 1 1 0 1 1 0 1 1 1 1 1 0 0 0 0 0 0 0 0 1 0 0 1 1\n    0 1 0 1 0 0 1 0 1 1 1 1 1 0 1 1 0 1 1 0 1 1 0 1 0 1 1 1 1 0 1 1 0 1 0 0 0 0 \n    1 1 1 0 1 0 0 1 1 1 0 0 0 0 0 0 0 0 0 0 0 0 0 0 0 0 0 0 0 0 0 0 1 0 0 0 0 0 \n    0 0]\n[0 0 1 1 0 0 1 0 0 1 1 1 0 0 1 0 1 1 1 0 1 1 0 1 1 1 1 1 0 0 0 0 0 0 0 0 1 0 0 1\n    1 0 1 0 1 0 0 1 0 1 1 1 1 1 0 1 1 0 1 1 0 1 1 0 1 0 1 1 1 1 1 1 1 0 1 0 0 0 \n    0 1 1 1 0 1 0 0 1 1 1 0 0 0 0 0 0 0 0 0 0 0 0 0 0 0 0 0 0 0 0 0 0 1 0 0 0 0 \n    0 0]\n[1 1 1 1 0 0 0 0 1 1 1 0 0 1 1 0 0 0 1 1 0 1 1 1 1 0 1 1 0 0 1 0 0 0 0 1 0 0 1 1\n    0 1 1 1 0 1 1 0 1 0 0 1 0 1 0 1 0 1 0 1 1 1 1 0 1 1 0 0 0 0 0 0 0 1 1 0 0 1 \n    0 0 1 1 0 1 1 0 1 0 0 0 0 0 0 0 0 0 0 0 0 0 0 0 0 0 0 0 0 0 0 0 0 0 1 0 0 0 \n    0 0]\n[0 1 1 1 1 0 0 0 0 1 1 1 0 0 1 1 0 0 0 1 1 0 1 1 1 1 0 1 1 0 0 1 0 0 0 1 1 0 0 1\n    1 0 1 1 1 0 1 1 0 1 0 0 1 0 1 0 1 0 1 0 0 1 1 1 0 1 1 0 0 0 0 0 0 0 1 1 0 0 \n    1 0 0 1 1 0 1 1 0 1 0 0 0 0 0 0 0 0 0 0 0 0 0 0 0 0 0 0 0 0 0 0 0 0 0 1 0 0 \n    0 0]\n[1 1 1 1 1 1 0 0 0 0 1 1 1 0 0 1 1 0 0 0 1 1 0 1 1 1 1 0 1 1 0 0 1 0 0 0 1 1 0 0\n    1 1 0 1 1 1 0 1 1 0 1 0 0 1 0 1 0 1 0 1 1 0 1 1 1 0 1 1 0 0 0 0 0 0 0 1 1 0 \n    0 1 0 0 1 1 0 1 1 0 1 0 0 0 0 0 0 0 0 0 0 0 0 0 0 0 0 0 0 0 0 0 0 0 0 0 1 0 \n    0 0]\n[0 1 0 1 0 1 1 1 1 1 0 0 0 0 1 1 1 0 0 0 0 1 1 1 1 0 1 1 1 1 0 0 0 1 0 1 0 0 0 1\n    1 1 0 0 1 1 0 0 1 1 1 1 1 0 0 1 0 0 1 0 1 0 0 1 0 1 0 0 0 1 0 1 1 0 1 1 1 0 \n    0 0 1 0 1 0 1 0 0 0 1 0 0 0 0 0 0 0 0 0 0 0 0 0 0 0 0 0 0 0 0 0 0 0 0 0 0 1 \n    0 0]\n[1 1 0 1 0 0 1 0 1 0 1 1 1 1 1 0 1 0 0 0 0 0 1 0 1 0 0 1 0 1 0 0 0 0 1 0 1 1 1 1\n    0 1 0 0 0 1 0 0 0 1 0 1 0 1 1 1 0 0 0 1 1 0 0 1 0 0 1 1 1 1 1 1 0 1 1 0 1 0 \n    0 0 0 1 1 0 0 1 1 1 1 0 0 0 0 0 0 0 0 0 0 0 0 0 0 0 0 0 0 0 0 0 0 0 0 0 0 0 \n    1 0]\n[1 1 0 0 1 1 1 0 1 0 0 1 0 1 0 1 1 0 0 0 0 0 0 1 1 0 0 0 1 1 0 0 0 0 0 0 0 1 0 1\n    0 0 1 1 1 1 0 0 0 0 1 1 0 0 1 0 1 1 1 1 1 0 0 0 1 1 1 0 1 0 1 0 1 1 0 1 1 0 \n    0 0 0 0 1 0 0 0 1 0 1 0 0 0 0 0 0 0 0 0 0 0 0 0 0 0 0 0 0 0 0 0 0 0 0 0 0 0 \n    0 1]\n[118, 29] Linear Code over GF(2)\nGenerator matrix:\n[1 0 0 0 0 0 0 0 0 0 0 0 0 0 0 0 0 0 0 0 0 0 0 0 0 0 0 0 0 0 1 0 1 1 1 1 0 0 1 1\n    1 1 0 0 0 0 0 1 0 1 1 1 1 1 0 1 1 1 1 1 1 1 0 0 1 1 1 1 0 0 1 1 0 1 0 1 1 0 \n    1 0 0 0 0 0 0 1 1 0 1 1 0 1 0 1 1 0 1 1 0 1 0 0 1 1 1 0 0 1 0 1 0 1 1 0 0 0 \n    1 0]\n[0 1 0 0 0 0 0 0 0 0 0 0 0 0 0 0 0 0 0 0 0 0 0 0 0 0 0 0 0 0 1 0 0 1 0 0 0 0 1 1\n    1 0 0 1 0 0 1 0 1 0 1 1 0 0 0 0 0 0 1 1 0 0 1 0 0 0 0 0 1 0 1 0 1 0 0 1 1 1 \n    1 0 0 0 0 1 1 0 0 1 0 1 1 1 1 0 1 0 0 0 0 1 1 1 0 1 0 1 1 0 1 1 0 1 1 0 0 0 \n    0 1]\n[0 0 1 0 0 0 0 0 0 0 0 0 0 0 0 0 0 0 0 0 0 0 0 0 0 0 0 0 0 1 0 0 1 0 1 0 0 1 1 1\n    0 0 1 0 0 1 0 1 0 1 1 0 0 0 0 0 0 1 1 0 0 1 1 0 0 0 0 1 0 0 0 1 0 0 1 1 1 1 \n    0 0 0 0 1 1 0 0 1 0 1 1 1 1 0 1 0 0 0 0 1 1 1 0 1 0 1 1 0 1 1 0 1 1 0 0 0 0 \n    0 1]\n[0 0 0 1 0 0 0 0 0 0 0 0 0 0 0 0 0 0 0 0 0 0 0 0 0 0 0 0 0 1 0 1 1 0 0 1 0 1 1 0\n    1 1 1 0 1 1 0 0 0 0 1 1 1 0 0 0 0 1 1 1 0 1 1 1 0 0 0 1 0 1 0 0 0 1 1 1 0 0 \n    1 1 0 0 1 1 1 1 1 0 0 1 0 0 1 0 0 1 0 0 1 1 0 1 0 0 0 1 1 0 1 1 0 1 1 1 0 0 \n    0 0]\n[0 0 0 0 1 0 0 0 0 0 0 0 0 0 0 0 0 0 0 0 0 0 0 0 0 0 0 0 0 0 1 0 0 1 1 1 1 0 1 1\n    0 0 1 0 0 1 0 1 1 1 0 1 0 0 0 1 1 1 1 1 0 1 0 1 0 1 1 1 0 0 1 1 1 1 1 1 1 1 \n    0 1 1 0 0 0 0 0 0 0 1 0 0 0 1 0 0 0 0 1 0 1 0 1 0 0 1 1 0 0 1 1 1 0 1 1 1 0 \n    1 1]\n[0 0 0 0 0 1 0 0 0 0 0 0 0 0 0 0 0 0 0 0 0 0 0 0 0 0 0 0 0 1 0 1 1 1 0 0 0 0 1 0\n    1 0 0 1 1 1 1 0 0 1 1 0 1 1 1 0 0 1 1 1 1 0 1 1 1 1 0 1 0 1 1 0 0 0 1 0 0 0 \n    0 0 1 1 1 1 1 1 0 1 0 1 1 0 0 1 1 0 0 1 1 1 0 1 1 1 1 1 0 0 0 0 0 0 0 1 1 1 \n    0 1]\n[0 0 0 0 0 0 1 0 0 0 0 0 0 0 0 0 0 0 0 0 0 0 0 0 0 0 0 0 0 0 0 0 0 0 0 1 0 0 1 0\n    1 0 0 0 1 1 1 0 0 1 0 0 1 0 1 0 1 1 0 0 0 0 0 1 0 0 0 1 1 0 0 0 0 1 0 0 1 0 \n    1 0 0 1 1 1 1 0 0 0 0 1 1 0 0 1 0 1 1 1 1 0 1 0 0 0 0 1 1 1 0 1 0 1 1 0 1 1 \n    0 1]\n[0 0 0 0 0 0 0 1 0 0 0 0 0 0 0 0 0 0 0 0 0 0 0 0 0 0 0 0 0 0 0 1 0 1 1 0 0 0 0 0\n    1 0 1 0 0 1 1 1 1 0 0 1 1 0 1 1 1 0 0 1 1 1 1 1 1 1 1 1 0 1 1 1 1 0 0 0 1 0 \n    0 0 0 0 1 1 1 1 1 1 0 1 0 1 1 0 0 1 1 0 0 1 1 1 0 1 1 1 1 1 0 0 0 0 0 0 0 1 \n    1 1]\n[0 0 0 0 0 0 0 0 1 0 0 0 0 0 0 0 0 0 0 0 0 0 0 0 0 0 0 0 0 1 0 0 1 1 1 1 1 1 1 1\n    0 0 0 0 1 1 0 0 1 0 0 0 0 1 1 0 1 0 0 0 1 0 0 1 0 1 1 0 1 1 1 1 1 1 0 1 1 1 \n    1 0 0 0 1 1 1 1 0 1 0 0 1 0 0 0 1 0 0 1 0 1 1 1 0 1 1 0 1 0 0 1 1 1 0 0 0 0 \n    0 0]\n[0 0 0 0 0 0 0 0 0 1 0 0 0 0 0 0 0 0 0 0 0 0 0 0 0 0 0 0 0 0 0 0 1 0 0 0 1 1 0 0\n    0 1 0 0 0 1 1 1 0 0 1 1 1 1 1 0 1 0 1 1 1 0 0 1 0 1 0 0 0 1 0 0 1 0 1 1 0 1 \n    0 1 0 0 0 1 1 0 0 0 0 1 0 0 0 1 1 1 1 1 1 1 1 1 0 1 0 1 0 0 0 1 1 0 0 0 0 0 \n    1 0]\n[0 0 0 0 0 0 0 0 0 0 1 0 0 0 0 0 0 0 0 0 0 0 0 0 0 0 0 0 0 0 1 1 1 1 0 0 1 1 0 0\n    0 0 0 0 0 0 1 0 0 1 0 1 1 1 0 0 0 1 0 1 1 1 1 0 0 0 1 0 1 0 0 0 1 0 1 0 1 1 \n    0 1 1 0 0 0 1 0 0 1 1 0 0 1 1 1 1 0 0 1 0 0 0 1 0 0 1 1 1 1 1 1 0 0 0 1 0 0 \n    1 0]\n[0 0 0 0 0 0 0 0 0 0 0 1 0 0 0 0 0 0 0 0 0 0 0 0 0 0 0 0 0 0 1 0 1 1 0 1 1 1 0 0\n    0 1 1 1 0 0 1 1 0 0 1 0 0 0 0 0 1 1 1 0 0 0 1 0 0 1 1 0 0 1 0 1 0 1 1 0 0 1 \n    0 1 1 1 0 1 1 1 1 0 1 1 0 1 1 1 1 0 0 1 0 1 0 1 1 0 1 1 0 1 1 0 0 1 0 1 1 0 \n    0 1]\n[0 0 0 0 0 0 0 0 0 0 0 0 1 0 0 0 0 0 0 0 0 0 0 0 0 0 0 0 0 1 1 0 1 0 1 1 1 0 1 1\n    0 1 0 0 0 1 1 1 0 0 0 1 1 0 0 0 0 0 1 1 0 1 0 1 0 0 1 0 1 1 1 0 0 1 0 1 1 1 \n    1 1 1 1 0 0 1 0 0 0 0 1 0 1 1 1 0 0 0 0 0 0 0 0 1 0 0 1 1 0 1 1 0 0 1 1 1 1 \n    0 0]\n[0 0 0 0 0 0 0 0 0 0 0 0 0 1 0 0 0 0 0 0 0 0 0 0 0 0 0 0 0 1 0 0 1 0 0 0 1 0 0 0\n    1 1 0 1 1 1 0 1 0 0 0 0 0 1 0 0 0 1 0 1 1 1 1 0 1 0 0 0 1 0 1 1 1 1 0 0 0 0 \n    1 0 1 1 0 0 0 0 1 1 0 0 0 1 1 1 0 1 0 0 1 0 1 0 0 0 0 0 1 1 0 1 1 0 0 0 1 1 \n    1 1]\n[0 0 0 0 0 0 0 0 0 0 0 0 0 0 1 0 0 0 0 0 0 0 0 0 0 0 0 0 0 1 0 1 1 0 0 1 0 0 0 1\n    0 0 0 1 0 0 0 0 0 0 0 0 1 0 1 0 0 1 1 0 0 0 1 1 0 1 0 1 1 0 1 1 0 0 0 0 1 1 \n    0 0 0 1 0 0 0 1 1 0 1 0 1 1 1 1 0 1 1 0 1 1 1 1 0 1 0 0 0 1 1 0 1 1 0 1 0 1 \n    1 0]\n[0 0 0 0 0 0 0 0 0 0 0 0 0 0 0 1 0 0 0 0 0 0 0 0 0 0 0 0 0 1 1 1 1 1 1 1 1 1 1 0\n    0 0 1 1 0 1 1 1 1 1 1 1 0 0 0 0 1 0 0 0 1 0 0 0 0 1 0 0 0 0 1 0 0 0 1 1 0 0 \n    0 1 0 0 0 0 0 0 1 0 1 0 1 1 1 0 1 1 0 0 1 0 0 1 0 0 0 0 0 1 1 0 0 0 0 1 1 0 \n    0 1]\n[0 0 0 0 0 0 0 0 0 0 0 0 0 0 0 0 1 0 0 0 0 0 0 0 0 0 0 0 0 1 1 1 1 0 1 1 0 0 0 0\n    0 1 0 0 0 1 0 0 1 0 1 1 0 0 1 1 0 0 0 0 0 0 1 0 1 0 1 1 0 1 1 1 0 0 0 0 0 0 \n    1 0 1 0 1 0 0 0 1 1 1 1 0 1 0 0 1 1 0 0 0 0 0 0 0 1 0 1 0 1 0 0 1 1 0 0 1 1 \n    1 0]\n[0 0 0 0 0 0 0 0 0 0 0 0 0 0 0 0 0 1 0 0 0 0 0 0 0 0 0 0 0 1 1 1 0 0 1 0 0 1 1 1\n    0 0 1 0 1 1 1 0 1 1 0 1 1 1 1 1 0 0 0 0 0 0 0 1 0 0 1 1 0 1 1 0 0 1 0 1 1 1 \n    1 1 0 1 1 0 1 1 0 0 1 1 0 0 1 0 1 1 1 1 0 1 1 1 0 1 0 0 0 0 1 1 1 0 1 0 0 1 \n    1 0]\n[0 0 0 0 0 0 0 0 0 0 0 0 0 0 0 0 0 0 1 0 0 0 0 0 0 0 0 0 0 0 1 1 1 0 0 0 0 0 1 1\n    1 0 0 1 0 1 1 1 0 1 1 0 1 1 1 1 1 0 0 0 0 0 0 0 1 0 0 1 1 0 0 1 0 0 1 0 1 1 \n    1 1 1 0 1 1 0 1 1 0 0 1 1 0 0 1 0 1 1 1 1 0 1 1 1 0 1 0 0 0 0 1 1 1 0 1 0 0 \n    1 0]\n[0 0 0 0 0 0 0 0 0 0 0 0 0 0 0 0 0 0 0 1 0 0 0 0 0 0 0 0 0 0 0 1 1 1 0 1 0 0 0 1\n    1 1 0 0 1 0 1 1 1 0 1 1 0 1 1 1 1 1 0 0 0 0 0 0 0 1 0 0 1 1 1 0 1 0 0 1 0 1 \n    1 1 1 1 0 1 1 0 1 1 0 0 1 1 0 0 1 0 1 1 1 1 0 1 1 1 0 1 0 0 0 0 1 1 1 0 1 0 \n    0 0]\n[0 0 0 0 0 0 0 0 0 0 0 0 0 0 0 0 0 0 0 0 1 0 0 0 0 0 0 0 0 0 1 0 0 0 0 1 1 0 1 1\n    0 0 1 0 0 1 0 0 1 0 1 0 0 1 1 0 0 0 0 1 1 1 0 0 1 1 0 1 0 1 1 0 0 0 0 1 0 0 \n    0 1 1 1 1 0 1 0 1 1 0 1 0 0 1 1 1 1 1 0 1 0 1 0 0 0 0 0 1 1 0 1 0 0 0 1 0 1 \n    1 0]\n[0 0 0 0 0 0 0 0 0 0 0 0 0 0 0 0 0 0 0 0 0 1 0 0 0 0 0 0 0 0 1 0 1 0 0 1 0 1 1 1\n    1 0 1 1 0 0 1 1 1 0 0 1 0 0 0 0 0 0 0 0 1 1 0 0 1 1 1 0 0 0 0 1 1 1 1 1 1 1 \n    1 1 1 1 1 1 0 0 0 0 0 0 0 1 1 0 1 0 0 1 1 0 1 1 1 0 0 1 0 0 0 1 0 1 0 1 1 0 \n    0 0]\n[0 0 0 0 0 0 0 0 0 0 0 0 0 0 0 0 0 0 0 0 0 0 1 0 0 0 0 0 0 0 0 0 1 0 0 0 0 0 1 0\n    0 1 1 0 1 0 1 0 1 0 1 1 1 0 1 1 0 0 1 1 1 1 1 0 1 1 1 1 0 0 1 0 1 0 0 1 0 1 \n    1 0 1 1 1 0 0 1 0 0 1 1 0 0 1 0 1 0 1 0 0 1 0 0 0 0 0 0 0 1 0 0 0 0 0 1 1 1 \n    1 1]\n[0 0 0 0 0 0 0 0 0 0 0 0 0 0 0 0 0 0 0 0 0 0 0 1 0 0 0 0 0 1 1 0 1 1 1 1 1 1 0 1\n    1 0 1 0 1 0 1 1 0 1 1 0 1 0 1 1 0 0 1 0 1 1 0 0 0 0 0 1 1 1 1 0 0 0 0 0 1 0 \n    1 1 0 1 0 1 0 1 1 0 0 0 1 1 1 1 0 1 0 0 0 0 1 0 0 0 1 1 0 0 0 0 1 0 1 0 1 1 \n    1 0]\n[0 0 0 0 0 0 0 0 0 0 0 0 0 0 0 0 0 0 0 0 0 0 0 0 1 0 0 0 0 1 1 0 1 1 1 1 1 0 0 0\n    0 0 1 1 1 0 0 1 1 0 0 0 1 1 0 1 1 1 1 0 1 0 0 0 0 0 0 1 1 0 1 1 0 1 1 1 0 1 \n    1 0 1 0 0 1 0 1 0 1 0 1 0 1 0 1 1 1 1 0 1 1 0 0 0 0 0 0 0 0 1 1 0 0 1 0 0 1 \n    1 0]\n[0 0 0 0 0 0 0 0 0 0 0 0 0 0 0 0 0 0 0 0 0 0 0 0 0 1 0 0 0 0 1 1 1 1 0 0 1 1 0 0\n    0 1 0 0 1 1 1 1 0 0 0 0 1 0 1 1 0 0 1 1 0 0 1 1 1 1 1 1 0 1 0 0 0 1 1 1 1 1 \n    1 1 0 1 0 1 0 1 0 1 0 0 0 0 0 1 1 1 0 0 0 1 0 1 1 0 1 1 1 1 1 1 1 0 0 1 0 0 \n    0 1]\n[0 0 0 0 0 0 0 0 0 0 0 0 0 0 0 0 0 0 0 0 0 0 0 0 0 0 1 0 0 1 1 1 1 1 1 0 1 0 1 0\n    1 1 1 0 1 0 1 0 0 1 1 1 1 1 1 0 1 1 1 0 1 1 0 0 0 1 1 0 0 1 1 0 1 0 1 1 1 0 \n    1 1 1 0 0 1 0 0 0 1 0 1 1 1 0 1 1 1 0 0 0 0 0 1 0 1 0 1 0 0 1 1 0 1 1 0 1 0 \n    1 1]\n[0 0 0 0 0 0 0 0 0 0 0 0 0 0 0 0 0 0 0 0 0 0 0 0 0 0 0 1 0 0 1 0 1 0 0 1 1 1 0 0\n    1 0 0 1 0 1 0 1 1 0 0 0 0 0 0 1 1 0 0 0 1 0 0 0 0 1 0 0 1 0 0 0 1 1 1 1 0 0 \n    0 0 1 1 0 0 1 0 1 1 1 1 0 1 0 0 0 0 1 1 1 0 1 0 1 1 0 1 1 0 1 1 0 0 0 0 0 1 \n    0 1]\n[0 0 0 0 0 0 0 0 0 0 0 0 0 0 0 0 0 0 0 0 0 0 0 0 0 0 0 0 1 0 0 1 1 1 1 1 1 1 1 0\n    0 0 0 1 1 0 0 1 0 0 0 0 1 1 0 1 0 0 0 0 0 0 1 0 1 1 0 1 1 1 1 1 1 0 1 1 1 1 \n    0 0 0 1 1 1 1 0 1 0 0 1 0 0 0 1 0 0 1 0 1 1 1 0 1 1 0 1 0 0 1 1 1 0 0 0 0 0 \n    0 0]\nLinear Code over GF(2) of length 118 with 29 generators.\nLower Bound: 1, Upper Bound: 90\nConstructed 5 distinct generator matrices\nRelative Ranks:  29  29  29  29   2 \n     Discarding non-contributing rank 2 matrix\n     New Relative Ranks:  29  29  29  29 \nTime Taken: 0.00\nStarting search for low weight codewords... (reset timings)\nEnumerating using 1 generator at a time:\n     New codeword identified of weight 48, time 0.00\n     New codeword identified of weight 45, time 0.00\n     New codeword identified of weight 44, time 0.00\n     New codeword identified of weight 43, time 0.00\n     New codeword identified of weight 41, time 0.00\n     New codeword identified of weight 40, time 0.00\n     New codeword identified of weight 36, time 0.00\n   Completed Matrix  1:  lower =  5, upper = 36. Elapsed: 0.00s\n   Completed Matrix  2:  lower =  6, upper = 36. Elapsed: 0.00s\n   Completed Matrix  3:  lower =  7, upper = 36. Elapsed: 0.00s\n   Completed Matrix  4:  lower =  8, upper = 36. Elapsed: 0.00s\nTermination predicted with 8 generators at matrix 4\nEnumerating using 2 generators at a time:\n   Completed Matrix  1:  lower =  9, upper = 36. Elapsed: 0.00s\n     New codeword identified of weight 35, time 0.00\n   Completed Matrix  2:  lower = 10, upper = 35. Elapsed: 0.00s\n   Completed Matrix  3:  lower = 11, upper = 35. Elapsed: 0.00s\n   Completed Matrix  4:  lower = 12, upper = 35. Elapsed: 0.00s\nTermination predicted with 8 generators at matrix 3\nEnumerating using 3 generators at a time:\n   Completed Matrix  1:  lower = 13, upper = 35. Elapsed: 0.00s\n   Completed Matrix  2:  lower = 14, upper = 35. Elapsed: 0.00s\n   Completed Matrix  3:  lower = 15, upper = 35. Elapsed: 0.00s\n   Completed Matrix  4:  lower = 16, upper = 35. Elapsed: 0.00s\nTermination predicted with 8 generators at matrix 3\nEnumerating using 4 generators at a time:\n   Completed Matrix  1:  lower = 17, upper = 35. Elapsed: 0.00s\n   Completed Matrix  2:  lower = 18, upper = 35. Elapsed: 0.00s\n   Completed Matrix  3:  lower = 19, upper = 35. Elapsed: 0.00s\n   Completed Matrix  4:  lower = 20, upper = 35. Elapsed: 0.00s\nTermination predicted with 8 generators at matrix 3\nEnumerating using 5 generators at a time:\n   Completed Matrix  1:  lower = 21, upper = 35. Elapsed: 0.00s\n   Completed Matrix  2:  lower = 22, upper = 35. Elapsed: 0.00s\n   Completed Matrix  3:  lower = 23, upper = 35. Elapsed: 0.00s\n   Completed Matrix  4:  lower = 24, upper = 35. Elapsed: 0.00s\nTermination predicted with 8 generators at matrix 3\nEnumerating using 6 generators at a time:\n   Completed Matrix  1:  lower = 25, upper = 35. Elapsed: 0.00s\n   Completed Matrix  2:  lower = 26, upper = 35. Elapsed: 0.00s\n   Completed Matrix  3:  lower = 27, upper = 35. Elapsed: 0.00s\n   Completed Matrix  4:  lower = 28, upper = 35. Elapsed: 0.00s\nTermination predicted with 8 generators at matrix 3\nEnumerating using 7 generators at a time:\n   Completed Matrix  1:  lower = 29, upper = 35. Elapsed: 0.00s\n   Completed Matrix  2:  lower = 30, upper = 35. Elapsed: 0.02s\n   Completed Matrix  3:  lower = 31, upper = 35. Elapsed: 0.02s\n   Completed Matrix  4:  lower = 32, upper = 35. Elapsed: 0.03s\nTermination predicted with 8 generators at matrix 3\nEnumerating using 8 generators at a time:\n   Completed Matrix  1:  lower = 33, upper = 35. Elapsed: 0.03s\n   Completed Matrix  2:  lower = 34, upper = 35. Elapsed: 0.05s\n   Completed Matrix  3:  lower = 35, upper = 35. Elapsed: 0.06s\nComputation complete 21606015 vectors enumerated in total\n (4.024434% of 118 29 code)\nFinal Results: lower = 35, upper = 35,\nTotal CPU time: 0.06, real time: 0.067\n35\n\nTotal time: 0.080 seconds, Total memory usage: 32.09MB\n</t>
  </si>
  <si>
    <t>[[119,28,36]]</t>
  </si>
  <si>
    <t>Magma V2.28-26    Tue Dec 30 2025 10:41:19 on Marks-MacBook-Air-2 [Seed = \n489150602]\nType ? for help.  Type &lt;Ctrl&gt;-D to quit.\n[0 0 1 1 1 0 0 1 0 0 1 0 1 0 1 1 0 0 0 0 0 0 1 1 0 0 0 1 1 0 0 0 0 0 1 0 0 1 0 1\n    0 0 1 1 1 1 0 0 0 0 1 1 0 0 1 0 1 1 1 1 0 1 0 0 0 0 1 1 1 0 1 0 1 1 0 1 1 0 \n    1 1 0 0 0 0 0 1 0 0 0 1 0 1 0 0 0 0 0 0 0 0 0 0 0 0 0 0 0 0 0 0 0 0 0 0 0 0 \n    0 0 0]\n[0 0 0 1 1 1 0 0 1 0 0 1 0 1 0 1 1 0 0 0 0 0 0 1 1 0 0 0 1 1 0 0 0 0 0 1 0 0 1 0\n    1 0 0 1 1 1 1 0 0 0 0 1 1 0 0 1 0 1 1 1 1 0 1 0 0 0 0 1 1 1 0 1 0 1 1 0 1 1 \n    0 1 1 0 0 0 0 0 1 0 0 0 1 0 1 0 0 0 0 0 0 0 0 0 0 0 0 0 0 0 0 0 0 0 0 0 0 0 \n    0 0 0]\n[1 0 1 1 0 1 1 1 0 1 1 0 0 0 0 1 1 1 0 0 0 0 1 1 1 1 0 1 1 1 1 0 0 0 1 0 1 1 0 0\n    0 1 1 1 0 0 1 1 0 0 1 1 1 1 1 0 0 1 0 0 1 0 0 1 0 0 1 1 0 1 0 0 0 1 1 0 1 1 \n    0 1 1 1 0 0 0 1 0 1 0 1 0 0 0 1 0 0 0 0 0 0 0 0 0 0 0 0 0 0 0 0 0 0 0 0 0 0 \n    0 0 0]\n[0 1 0 1 1 0 1 1 1 0 1 1 0 0 0 0 1 1 1 0 0 0 0 1 1 1 1 0 1 1 1 1 0 0 0 1 0 1 1 0\n    0 0 1 1 1 0 0 1 1 0 0 1 1 1 1 1 0 0 1 0 0 1 0 0 1 0 0 1 1 0 1 0 0 0 1 1 0 1 \n    1 0 1 1 1 0 0 0 1 0 1 0 1 0 0 0 1 0 0 0 0 0 0 0 0 0 0 0 0 0 0 0 0 0 0 0 0 0 \n    0 0 0]\n[0 0 0 1 0 1 0 0 1 1 1 1 0 0 1 1 0 1 1 1 0 0 1 1 1 1 1 0 1 1 1 1 1 0 1 0 1 1 1 0\n    0 0 1 0 0 0 0 0 1 1 1 1 1 1 0 1 0 1 1 0 0 1 1 0 0 1 1 1 0 1 1 1 1 1 0 0 0 0 \n    0 0 0 1 1 1 0 1 0 1 0 0 0 0 0 0 0 1 0 0 0 0 0 0 0 0 0 0 0 0 0 0 0 0 0 0 0 0 \n    0 0 0]\n[0 0 0 0 1 0 1 0 0 1 1 1 1 0 0 1 1 0 1 1 1 0 0 1 1 1 1 1 0 1 1 1 1 1 0 1 0 1 1 1\n    0 0 0 1 0 0 0 0 0 1 1 1 1 1 1 0 1 0 1 1 0 0 1 1 0 0 1 1 1 0 1 1 1 1 1 0 0 0 \n    0 0 0 0 1 1 1 0 1 0 1 0 0 0 0 0 0 0 1 0 0 0 0 0 0 0 0 0 0 0 0 0 0 0 0 0 0 0 \n    0 0 0]\n[0 0 0 0 0 1 0 1 0 0 1 1 1 1 0 0 1 1 0 1 1 1 0 0 1 1 1 1 1 0 1 1 1 1 1 0 1 0 1 1\n    1 0 0 0 1 0 0 0 0 0 1 1 1 1 1 1 0 1 0 1 1 0 0 1 1 0 0 1 1 1 0 1 1 1 1 1 0 0 \n    0 0 0 0 0 1 1 1 0 1 0 1 0 0 0 0 0 0 0 1 0 0 0 0 0 0 0 0 0 0 0 0 0 0 0 0 0 0 \n    0 0 0]\n[1 0 0 0 0 0 1 0 1 0 0 1 1 1 1 0 0 1 1 0 1 1 1 0 0 1 1 1 1 1 0 1 1 1 1 1 0 1 0 1\n    1 1 0 0 0 1 0 0 0 0 0 1 1 1 1 1 1 0 1 0 1 1 0 0 1 1 0 0 1 1 1 0 1 1 1 1 1 0 \n    0 0 0 0 0 0 1 1 1 0 1 0 1 0 0 0 0 0 0 0 1 0 0 0 0 0 0 0 0 0 0 0 0 0 0 0 0 0 \n    0 0 0]\n[1 1 1 1 1 0 0 0 0 1 1 0 0 1 0 0 0 0 1 1 0 1 0 0 0 0 1 0 0 1 1 0 1 1 0 1 1 1 1 1\n    1 1 0 1 1 1 1 0 0 0 1 1 1 1 0 1 0 0 1 0 0 0 1 0 0 1 0 1 1 1 0 1 1 0 1 0 0 1 \n    1 1 0 0 0 0 0 0 1 1 0 0 0 0 0 0 0 0 0 0 0 1 0 0 0 0 0 0 0 0 0 0 0 0 0 0 0 0 \n    0 0 0]\n[1 1 1 1 1 1 0 0 0 0 1 1 0 0 1 0 0 0 0 1 1 0 1 0 0 0 0 1 0 0 1 1 0 1 1 0 1 1 1 1\n    1 1 1 0 1 1 1 1 0 0 0 1 1 1 1 0 1 0 0 1 0 0 0 1 0 0 1 0 1 1 1 0 1 1 0 1 0 0 \n    1 1 1 0 0 0 0 0 0 1 1 0 0 0 0 0 0 0 0 0 0 0 1 0 0 0 0 0 0 0 0 0 0 0 0 0 0 0 \n    0 0 0]\n[1 1 1 1 1 1 1 0 0 0 0 1 1 0 0 1 0 0 0 0 1 1 0 1 0 0 0 0 1 0 0 1 1 0 1 1 0 1 1 1\n    1 1 1 1 0 1 1 1 1 0 0 0 1 1 1 1 0 1 0 0 1 0 0 0 1 0 0 1 0 1 1 1 0 1 1 0 1 0 \n    0 1 1 1 0 0 0 0 0 0 1 1 0 0 0 0 0 0 0 0 0 0 0 1 0 0 0 0 0 0 0 0 0 0 0 0 0 0 \n    0 0 0]\n[1 1 1 1 1 1 1 1 0 0 0 0 1 1 0 0 1 0 0 0 0 1 1 0 1 0 0 0 0 1 0 0 1 1 0 1 1 0 1 1\n    1 1 1 1 1 0 1 1 1 1 0 0 0 1 1 1 1 0 1 0 0 1 0 0 0 1 0 0 1 0 1 1 1 0 1 1 0 1 \n    0 0 1 1 1 0 0 0 0 0 0 1 1 0 0 0 0 0 0 0 0 0 0 0 1 0 0 0 0 0 0 0 0 0 0 0 0 0 \n    0 0 0]\n[1 1 0 0 0 1 1 0 1 0 1 0 1 1 0 1 0 1 0 0 0 0 0 0 0 1 0 1 1 0 1 0 0 1 0 0 1 0 0 0\n    1 1 0 0 0 0 0 1 1 1 0 1 0 0 0 1 0 0 1 0 0 1 1 0 0 0 0 1 1 1 1 1 0 0 0 0 0 0 \n    0 1 0 1 1 1 0 1 0 0 0 1 1 0 0 0 0 0 0 0 0 0 0 0 0 1 0 0 0 0 0 0 0 0 0 0 0 0 \n    0 0 0]\n[0 1 0 1 1 0 1 0 0 1 1 1 1 1 0 1 1 0 1 0 0 0 1 1 0 0 1 1 0 1 0 1 0 0 0 0 0 0 0 1\n    0 1 0 1 1 1 0 0 1 1 0 1 1 0 1 0 0 1 1 0 0 1 1 1 0 0 1 1 0 1 0 1 0 1 0 1 1 0 \n    1 1 1 0 1 1 1 1 1 0 0 1 1 0 0 0 0 0 0 0 0 0 0 0 0 0 1 0 0 0 0 0 0 0 0 0 0 0 \n    0 0 0]\n[1 0 0 1 0 1 0 0 0 0 0 1 0 1 0 1 1 1 0 1 0 0 1 0 1 0 0 0 0 0 1 0 1 0 1 0 0 1 0 1\n    1 0 0 1 0 0 1 0 0 1 0 1 1 1 1 1 1 1 0 0 0 1 1 1 1 0 1 0 0 0 0 0 0 1 1 1 0 1 \n    1 0 1 1 0 1 1 0 1 1 0 1 1 0 0 0 0 0 0 0 0 0 0 0 0 0 0 1 0 0 0 0 0 0 0 0 0 0 \n    0 0 0]\n[0 1 1 1 0 0 1 1 0 0 1 0 0 0 0 1 1 1 1 0 1 0 1 0 0 1 0 1 1 0 0 1 0 1 1 1 0 1 1 1\n    1 1 1 1 0 1 0 1 0 0 0 1 1 1 0 1 0 0 0 1 0 1 1 1 1 1 1 0 1 0 1 0 1 1 1 0 0 0 \n    0 0 0 1 1 0 1 0 0 1 1 1 1 0 0 0 0 0 0 0 0 0 0 0 0 0 0 0 1 0 0 0 0 0 0 0 0 0 \n    0 0 0]\n[0 0 0 0 0 0 0 0 1 0 1 1 1 0 1 1 1 1 1 1 0 1 1 0 0 0 1 1 0 1 0 0 1 0 0 1 1 1 1 0\n    1 1 0 0 0 1 1 0 1 0 1 1 1 1 0 0 0 1 1 1 1 1 1 1 1 1 0 0 1 1 1 1 1 0 1 0 1 0 \n    1 1 0 0 1 1 0 0 0 0 1 0 1 0 0 0 0 0 0 0 0 0 0 0 0 0 0 0 0 1 0 0 0 0 0 0 0 0 \n    0 0 0]\n[0 0 1 1 1 0 0 1 0 1 1 1 0 1 1 0 1 1 1 1 1 0 0 0 0 0 0 0 0 0 1 0 0 1 1 0 1 0 1 0\n    0 1 0 1 1 1 1 1 0 1 1 0 1 1 0 0 1 1 0 0 1 0 1 1 1 1 0 1 1 1 0 1 0 0 0 0 1 1 \n    1 0 1 0 0 1 1 1 0 0 0 0 0 0 0 0 0 0 0 0 0 0 0 0 0 0 0 0 0 0 1 0 0 0 0 0 0 0 \n    0 0 0]\n[0 0 0 1 1 1 0 0 1 0 1 1 1 0 1 1 0 1 1 1 1 1 0 0 0 0 0 0 0 0 0 1 0 0 1 1 0 1 0 1\n    0 0 1 0 1 1 1 1 1 0 1 1 0 1 1 0 0 1 1 0 0 1 0 1 1 1 1 0 1 1 1 0 1 0 0 0 0 1 \n    1 1 0 1 0 0 1 1 1 0 0 0 0 0 0 0 0 0 0 0 0 0 0 0 0 0 0 0 0 0 0 1 0 0 0 0 0 0 \n    0 0 0]\n[1 0 0 0 1 1 1 0 0 1 0 1 1 1 0 1 1 0 1 1 1 1 1 0 0 0 0 0 0 0 0 0 1 0 0 1 1 0 1 0\n    1 0 0 1 0 1 1 1 1 1 0 1 1 0 1 1 0 0 1 1 0 0 1 0 1 1 1 1 0 1 1 1 0 1 0 0 0 0 \n    1 1 1 0 1 0 0 1 1 1 0 0 0 0 0 0 0 0 0 0 0 0 0 0 0 0 0 0 0 0 0 0 1 0 0 0 0 0 \n    0 0 0]\n[0 1 0 0 0 1 1 1 0 0 1 0 1 1 1 0 1 1 0 1 1 1 1 1 0 0 0 0 0 0 0 0 0 1 0 0 1 1 0 1\n    0 1 0 0 1 0 1 1 1 1 1 0 1 1 0 1 1 0 0 1 1 0 0 1 0 1 1 1 1 0 1 1 1 0 1 0 0 0 \n    0 1 1 1 0 1 0 0 1 1 1 0 0 0 0 0 0 0 0 0 0 0 0 0 0 0 0 0 0 0 0 0 0 1 0 0 0 0 \n    0 0 0]\n[0 0 1 0 0 0 1 1 1 0 0 1 0 1 1 1 0 1 1 0 1 1 1 1 1 0 0 0 0 0 0 0 0 0 1 0 0 1 1 0\n    1 0 1 0 0 1 0 1 1 1 1 1 0 1 1 0 1 1 0 0 1 1 0 0 1 0 1 1 1 1 0 1 1 1 0 1 0 0 \n    0 0 1 1 1 0 1 0 0 1 1 1 0 0 0 0 0 0 0 0 0 0 0 0 0 0 0 0 0 0 0 0 0 0 1 0 0 0 \n    0 0 0]\n[1 0 0 1 0 0 0 1 1 1 0 0 1 0 1 1 1 0 1 1 0 1 1 1 1 1 0 0 0 0 0 0 0 0 0 1 0 0 1 1\n    0 1 0 1 0 0 1 0 1 1 1 1 1 0 1 1 0 1 1 0 0 1 1 0 0 1 0 1 1 1 1 0 1 1 1 0 1 0 \n    0 0 0 1 1 1 0 1 0 0 1 1 1 0 0 0 0 0 0 0 0 0 0 0 0 0 0 0 0 0 0 0 0 0 0 1 0 0 \n    0 0 0]\n[1 1 1 1 0 0 0 1 1 1 0 0 1 1 1 0 1 1 0 1 1 0 0 0 1 1 1 1 1 0 0 0 0 0 1 0 1 1 0 0\n    1 0 0 1 0 1 0 1 0 1 0 0 1 1 1 1 0 1 0 0 0 1 1 1 0 0 0 1 0 1 0 1 1 0 1 0 1 1 \n    1 1 0 0 1 1 1 1 1 0 0 0 1 0 0 0 0 0 0 0 0 0 0 0 0 0 0 0 0 0 0 0 0 0 0 0 1 0 \n    0 0 0]\n[1 1 0 0 0 0 0 1 1 1 0 0 1 1 0 0 0 1 1 0 1 1 1 1 0 1 1 0 0 1 0 0 0 0 1 1 0 0 1 1\n    0 1 1 1 0 1 1 0 1 0 0 1 0 1 0 1 0 1 0 1 0 1 1 1 1 0 1 1 0 0 0 0 0 0 0 0 1 1 \n    0 0 1 0 0 1 1 0 1 1 0 1 0 0 0 0 0 0 0 0 0 0 0 0 0 0 0 0 0 0 0 0 0 0 0 0 0 1 \n    0 0 0]\n[1 1 1 0 0 0 0 0 1 1 1 0 0 1 1 0 0 0 1 1 0 1 1 1 1 0 1 1 0 0 1 0 0 0 0 1 1 0 0 1\n    1 0 1 1 1 0 1 1 0 1 0 0 1 0 1 0 1 0 1 0 1 0 1 1 1 1 0 1 1 0 0 0 0 0 0 0 0 1 \n    1 0 0 1 0 0 1 1 0 1 1 0 1 0 0 0 0 0 0 0 0 0 0 0 0 0 0 0 0 0 0 0 0 0 0 0 0 0 \n    1 0 0]\n[1 1 0 0 1 0 0 1 0 1 0 1 1 0 0 0 0 0 0 1 1 0 0 0 1 1 0 0 0 0 0 1 0 0 1 0 1 0 0 1\n    1 1 1 0 0 0 0 1 1 0 0 1 0 1 1 1 1 0 1 0 0 0 0 1 1 1 0 1 0 1 1 0 1 1 0 1 1 0 \n    0 0 0 0 1 0 0 0 1 0 1 0 0 0 0 0 0 0 0 0 0 0 0 0 0 0 0 0 0 0 0 0 0 0 0 0 0 0 \n    0 1 0]\n[1 1 1 0 0 1 0 0 1 0 1 0 1 1 0 0 0 0 0 0 1 1 0 0 0 1 1 0 0 0 0 0 1 0 0 1 0 1 0 0\n    1 1 1 1 0 0 0 0 1 1 0 0 1 0 1 1 1 1 0 1 0 0 0 0 1 1 1 0 1 0 1 1 0 1 1 0 1 1 \n    0 0 0 0 0 1 0 0 0 1 0 1 0 0 0 0 0 0 0 0 0 0 0 0 0 0 0 0 0 0 0 0 0 0 0 0 0 0 \n    0 0 1]\n[119, 28] Linear Code over GF(2)\nGenerator matrix:\n[1 0 0 0 0 0 0 0 0 0 0 0 0 0 0 0 0 0 0 0 0 0 0 0 0 0 0 0 0 1 0 0 1 0 1 0 0 0 1 1\n    1 0 0 1 0 0 1 0 1 0 1 1 0 0 0 0 0 0 1 1 0 0 0 1 1 0 0 0 0 0 1 0 0 1 0 1 0 0 \n    1 1 1 1 0 0 0 0 1 1 0 0 1 0 1 1 1 1 0 1 0 0 0 0 1 1 1 0 1 0 1 1 0 1 1 0 1 1 \n    0 0 0]\n[0 1 0 0 0 0 0 0 0 0 0 0 0 0 0 0 0 0 0 0 0 0 0 0 0 0 0 0 0 0 1 0 0 1 0 1 0 0 0 1\n    1 1 0 0 1 0 0 1 0 1 0 1 1 0 0 0 0 0 0 1 1 0 0 0 1 1 0 0 0 0 0 1 0 0 1 0 1 0 \n    0 1 1 1 1 0 0 0 0 1 1 0 0 1 0 1 1 1 1 0 1 0 0 0 0 1 1 1 0 1 0 1 1 0 1 1 0 1 \n    1 0 0]\n[0 0 1 0 0 0 0 0 0 0 0 0 0 0 0 0 0 0 0 0 0 0 0 0 0 0 0 0 0 1 0 1 1 0 0 0 1 0 1 1\n    0 1 1 1 0 1 1 0 0 0 0 1 1 1 0 0 0 0 1 1 1 1 0 1 1 1 1 0 0 0 1 0 1 1 0 0 0 1 \n    1 1 0 0 1 1 0 0 1 1 1 1 1 0 0 1 0 0 1 0 0 1 0 0 1 1 0 1 0 0 0 1 1 0 1 1 0 1 \n    1 1 0]\n[0 0 0 1 0 0 0 0 0 0 0 0 0 0 0 0 0 0 0 0 0 0 0 0 0 0 0 0 0 0 1 0 1 1 0 0 0 1 0 1\n    1 0 1 1 1 0 1 1 0 0 0 0 1 1 1 0 0 0 0 1 1 1 1 0 1 1 1 1 0 0 0 1 0 1 1 0 0 0 \n    1 1 1 0 0 1 1 0 0 1 1 1 1 1 0 0 1 0 0 1 0 0 1 0 0 1 1 0 1 0 0 0 1 1 0 1 1 0 \n    1 1 1]\n[0 0 0 0 1 0 0 0 0 0 0 0 0 0 0 0 0 0 0 0 0 0 0 0 0 0 0 1 0 1 1 1 0 1 0 0 1 1 1 1\n    0 0 0 0 0 1 0 1 1 1 1 1 0 1 1 1 1 1 1 1 1 0 0 0 1 1 1 1 0 0 1 1 1 0 1 0 1 1 \n    0 1 0 0 0 0 0 0 1 1 0 1 1 0 1 0 1 1 0 1 1 0 1 0 0 1 1 1 0 0 1 0 1 0 1 1 0 0 \n    0 1 1]\n[0 0 0 0 0 1 0 0 0 0 0 0 0 0 0 0 0 0 0 0 0 0 0 0 0 0 0 1 0 0 0 0 0 1 1 0 1 1 1 0\n    1 1 1 0 1 1 0 1 0 1 0 1 1 0 1 1 0 1 0 1 1 0 0 1 0 1 1 1 0 1 0 0 0 0 1 1 1 1 \n    1 0 0 0 0 0 1 0 1 1 0 1 0 1 0 1 1 0 0 0 1 1 1 1 0 1 0 0 0 0 1 0 0 0 1 1 0 0 \n    0 0 1]\n[0 0 0 0 0 0 1 0 0 0 0 0 0 0 0 0 0 0 0 0 0 0 0 0 0 0 0 1 0 0 1 1 1 1 1 1 1 1 1 0\n    0 0 0 1 1 0 0 1 0 0 0 0 1 1 0 1 0 0 0 0 1 0 0 1 1 0 1 1 0 1 1 1 1 1 1 1 0 1 \n    1 1 1 0 0 0 1 1 1 1 0 1 0 0 1 0 0 0 1 0 0 1 0 1 1 1 0 1 1 0 1 0 0 1 1 1 0 0 \n    0 0 0]\n[0 0 0 0 0 0 0 1 0 0 0 0 0 0 0 0 0 0 0 0 0 0 0 0 0 0 0 0 0 0 0 0 1 0 1 1 1 0 0 0\n    0 0 1 0 1 0 0 1 1 1 1 0 0 1 1 0 1 1 1 0 0 1 1 1 1 1 0 1 1 1 1 1 0 1 0 1 1 1 \n    0 0 0 1 0 0 0 0 0 1 1 1 1 1 1 0 1 0 1 1 0 0 1 1 0 0 1 1 1 0 1 1 1 1 1 0 0 0 \n    0 0 0]\n[0 0 0 0 0 0 0 0 1 0 0 0 0 0 0 0 0 0 0 0 0 0 0 0 0 0 0 0 0 1 0 0 1 1 1 1 1 1 1 1\n    1 0 0 0 0 1 1 0 0 1 0 0 0 0 1 1 0 1 0 0 0 0 1 0 0 1 1 0 1 1 0 1 1 1 1 1 1 1 \n    0 1 1 1 1 0 0 0 1 1 1 1 0 1 0 0 1 0 0 0 1 0 0 1 0 1 1 1 0 1 1 0 1 0 0 1 1 1 \n    0 0 0]\n[0 0 0 0 0 0 0 0 0 1 0 0 0 0 0 0 0 0 0 0 0 0 0 0 0 0 0 0 0 0 1 0 0 1 1 1 1 1 1 1\n    1 1 0 0 0 0 1 1 0 0 1 0 0 0 0 1 1 0 1 0 0 0 0 1 0 0 1 1 0 1 1 0 1 1 1 1 1 1 \n    1 0 1 1 1 1 0 0 0 1 1 1 1 0 1 0 0 1 0 0 0 1 0 0 1 0 1 1 1 0 1 1 0 1 0 0 1 1 \n    1 0 0]\n[0 0 0 0 0 0 0 0 0 0 1 0 0 0 0 0 0 0 0 0 0 0 0 0 0 0 0 0 0 0 0 1 0 0 1 1 1 1 1 1\n    1 1 1 0 0 0 0 1 1 0 0 1 0 0 0 0 1 1 0 1 0 0 0 0 1 0 0 1 1 0 1 1 0 1 1 1 1 1 \n    1 1 0 1 1 1 1 0 0 0 1 1 1 1 0 1 0 0 1 0 0 0 1 0 0 1 0 1 1 1 0 1 1 0 1 0 0 1 \n    1 1 0]\n[0 0 0 0 0 0 0 0 0 0 0 1 0 0 0 0 0 0 0 0 0 0 0 0 0 0 0 0 0 0 0 0 1 0 0 1 1 1 1 1\n    1 1 1 1 0 0 0 0 1 1 0 0 1 0 0 0 0 1 1 0 1 0 0 0 0 1 0 0 1 1 0 1 1 0 1 1 1 1 \n    1 1 1 0 1 1 1 1 0 0 0 1 1 1 1 0 1 0 0 1 0 0 0 1 0 0 1 0 1 1 1 0 1 1 0 1 0 0 \n    1 1 1]\n[0 0 0 0 0 0 0 0 0 0 0 0 1 0 0 0 0 0 0 0 0 0 0 0 0 0 0 1 0 1 1 0 0 1 1 0 0 0 1 0\n    0 0 1 0 0 0 0 0 0 0 0 1 0 1 0 0 1 1 0 0 0 0 1 1 1 0 1 0 1 1 0 1 1 1 0 0 0 0 \n    1 1 0 0 0 1 0 0 0 1 1 0 1 0 1 1 1 1 0 1 1 0 1 1 1 1 0 1 0 0 0 1 1 0 1 1 0 1 \n    0 1 1]\n[0 0 0 0 0 0 0 0 0 0 0 0 0 1 0 0 0 0 0 0 0 0 0 0 0 0 0 1 0 1 0 0 0 1 0 1 1 0 1 1\n    1 1 1 0 1 1 0 1 0 0 0 1 1 0 1 0 1 1 1 1 0 1 0 1 0 1 0 1 1 0 0 1 0 1 0 1 1 0 \n    1 0 1 1 0 0 0 0 0 1 0 0 0 1 1 0 1 1 0 1 1 1 1 1 0 1 1 1 1 0 0 0 1 1 0 1 1 1 \n    1 0 1]\n[0 0 0 0 0 0 0 0 0 0 0 0 0 0 1 0 0 0 0 0 0 0 0 0 0 0 0 1 0 1 0 1 0 1 0 0 0 1 1 1\n    0 0 0 0 1 0 1 1 1 0 0 1 1 1 0 1 1 1 1 0 1 1 1 0 0 0 1 0 0 0 1 1 0 0 0 1 0 1 \n    1 0 0 0 1 0 1 0 0 1 0 1 0 0 0 0 0 1 0 1 1 1 0 1 0 0 1 0 1 1 0 0 0 1 1 0 1 0 \n    1 1 0]\n[0 0 0 0 0 0 0 0 0 0 0 0 0 0 0 1 0 0 0 0 0 0 0 0 0 0 0 0 0 1 1 1 0 1 0 0 0 1 1 1\n    0 0 1 1 0 0 1 0 0 0 0 1 1 1 1 0 1 0 1 0 0 1 0 1 1 0 0 1 0 1 1 1 0 1 1 1 1 1 \n    1 1 0 1 0 1 0 0 0 1 1 1 0 1 0 0 0 1 0 1 1 1 1 1 1 0 1 0 1 0 1 1 1 0 0 0 0 0 \n    0 1 1]\n[0 0 0 0 0 0 0 0 0 0 0 0 0 0 0 0 1 0 0 0 0 0 0 0 0 0 0 1 0 1 0 1 1 0 0 0 1 1 1 0\n    0 1 0 0 0 0 0 1 0 1 1 1 1 1 1 1 1 0 1 0 0 1 0 1 0 1 0 0 0 0 0 0 1 0 1 0 0 0 \n    1 1 0 1 1 0 0 1 1 1 0 1 1 1 1 0 1 0 1 1 1 1 0 0 1 0 0 1 0 0 1 1 0 0 0 1 1 1 \n    0 0 1]\n[0 0 0 0 0 0 0 0 0 0 0 0 0 0 0 0 0 1 0 0 0 0 0 0 0 0 0 1 0 1 0 1 1 0 1 0 1 1 0 1\n    1 1 0 1 1 1 0 1 1 0 1 0 1 1 1 1 0 1 0 0 0 1 1 0 0 0 1 0 1 1 1 1 1 1 1 0 1 0 \n    1 0 1 1 1 1 1 0 1 0 0 1 1 1 0 0 0 1 1 0 1 1 0 0 1 1 0 1 1 0 0 1 1 0 0 0 1 0 \n    1 0 0]\n[0 0 0 0 0 0 0 0 0 0 0 0 0 0 0 0 0 0 1 0 0 0 0 0 0 0 0 0 0 0 1 1 1 0 0 1 0 0 0 1\n    1 1 0 0 1 0 1 1 1 0 1 1 0 1 1 1 1 1 0 0 0 0 0 0 0 0 0 1 0 0 1 1 0 1 0 1 0 0 \n    1 0 1 1 1 1 1 0 1 1 0 1 1 0 0 1 1 0 0 1 0 1 1 1 1 0 1 1 1 0 1 0 0 0 0 1 1 1 \n    0 1 0]\n[0 0 0 0 0 0 0 0 0 0 0 0 0 0 0 0 0 0 0 1 0 0 0 0 0 0 0 0 0 0 0 1 1 1 0 0 1 0 0 0\n    1 1 1 0 0 1 0 1 1 1 0 1 1 0 1 1 1 1 1 0 0 0 0 0 0 0 0 0 1 0 0 1 1 0 1 0 1 0 \n    0 1 0 1 1 1 1 1 0 1 1 0 1 1 0 0 1 1 0 0 1 0 1 1 1 1 0 1 1 1 0 1 0 0 0 0 1 1 \n    1 0 1]\n[0 0 0 0 0 0 0 0 0 0 0 0 0 0 0 0 0 0 0 0 1 0 0 0 0 0 0 1 0 0 1 0 0 1 1 0 1 0 1 0\n    0 0 1 1 1 0 0 0 0 0 1 0 1 1 0 1 0 0 1 1 0 1 1 0 0 0 0 0 1 1 0 1 1 0 0 1 1 0 \n    1 1 1 0 1 1 0 0 1 0 0 1 1 0 0 1 0 0 1 0 0 1 1 0 0 1 0 0 0 0 1 1 0 0 1 1 0 1 \n    1 1 0]\n[0 0 0 0 0 0 0 0 0 0 0 0 0 0 0 0 0 0 0 0 0 1 0 0 0 0 0 0 0 0 0 0 0 1 1 1 0 0 1 0\n    0 0 1 1 1 0 0 1 0 1 1 1 0 1 1 0 1 1 1 1 1 0 0 0 0 0 0 0 0 0 1 0 0 1 1 0 1 0 \n    1 0 0 1 0 1 1 1 1 1 0 1 1 0 1 1 0 0 1 1 0 0 1 0 1 1 1 1 0 1 1 1 0 1 0 0 0 0 \n    1 1 1]\n[0 0 0 0 0 0 0 0 0 0 0 0 0 0 0 0 0 0 0 0 0 0 1 0 0 0 0 1 0 0 1 0 1 0 1 1 0 1 1 1\n    0 1 0 1 0 1 1 0 0 1 1 1 1 0 1 1 1 0 1 1 1 0 1 0 0 0 0 0 1 0 0 0 0 1 1 1 1 0 \n    1 0 0 0 1 0 0 0 1 1 0 0 0 0 1 0 1 1 0 1 1 0 1 0 1 1 0 1 0 1 1 0 0 0 0 1 0 0 \n    0 1 1]\n[0 0 0 0 0 0 0 0 0 0 0 0 0 0 0 0 0 0 0 0 0 0 0 1 0 0 0 1 0 1 1 0 0 0 1 1 0 0 0 1\n    0 1 0 1 0 1 1 0 0 0 1 0 1 1 0 1 0 1 0 0 1 0 0 1 1 0 0 0 1 0 1 1 1 0 0 0 0 1 \n    1 0 0 1 0 1 1 0 0 0 0 1 0 0 1 0 0 1 0 1 1 1 1 1 1 1 1 1 1 0 1 1 0 0 0 0 1 1 \n    0 0 1]\n[0 0 0 0 0 0 0 0 0 0 0 0 0 0 0 0 0 0 0 0 0 0 0 0 1 0 0 1 0 1 0 0 0 1 1 1 0 0 1 0\n    0 1 0 1 0 1 1 0 0 0 0 0 0 1 1 0 0 0 1 1 0 0 0 0 0 1 0 0 1 0 1 0 0 1 1 1 1 0 \n    0 0 0 1 1 0 0 1 0 1 1 1 1 0 1 0 0 0 0 1 1 1 0 1 0 1 1 0 1 1 0 1 1 0 0 0 0 0 \n    1 0 0]\n[0 0 0 0 0 0 0 0 0 0 0 0 0 0 0 0 0 0 0 0 0 0 0 0 0 1 0 0 0 0 1 1 0 1 1 1 1 1 1 0\n    0 0 0 0 1 1 1 0 0 1 1 0 0 0 1 1 0 1 1 1 1 0 1 1 0 0 1 0 0 0 0 1 1 0 0 1 1 0 \n    1 1 1 0 1 1 0 1 0 0 1 0 1 0 1 0 1 0 1 0 1 1 1 1 0 1 1 0 0 0 0 0 0 0 0 1 1 0 \n    0 1 0]\n[0 0 0 0 0 0 0 0 0 0 0 0 0 0 0 0 0 0 0 0 0 0 0 0 0 0 1 0 0 1 0 1 0 0 0 1 1 1 0 0\n    1 0 0 1 0 1 0 1 1 0 0 0 0 0 0 1 1 0 0 0 1 1 0 0 0 0 0 1 0 0 1 0 1 0 0 1 1 1 \n    1 0 0 0 0 1 1 0 0 1 0 1 1 1 1 0 1 0 0 0 0 1 1 1 0 1 0 1 1 0 1 1 0 1 1 0 0 0 \n    0 0 1]\n[0 0 0 0 0 0 0 0 0 0 0 0 0 0 0 0 0 0 0 0 0 0 0 0 0 0 0 0 1 0 0 1 0 1 0 0 0 1 1 1\n    0 0 1 0 0 1 0 1 0 1 1 0 0 0 0 0 0 1 1 0 0 0 1 1 0 0 0 0 0 1 0 0 1 0 1 0 0 1 \n    1 1 1 0 0 0 0 1 1 0 0 1 0 1 1 1 1 0 1 0 0 0 0 1 1 1 0 1 0 1 1 0 1 1 0 1 1 0 \n    0 0 0]\nLinear Code over GF(2) of length 119 with 28 generators.\nLower Bound: 1, Upper Bound: 92\nConstructed 5 distinct generator matrices\nRelative Ranks:  28  28  28  28   7 \nTime Taken: 0.00\nStarting search for low weight codewords... (reset timings)\nEnumerating using 1 generator at a time:\n     New codeword identified of weight 41, time 0.00\n     New codeword identified of weight 40, time 0.00\n     Discarding non-contributing rank 7 matrix\n     New Relative Ranks:  28  28  28  28 \n   Completed Matrix  1:  lower =  5, upper = 40. Elapsed: 0.00s\n     New codeword identified of weight 38, time 0.00\n   Completed Matrix  2:  lower =  6, upper = 38. Elapsed: 0.00s\n   Completed Matrix  3:  lower =  7, upper = 38. Elapsed: 0.00s\n   Completed Matrix  4:  lower =  8, upper = 38. Elapsed: 0.00s\nTermination predicted with 9 generators at matrix 2\nEnumerating using 2 generators at a time:\n     New codeword identified of weight 37, time 0.00\n   Completed Matrix  1:  lower =  9, upper = 37. Elapsed: 0.00s\n   Completed Matrix  2:  lower = 10, upper = 37. Elapsed: 0.00s\n   Completed Matrix  3:  lower = 11, upper = 37. Elapsed: 0.00s\n   Completed Matrix  4:  lower = 12, upper = 37. Elapsed: 0.00s\nTermination predicted with 9 generators at matrix 1\nEnumerating using 3 generators at a time:\n   Completed Matrix  1:  lower = 13, upper = 37. Elapsed: 0.00s\n   Completed Matrix  2:  lower = 14, upper = 37. Elapsed: 0.00s\n   Completed Matrix  3:  lower = 15, upper = 37. Elapsed: 0.00s\n   Completed Matrix  4:  lower = 16, upper = 37. Elapsed: 0.00s\nTermination predicted with 9 generators at matrix 1\nEnumerating using 4 generators at a time:\n     New codeword identified of weight 36, time 0.00\n   Completed Matrix  1:  lower = 17, upper = 36. Elapsed: 0.00s\n   Completed Matrix  2:  lower = 18, upper = 36. Elapsed: 0.00s\n   Completed Matrix  3:  lower = 19, upper = 36. Elapsed: 0.00s\n   Completed Matrix  4:  lower = 20, upper = 36. Elapsed: 0.00s\nTermination predicted with 8 generators at matrix 4\nEnumerating using 5 generators at a time:\n   Completed Matrix  1:  lower = 21, upper = 36. Elapsed: 0.00s\n   Completed Matrix  2:  lower = 22, upper = 36. Elapsed: 0.00s\n   Completed Matrix  3:  lower = 23, upper = 36. Elapsed: 0.00s\n   Completed Matrix  4:  lower = 24, upper = 36. Elapsed: 0.00s\nTermination predicted with 8 generators at matrix 4\nEnumerating using 6 generators at a time:\n   Completed Matrix  1:  lower = 25, upper = 36. Elapsed: 0.00s\n   Completed Matrix  2:  lower = 26, upper = 36. Elapsed: 0.00s\n   Completed Matrix  3:  lower = 27, upper = 36. Elapsed: 0.00s\n   Completed Matrix  4:  lower = 28, upper = 36. Elapsed: 0.00s\nTermination predicted with 8 generators at matrix 4\nEnumerating using 7 generators at a time:\n   Completed Matrix  1:  lower = 29, upper = 36. Elapsed: 0.00s\n   Completed Matrix  2:  lower = 30, upper = 36. Elapsed: 0.00s\n   Completed Matrix  3:  lower = 31, upper = 36. Elapsed: 0.02s\n   Completed Matrix  4:  lower = 32, upper = 36. Elapsed: 0.02s\nTermination predicted with 8 generators at matrix 4\nEnumerating using 8 generators at a time:\n   Completed Matrix  1:  lower = 33, upper = 36. Elapsed: 0.03s\n   Completed Matrix  2:  lower = 34, upper = 36. Elapsed: 0.03s\n   Completed Matrix  3:  lower = 35, upper = 36. Elapsed: 0.05s\n   Completed Matrix  4:  lower = 36, upper = 36. Elapsed: 0.06s\nComputation complete 19165288 vectors enumerated in total\n (7.139626% of 119 28 code)\nFinal Results: lower = 36, upper = 36,\nTotal CPU time: 0.06, real time: 0.060\n36\n\nTotal time: 0.080 seconds, Total memory usage: 32.09MB\n</t>
  </si>
  <si>
    <t>[[120,29,36]]</t>
  </si>
  <si>
    <t>Magma V2.28-26    Tue Dec 30 2025 10:41:19 on Marks-MacBook-Air-2 [Seed = \n321508996]\nType ? for help.  Type &lt;Ctrl&gt;-D to quit.\n[0 0 1 1 1 0 0 1 0 0 1 0 1 0 1 1 0 0 0 0 0 0 1 1 0 0 0 1 1 0 0 0 0 0 1 0 0 1 0 1\n    0 0 1 1 1 1 0 0 0 0 1 1 0 0 1 0 1 1 1 1 0 1 0 0 0 0 1 1 1 0 1 0 1 1 0 1 1 0 \n    1 1 0 0 0 0 0 1 0 0 0 1 0 1 0 0 0 0 0 0 0 0 0 0 0 0 0 0 0 0 0 0 0 0 0 0 0 0 \n    0 0 0 0]\n[0 0 0 1 1 1 0 0 1 0 0 1 0 1 0 1 1 0 0 0 0 0 0 1 1 0 0 0 1 1 0 0 0 0 0 1 0 0 1 0\n    1 0 0 1 1 1 1 0 0 0 0 1 1 0 0 1 0 1 1 1 1 0 1 0 0 0 0 1 1 1 0 1 0 1 1 0 1 1 \n    0 1 1 0 0 0 0 0 1 0 0 0 1 0 1 0 0 0 0 0 0 0 0 0 0 0 0 0 0 0 0 0 0 0 0 0 0 0 \n    0 0 0 0]\n[1 0 1 1 0 1 1 1 0 1 1 0 0 0 0 1 1 1 0 0 0 0 1 1 1 1 0 1 1 1 1 0 0 0 1 0 1 1 0 0\n    0 1 1 1 0 0 1 1 0 0 1 1 1 1 1 0 0 1 0 0 1 0 0 1 0 0 1 1 0 1 0 0 0 1 1 0 1 1 \n    0 1 1 1 0 0 0 1 0 1 0 1 0 0 0 1 0 0 0 0 0 0 0 0 0 0 0 0 0 0 0 0 0 0 0 0 0 0 \n    0 0 0 0]\n[0 1 0 1 1 0 1 1 1 0 1 1 0 0 0 0 1 1 1 0 0 0 0 1 1 1 1 0 1 1 1 1 0 0 0 1 0 1 1 0\n    0 0 1 1 1 0 0 1 1 0 0 1 1 1 1 1 0 0 1 0 0 1 0 0 1 0 0 1 1 0 1 0 0 0 1 1 0 1 \n    1 0 1 1 1 0 0 0 1 0 1 0 1 0 0 0 1 0 0 0 0 0 0 0 0 0 0 0 0 0 0 0 0 0 0 0 0 0 \n    0 0 0 0]\n[0 0 0 1 0 1 0 0 1 1 1 1 0 0 1 1 0 1 1 1 0 0 1 1 1 1 1 0 1 1 1 1 1 0 1 0 1 1 1 0\n    0 0 1 0 0 0 0 0 1 1 1 1 1 1 0 1 0 1 1 0 0 1 1 0 0 1 1 1 0 1 1 1 1 1 0 0 0 0 \n    0 0 0 1 1 1 0 1 0 1 0 0 0 0 0 0 0 1 0 0 0 0 0 0 0 0 0 0 0 0 0 0 0 0 0 0 0 0 \n    0 0 0 0]\n[0 0 0 0 1 0 1 0 0 1 1 1 1 0 0 1 1 0 1 1 1 0 0 1 1 1 1 1 0 1 1 1 1 1 0 1 0 1 1 1\n    0 0 0 1 0 0 0 0 0 1 1 1 1 1 1 0 1 0 1 1 0 0 1 1 0 0 1 1 1 0 1 1 1 1 1 0 0 0 \n    0 0 0 0 1 1 1 0 1 0 1 0 0 0 0 0 0 0 1 0 0 0 0 0 0 0 0 0 0 0 0 0 0 0 0 0 0 0 \n    0 0 0 0]\n[0 0 0 0 0 1 0 1 0 0 1 1 1 1 0 0 1 1 0 1 1 1 0 0 1 1 1 1 1 0 1 1 1 1 1 0 1 0 1 1\n    1 0 0 0 1 0 0 0 0 0 1 1 1 1 1 1 0 1 0 1 1 0 0 1 1 0 0 1 1 1 0 1 1 1 1 1 0 0 \n    0 0 0 0 0 1 1 1 0 1 0 1 0 0 0 0 0 0 0 1 0 0 0 0 0 0 0 0 0 0 0 0 0 0 0 0 0 0 \n    0 0 0 0]\n[1 0 0 0 0 0 1 0 1 0 0 1 1 1 1 0 0 1 1 0 1 1 1 0 0 1 1 1 1 1 0 1 1 1 1 1 0 1 0 1\n    1 1 0 0 0 1 0 0 0 0 0 1 1 1 1 1 1 0 1 0 1 1 0 0 1 1 0 0 1 1 1 0 1 1 1 1 1 0 \n    0 0 0 0 0 0 1 1 1 0 1 0 1 0 0 0 0 0 0 0 1 0 0 0 0 0 0 0 0 0 0 0 0 0 0 0 0 0 \n    0 0 0 0]\n[1 1 1 1 1 0 0 0 0 1 1 0 0 1 0 0 0 0 1 1 0 1 0 0 0 0 1 0 0 1 1 0 1 1 0 1 1 1 1 1\n    1 1 0 1 1 1 1 0 0 0 1 1 1 1 0 1 0 0 1 0 0 0 1 0 0 1 0 1 1 1 0 1 1 0 1 0 0 1 \n    1 1 0 0 0 0 0 0 1 1 0 0 0 0 0 0 0 0 0 0 0 1 0 0 0 0 0 0 0 0 0 0 0 0 0 0 0 0 \n    0 0 0 0]\n[1 1 1 1 1 1 0 0 0 0 1 1 0 0 1 0 0 0 0 1 1 0 1 0 0 0 0 1 0 0 1 1 0 1 1 0 1 1 1 1\n    1 1 1 0 1 1 1 1 0 0 0 1 1 1 1 0 1 0 0 1 0 0 0 1 0 0 1 0 1 1 1 0 1 1 0 1 0 0 \n    1 1 1 0 0 0 0 0 0 1 1 0 0 0 0 0 0 0 0 0 0 0 1 0 0 0 0 0 0 0 0 0 0 0 0 0 0 0 \n    0 0 0 0]\n[1 1 1 1 1 1 1 0 0 0 0 1 1 0 0 1 0 0 0 0 1 1 0 1 0 0 0 0 1 0 0 1 1 0 1 1 0 1 1 1\n    1 1 1 1 0 1 1 1 1 0 0 0 1 1 1 1 0 1 0 0 1 0 0 0 1 0 0 1 0 1 1 1 0 1 1 0 1 0 \n    0 1 1 1 0 0 0 0 0 0 1 1 0 0 0 0 0 0 0 0 0 0 0 1 0 0 0 0 0 0 0 0 0 0 0 0 0 0 \n    0 0 0 0]\n[1 1 1 1 1 1 1 1 0 0 0 0 1 1 0 0 1 0 0 0 0 1 1 0 1 0 0 0 0 1 0 0 1 1 0 1 1 0 1 1\n    1 1 1 1 1 0 1 1 1 1 0 0 0 1 1 1 1 0 1 0 0 1 0 0 0 1 0 0 1 0 1 1 1 0 1 1 0 1 \n    0 0 1 1 1 0 0 0 0 0 0 1 1 0 0 0 0 0 0 0 0 0 0 0 1 0 0 0 0 0 0 0 0 0 0 0 0 0 \n    0 0 0 0]\n[1 1 0 0 0 1 1 0 1 0 1 0 1 1 0 1 0 1 0 0 0 0 0 0 0 1 0 1 1 0 1 0 0 1 0 0 1 0 0 0\n    1 1 0 0 0 0 0 1 1 1 0 1 0 0 0 1 0 0 1 0 0 1 1 0 0 0 0 1 1 1 1 1 0 0 0 0 0 0 \n    0 1 0 1 1 1 0 1 0 0 0 1 1 0 0 0 0 0 0 0 0 0 0 0 0 1 0 0 0 0 0 0 0 0 0 0 0 0 \n    0 0 0 0]\n[0 1 0 1 1 0 1 0 0 1 1 1 1 1 0 1 1 0 1 0 0 0 1 1 0 0 1 1 0 1 0 1 0 0 0 0 0 0 0 1\n    0 1 0 1 1 1 0 0 1 1 0 1 1 0 1 0 0 1 1 0 0 1 1 1 0 0 1 1 0 1 0 1 0 1 0 1 1 0 \n    1 1 1 0 1 1 1 1 1 0 0 1 1 0 0 0 0 0 0 0 0 0 0 0 0 0 1 0 0 0 0 0 0 0 0 0 0 0 \n    0 0 0 0]\n[1 0 0 1 0 1 0 0 0 0 0 1 0 1 0 1 1 1 0 1 0 0 1 0 1 0 0 0 0 0 1 0 1 0 1 0 0 1 0 1\n    1 0 0 1 0 0 1 0 0 1 0 1 1 1 1 1 1 1 0 0 0 1 1 1 1 0 1 0 0 0 0 0 0 1 1 1 0 1 \n    1 0 1 1 0 1 1 0 1 1 0 1 1 0 0 0 0 0 0 0 0 0 0 0 0 0 0 1 0 0 0 0 0 0 0 0 0 0 \n    0 0 0 0]\n[0 1 1 1 0 0 1 1 0 0 1 0 0 0 0 1 1 1 1 0 1 0 1 0 0 1 0 1 1 0 0 1 0 1 1 1 0 1 1 1\n    1 1 1 1 0 1 0 1 0 0 0 1 1 1 0 1 0 0 0 1 0 1 1 1 1 1 1 0 1 0 1 0 1 1 1 0 0 0 \n    0 0 0 1 1 0 1 0 0 1 1 1 1 0 0 0 0 0 0 0 0 0 0 0 0 0 0 0 1 0 0 0 0 0 0 0 0 0 \n    0 0 0 0]\n[0 0 0 0 0 0 0 0 1 0 1 1 1 0 1 1 1 1 1 1 0 1 1 0 0 0 1 1 0 1 0 0 1 0 0 1 1 1 1 0\n    1 1 0 0 0 1 1 0 1 0 1 1 1 1 0 0 0 1 1 1 1 1 1 1 1 1 0 0 1 1 1 1 1 0 1 0 1 0 \n    1 1 0 0 1 1 0 0 0 0 1 0 1 0 0 0 0 0 0 0 0 0 0 0 0 0 0 0 0 1 0 0 0 0 0 0 0 0 \n    0 0 0 0]\n[0 0 1 1 1 0 0 1 0 1 1 1 0 1 1 0 1 1 1 1 1 0 0 0 0 0 0 0 0 0 1 0 0 1 1 0 1 0 1 0\n    0 1 0 1 1 1 1 1 0 1 1 0 1 1 0 0 1 1 0 0 1 0 1 1 1 1 0 1 1 1 0 1 0 0 0 0 1 1 \n    1 0 1 0 0 1 1 1 0 0 0 0 0 0 0 0 0 0 0 0 0 0 0 0 0 0 0 0 0 0 1 0 0 0 0 0 0 0 \n    0 0 0 0]\n[0 0 0 1 1 1 0 0 1 0 1 1 1 0 1 1 0 1 1 1 1 1 0 0 0 0 0 0 0 0 0 1 0 0 1 1 0 1 0 1\n    0 0 1 0 1 1 1 1 1 0 1 1 0 1 1 0 0 1 1 0 0 1 0 1 1 1 1 0 1 1 1 0 1 0 0 0 0 1 \n    1 1 0 1 0 0 1 1 1 0 0 0 0 0 0 0 0 0 0 0 0 0 0 0 0 0 0 0 0 0 0 1 0 0 0 0 0 0 \n    0 0 0 0]\n[1 0 0 0 1 1 1 0 0 1 0 1 1 1 0 1 1 0 1 1 1 1 1 0 0 0 0 0 0 0 0 0 1 0 0 1 1 0 1 0\n    1 0 0 1 0 1 1 1 1 1 0 1 1 0 1 1 0 0 1 1 0 0 1 0 1 1 1 1 0 1 1 1 0 1 0 0 0 0 \n    1 1 1 0 1 0 0 1 1 1 0 0 0 0 0 0 0 0 0 0 0 0 0 0 0 0 0 0 0 0 0 0 1 0 0 0 0 0 \n    0 0 0 0]\n[0 1 0 0 0 1 1 1 0 0 1 0 1 1 1 0 1 1 0 1 1 1 1 1 0 0 0 0 0 0 0 0 0 1 0 0 1 1 0 1\n    0 1 0 0 1 0 1 1 1 1 1 0 1 1 0 1 1 0 0 1 1 0 0 1 0 1 1 1 1 0 1 1 1 0 1 0 0 0 \n    0 1 1 1 0 1 0 0 1 1 1 0 0 0 0 0 0 0 0 0 0 0 0 0 0 0 0 0 0 0 0 0 0 1 0 0 0 0 \n    0 0 0 0]\n[0 0 1 0 0 0 1 1 1 0 0 1 0 1 1 1 0 1 1 0 1 1 1 1 1 0 0 0 0 0 0 0 0 0 1 0 0 1 1 0\n    1 0 1 0 0 1 0 1 1 1 1 1 0 1 1 0 1 1 0 0 1 1 0 0 1 0 1 1 1 1 0 1 1 1 0 1 0 0 \n    0 0 1 1 1 0 1 0 0 1 1 1 0 0 0 0 0 0 0 0 0 0 0 0 0 0 0 0 0 0 0 0 0 0 1 0 0 0 \n    0 0 0 0]\n[1 0 0 1 0 0 0 1 1 1 0 0 1 0 1 1 1 0 1 1 0 1 1 1 1 1 0 0 0 0 0 0 0 0 0 1 0 0 1 1\n    0 1 0 1 0 0 1 0 1 1 1 1 1 0 1 1 0 1 1 0 0 1 1 0 0 1 0 1 1 1 1 0 1 1 1 0 1 0 \n    0 0 0 1 1 1 0 1 0 0 1 1 1 0 0 0 0 0 0 0 0 0 0 0 0 0 0 0 0 0 0 0 0 0 0 1 0 0 \n    0 0 0 0]\n[1 1 1 1 0 0 0 1 1 1 0 0 1 1 1 0 1 1 0 1 1 0 0 0 1 1 1 1 1 0 0 0 0 0 1 0 1 1 0 0\n    1 0 0 1 0 1 0 1 0 1 0 0 1 1 1 1 0 1 0 0 0 1 1 1 0 0 0 1 0 1 0 1 1 0 1 0 1 1 \n    1 1 0 0 1 1 1 1 1 0 0 0 1 0 0 0 0 0 0 0 0 0 0 0 0 0 0 0 0 0 0 0 0 0 0 0 1 0 \n    0 0 0 0]\n[1 1 0 0 0 0 0 1 1 1 0 0 1 1 0 0 0 1 1 0 1 1 1 1 0 1 1 0 0 1 0 0 0 0 1 1 0 0 1 1\n    0 1 1 1 0 1 1 0 1 0 0 1 0 1 0 1 0 1 0 1 0 1 1 1 1 0 1 1 0 0 0 0 0 0 0 0 1 1 \n    0 0 1 0 0 1 1 0 1 1 0 1 0 0 0 0 0 0 0 0 0 0 0 0 0 0 0 0 0 0 0 0 0 0 0 0 0 1 \n    0 0 0 0]\n[1 1 1 0 0 0 0 0 1 1 1 0 0 1 1 0 0 0 1 1 0 1 1 1 1 0 1 1 0 0 1 0 0 0 0 1 1 0 0 1\n    1 0 1 1 1 0 1 1 0 1 0 0 1 0 1 0 1 0 1 0 1 0 1 1 1 1 0 1 1 0 0 0 0 0 0 0 0 1 \n    1 0 0 1 0 0 1 1 0 1 1 0 1 0 0 0 0 0 0 0 0 0 0 0 0 0 0 0 0 0 0 0 0 0 0 0 0 0 \n    1 0 0 0]\n[1 1 0 0 1 0 0 1 0 1 0 1 1 0 0 0 0 0 0 1 1 0 0 0 1 1 0 0 0 0 0 1 0 0 1 0 1 0 0 1\n    1 1 1 0 0 0 0 1 1 0 0 1 0 1 1 1 1 0 1 0 0 0 0 1 1 1 0 1 0 1 1 0 1 1 0 1 1 0 \n    0 0 0 0 1 0 0 0 1 0 1 0 0 0 0 0 0 0 0 0 0 0 0 0 0 0 0 0 0 0 0 0 0 0 0 0 0 0 \n    0 1 0 0]\n[1 1 1 0 0 1 0 0 1 0 1 0 1 1 0 0 0 0 0 0 1 1 0 0 0 1 1 0 0 0 0 0 1 0 0 1 0 1 0 0\n    1 1 1 1 0 0 0 0 1 1 0 0 1 0 1 1 1 1 0 1 0 0 0 0 1 1 1 0 1 0 1 1 0 1 1 0 1 1 \n    0 0 0 0 0 1 0 0 0 1 0 1 0 0 0 0 0 0 0 0 0 0 0 0 0 0 0 0 0 0 0 0 0 0 0 0 0 0 \n    0 0 1 0]\n[0 1 1 1 0 0 1 0 0 1 0 1 0 1 1 0 0 0 0 0 0 1 1 0 0 0 1 1 0 0 0 0 0 1 0 0 1 0 1 0\n    0 1 1 1 1 0 0 0 0 1 1 0 0 1 0 1 1 1 1 0 1 0 0 0 0 1 1 1 0 1 0 1 1 0 1 1 0 1 \n    1 0 0 0 0 0 1 0 0 0 1 0 1 0 0 0 0 0 0 0 0 0 0 0 0 0 0 0 0 0 0 0 0 0 0 0 0 0 \n    0 0 0 1]\n[120, 29] Linear Code over GF(2)\nGenerator matrix:\n[1 0 0 0 0 0 0 0 0 0 0 0 0 0 0 0 0 0 0 0 0 0 0 0 0 0 0 0 0 1 0 0 1 0 1 0 0 0 1 1\n    1 0 0 1 0 0 1 0 1 0 1 1 0 0 0 0 0 0 1 1 0 0 0 1 1 0 0 0 0 0 1 0 0 1 0 1 0 0 \n    1 1 1 1 0 0 0 0 1 1 0 0 1 0 1 1 1 1 0 1 0 0 0 0 1 1 1 0 1 0 1 1 0 1 1 0 1 1 \n    0 0 0 0]\n[0 1 0 0 0 0 0 0 0 0 0 0 0 0 0 0 0 0 0 0 0 0 0 0 0 0 0 0 0 0 1 0 0 1 0 1 0 0 0 1\n    1 1 0 0 1 0 0 1 0 1 0 1 1 0 0 0 0 0 0 1 1 0 0 0 1 1 0 0 0 0 0 1 0 0 1 0 1 0 \n    0 1 1 1 1 0 0 0 0 1 1 0 0 1 0 1 1 1 1 0 1 0 0 0 0 1 1 1 0 1 0 1 1 0 1 1 0 1 \n    1 0 0 0]\n[0 0 1 0 0 0 0 0 0 0 0 0 0 0 0 0 0 0 0 0 0 0 0 0 0 0 0 0 0 1 0 1 1 0 0 0 1 0 1 1\n    0 1 1 1 0 1 1 0 0 0 0 1 1 1 0 0 0 0 1 1 1 1 0 1 1 1 1 0 0 0 1 0 1 1 0 0 0 1 \n    1 1 0 0 1 1 0 0 1 1 1 1 1 0 0 1 0 0 1 0 0 1 0 0 1 1 0 1 0 0 0 1 1 0 1 1 0 1 \n    1 1 0 0]\n[0 0 0 1 0 0 0 0 0 0 0 0 0 0 0 0 0 0 0 0 0 0 0 0 0 0 0 0 0 0 1 0 1 1 0 0 0 1 0 1\n    1 0 1 1 1 0 1 1 0 0 0 0 1 1 1 0 0 0 0 1 1 1 1 0 1 1 1 1 0 0 0 1 0 1 1 0 0 0 \n    1 1 1 0 0 1 1 0 0 1 1 1 1 1 0 0 1 0 0 1 0 0 1 0 0 1 1 0 1 0 0 0 1 1 0 1 1 0 \n    1 1 1 0]\n[0 0 0 0 1 0 0 0 0 0 0 0 0 0 0 0 0 0 0 0 0 0 0 0 0 0 0 0 0 1 0 1 1 1 0 0 0 0 0 1\n    0 1 0 0 1 1 1 1 0 0 1 1 0 1 1 1 0 0 1 1 1 1 1 0 1 1 1 1 1 0 1 0 1 1 1 0 0 0 \n    1 0 0 0 0 0 1 1 1 1 1 1 0 1 0 1 1 0 0 1 1 0 0 1 1 1 0 1 1 1 1 1 0 0 0 0 0 0 \n    0 1 1 1]\n[0 0 0 0 0 1 0 0 0 0 0 0 0 0 0 0 0 0 0 0 0 0 0 0 0 0 0 0 0 0 1 0 1 1 1 0 0 0 0 0\n    1 0 1 0 0 1 1 1 1 0 0 1 1 0 1 1 1 0 0 1 1 1 1 1 0 1 1 1 1 1 0 1 0 1 1 1 0 0 \n    0 1 0 0 0 0 0 1 1 1 1 1 1 0 1 0 1 1 0 0 1 1 0 0 1 1 1 0 1 1 1 1 1 0 0 0 0 0 \n    0 0 1 1]\n[0 0 0 0 0 0 1 0 0 0 0 0 0 0 0 0 0 0 0 0 0 0 0 0 0 0 0 0 0 0 0 1 0 1 1 1 0 0 0 0\n    0 1 0 1 0 0 1 1 1 1 0 0 1 1 0 1 1 1 0 0 1 1 1 1 1 0 1 1 1 1 1 0 1 0 1 1 1 0 \n    0 0 1 0 0 0 0 0 1 1 1 1 1 1 0 1 0 1 1 0 0 1 1 0 0 1 1 1 0 1 1 1 1 1 0 0 0 0 \n    0 0 0 1]\n[0 0 0 0 0 0 0 1 0 0 0 0 0 0 0 0 0 0 0 0 0 0 0 0 0 0 0 0 0 0 0 0 1 0 1 1 1 0 0 0\n    0 0 1 0 1 0 0 1 1 1 1 0 0 1 1 0 1 1 1 0 0 1 1 1 1 1 0 1 1 1 1 1 0 1 0 1 1 1 \n    0 0 0 1 0 0 0 0 0 1 1 1 1 1 1 0 1 0 1 1 0 0 1 1 0 0 1 1 1 0 1 1 1 1 1 0 0 0 \n    0 0 0 0]\n[0 0 0 0 0 0 0 0 1 0 0 0 0 0 0 0 0 0 0 0 0 0 0 0 0 0 0 0 0 1 0 0 1 1 1 1 1 1 1 1\n    1 0 0 0 0 1 1 0 0 1 0 0 0 0 1 1 0 1 0 0 0 0 1 0 0 1 1 0 1 1 0 1 1 1 1 1 1 1 \n    0 1 1 1 1 0 0 0 1 1 1 1 0 1 0 0 1 0 0 0 1 0 0 1 0 1 1 1 0 1 1 0 1 0 0 1 1 1 \n    0 0 0 0]\n[0 0 0 0 0 0 0 0 0 1 0 0 0 0 0 0 0 0 0 0 0 0 0 0 0 0 0 0 0 0 1 0 0 1 1 1 1 1 1 1\n    1 1 0 0 0 0 1 1 0 0 1 0 0 0 0 1 1 0 1 0 0 0 0 1 0 0 1 1 0 1 1 0 1 1 1 1 1 1 \n    1 0 1 1 1 1 0 0 0 1 1 1 1 0 1 0 0 1 0 0 0 1 0 0 1 0 1 1 1 0 1 1 0 1 0 0 1 1 \n    1 0 0 0]\n[0 0 0 0 0 0 0 0 0 0 1 0 0 0 0 0 0 0 0 0 0 0 0 0 0 0 0 0 0 0 0 1 0 0 1 1 1 1 1 1\n    1 1 1 0 0 0 0 1 1 0 0 1 0 0 0 0 1 1 0 1 0 0 0 0 1 0 0 1 1 0 1 1 0 1 1 1 1 1 \n    1 1 0 1 1 1 1 0 0 0 1 1 1 1 0 1 0 0 1 0 0 0 1 0 0 1 0 1 1 1 0 1 1 0 1 0 0 1 \n    1 1 0 0]\n[0 0 0 0 0 0 0 0 0 0 0 1 0 0 0 0 0 0 0 0 0 0 0 0 0 0 0 0 0 0 0 0 1 0 0 1 1 1 1 1\n    1 1 1 1 0 0 0 0 1 1 0 0 1 0 0 0 0 1 1 0 1 0 0 0 0 1 0 0 1 1 0 1 1 0 1 1 1 1 \n    1 1 1 0 1 1 1 1 0 0 0 1 1 1 1 0 1 0 0 1 0 0 0 1 0 0 1 0 1 1 1 0 1 1 0 1 0 0 \n    1 1 1 0]\n[0 0 0 0 0 0 0 0 0 0 0 0 1 0 0 0 0 0 0 0 0 0 0 0 0 0 0 0 0 1 0 0 1 1 1 0 1 1 0 0\n    0 1 1 0 1 0 1 0 1 1 0 1 0 1 0 0 0 0 0 0 0 1 0 1 1 0 1 0 0 1 0 0 1 0 0 0 1 1 \n    0 0 0 0 0 1 1 1 0 1 0 0 0 1 0 0 1 0 0 1 1 0 0 0 0 1 1 1 1 1 0 0 0 0 0 0 0 1 \n    0 1 1 1]\n[0 0 0 0 0 0 0 0 0 0 0 0 0 1 0 0 0 0 0 0 0 0 0 0 0 0 0 0 0 1 1 0 1 1 0 1 0 1 0 1\n    1 0 1 0 0 1 1 1 1 1 0 1 1 0 1 0 0 0 1 1 0 0 1 1 0 1 0 1 0 0 0 0 0 0 0 1 0 1 \n    0 1 1 1 0 0 1 1 0 1 1 0 1 0 0 1 1 0 0 1 1 1 0 0 1 1 0 1 0 1 0 1 0 1 1 0 1 1 \n    1 0 1 1]\n[0 0 0 0 0 0 0 0 0 0 0 0 0 0 1 0 0 0 0 0 0 0 0 0 0 0 0 0 0 1 1 1 1 1 0 0 1 0 0 1\n    0 1 0 0 0 0 0 1 0 1 0 1 1 1 0 1 0 0 1 0 1 0 0 0 0 0 1 0 1 0 1 0 0 1 0 1 1 0 \n    0 1 0 0 1 0 0 1 0 1 1 1 1 1 1 1 0 0 0 1 1 1 1 0 1 0 0 0 0 0 0 1 1 1 0 1 1 0 \n    1 1 0 1]\n[0 0 0 0 0 0 0 0 0 0 0 0 0 0 0 1 0 0 0 0 0 0 0 0 0 0 0 0 0 1 1 1 0 1 0 0 0 1 1 1\n    0 0 1 1 0 0 1 0 0 0 0 1 1 1 1 0 1 0 1 0 0 1 0 1 1 0 0 1 0 1 1 1 0 1 1 1 1 1 \n    1 1 0 1 0 1 0 0 0 1 1 1 0 1 0 0 0 1 0 1 1 1 1 1 1 0 1 0 1 0 1 1 1 0 0 0 0 0 \n    0 1 1 0]\n[0 0 0 0 0 0 0 0 0 0 0 0 0 0 0 0 1 0 0 0 0 0 0 0 0 0 0 0 0 1 1 1 0 0 0 0 0 0 0 0\n    0 0 0 0 1 0 1 1 1 0 1 1 1 1 1 1 0 1 1 0 0 0 1 1 0 1 0 0 1 0 0 1 1 1 1 0 1 1 \n    0 0 0 1 1 0 1 0 1 1 1 1 0 0 0 1 1 1 1 1 1 1 1 1 0 0 1 1 1 1 1 0 1 0 1 0 1 1 \n    0 0 1 1]\n[0 0 0 0 0 0 0 0 0 0 0 0 0 0 0 0 0 1 0 0 0 0 0 0 0 0 0 0 0 1 1 1 0 0 1 0 0 0 1 1\n    1 0 0 1 0 1 1 1 0 1 1 0 1 1 1 1 1 0 0 0 0 0 0 0 0 0 1 0 0 1 1 0 1 0 1 0 0 1 \n    0 1 1 1 1 1 0 1 1 0 1 1 0 0 1 1 0 0 1 0 1 1 1 1 0 1 1 1 0 1 0 0 0 0 1 1 1 0 \n    1 0 0 1]\n[0 0 0 0 0 0 0 0 0 0 0 0 0 0 0 0 0 0 1 0 0 0 0 0 0 0 0 0 0 0 1 1 1 0 0 1 0 0 0 1\n    1 1 0 0 1 0 1 1 1 0 1 1 0 1 1 1 1 1 0 0 0 0 0 0 0 0 0 1 0 0 1 1 0 1 0 1 0 0 \n    1 0 1 1 1 1 1 0 1 1 0 1 1 0 0 1 1 0 0 1 0 1 1 1 1 0 1 1 1 0 1 0 0 0 0 1 1 1 \n    0 1 0 0]\n[0 0 0 0 0 0 0 0 0 0 0 0 0 0 0 0 0 0 0 1 0 0 0 0 0 0 0 0 0 0 0 1 1 1 0 0 1 0 0 0\n    1 1 1 0 0 1 0 1 1 1 0 1 1 0 1 1 1 1 1 0 0 0 0 0 0 0 0 0 1 0 0 1 1 0 1 0 1 0 \n    0 1 0 1 1 1 1 1 0 1 1 0 1 1 0 0 1 1 0 0 1 0 1 1 1 1 0 1 1 1 0 1 0 0 0 0 1 1 \n    1 0 1 0]\n[0 0 0 0 0 0 0 0 0 0 0 0 0 0 0 0 0 0 0 0 1 0 0 0 0 0 0 0 0 0 0 0 1 1 1 0 0 1 0 0\n    0 1 1 1 0 0 1 0 1 1 1 0 1 1 0 1 1 1 1 1 0 0 0 0 0 0 0 0 0 1 0 0 1 1 0 1 0 1 \n    0 0 1 0 1 1 1 1 1 0 1 1 0 1 1 0 0 1 1 0 0 1 0 1 1 1 1 0 1 1 1 0 1 0 0 0 0 1 \n    1 1 0 1]\n[0 0 0 0 0 0 0 0 0 0 0 0 0 0 0 0 0 0 0 0 0 1 0 0 0 0 0 0 0 0 0 0 0 1 1 1 0 0 1 0\n    0 0 1 1 1 0 0 1 0 1 1 1 0 1 1 0 1 1 1 1 1 0 0 0 0 0 0 0 0 0 1 0 0 1 1 0 1 0 \n    1 0 0 1 0 1 1 1 1 1 0 1 1 0 1 1 0 0 1 1 0 0 1 0 1 1 1 1 0 1 1 1 0 1 0 0 0 0 \n    1 1 1 0]\n[0 0 0 0 0 0 0 0 0 0 0 0 0 0 0 0 0 0 0 0 0 0 1 0 0 0 0 0 0 0 0 0 0 0 1 1 1 0 0 1\n    0 0 0 1 1 1 0 0 1 0 1 1 1 0 1 1 0 1 1 1 1 1 0 0 0 0 0 0 0 0 0 1 0 0 1 1 0 1 \n    0 1 0 0 1 0 1 1 1 1 1 0 1 1 0 1 1 0 0 1 1 0 0 1 0 1 1 1 1 0 1 1 1 0 1 0 0 0 \n    0 1 1 1]\n[0 0 0 0 0 0 0 0 0 0 0 0 0 0 0 0 0 0 0 0 0 0 0 1 0 0 0 0 0 1 0 0 1 0 1 1 1 1 1 1\n    0 0 0 1 1 1 0 0 1 1 1 0 1 1 0 1 1 0 0 0 1 1 1 1 1 0 0 0 0 0 1 0 1 1 0 0 1 0 \n    0 1 0 1 0 1 0 1 0 0 1 1 1 1 0 1 0 0 0 1 1 1 0 0 0 1 0 1 0 1 1 0 1 0 1 1 1 1 \n    0 0 1 1]\n[0 0 0 0 0 0 0 0 0 0 0 0 0 0 0 0 0 0 0 0 0 0 0 0 1 0 0 0 0 1 1 0 1 1 1 1 1 1 0 0\n    0 0 0 1 1 1 0 0 1 1 0 0 0 1 1 0 1 1 1 1 0 1 1 0 0 1 0 0 0 0 1 1 0 0 1 1 0 1 \n    1 1 0 1 1 0 1 0 0 1 0 1 0 1 0 1 0 1 0 1 1 1 1 0 1 1 0 0 0 0 0 0 0 0 1 1 0 0 \n    1 0 0 1]\n[0 0 0 0 0 0 0 0 0 0 0 0 0 0 0 0 0 0 0 0 0 0 0 0 0 1 0 0 0 0 1 1 0 1 1 1 1 1 1 0\n    0 0 0 0 1 1 1 0 0 1 1 0 0 0 1 1 0 1 1 1 1 0 1 1 0 0 1 0 0 0 0 1 1 0 0 1 1 0 \n    1 1 1 0 1 1 0 1 0 0 1 0 1 0 1 0 1 0 1 0 1 1 1 1 0 1 1 0 0 0 0 0 0 0 0 1 1 0 \n    0 1 0 0]\n[0 0 0 0 0 0 0 0 0 0 0 0 0 0 0 0 0 0 0 0 0 0 0 0 0 0 1 0 0 1 0 1 0 0 0 1 1 1 0 0\n    1 0 0 1 0 1 0 1 1 0 0 0 0 0 0 1 1 0 0 0 1 1 0 0 0 0 0 1 0 0 1 0 1 0 0 1 1 1 \n    1 0 0 0 0 1 1 0 0 1 0 1 1 1 1 0 1 0 0 0 0 1 1 1 0 1 0 1 1 0 1 1 0 1 1 0 0 0 \n    0 0 1 0]\n[0 0 0 0 0 0 0 0 0 0 0 0 0 0 0 0 0 0 0 0 0 0 0 0 0 0 0 1 0 0 1 0 1 0 0 0 1 1 1 0\n    0 1 0 0 1 0 1 0 1 1 0 0 0 0 0 0 1 1 0 0 0 1 1 0 0 0 0 0 1 0 0 1 0 1 0 0 1 1 \n    1 1 0 0 0 0 1 1 0 0 1 0 1 1 1 1 0 1 0 0 0 0 1 1 1 0 1 0 1 1 0 1 1 0 1 1 0 0 \n    0 0 0 1]\n[0 0 0 0 0 0 0 0 0 0 0 0 0 0 0 0 0 0 0 0 0 0 0 0 0 0 0 0 1 0 0 1 0 1 0 0 0 1 1 1\n    0 0 1 0 0 1 0 1 0 1 1 0 0 0 0 0 0 1 1 0 0 0 1 1 0 0 0 0 0 1 0 0 1 0 1 0 0 1 \n    1 1 1 0 0 0 0 1 1 0 0 1 0 1 1 1 1 0 1 0 0 0 0 1 1 1 0 1 0 1 1 0 1 1 0 1 1 0 \n    0 0 0 0]\nLinear Code over GF(2) of length 120 with 29 generators.\nLower Bound: 1, Upper Bound: 92\nConstructed 5 distinct generator matrices\nRelative Ranks:  29  29  29  29   4 \n     Discarding non-contributing rank 4 matrix\n     New Relative Ranks:  29  29  29  29 \nTime Taken: 0.00\nStarting search for low weight codewords... (reset timings)\nEnumerating using 1 generator at a time:\n     New codeword identified of weight 41, time 0.00\n     New codeword identified of weight 40, time 0.00\n   Completed Matrix  1:  lower =  5, upper = 40. Elapsed: 0.00s\n     New codeword identified of weight 38, time 0.00\n   Completed Matrix  2:  lower =  6, upper = 38. Elapsed: 0.00s\n   Completed Matrix  3:  lower =  7, upper = 38. Elapsed: 0.00s\n   Completed Matrix  4:  lower =  8, upper = 38. Elapsed: 0.00s\nTermination predicted with 9 generators at matrix 2\nEnumerating using 2 generators at a time:\n   Completed Matrix  1:  lower =  9, upper = 38. Elapsed: 0.00s\n   Completed Matrix  2:  lower = 10, upper = 38. Elapsed: 0.00s\n     New codeword identified of weight 37, time 0.00\n   Completed Matrix  3:  lower = 11, upper = 37. Elapsed: 0.00s\n   Completed Matrix  4:  lower = 12, upper = 37. Elapsed: 0.00s\nTermination predicted with 9 generators at matrix 1\nEnumerating using 3 generators at a time:\n   Completed Matrix  1:  lower = 13, upper = 37. Elapsed: 0.00s\n   Completed Matrix  2:  lower = 14, upper = 37. Elapsed: 0.00s\n   Completed Matrix  3:  lower = 15, upper = 37. Elapsed: 0.00s\n   Completed Matrix  4:  lower = 16, upper = 37. Elapsed: 0.00s\nTermination predicted with 9 generators at matrix 1\nEnumerating using 4 generators at a time:\n     New codeword identified of weight 36, time 0.00\n   Completed Matrix  1:  lower = 17, upper = 36. Elapsed: 0.00s\n   Completed Matrix  2:  lower = 18, upper = 36. Elapsed: 0.00s\n   Completed Matrix  3:  lower = 19, upper = 36. Elapsed: 0.00s\n   Completed Matrix  4:  lower = 20, upper = 36. Elapsed: 0.00s\nTermination predicted with 8 generators at matrix 4\nEnumerating using 5 generators at a time:\n   Completed Matrix  1:  lower = 21, upper = 36. Elapsed: 0.00s\n   Completed Matrix  2:  lower = 22, upper = 36. Elapsed: 0.00s\n   Completed Matrix  3:  lower = 23, upper = 36. Elapsed: 0.00s\n   Completed Matrix  4:  lower = 24, upper = 36. Elapsed: 0.00s\nTermination predicted with 8 generators at matrix 4\nEnumerating using 6 generators at a time:\n   Completed Matrix  1:  lower = 25, upper = 36. Elapsed: 0.00s\n   Completed Matrix  2:  lower = 26, upper = 36. Elapsed: 0.00s\n   Completed Matrix  3:  lower = 27, upper = 36. Elapsed: 0.00s\n   Completed Matrix  4:  lower = 28, upper = 36. Elapsed: 0.00s\nTermination predicted with 8 generators at matrix 4\nEnumerating using 7 generators at a time:\n   Completed Matrix  1:  lower = 29, upper = 36. Elapsed: 0.00s\n   Completed Matrix  2:  lower = 30, upper = 36. Elapsed: 0.02s\n   Completed Matrix  3:  lower = 31, upper = 36. Elapsed: 0.02s\n   Completed Matrix  4:  lower = 32, upper = 36. Elapsed: 0.03s\nTermination predicted with 8 generators at matrix 4\nEnumerating using 8 generators at a time:\n   Completed Matrix  1:  lower = 33, upper = 36. Elapsed: 0.03s\n   Completed Matrix  2:  lower = 34, upper = 36. Elapsed: 0.05s\n   Completed Matrix  3:  lower = 35, upper = 36. Elapsed: 0.06s\n   Completed Matrix  4:  lower = 36, upper = 36. Elapsed: 0.08s\nComputation complete 25898160 vectors enumerated in total\n (4.823908% of 120 29 code)\nFinal Results: lower = 36, upper = 36,\nTotal CPU time: 0.08, real time: 0.080\n36\n\nTotal time: 0.090 seconds, Total memory usage: 32.09MB\n</t>
  </si>
  <si>
    <t>[[121,29,37]]</t>
  </si>
  <si>
    <t>Magma V2.28-26    Tue Dec 30 2025 10:41:19 on Marks-MacBook-Air-2 [Seed = \n154389662]\nType ? for help.  Type &lt;Ctrl&gt;-D to quit.\n[0 0 0 1 1 1 0 0 1 0 0 1 0 1 0 1 1 0 0 0 0 0 0 1 1 0 0 0 1 1 0 0 0 0 0 1 0 0 1 0\n    1 0 0 1 1 1 1 0 0 0 0 1 1 0 0 1 0 1 1 1 1 0 1 0 0 0 0 1 1 1 0 1 0 1 1 0 1 1 \n    0 1 1 0 0 0 0 0 1 0 0 0 1 0 1 0 0 0 0 0 0 0 0 0 0 0 0 0 0 0 0 0 0 0 0 0 0 0 \n    0 0 0 0 0]\n[1 0 0 0 1 1 1 0 0 1 0 0 1 0 1 0 1 1 0 0 0 0 0 0 1 1 0 0 0 1 1 0 0 0 0 0 1 0 0 1\n    0 1 0 0 1 1 1 1 0 0 0 0 1 1 0 0 1 0 1 1 1 1 0 1 0 0 0 0 1 1 1 0 1 0 1 1 0 1 \n    1 0 1 1 0 0 0 0 0 1 0 0 0 1 0 1 0 0 0 0 0 0 0 0 0 0 0 0 0 0 0 0 0 0 0 0 0 0 \n    0 0 0 0 0]\n[0 1 0 1 1 0 1 1 1 0 1 1 0 0 0 0 1 1 1 0 0 0 0 1 1 1 1 0 1 1 1 1 0 0 0 1 0 1 1 0\n    0 0 1 1 1 0 0 1 1 0 0 1 1 1 1 1 0 0 1 0 0 1 0 0 1 0 0 1 1 0 1 0 0 0 1 1 0 1 \n    1 0 1 1 1 0 0 0 1 0 1 0 1 0 0 0 1 0 0 0 0 0 0 0 0 0 0 0 0 0 0 0 0 0 0 0 0 0 \n    0 0 0 0 0]\n[0 0 1 0 1 1 0 1 1 1 0 1 1 0 0 0 0 1 1 1 0 0 0 0 1 1 1 1 0 1 1 1 1 0 0 0 1 0 1 1\n    0 0 0 1 1 1 0 0 1 1 0 0 1 1 1 1 1 0 0 1 0 0 1 0 0 1 0 0 1 1 0 1 0 0 0 1 1 0 \n    1 1 0 1 1 1 0 0 0 1 0 1 0 1 0 0 0 1 0 0 0 0 0 0 0 0 0 0 0 0 0 0 0 0 0 0 0 0 \n    0 0 0 0 0]\n[0 0 0 0 1 0 1 0 0 1 1 1 1 0 0 1 1 0 1 1 1 0 0 1 1 1 1 1 0 1 1 1 1 1 0 1 0 1 1 1\n    0 0 0 1 0 0 0 0 0 1 1 1 1 1 1 0 1 0 1 1 0 0 1 1 0 0 1 1 1 0 1 1 1 1 1 0 0 0 \n    0 0 0 0 1 1 1 0 1 0 1 0 0 0 0 0 0 0 1 0 0 0 0 0 0 0 0 0 0 0 0 0 0 0 0 0 0 0 \n    0 0 0 0 0]\n[0 0 0 0 0 1 0 1 0 0 1 1 1 1 0 0 1 1 0 1 1 1 0 0 1 1 1 1 1 0 1 1 1 1 1 0 1 0 1 1\n    1 0 0 0 1 0 0 0 0 0 1 1 1 1 1 1 0 1 0 1 1 0 0 1 1 0 0 1 1 1 0 1 1 1 1 1 0 0 \n    0 0 0 0 0 1 1 1 0 1 0 1 0 0 0 0 0 0 0 1 0 0 0 0 0 0 0 0 0 0 0 0 0 0 0 0 0 0 \n    0 0 0 0 0]\n[1 0 0 0 0 0 1 0 1 0 0 1 1 1 1 0 0 1 1 0 1 1 1 0 0 1 1 1 1 1 0 1 1 1 1 1 0 1 0 1\n    1 1 0 0 0 1 0 0 0 0 0 1 1 1 1 1 1 0 1 0 1 1 0 0 1 1 0 0 1 1 1 0 1 1 1 1 1 0 \n    0 0 0 0 0 0 1 1 1 0 1 0 1 0 0 0 0 0 0 0 1 0 0 0 0 0 0 0 0 0 0 0 0 0 0 0 0 0 \n    0 0 0 0 0]\n[1 1 0 0 0 0 0 1 0 1 0 0 1 1 1 1 0 0 1 1 0 1 1 1 0 0 1 1 1 1 1 0 1 1 1 1 1 0 1 0\n    1 1 1 0 0 0 1 0 0 0 0 0 1 1 1 1 1 1 0 1 0 1 1 0 0 1 1 0 0 1 1 1 0 1 1 1 1 1 \n    0 0 0 0 0 0 0 1 1 1 0 1 0 1 0 0 0 0 0 0 0 1 0 0 0 0 0 0 0 0 0 0 0 0 0 0 0 0 \n    0 0 0 0 0]\n[1 1 1 1 1 1 0 0 0 0 1 1 0 0 1 0 0 0 0 1 1 0 1 0 0 0 0 1 0 0 1 1 0 1 1 0 1 1 1 1\n    1 1 1 0 1 1 1 1 0 0 0 1 1 1 1 0 1 0 0 1 0 0 0 1 0 0 1 0 1 1 1 0 1 1 0 1 0 0 \n    1 1 1 0 0 0 0 0 0 1 1 0 0 0 0 0 0 0 0 0 0 0 1 0 0 0 0 0 0 0 0 0 0 0 0 0 0 0 \n    0 0 0 0 0]\n[1 1 1 1 1 1 1 0 0 0 0 1 1 0 0 1 0 0 0 0 1 1 0 1 0 0 0 0 1 0 0 1 1 0 1 1 0 1 1 1\n    1 1 1 1 0 1 1 1 1 0 0 0 1 1 1 1 0 1 0 0 1 0 0 0 1 0 0 1 0 1 1 1 0 1 1 0 1 0 \n    0 1 1 1 0 0 0 0 0 0 1 1 0 0 0 0 0 0 0 0 0 0 0 1 0 0 0 0 0 0 0 0 0 0 0 0 0 0 \n    0 0 0 0 0]\n[1 1 1 1 1 1 1 1 0 0 0 0 1 1 0 0 1 0 0 0 0 1 1 0 1 0 0 0 0 1 0 0 1 1 0 1 1 0 1 1\n    1 1 1 1 1 0 1 1 1 1 0 0 0 1 1 1 1 0 1 0 0 1 0 0 0 1 0 0 1 0 1 1 1 0 1 1 0 1 \n    0 0 1 1 1 0 0 0 0 0 0 1 1 0 0 0 0 0 0 0 0 0 0 0 1 0 0 0 0 0 0 0 0 0 0 0 0 0 \n    0 0 0 0 0]\n[1 1 1 1 1 1 1 1 1 0 0 0 0 1 1 0 0 1 0 0 0 0 1 1 0 1 0 0 0 0 1 0 0 1 1 0 1 1 0 1\n    1 1 1 1 1 1 0 1 1 1 1 0 0 0 1 1 1 1 0 1 0 0 1 0 0 0 1 0 0 1 0 1 1 1 0 1 1 0 \n    1 0 0 1 1 1 0 0 0 0 0 0 1 1 0 0 0 0 0 0 0 0 0 0 0 1 0 0 0 0 0 0 0 0 0 0 0 0 \n    0 0 0 0 0]\n[0 1 1 0 0 0 1 1 0 1 0 1 0 1 1 0 1 0 1 0 0 0 0 0 0 0 1 0 1 1 0 1 0 0 1 0 0 1 0 0\n    0 1 1 0 0 0 0 0 1 1 1 0 1 0 0 0 1 0 0 1 0 0 1 1 0 0 0 0 1 1 1 1 1 0 0 0 0 0 \n    0 0 1 0 1 1 1 0 1 0 0 0 1 1 0 0 0 0 0 0 0 0 0 0 0 0 1 0 0 0 0 0 0 0 0 0 0 0 \n    0 0 0 0 0]\n[1 0 1 0 1 1 0 1 0 0 1 1 1 1 1 0 1 1 0 1 0 0 0 1 1 0 0 1 1 0 1 0 1 0 0 0 0 0 0 0\n    1 0 1 0 1 1 1 0 0 1 1 0 1 1 0 1 0 0 1 1 0 0 1 1 1 0 0 1 1 0 1 0 1 0 1 0 1 1 \n    0 1 1 1 0 1 1 1 1 1 0 0 1 1 0 0 0 0 0 0 0 0 0 0 0 0 0 1 0 0 0 0 0 0 0 0 0 0 \n    0 0 0 0 0]\n[0 1 0 0 1 0 1 0 0 0 0 0 1 0 1 0 1 1 1 0 1 0 0 1 0 1 0 0 0 0 0 1 0 1 0 1 0 0 1 0\n    1 1 0 0 1 0 0 1 0 0 1 0 1 1 1 1 1 1 1 0 0 0 1 1 1 1 0 1 0 0 0 0 0 0 1 1 1 0 \n    1 1 0 1 1 0 1 1 0 1 1 0 1 1 0 0 0 0 0 0 0 0 0 0 0 0 0 0 1 0 0 0 0 0 0 0 0 0 \n    0 0 0 0 0]\n[0 0 1 1 1 0 0 1 1 0 0 1 0 0 0 0 1 1 1 1 0 1 0 1 0 0 1 0 1 1 0 0 1 0 1 1 1 0 1 1\n    1 1 1 1 1 0 1 0 1 0 0 0 1 1 1 0 1 0 0 0 1 0 1 1 1 1 1 1 0 1 0 1 0 1 1 1 0 0 \n    0 0 0 0 1 1 0 1 0 0 1 1 1 1 0 0 0 0 0 0 0 0 0 0 0 0 0 0 0 1 0 0 0 0 0 0 0 0 \n    0 0 0 0 0]\n[0 0 0 0 0 0 0 0 0 1 0 1 1 1 0 1 1 1 1 1 1 0 1 1 0 0 0 1 1 0 1 0 0 1 0 0 1 1 1 1\n    0 1 1 0 0 0 1 1 0 1 0 1 1 1 1 0 0 0 1 1 1 1 1 1 1 1 1 0 0 1 1 1 1 1 0 1 0 1 \n    0 1 1 0 0 1 1 0 0 0 0 1 0 1 0 0 0 0 0 0 0 0 0 0 0 0 0 0 0 0 1 0 0 0 0 0 0 0 \n    0 0 0 0 0]\n[0 0 0 1 1 1 0 0 1 0 1 1 1 0 1 1 0 1 1 1 1 1 0 0 0 0 0 0 0 0 0 1 0 0 1 1 0 1 0 1\n    0 0 1 0 1 1 1 1 1 0 1 1 0 1 1 0 0 1 1 0 0 1 0 1 1 1 1 0 1 1 1 0 1 0 0 0 0 1 \n    1 1 0 1 0 0 1 1 1 0 0 0 0 0 0 0 0 0 0 0 0 0 0 0 0 0 0 0 0 0 0 1 0 0 0 0 0 0 \n    0 0 0 0 0]\n[1 0 0 0 1 1 1 0 0 1 0 1 1 1 0 1 1 0 1 1 1 1 1 0 0 0 0 0 0 0 0 0 1 0 0 1 1 0 1 0\n    1 0 0 1 0 1 1 1 1 1 0 1 1 0 1 1 0 0 1 1 0 0 1 0 1 1 1 1 0 1 1 1 0 1 0 0 0 0 \n    1 1 1 0 1 0 0 1 1 1 0 0 0 0 0 0 0 0 0 0 0 0 0 0 0 0 0 0 0 0 0 0 1 0 0 0 0 0 \n    0 0 0 0 0]\n[0 1 0 0 0 1 1 1 0 0 1 0 1 1 1 0 1 1 0 1 1 1 1 1 0 0 0 0 0 0 0 0 0 1 0 0 1 1 0 1\n    0 1 0 0 1 0 1 1 1 1 1 0 1 1 0 1 1 0 0 1 1 0 0 1 0 1 1 1 1 0 1 1 1 0 1 0 0 0 \n    0 1 1 1 0 1 0 0 1 1 1 0 0 0 0 0 0 0 0 0 0 0 0 0 0 0 0 0 0 0 0 0 0 1 0 0 0 0 \n    0 0 0 0 0]\n[0 0 1 0 0 0 1 1 1 0 0 1 0 1 1 1 0 1 1 0 1 1 1 1 1 0 0 0 0 0 0 0 0 0 1 0 0 1 1 0\n    1 0 1 0 0 1 0 1 1 1 1 1 0 1 1 0 1 1 0 0 1 1 0 0 1 0 1 1 1 1 0 1 1 1 0 1 0 0 \n    0 0 1 1 1 0 1 0 0 1 1 1 0 0 0 0 0 0 0 0 0 0 0 0 0 0 0 0 0 0 0 0 0 0 1 0 0 0 \n    0 0 0 0 0]\n[1 0 0 1 0 0 0 1 1 1 0 0 1 0 1 1 1 0 1 1 0 1 1 1 1 1 0 0 0 0 0 0 0 0 0 1 0 0 1 1\n    0 1 0 1 0 0 1 0 1 1 1 1 1 0 1 1 0 1 1 0 0 1 1 0 0 1 0 1 1 1 1 0 1 1 1 0 1 0 \n    0 0 0 1 1 1 0 1 0 0 1 1 1 0 0 0 0 0 0 0 0 0 0 0 0 0 0 0 0 0 0 0 0 0 0 1 0 0 \n    0 0 0 0 0]\n[1 1 0 0 1 0 0 0 1 1 1 0 0 1 0 1 1 1 0 1 1 0 1 1 1 1 1 0 0 0 0 0 0 0 0 0 1 0 0 1\n    1 0 1 0 1 0 0 1 0 1 1 1 1 1 0 1 1 0 1 1 0 0 1 1 0 0 1 0 1 1 1 1 0 1 1 1 0 1 \n    0 0 0 0 1 1 1 0 1 0 0 1 1 1 0 0 0 0 0 0 0 0 0 0 0 0 0 0 0 0 0 0 0 0 0 0 1 0 \n    0 0 0 0 0]\n[1 1 1 1 1 0 0 0 1 1 1 0 0 1 1 1 0 1 1 0 1 1 0 0 0 1 1 1 1 1 0 0 0 0 0 1 0 1 1 0\n    0 1 0 0 1 0 1 0 1 0 1 0 0 1 1 1 1 0 1 0 0 0 1 1 1 0 0 0 1 0 1 0 1 1 0 1 0 1 \n    1 1 1 0 0 1 1 1 1 1 0 0 0 1 0 0 0 0 0 0 0 0 0 0 0 0 0 0 0 0 0 0 0 0 0 0 0 1 \n    0 0 0 0 0]\n[1 1 1 0 0 0 0 0 1 1 1 0 0 1 1 0 0 0 1 1 0 1 1 1 1 0 1 1 0 0 1 0 0 0 0 1 1 0 0 1\n    1 0 1 1 1 0 1 1 0 1 0 0 1 0 1 0 1 0 1 0 1 0 1 1 1 1 0 1 1 0 0 0 0 0 0 0 0 1 \n    1 0 0 1 0 0 1 1 0 1 1 0 1 0 0 0 0 0 0 0 0 0 0 0 0 0 0 0 0 0 0 0 0 0 0 0 0 0 \n    1 0 0 0 0]\n[1 1 1 1 0 0 0 0 0 1 1 1 0 0 1 1 0 0 0 1 1 0 1 1 1 1 0 1 1 0 0 1 0 0 0 0 1 1 0 0\n    1 1 0 1 1 1 0 1 1 0 1 0 0 1 0 1 0 1 0 1 0 1 0 1 1 1 1 0 1 1 0 0 0 0 0 0 0 0 \n    1 1 0 0 1 0 0 1 1 0 1 1 0 1 0 0 0 0 0 0 0 0 0 0 0 0 0 0 0 0 0 0 0 0 0 0 0 0 \n    0 1 0 0 0]\n[1 1 1 0 0 1 0 0 1 0 1 0 1 1 0 0 0 0 0 0 1 1 0 0 0 1 1 0 0 0 0 0 1 0 0 1 0 1 0 0\n    1 1 1 1 0 0 0 0 1 1 0 0 1 0 1 1 1 1 0 1 0 0 0 0 1 1 1 0 1 0 1 1 0 1 1 0 1 1 \n    0 0 0 0 0 1 0 0 0 1 0 1 0 0 0 0 0 0 0 0 0 0 0 0 0 0 0 0 0 0 0 0 0 0 0 0 0 0 \n    0 0 1 0 0]\n[0 1 1 1 0 0 1 0 0 1 0 1 0 1 1 0 0 0 0 0 0 1 1 0 0 0 1 1 0 0 0 0 0 1 0 0 1 0 1 0\n    0 1 1 1 1 0 0 0 0 1 1 0 0 1 0 1 1 1 1 0 1 0 0 0 0 1 1 1 0 1 0 1 1 0 1 1 0 1 \n    1 0 0 0 0 0 1 0 0 0 1 0 1 0 0 0 0 0 0 0 0 0 0 0 0 0 0 0 0 0 0 0 0 0 0 0 0 0 \n    0 0 0 1 0]\n[0 0 1 1 1 0 0 1 0 0 1 0 1 0 1 1 0 0 0 0 0 0 1 1 0 0 0 1 1 0 0 0 0 0 1 0 0 1 0 1\n    0 0 1 1 1 1 0 0 0 0 1 1 0 0 1 0 1 1 1 1 0 1 0 0 0 0 1 1 1 0 1 0 1 1 0 1 1 0 \n    1 1 0 0 0 0 0 1 0 0 0 1 0 1 0 0 0 0 0 0 0 0 0 0 0 0 0 0 0 0 0 0 0 0 0 0 0 0 \n    0 0 0 0 1]\n[121, 29] Linear Code over GF(2)\nGenerator matrix:\n[1 0 0 0 0 0 0 0 0 0 0 0 0 0 0 0 0 0 0 0 0 0 0 0 0 0 0 0 0 1 0 0 1 0 1 0 0 0 1 1\n    1 0 0 1 0 0 1 0 1 0 1 1 0 0 0 0 0 0 1 1 0 0 0 1 1 0 0 0 0 0 1 0 0 1 0 1 0 0 \n    1 1 1 1 0 0 0 0 1 1 0 0 1 0 1 1 1 1 0 1 0 0 0 0 1 1 1 0 1 0 1 1 0 1 1 0 1 1 \n    0 0 0 0 0]\n[0 1 0 0 0 0 0 0 0 0 0 0 0 0 0 0 0 0 0 0 0 0 0 0 0 0 0 0 0 0 1 0 0 1 0 1 0 0 0 1\n    1 1 0 0 1 0 0 1 0 1 0 1 1 0 0 0 0 0 0 1 1 0 0 0 1 1 0 0 0 0 0 1 0 0 1 0 1 0 \n    0 1 1 1 1 0 0 0 0 1 1 0 0 1 0 1 1 1 1 0 1 0 0 0 0 1 1 1 0 1 0 1 1 0 1 1 0 1 \n    1 0 0 0 0]\n[0 0 1 0 0 0 0 0 0 0 0 0 0 0 0 0 0 0 0 0 0 0 0 0 0 0 0 0 0 1 0 1 1 0 0 0 1 0 1 1\n    0 1 1 1 0 1 1 0 0 0 0 1 1 1 0 0 0 0 1 1 1 1 0 1 1 1 1 0 0 0 1 0 1 1 0 0 0 1 \n    1 1 0 0 1 1 0 0 1 1 1 1 1 0 0 1 0 0 1 0 0 1 0 0 1 1 0 1 0 0 0 1 1 0 1 1 0 1 \n    1 1 0 0 0]\n[0 0 0 1 0 0 0 0 0 0 0 0 0 0 0 0 0 0 0 0 0 0 0 0 0 0 0 0 0 0 1 0 1 1 0 0 0 1 0 1\n    1 0 1 1 1 0 1 1 0 0 0 0 1 1 1 0 0 0 0 1 1 1 1 0 1 1 1 1 0 0 0 1 0 1 1 0 0 0 \n    1 1 1 0 0 1 1 0 0 1 1 1 1 1 0 0 1 0 0 1 0 0 1 0 0 1 1 0 1 0 0 0 1 1 0 1 1 0 \n    1 1 1 0 0]\n[0 0 0 0 1 0 0 0 0 0 0 0 0 0 0 0 0 0 0 0 0 0 0 0 0 0 0 0 0 1 0 1 1 1 0 0 0 0 0 1\n    0 1 0 0 1 1 1 1 0 0 1 1 0 1 1 1 0 0 1 1 1 1 1 0 1 1 1 1 1 0 1 0 1 1 1 0 0 0 \n    1 0 0 0 0 0 1 1 1 1 1 1 0 1 0 1 1 0 0 1 1 0 0 1 1 1 0 1 1 1 1 1 0 0 0 0 0 0 \n    0 1 1 1 0]\n[0 0 0 0 0 1 0 0 0 0 0 0 0 0 0 0 0 0 0 0 0 0 0 0 0 0 0 0 0 0 1 0 1 1 1 0 0 0 0 0\n    1 0 1 0 0 1 1 1 1 0 0 1 1 0 1 1 1 0 0 1 1 1 1 1 0 1 1 1 1 1 0 1 0 1 1 1 0 0 \n    0 1 0 0 0 0 0 1 1 1 1 1 1 0 1 0 1 1 0 0 1 1 0 0 1 1 1 0 1 1 1 1 1 0 0 0 0 0 \n    0 0 1 1 1]\n[0 0 0 0 0 0 1 0 0 0 0 0 0 0 0 0 0 0 0 0 0 0 0 0 0 0 0 0 0 0 0 1 0 1 1 1 0 0 0 0\n    0 1 0 1 0 0 1 1 1 1 0 0 1 1 0 1 1 1 0 0 1 1 1 1 1 0 1 1 1 1 1 0 1 0 1 1 1 0 \n    0 0 1 0 0 0 0 0 1 1 1 1 1 1 0 1 0 1 1 0 0 1 1 0 0 1 1 1 0 1 1 1 1 1 0 0 0 0 \n    0 0 0 1 1]\n[0 0 0 0 0 0 0 1 0 0 0 0 0 0 0 0 0 0 0 0 0 0 0 0 0 0 0 0 0 0 0 0 1 0 1 1 1 0 0 0\n    0 0 1 0 1 0 0 1 1 1 1 0 0 1 1 0 1 1 1 0 0 1 1 1 1 1 0 1 1 1 1 1 0 1 0 1 1 1 \n    0 0 0 1 0 0 0 0 0 1 1 1 1 1 1 0 1 0 1 1 0 0 1 1 0 0 1 1 1 0 1 1 1 1 1 0 0 0 \n    0 0 0 0 1]\n[0 0 0 0 0 0 0 0 1 0 0 0 0 0 0 0 0 0 0 0 0 0 0 0 0 0 0 0 0 1 0 0 1 1 1 1 1 1 1 1\n    1 0 0 0 0 1 1 0 0 1 0 0 0 0 1 1 0 1 0 0 0 0 1 0 0 1 1 0 1 1 0 1 1 1 1 1 1 1 \n    0 1 1 1 1 0 0 0 1 1 1 1 0 1 0 0 1 0 0 0 1 0 0 1 0 1 1 1 0 1 1 0 1 0 0 1 1 1 \n    0 0 0 0 0]\n[0 0 0 0 0 0 0 0 0 1 0 0 0 0 0 0 0 0 0 0 0 0 0 0 0 0 0 0 0 0 1 0 0 1 1 1 1 1 1 1\n    1 1 0 0 0 0 1 1 0 0 1 0 0 0 0 1 1 0 1 0 0 0 0 1 0 0 1 1 0 1 1 0 1 1 1 1 1 1 \n    1 0 1 1 1 1 0 0 0 1 1 1 1 0 1 0 0 1 0 0 0 1 0 0 1 0 1 1 1 0 1 1 0 1 0 0 1 1 \n    1 0 0 0 0]\n[0 0 0 0 0 0 0 0 0 0 1 0 0 0 0 0 0 0 0 0 0 0 0 0 0 0 0 0 0 0 0 1 0 0 1 1 1 1 1 1\n    1 1 1 0 0 0 0 1 1 0 0 1 0 0 0 0 1 1 0 1 0 0 0 0 1 0 0 1 1 0 1 1 0 1 1 1 1 1 \n    1 1 0 1 1 1 1 0 0 0 1 1 1 1 0 1 0 0 1 0 0 0 1 0 0 1 0 1 1 1 0 1 1 0 1 0 0 1 \n    1 1 0 0 0]\n[0 0 0 0 0 0 0 0 0 0 0 1 0 0 0 0 0 0 0 0 0 0 0 0 0 0 0 0 0 0 0 0 1 0 0 1 1 1 1 1\n    1 1 1 1 0 0 0 0 1 1 0 0 1 0 0 0 0 1 1 0 1 0 0 0 0 1 0 0 1 1 0 1 1 0 1 1 1 1 \n    1 1 1 0 1 1 1 1 0 0 0 1 1 1 1 0 1 0 0 1 0 0 0 1 0 0 1 0 1 1 1 0 1 1 0 1 0 0 \n    1 1 1 0 0]\n[0 0 0 0 0 0 0 0 0 0 0 0 1 0 0 0 0 0 0 0 0 0 0 0 0 0 0 0 0 1 0 0 1 1 1 0 1 1 0 0\n    0 1 1 0 1 0 1 0 1 1 0 1 0 1 0 0 0 0 0 0 0 1 0 1 1 0 1 0 0 1 0 0 1 0 0 0 1 1 \n    0 0 0 0 0 1 1 1 0 1 0 0 0 1 0 0 1 0 0 1 1 0 0 0 0 1 1 1 1 1 0 0 0 0 0 0 0 1 \n    0 1 1 1 0]\n[0 0 0 0 0 0 0 0 0 0 0 0 0 1 0 0 0 0 0 0 0 0 0 0 0 0 0 0 0 1 1 0 1 1 0 1 0 1 0 1\n    1 0 1 0 0 1 1 1 1 1 0 1 1 0 1 0 0 0 1 1 0 0 1 1 0 1 0 1 0 0 0 0 0 0 0 1 0 1 \n    0 1 1 1 0 0 1 1 0 1 1 0 1 0 0 1 1 0 0 1 1 1 0 0 1 1 0 1 0 1 0 1 0 1 1 0 1 1 \n    1 0 1 1 1]\n[0 0 0 0 0 0 0 0 0 0 0 0 0 0 1 0 0 0 0 0 0 0 0 0 0 0 0 0 0 1 1 1 1 1 0 0 1 0 0 1\n    0 1 0 0 0 0 0 1 0 1 0 1 1 1 0 1 0 0 1 0 1 0 0 0 0 0 1 0 1 0 1 0 0 1 0 1 1 0 \n    0 1 0 0 1 0 0 1 0 1 1 1 1 1 1 1 0 0 0 1 1 1 1 0 1 0 0 0 0 0 0 1 1 1 0 1 1 0 \n    1 1 0 1 1]\n[0 0 0 0 0 0 0 0 0 0 0 0 0 0 0 1 0 0 0 0 0 0 0 0 0 0 0 0 0 1 1 1 0 1 0 0 0 1 1 1\n    0 0 1 1 0 0 1 0 0 0 0 1 1 1 1 0 1 0 1 0 0 1 0 1 1 0 0 1 0 1 1 1 0 1 1 1 1 1 \n    1 1 0 1 0 1 0 0 0 1 1 1 0 1 0 0 0 1 0 1 1 1 1 1 1 0 1 0 1 0 1 1 1 0 0 0 0 0 \n    0 1 1 0 1]\n[0 0 0 0 0 0 0 0 0 0 0 0 0 0 0 0 1 0 0 0 0 0 0 0 0 0 0 0 0 1 1 1 0 0 0 0 0 0 0 0\n    0 0 0 0 1 0 1 1 1 0 1 1 1 1 1 1 0 1 1 0 0 0 1 1 0 1 0 0 1 0 0 1 1 1 1 0 1 1 \n    0 0 0 1 1 0 1 0 1 1 1 1 0 0 0 1 1 1 1 1 1 1 1 1 0 0 1 1 1 1 1 0 1 0 1 0 1 1 \n    0 0 1 1 0]\n[0 0 0 0 0 0 0 0 0 0 0 0 0 0 0 0 0 1 0 0 0 0 0 0 0 0 0 0 0 1 1 1 0 0 1 0 0 0 1 1\n    1 0 0 1 0 1 1 1 0 1 1 0 1 1 1 1 1 0 0 0 0 0 0 0 0 0 1 0 0 1 1 0 1 0 1 0 0 1 \n    0 1 1 1 1 1 0 1 1 0 1 1 0 0 1 1 0 0 1 0 1 1 1 1 0 1 1 1 0 1 0 0 0 0 1 1 1 0 \n    1 0 0 1 1]\n[0 0 0 0 0 0 0 0 0 0 0 0 0 0 0 0 0 0 1 0 0 0 0 0 0 0 0 0 0 0 1 1 1 0 0 1 0 0 0 1\n    1 1 0 0 1 0 1 1 1 0 1 1 0 1 1 1 1 1 0 0 0 0 0 0 0 0 0 1 0 0 1 1 0 1 0 1 0 0 \n    1 0 1 1 1 1 1 0 1 1 0 1 1 0 0 1 1 0 0 1 0 1 1 1 1 0 1 1 1 0 1 0 0 0 0 1 1 1 \n    0 1 0 0 1]\n[0 0 0 0 0 0 0 0 0 0 0 0 0 0 0 0 0 0 0 1 0 0 0 0 0 0 0 0 0 0 0 1 1 1 0 0 1 0 0 0\n    1 1 1 0 0 1 0 1 1 1 0 1 1 0 1 1 1 1 1 0 0 0 0 0 0 0 0 0 1 0 0 1 1 0 1 0 1 0 \n    0 1 0 1 1 1 1 1 0 1 1 0 1 1 0 0 1 1 0 0 1 0 1 1 1 1 0 1 1 1 0 1 0 0 0 0 1 1 \n    1 0 1 0 0]\n[0 0 0 0 0 0 0 0 0 0 0 0 0 0 0 0 0 0 0 0 1 0 0 0 0 0 0 0 0 0 0 0 1 1 1 0 0 1 0 0\n    0 1 1 1 0 0 1 0 1 1 1 0 1 1 0 1 1 1 1 1 0 0 0 0 0 0 0 0 0 1 0 0 1 1 0 1 0 1 \n    0 0 1 0 1 1 1 1 1 0 1 1 0 1 1 0 0 1 1 0 0 1 0 1 1 1 1 0 1 1 1 0 1 0 0 0 0 1 \n    1 1 0 1 0]\n[0 0 0 0 0 0 0 0 0 0 0 0 0 0 0 0 0 0 0 0 0 1 0 0 0 0 0 0 0 0 0 0 0 1 1 1 0 0 1 0\n    0 0 1 1 1 0 0 1 0 1 1 1 0 1 1 0 1 1 1 1 1 0 0 0 0 0 0 0 0 0 1 0 0 1 1 0 1 0 \n    1 0 0 1 0 1 1 1 1 1 0 1 1 0 1 1 0 0 1 1 0 0 1 0 1 1 1 1 0 1 1 1 0 1 0 0 0 0 \n    1 1 1 0 1]\n[0 0 0 0 0 0 0 0 0 0 0 0 0 0 0 0 0 0 0 0 0 0 1 0 0 0 0 0 0 0 0 0 0 0 1 1 1 0 0 1\n    0 0 0 1 1 1 0 0 1 0 1 1 1 0 1 1 0 1 1 1 1 1 0 0 0 0 0 0 0 0 0 1 0 0 1 1 0 1 \n    0 1 0 0 1 0 1 1 1 1 1 0 1 1 0 1 1 0 0 1 1 0 0 1 0 1 1 1 1 0 1 1 1 0 1 0 0 0 \n    0 1 1 1 0]\n[0 0 0 0 0 0 0 0 0 0 0 0 0 0 0 0 0 0 0 0 0 0 0 1 0 0 0 0 0 1 0 0 1 0 1 1 1 1 1 1\n    0 0 0 1 1 1 0 0 1 1 1 0 1 1 0 1 1 0 0 0 1 1 1 1 1 0 0 0 0 0 1 0 1 1 0 0 1 0 \n    0 1 0 1 0 1 0 1 0 0 1 1 1 1 0 1 0 0 0 1 1 1 0 0 0 1 0 1 0 1 1 0 1 0 1 1 1 1 \n    0 0 1 1 1]\n[0 0 0 0 0 0 0 0 0 0 0 0 0 0 0 0 0 0 0 0 0 0 0 0 1 0 0 0 0 1 1 0 1 1 1 1 1 1 0 0\n    0 0 0 1 1 1 0 0 1 1 0 0 0 1 1 0 1 1 1 1 0 1 1 0 0 1 0 0 0 0 1 1 0 0 1 1 0 1 \n    1 1 0 1 1 0 1 0 0 1 0 1 0 1 0 1 0 1 0 1 1 1 1 0 1 1 0 0 0 0 0 0 0 0 1 1 0 0 \n    1 0 0 1 1]\n[0 0 0 0 0 0 0 0 0 0 0 0 0 0 0 0 0 0 0 0 0 0 0 0 0 1 0 0 0 0 1 1 0 1 1 1 1 1 1 0\n    0 0 0 0 1 1 1 0 0 1 1 0 0 0 1 1 0 1 1 1 1 0 1 1 0 0 1 0 0 0 0 1 1 0 0 1 1 0 \n    1 1 1 0 1 1 0 1 0 0 1 0 1 0 1 0 1 0 1 0 1 1 1 1 0 1 1 0 0 0 0 0 0 0 0 1 1 0 \n    0 1 0 0 1]\n[0 0 0 0 0 0 0 0 0 0 0 0 0 0 0 0 0 0 0 0 0 0 0 0 0 0 1 0 0 1 0 1 0 0 0 1 1 1 0 0\n    1 0 0 1 0 1 0 1 1 0 0 0 0 0 0 1 1 0 0 0 1 1 0 0 0 0 0 1 0 0 1 0 1 0 0 1 1 1 \n    1 0 0 0 0 1 1 0 0 1 0 1 1 1 1 0 1 0 0 0 0 1 1 1 0 1 0 1 1 0 1 1 0 1 1 0 0 0 \n    0 0 1 0 0]\n[0 0 0 0 0 0 0 0 0 0 0 0 0 0 0 0 0 0 0 0 0 0 0 0 0 0 0 1 0 0 1 0 1 0 0 0 1 1 1 0\n    0 1 0 0 1 0 1 0 1 1 0 0 0 0 0 0 1 1 0 0 0 1 1 0 0 0 0 0 1 0 0 1 0 1 0 0 1 1 \n    1 1 0 0 0 0 1 1 0 0 1 0 1 1 1 1 0 1 0 0 0 0 1 1 1 0 1 0 1 1 0 1 1 0 1 1 0 0 \n    0 0 0 1 0]\n[0 0 0 0 0 0 0 0 0 0 0 0 0 0 0 0 0 0 0 0 0 0 0 0 0 0 0 0 1 0 0 1 0 1 0 0 0 1 1 1\n    0 0 1 0 0 1 0 1 0 1 1 0 0 0 0 0 0 1 1 0 0 0 1 1 0 0 0 0 0 1 0 0 1 0 1 0 0 1 \n    1 1 1 0 0 0 0 1 1 0 0 1 0 1 1 1 1 0 1 0 0 0 0 1 1 1 0 1 0 1 1 0 1 1 0 1 1 0 \n    0 0 0 0 1]\nLinear Code over GF(2) of length 121 with 29 generators.\nLower Bound: 1, Upper Bound: 93\nConstructed 5 distinct generator matrices\nRelative Ranks:  29  29  29  29   5 \n     Discarding non-contributing rank 5 matrix\n     New Relative Ranks:  29  29  29  29 \nTime Taken: 0.00\nStarting search for low weight codewords... (reset timings)\nEnumerating using 1 generator at a time:\n     New codeword identified of weight 41, time 0.00\n     New codeword identified of weight 40, time 0.00\n   Completed Matrix  1:  lower =  5, upper = 40. Elapsed: 0.00s\n     New codeword identified of weight 38, time 0.00\n   Completed Matrix  2:  lower =  6, upper = 38. Elapsed: 0.00s\n   Completed Matrix  3:  lower =  7, upper = 38. Elapsed: 0.00s\n   Completed Matrix  4:  lower =  8, upper = 38. Elapsed: 0.00s\nTermination predicted with 9 generators at matrix 2\nEnumerating using 2 generators at a time:\n   Completed Matrix  1:  lower =  9, upper = 38. Elapsed: 0.00s\n   Completed Matrix  2:  lower = 10, upper = 38. Elapsed: 0.00s\n   Completed Matrix  3:  lower = 11, upper = 38. Elapsed: 0.00s\n   Completed Matrix  4:  lower = 12, upper = 38. Elapsed: 0.00s\nTermination predicted with 9 generators at matrix 2\nEnumerating using 3 generators at a time:\n   Completed Matrix  1:  lower = 13, upper = 38. Elapsed: 0.00s\n   Completed Matrix  2:  lower = 14, upper = 38. Elapsed: 0.00s\n   Completed Matrix  3:  lower = 15, upper = 38. Elapsed: 0.00s\n   Completed Matrix  4:  lower = 16, upper = 38. Elapsed: 0.00s\nTermination predicted with 9 generators at matrix 2\nEnumerating using 4 generators at a time:\n     New codeword identified of weight 37, time 0.00\n   Completed Matrix  1:  lower = 17, upper = 37. Elapsed: 0.00s\n   Completed Matrix  2:  lower = 18, upper = 37. Elapsed: 0.00s\n   Completed Matrix  3:  lower = 19, upper = 37. Elapsed: 0.00s\n   Completed Matrix  4:  lower = 20, upper = 37. Elapsed: 0.00s\nTermination predicted with 9 generators at matrix 1\nEnumerating using 5 generators at a time:\n   Completed Matrix  1:  lower = 21, upper = 37. Elapsed: 0.00s\n   Completed Matrix  2:  lower = 22, upper = 37. Elapsed: 0.00s\n   Completed Matrix  3:  lower = 23, upper = 37. Elapsed: 0.00s\n   Completed Matrix  4:  lower = 24, upper = 37. Elapsed: 0.00s\nTermination predicted with 9 generators at matrix 1\nEnumerating using 6 generators at a time:\n   Completed Matrix  1:  lower = 25, upper = 37. Elapsed: 0.00s\n   Completed Matrix  2:  lower = 26, upper = 37. Elapsed: 0.00s\n   Completed Matrix  3:  lower = 27, upper = 37. Elapsed: 0.00s\n   Completed Matrix  4:  lower = 28, upper = 37. Elapsed: 0.00s\nTermination predicted with 9 generators at matrix 1\nEnumerating using 7 generators at a time:\n   Completed Matrix  1:  lower = 29, upper = 37. Elapsed: 0.00s\n   Completed Matrix  2:  lower = 30, upper = 37. Elapsed: 0.02s\n   Completed Matrix  3:  lower = 31, upper = 37. Elapsed: 0.02s\n   Completed Matrix  4:  lower = 32, upper = 37. Elapsed: 0.02s\nTermination predicted with 9 generators at matrix 1\nEnumerating using 8 generators at a time:\n   Completed Matrix  1:  lower = 33, upper = 37. Elapsed: 0.03s\n   Completed Matrix  2:  lower = 34, upper = 37. Elapsed: 0.05s\n   Completed Matrix  3:  lower = 35, upper = 37. Elapsed: 0.06s\n   Completed Matrix  4:  lower = 36, upper = 37. Elapsed: 0.08s\nTermination predicted with 9 generators at matrix 1\nEnumerating using 9 generators at a time:\n   Completed Matrix  1:  lower = 37, upper = 37. Elapsed: 0.11s\nComputation complete 35913165 vectors enumerated in total\n (6.689348% of 121 29 code)\nFinal Results: lower = 37, upper = 37,\nTotal CPU time: 0.11, real time: 0.112\n37\n\nTotal time: 0.120 seconds, Total memory usage: 32.09MB\n</t>
  </si>
  <si>
    <t>[[122,47,25]]</t>
  </si>
  <si>
    <t>Magma V2.28-26    Tue Dec 30 2025 10:41:19 on Marks-MacBook-Air-2 [Seed = \n255183512]\nType ? for help.  Type &lt;Ctrl&gt;-D to quit.\n[1 1 0 1 1 0 0 1 1 1 0 1 1 1 0 1 1 0 0 0 0 0 0 0 1 1 1 0 0 0 0 1 0 1 1 1 1 0 0 0\n    1 1 0 1 0 1 1 0 0 1 0 0 0 0 1 1 1 1 1 0 0 0 1 1 0 0 1 0 0 0 1 0 0 1 0 1 0 0 \n    0 0 0 0 0 0 0 0 0 0 0 0 0 0 0 0 0 0 0 0 0 0 0 0 0 0 0 0 0 0 0 0 0 0 0 0 0 0 \n    0 0 0 0 0 0]\n[1 1 1 0 1 1 0 0 1 1 1 0 1 1 1 0 1 1 0 0 0 0 0 0 0 1 1 1 0 0 0 0 1 0 1 1 1 1 0 0\n    0 1 1 0 1 0 1 1 0 0 1 0 0 0 0 1 1 1 1 1 0 0 0 1 1 0 0 1 0 0 0 1 0 0 1 0 1 0 \n    0 0 0 0 0 0 0 0 0 0 0 0 0 0 0 0 0 0 0 0 0 0 0 0 0 0 0 0 0 0 0 0 0 0 0 0 0 0 \n    0 0 0 0 0 0]\n[0 0 1 0 1 1 1 1 1 0 1 0 1 0 1 0 1 1 1 0 0 0 0 0 1 1 0 1 1 0 0 1 0 0 1 0 0 1 1 0\n    1 1 1 0 0 0 1 1 1 1 0 1 0 0 1 1 0 0 0 1 1 0 1 1 1 1 1 0 1 0 1 0 1 1 0 0 0 1 \n    0 0 0 0 0 0 0 0 0 0 0 0 0 0 0 0 0 0 0 0 0 0 0 0 0 0 0 0 0 0 0 0 0 0 0 0 0 0 \n    0 0 0 0 0 0]\n[1 0 0 1 0 1 1 1 1 1 0 1 0 1 0 1 0 1 1 1 0 0 0 0 0 1 1 0 1 1 0 0 1 0 0 1 0 0 1 1\n    0 1 1 1 0 0 0 1 1 1 1 0 1 0 0 1 1 0 0 0 1 1 0 1 1 1 1 1 0 1 0 1 0 1 1 0 0 0 \n    1 0 0 0 0 0 0 0 0 0 0 0 0 0 0 0 0 0 0 0 0 0 0 0 0 0 0 0 0 0 0 0 0 0 0 0 0 0 \n    0 0 0 0 0 0]\n[0 0 0 1 0 0 1 0 0 0 1 1 0 1 1 1 0 0 1 1 1 0 0 0 1 1 0 1 0 1 1 1 0 0 1 1 0 0 0 1\n    0 1 1 0 1 1 1 0 1 0 1 1 0 1 1 1 0 0 1 0 0 1 0 1 1 1 0 1 1 0 0 0 1 1 1 0 0 0 \n    0 1 0 0 0 0 0 0 0 0 0 0 0 0 0 0 0 0 0 0 0 0 0 0 0 0 0 0 0 0 0 0 0 0 0 0 0 0 \n    0 0 0 0 0 0]\n[0 1 0 1 0 0 0 0 1 1 0 0 0 1 1 0 0 0 0 1 1 1 0 0 1 0 0 0 1 0 1 0 1 1 1 0 0 0 0 0\n    0 1 1 0 0 0 0 1 0 0 0 1 1 0 0 0 0 1 1 1 0 0 0 1 1 1 0 0 1 1 1 0 0 0 1 0 0 0 \n    0 0 1 0 0 0 0 0 0 0 0 0 0 0 0 0 0 0 0 0 0 0 0 0 0 0 0 0 0 0 0 0 0 0 0 0 0 0 \n    0 0 0 0 0 0]\n[1 1 1 1 0 0 0 1 1 0 1 1 1 1 1 0 1 0 0 0 1 1 1 0 1 0 1 0 0 1 0 0 0 0 0 0 1 0 0 0\n    1 1 1 0 0 1 1 0 1 1 0 0 1 1 1 1 1 1 0 1 1 0 1 1 1 1 0 0 0 1 0 1 0 1 0 0 0 0 \n    0 0 0 1 0 0 0 0 0 0 0 0 0 0 0 0 0 0 0 0 0 0 0 0 0 0 0 0 0 0 0 0 0 0 0 0 0 0 \n    0 0 0 0 0 0]\n[0 1 1 1 1 0 0 0 1 1 0 1 1 1 1 1 0 1 0 0 0 1 1 1 0 1 0 1 0 0 1 0 0 0 0 0 0 1 0 0\n    0 1 1 1 0 0 1 1 0 1 1 0 0 1 1 1 1 1 1 0 1 1 0 1 1 1 1 0 0 0 1 0 1 0 1 0 0 0 \n    0 0 0 0 1 0 0 0 0 0 0 0 0 0 0 0 0 0 0 0 0 0 0 0 0 0 0 0 0 0 0 0 0 0 0 0 0 0 \n    0 0 0 0 0 0]\n[0 1 1 0 0 1 0 1 1 0 1 1 0 0 1 0 0 0 1 0 0 0 1 1 0 1 0 0 1 0 0 0 0 1 1 1 1 0 1 0\n    1 1 1 0 1 1 1 1 1 1 1 1 0 0 0 0 0 0 0 1 0 1 0 1 1 1 0 1 0 0 1 1 0 0 0 0 0 0 \n    0 0 0 0 0 1 0 0 0 0 0 0 0 0 0 0 0 0 0 0 0 0 0 0 0 0 0 0 0 0 0 0 0 0 0 0 0 0 \n    0 0 0 0 0 0]\n[1 0 1 1 0 0 1 0 1 1 0 1 1 0 0 1 0 0 0 1 0 0 0 1 1 0 1 0 0 1 0 0 0 0 1 1 1 1 0 1\n    0 1 1 1 0 1 1 1 1 1 1 1 1 0 0 0 0 0 0 0 1 0 1 0 1 1 1 0 1 0 0 1 1 0 0 0 0 0 \n    0 0 0 0 0 0 1 0 0 0 0 0 0 0 0 0 0 0 0 0 0 0 0 0 0 0 0 0 0 0 0 0 0 0 0 0 0 0 \n    0 0 0 0 0 0]\n[1 1 0 1 1 0 0 1 0 1 1 0 1 1 0 0 1 0 0 0 1 0 0 0 1 1 0 1 0 0 1 0 0 0 0 1 1 1 1 0\n    1 0 1 1 1 0 1 1 1 1 1 1 1 1 0 0 0 0 0 0 0 1 0 1 0 1 1 1 0 1 0 0 1 1 0 0 0 0 \n    0 0 0 0 0 0 0 1 0 0 0 0 0 0 0 0 0 0 0 0 0 0 0 0 0 0 0 0 0 0 0 0 0 0 0 0 0 0 \n    0 0 0 0 0 0]\n[0 1 1 0 1 1 0 0 1 0 1 1 0 1 1 0 0 1 0 0 0 1 0 0 0 1 1 0 1 0 0 1 0 0 0 0 1 1 1 1\n    0 1 0 1 1 1 0 1 1 1 1 1 1 1 1 0 0 0 0 0 0 0 1 0 1 0 1 1 1 0 1 0 0 1 1 0 0 0 \n    0 0 0 0 0 0 0 0 1 0 0 0 0 0 0 0 0 0 0 0 0 0 0 0 0 0 0 0 0 0 0 0 0 0 0 0 0 0 \n    0 0 0 0 0 0]\n[1 1 1 0 1 1 1 1 1 0 0 0 0 1 1 0 1 0 1 0 0 0 1 0 1 1 0 1 0 1 0 1 1 1 1 1 1 1 1 1\n    0 1 1 1 1 0 0 0 1 0 1 1 1 1 0 0 1 1 1 0 0 0 1 0 0 1 1 1 1 1 1 1 0 1 1 0 0 0 \n    0 0 0 0 0 0 0 0 0 1 0 0 0 0 0 0 0 0 0 0 0 0 0 0 0 0 0 0 0 0 0 0 0 0 0 0 0 0 \n    0 0 0 0 0 0]\n[0 0 1 0 1 1 1 0 0 0 0 1 1 1 1 0 1 1 0 1 0 0 0 1 1 0 0 0 1 0 1 1 1 0 0 0 0 1 1 1\n    0 1 1 0 1 0 1 0 0 0 0 1 1 1 0 1 1 0 0 1 0 0 1 0 0 0 0 1 1 1 0 1 1 1 1 0 0 0 \n    0 0 0 0 0 0 0 0 0 0 1 0 0 0 0 0 0 0 0 0 0 0 0 0 0 0 0 0 0 0 0 0 0 0 0 0 0 0 \n    0 0 0 0 0 0]\n[1 1 0 0 1 1 1 0 1 1 0 1 0 0 1 0 1 1 1 0 1 0 0 0 0 0 1 0 0 1 0 0 1 0 1 1 1 0 1 1\n    0 1 1 0 0 0 1 1 0 1 0 0 1 1 0 1 0 0 1 0 1 0 1 0 0 0 1 0 1 1 0 0 1 0 1 0 0 0 \n    0 0 0 0 0 0 0 0 0 0 0 1 0 0 0 0 0 0 0 0 0 0 0 0 0 0 0 0 0 0 0 0 0 0 0 0 0 0 \n    0 0 0 0 0 0]\n[1 0 1 1 1 1 1 0 1 0 1 1 0 1 0 0 1 1 1 1 0 1 0 0 1 1 1 1 0 0 1 1 0 0 1 0 0 1 0 1\n    0 1 1 0 0 1 1 1 1 1 1 0 0 1 0 1 0 1 1 1 0 1 1 0 0 0 1 1 0 1 0 0 0 0 0 0 0 0 \n    0 0 0 0 0 0 0 0 0 0 0 0 1 0 0 0 0 0 0 0 0 0 0 0 0 0 0 0 0 0 0 0 0 0 0 0 0 0 \n    0 0 0 0 0 0]\n[0 1 0 1 1 1 1 1 0 1 0 1 1 0 1 0 0 1 1 1 1 0 1 0 0 1 1 1 1 0 0 1 1 0 0 1 0 0 1 0\n    1 0 1 1 0 0 1 1 1 1 1 1 0 0 1 0 1 0 1 1 1 0 1 1 0 0 0 1 1 0 1 0 0 0 0 0 0 0 \n    0 0 0 0 0 0 0 0 0 0 0 0 0 1 0 0 0 0 0 0 0 0 0 0 0 0 0 0 0 0 0 0 0 0 0 0 0 0 \n    0 0 0 0 0 0]\n[1 0 1 0 1 1 1 1 1 0 1 0 1 1 0 1 0 0 1 1 1 1 0 1 0 0 1 1 1 1 0 0 1 1 0 0 1 0 0 1\n    0 1 0 1 1 0 0 1 1 1 1 1 1 0 0 1 0 1 0 1 1 1 0 1 1 0 0 0 1 1 0 1 0 0 0 0 0 0 \n    0 0 0 0 0 0 0 0 0 0 0 0 0 0 1 0 0 0 0 0 0 0 0 0 0 0 0 0 0 0 0 0 0 0 0 0 0 0 \n    0 0 0 0 0 0]\n[0 1 0 1 0 1 1 1 1 1 0 1 0 1 1 0 1 0 0 1 1 1 1 0 1 0 0 1 1 1 1 0 0 1 1 0 0 1 0 0\n    1 0 1 0 1 1 0 0 1 1 1 1 1 1 0 0 1 0 1 0 1 1 1 0 1 1 0 0 0 1 1 0 1 0 0 0 0 0 \n    0 0 0 0 0 0 0 0 0 0 0 0 0 0 0 1 0 0 0 0 0 0 0 0 0 0 0 0 0 0 0 0 0 0 0 0 0 0 \n    0 0 0 0 0 0]\n[0 0 1 0 1 0 1 1 1 1 1 0 1 0 1 1 0 1 0 0 1 1 1 1 0 1 0 0 1 1 1 1 0 0 1 1 0 0 1 0\n    0 1 0 1 0 1 1 0 0 1 1 1 1 1 1 0 0 1 0 1 0 1 1 1 0 1 1 0 0 0 1 1 0 1 0 0 0 0 \n    0 0 0 0 0 0 0 0 0 0 0 0 0 0 0 0 1 0 0 0 0 0 0 0 0 0 0 0 0 0 0 0 0 0 0 0 0 0 \n    0 0 0 0 0 0]\n[0 0 0 1 0 1 0 1 1 1 1 1 0 1 0 1 1 0 1 0 0 1 1 1 1 0 1 0 0 1 1 1 1 0 0 1 1 0 0 1\n    0 0 1 0 1 0 1 1 0 0 1 1 1 1 1 1 0 0 1 0 1 0 1 1 1 0 1 1 0 0 0 1 1 0 1 0 0 0 \n    0 0 0 0 0 0 0 0 0 0 0 0 0 0 0 0 0 1 0 0 0 0 0 0 0 0 0 0 0 0 0 0 0 0 0 0 0 0 \n    0 0 0 0 0 0]\n[1 1 0 1 0 0 1 1 0 0 1 0 0 1 1 1 0 1 0 1 0 0 1 1 0 0 1 1 0 0 1 0 1 0 1 1 0 1 0 0\n    0 1 0 0 0 0 1 1 1 1 0 1 1 1 0 0 0 1 1 1 0 1 1 0 1 1 1 1 1 0 1 0 1 0 0 0 0 0 \n    0 0 0 0 0 0 0 0 0 0 0 0 0 0 0 0 0 0 1 0 0 0 0 0 0 0 0 0 0 0 0 0 0 0 0 0 0 0 \n    0 0 0 0 0 0]\n[1 1 1 0 1 0 0 1 1 0 0 1 0 0 1 1 1 0 1 0 1 0 0 1 1 0 0 1 1 0 0 1 0 1 0 1 1 0 1 0\n    0 0 1 0 0 0 0 1 1 1 1 0 1 1 1 0 0 0 1 1 1 0 1 1 0 1 1 1 1 1 0 1 0 1 0 0 0 0 \n    0 0 0 0 0 0 0 0 0 0 0 0 0 0 0 0 0 0 0 1 0 0 0 0 0 0 0 0 0 0 0 0 0 0 0 0 0 0 \n    0 0 0 0 0 0]\n[1 1 1 1 0 1 0 0 1 1 0 0 1 0 0 1 1 1 0 1 0 1 0 0 1 1 0 0 1 1 0 0 1 0 1 0 1 1 0 1\n    0 0 0 1 0 0 0 0 1 1 1 1 0 1 1 1 0 0 0 1 1 1 0 1 1 0 1 1 1 1 1 0 1 0 1 0 0 0 \n    0 0 0 0 0 0 0 0 0 0 0 0 0 0 0 0 0 0 0 0 1 0 0 0 0 0 0 0 0 0 0 0 0 0 0 0 0 0 \n    0 0 0 0 0 0]\n[1 0 1 0 0 0 1 1 1 0 1 1 1 0 0 1 0 1 1 0 1 0 1 0 1 0 0 0 0 1 1 1 0 0 1 0 1 1 1 0\n    0 1 0 1 1 1 1 0 0 0 1 1 1 0 0 0 0 1 1 0 1 1 0 1 1 1 1 1 1 1 0 1 0 0 0 0 0 0 \n    0 0 0 0 0 0 0 0 0 0 0 0 0 0 0 0 0 0 0 0 0 1 0 0 0 0 0 0 0 0 0 0 0 0 0 0 0 0 \n    0 0 0 0 0 0]\n[1 1 0 1 0 0 0 1 1 1 0 1 1 1 0 0 1 0 1 1 0 1 0 1 0 1 0 0 0 0 1 1 1 0 0 1 0 1 1 1\n    0 0 1 0 1 1 1 1 0 0 0 1 1 1 0 0 0 0 1 1 0 1 1 0 1 1 1 1 1 1 1 0 1 0 0 0 0 0 \n    0 0 0 0 0 0 0 0 0 0 0 0 0 0 0 0 0 0 0 0 0 0 1 0 0 0 0 0 0 0 0 0 0 0 0 0 0 0 \n    0 0 0 0 0 0]\n[1 1 1 0 1 0 0 0 1 1 1 0 1 1 1 0 0 1 0 1 1 0 1 0 1 0 1 0 0 0 0 1 1 1 0 0 1 0 1 1\n    1 0 0 1 0 1 1 1 1 0 0 0 1 1 1 0 0 0 0 1 1 0 1 1 0 1 1 1 1 1 1 1 0 1 0 0 0 0 \n    0 0 0 0 0 0 0 0 0 0 0 0 0 0 0 0 0 0 0 0 0 0 0 1 0 0 0 0 0 0 0 0 0 0 0 0 0 0 \n    0 0 0 0 0 0]\n[0 1 1 1 0 1 0 0 0 1 1 1 0 1 1 1 0 0 1 0 1 1 0 1 0 1 0 1 0 0 0 0 1 1 1 0 0 1 0 1\n    1 1 0 0 1 0 1 1 1 1 0 0 0 1 1 1 0 0 0 0 1 1 0 1 1 0 1 1 1 1 1 1 1 0 1 0 0 0 \n    0 0 0 0 0 0 0 0 0 0 0 0 0 0 0 0 0 0 0 0 0 0 0 0 1 0 0 0 0 0 0 0 0 0 0 0 0 0 \n    0 0 0 0 0 0]\n[1 1 1 0 0 0 1 1 1 1 1 0 0 1 1 0 0 0 0 1 0 1 1 0 0 1 0 0 1 0 0 1 0 0 0 0 1 0 1 0\n    0 0 1 1 0 0 1 1 1 0 1 0 0 0 0 0 0 1 1 0 0 1 0 1 1 1 1 1 1 1 0 1 1 0 0 0 0 0 \n    0 0 0 0 0 0 0 0 0 0 0 0 0 0 0 0 0 0 0 0 0 0 0 0 0 1 0 0 0 0 0 0 0 0 0 0 0 0 \n    0 0 0 0 0 0]\n[1 1 1 1 0 0 0 1 1 1 1 1 0 0 1 1 0 0 0 0 1 0 1 1 0 0 1 0 0 1 0 0 1 0 0 0 0 1 0 1\n    0 0 0 1 1 0 0 1 1 1 0 1 0 0 0 0 0 0 1 1 0 0 1 0 1 1 1 1 1 1 1 0 1 1 0 0 0 0 \n    0 0 0 0 0 0 0 0 0 0 0 0 0 0 0 0 0 0 0 0 0 0 0 0 0 0 1 0 0 0 0 0 0 0 0 0 0 0 \n    0 0 0 0 0 0]\n[1 1 1 1 1 0 0 0 1 1 1 1 1 0 0 1 1 0 0 0 0 1 0 1 1 0 0 1 0 0 1 0 0 1 0 0 0 0 1 0\n    1 0 0 0 1 1 0 0 1 1 1 0 1 0 0 0 0 0 0 1 1 0 0 1 0 1 1 1 1 1 1 1 0 1 1 0 0 0 \n    0 0 0 0 0 0 0 0 0 0 0 0 0 0 0 0 0 0 0 0 0 0 0 0 0 0 0 1 0 0 0 0 0 0 0 0 0 0 \n    0 0 0 0 0 0]\n[1 0 1 0 0 1 0 1 1 0 1 0 0 0 0 1 0 1 0 0 0 0 1 0 0 0 1 0 1 0 0 0 0 1 0 1 1 0 0 1\n    1 0 0 1 0 0 0 0 0 0 1 1 0 1 1 1 1 1 1 0 1 1 1 1 1 0 0 1 1 1 0 1 1 1 1 0 0 0 \n    0 0 0 0 0 0 0 0 0 0 0 0 0 0 0 0 0 0 0 0 0 0 0 0 0 0 0 0 1 0 0 0 0 0 0 0 0 0 \n    0 0 0 0 0 0]\n[0 0 0 0 1 0 1 1 0 0 0 0 1 1 0 1 0 0 1 0 0 0 0 1 1 1 1 1 0 1 0 1 0 1 0 1 0 1 0 0\n    0 0 0 1 1 1 1 0 0 1 0 1 1 0 0 0 0 0 0 1 0 1 0 0 1 1 1 0 1 1 0 0 1 0 1 0 0 0 \n    0 0 0 0 0 0 0 0 0 0 0 0 0 0 0 0 0 0 0 0 0 0 0 0 0 0 0 0 0 1 0 0 0 0 0 0 0 0 \n    0 0 0 0 0 0]\n[1 1 0 1 1 1 0 0 0 1 0 1 1 0 1 1 0 0 0 1 0 0 0 0 0 0 0 1 1 0 1 1 1 1 0 1 0 0 1 0\n    1 1 0 1 1 0 0 1 0 1 1 0 1 1 1 1 1 1 1 0 1 0 0 1 0 1 0 1 0 1 0 0 0 0 0 0 0 0 \n    0 0 0 0 0 0 0 0 0 0 0 0 0 0 0 0 0 0 0 0 0 0 0 0 0 0 0 0 0 0 1 0 0 0 0 0 0 0 \n    0 0 0 0 0 0]\n[0 1 1 0 1 1 1 0 0 0 1 0 1 1 0 1 1 0 0 0 1 0 0 0 0 0 0 0 1 1 0 1 1 1 1 0 1 0 0 1\n    0 1 1 0 1 1 0 0 1 0 1 1 0 1 1 1 1 1 1 1 0 1 0 0 1 0 1 0 1 0 1 0 0 0 0 0 0 0 \n    0 0 0 0 0 0 0 0 0 0 0 0 0 0 0 0 0 0 0 0 0 0 0 0 0 0 0 0 0 0 0 1 0 0 0 0 0 0 \n    0 0 0 0 0 0]\n[1 0 1 1 0 1 1 1 0 0 0 1 0 1 1 0 1 1 0 0 0 1 0 0 0 0 0 0 0 1 1 0 1 1 1 1 0 1 0 0\n    1 0 1 1 0 1 1 0 0 1 0 1 1 0 1 1 1 1 1 1 1 0 1 0 0 1 0 1 0 1 0 1 0 0 0 0 0 0 \n    0 0 0 0 0 0 0 0 0 0 0 0 0 0 0 0 0 0 0 0 0 0 0 0 0 0 0 0 0 0 0 0 1 0 0 0 0 0 \n    0 0 0 0 0 0]\n[0 1 0 1 1 0 1 1 1 0 0 0 1 0 1 1 0 1 1 0 0 0 1 0 0 0 0 0 0 0 1 1 0 1 1 1 1 0 1 0\n    0 1 0 1 1 0 1 1 0 0 1 0 1 1 0 1 1 1 1 1 1 1 0 1 0 0 1 0 1 0 1 0 1 0 0 0 0 0 \n    0 0 0 0 0 0 0 0 0 0 0 0 0 0 0 0 0 0 0 0 0 0 0 0 0 0 0 0 0 0 0 0 0 1 0 0 0 0 \n    0 0 0 0 0 0]\n[0 0 1 0 1 1 0 1 1 1 0 0 0 1 0 1 1 0 1 1 0 0 0 1 0 0 0 0 0 0 0 1 1 0 1 1 1 1 0 1\n    0 0 1 0 1 1 0 1 1 0 0 1 0 1 1 0 1 1 1 1 1 1 1 0 1 0 0 1 0 1 0 1 0 1 0 0 0 0 \n    0 0 0 0 0 0 0 0 0 0 0 0 0 0 0 0 0 0 0 0 0 0 0 0 0 0 0 0 0 0 0 0 0 0 1 0 0 0 \n    0 0 0 0 0 0]\n[0 0 0 1 0 1 1 0 1 1 1 0 0 0 1 0 1 1 0 1 1 0 0 0 1 0 0 0 0 0 0 0 1 1 0 1 1 1 1 0\n    1 0 0 1 0 1 1 0 1 1 0 0 1 0 1 1 0 1 1 1 1 1 1 1 0 1 0 0 1 0 1 0 1 0 1 0 0 0 \n    0 0 0 0 0 0 0 0 0 0 0 0 0 0 0 0 0 0 0 0 0 0 0 0 0 0 0 0 0 0 0 0 0 0 0 1 0 0 \n    0 0 0 0 0 0]\n[1 1 0 1 0 0 1 0 1 0 1 0 1 1 0 0 1 1 1 0 1 1 0 0 1 0 1 0 0 0 0 1 0 0 0 1 0 1 1 1\n    1 0 0 1 1 1 0 1 0 0 1 0 0 1 1 0 0 1 0 1 1 1 0 0 1 0 0 0 0 1 1 1 0 0 0 0 0 0 \n    0 0 0 0 0 0 0 0 0 0 0 0 0 0 0 0 0 0 0 0 0 0 0 0 0 0 0 0 0 0 0 0 0 0 0 0 1 0 \n    0 0 0 0 0 0]\n[1 1 1 0 1 0 0 1 0 1 0 1 0 1 1 0 0 1 1 1 0 1 1 0 0 1 0 1 0 0 0 0 1 0 0 0 1 0 1 1\n    1 1 0 0 1 1 1 0 1 0 0 1 0 0 1 1 0 0 1 0 1 1 1 0 0 1 0 0 0 0 1 1 1 0 0 0 0 0 \n    0 0 0 0 0 0 0 0 0 0 0 0 0 0 0 0 0 0 0 0 0 0 0 0 0 0 0 0 0 0 0 0 0 0 0 0 0 1 \n    0 0 0 0 0 0]\n[1 1 1 1 0 1 0 0 1 0 1 0 1 0 1 1 0 0 1 1 1 0 1 1 0 0 1 0 1 0 0 0 0 1 0 0 0 1 0 1\n    1 1 1 0 0 1 1 1 0 1 0 0 1 0 0 1 1 0 0 1 0 1 1 1 0 0 1 0 0 0 0 1 1 1 0 0 0 0 \n    0 0 0 0 0 0 0 0 0 0 0 0 0 0 0 0 0 0 0 0 0 0 0 0 0 0 0 0 0 0 0 0 0 0 0 0 0 0 \n    1 0 0 0 0 0]\n[0 1 1 1 1 0 1 0 0 1 0 1 0 1 0 1 1 0 0 1 1 1 0 1 1 0 0 1 0 1 0 0 0 0 1 0 0 0 1 0\n    1 1 1 1 0 0 1 1 1 0 1 0 0 1 0 0 1 1 0 0 1 0 1 1 1 0 0 1 0 0 0 0 1 1 1 0 0 0 \n    0 0 0 0 0 0 0 0 0 0 0 0 0 0 0 0 0 0 0 0 0 0 0 0 0 0 0 0 0 0 0 0 0 0 0 0 0 0 \n    0 1 0 0 0 0]\n[1 1 1 0 0 1 0 0 1 1 1 1 0 1 1 1 0 1 0 0 1 1 1 0 0 0 1 0 1 0 1 1 0 1 1 0 1 0 0 1\n    1 0 1 0 1 1 1 1 1 0 0 1 0 0 0 1 1 0 0 0 0 1 1 0 1 1 1 0 1 0 1 0 0 0 1 0 0 0 \n    0 0 0 0 0 0 0 0 0 0 0 0 0 0 0 0 0 0 0 0 0 0 0 0 0 0 0 0 0 0 0 0 0 0 0 0 0 0 \n    0 0 1 0 0 0]\n[0 0 1 0 1 0 1 1 1 0 1 0 0 1 1 0 0 0 1 0 0 1 1 1 1 1 1 1 0 1 0 0 1 1 0 0 1 1 0 0\n    0 0 0 0 0 0 0 1 1 0 0 0 1 0 1 1 0 0 1 0 0 0 0 0 0 1 0 1 0 1 1 1 0 1 0 0 0 0 \n    0 0 0 0 0 0 0 0 0 0 0 0 0 0 0 0 0 0 0 0 0 0 0 0 0 0 0 0 0 0 0 0 0 0 0 0 0 0 \n    0 0 0 1 0 0]\n[0 0 0 1 0 1 0 1 1 1 0 1 0 0 1 1 0 0 0 1 0 0 1 1 1 1 1 1 1 0 1 0 0 1 1 0 0 1 1 0\n    0 0 0 0 0 0 0 0 1 1 0 0 0 1 0 1 1 0 0 1 0 0 0 0 0 0 1 0 1 0 1 1 1 0 1 0 0 0 \n    0 0 0 0 0 0 0 0 0 0 0 0 0 0 0 0 0 0 0 0 0 0 0 0 0 0 0 0 0 0 0 0 0 0 0 0 0 0 \n    0 0 0 0 1 0]\n[0 1 0 1 0 0 1 1 0 0 1 1 0 1 0 0 0 0 0 0 1 0 0 1 0 0 0 1 1 1 0 0 0 1 0 0 1 0 1 1\n    1 1 0 1 0 1 1 0 0 0 1 0 0 0 0 1 0 0 1 0 1 0 1 1 0 0 1 1 0 1 1 1 1 0 0 0 0 0 \n    0 0 0 0 0 0 0 0 0 0 0 0 0 0 0 0 0 0 0 0 0 0 0 0 0 0 0 0 0 0 0 0 0 0 0 0 0 0 \n    0 0 0 0 0 1]\n[122, 47] Linear Code over GF(2)\nGenerator matrix:\n[1 0 0 0 0 0 0 0 0 0 0 0 0 0 0 0 0 0 0 0 0 0 0 0 0 0 0 0 0 0 0 0 0 0 0 0 0 0 0 0\n    0 0 0 0 0 0 0 1 1 0 1 0 1 0 1 0 0 1 0 0 1 0 0 0 1 0 1 0 1 0 0 0 0 1 1 0 0 0 \n    1 0 1 0 0 0 0 1 0 0 1 1 1 1 1 1 0 0 1 0 0 0 1 1 0 1 1 0 1 1 0 0 1 1 1 1 0 0 \n    0 1 1 1 0 1]\n[0 1 0 0 0 0 0 0 0 0 0 0 0 0 0 0 0 0 0 0 0 0 0 0 0 0 0 0 0 0 0 0 0 0 0 0 0 0 0 0\n    0 0 0 0 0 0 0 0 1 1 1 0 1 0 0 0 1 0 1 1 1 0 0 1 1 0 0 0 1 1 0 0 0 0 1 1 1 1 \n    1 1 0 1 0 1 0 1 0 1 1 1 1 1 0 0 1 1 0 0 1 0 0 0 1 0 1 1 1 0 0 1 1 1 1 1 0 1 \n    0 0 0 1 1 0]\n[0 0 1 0 0 0 0 0 0 0 0 0 0 0 0 0 0 0 0 0 0 0 0 0 0 0 0 0 0 0 0 0 0 0 0 0 0 0 0 0\n    0 0 0 0 0 0 0 1 1 1 0 1 1 1 1 0 0 0 0 1 0 1 0 0 0 1 1 0 1 1 1 0 0 1 1 1 1 1 \n    0 1 0 0 1 0 1 1 1 0 0 0 0 0 0 1 0 1 0 0 0 1 1 1 0 0 1 1 0 0 0 0 0 0 0 0 1 0 \n    1 1 1 1 1 0]\n[0 0 0 1 0 0 0 0 0 0 0 0 0 0 0 0 0 0 0 0 0 0 0 0 0 0 0 0 0 0 0 0 0 0 0 0 0 0 0 0\n    0 0 0 0 0 0 0 0 1 1 1 0 1 1 1 1 0 0 0 0 1 0 1 0 0 0 1 1 0 1 1 1 0 0 1 1 1 1 \n    1 0 1 0 0 1 0 1 1 1 0 0 0 0 0 0 1 0 1 0 0 0 1 1 1 0 0 1 1 0 0 0 0 0 0 0 0 1 \n    0 1 1 1 1 1]\n[0 0 0 0 1 0 0 0 0 0 0 0 0 0 0 0 0 0 0 0 0 0 0 0 0 0 0 0 0 0 0 0 0 0 0 0 0 0 0 0\n    0 0 0 0 0 0 0 0 0 1 0 0 1 0 1 0 0 0 0 1 1 0 0 0 1 1 0 0 0 0 1 1 1 0 0 1 0 0 \n    0 1 0 1 0 1 1 1 0 0 0 0 0 0 1 1 0 0 0 0 1 0 0 0 1 1 0 0 0 0 1 1 1 0 0 0 1 1 \n    1 0 0 1 1 1]\n[0 0 0 0 0 1 0 0 0 0 0 0 0 0 0 0 0 0 0 0 0 0 0 0 0 0 0 0 0 0 0 0 0 0 0 0 0 0 0 0\n    0 0 0 0 0 0 0 1 1 0 1 1 0 0 1 0 1 1 0 1 1 0 0 1 0 0 0 1 0 0 0 1 1 0 1 0 0 1 \n    0 0 0 0 1 1 1 1 0 1 0 1 1 1 0 1 1 1 1 1 1 1 1 0 0 0 0 0 0 0 1 0 1 0 1 1 1 0 \n    1 0 0 1 1 0]\n[0 0 0 0 0 0 1 0 0 0 0 0 0 0 0 0 0 0 0 0 0 0 0 0 0 0 0 0 0 0 0 0 0 0 0 0 0 0 0 0\n    0 0 0 0 0 0 0 0 1 1 0 1 1 0 0 1 0 1 1 0 1 1 0 0 1 0 0 0 1 0 0 0 1 1 0 1 0 0 \n    1 0 0 0 0 1 1 1 1 0 1 0 1 1 1 0 1 1 1 1 1 1 1 1 0 0 0 0 0 0 0 1 0 1 0 1 1 1 \n    0 1 0 0 1 1]\n[0 0 0 0 0 0 0 1 0 0 0 0 0 0 0 0 0 0 0 0 0 0 0 0 0 0 0 0 0 0 0 0 0 0 0 0 0 0 0 0\n    0 0 0 0 0 0 0 1 1 1 1 1 1 0 1 1 0 1 1 0 0 0 1 1 0 0 1 1 0 1 0 0 0 0 0 0 0 1 \n    0 1 1 0 0 1 1 1 0 0 0 0 1 0 1 1 0 0 0 0 0 1 0 1 1 1 1 0 0 0 1 1 1 1 0 1 0 0 \n    1 1 1 1 0 0]\n[0 0 0 0 0 0 0 0 1 0 0 0 0 0 0 0 0 0 0 0 0 0 0 0 0 0 0 0 0 0 0 0 0 0 0 0 0 0 0 0\n    0 0 0 0 0 0 0 1 0 1 0 1 0 1 1 1 1 1 1 1 1 0 0 1 0 0 1 1 0 0 1 0 0 1 1 0 0 0 \n    0 0 0 1 0 0 1 0 1 0 1 1 1 0 1 0 1 0 1 0 0 0 0 1 1 0 0 1 1 1 0 1 0 0 0 1 1 0 \n    0 0 0 0 1 1]\n[0 0 0 0 0 0 0 0 0 1 0 0 0 0 0 0 0 0 0 0 0 0 0 0 0 0 0 0 0 0 0 0 0 0 0 0 0 0 0 0\n    0 0 0 0 0 0 0 0 1 0 0 1 0 1 1 0 0 1 1 0 0 0 0 1 0 1 0 0 0 0 0 1 0 0 1 1 1 1 \n    1 0 0 0 1 1 0 0 1 0 1 1 1 1 1 0 0 0 0 0 1 0 0 1 1 1 0 0 0 0 0 1 0 0 0 0 0 0 \n    0 0 1 0 0 1]\n[0 0 0 0 0 0 0 0 0 0 1 0 0 0 0 0 0 0 0 0 0 0 0 0 0 0 0 0 0 0 0 0 0 0 0 0 0 0 0 0\n    0 0 0 0 0 0 0 0 0 1 1 1 0 1 1 0 1 0 1 0 1 1 0 1 0 1 1 1 1 0 0 0 1 0 0 1 0 0 \n    0 1 0 0 0 0 1 1 1 0 1 1 1 1 0 0 0 1 0 1 1 1 0 1 1 1 1 0 1 1 1 1 0 0 0 0 1 1 \n    0 0 1 1 0 0]\n[0 0 0 0 0 0 0 0 0 0 0 1 0 0 0 0 0 0 0 0 0 0 0 0 0 0 0 0 0 0 0 0 0 0 0 0 0 0 0 0\n    0 0 0 0 0 0 0 1 1 0 0 1 0 0 0 1 0 0 0 1 1 1 1 0 0 0 0 1 0 1 0 0 0 0 1 0 1 0 \n    1 0 0 0 0 0 0 0 1 1 1 0 0 0 0 1 0 0 0 0 1 1 0 1 1 0 0 1 1 0 1 1 0 1 1 1 0 1 \n    1 1 1 0 1 1]\n[0 0 0 0 0 0 0 0 0 0 0 0 1 0 0 0 0 0 0 0 0 0 0 0 0 0 0 0 0 0 0 0 0 0 0 0 0 0 0 0\n    0 0 0 0 0 0 0 1 0 1 0 1 1 1 1 1 0 1 0 1 1 0 1 0 0 1 1 1 1 0 1 0 0 1 1 1 1 0 \n    0 1 1 0 0 1 0 0 1 0 1 0 1 1 0 0 1 1 1 1 1 1 0 0 1 0 1 0 1 1 1 0 1 1 0 0 0 1 \n    1 0 1 0 0 0]\n[0 0 0 0 0 0 0 0 0 0 0 0 0 1 0 0 0 0 0 0 0 0 0 0 0 0 0 0 0 0 0 0 0 0 0 0 0 0 0 0\n    0 0 0 0 0 0 0 0 1 0 1 0 1 1 1 1 1 0 1 0 1 1 0 1 0 0 1 1 1 1 0 1 0 0 1 1 1 1 \n    0 0 1 1 0 0 1 0 0 1 0 1 0 1 1 0 0 1 1 1 1 1 1 0 0 1 0 1 0 1 1 1 0 1 1 0 0 0 \n    1 1 0 1 0 0]\n[0 0 0 0 0 0 0 0 0 0 0 0 0 0 1 0 0 0 0 0 0 0 0 0 0 0 0 0 0 0 0 0 0 0 0 0 0 0 0 0\n    0 0 0 0 0 0 0 0 0 1 0 1 0 1 1 1 1 1 0 1 0 1 1 0 1 0 0 1 1 1 1 0 1 0 0 1 1 1 \n    1 0 0 1 1 0 0 1 0 0 1 0 1 0 1 1 0 0 1 1 1 1 1 1 0 0 1 0 1 0 1 1 1 0 1 1 0 0 \n    0 1 1 0 1 0]\n[0 0 0 0 0 0 0 0 0 0 0 0 0 0 0 1 0 0 0 0 0 0 0 0 0 0 0 0 0 0 0 0 0 0 0 0 0 0 0 0\n    0 0 0 0 0 0 0 0 0 0 1 0 1 0 1 1 1 1 1 0 1 0 1 1 0 1 0 0 1 1 1 1 0 1 0 0 1 1 \n    1 1 0 0 1 1 0 0 1 0 0 1 0 1 0 1 1 0 0 1 1 1 1 1 1 0 0 1 0 1 0 1 1 1 0 1 1 0 \n    0 0 1 1 0 1]\n[0 0 0 0 0 0 0 0 0 0 0 0 0 0 0 0 1 0 0 0 0 0 0 0 0 0 0 0 0 0 0 0 0 0 0 0 0 0 0 0\n    0 0 0 0 0 0 0 1 1 0 0 0 0 0 1 0 0 0 1 0 0 0 0 0 1 1 0 1 0 1 1 1 1 1 0 0 1 0 \n    1 1 0 0 0 0 1 0 1 0 0 1 0 1 1 0 1 0 1 1 0 1 0 1 1 0 1 0 1 0 0 1 1 0 0 1 0 0 \n    0 1 0 0 1 1]\n[0 0 0 0 0 0 0 0 0 0 0 0 0 0 0 0 0 1 0 0 0 0 0 0 0 0 0 0 0 0 0 0 0 0 0 0 0 0 0 0\n    0 0 0 0 0 0 0 0 1 1 1 1 1 1 0 0 1 0 0 0 1 1 0 1 1 0 1 1 0 0 1 1 1 1 1 0 1 0 \n    1 1 1 0 0 1 0 0 1 0 1 0 1 0 0 0 0 0 0 0 0 0 1 1 1 1 0 1 1 0 1 1 0 1 0 0 0 1 \n    0 0 0 0 0 1]\n[0 0 0 0 0 0 0 0 0 0 0 0 0 0 0 0 0 0 1 0 0 0 0 0 0 0 0 0 0 0 0 0 0 0 0 0 0 0 0 0\n    0 0 0 0 0 0 0 1 1 1 1 0 1 0 0 1 1 0 0 1 0 0 1 1 1 0 1 0 1 0 0 1 1 0 0 1 1 0 \n    0 1 0 1 0 1 1 0 1 0 0 0 1 0 0 0 0 1 1 1 1 0 1 1 1 0 0 0 1 1 1 0 1 1 0 1 1 1 \n    1 1 0 1 0 1]\n[0 0 0 0 0 0 0 0 0 0 0 0 0 0 0 0 0 0 0 1 0 0 0 0 0 0 0 0 0 0 0 0 0 0 0 0 0 0 0 0\n    0 0 0 0 0 0 0 1 0 1 1 0 0 0 1 1 0 0 0 1 1 1 0 0 1 0 1 0 0 1 0 0 1 0 1 0 0 0 \n    0 0 0 0 1 1 1 1 1 0 0 1 1 0 0 0 0 1 0 0 0 1 1 1 1 0 1 0 0 1 0 0 0 0 0 1 0 0 \n    1 0 1 1 1 1]\n[0 0 0 0 0 0 0 0 0 0 0 0 0 0 0 0 0 0 0 0 1 0 0 0 0 0 0 0 0 0 0 0 0 0 0 0 0 0 0 0\n    0 0 0 0 0 0 0 0 1 0 0 0 1 1 0 0 0 0 0 1 0 0 1 1 1 0 0 0 1 0 1 0 0 1 0 1 1 1 \n    1 0 0 0 0 0 1 0 0 0 1 0 1 1 1 1 0 1 1 1 1 0 1 0 1 1 0 1 1 1 0 1 1 0 0 0 0 1 \n    0 1 1 1 1 1]\n[0 0 0 0 0 0 0 0 0 0 0 0 0 0 0 0 0 0 0 0 0 1 0 0 0 0 0 0 0 0 0 0 0 0 0 0 0 0 0 0\n    0 0 0 0 0 0 0 1 1 1 0 1 0 0 0 1 1 1 0 1 1 1 0 0 1 0 1 1 0 1 0 1 0 1 0 0 0 0 \n    1 1 1 0 0 1 0 1 1 1 0 0 1 0 1 1 1 1 0 0 0 1 1 1 0 0 0 0 1 1 0 1 1 0 1 1 1 1 \n    1 1 1 0 1 0]\n[0 0 0 0 0 0 0 0 0 0 0 0 0 0 0 0 0 0 0 0 0 0 1 0 0 0 0 0 0 0 0 0 0 0 0 0 0 0 0 0\n    0 0 0 0 0 0 0 0 1 1 1 0 1 0 0 0 1 1 1 0 1 1 1 0 0 1 0 1 1 0 1 0 1 0 1 0 0 0 \n    0 1 1 1 0 0 1 0 1 1 1 0 0 1 0 1 1 1 1 0 0 0 1 1 1 0 0 0 0 1 1 0 1 1 0 1 1 1 \n    1 1 1 1 0 1]\n[0 0 0 0 0 0 0 0 0 0 0 0 0 0 0 0 0 0 0 0 0 0 0 1 0 0 0 0 0 0 0 0 0 0 0 0 0 0 0 0\n    0 0 0 0 0 0 0 1 1 1 1 0 0 0 1 1 1 0 1 0 0 0 1 0 0 1 0 1 1 1 0 1 0 0 1 1 1 1 \n    0 0 0 1 1 1 0 1 1 0 1 0 1 1 1 0 1 0 0 0 1 0 1 1 1 0 1 0 0 0 0 0 0 0 0 1 0 0 \n    1 0 1 0 1 1]\n[0 0 0 0 0 0 0 0 0 0 0 0 0 0 0 0 0 0 0 0 0 0 0 0 1 0 0 0 0 0 0 0 0 0 0 0 0 0 0 0\n    0 0 0 0 0 0 0 0 1 1 0 0 1 1 0 0 0 1 0 0 1 1 0 0 1 1 1 1 0 1 1 0 1 0 0 1 0 0 \n    0 0 0 0 1 0 1 1 0 0 1 1 0 1 0 0 0 0 0 1 1 1 0 0 1 1 0 1 1 1 1 1 1 0 0 0 0 1 \n    0 1 1 1 0 1]\n[0 0 0 0 0 0 0 0 0 0 0 0 0 0 0 0 0 0 0 0 0 0 0 0 0 1 0 0 0 0 0 0 0 0 0 0 0 0 0 0\n    0 0 0 0 0 0 0 1 1 1 1 1 0 0 0 1 1 1 1 1 0 0 1 1 0 0 0 0 1 0 1 1 0 0 1 0 0 1 \n    0 0 1 0 0 0 0 1 0 1 0 0 0 1 1 0 0 1 1 1 0 1 0 0 0 0 0 0 1 1 0 0 1 0 1 1 1 1 \n    1 1 1 0 1 1]\n[0 0 0 0 0 0 0 0 0 0 0 0 0 0 0 0 0 0 0 0 0 0 0 0 0 0 1 0 0 0 0 0 0 0 0 0 0 0 0 0\n    0 0 0 0 0 0 0 1 0 1 1 0 1 1 1 1 0 0 1 0 1 1 0 0 1 1 1 1 0 1 0 1 1 1 1 1 1 1 \n    1 0 1 1 0 1 0 0 0 1 1 1 1 1 1 1 0 1 0 0 0 0 0 0 0 1 1 0 0 1 0 1 0 0 1 0 0 0 \n    1 0 1 0 0 0]\n[0 0 0 0 0 0 0 0 0 0 0 0 0 0 0 0 0 0 0 0 0 0 0 0 0 0 0 1 0 0 0 0 0 0 0 0 0 0 0 0\n    0 0 0 0 0 0 0 1 0 0 0 1 1 1 0 1 1 1 0 1 1 1 1 0 1 1 0 1 0 0 1 0 1 0 0 1 1 1 \n    0 1 1 1 1 0 1 1 0 0 0 0 0 0 0 0 1 0 0 0 0 0 1 1 0 1 0 1 1 1 1 0 0 1 1 0 0 0 \n    0 0 1 0 0 1]\n[0 0 0 0 0 0 0 0 0 0 0 0 0 0 0 0 0 0 0 0 0 0 0 0 0 0 0 0 1 0 0 0 0 0 0 0 0 0 0 0\n    0 0 0 0 0 0 0 0 1 0 1 1 0 0 1 1 0 1 1 1 0 0 1 0 1 0 1 1 0 0 0 1 0 1 0 0 0 0 \n    0 0 1 1 1 0 0 0 0 1 1 0 0 0 1 1 0 0 0 1 1 0 0 0 1 0 1 0 0 0 0 0 1 0 1 1 1 1 \n    0 0 1 1 0 0]\n[0 0 0 0 0 0 0 0 0 0 0 0 0 0 0 0 0 0 0 0 0 0 0 0 0 0 0 0 0 1 0 0 0 0 0 0 0 0 0 0\n    0 0 0 0 0 0 0 1 1 1 1 1 0 0 1 1 1 1 1 1 0 0 0 1 1 1 1 1 0 0 0 0 1 1 0 0 0 0 \n    1 0 1 1 1 1 0 1 0 0 0 0 1 1 1 0 1 0 1 0 1 1 1 1 0 0 1 1 1 1 0 0 1 0 1 0 1 1 \n    1 1 1 0 1 1]\n[0 0 0 0 0 0 0 0 0 0 0 0 0 0 0 0 0 0 0 0 0 0 0 0 0 0 0 0 0 0 1 0 0 0 0 0 0 0 0 0\n    0 0 0 0 0 0 0 1 0 1 1 0 1 1 1 0 0 0 1 0 1 1 0 1 1 0 0 0 1 0 0 0 0 0 0 0 1 1 \n    0 1 1 1 1 0 1 0 0 1 0 1 1 0 1 1 0 0 1 0 1 1 0 1 1 1 1 1 1 1 0 1 0 0 1 0 1 0 \n    1 0 1 0 0 0]\n[0 0 0 0 0 0 0 0 0 0 0 0 0 0 0 0 0 0 0 0 0 0 0 0 0 0 0 0 0 0 0 1 0 0 0 0 0 0 0 0\n    0 0 0 0 0 0 0 0 1 0 1 1 0 1 1 1 0 0 0 1 0 1 1 0 1 1 0 0 0 1 0 0 0 0 0 0 0 1 \n    1 0 1 1 1 1 0 1 0 0 1 0 1 1 0 1 1 0 0 1 0 1 1 0 1 1 1 1 1 1 1 0 1 0 0 1 0 1 \n    0 1 0 1 0 0]\n[0 0 0 0 0 0 0 0 0 0 0 0 0 0 0 0 0 0 0 0 0 0 0 0 0 0 0 0 0 0 0 0 1 0 0 0 0 0 0 0\n    0 0 0 0 0 0 0 0 0 1 0 1 1 0 1 1 1 0 0 0 1 0 1 1 0 1 1 0 0 0 1 0 0 0 0 0 0 0 \n    1 1 0 1 1 1 1 0 1 0 0 1 0 1 1 0 1 1 0 0 1 0 1 1 0 1 1 1 1 1 1 1 0 1 0 0 1 0 \n    1 0 1 0 1 0]\n[0 0 0 0 0 0 0 0 0 0 0 0 0 0 0 0 0 0 0 0 0 0 0 0 0 0 0 0 0 0 0 0 0 1 0 0 0 0 0 0\n    0 0 0 0 0 0 0 0 0 0 1 0 1 1 0 1 1 1 0 0 0 1 0 1 1 0 1 1 0 0 0 1 0 0 0 0 0 0 \n    0 1 1 0 1 1 1 1 0 1 0 0 1 0 1 1 0 1 1 0 0 1 0 1 1 0 1 1 1 1 1 1 1 0 1 0 0 1 \n    0 1 0 1 0 1]\n[0 0 0 0 0 0 0 0 0 0 0 0 0 0 0 0 0 0 0 0 0 0 0 0 0 0 0 0 0 0 0 0 0 0 1 0 0 0 0 0\n    0 0 0 0 0 0 0 1 1 0 0 0 0 0 0 1 0 0 1 1 0 1 1 1 1 0 1 0 1 0 0 0 1 1 1 0 1 1 \n    0 0 0 1 0 0 1 1 0 1 1 1 1 0 0 1 1 1 0 0 1 0 0 0 1 0 1 1 1 1 0 0 1 0 1 0 1 1 \n    1 1 1 1 1 1]\n[0 0 0 0 0 0 0 0 0 0 0 0 0 0 0 0 0 0 0 0 0 0 0 0 0 0 0 0 0 0 0 0 0 0 0 1 0 0 0 0\n    0 0 0 0 0 0 0 0 1 1 1 1 1 1 0 1 0 0 0 0 0 1 1 0 0 0 0 0 1 1 0 0 0 1 1 1 1 0 \n    0 0 0 0 1 1 0 0 0 1 0 1 1 1 1 1 1 0 1 1 1 1 0 1 0 1 0 1 0 0 0 1 1 1 0 1 1 0 \n    1 1 0 1 1 1]\n[0 0 0 0 0 0 0 0 0 0 0 0 0 0 0 0 0 0 0 0 0 0 0 0 0 0 0 0 0 0 0 0 0 0 0 0 1 0 0 0\n    0 0 0 0 0 0 0 1 1 1 1 0 1 0 0 1 0 1 0 1 0 1 1 0 0 1 1 1 0 1 1 0 0 1 0 1 0 0 \n    0 0 1 0 0 0 1 0 1 1 1 1 0 0 1 1 1 0 1 0 0 1 0 0 1 1 0 0 1 0 1 1 1 0 0 1 0 0 \n    0 0 1 1 1 0]\n[0 0 0 0 0 0 0 0 0 0 0 0 0 0 0 0 0 0 0 0 0 0 0 0 0 0 0 0 0 0 0 0 0 0 0 0 0 1 0 0\n    0 0 0 0 0 0 0 0 1 1 1 1 0 1 0 0 1 0 1 0 1 0 1 1 0 0 1 1 1 0 1 1 0 0 1 0 1 0 \n    0 0 0 1 0 0 0 1 0 1 1 1 1 0 0 1 1 1 0 1 0 0 1 0 0 1 1 0 0 1 0 1 1 1 0 0 1 0 \n    0 0 0 1 1 1]\n[0 0 0 0 0 0 0 0 0 0 0 0 0 0 0 0 0 0 0 0 0 0 0 0 0 0 0 0 0 0 0 0 0 0 0 0 0 0 1 0\n    0 0 0 0 0 0 0 1 1 1 1 0 1 1 0 1 1 0 0 0 0 0 0 0 1 1 1 0 1 1 0 1 1 1 1 1 1 0 \n    0 0 1 0 1 1 0 0 0 1 1 0 0 0 0 0 1 0 0 1 0 0 1 1 0 1 0 1 0 0 0 1 1 0 0 1 1 0 \n    0 1 0 1 1 0]\n[0 0 0 0 0 0 0 0 0 0 0 0 0 0 0 0 0 0 0 0 0 0 0 0 0 0 0 0 0 0 0 0 0 0 0 0 0 0 0 1\n    0 0 0 0 0 0 0 1 0 1 0 1 1 1 0 0 1 0 0 0 1 0 0 0 1 1 0 1 1 1 1 0 1 0 0 1 1 1 \n    1 0 1 1 0 1 1 1 0 0 0 0 1 1 1 1 0 1 1 0 1 0 1 0 1 1 0 0 0 1 0 0 0 0 1 1 1 1 \n    0 1 0 1 1 0]\n[0 0 0 0 0 0 0 0 0 0 0 0 0 0 0 0 0 0 0 0 0 0 0 0 0 0 0 0 0 0 0 0 0 0 0 0 0 0 0 0\n    1 0 0 0 0 0 0 1 0 0 0 0 0 1 0 0 0 0 0 0 1 1 0 0 1 1 0 0 0 1 1 1 0 0 1 0 1 1 \n    0 1 1 1 1 0 1 0 1 0 1 1 1 0 0 0 1 0 0 1 0 1 1 0 0 0 0 0 1 1 1 0 1 1 1 0 1 1 \n    1 1 0 1 1 0]\n[0 0 0 0 0 0 0 0 0 0 0 0 0 0 0 0 0 0 0 0 0 0 0 0 0 0 0 0 0 0 0 0 0 0 0 0 0 0 0 0\n    0 1 0 0 0 0 0 0 1 0 0 0 0 0 1 0 0 0 0 0 0 1 1 0 0 1 1 0 0 0 1 1 1 0 0 1 0 1 \n    1 0 1 1 1 1 0 1 0 1 0 1 1 1 0 0 0 1 0 0 1 0 1 1 0 0 0 0 0 1 1 1 0 1 1 1 0 1 \n    1 1 1 0 1 1]\n[0 0 0 0 0 0 0 0 0 0 0 0 0 0 0 0 0 0 0 0 0 0 0 0 0 0 0 0 0 0 0 0 0 0 0 0 0 0 0 0\n    0 0 1 0 0 0 0 0 0 1 1 1 1 1 0 0 1 0 0 1 1 1 1 0 1 1 1 0 1 0 0 1 1 1 0 0 0 1 \n    0 1 0 1 1 0 1 1 0 1 0 0 1 1 0 1 0 1 1 1 1 1 0 0 1 0 0 0 1 1 0 0 0 0 1 1 0 1 \n    1 1 0 1 0 1]\n[0 0 0 0 0 0 0 0 0 0 0 0 0 0 0 0 0 0 0 0 0 0 0 0 0 0 0 0 0 0 0 0 0 0 0 0 0 0 0 0\n    0 0 0 1 0 0 0 1 1 0 1 0 1 0 0 1 1 0 0 1 1 0 1 0 0 0 0 0 0 1 0 0 1 0 0 0 1 1 \n    1 0 0 0 1 0 0 1 0 1 1 1 1 0 1 0 1 1 0 0 0 1 0 0 0 0 1 0 0 1 0 1 0 1 1 0 0 1 \n    1 0 1 1 1 1]\n[0 0 0 0 0 0 0 0 0 0 0 0 0 0 0 0 0 0 0 0 0 0 0 0 0 0 0 0 0 0 0 0 0 0 0 0 0 0 0 0\n    0 0 0 0 1 0 0 1 0 1 0 0 0 0 1 1 0 0 0 1 1 0 0 0 0 1 1 1 0 0 1 0 0 0 1 0 1 0 \n    1 1 1 0 0 0 0 0 0 1 1 0 0 0 0 1 0 0 0 1 1 0 0 0 0 1 1 1 0 0 0 1 1 1 0 0 1 1 \n    1 0 0 0 1 0]\n[0 0 0 0 0 0 0 0 0 0 0 0 0 0 0 0 0 0 0 0 0 0 0 0 0 0 0 0 0 0 0 0 0 0 0 0 0 0 0 0\n    0 0 0 0 0 1 0 1 0 0 0 0 1 0 1 1 1 1 0 0 0 1 0 0 1 0 0 1 0 0 0 1 0 1 1 1 0 1 \n    1 1 0 1 0 0 0 1 0 0 0 0 1 1 1 1 1 0 1 0 1 1 1 1 0 1 0 1 0 1 0 0 0 0 0 1 0 1 \n    1 0 1 1 0 0]\n[0 0 0 0 0 0 0 0 0 0 0 0 0 0 0 0 0 0 0 0 0 0 0 0 0 0 0 0 0 0 0 0 0 0 0 0 0 0 0 0\n    0 0 0 0 0 0 1 1 0 0 1 0 1 1 1 1 1 0 1 0 1 0 1 0 1 1 1 0 0 0 0 0 1 1 0 1 1 0 \n    0 1 0 0 1 0 0 1 1 0 1 1 1 0 0 0 1 1 1 1 0 1 0 0 1 1 0 0 0 1 1 0 1 1 1 1 1 0 \n    1 0 1 0 1 1]\nLinear Code over GF(2) of length 122 with 47 generators.\nLower Bound: 1, Upper Bound: 76\nConstructed 3 distinct generator matrices\nRelative Ranks:  47  47  28 \nTime Taken: 0.00\nStarting search for low weight codewords... (reset timings)\nEnumerating using 1 generator at a time:\n     New codeword identified of weight 37, time 0.00\n     New codeword identified of weight 31, time 0.00\n     New codeword identified of weight 30, time 0.00\n     Discarding non-contributing rank 28 matrix\n     New Relative Ranks:  47  47 \n   Completed Matrix  1:  lower =  3, upper = 30. Elapsed: 0.00s\n   Completed Matrix  2:  lower =  4, upper = 30. Elapsed: 0.00s\nTermination predicted with 14 generators at matrix 2\nEnumerating using 2 generators at a time:\n     New codeword identified of weight 27, time 0.00\n     New codeword identified of weight 26, time 0.00\n   Completed Matrix  1:  lower =  5, upper = 26. Elapsed: 0.00s\n   Completed Matrix  2:  lower =  6, upper = 26. Elapsed: 0.00s\nTermination predicted with 12 generators at matrix 2\nEnumerating using 3 generators at a time:\n   Completed Matrix  1:  lower =  7, upper = 26. Elapsed: 0.00s\n     New codeword identified of weight 25, time 0.00\n   Completed Matrix  2:  lower =  8, upper = 25. Elapsed: 0.00s\nTermination predicted with 12 generators at matrix 1\nEnumerating using 4 generators at a time:\n   Completed Matrix  1:  lower =  9, upper = 25. Elapsed: 0.00s\n   Completed Matrix  2:  lower = 10, upper = 25. Elapsed: 0.00s\nTermination predicted with 12 generators at matrix 1\nEnumerating using 5 generators at a time:\n   Completed Matrix  1:  lower = 11, upper = 25. Elapsed: 0.00s\n   Completed Matrix  2:  lower = 12, upper = 25. Elapsed: 0.00s\nTermination predicted with 12 generators at matrix 1\nEnumerating using 6 generators at a time:\n   Completed Matrix  1:  lower = 13, upper = 25. Elapsed: 0.03s\n   Completed Matrix  2:  lower = 14, upper = 25. Elapsed: 0.06s\nTermination predicted with 12 generators at matrix 1\nEnumerating using 7 generators at a time:\n   Completed Matrix  1:  lower = 15, upper = 25. Elapsed: 0.21s\n   Completed Matrix  2:  lower = 16, upper = 25. Elapsed: 0.38s\nTermination predicted at 255 s (4m 15s) with 12 generators at matrix 1\nEnumerating using 8 generators at a time:\n   Completed Matrix  1:  lower = 17, upper = 25. Elapsed: 1.16s\n   Completed Matrix  2:  lower = 18, upper = 25. Elapsed: 1.96s\nTermination predicted at 254 s (4m 14s) with 12 generators at matrix 1\nEnumerating using 9 generators at a time:\n   Completed Matrix  1:  lower = 19, upper = 25. Elapsed: 5.52s\n   Completed Matrix  2:  lower = 20, upper = 25. Elapsed: 9.09s\nTermination predicted at 262 s (4m 22s) with 12 generators at matrix 1\nEnumerating using 10 generators at a time:\n   Completed Matrix  1:  lower = 21, upper = 25. Elapsed: 23.21s\n   Completed Matrix  2:  lower = 22, upper = 25. Elapsed: 37.35s\nTermination predicted at 272 s (4m 32s) with 12 generators at matrix 1\nEnumerating using 11 generators at a time:\n   Completed Matrix  1:  lower = 23, upper = 25. Elapsed: 86.84s\n   Completed Matrix  2:  lower = 24, upper = 25. Elapsed: 136.51s\nTermination predicted at 283 s (4m 43s) with 12 generators at matrix 1\nEnumerating using 12 generators at a time:\n   Completed Matrix  1:  lower = 25, upper = 25. Elapsed: 293.34s\nComputation complete 100946732305 vectors enumerated in total\n (0.071727% of 122 47 code)\nFinal Results: lower = 25, upper = 25,\nTotal CPU time: 293.35, real time: 294.006\n25\n\nTotal time: 293.360 seconds, Total memory usage: 32.09MB\n</t>
  </si>
  <si>
    <t>[[123,48,25]]</t>
  </si>
  <si>
    <t>Magma V2.28-26    Tue Dec 30 2025 10:46:13 on Marks-MacBook-Air-2 [Seed = \n2277327657]\nType ? for help.  Type &lt;Ctrl&gt;-D to quit.\n[1 1 0 1 1 0 0 1 1 1 0 1 1 1 0 1 1 0 0 0 0 0 0 0 1 1 1 0 0 0 0 1 0 1 1 1 1 0 0 0\n    1 1 0 1 0 1 1 0 0 1 0 0 0 0 1 1 1 1 1 0 0 0 1 1 0 0 1 0 0 0 1 0 0 1 0 1 0 0 \n    0 0 0 0 0 0 0 0 0 0 0 0 0 0 0 0 0 0 0 0 0 0 0 0 0 0 0 0 0 0 0 0 0 0 0 0 0 0 \n    0 0 0 0 0 0 0]\n[1 1 1 0 1 1 0 0 1 1 1 0 1 1 1 0 1 1 0 0 0 0 0 0 0 1 1 1 0 0 0 0 1 0 1 1 1 1 0 0\n    0 1 1 0 1 0 1 1 0 0 1 0 0 0 0 1 1 1 1 1 0 0 0 1 1 0 0 1 0 0 0 1 0 0 1 0 1 0 \n    0 0 0 0 0 0 0 0 0 0 0 0 0 0 0 0 0 0 0 0 0 0 0 0 0 0 0 0 0 0 0 0 0 0 0 0 0 0 \n    0 0 0 0 0 0 0]\n[0 0 1 0 1 1 1 1 1 0 1 0 1 0 1 0 1 1 1 0 0 0 0 0 1 1 0 1 1 0 0 1 0 0 1 0 0 1 1 0\n    1 1 1 0 0 0 1 1 1 1 0 1 0 0 1 1 0 0 0 1 1 0 1 1 1 1 1 0 1 0 1 0 1 1 0 0 0 1 \n    0 0 0 0 0 0 0 0 0 0 0 0 0 0 0 0 0 0 0 0 0 0 0 0 0 0 0 0 0 0 0 0 0 0 0 0 0 0 \n    0 0 0 0 0 0 0]\n[1 0 0 1 0 1 1 1 1 1 0 1 0 1 0 1 0 1 1 1 0 0 0 0 0 1 1 0 1 1 0 0 1 0 0 1 0 0 1 1\n    0 1 1 1 0 0 0 1 1 1 1 0 1 0 0 1 1 0 0 0 1 1 0 1 1 1 1 1 0 1 0 1 0 1 1 0 0 0 \n    1 0 0 0 0 0 0 0 0 0 0 0 0 0 0 0 0 0 0 0 0 0 0 0 0 0 0 0 0 0 0 0 0 0 0 0 0 0 \n    0 0 0 0 0 0 0]\n[0 0 0 1 0 0 1 0 0 0 1 1 0 1 1 1 0 0 1 1 1 0 0 0 1 1 0 1 0 1 1 1 0 0 1 1 0 0 0 1\n    0 1 1 0 1 1 1 0 1 0 1 1 0 1 1 1 0 0 1 0 0 1 0 1 1 1 0 1 1 0 0 0 1 1 1 0 0 0 \n    0 1 0 0 0 0 0 0 0 0 0 0 0 0 0 0 0 0 0 0 0 0 0 0 0 0 0 0 0 0 0 0 0 0 0 0 0 0 \n    0 0 0 0 0 0 0]\n[0 1 0 1 0 0 0 0 1 1 0 0 0 1 1 0 0 0 0 1 1 1 0 0 1 0 0 0 1 0 1 0 1 1 1 0 0 0 0 0\n    0 1 1 0 0 0 0 1 0 0 0 1 1 0 0 0 0 1 1 1 0 0 0 1 1 1 0 0 1 1 1 0 0 0 1 0 0 0 \n    0 0 1 0 0 0 0 0 0 0 0 0 0 0 0 0 0 0 0 0 0 0 0 0 0 0 0 0 0 0 0 0 0 0 0 0 0 0 \n    0 0 0 0 0 0 0]\n[1 1 1 1 0 0 0 1 1 0 1 1 1 1 1 0 1 0 0 0 1 1 1 0 1 0 1 0 0 1 0 0 0 0 0 0 1 0 0 0\n    1 1 1 0 0 1 1 0 1 1 0 0 1 1 1 1 1 1 0 1 1 0 1 1 1 1 0 0 0 1 0 1 0 1 0 0 0 0 \n    0 0 0 1 0 0 0 0 0 0 0 0 0 0 0 0 0 0 0 0 0 0 0 0 0 0 0 0 0 0 0 0 0 0 0 0 0 0 \n    0 0 0 0 0 0 0]\n[0 1 1 1 1 0 0 0 1 1 0 1 1 1 1 1 0 1 0 0 0 1 1 1 0 1 0 1 0 0 1 0 0 0 0 0 0 1 0 0\n    0 1 1 1 0 0 1 1 0 1 1 0 0 1 1 1 1 1 1 0 1 1 0 1 1 1 1 0 0 0 1 0 1 0 1 0 0 0 \n    0 0 0 0 1 0 0 0 0 0 0 0 0 0 0 0 0 0 0 0 0 0 0 0 0 0 0 0 0 0 0 0 0 0 0 0 0 0 \n    0 0 0 0 0 0 0]\n[0 1 1 0 0 1 0 1 1 0 1 1 0 0 1 0 0 0 1 0 0 0 1 1 0 1 0 0 1 0 0 0 0 1 1 1 1 0 1 0\n    1 1 1 0 1 1 1 1 1 1 1 1 0 0 0 0 0 0 0 1 0 1 0 1 1 1 0 1 0 0 1 1 0 0 0 0 0 0 \n    0 0 0 0 0 1 0 0 0 0 0 0 0 0 0 0 0 0 0 0 0 0 0 0 0 0 0 0 0 0 0 0 0 0 0 0 0 0 \n    0 0 0 0 0 0 0]\n[1 0 1 1 0 0 1 0 1 1 0 1 1 0 0 1 0 0 0 1 0 0 0 1 1 0 1 0 0 1 0 0 0 0 1 1 1 1 0 1\n    0 1 1 1 0 1 1 1 1 1 1 1 1 0 0 0 0 0 0 0 1 0 1 0 1 1 1 0 1 0 0 1 1 0 0 0 0 0 \n    0 0 0 0 0 0 1 0 0 0 0 0 0 0 0 0 0 0 0 0 0 0 0 0 0 0 0 0 0 0 0 0 0 0 0 0 0 0 \n    0 0 0 0 0 0 0]\n[1 1 0 1 1 0 0 1 0 1 1 0 1 1 0 0 1 0 0 0 1 0 0 0 1 1 0 1 0 0 1 0 0 0 0 1 1 1 1 0\n    1 0 1 1 1 0 1 1 1 1 1 1 1 1 0 0 0 0 0 0 0 1 0 1 0 1 1 1 0 1 0 0 1 1 0 0 0 0 \n    0 0 0 0 0 0 0 1 0 0 0 0 0 0 0 0 0 0 0 0 0 0 0 0 0 0 0 0 0 0 0 0 0 0 0 0 0 0 \n    0 0 0 0 0 0 0]\n[0 1 1 0 1 1 0 0 1 0 1 1 0 1 1 0 0 1 0 0 0 1 0 0 0 1 1 0 1 0 0 1 0 0 0 0 1 1 1 1\n    0 1 0 1 1 1 0 1 1 1 1 1 1 1 1 0 0 0 0 0 0 0 1 0 1 0 1 1 1 0 1 0 0 1 1 0 0 0 \n    0 0 0 0 0 0 0 0 1 0 0 0 0 0 0 0 0 0 0 0 0 0 0 0 0 0 0 0 0 0 0 0 0 0 0 0 0 0 \n    0 0 0 0 0 0 0]\n[1 1 1 0 1 1 1 1 1 0 0 0 0 1 1 0 1 0 1 0 0 0 1 0 1 1 0 1 0 1 0 1 1 1 1 1 1 1 1 1\n    0 1 1 1 1 0 0 0 1 0 1 1 1 1 0 0 1 1 1 0 0 0 1 0 0 1 1 1 1 1 1 1 0 1 1 0 0 0 \n    0 0 0 0 0 0 0 0 0 1 0 0 0 0 0 0 0 0 0 0 0 0 0 0 0 0 0 0 0 0 0 0 0 0 0 0 0 0 \n    0 0 0 0 0 0 0]\n[0 0 1 0 1 1 1 0 0 0 0 1 1 1 1 0 1 1 0 1 0 0 0 1 1 0 0 0 1 0 1 1 1 0 0 0 0 1 1 1\n    0 1 1 0 1 0 1 0 0 0 0 1 1 1 0 1 1 0 0 1 0 0 1 0 0 0 0 1 1 1 0 1 1 1 1 0 0 0 \n    0 0 0 0 0 0 0 0 0 0 1 0 0 0 0 0 0 0 0 0 0 0 0 0 0 0 0 0 0 0 0 0 0 0 0 0 0 0 \n    0 0 0 0 0 0 0]\n[1 1 0 0 1 1 1 0 1 1 0 1 0 0 1 0 1 1 1 0 1 0 0 0 0 0 1 0 0 1 0 0 1 0 1 1 1 0 1 1\n    0 1 1 0 0 0 1 1 0 1 0 0 1 1 0 1 0 0 1 0 1 0 1 0 0 0 1 0 1 1 0 0 1 0 1 0 0 0 \n    0 0 0 0 0 0 0 0 0 0 0 1 0 0 0 0 0 0 0 0 0 0 0 0 0 0 0 0 0 0 0 0 0 0 0 0 0 0 \n    0 0 0 0 0 0 0]\n[1 0 1 1 1 1 1 0 1 0 1 1 0 1 0 0 1 1 1 1 0 1 0 0 1 1 1 1 0 0 1 1 0 0 1 0 0 1 0 1\n    0 1 1 0 0 1 1 1 1 1 1 0 0 1 0 1 0 1 1 1 0 1 1 0 0 0 1 1 0 1 0 0 0 0 0 0 0 0 \n    0 0 0 0 0 0 0 0 0 0 0 0 1 0 0 0 0 0 0 0 0 0 0 0 0 0 0 0 0 0 0 0 0 0 0 0 0 0 \n    0 0 0 0 0 0 0]\n[0 1 0 1 1 1 1 1 0 1 0 1 1 0 1 0 0 1 1 1 1 0 1 0 0 1 1 1 1 0 0 1 1 0 0 1 0 0 1 0\n    1 0 1 1 0 0 1 1 1 1 1 1 0 0 1 0 1 0 1 1 1 0 1 1 0 0 0 1 1 0 1 0 0 0 0 0 0 0 \n    0 0 0 0 0 0 0 0 0 0 0 0 0 1 0 0 0 0 0 0 0 0 0 0 0 0 0 0 0 0 0 0 0 0 0 0 0 0 \n    0 0 0 0 0 0 0]\n[1 0 1 0 1 1 1 1 1 0 1 0 1 1 0 1 0 0 1 1 1 1 0 1 0 0 1 1 1 1 0 0 1 1 0 0 1 0 0 1\n    0 1 0 1 1 0 0 1 1 1 1 1 1 0 0 1 0 1 0 1 1 1 0 1 1 0 0 0 1 1 0 1 0 0 0 0 0 0 \n    0 0 0 0 0 0 0 0 0 0 0 0 0 0 1 0 0 0 0 0 0 0 0 0 0 0 0 0 0 0 0 0 0 0 0 0 0 0 \n    0 0 0 0 0 0 0]\n[0 1 0 1 0 1 1 1 1 1 0 1 0 1 1 0 1 0 0 1 1 1 1 0 1 0 0 1 1 1 1 0 0 1 1 0 0 1 0 0\n    1 0 1 0 1 1 0 0 1 1 1 1 1 1 0 0 1 0 1 0 1 1 1 0 1 1 0 0 0 1 1 0 1 0 0 0 0 0 \n    0 0 0 0 0 0 0 0 0 0 0 0 0 0 0 1 0 0 0 0 0 0 0 0 0 0 0 0 0 0 0 0 0 0 0 0 0 0 \n    0 0 0 0 0 0 0]\n[0 0 1 0 1 0 1 1 1 1 1 0 1 0 1 1 0 1 0 0 1 1 1 1 0 1 0 0 1 1 1 1 0 0 1 1 0 0 1 0\n    0 1 0 1 0 1 1 0 0 1 1 1 1 1 1 0 0 1 0 1 0 1 1 1 0 1 1 0 0 0 1 1 0 1 0 0 0 0 \n    0 0 0 0 0 0 0 0 0 0 0 0 0 0 0 0 1 0 0 0 0 0 0 0 0 0 0 0 0 0 0 0 0 0 0 0 0 0 \n    0 0 0 0 0 0 0]\n[0 0 0 1 0 1 0 1 1 1 1 1 0 1 0 1 1 0 1 0 0 1 1 1 1 0 1 0 0 1 1 1 1 0 0 1 1 0 0 1\n    0 0 1 0 1 0 1 1 0 0 1 1 1 1 1 1 0 0 1 0 1 0 1 1 1 0 1 1 0 0 0 1 1 0 1 0 0 0 \n    0 0 0 0 0 0 0 0 0 0 0 0 0 0 0 0 0 1 0 0 0 0 0 0 0 0 0 0 0 0 0 0 0 0 0 0 0 0 \n    0 0 0 0 0 0 0]\n[1 1 0 1 0 0 1 1 0 0 1 0 0 1 1 1 0 1 0 1 0 0 1 1 0 0 1 1 0 0 1 0 1 0 1 1 0 1 0 0\n    0 1 0 0 0 0 1 1 1 1 0 1 1 1 0 0 0 1 1 1 0 1 1 0 1 1 1 1 1 0 1 0 1 0 0 0 0 0 \n    0 0 0 0 0 0 0 0 0 0 0 0 0 0 0 0 0 0 1 0 0 0 0 0 0 0 0 0 0 0 0 0 0 0 0 0 0 0 \n    0 0 0 0 0 0 0]\n[1 1 1 0 1 0 0 1 1 0 0 1 0 0 1 1 1 0 1 0 1 0 0 1 1 0 0 1 1 0 0 1 0 1 0 1 1 0 1 0\n    0 0 1 0 0 0 0 1 1 1 1 0 1 1 1 0 0 0 1 1 1 0 1 1 0 1 1 1 1 1 0 1 0 1 0 0 0 0 \n    0 0 0 0 0 0 0 0 0 0 0 0 0 0 0 0 0 0 0 1 0 0 0 0 0 0 0 0 0 0 0 0 0 0 0 0 0 0 \n    0 0 0 0 0 0 0]\n[1 1 1 1 0 1 0 0 1 1 0 0 1 0 0 1 1 1 0 1 0 1 0 0 1 1 0 0 1 1 0 0 1 0 1 0 1 1 0 1\n    0 0 0 1 0 0 0 0 1 1 1 1 0 1 1 1 0 0 0 1 1 1 0 1 1 0 1 1 1 1 1 0 1 0 1 0 0 0 \n    0 0 0 0 0 0 0 0 0 0 0 0 0 0 0 0 0 0 0 0 1 0 0 0 0 0 0 0 0 0 0 0 0 0 0 0 0 0 \n    0 0 0 0 0 0 0]\n[1 0 1 0 0 0 1 1 1 0 1 1 1 0 0 1 0 1 1 0 1 0 1 0 1 0 0 0 0 1 1 1 0 0 1 0 1 1 1 0\n    0 1 0 1 1 1 1 0 0 0 1 1 1 0 0 0 0 1 1 0 1 1 0 1 1 1 1 1 1 1 0 1 0 0 0 0 0 0 \n    0 0 0 0 0 0 0 0 0 0 0 0 0 0 0 0 0 0 0 0 0 1 0 0 0 0 0 0 0 0 0 0 0 0 0 0 0 0 \n    0 0 0 0 0 0 0]\n[1 1 0 1 0 0 0 1 1 1 0 1 1 1 0 0 1 0 1 1 0 1 0 1 0 1 0 0 0 0 1 1 1 0 0 1 0 1 1 1\n    0 0 1 0 1 1 1 1 0 0 0 1 1 1 0 0 0 0 1 1 0 1 1 0 1 1 1 1 1 1 1 0 1 0 0 0 0 0 \n    0 0 0 0 0 0 0 0 0 0 0 0 0 0 0 0 0 0 0 0 0 0 1 0 0 0 0 0 0 0 0 0 0 0 0 0 0 0 \n    0 0 0 0 0 0 0]\n[1 1 1 0 1 0 0 0 1 1 1 0 1 1 1 0 0 1 0 1 1 0 1 0 1 0 1 0 0 0 0 1 1 1 0 0 1 0 1 1\n    1 0 0 1 0 1 1 1 1 0 0 0 1 1 1 0 0 0 0 1 1 0 1 1 0 1 1 1 1 1 1 1 0 1 0 0 0 0 \n    0 0 0 0 0 0 0 0 0 0 0 0 0 0 0 0 0 0 0 0 0 0 0 1 0 0 0 0 0 0 0 0 0 0 0 0 0 0 \n    0 0 0 0 0 0 0]\n[0 1 1 1 0 1 0 0 0 1 1 1 0 1 1 1 0 0 1 0 1 1 0 1 0 1 0 1 0 0 0 0 1 1 1 0 0 1 0 1\n    1 1 0 0 1 0 1 1 1 1 0 0 0 1 1 1 0 0 0 0 1 1 0 1 1 0 1 1 1 1 1 1 1 0 1 0 0 0 \n    0 0 0 0 0 0 0 0 0 0 0 0 0 0 0 0 0 0 0 0 0 0 0 0 1 0 0 0 0 0 0 0 0 0 0 0 0 0 \n    0 0 0 0 0 0 0]\n[1 1 1 0 0 0 1 1 1 1 1 0 0 1 1 0 0 0 0 1 0 1 1 0 0 1 0 0 1 0 0 1 0 0 0 0 1 0 1 0\n    0 0 1 1 0 0 1 1 1 0 1 0 0 0 0 0 0 1 1 0 0 1 0 1 1 1 1 1 1 1 0 1 1 0 0 0 0 0 \n    0 0 0 0 0 0 0 0 0 0 0 0 0 0 0 0 0 0 0 0 0 0 0 0 0 1 0 0 0 0 0 0 0 0 0 0 0 0 \n    0 0 0 0 0 0 0]\n[1 1 1 1 0 0 0 1 1 1 1 1 0 0 1 1 0 0 0 0 1 0 1 1 0 0 1 0 0 1 0 0 1 0 0 0 0 1 0 1\n    0 0 0 1 1 0 0 1 1 1 0 1 0 0 0 0 0 0 1 1 0 0 1 0 1 1 1 1 1 1 1 0 1 1 0 0 0 0 \n    0 0 0 0 0 0 0 0 0 0 0 0 0 0 0 0 0 0 0 0 0 0 0 0 0 0 1 0 0 0 0 0 0 0 0 0 0 0 \n    0 0 0 0 0 0 0]\n[1 1 1 1 1 0 0 0 1 1 1 1 1 0 0 1 1 0 0 0 0 1 0 1 1 0 0 1 0 0 1 0 0 1 0 0 0 0 1 0\n    1 0 0 0 1 1 0 0 1 1 1 0 1 0 0 0 0 0 0 1 1 0 0 1 0 1 1 1 1 1 1 1 0 1 1 0 0 0 \n    0 0 0 0 0 0 0 0 0 0 0 0 0 0 0 0 0 0 0 0 0 0 0 0 0 0 0 1 0 0 0 0 0 0 0 0 0 0 \n    0 0 0 0 0 0 0]\n[1 0 1 0 0 1 0 1 1 0 1 0 0 0 0 1 0 1 0 0 0 0 1 0 0 0 1 0 1 0 0 0 0 1 0 1 1 0 0 1\n    1 0 0 1 0 0 0 0 0 0 1 1 0 1 1 1 1 1 1 0 1 1 1 1 1 0 0 1 1 1 0 1 1 1 1 0 0 0 \n    0 0 0 0 0 0 0 0 0 0 0 0 0 0 0 0 0 0 0 0 0 0 0 0 0 0 0 0 1 0 0 0 0 0 0 0 0 0 \n    0 0 0 0 0 0 0]\n[0 0 0 0 1 0 1 1 0 0 0 0 1 1 0 1 0 0 1 0 0 0 0 1 1 1 1 1 0 1 0 1 0 1 0 1 0 1 0 0\n    0 0 0 1 1 1 1 0 0 1 0 1 1 0 0 0 0 0 0 1 0 1 0 0 1 1 1 0 1 1 0 0 1 0 1 0 0 0 \n    0 0 0 0 0 0 0 0 0 0 0 0 0 0 0 0 0 0 0 0 0 0 0 0 0 0 0 0 0 1 0 0 0 0 0 0 0 0 \n    0 0 0 0 0 0 0]\n[1 1 0 1 1 1 0 0 0 1 0 1 1 0 1 1 0 0 0 1 0 0 0 0 0 0 0 1 1 0 1 1 1 1 0 1 0 0 1 0\n    1 1 0 1 1 0 0 1 0 1 1 0 1 1 1 1 1 1 1 0 1 0 0 1 0 1 0 1 0 1 0 0 0 0 0 0 0 0 \n    0 0 0 0 0 0 0 0 0 0 0 0 0 0 0 0 0 0 0 0 0 0 0 0 0 0 0 0 0 0 1 0 0 0 0 0 0 0 \n    0 0 0 0 0 0 0]\n[0 1 1 0 1 1 1 0 0 0 1 0 1 1 0 1 1 0 0 0 1 0 0 0 0 0 0 0 1 1 0 1 1 1 1 0 1 0 0 1\n    0 1 1 0 1 1 0 0 1 0 1 1 0 1 1 1 1 1 1 1 0 1 0 0 1 0 1 0 1 0 1 0 0 0 0 0 0 0 \n    0 0 0 0 0 0 0 0 0 0 0 0 0 0 0 0 0 0 0 0 0 0 0 0 0 0 0 0 0 0 0 1 0 0 0 0 0 0 \n    0 0 0 0 0 0 0]\n[1 0 1 1 0 1 1 1 0 0 0 1 0 1 1 0 1 1 0 0 0 1 0 0 0 0 0 0 0 1 1 0 1 1 1 1 0 1 0 0\n    1 0 1 1 0 1 1 0 0 1 0 1 1 0 1 1 1 1 1 1 1 0 1 0 0 1 0 1 0 1 0 1 0 0 0 0 0 0 \n    0 0 0 0 0 0 0 0 0 0 0 0 0 0 0 0 0 0 0 0 0 0 0 0 0 0 0 0 0 0 0 0 1 0 0 0 0 0 \n    0 0 0 0 0 0 0]\n[0 1 0 1 1 0 1 1 1 0 0 0 1 0 1 1 0 1 1 0 0 0 1 0 0 0 0 0 0 0 1 1 0 1 1 1 1 0 1 0\n    0 1 0 1 1 0 1 1 0 0 1 0 1 1 0 1 1 1 1 1 1 1 0 1 0 0 1 0 1 0 1 0 1 0 0 0 0 0 \n    0 0 0 0 0 0 0 0 0 0 0 0 0 0 0 0 0 0 0 0 0 0 0 0 0 0 0 0 0 0 0 0 0 1 0 0 0 0 \n    0 0 0 0 0 0 0]\n[0 0 1 0 1 1 0 1 1 1 0 0 0 1 0 1 1 0 1 1 0 0 0 1 0 0 0 0 0 0 0 1 1 0 1 1 1 1 0 1\n    0 0 1 0 1 1 0 1 1 0 0 1 0 1 1 0 1 1 1 1 1 1 1 0 1 0 0 1 0 1 0 1 0 1 0 0 0 0 \n    0 0 0 0 0 0 0 0 0 0 0 0 0 0 0 0 0 0 0 0 0 0 0 0 0 0 0 0 0 0 0 0 0 0 1 0 0 0 \n    0 0 0 0 0 0 0]\n[0 0 0 1 0 1 1 0 1 1 1 0 0 0 1 0 1 1 0 1 1 0 0 0 1 0 0 0 0 0 0 0 1 1 0 1 1 1 1 0\n    1 0 0 1 0 1 1 0 1 1 0 0 1 0 1 1 0 1 1 1 1 1 1 1 0 1 0 0 1 0 1 0 1 0 1 0 0 0 \n    0 0 0 0 0 0 0 0 0 0 0 0 0 0 0 0 0 0 0 0 0 0 0 0 0 0 0 0 0 0 0 0 0 0 0 1 0 0 \n    0 0 0 0 0 0 0]\n[1 1 0 1 0 0 1 0 1 0 1 0 1 1 0 0 1 1 1 0 1 1 0 0 1 0 1 0 0 0 0 1 0 0 0 1 0 1 1 1\n    1 0 0 1 1 1 0 1 0 0 1 0 0 1 1 0 0 1 0 1 1 1 0 0 1 0 0 0 0 1 1 1 0 0 0 0 0 0 \n    0 0 0 0 0 0 0 0 0 0 0 0 0 0 0 0 0 0 0 0 0 0 0 0 0 0 0 0 0 0 0 0 0 0 0 0 1 0 \n    0 0 0 0 0 0 0]\n[1 1 1 0 1 0 0 1 0 1 0 1 0 1 1 0 0 1 1 1 0 1 1 0 0 1 0 1 0 0 0 0 1 0 0 0 1 0 1 1\n    1 1 0 0 1 1 1 0 1 0 0 1 0 0 1 1 0 0 1 0 1 1 1 0 0 1 0 0 0 0 1 1 1 0 0 0 0 0 \n    0 0 0 0 0 0 0 0 0 0 0 0 0 0 0 0 0 0 0 0 0 0 0 0 0 0 0 0 0 0 0 0 0 0 0 0 0 1 \n    0 0 0 0 0 0 0]\n[1 1 1 1 0 1 0 0 1 0 1 0 1 0 1 1 0 0 1 1 1 0 1 1 0 0 1 0 1 0 0 0 0 1 0 0 0 1 0 1\n    1 1 1 0 0 1 1 1 0 1 0 0 1 0 0 1 1 0 0 1 0 1 1 1 0 0 1 0 0 0 0 1 1 1 0 0 0 0 \n    0 0 0 0 0 0 0 0 0 0 0 0 0 0 0 0 0 0 0 0 0 0 0 0 0 0 0 0 0 0 0 0 0 0 0 0 0 0 \n    1 0 0 0 0 0 0]\n[0 1 1 1 1 0 1 0 0 1 0 1 0 1 0 1 1 0 0 1 1 1 0 1 1 0 0 1 0 1 0 0 0 0 1 0 0 0 1 0\n    1 1 1 1 0 0 1 1 1 0 1 0 0 1 0 0 1 1 0 0 1 0 1 1 1 0 0 1 0 0 0 0 1 1 1 0 0 0 \n    0 0 0 0 0 0 0 0 0 0 0 0 0 0 0 0 0 0 0 0 0 0 0 0 0 0 0 0 0 0 0 0 0 0 0 0 0 0 \n    0 1 0 0 0 0 0]\n[1 1 1 0 0 1 0 0 1 1 1 1 0 1 1 1 0 1 0 0 1 1 1 0 0 0 1 0 1 0 1 1 0 1 1 0 1 0 0 1\n    1 0 1 0 1 1 1 1 1 0 0 1 0 0 0 1 1 0 0 0 0 1 1 0 1 1 1 0 1 0 1 0 0 0 1 0 0 0 \n    0 0 0 0 0 0 0 0 0 0 0 0 0 0 0 0 0 0 0 0 0 0 0 0 0 0 0 0 0 0 0 0 0 0 0 0 0 0 \n    0 0 1 0 0 0 0]\n[0 0 1 0 1 0 1 1 1 0 1 0 0 1 1 0 0 0 1 0 0 1 1 1 1 1 1 1 0 1 0 0 1 1 0 0 1 1 0 0\n    0 0 0 0 0 0 0 1 1 0 0 0 1 0 1 1 0 0 1 0 0 0 0 0 0 1 0 1 0 1 1 1 0 1 0 0 0 0 \n    0 0 0 0 0 0 0 0 0 0 0 0 0 0 0 0 0 0 0 0 0 0 0 0 0 0 0 0 0 0 0 0 0 0 0 0 0 0 \n    0 0 0 1 0 0 0]\n[0 0 0 1 0 1 0 1 1 1 0 1 0 0 1 1 0 0 0 1 0 0 1 1 1 1 1 1 1 0 1 0 0 1 1 0 0 1 1 0\n    0 0 0 0 0 0 0 0 1 1 0 0 0 1 0 1 1 0 0 1 0 0 0 0 0 0 1 0 1 0 1 1 1 0 1 0 0 0 \n    0 0 0 0 0 0 0 0 0 0 0 0 0 0 0 0 0 0 0 0 0 0 0 0 0 0 0 0 0 0 0 0 0 0 0 0 0 0 \n    0 0 0 0 1 0 0]\n[0 1 0 1 0 0 1 1 0 0 1 1 0 1 0 0 0 0 0 0 1 0 0 1 0 0 0 1 1 1 0 0 0 1 0 0 1 0 1 1\n    1 1 0 1 0 1 1 0 0 0 1 0 0 0 0 1 0 0 1 0 1 0 1 1 0 0 1 1 0 1 1 1 1 0 0 0 0 0 \n    0 0 0 0 0 0 0 0 0 0 0 0 0 0 0 0 0 0 0 0 0 0 0 0 0 0 0 0 0 0 0 0 0 0 0 0 0 0 \n    0 0 0 0 0 1 0]\n[1 0 1 0 1 0 0 1 1 0 0 1 1 0 1 0 0 0 0 0 0 1 0 0 1 0 0 0 1 1 1 0 0 0 1 0 0 1 0 1\n    1 1 1 0 1 0 1 1 0 0 0 1 0 0 0 0 1 0 0 1 0 1 0 1 1 0 0 1 1 0 1 1 1 1 0 0 0 0 \n    0 0 0 0 0 0 0 0 0 0 0 0 0 0 0 0 0 0 0 0 0 0 0 0 0 0 0 0 0 0 0 0 0 0 0 0 0 0 \n    0 0 0 0 0 0 1]\n[123, 48] Linear Code over GF(2)\nGenerator matrix:\n[1 0 0 0 0 0 0 0 0 0 0 0 0 0 0 0 0 0 0 0 0 0 0 0 0 0 0 0 0 0 0 0 0 0 0 0 0 0 0 0\n    0 0 0 0 0 0 0 0 0 0 1 1 1 1 0 1 1 0 0 1 1 1 0 1 1 1 0 1 1 0 0 0 0 0 0 0 1 1 \n    1 0 0 0 0 1 0 1 1 1 1 0 0 0 1 1 0 1 0 1 1 0 0 1 0 0 0 0 1 1 1 1 1 0 0 0 1 1 \n    0 0 1 0 0 0 1]\n[0 1 0 0 0 0 0 0 0 0 0 0 0 0 0 0 0 0 0 0 0 0 0 0 0 0 0 0 0 0 0 0 0 0 0 0 0 0 0 0\n    0 0 0 0 0 0 0 0 1 1 1 0 1 0 0 0 1 0 1 1 1 0 0 1 1 0 0 0 1 1 0 0 0 0 1 1 1 1 \n    1 1 0 1 0 1 0 1 0 1 1 1 1 1 0 0 1 1 0 0 1 0 0 0 1 0 1 1 1 0 0 1 1 1 1 1 0 1 \n    0 0 0 1 1 0 0]\n[0 0 1 0 0 0 0 0 0 0 0 0 0 0 0 0 0 0 0 0 0 0 0 0 0 0 0 0 0 0 0 0 0 0 0 0 0 0 0 0\n    0 0 0 0 0 0 0 0 0 1 0 0 1 0 0 1 1 1 0 0 0 0 0 1 0 0 0 1 1 1 1 0 0 0 0 1 0 0 \n    0 1 1 0 1 1 1 1 0 1 0 1 1 1 0 1 0 0 1 1 1 1 0 1 0 1 0 1 0 0 1 1 0 1 1 1 0 1 \n    1 0 1 0 1 1 1]\n[0 0 0 1 0 0 0 0 0 0 0 0 0 0 0 0 0 0 0 0 0 0 0 0 0 0 0 0 0 0 0 0 0 0 0 0 0 0 0 0\n    0 0 0 0 0 0 0 0 1 1 1 0 1 1 1 1 0 0 0 0 1 0 1 0 0 0 1 1 0 1 1 1 0 0 1 1 1 1 \n    1 0 1 0 0 1 0 1 1 1 0 0 0 0 0 0 1 0 1 0 0 0 1 1 1 0 0 1 1 0 0 0 0 0 0 0 0 1 \n    0 1 1 1 1 1 0]\n[0 0 0 0 1 0 0 0 0 0 0 0 0 0 0 0 0 0 0 0 0 0 0 0 0 0 0 0 0 0 0 0 0 0 0 0 0 0 0 0\n    0 0 0 0 0 0 0 0 0 1 0 0 1 0 1 0 0 0 0 1 1 0 0 0 1 1 0 0 0 0 1 1 1 0 0 1 0 0 \n    0 1 0 1 0 1 1 1 0 0 0 0 0 0 1 1 0 0 0 0 1 0 0 0 1 1 0 0 0 0 1 1 1 0 0 0 1 1 \n    1 0 0 1 1 1 0]\n[0 0 0 0 0 1 0 0 0 0 0 0 0 0 0 0 0 0 0 0 0 0 0 0 0 0 0 0 0 0 0 0 0 0 0 0 0 0 0 0\n    0 0 0 0 0 0 0 0 0 0 1 0 0 1 0 1 0 0 0 0 1 1 0 0 0 1 1 0 0 0 0 1 1 1 0 0 1 0 \n    0 0 1 0 1 0 1 1 1 0 0 0 0 0 0 1 1 0 0 0 0 1 0 0 0 1 1 0 0 0 0 1 1 1 0 0 0 1 \n    1 1 0 0 1 1 1]\n[0 0 0 0 0 0 1 0 0 0 0 0 0 0 0 0 0 0 0 0 0 0 0 0 0 0 0 0 0 0 0 0 0 0 0 0 0 0 0 0\n    0 0 0 0 0 0 0 0 1 1 0 1 1 0 0 1 0 1 1 0 1 1 0 0 1 0 0 0 1 0 0 0 1 1 0 1 0 0 \n    1 0 0 0 0 1 1 1 1 0 1 0 1 1 1 0 1 1 1 1 1 1 1 1 0 0 0 0 0 0 0 1 0 1 0 1 1 1 \n    0 1 0 0 1 1 0]\n[0 0 0 0 0 0 0 1 0 0 0 0 0 0 0 0 0 0 0 0 0 0 0 0 0 0 0 0 0 0 0 0 0 0 0 0 0 0 0 0\n    0 0 0 0 0 0 0 0 0 1 1 0 1 1 0 0 1 0 1 1 0 1 1 0 0 1 0 0 0 1 0 0 0 1 1 0 1 0 \n    0 1 0 0 0 0 1 1 1 1 0 1 0 1 1 1 0 1 1 1 1 1 1 1 1 0 0 0 0 0 0 0 1 0 1 0 1 1 \n    1 0 1 0 0 1 1]\n[0 0 0 0 0 0 0 0 1 0 0 0 0 0 0 0 0 0 0 0 0 0 0 0 0 0 0 0 0 0 0 0 0 0 0 0 0 0 0 0\n    0 0 0 0 0 0 0 0 1 1 0 0 0 0 0 0 0 0 1 0 1 1 0 0 0 1 0 0 0 0 1 0 0 0 0 0 1 1 \n    0 0 1 1 0 1 1 0 0 1 1 0 0 1 1 0 1 1 0 1 1 0 1 1 1 1 1 1 1 1 1 0 0 1 1 0 0 1 \n    0 1 0 1 1 0 1]\n[0 0 0 0 0 0 0 0 0 1 0 0 0 0 0 0 0 0 0 0 0 0 0 0 0 0 0 0 0 0 0 0 0 0 0 0 0 0 0 0\n    0 0 0 0 0 0 0 0 1 0 0 1 0 1 1 0 0 1 1 0 0 0 0 1 0 1 0 0 0 0 0 1 0 0 1 1 1 1 \n    1 0 0 0 1 1 0 0 1 0 1 1 1 1 1 0 0 0 0 0 1 0 0 1 1 1 0 0 0 0 0 1 0 0 0 0 0 0 \n    0 0 1 0 0 1 0]\n[0 0 0 0 0 0 0 0 0 0 1 0 0 0 0 0 0 0 0 0 0 0 0 0 0 0 0 0 0 0 0 0 0 0 0 0 0 0 0 0\n    0 0 0 0 0 0 0 0 0 1 1 1 0 1 1 0 1 0 1 0 1 1 0 1 0 1 1 1 1 0 0 0 1 0 0 1 0 0 \n    0 1 0 0 0 0 1 1 1 0 1 1 1 1 0 0 0 1 0 1 1 1 0 1 1 1 1 0 1 1 1 1 0 0 0 0 1 1 \n    0 0 1 1 0 0 0]\n[0 0 0 0 0 0 0 0 0 0 0 1 0 0 0 0 0 0 0 0 0 0 0 0 0 0 0 0 0 0 0 0 0 0 0 0 0 0 0 0\n    0 0 0 0 0 0 0 0 0 0 0 0 0 1 1 0 1 1 0 0 1 0 1 1 0 1 1 0 0 1 0 0 0 1 0 0 0 1 \n    1 0 1 0 0 1 0 0 0 0 1 1 1 1 0 1 0 1 1 1 0 1 1 1 1 1 1 1 1 0 0 0 0 0 0 0 1 0 \n    1 0 1 1 1 0 1]\n[0 0 0 0 0 0 0 0 0 0 0 0 1 0 0 0 0 0 0 0 0 0 0 0 0 0 0 0 0 0 0 0 0 0 0 0 0 0 0 0\n    0 0 0 0 0 0 0 0 1 1 0 0 1 0 0 0 1 0 0 0 1 1 1 1 0 0 0 0 1 0 1 0 0 0 0 1 0 1 \n    0 1 0 0 0 0 0 0 0 1 1 1 0 0 0 0 1 0 0 0 0 1 1 0 1 1 0 0 1 1 0 1 1 0 1 1 1 0 \n    1 1 1 1 0 1 1]\n[0 0 0 0 0 0 0 0 0 0 0 0 0 1 0 0 0 0 0 0 0 0 0 0 0 0 0 0 0 0 0 0 0 0 0 0 0 0 0 0\n    0 0 0 0 0 0 0 0 1 0 1 0 1 1 1 1 1 0 1 0 1 1 0 1 0 0 1 1 1 1 0 1 0 0 1 1 1 1 \n    0 0 1 1 0 0 1 0 0 1 0 1 0 1 1 0 0 1 1 1 1 1 1 0 0 1 0 1 0 1 1 1 0 1 1 0 0 0 \n    1 1 0 1 0 0 0]\n[0 0 0 0 0 0 0 0 0 0 0 0 0 0 1 0 0 0 0 0 0 0 0 0 0 0 0 0 0 0 0 0 0 0 0 0 0 0 0 0\n    0 0 0 0 0 0 0 0 0 1 0 1 0 1 1 1 1 1 0 1 0 1 1 0 1 0 0 1 1 1 1 0 1 0 0 1 1 1 \n    1 0 0 1 1 0 0 1 0 0 1 0 1 0 1 1 0 0 1 1 1 1 1 1 0 0 1 0 1 0 1 1 1 0 1 1 0 0 \n    0 1 1 0 1 0 0]\n[0 0 0 0 0 0 0 0 0 0 0 0 0 0 0 1 0 0 0 0 0 0 0 0 0 0 0 0 0 0 0 0 0 0 0 0 0 0 0 0\n    0 0 0 0 0 0 0 0 0 0 1 0 1 0 1 1 1 1 1 0 1 0 1 1 0 1 0 0 1 1 1 1 0 1 0 0 1 1 \n    1 1 0 0 1 1 0 0 1 0 0 1 0 1 0 1 1 0 0 1 1 1 1 1 1 0 0 1 0 1 0 1 1 1 0 1 1 0 \n    0 0 1 1 0 1 0]\n[0 0 0 0 0 0 0 0 0 0 0 0 0 0 0 0 1 0 0 0 0 0 0 0 0 0 0 0 0 0 0 0 0 0 0 0 0 0 0 0\n    0 0 0 0 0 0 0 0 0 0 0 1 0 1 0 1 1 1 1 1 0 1 0 1 1 0 1 0 0 1 1 1 1 0 1 0 0 1 \n    1 1 1 0 0 1 1 0 0 1 0 0 1 0 1 0 1 1 0 0 1 1 1 1 1 1 0 0 1 0 1 0 1 1 1 0 1 1 \n    0 0 0 1 1 0 1]\n[0 0 0 0 0 0 0 0 0 0 0 0 0 0 0 0 0 1 0 0 0 0 0 0 0 0 0 0 0 0 0 0 0 0 0 0 0 0 0 0\n    0 0 0 0 0 0 0 0 1 1 1 1 1 1 0 0 1 0 0 0 1 1 0 1 1 0 1 1 0 0 1 1 1 1 1 0 1 0 \n    1 1 1 0 0 1 0 0 1 0 1 0 1 0 0 0 0 0 0 0 0 0 1 1 1 1 0 1 1 0 1 1 0 1 0 0 0 1 \n    0 0 0 0 0 1 0]\n[0 0 0 0 0 0 0 0 0 0 0 0 0 0 0 0 0 0 1 0 0 0 0 0 0 0 0 0 0 0 0 0 0 0 0 0 0 0 0 0\n    0 0 0 0 0 0 0 0 0 1 1 1 1 1 1 0 0 1 0 0 0 1 1 0 1 1 0 1 1 0 0 1 1 1 1 1 0 1 \n    0 1 1 1 0 0 1 0 0 1 0 1 0 1 0 0 0 0 0 0 0 0 0 1 1 1 1 0 1 1 0 1 1 0 1 0 0 0 \n    1 0 0 0 0 0 1]\n[0 0 0 0 0 0 0 0 0 0 0 0 0 0 0 0 0 0 0 1 0 0 0 0 0 0 0 0 0 0 0 0 0 0 0 0 0 0 0 0\n    0 0 0 0 0 0 0 0 1 1 1 1 0 1 0 0 1 1 0 0 1 0 0 1 1 1 0 1 0 1 0 0 1 1 0 0 1 1 \n    0 0 1 0 1 0 1 1 0 1 0 0 0 1 0 0 0 0 1 1 1 1 0 1 1 1 0 0 0 1 1 1 0 1 1 0 1 1 \n    1 1 1 0 1 0 1]\n[0 0 0 0 0 0 0 0 0 0 0 0 0 0 0 0 0 0 0 0 1 0 0 0 0 0 0 0 0 0 0 0 0 0 0 0 0 0 0 0\n    0 0 0 0 0 0 0 0 1 0 0 0 1 1 0 0 0 0 0 1 0 0 1 1 1 0 0 0 1 0 1 0 0 1 0 1 1 1 \n    1 0 0 0 0 0 1 0 0 0 1 0 1 1 1 1 0 1 1 1 1 0 1 0 1 1 0 1 1 1 0 1 1 0 0 0 0 1 \n    0 1 1 1 1 1 0]\n[0 0 0 0 0 0 0 0 0 0 0 0 0 0 0 0 0 0 0 0 0 1 0 0 0 0 0 0 0 0 0 0 0 0 0 0 0 0 0 0\n    0 0 0 0 0 0 0 0 0 1 0 0 0 1 1 0 0 0 0 0 1 0 0 1 1 1 0 0 0 1 0 1 0 0 1 0 1 1 \n    1 1 0 0 0 0 0 1 0 0 0 1 0 1 1 1 1 0 1 1 1 1 0 1 0 1 1 0 1 1 1 0 1 1 0 0 0 0 \n    1 0 1 1 1 1 1]\n[0 0 0 0 0 0 0 0 0 0 0 0 0 0 0 0 0 0 0 0 0 0 1 0 0 0 0 0 0 0 0 0 0 0 0 0 0 0 0 0\n    0 0 0 0 0 0 0 0 1 1 1 0 1 0 0 0 1 1 1 0 1 1 1 0 0 1 0 1 1 0 1 0 1 0 1 0 0 0 \n    0 1 1 1 0 0 1 0 1 1 1 0 0 1 0 1 1 1 1 0 0 0 1 1 1 0 0 0 0 1 1 0 1 1 0 1 1 1 \n    1 1 1 1 0 1 0]\n[0 0 0 0 0 0 0 0 0 0 0 0 0 0 0 0 0 0 0 0 0 0 0 1 0 0 0 0 0 0 0 0 0 0 0 0 0 0 0 0\n    0 0 0 0 0 0 0 0 0 1 1 1 0 1 0 0 0 1 1 1 0 1 1 1 0 0 1 0 1 1 0 1 0 1 0 1 0 0 \n    0 0 1 1 1 0 0 1 0 1 1 1 0 0 1 0 1 1 1 1 0 0 0 1 1 1 0 0 0 0 1 1 0 1 1 0 1 1 \n    1 1 1 1 1 0 1]\n[0 0 0 0 0 0 0 0 0 0 0 0 0 0 0 0 0 0 0 0 0 0 0 0 1 0 0 0 0 0 0 0 0 0 0 0 0 0 0 0\n    0 0 0 0 0 0 0 0 1 1 0 0 1 1 0 0 0 1 0 0 1 1 0 0 1 1 1 1 0 1 1 0 1 0 0 1 0 0 \n    0 0 0 0 1 0 1 1 0 0 1 1 0 1 0 0 0 0 0 1 1 1 0 0 1 1 0 1 1 1 1 1 1 0 0 0 0 1 \n    0 1 1 1 0 1 0]\n[0 0 0 0 0 0 0 0 0 0 0 0 0 0 0 0 0 0 0 0 0 0 0 0 0 1 0 0 0 0 0 0 0 0 0 0 0 0 0 0\n    0 0 0 0 0 0 0 0 0 1 1 0 0 1 1 0 0 0 1 0 0 1 1 0 0 1 1 1 1 0 1 1 0 1 0 0 1 0 \n    0 0 0 0 0 1 0 1 1 0 0 1 1 0 1 0 0 0 0 0 1 1 1 0 0 1 1 0 1 1 1 1 1 1 0 0 0 0 \n    1 0 1 1 1 0 1]\n[0 0 0 0 0 0 0 0 0 0 0 0 0 0 0 0 0 0 0 0 0 0 0 0 0 0 1 0 0 0 0 0 0 0 0 0 0 0 0 0\n    0 0 0 0 0 0 0 0 1 1 1 1 1 0 0 0 1 1 1 1 1 0 0 1 1 0 0 0 0 1 0 1 1 0 0 1 0 0 \n    1 0 0 1 0 0 0 0 1 0 1 0 0 0 1 1 0 0 1 1 1 0 1 0 0 0 0 0 0 1 1 0 0 1 0 1 1 1 \n    1 1 1 1 0 1 1]\n[0 0 0 0 0 0 0 0 0 0 0 0 0 0 0 0 0 0 0 0 0 0 0 0 0 0 0 1 0 0 0 0 0 0 0 0 0 0 0 0\n    0 0 0 0 0 0 0 0 1 0 0 0 1 0 1 0 0 0 0 0 1 0 1 1 1 0 1 0 0 0 1 0 1 1 1 1 0 0 \n    0 1 0 1 1 1 1 1 1 1 0 1 1 1 0 0 1 1 1 1 1 0 0 1 0 0 1 1 1 1 0 1 0 0 0 1 1 1 \n    0 1 1 1 0 0 1]\n[0 0 0 0 0 0 0 0 0 0 0 0 0 0 0 0 0 0 0 0 0 0 0 0 0 0 0 0 1 0 0 0 0 0 0 0 0 0 0 0\n    0 0 0 0 0 0 0 0 1 0 1 1 0 0 1 1 0 1 1 1 0 0 1 0 1 0 1 1 0 0 0 1 0 1 0 0 0 0 \n    0 0 1 1 1 0 0 0 0 1 1 0 0 0 1 1 0 0 0 1 1 0 0 0 1 0 1 0 0 0 0 0 1 0 1 1 1 1 \n    0 0 1 1 0 0 0]\n[0 0 0 0 0 0 0 0 0 0 0 0 0 0 0 0 0 0 0 0 0 0 0 0 0 0 0 0 0 1 0 0 0 0 0 0 0 0 0 0\n    0 0 0 0 0 0 0 0 0 1 1 0 0 1 0 0 0 0 1 0 0 1 0 0 1 0 0 0 0 0 0 0 1 0 1 0 1 1 \n    1 0 0 1 1 0 0 1 1 1 0 1 0 0 1 0 1 1 0 1 0 1 0 1 0 1 0 1 1 1 1 1 1 1 0 1 0 0 \n    1 0 1 1 1 0 1]\n[0 0 0 0 0 0 0 0 0 0 0 0 0 0 0 0 0 0 0 0 0 0 0 0 0 0 0 0 0 0 1 0 0 0 0 0 0 0 0 0\n    0 0 0 0 0 0 0 0 1 1 1 1 1 0 0 1 1 1 1 1 1 0 0 0 1 1 1 1 1 0 0 0 0 1 1 0 0 0 \n    0 1 0 1 1 1 1 0 1 0 0 0 0 1 1 1 0 1 0 1 0 1 1 1 1 0 0 1 1 1 1 0 0 1 0 1 0 1 \n    1 1 1 1 0 1 1]\n[0 0 0 0 0 0 0 0 0 0 0 0 0 0 0 0 0 0 0 0 0 0 0 0 0 0 0 0 0 0 0 1 0 0 0 0 0 0 0 0\n    0 0 0 0 0 0 0 0 1 0 1 1 0 1 1 1 0 0 0 1 0 1 1 0 1 1 0 0 0 1 0 0 0 0 0 0 0 1 \n    1 0 1 1 1 1 0 1 0 0 1 0 1 1 0 1 1 0 0 1 0 1 1 0 1 1 1 1 1 1 1 0 1 0 0 1 0 1 \n    0 1 0 1 0 0 0]\n[0 0 0 0 0 0 0 0 0 0 0 0 0 0 0 0 0 0 0 0 0 0 0 0 0 0 0 0 0 0 0 0 1 0 0 0 0 0 0 0\n    0 0 0 0 0 0 0 0 0 1 0 1 1 0 1 1 1 0 0 0 1 0 1 1 0 1 1 0 0 0 1 0 0 0 0 0 0 0 \n    1 1 0 1 1 1 1 0 1 0 0 1 0 1 1 0 1 1 0 0 1 0 1 1 0 1 1 1 1 1 1 1 0 1 0 0 1 0 \n    1 0 1 0 1 0 0]\n[0 0 0 0 0 0 0 0 0 0 0 0 0 0 0 0 0 0 0 0 0 0 0 0 0 0 0 0 0 0 0 0 0 1 0 0 0 0 0 0\n    0 0 0 0 0 0 0 0 0 0 1 0 1 1 0 1 1 1 0 0 0 1 0 1 1 0 1 1 0 0 0 1 0 0 0 0 0 0 \n    0 1 1 0 1 1 1 1 0 1 0 0 1 0 1 1 0 1 1 0 0 1 0 1 1 0 1 1 1 1 1 1 1 0 1 0 0 1 \n    0 1 0 1 0 1 0]\n[0 0 0 0 0 0 0 0 0 0 0 0 0 0 0 0 0 0 0 0 0 0 0 0 0 0 0 0 0 0 0 0 0 0 1 0 0 0 0 0\n    0 0 0 0 0 0 0 0 0 0 0 1 0 1 1 0 1 1 1 0 0 0 1 0 1 1 0 1 1 0 0 0 1 0 0 0 0 0 \n    0 0 1 1 0 1 1 1 1 0 1 0 0 1 0 1 1 0 1 1 0 0 1 0 1 1 0 1 1 1 1 1 1 1 0 1 0 0 \n    1 0 1 0 1 0 1]\n[0 0 0 0 0 0 0 0 0 0 0 0 0 0 0 0 0 0 0 0 0 0 0 0 0 0 0 0 0 0 0 0 0 0 0 1 0 0 0 0\n    0 0 0 0 0 0 0 0 1 1 1 1 1 1 0 1 0 0 0 0 0 1 1 0 0 0 0 0 1 1 0 0 0 1 1 1 1 0 \n    0 0 0 0 1 1 0 0 0 1 0 1 1 1 1 1 1 0 1 1 1 1 0 1 0 1 0 1 0 0 0 1 1 1 0 1 1 0 \n    1 1 0 1 1 1 0]\n[0 0 0 0 0 0 0 0 0 0 0 0 0 0 0 0 0 0 0 0 0 0 0 0 0 0 0 0 0 0 0 0 0 0 0 0 1 0 0 0\n    0 0 0 0 0 0 0 0 0 1 1 1 1 1 1 0 1 0 0 0 0 0 1 1 0 0 0 0 0 1 1 0 0 0 1 1 1 1 \n    0 0 0 0 0 1 1 0 0 0 1 0 1 1 1 1 1 1 0 1 1 1 1 0 1 0 1 0 1 0 0 0 1 1 1 0 1 1 \n    0 1 1 0 1 1 1]\n[0 0 0 0 0 0 0 0 0 0 0 0 0 0 0 0 0 0 0 0 0 0 0 0 0 0 0 0 0 0 0 0 0 0 0 0 0 1 0 0\n    0 0 0 0 0 0 0 0 1 1 1 1 0 1 0 0 1 0 1 0 1 0 1 1 0 0 1 1 1 0 1 1 0 0 1 0 1 0 \n    0 0 0 1 0 0 0 1 0 1 1 1 1 0 0 1 1 1 0 1 0 0 1 0 0 1 1 0 0 1 0 1 1 1 0 0 1 0 \n    0 0 0 1 1 1 0]\n[0 0 0 0 0 0 0 0 0 0 0 0 0 0 0 0 0 0 0 0 0 0 0 0 0 0 0 0 0 0 0 0 0 0 0 0 0 0 1 0\n    0 0 0 0 0 0 0 0 0 1 1 1 1 0 1 0 0 1 0 1 0 1 0 1 1 0 0 1 1 1 0 1 1 0 0 1 0 1 \n    0 0 0 0 1 0 0 0 1 0 1 1 1 1 0 0 1 1 1 0 1 0 0 1 0 0 1 1 0 0 1 0 1 1 1 0 0 1 \n    0 0 0 0 1 1 1]\n[0 0 0 0 0 0 0 0 0 0 0 0 0 0 0 0 0 0 0 0 0 0 0 0 0 0 0 0 0 0 0 0 0 0 0 0 0 0 0 1\n    0 0 0 0 0 0 0 0 1 1 0 0 1 0 1 1 0 1 0 1 1 1 0 1 1 0 1 0 1 1 1 0 1 1 1 1 0 0 \n    1 0 0 1 0 0 1 1 1 1 0 1 0 0 1 1 0 0 0 1 0 0 0 0 1 0 1 0 0 1 1 1 0 1 0 0 0 0 \n    0 0 0 0 1 1 1]\n[0 0 0 0 0 0 0 0 0 0 0 0 0 0 0 0 0 0 0 0 0 0 0 0 0 0 0 0 0 0 0 0 0 0 0 0 0 0 0 0\n    1 0 0 0 0 0 0 0 1 0 0 1 0 0 1 1 1 1 0 1 1 0 0 1 1 0 1 1 0 1 1 1 0 1 0 0 0 0 \n    0 1 0 1 1 1 1 0 0 1 1 0 0 1 0 0 1 1 1 0 1 1 0 0 0 1 1 0 1 1 0 1 1 0 0 1 0 0 \n    1 0 0 0 1 1 1]\n[0 0 0 0 0 0 0 0 0 0 0 0 0 0 0 0 0 0 0 0 0 0 0 0 0 0 0 0 0 0 0 0 0 0 0 0 0 0 0 0\n    0 1 0 0 0 0 0 0 1 0 0 0 0 0 1 0 0 0 0 0 0 1 1 0 0 1 1 0 0 0 1 1 1 0 0 1 0 1 \n    1 0 1 1 1 1 0 1 0 1 0 1 1 1 0 0 0 1 0 0 1 0 1 1 0 0 0 0 0 1 1 1 0 1 1 1 0 1 \n    1 1 1 0 1 1 0]\n[0 0 0 0 0 0 0 0 0 0 0 0 0 0 0 0 0 0 0 0 0 0 0 0 0 0 0 0 0 0 0 0 0 0 0 0 0 0 0 0\n    0 0 1 0 0 0 0 0 0 1 1 1 1 1 0 0 1 0 0 1 1 1 1 0 1 1 1 0 1 0 0 1 1 1 0 0 0 1 \n    0 1 0 1 1 0 1 1 0 1 0 0 1 1 0 1 0 1 1 1 1 1 0 0 1 0 0 0 1 1 0 0 0 0 1 1 0 1 \n    1 1 0 1 0 1 0]\n[0 0 0 0 0 0 0 0 0 0 0 0 0 0 0 0 0 0 0 0 0 0 0 0 0 0 0 0 0 0 0 0 0 0 0 0 0 0 0 0\n    0 0 0 1 0 0 0 0 0 0 1 1 1 1 1 0 0 1 0 0 1 1 1 1 0 1 1 1 0 1 0 0 1 1 1 0 0 0 \n    1 0 1 0 1 1 0 1 1 0 1 0 0 1 1 0 1 0 1 1 1 1 1 0 0 1 0 0 0 1 1 0 0 0 0 1 1 0 \n    1 1 1 0 1 0 1]\n[0 0 0 0 0 0 0 0 0 0 0 0 0 0 0 0 0 0 0 0 0 0 0 0 0 0 0 0 0 0 0 0 0 0 0 0 0 0 0 0\n    0 0 0 0 1 0 0 0 1 1 0 1 0 1 0 0 1 1 0 0 1 1 0 1 0 0 0 0 0 0 1 0 0 1 0 0 0 1 \n    1 1 0 0 0 1 0 0 1 0 1 1 1 1 0 1 0 1 1 0 0 0 1 0 0 0 0 1 0 0 1 0 1 0 1 1 0 0 \n    1 1 0 1 1 1 1]\n[0 0 0 0 0 0 0 0 0 0 0 0 0 0 0 0 0 0 0 0 0 0 0 0 0 0 0 0 0 0 0 0 0 0 0 0 0 0 0 0\n    0 0 0 0 0 1 0 0 1 0 0 1 1 1 0 0 0 0 0 1 0 0 0 1 1 1 1 0 0 0 0 1 0 0 0 1 1 0 \n    1 1 1 1 0 1 0 1 1 1 0 1 0 0 1 1 1 1 0 1 0 1 0 1 0 0 1 1 0 1 1 1 0 1 1 0 1 0 \n    1 1 1 0 0 1 1]\n[0 0 0 0 0 0 0 0 0 0 0 0 0 0 0 0 0 0 0 0 0 0 0 0 0 0 0 0 0 0 0 0 0 0 0 0 0 0 0 0\n    0 0 0 0 0 0 1 0 1 0 1 1 1 0 0 0 0 1 1 1 1 1 1 1 1 0 0 1 0 0 0 0 1 0 1 1 0 1 \n    0 1 1 0 1 1 0 1 0 1 1 0 0 1 0 0 1 0 0 0 1 1 1 0 1 0 1 0 0 1 0 1 1 0 0 0 0 1 \n    1 1 1 1 1 0 1]\n[0 0 0 0 0 0 0 0 0 0 0 0 0 0 0 0 0 0 0 0 0 0 0 0 0 0 0 0 0 0 0 0 0 0 0 0 0 0 0 0\n    0 0 0 0 0 0 0 1 1 0 0 1 0 1 1 1 1 1 0 1 0 1 0 1 0 1 1 1 0 0 0 0 0 1 1 0 1 1 \n    0 0 1 0 0 1 0 0 1 1 0 1 1 1 0 0 0 1 1 1 1 0 1 0 0 1 1 0 0 0 1 1 0 1 1 1 1 1 \n    0 1 0 1 0 1 1]\nLinear Code over GF(2) of length 123 with 48 generators.\nLower Bound: 1, Upper Bound: 76\nConstructed 3 distinct generator matrices\nRelative Ranks:  48  48  27 \nTime Taken: 0.00\nStarting search for low weight codewords... (reset timings)\nEnumerating using 1 generator at a time:\n     New codeword identified of weight 38, time 0.00\n     New codeword identified of weight 31, time 0.00\n     New codeword identified of weight 30, time 0.00\n     Discarding non-contributing rank 27 matrix\n     New Relative Ranks:  48  48 \n   Completed Matrix  1:  lower =  3, upper = 30. Elapsed: 0.00s\n   Completed Matrix  2:  lower =  4, upper = 30. Elapsed: 0.00s\nTermination predicted with 14 generators at matrix 2\nEnumerating using 2 generators at a time:\n     New codeword identified of weight 27, time 0.00\n   Completed Matrix  1:  lower =  5, upper = 27. Elapsed: 0.00s\n   Completed Matrix  2:  lower =  6, upper = 27. Elapsed: 0.00s\nTermination predicted with 13 generators at matrix 1\nEnumerating using 3 generators at a time:\n     New codeword identified of weight 26, time 0.00\n   Completed Matrix  1:  lower =  7, upper = 26. Elapsed: 0.00s\n     New codeword identified of weight 25, time 0.00\n   Completed Matrix  2:  lower =  8, upper = 25. Elapsed: 0.00s\nTermination predicted with 12 generators at matrix 1\nEnumerating using 4 generators at a time:\n   Completed Matrix  1:  lower =  9, upper = 25. Elapsed: 0.00s\n   Completed Matrix  2:  lower = 10, upper = 25. Elapsed: 0.00s\nTermination predicted with 12 generators at matrix 1\nEnumerating using 5 generators at a time:\n   Completed Matrix  1:  lower = 11, upper = 25. Elapsed: 0.01s\n   Completed Matrix  2:  lower = 12, upper = 25. Elapsed: 0.01s\nTermination predicted with 12 generators at matrix 1\nEnumerating using 6 generators at a time:\n   Completed Matrix  1:  lower = 13, upper = 25. Elapsed: 0.04s\n   Completed Matrix  2:  lower = 14, upper = 25. Elapsed: 0.07s\nTermination predicted with 12 generators at matrix 1\nEnumerating using 7 generators at a time:\n   Completed Matrix  1:  lower = 15, upper = 25. Elapsed: 0.25s\n   Completed Matrix  2:  lower = 16, upper = 25. Elapsed: 0.43s\nTermination predicted at 324 s (5m 24s) with 12 generators at matrix 1\nEnumerating using 8 generators at a time:\n   Completed Matrix  1:  lower = 17, upper = 25. Elapsed: 1.39s\n   Completed Matrix  2:  lower = 18, upper = 25. Elapsed: 2.37s\nTermination predicted at 337 s (5m 37s) with 12 generators at matrix 1\nEnumerating using 9 generators at a time:\n   Completed Matrix  1:  lower = 19, upper = 25. Elapsed: 6.73s\n   Completed Matrix  2:  lower = 20, upper = 25. Elapsed: 11.16s\nTermination predicted at 345 s (5m 45s) with 12 generators at matrix 1\nEnumerating using 10 generators at a time:\n   Completed Matrix  1:  lower = 21, upper = 25. Elapsed: 29.11s\n   Completed Matrix  2:  lower = 22, upper = 25. Elapsed: 46.92s\nTermination predicted at 357 s (5m 57s) with 12 generators at matrix 1\nEnumerating using 11 generators at a time:\n   Completed Matrix  1:  lower = 23, upper = 25. Elapsed: 111.10s\n   Completed Matrix  2:  lower = 24, upper = 25. Elapsed: 175.12s\nTermination predicted at 370 s (6m 10s) with 12 generators at matrix 1\nEnumerating using 12 generators at a time:\n   Completed Matrix  1:  lower = 25, upper = 25. Elapsed: 381.17s\nComputation complete 132224930144 vectors enumerated in total\n (0.046976% of 123 48 code)\nFinal Results: lower = 25, upper = 25,\nTotal CPU time: 381.17, real time: 382.142\n25\n\nTotal time: 381.189 seconds, Total memory usage: 32.09MB\n</t>
  </si>
  <si>
    <t>[[124,49,25]]</t>
  </si>
  <si>
    <t>Magma V2.28-26    Tue Dec 30 2025 10:52:35 on Marks-MacBook-Air-2 [Seed = \n3756333302]\nType ? for help.  Type &lt;Ctrl&gt;-D to quit.\n[1 1 0 1 1 0 0 1 1 1 0 1 1 1 0 1 1 0 0 0 0 0 0 0 1 1 1 0 0 0 0 1 0 1 1 1 1 0 0 0\n    1 1 0 1 0 1 1 0 0 1 0 0 0 0 1 1 1 1 1 0 0 0 1 1 0 0 1 0 0 0 1 0 0 1 0 1 0 0 \n    0 0 0 0 0 0 0 0 0 0 0 0 0 0 0 0 0 0 0 0 0 0 0 0 0 0 0 0 0 0 0 0 0 0 0 0 0 0 \n    0 0 0 0 0 0 0 0]\n[1 1 1 0 1 1 0 0 1 1 1 0 1 1 1 0 1 1 0 0 0 0 0 0 0 1 1 1 0 0 0 0 1 0 1 1 1 1 0 0\n    0 1 1 0 1 0 1 1 0 0 1 0 0 0 0 1 1 1 1 1 0 0 0 1 1 0 0 1 0 0 0 1 0 0 1 0 1 0 \n    0 0 0 0 0 0 0 0 0 0 0 0 0 0 0 0 0 0 0 0 0 0 0 0 0 0 0 0 0 0 0 0 0 0 0 0 0 0 \n    0 0 0 0 0 0 0 0]\n[0 0 1 0 1 1 1 1 1 0 1 0 1 0 1 0 1 1 1 0 0 0 0 0 1 1 0 1 1 0 0 1 0 0 1 0 0 1 1 0\n    1 1 1 0 0 0 1 1 1 1 0 1 0 0 1 1 0 0 0 1 1 0 1 1 1 1 1 0 1 0 1 0 1 1 0 0 0 1 \n    0 0 0 0 0 0 0 0 0 0 0 0 0 0 0 0 0 0 0 0 0 0 0 0 0 0 0 0 0 0 0 0 0 0 0 0 0 0 \n    0 0 0 0 0 0 0 0]\n[1 0 0 1 0 1 1 1 1 1 0 1 0 1 0 1 0 1 1 1 0 0 0 0 0 1 1 0 1 1 0 0 1 0 0 1 0 0 1 1\n    0 1 1 1 0 0 0 1 1 1 1 0 1 0 0 1 1 0 0 0 1 1 0 1 1 1 1 1 0 1 0 1 0 1 1 0 0 0 \n    1 0 0 0 0 0 0 0 0 0 0 0 0 0 0 0 0 0 0 0 0 0 0 0 0 0 0 0 0 0 0 0 0 0 0 0 0 0 \n    0 0 0 0 0 0 0 0]\n[0 0 0 1 0 0 1 0 0 0 1 1 0 1 1 1 0 0 1 1 1 0 0 0 1 1 0 1 0 1 1 1 0 0 1 1 0 0 0 1\n    0 1 1 0 1 1 1 0 1 0 1 1 0 1 1 1 0 0 1 0 0 1 0 1 1 1 0 1 1 0 0 0 1 1 1 0 0 0 \n    0 1 0 0 0 0 0 0 0 0 0 0 0 0 0 0 0 0 0 0 0 0 0 0 0 0 0 0 0 0 0 0 0 0 0 0 0 0 \n    0 0 0 0 0 0 0 0]\n[0 1 0 1 0 0 0 0 1 1 0 0 0 1 1 0 0 0 0 1 1 1 0 0 1 0 0 0 1 0 1 0 1 1 1 0 0 0 0 0\n    0 1 1 0 0 0 0 1 0 0 0 1 1 0 0 0 0 1 1 1 0 0 0 1 1 1 0 0 1 1 1 0 0 0 1 0 0 0 \n    0 0 1 0 0 0 0 0 0 0 0 0 0 0 0 0 0 0 0 0 0 0 0 0 0 0 0 0 0 0 0 0 0 0 0 0 0 0 \n    0 0 0 0 0 0 0 0]\n[1 1 1 1 0 0 0 1 1 0 1 1 1 1 1 0 1 0 0 0 1 1 1 0 1 0 1 0 0 1 0 0 0 0 0 0 1 0 0 0\n    1 1 1 0 0 1 1 0 1 1 0 0 1 1 1 1 1 1 0 1 1 0 1 1 1 1 0 0 0 1 0 1 0 1 0 0 0 0 \n    0 0 0 1 0 0 0 0 0 0 0 0 0 0 0 0 0 0 0 0 0 0 0 0 0 0 0 0 0 0 0 0 0 0 0 0 0 0 \n    0 0 0 0 0 0 0 0]\n[0 1 1 1 1 0 0 0 1 1 0 1 1 1 1 1 0 1 0 0 0 1 1 1 0 1 0 1 0 0 1 0 0 0 0 0 0 1 0 0\n    0 1 1 1 0 0 1 1 0 1 1 0 0 1 1 1 1 1 1 0 1 1 0 1 1 1 1 0 0 0 1 0 1 0 1 0 0 0 \n    0 0 0 0 1 0 0 0 0 0 0 0 0 0 0 0 0 0 0 0 0 0 0 0 0 0 0 0 0 0 0 0 0 0 0 0 0 0 \n    0 0 0 0 0 0 0 0]\n[0 1 1 0 0 1 0 1 1 0 1 1 0 0 1 0 0 0 1 0 0 0 1 1 0 1 0 0 1 0 0 0 0 1 1 1 1 0 1 0\n    1 1 1 0 1 1 1 1 1 1 1 1 0 0 0 0 0 0 0 1 0 1 0 1 1 1 0 1 0 0 1 1 0 0 0 0 0 0 \n    0 0 0 0 0 1 0 0 0 0 0 0 0 0 0 0 0 0 0 0 0 0 0 0 0 0 0 0 0 0 0 0 0 0 0 0 0 0 \n    0 0 0 0 0 0 0 0]\n[1 0 1 1 0 0 1 0 1 1 0 1 1 0 0 1 0 0 0 1 0 0 0 1 1 0 1 0 0 1 0 0 0 0 1 1 1 1 0 1\n    0 1 1 1 0 1 1 1 1 1 1 1 1 0 0 0 0 0 0 0 1 0 1 0 1 1 1 0 1 0 0 1 1 0 0 0 0 0 \n    0 0 0 0 0 0 1 0 0 0 0 0 0 0 0 0 0 0 0 0 0 0 0 0 0 0 0 0 0 0 0 0 0 0 0 0 0 0 \n    0 0 0 0 0 0 0 0]\n[1 1 0 1 1 0 0 1 0 1 1 0 1 1 0 0 1 0 0 0 1 0 0 0 1 1 0 1 0 0 1 0 0 0 0 1 1 1 1 0\n    1 0 1 1 1 0 1 1 1 1 1 1 1 1 0 0 0 0 0 0 0 1 0 1 0 1 1 1 0 1 0 0 1 1 0 0 0 0 \n    0 0 0 0 0 0 0 1 0 0 0 0 0 0 0 0 0 0 0 0 0 0 0 0 0 0 0 0 0 0 0 0 0 0 0 0 0 0 \n    0 0 0 0 0 0 0 0]\n[0 1 1 0 1 1 0 0 1 0 1 1 0 1 1 0 0 1 0 0 0 1 0 0 0 1 1 0 1 0 0 1 0 0 0 0 1 1 1 1\n    0 1 0 1 1 1 0 1 1 1 1 1 1 1 1 0 0 0 0 0 0 0 1 0 1 0 1 1 1 0 1 0 0 1 1 0 0 0 \n    0 0 0 0 0 0 0 0 1 0 0 0 0 0 0 0 0 0 0 0 0 0 0 0 0 0 0 0 0 0 0 0 0 0 0 0 0 0 \n    0 0 0 0 0 0 0 0]\n[1 1 1 0 1 1 1 1 1 0 0 0 0 1 1 0 1 0 1 0 0 0 1 0 1 1 0 1 0 1 0 1 1 1 1 1 1 1 1 1\n    0 1 1 1 1 0 0 0 1 0 1 1 1 1 0 0 1 1 1 0 0 0 1 0 0 1 1 1 1 1 1 1 0 1 1 0 0 0 \n    0 0 0 0 0 0 0 0 0 1 0 0 0 0 0 0 0 0 0 0 0 0 0 0 0 0 0 0 0 0 0 0 0 0 0 0 0 0 \n    0 0 0 0 0 0 0 0]\n[0 0 1 0 1 1 1 0 0 0 0 1 1 1 1 0 1 1 0 1 0 0 0 1 1 0 0 0 1 0 1 1 1 0 0 0 0 1 1 1\n    0 1 1 0 1 0 1 0 0 0 0 1 1 1 0 1 1 0 0 1 0 0 1 0 0 0 0 1 1 1 0 1 1 1 1 0 0 0 \n    0 0 0 0 0 0 0 0 0 0 1 0 0 0 0 0 0 0 0 0 0 0 0 0 0 0 0 0 0 0 0 0 0 0 0 0 0 0 \n    0 0 0 0 0 0 0 0]\n[1 1 0 0 1 1 1 0 1 1 0 1 0 0 1 0 1 1 1 0 1 0 0 0 0 0 1 0 0 1 0 0 1 0 1 1 1 0 1 1\n    0 1 1 0 0 0 1 1 0 1 0 0 1 1 0 1 0 0 1 0 1 0 1 0 0 0 1 0 1 1 0 0 1 0 1 0 0 0 \n    0 0 0 0 0 0 0 0 0 0 0 1 0 0 0 0 0 0 0 0 0 0 0 0 0 0 0 0 0 0 0 0 0 0 0 0 0 0 \n    0 0 0 0 0 0 0 0]\n[1 0 1 1 1 1 1 0 1 0 1 1 0 1 0 0 1 1 1 1 0 1 0 0 1 1 1 1 0 0 1 1 0 0 1 0 0 1 0 1\n    0 1 1 0 0 1 1 1 1 1 1 0 0 1 0 1 0 1 1 1 0 1 1 0 0 0 1 1 0 1 0 0 0 0 0 0 0 0 \n    0 0 0 0 0 0 0 0 0 0 0 0 1 0 0 0 0 0 0 0 0 0 0 0 0 0 0 0 0 0 0 0 0 0 0 0 0 0 \n    0 0 0 0 0 0 0 0]\n[0 1 0 1 1 1 1 1 0 1 0 1 1 0 1 0 0 1 1 1 1 0 1 0 0 1 1 1 1 0 0 1 1 0 0 1 0 0 1 0\n    1 0 1 1 0 0 1 1 1 1 1 1 0 0 1 0 1 0 1 1 1 0 1 1 0 0 0 1 1 0 1 0 0 0 0 0 0 0 \n    0 0 0 0 0 0 0 0 0 0 0 0 0 1 0 0 0 0 0 0 0 0 0 0 0 0 0 0 0 0 0 0 0 0 0 0 0 0 \n    0 0 0 0 0 0 0 0]\n[1 0 1 0 1 1 1 1 1 0 1 0 1 1 0 1 0 0 1 1 1 1 0 1 0 0 1 1 1 1 0 0 1 1 0 0 1 0 0 1\n    0 1 0 1 1 0 0 1 1 1 1 1 1 0 0 1 0 1 0 1 1 1 0 1 1 0 0 0 1 1 0 1 0 0 0 0 0 0 \n    0 0 0 0 0 0 0 0 0 0 0 0 0 0 1 0 0 0 0 0 0 0 0 0 0 0 0 0 0 0 0 0 0 0 0 0 0 0 \n    0 0 0 0 0 0 0 0]\n[0 1 0 1 0 1 1 1 1 1 0 1 0 1 1 0 1 0 0 1 1 1 1 0 1 0 0 1 1 1 1 0 0 1 1 0 0 1 0 0\n    1 0 1 0 1 1 0 0 1 1 1 1 1 1 0 0 1 0 1 0 1 1 1 0 1 1 0 0 0 1 1 0 1 0 0 0 0 0 \n    0 0 0 0 0 0 0 0 0 0 0 0 0 0 0 1 0 0 0 0 0 0 0 0 0 0 0 0 0 0 0 0 0 0 0 0 0 0 \n    0 0 0 0 0 0 0 0]\n[0 0 1 0 1 0 1 1 1 1 1 0 1 0 1 1 0 1 0 0 1 1 1 1 0 1 0 0 1 1 1 1 0 0 1 1 0 0 1 0\n    0 1 0 1 0 1 1 0 0 1 1 1 1 1 1 0 0 1 0 1 0 1 1 1 0 1 1 0 0 0 1 1 0 1 0 0 0 0 \n    0 0 0 0 0 0 0 0 0 0 0 0 0 0 0 0 1 0 0 0 0 0 0 0 0 0 0 0 0 0 0 0 0 0 0 0 0 0 \n    0 0 0 0 0 0 0 0]\n[0 0 0 1 0 1 0 1 1 1 1 1 0 1 0 1 1 0 1 0 0 1 1 1 1 0 1 0 0 1 1 1 1 0 0 1 1 0 0 1\n    0 0 1 0 1 0 1 1 0 0 1 1 1 1 1 1 0 0 1 0 1 0 1 1 1 0 1 1 0 0 0 1 1 0 1 0 0 0 \n    0 0 0 0 0 0 0 0 0 0 0 0 0 0 0 0 0 1 0 0 0 0 0 0 0 0 0 0 0 0 0 0 0 0 0 0 0 0 \n    0 0 0 0 0 0 0 0]\n[1 1 0 1 0 0 1 1 0 0 1 0 0 1 1 1 0 1 0 1 0 0 1 1 0 0 1 1 0 0 1 0 1 0 1 1 0 1 0 0\n    0 1 0 0 0 0 1 1 1 1 0 1 1 1 0 0 0 1 1 1 0 1 1 0 1 1 1 1 1 0 1 0 1 0 0 0 0 0 \n    0 0 0 0 0 0 0 0 0 0 0 0 0 0 0 0 0 0 1 0 0 0 0 0 0 0 0 0 0 0 0 0 0 0 0 0 0 0 \n    0 0 0 0 0 0 0 0]\n[1 1 1 0 1 0 0 1 1 0 0 1 0 0 1 1 1 0 1 0 1 0 0 1 1 0 0 1 1 0 0 1 0 1 0 1 1 0 1 0\n    0 0 1 0 0 0 0 1 1 1 1 0 1 1 1 0 0 0 1 1 1 0 1 1 0 1 1 1 1 1 0 1 0 1 0 0 0 0 \n    0 0 0 0 0 0 0 0 0 0 0 0 0 0 0 0 0 0 0 1 0 0 0 0 0 0 0 0 0 0 0 0 0 0 0 0 0 0 \n    0 0 0 0 0 0 0 0]\n[1 1 1 1 0 1 0 0 1 1 0 0 1 0 0 1 1 1 0 1 0 1 0 0 1 1 0 0 1 1 0 0 1 0 1 0 1 1 0 1\n    0 0 0 1 0 0 0 0 1 1 1 1 0 1 1 1 0 0 0 1 1 1 0 1 1 0 1 1 1 1 1 0 1 0 1 0 0 0 \n    0 0 0 0 0 0 0 0 0 0 0 0 0 0 0 0 0 0 0 0 1 0 0 0 0 0 0 0 0 0 0 0 0 0 0 0 0 0 \n    0 0 0 0 0 0 0 0]\n[1 0 1 0 0 0 1 1 1 0 1 1 1 0 0 1 0 1 1 0 1 0 1 0 1 0 0 0 0 1 1 1 0 0 1 0 1 1 1 0\n    0 1 0 1 1 1 1 0 0 0 1 1 1 0 0 0 0 1 1 0 1 1 0 1 1 1 1 1 1 1 0 1 0 0 0 0 0 0 \n    0 0 0 0 0 0 0 0 0 0 0 0 0 0 0 0 0 0 0 0 0 1 0 0 0 0 0 0 0 0 0 0 0 0 0 0 0 0 \n    0 0 0 0 0 0 0 0]\n[1 1 0 1 0 0 0 1 1 1 0 1 1 1 0 0 1 0 1 1 0 1 0 1 0 1 0 0 0 0 1 1 1 0 0 1 0 1 1 1\n    0 0 1 0 1 1 1 1 0 0 0 1 1 1 0 0 0 0 1 1 0 1 1 0 1 1 1 1 1 1 1 0 1 0 0 0 0 0 \n    0 0 0 0 0 0 0 0 0 0 0 0 0 0 0 0 0 0 0 0 0 0 1 0 0 0 0 0 0 0 0 0 0 0 0 0 0 0 \n    0 0 0 0 0 0 0 0]\n[1 1 1 0 1 0 0 0 1 1 1 0 1 1 1 0 0 1 0 1 1 0 1 0 1 0 1 0 0 0 0 1 1 1 0 0 1 0 1 1\n    1 0 0 1 0 1 1 1 1 0 0 0 1 1 1 0 0 0 0 1 1 0 1 1 0 1 1 1 1 1 1 1 0 1 0 0 0 0 \n    0 0 0 0 0 0 0 0 0 0 0 0 0 0 0 0 0 0 0 0 0 0 0 1 0 0 0 0 0 0 0 0 0 0 0 0 0 0 \n    0 0 0 0 0 0 0 0]\n[0 1 1 1 0 1 0 0 0 1 1 1 0 1 1 1 0 0 1 0 1 1 0 1 0 1 0 1 0 0 0 0 1 1 1 0 0 1 0 1\n    1 1 0 0 1 0 1 1 1 1 0 0 0 1 1 1 0 0 0 0 1 1 0 1 1 0 1 1 1 1 1 1 1 0 1 0 0 0 \n    0 0 0 0 0 0 0 0 0 0 0 0 0 0 0 0 0 0 0 0 0 0 0 0 1 0 0 0 0 0 0 0 0 0 0 0 0 0 \n    0 0 0 0 0 0 0 0]\n[1 1 1 0 0 0 1 1 1 1 1 0 0 1 1 0 0 0 0 1 0 1 1 0 0 1 0 0 1 0 0 1 0 0 0 0 1 0 1 0\n    0 0 1 1 0 0 1 1 1 0 1 0 0 0 0 0 0 1 1 0 0 1 0 1 1 1 1 1 1 1 0 1 1 0 0 0 0 0 \n    0 0 0 0 0 0 0 0 0 0 0 0 0 0 0 0 0 0 0 0 0 0 0 0 0 1 0 0 0 0 0 0 0 0 0 0 0 0 \n    0 0 0 0 0 0 0 0]\n[1 1 1 1 0 0 0 1 1 1 1 1 0 0 1 1 0 0 0 0 1 0 1 1 0 0 1 0 0 1 0 0 1 0 0 0 0 1 0 1\n    0 0 0 1 1 0 0 1 1 1 0 1 0 0 0 0 0 0 1 1 0 0 1 0 1 1 1 1 1 1 1 0 1 1 0 0 0 0 \n    0 0 0 0 0 0 0 0 0 0 0 0 0 0 0 0 0 0 0 0 0 0 0 0 0 0 1 0 0 0 0 0 0 0 0 0 0 0 \n    0 0 0 0 0 0 0 0]\n[1 1 1 1 1 0 0 0 1 1 1 1 1 0 0 1 1 0 0 0 0 1 0 1 1 0 0 1 0 0 1 0 0 1 0 0 0 0 1 0\n    1 0 0 0 1 1 0 0 1 1 1 0 1 0 0 0 0 0 0 1 1 0 0 1 0 1 1 1 1 1 1 1 0 1 1 0 0 0 \n    0 0 0 0 0 0 0 0 0 0 0 0 0 0 0 0 0 0 0 0 0 0 0 0 0 0 0 1 0 0 0 0 0 0 0 0 0 0 \n    0 0 0 0 0 0 0 0]\n[1 0 1 0 0 1 0 1 1 0 1 0 0 0 0 1 0 1 0 0 0 0 1 0 0 0 1 0 1 0 0 0 0 1 0 1 1 0 0 1\n    1 0 0 1 0 0 0 0 0 0 1 1 0 1 1 1 1 1 1 0 1 1 1 1 1 0 0 1 1 1 0 1 1 1 1 0 0 0 \n    0 0 0 0 0 0 0 0 0 0 0 0 0 0 0 0 0 0 0 0 0 0 0 0 0 0 0 0 1 0 0 0 0 0 0 0 0 0 \n    0 0 0 0 0 0 0 0]\n[0 0 0 0 1 0 1 1 0 0 0 0 1 1 0 1 0 0 1 0 0 0 0 1 1 1 1 1 0 1 0 1 0 1 0 1 0 1 0 0\n    0 0 0 1 1 1 1 0 0 1 0 1 1 0 0 0 0 0 0 1 0 1 0 0 1 1 1 0 1 1 0 0 1 0 1 0 0 0 \n    0 0 0 0 0 0 0 0 0 0 0 0 0 0 0 0 0 0 0 0 0 0 0 0 0 0 0 0 0 1 0 0 0 0 0 0 0 0 \n    0 0 0 0 0 0 0 0]\n[1 1 0 1 1 1 0 0 0 1 0 1 1 0 1 1 0 0 0 1 0 0 0 0 0 0 0 1 1 0 1 1 1 1 0 1 0 0 1 0\n    1 1 0 1 1 0 0 1 0 1 1 0 1 1 1 1 1 1 1 0 1 0 0 1 0 1 0 1 0 1 0 0 0 0 0 0 0 0 \n    0 0 0 0 0 0 0 0 0 0 0 0 0 0 0 0 0 0 0 0 0 0 0 0 0 0 0 0 0 0 1 0 0 0 0 0 0 0 \n    0 0 0 0 0 0 0 0]\n[0 1 1 0 1 1 1 0 0 0 1 0 1 1 0 1 1 0 0 0 1 0 0 0 0 0 0 0 1 1 0 1 1 1 1 0 1 0 0 1\n    0 1 1 0 1 1 0 0 1 0 1 1 0 1 1 1 1 1 1 1 0 1 0 0 1 0 1 0 1 0 1 0 0 0 0 0 0 0 \n    0 0 0 0 0 0 0 0 0 0 0 0 0 0 0 0 0 0 0 0 0 0 0 0 0 0 0 0 0 0 0 1 0 0 0 0 0 0 \n    0 0 0 0 0 0 0 0]\n[1 0 1 1 0 1 1 1 0 0 0 1 0 1 1 0 1 1 0 0 0 1 0 0 0 0 0 0 0 1 1 0 1 1 1 1 0 1 0 0\n    1 0 1 1 0 1 1 0 0 1 0 1 1 0 1 1 1 1 1 1 1 0 1 0 0 1 0 1 0 1 0 1 0 0 0 0 0 0 \n    0 0 0 0 0 0 0 0 0 0 0 0 0 0 0 0 0 0 0 0 0 0 0 0 0 0 0 0 0 0 0 0 1 0 0 0 0 0 \n    0 0 0 0 0 0 0 0]\n[0 1 0 1 1 0 1 1 1 0 0 0 1 0 1 1 0 1 1 0 0 0 1 0 0 0 0 0 0 0 1 1 0 1 1 1 1 0 1 0\n    0 1 0 1 1 0 1 1 0 0 1 0 1 1 0 1 1 1 1 1 1 1 0 1 0 0 1 0 1 0 1 0 1 0 0 0 0 0 \n    0 0 0 0 0 0 0 0 0 0 0 0 0 0 0 0 0 0 0 0 0 0 0 0 0 0 0 0 0 0 0 0 0 1 0 0 0 0 \n    0 0 0 0 0 0 0 0]\n[0 0 1 0 1 1 0 1 1 1 0 0 0 1 0 1 1 0 1 1 0 0 0 1 0 0 0 0 0 0 0 1 1 0 1 1 1 1 0 1\n    0 0 1 0 1 1 0 1 1 0 0 1 0 1 1 0 1 1 1 1 1 1 1 0 1 0 0 1 0 1 0 1 0 1 0 0 0 0 \n    0 0 0 0 0 0 0 0 0 0 0 0 0 0 0 0 0 0 0 0 0 0 0 0 0 0 0 0 0 0 0 0 0 0 1 0 0 0 \n    0 0 0 0 0 0 0 0]\n[0 0 0 1 0 1 1 0 1 1 1 0 0 0 1 0 1 1 0 1 1 0 0 0 1 0 0 0 0 0 0 0 1 1 0 1 1 1 1 0\n    1 0 0 1 0 1 1 0 1 1 0 0 1 0 1 1 0 1 1 1 1 1 1 1 0 1 0 0 1 0 1 0 1 0 1 0 0 0 \n    0 0 0 0 0 0 0 0 0 0 0 0 0 0 0 0 0 0 0 0 0 0 0 0 0 0 0 0 0 0 0 0 0 0 0 1 0 0 \n    0 0 0 0 0 0 0 0]\n[1 1 0 1 0 0 1 0 1 0 1 0 1 1 0 0 1 1 1 0 1 1 0 0 1 0 1 0 0 0 0 1 0 0 0 1 0 1 1 1\n    1 0 0 1 1 1 0 1 0 0 1 0 0 1 1 0 0 1 0 1 1 1 0 0 1 0 0 0 0 1 1 1 0 0 0 0 0 0 \n    0 0 0 0 0 0 0 0 0 0 0 0 0 0 0 0 0 0 0 0 0 0 0 0 0 0 0 0 0 0 0 0 0 0 0 0 1 0 \n    0 0 0 0 0 0 0 0]\n[1 1 1 0 1 0 0 1 0 1 0 1 0 1 1 0 0 1 1 1 0 1 1 0 0 1 0 1 0 0 0 0 1 0 0 0 1 0 1 1\n    1 1 0 0 1 1 1 0 1 0 0 1 0 0 1 1 0 0 1 0 1 1 1 0 0 1 0 0 0 0 1 1 1 0 0 0 0 0 \n    0 0 0 0 0 0 0 0 0 0 0 0 0 0 0 0 0 0 0 0 0 0 0 0 0 0 0 0 0 0 0 0 0 0 0 0 0 1 \n    0 0 0 0 0 0 0 0]\n[1 1 1 1 0 1 0 0 1 0 1 0 1 0 1 1 0 0 1 1 1 0 1 1 0 0 1 0 1 0 0 0 0 1 0 0 0 1 0 1\n    1 1 1 0 0 1 1 1 0 1 0 0 1 0 0 1 1 0 0 1 0 1 1 1 0 0 1 0 0 0 0 1 1 1 0 0 0 0 \n    0 0 0 0 0 0 0 0 0 0 0 0 0 0 0 0 0 0 0 0 0 0 0 0 0 0 0 0 0 0 0 0 0 0 0 0 0 0 \n    1 0 0 0 0 0 0 0]\n[0 1 1 1 1 0 1 0 0 1 0 1 0 1 0 1 1 0 0 1 1 1 0 1 1 0 0 1 0 1 0 0 0 0 1 0 0 0 1 0\n    1 1 1 1 0 0 1 1 1 0 1 0 0 1 0 0 1 1 0 0 1 0 1 1 1 0 0 1 0 0 0 0 1 1 1 0 0 0 \n    0 0 0 0 0 0 0 0 0 0 0 0 0 0 0 0 0 0 0 0 0 0 0 0 0 0 0 0 0 0 0 0 0 0 0 0 0 0 \n    0 1 0 0 0 0 0 0]\n[1 1 1 0 0 1 0 0 1 1 1 1 0 1 1 1 0 1 0 0 1 1 1 0 0 0 1 0 1 0 1 1 0 1 1 0 1 0 0 1\n    1 0 1 0 1 1 1 1 1 0 0 1 0 0 0 1 1 0 0 0 0 1 1 0 1 1 1 0 1 0 1 0 0 0 1 0 0 0 \n    0 0 0 0 0 0 0 0 0 0 0 0 0 0 0 0 0 0 0 0 0 0 0 0 0 0 0 0 0 0 0 0 0 0 0 0 0 0 \n    0 0 1 0 0 0 0 0]\n[0 0 1 0 1 0 1 1 1 0 1 0 0 1 1 0 0 0 1 0 0 1 1 1 1 1 1 1 0 1 0 0 1 1 0 0 1 1 0 0\n    0 0 0 0 0 0 0 1 1 0 0 0 1 0 1 1 0 0 1 0 0 0 0 0 0 1 0 1 0 1 1 1 0 1 0 0 0 0 \n    0 0 0 0 0 0 0 0 0 0 0 0 0 0 0 0 0 0 0 0 0 0 0 0 0 0 0 0 0 0 0 0 0 0 0 0 0 0 \n    0 0 0 1 0 0 0 0]\n[0 0 0 1 0 1 0 1 1 1 0 1 0 0 1 1 0 0 0 1 0 0 1 1 1 1 1 1 1 0 1 0 0 1 1 0 0 1 1 0\n    0 0 0 0 0 0 0 0 1 1 0 0 0 1 0 1 1 0 0 1 0 0 0 0 0 0 1 0 1 0 1 1 1 0 1 0 0 0 \n    0 0 0 0 0 0 0 0 0 0 0 0 0 0 0 0 0 0 0 0 0 0 0 0 0 0 0 0 0 0 0 0 0 0 0 0 0 0 \n    0 0 0 0 1 0 0 0]\n[0 1 0 1 0 0 1 1 0 0 1 1 0 1 0 0 0 0 0 0 1 0 0 1 0 0 0 1 1 1 0 0 0 1 0 0 1 0 1 1\n    1 1 0 1 0 1 1 0 0 0 1 0 0 0 0 1 0 0 1 0 1 0 1 1 0 0 1 1 0 1 1 1 1 0 0 0 0 0 \n    0 0 0 0 0 0 0 0 0 0 0 0 0 0 0 0 0 0 0 0 0 0 0 0 0 0 0 0 0 0 0 0 0 0 0 0 0 0 \n    0 0 0 0 0 1 0 0]\n[1 0 1 0 1 0 0 1 1 0 0 1 1 0 1 0 0 0 0 0 0 1 0 0 1 0 0 0 1 1 1 0 0 0 1 0 0 1 0 1\n    1 1 1 0 1 0 1 1 0 0 0 1 0 0 0 0 1 0 0 1 0 1 0 1 1 0 0 1 1 0 1 1 1 1 0 0 0 0 \n    0 0 0 0 0 0 0 0 0 0 0 0 0 0 0 0 0 0 0 0 0 0 0 0 0 0 0 0 0 0 0 0 0 0 0 0 0 0 \n    0 0 0 0 0 0 1 0]\n[1 1 0 1 0 1 0 0 1 1 0 0 1 1 0 1 0 0 0 0 0 0 1 0 0 1 0 0 0 1 1 1 0 0 0 1 0 0 1 0\n    1 1 1 1 0 1 0 1 1 0 0 0 1 0 0 0 0 1 0 0 1 0 1 0 1 1 0 0 1 1 0 1 1 1 1 0 0 0 \n    0 0 0 0 0 0 0 0 0 0 0 0 0 0 0 0 0 0 0 0 0 0 0 0 0 0 0 0 0 0 0 0 0 0 0 0 0 0 \n    0 0 0 0 0 0 0 1]\n[124, 49] Linear Code over GF(2)\nGenerator matrix:\n[1 0 0 0 0 0 0 0 0 0 0 0 0 0 0 0 0 0 0 0 0 0 0 0 0 0 0 0 0 0 0 0 0 0 0 0 0 0 0 0\n    0 0 0 0 0 0 0 0 0 0 1 1 1 1 0 1 1 0 0 1 1 1 0 1 1 1 0 1 1 0 0 0 0 0 0 0 1 1 \n    1 0 0 0 0 1 0 1 1 1 1 0 0 0 1 1 0 1 0 1 1 0 0 1 0 0 0 0 1 1 1 1 1 0 0 0 1 1 \n    0 0 1 0 0 0 1 0]\n[0 1 0 0 0 0 0 0 0 0 0 0 0 0 0 0 0 0 0 0 0 0 0 0 0 0 0 0 0 0 0 0 0 0 0 0 0 0 0 0\n    0 0 0 0 0 0 0 0 0 0 0 1 1 1 1 0 1 1 0 0 1 1 1 0 1 1 1 0 1 1 0 0 0 0 0 0 0 1 \n    1 1 0 0 0 0 1 0 1 1 1 1 0 0 0 1 1 0 1 0 1 1 0 0 1 0 0 0 0 1 1 1 1 1 0 0 0 1 \n    1 0 0 1 0 0 0 1]\n[0 0 1 0 0 0 0 0 0 0 0 0 0 0 0 0 0 0 0 0 0 0 0 0 0 0 0 0 0 0 0 0 0 0 0 0 0 0 0 0\n    0 0 0 0 0 0 0 0 0 1 0 0 1 0 0 1 1 1 0 0 0 0 0 1 0 0 0 1 1 1 1 0 0 0 0 1 0 0 \n    0 1 1 0 1 1 1 1 0 1 0 1 1 1 0 1 0 0 1 1 1 1 0 1 0 1 0 1 0 0 1 1 0 1 1 1 0 1 \n    1 0 1 0 1 1 1 0]\n[0 0 0 1 0 0 0 0 0 0 0 0 0 0 0 0 0 0 0 0 0 0 0 0 0 0 0 0 0 0 0 0 0 0 0 0 0 0 0 0\n    0 0 0 0 0 0 0 0 0 0 0 1 1 0 0 1 0 1 1 1 1 1 0 1 0 1 0 1 0 1 1 1 0 0 0 0 0 1 \n    1 0 1 1 0 0 1 0 0 1 0 0 1 1 0 1 1 1 0 0 0 1 1 1 1 0 1 0 0 1 1 0 0 0 1 1 0 1 \n    1 1 1 1 0 1 0 1]\n[0 0 0 0 1 0 0 0 0 0 0 0 0 0 0 0 0 0 0 0 0 0 0 0 0 0 0 0 0 0 0 0 0 0 0 0 0 0 0 0\n    0 0 0 0 0 0 0 0 0 1 0 0 1 0 1 0 0 0 0 1 1 0 0 0 1 1 0 0 0 0 1 1 1 0 0 1 0 0 \n    0 1 0 1 0 1 1 1 0 0 0 0 0 0 1 1 0 0 0 0 1 0 0 0 1 1 0 0 0 0 1 1 1 0 0 0 1 1 \n    1 0 0 1 1 1 0 0]\n[0 0 0 0 0 1 0 0 0 0 0 0 0 0 0 0 0 0 0 0 0 0 0 0 0 0 0 0 0 0 0 0 0 0 0 0 0 0 0 0\n    0 0 0 0 0 0 0 0 0 0 1 0 0 1 0 1 0 0 0 0 1 1 0 0 0 1 1 0 0 0 0 1 1 1 0 0 1 0 \n    0 0 1 0 1 0 1 1 1 0 0 0 0 0 0 1 1 0 0 0 0 1 0 0 0 1 1 0 0 0 0 1 1 1 0 0 0 1 \n    1 1 0 0 1 1 1 0]\n[0 0 0 0 0 0 1 0 0 0 0 0 0 0 0 0 0 0 0 0 0 0 0 0 0 0 0 0 0 0 0 0 0 0 0 0 0 0 0 0\n    0 0 0 0 0 0 0 0 0 0 1 0 1 1 1 1 0 0 0 1 1 0 1 1 1 1 1 0 1 0 0 0 1 1 1 0 1 0 \n    1 0 0 1 0 0 0 0 0 0 1 0 0 0 1 1 1 0 0 1 1 0 1 1 0 0 1 1 1 1 1 1 0 1 1 0 1 1 \n    1 1 0 0 0 1 0 1]\n[0 0 0 0 0 0 0 1 0 0 0 0 0 0 0 0 0 0 0 0 0 0 0 0 0 0 0 0 0 0 0 0 0 0 0 0 0 0 0 0\n    0 0 0 0 0 0 0 0 0 1 1 0 1 1 0 0 1 0 1 1 0 1 1 0 0 1 0 0 0 1 0 0 0 1 1 0 1 0 \n    0 1 0 0 0 0 1 1 1 1 0 1 0 1 1 1 0 1 1 1 1 1 1 1 1 0 0 0 0 0 0 0 1 0 1 0 1 1 \n    1 0 1 0 0 1 1 0]\n[0 0 0 0 0 0 0 0 1 0 0 0 0 0 0 0 0 0 0 0 0 0 0 0 0 0 0 0 0 0 0 0 0 0 0 0 0 0 0 0\n    0 0 0 0 0 0 0 0 0 0 1 1 0 1 1 0 0 1 0 1 1 0 1 1 0 0 1 0 0 0 1 0 0 0 1 1 0 1 \n    0 0 1 0 0 0 0 1 1 1 1 0 1 0 1 1 1 0 1 1 1 1 1 1 1 1 0 0 0 0 0 0 0 1 0 1 0 1 \n    1 1 0 1 0 0 1 1]\n[0 0 0 0 0 0 0 0 0 1 0 0 0 0 0 0 0 0 0 0 0 0 0 0 0 0 0 0 0 0 0 0 0 0 0 0 0 0 0 0\n    0 0 0 0 0 0 0 0 0 1 1 0 0 0 0 0 0 0 0 1 0 1 1 0 0 0 1 0 0 0 0 1 0 0 0 0 0 1 \n    1 0 0 1 1 0 1 1 0 0 1 1 0 0 1 1 0 1 1 0 1 1 0 1 1 1 1 1 1 1 1 1 0 0 1 1 0 0 \n    1 0 1 0 1 1 0 1]\n[0 0 0 0 0 0 0 0 0 0 1 0 0 0 0 0 0 0 0 0 0 0 0 0 0 0 0 0 0 0 0 0 0 0 0 0 0 0 0 0\n    0 0 0 0 0 0 0 0 0 1 1 1 0 1 1 0 1 0 1 0 1 1 0 1 0 1 1 1 1 0 0 0 1 0 0 1 0 0 \n    0 1 0 0 0 0 1 1 1 0 1 1 1 1 0 0 0 1 0 1 1 1 0 1 1 1 1 0 1 1 1 1 0 0 0 0 1 1 \n    0 0 1 1 0 0 0 0]\n[0 0 0 0 0 0 0 0 0 0 0 1 0 0 0 0 0 0 0 0 0 0 0 0 0 0 0 0 0 0 0 0 0 0 0 0 0 0 0 0\n    0 0 0 0 0 0 0 0 0 0 0 0 0 1 1 0 1 1 0 0 1 0 1 1 0 1 1 0 0 1 0 0 0 1 0 0 0 1 \n    1 0 1 0 0 1 0 0 0 0 1 1 1 1 0 1 0 1 1 1 0 1 1 1 1 1 1 1 1 0 0 0 0 0 0 0 1 0 \n    1 0 1 1 1 0 1 0]\n[0 0 0 0 0 0 0 0 0 0 0 0 1 0 0 0 0 0 0 0 0 0 0 0 0 0 0 0 0 0 0 0 0 0 0 0 0 0 0 0\n    0 0 0 0 0 0 0 0 0 0 1 1 1 1 1 0 1 1 1 1 1 0 0 0 0 1 1 0 1 0 1 0 0 0 1 0 1 1 \n    0 1 0 1 0 1 1 1 1 1 1 1 1 1 0 1 1 1 1 0 0 0 1 0 1 1 1 1 0 0 1 1 1 0 0 0 1 0 \n    0 1 1 1 1 1 1 1]\n[0 0 0 0 0 0 0 0 0 0 0 0 0 1 0 0 0 0 0 0 0 0 0 0 0 0 0 0 0 0 0 0 0 0 0 0 0 0 0 0\n    0 0 0 0 0 0 0 0 0 1 0 1 1 0 0 1 1 1 0 1 1 0 1 0 0 1 0 1 1 1 0 1 0 0 0 0 0 1 \n    0 0 1 0 0 1 0 1 1 1 0 1 1 0 1 1 0 0 0 1 1 0 1 0 0 1 1 0 1 0 0 1 0 1 0 1 0 0 \n    0 1 0 1 1 0 0 1]\n[0 0 0 0 0 0 0 0 0 0 0 0 0 0 1 0 0 0 0 0 0 0 0 0 0 0 0 0 0 0 0 0 0 0 0 0 0 0 0 0\n    0 0 0 0 0 0 0 0 0 1 0 1 0 1 1 1 1 1 0 1 0 1 1 0 1 0 0 1 1 1 1 0 1 0 0 1 1 1 \n    1 0 0 1 1 0 0 1 0 0 1 0 1 0 1 1 0 0 1 1 1 1 1 1 0 0 1 0 1 0 1 1 1 0 1 1 0 0 \n    0 1 1 0 1 0 0 0]\n[0 0 0 0 0 0 0 0 0 0 0 0 0 0 0 1 0 0 0 0 0 0 0 0 0 0 0 0 0 0 0 0 0 0 0 0 0 0 0 0\n    0 0 0 0 0 0 0 0 0 0 1 0 1 0 1 1 1 1 1 0 1 0 1 1 0 1 0 0 1 1 1 1 0 1 0 0 1 1 \n    1 1 0 0 1 1 0 0 1 0 0 1 0 1 0 1 1 0 0 1 1 1 1 1 1 0 0 1 0 1 0 1 1 1 0 1 1 0 \n    0 0 1 1 0 1 0 0]\n[0 0 0 0 0 0 0 0 0 0 0 0 0 0 0 0 1 0 0 0 0 0 0 0 0 0 0 0 0 0 0 0 0 0 0 0 0 0 0 0\n    0 0 0 0 0 0 0 0 0 0 0 1 0 1 0 1 1 1 1 1 0 1 0 1 1 0 1 0 0 1 1 1 1 0 1 0 0 1 \n    1 1 1 0 0 1 1 0 0 1 0 0 1 0 1 0 1 1 0 0 1 1 1 1 1 1 0 0 1 0 1 0 1 1 1 0 1 1 \n    0 0 0 1 1 0 1 0]\n[0 0 0 0 0 0 0 0 0 0 0 0 0 0 0 0 0 1 0 0 0 0 0 0 0 0 0 0 0 0 0 0 0 0 0 0 0 0 0 0\n    0 0 0 0 0 0 0 0 0 0 0 0 1 0 1 0 1 1 1 1 1 0 1 0 1 1 0 1 0 0 1 1 1 1 0 1 0 0 \n    1 1 1 1 0 0 1 1 0 0 1 0 0 1 0 1 0 1 1 0 0 1 1 1 1 1 1 0 0 1 0 1 0 1 1 1 0 1 \n    1 0 0 0 1 1 0 1]\n[0 0 0 0 0 0 0 0 0 0 0 0 0 0 0 0 0 0 1 0 0 0 0 0 0 0 0 0 0 0 0 0 0 0 0 0 0 0 0 0\n    0 0 0 0 0 0 0 0 0 1 1 1 1 1 1 0 0 1 0 0 0 1 1 0 1 1 0 1 1 0 0 1 1 1 1 1 0 1 \n    0 1 1 1 0 0 1 0 0 1 0 1 0 1 0 0 0 0 0 0 0 0 0 1 1 1 1 0 1 1 0 1 1 0 1 0 0 0 \n    1 0 0 0 0 0 1 0]\n[0 0 0 0 0 0 0 0 0 0 0 0 0 0 0 0 0 0 0 1 0 0 0 0 0 0 0 0 0 0 0 0 0 0 0 0 0 0 0 0\n    0 0 0 0 0 0 0 0 0 0 0 0 0 0 1 0 1 0 1 1 1 1 1 0 1 0 1 1 0 1 0 0 1 1 1 1 0 1 \n    0 0 1 1 1 1 0 0 1 1 0 0 1 0 0 1 0 1 0 1 1 0 0 1 1 1 1 1 1 0 0 1 0 1 0 1 1 1 \n    0 1 1 0 0 0 1 1]\n[0 0 0 0 0 0 0 0 0 0 0 0 0 0 0 0 0 0 0 0 1 0 0 0 0 0 0 0 0 0 0 0 0 0 0 0 0 0 0 0\n    0 0 0 0 0 0 0 0 0 1 1 1 1 0 1 0 0 1 1 0 0 1 0 0 1 1 1 0 1 0 1 0 0 1 1 0 0 1 \n    1 0 0 1 0 1 0 1 1 0 1 0 0 0 1 0 0 0 0 1 1 1 1 0 1 1 1 0 0 0 1 1 1 0 1 1 0 1 \n    1 1 1 1 0 1 0 1]\n[0 0 0 0 0 0 0 0 0 0 0 0 0 0 0 0 0 0 0 0 0 1 0 0 0 0 0 0 0 0 0 0 0 0 0 0 0 0 0 0\n    0 0 0 0 0 0 0 0 0 1 0 0 0 1 1 0 0 0 0 0 1 0 0 1 1 1 0 0 0 1 0 1 0 0 1 0 1 1 \n    1 1 0 0 0 0 0 1 0 0 0 1 0 1 1 1 1 0 1 1 1 1 0 1 0 1 1 0 1 1 1 0 1 1 0 0 0 0 \n    1 0 1 1 1 1 1 0]\n[0 0 0 0 0 0 0 0 0 0 0 0 0 0 0 0 0 0 0 0 0 0 1 0 0 0 0 0 0 0 0 0 0 0 0 0 0 0 0 0\n    0 0 0 0 0 0 0 0 0 0 0 1 1 1 1 0 1 0 0 1 1 0 0 1 0 0 1 1 1 0 1 0 1 0 0 1 1 0 \n    0 1 1 0 0 1 0 1 0 1 1 0 1 0 0 0 1 0 0 0 0 1 1 1 1 0 1 1 1 0 0 0 1 1 1 0 1 1 \n    0 1 1 1 1 1 0 1]\n[0 0 0 0 0 0 0 0 0 0 0 0 0 0 0 0 0 0 0 0 0 0 0 1 0 0 0 0 0 0 0 0 0 0 0 0 0 0 0 0\n    0 0 0 0 0 0 0 0 0 1 1 1 0 1 0 0 0 1 1 1 0 1 1 1 0 0 1 0 1 1 0 1 0 1 0 1 0 0 \n    0 0 1 1 1 0 0 1 0 1 1 1 0 0 1 0 1 1 1 1 0 0 0 1 1 1 0 0 0 0 1 1 0 1 1 0 1 1 \n    1 1 1 1 1 0 1 0]\n[0 0 0 0 0 0 0 0 0 0 0 0 0 0 0 0 0 0 0 0 0 0 0 0 1 0 0 0 0 0 0 0 0 0 0 0 0 0 0 0\n    0 0 0 0 0 0 0 0 0 0 1 1 1 0 1 0 0 0 1 1 1 0 1 1 1 0 0 1 0 1 1 0 1 0 1 0 1 0 \n    0 0 0 1 1 1 0 0 1 0 1 1 1 0 0 1 0 1 1 1 1 0 0 0 1 1 1 0 0 0 0 1 1 0 1 1 0 1 \n    1 1 1 1 1 1 0 1]\n[0 0 0 0 0 0 0 0 0 0 0 0 0 0 0 0 0 0 0 0 0 0 0 0 0 1 0 0 0 0 0 0 0 0 0 0 0 0 0 0\n    0 0 0 0 0 0 0 0 0 1 1 0 0 1 1 0 0 0 1 0 0 1 1 0 0 1 1 1 1 0 1 1 0 1 0 0 1 0 \n    0 0 0 0 0 1 0 1 1 0 0 1 1 0 1 0 0 0 0 0 1 1 1 0 0 1 1 0 1 1 1 1 1 1 0 0 0 0 \n    1 0 1 1 1 0 1 0]\n[0 0 0 0 0 0 0 0 0 0 0 0 0 0 0 0 0 0 0 0 0 0 0 0 0 0 1 0 0 0 0 0 0 0 0 0 0 0 0 0\n    0 0 0 0 0 0 0 0 0 0 0 0 1 1 1 0 1 0 0 0 1 1 1 0 1 1 1 0 0 1 0 1 1 0 1 0 1 0 \n    1 0 0 0 0 1 1 1 0 0 1 0 1 1 1 0 0 1 0 1 1 1 1 0 0 0 1 1 1 0 0 0 0 1 1 0 1 1 \n    0 1 1 1 1 1 1 1]\n[0 0 0 0 0 0 0 0 0 0 0 0 0 0 0 0 0 0 0 0 0 0 0 0 0 0 0 1 0 0 0 0 0 0 0 0 0 0 0 0\n    0 0 0 0 0 0 0 0 0 1 1 1 1 1 0 0 0 1 1 1 1 1 0 0 1 1 0 0 0 0 1 0 1 1 0 0 1 0 \n    0 1 0 0 1 0 0 0 0 1 0 1 0 0 0 1 1 0 0 1 1 1 0 1 0 0 0 0 0 0 1 1 0 0 1 0 1 1 \n    1 1 1 1 1 0 1 1]\n[0 0 0 0 0 0 0 0 0 0 0 0 0 0 0 0 0 0 0 0 0 0 0 0 0 0 0 0 1 0 0 0 0 0 0 0 0 0 0 0\n    0 0 0 0 0 0 0 0 0 1 0 0 0 1 0 1 0 0 0 0 0 1 0 1 1 1 0 1 0 0 0 1 0 1 1 1 1 0 \n    0 0 1 0 1 1 1 1 1 1 1 0 1 1 1 0 0 1 1 1 1 1 0 0 1 0 0 1 1 1 1 0 1 0 0 0 1 1 \n    1 0 1 1 1 0 0 1]\n[0 0 0 0 0 0 0 0 0 0 0 0 0 0 0 0 0 0 0 0 0 0 0 0 0 0 0 0 0 1 0 0 0 0 0 0 0 0 0 0\n    0 0 0 0 0 0 0 0 0 1 1 0 0 1 0 0 0 0 1 0 0 1 0 0 1 0 0 0 0 0 0 0 1 0 1 0 1 1 \n    1 0 0 1 1 0 0 1 1 1 0 1 0 0 1 0 1 1 0 1 0 1 0 1 0 1 0 1 1 1 1 1 1 1 0 1 0 0 \n    1 0 1 1 1 0 1 0]\n[0 0 0 0 0 0 0 0 0 0 0 0 0 0 0 0 0 0 0 0 0 0 0 0 0 0 0 0 0 0 1 0 0 0 0 0 0 0 0 0\n    0 0 0 0 0 0 0 0 0 0 0 0 1 1 1 1 1 0 0 0 1 1 1 1 1 0 0 1 1 0 0 0 0 1 0 1 1 0 \n    0 1 0 0 1 0 0 1 0 0 0 0 1 0 1 0 0 0 1 1 0 0 1 1 1 0 1 0 0 0 0 0 0 1 1 0 0 1 \n    0 1 1 1 1 1 1 1]\n[0 0 0 0 0 0 0 0 0 0 0 0 0 0 0 0 0 0 0 0 0 0 0 0 0 0 0 0 0 0 0 1 0 0 0 0 0 0 0 0\n    0 0 0 0 0 0 0 0 0 1 0 0 0 0 0 1 0 1 1 0 0 0 0 1 1 0 1 0 0 1 0 0 0 0 1 1 1 1 \n    1 0 1 0 1 0 1 0 1 0 1 0 0 0 0 0 1 1 1 1 0 0 1 0 1 1 0 0 0 0 0 0 1 0 1 0 0 1 \n    1 1 0 1 1 0 0 1]\n[0 0 0 0 0 0 0 0 0 0 0 0 0 0 0 0 0 0 0 0 0 0 0 0 0 0 0 0 0 0 0 0 1 0 0 0 0 0 0 0\n    0 0 0 0 0 0 0 0 0 1 0 1 1 0 1 1 1 0 0 0 1 0 1 1 0 1 1 0 0 0 1 0 0 0 0 0 0 0 \n    1 1 0 1 1 1 1 0 1 0 0 1 0 1 1 0 1 1 0 0 1 0 1 1 0 1 1 1 1 1 1 1 0 1 0 0 1 0 \n    1 0 1 0 1 0 0 0]\n[0 0 0 0 0 0 0 0 0 0 0 0 0 0 0 0 0 0 0 0 0 0 0 0 0 0 0 0 0 0 0 0 0 1 0 0 0 0 0 0\n    0 0 0 0 0 0 0 0 0 0 1 0 1 1 0 1 1 1 0 0 0 1 0 1 1 0 1 1 0 0 0 1 0 0 0 0 0 0 \n    0 1 1 0 1 1 1 1 0 1 0 0 1 0 1 1 0 1 1 0 0 1 0 1 1 0 1 1 1 1 1 1 1 0 1 0 0 1 \n    0 1 0 1 0 1 0 0]\n[0 0 0 0 0 0 0 0 0 0 0 0 0 0 0 0 0 0 0 0 0 0 0 0 0 0 0 0 0 0 0 0 0 0 1 0 0 0 0 0\n    0 0 0 0 0 0 0 0 0 0 0 1 0 1 1 0 1 1 1 0 0 0 1 0 1 1 0 1 1 0 0 0 1 0 0 0 0 0 \n    0 0 1 1 0 1 1 1 1 0 1 0 0 1 0 1 1 0 1 1 0 0 1 0 1 1 0 1 1 1 1 1 1 1 0 1 0 0 \n    1 0 1 0 1 0 1 0]\n[0 0 0 0 0 0 0 0 0 0 0 0 0 0 0 0 0 0 0 0 0 0 0 0 0 0 0 0 0 0 0 0 0 0 0 1 0 0 0 0\n    0 0 0 0 0 0 0 0 0 0 0 0 1 0 1 1 0 1 1 1 0 0 0 1 0 1 1 0 1 1 0 0 0 1 0 0 0 0 \n    0 0 0 1 1 0 1 1 1 1 0 1 0 0 1 0 1 1 0 1 1 0 0 1 0 1 1 0 1 1 1 1 1 1 1 0 1 0 \n    0 1 0 1 0 1 0 1]\n[0 0 0 0 0 0 0 0 0 0 0 0 0 0 0 0 0 0 0 0 0 0 0 0 0 0 0 0 0 0 0 0 0 0 0 0 1 0 0 0\n    0 0 0 0 0 0 0 0 0 1 1 1 1 1 1 0 1 0 0 0 0 0 1 1 0 0 0 0 0 1 1 0 0 0 1 1 1 1 \n    0 0 0 0 0 1 1 0 0 0 1 0 1 1 1 1 1 1 0 1 1 1 1 0 1 0 1 0 1 0 0 0 1 1 1 0 1 1 \n    0 1 1 0 1 1 1 0]\n[0 0 0 0 0 0 0 0 0 0 0 0 0 0 0 0 0 0 0 0 0 0 0 0 0 0 0 0 0 0 0 0 0 0 0 0 0 1 0 0\n    0 0 0 0 0 0 0 0 0 0 0 0 0 0 1 0 1 1 0 1 1 1 0 0 0 1 0 1 1 0 1 1 0 0 0 1 0 0 \n    0 0 0 0 0 1 1 0 1 1 1 1 0 1 0 0 1 0 1 1 0 1 1 0 0 1 0 1 1 0 1 1 1 1 1 1 1 0 \n    1 0 0 1 0 1 0 1]\n[0 0 0 0 0 0 0 0 0 0 0 0 0 0 0 0 0 0 0 0 0 0 0 0 0 0 0 0 0 0 0 0 0 0 0 0 0 0 1 0\n    0 0 0 0 0 0 0 0 0 1 1 1 1 0 1 0 0 1 0 1 0 1 0 1 1 0 0 1 1 1 0 1 1 0 0 1 0 1 \n    0 0 0 0 1 0 0 0 1 0 1 1 1 1 0 0 1 1 1 0 1 0 0 1 0 0 1 1 0 0 1 0 1 1 1 0 0 1 \n    0 0 0 0 1 1 1 0]\n[0 0 0 0 0 0 0 0 0 0 0 0 0 0 0 0 0 0 0 0 0 0 0 0 0 0 0 0 0 0 0 0 0 0 0 0 0 0 0 1\n    0 0 0 0 0 0 0 0 0 0 1 1 1 1 0 1 0 0 1 0 1 0 1 0 1 1 0 0 1 1 1 0 1 1 0 0 1 0 \n    1 0 0 0 0 1 0 0 0 1 0 1 1 1 1 0 0 1 1 1 0 1 0 0 1 0 0 1 1 0 0 1 0 1 1 1 0 0 \n    1 0 0 0 0 1 1 1]\n[0 0 0 0 0 0 0 0 0 0 0 0 0 0 0 0 0 0 0 0 0 0 0 0 0 0 0 0 0 0 0 0 0 0 0 0 0 0 0 0\n    1 0 0 0 0 0 0 0 0 1 1 0 0 1 0 1 1 0 1 0 1 1 1 0 1 1 0 1 0 1 1 1 0 1 1 1 1 0 \n    0 1 0 0 1 0 0 1 1 1 1 0 1 0 0 1 1 0 0 0 1 0 0 0 0 1 0 1 0 0 1 1 1 0 1 0 0 0 \n    0 0 0 0 0 1 1 1]\n[0 0 0 0 0 0 0 0 0 0 0 0 0 0 0 0 0 0 0 0 0 0 0 0 0 0 0 0 0 0 0 0 0 0 0 0 0 0 0 0\n    0 1 0 0 0 0 0 0 0 1 1 1 0 1 0 0 0 1 1 1 0 0 0 1 0 0 0 0 0 0 1 1 1 0 1 0 1 1 \n    1 0 1 0 1 0 1 0 1 1 0 1 0 0 0 1 0 0 1 0 1 1 1 1 0 0 1 1 1 0 0 1 0 1 0 0 0 1 \n    0 1 1 0 0 1 0 1]\n[0 0 0 0 0 0 0 0 0 0 0 0 0 0 0 0 0 0 0 0 0 0 0 0 0 0 0 0 0 0 0 0 0 0 0 0 0 0 0 0\n    0 0 1 0 0 0 0 0 0 1 1 1 1 1 0 0 1 0 0 1 1 1 1 0 1 1 1 0 1 0 0 1 1 1 0 0 0 1 \n    0 1 0 1 1 0 1 1 0 1 0 0 1 1 0 1 0 1 1 1 1 1 0 0 1 0 0 0 1 1 0 0 0 0 1 1 0 1 \n    1 1 0 1 0 1 0 0]\n[0 0 0 0 0 0 0 0 0 0 0 0 0 0 0 0 0 0 0 0 0 0 0 0 0 0 0 0 0 0 0 0 0 0 0 0 0 0 0 0\n    0 0 0 1 0 0 0 0 0 0 1 1 1 1 1 0 0 1 0 0 1 1 1 1 0 1 1 1 0 1 0 0 1 1 1 0 0 0 \n    1 0 1 0 1 1 0 1 1 0 1 0 0 1 1 0 1 0 1 1 1 1 1 0 0 1 0 0 0 1 1 0 0 0 0 1 1 0 \n    1 1 1 0 1 0 1 0]\n[0 0 0 0 0 0 0 0 0 0 0 0 0 0 0 0 0 0 0 0 0 0 0 0 0 0 0 0 0 0 0 0 0 0 0 0 0 0 0 0\n    0 0 0 0 1 0 0 0 0 0 1 0 0 0 1 0 1 0 1 1 1 0 1 0 0 1 1 0 0 0 1 0 0 1 1 1 1 1 \n    1 1 0 1 0 0 1 1 0 0 1 1 0 0 0 0 0 0 0 0 0 1 1 0 0 0 1 0 1 1 0 0 1 0 0 0 0 0 \n    0 1 0 1 0 1 1 1]\n[0 0 0 0 0 0 0 0 0 0 0 0 0 0 0 0 0 0 0 0 0 0 0 0 0 0 0 0 0 0 0 0 0 0 0 0 0 0 0 0\n    0 0 0 0 0 1 0 0 0 1 1 0 1 0 1 0 0 1 1 0 0 1 1 0 1 0 0 0 0 0 0 1 0 0 1 0 0 0 \n    1 1 1 0 0 0 1 0 0 1 0 1 1 1 1 0 1 0 1 1 0 0 0 1 0 0 0 0 1 0 0 1 0 1 0 1 1 0 \n    0 1 1 0 1 1 1 1]\n[0 0 0 0 0 0 0 0 0 0 0 0 0 0 0 0 0 0 0 0 0 0 0 0 0 0 0 0 0 0 0 0 0 0 0 0 0 0 0 0\n    0 0 0 0 0 0 1 0 0 1 0 0 1 1 1 0 0 0 0 0 1 0 0 0 1 1 1 1 0 0 0 0 1 0 0 0 1 1 \n    0 1 1 1 1 0 1 0 1 1 1 0 1 0 0 1 1 1 1 0 1 0 1 0 1 0 0 1 1 0 1 1 1 0 1 1 0 1 \n    0 1 1 1 0 0 1 1]\n[0 0 0 0 0 0 0 0 0 0 0 0 0 0 0 0 0 0 0 0 0 0 0 0 0 0 0 0 0 0 0 0 0 0 0 0 0 0 0 0\n    0 0 0 0 0 0 0 1 0 1 1 0 0 0 0 1 1 0 1 0 0 0 1 0 0 0 0 1 0 0 0 0 0 1 0 1 0 1 \n    0 0 1 1 0 0 1 1 0 1 0 1 0 0 0 1 0 0 0 1 1 1 1 0 0 1 0 1 1 1 0 1 0 1 0 0 1 1 \n    1 1 0 1 1 1 1 1]\n[0 0 0 0 0 0 0 0 0 0 0 0 0 0 0 0 0 0 0 0 0 0 0 0 0 0 0 0 0 0 0 0 0 0 0 0 0 0 0 0\n    0 0 0 0 0 0 0 0 1 1 1 1 0 1 1 0 0 1 1 1 0 1 1 1 0 1 1 0 0 0 0 0 0 0 1 1 1 0 \n    0 0 0 1 0 1 1 1 1 0 0 0 1 1 0 1 0 1 1 0 0 1 0 0 0 0 1 1 1 1 1 0 0 0 1 1 0 0 \n    1 0 0 0 1 0 0 1]\nLinear Code over GF(2) of length 124 with 49 generators.\nLower Bound: 1, Upper Bound: 76\nConstructed 3 distinct generator matrices\nRelative Ranks:  49  49  26 \nTime Taken: 0.00\nStarting search for low weight codewords... (reset timings)\nEnumerating using 1 generator at a time:\n     New codeword identified of weight 38, time 0.00\n     New codeword identified of weight 31, time 0.00\n     Discarding non-contributing rank 26 matrix\n     New Relative Ranks:  49  49 \n   Completed Matrix  1:  lower =  3, upper = 31. Elapsed: 0.00s\n   Completed Matrix  2:  lower =  4, upper = 31. Elapsed: 0.00s\nTermination predicted with 15 generators at matrix 1\nEnumerating using 2 generators at a time:\n     New codeword identified of weight 30, time 0.00\n     New codeword identified of weight 27, time 0.00\n     New codeword identified of weight 25, time 0.00\n   Completed Matrix  1:  lower =  5, upper = 25. Elapsed: 0.00s\n   Completed Matrix  2:  lower =  6, upper = 25. Elapsed: 0.00s\nTermination predicted with 12 generators at matrix 1\nEnumerating using 3 generators at a time:\n   Completed Matrix  1:  lower =  7, upper = 25. Elapsed: 0.00s\n   Completed Matrix  2:  lower =  8, upper = 25. Elapsed: 0.00s\nTermination predicted with 12 generators at matrix 1\nEnumerating using 4 generators at a time:\n   Completed Matrix  1:  lower =  9, upper = 25. Elapsed: 0.00s\n   Completed Matrix  2:  lower = 10, upper = 25. Elapsed: 0.00s\nTermination predicted with 12 generators at matrix 1\nEnumerating using 5 generators at a time:\n   Completed Matrix  1:  lower = 11, upper = 25. Elapsed: 0.00s\n   Completed Matrix  2:  lower = 12, upper = 25. Elapsed: 0.00s\nTermination predicted with 12 generators at matrix 1\nEnumerating using 6 generators at a time:\n   Completed Matrix  1:  lower = 13, upper = 25. Elapsed: 0.03s\n   Completed Matrix  2:  lower = 14, upper = 25. Elapsed: 0.08s\nTermination predicted with 12 generators at matrix 1\nEnumerating using 7 generators at a time:\n   Completed Matrix  1:  lower = 15, upper = 25. Elapsed: 0.28s\n   Completed Matrix  2:  lower = 16, upper = 25. Elapsed: 0.50s\nTermination predicted at 422 s (7m 2s) with 12 generators at matrix 1\nEnumerating using 8 generators at a time:\n   Completed Matrix  1:  lower = 17, upper = 25. Elapsed: 1.60s\n   Completed Matrix  2:  lower = 18, upper = 25. Elapsed: 2.73s\nTermination predicted at 425 s (7m 5s) with 12 generators at matrix 1\nEnumerating using 9 generators at a time:\n   Completed Matrix  1:  lower = 19, upper = 25. Elapsed: 8.01s\n   Completed Matrix  2:  lower = 20, upper = 25. Elapsed: 13.33s\nTermination predicted at 440 s (7m 20s) with 12 generators at matrix 1\nEnumerating using 10 generators at a time:\n   Completed Matrix  1:  lower = 21, upper = 25. Elapsed: 35.54s\n   Completed Matrix  2:  lower = 22, upper = 25. Elapsed: 57.76s\nTermination predicted at 459 s (7m 39s) with 12 generators at matrix 1\nEnumerating using 11 generators at a time:\n   Completed Matrix  1:  lower = 23, upper = 25. Elapsed: 140.00s\n   Completed Matrix  2:  lower = 24, upper = 25. Elapsed: 222.45s\nTermination predicted at 479 s (7m 59s) with 12 generators at matrix 1\nEnumerating using 12 generators at a time:\n   Completed Matrix  1:  lower = 25, upper = 25. Elapsed: 492.11s\nComputation complete 172186125454 vectors enumerated in total\n (0.030586% of 124 49 code)\nFinal Results: lower = 25, upper = 25,\nTotal CPU time: 492.11, real time: 493.411\n25\n\nTotal time: 492.120 seconds, Total memory usage: 32.09MB\n</t>
  </si>
  <si>
    <t>[[125,50,25]]</t>
  </si>
  <si>
    <t>Magma V2.28-26    Tue Dec 30 2025 11:00:49 on Marks-MacBook-Air-2 [Seed = \n2477345455]\nType ? for help.  Type &lt;Ctrl&gt;-D to quit.\n[1 1 0 1 1 0 0 1 1 1 0 1 1 1 0 1 1 0 0 0 0 0 0 0 1 1 1 0 0 0 0 1 0 1 1 1 1 0 0 0\n    1 1 0 1 0 1 1 0 0 1 0 0 0 0 1 1 1 1 1 0 0 0 1 1 0 0 1 0 0 0 1 0 0 1 0 1 0 0 \n    0 0 0 0 0 0 0 0 0 0 0 0 0 0 0 0 0 0 0 0 0 0 0 0 0 0 0 0 0 0 0 0 0 0 0 0 0 0 \n    0 0 0 0 0 0 0 0 0]\n[1 1 1 0 1 1 0 0 1 1 1 0 1 1 1 0 1 1 0 0 0 0 0 0 0 1 1 1 0 0 0 0 1 0 1 1 1 1 0 0\n    0 1 1 0 1 0 1 1 0 0 1 0 0 0 0 1 1 1 1 1 0 0 0 1 1 0 0 1 0 0 0 1 0 0 1 0 1 0 \n    0 0 0 0 0 0 0 0 0 0 0 0 0 0 0 0 0 0 0 0 0 0 0 0 0 0 0 0 0 0 0 0 0 0 0 0 0 0 \n    0 0 0 0 0 0 0 0 0]\n[0 0 1 0 1 1 1 1 1 0 1 0 1 0 1 0 1 1 1 0 0 0 0 0 1 1 0 1 1 0 0 1 0 0 1 0 0 1 1 0\n    1 1 1 0 0 0 1 1 1 1 0 1 0 0 1 1 0 0 0 1 1 0 1 1 1 1 1 0 1 0 1 0 1 1 0 0 0 1 \n    0 0 0 0 0 0 0 0 0 0 0 0 0 0 0 0 0 0 0 0 0 0 0 0 0 0 0 0 0 0 0 0 0 0 0 0 0 0 \n    0 0 0 0 0 0 0 0 0]\n[1 0 0 1 0 1 1 1 1 1 0 1 0 1 0 1 0 1 1 1 0 0 0 0 0 1 1 0 1 1 0 0 1 0 0 1 0 0 1 1\n    0 1 1 1 0 0 0 1 1 1 1 0 1 0 0 1 1 0 0 0 1 1 0 1 1 1 1 1 0 1 0 1 0 1 1 0 0 0 \n    1 0 0 0 0 0 0 0 0 0 0 0 0 0 0 0 0 0 0 0 0 0 0 0 0 0 0 0 0 0 0 0 0 0 0 0 0 0 \n    0 0 0 0 0 0 0 0 0]\n[0 0 0 1 0 0 1 0 0 0 1 1 0 1 1 1 0 0 1 1 1 0 0 0 1 1 0 1 0 1 1 1 0 0 1 1 0 0 0 1\n    0 1 1 0 1 1 1 0 1 0 1 1 0 1 1 1 0 0 1 0 0 1 0 1 1 1 0 1 1 0 0 0 1 1 1 0 0 0 \n    0 1 0 0 0 0 0 0 0 0 0 0 0 0 0 0 0 0 0 0 0 0 0 0 0 0 0 0 0 0 0 0 0 0 0 0 0 0 \n    0 0 0 0 0 0 0 0 0]\n[0 1 0 1 0 0 0 0 1 1 0 0 0 1 1 0 0 0 0 1 1 1 0 0 1 0 0 0 1 0 1 0 1 1 1 0 0 0 0 0\n    0 1 1 0 0 0 0 1 0 0 0 1 1 0 0 0 0 1 1 1 0 0 0 1 1 1 0 0 1 1 1 0 0 0 1 0 0 0 \n    0 0 1 0 0 0 0 0 0 0 0 0 0 0 0 0 0 0 0 0 0 0 0 0 0 0 0 0 0 0 0 0 0 0 0 0 0 0 \n    0 0 0 0 0 0 0 0 0]\n[1 1 1 1 0 0 0 1 1 0 1 1 1 1 1 0 1 0 0 0 1 1 1 0 1 0 1 0 0 1 0 0 0 0 0 0 1 0 0 0\n    1 1 1 0 0 1 1 0 1 1 0 0 1 1 1 1 1 1 0 1 1 0 1 1 1 1 0 0 0 1 0 1 0 1 0 0 0 0 \n    0 0 0 1 0 0 0 0 0 0 0 0 0 0 0 0 0 0 0 0 0 0 0 0 0 0 0 0 0 0 0 0 0 0 0 0 0 0 \n    0 0 0 0 0 0 0 0 0]\n[0 1 1 1 1 0 0 0 1 1 0 1 1 1 1 1 0 1 0 0 0 1 1 1 0 1 0 1 0 0 1 0 0 0 0 0 0 1 0 0\n    0 1 1 1 0 0 1 1 0 1 1 0 0 1 1 1 1 1 1 0 1 1 0 1 1 1 1 0 0 0 1 0 1 0 1 0 0 0 \n    0 0 0 0 1 0 0 0 0 0 0 0 0 0 0 0 0 0 0 0 0 0 0 0 0 0 0 0 0 0 0 0 0 0 0 0 0 0 \n    0 0 0 0 0 0 0 0 0]\n[0 1 1 0 0 1 0 1 1 0 1 1 0 0 1 0 0 0 1 0 0 0 1 1 0 1 0 0 1 0 0 0 0 1 1 1 1 0 1 0\n    1 1 1 0 1 1 1 1 1 1 1 1 0 0 0 0 0 0 0 1 0 1 0 1 1 1 0 1 0 0 1 1 0 0 0 0 0 0 \n    0 0 0 0 0 1 0 0 0 0 0 0 0 0 0 0 0 0 0 0 0 0 0 0 0 0 0 0 0 0 0 0 0 0 0 0 0 0 \n    0 0 0 0 0 0 0 0 0]\n[1 0 1 1 0 0 1 0 1 1 0 1 1 0 0 1 0 0 0 1 0 0 0 1 1 0 1 0 0 1 0 0 0 0 1 1 1 1 0 1\n    0 1 1 1 0 1 1 1 1 1 1 1 1 0 0 0 0 0 0 0 1 0 1 0 1 1 1 0 1 0 0 1 1 0 0 0 0 0 \n    0 0 0 0 0 0 1 0 0 0 0 0 0 0 0 0 0 0 0 0 0 0 0 0 0 0 0 0 0 0 0 0 0 0 0 0 0 0 \n    0 0 0 0 0 0 0 0 0]\n[1 1 0 1 1 0 0 1 0 1 1 0 1 1 0 0 1 0 0 0 1 0 0 0 1 1 0 1 0 0 1 0 0 0 0 1 1 1 1 0\n    1 0 1 1 1 0 1 1 1 1 1 1 1 1 0 0 0 0 0 0 0 1 0 1 0 1 1 1 0 1 0 0 1 1 0 0 0 0 \n    0 0 0 0 0 0 0 1 0 0 0 0 0 0 0 0 0 0 0 0 0 0 0 0 0 0 0 0 0 0 0 0 0 0 0 0 0 0 \n    0 0 0 0 0 0 0 0 0]\n[0 1 1 0 1 1 0 0 1 0 1 1 0 1 1 0 0 1 0 0 0 1 0 0 0 1 1 0 1 0 0 1 0 0 0 0 1 1 1 1\n    0 1 0 1 1 1 0 1 1 1 1 1 1 1 1 0 0 0 0 0 0 0 1 0 1 0 1 1 1 0 1 0 0 1 1 0 0 0 \n    0 0 0 0 0 0 0 0 1 0 0 0 0 0 0 0 0 0 0 0 0 0 0 0 0 0 0 0 0 0 0 0 0 0 0 0 0 0 \n    0 0 0 0 0 0 0 0 0]\n[1 1 1 0 1 1 1 1 1 0 0 0 0 1 1 0 1 0 1 0 0 0 1 0 1 1 0 1 0 1 0 1 1 1 1 1 1 1 1 1\n    0 1 1 1 1 0 0 0 1 0 1 1 1 1 0 0 1 1 1 0 0 0 1 0 0 1 1 1 1 1 1 1 0 1 1 0 0 0 \n    0 0 0 0 0 0 0 0 0 1 0 0 0 0 0 0 0 0 0 0 0 0 0 0 0 0 0 0 0 0 0 0 0 0 0 0 0 0 \n    0 0 0 0 0 0 0 0 0]\n[0 0 1 0 1 1 1 0 0 0 0 1 1 1 1 0 1 1 0 1 0 0 0 1 1 0 0 0 1 0 1 1 1 0 0 0 0 1 1 1\n    0 1 1 0 1 0 1 0 0 0 0 1 1 1 0 1 1 0 0 1 0 0 1 0 0 0 0 1 1 1 0 1 1 1 1 0 0 0 \n    0 0 0 0 0 0 0 0 0 0 1 0 0 0 0 0 0 0 0 0 0 0 0 0 0 0 0 0 0 0 0 0 0 0 0 0 0 0 \n    0 0 0 0 0 0 0 0 0]\n[1 1 0 0 1 1 1 0 1 1 0 1 0 0 1 0 1 1 1 0 1 0 0 0 0 0 1 0 0 1 0 0 1 0 1 1 1 0 1 1\n    0 1 1 0 0 0 1 1 0 1 0 0 1 1 0 1 0 0 1 0 1 0 1 0 0 0 1 0 1 1 0 0 1 0 1 0 0 0 \n    0 0 0 0 0 0 0 0 0 0 0 1 0 0 0 0 0 0 0 0 0 0 0 0 0 0 0 0 0 0 0 0 0 0 0 0 0 0 \n    0 0 0 0 0 0 0 0 0]\n[1 0 1 1 1 1 1 0 1 0 1 1 0 1 0 0 1 1 1 1 0 1 0 0 1 1 1 1 0 0 1 1 0 0 1 0 0 1 0 1\n    0 1 1 0 0 1 1 1 1 1 1 0 0 1 0 1 0 1 1 1 0 1 1 0 0 0 1 1 0 1 0 0 0 0 0 0 0 0 \n    0 0 0 0 0 0 0 0 0 0 0 0 1 0 0 0 0 0 0 0 0 0 0 0 0 0 0 0 0 0 0 0 0 0 0 0 0 0 \n    0 0 0 0 0 0 0 0 0]\n[0 1 0 1 1 1 1 1 0 1 0 1 1 0 1 0 0 1 1 1 1 0 1 0 0 1 1 1 1 0 0 1 1 0 0 1 0 0 1 0\n    1 0 1 1 0 0 1 1 1 1 1 1 0 0 1 0 1 0 1 1 1 0 1 1 0 0 0 1 1 0 1 0 0 0 0 0 0 0 \n    0 0 0 0 0 0 0 0 0 0 0 0 0 1 0 0 0 0 0 0 0 0 0 0 0 0 0 0 0 0 0 0 0 0 0 0 0 0 \n    0 0 0 0 0 0 0 0 0]\n[1 0 1 0 1 1 1 1 1 0 1 0 1 1 0 1 0 0 1 1 1 1 0 1 0 0 1 1 1 1 0 0 1 1 0 0 1 0 0 1\n    0 1 0 1 1 0 0 1 1 1 1 1 1 0 0 1 0 1 0 1 1 1 0 1 1 0 0 0 1 1 0 1 0 0 0 0 0 0 \n    0 0 0 0 0 0 0 0 0 0 0 0 0 0 1 0 0 0 0 0 0 0 0 0 0 0 0 0 0 0 0 0 0 0 0 0 0 0 \n    0 0 0 0 0 0 0 0 0]\n[0 1 0 1 0 1 1 1 1 1 0 1 0 1 1 0 1 0 0 1 1 1 1 0 1 0 0 1 1 1 1 0 0 1 1 0 0 1 0 0\n    1 0 1 0 1 1 0 0 1 1 1 1 1 1 0 0 1 0 1 0 1 1 1 0 1 1 0 0 0 1 1 0 1 0 0 0 0 0 \n    0 0 0 0 0 0 0 0 0 0 0 0 0 0 0 1 0 0 0 0 0 0 0 0 0 0 0 0 0 0 0 0 0 0 0 0 0 0 \n    0 0 0 0 0 0 0 0 0]\n[0 0 1 0 1 0 1 1 1 1 1 0 1 0 1 1 0 1 0 0 1 1 1 1 0 1 0 0 1 1 1 1 0 0 1 1 0 0 1 0\n    0 1 0 1 0 1 1 0 0 1 1 1 1 1 1 0 0 1 0 1 0 1 1 1 0 1 1 0 0 0 1 1 0 1 0 0 0 0 \n    0 0 0 0 0 0 0 0 0 0 0 0 0 0 0 0 1 0 0 0 0 0 0 0 0 0 0 0 0 0 0 0 0 0 0 0 0 0 \n    0 0 0 0 0 0 0 0 0]\n[0 0 0 1 0 1 0 1 1 1 1 1 0 1 0 1 1 0 1 0 0 1 1 1 1 0 1 0 0 1 1 1 1 0 0 1 1 0 0 1\n    0 0 1 0 1 0 1 1 0 0 1 1 1 1 1 1 0 0 1 0 1 0 1 1 1 0 1 1 0 0 0 1 1 0 1 0 0 0 \n    0 0 0 0 0 0 0 0 0 0 0 0 0 0 0 0 0 1 0 0 0 0 0 0 0 0 0 0 0 0 0 0 0 0 0 0 0 0 \n    0 0 0 0 0 0 0 0 0]\n[1 1 0 1 0 0 1 1 0 0 1 0 0 1 1 1 0 1 0 1 0 0 1 1 0 0 1 1 0 0 1 0 1 0 1 1 0 1 0 0\n    0 1 0 0 0 0 1 1 1 1 0 1 1 1 0 0 0 1 1 1 0 1 1 0 1 1 1 1 1 0 1 0 1 0 0 0 0 0 \n    0 0 0 0 0 0 0 0 0 0 0 0 0 0 0 0 0 0 1 0 0 0 0 0 0 0 0 0 0 0 0 0 0 0 0 0 0 0 \n    0 0 0 0 0 0 0 0 0]\n[1 1 1 0 1 0 0 1 1 0 0 1 0 0 1 1 1 0 1 0 1 0 0 1 1 0 0 1 1 0 0 1 0 1 0 1 1 0 1 0\n    0 0 1 0 0 0 0 1 1 1 1 0 1 1 1 0 0 0 1 1 1 0 1 1 0 1 1 1 1 1 0 1 0 1 0 0 0 0 \n    0 0 0 0 0 0 0 0 0 0 0 0 0 0 0 0 0 0 0 1 0 0 0 0 0 0 0 0 0 0 0 0 0 0 0 0 0 0 \n    0 0 0 0 0 0 0 0 0]\n[1 1 1 1 0 1 0 0 1 1 0 0 1 0 0 1 1 1 0 1 0 1 0 0 1 1 0 0 1 1 0 0 1 0 1 0 1 1 0 1\n    0 0 0 1 0 0 0 0 1 1 1 1 0 1 1 1 0 0 0 1 1 1 0 1 1 0 1 1 1 1 1 0 1 0 1 0 0 0 \n    0 0 0 0 0 0 0 0 0 0 0 0 0 0 0 0 0 0 0 0 1 0 0 0 0 0 0 0 0 0 0 0 0 0 0 0 0 0 \n    0 0 0 0 0 0 0 0 0]\n[1 0 1 0 0 0 1 1 1 0 1 1 1 0 0 1 0 1 1 0 1 0 1 0 1 0 0 0 0 1 1 1 0 0 1 0 1 1 1 0\n    0 1 0 1 1 1 1 0 0 0 1 1 1 0 0 0 0 1 1 0 1 1 0 1 1 1 1 1 1 1 0 1 0 0 0 0 0 0 \n    0 0 0 0 0 0 0 0 0 0 0 0 0 0 0 0 0 0 0 0 0 1 0 0 0 0 0 0 0 0 0 0 0 0 0 0 0 0 \n    0 0 0 0 0 0 0 0 0]\n[1 1 0 1 0 0 0 1 1 1 0 1 1 1 0 0 1 0 1 1 0 1 0 1 0 1 0 0 0 0 1 1 1 0 0 1 0 1 1 1\n    0 0 1 0 1 1 1 1 0 0 0 1 1 1 0 0 0 0 1 1 0 1 1 0 1 1 1 1 1 1 1 0 1 0 0 0 0 0 \n    0 0 0 0 0 0 0 0 0 0 0 0 0 0 0 0 0 0 0 0 0 0 1 0 0 0 0 0 0 0 0 0 0 0 0 0 0 0 \n    0 0 0 0 0 0 0 0 0]\n[1 1 1 0 1 0 0 0 1 1 1 0 1 1 1 0 0 1 0 1 1 0 1 0 1 0 1 0 0 0 0 1 1 1 0 0 1 0 1 1\n    1 0 0 1 0 1 1 1 1 0 0 0 1 1 1 0 0 0 0 1 1 0 1 1 0 1 1 1 1 1 1 1 0 1 0 0 0 0 \n    0 0 0 0 0 0 0 0 0 0 0 0 0 0 0 0 0 0 0 0 0 0 0 1 0 0 0 0 0 0 0 0 0 0 0 0 0 0 \n    0 0 0 0 0 0 0 0 0]\n[0 1 1 1 0 1 0 0 0 1 1 1 0 1 1 1 0 0 1 0 1 1 0 1 0 1 0 1 0 0 0 0 1 1 1 0 0 1 0 1\n    1 1 0 0 1 0 1 1 1 1 0 0 0 1 1 1 0 0 0 0 1 1 0 1 1 0 1 1 1 1 1 1 1 0 1 0 0 0 \n    0 0 0 0 0 0 0 0 0 0 0 0 0 0 0 0 0 0 0 0 0 0 0 0 1 0 0 0 0 0 0 0 0 0 0 0 0 0 \n    0 0 0 0 0 0 0 0 0]\n[1 1 1 0 0 0 1 1 1 1 1 0 0 1 1 0 0 0 0 1 0 1 1 0 0 1 0 0 1 0 0 1 0 0 0 0 1 0 1 0\n    0 0 1 1 0 0 1 1 1 0 1 0 0 0 0 0 0 1 1 0 0 1 0 1 1 1 1 1 1 1 0 1 1 0 0 0 0 0 \n    0 0 0 0 0 0 0 0 0 0 0 0 0 0 0 0 0 0 0 0 0 0 0 0 0 1 0 0 0 0 0 0 0 0 0 0 0 0 \n    0 0 0 0 0 0 0 0 0]\n[1 1 1 1 0 0 0 1 1 1 1 1 0 0 1 1 0 0 0 0 1 0 1 1 0 0 1 0 0 1 0 0 1 0 0 0 0 1 0 1\n    0 0 0 1 1 0 0 1 1 1 0 1 0 0 0 0 0 0 1 1 0 0 1 0 1 1 1 1 1 1 1 0 1 1 0 0 0 0 \n    0 0 0 0 0 0 0 0 0 0 0 0 0 0 0 0 0 0 0 0 0 0 0 0 0 0 1 0 0 0 0 0 0 0 0 0 0 0 \n    0 0 0 0 0 0 0 0 0]\n[1 1 1 1 1 0 0 0 1 1 1 1 1 0 0 1 1 0 0 0 0 1 0 1 1 0 0 1 0 0 1 0 0 1 0 0 0 0 1 0\n    1 0 0 0 1 1 0 0 1 1 1 0 1 0 0 0 0 0 0 1 1 0 0 1 0 1 1 1 1 1 1 1 0 1 1 0 0 0 \n    0 0 0 0 0 0 0 0 0 0 0 0 0 0 0 0 0 0 0 0 0 0 0 0 0 0 0 1 0 0 0 0 0 0 0 0 0 0 \n    0 0 0 0 0 0 0 0 0]\n[1 0 1 0 0 1 0 1 1 0 1 0 0 0 0 1 0 1 0 0 0 0 1 0 0 0 1 0 1 0 0 0 0 1 0 1 1 0 0 1\n    1 0 0 1 0 0 0 0 0 0 1 1 0 1 1 1 1 1 1 0 1 1 1 1 1 0 0 1 1 1 0 1 1 1 1 0 0 0 \n    0 0 0 0 0 0 0 0 0 0 0 0 0 0 0 0 0 0 0 0 0 0 0 0 0 0 0 0 1 0 0 0 0 0 0 0 0 0 \n    0 0 0 0 0 0 0 0 0]\n[0 0 0 0 1 0 1 1 0 0 0 0 1 1 0 1 0 0 1 0 0 0 0 1 1 1 1 1 0 1 0 1 0 1 0 1 0 1 0 0\n    0 0 0 1 1 1 1 0 0 1 0 1 1 0 0 0 0 0 0 1 0 1 0 0 1 1 1 0 1 1 0 0 1 0 1 0 0 0 \n    0 0 0 0 0 0 0 0 0 0 0 0 0 0 0 0 0 0 0 0 0 0 0 0 0 0 0 0 0 1 0 0 0 0 0 0 0 0 \n    0 0 0 0 0 0 0 0 0]\n[1 1 0 1 1 1 0 0 0 1 0 1 1 0 1 1 0 0 0 1 0 0 0 0 0 0 0 1 1 0 1 1 1 1 0 1 0 0 1 0\n    1 1 0 1 1 0 0 1 0 1 1 0 1 1 1 1 1 1 1 0 1 0 0 1 0 1 0 1 0 1 0 0 0 0 0 0 0 0 \n    0 0 0 0 0 0 0 0 0 0 0 0 0 0 0 0 0 0 0 0 0 0 0 0 0 0 0 0 0 0 1 0 0 0 0 0 0 0 \n    0 0 0 0 0 0 0 0 0]\n[0 1 1 0 1 1 1 0 0 0 1 0 1 1 0 1 1 0 0 0 1 0 0 0 0 0 0 0 1 1 0 1 1 1 1 0 1 0 0 1\n    0 1 1 0 1 1 0 0 1 0 1 1 0 1 1 1 1 1 1 1 0 1 0 0 1 0 1 0 1 0 1 0 0 0 0 0 0 0 \n    0 0 0 0 0 0 0 0 0 0 0 0 0 0 0 0 0 0 0 0 0 0 0 0 0 0 0 0 0 0 0 1 0 0 0 0 0 0 \n    0 0 0 0 0 0 0 0 0]\n[1 0 1 1 0 1 1 1 0 0 0 1 0 1 1 0 1 1 0 0 0 1 0 0 0 0 0 0 0 1 1 0 1 1 1 1 0 1 0 0\n    1 0 1 1 0 1 1 0 0 1 0 1 1 0 1 1 1 1 1 1 1 0 1 0 0 1 0 1 0 1 0 1 0 0 0 0 0 0 \n    0 0 0 0 0 0 0 0 0 0 0 0 0 0 0 0 0 0 0 0 0 0 0 0 0 0 0 0 0 0 0 0 1 0 0 0 0 0 \n    0 0 0 0 0 0 0 0 0]\n[0 1 0 1 1 0 1 1 1 0 0 0 1 0 1 1 0 1 1 0 0 0 1 0 0 0 0 0 0 0 1 1 0 1 1 1 1 0 1 0\n    0 1 0 1 1 0 1 1 0 0 1 0 1 1 0 1 1 1 1 1 1 1 0 1 0 0 1 0 1 0 1 0 1 0 0 0 0 0 \n    0 0 0 0 0 0 0 0 0 0 0 0 0 0 0 0 0 0 0 0 0 0 0 0 0 0 0 0 0 0 0 0 0 1 0 0 0 0 \n    0 0 0 0 0 0 0 0 0]\n[0 0 1 0 1 1 0 1 1 1 0 0 0 1 0 1 1 0 1 1 0 0 0 1 0 0 0 0 0 0 0 1 1 0 1 1 1 1 0 1\n    0 0 1 0 1 1 0 1 1 0 0 1 0 1 1 0 1 1 1 1 1 1 1 0 1 0 0 1 0 1 0 1 0 1 0 0 0 0 \n    0 0 0 0 0 0 0 0 0 0 0 0 0 0 0 0 0 0 0 0 0 0 0 0 0 0 0 0 0 0 0 0 0 0 1 0 0 0 \n    0 0 0 0 0 0 0 0 0]\n[0 0 0 1 0 1 1 0 1 1 1 0 0 0 1 0 1 1 0 1 1 0 0 0 1 0 0 0 0 0 0 0 1 1 0 1 1 1 1 0\n    1 0 0 1 0 1 1 0 1 1 0 0 1 0 1 1 0 1 1 1 1 1 1 1 0 1 0 0 1 0 1 0 1 0 1 0 0 0 \n    0 0 0 0 0 0 0 0 0 0 0 0 0 0 0 0 0 0 0 0 0 0 0 0 0 0 0 0 0 0 0 0 0 0 0 1 0 0 \n    0 0 0 0 0 0 0 0 0]\n[1 1 0 1 0 0 1 0 1 0 1 0 1 1 0 0 1 1 1 0 1 1 0 0 1 0 1 0 0 0 0 1 0 0 0 1 0 1 1 1\n    1 0 0 1 1 1 0 1 0 0 1 0 0 1 1 0 0 1 0 1 1 1 0 0 1 0 0 0 0 1 1 1 0 0 0 0 0 0 \n    0 0 0 0 0 0 0 0 0 0 0 0 0 0 0 0 0 0 0 0 0 0 0 0 0 0 0 0 0 0 0 0 0 0 0 0 1 0 \n    0 0 0 0 0 0 0 0 0]\n[1 1 1 0 1 0 0 1 0 1 0 1 0 1 1 0 0 1 1 1 0 1 1 0 0 1 0 1 0 0 0 0 1 0 0 0 1 0 1 1\n    1 1 0 0 1 1 1 0 1 0 0 1 0 0 1 1 0 0 1 0 1 1 1 0 0 1 0 0 0 0 1 1 1 0 0 0 0 0 \n    0 0 0 0 0 0 0 0 0 0 0 0 0 0 0 0 0 0 0 0 0 0 0 0 0 0 0 0 0 0 0 0 0 0 0 0 0 1 \n    0 0 0 0 0 0 0 0 0]\n[1 1 1 1 0 1 0 0 1 0 1 0 1 0 1 1 0 0 1 1 1 0 1 1 0 0 1 0 1 0 0 0 0 1 0 0 0 1 0 1\n    1 1 1 0 0 1 1 1 0 1 0 0 1 0 0 1 1 0 0 1 0 1 1 1 0 0 1 0 0 0 0 1 1 1 0 0 0 0 \n    0 0 0 0 0 0 0 0 0 0 0 0 0 0 0 0 0 0 0 0 0 0 0 0 0 0 0 0 0 0 0 0 0 0 0 0 0 0 \n    1 0 0 0 0 0 0 0 0]\n[0 1 1 1 1 0 1 0 0 1 0 1 0 1 0 1 1 0 0 1 1 1 0 1 1 0 0 1 0 1 0 0 0 0 1 0 0 0 1 0\n    1 1 1 1 0 0 1 1 1 0 1 0 0 1 0 0 1 1 0 0 1 0 1 1 1 0 0 1 0 0 0 0 1 1 1 0 0 0 \n    0 0 0 0 0 0 0 0 0 0 0 0 0 0 0 0 0 0 0 0 0 0 0 0 0 0 0 0 0 0 0 0 0 0 0 0 0 0 \n    0 1 0 0 0 0 0 0 0]\n[1 1 1 0 0 1 0 0 1 1 1 1 0 1 1 1 0 1 0 0 1 1 1 0 0 0 1 0 1 0 1 1 0 1 1 0 1 0 0 1\n    1 0 1 0 1 1 1 1 1 0 0 1 0 0 0 1 1 0 0 0 0 1 1 0 1 1 1 0 1 0 1 0 0 0 1 0 0 0 \n    0 0 0 0 0 0 0 0 0 0 0 0 0 0 0 0 0 0 0 0 0 0 0 0 0 0 0 0 0 0 0 0 0 0 0 0 0 0 \n    0 0 1 0 0 0 0 0 0]\n[0 0 1 0 1 0 1 1 1 0 1 0 0 1 1 0 0 0 1 0 0 1 1 1 1 1 1 1 0 1 0 0 1 1 0 0 1 1 0 0\n    0 0 0 0 0 0 0 1 1 0 0 0 1 0 1 1 0 0 1 0 0 0 0 0 0 1 0 1 0 1 1 1 0 1 0 0 0 0 \n    0 0 0 0 0 0 0 0 0 0 0 0 0 0 0 0 0 0 0 0 0 0 0 0 0 0 0 0 0 0 0 0 0 0 0 0 0 0 \n    0 0 0 1 0 0 0 0 0]\n[0 0 0 1 0 1 0 1 1 1 0 1 0 0 1 1 0 0 0 1 0 0 1 1 1 1 1 1 1 0 1 0 0 1 1 0 0 1 1 0\n    0 0 0 0 0 0 0 0 1 1 0 0 0 1 0 1 1 0 0 1 0 0 0 0 0 0 1 0 1 0 1 1 1 0 1 0 0 0 \n    0 0 0 0 0 0 0 0 0 0 0 0 0 0 0 0 0 0 0 0 0 0 0 0 0 0 0 0 0 0 0 0 0 0 0 0 0 0 \n    0 0 0 0 1 0 0 0 0]\n[0 1 0 1 0 0 1 1 0 0 1 1 0 1 0 0 0 0 0 0 1 0 0 1 0 0 0 1 1 1 0 0 0 1 0 0 1 0 1 1\n    1 1 0 1 0 1 1 0 0 0 1 0 0 0 0 1 0 0 1 0 1 0 1 1 0 0 1 1 0 1 1 1 1 0 0 0 0 0 \n    0 0 0 0 0 0 0 0 0 0 0 0 0 0 0 0 0 0 0 0 0 0 0 0 0 0 0 0 0 0 0 0 0 0 0 0 0 0 \n    0 0 0 0 0 1 0 0 0]\n[1 0 1 0 1 0 0 1 1 0 0 1 1 0 1 0 0 0 0 0 0 1 0 0 1 0 0 0 1 1 1 0 0 0 1 0 0 1 0 1\n    1 1 1 0 1 0 1 1 0 0 0 1 0 0 0 0 1 0 0 1 0 1 0 1 1 0 0 1 1 0 1 1 1 1 0 0 0 0 \n    0 0 0 0 0 0 0 0 0 0 0 0 0 0 0 0 0 0 0 0 0 0 0 0 0 0 0 0 0 0 0 0 0 0 0 0 0 0 \n    0 0 0 0 0 0 1 0 0]\n[1 1 0 1 0 1 0 0 1 1 0 0 1 1 0 1 0 0 0 0 0 0 1 0 0 1 0 0 0 1 1 1 0 0 0 1 0 0 1 0\n    1 1 1 1 0 1 0 1 1 0 0 0 1 0 0 0 0 1 0 0 1 0 1 0 1 1 0 0 1 1 0 1 1 1 1 0 0 0 \n    0 0 0 0 0 0 0 0 0 0 0 0 0 0 0 0 0 0 0 0 0 0 0 0 0 0 0 0 0 0 0 0 0 0 0 0 0 0 \n    0 0 0 0 0 0 0 1 0]\n[1 0 1 1 0 0 1 1 1 0 1 1 1 0 1 1 0 0 0 0 0 0 0 1 1 1 0 0 0 0 1 0 1 1 1 1 0 0 0 1\n    1 0 1 0 1 1 0 0 1 0 0 0 0 1 1 1 1 1 0 0 0 1 1 0 0 1 0 0 0 1 0 0 1 0 1 0 0 0 \n    0 0 0 0 0 0 0 0 0 0 0 0 0 0 0 0 0 0 0 0 0 0 0 0 0 0 0 0 0 0 0 0 0 0 0 0 0 0 \n    0 0 0 0 0 0 0 0 1]\n[125, 50] Linear Code over GF(2)\nGenerator matrix:\n[1 0 0 0 0 0 0 0 0 0 0 0 0 0 0 0 0 0 0 0 0 0 0 0 0 0 0 0 0 0 0 0 0 0 0 0 0 0 0 0\n    0 0 0 0 0 0 0 0 0 0 1 1 1 1 0 1 1 0 0 1 1 1 0 1 1 1 0 1 1 0 0 0 0 0 0 0 1 1 \n    1 0 0 0 0 1 0 1 1 1 1 0 0 0 1 1 0 1 0 1 1 0 0 1 0 0 0 0 1 1 1 1 1 0 0 0 1 1 \n    0 0 1 0 0 0 1 0 0]\n[0 1 0 0 0 0 0 0 0 0 0 0 0 0 0 0 0 0 0 0 0 0 0 0 0 0 0 0 0 0 0 0 0 0 0 0 0 0 0 0\n    0 0 0 0 0 0 0 0 0 0 0 1 1 1 1 0 1 1 0 0 1 1 1 0 1 1 1 0 1 1 0 0 0 0 0 0 0 1 \n    1 1 0 0 0 0 1 0 1 1 1 1 0 0 0 1 1 0 1 0 1 1 0 0 1 0 0 0 0 1 1 1 1 1 0 0 0 1 \n    1 0 0 1 0 0 0 1 0]\n[0 0 1 0 0 0 0 0 0 0 0 0 0 0 0 0 0 0 0 0 0 0 0 0 0 0 0 0 0 0 0 0 0 0 0 0 0 0 0 0\n    0 0 0 0 0 0 0 0 0 0 1 1 0 0 1 0 1 1 1 1 1 0 1 0 1 0 1 0 1 1 1 0 0 0 0 0 1 1 \n    0 1 1 0 0 1 0 0 1 0 0 1 1 0 1 1 1 0 0 0 1 1 1 1 0 1 0 0 1 1 0 0 0 1 1 0 1 1 \n    1 1 1 0 1 0 1 0 1]\n[0 0 0 1 0 0 0 0 0 0 0 0 0 0 0 0 0 0 0 0 0 0 0 0 0 0 0 0 0 0 0 0 0 0 0 0 0 0 0 0\n    0 0 0 0 0 0 0 0 0 0 0 1 1 0 0 1 0 1 1 1 1 1 0 1 0 1 0 1 0 1 1 1 0 0 0 0 0 1 \n    1 0 1 1 0 0 1 0 0 1 0 0 1 1 0 1 1 1 0 0 0 1 1 1 1 0 1 0 0 1 1 0 0 0 1 1 0 1 \n    1 1 1 1 0 1 0 1 0]\n[0 0 0 0 1 0 0 0 0 0 0 0 0 0 0 0 0 0 0 0 0 0 0 0 0 0 0 0 0 0 0 0 0 0 0 0 0 0 0 0\n    0 0 0 0 0 0 0 0 0 0 1 1 0 0 0 1 0 0 1 0 0 0 1 1 0 1 1 1 0 0 1 1 1 0 0 0 1 1 \n    0 1 0 1 1 1 0 0 1 1 0 0 0 1 0 1 1 0 1 1 1 0 1 0 1 1 0 1 1 1 0 0 1 0 0 1 0 1 \n    1 1 0 1 1 0 0 0 1]\n[0 0 0 0 0 1 0 0 0 0 0 0 0 0 0 0 0 0 0 0 0 0 0 0 0 0 0 0 0 0 0 0 0 0 0 0 0 0 0 0\n    0 0 0 0 0 0 0 0 0 0 1 0 0 1 0 1 0 0 0 0 1 1 0 0 0 1 1 0 0 0 0 1 1 1 0 0 1 0 \n    0 0 1 0 1 0 1 1 1 0 0 0 0 0 0 1 1 0 0 0 0 1 0 0 0 1 1 0 0 0 0 1 1 1 0 0 0 1 \n    1 1 0 0 1 1 1 0 0]\n[0 0 0 0 0 0 1 0 0 0 0 0 0 0 0 0 0 0 0 0 0 0 0 0 0 0 0 0 0 0 0 0 0 0 0 0 0 0 0 0\n    0 0 0 0 0 0 0 0 0 0 1 0 1 1 1 1 0 0 0 1 1 0 1 1 1 1 1 0 1 0 0 0 1 1 1 0 1 0 \n    1 0 0 1 0 0 0 0 0 0 1 0 0 0 1 1 1 0 0 1 1 0 1 1 0 0 1 1 1 1 1 1 0 1 1 0 1 1 \n    1 1 0 0 0 1 0 1 0]\n[0 0 0 0 0 0 0 1 0 0 0 0 0 0 0 0 0 0 0 0 0 0 0 0 0 0 0 0 0 0 0 0 0 0 0 0 0 0 0 0\n    0 0 0 0 0 0 0 0 0 0 0 1 0 1 1 1 1 0 0 0 1 1 0 1 1 1 1 1 0 1 0 0 0 1 1 1 0 1 \n    0 1 0 0 1 0 0 0 0 0 0 1 0 0 0 1 1 1 0 0 1 1 0 1 1 0 0 1 1 1 1 1 1 0 1 1 0 1 \n    1 1 1 0 0 0 1 0 1]\n[0 0 0 0 0 0 0 0 1 0 0 0 0 0 0 0 0 0 0 0 0 0 0 0 0 0 0 0 0 0 0 0 0 0 0 0 0 0 0 0\n    0 0 0 0 0 0 0 0 0 0 1 1 0 1 1 0 0 1 0 1 1 0 1 1 0 0 1 0 0 0 1 0 0 0 1 1 0 1 \n    0 0 1 0 0 0 0 1 1 1 1 0 1 0 1 1 1 0 1 1 1 1 1 1 1 1 0 0 0 0 0 0 0 1 0 1 0 1 \n    1 1 0 1 0 0 1 1 0]\n[0 0 0 0 0 0 0 0 0 1 0 0 0 0 0 0 0 0 0 0 0 0 0 0 0 0 0 0 0 0 0 0 0 0 0 0 0 0 0 0\n    0 0 0 0 0 0 0 0 0 0 0 1 1 0 1 1 0 0 1 0 1 1 0 1 1 0 0 1 0 0 0 1 0 0 0 1 1 0 \n    1 0 0 1 0 0 0 0 1 1 1 1 0 1 0 1 1 1 0 1 1 1 1 1 1 1 1 0 0 0 0 0 0 0 1 0 1 0 \n    1 1 1 0 1 0 0 1 1]\n[0 0 0 0 0 0 0 0 0 0 1 0 0 0 0 0 0 0 0 0 0 0 0 0 0 0 0 0 0 0 0 0 0 0 0 0 0 0 0 0\n    0 0 0 0 0 0 0 0 0 0 0 0 1 1 0 1 1 0 0 1 0 1 1 0 1 1 0 0 1 0 0 0 1 0 0 0 1 1 \n    0 1 0 0 1 0 0 0 0 1 1 1 1 0 1 0 1 1 1 0 1 1 1 1 1 1 1 1 0 0 0 0 0 0 0 1 0 1 \n    0 1 1 1 0 1 0 0 1]\n[0 0 0 0 0 0 0 0 0 0 0 1 0 0 0 0 0 0 0 0 0 0 0 0 0 0 0 0 0 0 0 0 0 0 0 0 0 0 0 0\n    0 0 0 0 0 0 0 0 0 0 0 0 0 1 1 0 1 1 0 0 1 0 1 1 0 1 1 0 0 1 0 0 0 1 0 0 0 1 \n    1 0 1 0 0 1 0 0 0 0 1 1 1 1 0 1 0 1 1 1 0 1 1 1 1 1 1 1 1 0 0 0 0 0 0 0 1 0 \n    1 0 1 1 1 0 1 0 0]\n[0 0 0 0 0 0 0 0 0 0 0 0 1 0 0 0 0 0 0 0 0 0 0 0 0 0 0 0 0 0 0 0 0 0 0 0 0 0 0 0\n    0 0 0 0 0 0 0 0 0 0 1 1 1 1 1 0 1 1 1 1 1 0 0 0 0 1 1 0 1 0 1 0 0 0 1 0 1 1 \n    0 1 0 1 0 1 1 1 1 1 1 1 1 1 0 1 1 1 1 0 0 0 1 0 1 1 1 1 0 0 1 1 1 0 0 0 1 0 \n    0 1 1 1 1 1 1 1 0]\n[0 0 0 0 0 0 0 0 0 0 0 0 0 1 0 0 0 0 0 0 0 0 0 0 0 0 0 0 0 0 0 0 0 0 0 0 0 0 0 0\n    0 0 0 0 0 0 0 0 0 0 1 0 0 0 1 0 1 1 1 0 0 0 0 1 1 1 1 0 1 1 0 1 0 0 0 1 1 0 \n    0 0 1 0 1 1 1 0 0 0 0 1 1 1 0 1 1 0 1 0 1 0 0 0 0 1 1 1 0 1 1 0 0 1 0 0 1 0 \n    0 0 0 1 1 1 0 1 1]\n[0 0 0 0 0 0 0 0 0 0 0 0 0 0 1 0 0 0 0 0 0 0 0 0 0 0 0 0 0 0 0 0 0 0 0 0 0 0 0 0\n    0 0 0 0 0 0 0 0 0 0 1 0 1 1 0 0 1 1 1 0 1 1 0 1 0 0 1 0 1 1 1 0 1 0 0 0 0 0 \n    1 0 0 1 0 0 1 0 1 1 1 0 1 1 0 1 1 0 0 0 1 1 0 1 0 0 1 1 0 1 0 0 1 0 1 0 1 0 \n    0 0 1 0 1 1 0 0 1]\n[0 0 0 0 0 0 0 0 0 0 0 0 0 0 0 1 0 0 0 0 0 0 0 0 0 0 0 0 0 0 0 0 0 0 0 0 0 0 0 0\n    0 0 0 0 0 0 0 0 0 0 1 0 1 0 1 1 1 1 1 0 1 0 1 1 0 1 0 0 1 1 1 1 0 1 0 0 1 1 \n    1 1 0 0 1 1 0 0 1 0 0 1 0 1 0 1 1 0 0 1 1 1 1 1 1 0 0 1 0 1 0 1 1 1 0 1 1 0 \n    0 0 1 1 0 1 0 0 0]\n[0 0 0 0 0 0 0 0 0 0 0 0 0 0 0 0 1 0 0 0 0 0 0 0 0 0 0 0 0 0 0 0 0 0 0 0 0 0 0 0\n    0 0 0 0 0 0 0 0 0 0 0 1 0 1 0 1 1 1 1 1 0 1 0 1 1 0 1 0 0 1 1 1 1 0 1 0 0 1 \n    1 1 1 0 0 1 1 0 0 1 0 0 1 0 1 0 1 1 0 0 1 1 1 1 1 1 0 0 1 0 1 0 1 1 1 0 1 1 \n    0 0 0 1 1 0 1 0 0]\n[0 0 0 0 0 0 0 0 0 0 0 0 0 0 0 0 0 1 0 0 0 0 0 0 0 0 0 0 0 0 0 0 0 0 0 0 0 0 0 0\n    0 0 0 0 0 0 0 0 0 0 0 0 1 0 1 0 1 1 1 1 1 0 1 0 1 1 0 1 0 0 1 1 1 1 0 1 0 0 \n    1 1 1 1 0 0 1 1 0 0 1 0 0 1 0 1 0 1 1 0 0 1 1 1 1 1 1 0 0 1 0 1 0 1 1 1 0 1 \n    1 0 0 0 1 1 0 1 0]\n[0 0 0 0 0 0 0 0 0 0 0 0 0 0 0 0 0 0 1 0 0 0 0 0 0 0 0 0 0 0 0 0 0 0 0 0 0 0 0 0\n    0 0 0 0 0 0 0 0 0 0 0 0 0 1 0 1 0 1 1 1 1 1 0 1 0 1 1 0 1 0 0 1 1 1 1 0 1 0 \n    0 1 1 1 1 0 0 1 1 0 0 1 0 0 1 0 1 0 1 1 0 0 1 1 1 1 1 1 0 0 1 0 1 0 1 1 1 0 \n    1 1 0 0 0 1 1 0 1]\n[0 0 0 0 0 0 0 0 0 0 0 0 0 0 0 0 0 0 0 1 0 0 0 0 0 0 0 0 0 0 0 0 0 0 0 0 0 0 0 0\n    0 0 0 0 0 0 0 0 0 0 0 0 0 0 1 0 1 0 1 1 1 1 1 0 1 0 1 1 0 1 0 0 1 1 1 1 0 1 \n    0 0 1 1 1 1 0 0 1 1 0 0 1 0 0 1 0 1 0 1 1 0 0 1 1 1 1 1 1 0 0 1 0 1 0 1 1 1 \n    0 1 1 0 0 0 1 1 0]\n[0 0 0 0 0 0 0 0 0 0 0 0 0 0 0 0 0 0 0 0 1 0 0 0 0 0 0 0 0 0 0 0 0 0 0 0 0 0 0 0\n    0 0 0 0 0 0 0 0 0 0 0 0 0 0 0 1 0 1 0 1 1 1 1 1 0 1 0 1 1 0 1 0 0 1 1 1 1 0 \n    1 0 0 1 1 1 1 0 0 1 1 0 0 1 0 0 1 0 1 0 1 1 0 0 1 1 1 1 1 1 0 0 1 0 1 0 1 1 \n    1 0 1 1 0 0 0 1 1]\n[0 0 0 0 0 0 0 0 0 0 0 0 0 0 0 0 0 0 0 0 0 1 0 0 0 0 0 0 0 0 0 0 0 0 0 0 0 0 0 0\n    0 0 0 0 0 0 0 0 0 0 1 1 1 1 0 1 0 0 1 1 0 0 1 0 0 1 1 1 0 1 0 1 0 0 1 1 0 0 \n    1 1 0 0 1 0 1 0 1 1 0 1 0 0 0 1 0 0 0 0 1 1 1 1 0 1 1 1 0 0 0 1 1 1 0 1 1 0 \n    1 1 1 1 1 0 1 0 1]\n[0 0 0 0 0 0 0 0 0 0 0 0 0 0 0 0 0 0 0 0 0 0 1 0 0 0 0 0 0 0 0 0 0 0 0 0 0 0 0 0\n    0 0 0 0 0 0 0 0 0 0 0 1 1 1 1 0 1 0 0 1 1 0 0 1 0 0 1 1 1 0 1 0 1 0 0 1 1 0 \n    0 1 1 0 0 1 0 1 0 1 1 0 1 0 0 0 1 0 0 0 0 1 1 1 1 0 1 1 1 0 0 0 1 1 1 0 1 1 \n    0 1 1 1 1 1 0 1 0]\n[0 0 0 0 0 0 0 0 0 0 0 0 0 0 0 0 0 0 0 0 0 0 0 1 0 0 0 0 0 0 0 0 0 0 0 0 0 0 0 0\n    0 0 0 0 0 0 0 0 0 0 0 0 1 1 1 1 0 1 0 0 1 1 0 0 1 0 0 1 1 1 0 1 0 1 0 0 1 1 \n    0 0 1 1 0 0 1 0 1 0 1 1 0 1 0 0 0 1 0 0 0 0 1 1 1 1 0 1 1 1 0 0 0 1 1 1 0 1 \n    1 0 1 1 1 1 1 0 1]\n[0 0 0 0 0 0 0 0 0 0 0 0 0 0 0 0 0 0 0 0 0 0 0 0 1 0 0 0 0 0 0 0 0 0 0 0 0 0 0 0\n    0 0 0 0 0 0 0 0 0 0 1 1 1 0 1 0 0 0 1 1 1 0 1 1 1 0 0 1 0 1 1 0 1 0 1 0 1 0 \n    0 0 0 1 1 1 0 0 1 0 1 1 1 0 0 1 0 1 1 1 1 0 0 0 1 1 1 0 0 0 0 1 1 0 1 1 0 1 \n    1 1 1 1 1 1 0 1 0]\n[0 0 0 0 0 0 0 0 0 0 0 0 0 0 0 0 0 0 0 0 0 0 0 0 0 1 0 0 0 0 0 0 0 0 0 0 0 0 0 0\n    0 0 0 0 0 0 0 0 0 0 0 1 1 1 0 1 0 0 0 1 1 1 0 1 1 1 0 0 1 0 1 1 0 1 0 1 0 1 \n    0 0 0 0 1 1 1 0 0 1 0 1 1 1 0 0 1 0 1 1 1 1 0 0 0 1 1 1 0 0 0 0 1 1 0 1 1 0 \n    1 1 1 1 1 1 1 0 1]\n[0 0 0 0 0 0 0 0 0 0 0 0 0 0 0 0 0 0 0 0 0 0 0 0 0 0 1 0 0 0 0 0 0 0 0 0 0 0 0 0\n    0 0 0 0 0 0 0 0 0 0 0 0 1 1 1 0 1 0 0 0 1 1 1 0 1 1 1 0 0 1 0 1 1 0 1 0 1 0 \n    1 0 0 0 0 1 1 1 0 0 1 0 1 1 1 0 0 1 0 1 1 1 1 0 0 0 1 1 1 0 0 0 0 1 1 0 1 1 \n    0 1 1 1 1 1 1 1 0]\n[0 0 0 0 0 0 0 0 0 0 0 0 0 0 0 0 0 0 0 0 0 0 0 0 0 0 0 1 0 0 0 0 0 0 0 0 0 0 0 0\n    0 0 0 0 0 0 0 0 0 0 0 0 0 1 1 1 0 1 0 0 0 1 1 1 0 1 1 1 0 0 1 0 1 1 0 1 0 1 \n    0 1 0 0 0 0 1 1 1 0 0 1 0 1 1 1 0 0 1 0 1 1 1 1 0 0 0 1 1 1 0 0 0 0 1 1 0 1 \n    1 0 1 1 1 1 1 1 1]\n[0 0 0 0 0 0 0 0 0 0 0 0 0 0 0 0 0 0 0 0 0 0 0 0 0 0 0 0 1 0 0 0 0 0 0 0 0 0 0 0\n    0 0 0 0 0 0 0 0 0 0 1 1 1 1 1 0 0 0 1 1 1 1 1 0 0 1 1 0 0 0 0 1 0 1 1 0 0 1 \n    0 0 1 0 0 1 0 0 0 0 1 0 1 0 0 0 1 1 0 0 1 1 1 0 1 0 0 0 0 0 0 1 1 0 0 1 0 1 \n    1 1 1 1 1 1 0 1 1]\n[0 0 0 0 0 0 0 0 0 0 0 0 0 0 0 0 0 0 0 0 0 0 0 0 0 0 0 0 0 1 0 0 0 0 0 0 0 0 0 0\n    0 0 0 0 0 0 0 0 0 0 0 1 1 1 1 1 0 0 0 1 1 1 1 1 0 0 1 1 0 0 0 0 1 0 1 1 0 0 \n    1 0 0 1 0 0 1 0 0 0 0 1 0 1 0 0 0 1 1 0 0 1 1 1 0 1 0 0 0 0 0 0 1 1 0 0 1 0 \n    1 1 1 1 1 1 1 0 1]\n[0 0 0 0 0 0 0 0 0 0 0 0 0 0 0 0 0 0 0 0 0 0 0 0 0 0 0 0 0 0 1 0 0 0 0 0 0 0 0 0\n    0 0 0 0 0 0 0 0 0 0 0 0 1 1 1 1 1 0 0 0 1 1 1 1 1 0 0 1 1 0 0 0 0 1 0 1 1 0 \n    0 1 0 0 1 0 0 1 0 0 0 0 1 0 1 0 0 0 1 1 0 0 1 1 1 0 1 0 0 0 0 0 0 1 1 0 0 1 \n    0 1 1 1 1 1 1 1 0]\n[0 0 0 0 0 0 0 0 0 0 0 0 0 0 0 0 0 0 0 0 0 0 0 0 0 0 0 0 0 0 0 1 0 0 0 0 0 0 0 0\n    0 0 0 0 0 0 0 0 0 0 1 1 1 0 1 0 0 1 0 1 1 0 1 0 0 0 0 1 0 1 0 0 0 0 1 0 0 0 \n    1 0 1 0 0 0 0 1 0 1 1 0 0 1 1 0 0 1 0 0 0 0 0 0 1 1 0 1 1 1 1 1 1 0 1 1 1 1 \n    1 0 0 1 1 1 0 1 1]\n[0 0 0 0 0 0 0 0 0 0 0 0 0 0 0 0 0 0 0 0 0 0 0 0 0 0 0 0 0 0 0 0 1 0 0 0 0 0 0 0\n    0 0 0 0 0 0 0 0 0 0 1 0 0 0 0 0 1 0 1 1 0 0 0 0 1 1 0 1 0 0 1 0 0 0 0 1 1 1 \n    1 1 0 1 0 1 0 1 0 1 0 1 0 0 0 0 0 1 1 1 1 0 0 1 0 1 1 0 0 0 0 0 0 1 0 1 0 0 \n    1 1 1 0 1 1 0 0 1]\n[0 0 0 0 0 0 0 0 0 0 0 0 0 0 0 0 0 0 0 0 0 0 0 0 0 0 0 0 0 0 0 0 0 1 0 0 0 0 0 0\n    0 0 0 0 0 0 0 0 0 0 1 0 1 1 0 1 1 1 0 0 0 1 0 1 1 0 1 1 0 0 0 1 0 0 0 0 0 0 \n    0 1 1 0 1 1 1 1 0 1 0 0 1 0 1 1 0 1 1 0 0 1 0 1 1 0 1 1 1 1 1 1 1 0 1 0 0 1 \n    0 1 0 1 0 1 0 0 0]\n[0 0 0 0 0 0 0 0 0 0 0 0 0 0 0 0 0 0 0 0 0 0 0 0 0 0 0 0 0 0 0 0 0 0 1 0 0 0 0 0\n    0 0 0 0 0 0 0 0 0 0 0 1 0 1 1 0 1 1 1 0 0 0 1 0 1 1 0 1 1 0 0 0 1 0 0 0 0 0 \n    0 0 1 1 0 1 1 1 1 0 1 0 0 1 0 1 1 0 1 1 0 0 1 0 1 1 0 1 1 1 1 1 1 1 0 1 0 0 \n    1 0 1 0 1 0 1 0 0]\n[0 0 0 0 0 0 0 0 0 0 0 0 0 0 0 0 0 0 0 0 0 0 0 0 0 0 0 0 0 0 0 0 0 0 0 1 0 0 0 0\n    0 0 0 0 0 0 0 0 0 0 0 0 1 0 1 1 0 1 1 1 0 0 0 1 0 1 1 0 1 1 0 0 0 1 0 0 0 0 \n    0 0 0 1 1 0 1 1 1 1 0 1 0 0 1 0 1 1 0 1 1 0 0 1 0 1 1 0 1 1 1 1 1 1 1 0 1 0 \n    0 1 0 1 0 1 0 1 0]\n[0 0 0 0 0 0 0 0 0 0 0 0 0 0 0 0 0 0 0 0 0 0 0 0 0 0 0 0 0 0 0 0 0 0 0 0 1 0 0 0\n    0 0 0 0 0 0 0 0 0 0 0 0 0 1 0 1 1 0 1 1 1 0 0 0 1 0 1 1 0 1 1 0 0 0 1 0 0 0 \n    0 0 0 0 1 1 0 1 1 1 1 0 1 0 0 1 0 1 1 0 1 1 0 0 1 0 1 1 0 1 1 1 1 1 1 1 0 1 \n    0 0 1 0 1 0 1 0 1]\n[0 0 0 0 0 0 0 0 0 0 0 0 0 0 0 0 0 0 0 0 0 0 0 0 0 0 0 0 0 0 0 0 0 0 0 0 0 1 0 0\n    0 0 0 0 0 0 0 0 0 0 0 0 0 0 1 0 1 1 0 1 1 1 0 0 0 1 0 1 1 0 1 1 0 0 0 1 0 0 \n    0 0 0 0 0 1 1 0 1 1 1 1 0 1 0 0 1 0 1 1 0 1 1 0 0 1 0 1 1 0 1 1 1 1 1 1 1 0 \n    1 0 0 1 0 1 0 1 0]\n[0 0 0 0 0 0 0 0 0 0 0 0 0 0 0 0 0 0 0 0 0 0 0 0 0 0 0 0 0 0 0 0 0 0 0 0 0 0 1 0\n    0 0 0 0 0 0 0 0 0 0 0 0 0 0 0 1 0 1 1 0 1 1 1 0 0 0 1 0 1 1 0 1 1 0 0 0 1 0 \n    0 0 0 0 0 0 1 1 0 1 1 1 1 0 1 0 0 1 0 1 1 0 1 1 0 0 1 0 1 1 0 1 1 1 1 1 1 1 \n    0 1 0 0 1 0 1 0 1]\n[0 0 0 0 0 0 0 0 0 0 0 0 0 0 0 0 0 0 0 0 0 0 0 0 0 0 0 0 0 0 0 0 0 0 0 0 0 0 0 1\n    0 0 0 0 0 0 0 0 0 0 1 1 1 1 0 1 0 0 1 0 1 0 1 0 1 1 0 0 1 1 1 0 1 1 0 0 1 0 \n    1 0 0 0 0 1 0 0 0 1 0 1 1 1 1 0 0 1 1 1 0 1 0 0 1 0 0 1 1 0 0 1 0 1 1 1 0 0 \n    1 0 0 0 0 1 1 1 0]\n[0 0 0 0 0 0 0 0 0 0 0 0 0 0 0 0 0 0 0 0 0 0 0 0 0 0 0 0 0 0 0 0 0 0 0 0 0 0 0 0\n    1 0 0 0 0 0 0 0 0 0 0 1 1 1 1 0 1 0 0 1 0 1 0 1 0 1 1 0 0 1 1 1 0 1 1 0 0 1 \n    0 1 0 0 0 0 1 0 0 0 1 0 1 1 1 1 0 0 1 1 1 0 1 0 0 1 0 0 1 1 0 0 1 0 1 1 1 0 \n    0 1 0 0 0 0 1 1 1]\n[0 0 0 0 0 0 0 0 0 0 0 0 0 0 0 0 0 0 0 0 0 0 0 0 0 0 0 0 0 0 0 0 0 0 0 0 0 0 0 0\n    0 1 0 0 0 0 0 0 0 0 0 0 1 1 1 1 0 1 0 0 1 0 1 0 1 0 1 1 0 0 1 1 1 0 1 1 0 0 \n    1 0 1 0 0 0 0 1 0 0 0 1 0 1 1 1 1 0 0 1 1 1 0 1 0 0 1 0 0 1 1 0 0 1 0 1 1 1 \n    0 0 1 0 0 0 0 1 1]\n[0 0 0 0 0 0 0 0 0 0 0 0 0 0 0 0 0 0 0 0 0 0 0 0 0 0 0 0 0 0 0 0 0 0 0 0 0 0 0 0\n    0 0 1 0 0 0 0 0 0 0 0 0 0 1 1 1 1 0 1 0 0 1 0 1 0 1 0 1 1 0 0 1 1 1 0 1 1 0 \n    0 1 0 1 0 0 0 0 1 0 0 0 1 0 1 1 1 1 0 0 1 1 1 0 1 0 0 1 0 0 1 1 0 0 1 0 1 1 \n    1 0 0 1 0 0 0 0 1]\n[0 0 0 0 0 0 0 0 0 0 0 0 0 0 0 0 0 0 0 0 0 0 0 0 0 0 0 0 0 0 0 0 0 0 0 0 0 0 0 0\n    0 0 0 1 0 0 0 0 0 0 1 1 1 1 1 0 0 1 0 0 1 1 1 1 0 1 1 1 0 1 0 0 1 1 1 0 0 0 \n    1 0 1 0 1 1 0 1 1 0 1 0 0 1 1 0 1 0 1 1 1 1 1 0 0 1 0 0 0 1 1 0 0 0 0 1 1 0 \n    1 1 1 0 1 0 1 0 0]\n[0 0 0 0 0 0 0 0 0 0 0 0 0 0 0 0 0 0 0 0 0 0 0 0 0 0 0 0 0 0 0 0 0 0 0 0 0 0 0 0\n    0 0 0 0 1 0 0 0 0 0 1 0 0 0 1 0 1 0 1 1 1 0 1 0 0 1 1 0 0 0 1 0 0 1 1 1 1 1 \n    1 1 0 1 0 0 1 1 0 0 1 1 0 0 0 0 0 0 0 0 0 1 1 0 0 0 1 0 1 1 0 0 1 0 0 0 0 0 \n    0 1 0 1 0 1 1 1 0]\n[0 0 0 0 0 0 0 0 0 0 0 0 0 0 0 0 0 0 0 0 0 0 0 0 0 0 0 0 0 0 0 0 0 0 0 0 0 0 0 0\n    0 0 0 0 0 1 0 0 0 0 0 1 0 0 0 1 0 1 0 1 1 1 0 1 0 0 1 1 0 0 0 1 0 0 1 1 1 1 \n    1 1 1 0 1 0 0 1 1 0 0 1 1 0 0 0 0 0 0 0 0 0 1 1 0 0 0 1 0 1 1 0 0 1 0 0 0 0 \n    0 0 1 0 1 0 1 1 1]\n[0 0 0 0 0 0 0 0 0 0 0 0 0 0 0 0 0 0 0 0 0 0 0 0 0 0 0 0 0 0 0 0 0 0 0 0 0 0 0 0\n    0 0 0 0 0 0 1 0 0 0 1 1 0 1 0 1 0 0 1 1 0 0 1 1 0 1 0 0 0 0 0 0 1 0 0 1 0 0 \n    0 1 1 1 0 0 0 1 0 0 1 0 1 1 1 1 0 1 0 1 1 0 0 0 1 0 0 0 0 1 0 0 1 0 1 0 1 1 \n    0 0 1 1 0 1 1 1 1]\n[0 0 0 0 0 0 0 0 0 0 0 0 0 0 0 0 0 0 0 0 0 0 0 0 0 0 0 0 0 0 0 0 0 0 0 0 0 0 0 0\n    0 0 0 0 0 0 0 1 0 0 0 1 1 0 1 0 1 0 0 1 1 0 0 1 1 0 1 0 0 0 0 0 0 1 0 0 1 0 \n    0 0 1 1 1 0 0 0 1 0 0 1 0 1 1 1 1 0 1 0 1 1 0 0 0 1 0 0 0 0 1 0 0 1 0 1 0 1 \n    1 0 0 1 1 0 1 1 1]\n[0 0 0 0 0 0 0 0 0 0 0 0 0 0 0 0 0 0 0 0 0 0 0 0 0 0 0 0 0 0 0 0 0 0 0 0 0 0 0 0\n    0 0 0 0 0 0 0 0 1 0 0 0 1 1 0 1 0 1 0 0 1 1 0 0 1 1 0 1 0 0 0 0 0 0 1 0 0 1 \n    0 0 0 1 1 1 0 0 0 1 0 0 1 0 1 1 1 1 0 1 0 1 1 0 0 0 1 0 0 0 0 1 0 0 1 0 1 0 \n    1 1 0 0 1 1 0 1 1]\n[0 0 0 0 0 0 0 0 0 0 0 0 0 0 0 0 0 0 0 0 0 0 0 0 0 0 0 0 0 0 0 0 0 0 0 0 0 0 0 0\n    0 0 0 0 0 0 0 0 0 1 1 1 1 0 1 1 0 0 1 1 1 0 1 1 1 0 1 1 0 0 0 0 0 0 0 1 1 1 \n    0 0 0 0 1 0 1 1 1 1 0 0 0 1 1 0 1 0 1 1 0 0 1 0 0 0 0 1 1 1 1 1 0 0 0 1 1 0 \n    0 1 0 0 0 1 0 0 1]\nLinear Code over GF(2) of length 125 with 50 generators.\nLower Bound: 1, Upper Bound: 76\nConstructed 3 distinct generator matrices\nRelative Ranks:  50  50  25 \nTime Taken: 0.00\nStarting search for low weight codewords... (reset timings)\nEnumerating using 1 generator at a time:\n     New codeword identified of weight 38, time 0.00\n     New codeword identified of weight 31, time 0.00\n     Discarding non-contributing rank 25 matrix\n     New Relative Ranks:  50  50 \n   Completed Matrix  1:  lower =  3, upper = 31. Elapsed: 0.00s\n   Completed Matrix  2:  lower =  4, upper = 31. Elapsed: 0.00s\nTermination predicted with 15 generators at matrix 1\nEnumerating using 2 generators at a time:\n     New codeword identified of weight 30, time 0.00\n     New codeword identified of weight 27, time 0.00\n   Completed Matrix  1:  lower =  5, upper = 27. Elapsed: 0.00s\n   Completed Matrix  2:  lower =  6, upper = 27. Elapsed: 0.00s\nTermination predicted with 13 generators at matrix 1\nEnumerating using 3 generators at a time:\n     New codeword identified of weight 26, time 0.00\n     New codeword identified of weight 25, time 0.00\n   Completed Matrix  1:  lower =  7, upper = 25. Elapsed: 0.00s\n   Completed Matrix  2:  lower =  8, upper = 25. Elapsed: 0.00s\nTermination predicted with 12 generators at matrix 1\nEnumerating using 4 generators at a time:\n   Completed Matrix  1:  lower =  9, upper = 25. Elapsed: 0.00s\n   Completed Matrix  2:  lower = 10, upper = 25. Elapsed: 0.00s\nTermination predicted with 12 generators at matrix 1\nEnumerating using 5 generators at a time:\n   Completed Matrix  1:  lower = 11, upper = 25. Elapsed: 0.02s\n   Completed Matrix  2:  lower = 12, upper = 25. Elapsed: 0.02s\nTermination predicted with 12 generators at matrix 1\nEnumerating using 6 generators at a time:\n   Completed Matrix  1:  lower = 13, upper = 25. Elapsed: 0.06s\n   Completed Matrix  2:  lower = 14, upper = 25. Elapsed: 0.10s\nTermination predicted with 12 generators at matrix 1\nEnumerating using 7 generators at a time:\n   Completed Matrix  1:  lower = 15, upper = 25. Elapsed: 0.32s\n   Completed Matrix  2:  lower = 16, upper = 25. Elapsed: 0.56s\nTermination predicted at 538 s (8m 58s) with 12 generators at matrix 1\nEnumerating using 8 generators at a time:\n   Completed Matrix  1:  lower = 17, upper = 25. Elapsed: 1.89s\n   Completed Matrix  2:  lower = 18, upper = 25. Elapsed: 3.22s\nTermination predicted at 548 s (9m 8s) with 12 generators at matrix 1\nEnumerating using 9 generators at a time:\n   Completed Matrix  1:  lower = 19, upper = 25. Elapsed: 9.62s\n   Completed Matrix  2:  lower = 20, upper = 25. Elapsed: 16.01s\nTermination predicted at 565 s (9m 25s) with 12 generators at matrix 1\nEnumerating using 10 generators at a time:\n   Completed Matrix  1:  lower = 21, upper = 25. Elapsed: 43.30s\n   Completed Matrix  2:  lower = 22, upper = 25. Elapsed: 70.59s\nTermination predicted at 586 s (9m 46s) with 12 generators at matrix 1\nEnumerating using 11 generators at a time:\n   Completed Matrix  1:  lower = 23, upper = 25. Elapsed: 173.98s\n   Completed Matrix  2:  lower = 24, upper = 25. Elapsed: 278.87s\nTermination predicted at 612 s (10m 12s) with 12 generators at matrix 1\nEnumerating using 12 generators at a time:\n   Completed Matrix  1:  lower = 25, upper = 25. Elapsed: 631.26s\nComputation complete 222972599810 vectors enumerated in total\n (0.019804% of 125 50 code)\nFinal Results: lower = 25, upper = 25,\nTotal CPU time: 631.26, real time: 633.175\n25\n\nTotal time: 631.279 seconds, Total memory usage: 32.09MB\n</t>
  </si>
  <si>
    <t>[[126,50,26]]</t>
  </si>
  <si>
    <t>Magma V2.28-26    Tue Dec 30 2025 11:11:23 on Marks-MacBook-Air-2 [Seed = \n588904868]\nType ? for help.  Type &lt;Ctrl&gt;-D to quit.\n[1 1 1 0 1 1 0 0 1 1 1 0 1 1 1 0 1 1 0 0 0 0 0 0 0 1 1 1 0 0 0 0 1 0 1 1 1 1 0 0\n    0 1 1 0 1 0 1 1 0 0 1 0 0 0 0 1 1 1 1 1 0 0 0 1 1 0 0 1 0 0 0 1 0 0 1 0 1 0 \n    0 0 0 0 0 0 0 0 0 0 0 0 0 0 0 0 0 0 0 0 0 0 0 0 0 0 0 0 0 0 0 0 0 0 0 0 0 0 \n    0 0 0 0 0 0 0 0 0 0]\n[1 1 1 1 0 1 1 0 0 1 1 1 0 1 1 1 0 1 1 0 0 0 0 0 0 0 1 1 1 0 0 0 0 1 0 1 1 1 1 0\n    0 0 1 1 0 1 0 1 1 0 0 1 0 0 0 0 1 1 1 1 1 0 0 0 1 1 0 0 1 0 0 0 1 0 0 1 0 1 \n    0 0 0 0 0 0 0 0 0 0 0 0 0 0 0 0 0 0 0 0 0 0 0 0 0 0 0 0 0 0 0 0 0 0 0 0 0 0 \n    0 0 0 0 0 0 0 0 0 0]\n[1 0 0 1 0 1 1 1 1 1 0 1 0 1 0 1 0 1 1 1 0 0 0 0 0 1 1 0 1 1 0 0 1 0 0 1 0 0 1 1\n    0 1 1 1 0 0 0 1 1 1 1 0 1 0 0 1 1 0 0 0 1 1 0 1 1 1 1 1 0 1 0 1 0 1 1 0 0 0 \n    1 0 0 0 0 0 0 0 0 0 0 0 0 0 0 0 0 0 0 0 0 0 0 0 0 0 0 0 0 0 0 0 0 0 0 0 0 0 \n    0 0 0 0 0 0 0 0 0 0]\n[1 1 0 0 1 0 1 1 1 1 1 0 1 0 1 0 1 0 1 1 1 0 0 0 0 0 1 1 0 1 1 0 0 1 0 0 1 0 0 1\n    1 0 1 1 1 0 0 0 1 1 1 1 0 1 0 0 1 1 0 0 0 1 1 0 1 1 1 1 1 0 1 0 1 0 1 1 0 0 \n    0 1 0 0 0 0 0 0 0 0 0 0 0 0 0 0 0 0 0 0 0 0 0 0 0 0 0 0 0 0 0 0 0 0 0 0 0 0 \n    0 0 0 0 0 0 0 0 0 0]\n[1 0 0 0 1 0 0 1 0 0 0 1 1 0 1 1 1 0 0 1 1 1 0 0 0 1 1 0 1 0 1 1 1 0 0 1 1 0 0 0\n    1 0 1 1 0 1 1 1 0 1 0 1 1 0 1 1 1 0 0 1 0 0 1 0 1 1 1 0 1 1 0 0 0 1 1 1 0 0 \n    0 0 1 0 0 0 0 0 0 0 0 0 0 0 0 0 0 0 0 0 0 0 0 0 0 0 0 0 0 0 0 0 0 0 0 0 0 0 \n    0 0 0 0 0 0 0 0 0 0]\n[0 0 1 0 1 0 0 0 0 1 1 0 0 0 1 1 0 0 0 0 1 1 1 0 0 1 0 0 0 1 0 1 0 1 1 1 0 0 0 0\n    0 0 1 1 0 0 0 0 1 0 0 0 1 1 0 0 0 0 1 1 1 0 0 0 1 1 1 0 0 1 1 1 0 0 0 1 0 0 \n    0 0 0 1 0 0 0 0 0 0 0 0 0 0 0 0 0 0 0 0 0 0 0 0 0 0 0 0 0 0 0 0 0 0 0 0 0 0 \n    0 0 0 0 0 0 0 0 0 0]\n[0 1 1 1 1 0 0 0 1 1 0 1 1 1 1 1 0 1 0 0 0 1 1 1 0 1 0 1 0 0 1 0 0 0 0 0 0 1 0 0\n    0 1 1 1 0 0 1 1 0 1 1 0 0 1 1 1 1 1 1 0 1 1 0 1 1 1 1 0 0 0 1 0 1 0 1 0 0 0 \n    0 0 0 0 1 0 0 0 0 0 0 0 0 0 0 0 0 0 0 0 0 0 0 0 0 0 0 0 0 0 0 0 0 0 0 0 0 0 \n    0 0 0 0 0 0 0 0 0 0]\n[1 0 1 1 1 1 0 0 0 1 1 0 1 1 1 1 1 0 1 0 0 0 1 1 1 0 1 0 1 0 0 1 0 0 0 0 0 0 1 0\n    0 0 1 1 1 0 0 1 1 0 1 1 0 0 1 1 1 1 1 1 0 1 1 0 1 1 1 1 0 0 0 1 0 1 0 1 0 0 \n    0 0 0 0 0 1 0 0 0 0 0 0 0 0 0 0 0 0 0 0 0 0 0 0 0 0 0 0 0 0 0 0 0 0 0 0 0 0 \n    0 0 0 0 0 0 0 0 0 0]\n[1 0 1 1 0 0 1 0 1 1 0 1 1 0 0 1 0 0 0 1 0 0 0 1 1 0 1 0 0 1 0 0 0 0 1 1 1 1 0 1\n    0 1 1 1 0 1 1 1 1 1 1 1 1 0 0 0 0 0 0 0 1 0 1 0 1 1 1 0 1 0 0 1 1 0 0 0 0 0 \n    0 0 0 0 0 0 1 0 0 0 0 0 0 0 0 0 0 0 0 0 0 0 0 0 0 0 0 0 0 0 0 0 0 0 0 0 0 0 \n    0 0 0 0 0 0 0 0 0 0]\n[1 1 0 1 1 0 0 1 0 1 1 0 1 1 0 0 1 0 0 0 1 0 0 0 1 1 0 1 0 0 1 0 0 0 0 1 1 1 1 0\n    1 0 1 1 1 0 1 1 1 1 1 1 1 1 0 0 0 0 0 0 0 1 0 1 0 1 1 1 0 1 0 0 1 1 0 0 0 0 \n    0 0 0 0 0 0 0 1 0 0 0 0 0 0 0 0 0 0 0 0 0 0 0 0 0 0 0 0 0 0 0 0 0 0 0 0 0 0 \n    0 0 0 0 0 0 0 0 0 0]\n[0 1 1 0 1 1 0 0 1 0 1 1 0 1 1 0 0 1 0 0 0 1 0 0 0 1 1 0 1 0 0 1 0 0 0 0 1 1 1 1\n    0 1 0 1 1 1 0 1 1 1 1 1 1 1 1 0 0 0 0 0 0 0 1 0 1 0 1 1 1 0 1 0 0 1 1 0 0 0 \n    0 0 0 0 0 0 0 0 1 0 0 0 0 0 0 0 0 0 0 0 0 0 0 0 0 0 0 0 0 0 0 0 0 0 0 0 0 0 \n    0 0 0 0 0 0 0 0 0 0]\n[0 0 1 1 0 1 1 0 0 1 0 1 1 0 1 1 0 0 1 0 0 0 1 0 0 0 1 1 0 1 0 0 1 0 0 0 0 1 1 1\n    1 0 1 0 1 1 1 0 1 1 1 1 1 1 1 1 0 0 0 0 0 0 0 1 0 1 0 1 1 1 0 1 0 0 1 1 0 0 \n    0 0 0 0 0 0 0 0 0 1 0 0 0 0 0 0 0 0 0 0 0 0 0 0 0 0 0 0 0 0 0 0 0 0 0 0 0 0 \n    0 0 0 0 0 0 0 0 0 0]\n[1 1 1 1 0 1 1 1 1 1 0 0 0 0 1 1 0 1 0 1 0 0 0 1 0 1 1 0 1 0 1 0 1 1 1 1 1 1 1 1\n    1 0 1 1 1 1 0 0 0 1 0 1 1 1 1 0 0 1 1 1 0 0 0 1 0 0 1 1 1 1 1 1 1 0 1 1 0 0 \n    0 0 0 0 0 0 0 0 0 0 1 0 0 0 0 0 0 0 0 0 0 0 0 0 0 0 0 0 0 0 0 0 0 0 0 0 0 0 \n    0 0 0 0 0 0 0 0 0 0]\n[0 0 0 1 0 1 1 1 0 0 0 0 1 1 1 1 0 1 1 0 1 0 0 0 1 1 0 0 0 1 0 1 1 1 0 0 0 0 1 1\n    1 0 1 1 0 1 0 1 0 0 0 0 1 1 1 0 1 1 0 0 1 0 0 1 0 0 0 0 1 1 1 0 1 1 1 1 0 0 \n    0 0 0 0 0 0 0 0 0 0 0 1 0 0 0 0 0 0 0 0 0 0 0 0 0 0 0 0 0 0 0 0 0 0 0 0 0 0 \n    0 0 0 0 0 0 0 0 0 0]\n[0 1 1 0 0 1 1 1 0 1 1 0 1 0 0 1 0 1 1 1 0 1 0 0 0 0 0 1 0 0 1 0 0 1 0 1 1 1 0 1\n    1 0 1 1 0 0 0 1 1 0 1 0 0 1 1 0 1 0 0 1 0 1 0 1 0 0 0 1 0 1 1 0 0 1 0 1 0 0 \n    0 0 0 0 0 0 0 0 0 0 0 0 1 0 0 0 0 0 0 0 0 0 0 0 0 0 0 0 0 0 0 0 0 0 0 0 0 0 \n    0 0 0 0 0 0 0 0 0 0]\n[0 1 0 1 1 1 1 1 0 1 0 1 1 0 1 0 0 1 1 1 1 0 1 0 0 1 1 1 1 0 0 1 1 0 0 1 0 0 1 0\n    1 0 1 1 0 0 1 1 1 1 1 1 0 0 1 0 1 0 1 1 1 0 1 1 0 0 0 1 1 0 1 0 0 0 0 0 0 0 \n    0 0 0 0 0 0 0 0 0 0 0 0 0 1 0 0 0 0 0 0 0 0 0 0 0 0 0 0 0 0 0 0 0 0 0 0 0 0 \n    0 0 0 0 0 0 0 0 0 0]\n[1 0 1 0 1 1 1 1 1 0 1 0 1 1 0 1 0 0 1 1 1 1 0 1 0 0 1 1 1 1 0 0 1 1 0 0 1 0 0 1\n    0 1 0 1 1 0 0 1 1 1 1 1 1 0 0 1 0 1 0 1 1 1 0 1 1 0 0 0 1 1 0 1 0 0 0 0 0 0 \n    0 0 0 0 0 0 0 0 0 0 0 0 0 0 1 0 0 0 0 0 0 0 0 0 0 0 0 0 0 0 0 0 0 0 0 0 0 0 \n    0 0 0 0 0 0 0 0 0 0]\n[0 1 0 1 0 1 1 1 1 1 0 1 0 1 1 0 1 0 0 1 1 1 1 0 1 0 0 1 1 1 1 0 0 1 1 0 0 1 0 0\n    1 0 1 0 1 1 0 0 1 1 1 1 1 1 0 0 1 0 1 0 1 1 1 0 1 1 0 0 0 1 1 0 1 0 0 0 0 0 \n    0 0 0 0 0 0 0 0 0 0 0 0 0 0 0 1 0 0 0 0 0 0 0 0 0 0 0 0 0 0 0 0 0 0 0 0 0 0 \n    0 0 0 0 0 0 0 0 0 0]\n[0 0 1 0 1 0 1 1 1 1 1 0 1 0 1 1 0 1 0 0 1 1 1 1 0 1 0 0 1 1 1 1 0 0 1 1 0 0 1 0\n    0 1 0 1 0 1 1 0 0 1 1 1 1 1 1 0 0 1 0 1 0 1 1 1 0 1 1 0 0 0 1 1 0 1 0 0 0 0 \n    0 0 0 0 0 0 0 0 0 0 0 0 0 0 0 0 1 0 0 0 0 0 0 0 0 0 0 0 0 0 0 0 0 0 0 0 0 0 \n    0 0 0 0 0 0 0 0 0 0]\n[0 0 0 1 0 1 0 1 1 1 1 1 0 1 0 1 1 0 1 0 0 1 1 1 1 0 1 0 0 1 1 1 1 0 0 1 1 0 0 1\n    0 0 1 0 1 0 1 1 0 0 1 1 1 1 1 1 0 0 1 0 1 0 1 1 1 0 1 1 0 0 0 1 1 0 1 0 0 0 \n    0 0 0 0 0 0 0 0 0 0 0 0 0 0 0 0 0 1 0 0 0 0 0 0 0 0 0 0 0 0 0 0 0 0 0 0 0 0 \n    0 0 0 0 0 0 0 0 0 0]\n[0 0 0 0 1 0 1 0 1 1 1 1 1 0 1 0 1 1 0 1 0 0 1 1 1 1 0 1 0 0 1 1 1 1 0 0 1 1 0 0\n    1 0 0 1 0 1 0 1 1 0 0 1 1 1 1 1 1 0 0 1 0 1 0 1 1 1 0 1 1 0 0 0 1 1 0 1 0 0 \n    0 0 0 0 0 0 0 0 0 0 0 0 0 0 0 0 0 0 1 0 0 0 0 0 0 0 0 0 0 0 0 0 0 0 0 0 0 0 \n    0 0 0 0 0 0 0 0 0 0]\n[1 1 1 0 1 0 0 1 1 0 0 1 0 0 1 1 1 0 1 0 1 0 0 1 1 0 0 1 1 0 0 1 0 1 0 1 1 0 1 0\n    0 0 1 0 0 0 0 1 1 1 1 0 1 1 1 0 0 0 1 1 1 0 1 1 0 1 1 1 1 1 0 1 0 1 0 0 0 0 \n    0 0 0 0 0 0 0 0 0 0 0 0 0 0 0 0 0 0 0 1 0 0 0 0 0 0 0 0 0 0 0 0 0 0 0 0 0 0 \n    0 0 0 0 0 0 0 0 0 0]\n[1 1 1 1 0 1 0 0 1 1 0 0 1 0 0 1 1 1 0 1 0 1 0 0 1 1 0 0 1 1 0 0 1 0 1 0 1 1 0 1\n    0 0 0 1 0 0 0 0 1 1 1 1 0 1 1 1 0 0 0 1 1 1 0 1 1 0 1 1 1 1 1 0 1 0 1 0 0 0 \n    0 0 0 0 0 0 0 0 0 0 0 0 0 0 0 0 0 0 0 0 1 0 0 0 0 0 0 0 0 0 0 0 0 0 0 0 0 0 \n    0 0 0 0 0 0 0 0 0 0]\n[0 1 1 1 1 0 1 0 0 1 1 0 0 1 0 0 1 1 1 0 1 0 1 0 0 1 1 0 0 1 1 0 0 1 0 1 0 1 1 0\n    1 0 0 0 1 0 0 0 0 1 1 1 1 0 1 1 1 0 0 0 1 1 1 0 1 1 0 1 1 1 1 1 0 1 0 1 0 0 \n    0 0 0 0 0 0 0 0 0 0 0 0 0 0 0 0 0 0 0 0 0 1 0 0 0 0 0 0 0 0 0 0 0 0 0 0 0 0 \n    0 0 0 0 0 0 0 0 0 0]\n[1 1 0 1 0 0 0 1 1 1 0 1 1 1 0 0 1 0 1 1 0 1 0 1 0 1 0 0 0 0 1 1 1 0 0 1 0 1 1 1\n    0 0 1 0 1 1 1 1 0 0 0 1 1 1 0 0 0 0 1 1 0 1 1 0 1 1 1 1 1 1 1 0 1 0 0 0 0 0 \n    0 0 0 0 0 0 0 0 0 0 0 0 0 0 0 0 0 0 0 0 0 0 1 0 0 0 0 0 0 0 0 0 0 0 0 0 0 0 \n    0 0 0 0 0 0 0 0 0 0]\n[1 1 1 0 1 0 0 0 1 1 1 0 1 1 1 0 0 1 0 1 1 0 1 0 1 0 1 0 0 0 0 1 1 1 0 0 1 0 1 1\n    1 0 0 1 0 1 1 1 1 0 0 0 1 1 1 0 0 0 0 1 1 0 1 1 0 1 1 1 1 1 1 1 0 1 0 0 0 0 \n    0 0 0 0 0 0 0 0 0 0 0 0 0 0 0 0 0 0 0 0 0 0 0 1 0 0 0 0 0 0 0 0 0 0 0 0 0 0 \n    0 0 0 0 0 0 0 0 0 0]\n[0 1 1 1 0 1 0 0 0 1 1 1 0 1 1 1 0 0 1 0 1 1 0 1 0 1 0 1 0 0 0 0 1 1 1 0 0 1 0 1\n    1 1 0 0 1 0 1 1 1 1 0 0 0 1 1 1 0 0 0 0 1 1 0 1 1 0 1 1 1 1 1 1 1 0 1 0 0 0 \n    0 0 0 0 0 0 0 0 0 0 0 0 0 0 0 0 0 0 0 0 0 0 0 0 1 0 0 0 0 0 0 0 0 0 0 0 0 0 \n    0 0 0 0 0 0 0 0 0 0]\n[0 0 1 1 1 0 1 0 0 0 1 1 1 0 1 1 1 0 0 1 0 1 1 0 1 0 1 0 1 0 0 0 0 1 1 1 0 0 1 0\n    1 1 1 0 0 1 0 1 1 1 1 0 0 0 1 1 1 0 0 0 0 1 1 0 1 1 0 1 1 1 1 1 1 1 0 1 0 0 \n    0 0 0 0 0 0 0 0 0 0 0 0 0 0 0 0 0 0 0 0 0 0 0 0 0 1 0 0 0 0 0 0 0 0 0 0 0 0 \n    0 0 0 0 0 0 0 0 0 0]\n[1 1 1 1 0 0 0 1 1 1 1 1 0 0 1 1 0 0 0 0 1 0 1 1 0 0 1 0 0 1 0 0 1 0 0 0 0 1 0 1\n    0 0 0 1 1 0 0 1 1 1 0 1 0 0 0 0 0 0 1 1 0 0 1 0 1 1 1 1 1 1 1 0 1 1 0 0 0 0 \n    0 0 0 0 0 0 0 0 0 0 0 0 0 0 0 0 0 0 0 0 0 0 0 0 0 0 1 0 0 0 0 0 0 0 0 0 0 0 \n    0 0 0 0 0 0 0 0 0 0]\n[1 1 1 1 1 0 0 0 1 1 1 1 1 0 0 1 1 0 0 0 0 1 0 1 1 0 0 1 0 0 1 0 0 1 0 0 0 0 1 0\n    1 0 0 0 1 1 0 0 1 1 1 0 1 0 0 0 0 0 0 1 1 0 0 1 0 1 1 1 1 1 1 1 0 1 1 0 0 0 \n    0 0 0 0 0 0 0 0 0 0 0 0 0 0 0 0 0 0 0 0 0 0 0 0 0 0 0 1 0 0 0 0 0 0 0 0 0 0 \n    0 0 0 0 0 0 0 0 0 0]\n[0 1 1 1 1 1 0 0 0 1 1 1 1 1 0 0 1 1 0 0 0 0 1 0 1 1 0 0 1 0 0 1 0 0 1 0 0 0 0 1\n    0 1 0 0 0 1 1 0 0 1 1 1 0 1 0 0 0 0 0 0 1 1 0 0 1 0 1 1 1 1 1 1 1 0 1 1 0 0 \n    0 0 0 0 0 0 0 0 0 0 0 0 0 0 0 0 0 0 0 0 0 0 0 0 0 0 0 0 1 0 0 0 0 0 0 0 0 0 \n    0 0 0 0 0 0 0 0 0 0]\n[1 1 0 1 0 0 1 0 1 1 0 1 0 0 0 0 1 0 1 0 0 0 0 1 0 0 0 1 0 1 0 0 0 0 1 0 1 1 0 0\n    1 1 0 0 1 0 0 0 0 0 0 1 1 0 1 1 1 1 1 1 0 1 1 1 1 1 0 0 1 1 1 0 1 1 1 1 0 0 \n    0 0 0 0 0 0 0 0 0 0 0 0 0 0 0 0 0 0 0 0 0 0 0 0 0 0 0 0 0 1 0 0 0 0 0 0 0 0 \n    0 0 0 0 0 0 0 0 0 0]\n[0 0 0 0 0 1 0 1 1 0 0 0 0 1 1 0 1 0 0 1 0 0 0 0 1 1 1 1 1 0 1 0 1 0 1 0 1 0 1 0\n    0 0 0 0 1 1 1 1 0 0 1 0 1 1 0 0 0 0 0 0 1 0 1 0 0 1 1 1 0 1 1 0 0 1 0 1 0 0 \n    0 0 0 0 0 0 0 0 0 0 0 0 0 0 0 0 0 0 0 0 0 0 0 0 0 0 0 0 0 0 1 0 0 0 0 0 0 0 \n    0 0 0 0 0 0 0 0 0 0]\n[0 1 1 0 1 1 1 0 0 0 1 0 1 1 0 1 1 0 0 0 1 0 0 0 0 0 0 0 1 1 0 1 1 1 1 0 1 0 0 1\n    0 1 1 0 1 1 0 0 1 0 1 1 0 1 1 1 1 1 1 1 0 1 0 0 1 0 1 0 1 0 1 0 0 0 0 0 0 0 \n    0 0 0 0 0 0 0 0 0 0 0 0 0 0 0 0 0 0 0 0 0 0 0 0 0 0 0 0 0 0 0 1 0 0 0 0 0 0 \n    0 0 0 0 0 0 0 0 0 0]\n[1 0 1 1 0 1 1 1 0 0 0 1 0 1 1 0 1 1 0 0 0 1 0 0 0 0 0 0 0 1 1 0 1 1 1 1 0 1 0 0\n    1 0 1 1 0 1 1 0 0 1 0 1 1 0 1 1 1 1 1 1 1 0 1 0 0 1 0 1 0 1 0 1 0 0 0 0 0 0 \n    0 0 0 0 0 0 0 0 0 0 0 0 0 0 0 0 0 0 0 0 0 0 0 0 0 0 0 0 0 0 0 0 1 0 0 0 0 0 \n    0 0 0 0 0 0 0 0 0 0]\n[0 1 0 1 1 0 1 1 1 0 0 0 1 0 1 1 0 1 1 0 0 0 1 0 0 0 0 0 0 0 1 1 0 1 1 1 1 0 1 0\n    0 1 0 1 1 0 1 1 0 0 1 0 1 1 0 1 1 1 1 1 1 1 0 1 0 0 1 0 1 0 1 0 1 0 0 0 0 0 \n    0 0 0 0 0 0 0 0 0 0 0 0 0 0 0 0 0 0 0 0 0 0 0 0 0 0 0 0 0 0 0 0 0 1 0 0 0 0 \n    0 0 0 0 0 0 0 0 0 0]\n[0 0 1 0 1 1 0 1 1 1 0 0 0 1 0 1 1 0 1 1 0 0 0 1 0 0 0 0 0 0 0 1 1 0 1 1 1 1 0 1\n    0 0 1 0 1 1 0 1 1 0 0 1 0 1 1 0 1 1 1 1 1 1 1 0 1 0 0 1 0 1 0 1 0 1 0 0 0 0 \n    0 0 0 0 0 0 0 0 0 0 0 0 0 0 0 0 0 0 0 0 0 0 0 0 0 0 0 0 0 0 0 0 0 0 1 0 0 0 \n    0 0 0 0 0 0 0 0 0 0]\n[0 0 0 1 0 1 1 0 1 1 1 0 0 0 1 0 1 1 0 1 1 0 0 0 1 0 0 0 0 0 0 0 1 1 0 1 1 1 1 0\n    1 0 0 1 0 1 1 0 1 1 0 0 1 0 1 1 0 1 1 1 1 1 1 1 0 1 0 0 1 0 1 0 1 0 1 0 0 0 \n    0 0 0 0 0 0 0 0 0 0 0 0 0 0 0 0 0 0 0 0 0 0 0 0 0 0 0 0 0 0 0 0 0 0 0 1 0 0 \n    0 0 0 0 0 0 0 0 0 0]\n[0 0 0 0 1 0 1 1 0 1 1 1 0 0 0 1 0 1 1 0 1 1 0 0 0 1 0 0 0 0 0 0 0 1 1 0 1 1 1 1\n    0 1 0 0 1 0 1 1 0 1 1 0 0 1 0 1 1 0 1 1 1 1 1 1 1 0 1 0 0 1 0 1 0 1 0 1 0 0 \n    0 0 0 0 0 0 0 0 0 0 0 0 0 0 0 0 0 0 0 0 0 0 0 0 0 0 0 0 0 0 0 0 0 0 0 0 1 0 \n    0 0 0 0 0 0 0 0 0 0]\n[1 1 1 0 1 0 0 1 0 1 0 1 0 1 1 0 0 1 1 1 0 1 1 0 0 1 0 1 0 0 0 0 1 0 0 0 1 0 1 1\n    1 1 0 0 1 1 1 0 1 0 0 1 0 0 1 1 0 0 1 0 1 1 1 0 0 1 0 0 0 0 1 1 1 0 0 0 0 0 \n    0 0 0 0 0 0 0 0 0 0 0 0 0 0 0 0 0 0 0 0 0 0 0 0 0 0 0 0 0 0 0 0 0 0 0 0 0 1 \n    0 0 0 0 0 0 0 0 0 0]\n[1 1 1 1 0 1 0 0 1 0 1 0 1 0 1 1 0 0 1 1 1 0 1 1 0 0 1 0 1 0 0 0 0 1 0 0 0 1 0 1\n    1 1 1 0 0 1 1 1 0 1 0 0 1 0 0 1 1 0 0 1 0 1 1 1 0 0 1 0 0 0 0 1 1 1 0 0 0 0 \n    0 0 0 0 0 0 0 0 0 0 0 0 0 0 0 0 0 0 0 0 0 0 0 0 0 0 0 0 0 0 0 0 0 0 0 0 0 0 \n    1 0 0 0 0 0 0 0 0 0]\n[0 1 1 1 1 0 1 0 0 1 0 1 0 1 0 1 1 0 0 1 1 1 0 1 1 0 0 1 0 1 0 0 0 0 1 0 0 0 1 0\n    1 1 1 1 0 0 1 1 1 0 1 0 0 1 0 0 1 1 0 0 1 0 1 1 1 0 0 1 0 0 0 0 1 1 1 0 0 0 \n    0 0 0 0 0 0 0 0 0 0 0 0 0 0 0 0 0 0 0 0 0 0 0 0 0 0 0 0 0 0 0 0 0 0 0 0 0 0 \n    0 1 0 0 0 0 0 0 0 0]\n[0 0 1 1 1 1 0 1 0 0 1 0 1 0 1 0 1 1 0 0 1 1 1 0 1 1 0 0 1 0 1 0 0 0 0 1 0 0 0 1\n    0 1 1 1 1 0 0 1 1 1 0 1 0 0 1 0 0 1 1 0 0 1 0 1 1 1 0 0 1 0 0 0 0 1 1 1 0 0 \n    0 0 0 0 0 0 0 0 0 0 0 0 0 0 0 0 0 0 0 0 0 0 0 0 0 0 0 0 0 0 0 0 0 0 0 0 0 0 \n    0 0 1 0 0 0 0 0 0 0]\n[1 1 1 1 0 0 1 0 0 1 1 1 1 0 1 1 1 0 1 0 0 1 1 1 0 0 0 1 0 1 0 1 1 0 1 1 0 1 0 0\n    1 1 0 1 0 1 1 1 1 1 0 0 1 0 0 0 1 1 0 0 0 0 1 1 0 1 1 1 0 1 0 1 0 0 0 1 0 0 \n    0 0 0 0 0 0 0 0 0 0 0 0 0 0 0 0 0 0 0 0 0 0 0 0 0 0 0 0 0 0 0 0 0 0 0 0 0 0 \n    0 0 0 1 0 0 0 0 0 0]\n[0 0 0 1 0 1 0 1 1 1 0 1 0 0 1 1 0 0 0 1 0 0 1 1 1 1 1 1 1 0 1 0 0 1 1 0 0 1 1 0\n    0 0 0 0 0 0 0 0 1 1 0 0 0 1 0 1 1 0 0 1 0 0 0 0 0 0 1 0 1 0 1 1 1 0 1 0 0 0 \n    0 0 0 0 0 0 0 0 0 0 0 0 0 0 0 0 0 0 0 0 0 0 0 0 0 0 0 0 0 0 0 0 0 0 0 0 0 0 \n    0 0 0 0 1 0 0 0 0 0]\n[1 0 0 0 1 0 1 0 1 1 1 0 1 0 0 1 1 0 0 0 1 0 0 1 1 1 1 1 1 1 0 1 0 0 1 1 0 0 1 1\n    0 0 0 0 0 0 0 0 0 1 1 0 0 0 1 0 1 1 0 0 1 0 0 0 0 0 0 1 0 1 0 1 1 1 0 1 0 0 \n    0 0 0 0 0 0 0 0 0 0 0 0 0 0 0 0 0 0 0 0 0 0 0 0 0 0 0 0 0 0 0 0 0 0 0 0 0 0 \n    0 0 0 0 0 1 0 0 0 0]\n[1 0 1 0 1 0 0 1 1 0 0 1 1 0 1 0 0 0 0 0 0 1 0 0 1 0 0 0 1 1 1 0 0 0 1 0 0 1 0 1\n    1 1 1 0 1 0 1 1 0 0 0 1 0 0 0 0 1 0 0 1 0 1 0 1 1 0 0 1 1 0 1 1 1 1 0 0 0 0 \n    0 0 0 0 0 0 0 0 0 0 0 0 0 0 0 0 0 0 0 0 0 0 0 0 0 0 0 0 0 0 0 0 0 0 0 0 0 0 \n    0 0 0 0 0 0 1 0 0 0]\n[1 1 0 1 0 1 0 0 1 1 0 0 1 1 0 1 0 0 0 0 0 0 1 0 0 1 0 0 0 1 1 1 0 0 0 1 0 0 1 0\n    1 1 1 1 0 1 0 1 1 0 0 0 1 0 0 0 0 1 0 0 1 0 1 0 1 1 0 0 1 1 0 1 1 1 1 0 0 0 \n    0 0 0 0 0 0 0 0 0 0 0 0 0 0 0 0 0 0 0 0 0 0 0 0 0 0 0 0 0 0 0 0 0 0 0 0 0 0 \n    0 0 0 0 0 0 0 1 0 0]\n[0 1 1 0 1 0 1 0 0 1 1 0 0 1 1 0 1 0 0 0 0 0 0 1 0 0 1 0 0 0 1 1 1 0 0 0 1 0 0 1\n    0 1 1 1 1 0 1 0 1 1 0 0 0 1 0 0 0 0 1 0 0 1 0 1 0 1 1 0 0 1 1 0 1 1 1 1 0 0 \n    0 0 0 0 0 0 0 0 0 0 0 0 0 0 0 0 0 0 0 0 0 0 0 0 0 0 0 0 0 0 0 0 0 0 0 0 0 0 \n    0 0 0 0 0 0 0 0 1 0]\n[1 1 0 1 1 0 0 1 1 1 0 1 1 1 0 1 1 0 0 0 0 0 0 0 1 1 1 0 0 0 0 1 0 1 1 1 1 0 0 0\n    1 1 0 1 0 1 1 0 0 1 0 0 0 0 1 1 1 1 1 0 0 0 1 1 0 0 1 0 0 0 1 0 0 1 0 1 0 0 \n    0 0 0 0 0 0 0 0 0 0 0 0 0 0 0 0 0 0 0 0 0 0 0 0 0 0 0 0 0 0 0 0 0 0 0 0 0 0 \n    0 0 0 0 0 0 0 0 0 1]\n[126, 50] Linear Code over GF(2)\nGenerator matrix:\n[1 0 0 0 0 0 0 0 0 0 0 0 0 0 0 0 0 0 0 0 0 0 0 0 0 0 0 0 0 0 0 0 0 0 0 0 0 0 0 0\n    0 0 0 0 0 0 0 0 0 0 1 1 1 1 0 1 1 0 0 1 1 1 0 1 1 1 0 1 1 0 0 0 0 0 0 0 1 1 \n    1 0 0 0 0 1 0 1 1 1 1 0 0 0 1 1 0 1 0 1 1 0 0 1 0 0 0 0 1 1 1 1 1 0 0 0 1 1 \n    0 0 1 0 0 0 1 0 0 1]\n[0 1 0 0 0 0 0 0 0 0 0 0 0 0 0 0 0 0 0 0 0 0 0 0 0 0 0 0 0 0 0 0 0 0 0 0 0 0 0 0\n    0 0 0 0 0 0 0 0 0 0 0 1 1 1 1 0 1 1 0 0 1 1 1 0 1 1 1 0 1 1 0 0 0 0 0 0 0 1 \n    1 1 0 0 0 0 1 0 1 1 1 1 0 0 0 1 1 0 1 0 1 1 0 0 1 0 0 0 0 1 1 1 1 1 0 0 0 1 \n    1 0 0 1 0 0 0 1 0 0]\n[0 0 1 0 0 0 0 0 0 0 0 0 0 0 0 0 0 0 0 0 0 0 0 0 0 0 0 0 0 0 0 0 0 0 0 0 0 0 0 0\n    0 0 0 0 0 0 0 0 0 0 1 1 0 0 1 0 1 1 1 1 1 0 1 0 1 0 1 0 1 1 1 0 0 0 0 0 1 1 \n    0 1 1 0 0 1 0 0 1 0 0 1 1 0 1 1 1 0 0 0 1 1 1 1 0 1 0 0 1 1 0 0 0 1 1 0 1 1 \n    1 1 1 0 1 0 1 0 1 1]\n[0 0 0 1 0 0 0 0 0 0 0 0 0 0 0 0 0 0 0 0 0 0 0 0 0 0 0 0 0 0 0 0 0 0 0 0 0 0 0 0\n    0 0 0 0 0 0 0 0 0 0 0 1 1 0 0 1 0 1 1 1 1 1 0 1 0 1 0 1 0 1 1 1 0 0 0 0 0 1 \n    1 0 1 1 0 0 1 0 0 1 0 0 1 1 0 1 1 1 0 0 0 1 1 1 1 0 1 0 0 1 1 0 0 0 1 1 0 1 \n    1 1 1 1 0 1 0 1 0 1]\n[0 0 0 0 1 0 0 0 0 0 0 0 0 0 0 0 0 0 0 0 0 0 0 0 0 0 0 0 0 0 0 0 0 0 0 0 0 0 0 0\n    0 0 0 0 0 0 0 0 0 0 1 1 0 0 0 1 0 0 1 0 0 0 1 1 0 1 1 1 0 0 1 1 1 0 0 0 1 1 \n    0 1 0 1 1 1 0 0 1 1 0 0 0 1 0 1 1 0 1 1 1 0 1 0 1 1 0 1 1 1 0 0 1 0 0 1 0 1 \n    1 1 0 1 1 0 0 0 1 1]\n[0 0 0 0 0 1 0 0 0 0 0 0 0 0 0 0 0 0 0 0 0 0 0 0 0 0 0 0 0 0 0 0 0 0 0 0 0 0 0 0\n    0 0 0 0 0 0 0 0 0 0 1 0 0 1 0 1 0 0 0 0 1 1 0 0 0 1 1 0 0 0 0 1 1 1 0 0 1 0 \n    0 0 1 0 1 0 1 1 1 0 0 0 0 0 0 1 1 0 0 0 0 1 0 0 0 1 1 0 0 0 0 1 1 1 0 0 0 1 \n    1 1 0 0 1 1 1 0 0 0]\n[0 0 0 0 0 0 1 0 0 0 0 0 0 0 0 0 0 0 0 0 0 0 0 0 0 0 0 0 0 0 0 0 0 0 0 0 0 0 0 0\n    0 0 0 0 0 0 0 0 0 0 1 0 1 1 1 1 0 0 0 1 1 0 1 1 1 1 1 0 1 0 0 0 1 1 1 0 1 0 \n    1 0 0 1 0 0 0 0 0 0 1 0 0 0 1 1 1 0 0 1 1 0 1 1 0 0 1 1 1 1 1 1 0 1 1 0 1 1 \n    1 1 0 0 0 1 0 1 0 1]\n[0 0 0 0 0 0 0 1 0 0 0 0 0 0 0 0 0 0 0 0 0 0 0 0 0 0 0 0 0 0 0 0 0 0 0 0 0 0 0 0\n    0 0 0 0 0 0 0 0 0 0 0 1 0 1 1 1 1 0 0 0 1 1 0 1 1 1 1 1 0 1 0 0 0 1 1 1 0 1 \n    0 1 0 0 1 0 0 0 0 0 0 1 0 0 0 1 1 1 0 0 1 1 0 1 1 0 0 1 1 1 1 1 1 0 1 1 0 1 \n    1 1 1 0 0 0 1 0 1 0]\n[0 0 0 0 0 0 0 0 1 0 0 0 0 0 0 0 0 0 0 0 0 0 0 0 0 0 0 0 0 0 0 0 0 0 0 0 0 0 0 0\n    0 0 0 0 0 0 0 0 0 0 1 1 0 1 1 0 0 1 0 1 1 0 1 1 0 0 1 0 0 0 1 0 0 0 1 1 0 1 \n    0 0 1 0 0 0 0 1 1 1 1 0 1 0 1 1 1 0 1 1 1 1 1 1 1 1 0 0 0 0 0 0 0 1 0 1 0 1 \n    1 1 0 1 0 0 1 1 0 0]\n[0 0 0 0 0 0 0 0 0 1 0 0 0 0 0 0 0 0 0 0 0 0 0 0 0 0 0 0 0 0 0 0 0 0 0 0 0 0 0 0\n    0 0 0 0 0 0 0 0 0 0 0 1 1 0 1 1 0 0 1 0 1 1 0 1 1 0 0 1 0 0 0 1 0 0 0 1 1 0 \n    1 0 0 1 0 0 0 0 1 1 1 1 0 1 0 1 1 1 0 1 1 1 1 1 1 1 1 0 0 0 0 0 0 0 1 0 1 0 \n    1 1 1 0 1 0 0 1 1 0]\n[0 0 0 0 0 0 0 0 0 0 1 0 0 0 0 0 0 0 0 0 0 0 0 0 0 0 0 0 0 0 0 0 0 0 0 0 0 0 0 0\n    0 0 0 0 0 0 0 0 0 0 0 0 1 1 0 1 1 0 0 1 0 1 1 0 1 1 0 0 1 0 0 0 1 0 0 0 1 1 \n    0 1 0 0 1 0 0 0 0 1 1 1 1 0 1 0 1 1 1 0 1 1 1 1 1 1 1 1 0 0 0 0 0 0 0 1 0 1 \n    0 1 1 1 0 1 0 0 1 1]\n[0 0 0 0 0 0 0 0 0 0 0 1 0 0 0 0 0 0 0 0 0 0 0 0 0 0 0 0 0 0 0 0 0 0 0 0 0 0 0 0\n    0 0 0 0 0 0 0 0 0 0 0 0 0 1 1 0 1 1 0 0 1 0 1 1 0 1 1 0 0 1 0 0 0 1 0 0 0 1 \n    1 0 1 0 0 1 0 0 0 0 1 1 1 1 0 1 0 1 1 1 0 1 1 1 1 1 1 1 1 0 0 0 0 0 0 0 1 0 \n    1 0 1 1 1 0 1 0 0 1]\n[0 0 0 0 0 0 0 0 0 0 0 0 1 0 0 0 0 0 0 0 0 0 0 0 0 0 0 0 0 0 0 0 0 0 0 0 0 0 0 0\n    0 0 0 0 0 0 0 0 0 0 1 1 1 1 1 0 1 1 1 1 1 0 0 0 0 1 1 0 1 0 1 0 0 0 1 0 1 1 \n    0 1 0 1 0 1 1 1 1 1 1 1 1 1 0 1 1 1 1 0 0 0 1 0 1 1 1 1 0 0 1 1 1 0 0 0 1 0 \n    0 1 1 1 1 1 1 1 0 1]\n[0 0 0 0 0 0 0 0 0 0 0 0 0 1 0 0 0 0 0 0 0 0 0 0 0 0 0 0 0 0 0 0 0 0 0 0 0 0 0 0\n    0 0 0 0 0 0 0 0 0 0 1 0 0 0 1 0 1 1 1 0 0 0 0 1 1 1 1 0 1 1 0 1 0 0 0 1 1 0 \n    0 0 1 0 1 1 1 0 0 0 0 1 1 1 0 1 1 0 1 0 1 0 0 0 0 1 1 1 0 1 1 0 0 1 0 0 1 0 \n    0 0 0 1 1 1 0 1 1 1]\n[0 0 0 0 0 0 0 0 0 0 0 0 0 0 1 0 0 0 0 0 0 0 0 0 0 0 0 0 0 0 0 0 0 0 0 0 0 0 0 0\n    0 0 0 0 0 0 0 0 0 0 1 0 1 1 0 0 1 1 1 0 1 1 0 1 0 0 1 0 1 1 1 0 1 0 0 0 0 0 \n    1 0 0 1 0 0 1 0 1 1 1 0 1 1 0 1 1 0 0 0 1 1 0 1 0 0 1 1 0 1 0 0 1 0 1 0 1 0 \n    0 0 1 0 1 1 0 0 1 0]\n[0 0 0 0 0 0 0 0 0 0 0 0 0 0 0 1 0 0 0 0 0 0 0 0 0 0 0 0 0 0 0 0 0 0 0 0 0 0 0 0\n    0 0 0 0 0 0 0 0 0 0 1 0 1 0 1 1 1 1 1 0 1 0 1 1 0 1 0 0 1 1 1 1 0 1 0 0 1 1 \n    1 1 0 0 1 1 0 0 1 0 0 1 0 1 0 1 1 0 0 1 1 1 1 1 1 0 0 1 0 1 0 1 1 1 0 1 1 0 \n    0 0 1 1 0 1 0 0 0 0]\n[0 0 0 0 0 0 0 0 0 0 0 0 0 0 0 0 1 0 0 0 0 0 0 0 0 0 0 0 0 0 0 0 0 0 0 0 0 0 0 0\n    0 0 0 0 0 0 0 0 0 0 0 1 0 1 0 1 1 1 1 1 0 1 0 1 1 0 1 0 0 1 1 1 1 0 1 0 0 1 \n    1 1 1 0 0 1 1 0 0 1 0 0 1 0 1 0 1 1 0 0 1 1 1 1 1 1 0 0 1 0 1 0 1 1 1 0 1 1 \n    0 0 0 1 1 0 1 0 0 0]\n[0 0 0 0 0 0 0 0 0 0 0 0 0 0 0 0 0 1 0 0 0 0 0 0 0 0 0 0 0 0 0 0 0 0 0 0 0 0 0 0\n    0 0 0 0 0 0 0 0 0 0 0 0 1 0 1 0 1 1 1 1 1 0 1 0 1 1 0 1 0 0 1 1 1 1 0 1 0 0 \n    1 1 1 1 0 0 1 1 0 0 1 0 0 1 0 1 0 1 1 0 0 1 1 1 1 1 1 0 0 1 0 1 0 1 1 1 0 1 \n    1 0 0 0 1 1 0 1 0 0]\n[0 0 0 0 0 0 0 0 0 0 0 0 0 0 0 0 0 0 1 0 0 0 0 0 0 0 0 0 0 0 0 0 0 0 0 0 0 0 0 0\n    0 0 0 0 0 0 0 0 0 0 0 0 0 1 0 1 0 1 1 1 1 1 0 1 0 1 1 0 1 0 0 1 1 1 1 0 1 0 \n    0 1 1 1 1 0 0 1 1 0 0 1 0 0 1 0 1 0 1 1 0 0 1 1 1 1 1 1 0 0 1 0 1 0 1 1 1 0 \n    1 1 0 0 0 1 1 0 1 0]\n[0 0 0 0 0 0 0 0 0 0 0 0 0 0 0 0 0 0 0 1 0 0 0 0 0 0 0 0 0 0 0 0 0 0 0 0 0 0 0 0\n    0 0 0 0 0 0 0 0 0 0 0 0 0 0 1 0 1 0 1 1 1 1 1 0 1 0 1 1 0 1 0 0 1 1 1 1 0 1 \n    0 0 1 1 1 1 0 0 1 1 0 0 1 0 0 1 0 1 0 1 1 0 0 1 1 1 1 1 1 0 0 1 0 1 0 1 1 1 \n    0 1 1 0 0 0 1 1 0 1]\n[0 0 0 0 0 0 0 0 0 0 0 0 0 0 0 0 0 0 0 0 1 0 0 0 0 0 0 0 0 0 0 0 0 0 0 0 0 0 0 0\n    0 0 0 0 0 0 0 0 0 0 0 0 0 0 0 1 0 1 0 1 1 1 1 1 0 1 0 1 1 0 1 0 0 1 1 1 1 0 \n    1 0 0 1 1 1 1 0 0 1 1 0 0 1 0 0 1 0 1 0 1 1 0 0 1 1 1 1 1 1 0 0 1 0 1 0 1 1 \n    1 0 1 1 0 0 0 1 1 0]\n[0 0 0 0 0 0 0 0 0 0 0 0 0 0 0 0 0 0 0 0 0 1 0 0 0 0 0 0 0 0 0 0 0 0 0 0 0 0 0 0\n    0 0 0 0 0 0 0 0 0 0 1 1 1 1 0 1 0 0 1 1 0 0 1 0 0 1 1 1 0 1 0 1 0 0 1 1 0 0 \n    1 1 0 0 1 0 1 0 1 1 0 1 0 0 0 1 0 0 0 0 1 1 1 1 0 1 1 1 0 0 0 1 1 1 0 1 1 0 \n    1 1 1 1 1 0 1 0 1 0]\n[0 0 0 0 0 0 0 0 0 0 0 0 0 0 0 0 0 0 0 0 0 0 1 0 0 0 0 0 0 0 0 0 0 0 0 0 0 0 0 0\n    0 0 0 0 0 0 0 0 0 0 0 1 1 1 1 0 1 0 0 1 1 0 0 1 0 0 1 1 1 0 1 0 1 0 0 1 1 0 \n    0 1 1 0 0 1 0 1 0 1 1 0 1 0 0 0 1 0 0 0 0 1 1 1 1 0 1 1 1 0 0 0 1 1 1 0 1 1 \n    0 1 1 1 1 1 0 1 0 1]\n[0 0 0 0 0 0 0 0 0 0 0 0 0 0 0 0 0 0 0 0 0 0 0 1 0 0 0 0 0 0 0 0 0 0 0 0 0 0 0 0\n    0 0 0 0 0 0 0 0 0 0 0 0 1 1 1 1 0 1 0 0 1 1 0 0 1 0 0 1 1 1 0 1 0 1 0 0 1 1 \n    0 0 1 1 0 0 1 0 1 0 1 1 0 1 0 0 0 1 0 0 0 0 1 1 1 1 0 1 1 1 0 0 0 1 1 1 0 1 \n    1 0 1 1 1 1 1 0 1 0]\n[0 0 0 0 0 0 0 0 0 0 0 0 0 0 0 0 0 0 0 0 0 0 0 0 1 0 0 0 0 0 0 0 0 0 0 0 0 0 0 0\n    0 0 0 0 0 0 0 0 0 0 1 1 1 0 1 0 0 0 1 1 1 0 1 1 1 0 0 1 0 1 1 0 1 0 1 0 1 0 \n    0 0 0 1 1 1 0 0 1 0 1 1 1 0 0 1 0 1 1 1 1 0 0 0 1 1 1 0 0 0 0 1 1 0 1 1 0 1 \n    1 1 1 1 1 1 0 1 0 0]\n[0 0 0 0 0 0 0 0 0 0 0 0 0 0 0 0 0 0 0 0 0 0 0 0 0 1 0 0 0 0 0 0 0 0 0 0 0 0 0 0\n    0 0 0 0 0 0 0 0 0 0 0 1 1 1 0 1 0 0 0 1 1 1 0 1 1 1 0 0 1 0 1 1 0 1 0 1 0 1 \n    0 0 0 0 1 1 1 0 0 1 0 1 1 1 0 0 1 0 1 1 1 1 0 0 0 1 1 1 0 0 0 0 1 1 0 1 1 0 \n    1 1 1 1 1 1 1 0 1 0]\n[0 0 0 0 0 0 0 0 0 0 0 0 0 0 0 0 0 0 0 0 0 0 0 0 0 0 1 0 0 0 0 0 0 0 0 0 0 0 0 0\n    0 0 0 0 0 0 0 0 0 0 0 0 1 1 1 0 1 0 0 0 1 1 1 0 1 1 1 0 0 1 0 1 1 0 1 0 1 0 \n    1 0 0 0 0 1 1 1 0 0 1 0 1 1 1 0 0 1 0 1 1 1 1 0 0 0 1 1 1 0 0 0 0 1 1 0 1 1 \n    0 1 1 1 1 1 1 1 0 1]\n[0 0 0 0 0 0 0 0 0 0 0 0 0 0 0 0 0 0 0 0 0 0 0 0 0 0 0 1 0 0 0 0 0 0 0 0 0 0 0 0\n    0 0 0 0 0 0 0 0 0 0 0 0 0 1 1 1 0 1 0 0 0 1 1 1 0 1 1 1 0 0 1 0 1 1 0 1 0 1 \n    0 1 0 0 0 0 1 1 1 0 0 1 0 1 1 1 0 0 1 0 1 1 1 1 0 0 0 1 1 1 0 0 0 0 1 1 0 1 \n    1 0 1 1 1 1 1 1 1 0]\n[0 0 0 0 0 0 0 0 0 0 0 0 0 0 0 0 0 0 0 0 0 0 0 0 0 0 0 0 1 0 0 0 0 0 0 0 0 0 0 0\n    0 0 0 0 0 0 0 0 0 0 1 1 1 1 1 0 0 0 1 1 1 1 1 0 0 1 1 0 0 0 0 1 0 1 1 0 0 1 \n    0 0 1 0 0 1 0 0 0 0 1 0 1 0 0 0 1 1 0 0 1 1 1 0 1 0 0 0 0 0 0 1 1 0 0 1 0 1 \n    1 1 1 1 1 1 0 1 1 0]\n[0 0 0 0 0 0 0 0 0 0 0 0 0 0 0 0 0 0 0 0 0 0 0 0 0 0 0 0 0 1 0 0 0 0 0 0 0 0 0 0\n    0 0 0 0 0 0 0 0 0 0 0 1 1 1 1 1 0 0 0 1 1 1 1 1 0 0 1 1 0 0 0 0 1 0 1 1 0 0 \n    1 0 0 1 0 0 1 0 0 0 0 1 0 1 0 0 0 1 1 0 0 1 1 1 0 1 0 0 0 0 0 0 1 1 0 0 1 0 \n    1 1 1 1 1 1 1 0 1 1]\n[0 0 0 0 0 0 0 0 0 0 0 0 0 0 0 0 0 0 0 0 0 0 0 0 0 0 0 0 0 0 1 0 0 0 0 0 0 0 0 0\n    0 0 0 0 0 0 0 0 0 0 0 0 1 1 1 1 1 0 0 0 1 1 1 1 1 0 0 1 1 0 0 0 0 1 0 1 1 0 \n    0 1 0 0 1 0 0 1 0 0 0 0 1 0 1 0 0 0 1 1 0 0 1 1 1 0 1 0 0 0 0 0 0 1 1 0 0 1 \n    0 1 1 1 1 1 1 1 0 1]\n[0 0 0 0 0 0 0 0 0 0 0 0 0 0 0 0 0 0 0 0 0 0 0 0 0 0 0 0 0 0 0 1 0 0 0 0 0 0 0 0\n    0 0 0 0 0 0 0 0 0 0 1 1 1 0 1 0 0 1 0 1 1 0 1 0 0 0 0 1 0 1 0 0 0 0 1 0 0 0 \n    1 0 1 0 0 0 0 1 0 1 1 0 0 1 1 0 0 1 0 0 0 0 0 0 1 1 0 1 1 1 1 1 1 0 1 1 1 1 \n    1 0 0 1 1 1 0 1 1 1]\n[0 0 0 0 0 0 0 0 0 0 0 0 0 0 0 0 0 0 0 0 0 0 0 0 0 0 0 0 0 0 0 0 1 0 0 0 0 0 0 0\n    0 0 0 0 0 0 0 0 0 0 1 0 0 0 0 0 1 0 1 1 0 0 0 0 1 1 0 1 0 0 1 0 0 0 0 1 1 1 \n    1 1 0 1 0 1 0 1 0 1 0 1 0 0 0 0 0 1 1 1 1 0 0 1 0 1 1 0 0 0 0 0 0 1 0 1 0 0 \n    1 1 1 0 1 1 0 0 1 0]\n[0 0 0 0 0 0 0 0 0 0 0 0 0 0 0 0 0 0 0 0 0 0 0 0 0 0 0 0 0 0 0 0 0 1 0 0 0 0 0 0\n    0 0 0 0 0 0 0 0 0 0 1 0 1 1 0 1 1 1 0 0 0 1 0 1 1 0 1 1 0 0 0 1 0 0 0 0 0 0 \n    0 1 1 0 1 1 1 1 0 1 0 0 1 0 1 1 0 1 1 0 0 1 0 1 1 0 1 1 1 1 1 1 1 0 1 0 0 1 \n    0 1 0 1 0 1 0 0 0 0]\n[0 0 0 0 0 0 0 0 0 0 0 0 0 0 0 0 0 0 0 0 0 0 0 0 0 0 0 0 0 0 0 0 0 0 1 0 0 0 0 0\n    0 0 0 0 0 0 0 0 0 0 0 1 0 1 1 0 1 1 1 0 0 0 1 0 1 1 0 1 1 0 0 0 1 0 0 0 0 0 \n    0 0 1 1 0 1 1 1 1 0 1 0 0 1 0 1 1 0 1 1 0 0 1 0 1 1 0 1 1 1 1 1 1 1 0 1 0 0 \n    1 0 1 0 1 0 1 0 0 0]\n[0 0 0 0 0 0 0 0 0 0 0 0 0 0 0 0 0 0 0 0 0 0 0 0 0 0 0 0 0 0 0 0 0 0 0 1 0 0 0 0\n    0 0 0 0 0 0 0 0 0 0 0 0 1 0 1 1 0 1 1 1 0 0 0 1 0 1 1 0 1 1 0 0 0 1 0 0 0 0 \n    0 0 0 1 1 0 1 1 1 1 0 1 0 0 1 0 1 1 0 1 1 0 0 1 0 1 1 0 1 1 1 1 1 1 1 0 1 0 \n    0 1 0 1 0 1 0 1 0 0]\n[0 0 0 0 0 0 0 0 0 0 0 0 0 0 0 0 0 0 0 0 0 0 0 0 0 0 0 0 0 0 0 0 0 0 0 0 1 0 0 0\n    0 0 0 0 0 0 0 0 0 0 0 0 0 1 0 1 1 0 1 1 1 0 0 0 1 0 1 1 0 1 1 0 0 0 1 0 0 0 \n    0 0 0 0 1 1 0 1 1 1 1 0 1 0 0 1 0 1 1 0 1 1 0 0 1 0 1 1 0 1 1 1 1 1 1 1 0 1 \n    0 0 1 0 1 0 1 0 1 0]\n[0 0 0 0 0 0 0 0 0 0 0 0 0 0 0 0 0 0 0 0 0 0 0 0 0 0 0 0 0 0 0 0 0 0 0 0 0 1 0 0\n    0 0 0 0 0 0 0 0 0 0 0 0 0 0 1 0 1 1 0 1 1 1 0 0 0 1 0 1 1 0 1 1 0 0 0 1 0 0 \n    0 0 0 0 0 1 1 0 1 1 1 1 0 1 0 0 1 0 1 1 0 1 1 0 0 1 0 1 1 0 1 1 1 1 1 1 1 0 \n    1 0 0 1 0 1 0 1 0 1]\n[0 0 0 0 0 0 0 0 0 0 0 0 0 0 0 0 0 0 0 0 0 0 0 0 0 0 0 0 0 0 0 0 0 0 0 0 0 0 1 0\n    0 0 0 0 0 0 0 0 0 0 0 0 0 0 0 1 0 1 1 0 1 1 1 0 0 0 1 0 1 1 0 1 1 0 0 0 1 0 \n    0 0 0 0 0 0 1 1 0 1 1 1 1 0 1 0 0 1 0 1 1 0 1 1 0 0 1 0 1 1 0 1 1 1 1 1 1 1 \n    0 1 0 0 1 0 1 0 1 0]\n[0 0 0 0 0 0 0 0 0 0 0 0 0 0 0 0 0 0 0 0 0 0 0 0 0 0 0 0 0 0 0 0 0 0 0 0 0 0 0 1\n    0 0 0 0 0 0 0 0 0 0 1 1 1 1 0 1 0 0 1 0 1 0 1 0 1 1 0 0 1 1 1 0 1 1 0 0 1 0 \n    1 0 0 0 0 1 0 0 0 1 0 1 1 1 1 0 0 1 1 1 0 1 0 0 1 0 0 1 1 0 0 1 0 1 1 1 0 0 \n    1 0 0 0 0 1 1 1 0 0]\n[0 0 0 0 0 0 0 0 0 0 0 0 0 0 0 0 0 0 0 0 0 0 0 0 0 0 0 0 0 0 0 0 0 0 0 0 0 0 0 0\n    1 0 0 0 0 0 0 0 0 0 0 1 1 1 1 0 1 0 0 1 0 1 0 1 0 1 1 0 0 1 1 1 0 1 1 0 0 1 \n    0 1 0 0 0 0 1 0 0 0 1 0 1 1 1 1 0 0 1 1 1 0 1 0 0 1 0 0 1 1 0 0 1 0 1 1 1 0 \n    0 1 0 0 0 0 1 1 1 0]\n[0 0 0 0 0 0 0 0 0 0 0 0 0 0 0 0 0 0 0 0 0 0 0 0 0 0 0 0 0 0 0 0 0 0 0 0 0 0 0 0\n    0 1 0 0 0 0 0 0 0 0 0 0 1 1 1 1 0 1 0 0 1 0 1 0 1 0 1 1 0 0 1 1 1 0 1 1 0 0 \n    1 0 1 0 0 0 0 1 0 0 0 1 0 1 1 1 1 0 0 1 1 1 0 1 0 0 1 0 0 1 1 0 0 1 0 1 1 1 \n    0 0 1 0 0 0 0 1 1 1]\n[0 0 0 0 0 0 0 0 0 0 0 0 0 0 0 0 0 0 0 0 0 0 0 0 0 0 0 0 0 0 0 0 0 0 0 0 0 0 0 0\n    0 0 1 0 0 0 0 0 0 0 0 0 0 1 1 1 1 0 1 0 0 1 0 1 0 1 0 1 1 0 0 1 1 1 0 1 1 0 \n    0 1 0 1 0 0 0 0 1 0 0 0 1 0 1 1 1 1 0 0 1 1 1 0 1 0 0 1 0 0 1 1 0 0 1 0 1 1 \n    1 0 0 1 0 0 0 0 1 1]\n[0 0 0 0 0 0 0 0 0 0 0 0 0 0 0 0 0 0 0 0 0 0 0 0 0 0 0 0 0 0 0 0 0 0 0 0 0 0 0 0\n    0 0 0 1 0 0 0 0 0 0 1 1 1 1 1 0 0 1 0 0 1 1 1 1 0 1 1 1 0 1 0 0 1 1 1 0 0 0 \n    1 0 1 0 1 1 0 1 1 0 1 0 0 1 1 0 1 0 1 1 1 1 1 0 0 1 0 0 0 1 1 0 0 0 0 1 1 0 \n    1 1 1 0 1 0 1 0 0 0]\n[0 0 0 0 0 0 0 0 0 0 0 0 0 0 0 0 0 0 0 0 0 0 0 0 0 0 0 0 0 0 0 0 0 0 0 0 0 0 0 0\n    0 0 0 0 1 0 0 0 0 0 1 0 0 0 1 0 1 0 1 1 1 0 1 0 0 1 1 0 0 0 1 0 0 1 1 1 1 1 \n    1 1 0 1 0 0 1 1 0 0 1 1 0 0 0 0 0 0 0 0 0 1 1 0 0 0 1 0 1 1 0 0 1 0 0 0 0 0 \n    0 1 0 1 0 1 1 1 0 1]\n[0 0 0 0 0 0 0 0 0 0 0 0 0 0 0 0 0 0 0 0 0 0 0 0 0 0 0 0 0 0 0 0 0 0 0 0 0 0 0 0\n    0 0 0 0 0 1 0 0 0 0 0 1 0 0 0 1 0 1 0 1 1 1 0 1 0 0 1 1 0 0 0 1 0 0 1 1 1 1 \n    1 1 1 0 1 0 0 1 1 0 0 1 1 0 0 0 0 0 0 0 0 0 1 1 0 0 0 1 0 1 1 0 0 1 0 0 0 0 \n    0 0 1 0 1 0 1 1 1 0]\n[0 0 0 0 0 0 0 0 0 0 0 0 0 0 0 0 0 0 0 0 0 0 0 0 0 0 0 0 0 0 0 0 0 0 0 0 0 0 0 0\n    0 0 0 0 0 0 1 0 0 0 1 1 0 1 0 1 0 0 1 1 0 0 1 1 0 1 0 0 0 0 0 0 1 0 0 1 0 0 \n    0 1 1 1 0 0 0 1 0 0 1 0 1 1 1 1 0 1 0 1 1 0 0 0 1 0 0 0 0 1 0 0 1 0 1 0 1 1 \n    0 0 1 1 0 1 1 1 1 0]\n[0 0 0 0 0 0 0 0 0 0 0 0 0 0 0 0 0 0 0 0 0 0 0 0 0 0 0 0 0 0 0 0 0 0 0 0 0 0 0 0\n    0 0 0 0 0 0 0 1 0 0 0 1 1 0 1 0 1 0 0 1 1 0 0 1 1 0 1 0 0 0 0 0 0 1 0 0 1 0 \n    0 0 1 1 1 0 0 0 1 0 0 1 0 1 1 1 1 0 1 0 1 1 0 0 0 1 0 0 0 0 1 0 0 1 0 1 0 1 \n    1 0 0 1 1 0 1 1 1 1]\n[0 0 0 0 0 0 0 0 0 0 0 0 0 0 0 0 0 0 0 0 0 0 0 0 0 0 0 0 0 0 0 0 0 0 0 0 0 0 0 0\n    0 0 0 0 0 0 0 0 1 0 0 0 1 1 0 1 0 1 0 0 1 1 0 0 1 1 0 1 0 0 0 0 0 0 1 0 0 1 \n    0 0 0 1 1 1 0 0 0 1 0 0 1 0 1 1 1 1 0 1 0 1 1 0 0 0 1 0 0 0 0 1 0 0 1 0 1 0 \n    1 1 0 0 1 1 0 1 1 1]\n[0 0 0 0 0 0 0 0 0 0 0 0 0 0 0 0 0 0 0 0 0 0 0 0 0 0 0 0 0 0 0 0 0 0 0 0 0 0 0 0\n    0 0 0 0 0 0 0 0 0 1 1 1 1 0 1 1 0 0 1 1 1 0 1 1 1 0 1 1 0 0 0 0 0 0 0 1 1 1 \n    0 0 0 0 1 0 1 1 1 1 0 0 0 1 1 0 1 0 1 1 0 0 1 0 0 0 0 1 1 1 1 1 0 0 0 1 1 0 \n    0 1 0 0 0 1 0 0 1 0]\nLinear Code over GF(2) of length 126 with 50 generators.\nLower Bound: 1, Upper Bound: 77\nConstructed 3 distinct generator matrices\nRelative Ranks:  50  50  26 \nTime Taken: 0.00\nStarting search for low weight codewords... (reset timings)\nEnumerating using 1 generator at a time:\n     New codeword identified of weight 39, time 0.00\n     New codeword identified of weight 38, time 0.00\n     New codeword identified of weight 31, time 0.00\n     Discarding non-contributing rank 26 matrix\n     New Relative Ranks:  50  50 \n   Completed Matrix  1:  lower =  3, upper = 31. Elapsed: 0.00s\n   Completed Matrix  2:  lower =  4, upper = 31. Elapsed: 0.00s\nTermination predicted with 15 generators at matrix 1\nEnumerating using 2 generators at a time:\n     New codeword identified of weight 28, time 0.00\n     New codeword identified of weight 27, time 0.00\n   Completed Matrix  1:  lower =  5, upper = 27. Elapsed: 0.00s\n   Completed Matrix  2:  lower =  6, upper = 27. Elapsed: 0.00s\nTermination predicted with 13 generators at matrix 1\nEnumerating using 3 generators at a time:\n     New codeword identified of weight 26, time 0.00\n   Completed Matrix  1:  lower =  7, upper = 26. Elapsed: 0.00s\n   Completed Matrix  2:  lower =  8, upper = 26. Elapsed: 0.00s\nTermination predicted with 12 generators at matrix 2\nEnumerating using 4 generators at a time:\n   Completed Matrix  1:  lower =  9, upper = 26. Elapsed: 0.00s\n   Completed Matrix  2:  lower = 10, upper = 26. Elapsed: 0.00s\nTermination predicted with 12 generators at matrix 2\nEnumerating using 5 generators at a time:\n   Completed Matrix  1:  lower = 11, upper = 26. Elapsed: 0.00s\n   Completed Matrix  2:  lower = 12, upper = 26. Elapsed: 0.00s\nTermination predicted with 12 generators at matrix 2\nEnumerating using 6 generators at a time:\n   Completed Matrix  1:  lower = 13, upper = 26. Elapsed: 0.03s\n   Completed Matrix  2:  lower = 14, upper = 26. Elapsed: 0.08s\nTermination predicted with 12 generators at matrix 2\nEnumerating using 7 generators at a time:\n   Completed Matrix  1:  lower = 15, upper = 26. Elapsed: 0.32s\n   Completed Matrix  2:  lower = 16, upper = 26. Elapsed: 0.55s\nTermination predicted at 816 s (13m 36s) with 12 generators at matrix 2\nEnumerating using 8 generators at a time:\n   Completed Matrix  1:  lower = 17, upper = 26. Elapsed: 1.87s\n   Completed Matrix  2:  lower = 18, upper = 26. Elapsed: 3.20s\nTermination predicted at 841 s (14m 1s) with 12 generators at matrix 2\nEnumerating using 9 generators at a time:\n   Completed Matrix  1:  lower = 19, upper = 26. Elapsed: 9.61s\n   Completed Matrix  2:  lower = 20, upper = 26. Elapsed: 16.07s\nTermination predicted at 876 s (14m 36s) with 12 generators at matrix 2\nEnumerating using 10 generators at a time:\n   Completed Matrix  1:  lower = 21, upper = 26. Elapsed: 43.46s\n   Completed Matrix  2:  lower = 22, upper = 26. Elapsed: 71.29s\nTermination predicted at 914 s (15m 14s) with 12 generators at matrix 2\nEnumerating using 11 generators at a time:\n   Completed Matrix  1:  lower = 23, upper = 26. Elapsed: 176.12s\n   Completed Matrix  2:  lower = 24, upper = 26. Elapsed: 279.84s\nTermination predicted at 949 s (15m 49s) with 12 generators at matrix 2\nEnumerating using 12 generators at a time:\n   Completed Matrix  1:  lower = 25, upper = 26. Elapsed: 631.02s\n   Completed Matrix  2:  lower = 26, upper = 26. Elapsed: 982.55s\nComputation complete 344372250910 vectors enumerated in total\n (0.030586% of 126 50 code)\nFinal Results: lower = 26, upper = 26,\nTotal CPU time: 982.55, real time: 984.835\n26\n\nTotal time: 982.570 seconds, Total memory usage: 32.09MB\n</t>
  </si>
  <si>
    <t>[[127,30,37]]</t>
  </si>
  <si>
    <t>Magma V2.28-26    Tue Dec 30 2025 11:27:48 on Marks-MacBook-Air-2 [Seed = \n3956356366]\nType ? for help.  Type &lt;Ctrl&gt;-D to quit.\n[0 1 1 1 0 0 1 0 0 0 1 1 1 0 0 1 0 1 1 1 0 1 1 0 1 1 1 1 1 0 0 0 0 0 0 0 0 0 0 1\n    0 0 1 1 0 1 0 1 0 1 0 1 1 1 1 0 1 1 0 1 1 0 0 1 1 0 0 1 0 1 1 1 0 1 1 1 0 1 \n    0 0 0 0 1 1 1 0 1 0 0 1 1 1 0 0 0 0 0 0 0 0 0 0 0 0 0 0 0 0 0 0 0 0 0 0 0 0 \n    0 0 0 0 0 0 0 0 0 0 0]\n[1 0 1 0 0 0 1 1 1 1 1 1 1 1 0 1 1 1 0 0 0 0 0 0 1 1 1 1 1 0 0 0 1 1 1 0 0 1 0 1\n    0 0 1 0 0 0 0 0 1 1 1 1 1 0 0 1 0 1 0 1 0 1 1 1 1 1 1 1 1 0 1 1 0 0 0 1 1 0 \n    1 0 1 1 0 1 1 0 0 1 1 1 1 0 0 1 0 0 0 0 0 0 0 0 0 0 0 0 0 0 0 0 0 0 0 0 0 0 \n    0 0 0 0 0 0 0 0 0 0 0]\n[1 0 1 0 1 1 0 1 1 0 1 1 1 0 1 0 1 1 1 0 1 1 1 0 0 0 1 0 0 0 1 1 0 1 1 0 0 1 0 1\n    0 0 0 0 0 1 1 0 0 0 1 1 0 0 1 0 1 0 0 0 1 1 0 0 1 1 0 0 1 0 1 0 1 1 1 1 0 1 \n    0 0 0 1 0 1 1 1 1 0 1 0 1 0 1 0 1 0 0 0 0 0 0 0 0 0 0 0 0 0 0 0 0 0 0 0 0 0 \n    0 0 0 0 0 0 0 0 0 0 0]\n[0 0 1 1 1 0 0 1 1 1 0 0 1 0 0 0 1 0 1 1 1 0 0 0 0 0 1 0 0 0 0 0 0 1 1 1 1 1 0 1\n    0 0 1 0 0 0 1 1 0 1 0 0 1 0 1 0 0 1 0 0 0 1 1 1 0 0 0 1 1 0 1 1 0 0 1 0 0 0 \n    1 0 1 0 0 0 0 1 1 0 1 0 0 0 1 0 0 0 1 0 0 0 0 0 0 0 0 0 0 0 0 0 0 0 0 0 0 0 \n    0 0 0 0 0 0 0 0 0 0 0]\n[0 0 1 1 1 0 0 0 0 0 0 0 0 0 0 0 0 1 0 1 1 1 0 1 1 1 1 1 1 0 0 1 1 0 0 0 1 1 0 1\n    0 0 1 0 0 1 1 1 1 1 1 0 0 0 1 0 1 0 1 1 1 1 0 0 0 1 1 1 1 1 1 1 1 0 0 1 1 1 \n    1 1 0 1 0 1 0 1 1 0 0 1 1 0 0 0 0 1 0 1 0 0 0 0 0 0 0 0 0 0 0 0 0 0 0 0 0 0 \n    0 0 0 0 0 0 0 0 0 0 0]\n[0 0 0 1 1 1 0 0 1 1 0 1 0 1 0 0 0 0 1 0 1 1 0 1 1 0 1 0 0 0 0 0 1 0 1 1 1 0 1 1\n    0 0 1 0 1 0 1 0 0 1 0 1 0 1 0 0 0 1 1 1 0 1 0 1 1 1 1 0 1 1 1 1 0 1 0 1 0 1 \n    1 1 0 0 1 1 0 0 0 0 1 0 0 0 0 0 0 0 0 0 1 0 0 0 0 0 0 0 0 0 0 0 0 0 0 0 0 0 \n    0 0 0 0 0 0 0 0 0 0 0]\n[1 0 0 0 1 0 0 1 0 1 1 1 0 0 1 1 1 1 0 1 0 1 1 1 1 1 0 0 0 0 0 1 0 0 0 0 1 0 1 1\n    0 0 0 0 0 0 1 1 1 1 0 1 0 1 0 1 1 1 1 1 0 0 1 0 1 1 1 1 1 1 0 0 1 0 1 1 1 1 \n    1 1 0 1 0 1 0 1 0 0 1 0 0 0 0 0 0 1 0 0 0 1 0 0 0 0 0 0 0 0 0 0 0 0 0 0 0 0 \n    0 0 0 0 0 0 0 0 0 0 0]\n[1 0 1 1 1 0 0 0 0 0 1 0 1 0 0 1 1 1 1 0 0 1 1 0 1 1 1 0 0 0 1 1 1 1 1 0 1 1 1 1\n    1 0 1 0 1 1 1 0 0 1 0 0 0 0 0 1 1 1 1 1 0 1 0 1 1 0 0 1 1 0 1 1 1 0 1 1 1 1 \n    1 0 0 0 0 0 0 0 1 1 1 0 1 0 1 0 0 0 0 0 0 0 1 0 0 0 0 0 0 0 0 0 0 0 0 0 0 0 \n    0 0 0 0 0 0 0 0 0 0 0]\n[1 0 0 0 1 1 0 1 1 1 0 1 0 0 0 0 0 1 0 0 0 1 0 1 0 1 1 1 0 0 0 1 0 0 0 1 0 0 1 1\n    1 1 0 0 0 0 1 0 1 0 0 0 0 1 1 0 0 1 1 1 0 1 0 0 1 0 1 0 0 0 0 1 1 0 1 1 0 0 \n    0 1 1 1 1 0 0 0 1 0 0 1 0 0 0 0 0 0 0 0 0 0 0 1 0 0 0 0 0 0 0 0 0 0 0 0 0 0 \n    0 0 0 0 0 0 0 0 0 0 0]\n[1 0 0 0 0 0 1 1 1 0 1 1 0 0 0 0 1 0 0 1 0 1 1 1 1 0 0 1 1 0 1 1 1 0 0 1 1 1 1 0\n    1 1 1 0 1 1 0 1 1 0 1 0 0 0 1 0 0 1 1 1 0 0 0 1 1 0 1 0 1 1 1 0 0 0 0 1 1 0 \n    1 1 1 1 0 1 1 1 1 0 0 1 0 0 0 0 0 0 0 0 0 0 0 0 1 0 0 0 0 0 0 0 0 0 0 0 0 0 \n    0 0 0 0 0 0 0 0 0 0 0]\n[1 1 0 0 0 1 1 0 1 1 0 0 0 0 0 1 1 0 0 0 1 0 1 0 1 1 0 1 1 0 1 0 1 0 0 1 1 0 0 1\n    1 1 1 0 0 0 0 0 0 0 1 0 1 1 1 1 1 1 1 1 0 0 0 0 1 1 0 1 1 1 1 0 0 0 0 1 1 0 \n    0 1 0 0 1 0 0 0 1 1 1 1 1 0 0 0 0 1 0 0 0 0 0 0 0 1 0 0 0 0 0 0 0 0 0 0 0 0 \n    0 0 0 0 0 0 0 0 0 0 0]\n[1 1 1 0 1 1 0 1 1 1 0 0 1 0 0 1 1 0 1 1 1 1 1 0 1 0 0 1 0 0 0 0 0 0 1 0 0 1 1 1\n    1 1 1 0 1 0 1 0 1 1 1 0 0 0 1 0 0 0 1 0 1 1 0 1 0 0 0 1 1 1 0 1 1 0 0 1 1 0 \n    0 1 0 0 0 0 0 0 1 0 0 1 1 0 1 0 0 0 0 0 0 0 0 0 0 0 1 0 0 0 0 0 0 0 0 0 0 0 \n    0 0 0 0 0 0 0 0 0 0 0]\n[1 1 1 0 1 1 0 0 0 0 0 0 0 1 0 1 1 0 1 0 0 1 0 0 1 1 0 0 1 0 1 0 1 1 1 1 0 1 1 0\n    0 1 0 0 1 1 1 1 0 0 1 0 0 1 1 1 0 0 1 0 1 1 0 1 1 0 1 1 1 1 1 0 0 1 1 0 1 1 \n    0 0 0 1 0 0 0 1 0 1 1 1 1 0 1 0 0 0 0 0 0 0 0 0 0 0 0 1 0 0 0 0 0 0 0 0 0 0 \n    0 0 0 0 0 0 0 0 0 0 0]\n[0 0 1 0 1 0 0 1 1 0 1 1 1 0 1 1 0 0 0 1 1 1 0 0 1 1 0 0 0 0 1 0 1 0 0 0 1 0 0 1\n    1 0 0 1 0 0 0 1 0 0 1 0 0 1 0 1 1 1 1 0 0 1 1 0 0 0 0 1 0 0 0 1 0 1 0 1 0 1 \n    0 1 1 1 0 0 1 0 0 1 0 1 0 0 1 0 0 0 0 0 0 0 0 0 0 0 0 0 1 0 0 0 0 0 0 0 0 0 \n    0 0 0 0 0 0 0 0 0 0 0]\n[1 0 1 1 1 1 1 0 0 1 0 0 0 1 0 0 1 1 1 1 0 1 1 1 0 0 1 0 1 0 0 1 1 1 1 0 0 0 0 1\n    1 1 0 1 1 1 0 1 1 1 0 0 0 1 0 1 1 0 0 1 0 0 1 0 0 1 0 1 1 0 0 0 1 0 1 0 1 0 \n    0 1 1 1 1 1 1 0 0 1 1 0 1 0 1 0 0 1 0 0 0 0 0 0 0 0 0 0 0 1 0 0 0 0 0 0 0 0 \n    0 0 0 0 0 0 0 0 0 0 0]\n[0 0 1 1 0 0 0 0 0 0 1 1 0 1 1 1 1 0 1 1 0 1 0 0 1 0 1 0 0 0 1 1 0 0 1 1 1 1 1 1\n    0 1 0 0 1 1 1 0 1 0 1 1 0 0 0 1 1 1 0 0 1 0 0 0 0 1 0 1 0 0 1 0 0 0 0 0 1 1 \n    0 0 0 1 0 1 0 1 0 1 0 0 0 0 1 0 0 1 0 0 0 0 0 0 0 0 0 0 0 0 1 0 0 0 0 0 0 0 \n    0 0 0 0 0 0 0 0 0 0 0]\n[0 0 0 0 0 1 0 1 0 0 1 1 0 1 1 1 0 1 1 0 0 0 1 1 1 0 0 1 1 0 0 0 0 1 0 1 0 0 0 1\n    0 0 1 1 0 0 1 0 0 1 0 1 0 1 0 1 0 0 1 1 1 1 0 0 1 1 0 0 0 0 0 0 0 0 1 0 1 0 \n    1 0 1 0 1 1 1 0 0 1 0 0 1 0 1 0 0 1 0 0 0 0 0 0 0 0 0 0 0 0 0 1 0 0 0 0 0 0 \n    0 0 0 0 0 0 0 0 0 0 0]\n[0 0 1 0 0 1 1 0 1 0 1 0 1 0 1 1 1 0 1 1 0 0 1 1 0 1 1 1 1 0 0 1 1 1 1 0 0 1 1 0\n    1 0 0 1 0 1 1 0 1 1 0 0 1 0 0 1 0 0 1 0 1 0 1 0 0 1 0 0 0 0 0 0 1 0 0 0 0 0 \n    1 1 1 1 0 1 0 0 1 0 0 0 0 0 0 0 0 1 0 0 0 0 0 0 0 0 0 0 0 0 0 0 1 0 0 0 0 0 \n    0 0 0 0 0 0 0 0 0 0 0]\n[1 1 1 0 0 1 1 0 1 0 1 0 0 0 0 1 0 1 1 0 1 1 0 1 0 0 0 0 1 0 0 1 1 1 0 1 1 0 0 1\n    0 1 0 1 0 0 0 1 0 0 1 0 0 0 0 1 1 0 1 0 1 1 1 1 0 1 1 0 1 1 1 0 1 0 1 1 1 0 \n    0 1 1 0 0 0 0 1 0 0 0 0 0 0 0 0 0 1 0 0 0 0 0 0 0 0 0 0 0 0 0 0 0 1 0 0 0 0 \n    0 0 0 0 0 0 0 0 0 0 0]\n[0 1 0 0 0 0 1 1 1 1 1 1 1 1 0 0 1 0 1 1 0 1 1 1 0 0 0 1 0 0 1 0 1 1 0 1 0 0 0 1\n    1 0 1 1 1 1 1 0 0 1 1 1 0 1 0 1 1 0 1 0 0 1 1 0 0 0 0 0 0 1 0 1 0 1 1 0 0 1 \n    1 1 1 0 0 0 0 0 0 0 0 1 1 0 0 0 0 1 0 0 0 0 0 0 0 0 0 0 0 0 0 0 0 0 1 0 0 0 \n    0 0 0 0 0 0 0 0 0 0 0]\n[1 1 1 0 0 1 0 0 0 1 1 1 0 0 1 0 1 1 1 0 1 1 0 1 1 1 1 1 0 0 0 0 0 0 0 0 0 0 1 0\n    0 1 1 0 1 0 1 0 0 0 1 1 1 1 1 1 1 0 1 1 0 0 1 1 0 0 1 0 1 1 1 0 1 1 1 0 1 0 \n    0 0 0 1 1 1 0 1 0 0 1 1 1 0 0 0 0 0 0 0 0 0 0 0 0 0 0 0 0 0 0 0 0 0 0 1 0 0 \n    0 0 0 0 0 0 0 0 0 0 0]\n[0 1 0 0 1 0 1 1 0 0 1 0 0 1 0 1 1 1 0 0 1 1 0 1 1 0 0 0 0 0 1 0 0 0 0 0 0 0 0 1\n    1 0 1 0 1 1 1 1 1 1 1 1 0 0 0 1 1 0 1 1 0 1 0 1 0 1 0 1 1 1 0 0 1 1 0 0 1 1 \n    1 0 0 0 1 0 0 1 1 1 0 1 0 0 1 0 0 0 0 0 0 0 0 0 0 0 0 0 0 0 0 0 0 0 0 0 1 0 \n    0 0 0 0 0 0 0 0 0 0 0]\n[1 1 0 0 1 1 0 1 0 1 0 0 1 0 1 0 1 1 1 0 1 0 1 1 1 0 1 1 1 0 1 1 1 1 1 0 0 1 0 0\n    0 1 0 1 1 0 0 0 1 0 1 1 0 0 0 0 0 0 1 1 1 0 0 0 0 0 0 0 1 0 1 1 1 0 1 1 0 0 \n    1 1 1 1 1 0 1 1 0 1 0 0 0 0 1 0 0 0 0 0 0 0 0 0 0 0 0 0 0 0 0 0 0 0 0 0 0 1 \n    0 0 0 0 0 0 0 0 0 0 0]\n[0 0 0 0 1 0 0 1 0 1 1 0 0 1 0 0 1 0 1 1 1 0 0 1 1 0 1 1 0 0 0 0 0 1 0 0 0 0 0 0\n    0 0 1 1 0 1 0 1 1 1 1 0 1 1 1 0 0 0 1 1 0 1 1 0 1 0 1 0 1 0 1 1 0 0 0 1 1 0 \n    0 1 1 1 0 0 0 1 0 0 1 1 1 0 1 0 0 1 0 0 0 0 0 0 0 0 0 0 0 0 0 0 0 0 0 0 0 0 \n    1 0 0 0 0 0 0 0 0 0 0]\n[1 1 1 0 0 1 0 1 1 1 0 1 1 0 1 0 1 1 1 0 1 0 1 1 0 1 0 0 1 0 0 0 1 1 1 1 1 0 0 1\n    0 0 0 1 1 0 0 1 1 1 1 1 0 1 0 1 1 1 1 0 0 1 0 0 1 0 0 0 1 0 1 1 1 1 0 1 1 0 \n    0 1 0 1 0 0 0 0 1 1 1 0 0 0 0 0 0 1 0 0 0 0 0 0 0 0 0 0 0 0 0 0 0 0 0 0 0 0 \n    0 1 0 0 0 0 0 0 0 0 0]\n[1 1 0 0 1 1 0 0 0 0 1 1 1 1 0 0 0 0 0 0 1 1 0 0 1 0 0 1 0 0 1 1 0 1 0 1 0 1 1 1\n    0 0 1 1 1 0 0 1 0 0 0 0 1 1 1 0 0 1 1 1 1 1 0 1 0 1 0 1 0 1 0 1 1 1 0 1 1 0 \n    1 0 1 1 1 0 1 0 1 1 1 0 0 0 1 0 0 1 0 0 0 0 0 0 0 0 0 0 0 0 0 0 0 0 0 0 0 0 \n    0 0 1 0 0 0 0 0 0 0 0]\n[0 1 1 1 0 0 1 0 0 1 0 1 0 1 1 0 0 0 0 0 0 1 1 0 0 0 1 1 0 0 0 0 0 0 1 0 0 1 0 1\n    0 0 1 1 1 1 0 0 0 1 1 0 0 1 0 1 1 1 0 1 0 0 0 0 1 1 1 0 1 0 1 0 1 1 0 1 1 0 \n    0 0 0 0 1 0 0 0 1 0 1 0 0 0 0 0 0 0 0 0 0 0 0 0 0 0 0 0 0 0 0 0 0 0 0 0 0 0 \n    0 0 0 1 0 0 0 0 0 0 0]\n[1 1 1 1 1 1 0 0 0 1 1 1 0 0 1 1 1 0 1 1 0 1 1 0 0 0 1 1 1 0 1 1 0 0 0 0 0 1 0 1\n    1 0 0 1 0 0 1 0 1 1 0 1 0 0 1 1 1 0 1 0 0 0 1 1 1 0 0 0 1 0 0 1 1 0 1 0 1 1 \n    1 1 0 0 1 1 1 1 1 0 0 0 1 0 0 0 0 0 0 0 0 0 0 0 0 0 0 0 0 0 0 0 0 0 0 0 0 0 \n    0 0 0 0 1 0 0 0 0 0 0]\n[1 0 0 0 1 0 1 1 0 0 0 1 1 0 0 1 0 1 1 0 1 1 0 0 1 1 1 1 0 0 1 0 1 1 0 1 0 1 0 1\n    0 1 1 0 1 0 1 0 1 0 0 0 1 0 0 0 1 1 0 0 0 0 0 0 0 1 0 1 1 0 0 0 1 0 1 1 0 1 \n    1 1 0 1 1 0 1 0 0 1 1 0 1 0 0 0 0 1 0 0 0 0 0 0 0 0 0 0 0 0 0 0 0 0 0 0 0 0 \n    0 0 0 0 0 1 0 0 0 0 0]\n[1 1 1 1 0 1 1 0 1 0 0 1 0 0 1 1 0 1 0 0 1 0 1 1 0 0 0 1 1 1 0 1 1 0 0 0 0 1 0 0\n    0 1 1 1 1 0 0 1 0 0 1 1 0 0 0 0 1 1 0 1 0 0 0 1 0 1 0 1 0 1 1 1 0 1 1 1 1 0 \n    0 1 0 1 0 1 1 1 1 1 0 0 0 0 0 0 0 1 0 0 0 0 0 0 0 0 0 0 0 0 0 0 0 0 0 0 0 0 \n    0 0 0 0 0 0 1 1 1 1 1]\n[127, 30] Linear Code over GF(2)\nGenerator matrix:\n[1 0 0 0 0 0 0 0 0 0 0 0 0 0 0 0 0 0 0 0 0 0 0 0 0 0 0 0 0 0 1 0 0 1 0 1 0 0 0 1\n    1 1 0 0 1 0 0 1 0 0 1 1 0 0 0 0 0 1 1 0 0 0 1 1 0 0 0 0 0 1 0 1 0 1 0 0 1 1 \n    1 1 0 0 0 0 1 1 0 0 1 0 1 1 1 1 0 1 0 0 0 0 1 1 1 0 1 0 1 1 0 1 1 0 1 1 0 0 \n    0 1 0 0 1 0 0 0 0 0 0]\n[0 1 0 0 0 0 0 0 0 0 0 0 0 0 0 0 0 0 0 0 0 0 0 0 0 0 0 0 0 0 0 1 0 0 1 0 1 0 0 0\n    1 1 1 0 0 1 0 0 1 1 0 1 1 0 0 0 0 0 1 1 0 0 0 1 1 0 0 0 0 0 0 0 1 0 1 0 0 1 \n    1 1 1 0 0 0 0 1 1 0 0 1 0 1 1 1 1 0 1 0 0 0 0 1 1 1 0 1 0 1 1 0 1 1 0 1 0 0 \n    0 0 0 0 0 1 0 0 0 0 0]\n[0 0 1 0 0 0 0 0 0 0 0 0 0 0 0 0 0 0 0 0 0 0 0 0 0 0 0 0 0 0 1 0 1 1 0 0 0 1 0 1\n    1 0 1 1 1 0 1 1 0 0 0 1 1 1 0 0 0 1 1 1 1 0 1 1 1 1 0 0 0 1 1 1 0 0 0 1 1 1 \n    0 0 1 1 0 0 1 1 1 1 1 0 0 1 0 0 1 0 0 1 0 0 1 1 0 1 0 0 0 1 1 0 1 1 0 1 1 0 \n    0 1 1 0 1 0 0 0 0 0 0]\n[0 0 0 1 0 0 0 0 0 0 0 0 0 0 0 0 0 0 0 0 0 0 0 0 0 0 0 0 0 0 0 1 0 1 1 0 0 0 1 0\n    1 1 0 1 1 1 0 1 1 0 0 0 1 1 1 0 0 0 1 1 1 1 0 1 1 1 1 0 0 0 0 1 1 0 0 0 1 1 \n    1 0 0 1 1 0 0 1 1 1 1 1 0 0 1 0 0 1 0 0 1 0 0 1 1 0 1 0 0 0 1 1 0 1 1 0 1 1 \n    0 0 0 1 0 1 0 0 0 0 0]\n[0 0 0 0 1 0 0 0 0 0 0 0 0 0 0 0 0 0 0 0 0 0 0 0 0 0 0 0 0 0 1 0 1 1 1 0 0 0 0 0\n    1 0 1 0 0 1 1 1 1 0 1 1 0 1 1 0 0 1 1 1 1 1 0 1 1 1 1 1 0 1 1 1 1 0 0 0 1 0 \n    0 0 0 0 1 1 1 1 1 1 0 1 0 1 1 0 0 1 1 0 0 1 1 1 0 1 1 1 1 1 0 0 0 0 0 0 1 1 \n    0 1 1 0 0 0 0 0 0 0 0]\n[0 0 0 0 0 1 0 0 0 0 0 0 0 0 0 0 0 0 0 0 0 0 0 0 0 0 0 0 0 0 0 1 0 1 1 1 0 0 0 0\n    0 1 0 1 0 0 1 1 1 0 0 1 1 0 1 1 0 0 1 1 1 1 1 0 1 1 1 1 1 0 0 1 1 1 0 0 0 1 \n    0 0 0 0 0 1 1 1 1 1 1 0 1 0 1 1 0 0 1 1 0 0 1 1 1 0 1 1 1 1 1 0 0 0 0 0 0 1 \n    1 0 0 1 0 0 0 0 0 0 0]\n[0 0 0 0 0 0 1 0 0 0 0 0 0 0 0 0 0 0 0 0 0 0 0 0 0 0 0 0 0 0 0 0 1 0 1 1 1 0 0 0\n    0 0 1 0 1 0 0 1 1 1 0 0 1 1 0 1 1 0 0 1 1 1 1 1 0 1 1 1 1 1 1 0 1 1 1 0 0 0 \n    1 0 0 0 0 0 1 1 1 1 1 1 0 1 0 1 1 0 0 1 1 0 0 1 1 1 0 1 1 1 1 1 0 0 0 0 0 0 \n    1 1 1 0 1 0 0 0 0 0 0]\n[0 0 0 0 0 0 0 1 0 0 0 0 0 0 0 0 0 0 0 0 0 0 0 0 0 0 0 0 0 0 0 0 0 1 0 1 1 1 0 0\n    0 0 0 1 0 1 0 0 1 1 1 0 0 1 1 1 1 1 0 0 1 1 1 1 1 0 1 1 1 1 0 1 0 1 1 1 0 0 \n    0 1 0 0 0 0 0 1 1 1 1 1 1 0 1 0 1 1 0 0 1 1 0 0 1 1 1 0 1 1 1 1 1 0 0 0 0 0 \n    1 1 0 1 0 1 0 0 0 0 0]\n[0 0 0 0 0 0 0 0 1 0 0 0 0 0 0 0 0 0 0 0 0 0 0 0 0 0 0 0 0 0 1 0 0 1 1 1 1 1 1 1\n    1 1 0 0 0 0 1 1 0 1 0 0 0 0 1 0 1 0 0 0 0 1 0 0 1 1 0 1 1 0 1 1 1 1 1 1 0 1 \n    1 1 1 0 0 0 1 1 1 1 0 1 0 0 1 0 0 0 1 0 0 1 0 1 1 1 0 1 1 0 1 0 0 1 1 1 0 0 \n    0 0 1 0 0 0 0 0 0 0 0]\n[0 0 0 0 0 0 0 0 0 1 0 0 0 0 0 0 0 0 0 0 0 0 0 0 0 0 0 0 0 0 0 1 0 0 1 1 1 1 1 1\n    1 1 1 0 0 0 0 1 1 0 1 0 0 0 0 1 0 1 0 0 0 0 1 0 0 1 1 0 1 1 1 1 1 1 1 1 1 0 \n    1 1 1 1 0 0 0 1 1 1 1 0 1 0 0 1 0 0 0 1 0 0 1 0 1 1 1 0 1 1 0 1 0 0 1 1 0 0 \n    0 0 1 1 0 0 0 0 0 0 0]\n[0 0 0 0 0 0 0 0 0 0 1 0 0 0 0 0 0 0 0 0 0 0 0 0 0 0 0 0 0 0 0 0 1 0 0 1 1 1 1 1\n    1 1 1 1 0 0 0 0 1 0 0 1 0 0 0 1 1 0 1 0 0 0 0 1 0 0 1 1 0 1 0 1 1 1 1 1 1 1 \n    0 1 1 1 1 0 0 0 1 1 1 1 0 1 0 0 1 0 0 0 1 0 0 1 0 1 1 1 0 1 1 0 1 0 0 1 1 0 \n    0 0 0 1 1 0 0 0 0 0 0]\n[0 0 0 0 0 0 0 0 0 0 0 1 0 0 0 0 0 0 0 0 0 0 0 0 0 0 0 0 0 0 0 0 0 1 0 0 1 1 1 1\n    1 1 1 1 1 0 0 0 0 1 0 0 1 0 0 0 1 1 0 1 0 0 0 0 1 0 0 1 1 0 1 0 1 1 1 1 1 1 \n    1 0 1 1 1 1 0 0 0 1 1 1 1 0 1 0 0 1 0 0 0 1 0 0 1 0 1 1 1 0 1 1 0 1 0 0 1 1 \n    0 0 0 0 1 1 0 0 0 0 0]\n[0 0 0 0 0 0 0 0 0 0 0 0 1 0 0 0 0 0 0 0 0 0 0 0 0 0 0 0 0 0 1 0 0 1 1 1 0 1 1 0\n    0 0 1 1 0 1 0 1 0 1 0 1 0 1 0 0 0 0 0 0 1 0 1 1 0 1 0 0 1 0 1 0 0 0 1 1 0 0 \n    0 0 0 1 1 1 0 1 0 0 0 1 0 0 1 0 0 1 1 0 0 0 0 1 1 1 1 1 0 0 0 0 0 0 0 1 1 1 \n    0 1 0 0 1 1 0 0 0 0 0]\n[0 0 0 0 0 0 0 0 0 0 0 0 0 1 0 0 0 0 0 0 0 0 0 0 0 0 0 0 0 0 1 1 0 1 1 0 1 0 1 0\n    1 1 0 1 0 0 1 1 1 1 0 1 1 0 1 0 0 1 1 0 0 1 1 0 1 0 1 0 0 0 0 0 0 1 0 1 0 1 \n    1 1 0 0 1 1 0 1 1 0 1 0 0 1 1 0 0 1 1 1 0 0 1 1 0 1 0 1 0 1 0 1 1 0 1 1 0 1 \n    1 1 0 0 1 1 0 0 0 0 0]\n[0 0 0 0 0 0 0 0 0 0 0 0 0 0 1 0 0 0 0 0 0 0 0 0 0 0 0 0 0 0 1 1 1 1 1 0 0 1 0 0\n    1 0 1 0 0 0 0 0 1 1 0 1 1 1 0 0 0 1 0 1 0 0 0 0 0 1 0 1 0 1 0 1 0 1 1 0 0 1 \n    0 0 1 0 0 1 0 1 1 1 1 1 1 1 0 0 0 1 1 1 1 0 1 0 0 0 0 0 0 1 1 1 0 1 1 0 1 0 \n    1 0 1 0 1 1 0 0 0 0 0]\n[0 0 0 0 0 0 0 0 0 0 0 0 0 0 0 1 0 0 0 0 0 0 0 0 0 0 0 0 0 0 1 1 1 0 1 0 0 0 1 1\n    1 0 0 1 1 0 0 1 0 0 0 1 1 1 1 1 0 1 0 0 1 0 1 1 0 0 1 0 1 1 0 1 1 1 1 1 1 1 \n    0 1 0 1 0 0 0 1 1 1 0 1 0 0 0 1 0 1 1 1 1 1 1 0 1 0 1 0 1 1 1 0 0 0 0 0 1 1 \n    1 0 1 1 1 1 0 0 0 0 0]\n[0 0 0 0 0 0 0 0 0 0 0 0 0 0 0 0 1 0 0 0 0 0 0 0 0 0 0 0 0 0 1 1 1 0 0 0 0 0 0 0\n    0 0 0 0 0 1 0 1 1 0 1 1 1 1 1 0 1 1 0 0 0 1 1 0 1 0 0 1 0 0 1 1 1 0 1 1 0 0 \n    0 1 1 0 1 0 1 1 1 1 0 0 0 1 1 1 1 1 1 1 1 1 0 0 1 1 1 1 1 0 1 0 1 0 1 1 0 1 \n    0 0 0 1 0 1 0 0 0 0 0]\n[0 0 0 0 0 0 0 0 0 0 0 0 0 0 0 0 0 1 0 0 0 0 0 0 0 0 0 0 0 0 1 1 1 0 0 1 0 0 0 1\n    1 1 0 0 1 0 1 1 1 1 1 0 1 1 1 1 0 0 0 0 0 0 0 0 0 1 0 0 1 1 1 0 1 0 0 1 0 1 \n    1 1 1 1 0 1 1 0 1 1 0 0 1 1 0 0 1 0 1 1 1 1 0 1 1 1 0 1 0 0 0 0 1 1 1 0 0 0 \n    1 1 0 0 0 0 0 0 0 0 0]\n[0 0 0 0 0 0 0 0 0 0 0 0 0 0 0 0 0 0 1 0 0 0 0 0 0 0 0 0 0 0 0 1 1 1 0 0 1 0 0 0\n    1 1 1 0 0 1 0 1 1 0 1 1 0 1 1 1 1 0 0 0 0 0 0 0 0 0 1 0 0 1 0 1 0 1 0 0 1 0 \n    1 1 1 1 1 0 1 1 0 1 1 0 0 1 1 0 0 1 0 1 1 1 1 0 1 1 1 0 1 0 0 0 0 1 1 1 1 0 \n    1 1 0 0 0 0 0 0 0 0 0]\n[0 0 0 0 0 0 0 0 0 0 0 0 0 0 0 0 0 0 0 1 0 0 0 0 0 0 0 0 0 0 0 0 1 1 1 0 0 1 0 0\n    0 1 1 1 0 0 1 0 1 1 0 1 1 0 1 1 1 1 0 0 0 0 0 0 0 0 0 1 0 0 1 0 1 0 1 0 0 1 \n    0 1 1 1 1 1 0 1 1 0 1 1 0 0 1 1 0 0 1 0 1 1 1 1 0 1 1 1 0 1 0 0 0 0 1 1 0 1 \n    0 1 1 0 0 0 0 0 0 0 0]\n[0 0 0 0 0 0 0 0 0 0 0 0 0 0 0 0 0 0 0 0 1 0 0 0 0 0 0 0 0 0 0 0 0 1 1 1 0 0 1 0\n    0 0 1 1 1 0 0 1 0 1 1 0 1 1 0 1 1 1 1 0 0 0 0 0 0 0 0 0 1 0 1 1 0 1 0 1 0 0 \n    1 0 1 1 1 1 1 0 1 1 0 1 1 0 0 1 1 0 0 1 0 1 1 1 1 0 1 1 1 0 1 0 0 0 0 1 1 0 \n    0 0 1 1 0 0 0 0 0 0 0]\n[0 0 0 0 0 0 0 0 0 0 0 0 0 0 0 0 0 0 0 0 0 1 0 0 0 0 0 0 0 0 0 0 0 0 1 1 1 0 0 1\n    0 0 0 1 1 1 0 0 1 1 1 1 0 1 1 1 1 1 1 1 0 0 0 0 0 0 0 0 0 1 0 1 1 0 1 0 1 0 \n    0 1 0 1 1 1 1 1 0 1 1 0 1 1 0 0 1 1 0 0 1 0 1 1 1 1 0 1 1 1 0 1 0 0 0 0 1 1 \n    1 0 1 1 1 0 0 0 0 0 0]\n[0 0 0 0 0 0 0 0 0 0 0 0 0 0 0 0 0 0 0 0 0 0 1 0 0 0 0 0 0 0 0 0 0 0 0 1 1 1 0 0\n    1 0 0 0 1 1 1 0 0 0 1 1 1 0 1 0 1 1 1 1 1 0 0 0 0 0 0 0 0 0 0 0 1 1 0 1 0 1 \n    0 0 1 0 1 1 1 1 1 0 1 1 0 1 1 0 0 1 1 0 0 1 0 1 1 1 1 0 1 1 1 0 1 0 0 0 1 1 \n    0 1 0 1 1 1 0 0 0 0 0]\n[0 0 0 0 0 0 0 0 0 0 0 0 0 0 0 0 0 0 0 0 0 0 0 1 0 0 0 0 0 0 1 0 0 1 0 1 1 1 1 1\n    1 0 0 0 1 1 1 0 0 1 1 0 1 1 0 1 0 0 0 1 1 1 1 1 0 0 0 0 0 1 1 1 0 0 1 0 0 1 \n    0 1 0 1 0 1 0 0 1 1 1 1 0 1 0 0 0 1 1 1 0 0 0 1 0 1 0 1 1 0 1 0 1 1 1 1 0 1 \n    1 1 0 0 0 1 0 0 0 0 0]\n[0 0 0 0 0 0 0 0 0 0 0 0 0 0 0 0 0 0 0 0 0 0 0 0 1 0 0 0 0 0 1 1 0 1 1 1 1 1 1 0\n    0 0 0 0 1 1 1 0 0 1 0 0 0 1 1 1 1 1 1 0 1 1 0 0 1 0 0 0 0 1 0 0 1 1 0 1 1 1 \n    0 1 1 0 1 0 0 1 0 1 0 1 0 1 0 1 0 1 1 1 1 0 1 1 0 0 0 0 0 0 0 0 1 1 0 0 0 0 \n    1 0 1 0 1 0 0 0 0 0 0]\n[0 0 0 0 0 0 0 0 0 0 0 0 0 0 0 0 0 0 0 0 0 0 0 0 0 1 0 0 0 0 0 1 1 0 1 1 1 1 1 1\n    0 0 0 0 0 1 1 1 0 1 1 0 0 0 1 0 1 1 1 1 0 1 1 0 0 1 0 0 0 0 1 0 0 1 1 0 1 1 \n    1 0 1 1 0 1 0 0 1 0 1 0 1 0 1 0 1 0 1 1 1 1 0 1 1 0 0 0 0 0 0 0 0 1 1 0 1 0 \n    1 1 1 1 0 1 0 0 0 0 0]\n[0 0 0 0 0 0 0 0 0 0 0 0 0 0 0 0 0 0 0 0 0 0 0 0 0 0 1 0 0 0 1 0 1 0 0 0 1 1 1 0\n    0 1 0 0 1 0 1 0 1 0 0 0 0 0 0 1 0 0 0 1 1 0 0 0 0 0 1 0 0 1 1 0 0 1 1 1 1 0 \n    0 0 0 1 1 0 0 1 0 1 1 1 1 0 1 0 0 0 0 1 1 1 0 1 0 1 1 0 1 1 0 1 1 0 0 0 0 1 \n    0 0 0 1 0 0 0 0 0 0 0]\n[0 0 0 0 0 0 0 0 0 0 0 0 0 0 0 0 0 0 0 0 0 0 0 0 0 0 0 1 0 0 0 1 0 1 0 0 0 1 1 1\n    0 0 1 0 0 1 0 1 0 1 0 0 0 0 0 1 1 0 0 0 1 1 0 0 0 0 0 1 0 0 0 1 0 0 1 1 1 1 \n    0 0 0 0 1 1 0 0 1 0 1 1 1 1 0 1 0 0 0 0 1 1 1 0 1 0 1 1 0 1 1 0 1 1 0 0 0 0 \n    0 0 1 0 1 0 0 0 0 0 0]\n[0 0 0 0 0 0 0 0 0 0 0 0 0 0 0 0 0 0 0 0 0 0 0 0 0 0 0 0 1 0 0 0 1 0 1 0 0 0 1 1\n    1 0 0 1 0 0 1 0 1 1 1 0 0 0 0 0 1 1 0 0 0 1 1 0 0 0 0 0 1 0 1 0 1 0 0 1 1 1 \n    1 0 0 0 0 1 1 0 0 1 0 1 1 1 1 0 1 0 0 0 0 1 1 1 0 1 0 1 1 0 1 1 0 1 1 0 0 0 \n    1 0 0 1 0 1 0 0 0 0 0]\n[0 0 0 0 0 0 0 0 0 0 0 0 0 0 0 0 0 0 0 0 0 0 0 0 0 0 0 0 0 1 1 0 1 0 1 0 0 0 0 1\n    0 0 0 0 1 1 1 1 1 0 1 0 0 0 0 1 0 1 1 0 0 1 1 0 0 0 0 1 0 0 1 1 0 0 1 0 0 0 \n    1 1 0 0 1 0 0 1 0 1 0 0 0 0 0 1 0 0 0 0 0 0 0 0 0 0 0 0 0 1 0 0 1 0 1 0 1 0 \n    1 0 1 0 0 0 1 1 1 1 1]\nLinear Code over GF(2) of length 127 with 30 generators.\nLower Bound: 1, Upper Bound: 98\nConstructed 6 distinct generator matrices\nRelative Ranks:  30  30  30  30   6   1 \n     Discarding non-contributing rank 1 matrix\n     Discarding non-contributing rank 6 matrix\n     New Relative Ranks:  30  30  30  30 \nTime Taken: 0.01\nStarting search for low weight codewords... (reset timings)\nEnumerating using 1 generator at a time:\n     New codeword identified of weight 48, time 0.00\n     New codeword identified of weight 47, time 0.00\n     New codeword identified of weight 43, time 0.00\n     New codeword identified of weight 39, time 0.00\n   Completed Matrix  1:  lower =  5, upper = 39. Elapsed: 0.00s\n   Completed Matrix  2:  lower =  6, upper = 39. Elapsed: 0.00s\n     New codeword identified of weight 38, time 0.00\n   Completed Matrix  3:  lower =  7, upper = 38. Elapsed: 0.00s\n   Completed Matrix  4:  lower =  8, upper = 38. Elapsed: 0.00s\nTermination predicted with 9 generators at matrix 2\nEnumerating using 2 generators at a time:\n   Completed Matrix  1:  lower =  9, upper = 38. Elapsed: 0.00s\n   Completed Matrix  2:  lower = 10, upper = 38. Elapsed: 0.00s\n   Completed Matrix  3:  lower = 11, upper = 38. Elapsed: 0.00s\n     New codeword identified of weight 37, time 0.00\n   Completed Matrix  4:  lower = 12, upper = 37. Elapsed: 0.00s\nTermination predicted with 9 generators at matrix 1\nEnumerating using 3 generators at a time:\n   Completed Matrix  1:  lower = 13, upper = 37. Elapsed: 0.00s\n   Completed Matrix  2:  lower = 14, upper = 37. Elapsed: 0.00s\n   Completed Matrix  3:  lower = 15, upper = 37. Elapsed: 0.00s\n   Completed Matrix  4:  lower = 16, upper = 37. Elapsed: 0.00s\nTermination predicted with 9 generators at matrix 1\nEnumerating using 4 generators at a time:\n   Completed Matrix  1:  lower = 17, upper = 37. Elapsed: 0.00s\n   Completed Matrix  2:  lower = 18, upper = 37. Elapsed: 0.00s\n   Completed Matrix  3:  lower = 19, upper = 37. Elapsed: 0.00s\n   Completed Matrix  4:  lower = 20, upper = 37. Elapsed: 0.00s\nTermination predicted with 9 generators at matrix 1\nEnumerating using 5 generators at a time:\n   Completed Matrix  1:  lower = 21, upper = 37. Elapsed: 0.00s\n   Completed Matrix  2:  lower = 22, upper = 37. Elapsed: 0.00s\n   Completed Matrix  3:  lower = 23, upper = 37. Elapsed: 0.00s\n   Completed Matrix  4:  lower = 24, upper = 37. Elapsed: 0.00s\nTermination predicted with 9 generators at matrix 1\nEnumerating using 6 generators at a time:\n   Completed Matrix  1:  lower = 25, upper = 37. Elapsed: 0.00s\n   Completed Matrix  2:  lower = 26, upper = 37. Elapsed: 0.00s\n   Completed Matrix  3:  lower = 27, upper = 37. Elapsed: 0.00s\n   Completed Matrix  4:  lower = 28, upper = 37. Elapsed: 0.02s\nTermination predicted with 9 generators at matrix 1\nEnumerating using 7 generators at a time:\n   Completed Matrix  1:  lower = 29, upper = 37. Elapsed: 0.03s\n   Completed Matrix  2:  lower = 30, upper = 37. Elapsed: 0.03s\n   Completed Matrix  3:  lower = 31, upper = 37. Elapsed: 0.05s\n   Completed Matrix  4:  lower = 32, upper = 37. Elapsed: 0.05s\nTermination predicted with 9 generators at matrix 1\nEnumerating using 8 generators at a time:\n   Completed Matrix  1:  lower = 33, upper = 37. Elapsed: 0.09s\n   Completed Matrix  2:  lower = 34, upper = 37. Elapsed: 0.12s\n   Completed Matrix  3:  lower = 35, upper = 37. Elapsed: 0.15s\n   Completed Matrix  4:  lower = 36, upper = 37. Elapsed: 0.15s\nTermination predicted with 9 generators at matrix 1\nEnumerating using 9 generators at a time:\n   Completed Matrix  1:  lower = 37, upper = 37. Elapsed: 0.21s\nComputation complete 48934894 vectors enumerated in total\n (4.557417% of 127 30 code)\nFinal Results: lower = 37, upper = 37,\nTotal CPU time: 0.21, real time: 0.237\n37\n\nTotal time: 0.230 seconds, Total memory usage: 32.09MB\n</t>
  </si>
  <si>
    <t>[[128,44,29]]</t>
  </si>
  <si>
    <t>Magma V2.28-26    Tue Dec 30 2025 11:27:48 on Marks-MacBook-Air-2 [Seed = \n2477346166]\nType ? for help.  Type &lt;Ctrl&gt;-D to quit.\n[1 0 0 0 0 1 1 0 0 1 0 1 1 1 0 1 0 1 1 0 0 1 1 1 1 0 0 0 1 0 0 1 1 1 1 1 1 0 1 1\n    1 0 0 1 1 1 0 1 1 1 1 1 1 0 0 1 0 0 0 1 1 1 1 0 0 1 1 0 1 0 1 1 1 0 1 0 0 1 \n    1 0 0 0 0 1 1 0 0 0 0 0 0 0 0 0 0 0 0 0 0 0 0 0 0 0 0 0 0 0 0 0 0 0 0 0 0 0 \n    0 0 0 0 0 0 0 0 0 0 0 0]\n[0 1 0 0 0 1 0 1 0 1 1 1 0 0 1 1 1 1 0 1 0 1 0 0 0 1 0 0 1 1 0 1 0 0 0 0 0 1 1 0\n    0 1 0 1 0 0 1 1 0 0 0 0 0 1 0 1 1 0 0 1 0 0 0 1 0 1 0 1 1 1 1 0 0 1 1 1 0 1 \n    0 1 0 0 0 1 0 1 0 0 0 0 0 0 0 0 0 0 0 0 0 0 0 0 0 0 0 0 0 0 0 0 0 0 0 0 0 0 \n    0 0 0 0 0 0 0 0 0 0 0 0]\n[0 0 1 0 0 1 0 0 1 1 1 0 0 1 0 0 1 0 0 0 1 1 0 1 1 0 1 0 1 1 1 1 0 1 1 1 1 0 0 0\n    1 0 1 1 0 1 0 0 0 1 1 1 1 0 1 1 1 1 0 1 0 1 1 0 1 1 0 0 0 1 0 0 1 0 0 1 1 1 \n    0 0 1 0 0 1 0 0 1 0 0 0 0 0 0 0 0 0 0 0 0 0 0 0 0 0 0 0 0 0 0 0 0 0 0 0 0 0 \n    0 0 0 0 0 0 0 0 0 0 0 0]\n[0 0 0 1 0 1 0 0 0 0 1 0 1 1 1 1 0 0 1 0 0 0 0 1 0 1 0 1 1 1 1 0 0 1 0 0 0 1 1 1\n    1 1 0 0 0 1 1 1 1 1 0 0 0 1 0 0 1 1 1 1 0 1 0 1 0 0 0 0 1 0 0 1 1 1 1 0 1 0 \n    0 0 0 1 0 1 0 0 0 1 0 0 0 0 0 0 0 0 0 0 0 0 0 0 0 0 0 0 0 0 0 0 0 0 0 0 0 0 \n    0 0 0 0 0 0 0 0 0 0 0 0]\n[0 0 0 0 1 1 0 0 0 1 0 0 1 0 1 0 1 1 1 1 0 1 1 1 0 0 1 0 0 1 1 0 1 1 0 1 1 0 0 0\n    0 1 1 1 1 1 1 0 0 0 0 1 1 0 1 1 0 1 1 0 0 1 0 0 1 1 1 0 1 1 1 1 0 1 0 1 0 0 \n    1 0 0 0 1 1 0 0 0 0 1 0 0 0 0 0 0 0 0 0 0 0 0 0 0 0 0 0 0 0 0 0 0 0 0 0 0 0 \n    0 0 0 0 0 0 0 0 0 0 0 0]\n[0 0 0 0 0 0 0 0 0 1 1 1 1 0 0 0 0 0 0 1 1 1 0 0 0 0 0 1 1 0 1 0 1 0 0 1 0 1 1 1\n    1 0 1 0 0 0 1 0 1 1 1 1 0 1 0 0 1 0 1 0 1 1 0 0 0 0 0 1 1 1 0 0 0 0 0 0 1 1 \n    1 1 0 0 0 0 0 0 0 0 0 1 0 0 0 0 0 0 0 0 0 0 0 0 0 0 0 0 0 0 0 0 0 0 0 0 0 0 \n    0 0 0 0 0 0 0 0 0 0 0 0]\n[1 0 0 0 0 0 0 0 0 0 1 1 1 1 0 0 0 0 0 0 1 1 1 0 0 0 0 0 1 1 0 1 0 1 0 0 1 0 1 1\n    1 1 0 1 0 0 0 1 0 1 1 1 1 0 1 0 0 1 0 1 0 1 1 0 0 0 0 0 1 1 1 0 0 0 0 0 0 1 \n    1 1 1 0 0 0 0 0 0 0 0 0 1 0 0 0 0 0 0 0 0 0 0 0 0 0 0 0 0 0 0 0 0 0 0 0 0 0 \n    0 0 0 0 0 0 0 0 0 0 0 0]\n[0 1 0 0 0 0 0 0 0 0 0 1 1 1 1 0 0 0 0 0 0 1 1 1 0 0 0 0 0 1 1 0 1 0 1 0 0 1 0 1\n    1 1 1 0 1 0 0 0 1 0 1 1 1 1 0 1 0 0 1 0 1 0 1 1 0 0 0 0 0 1 1 1 0 0 0 0 0 0 \n    1 1 1 1 0 0 0 0 0 0 0 0 0 1 0 0 0 0 0 0 0 0 0 0 0 0 0 0 0 0 0 0 0 0 0 0 0 0 \n    0 0 0 0 0 0 0 0 0 0 0 0]\n[0 0 1 0 0 0 0 0 0 0 0 0 1 1 1 1 0 0 0 0 0 0 1 1 1 0 0 0 0 0 1 1 0 1 0 1 0 0 1 0\n    1 1 1 1 0 1 0 0 0 1 0 1 1 1 1 0 1 0 0 1 0 1 0 1 1 0 0 0 0 0 1 1 1 0 0 0 0 0 \n    0 1 1 1 1 0 0 0 0 0 0 0 0 0 1 0 0 0 0 0 0 0 0 0 0 0 0 0 0 0 0 0 0 0 0 0 0 0 \n    0 0 0 0 0 0 0 0 0 0 0 0]\n[0 0 0 1 0 0 0 0 0 0 0 0 0 1 1 1 1 0 0 0 0 0 0 1 1 1 0 0 0 0 0 1 1 0 1 0 1 0 0 1\n    0 1 1 1 1 0 1 0 0 0 1 0 1 1 1 1 0 1 0 0 1 0 1 0 1 1 0 0 0 0 0 1 1 1 0 0 0 0 \n    0 0 1 1 1 1 0 0 0 0 0 0 0 0 0 1 0 0 0 0 0 0 0 0 0 0 0 0 0 0 0 0 0 0 0 0 0 0 \n    0 0 0 0 0 0 0 0 0 0 0 0]\n[1 0 0 0 1 1 1 0 0 1 0 1 1 1 1 0 1 0 1 0 0 1 1 1 0 1 1 0 1 0 0 1 0 0 1 0 1 1 1 1\n    0 0 1 0 0 0 0 0 1 1 1 0 1 1 1 0 1 0 1 1 1 0 1 1 0 0 0 0 1 0 1 1 0 1 0 0 0 1 \n    1 0 0 1 1 0 0 0 0 0 0 0 0 0 0 0 1 0 0 0 0 0 0 0 0 0 0 0 0 0 0 0 0 0 0 0 0 0 \n    0 0 0 0 0 0 0 0 0 0 0 0]\n[1 1 0 0 0 1 1 1 0 0 1 0 1 1 1 1 0 1 0 1 0 0 1 1 1 0 1 1 0 1 0 0 1 0 0 1 0 1 1 1\n    1 0 0 1 0 0 0 0 0 1 1 1 0 1 1 1 0 1 0 1 1 1 0 1 1 0 0 0 0 1 0 1 1 0 1 0 0 0 \n    1 1 0 0 1 1 0 0 0 0 0 0 0 0 0 0 0 1 0 0 0 0 0 0 0 0 0 0 0 0 0 0 0 0 0 0 0 0 \n    0 0 0 0 0 0 0 0 0 0 0 0]\n[1 1 1 0 0 1 0 1 1 1 0 0 1 0 1 0 1 1 0 0 1 1 1 0 0 1 0 1 0 0 1 1 1 0 1 1 0 0 0 0\n    0 1 0 1 0 1 0 1 1 1 0 0 0 0 1 0 1 0 1 1 0 0 0 0 1 0 1 0 1 0 0 1 0 1 1 1 0 1 \n    1 1 1 0 0 0 0 0 0 0 0 0 0 0 0 0 0 0 1 0 0 0 0 0 0 0 0 0 0 0 0 0 0 0 0 0 0 0 \n    0 0 0 0 0 0 0 0 0 0 0 0]\n[1 1 1 1 0 0 1 0 1 1 1 0 0 1 0 1 0 1 1 0 0 1 1 1 0 0 1 0 1 0 0 1 1 1 0 1 1 0 0 0\n    0 0 1 0 1 0 1 0 1 1 1 0 0 0 0 1 0 1 0 1 1 0 0 0 0 1 0 1 0 1 0 0 1 0 1 1 1 0 \n    1 1 1 1 0 0 0 0 0 0 0 0 0 0 0 0 0 0 0 1 0 0 0 0 0 0 0 0 0 0 0 0 0 0 0 0 0 0 \n    0 0 0 0 0 0 0 0 0 0 0 0]\n[0 1 1 1 1 0 0 1 0 1 1 1 0 0 1 0 1 0 1 1 0 0 1 1 1 0 0 1 0 1 0 0 1 1 1 0 1 1 0 0\n    0 0 0 1 0 1 0 1 0 1 1 1 0 0 0 0 1 0 1 0 1 1 0 0 0 0 1 0 1 0 1 0 0 1 0 1 1 1 \n    0 1 1 1 1 0 0 0 0 0 0 0 0 0 0 0 0 0 0 0 1 0 0 0 0 0 0 0 0 0 0 0 0 0 0 0 0 0 \n    0 0 0 0 0 0 0 0 0 0 0 0]\n[0 0 1 1 1 1 0 0 1 0 1 1 1 0 0 1 0 1 0 1 1 0 0 1 1 1 0 0 1 0 1 0 0 1 1 1 0 1 1 0\n    0 0 0 0 1 0 1 0 1 0 1 1 1 0 0 0 0 1 0 1 0 1 1 0 0 0 0 1 0 1 0 1 0 0 1 0 1 1 \n    1 0 1 1 1 1 0 0 0 0 0 0 0 0 0 0 0 0 0 0 0 1 0 0 0 0 0 0 0 0 0 0 0 0 0 0 0 0 \n    0 0 0 0 0 0 0 0 0 0 0 0]\n[1 0 0 1 1 0 0 0 0 0 0 0 0 0 0 1 1 1 0 0 1 0 1 1 0 1 1 0 1 1 0 0 1 1 0 0 0 0 0 0\n    1 0 0 1 1 0 0 0 1 0 1 0 0 1 0 1 0 0 1 1 0 1 0 1 0 1 1 0 0 0 0 1 0 0 1 1 0 0 \n    0 1 0 1 1 0 0 0 0 0 0 0 0 0 0 0 0 0 0 0 0 0 1 0 0 0 0 0 0 0 0 0 0 0 0 0 0 0 \n    0 0 0 0 0 0 0 0 0 0 0 0]\n[1 1 0 0 1 1 0 0 0 0 0 0 0 0 0 0 1 1 1 0 0 1 0 1 1 0 1 1 0 1 1 0 0 1 1 0 0 0 0 0\n    0 1 0 0 1 1 0 0 0 1 0 1 0 0 1 0 1 0 0 1 1 0 1 0 1 0 1 1 0 0 0 0 1 0 0 1 1 0 \n    0 0 1 0 1 1 0 0 0 0 0 0 0 0 0 0 0 0 0 0 0 0 0 1 0 0 0 0 0 0 0 0 0 0 0 0 0 0 \n    0 0 0 0 0 0 0 0 0 0 0 0]\n[1 1 1 0 0 0 0 0 0 1 0 1 1 1 0 1 0 0 0 1 0 1 0 1 0 1 0 1 0 0 1 0 1 1 0 0 1 0 1 1\n    1 0 1 1 1 0 1 1 1 1 0 1 0 0 0 0 0 1 0 1 0 0 1 1 0 0 1 1 0 0 1 1 1 1 1 0 1 0 \n    1 0 0 1 0 0 0 0 0 0 0 0 0 0 0 0 0 0 0 0 0 0 0 0 1 0 0 0 0 0 0 0 0 0 0 0 0 0 \n    0 0 0 0 0 0 0 0 0 0 0 0]\n[1 1 1 1 0 0 0 0 0 0 1 0 1 1 1 0 1 0 0 0 1 0 1 0 1 0 1 0 1 0 0 1 0 1 1 0 0 1 0 1\n    1 1 0 1 1 1 0 1 1 1 1 0 1 0 0 0 0 0 1 0 1 0 0 1 1 0 0 1 1 0 0 1 1 1 1 1 0 1 \n    0 1 0 0 1 0 0 0 0 0 0 0 0 0 0 0 0 0 0 0 0 0 0 0 0 1 0 0 0 0 0 0 0 0 0 0 0 0 \n    0 0 0 0 0 0 0 0 0 0 0 0]\n[0 1 1 1 1 0 0 0 0 0 0 1 0 1 1 1 0 1 0 0 0 1 0 1 0 1 0 1 0 1 0 0 1 0 1 1 0 0 1 0\n    1 1 1 0 1 1 1 0 1 1 1 1 0 1 0 0 0 0 0 1 0 1 0 0 1 1 0 0 1 1 0 0 1 1 1 1 1 0 \n    1 0 1 0 0 1 0 0 0 0 0 0 0 0 0 0 0 0 0 0 0 0 0 0 0 0 1 0 0 0 0 0 0 0 0 0 0 0 \n    0 0 0 0 0 0 0 0 0 0 0 0]\n[1 0 1 1 1 0 1 0 0 1 0 1 0 1 1 0 1 1 0 0 0 1 0 1 0 0 1 0 0 0 1 1 1 0 1 0 0 0 1 0\n    1 1 1 0 1 0 1 0 1 0 0 0 0 0 1 1 0 0 0 1 0 1 0 0 0 0 0 0 1 1 0 1 1 1 0 1 1 0 \n    1 1 0 1 0 1 0 0 0 0 0 0 0 0 0 0 0 0 0 0 0 0 0 0 0 0 0 1 0 0 0 0 0 0 0 0 0 0 \n    0 0 0 0 0 0 0 0 0 0 0 0]\n[0 1 0 1 1 0 1 1 0 1 1 1 0 1 1 0 0 0 0 0 0 1 0 1 0 0 0 1 1 0 0 0 0 0 1 0 1 0 1 0\n    1 1 1 0 1 0 0 0 1 0 1 1 1 0 0 0 1 0 0 1 0 1 0 0 0 1 1 0 1 1 0 1 0 1 0 0 1 0 \n    1 1 1 0 1 1 0 0 0 0 0 0 0 0 0 0 0 0 0 0 0 0 0 0 0 0 0 0 1 0 0 0 0 0 0 0 0 0 \n    0 0 0 0 0 0 0 0 0 0 0 0]\n[0 0 1 0 1 0 1 1 1 1 1 0 0 1 1 0 0 1 1 0 0 1 0 1 0 0 0 0 0 1 0 1 1 1 1 0 1 1 1 0\n    1 1 1 0 1 0 0 1 1 0 1 0 0 1 0 1 0 1 0 1 0 1 0 0 0 1 0 1 1 1 0 1 0 0 0 0 0 0 \n    1 1 1 1 0 0 0 0 0 0 0 0 0 0 0 0 0 0 0 0 0 0 0 0 0 0 0 0 0 1 0 0 0 0 0 0 0 0 \n    0 0 0 0 0 0 0 0 0 0 0 0]\n[1 0 0 1 0 1 0 1 1 1 1 1 0 0 1 1 0 0 1 1 0 0 1 0 1 0 0 0 0 0 1 0 1 1 1 1 0 1 1 1\n    0 1 1 1 0 1 0 0 1 1 0 1 0 0 1 0 1 0 1 0 1 0 1 0 0 0 1 0 1 1 1 0 1 0 0 0 0 0 \n    0 1 1 1 1 0 0 0 0 0 0 0 0 0 0 0 0 0 0 0 0 0 0 0 0 0 0 0 0 0 1 0 0 0 0 0 0 0 \n    0 0 0 0 0 0 0 0 0 0 0 0]\n[0 1 0 0 1 0 1 0 1 1 1 1 1 0 0 1 1 0 0 1 1 0 0 1 0 1 0 0 0 0 0 1 0 1 1 1 1 0 1 1\n    1 0 1 1 1 0 1 0 0 1 1 0 1 0 0 1 0 1 0 1 0 1 0 1 0 0 0 1 0 1 1 1 0 1 0 0 0 0 \n    0 0 1 1 1 1 0 0 0 0 0 0 0 0 0 0 0 0 0 0 0 0 0 0 0 0 0 0 0 0 0 1 0 0 0 0 0 0 \n    0 0 0 0 0 0 0 0 0 0 0 0]\n[1 0 1 0 0 0 1 1 0 0 1 0 0 0 0 1 1 0 1 0 1 0 1 1 0 0 1 0 1 0 0 1 0 1 0 0 0 1 1 0\n    0 1 0 0 0 0 0 0 1 1 0 0 1 1 0 1 1 0 1 1 0 1 0 0 1 1 1 0 0 0 0 0 0 0 0 0 0 1 \n    1 0 0 1 1 0 0 0 0 0 0 0 0 0 0 0 0 0 0 0 0 0 0 0 0 0 0 0 0 0 0 0 1 0 0 0 0 0 \n    0 0 0 0 0 0 0 0 0 0 0 0]\n[1 1 0 1 0 0 0 1 1 0 0 1 0 0 0 0 1 1 0 1 0 1 0 1 1 0 0 1 0 1 0 0 1 0 1 0 0 0 1 1\n    0 0 1 0 0 0 0 0 0 1 1 0 0 1 1 0 1 1 0 1 1 0 1 0 0 1 1 1 0 0 0 0 0 0 0 0 0 0 \n    1 1 0 0 1 1 0 0 0 0 0 0 0 0 0 0 0 0 0 0 0 0 0 0 0 0 0 0 0 0 0 0 0 1 0 0 0 0 \n    0 0 0 0 0 0 0 0 0 0 0 0]\n[1 1 1 0 1 1 1 0 1 0 0 1 0 1 0 1 0 0 0 0 1 1 0 1 0 1 0 0 0 0 1 1 1 0 1 0 1 0 1 0\n    0 0 0 0 1 1 0 1 1 1 0 0 1 0 1 0 0 1 1 1 0 0 1 1 0 1 0 1 0 0 1 1 1 0 1 0 0 1 \n    1 1 1 0 0 0 0 0 0 0 0 0 0 0 0 0 0 0 0 0 0 0 0 0 0 0 0 0 0 0 0 0 0 0 1 0 0 0 \n    0 0 0 0 0 0 0 0 0 0 0 0]\n[1 1 1 1 0 1 1 1 0 1 0 0 1 0 1 0 1 0 0 0 0 1 1 0 1 0 1 0 0 0 0 1 1 1 0 1 0 1 0 1\n    0 0 0 0 0 1 1 0 1 1 1 0 0 1 0 1 0 0 1 1 1 0 0 1 1 0 1 0 1 0 0 1 1 1 0 1 0 0 \n    1 1 1 1 0 0 0 0 0 0 0 0 0 0 0 0 0 0 0 0 0 0 0 0 0 0 0 0 0 0 0 0 0 0 0 1 0 0 \n    0 0 0 0 0 0 0 0 0 0 0 0]\n[0 1 1 1 1 0 1 1 1 0 1 0 0 1 0 1 0 1 0 0 0 0 1 1 0 1 0 1 0 0 0 0 1 1 1 0 1 0 1 0\n    1 0 0 0 0 0 1 1 0 1 1 1 0 0 1 0 1 0 0 1 1 1 0 0 1 1 0 1 0 1 0 0 1 1 1 0 1 0 \n    0 1 1 1 1 0 0 0 0 0 0 0 0 0 0 0 0 0 0 0 0 0 0 0 0 0 0 0 0 0 0 0 0 0 0 0 1 0 \n    0 0 0 0 0 0 0 0 0 0 0 0]\n[0 0 1 1 1 1 0 1 1 1 0 1 0 0 1 0 1 0 1 0 0 0 0 1 1 0 1 0 1 0 0 0 0 1 1 1 0 1 0 1\n    0 1 0 0 0 0 0 1 1 0 1 1 1 0 0 1 0 1 0 0 1 1 1 0 0 1 1 0 1 0 1 0 0 1 1 1 0 1 \n    0 0 1 1 1 1 0 0 0 0 0 0 0 0 0 0 0 0 0 0 0 0 0 0 0 0 0 0 0 0 0 0 0 0 0 0 0 1 \n    0 0 0 0 0 0 0 0 0 0 0 0]\n[1 0 0 1 1 0 0 0 1 0 1 1 0 1 0 0 0 0 1 1 0 1 1 1 0 1 0 1 1 1 0 1 1 1 0 0 0 0 0 1\n    0 0 1 1 1 1 0 1 0 0 1 0 0 1 0 1 1 0 1 1 1 0 0 1 0 1 0 1 1 1 1 0 1 0 0 1 1 1 \n    0 0 0 1 1 0 0 0 0 0 0 0 0 0 0 0 0 0 0 0 0 0 0 0 0 0 0 0 0 0 0 0 0 0 0 0 0 0 \n    1 0 0 0 0 0 0 0 0 0 0 0]\n[1 1 0 0 1 1 0 0 0 1 0 1 1 0 1 0 0 0 0 1 1 0 1 1 1 0 1 0 1 1 1 0 1 1 1 0 0 0 0 0\n    1 0 0 1 1 1 1 0 1 0 0 1 0 0 1 0 1 1 0 1 1 1 0 0 1 0 1 0 1 1 1 1 0 1 0 0 1 1 \n    1 0 0 0 1 1 0 0 0 0 0 0 0 0 0 0 0 0 0 0 0 0 0 0 0 0 0 0 0 0 0 0 0 0 0 0 0 0 \n    0 1 0 0 0 0 0 0 0 0 0 0]\n[1 1 1 0 0 0 0 0 0 1 1 1 0 0 0 0 0 1 1 0 1 0 1 0 0 1 0 1 1 1 1 0 1 0 0 0 1 0 1 1\n    1 1 0 1 0 0 1 0 1 0 1 1 0 0 0 0 0 1 1 1 0 0 0 0 0 0 1 1 1 1 0 0 0 0 0 0 0 0 \n    0 1 0 0 0 0 0 0 0 0 0 0 0 0 0 0 0 0 0 0 0 0 0 0 0 0 0 0 0 0 0 0 0 0 0 0 0 0 \n    0 0 1 0 0 0 0 0 0 0 0 0]\n[1 1 1 1 0 0 0 0 0 0 1 1 1 0 0 0 0 0 1 1 0 1 0 1 0 0 1 0 1 1 1 1 0 1 0 0 0 1 0 1\n    1 1 1 0 1 0 0 1 0 1 0 1 1 0 0 0 0 0 1 1 1 0 0 0 0 0 0 1 1 1 1 0 0 0 0 0 0 0 \n    0 0 1 0 0 0 0 0 0 0 0 0 0 0 0 0 0 0 0 0 0 0 0 0 0 0 0 0 0 0 0 0 0 0 0 0 0 0 \n    0 0 0 1 0 0 0 0 0 0 0 0]\n[0 1 1 1 1 0 0 0 0 0 0 1 1 1 0 0 0 0 0 1 1 0 1 0 1 0 0 1 0 1 1 1 1 0 1 0 0 0 1 0\n    1 1 1 1 0 1 0 0 1 0 1 0 1 1 0 0 0 0 0 1 1 1 0 0 0 0 0 0 1 1 1 1 0 0 0 0 0 0 \n    0 0 0 1 0 0 0 0 0 0 0 0 0 0 0 0 0 0 0 0 0 0 0 0 0 0 0 0 0 0 0 0 0 0 0 0 0 0 \n    0 0 0 0 1 0 0 0 0 0 0 0]\n[0 0 1 1 1 1 0 0 0 0 0 0 1 1 1 0 0 0 0 0 1 1 0 1 0 1 0 0 1 0 1 1 1 1 0 1 0 0 0 1\n    0 1 1 1 1 0 1 0 0 1 0 1 0 1 1 0 0 0 0 0 1 1 1 0 0 0 0 0 0 1 1 1 1 0 0 0 0 0 \n    0 0 0 0 1 0 0 0 0 0 0 0 0 0 0 0 0 0 0 0 0 0 0 0 0 0 0 0 0 0 0 0 0 0 0 0 0 0 \n    0 0 0 0 0 1 0 0 0 0 0 0]\n[0 0 0 1 1 1 1 0 0 0 0 0 0 1 1 1 0 0 0 0 0 1 1 0 1 0 1 0 0 1 0 1 1 1 1 0 1 0 0 0\n    1 0 1 1 1 1 0 1 0 0 1 0 1 0 1 1 0 0 0 0 0 1 1 1 0 0 0 0 0 0 1 1 1 1 0 0 0 0 \n    0 0 0 0 0 1 0 0 0 0 0 0 0 0 0 0 0 0 0 0 0 0 0 0 0 0 0 0 0 0 0 0 0 0 0 0 0 0 \n    0 0 0 0 0 0 1 0 0 0 0 0]\n[1 0 0 0 1 0 0 1 0 1 0 1 1 1 1 0 1 1 1 0 0 1 0 0 1 1 0 1 1 0 1 1 0 0 0 0 1 1 1 1\n    1 1 0 0 0 0 1 1 0 1 1 0 1 1 0 0 1 0 0 1 1 1 0 1 1 1 1 0 1 0 1 0 0 1 0 0 0 1 \n    1 0 0 0 0 1 0 0 0 0 0 0 0 0 0 0 0 0 0 0 0 0 0 0 0 0 0 0 0 0 0 0 0 0 0 0 0 0 \n    0 0 0 0 0 0 0 1 0 0 0 0]\n[0 1 0 0 0 0 1 0 1 1 1 1 0 0 1 0 0 0 0 1 0 1 0 1 1 1 1 0 0 1 0 0 0 1 1 1 1 1 0 0\n    0 1 1 1 1 1 0 0 0 1 0 0 1 1 1 1 0 1 0 1 0 0 0 0 1 0 0 1 1 1 1 0 1 0 0 0 0 1 \n    0 1 0 0 0 1 0 0 0 0 0 0 0 0 0 0 0 0 0 0 0 0 0 0 0 0 0 0 0 0 0 0 0 0 0 0 0 0 \n    0 0 0 0 0 0 0 0 1 0 0 0]\n[0 0 1 0 0 1 1 1 0 0 1 0 0 1 0 0 0 1 1 0 1 1 0 1 0 1 1 1 1 0 1 1 1 1 0 0 0 1 0 1\n    1 0 1 0 0 0 1 1 1 1 0 1 1 1 1 0 1 0 1 1 0 1 1 0 0 0 1 0 0 1 0 0 1 1 1 0 0 1 \n    0 0 1 0 0 1 0 0 0 0 0 0 0 0 0 0 0 0 0 0 0 0 0 0 0 0 0 0 0 0 0 0 0 0 0 0 0 0 \n    0 0 0 0 0 0 0 0 0 1 0 0]\n[0 0 0 1 0 1 0 1 1 1 0 0 1 1 1 1 0 1 0 1 0 0 0 1 0 0 1 1 0 1 0 0 0 0 0 1 1 0 0 1\n    0 1 0 0 1 1 0 0 0 0 0 1 0 1 1 0 0 1 0 0 0 1 0 1 0 1 1 1 1 0 0 1 1 1 0 1 0 1 \n    0 0 0 1 0 1 0 0 0 0 0 0 0 0 0 0 0 0 0 0 0 0 0 0 0 0 0 0 0 0 0 0 0 0 0 0 0 0 \n    0 0 0 0 0 0 0 0 0 0 1 0]\n[0 0 0 0 1 1 0 0 1 0 1 1 1 0 1 0 1 1 0 0 1 1 1 1 0 0 0 1 0 0 1 1 1 1 1 1 0 1 1 1\n    0 0 1 1 1 0 1 1 1 1 1 1 0 0 1 0 0 0 1 1 1 1 0 0 1 1 0 1 0 1 1 1 0 1 0 0 1 1 \n    0 0 0 0 1 1 0 0 0 0 0 0 0 0 0 0 0 0 0 0 0 0 0 0 0 0 0 0 0 0 0 0 0 0 0 0 0 0 \n    0 0 0 0 0 0 0 0 0 0 0 1]\n[128, 44] Linear Code over GF(2)\nGenerator matrix:\n[1 0 0 0 0 0 0 0 0 0 0 0 0 0 0 0 0 0 0 0 0 0 0 0 0 0 0 0 0 0 0 0 0 0 0 0 0 0 0 0\n    0 0 0 0 1 1 0 0 0 0 1 1 0 0 1 0 1 1 1 0 1 0 1 1 0 0 1 1 1 1 0 0 0 1 0 0 1 1 \n    1 1 1 1 0 1 1 1 0 0 1 1 1 0 1 1 1 1 1 1 0 0 1 0 0 0 1 1 1 1 0 0 1 1 0 1 0 1 \n    1 1 0 1 0 0 1 1 0 0 0 0]\n[0 1 0 0 0 0 0 0 0 0 0 0 0 0 0 0 0 0 0 0 0 0 0 0 0 0 0 0 0 0 0 0 0 0 0 0 0 0 0 0\n    0 0 0 0 1 0 1 0 0 0 1 0 1 0 1 1 1 0 0 1 1 1 1 0 1 0 1 0 0 0 1 0 0 1 1 0 1 0 \n    0 0 0 0 1 1 0 0 1 0 1 0 0 1 1 0 0 0 0 0 1 0 1 1 0 0 1 0 0 0 1 0 1 0 1 1 1 1 \n    0 0 1 1 1 0 1 0 1 0 0 0]\n[0 0 1 0 0 0 0 0 0 0 0 0 0 0 0 0 0 0 0 0 0 0 0 0 0 0 0 0 0 0 0 0 0 0 0 0 0 0 0 0\n    0 0 0 0 1 0 0 1 0 0 1 0 0 1 1 1 0 0 1 0 0 1 0 0 0 1 1 0 1 1 0 1 0 1 1 1 1 0 \n    1 1 1 1 0 0 0 1 0 1 1 0 1 0 0 0 1 1 1 1 0 1 1 1 1 0 1 0 1 1 0 1 1 0 0 0 1 0 \n    0 1 0 0 1 1 1 0 0 1 0 0]\n[0 0 0 1 0 0 0 0 0 0 0 0 0 0 0 0 0 0 0 0 0 0 0 0 0 0 0 0 0 0 0 0 0 0 0 0 0 0 0 0\n    0 0 0 0 1 0 0 0 1 0 1 0 0 0 0 1 0 1 1 1 1 0 0 1 0 0 0 0 1 0 1 0 1 1 1 1 0 0 \n    1 0 0 0 1 1 1 1 1 0 0 0 1 1 1 1 1 0 0 0 1 0 0 1 1 1 1 0 1 0 1 0 0 0 0 1 0 0 \n    1 1 1 1 0 1 0 0 0 0 1 0]\n[0 0 0 0 1 0 0 0 0 0 0 0 0 0 0 0 0 0 0 0 0 0 0 0 0 0 0 0 0 0 0 0 0 0 0 0 0 0 0 0\n    0 0 0 0 1 0 0 0 0 1 1 0 0 0 1 0 0 1 0 1 0 1 1 1 1 0 1 1 1 0 0 1 0 0 1 1 0 1 \n    1 0 1 1 0 0 0 0 1 1 1 1 1 1 0 0 0 0 1 1 0 1 1 0 1 1 0 0 1 0 0 1 1 1 0 1 1 1 \n    1 0 1 0 1 0 0 1 0 0 0 1]\n[0 0 0 0 0 1 0 0 0 0 0 0 0 0 0 0 0 0 0 0 0 0 0 0 0 0 0 0 0 0 0 0 0 0 0 0 0 0 0 0\n    0 0 0 0 1 0 0 0 0 0 0 0 0 0 1 1 1 1 0 0 0 0 0 0 1 1 1 0 0 0 0 0 1 1 0 1 0 1 \n    0 0 1 0 1 1 1 1 0 1 0 0 0 1 0 1 1 1 1 0 1 0 0 1 0 1 0 1 1 0 0 0 0 0 1 1 1 0 \n    0 0 0 0 0 1 1 1 1 0 0 0]\n[0 0 0 0 0 0 1 0 0 0 0 0 0 0 0 0 0 0 0 0 0 0 0 0 0 0 0 0 0 0 0 0 0 0 0 0 0 0 0 0\n    0 0 0 0 0 1 0 0 0 0 0 0 0 0 0 1 1 1 1 0 0 0 0 0 0 1 1 1 0 0 0 0 0 1 1 0 1 0 \n    1 0 0 1 0 1 1 1 1 0 1 0 0 0 1 0 1 1 1 1 0 1 0 0 1 0 1 0 1 1 0 0 0 0 0 1 1 1 \n    0 0 0 0 0 0 1 1 1 1 0 0]\n[0 0 0 0 0 0 0 1 0 0 0 0 0 0 0 0 0 0 0 0 0 0 0 0 0 0 0 0 0 0 0 0 0 0 0 0 0 0 0 0\n    0 0 0 0 0 0 1 0 0 0 0 0 0 0 0 0 1 1 1 1 0 0 0 0 0 0 1 1 1 0 0 0 0 0 1 1 0 1 \n    0 1 0 0 1 0 1 1 1 1 0 1 0 0 0 1 0 1 1 1 1 0 1 0 0 1 0 1 0 1 1 0 0 0 0 0 1 1 \n    1 0 0 0 0 0 0 1 1 1 1 0]\n[0 0 0 0 0 0 0 0 1 0 0 0 0 0 0 0 0 0 0 0 0 0 0 0 0 0 0 0 0 0 0 0 0 0 0 0 0 0 0 0\n    0 0 0 0 0 0 0 1 0 0 0 0 0 0 0 0 0 1 1 1 1 0 0 0 0 0 0 1 1 1 0 0 0 0 0 1 1 0 \n    1 0 1 0 0 1 0 1 1 1 1 0 1 0 0 0 1 0 1 1 1 1 0 1 0 0 1 0 1 0 1 1 0 0 0 0 0 1 \n    1 1 0 0 0 0 0 0 1 1 1 1]\n[0 0 0 0 0 0 0 0 0 1 0 0 0 0 0 0 0 0 0 0 0 0 0 0 0 0 0 0 0 0 0 0 0 0 0 0 0 0 0 0\n    0 0 0 0 0 0 0 0 1 0 0 0 0 0 0 0 0 0 1 1 1 1 0 0 0 0 0 0 1 1 1 0 0 0 0 0 1 1 \n    0 1 0 1 0 0 1 0 1 1 1 1 0 1 0 0 0 1 0 1 1 1 1 0 1 0 0 1 0 1 0 1 1 0 0 0 0 0 \n    1 1 1 0 0 0 0 0 0 1 1 1]\n[0 0 0 0 0 0 0 0 0 0 1 0 0 0 0 0 0 0 0 0 0 0 0 0 0 0 0 0 0 0 0 0 0 0 0 0 0 0 0 0\n    0 0 0 0 1 1 0 0 0 1 1 1 0 0 1 0 1 1 1 1 0 1 0 1 0 0 1 1 1 0 1 1 0 1 0 0 1 0 \n    0 1 0 1 1 1 1 0 0 1 0 0 0 0 0 1 1 1 0 1 1 1 0 1 0 1 1 1 0 1 1 0 0 0 0 1 0 1 \n    1 0 1 0 0 0 1 1 0 0 1 1]\n[0 0 0 0 0 0 0 0 0 0 0 1 0 0 0 0 0 0 0 0 0 0 0 0 0 0 0 0 0 0 0 0 0 0 0 0 0 0 0 0\n    0 0 0 0 0 1 1 0 0 0 1 1 1 0 0 1 0 1 1 1 1 0 1 0 1 0 0 1 1 1 0 1 1 0 1 0 0 1 \n    0 0 1 0 1 1 1 1 0 0 1 0 0 0 0 0 1 1 1 0 1 1 1 0 1 0 1 1 1 0 1 1 0 0 0 0 1 0 \n    1 1 0 1 0 0 0 1 1 0 0 1]\n[0 0 0 0 0 0 0 0 0 0 0 0 1 0 0 0 0 0 0 0 0 0 0 0 0 0 0 0 0 0 0 0 0 0 0 0 0 0 0 0\n    0 0 0 0 1 1 1 1 0 0 1 0 1 1 1 0 0 1 0 1 0 1 1 0 0 1 1 1 0 0 1 0 1 0 0 1 1 1 \n    0 1 1 0 0 0 0 0 1 0 1 0 1 0 1 1 1 0 0 0 0 1 0 1 0 1 1 0 0 0 0 1 0 1 0 1 0 0 \n    1 0 1 1 1 0 1 1 1 1 0 0]\n[0 0 0 0 0 0 0 0 0 0 0 0 0 1 0 0 0 0 0 0 0 0 0 0 0 0 0 0 0 0 0 0 0 0 0 0 0 0 0 0\n    0 0 0 0 0 1 1 1 1 0 0 1 0 1 1 1 0 0 1 0 1 0 1 1 0 0 1 1 1 0 0 1 0 1 0 0 1 1 \n    1 0 1 1 0 0 0 0 0 1 0 1 0 1 0 1 1 1 0 0 0 0 1 0 1 0 1 1 0 0 0 0 1 0 1 0 1 0 \n    0 1 0 1 1 1 0 1 1 1 1 0]\n[0 0 0 0 0 0 0 0 0 0 0 0 0 0 1 0 0 0 0 0 0 0 0 0 0 0 0 0 0 0 0 0 0 0 0 0 0 0 0 0\n    0 0 0 0 0 0 1 1 1 1 0 0 1 0 1 1 1 0 0 1 0 1 0 1 1 0 0 1 1 1 0 0 1 0 1 0 0 1 \n    1 1 0 1 1 0 0 0 0 0 1 0 1 0 1 0 1 1 1 0 0 0 0 1 0 1 0 1 1 0 0 0 0 1 0 1 0 1 \n    0 0 1 0 1 1 1 0 1 1 1 1]\n[0 0 0 0 0 0 0 0 0 0 0 0 0 0 0 1 0 0 0 0 0 0 0 0 0 0 0 0 0 0 0 0 0 0 0 0 0 0 0 0\n    0 0 0 0 0 0 0 1 1 1 1 0 0 1 0 1 1 1 0 0 1 0 1 0 1 1 0 0 1 1 1 0 0 1 0 1 0 0 \n    1 1 1 0 1 1 0 0 0 0 0 1 0 1 0 1 0 1 1 1 0 0 0 0 1 0 1 0 1 1 0 0 0 0 1 0 1 0 \n    1 0 0 1 0 1 1 1 0 1 1 1]\n[0 0 0 0 0 0 0 0 0 0 0 0 0 0 0 0 1 0 0 0 0 0 0 0 0 0 0 0 0 0 0 0 0 0 0 0 0 0 0 0\n    0 0 0 0 1 1 0 0 1 1 0 0 0 0 0 0 0 0 0 0 1 1 1 0 0 1 0 1 1 0 1 1 0 1 1 0 0 1 \n    1 0 0 0 0 0 0 1 0 0 1 1 0 0 0 1 0 1 0 0 1 0 1 0 0 1 1 0 1 0 1 0 1 1 0 0 0 0 \n    1 0 0 1 1 0 0 0 1 0 1 1]\n[0 0 0 0 0 0 0 0 0 0 0 0 0 0 0 0 0 1 0 0 0 0 0 0 0 0 0 0 0 0 0 0 0 0 0 0 0 0 0 0\n    0 0 0 0 0 1 1 0 0 1 1 0 0 0 0 0 0 0 0 0 0 1 1 1 0 0 1 0 1 1 0 1 1 0 1 1 0 0 \n    1 1 0 0 0 0 0 0 1 0 0 1 1 0 0 0 1 0 1 0 0 1 0 1 0 0 1 1 0 1 0 1 0 1 1 0 0 0 \n    0 1 0 0 1 1 0 0 0 1 0 1]\n[0 0 0 0 0 0 0 0 0 0 0 0 0 0 0 0 0 0 1 0 0 0 0 0 0 0 0 0 0 0 0 0 0 0 0 0 0 0 0 0\n    0 0 0 0 1 1 1 1 0 0 0 0 0 0 1 0 1 1 1 0 1 0 0 0 1 0 1 0 1 0 1 0 1 0 0 1 0 1 \n    1 0 0 1 0 1 1 1 0 1 1 1 0 1 1 1 1 0 1 0 0 0 0 0 1 0 1 0 0 1 1 0 0 1 1 0 0 1 \n    1 1 1 1 0 1 0 1 0 0 1 0]\n[0 0 0 0 0 0 0 0 0 0 0 0 0 0 0 0 0 0 0 1 0 0 0 0 0 0 0 0 0 0 0 0 0 0 0 0 0 0 0 0\n    0 0 0 0 0 1 1 1 1 0 0 0 0 0 0 1 0 1 1 1 0 1 0 0 0 1 0 1 0 1 0 1 0 1 0 0 1 0 \n    1 1 0 0 1 0 1 1 1 0 1 1 1 0 1 1 1 1 0 1 0 0 0 0 0 1 0 1 0 0 1 1 0 0 1 1 0 0 \n    1 1 1 1 1 0 1 0 1 0 0 1]\n[0 0 0 0 0 0 0 0 0 0 0 0 0 0 0 0 0 0 0 0 1 0 0 0 0 0 0 0 0 0 0 0 0 0 0 0 0 0 0 0\n    0 0 0 0 0 0 1 1 1 1 0 0 0 0 0 0 1 0 1 1 1 0 1 0 0 0 1 0 1 0 1 0 1 0 1 0 0 1 \n    0 1 1 0 0 1 0 1 1 1 0 1 1 1 0 1 1 1 1 0 1 0 0 0 0 0 1 0 1 0 0 1 1 0 0 1 1 0 \n    0 1 1 1 1 1 0 1 0 1 0 0]\n[0 0 0 0 0 0 0 0 0 0 0 0 0 0 0 0 0 0 0 0 0 1 0 0 0 0 0 0 0 0 0 0 0 0 0 0 0 0 0 0\n    0 0 0 0 1 1 0 1 1 1 0 1 0 0 1 0 1 0 1 1 0 1 1 0 0 0 1 0 1 0 0 1 0 0 0 1 1 1 \n    0 1 0 0 0 1 0 1 1 1 0 1 0 1 0 1 0 0 0 0 0 1 1 0 0 0 1 0 1 0 0 0 0 0 0 1 1 0 \n    1 1 1 0 1 1 0 1 1 0 1 0]\n[0 0 0 0 0 0 0 0 0 0 0 0 0 0 0 0 0 0 0 0 0 0 1 0 0 0 0 0 0 0 0 0 0 0 0 0 0 0 0 0\n    0 0 0 0 1 0 1 0 1 1 0 1 1 0 1 1 1 0 1 1 0 0 0 0 0 0 1 0 1 0 0 0 1 1 0 0 0 0 \n    0 1 0 1 0 1 0 1 1 1 0 1 0 0 0 1 0 1 1 1 0 0 0 1 0 0 1 0 1 0 0 0 1 1 0 1 1 0 \n    1 0 1 0 0 1 0 1 1 1 0 1]\n[0 0 0 0 0 0 0 0 0 0 0 0 0 0 0 0 0 0 0 0 0 0 0 1 0 0 0 0 0 0 0 0 0 0 0 0 0 0 0 0\n    0 0 0 0 1 0 0 1 0 1 0 1 1 1 1 1 0 0 1 1 0 0 1 1 0 0 1 0 1 0 0 0 0 0 1 0 1 1 \n    1 1 0 1 1 1 0 1 1 1 0 1 0 0 1 1 0 1 0 0 1 0 1 0 1 0 1 0 1 0 0 0 1 0 1 1 1 0 \n    1 0 0 0 0 0 0 1 1 1 1 0]\n[0 0 0 0 0 0 0 0 0 0 0 0 0 0 0 0 0 0 0 0 0 0 0 0 1 0 0 0 0 0 0 0 0 0 0 0 0 0 0 0\n    0 0 0 0 0 1 0 0 1 0 1 0 1 1 1 1 1 0 0 1 1 0 0 1 1 0 0 1 0 1 0 0 0 0 0 1 0 1 \n    1 1 1 0 1 1 1 0 1 1 1 0 1 0 0 1 1 0 1 0 0 1 0 1 0 1 0 1 0 1 0 0 0 1 0 1 1 1 \n    0 1 0 0 0 0 0 0 1 1 1 1]\n[0 0 0 0 0 0 0 0 0 0 0 0 0 0 0 0 0 0 0 0 0 0 0 0 0 1 0 0 0 0 0 0 0 0 0 0 0 0 0 0\n    0 0 0 0 0 0 1 0 0 1 0 1 0 1 1 1 1 1 0 0 1 1 0 0 1 1 0 0 1 0 1 0 0 0 0 0 1 0 \n    1 1 1 1 0 1 1 1 0 1 1 1 0 1 0 0 1 1 0 1 0 0 1 0 1 0 1 0 1 0 1 0 0 0 1 0 1 1 \n    1 0 1 0 0 0 0 0 0 1 1 1]\n[0 0 0 0 0 0 0 0 0 0 0 0 0 0 0 0 0 0 0 0 0 0 0 0 0 0 1 0 0 0 0 0 0 0 0 0 0 0 0 0\n    0 0 0 0 1 1 0 1 0 0 0 1 1 0 0 1 0 0 0 0 1 1 0 1 0 1 0 1 1 0 0 1 0 1 0 0 1 0 \n    1 0 0 0 1 1 0 0 1 0 0 0 0 0 0 1 1 0 0 1 1 0 1 1 0 1 1 0 1 0 0 1 1 1 0 0 0 0 \n    0 0 0 0 0 0 1 1 0 0 1 1]\n[0 0 0 0 0 0 0 0 0 0 0 0 0 0 0 0 0 0 0 0 0 0 0 0 0 0 0 1 0 0 0 0 0 0 0 0 0 0 0 0\n    0 0 0 0 0 1 1 0 1 0 0 0 1 1 0 0 1 0 0 0 0 1 1 0 1 0 1 0 1 1 0 0 1 0 1 0 0 1 \n    0 1 0 0 0 1 1 0 0 1 0 0 0 0 0 0 1 1 0 0 1 1 0 1 1 0 1 1 0 1 0 0 1 1 1 0 0 0 \n    0 0 0 0 0 0 0 1 1 0 0 1]\n[0 0 0 0 0 0 0 0 0 0 0 0 0 0 0 0 0 0 0 0 0 0 0 0 0 0 0 0 1 0 0 0 0 0 0 0 0 0 0 0\n    0 0 0 0 1 1 1 1 0 1 1 1 0 1 0 0 1 0 1 0 1 0 0 0 0 1 1 0 1 0 1 0 0 0 0 1 1 1 \n    0 1 0 1 0 1 0 0 0 0 0 1 1 0 1 1 1 0 0 1 0 1 0 0 1 1 1 0 0 1 1 0 1 0 1 0 0 1 \n    1 1 0 1 0 0 1 1 1 1 0 0]\n[0 0 0 0 0 0 0 0 0 0 0 0 0 0 0 0 0 0 0 0 0 0 0 0 0 0 0 0 0 1 0 0 0 0 0 0 0 0 0 0\n    0 0 0 0 0 1 1 1 1 0 1 1 1 0 1 0 0 1 0 1 0 1 0 0 0 0 1 1 0 1 0 1 0 0 0 0 1 1 \n    1 0 1 0 1 0 1 0 0 0 0 0 1 1 0 1 1 1 0 0 1 0 1 0 0 1 1 1 0 0 1 1 0 1 0 1 0 0 \n    1 1 1 0 1 0 0 1 1 1 1 0]\n[0 0 0 0 0 0 0 0 0 0 0 0 0 0 0 0 0 0 0 0 0 0 0 0 0 0 0 0 0 0 1 0 0 0 0 0 0 0 0 0\n    0 0 0 0 0 0 1 1 1 1 0 1 1 1 0 1 0 0 1 0 1 0 1 0 0 0 0 1 1 0 1 0 1 0 0 0 0 1 \n    1 1 0 1 0 1 0 1 0 0 0 0 0 1 1 0 1 1 1 0 0 1 0 1 0 0 1 1 1 0 0 1 1 0 1 0 1 0 \n    0 1 1 1 0 1 0 0 1 1 1 1]\n[0 0 0 0 0 0 0 0 0 0 0 0 0 0 0 0 0 0 0 0 0 0 0 0 0 0 0 0 0 0 0 1 0 0 0 0 0 0 0 0\n    0 0 0 0 0 0 0 1 1 1 1 0 1 1 1 0 1 0 0 1 0 1 0 1 0 0 0 0 1 1 0 1 0 1 0 0 0 0 \n    1 1 1 0 1 0 1 0 1 0 0 0 0 0 1 1 0 1 1 1 0 0 1 0 1 0 0 1 1 1 0 0 1 1 0 1 0 1 \n    0 0 1 1 1 0 1 0 0 1 1 1]\n[0 0 0 0 0 0 0 0 0 0 0 0 0 0 0 0 0 0 0 0 0 0 0 0 0 0 0 0 0 0 0 0 1 0 0 0 0 0 0 0\n    0 0 0 0 1 1 0 0 1 1 0 0 0 1 0 1 1 0 1 0 0 0 0 1 1 0 1 1 1 0 1 0 1 1 1 0 1 1 \n    1 0 0 0 0 0 1 0 0 1 1 1 1 0 1 0 0 1 0 0 1 0 1 1 0 1 1 1 0 0 1 0 1 0 1 1 1 1 \n    0 1 0 0 1 1 1 0 0 0 1 1]\n[0 0 0 0 0 0 0 0 0 0 0 0 0 0 0 0 0 0 0 0 0 0 0 0 0 0 0 0 0 0 0 0 0 1 0 0 0 0 0 0\n    0 0 0 0 0 1 1 0 0 1 1 0 0 0 1 0 1 1 0 1 0 0 0 0 1 1 0 1 1 1 0 1 0 1 1 1 0 1 \n    1 1 0 0 0 0 0 1 0 0 1 1 1 1 0 1 0 0 1 0 0 1 0 1 1 0 1 1 1 0 0 1 0 1 0 1 1 1 \n    1 0 1 0 0 1 1 1 0 0 0 1]\n[0 0 0 0 0 0 0 0 0 0 0 0 0 0 0 0 0 0 0 0 0 0 0 0 0 0 0 0 0 0 0 0 0 0 1 0 0 0 0 0\n    0 0 0 0 1 1 1 1 0 0 0 0 0 0 1 1 1 0 0 0 0 0 1 1 0 1 0 1 0 0 1 0 1 1 1 1 0 1 \n    0 0 0 1 0 1 1 1 1 0 1 0 0 1 0 1 0 1 1 0 0 0 0 0 1 1 1 0 0 0 0 0 0 1 1 1 1 0 \n    0 0 0 0 0 0 0 0 1 0 0 0]\n[0 0 0 0 0 0 0 0 0 0 0 0 0 0 0 0 0 0 0 0 0 0 0 0 0 0 0 0 0 0 0 0 0 0 0 1 0 0 0 0\n    0 0 0 0 0 1 1 1 1 0 0 0 0 0 0 1 1 1 0 0 0 0 0 1 1 0 1 0 1 0 0 1 0 1 1 1 1 0 \n    1 0 0 0 1 0 1 1 1 1 0 1 0 0 1 0 1 0 1 1 0 0 0 0 0 1 1 1 0 0 0 0 0 0 1 1 1 1 \n    0 0 0 0 0 0 0 0 0 1 0 0]\n[0 0 0 0 0 0 0 0 0 0 0 0 0 0 0 0 0 0 0 0 0 0 0 0 0 0 0 0 0 0 0 0 0 0 0 0 1 0 0 0\n    0 0 0 0 0 0 1 1 1 1 0 0 0 0 0 0 1 1 1 0 0 0 0 0 1 1 0 1 0 1 0 0 1 0 1 1 1 1 \n    0 1 0 0 0 1 0 1 1 1 1 0 1 0 0 1 0 1 0 1 1 0 0 0 0 0 1 1 1 0 0 0 0 0 0 1 1 1 \n    1 0 0 0 0 0 0 0 0 0 1 0]\n[0 0 0 0 0 0 0 0 0 0 0 0 0 0 0 0 0 0 0 0 0 0 0 0 0 0 0 0 0 0 0 0 0 0 0 0 0 1 0 0\n    0 0 0 0 0 0 0 1 1 1 1 0 0 0 0 0 0 1 1 1 0 0 0 0 0 1 1 0 1 0 1 0 0 1 0 1 1 1 \n    1 0 1 0 0 0 1 0 1 1 1 1 0 1 0 0 1 0 1 0 1 1 0 0 0 0 0 1 1 1 0 0 0 0 0 0 1 1 \n    1 1 0 0 0 0 0 0 0 0 0 1]\n[0 0 0 0 0 0 0 0 0 0 0 0 0 0 0 0 0 0 0 0 0 0 0 0 0 0 0 0 0 0 0 0 0 0 0 0 0 0 1 0\n    0 0 0 0 0 0 0 0 1 1 1 1 0 0 0 0 0 0 1 1 1 0 0 0 0 0 1 1 0 1 0 1 0 0 1 0 1 1 \n    1 1 0 1 0 0 0 1 0 1 1 1 1 0 1 0 0 1 0 1 0 1 1 0 0 0 0 0 1 1 1 0 0 0 0 0 0 1 \n    1 1 1 0 0 0 0 0 0 0 0 0]\n[0 0 0 0 0 0 0 0 0 0 0 0 0 0 0 0 0 0 0 0 0 0 0 0 0 0 0 0 0 0 0 0 0 0 0 0 0 0 0 1\n    0 0 0 0 1 1 0 0 0 1 0 0 1 0 1 0 1 1 1 1 0 1 1 1 0 0 1 0 0 1 1 0 1 1 0 1 1 0 \n    0 0 0 1 1 1 1 1 1 0 0 0 0 1 1 0 1 1 0 1 1 0 0 1 0 0 1 1 1 0 1 1 1 1 0 1 0 1 \n    0 0 1 0 0 0 1 1 0 0 0 0]\n[0 0 0 0 0 0 0 0 0 0 0 0 0 0 0 0 0 0 0 0 0 0 0 0 0 0 0 0 0 0 0 0 0 0 0 0 0 0 0 0\n    1 0 0 0 1 0 1 0 0 0 0 1 0 1 1 1 1 0 0 1 0 0 0 0 1 0 1 0 1 1 1 1 0 0 1 0 0 0 \n    1 1 1 1 1 0 0 0 1 1 1 1 1 0 0 0 1 0 0 1 1 1 1 0 1 0 1 0 0 0 0 1 0 0 1 1 1 1 \n    0 1 0 0 0 0 1 0 1 0 0 0]\n[0 0 0 0 0 0 0 0 0 0 0 0 0 0 0 0 0 0 0 0 0 0 0 0 0 0 0 0 0 0 0 0 0 0 0 0 0 0 0 0\n    0 1 0 0 1 0 0 1 0 0 1 1 1 0 0 1 0 0 1 0 0 0 1 1 0 1 1 0 1 0 1 1 1 1 0 1 1 1 \n    1 0 0 0 1 0 1 1 0 1 0 0 0 1 1 1 1 0 1 1 1 1 0 1 0 1 1 0 1 1 0 0 0 1 0 0 1 0 \n    0 1 1 1 0 0 1 0 0 1 0 0]\n[0 0 0 0 0 0 0 0 0 0 0 0 0 0 0 0 0 0 0 0 0 0 0 0 0 0 0 0 0 0 0 0 0 0 0 0 0 0 0 0\n    0 0 1 0 1 0 0 0 1 0 1 0 1 1 1 0 0 1 1 1 1 0 1 0 1 0 0 0 1 0 0 1 1 0 1 0 0 0 \n    0 0 1 1 0 0 1 0 1 0 0 1 1 0 0 0 0 0 1 0 1 1 0 0 1 0 0 0 1 0 1 0 1 1 1 1 0 0 \n    1 1 1 0 1 0 1 0 0 0 1 0]\n[0 0 0 0 0 0 0 0 0 0 0 0 0 0 0 0 0 0 0 0 0 0 0 0 0 0 0 0 0 0 0 0 0 0 0 0 0 0 0 0\n    0 0 0 1 1 0 0 0 0 1 1 0 0 1 0 1 1 1 0 1 0 1 1 0 0 1 1 1 1 0 0 0 1 0 0 1 1 1 \n    1 1 1 0 1 1 1 0 0 1 1 1 0 1 1 1 1 1 1 0 0 1 0 0 0 1 1 1 1 0 0 1 1 0 1 0 1 1 \n    1 0 1 0 0 1 1 0 0 0 0 1]\nLinear Code over GF(2) of length 128 with 44 generators.\nLower Bound: 1, Upper Bound: 85\nConstructed 3 distinct generator matrices\nRelative Ranks:  44  44  40 \nTime Taken: 0.00\nStarting search for low weight codewords... (reset timings)\nEnumerating using 1 generator at a time:\n     New codeword identified of weight 49, time 0.00\n     New codeword identified of weight 39, time 0.00\n     New codeword identified of weight 36, time 0.00\n     New codeword identified of weight 35, time 0.00\n   Completed Matrix  1:  lower =  3, upper = 35. Elapsed: 0.00s\n   Completed Matrix  2:  lower =  4, upper = 35. Elapsed: 0.00s\n     New codeword identified of weight 33, time 0.00\n   Completed Matrix  3:  lower =  4, upper = 33. Elapsed: 0.00s\nTermination predicted with 12 generators at matrix 1\nEnumerating using 2 generators at a time:\n     New codeword identified of weight 30, time 0.00\n     New codeword identified of weight 29, time 0.00\n   Completed Matrix  1:  lower =  5, upper = 29. Elapsed: 0.00s\n   Completed Matrix  2:  lower =  6, upper = 29. Elapsed: 0.00s\n   Completed Matrix  3:  lower =  6, upper = 29. Elapsed: 0.00s\nTermination predicted with 10 generators at matrix 3\nEnumerating using 3 generators at a time:\n   Completed Matrix  1:  lower =  7, upper = 29. Elapsed: 0.00s\n   Completed Matrix  2:  lower =  8, upper = 29. Elapsed: 0.00s\n   Completed Matrix  3:  lower =  8, upper = 29. Elapsed: 0.00s\nTermination predicted with 10 generators at matrix 3\nEnumerating using 4 generators at a time:\n   Completed Matrix  1:  lower =  9, upper = 29. Elapsed: 0.00s\n   Completed Matrix  2:  lower = 10, upper = 29. Elapsed: 0.00s\n   Completed Matrix  3:  lower = 11, upper = 29. Elapsed: 0.00s\nTermination predicted with 10 generators at matrix 3\nEnumerating using 5 generators at a time:\n   Completed Matrix  1:  lower = 12, upper = 29. Elapsed: 0.00s\n   Completed Matrix  2:  lower = 13, upper = 29. Elapsed: 0.00s\n   Completed Matrix  3:  lower = 14, upper = 29. Elapsed: 0.00s\nTermination predicted with 10 generators at matrix 3\nEnumerating using 6 generators at a time:\n   Completed Matrix  1:  lower = 15, upper = 29. Elapsed: 0.03s\n   Completed Matrix  2:  lower = 16, upper = 29. Elapsed: 0.03s\n   Completed Matrix  3:  lower = 17, upper = 29. Elapsed: 0.06s\nTermination predicted with 10 generators at matrix 3\nEnumerating using 7 generators at a time:\n   Completed Matrix  1:  lower = 18, upper = 29. Elapsed: 0.17s\n   Completed Matrix  2:  lower = 19, upper = 29. Elapsed: 0.26s\n   Completed Matrix  3:  lower = 20, upper = 29. Elapsed: 0.36s\nTermination predicted at 26 s with 10 generators at matrix 3\nEnumerating using 8 generators at a time:\n   Completed Matrix  1:  lower = 21, upper = 29. Elapsed: 0.83s\n   Completed Matrix  2:  lower = 22, upper = 29. Elapsed: 1.29s\n   Completed Matrix  3:  lower = 23, upper = 29. Elapsed: 1.76s\nTermination predicted at 27 s with 10 generators at matrix 3\nEnumerating using 9 generators at a time:\n   Completed Matrix  1:  lower = 24, upper = 29. Elapsed: 3.70s\n   Completed Matrix  2:  lower = 25, upper = 29. Elapsed: 5.62s\n   Completed Matrix  3:  lower = 26, upper = 29. Elapsed: 7.53s\nTermination predicted at 28 s with 10 generators at matrix 3\nEnumerating using 10 generators at a time:\n   Completed Matrix  1:  lower = 27, upper = 29. Elapsed: 14.50s\n   Completed Matrix  2:  lower = 28, upper = 29. Elapsed: 21.46s\n   Completed Matrix  3:  lower = 29, upper = 29. Elapsed: 28.42s\nComputation complete 10242106578 vectors enumerated in total\n (0.058220% of 128 44 code)\nFinal Results: lower = 29, upper = 29,\nTotal CPU time: 28.42, real time: 28.434\n29\n\nTotal time: 28.439 seconds, Total memory usage: 32.09MB\n</t>
  </si>
  <si>
    <t>method: CLISATDist</t>
  </si>
  <si>
    <t>resume: 1</t>
  </si>
  <si>
    <t>popSize: 100</t>
  </si>
  <si>
    <t>outfile: /home/ucapmwe/dist-benchmark/results/codeTables-GF2_sample.txt-CLISATDist-20251224_094241.783907_85062422.txt</t>
  </si>
  <si>
    <t>c Parsing MaxSAT file...\nc ============================[  Problem Statistics ]============================\nc |  Number of variables:             6                                         |\nc |  Number of clauses:              11                                         |\nc ===============================================================================\nc Using SCIP solver, version 7.0.3, https://www.scipopt.org\nc scip_time = 0.000000\nc Starting SCIP solver in a separate thread (with time-limit = 0s) ...\nc Using COMiniSatPS SAT solver by Chanseok Oh (2016)\no 2\nc _x001B_[1mOptimal solution: 2_x001B_[0m\nc _______________________________________________________________________________\nc \nc restarts               : 12\nc conflicts              : 6              (722 /sec)\nc decisions              : 27             (0.00 % random) (3250 /sec)\nc propagations           : 77             (9268 /sec)\nc conflict literals      : 9              (0.00 % deleted)\nc =======================[ UWrMaxSat resources usage ]===========================\nc Memory used            : 26.00 MB\nc CPU time               : 0.008308 s\nc Wall clock time        : 0 s\nc OptExp Enc: Srt/BDD/Add: 3 0 0\nc _______________________________________________________________________________\nv 00110010\ns OPTIMUM FOUND\n</t>
  </si>
  <si>
    <t>c Parsing MaxSAT file...\nc ============================[  Problem Statistics ]============================\nc |  Number of variables:            10                                         |\nc |  Number of clauses:              23                                         |\nc ===============================================================================\nc Using SCIP solver, version 7.0.3, https://www.scipopt.org\nc scip_time = 0.000000\nc Starting SCIP solver in a separate thread (with time-limit = 0s) ...\nc Using COMiniSatPS SAT solver by Chanseok Oh (2016)\no 3\nc _x001B_[1mOptimal solution: 3_x001B_[0m\nc _______________________________________________________________________________\nc \nc restarts               : 17\nc conflicts              : 15             (1637 /sec)\nc decisions              : 36             (0.00 % random) (3928 /sec)\nc propagations           : 166            (18112 /sec)\nc conflict literals      : 31             (8.82 % deleted)\nc =======================[ UWrMaxSat resources usage ]===========================\nc Memory used            : 26.00 MB\nc CPU time               : 0.009165 s\nc Wall clock time        : 0 s\nc OptExp Enc: Srt/BDD/Add: 5 0 0\nc _______________________________________________________________________________\nv 0101011111000\ns OPTIMUM FOUND\n</t>
  </si>
  <si>
    <t>c Parsing MaxSAT file...\nc ============================[  Problem Statistics ]============================\nc |  Number of variables:            12                                         |\nc |  Number of clauses:              29                                         |\nc ===============================================================================\nc Using SCIP solver, version 7.0.3, https://www.scipopt.org\nc scip_time = 0.000000\nc Starting SCIP solver in a separate thread (with time-limit = 0s) ...\nc Using COMiniSatPS SAT solver by Chanseok Oh (2016)\no 4\nc _x001B_[1mOptimal solution: 4_x001B_[0m\nc _______________________________________________________________________________\nc \nc restarts               : 23\nc conflicts              : 20             (6275 /sec)\nc decisions              : 61             (0.00 % random) (19140 /sec)\nc propagations           : 281            (88171 /sec)\nc conflict literals      : 44             (6.38 % deleted)\nc =======================[ UWrMaxSat resources usage ]===========================\nc Memory used            : 26.00 MB\nc CPU time               : 0.003187 s\nc Wall clock time        : 0 s\nc OptExp Enc: Srt/BDD/Add: 7 0 0\nc _______________________________________________________________________________\nv 0101101101101000\ns OPTIMUM FOUND\n</t>
  </si>
  <si>
    <t>c Parsing MaxSAT file...\nc ============================[  Problem Statistics ]============================\nc |  Number of variables:            12                                         |\nc |  Number of clauses:              29                                         |\nc ===============================================================================\nc Using SCIP solver, version 7.0.3, https://www.scipopt.org\nc scip_time = 0.000000\nc Starting SCIP solver in a separate thread (with time-limit = 0s) ...\nc Using COMiniSatPS SAT solver by Chanseok Oh (2016)\no 4\nc _x001B_[1mOptimal solution: 4_x001B_[0m\nc _______________________________________________________________________________\nc \nc restarts               : 23\nc conflicts              : 20             (3331 /sec)\nc decisions              : 56             (0.00 % random) (9327 /sec)\nc propagations           : 286            (47635 /sec)\nc conflict literals      : 42             (8.70 % deleted)\nc =======================[ UWrMaxSat resources usage ]===========================\nc Memory used            : 26.00 MB\nc CPU time               : 0.006004 s\nc Wall clock time        : 0 s\nc OptExp Enc: Srt/BDD/Add: 7 0 0\nc _______________________________________________________________________________\nv 10100101110110000\ns OPTIMUM FOUND\n</t>
  </si>
  <si>
    <t>c Parsing MaxSAT file...\nc ============================[  Problem Statistics ]============================\nc |  Number of variables:            21                                         |\nc |  Number of clauses:              57                                         |\nc ===============================================================================\nc Using SCIP solver, version 7.0.3, https://www.scipopt.org\nc scip_time = 0.000000\nc Starting SCIP solver in a separate thread (with time-limit = 0s) ...\nc Using COMiniSatPS SAT solver by Chanseok Oh (2016)\no 4\no 3\nc _x001B_[1mOptimal solution: 3_x001B_[0m\nc _______________________________________________________________________________\nc \nc restarts               : 33\nc conflicts              : 48             (8627 /sec)\nc decisions              : 104            (0.00 % random) (18692 /sec)\nc propagations           : 724            (130122 /sec)\nc conflict literals      : 178            (6.81 % deleted)\nc =======================[ UWrMaxSat resources usage ]===========================\nc Memory used            : 26.00 MB\nc CPU time               : 0.005564 s\nc Wall clock time        : 0 s\nc OptExp Enc: Srt/BDD/Add: 7 0 0\nc _______________________________________________________________________________\nv 0001100011111111111110000\ns OPTIMUM FOUND\n</t>
  </si>
  <si>
    <t>c Parsing MaxSAT file...\nc ============================[  Problem Statistics ]============================\nc |  Number of variables:            16                                         |\nc |  Number of clauses:              39                                         |\nc ===============================================================================\nc Using SCIP solver, version 7.0.3, https://www.scipopt.org\nc scip_time = 0.000000\nc Starting SCIP solver in a separate thread (with time-limit = 0s) ...\nc Using COMiniSatPS SAT solver by Chanseok Oh (2016)\no 5\nc _x001B_[1mOptimal solution: 5_x001B_[0m\nc _______________________________________________________________________________\nc \nc restarts               : 26\nc conflicts              : 18             (5982 /sec)\nc decisions              : 58             (0.00 % random) (19276 /sec)\nc propagations           : 367            (121967 /sec)\nc conflict literals      : 29             (0.00 % deleted)\nc =======================[ UWrMaxSat resources usage ]===========================\nc Memory used            : 26.00 MB\nc CPU time               : 0.003009 s\nc Wall clock time        : 0 s\nc OptExp Enc: Srt/BDD/Add: 8 0 0\nc _______________________________________________________________________________\nv 10100101011110111000000\ns OPTIMUM FOUND\n</t>
  </si>
  <si>
    <t>c Parsing MaxSAT file...\nc ============================[  Problem Statistics ]============================\nc |  Number of variables:            18                                         |\nc |  Number of clauses:              45                                         |\nc ===============================================================================\nc Using SCIP solver, version 7.0.3, https://www.scipopt.org\nc scip_time = 0.000000\nc Starting SCIP solver in a separate thread (with time-limit = 0s) ...\nc Using COMiniSatPS SAT solver by Chanseok Oh (2016)\no 6\nc _x001B_[1mOptimal solution: 6_x001B_[0m\nc _______________________________________________________________________________\nc \nc restarts               : 37\nc conflicts              : 29             (8915 /sec)\nc decisions              : 63             (0.00 % random) (19367 /sec)\nc propagations           : 555            (170612 /sec)\nc conflict literals      : 39             (0.00 % deleted)\nc =======================[ UWrMaxSat resources usage ]===========================\nc Memory used            : 26.00 MB\nc CPU time               : 0.003253 s\nc Wall clock time        : 0 s\nc OptExp Enc: Srt/BDD/Add: 9 0 0\nc _______________________________________________________________________________\nv 10110101100000000000000000\ns OPTIMUM FOUND\n</t>
  </si>
  <si>
    <t>c Parsing MaxSAT file...\nc ============================[  Problem Statistics ]============================\nc |  Number of variables:            20                                         |\nc |  Number of clauses:              53                                         |\nc ===============================================================================\nc Using SCIP solver, version 7.0.3, https://www.scipopt.org\nc scip_time = 0.000000\nc Starting SCIP solver in a separate thread (with time-limit = 0s) ...\nc Using COMiniSatPS SAT solver by Chanseok Oh (2016)\no 6\nc _x001B_[1mOptimal solution: 6_x001B_[0m\nc _______________________________________________________________________________\nc \nc restarts               : 33\nc conflicts              : 33             (8888 /sec)\nc decisions              : 89             (0.00 % random) (23970 /sec)\nc propagations           : 583            (157016 /sec)\nc conflict literals      : 71             (0.00 % deleted)\nc =======================[ UWrMaxSat resources usage ]===========================\nc Memory used            : 26.00 MB\nc CPU time               : 0.003713 s\nc Wall clock time        : 0 s\nc OptExp Enc: Srt/BDD/Add: 10 0 0\nc _______________________________________________________________________________\nv 10011010001101110110110000000\ns OPTIMUM FOUND\n</t>
  </si>
  <si>
    <t>c Parsing MaxSAT file...\nc ============================[  Problem Statistics ]============================\nc |  Number of variables:            29                                         |\nc |  Number of clauses:              81                                         |\nc ===============================================================================\nc Using SCIP solver, version 7.0.3, https://www.scipopt.org\nc scip_time = 0.000000\nc Starting SCIP solver in a separate thread (with time-limit = 0s) ...\nc Using COMiniSatPS SAT solver by Chanseok Oh (2016)\no 6\no 5\nc _x001B_[1mOptimal solution: 5_x001B_[0m\nc _______________________________________________________________________________\nc \nc restarts               : 50\nc conflicts              : 64             (15869 /sec)\nc decisions              : 173            (0.00 % random) (42896 /sec)\nc propagations           : 1167           (289363 /sec)\nc conflict literals      : 200            (6.98 % deleted)\nc =======================[ UWrMaxSat resources usage ]===========================\nc Memory used            : 26.00 MB\nc CPU time               : 0.004033 s\nc Wall clock time        : 0 s\nc OptExp Enc: Srt/BDD/Add: 10 0 0\nc _______________________________________________________________________________\nv 0100001010110110110111010100000000000\ns OPTIMUM FOUND\n</t>
  </si>
  <si>
    <t>c Parsing MaxSAT file...\nc ============================[  Problem Statistics ]============================\nc |  Number of variables:            34                                         |\nc |  Number of clauses:              97                                         |\nc ===============================================================================\nc Using SCIP solver, version 7.0.3, https://www.scipopt.org\nc scip_time = 0.000000\nc Starting SCIP solver in a separate thread (with time-limit = 0s) ...\nc Using COMiniSatPS SAT solver by Chanseok Oh (2016)\no 6\no 5\nc _x001B_[1mOptimal solution: 5_x001B_[0m\nc _______________________________________________________________________________\nc \nc restarts               : 65\nc conflicts              : 105            (22856 /sec)\nc decisions              : 284            (0.00 % random) (61820 /sec)\nc propagations           : 2044           (444928 /sec)\nc conflict literals      : 399            (8.28 % deleted)\nc =======================[ UWrMaxSat resources usage ]===========================\nc Memory used            : 26.00 MB\nc CPU time               : 0.004594 s\nc Wall clock time        : 0 s\nc OptExp Enc: Srt/BDD/Add: 12 0 0\nc _______________________________________________________________________________\nv 001000001101100000110100111110100000000000\ns OPTIMUM FOUND\n</t>
  </si>
  <si>
    <t>c Parsing MaxSAT file...\nc ============================[  Problem Statistics ]============================\nc |  Number of variables:            40                                         |\nc |  Number of clauses:             117                                         |\nc ===============================================================================\nc Using SCIP solver, version 7.0.3, https://www.scipopt.org\nc scip_time = 0.000000\nc Starting SCIP solver in a separate thread (with time-limit = 0s) ...\nc Using COMiniSatPS SAT solver by Chanseok Oh (2016)\no 7\no 5\nc _x001B_[1mOptimal solution: 5_x001B_[0m\nc _______________________________________________________________________________\nc \nc restarts               : 56\nc conflicts              : 158            (30147 /sec)\nc decisions              : 322            (0.00 % random) (61439 /sec)\nc propagations           : 3075           (586720 /sec)\nc conflict literals      : 852            (8.19 % deleted)\nc =======================[ UWrMaxSat resources usage ]===========================\nc Memory used            : 26.00 MB\nc CPU time               : 0.005241 s\nc Wall clock time        : 0 s\nc OptExp Enc: Srt/BDD/Add: 12 0 0\nc _______________________________________________________________________________\nv 001000000110110000000100110100111110100000000000\ns OPTIMUM FOUND\n</t>
  </si>
  <si>
    <t>c Parsing MaxSAT file...\nc ============================[  Problem Statistics ]============================\nc |  Number of variables:            46                                         |\nc |  Number of clauses:             137                                         |\nc ===============================================================================\nc Using SCIP solver, version 7.0.3, https://www.scipopt.org\nc scip_time = 0.000000\nc Starting SCIP solver in a separate thread (with time-limit = 0s) ...\nc Using COMiniSatPS SAT solver by Chanseok Oh (2016)\no 6\no 5\nc _x001B_[1mOptimal solution: 5_x001B_[0m\nc _______________________________________________________________________________\nc \nc restarts               : 44\nc conflicts              : 181            (34562 /sec)\nc decisions              : 303            (0.00 % random) (57858 /sec)\nc propagations           : 3957           (755585 /sec)\nc conflict literals      : 1090           (10.44 % deleted)\nc =======================[ UWrMaxSat resources usage ]===========================\nc Memory used            : 26.00 MB\nc CPU time               : 0.005237 s\nc Wall clock time        : 0 s\nc OptExp Enc: Srt/BDD/Add: 11 0 0\nc _______________________________________________________________________________\nv 001000000110011000000010011010011101101110100000000000\ns OPTIMUM FOUND\n</t>
  </si>
  <si>
    <t>c Parsing MaxSAT file...\nc ============================[  Problem Statistics ]============================\nc |  Number of variables:            48                                         |\nc |  Number of clauses:             143                                         |\nc ===============================================================================\nc Using SCIP solver, version 7.0.3, https://www.scipopt.org\nc scip_time = 0.000000\nc Starting SCIP solver in a separate thread (with time-limit = 0s) ...\nc Using COMiniSatPS SAT solver by Chanseok Oh (2016)\no 9\nc _x001B_[1mOptimal solution: 9_x001B_[0m\nc _______________________________________________________________________________\nc \nc restarts               : 112\nc conflicts              : 184            (28854 /sec)\nc decisions              : 586            (0.00 % random) (91893 /sec)\nc propagations           : 3971           (622707 /sec)\nc conflict literals      : 630            (5.55 % deleted)\nc =======================[ UWrMaxSat resources usage ]===========================\nc Memory used            : 26.00 MB\nc CPU time               : 0.006377 s\nc Wall clock time        : 0 s\nc OptExp Enc: Srt/BDD/Add: 20 0 0\nc _______________________________________________________________________________\nv 100010010010110101100101110111110001100011101000000000000000000\ns OPTIMUM FOUND\n</t>
  </si>
  <si>
    <t>c Parsing MaxSAT file...\nc ============================[  Problem Statistics ]============================\nc |  Number of variables:            52                                         |\nc |  Number of clauses:             157                                         |\nc ===============================================================================\nc Using SCIP solver, version 7.0.3, https://www.scipopt.org\nc scip_time = 0.000000\nc Starting SCIP solver in a separate thread (with time-limit = 0s) ...\nc Using COMiniSatPS SAT solver by Chanseok Oh (2016)\no 10\nc _x001B_[1mOptimal solution: 10_x001B_[0m\nc _______________________________________________________________________________\nc \nc restarts               : 116\nc conflicts              : 217            (26561 /sec)\nc decisions              : 744            (0.00 % random) (91065 /sec)\nc propagations           : 6268           (767197 /sec)\nc conflict literals      : 850            (7.10 % deleted)\nc =======================[ UWrMaxSat resources usage ]===========================\nc Memory used            : 26.00 MB\nc CPU time               : 0.00817 s\nc Wall clock time        : 0 s\nc OptExp Enc: Srt/BDD/Add: 25 0 0\nc _______________________________________________________________________________\nv 11000100100101101011001011101011110001110001110100000000000000000000\ns OPTIMUM FOUND\n</t>
  </si>
  <si>
    <t>c Parsing MaxSAT file...\nc ============================[  Problem Statistics ]============================\nc |  Number of variables:            59                                         |\nc |  Number of clauses:             181                                         |\nc ===============================================================================\nc Using SCIP solver, version 7.0.3, https://www.scipopt.org\nc scip_time = 0.000000\nc Starting SCIP solver in a separate thread (with time-limit = 0s) ...\nc Using COMiniSatPS SAT solver by Chanseok Oh (2016)\no 9\nc _x001B_[1mOptimal solution: 9_x001B_[0m\nc _______________________________________________________________________________\nc \nc restarts               : 117\nc conflicts              : 305            (40243 /sec)\nc decisions              : 696            (0.00 % random) (91833 /sec)\nc propagations           : 8050           (1062145 /sec)\nc conflict literals      : 1458           (8.76 % deleted)\nc =======================[ UWrMaxSat resources usage ]===========================\nc Memory used            : 26.00 MB\nc CPU time               : 0.007579 s\nc Wall clock time        : 0 s\nc OptExp Enc: Srt/BDD/Add: 23 0 0\nc _______________________________________________________________________________\nv 100100011100000110110000010010011010111101110000000000000000000000000000000\ns OPTIMUM FOUND\n</t>
  </si>
  <si>
    <t>c Parsing MaxSAT file...\nc ============================[  Problem Statistics ]============================\nc |  Number of variables:            68                                         |\nc |  Number of clauses:             213                                         |\nc ===============================================================================\nc Using SCIP solver, version 7.0.3, https://www.scipopt.org\nc scip_time = 0.000000\nc Starting SCIP solver in a separate thread (with time-limit = 0s) ...\nc Using COMiniSatPS SAT solver by Chanseok Oh (2016)\no 10\no 9\nc _x001B_[1mOptimal solution: 9_x001B_[0m\nc _______________________________________________________________________________\nc \nc restarts               : 118\nc conflicts              : 575            (58896 /sec)\nc decisions              : 1076           (0.00 % random) (110212 /sec)\nc propagations           : 18149          (1858957 /sec)\nc conflict literals      : 3490           (13.01 % deleted)\nc =======================[ UWrMaxSat resources usage ]===========================\nc Memory used            : 26.00 MB\nc CPU time               : 0.009763 s\nc Wall clock time        : 0 s\nc OptExp Enc: Srt/BDD/Add: 26 0 0\nc _______________________________________________________________________________\nv 000000010100100110110111111111110100011010010000011010110000001011001011100000000000\ns OPTIMUM FOUND\n</t>
  </si>
  <si>
    <t>c Parsing MaxSAT file...\nc ============================[  Problem Statistics ]============================\nc |  Number of variables:            39                                         |\nc |  Number of clauses:             103                                         |\nc ===============================================================================\nc Using SCIP solver, version 7.0.3, https://www.scipopt.org\nc scip_time = 0.000000\nc Starting SCIP solver in a separate thread (with time-limit = 0s) ...\nc Using COMiniSatPS SAT solver by Chanseok Oh (2016)\no 14\no 13\nc _x001B_[1mOptimal solution: 13_x001B_[0m\nc _______________________________________________________________________________\nc \nc restarts               : 86\nc conflicts              : 76             (13851 /sec)\nc decisions              : 286            (0.00 % random) (52123 /sec)\nc propagations           : 2997           (546200 /sec)\nc conflict literals      : 123            (6.11 % deleted)\nc =======================[ UWrMaxSat resources usage ]===========================\nc Memory used            : 26.00 MB\nc CPU time               : 0.005487 s\nc Wall clock time        : 0 s\nc OptExp Enc: Srt/BDD/Add: 23 0 0\nc _______________________________________________________________________________\nv 111110011000011101000011010100110011010001100111000000000000\ns OPTIMUM FOUND\n</t>
  </si>
  <si>
    <t>c Parsing MaxSAT file...\nc ============================[  Problem Statistics ]============================\nc |  Number of variables:            94                                         |\nc |  Number of clauses:             297                                         |\nc ===============================================================================\nc Using SCIP solver, version 7.0.3, https://www.scipopt.org\nc scip_time = 0.000000\nc Starting SCIP solver in a separate thread (with time-limit = 0s) ...\nc Using COMiniSatPS SAT solver by Chanseok Oh (2016)\no 7\no 6\no 5\nc _x001B_[1mOptimal solution: 5_x001B_[0m\nc _______________________________________________________________________________\nc \nc restarts               : 92\nc conflicts              : 836            (66944 /sec)\nc decisions              : 1291           (0.00 % random) (103379 /sec)\nc propagations           : 28546          (2285874 /sec)\nc conflict literals      : 8362           (12.22 % deleted)\nc =======================[ UWrMaxSat resources usage ]===========================\nc Memory used            : 26.00 MB\nc CPU time               : 0.012488 s\nc Wall clock time        : 0 s\nc OptExp Enc: Srt/BDD/Add: 14 0 0\nc _______________________________________________________________________________\nv 01001000010000000011000000101010001011011000100110000101010100101011000000000000000000000000000000000000\ns OPTIMUM FOUND\n</t>
  </si>
  <si>
    <t>c Parsing MaxSAT file...\nc ============================[  Problem Statistics ]============================\nc |  Number of variables:            98                                         |\nc |  Number of clauses:             323                                         |\nc ===============================================================================\nc Using SCIP solver, version 7.0.3, https://www.scipopt.org\nc scip_time = 0.000000\nc Starting SCIP solver in a separate thread (with time-limit = 0s) ...\nc Using COMiniSatPS SAT solver by Chanseok Oh (2016)\no 9\nc _x001B_[1mOptimal solution: 9_x001B_[0m\nc _______________________________________________________________________________\nc \nc restarts               : 148\nc conflicts              : 1371           (42366 /sec)\nc decisions              : 2143           (0.00 % random) (66222 /sec)\nc propagations           : 44890          (1387164 /sec)\nc conflict literals      : 10636          (12.22 % deleted)\nc =======================[ UWrMaxSat resources usage ]===========================\nc Memory used            : 150.00 MB\nc CPU time               : 0.032361 s\nc Wall clock time        : 0 s\nc OptExp Enc: Srt/BDD/Add: 31 0 0\nc _______________________________________________________________________________\nv 0110101010000001001010100011011010000100011101010011101011110000111100011101010000000000000000000000000000000000000\ns OPTIMUM FOUND\n</t>
  </si>
  <si>
    <t>c Parsing MaxSAT file...\nc ============================[  Problem Statistics ]============================\nc |  Number of variables:           108                                         |\nc |  Number of clauses:             359                                         |\nc ===============================================================================\nc Using SCIP solver, version 7.0.3, https://www.scipopt.org\nc scip_time = 0.000000\nc Starting SCIP solver in a separate thread (with time-limit = 0s) ...\nc Using COMiniSatPS SAT solver by Chanseok Oh (2016)\no 10\no 9\nc _x001B_[1mOptimal solution: 9_x001B_[0m\nc _______________________________________________________________________________\nc \nc restarts               : 142\nc conflicts              : 1916           (43912 /sec)\nc decisions              : 2706           (0.00 % random) (62017 /sec)\nc propagations           : 79645          (1825339 /sec)\nc conflict literals      : 16420          (14.95 % deleted)\nc =======================[ UWrMaxSat resources usage ]===========================\nc Memory used            : 150.00 MB\nc CPU time               : 0.043633 s\nc Wall clock time        : 0 s\nc OptExp Enc: Srt/BDD/Add: 30 0 0\nc _______________________________________________________________________________\nv 00000000000000010110111111011111111111101100001011000110100010100011111010010000101111010111011010110010100000000000000000000\ns OPTIMUM FOUND\n</t>
  </si>
  <si>
    <t>c Parsing MaxSAT file...\nc ============================[  Problem Statistics ]============================\nc |  Number of variables:           118                                         |\nc |  Number of clauses:             381                                         |\nc ===============================================================================\nc Using SCIP solver, version 7.0.3, https://www.scipopt.org\nc scip_time = 0.000000\nc Starting SCIP solver in a separate thread (with time-limit = 0s) ...\nc Using COMiniSatPS SAT solver by Chanseok Oh (2016)\no 5\nc _x001B_[1mOptimal solution: 5_x001B_[0m\nc _______________________________________________________________________________\nc \nc restarts               : 110\nc conflicts              : 2040           (53409 /sec)\nc decisions              : 2726           (0.00 % random) (71369 /sec)\nc propagations           : 87391          (2287962 /sec)\nc conflict literals      : 24918          (14.22 % deleted)\nc =======================[ UWrMaxSat resources usage ]===========================\nc Memory used            : 150.00 MB\nc CPU time               : 0.038196 s\nc Wall clock time        : 0 s\nc OptExp Enc: Srt/BDD/Add: 14 0 0\nc _______________________________________________________________________________\nv 10000000010100001000000010000000010001100110000011001100011000001001100011100001110000110000111000111000000000000000000000000000\ns OPTIMUM FOUND\n</t>
  </si>
  <si>
    <t>c Parsing MaxSAT file...\nc ============================[  Problem Statistics ]============================\nc |  Number of variables:            81                                         |\nc |  Number of clauses:             255                                         |\nc ===============================================================================\nc Using SCIP solver, version 7.0.3, https://www.scipopt.org\nc scip_time = 0.000000\nc Starting SCIP solver in a separate thread (with time-limit = 0s) ...\nc Using COMiniSatPS SAT solver by Chanseok Oh (2016)\no 13\nc _x001B_[1mOptimal solution: 13_x001B_[0m\nc _______________________________________________________________________________\nc \nc restarts               : 177\nc conflicts              : 593            (50705 /sec)\nc decisions              : 1326           (0.00 % random) (113382 /sec)\nc propagations           : 19815          (1694314 /sec)\nc conflict literals      : 3113           (7.79 % deleted)\nc =======================[ UWrMaxSat resources usage ]===========================\nc Memory used            : 26.00 MB\nc CPU time               : 0.011695 s\nc Wall clock time        : 0 s\nc OptExp Enc: Srt/BDD/Add: 37 0 0\nc _______________________________________________________________________________\nv 11111111111110000000000000000000000000000000000000000000000000000000000000000000000000000000000000000000\ns OPTIMUM FOUND\n</t>
  </si>
  <si>
    <t>c Parsing MaxSAT file...\nc ============================[  Problem Statistics ]============================\nc |  Number of variables:            86                                         |\nc |  Number of clauses:             273                                         |\nc ===============================================================================\nc Using SCIP solver, version 7.0.3, https://www.scipopt.org\nc scip_time = 0.000000\nc Starting SCIP solver in a separate thread (with time-limit = 0s) ...\nc Using COMiniSatPS SAT solver by Chanseok Oh (2016)\no 15\no 14\nc _x001B_[1mOptimal solution: 14_x001B_[0m\nc _______________________________________________________________________________\nc \nc restarts               : 191\nc conflicts              : 627            (57602 /sec)\nc decisions              : 1719           (0.00 % random) (157924 /sec)\nc propagations           : 25077          (2303813 /sec)\nc conflict literals      : 3244           (9.13 % deleted)\nc =======================[ UWrMaxSat resources usage ]===========================\nc Memory used            : 26.00 MB\nc CPU time               : 0.010885 s\nc Wall clock time        : 0 s\nc OptExp Enc: Srt/BDD/Add: 40 0 0\nc _______________________________________________________________________________\nv 00110000110011001100111100110001100111100110110011001100011001100110000000000000000000000000000000000000000000\ns OPTIMUM FOUND\n</t>
  </si>
  <si>
    <t>c Parsing MaxSAT file...\nc ============================[  Problem Statistics ]============================\nc |  Number of variables:            51                                         |\nc |  Number of clauses:             137                                         |\nc ===============================================================================\nc Using SCIP solver, version 7.0.3, https://www.scipopt.org\nc scip_time = 0.000000\nc Starting SCIP solver in a separate thread (with time-limit = 0s) ...\nc Using COMiniSatPS SAT solver by Chanseok Oh (2016)\no 17\nc _x001B_[1mOptimal solution: 17_x001B_[0m\nc _______________________________________________________________________________\nc \nc restarts               : 129\nc conflicts              : 117            (27765 /sec)\nc decisions              : 499            (0.00 % random) (118415 /sec)\nc propagations           : 5182           (1229710 /sec)\nc conflict literals      : 186            (2.11 % deleted)\nc =======================[ UWrMaxSat resources usage ]===========================\nc Memory used            : 26.00 MB\nc CPU time               : 0.004214 s\nc Wall clock time        : 0 s\nc OptExp Enc: Srt/BDD/Add: 28 0 0\nc _______________________________________________________________________________\nv 0000111111110000111100111110000000000000000000000000000000000000000000000000000\ns OPTIMUM FOUND\n</t>
  </si>
  <si>
    <t>c Parsing MaxSAT file...\nc ============================[  Problem Statistics ]============================\nc |  Number of variables:           118                                         |\nc |  Number of clauses:             393                                         |\nc ===============================================================================\nc Using SCIP solver, version 7.0.3, https://www.scipopt.org\nc scip_time = 0.000000\nc Starting SCIP solver in a separate thread (with time-limit = 0s) ...\nc Using COMiniSatPS SAT solver by Chanseok Oh (2016)\no 14\no 13\nc _x001B_[1mOptimal solution: 13_x001B_[0m\nc _______________________________________________________________________________\nc \nc restarts               : 195\nc conflicts              : 1690           (43314 /sec)\nc decisions              : 2844           (0.00 % random) (72891 /sec)\nc propagations           : 81868          (2098265 /sec)\nc conflict literals      : 12858          (15.07 % deleted)\nc =======================[ UWrMaxSat resources usage ]===========================\nc Memory used            : 150.00 MB\nc CPU time               : 0.039017 s\nc Wall clock time        : 0 s\nc OptExp Enc: Srt/BDD/Add: 45 0 0\nc _______________________________________________________________________________\nv 1000010010000101011000010111011000110100001000011001110101110110101101000110110101111101000110000001011110101000000000000000000000000000000000\ns OPTIMUM FOUND\n</t>
  </si>
  <si>
    <t>c Parsing MaxSAT file...\nc ============================[  Problem Statistics ]============================\nc |  Number of variables:           160                                         |\nc |  Number of clauses:             539                                         |\nc ===============================================================================\nc Using SCIP solver, version 7.0.3, https://www.scipopt.org\nc scip_time = 0.000000\nc Starting SCIP solver in a separate thread (with time-limit = 0s) ...\nc Using COMiniSatPS SAT solver by Chanseok Oh (2016)\no 8\no 7\nc _x001B_[1mOptimal solution: 7_x001B_[0m\nc _______________________________________________________________________________\nc \nc restarts               : 205\nc conflicts              : 10873          (25430 /sec)\nc decisions              : 12765          (0.00 % random) (29855 /sec)\nc propagations           : 555412         (1299012 /sec)\nc conflict literals      : 152107         (17.77 % deleted)\nc =======================[ UWrMaxSat resources usage ]===========================\nc Memory used            : 151.00 MB\nc CPU time               : 0.427565 s\nc Wall clock time        : 1 s\nc OptExp Enc: Srt/BDD/Add: 25 0 0\nc _______________________________________________________________________________\nv 1010000000010101000000110000000000000010100000110000000011101000100100100110001010100001000011111000000000000000000000000000000000000000000000000000000000000000000000000000000\ns OPTIMUM FOUND\n</t>
  </si>
  <si>
    <t>c Parsing MaxSAT file...\nc ============================[  Problem Statistics ]============================\nc |  Number of variables:            68                                         |\nc |  Number of clauses:             197                                         |\nc ===============================================================================\nc Using SCIP solver, version 7.0.3, https://www.scipopt.org\nc scip_time = 0.000000\nc Starting SCIP solver in a separate thread (with time-limit = 0s) ...\nc Using COMiniSatPS SAT solver by Chanseok Oh (2016)\no 18\no 17\nc _x001B_[1mOptimal solution: 17_x001B_[0m\nc _______________________________________________________________________________\nc \nc restarts               : 228\nc conflicts              : 278            (48139 /sec)\nc decisions              : 1093           (0.00 % random) (189264 /sec)\nc propagations           : 11380          (1970563 /sec)\nc conflict literals      : 668            (8.62 % deleted)\nc =======================[ UWrMaxSat resources usage ]===========================\nc Memory used            : 26.00 MB\nc CPU time               : 0.005775 s\nc Wall clock time        : 0 s\nc OptExp Enc: Srt/BDD/Add: 37 0 0\nc _______________________________________________________________________________\nv 11001100110011110011000110001110000011001111001100001100111100110000000000000000000000000000000000\ns OPTIMUM FOUND\n</t>
  </si>
  <si>
    <t>c Parsing MaxSAT file...\nc ============================[  Problem Statistics ]============================\nc |  Number of variables:           170                                         |\nc |  Number of clauses:             571                                         |\nc ===============================================================================\nc Using SCIP solver, version 7.0.3, https://www.scipopt.org\nc scip_time = 0.000000\nc Starting SCIP solver in a separate thread (with time-limit = 0s) ...\nc Using COMiniSatPS SAT solver by Chanseok Oh (2016)\no 8\no 7\nc _x001B_[1mOptimal solution: 7_x001B_[0m\nc _______________________________________________________________________________\nc \nc restarts               : 235\nc conflicts              : 19629          (21943 /sec)\nc decisions              : 22615          (0.00 % random) (25281 /sec)\nc propagations           : 1157771        (1294244 /sec)\nc conflict literals      : 284610         (16.44 % deleted)\nc =======================[ UWrMaxSat resources usage ]===========================\nc Memory used            : 151.00 MB\nc CPU time               : 0.894554 s\nc Wall clock time        : 1 s\nc OptExp Enc: Srt/BDD/Add: 25 0 0\nc _______________________________________________________________________________\nv 10000100000000010000111000000100000000010000000101000010100000010000001110110010110110110011011100110011110010110011001101100100110001010000000000000000000000000000000000000000000000000\ns OPTIMUM FOUND\n</t>
  </si>
  <si>
    <t>c Parsing MaxSAT file...\nc ============================[  Problem Statistics ]============================\nc |  Number of variables:            88                                         |\nc |  Number of clauses:             271                                         |\nc ===============================================================================\nc Using SCIP solver, version 7.0.3, https://www.scipopt.org\nc scip_time = 0.000000\nc Starting SCIP solver in a separate thread (with time-limit = 0s) ...\nc Using COMiniSatPS SAT solver by Chanseok Oh (2016)\no 19\no 17\nc _x001B_[1mOptimal solution: 17_x001B_[0m\nc _______________________________________________________________________________\nc \nc restarts               : 231\nc conflicts              : 467            (53238 /sec)\nc decisions              : 2224           (0.00 % random) (253534 /sec)\nc propagations           : 20783          (2369243 /sec)\nc conflict literals      : 1891           (9.04 % deleted)\nc =======================[ UWrMaxSat resources usage ]===========================\nc Memory used            : 26.00 MB\nc CPU time               : 0.008772 s\nc Wall clock time        : 0 s\nc OptExp Enc: Srt/BDD/Add: 46 0 0\nc _______________________________________________________________________________\nv 10000010100010011001000111011100111110011010010110110110010111100011010100111110001101001101000111110000000000000000000\ns OPTIMUM FOUND\n</t>
  </si>
  <si>
    <t>c Parsing MaxSAT file...\nc ============================[  Problem Statistics ]============================\nc |  Number of variables:           106                                         |\nc |  Number of clauses:             339                                         |\nc ===============================================================================\nc Using SCIP solver, version 7.0.3, https://www.scipopt.org\nc scip_time = 0.000000\nc Starting SCIP solver in a separate thread (with time-limit = 0s) ...\nc Using COMiniSatPS SAT solver by Chanseok Oh (2016)\no 20\no 17\nc _x001B_[1mOptimal solution: 17_x001B_[0m\nc _______________________________________________________________________________\nc \nc restarts               : 230\nc conflicts              : 953            (57045 /sec)\nc decisions              : 2524           (0.00 % random) (151083 /sec)\nc propagations           : 42446          (2540764 /sec)\nc conflict literals      : 5229           (9.36 % deleted)\nc =======================[ UWrMaxSat resources usage ]===========================\nc Memory used            : 26.00 MB\nc CPU time               : 0.016706 s\nc Wall clock time        : 0 s\nc OptExp Enc: Srt/BDD/Add: 51 0 0\nc _______________________________________________________________________________\nv 00010010011101101101101101111000000000000000000000000000000000000000000000000000000000000000000000000000000000000000000000000000000000000\ns OPTIMUM FOUND\n</t>
  </si>
  <si>
    <t>c Parsing MaxSAT file...\nc ============================[  Problem Statistics ]============================\nc |  Number of variables:            63                                         |\nc |  Number of clauses:             171                                         |\nc ===============================================================================\nc Using SCIP solver, version 7.0.3, https://www.scipopt.org\nc scip_time = 0.000000\nc Starting SCIP solver in a separate thread (with time-limit = 0s) ...\nc Using COMiniSatPS SAT solver by Chanseok Oh (2016)\no 21\nc _x001B_[1mOptimal solution: 21_x001B_[0m\nc _______________________________________________________________________________\nc \nc restarts               : 158\nc conflicts              : 148            (24987 /sec)\nc decisions              : 800            (0.00 % random) (135067 /sec)\nc propagations           : 7651           (1291744 /sec)\nc conflict literals      : 240            (2.44 % deleted)\nc =======================[ UWrMaxSat resources usage ]===========================\nc Memory used            : 26.00 MB\nc CPU time               : 0.005923 s\nc Wall clock time        : 0 s\nc OptExp Enc: Srt/BDD/Add: 36 0 0\nc _______________________________________________________________________________\nv 11111110011000011101001101001101000011010101010101001100110100100100011001111100000000000000000000\ns OPTIMUM FOUND\n</t>
  </si>
  <si>
    <t>c Parsing MaxSAT file...\nc ============================[  Problem Statistics ]============================\nc |  Number of variables:           127                                         |\nc |  Number of clauses:             417                                         |\nc ===============================================================================\nc Using SCIP solver, version 7.0.3, https://www.scipopt.org\nc scip_time = 0.000000\nc Starting SCIP solver in a separate thread (with time-limit = 0s) ...\nc Using COMiniSatPS SAT solver by Chanseok Oh (2016)\no 18\no 17\nc _x001B_[1mOptimal solution: 17_x001B_[0m\nc _______________________________________________________________________________\nc \nc restarts               : 239\nc conflicts              : 1350           (50399 /sec)\nc decisions              : 2869           (0.00 % random) (107108 /sec)\nc propagations           : 75294          (2810946 /sec)\nc conflict literals      : 8702           (13.64 % deleted)\nc =======================[ UWrMaxSat resources usage ]===========================\nc Memory used            : 150.00 MB\nc CPU time               : 0.026786 s\nc Wall clock time        : 0 s\nc OptExp Enc: Srt/BDD/Add: 56 0 0\nc _______________________________________________________________________________\nv 000010010111011101011010001011000000110100111011100100001101101000110110011001111101001000011011010011001000000111010011011000000000000000000000000000000000000\ns OPTIMUM FOUND\n</t>
  </si>
  <si>
    <t>c Parsing MaxSAT file...\nc ============================[  Problem Statistics ]============================\nc |  Number of variables:           189                                         |\nc |  Number of clauses:             651                                         |\nc ===============================================================================\nc Using SCIP solver, version 7.0.3, https://www.scipopt.org\nc scip_time = 0.000000\nc Starting SCIP solver in a separate thread (with time-limit = 0s) ...\nc Using COMiniSatPS SAT solver by Chanseok Oh (2016)\no 13\nc _x001B_[1mOptimal solution: 13_x001B_[0m\nc _______________________________________________________________________________\nc \nc restarts               : 311\nc conflicts              : 22212          (15691 /sec)\nc decisions              : 24651          (0.00 % random) (17414 /sec)\nc propagations           : 1332234        (941096 /sec)\nc conflict literals      : 258959         (19.21 % deleted)\nc =======================[ UWrMaxSat resources usage ]===========================\nc Memory used            : 151.00 MB\nc CPU time               : 1.41562 s\nc Wall clock time        : 1 s\nc OptExp Enc: Srt/BDD/Add: 41 0 0\nc _______________________________________________________________________________\nv 100000001111000100000000001001100001110100000111100001000010010000111111011111010110011111011011011000010101100001010001110110110100011101000101010101010010110110101011010101001111010010110111011000001000000000000000\ns OPTIMUM FOUND\n</t>
  </si>
  <si>
    <t>c Parsing MaxSAT file...\nc ============================[  Problem Statistics ]============================\nc |  Number of variables:           150                                         |\nc |  Number of clauses:             503                                         |\nc ===============================================================================\nc Using SCIP solver, version 7.0.3, https://www.scipopt.org\nc scip_time = 0.000000\nc Starting SCIP solver in a separate thread (with time-limit = 0s) ...\nc Using COMiniSatPS SAT solver by Chanseok Oh (2016)\no 21\no 17\nc _x001B_[1mOptimal solution: 17_x001B_[0m\nc _______________________________________________________________________________\nc \nc restarts               : 230\nc conflicts              : 1692           (29306 /sec)\nc decisions              : 3676           (0.00 % random) (63669 /sec)\nc propagations           : 104515         (1810222 /sec)\nc conflict literals      : 12002          (16.23 % deleted)\nc =======================[ UWrMaxSat resources usage ]===========================\nc Memory used            : 150.00 MB\nc CPU time               : 0.057736 s\nc Wall clock time        : 0 s\nc OptExp Enc: Srt/BDD/Add: 57 0 0\nc _______________________________________________________________________________\nv 000001100010010010100011110101011011001001010000111010110110111011101011101101000001100010100101111010100010110010111010010011010100000000000000000000000000000000000000000000000000000\ns OPTIMUM FOUND\n</t>
  </si>
  <si>
    <t>c Parsing MaxSAT file...\nc ============================[  Problem Statistics ]============================\nc |  Number of variables:           175                                         |\nc |  Number of clauses:             599                                         |\nc ===============================================================================\nc Using SCIP solver, version 7.0.3, https://www.scipopt.org\nc scip_time = 0.000000\nc Starting SCIP solver in a separate thread (with time-limit = 0s) ...\nc Using COMiniSatPS SAT solver by Chanseok Oh (2016)\no 17\nc _x001B_[1mOptimal solution: 17_x001B_[0m\nc _______________________________________________________________________________\nc \nc restarts               : 267\nc conflicts              : 5321           (28108 /sec)\nc decisions              : 6930           (0.00 % random) (36608 /sec)\nc propagations           : 341494         (1803945 /sec)\nc conflict literals      : 47457          (16.31 % deleted)\nc =======================[ UWrMaxSat resources usage ]===========================\nc Memory used            : 151.00 MB\nc CPU time               : 0.189304 s\nc Wall clock time        : 0 s\nc OptExp Enc: Srt/BDD/Add: 56 0 0\nc _______________________________________________________________________________\nv 0000001011010001001000001101011011000110110100100010110100001001010011101111101001011111100011011101000111000001001110001111110101100001000000010100011011110000011000101011100110111011100010000000000000000000\ns OPTIMUM FOUND\n</t>
  </si>
  <si>
    <t>c Parsing MaxSAT file...\nc ============================[  Problem Statistics ]============================\nc |  Number of variables:           261                                         |\nc |  Number of clauses:             915                                         |\nc ===============================================================================\nc Using SCIP solver, version 7.0.3, https://www.scipopt.org\nc scip_time = 0.000000\nc Starting SCIP solver in a separate thread (with time-limit = 0s) ...\nc Using COMiniSatPS SAT solver by Chanseok Oh (2016)\no 10\no 9\nc _x001B_[1mOptimal solution: 9_x001B_[0m\nc _______________________________________________________________________________\nc \nc restarts               : 749\nc conflicts              : 95917          (11956 /sec)\nc decisions              : 107610         (0.00 % random) (13413 /sec)\nc propagations           : 8000990        (997312 /sec)\nc conflict literals      : 1571634        (20.35 % deleted)\nc =======================[ UWrMaxSat resources usage ]===========================\nc Memory used            : 151.00 MB\nc CPU time               : 8.02255 s\nc Wall clock time        : 8 s\nc OptExp Enc: Srt/BDD/Add: 35 0 0\nc _______________________________________________________________________________\nv 001000000001000000000000011001000100000011100000000001000010001000000001000000000000001000001000000000000000110111111000010101100000100111111100011000110100010011010000101101011110111100111001111000101111100111011100100011111110001010010111111101100001010100011111101001000000000000\ns OPTIMUM FOUND\n</t>
  </si>
  <si>
    <t>c Parsing MaxSAT file...\nc ============================[  Problem Statistics ]============================\nc |  Number of variables:           280                                         |\nc |  Number of clauses:             987                                         |\nc ===============================================================================\nc Using SCIP solver, version 7.0.3, https://www.scipopt.org\nc scip_time = 0.000000\nc Starting SCIP solver in a separate thread (with time-limit = 0s) ...\nc Using COMiniSatPS SAT solver by Chanseok Oh (2016)\no 10\no 9\nc _x001B_[1mOptimal solution: 9_x001B_[0m\nc _______________________________________________________________________________\nc \nc restarts               : 920\nc conflicts              : 159363         (11912 /sec)\nc decisions              : 179042         (0.00 % random) (13383 /sec)\nc propagations           : 13973203       (1044502 /sec)\nc conflict literals      : 2852247        (21.12 % deleted)\nc =======================[ UWrMaxSat resources usage ]===========================\nc Memory used            : 151.00 MB\nc CPU time               : 13.3779 s\nc Wall clock time        : 14 s\nc OptExp Enc: Srt/BDD/Add: 39 0 0\nc _______________________________________________________________________________\nv 0001000001001100000100000100001000000100010000010010001010111101100110001100111000001100000000110001011000110101011000101001101000000100010011100010010111001101011011101100111010111100000111110101100010110100100110111001100010101010111001000111101001011101000010010000000000000000000000000000000000000\ns OPTIMUM FOUND\n</t>
  </si>
  <si>
    <t>c Parsing MaxSAT file...\nc ============================[  Problem Statistics ]============================\nc |  Number of variables:           283                                         |\nc |  Number of clauses:             995                                         |\nc ===============================================================================\nc Using SCIP solver, version 7.0.3, https://www.scipopt.org\nc scip_time = 0.000000\nc Starting SCIP solver in a separate thread (with time-limit = 0s) ...\nc Using COMiniSatPS SAT solver by Chanseok Oh (2016)\no 11\no 9\nc _x001B_[1mOptimal solution: 9_x001B_[0m\nc _______________________________________________________________________________\nc \nc restarts               : 1247\nc conflicts              : 295178         (13497 /sec)\nc decisions              : 327035         (0.00 % random) (14954 /sec)\nc propagations           : 27816336       (1271889 /sec)\nc conflict literals      : 5719102        (21.52 % deleted)\nc =======================[ UWrMaxSat resources usage ]===========================\nc Memory used            : 151.00 MB\nc CPU time               : 21.8701 s\nc Wall clock time        : 22 s\nc OptExp Enc: Srt/BDD/Add: 39 0 0\nc _______________________________________________________________________________\nv 0000000000001000000000011011001101100000000000000100000000010000000000000000000000011111111110001001001010110110100011100010001100000001110001111000111100010011011000000000101110100000000000000000000000000000000000000000000000000000000000000000000000000000000000000000000000000000000000000000000000000000\ns OPTIMUM FOUND\n</t>
  </si>
  <si>
    <t>c Parsing MaxSAT file...\nc ============================[  Problem Statistics ]============================\nc |  Number of variables:           275                                         |\nc |  Number of clauses:             979                                         |\nc ===============================================================================\nc Using SCIP solver, version 7.0.3, https://www.scipopt.org\nc scip_time = 0.000000\nc Starting SCIP solver in a separate thread (with time-limit = 0s) ...\nc Using COMiniSatPS SAT solver by Chanseok Oh (2016)\no 16\no 15\nc _x001B_[1mOptimal solution: 15_x001B_[0m\nc _______________________________________________________________________________\nc \nc restarts               : 780\nc conflicts              : 94900          (8662 /sec)\nc decisions              : 104193         (0.00 % random) (9510 /sec)\nc propagations           : 8049018        (734633 /sec)\nc conflict literals      : 1339135        (23.91 % deleted)\nc =======================[ UWrMaxSat resources usage ]===========================\nc Memory used            : 151.00 MB\nc CPU time               : 10.9565 s\nc Wall clock time        : 11 s\nc OptExp Enc: Srt/BDD/Add: 64 0 0\nc _______________________________________________________________________________\nv 100001001000011101011001000011010000000100010001101000100111010110010100010110000010111010000010101001010110010001111010100000011010110100000101110000100100000011000110000100110101101101101100001101001110101100110010111010001001110001110100000100011001000000000000000000000000000000000000000000000000000000\ns OPTIMUM FOUND\n</t>
  </si>
  <si>
    <t>c Parsing MaxSAT file...\nc ============================[  Problem Statistics ]============================\nc |  Number of variables:           325                                         |\nc |  Number of clauses:            1157                                         |\nc ===============================================================================\nc Using SCIP solver, version 7.0.3, https://www.scipopt.org\nc scip_time = 0.000000\nc Starting SCIP solver in a separate thread (with time-limit = 0s) ...\nc Using COMiniSatPS SAT solver by Chanseok Oh (2016)\no 10\no 9\nc _x001B_[1mOptimal solution: 9_x001B_[0m\nc _______________________________________________________________________________\nc \nc restarts               : 1327\nc conflicts              : 242755         (11519 /sec)\nc decisions              : 277825         (0.00 % random) (13183 /sec)\nc propagations           : 24992970       (1185975 /sec)\nc conflict literals      : 4682608        (22.13 % deleted)\nc =======================[ UWrMaxSat resources usage ]===========================\nc Memory used            : 151.00 MB\nc CPU time               : 21.0738 s\nc Wall clock time        : 21 s\nc OptExp Enc: Srt/BDD/Add: 39 0 0\nc _______________________________________________________________________________\nv 00000000100000000000000000001100100101100010100000000000000000000000000010000000001000000000000100000000100000000010011111110111110011001100100001100111110000111100110111110111111101111011011010110100011000001010010110010111001001010011011111100000010101111001010110110010110111110110001001111001010001010000000000000000000000000000000000000000000\ns OPTIMUM FOUND\n</t>
  </si>
  <si>
    <t>c Parsing MaxSAT file...\nc ============================[  Problem Statistics ]============================\nc |  Number of variables:           327                                         |\nc |  Number of clauses:            1161                                         |\nc ===============================================================================\nc Using SCIP solver, version 7.0.3, https://www.scipopt.org\nc scip_time = 0.000000\nc Starting SCIP solver in a separate thread (with time-limit = 0s) ...\nc Using COMiniSatPS SAT solver by Chanseok Oh (2016)\no 10\no 9\nc _x001B_[1mOptimal solution: 9_x001B_[0m\nc _______________________________________________________________________________\nc \nc restarts               : 1232\nc conflicts              : 307800         (10395 /sec)\nc decisions              : 342153         (0.00 % random) (11555 /sec)\nc propagations           : 30830334       (1041188 /sec)\nc conflict literals      : 6250703        (22.58 % deleted)\nc =======================[ UWrMaxSat resources usage ]===========================\nc Memory used            : 152.00 MB\nc CPU time               : 29.6107 s\nc Wall clock time        : 30 s\nc OptExp Enc: Srt/BDD/Add: 40 0 0\nc _______________________________________________________________________________\nv 0000100000101000000000001100101000110000000000000000100000000101000011000100000010100011110111110011011001010001110100111010011011010110101001110001101101010011110110110101101111110001001101000000000000000000000000000000000000000000000000000000000000000000000000000000000000000000000000000000000000000000000000000000000000000000000000000000000000000\ns OPTIMUM FOUND\n</t>
  </si>
  <si>
    <t>c Parsing MaxSAT file...\nc ============================[  Problem Statistics ]============================\nc |  Number of variables:           100                                         |\nc |  Number of clauses:             295                                         |\nc ===============================================================================\nc Using SCIP solver, version 7.0.3, https://www.scipopt.org\nc scip_time = 0.000000\nc Starting SCIP solver in a separate thread (with time-limit = 0s) ...\nc Using COMiniSatPS SAT solver by Chanseok Oh (2016)\no 25\nc _x001B_[1mOptimal solution: 25_x001B_[0m\nc _______________________________________________________________________________\nc \nc restarts               : 351\nc conflicts              : 434            (41599 /sec)\nc decisions              : 2368           (0.00 % random) (226972 /sec)\nc propagations           : 24732          (2370555 /sec)\nc conflict literals      : 1076           (8.50 % deleted)\nc =======================[ UWrMaxSat resources usage ]===========================\nc Memory used            : 26.00 MB\nc CPU time               : 0.010433 s\nc Wall clock time        : 0 s\nc OptExp Enc: Srt/BDD/Add: 57 0 0\nc _______________________________________________________________________________\nv 0001111000011111111000011110000110011110001110000001111000000111111110000000000000000000000000000000000000000000000000000000000000000000000000000\ns OPTIMUM FOUND\n</t>
  </si>
  <si>
    <t>c Parsing MaxSAT file...\nc ============================[  Problem Statistics ]============================\nc |  Number of variables:           330                                         |\nc |  Number of clauses:            1183                                         |\nc ===============================================================================\nc Using SCIP solver, version 7.0.3, https://www.scipopt.org\nc scip_time = 0.000000\nc Starting SCIP solver in a separate thread (with time-limit = 0s) ...\nc Using COMiniSatPS SAT solver by Chanseok Oh (2016)\no 20\no 18\no 16\no 13\nc _x001B_[1mOptimal solution: 13_x001B_[0m\nc _______________________________________________________________________________\nc \nc restarts               : 1553\nc conflicts              : 364447         (10359 /sec)\nc decisions              : 394703         (0.00 % random) (11219 /sec)\nc propagations           : 34067401       (968343 /sec)\nc conflict literals      : 6071260        (24.59 % deleted)\nc =======================[ UWrMaxSat resources usage ]===========================\nc Memory used            : 151.00 MB\nc CPU time               : 35.1811 s\nc Wall clock time        : 35 s\nc OptExp Enc: Srt/BDD/Add: 51 0 0\nc _______________________________________________________________________________\nv 1100000100010000101000001001010000100101010000000010000010100000111101000101000001100001100010001001010000000100000001101011110111111101101111010101000110011110010101100001001011010111101010100001011101110000010000000000000000000000000000000000000000000000000000000000000000000000000000000000000000000000000000000000000000000000000000000000000000000000000000000\ns OPTIMUM FOUND\n</t>
  </si>
  <si>
    <t>c Parsing MaxSAT file...\nc ============================[  Problem Statistics ]============================\nc |  Number of variables:           362                                         |\nc |  Number of clauses:            1291                                         |\nc ===============================================================================\nc Using SCIP solver, version 7.0.3, https://www.scipopt.org\nc scip_time = 0.000000\nc Starting SCIP solver in a separate thread (with time-limit = 0s) ...\nc Using COMiniSatPS SAT solver by Chanseok Oh (2016)\no 11\no 10\no 9\nc _x001B_[1mOptimal solution: 9_x001B_[0m\nc _______________________________________________________________________________\nc \nc restarts               : 1367\nc conflicts              : 294412         (8585 /sec)\nc decisions              : 335379         (0.00 % random) (9780 /sec)\nc propagations           : 31405999       (915786 /sec)\nc conflict literals      : 6065429        (27.74 % deleted)\nc =======================[ UWrMaxSat resources usage ]===========================\nc Memory used            : 152.00 MB\nc CPU time               : 34.294 s\nc Wall clock time        : 35 s\nc OptExp Enc: Srt/BDD/Add: 41 0 0\nc _______________________________________________________________________________\nv 1001000000000000100100000010000000000000001101010001111111110110111110101010001111001010101110101101001111001011010001100110011000111100111111011001110101011100110011010110000011100101100011100100011100010010110101001100011010110001000100011100001000011001011000110001011110101001101000100100011001001010110010101001100110001000000000000000000000000000000000000000000000000000000000000\ns OPTIMUM FOUND\n</t>
  </si>
  <si>
    <t>c Parsing MaxSAT file...\nc ============================[  Problem Statistics ]============================\nc |  Number of variables:           306                                         |\nc |  Number of clauses:            1091                                         |\nc ===============================================================================\nc Using SCIP solver, version 7.0.3, https://www.scipopt.org\nc scip_time = 0.000000\nc Starting SCIP solver in a separate thread (with time-limit = 0s) ...\nc Using COMiniSatPS SAT solver by Chanseok Oh (2016)\no 23\no 19\no 18\no 17\nc _x001B_[1mOptimal solution: 17_x001B_[0m\nc _______________________________________________________________________________\nc \nc restarts               : 751\nc conflicts              : 104643         (8603 /sec)\nc decisions              : 112239         (0.00 % random) (9228 /sec)\nc propagations           : 10179503       (836930 /sec)\nc conflict literals      : 1479415        (23.89 % deleted)\nc =======================[ UWrMaxSat resources usage ]===========================\nc Memory used            : 151.00 MB\nc CPU time               : 12.1629 s\nc Wall clock time        : 12 s\nc OptExp Enc: Srt/BDD/Add: 73 0 0\nc _______________________________________________________________________________\nv 0010000010000001000001000110111101000000010100111100011011011111111111010011110001000001010101111001100100010111110000010100011011011010010110111010101000101011011101111111100010010101101101001101110110111000000110001111011111110001000000010100000111100111101001011111101101011010000001000000000000000000000000000000000000000000000000000000000\ns OPTIMUM FOUND\n</t>
  </si>
  <si>
    <t>c Parsing MaxSAT file...\nc ============================[  Problem Statistics ]============================\nc |  Number of variables:           335                                         |\nc |  Number of clauses:            1203                                         |\nc ===============================================================================\nc Using SCIP solver, version 7.0.3, https://www.scipopt.org\nc scip_time = 0.000000\nc Starting SCIP solver in a separate thread (with time-limit = 0s) ...\nc Using COMiniSatPS SAT solver by Chanseok Oh (2016)\no 26\no 19\no 18\no 17\nc _x001B_[1mOptimal solution: 17_x001B_[0m\nc _______________________________________________________________________________\nc \nc restarts               : 1616\nc conflicts              : 292640         (8043 /sec)\nc decisions              : 315146         (0.00 % random) (8662 /sec)\nc propagations           : 27855050       (765597 /sec)\nc conflict literals      : 4695868        (22.63 % deleted)\nc =======================[ UWrMaxSat resources usage ]===========================\nc Memory used            : 151.00 MB\nc CPU time               : 36.3834 s\nc Wall clock time        : 37 s\nc OptExp Enc: Srt/BDD/Add: 76 0 0\nc _______________________________________________________________________________\nv 010001000000000001010010010010101110000110110011000001000111111111011001011111001010001001010111011011100001010110110100000111000100001011110100111111101111100000111010000010001100010010111100001111111100010101100011111100001111011110100001111000000000000000000000000000000000000000000000000000000000000000000000000000000000000000000000000000000000000000000000000000000000\ns OPTIMUM FOUND\n</t>
  </si>
  <si>
    <t>c Parsing MaxSAT file...\nc ============================[  Problem Statistics ]============================\nc |  Number of variables:           406                                         |\nc |  Number of clauses:            1455                                         |\nc ===============================================================================\nc Using SCIP solver, version 7.0.3, https://www.scipopt.org\nc scip_time = 0.000000\nc Starting SCIP solver in a separate thread (with time-limit = 0s) ...\nc Using COMiniSatPS SAT solver by Chanseok Oh (2016)\no 10\no 9\nc _x001B_[1mOptimal solution: 9_x001B_[0m\nc _______________________________________________________________________________\nc \nc restarts               : 1950\nc conflicts              : 629616         (8673 /sec)\nc decisions              : 704906         (0.00 % random) (9711 /sec)\nc propagations           : 74994804       (1033110 /sec)\nc conflict literals      : 13577616       (25.82 % deleted)\nc =======================[ UWrMaxSat resources usage ]===========================\nc Memory used            : 152.00 MB\nc CPU time               : 72.5913 s\nc Wall clock time        : 72 s\nc OptExp Enc: Srt/BDD/Add: 39 0 0\nc _______________________________________________________________________________\nv 000101000000001000001001000000000001010000000000000110000010000010110101010110111101100110100010010100100110011100011001010100010001110101000111001101100001100000110000110000001001110000110000010110000011011001111011101001101000000100100100010001100100001001011011001000110100001000011001000100100000010110100010000010001100110000011010010000000010000100101000000101101010000010011100101111111000101100000000000000000000000000000\ns OPTIMUM FOUND\n</t>
  </si>
  <si>
    <t>c Parsing MaxSAT file...\nc ============================[  Problem Statistics ]============================\nc |  Number of variables:           383                                         |\nc |  Number of clauses:            1377                                         |\nc ===============================================================================\nc Using SCIP solver, version 7.0.3, https://www.scipopt.org\nc scip_time = 0.000000\nc Starting SCIP solver in a separate thread (with time-limit = 0s) ...\nc Using COMiniSatPS SAT solver by Chanseok Oh (2016)\no 16\no 14\no 13\nc _x001B_[1mOptimal solution: 13_x001B_[0m\nc _______________________________________________________________________________\nc \nc restarts               : 4047\nc conflicts              : 1224397        (8528 /sec)\nc decisions              : 1345859        (0.00 % random) (9375 /sec)\nc propagations           : 132622260      (923773 /sec)\nc conflict literals      : 24045260       (27.66 % deleted)\nc =======================[ UWrMaxSat resources usage ]===========================\nc Memory used            : 236.00 MB\nc CPU time               : 143.566 s\nc Wall clock time        : 144 s\nc OptExp Enc: Srt/BDD/Add: 57 0 0\nc _______________________________________________________________________________\nv 0000000000001010010000011001000010000000001001100100110010001010000001011001001010000000000100100101000001110010000000001000001000000001001010000001100010000000000101000001000000000000100000010100010010100001110110111111011010100011011100010100101000011011010101000101100001001101111110000011011101011000010000111100001111100001100001000110001001100000011000001100010110101101100111000000000000000000000000000000000\ns OPTIMUM FOUND\n</t>
  </si>
  <si>
    <t>c Parsing MaxSAT file...\nc ============================[  Problem Statistics ]============================\nc |  Number of variables:           367                                         |\nc |  Number of clauses:            1323                                         |\nc ===============================================================================\nc Using SCIP solver, version 7.0.3, https://www.scipopt.org\nc scip_time = 0.000000\nc Starting SCIP solver in a separate thread (with time-limit = 0s) ...\nc Using COMiniSatPS SAT solver by Chanseok Oh (2016)\no 29\no 21\no 17\nc _x001B_[1mOptimal solution: 17_x001B_[0m\nc _______________________________________________________________________________\nc \nc restarts               : 2045\nc conflicts              : 343480         (8687 /sec)\nc decisions              : 374973         (0.00 % random) (9484 /sec)\nc propagations           : 36659644       (927187 /sec)\nc conflict literals      : 5763716        (25.67 % deleted)\nc =======================[ UWrMaxSat resources usage ]===========================\nc Memory used            : 151.00 MB\nc CPU time               : 39.5386 s\nc Wall clock time        : 39 s\nc OptExp Enc: Srt/BDD/Add: 77 0 0\nc _______________________________________________________________________________\nv 0010001100010000000111010110110110000001000110000000000000111011110000100100010001101100110000000010010000001111101111101100011000111011010000001111110101111101000011101010000000000000000000000000000000000000000000000000000000000000000000000000000000000000000000000000000000000000000000000000000000000000000000000000000000000000000000000000000000000000000000000000000000000000000000000000000000000000000000\ns OPTIMUM FOUND\n</t>
  </si>
  <si>
    <t>c Parsing MaxSAT file...\nc ============================[  Problem Statistics ]============================\nc |  Number of variables:           358                                         |\nc |  Number of clauses:            1283                                         |\nc ===============================================================================\nc Using SCIP solver, version 7.0.3, https://www.scipopt.org\nc scip_time = 0.000000\nc Starting SCIP solver in a separate thread (with time-limit = 0s) ...\nc Using COMiniSatPS SAT solver by Chanseok Oh (2016)\no 19\no 17\nc _x001B_[1mOptimal solution: 17_x001B_[0m\nc _______________________________________________________________________________\nc \nc restarts               : 2760\nc conflicts              : 568626         (9909 /sec)\nc decisions              : 614804         (0.00 % random) (10714 /sec)\nc propagations           : 61934766       (1079300 /sec)\nc conflict literals      : 10154518       (26.50 % deleted)\nc =======================[ UWrMaxSat resources usage ]===========================\nc Memory used            : 151.00 MB\nc CPU time               : 57.3842 s\nc Wall clock time        : 58 s\nc OptExp Enc: Srt/BDD/Add: 86 0 0\nc _______________________________________________________________________________\nv 0110010000100011010000010000110001000010100111000000001000010110001000010010111101110011110110110001001001111110110110001101111111110011010001101000111100110011110110000110000001010100011101001000001000111100100100010110111010001000101001101000010100000001100000110100011010011001100010110100100010011100101011011100100110000011111010000000000000000000000000000000000000000000000000000000000000000\ns OPTIMUM FOUND\n</t>
  </si>
  <si>
    <t>c Parsing MaxSAT file...\nc ============================[  Problem Statistics ]============================\nc |  Number of variables:            97                                         |\nc |  Number of clauses:             267                                         |\nc ===============================================================================\nc Using SCIP solver, version 7.0.3, https://www.scipopt.org\nc scip_time = 0.000000\nc Starting SCIP solver in a separate thread (with time-limit = 0s) ...\nc Using COMiniSatPS SAT solver by Chanseok Oh (2016)\no 32\nc _x001B_[1mOptimal solution: 32_x001B_[0m\nc _______________________________________________________________________________\nc \nc restarts               : 242\nc conflicts              : 228            (38089 /sec)\nc decisions              : 1457           (0.00 % random) (243401 /sec)\nc propagations           : 16246          (2713999 /sec)\nc conflict literals      : 351            (3.04 % deleted)\nc =======================[ UWrMaxSat resources usage ]===========================\nc Memory used            : 26.00 MB\nc CPU time               : 0.005986 s\nc Wall clock time        : 0 s\nc OptExp Enc: Srt/BDD/Add: 55 0 0\nc _______________________________________________________________________________\nv 11111110011110011000110100110100110100110100110100110011000110011001100110011001100011110000000000000000000000000000000000000000000000000000000000000000\ns OPTIMUM FOUND\n</t>
  </si>
  <si>
    <t>c Parsing MaxSAT file...\nc ============================[  Problem Statistics ]============================\nc |  Number of variables:           409                                         |\nc |  Number of clauses:            1481                                         |\nc ===============================================================================\nc Using SCIP solver, version 7.0.3, https://www.scipopt.org\nc scip_time = 0.000000\nc Starting SCIP solver in a separate thread (with time-limit = 0s) ...\nc Using COMiniSatPS SAT solver by Chanseok Oh (2016)\no 34\no 23\no 18\no 17\nc _x001B_[1mOptimal solution: 17_x001B_[0m\nc _______________________________________________________________________________\nc \nc restarts               : 4033\nc conflicts              : 919942         (8967 /sec)\nc decisions              : 998467         (0.00 % random) (9732 /sec)\nc propagations           : 106760526      (1040598 /sec)\nc conflict literals      : 17090467       (29.57 % deleted)\nc =======================[ UWrMaxSat resources usage ]===========================\nc Memory used            : 230.00 MB\nc CPU time               : 102.595 s\nc Wall clock time        : 103 s\nc OptExp Enc: Srt/BDD/Add: 74 0 0\nc _______________________________________________________________________________\nv 00000001100001000000101000100000000001010001000001101110111000010000000001100001111110101110101111111000101011100001011110000110011000111101100011100100100101111001100101010010101110000111100100101011110010100101000110111001101001100000111101110001111011001010010101111000001010001011110100000110001010010100011111001001100100001111110011011101110010000010100110100101101110001100001100111010000101111001111110010111111000100000000000000000000000000\ns OPTIMUM FOUND\n</t>
  </si>
  <si>
    <t>c Parsing MaxSAT file...\nc ============================[  Problem Statistics ]============================\nc |  Number of variables:           420                                         |\nc |  Number of clauses:            1521                                         |\nc ===============================================================================\nc Using SCIP solver, version 7.0.3, https://www.scipopt.org\nc scip_time = 0.000000\nc Starting SCIP solver in a separate thread (with time-limit = 0s) ...\nc Using COMiniSatPS SAT solver by Chanseok Oh (2016)\no 33\no 23\no 18\no 17\nc _x001B_[1mOptimal solution: 17_x001B_[0m\nc _______________________________________________________________________________\nc \nc restarts               : 8825\nc conflicts              : 2331143        (8139 /sec)\nc decisions              : 2522625        (0.00 % random) (8807 /sec)\nc propagations           : 238320016      (832057 /sec)\nc conflict literals      : 43037813       (22.72 % deleted)\nc =======================[ UWrMaxSat resources usage ]===========================\nc Memory used            : 231.00 MB\nc CPU time               : 286.423 s\nc Wall clock time        : 287 s\nc OptExp Enc: Srt/BDD/Add: 68 0 0\nc _______________________________________________________________________________\nv 0010000000000100000100100011001011001001110110000000010100000110110101001000001011010110010000000010110111010010111111110001101111111101000000101011011110000100010000110100001001110100101110001110011001111001100111100110010111010100110000110001100101001111000000111011010011110111011001011000110001010110111101001100011111011000001110011100110110010110100011000000000000000000000000000000000000000000000000000000000000000000000000000000000000000000000000000000\ns OPTIMUM FOUND\n</t>
  </si>
  <si>
    <t>c Parsing MaxSAT file...\nc ============================[  Problem Statistics ]============================\nc |  Number of variables:           435                                         |\nc |  Number of clauses:            1583                                         |\nc ===============================================================================\nc Using SCIP solver, version 7.0.3, https://www.scipopt.org\nc scip_time = 0.000000\nc Starting SCIP solver in a separate thread (with time-limit = 0s) ...\nc Using COMiniSatPS SAT solver by Chanseok Oh (2016)\no 24\no 23\no 20\no 19\nc _x001B_[1mOptimal solution: 19_x001B_[0m\nc _______________________________________________________________________________\nc \nc restarts               : 4564\nc conflicts              : 804307         (9854 /sec)\nc decisions              : 892906         (0.00 % random) (10940 /sec)\nc propagations           : 100947365      (1236807 /sec)\nc conflict literals      : 14387774       (26.28 % deleted)\nc =======================[ UWrMaxSat resources usage ]===========================\nc Memory used            : 234.00 MB\nc CPU time               : 81.6193 s\nc Wall clock time        : 82 s\nc OptExp Enc: Srt/BDD/Add: 88 0 0\nc _______________________________________________________________________________\nv 0001100010001110000000001000000001100001111000000001010111100001111111101111100110110111111010000001110010100111101111100000001110001101101000110001010111110100000100111001100110110101100011111001011010111101100000000111110011111000001010010110010011011010011010101111010001000011101010100011000001000110010100110001000100001100110111001101111100100111010100010011000111101111001101101111110011010000111000000000000000000000000000000000000000000000000000000000000000000000000000\ns OPTIMUM FOUND\n</t>
  </si>
  <si>
    <t>c Parsing MaxSAT file...\nc ============================[  Problem Statistics ]============================\nc |  Number of variables:           475                                         |\nc |  Number of clauses:            1735                                         |\nc ===============================================================================\nc Using SCIP solver, version 7.0.3, https://www.scipopt.org\nc scip_time = 0.000000\nc Starting SCIP solver in a separate thread (with time-limit = 0s) ...\nc Using COMiniSatPS SAT solver by Chanseok Oh (2016)\no 17\nc _x001B_[1mOptimal solution: 17_x001B_[0m\nc _______________________________________________________________________________\nc \nc restarts               : 9700\nc conflicts              : 2580904        (9491 /sec)\nc decisions              : 2843934        (0.00 % random) (10458 /sec)\nc propagations           : 343207379      (1262137 /sec)\nc conflict literals      : 49399185       (29.34 % deleted)\nc =======================[ UWrMaxSat resources usage ]===========================\nc Memory used            : 235.00 MB\nc CPU time               : 271.926 s\nc Wall clock time        : 273 s\nc OptExp Enc: Srt/BDD/Add: 74 0 0\nc _______________________________________________________________________________\nv 011000001001000101000000000000000000001000000111100000101111101111111111111000110001010111100010000000010010110010010000001000001101101110000001010001100011111100000000111000100010101010111011100101001111101010101110011100000011000000011001111010011111110000111011111010111100110000110001101010010101001000111010111001000111000101111011000111111010000101110010110111111101001011100101000011010001000110011011000001001010101110001110101100111101010111110101101001100010011010000000000000000000000000000000000000000000\ns OPTIMUM FOUND\n</t>
  </si>
  <si>
    <t>c Parsing MaxSAT file...\nc ============================[  Problem Statistics ]============================\nc |  Number of variables:           470                                         |\nc |  Number of clauses:            1709                                         |\nc ===============================================================================\nc Using SCIP solver, version 7.0.3, https://www.scipopt.org\nc scip_time = 0.000000\nc Starting SCIP solver in a separate thread (with time-limit = 0s) ...\nc Using COMiniSatPS SAT solver by Chanseok Oh (2016)\no 29\no 25\no 17\no 16\nc _x001B_[1mOptimal solution: 16_x001B_[0m\nc _______________________________________________________________________________\nc \nc restarts               : 12967\nc conflicts              : 5681353        (7821 /sec)\nc decisions              : 6127885        (0.00 % random) (8436 /sec)\nc propagations           : 584041715      (804023 /sec)\nc conflict literals      : 114084588      (25.07 % deleted)\nc =======================[ UWrMaxSat resources usage ]===========================\nc Memory used            : 227.00 MB\nc CPU time               : 726.4 s\nc Wall clock time        : 728 s\nc OptExp Enc: Srt/BDD/Add: 71 0 0\nc _______________________________________________________________________________\nv 001110110100101000000100100000000010000000110000100010000001000000000010011010000000100101011110100000000010011001000000000001011011001101101111011001011011101000100000100010100000110000000010001110000000001001011010110010001011100111100111101101010000111001110000110100110111000111001100000101110011110011111001001101111011100010001000111101111101100000110111111101000010110011101100111100000100100111110010011110111011101100000000000000000000000000000000000000000000000000000000000000000000000000000000000000\ns OPTIMUM FOUND\n</t>
  </si>
  <si>
    <t>c Parsing MaxSAT file...\nc ============================[  Problem Statistics ]============================\nc |  Number of variables:           480                                         |\nc |  Number of clauses:            1745                                         |\nc ===============================================================================\nc Using SCIP solver, version 7.0.3, https://www.scipopt.org\nc scip_time = 0.000000\nc Starting SCIP solver in a separate thread (with time-limit = 0s) ...\nc Using COMiniSatPS SAT solver by Chanseok Oh (2016)\no 24\no 22\no 17\no 16\nc _x001B_[1mOptimal solution: 16_x001B_[0m\nc _______________________________________________________________________________\nc \nc restarts               : 18175\nc conflicts              : 6676242        (5106 /sec)\nc decisions              : 7253887        (0.00 % random) (5547 /sec)\nc propagations           : 753383685      (576159 /sec)\nc conflict literals      : 144694176      (28.51 % deleted)\nc =======================[ UWrMaxSat resources usage ]===========================\nc Memory used            : 257.00 MB\nc CPU time               : 1307.6 s\nc Wall clock time        : 1311 s\nc OptExp Enc: Srt/BDD/Add: 66 0 0\nc _______________________________________________________________________________\nv 1000001110110001001000001000000000100010000000000001001000001011111101000100011100000000011000111001010111001110000010000001000110101001010101010101001010010100010000000000010001100000001100001011100111100000001000010011000010000010110000000000100001101000010000110000000010010111101111010100100010011000001010001010001011000010111111110000000001101101101100110001111011010101010100000111110101011111010001011010011110101100000111110001100011010111110010001010000011101100010111111001011110110010000000000000000000000000\ns OPTIMUM FOUND\n</t>
  </si>
  <si>
    <t>c Parsing MaxSAT file...\nc ============================[  Problem Statistics ]============================\nc |  Number of variables:           537                                         |\nc |  Number of clauses:            1957                                         |\nc ===============================================================================\nc Using SCIP solver, version 7.0.3, https://www.scipopt.org\nc scip_time = 0.000000\nc Starting SCIP solver in a separate thread (with time-limit = 0s) ...\nc Using COMiniSatPS SAT solver by Chanseok Oh (2016)\no 15\no 13\nc _x001B_[1mOptimal solution: 13_x001B_[0m\nc _______________________________________________________________________________\nc \nc restarts               : 32972\nc conflicts              : 17848576       (5436 /sec)\nc decisions              : 19712811       (0.00 % random) (6004 /sec)\nc propagations           : 2184218558     (665224 /sec)\nc conflict literals      : 436479119      (30.37 % deleted)\nc =======================[ UWrMaxSat resources usage ]===========================\nc Memory used            : 392.00 MB\nc CPU time               : 3283.43 s\nc Wall clock time        : 3292 s\nc OptExp Enc: Srt/BDD/Add: 52 0 0\nc _______________________________________________________________________________\nv 0000000000000000100000000000000000011100000100100011100000011101000000000000000000000000000000010000000011111101111110111001010111101110010101100100001110001100000000111100111100100110000101000011001110000101010010011101101001001100011010011110011001110110000111000001101110001011000110100010001110101000100010111100000100100010111110011110111010100000110110001111000100001010010111000100110110010111000111001100000001000101001110011001100011110101000001111100000000011111100011111101100000010001000010111111011001001111101011000000100011000000000000000000000000000000000\ns OPTIMUM FOUND\n</t>
  </si>
  <si>
    <t>c Parsing MaxSAT file...\nc ============================[  Problem Statistics ]============================\nc |  Number of variables:           568                                         |\nc |  Number of clauses:            2077                                         |\nc ===============================================================================\nc Using SCIP solver, version 7.0.3, https://www.scipopt.org\nc scip_time = 0.000000\nc Starting SCIP solver in a separate thread (with time-limit = 0s) ...\nc Using COMiniSatPS SAT solver by Chanseok Oh (2016)\no 18\no 13\nc _x001B_[1mOptimal solution: 13_x001B_[0m\nc _______________________________________________________________________________\nc \nc restarts               : 41342\nc conflicts              : 21620525       (4011 /sec)\nc decisions              : 23632878       (0.00 % random) (4385 /sec)\nc propagations           : 2570151267     (476835 /sec)\nc conflict literals      : 521221476      (33.62 % deleted)\nc =======================[ UWrMaxSat resources usage ]===========================\nc Memory used            : 469.00 MB\nc CPU time               : 5390.02 s\nc Wall clock time        : 5404 s\nc OptExp Enc: Srt/BDD/Add: 50 0 0\nc _______________________________________________________________________________\nv 00000000000000000000000000000010000100111000000000100101010110110000000000000000000000000000000000000100000000000011111111111111100000001001001111011011110101011001100001110110000011011100001010010111100011000001100100100110000110010111001101000101001010001101000010100100101100000110101110000001010010111000010000010111000010000100001000101111010011101100100011100010101110101010101001010001101010110011010010011001000110110101110000110111010000111110011110111011000010011101010011110000101000111000010101001010001100101011100101010111010001100101000000000000000000000000000000000000000000000000000000\ns OPTIMUM FOUND\n</t>
  </si>
  <si>
    <t>c Parsing MaxSAT file...\nc ============================[  Problem Statistics ]============================\nc |  Number of variables:           603                                         |\nc |  Number of clauses:            2213                                         |\nc ===============================================================================\nc Using SCIP solver, version 7.0.3, https://www.scipopt.org\nc scip_time = 0.000000\nc Starting SCIP solver in a separate thread (with time-limit = 0s) ...\nc Using COMiniSatPS SAT solver by Chanseok Oh (2016)\no 21\no 18\no 13\nc _x001B_[1mOptimal solution: 13_x001B_[0m\nc _______________________________________________________________________________\nc \nc restarts               : 40552\nc conflicts              : 31113034       (2146 /sec)\nc decisions              : 33438082       (0.00 % random) (2306 /sec)\nc propagations           : 3613280724     (249178 /sec)\nc conflict literals      : 754507350      (35.58 % deleted)\nc =======================[ UWrMaxSat resources usage ]===========================\nc Memory used            : 822.00 MB\nc CPU time               : 14500.8 s\nc Wall clock time        : 14540 s\nc OptExp Enc: Srt/BDD/Add: 49 0 0\nc _______________________________________________________________________________\nv 0000000000000110010001000001000001000100000110111000000001000000000010000010000000000001100000000000101110000000001000100000000000001000000001001000100010000011100000110000110100100100000000100011000000100001000100000000011011101110111111100011010010101011000100001110110001100000110100101100101111001011101001100111110100101001100111011101111110110110110110100011111101110110101111101101011111001011110101011011011110011111100101011100111011110011010101111100000000000000000000000000000000000000000000000000000000000000000000000000000000000000000000000000000000000000000000000000000000000000000000000000000000000000000000000000000000000\ns OPTIMUM FOUND\n</t>
  </si>
  <si>
    <t>c Parsing MaxSAT file...\nc ============================[  Problem Statistics ]============================\nc |  Number of variables:           602                                         |\nc |  Number of clauses:            2205                                         |\nc ===============================================================================\nc Using SCIP solver, version 7.0.3, https://www.scipopt.org\nc scip_time = 0.000000\nc Starting SCIP solver in a separate thread (with time-limit = 0s) ...\nc Using COMiniSatPS SAT solver by Chanseok Oh (2016)\no 23\no 21\no 13\nc _x001B_[1mOptimal solution: 13_x001B_[0m\nc _______________________________________________________________________________\nc \nc restarts               : 64174\nc conflicts              : 39424091       (3005 /sec)\nc decisions              : 43002712       (0.00 % random) (3278 /sec)\nc propagations           : 4936566243     (376258 /sec)\nc conflict literals      : 1014506560     (36.51 % deleted)\nc =======================[ UWrMaxSat resources usage ]===========================\nc Memory used            : 750.00 MB\nc CPU time               : 13120.1 s\nc Wall clock time        : 13154 s\nc OptExp Enc: Srt/BDD/Add: 50 0 0\nc _______________________________________________________________________________\nv 000000000000001010000010101000110010000100000010101000000100000000000011010010000001101111111111110001110110110000011111010111100011001011001100110100111010000101101010111100001111110110100011100101100100011001011101001001110010110101110100101100111001111011011101101001010001010110110011110100100100000010100110011111111100101001010111001101010010110011001010100111101110010000111001011101110001000001111110110101001110111110101100011110000000000000000000000000000000000000000000000000000000000000000000000000000000000000000000000000000000000000000000000000000000000000000000000000000000000000000000000000000000000000000000000000000000\ns OPTIMUM FOUND\n</t>
  </si>
  <si>
    <t>c Parsing MaxSAT file...\nc ============================[  Problem Statistics ]============================\nc |  Number of variables:           620                                         |\nc |  Number of clauses:            2273                                         |\nc ===============================================================================\nc Using SCIP solver, version 7.0.3, https://www.scipopt.org\nc scip_time = 0.000000\nc Starting SCIP solver in a separate thread (with time-limit = 0s) ...\nc Using COMiniSatPS SAT solver by Chanseok Oh (2016)\no 18\no 15\no 14\no 13\n</t>
  </si>
  <si>
    <t>c Parsing MaxSAT file...\nc ============================[  Problem Statistics ]============================\nc |  Number of variables:           610                                         |\nc |  Number of clauses:            2229                                         |\nc ===============================================================================\nc Using SCIP solver, version 7.0.3, https://www.scipopt.org\nc scip_time = 0.000000\nc Starting SCIP solver in a separate thread (with time-limit = 0s) ...\nc Using COMiniSatPS SAT solver by Chanseok Oh (2016)\no 18\no 16\no 15\no 13\n</t>
  </si>
  <si>
    <t>c Parsing MaxSAT file...\nc ============================[  Problem Statistics ]============================\nc |  Number of variables:           377                                         |\nc |  Number of clauses:            1343                                         |\nc ===============================================================================\nc Using SCIP solver, version 7.0.3, https://www.scipopt.org\nc scip_time = 0.000000\nc Starting SCIP solver in a separate thread (with time-limit = 0s) ...\nc Using COMiniSatPS SAT solver by Chanseok Oh (2016)\no 30\no 29\nc _x001B_[1mOptimal solution: 29_x001B_[0m\nc _______________________________________________________________________________\nc \nc restarts               : 955\nc conflicts              : 62843          (8672 /sec)\nc decisions              : 70565          (0.00 % random) (9737 /sec)\nc propagations           : 7830708        (1080543 /sec)\nc conflict literals      : 756656         (25.61 % deleted)\nc =======================[ UWrMaxSat resources usage ]===========================\nc Memory used            : 152.00 MB\nc CPU time               : 7.24701 s\nc Wall clock time        : 8 s\nc OptExp Enc: Srt/BDD/Add: 125 0 0\nc _______________________________________________________________________________\nv 1001000101010011110100000001010101101110010101010001001001001011100000001101011011100100001011001100110000101000011011001000010001101111011110010110111110011101111111011000011110110110111100100100100011011001100100010100000000000000000000000000000000000000000000000000000000000000000000000000000000000000000000000000000000000000000000000000000000000000000000000000000000000000000000000000000000000000000000000000000000000000000000000000\ns OPTIMUM FOUND\n</t>
  </si>
  <si>
    <t>c Parsing MaxSAT file...\nc ============================[  Problem Statistics ]============================\nc |  Number of variables:           673                                         |\nc |  Number of clauses:            2475                                         |\nc ===============================================================================\nc Using SCIP solver, version 7.0.3, https://www.scipopt.org\nc scip_time = 0.000000\nc Starting SCIP solver in a separate thread (with time-limit = 0s) ...\nc Using COMiniSatPS SAT solver by Chanseok Oh (2016)\no 16\no 14\no 13\n</t>
  </si>
  <si>
    <t>c Parsing MaxSAT file...\nc ============================[  Problem Statistics ]============================\nc |  Number of variables:           683                                         |\nc |  Number of clauses:            2511                                         |\nc ===============================================================================\nc Using SCIP solver, version 7.0.3, https://www.scipopt.org\nc scip_time = 0.000000\nc Starting SCIP solver in a separate thread (with time-limit = 0s) ...\nc Using COMiniSatPS SAT solver by Chanseok Oh (2016)\no 17\no 16\no 14\no 13\n</t>
  </si>
  <si>
    <t>c Parsing MaxSAT file...\nc ============================[  Problem Statistics ]============================\nc |  Number of variables:           320                                         |\nc |  Number of clauses:            1115                                         |\nc ===============================================================================\nc Using SCIP solver, version 7.0.3, https://www.scipopt.org\nc scip_time = 0.000000\nc Starting SCIP solver in a separate thread (with time-limit = 0s) ...\nc Using COMiniSatPS SAT solver by Chanseok Oh (2016)\no 38\no 34\no 33\no 32\nc _x001B_[1mOptimal solution: 32_x001B_[0m\nc _______________________________________________________________________________\nc \nc restarts               : 611\nc conflicts              : 13762          (17455 /sec)\nc decisions              : 19813          (0.00 % random) (25129 /sec)\nc propagations           : 1426874        (1809725 /sec)\nc conflict literals      : 131682         (15.59 % deleted)\nc =======================[ UWrMaxSat resources usage ]===========================\nc Memory used            : 151.00 MB\nc CPU time               : 0.788448 s\nc Wall clock time        : 1 s\nc OptExp Enc: Srt/BDD/Add: 115 0 0\nc _______________________________________________________________________________\nv 1110000001001001101101100001000100001011011100000101110100101110110010010000100110101011110111010101010110010000011001010011010101101111001011100101101000011101110110110101010101100010000101111001101000000111110001001101110011100000111111110011001001001101111011000001111100100000110000000000000000000000000000000000000000000000000000000000000000000000000000000000000000000000000000000\ns OPTIMUM FOUND\n</t>
  </si>
  <si>
    <t>c Parsing MaxSAT file...\nc ============================[  Problem Statistics ]============================\nc |  Number of variables:           673                                         |\nc |  Number of clauses:            2487                                         |\nc ===============================================================================\nc Using SCIP solver, version 7.0.3, https://www.scipopt.org\nc scip_time = 0.000000\nc Starting SCIP solver in a separate thread (with time-limit = 0s) ...\nc Using COMiniSatPS SAT solver by Chanseok Oh (2016)\no 20\no 19\n</t>
  </si>
  <si>
    <t>c Parsing MaxSAT file...\nc ============================[  Problem Statistics ]============================\nc |  Number of variables:           728                                         |\nc |  Number of clauses:            2681                                         |\nc ===============================================================================\nc Using SCIP solver, version 7.0.3, https://www.scipopt.org\nc scip_time = 0.000000\nc Starting SCIP solver in a separate thread (with time-limit = 0s) ...\nc Using COMiniSatPS SAT solver by Chanseok Oh (2016)\no 22\no 12\n</t>
  </si>
  <si>
    <t>c Parsing MaxSAT file...\nc ============================[  Problem Statistics ]============================\nc |  Number of variables:           799                                         |\nc |  Number of clauses:            2963                                         |\nc ===============================================================================\nc Using SCIP solver, version 7.0.3, https://www.scipopt.org\nc scip_time = 0.000000\nc Starting SCIP solver in a separate thread (with time-limit = 0s) ...\nc Using COMiniSatPS SAT solver by Chanseok Oh (2016)\no 23\no 19\no 14\n</t>
  </si>
  <si>
    <t>c Parsing MaxSAT file...\nc ============================[  Problem Statistics ]============================\nc |  Number of variables:           757                                         |\nc |  Number of clauses:            2815                                         |\nc ===============================================================================\nc Using SCIP solver, version 7.0.3, https://www.scipopt.org\nc scip_time = 0.000000\nc Starting SCIP solver in a separate thread (with time-limit = 0s) ...\nc Using COMiniSatPS SAT solver by Chanseok Oh (2016)\no 32\no 28\no 24\no 20\no 19\n</t>
  </si>
  <si>
    <t>c Parsing MaxSAT file...\nc ============================[  Problem Statistics ]============================\nc |  Number of variables:           681                                         |\nc |  Number of clauses:            2527                                         |\nc ===============================================================================\nc Using SCIP solver, version 7.0.3, https://www.scipopt.org\nc scip_time = 0.000000\nc Starting SCIP solver in a separate thread (with time-limit = 0s) ...\nc Using COMiniSatPS SAT solver by Chanseok Oh (2016)\no 42\no 30\no 27\no 26\no 25\no 24\nc _x001B_[1mOptimal solution: 24_x001B_[0m\nc _______________________________________________________________________________\nc \nc restarts               : 19524\nc conflicts              : 5821279        (8180 /sec)\nc decisions              : 6273584        (0.00 % random) (8816 /sec)\nc propagations           : 1031578779     (1449571 /sec)\nc conflict literals      : 115134495      (29.30 % deleted)\nc =======================[ UWrMaxSat resources usage ]===========================\nc Memory used            : 274.00 MB\nc CPU time               : 711.644 s\nc Wall clock time        : 714 s\nc OptExp Enc: Srt/BDD/Add: 123 0 0\nc _______________________________________________________________________________\nv 00000001000000000100000000000010010100011000100001010110001010111010111100001101101100111101111111111101111101111001001111001000000011000100110011001100100000010111010000100110011100100110100000001111100001001010111110100100000010111110000110110011010110010101111001000111101000110010110101100011101011010100101011101011000010001011100110001111100011100010000010111011111000111111110100010110111010001100011100100111001010011001001100110011100000010001011101101100000101110001110111010010001000101111101111010101111001110010010010111110111100010101101111000000000111011101000101011100000000100110111011011011001010000000100000101111111111001110101111110100000000011010011101000100000000000000000000000000000000000000000000000000000000000000\ns OPTIMUM FOUND\n</t>
  </si>
  <si>
    <t>c Parsing MaxSAT file...\nc ============================[  Problem Statistics ]============================\nc |  Number of variables:           859                                         |\nc |  Number of clauses:            3183                                         |\nc ===============================================================================\nc Using SCIP solver, version 7.0.3, https://www.scipopt.org\nc scip_time = 0.000000\nc Starting SCIP solver in a separate thread (with time-limit = 0s) ...\nc Using COMiniSatPS SAT solver by Chanseok Oh (2016)\no 16\no 11\n</t>
  </si>
  <si>
    <t>c Parsing MaxSAT file...\nc ============================[  Problem Statistics ]============================\nc |  Number of variables:           879                                         |\nc |  Number of clauses:            3259                                         |\nc ===============================================================================\nc Using SCIP solver, version 7.0.3, https://www.scipopt.org\nc scip_time = 0.000000\nc Starting SCIP solver in a separate thread (with time-limit = 0s) ...\nc Using COMiniSatPS SAT solver by Chanseok Oh (2016)\no 16\no 15\no 11\n</t>
  </si>
  <si>
    <t>c Parsing MaxSAT file...\nc ============================[  Problem Statistics ]============================\nc |  Number of variables:           875                                         |\nc |  Number of clauses:            3251                                         |\nc ===============================================================================\nc Using SCIP solver, version 7.0.3, https://www.scipopt.org\nc scip_time = 0.000000\nc Starting SCIP solver in a separate thread (with time-limit = 0s) ...\nc Using COMiniSatPS SAT solver by Chanseok Oh (2016)\no 19\n</t>
  </si>
  <si>
    <t>c Parsing MaxSAT file...\nc ============================[  Problem Statistics ]============================\nc |  Number of variables:           893                                         |\nc |  Number of clauses:            3325                                         |\nc ===============================================================================\nc Using SCIP solver, version 7.0.3, https://www.scipopt.org\nc scip_time = 0.000000\nc Starting SCIP solver in a separate thread (with time-limit = 0s) ...\nc Using COMiniSatPS SAT solver by Chanseok Oh (2016)\no 21\no 17\no 15\n</t>
  </si>
  <si>
    <t>c Parsing MaxSAT file...\nc ============================[  Problem Statistics ]============================\nc |  Number of variables:           940                                         |\nc |  Number of clauses:            3509                                         |\nc ===============================================================================\nc Using SCIP solver, version 7.0.3, https://www.scipopt.org\nc scip_time = 0.000000\nc Starting SCIP solver in a separate thread (with time-limit = 0s) ...\nc Using COMiniSatPS SAT solver by Chanseok Oh (2016)\no 21\no 19\n</t>
  </si>
  <si>
    <t>c Parsing MaxSAT file...\nc ============================[  Problem Statistics ]============================\nc |  Number of variables:           747                                         |\nc |  Number of clauses:            2773                                         |\nc ===============================================================================\nc Using SCIP solver, version 7.0.3, https://www.scipopt.org\nc scip_time = 0.000000\nc Starting SCIP solver in a separate thread (with time-limit = 0s) ...\nc Using COMiniSatPS SAT solver by Chanseok Oh (2016)\no 33\no 28\no 26\no 25\no 24\nc _x001B_[1mOptimal solution: 24_x001B_[0m\nc _______________________________________________________________________________\nc \nc restarts               : 46247\nc conflicts              : 15146322       (3937 /sec)\nc decisions              : 16390673       (0.00 % random) (4261 /sec)\nc propagations           : 2582310366     (671259 /sec)\nc conflict literals      : 346261214      (30.32 % deleted)\nc =======================[ UWrMaxSat resources usage ]===========================\nc Memory used            : 435.00 MB\nc CPU time               : 3846.97 s\nc Wall clock time        : 3858 s\nc OptExp Enc: Srt/BDD/Add: 124 0 0\nc _______________________________________________________________________________\nv 10100110010001001010011000000000000110000000000110101001100000010111000100000001000000110110000001000010101010010001010010000000000000000010101000100101010101100010000000010010011110101111111111110110111110001101101111000110001101000000100010000001101100101101110011100111100011011000001011100101011001001011010001010101000101101011010101111011000110001101011000010111010110010011110010101101001110111001000100000011111010110100101001010110011110100101011000011101101001100001011100111101110101001011100101010001010100001010100101110010010111100110101011001100001000100101011000001101000010000100101110011111100001010000000000000000000000000000000000000000000000000000000000000000000000000000000000000000000000000000000000000000000000000000000000000000000000000000000000000000000000000000000000000000000000000\ns OPTIMUM FOUND\n</t>
  </si>
  <si>
    <t>c Parsing MaxSAT file...\nc ============================[  Problem Statistics ]============================\nc |  Number of variables:           758                                         |\nc |  Number of clauses:            2815                                         |\nc ===============================================================================\nc Using SCIP solver, version 7.0.3, https://www.scipopt.org\nc scip_time = 0.000000\nc Starting SCIP solver in a separate thread (with time-limit = 0s) ...\nc Using COMiniSatPS SAT solver by Chanseok Oh (2016)\no 35\no 26\no 25\nc _x001B_[1mOptimal solution: 25_x001B_[0m\nc _______________________________________________________________________________\nc \nc restarts               : 72589\nc conflicts              : 27837318       (3247 /sec)\nc decisions              : 30101057       (0.00 % random) (3511 /sec)\nc propagations           : 4932723950     (575415 /sec)\nc conflict literals      : 668444849      (35.22 % deleted)\nc =======================[ UWrMaxSat resources usage ]===========================\nc Memory used            : 550.00 MB\nc CPU time               : 8572.47 s\nc Wall clock time        : 8596 s\nc OptExp Enc: Srt/BDD/Add: 126 0 0\nc _______________________________________________________________________________\nv 00000100100100000000111000010001100001101100000100011000000110010001000100011000100100111111111101011111011111101001111111101001111011110010111010000011111010101010110000101001011001110101010110110001101101101001111010101011110100001010010010101001010001011101000111010110001111010101101010100111001111011010111100101010001111001110101000111011011101101010100001110110101000001010100010011110110100001101001100111000111110101000111100110110000001110010000001101010000110110111110000001011110000100010011100001010010001011100111010110111000001010100000101001111101001000100100101111001111000111011001001000101000001010001101001011000011011011001111010111110110110011101000000001110101011001011110110100011100011110111110100000000000000000000000000000000000000000000000000000000000000000000000000000000000000000000000000000\ns OPTIMUM FOUND\n</t>
  </si>
  <si>
    <t>c Parsing MaxSAT file...\nc ============================[  Problem Statistics ]============================\nc |  Number of variables:          1087                                         |\nc |  Number of clauses:            4085                                         |\nc ===============================================================================\nc Using SCIP solver, version 7.0.3, https://www.scipopt.org\nc scip_time = 0.000000\nc Starting SCIP solver in a separate thread (with time-limit = 0s) ...\nc Using COMiniSatPS SAT solver by Chanseok Oh (2016)\no 31\no 26\no 15\n</t>
  </si>
  <si>
    <t>c Parsing MaxSAT file...\nc ============================[  Problem Statistics ]============================\nc |  Number of variables:           985                                         |\nc |  Number of clauses:            3667                                         |\nc ===============================================================================\nc Using SCIP solver, version 7.0.3, https://www.scipopt.org\nc scip_time = 0.000000\nc Starting SCIP solver in a separate thread (with time-limit = 0s) ...\nc Using COMiniSatPS SAT solver by Chanseok Oh (2016)\no 19\no 18\no 14\n</t>
  </si>
  <si>
    <t>c Parsing MaxSAT file...\nc ============================[  Problem Statistics ]============================\nc |  Number of variables:           927                                         |\nc |  Number of clauses:            3467                                         |\nc ===============================================================================\nc Using SCIP solver, version 7.0.3, https://www.scipopt.org\nc scip_time = 0.000000\nc Starting SCIP solver in a separate thread (with time-limit = 0s) ...\nc Using COMiniSatPS SAT solver by Chanseok Oh (2016)\no 30\n</t>
  </si>
  <si>
    <t>c Parsing MaxSAT file...\nc ============================[  Problem Statistics ]============================\nc |  Number of variables:           947                                         |\nc |  Number of clauses:            3543                                         |\nc ===============================================================================\nc Using SCIP solver, version 7.0.3, https://www.scipopt.org\nc scip_time = 0.000000\nc Starting SCIP solver in a separate thread (with time-limit = 0s) ...\nc Using COMiniSatPS SAT solver by Chanseok Oh (2016)\no 38\no 25\n</t>
  </si>
  <si>
    <t>c Parsing MaxSAT file...\nc ============================[  Problem Statistics ]============================\nc |  Number of variables:           908                                         |\nc |  Number of clauses:            3399                                         |\nc ===============================================================================\nc Using SCIP solver, version 7.0.3, https://www.scipopt.org\nc scip_time = 0.000000\nc Starting SCIP solver in a separate thread (with time-limit = 0s) ...\nc Using COMiniSatPS SAT solver by Chanseok Oh (2016)\no 35\no 34\no 31\no 29\no 25\n</t>
  </si>
  <si>
    <t>c Parsing MaxSAT file...\nc ============================[  Problem Statistics ]============================\nc |  Number of variables:          1091                                         |\nc |  Number of clauses:            4077                                         |\nc ===============================================================================\nc Using SCIP solver, version 7.0.3, https://www.scipopt.org\nc scip_time = 0.000000\nc Starting SCIP solver in a separate thread (with time-limit = 0s) ...\nc Using COMiniSatPS SAT solver by Chanseok Oh (2016)\no 14\n</t>
  </si>
  <si>
    <t>c Parsing MaxSAT file...\nc ============================[  Problem Statistics ]============================\nc |  Number of variables:          1098                                         |\nc |  Number of clauses:            4101                                         |\nc ===============================================================================\nc Using SCIP solver, version 7.0.3, https://www.scipopt.org\nc scip_time = 0.000000\nc Starting SCIP solver in a separate thread (with time-limit = 0s) ...\nc Using COMiniSatPS SAT solver by Chanseok Oh (2016)\no 15\n</t>
  </si>
  <si>
    <t>c Parsing MaxSAT file...\nc ============================[  Problem Statistics ]============================\nc |  Number of variables:          1099                                         |\nc |  Number of clauses:            4101                                         |\nc ===============================================================================\nc Using SCIP solver, version 7.0.3, https://www.scipopt.org\nc scip_time = 0.000000\nc Starting SCIP solver in a separate thread (with time-limit = 0s) ...\nc Using COMiniSatPS SAT solver by Chanseok Oh (2016)\no 15\no 14\n</t>
  </si>
  <si>
    <t>c Parsing MaxSAT file...\nc ============================[  Problem Statistics ]============================\nc |  Number of variables:          1161                                         |\nc |  Number of clauses:            4363                                         |\nc ===============================================================================\nc Using SCIP solver, version 7.0.3, https://www.scipopt.org\nc scip_time = 0.000000\nc Starting SCIP solver in a separate thread (with time-limit = 0s) ...\nc Using COMiniSatPS SAT solver by Chanseok Oh (2016)\no 44\n</t>
  </si>
  <si>
    <t>c Parsing MaxSAT file...\nc ============================[  Problem Statistics ]============================\nc |  Number of variables:          1204                                         |\nc |  Number of clauses:            4529                                         |\nc ===============================================================================\nc Using SCIP solver, version 7.0.3, https://www.scipopt.org\nc scip_time = 0.000000\nc Starting SCIP solver in a separate thread (with time-limit = 0s) ...\nc Using COMiniSatPS SAT solver by Chanseok Oh (2016)\no 43\n</t>
  </si>
  <si>
    <t>c Parsing MaxSAT file...\nc ============================[  Problem Statistics ]============================\nc |  Number of variables:          1215                                         |\nc |  Number of clauses:            4567                                         |\nc ===============================================================================\nc Using SCIP solver, version 7.0.3, https://www.scipopt.org\nc scip_time = 0.000000\nc Starting SCIP solver in a separate thread (with time-limit = 0s) ...\nc Using COMiniSatPS SAT solver by Chanseok Oh (2016)\no 23\no 16\n</t>
  </si>
  <si>
    <t>c Parsing MaxSAT file...\nc ============================[  Problem Statistics ]============================\nc |  Number of variables:          1260                                         |\nc |  Number of clauses:            4743                                         |\nc ===============================================================================\nc Using SCIP solver, version 7.0.3, https://www.scipopt.org\nc scip_time = 0.000000\nc Starting SCIP solver in a separate thread (with time-limit = 0s) ...\nc Using COMiniSatPS SAT solver by Chanseok Oh (2016)\no 23\n</t>
  </si>
  <si>
    <t>c Parsing MaxSAT file...\nc ============================[  Problem Statistics ]============================\nc |  Number of variables:          1217                                         |\nc |  Number of clauses:            4567                                         |\nc ===============================================================================\nc Using SCIP solver, version 7.0.3, https://www.scipopt.org\nc scip_time = 0.000000\nc Starting SCIP solver in a separate thread (with time-limit = 0s) ...\nc Using COMiniSatPS SAT solver by Chanseok Oh (2016)\no 23\n</t>
  </si>
  <si>
    <t>method: ColourCodeDistStim</t>
  </si>
  <si>
    <t>method: decoderDist</t>
  </si>
  <si>
    <t>decoder: bposd</t>
  </si>
  <si>
    <t>bp_method: product_sum</t>
  </si>
  <si>
    <t>bp_schedule: parallel</t>
  </si>
  <si>
    <t>bp_max_iter: 100</t>
  </si>
  <si>
    <t>osd_method: OSD_CS</t>
  </si>
  <si>
    <t>osd_order: 1</t>
  </si>
  <si>
    <t>outfile: /home/ucapmwe/dist-benchmark/results/codeTables-GF2_sample.txt-decoderDist-bposd-20251221_195517.743136_85062422.txt</t>
  </si>
  <si>
    <t>Trial:0 w:2; pErr:0.0000, weight 2 CW found:6</t>
  </si>
  <si>
    <t>Trial:0 w:3; pErr:0.0000, weight 3 CW found:3</t>
  </si>
  <si>
    <t>Trial:0 w:4; pErr:0.0000, weight 4 CW found:7</t>
  </si>
  <si>
    <t>Trial:0 w:3; pErr:0.0000, weight 3 CW found:13</t>
  </si>
  <si>
    <t>Trial:0 w:5; pErr:0.0000, weight 5 CW found:5</t>
  </si>
  <si>
    <t>Trial:0 w:6; pErr:0.0000, weight 6 CW found:7</t>
  </si>
  <si>
    <t>Trial:0 w:6; pErr:0.0000, weight 6 CW found:5</t>
  </si>
  <si>
    <t>Trial:0 w:6; Trial:1 w:5; pErr:0.0000, weight 5 CW found:9</t>
  </si>
  <si>
    <t>Trial:0 w:5; pErr:0.0000, weight 5 CW found:12</t>
  </si>
  <si>
    <t>Trial:0 w:5; pErr:0.0000, weight 5 CW found:21</t>
  </si>
  <si>
    <t>Trial:0 w:5; pErr:0.0000, weight 5 CW found:32</t>
  </si>
  <si>
    <t>Trial:0 w:9; pErr:0.0000, weight 9 CW found:9</t>
  </si>
  <si>
    <t>Trial:0 w:10; pErr:0.0000, weight 10 CW found:18</t>
  </si>
  <si>
    <t>Trial:0 w:9; pErr:0.0000, weight 9 CW found:23</t>
  </si>
  <si>
    <t>Trial:0 w:9; pErr:0.0000, weight 9 CW found:44</t>
  </si>
  <si>
    <t>Trial:0 w:15; Trial:2 w:13; pErr:0.0000, weight 13 CW found:7</t>
  </si>
  <si>
    <t>Trial:0 w:5; pErr:0.0000, weight 5 CW found:261</t>
  </si>
  <si>
    <t>Trial:0 w:9; pErr:0.0000, weight 9 CW found:80</t>
  </si>
  <si>
    <t>Trial:0 w:9; pErr:0.0000, weight 9 CW found:118</t>
  </si>
  <si>
    <t>Trial:0 w:5; pErr:0.0000, weight 5 CW found:298</t>
  </si>
  <si>
    <t>Trial:0 w:13; pErr:0.0000, weight 13 CW found:35</t>
  </si>
  <si>
    <t>Trial:0 w:14; pErr:0.0000, weight 14 CW found:48</t>
  </si>
  <si>
    <t>Trial:0 w:17; pErr:0.0000, weight 17 CW found:7</t>
  </si>
  <si>
    <t>Trial:0 w:13; pErr:0.0000, weight 13 CW found:93</t>
  </si>
  <si>
    <t>Trial:0 w:8; Trial:1 w:7; pErr:0.0000, weight 7 CW found:813</t>
  </si>
  <si>
    <t>Trial:0 w:17; pErr:0.0000, weight 17 CW found:13</t>
  </si>
  <si>
    <t>Trial:0 w:7; pErr:0.0000, weight 7 CW found:721</t>
  </si>
  <si>
    <t>Trial:0 w:18; Trial:1 w:17; pErr:0.0000, weight 17 CW found:27</t>
  </si>
  <si>
    <t>Trial:0 w:18; Trial:1 w:17; pErr:0.0000, weight 17 CW found:50</t>
  </si>
  <si>
    <t>Trial:0 w:21; pErr:0.0000, weight 21 CW found:7</t>
  </si>
  <si>
    <t>Trial:0 w:17; pErr:0.0000, weight 17 CW found:61</t>
  </si>
  <si>
    <t>Trial:0 w:13; pErr:0.0000, weight 13 CW found:413</t>
  </si>
  <si>
    <t>Trial:0 w:17; pErr:0.0000, weight 17 CW found:93</t>
  </si>
  <si>
    <t>Trial:0 w:17; pErr:0.0000, weight 17 CW found:148</t>
  </si>
  <si>
    <t>Trial:0 w:9; pErr:0.0002, weight 9 CW found:1140</t>
  </si>
  <si>
    <t>Trial:0 w:9; pErr:0.0005, weight 9 CW found:1324</t>
  </si>
  <si>
    <t>Trial:0 w:10; Trial:2 w:9; pErr:0.0012, weight 9 CW found:1481</t>
  </si>
  <si>
    <t>Trial:0 w:15; pErr:0.0005, weight 15 CW found:1309</t>
  </si>
  <si>
    <t>Trial:0 w:9; pErr:0.0009, weight 9 CW found:1422</t>
  </si>
  <si>
    <t>Trial:0 w:9; pErr:0.0007, weight 9 CW found:1381</t>
  </si>
  <si>
    <t>Trial:0 w:25; pErr:0.0000, weight 25 CW found:13</t>
  </si>
  <si>
    <t>Trial:1 w:13; pErr:0.0001, weight 13 CW found:1070</t>
  </si>
  <si>
    <t>Trial:0 w:9; pErr:0.0036, weight 9 CW found:1775</t>
  </si>
  <si>
    <t>Trial:0 w:18; Trial:1 w:17; pErr:0.0000, weight 17 CW found:768</t>
  </si>
  <si>
    <t>Trial:0 w:17; pErr:0.0000, weight 17 CW found:983</t>
  </si>
  <si>
    <t>Trial:0 w:9; pErr:0.0033, weight 9 CW found:1752</t>
  </si>
  <si>
    <t>Trial:0 w:13; pErr:0.0028, weight 13 CW found:1701</t>
  </si>
  <si>
    <t>Trial:0 w:17; pErr:0.0002, weight 17 CW found:1200</t>
  </si>
  <si>
    <t>Trial:0 w:38; Trial:1 w:17; pErr:0.0005, weight 17 CW found:1302</t>
  </si>
  <si>
    <t>Trial:0 w:32; pErr:0.0000, weight 32 CW found:5</t>
  </si>
  <si>
    <t>Trial:0 w:17; pErr:0.0011, weight 17 CW found:1476</t>
  </si>
  <si>
    <t>Trial:0 w:17; pErr:0.0006, weight 17 CW found:1341</t>
  </si>
  <si>
    <t>Trial:0 w:20; Trial:1 w:19; pErr:0.0008, weight 19 CW found:1397</t>
  </si>
  <si>
    <t>Trial:0 w:17; pErr:0.0054, weight 17 CW found:1912</t>
  </si>
  <si>
    <t>Trial:0 w:17; Trial:1 w:16; pErr:0.0150, weight 16 CW found:2379</t>
  </si>
  <si>
    <t>Trial:0 w:17; Trial:2 w:16; pErr:0.0060, weight 16 CW found:1954</t>
  </si>
  <si>
    <t>Trial:0 w:14; Trial:2 w:13; pErr:0.1215, weight 13 CW found:4744</t>
  </si>
  <si>
    <t>Trial:0 w:14; Trial:2 w:13; pErr:0.1414, weight 13 CW found:5111</t>
  </si>
  <si>
    <t>Trial:0 w:14; Trial:3 w:13; pErr:0.1619, weight 13 CW found:5490</t>
  </si>
  <si>
    <t>Trial:0 w:13; pErr:0.1888, weight 13 CW found:5998</t>
  </si>
  <si>
    <t>Trial:0 w:13; pErr:0.1994, weight 13 CW found:6201</t>
  </si>
  <si>
    <t>Trial:0 w:13; pErr:0.2134, weight 13 CW found:6475</t>
  </si>
  <si>
    <t>Trial:0 w:30; Trial:3 w:29; pErr:0.0000, weight 29 CW found:570</t>
  </si>
  <si>
    <t>Trial:0 w:15; Trial:1 w:13; pErr:0.1895, weight 13 CW found:6012</t>
  </si>
  <si>
    <t>Trial:0 w:13; pErr:0.1668, weight 13 CW found:5584</t>
  </si>
  <si>
    <t>Trial:0 w:33; Trial:3 w:32; pErr:0.0000, weight 32 CW found:179</t>
  </si>
  <si>
    <t>Trial:2 w:20; Trial:31 w:19; pErr:0.0881, weight 19 CW found:4103</t>
  </si>
  <si>
    <t>Trial:0 w:14; Trial:1 w:12; pErr:0.1884, weight 12 CW found:5991</t>
  </si>
  <si>
    <t>Trial:0 w:14; Trial:6 w:13; pErr:0.1767, weight 13 CW found:5766</t>
  </si>
  <si>
    <t>Trial:0 w:20; Trial:6 w:19; pErr:0.2643, weight 19 CW found:7511</t>
  </si>
  <si>
    <t>Trial:0 w:25; Trial:1 w:24; pErr:0.0177, weight 24 CW found:2480</t>
  </si>
  <si>
    <t>Trial:0 w:11; pErr:0.1388, weight 11 CW found:5064</t>
  </si>
  <si>
    <t>Trial:0 w:13; Trial:1 w:12; Trial:4 w:11; pErr:0.1453, weight 11 CW found:5183</t>
  </si>
  <si>
    <t>Trial:0 w:15; Trial:1 w:13; pErr:0.2605, weight 13 CW found:7434</t>
  </si>
  <si>
    <t>Trial:0 w:17; Trial:1 w:16; Trial:20 w:15; pErr:0.3127, weight 15 CW found:8586</t>
  </si>
  <si>
    <t>Trial:0 w:15; pErr:0.3203, weight 15 CW found:8783</t>
  </si>
  <si>
    <t>Trial:0 w:26; Trial:4 w:25; Trial:41 w:24; pErr:0.0276, weight 24 CW found:2774</t>
  </si>
  <si>
    <t>Trial:2 w:25; pErr:0.0312, weight 25 CW found:2883</t>
  </si>
  <si>
    <t>Trial:0 w:16; Trial:1 w:15; pErr:0.2464, weight 15 CW found:7139</t>
  </si>
  <si>
    <t>Trial:0 w:15; Trial:3 w:14; Trial:7 w:13; pErr:0.3082, weight 13 CW found:8490</t>
  </si>
  <si>
    <t>Trial:0 w:21; pErr:0.2590, weight 21 CW found:7402</t>
  </si>
  <si>
    <t>Trial:0 w:23; Trial:1 w:22; Trial:4 w:21; pErr:0.2620, weight 21 CW found:7462</t>
  </si>
  <si>
    <t>Trial:0 w:26; Trial:7 w:25; pErr:0.1733, weight 25 CW found:5701</t>
  </si>
  <si>
    <t>Trial:0 w:16; Trial:1 w:14; Trial:95 w:13; pErr:0.3370, weight 13 CW found:9107</t>
  </si>
  <si>
    <t>Trial:0 w:14; Trial:59 w:13; pErr:0.3346, weight 13 CW found:9079</t>
  </si>
  <si>
    <t>Trial:0 w:16; Trial:1 w:15; Trial:2 w:14; Trial:17 w:13; pErr:0.3373, weight 13 CW found:9185</t>
  </si>
  <si>
    <t>Trial:0 w:19; Trial:2 w:18; Trial:34 w:17; pErr:0.3475, weight 17 CW found:9428</t>
  </si>
  <si>
    <t>Trial:0 w:19; Trial:1 w:18; Trial:3 w:17; Trial:102 w:16; pErr:0.3506, weight 16 CW found:9443</t>
  </si>
  <si>
    <t>Trial:0 w:16; Trial:170 w:15; pErr:0.3525, weight 15 CW found:9428</t>
  </si>
  <si>
    <t>Trial:0 w:17; Trial:13 w:16; Trial:49 w:15; pErr:0.3553, weight 15 CW found:9617</t>
  </si>
  <si>
    <t>Trial:0 w:18; Trial:5 w:17; Trial:9 w:16; Trial:87 w:15; pErr:0.3437, weight 15 CW found:9281</t>
  </si>
  <si>
    <t>Trial:1 w:17; Trial:7 w:16; pErr:0.3432, weight 16 CW found:9345</t>
  </si>
  <si>
    <t>Trial:0 w:17; Trial:12 w:16; Trial:31 w:15; pErr:0.3515, weight 15 CW found:9534</t>
  </si>
  <si>
    <t>Trial:0 w:15; pErr:0.3522, weight 15 CW found:9583</t>
  </si>
  <si>
    <t>Trial:0 w:26; Trial:20 w:25; pErr:0.2356, weight 25 CW found:6904</t>
  </si>
  <si>
    <t>Trial:0 w:30; Trial:36 w:29; pErr:0.2004, weight 29 CW found:6198</t>
  </si>
  <si>
    <t>Trial:0 w:20; Trial:3 w:19; Trial:21 w:18; Trial:50 w:17; pErr:0.3412, weight 17 CW found:9253</t>
  </si>
  <si>
    <t>Trial:0 w:22; Trial:33 w:21; pErr:0.3558, weight 21 CW found:9646</t>
  </si>
  <si>
    <t>Trial:0 w:25; Trial:3 w:24; Trial:4 w:23; Trial:12 w:21; pErr:0.3574, weight 21 CW found:9707</t>
  </si>
  <si>
    <t>Trial:0 w:20; Trial:2 w:19; Trial:7 w:18; Trial:65 w:17; pErr:0.3619, weight 17 CW found:9775</t>
  </si>
  <si>
    <t>Trial:0 w:27; Trial:5 w:25; pErr:0.2421, weight 25 CW found:7046</t>
  </si>
  <si>
    <t>Trial:0 w:32; Trial:1 w:30; Trial:5 w:28; pErr:0.3304, weight 28 CW found:9025</t>
  </si>
  <si>
    <t>Trial:0 w:21; Trial:1 w:19; Trial:13 w:18; Trial:27 w:17; pErr:0.3645, weight 17 CW found:9881</t>
  </si>
  <si>
    <t>Trial:0 w:29; Trial:34 w:28; Trial:520 w:27; pErr:0.3508, weight 27 CW found:9051</t>
  </si>
  <si>
    <t>Trial:0 w:37; Trial:5 w:36; Trial:16 w:34; pErr:0.2807, weight 34 CW found:7859</t>
  </si>
  <si>
    <t>Trial:0 w:38; Trial:1 w:37; Trial:6 w:36; Trial:29 w:34; pErr:0.2971, weight 34 CW found:8216</t>
  </si>
  <si>
    <t>Trial:0 w:37; Trial:8 w:35; Trial:24 w:33; pErr:0.1178, weight 33 CW found:4664</t>
  </si>
  <si>
    <t>Trial:0 w:37; Trial:2 w:36; Trial:7 w:35; Trial:87 w:34; pErr:0.3208, weight 34 CW found:8718</t>
  </si>
  <si>
    <t>Trial:0 w:35; Trial:660 w:34; pErr:0.1185, weight 34 CW found:4379</t>
  </si>
  <si>
    <t>Trial:0 w:36; Trial:649 w:35; pErr:0.1239, weight 35 CW found:4477</t>
  </si>
  <si>
    <t>Trial:0 w:41; Trial:1 w:39; Trial:3 w:38; Trial:26 w:37; Trial:65 w:36; pErr:0.3291, weight 36 CW found:8940</t>
  </si>
  <si>
    <t>Trial:0 w:39; Trial:2 w:38; Trial:171 w:37; Trial:1338 w:36; pErr:0.1247, weight 36 CW found:4161</t>
  </si>
  <si>
    <t>Trial:1 w:40; Trial:7 w:39; Trial:9 w:38; Trial:152 w:37; pErr:0.1211, weight 37 CW found:4665</t>
  </si>
  <si>
    <t>Trial:0 w:30; Trial:2 w:27; Trial:5 w:26; Trial:30 w:25; pErr:0.3650, weight 25 CW found:9891</t>
  </si>
  <si>
    <t>Trial:0 w:31; Trial:1 w:26; Trial:24 w:25; pErr:0.3655, weight 25 CW found:9912</t>
  </si>
  <si>
    <t>Trial:0 w:30; Trial:2 w:29; Trial:4 w:27; Trial:31 w:26; Trial:128 w:25; pErr:0.3662, weight 25 CW found:9827</t>
  </si>
  <si>
    <t>Trial:2 w:29; Trial:15 w:26; Trial:116 w:25; pErr:0.1324, weight 25 CW found:4888</t>
  </si>
  <si>
    <t>Trial:3 w:30; Trial:11 w:28; Trial:13 w:27; Trial:25 w:26; pErr:0.1335, weight 26 CW found:4953</t>
  </si>
  <si>
    <t>Trial:0 w:38; Trial:25 w:37; pErr:0.3431, weight 37 CW found:9326</t>
  </si>
  <si>
    <t>Trial:0 w:30; Trial:90 w:29; pErr:0.3660, weight 29 CW found:9859</t>
  </si>
  <si>
    <t>bp_max_iter: 10</t>
  </si>
  <si>
    <t>osd_order: 8</t>
  </si>
  <si>
    <t>outfile: /home/ucapmwe/dist-benchmark/results/codeTables-GF2_sample.txt-decoderDist-bposd-20251231_114520.313902_85062422.txt</t>
  </si>
  <si>
    <t>Trial:0 w:4; pErr:0.0000, weight 4 CW found:5</t>
  </si>
  <si>
    <t>Trial:0 w:3; pErr:0.0000, weight 3 CW found:9</t>
  </si>
  <si>
    <t>Trial:0 w:6; pErr:0.0000, weight 6 CW found:6</t>
  </si>
  <si>
    <t>Trial:0 w:5; pErr:0.0000, weight 5 CW found:6</t>
  </si>
  <si>
    <t>Trial:0 w:5; pErr:0.0000, weight 5 CW found:10</t>
  </si>
  <si>
    <t>Trial:0 w:5; pErr:0.0000, weight 5 CW found:17</t>
  </si>
  <si>
    <t>Trial:0 w:5; pErr:0.0000, weight 5 CW found:28</t>
  </si>
  <si>
    <t>Trial:0 w:10; pErr:0.0000, weight 10 CW found:20</t>
  </si>
  <si>
    <t>Trial:0 w:9; pErr:0.0000, weight 9 CW found:13</t>
  </si>
  <si>
    <t>Trial:0 w:9; pErr:0.0000, weight 9 CW found:18</t>
  </si>
  <si>
    <t>Trial:0 w:13; pErr:0.0000, weight 13 CW found:4</t>
  </si>
  <si>
    <t>Trial:0 w:5; pErr:0.0000, weight 5 CW found:116</t>
  </si>
  <si>
    <t>Trial:0 w:9; pErr:0.0000, weight 9 CW found:38</t>
  </si>
  <si>
    <t>Trial:0 w:9; pErr:0.0000, weight 9 CW found:59</t>
  </si>
  <si>
    <t>Trial:0 w:5; pErr:0.0000, weight 5 CW found:146</t>
  </si>
  <si>
    <t>Trial:0 w:13; pErr:0.0000, weight 13 CW found:34</t>
  </si>
  <si>
    <t>Trial:0 w:14; pErr:0.0000, weight 14 CW found:19</t>
  </si>
  <si>
    <t>Trial:0 w:17; pErr:0.0000, weight 17 CW found:4</t>
  </si>
  <si>
    <t>Trial:0 w:13; pErr:0.0000, weight 13 CW found:45</t>
  </si>
  <si>
    <t>Trial:0 w:7; pErr:0.0000, weight 7 CW found:613</t>
  </si>
  <si>
    <t>Trial:0 w:8; Trial:3 w:7; pErr:0.0000, weight 7 CW found:530</t>
  </si>
  <si>
    <t>Trial:0 w:17; pErr:0.0000, weight 17 CW found:14</t>
  </si>
  <si>
    <t>Trial:0 w:17; pErr:0.0000, weight 17 CW found:27</t>
  </si>
  <si>
    <t>Trial:0 w:21; pErr:0.0000, weight 21 CW found:4</t>
  </si>
  <si>
    <t>Trial:0 w:13; pErr:0.0000, weight 13 CW found:140</t>
  </si>
  <si>
    <t>Trial:0 w:17; pErr:0.0000, weight 17 CW found:35</t>
  </si>
  <si>
    <t>Trial:0 w:17; pErr:0.0000, weight 17 CW found:66</t>
  </si>
  <si>
    <t>Trial:0 w:9; pErr:0.0000, weight 9 CW found:546</t>
  </si>
  <si>
    <t>Trial:0 w:9; pErr:0.0000, weight 9 CW found:587</t>
  </si>
  <si>
    <t>Trial:0 w:9; pErr:0.0000, weight 9 CW found:865</t>
  </si>
  <si>
    <t>Trial:0 w:15; pErr:0.0000, weight 15 CW found:913</t>
  </si>
  <si>
    <t>Trial:0 w:9; pErr:0.0000, weight 9 CW found:788</t>
  </si>
  <si>
    <t>Trial:0 w:9; pErr:0.0000, weight 9 CW found:884</t>
  </si>
  <si>
    <t>Trial:0 w:25; pErr:0.0000, weight 25 CW found:7</t>
  </si>
  <si>
    <t>Trial:0 w:13; pErr:0.0000, weight 13 CW found:561</t>
  </si>
  <si>
    <t>Trial:0 w:10; Trial:1 w:9; pErr:0.0001, weight 9 CW found:1028</t>
  </si>
  <si>
    <t>Trial:0 w:17; pErr:0.0000, weight 17 CW found:635</t>
  </si>
  <si>
    <t>Trial:2 w:30; Trial:5 w:17; pErr:0.0000, weight 17 CW found:670</t>
  </si>
  <si>
    <t>Trial:0 w:9; pErr:0.0002, weight 9 CW found:1204</t>
  </si>
  <si>
    <t>Trial:0 w:13; pErr:0.0000, weight 13 CW found:953</t>
  </si>
  <si>
    <t>Trial:0 w:53; Trial:1 w:17; pErr:0.0000, weight 17 CW found:868</t>
  </si>
  <si>
    <t>Trial:0 w:17; pErr:0.0000, weight 17 CW found:868</t>
  </si>
  <si>
    <t>Trial:0 w:18; Trial:3 w:17; pErr:0.0000, weight 17 CW found:989</t>
  </si>
  <si>
    <t>Trial:0 w:17; pErr:0.0000, weight 17 CW found:881</t>
  </si>
  <si>
    <t>Trial:2 w:19; pErr:0.0001, weight 19 CW found:1041</t>
  </si>
  <si>
    <t>Trial:0 w:18; Trial:1 w:17; pErr:0.0003, weight 17 CW found:1251</t>
  </si>
  <si>
    <t>Trial:0 w:16; pErr:0.0026, weight 16 CW found:1684</t>
  </si>
  <si>
    <t>Trial:4 w:16; pErr:0.0011, weight 16 CW found:1460</t>
  </si>
  <si>
    <t>Trial:0 w:14; Trial:5 w:13; pErr:0.0654, weight 13 CW found:3665</t>
  </si>
  <si>
    <t>Trial:0 w:14; Trial:2 w:13; pErr:0.0890, weight 13 CW found:4133</t>
  </si>
  <si>
    <t>Trial:0 w:14; Trial:2 w:13; pErr:0.1065, weight 13 CW found:4465</t>
  </si>
  <si>
    <t>Trial:0 w:14; Trial:1 w:13; pErr:0.1300, weight 13 CW found:4901</t>
  </si>
  <si>
    <t>Trial:0 w:13; pErr:0.1440, weight 13 CW found:5161</t>
  </si>
  <si>
    <t>Trial:0 w:13; pErr:0.1548, weight 13 CW found:5360</t>
  </si>
  <si>
    <t>Trial:0 w:30; Trial:1 w:29; pErr:0.0000, weight 29 CW found:429</t>
  </si>
  <si>
    <t>Trial:0 w:13; pErr:0.0876, weight 13 CW found:4106</t>
  </si>
  <si>
    <t>Trial:0 w:14; Trial:5 w:13; pErr:0.0379, weight 13 CW found:3055</t>
  </si>
  <si>
    <t>Trial:0 w:32; pErr:0.0000, weight 32 CW found:78</t>
  </si>
  <si>
    <t>Trial:1 w:20; Trial:6 w:19; pErr:0.0723, weight 19 CW found:3805</t>
  </si>
  <si>
    <t>Trial:0 w:14; Trial:3 w:12; pErr:0.1265, weight 12 CW found:4835</t>
  </si>
  <si>
    <t>Trial:0 w:14; Trial:3 w:13; pErr:0.1374, weight 13 CW found:5036</t>
  </si>
  <si>
    <t>Trial:0 w:20; Trial:4 w:19; pErr:0.2304, weight 19 CW found:6809</t>
  </si>
  <si>
    <t>Trial:0 w:24; pErr:0.0011, weight 24 CW found:1473</t>
  </si>
  <si>
    <t>Trial:0 w:11; pErr:0.0310, weight 11 CW found:2880</t>
  </si>
  <si>
    <t>Trial:0 w:11; pErr:0.0343, weight 11 CW found:2965</t>
  </si>
  <si>
    <t>Trial:0 w:14; Trial:7 w:13; pErr:0.2130, weight 13 CW found:6462</t>
  </si>
  <si>
    <t>Trial:0 w:17; Trial:1 w:16; Trial:15 w:15; pErr:0.2843, weight 15 CW found:7938</t>
  </si>
  <si>
    <t>Trial:0 w:17; Trial:1 w:15; pErr:0.2991, weight 15 CW found:8285</t>
  </si>
  <si>
    <t>Trial:2 w:26; Trial:16 w:25; Trial:23 w:24; pErr:0.0088, weight 24 CW found:2110</t>
  </si>
  <si>
    <t>Trial:0 w:27; Trial:1 w:25; pErr:0.0096, weight 25 CW found:2150</t>
  </si>
  <si>
    <t>Trial:1 w:16; Trial:15 w:15; pErr:0.2321, weight 15 CW found:6836</t>
  </si>
  <si>
    <t>Trial:0 w:16; Trial:1 w:13; pErr:0.2700, weight 13 CW found:7637</t>
  </si>
  <si>
    <t>Trial:0 w:24; Trial:1 w:21; pErr:0.2088, weight 21 CW found:6383</t>
  </si>
  <si>
    <t>Trial:0 w:22; Trial:1 w:21; pErr:0.2217, weight 21 CW found:6638</t>
  </si>
  <si>
    <t>Trial:0 w:28; Trial:1 w:26; Trial:6 w:25; pErr:0.1029, weight 25 CW found:4394</t>
  </si>
  <si>
    <t>Trial:0 w:16; Trial:1 w:15; Trial:5 w:14; Trial:91 w:13; pErr:0.2983, weight 13 CW found:8192</t>
  </si>
  <si>
    <t>Trial:0 w:16; Trial:1 w:14; Trial:224 w:13; pErr:0.2814, weight 13 CW found:7709</t>
  </si>
  <si>
    <t>Trial:0 w:14; Trial:1 w:13; pErr:0.2781, weight 13 CW found:7814</t>
  </si>
  <si>
    <t>Trial:0 w:19; Trial:3 w:18; Trial:5 w:17; pErr:0.3388, weight 17 CW found:9235</t>
  </si>
  <si>
    <t>Trial:0 w:19; Trial:1 w:18; Trial:7 w:17; Trial:12 w:16; pErr:0.3430, weight 16 CW found:9335</t>
  </si>
  <si>
    <t>Trial:0 w:17; Trial:4 w:16; Trial:27 w:15; pErr:0.3446, weight 15 CW found:9362</t>
  </si>
  <si>
    <t>Trial:0 w:17; Trial:3 w:16; Trial:5 w:15; pErr:0.3491, weight 15 CW found:9498</t>
  </si>
  <si>
    <t>Trial:0 w:18; Trial:1 w:17; Trial:3 w:16; Trial:5 w:15; pErr:0.3348, weight 15 CW found:9135</t>
  </si>
  <si>
    <t>Trial:0 w:17; Trial:18 w:16; pErr:0.3397, weight 16 CW found:9245</t>
  </si>
  <si>
    <t>Trial:0 w:20; Trial:1 w:17; Trial:4 w:16; Trial:11 w:15; pErr:0.3442, weight 15 CW found:9367</t>
  </si>
  <si>
    <t>Trial:0 w:18; Trial:1 w:15; pErr:0.3465, weight 15 CW found:9434</t>
  </si>
  <si>
    <t>Trial:0 w:102; Trial:1 w:26; Trial:7 w:25; pErr:0.2161, weight 25 CW found:6522</t>
  </si>
  <si>
    <t>Trial:0 w:102; Trial:1 w:30; Trial:71 w:29; pErr:0.1609, weight 29 CW found:5434</t>
  </si>
  <si>
    <t>Trial:0 w:20; Trial:1 w:19; Trial:10 w:18; Trial:45 w:17; pErr:0.3412, weight 17 CW found:9257</t>
  </si>
  <si>
    <t>Trial:0 w:22; Trial:23 w:21; pErr:0.3492, weight 21 CW found:9483</t>
  </si>
  <si>
    <t>Trial:0 w:23; Trial:2 w:22; Trial:31 w:21; pErr:0.3538, weight 21 CW found:9594</t>
  </si>
  <si>
    <t>Trial:0 w:20; Trial:1 w:18; Trial:50 w:17; pErr:0.3599, weight 17 CW found:9737</t>
  </si>
  <si>
    <t>Trial:0 w:28; Trial:2 w:27; Trial:5 w:26; Trial:101 w:25; pErr:0.2345, weight 25 CW found:6825</t>
  </si>
  <si>
    <t>Trial:0 w:31; Trial:1 w:28; pErr:0.3096, weight 28 CW found:8529</t>
  </si>
  <si>
    <t>Trial:0 w:21; Trial:1 w:19; Trial:4 w:18; Trial:29 w:17; pErr:0.3619, weight 17 CW found:9809</t>
  </si>
  <si>
    <t>Trial:0 w:31; Trial:1 w:29; Trial:7 w:28; Trial:26 w:27; pErr:0.3384, weight 27 CW found:9204</t>
  </si>
  <si>
    <t>Trial:0 w:37; Trial:2 w:36; Trial:9 w:35; Trial:23 w:34; pErr:0.2212, weight 34 CW found:6613</t>
  </si>
  <si>
    <t>Trial:0 w:37; Trial:1 w:36; Trial:2 w:35; Trial:47 w:34; pErr:0.2501, weight 34 CW found:7182</t>
  </si>
  <si>
    <t>Trial:0 w:35; Trial:17 w:34; Trial:179 w:33; pErr:0.1081, weight 33 CW found:4414</t>
  </si>
  <si>
    <t>Trial:0 w:38; Trial:2 w:35; Trial:82 w:34; pErr:0.2843, weight 34 CW found:7886</t>
  </si>
  <si>
    <t>Trial:0 w:38; Trial:11 w:37; Trial:24 w:35; Trial:68 w:34; pErr:0.1071, weight 34 CW found:4446</t>
  </si>
  <si>
    <t>Trial:5 w:39; Trial:8 w:38; Trial:13 w:37; Trial:45 w:36; Trial:133 w:35; pErr:0.1077, weight 35 CW found:4427</t>
  </si>
  <si>
    <t>Trial:0 w:39; Trial:8 w:37; Trial:74 w:36; pErr:0.2975, weight 36 CW found:8188</t>
  </si>
  <si>
    <t>Trial:0 w:37; Trial:72 w:36; pErr:0.1107, weight 36 CW found:4510</t>
  </si>
  <si>
    <t>Trial:6 w:39; Trial:9 w:38; Trial:431 w:37; pErr:0.1126, weight 37 CW found:4382</t>
  </si>
  <si>
    <t>Trial:0 w:31; Trial:1 w:29; Trial:2 w:28; Trial:8 w:27; Trial:19 w:26; Trial:82 w:25; pErr:0.3636, weight 25 CW found:9803</t>
  </si>
  <si>
    <t>Trial:0 w:29; Trial:2 w:28; Trial:3 w:27; Trial:7 w:26; Trial:43 w:25; pErr:0.3651, weight 25 CW found:9881</t>
  </si>
  <si>
    <t>Trial:0 w:31; Trial:1 w:29; Trial:2 w:27; Trial:6 w:26; Trial:27 w:25; pErr:0.3648, weight 25 CW found:9891</t>
  </si>
  <si>
    <t>Trial:5 w:27; Trial:29 w:26; Trial:98 w:25; pErr:0.1375, weight 25 CW found:4990</t>
  </si>
  <si>
    <t>Trial:1 w:30; Trial:5 w:26; pErr:0.1374, weight 26 CW found:5035</t>
  </si>
  <si>
    <t>Trial:0 w:40; Trial:2 w:39; Trial:6 w:38; Trial:31 w:37; pErr:0.3253, weight 37 CW found:8877</t>
  </si>
  <si>
    <t>Trial:0 w:34; Trial:1 w:32; Trial:4 w:31; Trial:16 w:30; Trial:20 w:29; pErr:0.3641, weight 29 CW found:9879</t>
  </si>
  <si>
    <t>method: dist_m4ri_CC</t>
  </si>
  <si>
    <t>outfile: /home/ucapmwe/dist-benchmark/results/codeTables-GF2_sample.txt-dist_m4ri_CC-20251224_094242.122257_85062422.txt</t>
  </si>
  <si>
    <t># cluster algorithm failed to find a codeword up to wmax=1\n; # wmax=2 found cw of weight 2: [1 2]\n2\n</t>
  </si>
  <si>
    <t># cluster algorithm failed to find a codeword up to wmax=1\n; # cluster algorithm failed to find a codeword up to wmax=2\n; # wmax=3 found cw of weight 3: [1 2 5]\n3\n</t>
  </si>
  <si>
    <t># cluster algorithm failed to find a codeword up to wmax=1\n; # cluster algorithm failed to find a codeword up to wmax=2\n; # cluster algorithm failed to find a codeword up to wmax=3\n; # wmax=4 found cw of weight 4: [1 2 3 4]\n4\n</t>
  </si>
  <si>
    <t># cluster algorithm failed to find a codeword up to wmax=1\n; # cluster algorithm failed to find a codeword up to wmax=2\n; # cluster algorithm failed to find a codeword up to wmax=3\n; # wmax=4 found cw of weight 4: [1 2 5 6]\n4\n</t>
  </si>
  <si>
    <t># cluster algorithm failed to find a codeword up to wmax=1\n; # cluster algorithm failed to find a codeword up to wmax=2\n; # cluster algorithm failed to find a codeword up to wmax=3\n; # cluster algorithm failed to find a codeword up to wmax=4\n; # wmax=5 found cw of weight 5: [1 2 5 7 8]\n5\n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</si>
  <si>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wmax=6 found cw of weight 6: [1 2 5 6 9 10]\n6\n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</si>
  <si>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wmax=6 found cw of weight 6: [1 2 5 7 8 11]\n6\n</t>
  </si>
  <si>
    <t># cluster algorithm failed to find a codeword up to wmax=1\n; # cluster algorithm failed to find a codeword up to wmax=2\n; # cluster algorithm failed to find a codeword up to wmax=3\n; # cluster algorithm failed to find a codeword up to wmax=4\n; # wmax=5 found cw of weight 5: [1 2 5 6 12]\n5\n</t>
  </si>
  <si>
    <t># cluster algorithm failed to find a codeword up to wmax=1\n; # cluster algorithm failed to find a codeword up to wmax=2\n; # cluster algorithm failed to find a codeword up to wmax=3\n; # cluster algorithm failed to find a codeword up to wmax=4\n; # wmax=5 found cw of weight 5: [1 3 6 9 11]\n5\n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</si>
  <si>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6 7 9 11 12 13 14 16]\n9\n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</si>
  <si>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wmax=10 found cw of weight 10: [1 2 5 7 10 11 13 15 16 17]\n10\n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</si>
  <si>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2 4 5 6 9 12 14 17]\n9\n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</si>
  <si>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wmax=13 found cw of weight 13: [1 4 6 7 11 12 15 16 17 18 21 22 23]\n13\n</t>
  </si>
  <si>
    <t># cluster algorithm failed to find a codeword up to wmax=1\n; # cluster algorithm failed to find a codeword up to wmax=2\n; # cluster algorithm failed to find a codeword up to wmax=3\n; # cluster algorithm failed to find a codeword up to wmax=4\n; # wmax=5 found cw of weight 5: [1 4 5 10 24]\n5\n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</si>
  <si>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3 4 9 10 15 17 20 21]\n9\n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</si>
  <si>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2 3 6 15 19 21 22 26]\n9\n</t>
  </si>
  <si>
    <t># cluster algorithm failed to find a codeword up to wmax=1\n; # cluster algorithm failed to find a codeword up to wmax=2\n; # cluster algorithm failed to find a codeword up to wmax=3\n; # cluster algorithm failed to find a codeword up to wmax=4\n; # wmax=5 found cw of weight 5: [1 2 22 25 26]\n5\n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</si>
  <si>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wmax=14 found cw of weight 14: [1 2 4 7 8 11 13 14 17 18 20 23 24 27]\n14\n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</si>
  <si>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wmax=15 found cw of weight 15: [1 2 4 7 8 11 13 14 16 19 21 22 25 26 28]\n15\n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</si>
  <si>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wmax=17 found cw of weight 17: [1 4 6 7 10 12 13 17 18 21 22 23 24 27 28 29 30]\n17\n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</si>
  <si>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wmax=13 found cw of weight 13: [1 2 4 5 6 7 8 10 16 19 25 27 29]\n13\n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</si>
  <si>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wmax=7 found cw of weight 7: [1 3 5 8 17 29 32]\n7\n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</si>
  <si>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wmax=17 found cw of weight 17: [1 6 7 10 11 14 15 18 19 20 21 24 25 28 29 32 33]\n17\n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</si>
  <si>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wmax=7 found cw of weight 7: [1 2 8 12 23 27 33]\n7\n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</si>
  <si>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wmax=17 found cw of weight 17: [1 6 7 9 11 12 13 16 20 21 22 24 27 28 29 30 32]\n17\n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</si>
  <si>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cluster algorithm failed to find a codeword up to wmax=17\n; # cluster algorithm failed to find a codeword up to wmax=18\n; # cluster algorithm failed to find a codeword up to wmax=19\n; # cluster algorithm failed to find a codeword up to wmax=20\n; # wmax=21 found cw of weight 21: [1 4 6 7 10 12 13 16 18 19 23 24 27 28 29 30 33 34 35 36 37]\n21\n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</si>
  <si>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wmax=17 found cw of weight 17: [1 2 3 4 7 11 15 17 18 25 27 28 29 30 34 35 38]\n17\n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</si>
  <si>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wmax=13 found cw of weight 13: [1 2 4 5 15 19 26 27 30 31 33 36 38]\n13\n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</si>
  <si>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wmax=17 found cw of weight 17: [1 2 3 4 5 7 13 14 15 21 22 26 29 31 32 34 36]\n17\n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</si>
  <si>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wmax=17 found cw of weight 17: [1 2 3 4 5 6 9 13 14 22 24 25 26 27 31 33 35]\n17\n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</si>
  <si>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2 4 6 7 15 19 25 28]\n9\n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</si>
  <si>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2 3 4 9 10 21 36 41]\n9\n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</si>
  <si>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4 5 9 20 25 31 34 35]\n9\n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</si>
  <si>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wmax=15 found cw of weight 15: [1 2 3 7 10 15 16 17 18 27 29 38 40 44 45]\n15\n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</si>
  <si>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2 4 10 11 17 30 31 43]\n9\n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</si>
  <si>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2 3 13 25 26 27 31 40]\n9\n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</si>
  <si>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cluster algorithm failed to find a codeword up to wmax=17\n; # cluster algorithm failed to find a codeword up to wmax=18\n; # cluster algorithm failed to find a codeword up to wmax=19\n; # cluster algorithm failed to find a codeword up to wmax=20\n; # cluster algorithm failed to find a codeword up to wmax=21\n; # cluster algorithm failed to find a codeword up to wmax=22\n; # cluster algorithm failed to find a codeword up to wmax=23\n; # cluster algorithm failed to find a codeword up to wmax=24\n; # wmax=25 found cw of weight 25: [1 5 7 9 11 13 15 17 20 21 24 25 28 29 32 33 34 35 38 39 42 43 46 47 48]\n25\n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</si>
  <si>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wmax=13 found cw of weight 13: [1 2 4 6 7 10 18 19 23 33 38 41 44]\n13\n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</si>
  <si>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2 3 10 28 30 33 47 50]\n9\n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</si>
  <si>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wmax=17 found cw of weight 17: [1 2 3 5 8 16 21 22 26 32 37 38 42 46 47 48 50]\n17\n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</si>
  <si>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wmax=17 found cw of weight 17: [1 2 3 4 6 8 12 13 14 22 29 31 35 37 45 47 51]\n17\n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</si>
  <si>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wmax=9 found cw of weight 9: [1 2 3 7 14 18 37 41 53]\n9\n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</si>
  <si>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wmax=13 found cw of weight 13: [1 2 4 5 7 8 19 26 28 35 49 50 52]\n13\n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</si>
  <si>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wmax=17 found cw of weight 17: [1 2 3 4 6 11 12 18 20 25 26 33 39 41 44 45 48]\n17\n</t>
  </si>
  <si>
    <t>CCstart: -1</t>
  </si>
  <si>
    <t>outfile: /home/ucapmwe/dist-benchmark/results/codeTables-GF2_sample.txt-dist_m4ri_CC-20260107_140323.552304_85062422.txt</t>
  </si>
  <si>
    <t># wmax=99 found cw of weight 2: [0 1]\n2\n</t>
  </si>
  <si>
    <t># wmax=99 found cw of weight 3: [0 2 4]\n3\n</t>
  </si>
  <si>
    <t># wmax=99 found cw of weight 4: [0 1 3 6]\n4\n</t>
  </si>
  <si>
    <t># wmax=99 found cw of weight 4: [0 1 2 3]\n4\n</t>
  </si>
  <si>
    <t># wmax=99 found cw of weight 3: [0 1 8]\n3\n</t>
  </si>
  <si>
    <t># wmax=99 found cw of weight 5: [0 2 4 7 9]\n5\n</t>
  </si>
  <si>
    <t># wmax=99 found cw of weight 6: [0 1 4 5 8 9]\n6\n</t>
  </si>
  <si>
    <t># wmax=99 found cw of weight 6: [0 1 2 3 10 11]\n6\n</t>
  </si>
  <si>
    <t># wmax=99 found cw of weight 5: [0 2 5 8 10]\n5\n</t>
  </si>
  <si>
    <t># wmax=99 found cw of weight 5: [0 1 4 5 11]\n5\n</t>
  </si>
  <si>
    <t># wmax=99 found cw of weight 9: [0 1 2 3 7 9 12 15 19]\n9\n</t>
  </si>
  <si>
    <t># wmax=99 found cw of weight 10: [0 1 2 3 7 9 12 15 19 20]\n10\n</t>
  </si>
  <si>
    <t># wmax=99 found cw of weight 9: [0 1 3 4 5 6 10 13 15]\n9\n</t>
  </si>
  <si>
    <t># wmax=99 found cw of weight 13: [0 3 6 8 9 10 15 16 19 20 21 22 23]\n13\n</t>
  </si>
  <si>
    <t># wmax=99 found cw of weight 5: [0 1 8 13 24]\n5\n</t>
  </si>
  <si>
    <t># wmax=99 found cw of weight 9: [0 1 2 3 4 5 6 7 8]\n9\n</t>
  </si>
  <si>
    <t># wmax=99 found cw of weight 5: [0 1 11 15 25]\n5\n</t>
  </si>
  <si>
    <t># wmax=99 found cw of weight 13: [0 1 2 3 4 5 6 7 24 25 26 27 28]\n13\n</t>
  </si>
  <si>
    <t># wmax=99 found cw of weight 14: [0 1 2 3 4 5 6 7 24 25 26 27 28 29]\n14\n</t>
  </si>
  <si>
    <t># wmax=99 found cw of weight 17: [0 3 6 8 9 12 14 15 16 21 22 25 26 27 28 29 30]\n17\n</t>
  </si>
  <si>
    <t># wmax=99 found cw of weight 13: [0 1 2 3 5 10 13 15 16 19 20 24 30]\n13\n</t>
  </si>
  <si>
    <t># wmax=99 found cw of weight 7: [0 2 5 13 20 24 32]\n7\n</t>
  </si>
  <si>
    <t># wmax=99 found cw of weight 17: [0 4 5 10 11 14 15 16 17 20 21 26 27 30 31 32 33]\n17\n</t>
  </si>
  <si>
    <t># wmax=99 found cw of weight 7: [0 1 7 9 16 29 32]\n7\n</t>
  </si>
  <si>
    <t># wmax=99 found cw of weight 17: [0 1 2 3 5 6 8 10 11 12 16 19 20 23 27 29 35]\n17\n</t>
  </si>
  <si>
    <t># wmax=99 found cw of weight 17: [0 1 2 3 4 7 9 12 14 16 17 23 24 27 30 31 36]\n17\n</t>
  </si>
  <si>
    <t># wmax=99 found cw of weight 21: [0 3 6 8 9 12 14 15 18 20 21 22 27 28 31 32 33 34 35 36 37]\n21\n</t>
  </si>
  <si>
    <t># wmax=99 found cw of weight 17: [0 1 2 3 10 13 15 16 23 25 26 27 28 30 32 33 36]\n17\n</t>
  </si>
  <si>
    <t># wmax=99 found cw of weight 13: [0 1 4 6 10 13 16 18 31 34 36 37 38]\n13\n</t>
  </si>
  <si>
    <t># wmax=99 found cw of weight 17: [0 1 2 4 5 10 12 14 19 20 21 22 24 27 30 34 35]\n17\n</t>
  </si>
  <si>
    <t># wmax=99 found cw of weight 17: [0 1 2 4 5 6 10 11 12 16 20 29 30 31 37 38 41]\n17\n</t>
  </si>
  <si>
    <t># wmax=99 found cw of weight 9: [0 1 2 5 9 18 19 26 37]\n9\n</t>
  </si>
  <si>
    <t># wmax=99 found cw of weight 9: [0 3 4 8 9 16 31 32 37]\n9\n</t>
  </si>
  <si>
    <t># wmax=99 found cw of weight 9: [0 1 4 8 17 18 25 36 44]\n9\n</t>
  </si>
  <si>
    <t># wmax=99 found cw of weight 15: [0 1 2 3 4 9 13 20 25 26 29 36 41 42 45]\n15\n</t>
  </si>
  <si>
    <t># wmax=99 found cw of weight 9: [0 1 2 16 22 23 36 40 43]\n9\n</t>
  </si>
  <si>
    <t># wmax=99 found cw of weight 25: [0 4 7 9 10 13 14 16 18 19 24 25 28 29 30 31 34 35 40 41 44 45 46 47 48]\n25\n</t>
  </si>
  <si>
    <t># wmax=99 found cw of weight 13: [0 1 2 3 4 16 19 27 34 35 37 38 44]\n13\n</t>
  </si>
  <si>
    <t># wmax=99 found cw of weight 9: [0 1 2 11 22 33 42 46 50]\n9\n</t>
  </si>
  <si>
    <t># wmax=99 found cw of weight 17: [0 1 2 5 7 8 11 15 18 20 25 31 32 33 37 38 49]\n17\n</t>
  </si>
  <si>
    <t># wmax=99 found cw of weight 17: [0 2 3 4 11 12 13 14 21 22 23 25 26 30 36 43 49]\n17\n</t>
  </si>
  <si>
    <t># wmax=99 found cw of weight 9: [0 4 5 7 16 17 32 47 50]\n9\n</t>
  </si>
  <si>
    <t># wmax=99 found cw of weight 13: [0 1 2 3 16 18 23 30 31 37 38 41 45]\n13\n</t>
  </si>
  <si>
    <t>method: dist_m4ri_RW</t>
  </si>
  <si>
    <t>outfile: /home/ucapmwe/dist-benchmark/results/codeTables-GF2_sample.txt-dist_m4ri_RW-20251226_112320.056215_85062422.txt</t>
  </si>
  <si>
    <t># step=0 row=0 minW=6 found cw of W=2: [1 5]\n#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</si>
  <si>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minW=7 found cw of W=3: [2 3 6]\n# round=1000 of 10000 minW=3\n# round=2000 of 10000 minW=3\n# round=3000 of 10000 minW=3\n# round=4000 of 10000 minW=3\n# round=5000 of 10000 minW=3\n# round=6000 of 10000 minW=3\n# round=7000 of 10000 minW=3\n# round=8000 of 10000 minW=3\n# round=9000 of 10000 minW=3\n# round=10000 of 10000 minW=3\nRW algorithm upper bound for the distance d=3\n</t>
  </si>
  <si>
    <t># step=0 row=0 minW=8 found cw of W=4: [2 3 6 7]\n#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</si>
  <si>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minW=9 found cw of W=4: [2 4 6 8]\n#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</si>
  <si>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minW=10 found cw of W=4: [2 4 6 8]\n# step=0 row=1 minW=4 found cw of W=3: [1 3 8]\n# round=1000 of 10000 minW=3\n# round=2000 of 10000 minW=3\n# round=3000 of 10000 minW=3\n# round=4000 of 10000 minW=3\n# round=5000 of 10000 minW=3\n# round=6000 of 10000 minW=3\n# round=7000 of 10000 minW=3\n# round=8000 of 10000 minW=3\n# round=9000 of 10000 minW=3\n# round=10000 of 10000 minW=3\nRW algorithm upper bound for the distance d=3\n</t>
  </si>
  <si>
    <t># step=0 row=0 minW=11 found cw of W=6: [1 2 5 6 9 10]\n# step=0 row=1 minW=6 found cw of W=5: [1 3 5 8 10]\n#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</si>
  <si>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minW=12 found cw of W=6: [3 4 5 6 7 8]\n#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</si>
  <si>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minW=13 found cw of W=6: [1 4 6 8 9 11]\n#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</si>
  <si>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minW=14 found cw of W=7: [1 2 3 5 7 8 9]\n# step=0 row=1 minW=7 found cw of W=5: [1 2 5 6 12]\n#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</si>
  <si>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minW=15 found cw of W=6: [1 2 4 5 9 14]\n# step=0 row=1 minW=6 found cw of W=5: [2 3 6 7 13]\n#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</si>
  <si>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minW=16 found cw of W=5: [1 4 6 13 15]\n#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</si>
  <si>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minW=17 found cw of W=6: [1 2 3 4 7 15]\n# step=0 row=2 minW=6 found cw of W=5: [1 4 6 13 15]\n#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</si>
  <si>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minW=21 found cw of W=9: [1 3 4 5 6 9 11 16 17]\n#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</si>
  <si>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minW=22 found cw of W=12: [2 3 4 5 7 10 11 14 17 18 19 20]\n# step=0 row=1 minW=12 found cw of W=10: [4 5 6 7 8 10 12 16 19 20]\n#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</si>
  <si>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minW=23 found cw of W=10: [1 3 4 5 6 7 12 13 17 22]\n# step=0 row=3 minW=10 found cw of W=9: [2 4 5 8 13 14 15 19 22]\n#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</si>
  <si>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minW=24 found cw of W=10: [1 2 4 7 8 11 12 20 22 23]\n# step=0 row=1 minW=10 found cw of W=9: [2 3 5 6 7 10 13 15 18]\n#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</si>
  <si>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minW=25 found cw of W=15: [1 2 3 4 5 6 7 10 11 12 13 14 15 16 17]\n# step=0 row=1 minW=15 found cw of W=13: [1 4 7 9 10 11 16 17 20 21 22 23 24]\n#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</si>
  <si>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minW=26 found cw of W=6: [1 6 9 19 20 21]\n# step=0 row=9 minW=6 found cw of W=5: [10 13 18 19 23]\n#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</si>
  <si>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minW=27 found cw of W=9: [1 3 4 10 15 17 18 20 21]\n#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</si>
  <si>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minW=28 found cw of W=9: [1 2 3 6 15 19 21 22 26]\n#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</si>
  <si>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minW=29 found cw of W=9: [1 2 3 6 9 15 18 21 26]\n# step=0 row=1 minW=9 found cw of W=7: [2 5 6 7 15 18 26]\n# step=0 row=2 minW=7 found cw of W=6: [4 6 8 9 15 21]\n# step=0 row=5 minW=6 found cw of W=5: [3 9 12 15 26]\n#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</si>
  <si>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minW=30 found cw of W=14: [1 2 7 8 11 12 13 14 19 20 21 22 25 26]\n# step=0 row=5 minW=14 found cw of W=13: [9 10 11 12 13 14 15 16 25 26 27 28 29]\n#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</si>
  <si>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minW=31 found cw of W=15: [2 4 6 8 9 11 13 15 17 19 21 23 26 28 30]\n# step=0 row=1 minW=15 found cw of W=14: [1 2 7 8 11 12 13 14 19 20 21 22 25 26]\n#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</si>
  <si>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minW=32 found cw of W=18: [1 2 4 5 8 9 10 11 14 15 16 17 18 19 24 25 26 27]\n# step=0 row=1 minW=18 found cw of W=17: [3 6 7 8 9 12 13 14 15 20 21 22 23 24 25 26 27]\n#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</si>
  <si>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minW=33 found cw of W=15: [1 3 7 8 9 12 15 16 17 19 23 24 25 28 30]\n# step=0 row=1 minW=15 found cw of W=13: [2 4 8 9 15 17 18 23 25 26 28 29 31]\n#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</si>
  <si>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minW=34 found cw of W=8: [3 4 12 16 17 21 25 30]\n# step=0 row=5 minW=8 found cw of W=7: [4 10 21 25 29 30 33]\n# round=1000 of 10000 minW=7\n# round=2000 of 10000 minW=7\n# round=3000 of 10000 minW=7\n# round=4000 of 10000 minW=7\n# round=5000 of 10000 minW=7\n# round=6000 of 10000 minW=7\n# round=7000 of 10000 minW=7\n# round=8000 of 10000 minW=7\n# round=9000 of 10000 minW=7\n# round=10000 of 10000 minW=7\nRW algorithm upper bound for the distance d=7\n</t>
  </si>
  <si>
    <t># step=0 row=0 minW=35 found cw of W=18: [1 2 5 6 7 8 17 18 19 20 25 26 27 28 29 30 31 32]\n# step=0 row=3 minW=18 found cw of W=17: [3 9 10 11 12 17 18 19 20 21 22 23 24 29 30 31 32]\n#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</si>
  <si>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minW=36 found cw of W=8: [1 2 4 13 25 30 33 35]\n# step=0 row=6 minW=8 found cw of W=7: [4 9 13 14 22 25 33]\n# round=1000 of 10000 minW=7\n# round=2000 of 10000 minW=7\n# round=3000 of 10000 minW=7\n# round=4000 of 10000 minW=7\n# round=5000 of 10000 minW=7\n# round=6000 of 10000 minW=7\n# round=7000 of 10000 minW=7\n# round=8000 of 10000 minW=7\n# round=9000 of 10000 minW=7\n# round=10000 of 10000 minW=7\nRW algorithm upper bound for the distance d=7\n</t>
  </si>
  <si>
    <t># step=0 row=0 minW=37 found cw of W=18: [1 3 4 6 8 9 10 11 14 20 22 23 24 25 29 31 33 36]\n# step=0 row=2 minW=18 found cw of W=17: [2 7 8 10 12 13 14 17 21 22 23 25 28 29 30 31 33]\n#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</si>
  <si>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minW=38 found cw of W=17: [1 2 3 4 6 7 9 11 12 13 17 20 21 24 28 30 36]\n#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</si>
  <si>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minW=39 found cw of W=21: [2 5 7 8 11 13 14 17 19 20 24 25 28 29 30 31 34 35 36 37 38]\n# round=1000 of 10000 minW=21\n# round=2000 of 10000 minW=21\n# round=3000 of 10000 minW=21\n# round=4000 of 10000 minW=21\n# round=5000 of 10000 minW=21\n# round=6000 of 10000 minW=21\n# round=7000 of 10000 minW=21\n# round=8000 of 10000 minW=21\n# round=9000 of 10000 minW=21\n# round=10000 of 10000 minW=21\nRW algorithm upper bound for the distance d=21\n</t>
  </si>
  <si>
    <t># step=0 row=0 minW=40 found cw of W=18: [1 2 4 5 9 10 13 14 15 17 19 21 22 24 28 29 33 36]\n# step=0 row=1 minW=18 found cw of W=17: [1 5 6 8 11 15 17 18 21 23 24 26 28 29 36 38 39]\n#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</si>
  <si>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minW=41 found cw of W=16: [1 2 3 4 6 9 11 14 15 18 28 29 31 32 35 39]\n# step=0 row=4 minW=16 found cw of W=14: [4 13 15 16 18 19 24 25 28 29 34 35 39 40]\n# step=0 row=9 minW=14 found cw of W=13: [3 4 7 8 10 13 15 24 27 32 33 35 40]\n#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</si>
  <si>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minW=42 found cw of W=22: [2 3 5 6 7 9 10 12 15 17 18 19 22 25 27 28 30 31 32 33 36 37]\n# step=0 row=1 minW=22 found cw of W=19: [1 2 4 6 8 10 12 14 16 17 20 22 24 25 26 32 36 37 41]\n# step=0 row=2 minW=19 found cw of W=18: [1 3 6 7 9 11 12 16 18 20 22 23 24 25 30 34 36 38]\n# step=0 row=4 minW=18 found cw of W=17: [3 6 10 12 14 15 18 20 23 26 28 29 30 31 36 37 38]\n#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</si>
  <si>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minW=43 found cw of W=20: [2 3 4 5 7 8 9 17 18 22 23 24 26 30 33 34 36 37 38 40]\n# step=0 row=3 minW=20 found cw of W=18: [1 2 3 7 9 10 11 14 15 17 19 22 25 29 36 37 38 40]\n# step=0 row=4 minW=18 found cw of W=17: [1 3 4 7 9 10 12 13 15 17 18 24 27 31 33 34 36]\n#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</si>
  <si>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minW=44 found cw of W=11: [2 3 4 12 15 20 23 24 32 33 35]\n# step=0 row=1 minW=11 found cw of W=10: [2 5 6 12 18 22 25 32 34 37]\n# step=0 row=12 minW=10 found cw of W=9: [12 20 23 25 28 33 34 35 37]\n#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</si>
  <si>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minW=45 found cw of W=14: [1 3 8 9 12 16 21 23 25 26 31 37 43 44]\n# step=0 row=1 minW=14 found cw of W=10: [4 10 12 21 23 25 27 28 31 40]\n# step=1 row=7 minW=10 found cw of W=9: [2 3 6 13 14 18 22 26 33]\n#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</si>
  <si>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minW=46 found cw of W=12: [1 4 6 7 9 10 20 23 31 32 33 35]\n# step=0 row=3 minW=12 found cw of W=11: [4 5 6 12 19 20 22 26 31 32 35]\n# step=0 row=7 minW=11 found cw of W=10: [6 7 10 11 16 19 20 23 26 32]\n# step=0 row=8 minW=10 found cw of W=9: [6 9 10 18 19 23 29 33 35]\n#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</si>
  <si>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minW=47 found cw of W=16: [1 2 6 8 11 13 14 15 16 24 25 26 32 37 40 43]\n# step=1 row=3 minW=16 found cw of W=15: [1 2 5 9 10 13 14 17 19 29 30 31 33 36 46]\n#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</si>
  <si>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 step=0 row=0 minW=48 found cw of W=10: [1 4 20 21 27 30 38 45 46 47]\n# step=0 row=2 minW=10 found cw of W=9: [7 11 14 15 16 30 45 46 47]\n#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</si>
  <si>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minW=49 found cw of W=14: [1 2 9 14 19 23 27 31 32 34 35 39 42 44]\n# step=0 row=1 minW=14 found cw of W=9: [4 15 22 27 31 32 35 39 44]\n#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</si>
  <si>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minW=50 found cw of W=27: [2 3 4 6 7 9 12 14 15 17 21 22 23 24 27 28 33 34 35 36 41 42 45 46 47 48 49]\n# step=0 row=1 minW=27 found cw of W=25: [1 5 8 10 11 14 15 17 19 20 25 26 29 30 31 32 35 36 41 42 45 46 47 48 49]\n# round=1000 of 10000 minW=25\n# round=2000 of 10000 minW=25\n# round=3000 of 10000 minW=25\n# round=4000 of 10000 minW=25\n# round=5000 of 10000 minW=25\n# round=6000 of 10000 minW=25\n# round=7000 of 10000 minW=25\n# round=8000 of 10000 minW=25\n# round=9000 of 10000 minW=25\n# round=10000 of 10000 minW=25\nRW algorithm upper bound for the distance d=25\n</t>
  </si>
  <si>
    <t># step=0 row=0 minW=51 found cw of W=14: [2 9 13 14 18 26 27 32 35 36 44 47 48 49]\n# step=0 row=7 minW=14 found cw of W=13: [1 5 7 9 13 14 17 24 26 35 39 47 48]\n#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</si>
  <si>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minW=52 found cw of W=12: [2 3 5 9 10 17 20 24 33 36 37 38]\n# step=0 row=1 minW=12 found cw of W=10: [1 4 9 18 26 33 35 36 37 39]\n# step=0 row=21 minW=10 found cw of W=9: [9 12 33 35 37 39 42 45 51]\n#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</si>
  <si>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minW=53 found cw of W=22: [3 4 8 11 14 16 18 20 21 23 24 25 30 31 33 34 35 42 46 48 51 52]\n# step=0 row=1 minW=22 found cw of W=19: [2 3 4 5 6 7 9 12 15 20 28 29 30 33 34 35 43 48 51]\n# step=0 row=2 minW=19 found cw of W=18: [2 3 10 11 14 16 17 28 29 31 34 35 42 43 44 45 48 51]\n# step=0 row=14 minW=18 found cw of W=17: [2 3 4 13 14 16 18 20 21 28 30 33 39 43 45 48 50]\n#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</si>
  <si>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minW=54 found cw of W=19: [1 3 4 16 20 22 23 24 26 27 29 36 40 41 42 46 47 50 51]\n# step=0 row=2 minW=19 found cw of W=18: [5 6 7 10 11 19 20 22 23 24 25 29 33 36 38 40 46 51]\n# step=0 row=4 minW=18 found cw of W=17: [4 6 10 12 14 15 19 20 22 27 28 40 44 45 46 51 52]\n#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</si>
  <si>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minW=55 found cw of W=9: [1 2 6 10 14 26 34 48 51]\n#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</si>
  <si>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row=0 minW=56 found cw of W=17: [1 5 6 9 17 19 21 22 23 24 27 35 37 44 51 52 53]\n# step=0 row=1 minW=17 found cw of W=13: [3 6 7 12 23 26 27 29 34 38 44 51 52]\n#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</si>
  <si>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minW=57 found cw of W=19: [4 5 7 8 9 14 18 20 26 31 33 34 43 45 49 51 52 53 55]\n# step=0 row=6 minW=19 found cw of W=17: [2 5 6 10 12 13 20 23 27 30 31 36 45 47 49 52 55]\n#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</si>
  <si>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minW=58 found cw of W=22: [1 5 6 14 15 16 22 24 25 32 33 35 37 38 39 42 44 48 50 52 53 54]\n# step=0 row=1 minW=22 found cw of W=21: [3 4 9 12 17 21 23 27 31 32 33 35 39 42 48 51 52 53 54 56 57]\n# step=0 row=2 minW=21 found cw of W=19: [1 3 8 10 16 21 22 23 24 25 29 31 33 35 39 48 51 52 53]\n# step=0 row=8 minW=19 found cw of W=17: [1 4 8 13 15 22 28 29 31 36 42 44 45 48 52 56 57]\n#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</si>
  <si>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minW=59 found cw of W=32: [1 4 7 9 10 13 15 16 19 21 22 25 27 28 31 33 34 37 39 40 41 46 47 50 51 52 53 54 55 56 57 58]\n# round=1000 of 10000 minW=32\n#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</si>
  <si>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minW=60 found cw of W=27: [1 2 4 6 7 8 9 11 15 16 17 18 20 21 27 31 32 34 36 40 43 45 47 49 52 56 59]\n# step=0 row=1 minW=27 found cw of W=21: [3 6 10 15 16 18 20 21 30 33 34 36 37 40 41 42 43 45 52 55 59]\n# step=0 row=4 minW=21 found cw of W=17: [2 9 10 13 18 27 30 34 37 39 41 42 43 47 49 51 52]\n#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</si>
  <si>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minW=61 found cw of W=23: [2 3 4 5 6 7 11 18 19 24 26 30 31 32 33 40 43 44 45 49 50 56 59]\n# step=0 row=1 minW=23 found cw of W=21: [1 4 9 10 17 18 20 21 23 28 29 30 31 33 34 37 44 45 48 50 59]\n# step=0 row=2 minW=21 found cw of W=18: [2 4 8 12 13 17 21 29 31 32 33 40 43 47 48 49 56 59]\n# step=1 row=7 minW=18 found cw of W=17: [5 10 11 16 18 19 20 22 25 28 33 34 46 48 51 53 60]\n#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</si>
  <si>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minW=62 found cw of W=22: [1 2 4 8 10 11 20 22 23 24 26 30 33 38 39 44 47 49 50 54 56 58]\n# step=0 row=3 minW=22 found cw of W=20: [7 8 9 10 11 15 16 21 23 24 28 29 31 38 40 46 47 51 55 59]\n# step=0 row=4 minW=20 found cw of W=19: [6 8 10 11 12 13 20 22 26 29 31 33 36 39 44 46 49 53 59]\n# round=1000 of 10000 minW=19\n# round=2000 of 10000 minW=19\n# round=3000 of 10000 minW=19\n# round=4000 of 10000 minW=19\n# round=5000 of 10000 minW=19\n# round=6000 of 10000 minW=19\n# round=7000 of 10000 minW=19\n# round=8000 of 10000 minW=19\n# round=9000 of 10000 minW=19\n# round=10000 of 10000 minW=19\nRW algorithm upper bound for the distance d=19\n</t>
  </si>
  <si>
    <t># step=0 row=0 minW=63 found cw of W=27: [1 6 8 13 16 20 27 28 29 30 31 33 34 35 36 37 42 44 48 51 53 55 56 57 59 60 61]\n# step=0 row=1 minW=27 found cw of W=20: [2 4 5 6 8 10 27 28 30 31 33 36 41 42 47 54 55 56 60 61]\n# step=0 row=3 minW=20 found cw of W=19: [5 7 8 14 27 29 31 33 34 35 36 39 42 49 51 54 58 60 61]\n# step=0 row=4 minW=19 found cw of W=17: [6 9 10 13 21 29 30 34 38 40 41 49 53 55 57 58 61]\n#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</si>
  <si>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minW=64 found cw of W=23: [1 2 4 5 7 8 9 10 16 17 21 27 30 32 33 36 38 43 44 46 60 62 63]\n# step=0 row=2 minW=23 found cw of W=16: [4 8 11 12 15 17 19 23 28 29 33 41 42 43 46 54]\n#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</si>
  <si>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minW=65 found cw of W=28: [4 9 10 11 12 13 19 20 23 25 26 28 33 35 36 38 39 40 41 45 48 49 50 52 54 55 62 63]\n# step=0 row=1 minW=28 found cw of W=22: [1 3 5 10 11 12 16 19 26 28 36 39 45 46 47 48 49 50 52 55 58 62]\n# step=0 row=3 minW=22 found cw of W=20: [1 3 7 9 10 12 15 20 25 30 35 38 41 42 46 48 50 54 55 62]\n# step=0 row=4 minW=20 found cw of W=17: [1 2 3 10 12 13 14 16 17 36 37 39 40 45 46 48 52]\n# step=0 row=12 minW=17 found cw of W=16: [1 11 20 23 30 32 35 37 38 40 41 42 45 46 55 58]\n#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</si>
  <si>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minW=66 found cw of W=14: [1 5 6 7 12 15 24 31 33 48 49 50 53 62]\n# step=2 row=22 minW=14 found cw of W=13: [2 5 13 14 16 25 29 30 36 39 47 49 58]\n#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</si>
  <si>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minW=67 found cw of W=22: [1 5 7 9 11 13 16 22 23 28 30 33 35 37 40 46 47 48 49 52 62 63]\n# step=0 row=1 minW=22 found cw of W=19: [2 8 9 11 16 30 32 33 35 36 40 46 47 52 54 55 56 59 64]\n# step=0 row=2 minW=19 found cw of W=18: [3 5 7 10 11 17 18 23 35 37 46 48 49 52 54 55 59 62]\n# step=0 row=5 minW=18 found cw of W=15: [5 7 13 15 16 18 22 36 47 48 56 59 62 63 64]\n# step=0 row=16 minW=15 found cw of W=14: [8 9 11 18 22 23 28 32 35 38 52 54 55 64]\n# step=2 row=26 minW=14 found cw of W=13: [4 8 10 22 35 49 54 55 60 61 62 64 65]\n#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</si>
  <si>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minW=68 found cw of W=18: [1 3 8 10 15 18 22 23 25 35 36 41 42 45 48 59 63 66]\n# step=0 row=3 minW=18 found cw of W=17: [3 5 7 9 12 15 17 20 23 29 31 34 35 41 42 49 55]\n# step=0 row=6 minW=17 found cw of W=15: [3 5 8 10 14 21 25 29 34 35 40 49 50 55 59]\n# step=0 row=13 minW=15 found cw of W=14: [6 9 10 12 15 17 21 22 29 32 41 56 58 63]\n# step=0 row=31 minW=14 found cw of W=13: [8 10 12 15 21 22 23 42 55 58 59 65 66]\n#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</si>
  <si>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minW=69 found cw of W=19: [1 5 6 8 11 12 13 17 23 26 27 33 36 41 56 60 61 62 64]\n# step=0 row=3 minW=19 found cw of W=18: [2 4 6 15 17 26 27 30 33 40 48 50 53 56 59 60 62 64]\n# step=0 row=4 minW=18 found cw of W=14: [1 2 10 11 16 19 44 50 53 54 56 59 61 64]\n# step=2 row=20 minW=14 found cw of W=13: [1 3 11 14 24 33 34 42 43 44 48 54 57]\n#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</si>
  <si>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minW=70 found cw of W=19: [1 4 6 8 9 10 11 17 19 22 23 35 36 40 42 45 51 60 61]\n# step=0 row=2 minW=19 found cw of W=14: [3 4 9 11 18 22 29 41 49 51 55 56 60 61]\n# step=0 row=27 minW=14 found cw of W=13: [10 18 22 29 32 35 36 40 42 51 58 59 63]\n#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</si>
  <si>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minW=71 found cw of W=20: [1 2 3 6 7 10 21 22 24 28 33 36 38 39 40 47 62 64 66 69]\n# step=0 row=1 minW=20 found cw of W=16: [2 4 7 8 26 31 33 37 38 43 45 47 50 60 65 69]\n# step=0 row=5 minW=16 found cw of W=14: [6 8 10 12 14 22 26 31 33 36 45 63 65 66]\n# step=0 row=12 minW=14 found cw of W=13: [1 6 7 8 21 23 24 31 36 39 43 47 50]\n#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</si>
  <si>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minW=72 found cw of W=32: [1 4 5 7 8 9 14 16 18 24 31 35 36 37 38 42 43 44 46 48 53 54 56 60 61 62 64 65 67 68 69 70]\n# step=0 row=4 minW=32 found cw of W=31: [1 2 3 4 6 11 13 16 18 24 25 26 28 29 33 36 41 42 43 46 48 49 53 55 58 59 60 61 62 65 68]\n# step=0 row=6 minW=31 found cw of W=30: [1 3 6 8 12 13 19 24 27 28 29 31 32 33 35 37 38 39 41 43 46 47 48 49 56 62 65 66 67 68]\n# step=2 row=1 minW=30 found cw of W=29: [2 5 7 8 10 13 14 15 17 18 24 26 34 35 36 38 39 43 47 51 56 58 59 60 62 63 69 70 71]\n# round=1000 of 10000 minW=29\n# round=2000 of 10000 minW=29\n# round=3000 of 10000 minW=29\n# round=4000 of 10000 minW=29\n# round=5000 of 10000 minW=29\n# round=6000 of 10000 minW=29\n# round=7000 of 10000 minW=29\n# round=8000 of 10000 minW=29\n# round=9000 of 10000 minW=29\n# round=10000 of 10000 minW=29\nRW algorithm upper bound for the distance d=29\n</t>
  </si>
  <si>
    <t># step=0 row=0 minW=73 found cw of W=14: [1 2 4 16 19 24 37 40 47 52 56 57 60 62]\n# step=8 row=9 minW=14 found cw of W=13: [14 21 26 30 32 35 41 48 50 53 66 67 70]\n#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</si>
  <si>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minW=74 found cw of W=21: [1 2 3 6 7 9 10 12 15 17 23 33 37 47 48 63 65 67 68 71 72]\n# step=0 row=1 minW=21 found cw of W=16: [2 4 8 13 14 15 22 31 45 46 53 55 67 68 69 73]\n# step=0 row=19 minW=16 found cw of W=14: [1 8 9 10 12 15 17 23 31 40 48 63 68 73]\n# step=1 row=36 minW=14 found cw of W=13: [10 12 21 23 27 31 37 50 61 62 64 67 70]\n#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</si>
  <si>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minW=75 found cw of W=35: [1 2 4 7 8 9 10 11 12 13 19 20 23 26 30 33 36 37 39 45 50 51 53 54 55 58 61 63 65 66 67 68 70 73 74]\n# step=0 row=1 minW=35 found cw of W=32: [3 6 7 11 13 14 15 17 19 20 21 24 27 28 29 31 34 37 38 41 46 47 48 52 53 56 57 60 63 65 69 74]\n# round=1000 of 10000 minW=32\n#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</si>
  <si>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minW=76 found cw of W=27: [1 2 11 13 17 18 20 25 31 33 36 41 43 44 51 52 57 59 60 65 66 67 70 72 73 74 75]\n# step=0 row=1 minW=27 found cw of W=24: [1 3 5 6 11 13 15 17 18 23 27 29 31 33 36 37 39 43 59 60 65 67 68 73]\n# step=0 row=3 minW=24 found cw of W=20: [3 4 6 8 10 15 18 30 31 37 39 43 52 55 57 58 65 67 68 73]\n# step=3 row=15 minW=20 found cw of W=19: [1 4 5 13 19 20 22 26 30 38 40 47 55 58 60 67 68 74 75]\n# round=1000 of 10000 minW=19\n# round=2000 of 10000 minW=19\n# round=3000 of 10000 minW=19\n# round=4000 of 10000 minW=19\n# round=5000 of 10000 minW=19\n# round=6000 of 10000 minW=19\n# round=7000 of 10000 minW=19\n# round=8000 of 10000 minW=19\n# round=9000 of 10000 minW=19\n# round=10000 of 10000 minW=19\nRW algorithm upper bound for the distance d=19\n</t>
  </si>
  <si>
    <t># step=0 row=0 minW=77 found cw of W=20: [1 2 5 15 28 30 31 32 40 41 46 47 52 53 58 60 64 65 69 73]\n# step=0 row=1 minW=20 found cw of W=18: [2 3 4 7 8 10 17 19 23 28 29 38 40 47 59 60 64 73]\n# step=0 row=4 minW=18 found cw of W=16: [2 3 8 11 13 19 28 36 38 39 58 59 63 64 69 73]\n# step=0 row=28 minW=16 found cw of W=14: [3 8 10 15 19 23 28 30 33 38 46 47 55 59]\n# step=2 row=39 minW=14 found cw of W=12: [1 3 8 15 21 32 34 35 39 55 59 76]\n#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</si>
  <si>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minW=78 found cw of W=22: [1 2 3 8 18 19 22 25 27 29 30 36 44 48 49 50 54 62 67 68 69 71]\n# step=0 row=1 minW=22 found cw of W=18: [3 4 5 7 14 18 19 27 43 48 49 50 54 62 64 68 69 70]\n# step=0 row=3 minW=18 found cw of W=15: [9 10 19 22 26 29 30 37 45 54 61 62 66 70 71]\n# step=0 row=26 minW=15 found cw of W=14: [2 3 7 8 10 18 27 37 45 48 50 51 53 68]\n# step=3 row=16 minW=14 found cw of W=13: [1 8 10 11 21 27 34 41 51 58 60 65 69]\n#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</si>
  <si>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minW=79 found cw of W=24: [1 3 4 8 10 11 12 17 20 22 27 28 30 33 36 38 39 40 44 47 54 58 64 72]\n# step=0 row=3 minW=24 found cw of W=23: [3 5 12 13 14 16 20 24 27 28 34 40 42 43 45 47 54 59 64 72 74 75 76]\n# step=0 row=12 minW=23 found cw of W=20: [5 7 10 22 23 27 32 35 36 38 40 42 44 45 47 49 50 64 66 72]\n# step=0 row=18 minW=20 found cw of W=19: [4 8 10 14 17 23 29 38 42 44 53 58 59 60 62 72 74 75 76]\n# round=1000 of 10000 minW=19\n# round=2000 of 10000 minW=19\n# round=3000 of 10000 minW=19\n# round=4000 of 10000 minW=19\n# round=5000 of 10000 minW=19\n# round=6000 of 10000 minW=19\n# round=7000 of 10000 minW=19\n# round=8000 of 10000 minW=19\n# round=9000 of 10000 minW=19\n# round=10000 of 10000 minW=19\nRW algorithm upper bound for the distance d=19\n</t>
  </si>
  <si>
    <t># step=0 row=0 minW=80 found cw of W=31: [1 3 4 13 15 17 19 20 23 27 28 31 34 36 38 40 43 49 50 52 53 54 56 66 69 71 72 73 74 76 79]\n# step=0 row=1 minW=31 found cw of W=27: [1 3 5 6 11 13 14 20 25 27 30 32 33 35 39 43 45 47 48 52 63 64 72 74 76 77 79]\n# step=0 row=2 minW=27 found cw of W=24: [1 2 5 7 16 17 22 25 33 34 37 38 40 45 47 48 55 63 64 66 68 69 72 74]\n#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</si>
  <si>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minW=81 found cw of W=15: [1 9 11 13 15 17 18 23 28 42 48 50 64 70 79]\n# step=0 row=10 minW=15 found cw of W=14: [3 4 9 18 23 24 27 28 42 48 50 62 63 79]\n# step=0 row=22 minW=14 found cw of W=13: [3 4 9 11 14 18 41 47 48 57 63 68 77]\n# step=0 row=35 minW=13 found cw of W=11: [2 6 14 32 48 57 61 63 65 77 79]\n# round=1000 of 10000 minW=11\n# round=2000 of 10000 minW=11\n# round=3000 of 10000 minW=11\n# round=4000 of 10000 minW=11\n# round=5000 of 10000 minW=11\n# round=6000 of 10000 minW=11\n# round=7000 of 10000 minW=11\n# round=8000 of 10000 minW=11\n# round=9000 of 10000 minW=11\n# round=10000 of 10000 minW=11\nRW algorithm upper bound for the distance d=11\n</t>
  </si>
  <si>
    <t># step=0 row=0 minW=82 found cw of W=15: [1 5 12 27 32 33 35 51 58 60 65 68 74 75 80]\n# step=0 row=17 minW=15 found cw of W=12: [2 5 9 15 30 33 34 48 60 68 78 80]\n# step=0 row=30 minW=12 found cw of W=11: [5 9 12 13 15 48 49 50 53 64 68]\n# round=1000 of 10000 minW=11\n# round=2000 of 10000 minW=11\n# round=3000 of 10000 minW=11\n# round=4000 of 10000 minW=11\n# round=5000 of 10000 minW=11\n# round=6000 of 10000 minW=11\n# round=7000 of 10000 minW=11\n# round=8000 of 10000 minW=11\n# round=9000 of 10000 minW=11\n# round=10000 of 10000 minW=11\nRW algorithm upper bound for the distance d=11\n</t>
  </si>
  <si>
    <t># step=0 row=0 minW=83 found cw of W=19: [2 3 11 13 15 17 19 37 38 40 46 59 63 64 66 70 72 76 81]\n# step=0 row=3 minW=19 found cw of W=17: [5 7 11 17 18 23 32 34 36 38 40 49 56 61 69 72 80]\n# step=0 row=9 minW=17 found cw of W=15: [1 3 16 18 19 26 40 43 46 47 49 67 68 76 80]\n# step=0 row=28 minW=15 found cw of W=14: [11 13 19 23 32 34 36 53 56 59 61 66 68 81]\n# step=6 row=17 minW=14 found cw of W=13: [4 10 12 17 22 28 45 47 49 53 58 75 80]\n#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</si>
  <si>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minW=84 found cw of W=19: [1 2 4 7 12 16 23 24 27 35 47 55 60 61 62 65 70 71 83]\n# step=0 row=9 minW=19 found cw of W=18: [5 9 14 19 24 25 27 32 33 35 38 40 46 47 49 67 70 76]\n# step=1 row=3 minW=18 found cw of W=17: [8 9 11 12 14 23 26 29 45 55 57 62 64 76 78 79 83]\n# step=1 row=27 minW=17 found cw of W=16: [8 9 12 21 22 23 29 30 32 34 51 54 55 61 69 76]\n# step=12 row=6 minW=16 found cw of W=15: [8 9 15 22 25 28 32 40 41 71 72 76 78 79 80]\n#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</si>
  <si>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 step=0 row=0 minW=85 found cw of W=19: [1 11 17 22 27 28 38 44 47 48 50 55 59 65 66 67 71 80 82]\n# step=0 row=3 minW=19 found cw of W=18: [5 7 9 13 16 21 32 36 38 40 41 42 45 48 56 66 74 80]\n# step=0 row=4 minW=18 found cw of W=17: [6 8 14 17 21 22 23 28 32 34 36 41 42 57 66 67 80]\n# step=1 row=26 minW=17 found cw of W=16: [1 4 10 13 19 25 39 41 42 51 53 60 64 78 81 83]\n# step=5 row=41 minW=16 found cw of W=15: [1 2 4 5 6 22 40 47 55 68 69 75 78 81 84]\n#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</si>
  <si>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 step=0 row=0 minW=86 found cw of W=35: [2 3 4 5 6 21 25 26 31 35 36 38 41 42 43 44 45 46 48 59 63 65 66 67 68 72 73 75 78 79 80 81 83 84 85]\n# step=0 row=1 minW=35 found cw of W=32: [1 3 7 8 15 16 17 20 23 24 30 31 33 37 38 44 45 46 47 50 58 62 63 66 67 71 72 73 74 75 81 84]\n# step=0 row=2 minW=32 found cw of W=29: [2 3 6 7 9 16 18 20 21 25 27 30 31 33 35 36 38 40 41 49 58 60 62 63 66 68 69 81 82]\n# step=0 row=13 minW=29 found cw of W=26: [2 11 13 18 20 25 27 31 35 39 45 46 49 52 60 62 65 67 72 73 74 75 79 80 81 84]\n# step=0 row=22 minW=26 found cw of W=25: [1 3 6 11 15 20 26 27 30 33 35 38 41 42 43 47 64 67 68 69 71 77 78 81 83]\n# step=5 row=17 minW=25 found cw of W=24: [1 5 8 9 15 25 33 42 43 48 50 52 55 56 57 63 68 69 70 73 76 79 80 85]\n#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</si>
  <si>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minW=87 found cw of W=42: [3 4 5 6 7 8 9 10 11 12 17 20 22 23 24 26 32 33 36 37 38 41 43 44 45 48 50 51 53 55 57 58 59 66 67 68 74 76 78 81 85 86]\n# step=0 row=1 minW=42 found cw of W=32: [1 2 5 6 7 9 10 12 13 18 20 22 29 31 32 36 38 40 43 45 50 53 55 59 62 67 75 76 77 78 85 86]\n# step=0 row=2 minW=32 found cw of W=31: [1 2 3 6 7 9 14 15 16 20 22 23 24 29 36 37 38 44 48 50 51 53 55 57 59 65 66 67 74 76 82]\n# step=0 row=6 minW=31 found cw of W=27: [4 5 6 7 12 15 17 19 20 21 23 29 30 33 41 43 46 57 58 62 64 65 70 76 80 81 82]\n# step=0 row=9 minW=27 found cw of W=26: [4 5 8 14 21 22 26 32 33 35 36 41 42 46 51 52 53 62 65 68 74 75 76 78 82 85]\n# step=1 row=0 minW=26 found cw of W=25: [2 3 4 9 10 20 22 23 26 30 32 34 37 42 45 49 50 60 64 65 70 71 82 83 85]\n# round=1000 of 10000 minW=25\n# round=2000 of 10000 minW=25\n# round=3000 of 10000 minW=25\n# round=4000 of 10000 minW=25\n# round=5000 of 10000 minW=25\n# round=6000 of 10000 minW=25\n# round=7000 of 10000 minW=25\n# round=8000 of 10000 minW=25\n# round=9000 of 10000 minW=25\n# round=10000 of 10000 minW=25\nRW algorithm upper bound for the distance d=25\n</t>
  </si>
  <si>
    <t># step=0 row=0 minW=88 found cw of W=27: [1 3 4 5 6 10 12 15 16 17 22 29 32 33 35 37 49 50 55 61 63 71 73 74 79 83 87]\n# step=0 row=1 minW=27 found cw of W=26: [2 3 4 5 7 16 17 19 20 22 25 27 29 32 33 35 36 40 43 46 52 59 61 63 74 87]\n# step=0 row=2 minW=26 found cw of W=23: [3 4 6 8 12 15 17 20 22 32 33 35 46 50 52 55 59 61 62 67 74 79 87]\n# step=0 row=3 minW=23 found cw of W=19: [2 4 5 9 10 15 26 32 37 46 52 54 55 59 62 73 74 79 83]\n# step=0 row=25 minW=19 found cw of W=18: [3 4 5 16 19 25 29 35 37 40 43 50 57 62 63 73 74 83]\n# step=0 row=32 minW=18 found cw of W=17: [2 3 10 16 17 19 20 22 26 32 35 36 37 49 69 74 87]\n# step=0 row=36 minW=17 found cw of W=16: [3 6 10 15 19 22 36 43 46 49 52 55 62 76 79 83]\n# step=3 row=37 minW=16 found cw of W=15: [4 10 23 24 36 39 49 51 52 55 56 61 68 69 79]\n#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</si>
  <si>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 step=0 row=0 minW=89 found cw of W=22: [1 3 10 15 17 28 33 36 42 47 48 53 55 57 59 60 63 64 66 73 82 86]\n# step=0 row=3 minW=22 found cw of W=21: [1 7 14 17 22 28 31 42 44 46 48 52 53 54 55 57 64 72 73 78 86]\n# step=0 row=5 minW=21 found cw of W=16: [9 13 17 18 22 31 36 40 42 44 46 54 64 68 78 87]\n# step=0 row=20 minW=16 found cw of W=14: [6 10 13 22 31 37 42 44 47 59 64 72 78 87]\n# step=6 row=33 minW=14 found cw of W=13: [20 28 31 41 43 48 53 56 57 62 71 83 87]\n#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</si>
  <si>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minW=90 found cw of W=34: [2 3 7 8 16 17 18 21 25 26 27 28 29 30 31 37 38 40 41 43 49 56 58 59 61 64 68 69 71 72 79 81 87 89]\n# step=0 row=2 minW=34 found cw of W=29: [5 8 9 12 17 21 25 26 28 30 31 38 41 43 49 50 54 56 58 60 63 69 72 75 78 81 82 87 88]\n# step=0 row=4 minW=29 found cw of W=26: [1 6 8 9 12 13 14 17 23 28 37 38 41 43 52 56 60 61 62 69 72 75 78 79 80 82]\n# step=0 row=11 minW=26 found cw of W=22: [2 6 7 17 23 26 27 29 30 33 34 38 54 57 61 62 69 78 81 87 88 89]\n# step=1 row=16 minW=22 found cw of W=21: [10 13 14 16 19 24 36 39 47 52 57 61 62 63 64 70 76 82 84 85 89]\n# round=1000 of 10000 minW=21\n# round=2000 of 10000 minW=21\n# round=3000 of 10000 minW=21\n# round=4000 of 10000 minW=21\n# round=5000 of 10000 minW=21\n# round=6000 of 10000 minW=21\n# round=7000 of 10000 minW=21\n# round=8000 of 10000 minW=21\n# round=9000 of 10000 minW=21\n# round=10000 of 10000 minW=21\nRW algorithm upper bound for the distance d=21\n</t>
  </si>
  <si>
    <t># step=0 row=0 minW=91 found cw of W=26: [1 2 3 4 10 13 16 20 22 23 26 32 35 42 43 44 46 53 54 63 64 69 73 79 88 89]\n# step=0 row=7 minW=26 found cw of W=24: [1 3 4 7 10 17 20 22 27 30 41 42 44 45 55 59 60 62 69 70 77 79 84 85]\n# step=0 row=9 minW=24 found cw of W=23: [3 4 8 13 15 20 29 30 32 42 43 54 60 62 63 64 67 72 74 78 84 88 89]\n# step=0 row=23 minW=23 found cw of W=21: [3 8 11 13 14 17 21 25 33 35 41 43 44 55 58 61 62 63 67 69 74]\n# round=1000 of 10000 minW=21\n# round=2000 of 10000 minW=21\n# round=3000 of 10000 minW=21\n# round=4000 of 10000 minW=21\n# round=5000 of 10000 minW=21\n# round=6000 of 10000 minW=21\n# round=7000 of 10000 minW=21\n# round=8000 of 10000 minW=21\n# round=9000 of 10000 minW=21\n# round=10000 of 10000 minW=21\nRW algorithm upper bound for the distance d=21\n</t>
  </si>
  <si>
    <t># step=0 row=0 minW=92 found cw of W=30: [2 4 10 11 12 13 18 19 27 28 29 31 32 37 38 39 40 44 49 53 57 59 63 67 69 71 74 75 82 90]\n# step=0 row=1 minW=30 found cw of W=27: [3 6 7 9 10 12 18 19 23 25 32 33 40 44 46 47 52 55 58 60 66 67 70 78 82 83 88]\n# step=2 row=11 minW=27 found cw of W=26: [4 10 13 14 16 18 19 24 32 37 43 47 48 51 53 54 56 62 63 64 69 78 80 81 83 84]\n# step=8 row=19 minW=26 found cw of W=25: [3 8 12 15 23 24 26 30 43 47 51 56 63 67 68 71 72 75 76 77 79 82 83 84 87]\n# round=1000 of 10000 minW=25\n# round=2000 of 10000 minW=25\n# round=3000 of 10000 minW=25\n# round=4000 of 10000 minW=25\n# round=5000 of 10000 minW=25\n# round=6000 of 10000 minW=25\n# round=7000 of 10000 minW=25\n# round=8000 of 10000 minW=25\n# round=9000 of 10000 minW=25\n# round=10000 of 10000 minW=25\nRW algorithm upper bound for the distance d=25\n</t>
  </si>
  <si>
    <t># step=0 row=0 minW=93 found cw of W=18: [1 8 14 17 19 27 29 49 59 62 73 75 83 84 86 87 89 90]\n# step=0 row=5 minW=18 found cw of W=16: [7 8 14 19 28 34 35 37 44 59 63 70 73 75 86 87]\n# step=0 row=32 minW=16 found cw of W=14: [29 35 37 43 54 57 59 63 70 72 74 75 89 91]\n# step=261 row=36 minW=14 found cw of W=13: [3 15 28 29 49 51 54 62 64 81 88 90 92]\n#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</si>
  <si>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minW=94 found cw of W=18: [2 10 13 14 18 20 21 25 46 49 50 55 58 64 79 81 82 86]\n# step=0 row=9 minW=18 found cw of W=16: [1 10 20 22 23 32 37 41 44 46 55 58 63 69 79 81]\n# step=0 row=23 minW=16 found cw of W=14: [12 18 20 22 45 46 48 58 63 73 76 82 84 87]\n# step=69 row=34 minW=14 found cw of W=13: [9 28 30 42 49 52 58 63 65 72 78 91 93]\n#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</si>
  <si>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minW=95 found cw of W=21: [1 3 6 8 12 17 30 35 36 37 41 42 46 47 57 58 62 66 82 85 94]\n# step=0 row=2 minW=21 found cw of W=17: [4 6 8 11 16 30 34 37 41 43 46 53 64 79 82 84 94]\n# step=0 row=15 minW=17 found cw of W=16: [8 24 30 34 35 37 42 43 47 58 62 66 77 81 84 90]\n# step=0 row=35 minW=16 found cw of W=14: [12 17 34 35 41 42 46 47 53 57 60 63 82 84]\n# step=19 row=17 minW=14 found cw of W=13: [4 11 18 24 29 36 46 50 64 67 71 76 92]\n#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</si>
  <si>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minW=96 found cw of W=27: [1 2 5 8 16 19 21 22 24 26 29 30 32 34 37 39 41 45 47 48 58 59 68 70 77 80 93]\n# step=0 row=1 minW=27 found cw of W=26: [2 4 5 8 16 17 21 29 30 31 37 41 42 45 46 47 48 62 64 70 71 77 79 83 90 93]\n# step=0 row=2 minW=26 found cw of W=23: [2 6 7 16 17 21 24 33 35 42 46 47 48 53 58 59 61 66 71 77 83 90 93]\n# step=0 row=5 minW=23 found cw of W=22: [3 5 8 9 12 18 19 21 22 24 26 31 32 33 35 41 45 59 62 66 71 83]\n# step=0 row=8 minW=22 found cw of W=21: [2 3 8 15 19 21 24 34 35 37 39 45 46 55 58 70 80 82 83 90 93]\n# step=0 row=12 minW=21 found cw of W=19: [3 19 21 25 28 30 31 32 35 36 48 55 58 61 66 70 79 80 82]\n# step=2 row=19 minW=19 found cw of W=17: [4 7 9 11 16 17 26 46 48 50 51 58 64 70 77 80 82]\n#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</si>
  <si>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minW=97 found cw of W=27: [1 5 10 11 18 24 30 33 35 38 42 44 47 49 50 55 58 60 62 66 67 68 73 76 88 93 95]\n# step=0 row=1 minW=27 found cw of W=25: [1 2 3 4 6 8 10 11 16 27 29 30 42 47 50 58 60 62 73 76 80 82 83 88 89]\n# step=0 row=3 minW=25 found cw of W=23: [1 8 9 10 11 17 18 27 29 30 35 36 37 38 40 46 49 50 62 68 76 82 83]\n# step=0 row=4 minW=23 found cw of W=22: [1 3 4 12 16 17 23 24 27 36 40 42 44 58 67 73 76 78 82 88 91 93]\n# step=0 row=5 minW=22 found cw of W=18: [2 8 10 11 13 17 23 29 33 36 40 44 49 60 67 68 71 80]\n# step=4 row=4 minW=18 found cw of W=17: [5 12 19 23 27 51 53 55 57 61 69 71 73 77 86 92 96]\n# step=6 row=4 minW=17 found cw of W=16: [4 12 13 15 30 37 43 45 46 48 51 53 54 69 80 96]\n#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</si>
  <si>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minW=98 found cw of W=27: [2 6 7 11 16 18 30 31 39 41 42 47 49 54 61 62 65 70 73 74 78 81 88 91 93 96 97]\n# step=0 row=1 minW=27 found cw of W=26: [1 3 8 10 16 17 18 27 30 32 39 41 42 49 57 58 61 62 63 73 78 80 91 93 96 97]\n# step=0 row=2 minW=26 found cw of W=22: [1 4 10 16 17 18 30 32 39 41 47 57 58 63 69 70 73 74 78 81 88 96]\n# step=0 row=26 minW=22 found cw of W=20: [6 10 11 18 25 30 31 33 50 57 61 63 69 70 71 72 81 82 91 97]\n# step=0 row=34 minW=20 found cw of W=17: [6 7 17 25 27 32 33 39 60 63 65 66 70 80 82 93 96]\n# step=7 row=47 minW=17 found cw of W=16: [1 8 12 14 18 22 39 43 66 69 72 81 84 85 91 97]\n# step=16 row=44 minW=16 found cw of W=15: [2 8 23 30 33 46 54 56 69 81 85 86 88 89 94]\n#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</si>
  <si>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 step=0 row=0 minW=99 found cw of W=18: [3 4 10 14 19 28 37 40 41 43 54 65 68 76 77 83 89 91]\n# step=1 row=0 minW=18 found cw of W=17: [1 3 4 18 19 22 23 33 51 65 68 70 74 75 82 84 94]\n# step=8 row=35 minW=17 found cw of W=16: [8 11 12 18 19 22 25 26 45 58 63 65 67 71 81 93]\n# step=216 row=42 minW=16 found cw of W=15: [22 24 33 45 46 47 53 57 59 66 68 70 82 89 96]\n#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</si>
  <si>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 step=0 row=0 minW=100 found cw of W=21: [1 3 8 11 12 13 30 34 35 39 42 43 44 47 49 63 69 78 90 93 98]\n# step=0 row=1 minW=21 found cw of W=18: [2 3 8 10 11 30 31 34 35 37 44 46 51 62 64 68 77 95]\n# step=0 row=24 minW=18 found cw of W=17: [8 12 13 25 34 43 45 54 57 59 71 77 78 83 88 90 97]\n# step=10 row=48 minW=17 found cw of W=16: [1 18 25 26 28 43 53 54 60 64 69 70 85 89 92 96]\n# step=70 row=32 minW=16 found cw of W=15: [4 8 9 13 24 27 31 39 54 60 61 80 86 93 98]\n#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</si>
  <si>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 step=0 row=0 minW=101 found cw of W=26: [1 2 3 5 9 11 17 19 22 45 46 47 51 54 56 57 62 65 67 68 69 74 79 89 91 96]\n# step=0 row=1 minW=26 found cw of W=25: [1 4 14 17 25 26 33 42 45 46 51 54 61 62 64 67 69 71 74 79 83 89 90 91 96]\n# step=0 row=5 minW=25 found cw of W=23: [5 9 10 15 21 24 25 26 33 37 41 42 62 64 65 67 69 71 74 79 90 91 100]\n# step=0 row=6 minW=23 found cw of W=20: [1 11 12 13 14 19 21 22 25 27 33 46 56 61 69 71 74 88 90 100]\n# step=0 row=40 minW=20 found cw of W=17: [5 14 19 24 25 26 28 37 47 61 64 67 68 71 82 83 100]\n# step=9 row=20 minW=17 found cw of W=16: [1 19 27 32 34 36 39 51 53 54 67 69 78 88 97 100]\n#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</si>
  <si>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minW=102 found cw of W=22: [1 3 12 23 30 34 35 37 41 47 55 58 59 64 73 77 79 89 95 96 97 101]\n# step=0 row=1 minW=22 found cw of W=21: [3 4 26 30 32 33 34 43 46 58 59 63 64 66 70 84 89 94 95 96 100]\n# step=0 row=13 minW=21 found cw of W=20: [2 9 17 21 23 31 34 43 46 60 63 67 70 71 72 77 79 89 96 97]\n# step=0 row=29 minW=20 found cw of W=19: [3 22 31 33 34 43 44 47 51 54 58 63 64 67 73 76 78 89 97]\n# step=0 row=52 minW=19 found cw of W=18: [9 12 23 26 37 42 44 51 58 60 66 72 77 79 84 95 96 99]\n# step=1 row=8 minW=18 found cw of W=17: [8 9 16 17 19 25 29 31 35 37 59 60 69 70 73 83 99]\n# step=1 row=21 minW=17 found cw of W=16: [1 9 19 22 24 33 35 38 43 49 63 67 70 73 75 97]\n# step=3 row=30 minW=16 found cw of W=15: [6 13 18 19 22 43 48 58 63 78 80 82 92 96 101]\n#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</si>
  <si>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 step=0 row=0 minW=103 found cw of W=20: [2 11 19 27 28 33 34 36 38 41 50 64 75 79 81 83 86 93 96 98]\n# step=0 row=11 minW=20 found cw of W=17: [7 12 18 27 28 29 34 36 38 61 63 79 85 93 96 98 100]\n# step=2 row=31 minW=17 found cw of W=15: [2 11 44 49 54 55 56 59 66 79 83 84 92 97 101]\n# round=1000 of 10000 minW=15\n# round=2000 of 10000 minW=15\n# round=3000 of 10000 minW=15\n# round=4000 of 10000 minW=15\n# round=5000 of 10000 minW=15\n# round=6000 of 10000 minW=15\n# round=7000 of 10000 minW=15\n# round=8000 of 10000 minW=15\n# round=9000 of 10000 minW=15\n# round=10000 of 10000 minW=15\nRW algorithm upper bound for the distance d=15\n</t>
  </si>
  <si>
    <t># step=0 row=0 minW=104 found cw of W=34: [2 5 6 15 16 23 25 29 30 31 34 37 40 42 43 45 49 51 55 57 62 67 71 75 76 81 86 87 88 90 91 93 97 98]\n# step=0 row=2 minW=34 found cw of W=27: [2 8 11 16 22 23 25 26 31 33 37 42 45 60 63 64 67 68 71 75 81 87 88 95 97 98 103]\n# step=0 row=20 minW=27 found cw of W=26: [1 15 16 22 24 27 28 30 33 34 42 49 54 55 67 76 78 82 85 87 88 90 91 93 96 97]\n# step=15 row=6 minW=26 found cw of W=25: [3 4 10 18 22 29 31 33 45 49 51 52 58 59 60 62 66 68 69 74 76 81 94 96 103]\n# round=1000 of 10000 minW=25\n# round=2000 of 10000 minW=25\n# round=3000 of 10000 minW=25\n# round=4000 of 10000 minW=25\n# round=5000 of 10000 minW=25\n# round=6000 of 10000 minW=25\n# round=7000 of 10000 minW=25\n# round=8000 of 10000 minW=25\n# round=9000 of 10000 minW=25\n# round=10000 of 10000 minW=25\nRW algorithm upper bound for the distance d=25\n</t>
  </si>
  <si>
    <t># step=0 row=0 minW=105 found cw of W=35: [2 5 7 8 10 11 14 24 29 30 42 52 55 56 57 58 61 62 64 71 73 74 77 80 81 82 85 88 89 97 100 101 102 103 104]\n# step=0 row=14 minW=35 found cw of W=33: [7 8 11 13 14 17 22 23 25 28 29 31 39 44 45 46 47 57 61 65 71 72 73 82 87 88 89 93 97 98 101 103 104]\n# step=0 row=19 minW=33 found cw of W=30: [2 7 8 9 17 19 20 21 22 23 24 29 35 39 44 45 47 49 58 62 64 71 76 77 79 84 88 91 93 100]\n# step=13 row=14 minW=30 found cw of W=29: [1 6 7 14 17 18 19 22 23 25 26 35 39 46 55 61 63 70 72 73 79 82 83 84 87 95 99 103 104]\n# round=1000 of 10000 minW=29\n# round=2000 of 10000 minW=29\n# round=3000 of 10000 minW=29\n# round=4000 of 10000 minW=29\n# round=5000 of 10000 minW=29\n# round=6000 of 10000 minW=29\n# round=7000 of 10000 minW=29\n# round=8000 of 10000 minW=29\n# round=9000 of 10000 minW=29\n# round=10000 of 10000 minW=29\nRW algorithm upper bound for the distance d=29\n</t>
  </si>
  <si>
    <t># step=0 row=0 minW=106 found cw of W=22: [1 2 3 4 8 9 22 23 25 30 41 48 61 62 66 81 82 85 86 88 89 105]\n# step=0 row=9 minW=22 found cw of W=21: [2 4 11 12 15 18 20 25 37 41 56 62 63 66 73 80 85 86 90 99 105]\n# step=1 row=8 minW=21 found cw of W=20: [1 2 13 15 16 23 30 34 40 41 45 47 58 60 71 73 74 78 85 86]\n# step=1 row=41 minW=20 found cw of W=19: [2 15 17 20 25 31 34 37 40 41 58 62 63 67 70 78 84 89 90]\n# step=9 row=5 minW=19 found cw of W=18: [1 8 10 23 32 39 42 49 51 57 61 64 67 71 83 96 97 100]\n# step=17 row=41 minW=18 found cw of W=17: [4 9 15 26 27 38 44 49 53 55 60 72 74 85 87 99 104]\n#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</si>
  <si>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minW=107 found cw of W=39: [1 2 3 6 9 19 21 23 24 27 29 30 31 34 35 38 39 43 46 47 48 54 57 61 62 63 66 71 76 83 84 86 87 93 94 98 100 104 105]\n# step=0 row=1 minW=39 found cw of W=28: [1 4 6 7 8 9 12 19 23 29 30 31 35 42 43 44 54 58 59 62 66 71 75 83 84 86 87 90]\n# step=0 row=2 minW=28 found cw of W=25: [4 10 11 18 19 20 23 27 34 35 38 43 44 48 59 61 62 65 71 75 76 79 94 105 106]\n# step=0 row=3 minW=25 found cw of W=24: [1 4 5 10 12 13 19 20 29 30 35 38 42 44 46 47 57 65 66 71 76 86 90 106]\n# step=0 row=31 minW=24 found cw of W=23: [7 12 15 16 19 21 23 27 34 38 47 48 52 54 61 63 66 68 75 80 90 94 99]\n# step=2 row=14 minW=23 found cw of W=22: [10 20 23 24 30 37 47 48 50 54 59 61 69 75 76 79 82 85 87 91 102 103]\n# step=16 row=15 minW=22 found cw of W=21: [3 8 14 15 26 36 39 42 43 53 56 57 60 62 63 70 77 88 90 92 95]\n# round=1000 of 10000 minW=21\n# round=2000 of 10000 minW=21\n# round=3000 of 10000 minW=21\n# round=4000 of 10000 minW=21\n# round=5000 of 10000 minW=21\n# round=6000 of 10000 minW=21\n# round=7000 of 10000 minW=21\n# round=8000 of 10000 minW=21\n# round=9000 of 10000 minW=21\n# round=10000 of 10000 minW=21\nRW algorithm upper bound for the distance d=21\n</t>
  </si>
  <si>
    <t># step=0 row=0 minW=108 found cw of W=33: [1 5 8 9 11 15 18 21 30 31 45 48 49 54 58 63 64 66 69 70 73 76 78 84 93 94 96 97 98 99 100 101 102]\n# step=0 row=4 minW=33 found cw of W=27: [5 8 11 13 15 32 39 49 51 57 58 64 65 73 76 77 78 79 87 94 96 97 99 100 103 105 107]\n# step=0 row=6 minW=27 found cw of W=25: [9 10 11 12 17 18 30 32 39 45 48 49 52 54 65 69 76 77 87 90 97 99 100 102 104]\n# step=0 row=16 minW=25 found cw of W=24: [9 12 21 23 30 31 32 35 38 45 49 63 65 69 70 73 77 79 83 87 92 100 101 104]\n# step=0 row=23 minW=24 found cw of W=21: [4 12 15 16 18 21 27 31 47 51 54 57 58 61 63 64 65 79 84 101 104]\n# round=1000 of 10000 minW=21\n# round=2000 of 10000 minW=21\n# round=3000 of 10000 minW=21\n# round=4000 of 10000 minW=21\n# round=5000 of 10000 minW=21\n# round=6000 of 10000 minW=21\n# round=7000 of 10000 minW=21\n# round=8000 of 10000 minW=21\n# round=9000 of 10000 minW=21\n# round=10000 of 10000 minW=21\nRW algorithm upper bound for the distance d=21\n</t>
  </si>
  <si>
    <t># step=0 row=0 minW=109 found cw of W=26: [1 5 6 10 12 17 20 22 24 28 31 33 35 38 42 48 49 60 61 68 69 70 77 90 107 108]\n# step=0 row=2 minW=26 found cw of W=23: [2 4 6 7 9 16 20 23 24 28 29 31 32 40 49 64 73 80 90 93 97 103 107]\n# step=0 row=10 minW=23 found cw of W=22: [5 9 10 12 16 20 21 33 38 42 48 49 50 60 61 66 69 70 74 82 84 97]\n# step=1 row=10 minW=22 found cw of W=18: [1 9 16 17 19 20 25 34 38 44 50 59 63 64 80 87 105 108]\n# step=14 row=11 minW=18 found cw of W=17: [8 9 14 16 17 18 21 22 34 39 43 56 73 74 75 86 99]\n#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</si>
  <si>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minW=110 found cw of W=37: [7 9 10 15 18 22 25 26 28 29 31 36 41 42 48 52 53 62 64 65 66 67 71 75 76 77 82 87 94 97 99 100 104 105 107 108 109]\n# step=0 row=1 minW=37 found cw of W=35: [2 5 8 12 15 18 19 26 28 30 35 36 42 48 51 52 53 55 57 58 63 64 66 73 75 76 77 80 82 87 92 99 106 108 109]\n# step=0 row=4 minW=35 found cw of W=28: [3 5 7 14 20 30 35 36 42 43 45 48 51 55 57 62 63 65 72 82 92 97 99 103 105 106 107 108]\n# step=3 row=28 minW=28 found cw of W=26: [3 9 25 26 27 30 38 40 41 51 55 56 67 70 73 74 82 83 87 88 92 96 98 102 103 104]\n# step=19 row=22 minW=26 found cw of W=25: [6 11 14 16 19 27 29 32 41 47 50 63 64 78 81 86 88 89 90 92 94 100 101 104 109]\n# round=1000 of 10000 minW=25\n# round=2000 of 10000 minW=25\n# round=3000 of 10000 minW=25\n# round=4000 of 10000 minW=25\n# round=5000 of 10000 minW=25\n# round=6000 of 10000 minW=25\n# round=7000 of 10000 minW=25\n# round=8000 of 10000 minW=25\n# round=9000 of 10000 minW=25\n# round=10000 of 10000 minW=25\nRW algorithm upper bound for the distance d=25\n</t>
  </si>
  <si>
    <t># step=0 row=0 minW=111 found cw of W=45: [1 3 4 5 6 8 9 11 16 17 25 26 30 32 33 35 37 38 49 55 60 61 63 64 65 67 70 74 76 77 82 84 86 88 89 90 93 96 98 99 101 105 107 109 110]\n# step=0 row=1 minW=45 found cw of W=37: [2 13 15 16 18 25 28 29 32 33 34 35 36 49 53 59 60 63 64 67 69 70 71 74 75 78 81 82 84 85 88 90 91 98 105 107 110]\n# step=0 row=7 minW=37 found cw of W=35: [3 4 9 16 22 28 29 34 35 36 41 44 49 52 54 55 60 64 65 67 69 74 78 79 82 84 86 90 91 95 99 104 105 109 110]\n# step=0 row=21 minW=35 found cw of W=34: [8 9 11 14 15 16 25 26 27 32 34 36 38 44 46 47 52 58 60 61 69 71 72 75 76 81 82 88 89 90 93 96 97 101]\n# step=0 row=30 minW=34 found cw of W=31: [4 11 14 15 17 18 25 29 30 33 38 44 46 47 49 55 64 67 70 71 75 76 79 84 94 95 99 102 103 107 109]\n# step=3 row=1 minW=31 found cw of W=30: [2 3 7 10 13 15 16 23 28 31 32 33 35 36 37 38 43 46 48 51 56 57 63 66 67 90 92 97 98 103]\n# step=7 row=19 minW=30 found cw of W=29: [4 5 8 9 10 13 20 21 24 26 30 37 39 43 46 47 50 58 69 70 77 78 80 81 84 86 94 100 106]\n# step=28 row=28 minW=29 found cw of W=28: [1 8 9 11 15 17 18 24 26 37 40 42 44 60 66 69 72 75 76 79 81 87 90 92 93 98 102 105]\n#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</si>
  <si>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minW=112 found cw of W=25: [1 3 6 7 8 10 17 27 49 50 54 56 57 58 62 66 70 76 81 93 100 102 107 108 109]\n# step=0 row=2 minW=25 found cw of W=23: [3 7 11 13 24 37 40 47 50 52 54 60 61 69 70 71 77 93 97 104 108 109 110]\n# step=0 row=19 minW=23 found cw of W=20: [1 8 10 17 25 36 37 39 41 49 54 60 74 77 79 81 85 106 107 110]\n# step=1 row=23 minW=20 found cw of W=19: [4 6 15 17 20 23 32 33 41 43 50 52 65 70 78 88 89 90 98]\n# step=7 row=30 minW=19 found cw of W=18: [8 17 27 29 30 35 39 52 53 57 67 78 83 84 86 99 106 108]\n# step=89 row=2 minW=18 found cw of W=17: [3 5 7 10 11 16 19 43 50 52 72 75 77 87 89 101 110]\n#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</si>
  <si>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minW=113 found cw of W=41: [3 5 6 7 10 11 14 16 17 18 26 27 28 29 36 37 38 39 41 42 44 47 56 57 58 60 61 65 66 67 72 74 77 78 86 90 99 100 101 105 106]\n# step=0 row=1 minW=41 found cw of W=35: [9 10 14 15 20 25 27 28 33 37 38 39 41 43 45 50 51 56 58 66 67 74 75 77 78 79 82 88 92 93 97 105 106 108 110]\n# step=0 row=3 minW=35 found cw of W=33: [1 2 4 5 7 8 10 13 14 16 19 27 29 38 39 41 45 47 51 57 60 66 72 75 77 86 88 92 97 100 105 108 110]\n# step=1 row=5 minW=33 found cw of W=29: [2 3 4 5 12 15 18 25 35 40 44 46 53 57 58 62 63 64 65 67 69 77 80 81 84 85 87 94 107]\n# step=21 row=10 minW=29 found cw of W=28: [1 2 9 10 13 16 22 24 29 31 35 36 40 47 55 56 68 70 74 79 80 86 87 91 101 104 105 108]\n# step=175 row=22 minW=28 found cw of W=27: [5 10 11 13 19 21 23 24 29 31 33 37 42 43 45 57 67 70 73 75 79 80 87 95 103 105 111]\n# round=1000 of 10000 minW=27\n# round=2000 of 10000 minW=27\n# round=3000 of 10000 minW=27\n# round=4000 of 10000 minW=27\n# round=5000 of 10000 minW=27\n# round=6000 of 10000 minW=27\n# round=7000 of 10000 minW=27\n# round=8000 of 10000 minW=27\n# round=9000 of 10000 minW=27\n# round=10000 of 10000 minW=27\nRW algorithm upper bound for the distance d=27\n</t>
  </si>
  <si>
    <t># step=0 row=0 minW=114 found cw of W=50: [1 2 4 8 10 12 14 15 20 21 22 25 27 28 29 34 38 40 41 42 46 48 58 59 60 61 64 65 66 67 71 72 74 75 78 81 83 88 90 92 93 95 99 100 102 103 108 109 112 113]\n# step=0 row=1 minW=50 found cw of W=38: [3 4 5 9 12 21 27 28 29 35 42 43 44 46 47 53 58 59 62 65 66 67 68 70 72 74 76 81 82 84 86 90 93 95 97 99 102 106]\n# step=1 row=10 minW=38 found cw of W=37: [2 4 6 7 8 9 11 13 17 20 21 22 29 40 43 44 48 49 53 54 56 58 63 72 74 75 79 85 89 90 91 92 94 106 109 110 111]\n# step=7 row=1 minW=37 found cw of W=36: [2 10 13 15 17 19 21 22 30 32 34 35 42 44 45 52 55 57 61 62 64 68 82 88 91 96 97 98 101 102 103 105 106 108 111 112]\n# step=13 row=21 minW=36 found cw of W=35: [3 5 6 7 9 11 14 16 20 25 33 34 45 46 48 64 65 66 68 69 70 71 72 75 77 83 84 95 97 101 102 103 106 107 109]\n# step=45 row=20 minW=35 found cw of W=34: [4 7 22 25 29 30 39 46 51 55 57 58 59 60 61 63 66 75 77 78 79 81 82 85 90 92 93 100 101 102 106 107 108 113]\n# round=1000 of 10000 minW=34\n#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</si>
  <si>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minW=115 found cw of W=46: [1 2 3 7 8 11 16 22 23 26 27 30 35 38 41 42 44 47 49 50 51 55 57 59 62 63 64 69 72 80 81 83 85 86 88 92 93 95 96 97 101 103 108 110 111 112]\n# step=0 row=1 minW=46 found cw of W=39: [2 3 4 5 6 7 9 12 14 16 19 20 21 22 30 31 33 35 38 42 43 48 50 55 62 63 66 70 72 74 75 80 84 90 92 104 108 110 111]\n# step=0 row=14 minW=39 found cw of W=38: [2 3 8 9 13 17 21 23 24 25 26 27 28 33 38 51 52 54 57 59 61 64 66 67 72 73 80 81 83 85 92 93 97 101 103 104 105 107]\n# step=1 row=6 minW=38 found cw of W=37: [5 6 12 14 15 20 22 23 27 29 31 34 37 40 46 48 52 53 57 59 61 62 68 70 72 73 74 75 81 85 87 89 93 101 103 113 114]\n# step=1 row=18 minW=37 found cw of W=36: [1 4 5 6 12 15 18 19 24 26 29 30 37 40 42 44 58 59 61 65 66 67 70 71 74 75 78 84 87 92 93 101 103 110 111 112]\n# step=38 row=17 minW=36 found cw of W=35: [3 8 10 11 16 21 27 28 41 43 44 49 54 63 67 70 71 72 79 80 84 90 92 95 96 101 103 106 107 108 109 110 112 113 114]\n# step=198 row=4 minW=35 found cw of W=34: [1 9 10 11 12 13 15 16 18 26 33 37 39 43 48 49 50 51 56 57 58 68 69 80 82 90 93 97 98 100 103 109 110 114]\n# round=1000 of 10000 minW=34\n#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</si>
  <si>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minW=116 found cw of W=45: [1 2 5 6 7 8 11 12 14 18 19 21 23 26 27 30 31 33 34 37 40 42 44 46 48 54 59 65 68 74 77 80 81 83 85 86 87 89 91 96 98 102 106 109 113]\n# step=0 row=1 minW=45 found cw of W=43: [4 5 6 9 10 13 14 16 18 20 21 22 25 26 28 31 34 39 40 42 44 45 53 54 57 61 69 71 72 73 74 75 77 80 81 82 83 86 87 96 99 104 113]\n# step=0 row=4 minW=43 found cw of W=42: [1 6 8 10 11 13 14 15 21 23 24 25 26 27 28 32 39 42 44 48 55 57 59 69 71 73 74 77 81 82 87 89 90 95 96 98 102 104 105 107 112 113]\n# step=0 row=6 minW=42 found cw of W=40: [4 5 6 7 11 13 15 16 18 20 24 26 31 36 41 43 53 55 59 61 64 69 73 75 76 82 83 85 86 87 89 90 93 98 102 103 105 106 107 110]\n# step=0 row=8 minW=40 found cw of W=38: [3 5 7 11 16 22 27 28 30 31 36 39 40 45 49 52 54 61 64 65 68 69 71 73 76 87 89 90 93 95 96 98 99 103 104 105 109 110]\n# step=1 row=2 minW=38 found cw of W=37: [2 5 8 9 20 23 26 28 31 34 36 37 47 52 55 56 57 58 61 66 72 75 76 82 83 85 88 92 94 96 100 101 104 106 107 109 112]\n# step=1 row=4 minW=37 found cw of W=36: [1 3 5 13 15 16 18 21 30 34 36 37 39 41 47 50 52 56 65 75 76 81 83 84 85 93 94 96 98 100 101 103 106 107 111 112]\n# step=6 row=28 minW=36 found cw of W=35: [2 4 5 21 22 24 27 31 33 38 39 40 41 42 43 46 48 53 60 67 68 76 78 81 86 93 94 96 98 99 106 110 113 114 115]\n# step=44 row=14 minW=35 found cw of W=34: [1 2 6 8 12 13 15 16 23 27 37 40 45 46 48 49 55 57 65 66 75 76 78 79 81 91 92 94 95 98 101 109 111 113]\n# step=384 row=3 minW=34 found cw of W=33: [1 6 10 13 14 21 24 26 27 28 29 30 34 36 37 42 45 53 57 58 67 70 71 72 81 89 95 98 105 107 108 109 113]\n# round=1000 of 10000 minW=33\n# round=2000 of 10000 minW=33\n# round=3000 of 10000 minW=33\n# round=4000 of 10000 minW=33\n# round=5000 of 10000 minW=33\n# round=6000 of 10000 minW=33\n# round=7000 of 10000 minW=33\n# round=8000 of 10000 minW=33\n# round=9000 of 10000 minW=33\n# round=10000 of 10000 minW=33\nRW algorithm upper bound for the distance d=33\n</t>
  </si>
  <si>
    <t># step=0 row=0 minW=117 found cw of W=37: [1 4 5 6 7 11 12 13 17 18 21 27 34 45 49 50 52 57 61 62 63 65 74 77 88 89 90 93 95 100 105 110 112 113 114 115 116]\n# step=0 row=16 minW=37 found cw of W=36: [4 7 8 11 12 13 20 24 26 29 30 33 35 40 46 51 53 55 57 66 70 73 78 82 83 85 90 92 93 94 95 98 100 112 113 115]\n# step=89 row=6 minW=36 found cw of W=35: [3 10 11 12 14 15 18 22 24 31 32 33 34 38 42 43 46 48 50 51 53 60 62 66 70 79 80 93 96 98 104 105 106 110 116]\n# step=199 row=1 minW=35 found cw of W=34: [3 5 9 11 14 17 18 20 24 27 28 29 43 45 47 48 51 52 62 65 66 68 69 71 72 78 84 87 90 91 96 98 105 116]\n# round=1000 of 10000 minW=34\n#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</si>
  <si>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minW=118 found cw of W=48: [1 3 7 9 15 16 21 24 25 27 28 29 30 31 34 41 44 48 49 52 53 56 57 62 63 64 65 67 69 70 71 74 76 78 83 84 85 86 88 89 91 94 96 97 109 111 113 114]\n# step=0 row=2 minW=48 found cw of W=41: [1 2 5 10 14 17 21 27 28 30 31 36 39 41 42 43 44 47 48 49 50 53 54 57 59 62 63 69 71 76 78 79 82 84 86 87 90 94 96 101 117]\n# step=0 row=19 minW=41 found cw of W=37: [1 4 15 18 24 25 27 29 31 32 33 34 39 42 43 44 47 54 56 57 58 63 64 67 68 70 71 83 84 85 87 89 91 92 97 104 107]\n# step=3 row=7 minW=37 found cw of W=36: [3 9 10 17 18 19 21 22 26 27 28 29 30 37 43 45 46 48 52 54 57 60 68 74 79 80 90 92 93 94 96 99 101 102 104 115]\n# step=27 row=4 minW=36 found cw of W=35: [4 5 9 10 12 13 14 15 16 17 20 23 24 32 47 50 55 56 65 75 77 81 82 91 93 95 96 98 101 103 104 113 114 115 117]\n# step=109 row=23 minW=35 found cw of W=34: [2 3 6 8 9 10 11 19 23 25 47 48 49 52 53 57 61 66 69 72 79 80 81 87 89 91 92 95 97 98 99 102 103 104]\n# round=1000 of 10000 minW=34\n#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</si>
  <si>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minW=119 found cw of W=54: [1 2 4 5 10 12 13 17 19 20 22 27 28 29 34 37 39 40 43 46 51 53 55 56 61 63 65 66 67 72 74 75 76 78 79 80 81 83 84 88 89 90 92 94 96 99 102 108 110 112 113 115 116 118]\n# step=0 row=1 minW=54 found cw of W=42: [3 4 5 6 17 20 21 22 27 30 31 32 33 37 38 39 40 41 49 51 53 55 56 57 59 64 69 74 76 79 81 87 88 89 92 100 101 105 108 110 114 116]\n# step=0 row=13 minW=42 found cw of W=38: [4 8 14 17 18 19 20 22 25 26 30 32 36 37 42 43 46 48 54 56 59 63 67 68 75 77 79 82 84 93 97 101 102 105 110 112 116 118]\n# step=5 row=9 minW=38 found cw of W=37: [2 3 5 6 8 13 15 20 22 26 27 30 34 35 36 38 39 40 43 48 49 51 52 54 72 77 85 89 97 99 101 102 105 109 111 113 118]\n# step=10 row=2 minW=37 found cw of W=36: [10 12 13 14 16 20 21 24 28 35 36 38 39 42 45 53 56 57 58 69 80 82 83 87 89 90 91 92 95 96 100 101 104 110 113 116]\n# step=346 row=14 minW=36 found cw of W=35: [1 3 6 12 17 18 21 23 26 33 37 42 43 47 51 53 56 60 64 73 78 79 81 87 99 100 101 103 105 106 108 114 116 117 118]\n# round=1000 of 10000 minW=35\n# round=2000 of 10000 minW=35\n# round=3000 of 10000 minW=35\n# round=4000 of 10000 minW=35\n# round=5000 of 10000 minW=35\n# round=6000 of 10000 minW=35\n# round=7000 of 10000 minW=35\n# round=8000 of 10000 minW=35\n# round=9000 of 10000 minW=35\n# round=10000 of 10000 minW=35\nRW algorithm upper bound for the distance d=35\n</t>
  </si>
  <si>
    <t># step=0 row=0 minW=120 found cw of W=53: [1 3 5 6 7 9 11 12 16 17 18 21 23 25 31 32 34 35 39 40 44 46 49 53 57 59 62 66 68 69 70 74 75 79 82 83 85 89 91 92 93 94 95 96 98 103 104 107 108 112 113 114 118]\n# step=0 row=1 minW=53 found cw of W=43: [6 8 10 13 14 21 23 25 27 32 35 39 40 42 43 46 47 48 50 55 56 60 61 64 67 68 70 79 81 86 87 93 94 98 99 101 103 104 107 113 114 118 119]\n# step=0 row=4 minW=43 found cw of W=42: [6 8 9 11 12 13 18 22 27 28 31 32 35 37 47 49 50 51 53 55 57 59 60 62 64 65 71 73 79 81 82 91 92 93 100 103 104 106 107 113 116 119]\n# step=0 row=5 minW=42 found cw of W=38: [3 4 6 7 11 15 16 17 24 27 28 32 34 39 42 43 47 48 49 54 57 61 67 70 71 73 74 85 91 94 96 98 99 103 104 107 114 118]\n# step=5 row=22 minW=38 found cw of W=37: [2 4 7 11 14 15 17 23 25 29 32 34 38 40 45 51 53 54 55 57 61 66 67 73 77 81 82 90 94 97 100 102 105 106 112 114 115]\n# step=597 row=21 minW=37 found cw of W=36: [1 6 14 18 23 25 26 28 33 42 48 50 59 61 63 65 66 67 71 72 74 78 88 90 92 93 95 100 103 104 106 109 110 111 117 119]\n#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</si>
  <si>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minW=121 found cw of W=46: [1 2 6 7 11 21 22 23 24 28 31 33 34 39 40 42 45 46 47 48 51 55 56 57 60 62 65 68 70 71 72 73 74 80 82 85 92 93 97 102 103 104 109 112 114 116]\n# step=0 row=3 minW=46 found cw of W=44: [5 6 12 14 15 16 18 21 23 25 33 34 35 38 39 40 43 45 48 55 57 61 62 64 66 70 71 72 74 75 77 78 87 88 91 92 93 95 98 100 103 104 112 115]\n# step=0 row=5 minW=44 found cw of W=42: [2 5 7 8 9 13 14 16 18 19 21 26 33 34 35 36 40 41 43 46 48 50 56 60 62 66 70 73 77 78 82 85 88 91 100 103 104 106 109 112 114 115]\n# step=0 row=6 minW=42 found cw of W=41: [2 4 6 8 18 20 24 26 27 28 30 34 35 36 38 42 47 48 50 52 57 59 70 72 73 74 75 77 82 89 92 95 98 100 101 103 105 112 115 116 119]\n# step=0 row=11 minW=41 found cw of W=39: [6 9 15 16 20 22 23 25 26 31 33 36 41 51 53 57 59 60 61 64 65 66 70 72 73 74 75 76 82 89 95 98 100 102 104 109 111 118 119]\n# step=4 row=16 minW=39 found cw of W=38: [3 7 11 17 20 22 23 29 31 43 45 47 49 53 58 62 63 65 73 75 76 77 78 80 83 85 92 94 96 98 99 100 101 104 109 112 115 120]\n# step=10 row=14 minW=38 found cw of W=37: [2 4 9 11 12 14 17 27 32 39 41 42 44 45 46 49 51 53 56 59 65 76 81 82 83 91 95 97 100 103 105 107 113 116 117 118 119]\n# step=105 row=28 minW=37 found cw of W=36: [1 4 5 9 17 18 21 22 28 29 30 35 38 42 44 45 51 56 60 61 62 64 65 75 76 82 89 94 97 98 100 101 102 109 114 120]\n#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</si>
  <si>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minW=122 found cw of W=42: [1 4 5 6 12 13 16 26 28 29 31 33 34 38 45 49 50 52 55 56 57 60 61 65 67 70 71 73 76 77 78 81 84 85 86 92 99 100 104 106 110 114]\n# step=0 row=4 minW=42 found cw of W=41: [2 4 6 7 8 14 16 19 22 24 25 28 32 41 47 53 57 59 67 68 71 75 76 77 78 81 83 84 86 89 90 91 100 103 105 106 108 109 112 117 121]\n# step=0 row=5 minW=41 found cw of W=39: [5 6 7 13 14 15 18 19 22 24 26 33 35 42 52 55 59 60 61 62 66 67 68 71 72 75 78 81 82 85 86 92 93 98 104 105 113 114 121]\n# step=12 row=20 minW=39 found cw of W=38: [1 2 5 12 14 24 29 33 40 42 43 44 45 47 50 57 59 67 71 74 76 77 78 81 85 86 87 92 93 98 102 105 106 107 109 117 120 121]\n# step=80 row=4 minW=38 found cw of W=37: [2 12 18 20 21 22 23 30 33 37 39 44 45 46 54 58 59 62 65 67 70 76 80 84 85 89 92 96 98 101 102 103 106 113 114 116 120]\n# round=1000 of 10000 minW=37\n# round=2000 of 10000 minW=37\n# round=3000 of 10000 minW=37\n# round=4000 of 10000 minW=37\n# round=5000 of 10000 minW=37\n# round=6000 of 10000 minW=37\n# round=7000 of 10000 minW=37\n# round=8000 of 10000 minW=37\n# round=9000 of 10000 minW=37\n# round=10000 of 10000 minW=37\nRW algorithm upper bound for the distance d=37\n</t>
  </si>
  <si>
    <t># step=0 row=0 minW=123 found cw of W=34: [1 16 19 20 21 26 30 31 34 35 36 42 46 47 48 52 53 54 57 61 62 68 70 77 78 84 86 99 100 108 114 118 119 120]\n# step=0 row=12 minW=34 found cw of W=26: [10 14 21 28 32 34 36 37 43 45 48 52 53 56 62 65 67 68 89 94 105 106 109 110 116 120]\n# step=38 row=15 minW=26 found cw of W=25: [3 7 8 16 23 24 28 31 47 49 57 58 59 62 64 67 75 76 80 90 91 94 98 108 113]\n# round=1000 of 10000 minW=25\n# round=2000 of 10000 minW=25\n# round=3000 of 10000 minW=25\n# round=4000 of 10000 minW=25\n# round=5000 of 10000 minW=25\n# round=6000 of 10000 minW=25\n# round=7000 of 10000 minW=25\n# round=8000 of 10000 minW=25\n# round=9000 of 10000 minW=25\n# round=10000 of 10000 minW=25\nRW algorithm upper bound for the distance d=25\n</t>
  </si>
  <si>
    <t># step=0 row=0 minW=124 found cw of W=35: [1 2 3 5 11 12 17 20 22 26 29 34 39 46 47 49 51 54 55 56 62 65 67 68 70 76 80 86 87 88 89 103 109 114 116]\n# step=0 row=31 minW=35 found cw of W=33: [1 2 3 4 17 20 22 27 36 37 38 39 42 44 46 56 68 70 74 76 77 78 79 80 81 82 89 92 101 103 104 115 120]\n# step=0 row=34 minW=33 found cw of W=31: [1 22 29 34 37 44 46 47 49 56 57 64 68 69 70 71 76 81 87 88 89 93 95 97 101 109 112 115 116 118 119]\n# step=0 row=36 minW=31 found cw of W=30: [17 22 37 44 52 55 56 59 60 68 74 76 78 79 83 84 87 88 90 92 98 101 104 107 109 111 112 114 115 119]\n# step=3 row=39 minW=30 found cw of W=27: [4 7 12 15 29 31 34 37 38 49 53 55 60 61 62 65 86 87 94 97 98 101 108 109 111 115 123]\n# step=8 row=35 minW=27 found cw of W=26: [5 10 15 18 19 22 29 34 41 50 55 63 64 70 82 83 84 89 90 94 98 109 110 111 114 123]\n# step=100 row=36 minW=26 found cw of W=25: [5 11 14 21 28 34 36 42 48 50 52 60 76 86 87 91 92 93 96 102 106 110 115 116 118]\n# round=1000 of 10000 minW=25\n# round=2000 of 10000 minW=25\n# round=3000 of 10000 minW=25\n# round=4000 of 10000 minW=25\n# round=5000 of 10000 minW=25\n# round=6000 of 10000 minW=25\n# round=7000 of 10000 minW=25\n# round=8000 of 10000 minW=25\n# round=9000 of 10000 minW=25\n# round=10000 of 10000 minW=25\nRW algorithm upper bound for the distance d=25\n</t>
  </si>
  <si>
    <t># step=0 row=0 minW=125 found cw of W=38: [1 9 17 19 22 27 30 31 32 39 41 42 48 53 60 66 72 75 76 79 80 82 84 87 93 95 99 100 101 102 103 108 112 113 116 122 123 124]\n# step=0 row=1 minW=38 found cw of W=36: [2 12 14 21 26 29 52 53 57 60 61 65 68 70 72 76 79 80 81 82 83 84 87 88 94 95 97 99 100 102 108 112 113 116 117 122]\n# step=0 row=2 minW=36 found cw of W=31: [4 5 9 12 14 21 24 26 29 32 35 39 41 44 48 57 61 63 65 67 68 79 86 88 102 103 112 116 120 121 123]\n# step=0 row=6 minW=31 found cw of W=30: [10 11 19 22 28 30 39 42 51 52 53 57 61 65 68 69 72 76 82 83 89 93 101 103 104 108 117 121 123 124]\n# step=0 row=10 minW=30 found cw of W=27: [4 12 17 18 20 27 28 41 42 48 57 61 68 75 81 87 88 97 98 99 101 102 103 108 114 117 123]\n# step=6 row=25 minW=27 found cw of W=26: [3 8 11 13 19 35 41 43 44 45 58 63 64 66 67 72 73 76 82 86 91 101 104 107 113 124]\n# step=66 row=16 minW=26 found cw of W=25: [9 15 23 29 35 36 38 42 43 45 47 50 56 63 64 65 66 79 87 98 99 102 105 108 117]\n# round=1000 of 10000 minW=25\n# round=2000 of 10000 minW=25\n# round=3000 of 10000 minW=25\n# round=4000 of 10000 minW=25\n# round=5000 of 10000 minW=25\n# round=6000 of 10000 minW=25\n# round=7000 of 10000 minW=25\n# round=8000 of 10000 minW=25\n# round=9000 of 10000 minW=25\n# round=10000 of 10000 minW=25\nRW algorithm upper bound for the distance d=25\n</t>
  </si>
  <si>
    <t># step=0 row=0 minW=126 found cw of W=31: [1 2 3 9 14 18 23 36 37 40 48 51 52 53 61 63 69 73 82 87 88 95 96 97 105 107 108 111 114 115 122]\n# step=0 row=25 minW=31 found cw of W=27: [6 7 12 14 20 32 36 40 51 57 63 71 75 81 82 85 86 87 89 94 96 97 98 100 111 114 117]\n# step=2 row=18 minW=27 found cw of W=26: [2 11 17 25 28 30 31 34 36 38 39 44 51 52 61 68 73 81 82 84 88 96 97 104 112 121]\n# step=22 row=41 minW=26 found cw of W=25: [2 3 21 24 26 40 55 60 65 73 75 79 87 89 90 91 100 109 111 112 114 115 121 122 124]\n# round=1000 of 10000 minW=25\n# round=2000 of 10000 minW=25\n# round=3000 of 10000 minW=25\n# round=4000 of 10000 minW=25\n# round=5000 of 10000 minW=25\n# round=6000 of 10000 minW=25\n# round=7000 of 10000 minW=25\n# round=8000 of 10000 minW=25\n# round=9000 of 10000 minW=25\n# round=10000 of 10000 minW=25\nRW algorithm upper bound for the distance d=25\n</t>
  </si>
  <si>
    <t># step=0 row=0 minW=127 found cw of W=42: [1 4 11 13 17 20 25 29 35 39 41 42 48 52 53 61 63 66 69 73 75 81 84 86 88 91 93 94 96 98 102 105 109 110 113 115 117 119 120 121 122 126]\n# step=0 row=1 minW=42 found cw of W=38: [2 3 5 6 9 10 11 13 27 29 41 42 43 57 58 61 64 66 69 80 81 83 84 85 86 93 95 99 102 106 108 110 113 115 119 121 122 126]\n# step=0 row=3 minW=38 found cw of W=36: [1 2 3 5 13 15 20 26 28 29 35 39 41 42 48 53 57 61 62 63 64 66 73 75 92 93 96 99 102 106 110 113 115 120 122 126]\n# step=0 row=6 minW=36 found cw of W=32: [2 5 9 11 20 21 28 48 53 55 60 61 62 63 64 66 69 72 75 81 83 84 85 91 97 98 105 106 111 120 121 125]\n# step=1 row=0 minW=32 found cw of W=30: [1 13 15 21 27 29 32 36 39 44 46 56 59 60 66 68 71 75 79 88 89 94 96 97 98 100 102 104 115 124]\n# step=1 row=28 minW=30 found cw of W=27: [5 8 15 29 31 32 38 44 47 53 61 67 69 71 72 78 79 82 98 100 101 102 106 111 115 118 124]\n# step=17 row=21 minW=27 found cw of W=26: [2 4 5 10 14 41 45 50 53 58 61 72 73 77 83 88 91 97 99 106 108 113 116 120 121 125]\n#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</si>
  <si>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minW=128 found cw of W=50: [2 3 4 5 6 8 16 23 24 26 27 28 29 31 34 35 36 38 39 48 49 53 55 57 58 59 60 63 64 66 73 75 76 83 84 85 86 87 88 89 92 93 95 97 108 111 112 114 116 119]\n# step=0 row=2 minW=50 found cw of W=45: [2 3 4 9 11 13 14 22 23 25 27 33 35 38 39 41 48 52 53 54 57 58 63 64 70 72 73 87 88 89 92 93 99 100 102 104 105 108 111 112 113 117 120 121 122]\n# step=0 row=4 minW=45 found cw of W=38: [2 4 5 9 11 19 20 22 26 33 34 35 43 48 49 50 53 55 60 63 69 73 79 86 87 92 93 97 100 104 105 108 112 113 114 117 119 122]\n# step=80 row=24 minW=38 found cw of W=37: [6 10 17 18 20 21 22 26 28 37 40 45 48 53 56 60 70 76 78 80 83 84 85 86 90 91 95 97 104 106 107 108 111 112 113 115 118]\n# round=1000 of 10000 minW=37\n# round=2000 of 10000 minW=37\n# round=3000 of 10000 minW=37\n# round=4000 of 10000 minW=37\n# round=5000 of 10000 minW=37\n# round=6000 of 10000 minW=37\n# round=7000 of 10000 minW=37\n# round=8000 of 10000 minW=37\n# round=9000 of 10000 minW=37\n# round=10000 of 10000 minW=37\nRW algorithm upper bound for the distance d=37\n</t>
  </si>
  <si>
    <t># step=0 row=0 minW=129 found cw of W=44: [1 4 9 12 15 19 20 23 26 30 31 32 37 40 41 42 44 48 51 54 55 58 59 60 61 62 66 68 69 71 74 75 76 77 78 79 84 85 90 102 107 117 127 128]\n# step=0 row=3 minW=44 found cw of W=35: [7 10 12 16 18 20 30 31 35 37 41 43 44 49 50 54 59 60 61 62 63 65 67 71 73 75 76 78 84 90 103 107 114 125 128]\n# step=0 row=27 minW=35 found cw of W=34: [4 6 12 19 20 23 24 32 33 34 35 38 42 43 44 48 49 50 54 58 62 66 75 82 90 91 94 96 97 104 107 112 119 122]\n# step=2 row=3 minW=34 found cw of W=32: [2 3 12 14 16 19 24 26 27 29 33 37 44 47 50 62 65 66 69 73 79 80 85 96 97 105 106 113 116 123 124 125]\n# step=4 row=0 minW=32 found cw of W=31: [3 6 12 21 23 27 28 30 34 35 37 43 51 54 55 57 63 76 89 92 95 96 100 107 109 112 118 119 122 123 128]\n# step=15 row=3 minW=31 found cw of W=30: [3 9 13 17 20 23 26 27 28 35 50 52 55 62 66 69 86 88 89 95 96 104 105 110 111 118 120 125 126 128]\n# step=34 row=4 minW=30 found cw of W=29: [2 13 15 16 24 28 41 43 45 47 50 56 57 58 61 67 77 83 86 87 88 94 97 99 101 103 116 120 128]\n# round=1000 of 10000 minW=29\n# round=2000 of 10000 minW=29\n# round=3000 of 10000 minW=29\n# round=4000 of 10000 minW=29\n# round=5000 of 10000 minW=29\n# round=6000 of 10000 minW=29\n# round=7000 of 10000 minW=29\n# round=8000 of 10000 minW=29\n# round=9000 of 10000 minW=29\n# round=10000 of 10000 minW=29\nRW algorithm upper bound for the distance d=29\n</t>
  </si>
  <si>
    <t>method: GraphLikeErrorStim</t>
  </si>
  <si>
    <t>method: GurobiDist</t>
  </si>
  <si>
    <t>outfile: /home/ucapmwe/dist-benchmark/results/codeTables-GF2_sample.txt-GurobiDist-20251224_094241.784053_85062422.txt</t>
  </si>
  <si>
    <t>method: MIPDist</t>
  </si>
  <si>
    <t>MIP_solver: SCIP</t>
  </si>
  <si>
    <t>outfile: /home/ucapmwe/dist-benchmark/results/codeTables-GF2_sample.txt-MIPDist-SCIP-20251224_094241.783924_85062422.txt</t>
  </si>
  <si>
    <t>w:2; T:8ms; iterations:2</t>
  </si>
  <si>
    <t>w:3; T:9ms; iterations:15</t>
  </si>
  <si>
    <t>w:4; T:10ms; iterations:25</t>
  </si>
  <si>
    <t>w:4; T:6ms; iterations:25</t>
  </si>
  <si>
    <t>w:3; T:10ms; iterations:12</t>
  </si>
  <si>
    <t>w:5; T:5ms; iterations:19</t>
  </si>
  <si>
    <t>w:6; T:9ms; iterations:38</t>
  </si>
  <si>
    <t>w:6; T:18ms; iterations:56</t>
  </si>
  <si>
    <t>w:5; T:36ms; iterations:175</t>
  </si>
  <si>
    <t>w:5; T:14ms; iterations:20</t>
  </si>
  <si>
    <t>w:5; T:18ms; iterations:22</t>
  </si>
  <si>
    <t>w:5; T:32ms; iterations:60</t>
  </si>
  <si>
    <t>w:9; T:98ms; iterations:422</t>
  </si>
  <si>
    <t>w:10; T:41ms; iterations:161</t>
  </si>
  <si>
    <t>w:9; T:104ms; iterations:486</t>
  </si>
  <si>
    <t>w:9; T:106ms; iterations:847</t>
  </si>
  <si>
    <t>w:13; T:43ms; iterations:238</t>
  </si>
  <si>
    <t>w:5; T:147ms; iterations:830</t>
  </si>
  <si>
    <t>w:9; T:288ms; iterations:2627</t>
  </si>
  <si>
    <t>w:9; T:447ms; iterations:4018</t>
  </si>
  <si>
    <t>w:5; T:175ms; iterations:1078</t>
  </si>
  <si>
    <t>w:13; T:203ms; iterations:921</t>
  </si>
  <si>
    <t>w:14; T:214ms; iterations:1116</t>
  </si>
  <si>
    <t>w:17; T:52ms; iterations:283</t>
  </si>
  <si>
    <t>w:13; T:500ms; iterations:4455</t>
  </si>
  <si>
    <t>w:7; T:971ms; iterations:9071</t>
  </si>
  <si>
    <t>w:17; T:80ms; iterations:596</t>
  </si>
  <si>
    <t>w:7; T:1402ms; iterations:10813</t>
  </si>
  <si>
    <t>w:17; T:141ms; iterations:657</t>
  </si>
  <si>
    <t>w:17; T:254ms; iterations:838</t>
  </si>
  <si>
    <t>w:21; T:51ms; iterations:389</t>
  </si>
  <si>
    <t>w:17; T:473ms; iterations:2751</t>
  </si>
  <si>
    <t>w:13; T:4263ms; iterations:42737</t>
  </si>
  <si>
    <t>w:17; T:655ms; iterations:4913</t>
  </si>
  <si>
    <t>w:17; T:1036ms; iterations:9800</t>
  </si>
  <si>
    <t>w:9; T:12795ms; iterations:112654</t>
  </si>
  <si>
    <t>w:9; T:16901ms; iterations:143720</t>
  </si>
  <si>
    <t>w:9; T:21348ms; iterations:183608</t>
  </si>
  <si>
    <t>w:15; T:25500ms; iterations:176791</t>
  </si>
  <si>
    <t>w:9; T:23169ms; iterations:194586</t>
  </si>
  <si>
    <t>w:9; T:30462ms; iterations:250890</t>
  </si>
  <si>
    <t>w:25; T:254ms; iterations:1276</t>
  </si>
  <si>
    <t>w:13; T:76014ms; iterations:683136</t>
  </si>
  <si>
    <t>w:9; T:42571ms; iterations:369011</t>
  </si>
  <si>
    <t>w:17; T:34780ms; iterations:293982</t>
  </si>
  <si>
    <t>w:17; T:86734ms; iterations:734982</t>
  </si>
  <si>
    <t>w:9; T:76040ms; iterations:566505</t>
  </si>
  <si>
    <t>w:13; T:411470ms; iterations:3485719</t>
  </si>
  <si>
    <t>w:17; T:89817ms; iterations:625147</t>
  </si>
  <si>
    <t>w:17; T:219371ms; iterations:1472591</t>
  </si>
  <si>
    <t>w:32; T:76ms; iterations:487</t>
  </si>
  <si>
    <t>w:17; T:434353ms; iterations:3939351</t>
  </si>
  <si>
    <t>w:17; T:983089ms; iterations:8138817</t>
  </si>
  <si>
    <t>w:19; T:613971ms; iterations:4975423</t>
  </si>
  <si>
    <t>w:17; T:2072620ms; iterations:14972393</t>
  </si>
  <si>
    <t>w:16; T:2259589ms; iterations:17168688</t>
  </si>
  <si>
    <t>w:16; T:3940942ms; iterations:29874665</t>
  </si>
  <si>
    <t>w:13; T:3049000ms; iterations:22937472</t>
  </si>
  <si>
    <t>w:13; T:5917078ms; iterations:48117094</t>
  </si>
  <si>
    <t>w:13; T:7134097ms; iterations:51724793</t>
  </si>
  <si>
    <t>w:13; T:9960257ms; iterations:73060221</t>
  </si>
  <si>
    <t>w:13; T:22759752ms; iterations:146780596</t>
  </si>
  <si>
    <t>w:13; T:22065245ms; iterations:152768407</t>
  </si>
  <si>
    <t>w:29; T:10476ms; iterations:122897</t>
  </si>
  <si>
    <t>w:13; T:28802576ms; iterations:137368954</t>
  </si>
  <si>
    <t>w:13; T:28801408ms; iterations:105173110</t>
  </si>
  <si>
    <t>w:32; T:1874ms; iterations:18155</t>
  </si>
  <si>
    <t>w:19; T:28800110ms; iterations:75119364</t>
  </si>
  <si>
    <t>w:12; T:22673514ms; iterations:135376694</t>
  </si>
  <si>
    <t>w:13; T:28800523ms; iterations:97936500</t>
  </si>
  <si>
    <t>w:19; T:28802318ms; iterations:72921744</t>
  </si>
  <si>
    <t>w:24; T:28800467ms; iterations:57143303</t>
  </si>
  <si>
    <t>w:11; T:24570201ms; iterations:129354649</t>
  </si>
  <si>
    <t>w:11; T:28800027ms; iterations:141465909</t>
  </si>
  <si>
    <t>w:13; T:28800175ms; iterations:85405242</t>
  </si>
  <si>
    <t>w:15; T:28800946ms; iterations:51362688</t>
  </si>
  <si>
    <t>w:15; T:28801614ms; iterations:51672349</t>
  </si>
  <si>
    <t>w:24; T:28802710ms; iterations:91769480</t>
  </si>
  <si>
    <t>w:25; T:28800103ms; iterations:97671595</t>
  </si>
  <si>
    <t>w:15; T:28800170ms; iterations:55189748</t>
  </si>
  <si>
    <t>w:13; T:28801951ms; iterations:68825204</t>
  </si>
  <si>
    <t>w:21; T:28800722ms; iterations:50360349</t>
  </si>
  <si>
    <t>w:21; T:28801554ms; iterations:48428896</t>
  </si>
  <si>
    <t>w:25; T:28802430ms; iterations:70645848</t>
  </si>
  <si>
    <t>w:13; T:28802679ms; iterations:71137766</t>
  </si>
  <si>
    <t>w:13; T:28800477ms; iterations:65640540</t>
  </si>
  <si>
    <t>w:13; T:28800211ms; iterations:60941401</t>
  </si>
  <si>
    <t>w:17; T:28800781ms; iterations:41353242</t>
  </si>
  <si>
    <t>w:16; T:28801216ms; iterations:52275206</t>
  </si>
  <si>
    <t>w:15; T:28802029ms; iterations:57035302</t>
  </si>
  <si>
    <t>w:15; T:28801270ms; iterations:45552041</t>
  </si>
  <si>
    <t>method: QDistEvol</t>
  </si>
  <si>
    <t>outfile: /home/ucapmwe/dist-benchmark/results/codeTables-GF2_sample.txt-QDistEvol-20251221_142536.747044_85062422.txt</t>
  </si>
  <si>
    <t>Gen:0 Trial:0 w:2; pErr:0.0000, weight 2 CW found:6</t>
  </si>
  <si>
    <t>Gen:0 Trial:0 w:3; pErr:0.0000, weight 3 CW found:4</t>
  </si>
  <si>
    <t>Gen:0 Trial:0 w:4; pErr:0.0000, weight 4 CW found:7</t>
  </si>
  <si>
    <t>Gen:0 Trial:0 w:3; pErr:0.0000, weight 3 CW found:12</t>
  </si>
  <si>
    <t>Gen:0 Trial:0 w:5; pErr:0.0000, weight 5 CW found:4</t>
  </si>
  <si>
    <t>Gen:0 Trial:0 w:6; pErr:0.0000, weight 6 CW found:6</t>
  </si>
  <si>
    <t>Gen:0 Trial:0 w:5; pErr:0.0000, weight 5 CW found:15</t>
  </si>
  <si>
    <t>Gen:0 Trial:0 w:5; pErr:0.0000, weight 5 CW found:23</t>
  </si>
  <si>
    <t>Gen:0 Trial:0 w:5; pErr:0.0000, weight 5 CW found:29</t>
  </si>
  <si>
    <t>Gen:0 Trial:0 w:5; pErr:0.0000, weight 5 CW found:24</t>
  </si>
  <si>
    <t>Gen:0 Trial:0 w:9; pErr:0.0000, weight 9 CW found:26</t>
  </si>
  <si>
    <t>Gen:0 Trial:0 w:10; pErr:0.0000, weight 10 CW found:30</t>
  </si>
  <si>
    <t>Gen:0 Trial:0 w:9; pErr:0.0000, weight 9 CW found:34</t>
  </si>
  <si>
    <t>Gen:0 Trial:0 w:9; pErr:0.0000, weight 9 CW found:50</t>
  </si>
  <si>
    <t>Gen:0 Trial:0 w:13; pErr:0.0000, weight 13 CW found:6</t>
  </si>
  <si>
    <t>Gen:0 Trial:0 w:5; pErr:0.0000, weight 5 CW found:242</t>
  </si>
  <si>
    <t>Gen:0 Trial:0 w:9; pErr:0.0000, weight 9 CW found:95</t>
  </si>
  <si>
    <t>Gen:0 Trial:0 w:9; pErr:0.0000, weight 9 CW found:129</t>
  </si>
  <si>
    <t>Gen:0 Trial:0 w:5; pErr:0.0000, weight 5 CW found:158</t>
  </si>
  <si>
    <t>Gen:0 Trial:0 w:13; pErr:0.0000, weight 13 CW found:31</t>
  </si>
  <si>
    <t>Gen:0 Trial:0 w:14; pErr:0.0000, weight 14 CW found:47</t>
  </si>
  <si>
    <t>Gen:0 Trial:0 w:17; pErr:0.0000, weight 17 CW found:6</t>
  </si>
  <si>
    <t>Gen:0 Trial:0 w:13; pErr:0.0000, weight 13 CW found:87</t>
  </si>
  <si>
    <t>Gen:0 Trial:0 w:7; pErr:0.0000, weight 7 CW found:972</t>
  </si>
  <si>
    <t>Gen:0 Trial:0 w:17; pErr:0.0000, weight 17 CW found:14</t>
  </si>
  <si>
    <t>Gen:0 Trial:0 w:7; pErr:0.0000, weight 7 CW found:1196</t>
  </si>
  <si>
    <t>Gen:0 Trial:0 w:17; pErr:0.0000, weight 17 CW found:28</t>
  </si>
  <si>
    <t>Gen:0 Trial:0 w:17; pErr:0.0000, weight 17 CW found:50</t>
  </si>
  <si>
    <t>Gen:0 Trial:0 w:21; pErr:0.0000, weight 21 CW found:6</t>
  </si>
  <si>
    <t>Gen:0 Trial:0 w:17; pErr:0.0000, weight 17 CW found:58</t>
  </si>
  <si>
    <t>Gen:0 Trial:0 w:13; pErr:0.0000, weight 13 CW found:399</t>
  </si>
  <si>
    <t>Gen:0 Trial:0 w:17; pErr:0.0000, weight 17 CW found:83</t>
  </si>
  <si>
    <t>Gen:0 Trial:0 w:17; pErr:0.0000, weight 17 CW found:154</t>
  </si>
  <si>
    <t>Gen:0 Trial:0 w:9; pErr:0.0000, weight 9 CW found:1596</t>
  </si>
  <si>
    <t>Gen:0 Trial:0 w:9; pErr:0.0000, weight 9 CW found:2030</t>
  </si>
  <si>
    <t>Gen:0 Trial:0 w:10; Trial:1 w:9; pErr:0.0000, weight 9 CW found:2599</t>
  </si>
  <si>
    <t>Gen:0 Trial:0 w:15; pErr:0.0000, weight 15 CW found:1755</t>
  </si>
  <si>
    <t>Gen:0 Trial:0 w:9; pErr:0.0001, weight 9 CW found:2742</t>
  </si>
  <si>
    <t>Gen:0 Trial:0 w:9; pErr:0.0001, weight 9 CW found:2940</t>
  </si>
  <si>
    <t>Gen:0 Trial:0 w:27; Trial:1 w:25; pErr:0.0000, weight 25 CW found:14</t>
  </si>
  <si>
    <t>Gen:0 Trial:0 w:13; pErr:0.0000, weight 13 CW found:1180</t>
  </si>
  <si>
    <t>Gen:0 Trial:0 w:9; pErr:0.0000, weight 9 CW found:3002</t>
  </si>
  <si>
    <t>Gen:0 Trial:0 w:18; Trial:1 w:17; pErr:0.0000, weight 17 CW found:842</t>
  </si>
  <si>
    <t>Gen:0 Trial:0 w:17; pErr:0.0000, weight 17 CW found:1151</t>
  </si>
  <si>
    <t>Gen:0 Trial:0 w:10; Trial:1 w:9; pErr:0.0014, weight 9 CW found:4087</t>
  </si>
  <si>
    <t>Gen:0 Trial:0 w:13; pErr:0.0000, weight 13 CW found:2063</t>
  </si>
  <si>
    <t>Gen:0 Trial:0 w:18; Trial:3 w:17; pErr:0.0000, weight 17 CW found:1249</t>
  </si>
  <si>
    <t>Gen:0 Trial:0 w:18; Trial:1 w:17; pErr:0.0000, weight 17 CW found:1615</t>
  </si>
  <si>
    <t>Gen:0 Trial:0 w:32; pErr:0.0000, weight 32 CW found:5</t>
  </si>
  <si>
    <t>Gen:0 Trial:0 w:17; pErr:0.0000, weight 17 CW found:1519</t>
  </si>
  <si>
    <t>Gen:0 Trial:0 w:17; pErr:0.0000, weight 17 CW found:2045</t>
  </si>
  <si>
    <t>Gen:0 Trial:0 w:19; pErr:0.0000, weight 19 CW found:1995</t>
  </si>
  <si>
    <t>Gen:0 Trial:0 w:17; pErr:0.0003, weight 17 CW found:2281</t>
  </si>
  <si>
    <t>Gen:0 Trial:0 w:17; Trial:1 w:16; pErr:0.0012, weight 16 CW found:2692</t>
  </si>
  <si>
    <t>Gen:0 Trial:0 w:16; pErr:0.0018, weight 16 CW found:2931</t>
  </si>
  <si>
    <t>Gen:0 Trial:0 w:13; pErr:0.0412, weight 13 CW found:7244</t>
  </si>
  <si>
    <t>Gen:0 Trial:0 w:14; Trial:1 w:13; pErr:0.0623, weight 13 CW found:8448</t>
  </si>
  <si>
    <t>Gen:0 Trial:0 w:14; Trial:2 w:13; pErr:0.0883, weight 13 CW found:9618</t>
  </si>
  <si>
    <t>Gen:0 Trial:0 w:14; Trial:1 w:13; pErr:0.1091, weight 13 CW found:10944</t>
  </si>
  <si>
    <t>Gen:0 Trial:0 w:14; Trial:3 w:13; pErr:0.1357, weight 13 CW found:12136</t>
  </si>
  <si>
    <t>Gen:0 Trial:0 w:13; pErr:0.1612, weight 13 CW found:13487</t>
  </si>
  <si>
    <t>Gen:0 Trial:0 w:29; pErr:0.0000, weight 29 CW found:748</t>
  </si>
  <si>
    <t>Gen:0 Trial:0 w:13; pErr:0.1215, weight 13 CW found:9858</t>
  </si>
  <si>
    <t>Gen:0 Trial:0 w:14; Trial:1 w:13; pErr:0.1436, weight 13 CW found:10613</t>
  </si>
  <si>
    <t>Gen:0 Trial:0 w:32; pErr:0.0000, weight 32 CW found:179</t>
  </si>
  <si>
    <t>Gen:0 Trial:0 w:20; Trial:1 w:19; pErr:0.1177, weight 19 CW found:21783</t>
  </si>
  <si>
    <t>Gen:0 Trial:0 w:12; pErr:0.1600, weight 12 CW found:12323</t>
  </si>
  <si>
    <t>Gen:0 Trial:0 w:15; Trial:1 w:14; Trial:4 w:13; pErr:0.1870, weight 13 CW found:11407</t>
  </si>
  <si>
    <t>Gen:0 Trial:0 w:20; Trial:3 w:19; pErr:0.1176, weight 19 CW found:22090</t>
  </si>
  <si>
    <t>Gen:0 Trial:0 w:26; Trial:2 w:25; Trial:3 w:24; pErr:0.0039, weight 24 CW found:2758</t>
  </si>
  <si>
    <t>Gen:0 Trial:0 w:12; Trial:2 w:11; pErr:0.1744, weight 11 CW found:9514</t>
  </si>
  <si>
    <t>Gen:0 Trial:0 w:12; Trial:4 w:11; pErr:0.1879, weight 11 CW found:10049</t>
  </si>
  <si>
    <t>Gen:0 Trial:0 w:14; Trial:3 w:13; pErr:0.2170, weight 13 CW found:9862</t>
  </si>
  <si>
    <t>Gen:0 Trial:0 w:17; Trial:2 w:16; Trial:30 w:15; pErr:0.2836, weight 15 CW found:13485</t>
  </si>
  <si>
    <t>Gen:0 Trial:0 w:18; Trial:1 w:16; Trial:4 w:15; pErr:0.2956, weight 15 CW found:14256</t>
  </si>
  <si>
    <t>Gen:0 Trial:0 w:26; Trial:1 w:25; Trial:3 w:24; pErr:0.0409, weight 24 CW found:4782</t>
  </si>
  <si>
    <t>Gen:0 Trial:0 w:26; Trial:12 w:25; pErr:0.0408, weight 25 CW found:5007</t>
  </si>
  <si>
    <t>Gen:0 Trial:0 w:17; Trial:1 w:16; Trial:4 w:15; pErr:0.3224, weight 15 CW found:15769</t>
  </si>
  <si>
    <t>Gen:0 Trial:0 w:13; pErr:0.2826, weight 13 CW found:12175</t>
  </si>
  <si>
    <t>Gen:0 Trial:0 w:22; Trial:3 w:21; pErr:0.2167, weight 21 CW found:9141</t>
  </si>
  <si>
    <t>Gen:0 Trial:0 w:22; Trial:6 w:21; pErr:0.2322, weight 21 CW found:9560</t>
  </si>
  <si>
    <t>Gen:0 Trial:0 w:27; Trial:1 w:26; Trial:10 w:25; pErr:0.1159, weight 25 CW found:6892</t>
  </si>
  <si>
    <t>Gen:0 Trial:0 w:14; Trial:44 w:13; pErr:0.3209, weight 13 CW found:18003</t>
  </si>
  <si>
    <t>Gen:0 Trial:0 w:14; Trial:4 w:13; pErr:0.3247, weight 13 CW found:16811</t>
  </si>
  <si>
    <t>Gen:0 Trial:0 w:14; Gen:1 Trial:157 w:13; pErr:0.3316, weight 13 CW found:15902</t>
  </si>
  <si>
    <t>Gen:0 Trial:0 w:19; Trial:1 w:18; Trial:18 w:17; pErr:0.3334, weight 17 CW found:14273</t>
  </si>
  <si>
    <t>Gen:0 Trial:0 w:17; Trial:7 w:16; pErr:0.3384, weight 16 CW found:14146</t>
  </si>
  <si>
    <t>Gen:0 Trial:0 w:17; Trial:3 w:16; Trial:40 w:15; pErr:0.3408, weight 15 CW found:13888</t>
  </si>
  <si>
    <t>Gen:0 Trial:0 w:16; Trial:75 w:15; pErr:0.3449, weight 15 CW found:14147</t>
  </si>
  <si>
    <t>Gen:0 Trial:0 w:17; Trial:2 w:16; Gen:1 Trial:105 w:15; pErr:0.3461, weight 15 CW found:14048</t>
  </si>
  <si>
    <t>Gen:0 Trial:0 w:16; pErr:0.3522, weight 16 CW found:14895</t>
  </si>
  <si>
    <t>Gen:0 Trial:0 w:17; Trial:1 w:16; Trial:53 w:15; pErr:0.3405, weight 15 CW found:13009</t>
  </si>
  <si>
    <t>Gen:0 Trial:0 w:18; Trial:4 w:17; Trial:6 w:15; pErr:0.3430, weight 15 CW found:13171</t>
  </si>
  <si>
    <t>Gen:0 Trial:0 w:26; Trial:30 w:25; pErr:0.3029, weight 25 CW found:11895</t>
  </si>
  <si>
    <t>Gen:0 Trial:0 w:34; Trial:1 w:32; Trial:4 w:30; Trial:41 w:29; pErr:0.2289, weight 29 CW found:10720</t>
  </si>
  <si>
    <t>Gen:0 Trial:0 w:20; Trial:1 w:18; Trial:10 w:17; pErr:0.3602, weight 17 CW found:15023</t>
  </si>
  <si>
    <t>Gen:0 Trial:0 w:26; Trial:1 w:22; Trial:8 w:21; pErr:0.3478, weight 21 CW found:12665</t>
  </si>
  <si>
    <t>Gen:0 Trial:0 w:25; Trial:2 w:21; pErr:0.3506, weight 21 CW found:12835</t>
  </si>
  <si>
    <t>Gen:0 Trial:0 w:21; Trial:2 w:18; Trial:29 w:17; pErr:0.3571, weight 17 CW found:14709</t>
  </si>
  <si>
    <t>Gen:0 Trial:0 w:28; Trial:4 w:26; Trial:7 w:25; pErr:0.3334, weight 25 CW found:12928</t>
  </si>
  <si>
    <t>Gen:0 Trial:0 w:31; Trial:5 w:30; Trial:7 w:29; Trial:80 w:28; pErr:0.3172, weight 28 CW found:11639</t>
  </si>
  <si>
    <t>Gen:0 Trial:0 w:22; Trial:2 w:18; Gen:1 Trial:129 w:17; pErr:0.3601, weight 17 CW found:13426</t>
  </si>
  <si>
    <t>Gen:0 Trial:0 w:34; Trial:1 w:33; Trial:2 w:30; Trial:3 w:28; Trial:63 w:27; pErr:0.3408, weight 27 CW found:12456</t>
  </si>
  <si>
    <t>Gen:0 Trial:0 w:38; Trial:1 w:36; Trial:2 w:35; Trial:13 w:34; pErr:0.2499, weight 34 CW found:10201</t>
  </si>
  <si>
    <t>Gen:0 Trial:0 w:36; Trial:11 w:35; Trial:79 w:34; pErr:0.2779, weight 34 CW found:11005</t>
  </si>
  <si>
    <t>Gen:0 Trial:0 w:34; Gen:6 Trial:609 w:33; pErr:0.3164, weight 33 CW found:11791</t>
  </si>
  <si>
    <t>Gen:0 Trial:0 w:38; Trial:5 w:36; Trial:35 w:34; pErr:0.3042, weight 34 CW found:12060</t>
  </si>
  <si>
    <t>Gen:0 Trial:0 w:37; Trial:3 w:35; Gen:1 Trial:109 w:34; pErr:0.3191, weight 34 CW found:12545</t>
  </si>
  <si>
    <t>Gen:0 Trial:0 w:37; Trial:1 w:36; Trial:57 w:35; pErr:0.3225, weight 35 CW found:12898</t>
  </si>
  <si>
    <t>Gen:0 Trial:0 w:39; Trial:6 w:38; Trial:16 w:37; Gen:1 Trial:106 w:36; pErr:0.3142, weight 36 CW found:12788</t>
  </si>
  <si>
    <t>Gen:0 Trial:0 w:39; Trial:3 w:37; Trial:16 w:36; pErr:0.3273, weight 36 CW found:13630</t>
  </si>
  <si>
    <t>Gen:0 Trial:0 w:40; Trial:2 w:39; Trial:4 w:38; Gen:1 Trial:122 w:37; pErr:0.3291, weight 37 CW found:13691</t>
  </si>
  <si>
    <t>Gen:0 Trial:0 w:27; Trial:8 w:26; Gen:2 Trial:224 w:25; pErr:0.3630, weight 25 CW found:13593</t>
  </si>
  <si>
    <t>Gen:0 Trial:0 w:29; Trial:1 w:27; Trial:3 w:26; Trial:80 w:25; pErr:0.3641, weight 25 CW found:13843</t>
  </si>
  <si>
    <t>Gen:0 Trial:0 w:27; Trial:3 w:26; Trial:7 w:25; pErr:0.3650, weight 25 CW found:13978</t>
  </si>
  <si>
    <t>Gen:0 Trial:0 w:27; Trial:18 w:26; Trial:81 w:25; pErr:0.3654, weight 25 CW found:13845</t>
  </si>
  <si>
    <t>Gen:0 Trial:0 w:31; Trial:1 w:28; Trial:4 w:27; Trial:5 w:26; pErr:0.3653, weight 26 CW found:14851</t>
  </si>
  <si>
    <t>Gen:0 Trial:0 w:39; Trial:2 w:38; Trial:28 w:37; pErr:0.3325, weight 37 CW found:13738</t>
  </si>
  <si>
    <t>Gen:0 Trial:0 w:31; Trial:2 w:30; Trial:8 w:29; pErr:0.3634, weight 29 CW found:12679</t>
  </si>
  <si>
    <t>method: QDistRndMW</t>
  </si>
  <si>
    <t>outfile: /home/ucapmwe/dist-benchmark/results/codeTables-GF2_sample.txt-QDistRndMW-20251221_160048.793679_85062422.txt</t>
  </si>
  <si>
    <t>Trial:0 w:3; pErr:0.0000, weight 3 CW found:4</t>
  </si>
  <si>
    <t>Trial:0 w:3; pErr:0.0000, weight 3 CW found:12</t>
  </si>
  <si>
    <t>Trial:0 w:5; pErr:0.0000, weight 5 CW found:4</t>
  </si>
  <si>
    <t>Trial:0 w:5; pErr:0.0000, weight 5 CW found:15</t>
  </si>
  <si>
    <t>Trial:0 w:5; pErr:0.0000, weight 5 CW found:23</t>
  </si>
  <si>
    <t>Trial:0 w:5; pErr:0.0000, weight 5 CW found:27</t>
  </si>
  <si>
    <t>Trial:0 w:11; Trial:1 w:9; pErr:0.0000, weight 9 CW found:28</t>
  </si>
  <si>
    <t>Trial:0 w:10; pErr:0.0000, weight 10 CW found:29</t>
  </si>
  <si>
    <t>Trial:0 w:9; pErr:0.0000, weight 9 CW found:40</t>
  </si>
  <si>
    <t>Trial:0 w:9; pErr:0.0000, weight 9 CW found:50</t>
  </si>
  <si>
    <t>Trial:0 w:13; pErr:0.0000, weight 13 CW found:6</t>
  </si>
  <si>
    <t>Trial:0 w:5; pErr:0.0000, weight 5 CW found:251</t>
  </si>
  <si>
    <t>Trial:0 w:9; pErr:0.0000, weight 9 CW found:97</t>
  </si>
  <si>
    <t>Trial:0 w:9; pErr:0.0000, weight 9 CW found:140</t>
  </si>
  <si>
    <t>Trial:0 w:5; pErr:0.0000, weight 5 CW found:187</t>
  </si>
  <si>
    <t>Trial:0 w:13; pErr:0.0000, weight 13 CW found:31</t>
  </si>
  <si>
    <t>Trial:0 w:14; pErr:0.0000, weight 14 CW found:47</t>
  </si>
  <si>
    <t>Trial:0 w:17; pErr:0.0000, weight 17 CW found:6</t>
  </si>
  <si>
    <t>Trial:0 w:13; pErr:0.0000, weight 13 CW found:96</t>
  </si>
  <si>
    <t>Trial:0 w:7; pErr:0.0000, weight 7 CW found:972</t>
  </si>
  <si>
    <t>Trial:0 w:7; pErr:0.0000, weight 7 CW found:1184</t>
  </si>
  <si>
    <t>Trial:0 w:17; pErr:0.0000, weight 17 CW found:28</t>
  </si>
  <si>
    <t>Trial:0 w:17; pErr:0.0000, weight 17 CW found:50</t>
  </si>
  <si>
    <t>Trial:0 w:21; pErr:0.0000, weight 21 CW found:6</t>
  </si>
  <si>
    <t>Trial:0 w:17; pErr:0.0000, weight 17 CW found:58</t>
  </si>
  <si>
    <t>Trial:0 w:13; pErr:0.0000, weight 13 CW found:401</t>
  </si>
  <si>
    <t>Trial:0 w:17; pErr:0.0000, weight 17 CW found:102</t>
  </si>
  <si>
    <t>Trial:0 w:17; pErr:0.0000, weight 17 CW found:142</t>
  </si>
  <si>
    <t>Trial:0 w:9; pErr:0.0000, weight 9 CW found:1573</t>
  </si>
  <si>
    <t>Trial:0 w:9; pErr:0.0000, weight 9 CW found:2039</t>
  </si>
  <si>
    <t>Trial:0 w:9; pErr:0.0000, weight 9 CW found:2607</t>
  </si>
  <si>
    <t>Trial:0 w:15; pErr:0.0000, weight 15 CW found:1755</t>
  </si>
  <si>
    <t>Trial:0 w:9; pErr:0.0001, weight 9 CW found:2717</t>
  </si>
  <si>
    <t>Trial:0 w:10; Trial:1 w:9; pErr:0.0002, weight 9 CW found:2965</t>
  </si>
  <si>
    <t>Trial:0 w:25; pErr:0.0000, weight 25 CW found:14</t>
  </si>
  <si>
    <t>Trial:0 w:13; pErr:0.0000, weight 13 CW found:1198</t>
  </si>
  <si>
    <t>Trial:0 w:9; pErr:0.0000, weight 9 CW found:3004</t>
  </si>
  <si>
    <t>Trial:0 w:17; pErr:0.0000, weight 17 CW found:830</t>
  </si>
  <si>
    <t>Trial:0 w:17; pErr:0.0000, weight 17 CW found:1134</t>
  </si>
  <si>
    <t>Trial:0 w:9; pErr:0.0016, weight 9 CW found:4096</t>
  </si>
  <si>
    <t>Trial:0 w:13; pErr:0.0000, weight 13 CW found:2087</t>
  </si>
  <si>
    <t>Trial:0 w:18; Trial:1 w:17; pErr:0.0000, weight 17 CW found:1353</t>
  </si>
  <si>
    <t>Trial:0 w:17; pErr:0.0000, weight 17 CW found:1736</t>
  </si>
  <si>
    <t>Trial:0 w:18; Trial:1 w:17; pErr:0.0000, weight 17 CW found:1548</t>
  </si>
  <si>
    <t>Trial:0 w:17; pErr:0.0000, weight 17 CW found:2049</t>
  </si>
  <si>
    <t>Trial:0 w:19; pErr:0.0000, weight 19 CW found:1888</t>
  </si>
  <si>
    <t>Trial:0 w:17; pErr:0.0003, weight 17 CW found:2232</t>
  </si>
  <si>
    <t>Trial:0 w:17; Trial:6 w:16; pErr:0.0011, weight 16 CW found:2602</t>
  </si>
  <si>
    <t>Trial:0 w:16; pErr:0.0022, weight 16 CW found:3036</t>
  </si>
  <si>
    <t>Trial:0 w:13; pErr:0.0395, weight 13 CW found:7184</t>
  </si>
  <si>
    <t>Trial:0 w:13; pErr:0.0634, weight 13 CW found:8616</t>
  </si>
  <si>
    <t>Trial:0 w:13; pErr:0.0886, weight 13 CW found:10000</t>
  </si>
  <si>
    <t>Trial:0 w:14; Trial:2 w:13; pErr:0.1123, weight 13 CW found:11119</t>
  </si>
  <si>
    <t>Trial:0 w:13; pErr:0.1377, weight 13 CW found:12174</t>
  </si>
  <si>
    <t>Trial:0 w:13; pErr:0.1615, weight 13 CW found:13598</t>
  </si>
  <si>
    <t>Trial:0 w:30; Trial:1 w:29; pErr:0.0000, weight 29 CW found:890</t>
  </si>
  <si>
    <t>Trial:0 w:14; Trial:1 w:13; pErr:0.1354, weight 13 CW found:10643</t>
  </si>
  <si>
    <t>Trial:0 w:13; pErr:0.1593, weight 13 CW found:11547</t>
  </si>
  <si>
    <t>Trial:0 w:33; Trial:2 w:32; pErr:0.0000, weight 32 CW found:180</t>
  </si>
  <si>
    <t>Trial:0 w:19; pErr:0.1033, weight 19 CW found:22707</t>
  </si>
  <si>
    <t>Trial:0 w:14; Trial:4 w:12; pErr:0.1645, weight 12 CW found:12574</t>
  </si>
  <si>
    <t>Trial:0 w:13; pErr:0.1895, weight 13 CW found:11481</t>
  </si>
  <si>
    <t>Trial:0 w:20; Trial:3 w:19; pErr:0.1127, weight 19 CW found:22646</t>
  </si>
  <si>
    <t>Trial:0 w:25; Trial:11 w:24; pErr:0.0044, weight 24 CW found:2807</t>
  </si>
  <si>
    <t>Trial:0 w:12; Trial:1 w:11; pErr:0.1749, weight 11 CW found:9551</t>
  </si>
  <si>
    <t>Trial:0 w:12; Trial:1 w:11; pErr:0.1919, weight 11 CW found:10222</t>
  </si>
  <si>
    <t>Trial:0 w:14; Trial:8 w:13; pErr:0.2245, weight 13 CW found:10179</t>
  </si>
  <si>
    <t>Trial:0 w:16; Trial:2 w:15; pErr:0.2868, weight 15 CW found:14056</t>
  </si>
  <si>
    <t>Trial:0 w:16; Trial:2 w:15; pErr:0.3001, weight 15 CW found:14426</t>
  </si>
  <si>
    <t>Trial:0 w:25; Trial:27 w:24; pErr:0.0429, weight 24 CW found:4866</t>
  </si>
  <si>
    <t>Trial:0 w:26; Trial:10 w:25; pErr:0.0409, weight 25 CW found:4976</t>
  </si>
  <si>
    <t>Trial:0 w:15; pErr:0.3242, weight 15 CW found:15795</t>
  </si>
  <si>
    <t>Trial:0 w:13; pErr:0.2857, weight 13 CW found:12490</t>
  </si>
  <si>
    <t>Trial:0 w:22; Trial:4 w:21; pErr:0.2192, weight 21 CW found:9130</t>
  </si>
  <si>
    <t>Trial:0 w:24; Trial:1 w:21; pErr:0.2438, weight 21 CW found:10006</t>
  </si>
  <si>
    <t>Trial:0 w:26; Trial:4 w:25; pErr:0.1156, weight 25 CW found:6860</t>
  </si>
  <si>
    <t>Trial:0 w:14; Trial:123 w:13; pErr:0.3242, weight 13 CW found:18022</t>
  </si>
  <si>
    <t>Trial:0 w:14; Trial:8 w:13; pErr:0.3286, weight 13 CW found:16556</t>
  </si>
  <si>
    <t>Trial:0 w:15; Trial:2 w:13; pErr:0.3361, weight 13 CW found:16113</t>
  </si>
  <si>
    <t>Trial:0 w:19; Trial:1 w:17; pErr:0.3367, weight 17 CW found:14552</t>
  </si>
  <si>
    <t>Trial:0 w:17; Trial:23 w:16; pErr:0.3415, weight 16 CW found:14309</t>
  </si>
  <si>
    <t>Trial:0 w:17; Trial:9 w:16; Trial:42 w:15; pErr:0.3437, weight 15 CW found:14074</t>
  </si>
  <si>
    <t>Trial:0 w:19; Trial:1 w:17; Trial:7 w:16; Trial:91 w:15; pErr:0.3472, weight 15 CW found:14157</t>
  </si>
  <si>
    <t>Trial:0 w:17; Trial:2 w:16; Trial:46 w:15; pErr:0.3476, weight 15 CW found:14337</t>
  </si>
  <si>
    <t>Trial:0 w:19; Trial:1 w:17; Trial:2 w:16; pErr:0.3528, weight 16 CW found:14919</t>
  </si>
  <si>
    <t>Trial:0 w:15; pErr:0.3437, weight 15 CW found:13283</t>
  </si>
  <si>
    <t>Trial:0 w:18; Trial:3 w:15; pErr:0.3461, weight 15 CW found:13267</t>
  </si>
  <si>
    <t>Trial:0 w:28; Trial:2 w:26; Trial:16 w:25; pErr:0.3054, weight 25 CW found:12360</t>
  </si>
  <si>
    <t>Trial:0 w:30; Trial:2 w:29; pErr:0.2394, weight 29 CW found:11068</t>
  </si>
  <si>
    <t>Trial:0 w:21; Trial:1 w:19; Trial:9 w:17; pErr:0.3619, weight 17 CW found:15210</t>
  </si>
  <si>
    <t>Trial:0 w:24; Trial:3 w:22; Trial:4 w:21; pErr:0.3494, weight 21 CW found:12832</t>
  </si>
  <si>
    <t>Trial:0 w:24; Trial:1 w:23; Trial:5 w:21; pErr:0.3532, weight 21 CW found:12904</t>
  </si>
  <si>
    <t>Trial:0 w:20; Trial:1 w:19; Trial:6 w:18; Trial:74 w:17; pErr:0.3607, weight 17 CW found:14797</t>
  </si>
  <si>
    <t>Trial:0 w:28; Trial:6 w:26; Trial:20 w:25; pErr:0.3374, weight 25 CW found:13217</t>
  </si>
  <si>
    <t>Trial:0 w:30; Trial:8 w:29; Trial:71 w:28; pErr:0.3182, weight 28 CW found:11746</t>
  </si>
  <si>
    <t>Trial:0 w:19; Trial:1 w:18; Trial:15 w:17; pErr:0.3621, weight 17 CW found:13547</t>
  </si>
  <si>
    <t>Trial:0 w:29; Trial:28 w:28; Trial:165 w:27; pErr:0.3405, weight 27 CW found:12186</t>
  </si>
  <si>
    <t>Trial:0 w:37; Trial:1 w:36; Trial:2 w:34; pErr:0.2555, weight 34 CW found:10424</t>
  </si>
  <si>
    <t>Trial:0 w:38; Trial:1 w:36; Trial:9 w:35; Trial:102 w:34; pErr:0.2825, weight 34 CW found:11142</t>
  </si>
  <si>
    <t>Trial:0 w:35; Trial:6 w:34; Trial:116 w:33; pErr:0.3181, weight 33 CW found:12464</t>
  </si>
  <si>
    <t>Trial:0 w:39; Trial:1 w:37; Trial:5 w:36; Trial:7 w:35; Trial:119 w:34; pErr:0.3052, weight 34 CW found:11984</t>
  </si>
  <si>
    <t>Trial:0 w:39; Trial:1 w:35; Trial:294 w:34; pErr:0.3247, weight 34 CW found:12605</t>
  </si>
  <si>
    <t>Trial:0 w:37; Trial:30 w:36; Trial:49 w:35; pErr:0.3255, weight 35 CW found:13190</t>
  </si>
  <si>
    <t>Trial:0 w:37; Trial:197 w:36; pErr:0.3163, weight 36 CW found:12895</t>
  </si>
  <si>
    <t>Trial:0 w:41; Trial:1 w:40; Trial:2 w:38; Trial:11 w:36; pErr:0.3279, weight 36 CW found:13586</t>
  </si>
  <si>
    <t>Trial:0 w:41; Trial:1 w:39; Trial:3 w:38; Trial:22 w:37; pErr:0.3303, weight 37 CW found:13873</t>
  </si>
  <si>
    <t>Trial:0 w:26; Trial:13 w:25; pErr:0.3643, weight 25 CW found:13925</t>
  </si>
  <si>
    <t>Trial:0 w:30; Trial:1 w:27; Trial:2 w:25; pErr:0.3649, weight 25 CW found:13877</t>
  </si>
  <si>
    <t>Trial:0 w:31; Trial:1 w:27; Trial:8 w:25; pErr:0.3657, weight 25 CW found:14039</t>
  </si>
  <si>
    <t>Trial:0 w:29; Trial:7 w:28; Trial:10 w:26; Trial:139 w:25; pErr:0.3660, weight 25 CW found:13830</t>
  </si>
  <si>
    <t>Trial:0 w:28; Trial:4 w:27; Trial:35 w:26; pErr:0.3663, weight 26 CW found:14874</t>
  </si>
  <si>
    <t>Trial:0 w:40; Trial:2 w:39; Trial:34 w:38; Trial:53 w:37; pErr:0.3336, weight 37 CW found:13853</t>
  </si>
  <si>
    <t>Trial:0 w:33; Trial:2 w:32; Trial:3 w:31; Trial:4 w:29; pErr:0.3641, weight 29 CW found:12613</t>
  </si>
  <si>
    <t>c Parsing MaxSAT file...\nc ============================[  Problem Statistics ]============================\nc |  Number of variables:          1240                                         |\nc |  Number of clauses:            4657                                         |\nc ===============================================================================\nc Using SCIP solver, version 7.0.3, https://www.scipopt.org\nc scip_time = 0.000000\nc Starting SCIP solver in a separate thread (with time-limit = 0s) ...\nc Using COMiniSatPS SAT solver by Chanseok Oh (2016)\no 23\n</t>
  </si>
  <si>
    <t>c Parsing MaxSAT file...\nc ============================[  Problem Statistics ]============================\nc |  Number of variables:          1362                                         |\nc |  Number of clauses:            5141                                         |\nc ===============================================================================\nc Using SCIP solver, version 7.0.3, https://www.scipopt.org\nc scip_time = 0.000000\nc Starting SCIP solver in a separate thread (with time-limit = 0s) ...\nc Using COMiniSatPS SAT solver by Chanseok Oh (2016)\no 23\n</t>
  </si>
  <si>
    <t>c Parsing MaxSAT file...\nc ============================[  Problem Statistics ]============================\nc |  Number of variables:          1372                                         |\nc |  Number of clauses:            5177                                         |\nc ===============================================================================\nc Using SCIP solver, version 7.0.3, https://www.scipopt.org\nc scip_time = 0.000000\nc Starting SCIP solver in a separate thread (with time-limit = 0s) ...\nc Using COMiniSatPS SAT solver by Chanseok Oh (2016)\no 22\n</t>
  </si>
  <si>
    <t># wmax=99 found cw of weight 32: [0 3 6 8 9 12 14 15 18 20 21 24 26 27 30 32 33 36 38 39 40 45 46 49 50 51 52 53 54 55 56 57]\n32\n</t>
  </si>
  <si>
    <t>w:15; T:28800127ms; iterations:49749996</t>
  </si>
  <si>
    <t>w:16; T:28800892ms; iterations:46818166</t>
  </si>
  <si>
    <t>w:15; T:28801314ms; iterations:50966486</t>
  </si>
  <si>
    <t>nMax completed</t>
  </si>
  <si>
    <t>c Parsing MaxSAT file...\nc ============================[  Problem Statistics ]============================\nc |  Number of variables:          1190                                         |\nc |  Number of clauses:            4487                                         |\nc ===============================================================================\nc Using SCIP solver, version 7.0.3, https://www.scipopt.org\nc scip_time = 0.000000\nc Starting SCIP solver in a separate thread (with time-limit = 0s) ...\nc Using COMiniSatPS SAT solver by Chanseok Oh (2016)\no 33\no 26\n</t>
  </si>
  <si>
    <t>c Parsing MaxSAT file...\nc ============================[  Problem Statistics ]============================\nc |  Number of variables:          1072                                         |\nc |  Number of clauses:            4025                                         |\nc ===============================================================================\nc Using SCIP solver, version 7.0.3, https://www.scipopt.org\nc scip_time = 0.000000\nc Starting SCIP solver in a separate thread (with time-limit = 0s) ...\nc Using COMiniSatPS SAT solver by Chanseok Oh (2016)\no 38\no 30\n</t>
  </si>
  <si>
    <t>c Parsing MaxSAT file...\nc ============================[  Problem Statistics ]============================\nc |  Number of variables:          1483                                         |\nc |  Number of clauses:            5615                                         |\nc ===============================================================================\nc Using SCIP solver, version 7.0.3, https://www.scipopt.org\nc scip_time = 0.000000\nc Starting SCIP solver in a separate thread (with time-limit = 0s) ...\nc Using COMiniSatPS SAT solver by Chanseok Oh (2016)\no 27\n</t>
  </si>
  <si>
    <t>c Parsing MaxSAT file...\nc ============================[  Problem Statistics ]============================\nc |  Number of variables:          1428                                         |\nc |  Number of clauses:            5413                                         |\nc ===============================================================================\nc Using SCIP solver, version 7.0.3, https://www.scipopt.org\nc scip_time = 0.000000\nc Starting SCIP solver in a separate thread (with time-limit = 0s) ...\nc Using COMiniSatPS SAT solver by Chanseok Oh (2016)\no 56\n</t>
  </si>
  <si>
    <t>c Parsing MaxSAT file...\nc ============================[  Problem Statistics ]============================\nc |  Number of variables:          1433                                         |\nc |  Number of clauses:            5429                                         |\nc ===============================================================================\nc Using SCIP solver, version 7.0.3, https://www.scipopt.org\nc scip_time = 0.000000\nc Starting SCIP solver in a separate thread (with time-limit = 0s) ...\nc Using COMiniSatPS SAT solver by Chanseok Oh (2016)\no 38\n</t>
  </si>
  <si>
    <t># wmax=99 found cw of weight 29: [0 1 2 3 4 5 6 7 18 19 20 21 22 23 24 25 26 27 53 54 55 56 57 58 59 60 61 62 70]\n29\n</t>
  </si>
  <si>
    <t># wmax=99 found cw of weight 32: [0 1 2 3 6 7 10 13 14 15 20 22 24 28 30 31 33 34 37 38 40 41 44 49 56 59 60 62 66 70 71 72]\n32\n</t>
  </si>
  <si>
    <t>w:15; T:28801485ms; iterations:48195389</t>
  </si>
  <si>
    <t>w:25; T:28801073ms; iterations:53008314</t>
  </si>
  <si>
    <t>w:29; T:28801396ms; iterations:63442555</t>
  </si>
  <si>
    <t>w:17; T:28802674ms; iterations:36624703</t>
  </si>
  <si>
    <t>w:21; T:28800098ms; iterations:42523391</t>
  </si>
  <si>
    <t>Exact Method Check</t>
  </si>
  <si>
    <t>method: UndetectableErrorStim</t>
  </si>
  <si>
    <t>nMin: 1</t>
  </si>
  <si>
    <t>nMax: 100000</t>
  </si>
  <si>
    <t>GF4blockRep: 3</t>
  </si>
  <si>
    <t>regroupPerm: 1</t>
  </si>
  <si>
    <t>outfile: /home/ucapmwe/dist-benchmark/results/codeTables-GF2_sample.txt-ColourCodeDistStim-20260203_135026.787770_85062422.txt</t>
  </si>
  <si>
    <t>dont_explore_detection_event_sets_with_size_above=3,dont_explore_edges_with_degree_above=2; Found w:2</t>
  </si>
  <si>
    <t>dont_explore_detection_event_sets_with_size_above=3,dont_explore_edges_with_degree_above=3; Found w:3</t>
  </si>
  <si>
    <t>dont_explore_detection_event_sets_with_size_above=3,dont_explore_edges_with_degree_above=4; Found w:4</t>
  </si>
  <si>
    <t>dont_explore_detection_event_sets_with_size_above=3,dont_explore_edges_with_degree_above=5; Found w:4</t>
  </si>
  <si>
    <t>dont_explore_detection_event_sets_with_size_above=3,dont_explore_edges_with_degree_above=4; Found w:3</t>
  </si>
  <si>
    <t>dont_explore_detection_event_sets_with_size_above=3,dont_explore_edges_with_degree_above=7; Found w:5</t>
  </si>
  <si>
    <t>dont_explore_detection_event_sets_with_size_above=3,dont_explore_edges_with_degree_above=8; no lo found</t>
  </si>
  <si>
    <t>dont_explore_detection_event_sets_with_size_above=3,dont_explore_edges_with_degree_above=9; no lo found</t>
  </si>
  <si>
    <t>dont_explore_detection_event_sets_with_size_above=3,dont_explore_edges_with_degree_above=8; Found w:5</t>
  </si>
  <si>
    <t>dont_explore_detection_event_sets_with_size_above=3,dont_explore_edges_with_degree_above=15; no lo found</t>
  </si>
  <si>
    <t>dont_explore_detection_event_sets_with_size_above=3,dont_explore_edges_with_degree_above=16; no lo found</t>
  </si>
  <si>
    <t>dont_explore_detection_event_sets_with_size_above=3,dont_explore_edges_with_degree_above=21; no lo found</t>
  </si>
  <si>
    <t>dont_explore_detection_event_sets_with_size_above=3,dont_explore_edges_with_degree_above=10; Found w:5</t>
  </si>
  <si>
    <t>dont_explore_detection_event_sets_with_size_above=3,dont_explore_edges_with_degree_above=17; no lo found</t>
  </si>
  <si>
    <t>dont_explore_detection_event_sets_with_size_above=3,dont_explore_edges_with_degree_above=23; no lo found</t>
  </si>
  <si>
    <t>dont_explore_detection_event_sets_with_size_above=3,dont_explore_edges_with_degree_above=24; no lo found</t>
  </si>
  <si>
    <t>dont_explore_detection_event_sets_with_size_above=3,dont_explore_edges_with_degree_above=28; no lo found</t>
  </si>
  <si>
    <t>dont_explore_detection_event_sets_with_size_above=3,dont_explore_edges_with_degree_above=30; no lo found</t>
  </si>
  <si>
    <t>dont_explore_detection_event_sets_with_size_above=3,dont_explore_edges_with_degree_above=31; no lo found</t>
  </si>
  <si>
    <t>dont_explore_detection_event_sets_with_size_above=3,dont_explore_edges_with_degree_above=35; no lo found</t>
  </si>
  <si>
    <t>dont_explore_detection_event_sets_with_size_above=3,dont_explore_edges_with_degree_above=32; no lo found</t>
  </si>
  <si>
    <t>dont_explore_detection_event_sets_with_size_above=3,dont_explore_edges_with_degree_above=27; no lo found</t>
  </si>
  <si>
    <t>dont_explore_detection_event_sets_with_size_above=3,dont_explore_edges_with_degree_above=33; no lo found</t>
  </si>
  <si>
    <t>dont_explore_detection_event_sets_with_size_above=3,dont_explore_edges_with_degree_above=22; no lo found</t>
  </si>
  <si>
    <t>dont_explore_detection_event_sets_with_size_above=3,dont_explore_edges_with_degree_above=45; no lo found</t>
  </si>
  <si>
    <t>dont_explore_detection_event_sets_with_size_above=3,dont_explore_edges_with_degree_above=37; no lo found</t>
  </si>
  <si>
    <t>dont_explore_detection_event_sets_with_size_above=3,dont_explore_edges_with_degree_above=39; no lo found</t>
  </si>
  <si>
    <t>dont_explore_detection_event_sets_with_size_above=3,dont_explore_edges_with_degree_above=55; no lo found</t>
  </si>
  <si>
    <t>dont_explore_detection_event_sets_with_size_above=3,dont_explore_edges_with_degree_above=40; no lo found</t>
  </si>
  <si>
    <t>dont_explore_detection_event_sets_with_size_above=3,dont_explore_edges_with_degree_above=43; no lo found</t>
  </si>
  <si>
    <t>dont_explore_detection_event_sets_with_size_above=3,dont_explore_edges_with_degree_above=41; no lo found</t>
  </si>
  <si>
    <t>dont_explore_detection_event_sets_with_size_above=3,dont_explore_edges_with_degree_above=34; no lo found</t>
  </si>
  <si>
    <t>dont_explore_detection_event_sets_with_size_above=3,dont_explore_edges_with_degree_above=59; no lo found</t>
  </si>
  <si>
    <t>dont_explore_detection_event_sets_with_size_above=3,dont_explore_edges_with_degree_above=65; no lo found</t>
  </si>
  <si>
    <t>dont_explore_detection_event_sets_with_size_above=3,dont_explore_edges_with_degree_above=47; no lo found</t>
  </si>
  <si>
    <t>dont_explore_detection_event_sets_with_size_above=3,dont_explore_edges_with_degree_above=36; no lo found</t>
  </si>
  <si>
    <t>dont_explore_detection_event_sets_with_size_above=3,dont_explore_edges_with_degree_above=49; no lo found</t>
  </si>
  <si>
    <t>dont_explore_detection_event_sets_with_size_above=3,dont_explore_edges_with_degree_above=42; no lo found</t>
  </si>
  <si>
    <t>dont_explore_detection_event_sets_with_size_above=3,dont_explore_edges_with_degree_above=62; no lo found</t>
  </si>
  <si>
    <t>dont_explore_detection_event_sets_with_size_above=3,dont_explore_edges_with_degree_above=63; no lo found</t>
  </si>
  <si>
    <t>dont_explore_detection_event_sets_with_size_above=3,dont_explore_edges_with_degree_above=57; no lo found</t>
  </si>
  <si>
    <t>dont_explore_detection_event_sets_with_size_above=3,dont_explore_edges_with_degree_above=48; no lo found</t>
  </si>
  <si>
    <t>dont_explore_detection_event_sets_with_size_above=3,dont_explore_edges_with_degree_above=69; no lo found</t>
  </si>
  <si>
    <t>dont_explore_detection_event_sets_with_size_above=3,dont_explore_edges_with_degree_above=76; no lo found</t>
  </si>
  <si>
    <t>dont_explore_detection_event_sets_with_size_above=3,dont_explore_edges_with_degree_above=51; no lo found</t>
  </si>
  <si>
    <t>dont_explore_detection_event_sets_with_size_above=3,dont_explore_edges_with_degree_above=53; no lo found</t>
  </si>
  <si>
    <t>dont_explore_detection_event_sets_with_size_above=3,dont_explore_edges_with_degree_above=72; no lo found</t>
  </si>
  <si>
    <t>dont_explore_detection_event_sets_with_size_above=3,dont_explore_edges_with_degree_above=77; no lo found</t>
  </si>
  <si>
    <t>dont_explore_detection_event_sets_with_size_above=3,dont_explore_edges_with_degree_above=54; no lo found</t>
  </si>
  <si>
    <t>dont_explore_detection_event_sets_with_size_above=3,dont_explore_edges_with_degree_above=87; no lo found</t>
  </si>
  <si>
    <t>dont_explore_detection_event_sets_with_size_above=3,dont_explore_edges_with_degree_above=86; no lo found</t>
  </si>
  <si>
    <t>dont_explore_detection_event_sets_with_size_above=3,dont_explore_edges_with_degree_above=88; no lo found</t>
  </si>
  <si>
    <t>dont_explore_detection_event_sets_with_size_above=3,dont_explore_edges_with_degree_above=89; no lo found</t>
  </si>
  <si>
    <t>dont_explore_detection_event_sets_with_size_above=3,dont_explore_edges_with_degree_above=91; no lo found</t>
  </si>
  <si>
    <t>dont_explore_detection_event_sets_with_size_above=3,dont_explore_edges_with_degree_above=92; no lo found</t>
  </si>
  <si>
    <t>dont_explore_detection_event_sets_with_size_above=3,dont_explore_edges_with_degree_above=75; no lo found</t>
  </si>
  <si>
    <t>dont_explore_detection_event_sets_with_size_above=3,dont_explore_edges_with_degree_above=97; no lo found</t>
  </si>
  <si>
    <t>dont_explore_detection_event_sets_with_size_above=3,dont_explore_edges_with_degree_above=84; no lo found</t>
  </si>
  <si>
    <t>outfile: /home/ucapmwe/dist-benchmark/results/codeTables-GF2_sample.txt-GraphLikeErrorStim-20260203_135026.765047_85062422.txt</t>
  </si>
  <si>
    <t>dont_explore_detection_event_sets_with_size_above=2,dont_explore_edges_with_degree_above=2; Found w:2</t>
  </si>
  <si>
    <t>dont_explore_detection_event_sets_with_size_above=2,dont_explore_edges_with_degree_above=2; Found w:3</t>
  </si>
  <si>
    <t>dont_explore_detection_event_sets_with_size_above=2,dont_explore_edges_with_degree_above=2; no lo found</t>
  </si>
  <si>
    <t>outfile: /home/ucapmwe/dist-benchmark/results/codeTables-GF2_sample.txt-UndetectableErrorStim-20260203_135027.033084_85062422.txt</t>
  </si>
  <si>
    <t>dont_explore_detection_event_sets_with_size_above=2,dont_explore_edges_with_degree_above=2; Found w:2; dont_explore_detection_event_sets_with_size_above=3,dont_explore_edges_with_degree_above=2; Found w:2; Breaking - same result 2 times</t>
  </si>
  <si>
    <t>dont_explore_detection_event_sets_with_size_above=2,dont_explore_edges_with_degree_above=3; Found w:3; dont_explore_detection_event_sets_with_size_above=3,dont_explore_edges_with_degree_above=3; Found w:3; Breaking - same result 2 times</t>
  </si>
  <si>
    <t>dont_explore_detection_event_sets_with_size_above=2,dont_explore_edges_with_degree_above=4; Found w:4; dont_explore_detection_event_sets_with_size_above=3,dont_explore_edges_with_degree_above=4; Found w:4; Breaking - same result 2 times</t>
  </si>
  <si>
    <t>dont_explore_detection_event_sets_with_size_above=2,dont_explore_edges_with_degree_above=5; Found w:4; dont_explore_detection_event_sets_with_size_above=3,dont_explore_edges_with_degree_above=5; Found w:4; Breaking - same result 2 times</t>
  </si>
  <si>
    <t>dont_explore_detection_event_sets_with_size_above=2,dont_explore_edges_with_degree_above=4; Found w:4; dont_explore_detection_event_sets_with_size_above=3,dont_explore_edges_with_degree_above=4; Found w:3; dont_explore_detection_event_sets_with_size_above=4,dont_explore_edges_with_degree_above=4; Found w:3; Breaking - same result 2 times</t>
  </si>
  <si>
    <t>dont_explore_detection_event_sets_with_size_above=2,dont_explore_edges_with_degree_above=7; no lo found; dont_explore_detection_event_sets_with_size_above=3,dont_explore_edges_with_degree_above=7; Found w:5; dont_explore_detection_event_sets_with_size_above=4,dont_explore_edges_with_degree_above=7; Found w:5; Breaking - same result 2 times</t>
  </si>
  <si>
    <t>dont_explore_detection_event_sets_with_size_above=2,dont_explore_edges_with_degree_above=8; no lo found; dont_explore_detection_event_sets_with_size_above=3,dont_explore_edges_with_degree_above=8; no lo found; dont_explore_detection_event_sets_with_size_above=4,dont_explore_edges_with_degree_above=8; Found w:6; dont_explore_detection_event_sets_with_size_above=5,dont_explore_edges_with_degree_above=8; Found w:6; Breaking - same result 2 times</t>
  </si>
  <si>
    <t>dont_explore_detection_event_sets_with_size_above=2,dont_explore_edges_with_degree_above=9; no lo found; dont_explore_detection_event_sets_with_size_above=3,dont_explore_edges_with_degree_above=9; no lo found; dont_explore_detection_event_sets_with_size_above=4,dont_explore_edges_with_degree_above=9; Found w:6; dont_explore_detection_event_sets_with_size_above=5,dont_explore_edges_with_degree_above=9; Found w:6; Breaking - same result 2 times</t>
  </si>
  <si>
    <t>dont_explore_detection_event_sets_with_size_above=2,dont_explore_edges_with_degree_above=8; no lo found; dont_explore_detection_event_sets_with_size_above=3,dont_explore_edges_with_degree_above=8; Found w:5; dont_explore_detection_event_sets_with_size_above=4,dont_explore_edges_with_degree_above=8; Found w:5; Breaking - same result 2 times</t>
  </si>
  <si>
    <t>dont_explore_detection_event_sets_with_size_above=2,dont_explore_edges_with_degree_above=15; no lo found; dont_explore_detection_event_sets_with_size_above=3,dont_explore_edges_with_degree_above=15; no lo found; dont_explore_detection_event_sets_with_size_above=4,dont_explore_edges_with_degree_above=15; no lo found; dont_explore_detection_event_sets_with_size_above=5,dont_explore_edges_with_degree_above=15; no lo found; dont_explore_detection_event_sets_with_size_above=6,dont_explore_edges_with_degree_above=15; no lo found; dont_explore_detection_event_sets_with_size_above=7,dont_explore_edges_with_degree_above=15; Found w:9; dont_explore_detection_event_sets_with_size_above=8,dont_explore_edges_with_degree_above=15; Found w:9; Breaking - same result 2 times</t>
  </si>
  <si>
    <t>dont_explore_detection_event_sets_with_size_above=2,dont_explore_edges_with_degree_above=16; no lo found; dont_explore_detection_event_sets_with_size_above=3,dont_explore_edges_with_degree_above=16; no lo found; dont_explore_detection_event_sets_with_size_above=4,dont_explore_edges_with_degree_above=16; no lo found; dont_explore_detection_event_sets_with_size_above=5,dont_explore_edges_with_degree_above=16; no lo found; dont_explore_detection_event_sets_with_size_above=6,dont_explore_edges_with_degree_above=16; no lo found; dont_explore_detection_event_sets_with_size_above=7,dont_explore_edges_with_degree_above=16; no lo found; dont_explore_detection_event_sets_with_size_above=8,dont_explore_edges_with_degree_above=16; Found w:10; dont_explore_detection_event_sets_with_size_above=9,dont_explore_edges_with_degree_above=16; Found w:10; Breaking - same result 2 times</t>
  </si>
  <si>
    <t>dont_explore_detection_event_sets_with_size_above=2,dont_explore_edges_with_degree_above=16; no lo found; dont_explore_detection_event_sets_with_size_above=3,dont_explore_edges_with_degree_above=16; no lo found; dont_explore_detection_event_sets_with_size_above=4,dont_explore_edges_with_degree_above=16; no lo found; dont_explore_detection_event_sets_with_size_above=5,dont_explore_edges_with_degree_above=16; no lo found; dont_explore_detection_event_sets_with_size_above=6,dont_explore_edges_with_degree_above=16; no lo found; dont_explore_detection_event_sets_with_size_above=7,dont_explore_edges_with_degree_above=16; Found w:9; dont_explore_detection_event_sets_with_size_above=8,dont_explore_edges_with_degree_above=16; Found w:9; Breaking - same result 2 times</t>
  </si>
  <si>
    <t>dont_explore_detection_event_sets_with_size_above=2,dont_explore_edges_with_degree_above=21; no lo found; dont_explore_detection_event_sets_with_size_above=3,dont_explore_edges_with_degree_above=21; no lo found; dont_explore_detection_event_sets_with_size_above=4,dont_explore_edges_with_degree_above=21; no lo found; dont_explore_detection_event_sets_with_size_above=5,dont_explore_edges_with_degree_above=21; no lo found; dont_explore_detection_event_sets_with_size_above=6,dont_explore_edges_with_degree_above=21; no lo found; dont_explore_detection_event_sets_with_size_above=7,dont_explore_edges_with_degree_above=21; no lo found; dont_explore_detection_event_sets_with_size_above=8,dont_explore_edges_with_degree_above=21; no lo found; dont_explore_detection_event_sets_with_size_above=9,dont_explore_edges_with_degree_above=21; no lo found; dont_explore_detection_event_sets_with_size_above=10,dont_explore_edges_with_degree_above=21; no lo found</t>
  </si>
  <si>
    <t>dont_explore_detection_event_sets_with_size_above=2,dont_explore_edges_with_degree_above=10; no lo found; dont_explore_detection_event_sets_with_size_above=3,dont_explore_edges_with_degree_above=10; Found w:5; dont_explore_detection_event_sets_with_size_above=4,dont_explore_edges_with_degree_above=10; Found w:5; Breaking - same result 2 times</t>
  </si>
  <si>
    <t>dont_explore_detection_event_sets_with_size_above=2,dont_explore_edges_with_degree_above=17; no lo found; dont_explore_detection_event_sets_with_size_above=3,dont_explore_edges_with_degree_above=17; no lo found; dont_explore_detection_event_sets_with_size_above=4,dont_explore_edges_with_degree_above=17; no lo found; dont_explore_detection_event_sets_with_size_above=5,dont_explore_edges_with_degree_above=17; no lo found; dont_explore_detection_event_sets_with_size_above=6,dont_explore_edges_with_degree_above=17; no lo found; dont_explore_detection_event_sets_with_size_above=7,dont_explore_edges_with_degree_above=17; Found w:9; dont_explore_detection_event_sets_with_size_above=8,dont_explore_edges_with_degree_above=17; Found w:9; Breaking - same result 2 times</t>
  </si>
  <si>
    <t>dont_explore_detection_event_sets_with_size_above=2,dont_explore_edges_with_degree_above=23; no lo found; dont_explore_detection_event_sets_with_size_above=3,dont_explore_edges_with_degree_above=23; no lo found; dont_explore_detection_event_sets_with_size_above=4,dont_explore_edges_with_degree_above=23; no lo found; dont_explore_detection_event_sets_with_size_above=5,dont_explore_edges_with_degree_above=23; no lo found; dont_explore_detection_event_sets_with_size_above=6,dont_explore_edges_with_degree_above=23; no lo found; dont_explore_detection_event_sets_with_size_above=7,dont_explore_edges_with_degree_above=23; no lo found; dont_explore_detection_event_sets_with_size_above=8,dont_explore_edges_with_degree_above=23; no lo found; dont_explore_detection_event_sets_with_size_above=9,dont_explore_edges_with_degree_above=23; no lo found; dont_explore_detection_event_sets_with_size_above=10,dont_explore_edges_with_degree_above=23; no lo found</t>
  </si>
  <si>
    <t>dont_explore_detection_event_sets_with_size_above=2,dont_explore_edges_with_degree_above=24; no lo found; dont_explore_detection_event_sets_with_size_above=3,dont_explore_edges_with_degree_above=24; no lo found; dont_explore_detection_event_sets_with_size_above=4,dont_explore_edges_with_degree_above=24; no lo found; dont_explore_detection_event_sets_with_size_above=5,dont_explore_edges_with_degree_above=24; no lo found; dont_explore_detection_event_sets_with_size_above=6,dont_explore_edges_with_degree_above=24; no lo found; dont_explore_detection_event_sets_with_size_above=7,dont_explore_edges_with_degree_above=24; no lo found; dont_explore_detection_event_sets_with_size_above=8,dont_explore_edges_with_degree_above=24; no lo found; dont_explore_detection_event_sets_with_size_above=9,dont_explore_edges_with_degree_above=24; no lo found; dont_explore_detection_event_sets_with_size_above=10,dont_explore_edges_with_degree_above=24; no lo found</t>
  </si>
  <si>
    <t>dont_explore_detection_event_sets_with_size_above=2,dont_explore_edges_with_degree_above=28; no lo found; dont_explore_detection_event_sets_with_size_above=3,dont_explore_edges_with_degree_above=28; no lo found; dont_explore_detection_event_sets_with_size_above=4,dont_explore_edges_with_degree_above=28; no lo found; dont_explore_detection_event_sets_with_size_above=5,dont_explore_edges_with_degree_above=28; no lo found; dont_explore_detection_event_sets_with_size_above=6,dont_explore_edges_with_degree_above=28; no lo found; dont_explore_detection_event_sets_with_size_above=7,dont_explore_edges_with_degree_above=28; no lo found; dont_explore_detection_event_sets_with_size_above=8,dont_explore_edges_with_degree_above=28; no lo found; dont_explore_detection_event_sets_with_size_above=9,dont_explore_edges_with_degree_above=28; no lo found; dont_explore_detection_event_sets_with_size_above=10,dont_explore_edges_with_degree_above=28; no lo found</t>
  </si>
  <si>
    <t>dont_explore_detection_event_sets_with_size_above=2,dont_explore_edges_with_degree_above=15; no lo found; dont_explore_detection_event_sets_with_size_above=3,dont_explore_edges_with_degree_above=15; no lo found; dont_explore_detection_event_sets_with_size_above=4,dont_explore_edges_with_degree_above=15; no lo found; dont_explore_detection_event_sets_with_size_above=5,dont_explore_edges_with_degree_above=15; Found w:7; dont_explore_detection_event_sets_with_size_above=6,dont_explore_edges_with_degree_above=15; Found w:7; Breaking - same result 2 times</t>
  </si>
  <si>
    <t>dont_explore_detection_event_sets_with_size_above=2,dont_explore_edges_with_degree_above=30; no lo found; dont_explore_detection_event_sets_with_size_above=3,dont_explore_edges_with_degree_above=30; no lo found; dont_explore_detection_event_sets_with_size_above=4,dont_explore_edges_with_degree_above=30; no lo found; dont_explore_detection_event_sets_with_size_above=5,dont_explore_edges_with_degree_above=30; no lo found; dont_explore_detection_event_sets_with_size_above=6,dont_explore_edges_with_degree_above=30; no lo found; dont_explore_detection_event_sets_with_size_above=7,dont_explore_edges_with_degree_above=30; no lo found; dont_explore_detection_event_sets_with_size_above=8,dont_explore_edges_with_degree_above=30; no lo found; dont_explore_detection_event_sets_with_size_above=9,dont_explore_edges_with_degree_above=30; no lo found; dont_explore_detection_event_sets_with_size_above=10,dont_explore_edges_with_degree_above=30; no lo found</t>
  </si>
  <si>
    <t>dont_explore_detection_event_sets_with_size_above=2,dont_explore_edges_with_degree_above=31; no lo found; dont_explore_detection_event_sets_with_size_above=3,dont_explore_edges_with_degree_above=31; no lo found; dont_explore_detection_event_sets_with_size_above=4,dont_explore_edges_with_degree_above=31; no lo found; dont_explore_detection_event_sets_with_size_above=5,dont_explore_edges_with_degree_above=31; no lo found; dont_explore_detection_event_sets_with_size_above=6,dont_explore_edges_with_degree_above=31; no lo found; dont_explore_detection_event_sets_with_size_above=7,dont_explore_edges_with_degree_above=31; no lo found; dont_explore_detection_event_sets_with_size_above=8,dont_explore_edges_with_degree_above=31; no lo found; dont_explore_detection_event_sets_with_size_above=9,dont_explore_edges_with_degree_above=31; no lo found; dont_explore_detection_event_sets_with_size_above=10,dont_explore_edges_with_degree_above=31; no lo found</t>
  </si>
  <si>
    <t>dont_explore_detection_event_sets_with_size_above=2,dont_explore_edges_with_degree_above=35; no lo found; dont_explore_detection_event_sets_with_size_above=3,dont_explore_edges_with_degree_above=35; no lo found; dont_explore_detection_event_sets_with_size_above=4,dont_explore_edges_with_degree_above=35; no lo found; dont_explore_detection_event_sets_with_size_above=5,dont_explore_edges_with_degree_above=35; no lo found; dont_explore_detection_event_sets_with_size_above=6,dont_explore_edges_with_degree_above=35; no lo found; dont_explore_detection_event_sets_with_size_above=7,dont_explore_edges_with_degree_above=35; no lo found; dont_explore_detection_event_sets_with_size_above=8,dont_explore_edges_with_degree_above=35; no lo found; dont_explore_detection_event_sets_with_size_above=9,dont_explore_edges_with_degree_above=35; no lo found; dont_explore_detection_event_sets_with_size_above=10,dont_explore_edges_with_degree_above=35; no lo found</t>
  </si>
  <si>
    <t>dont_explore_detection_event_sets_with_size_above=2,dont_explore_edges_with_degree_above=32; no lo found; dont_explore_detection_event_sets_with_size_above=3,dont_explore_edges_with_degree_above=32; no lo found; dont_explore_detection_event_sets_with_size_above=4,dont_explore_edges_with_degree_above=32; no lo found; dont_explore_detection_event_sets_with_size_above=5,dont_explore_edges_with_degree_above=32; no lo found; dont_explore_detection_event_sets_with_size_above=6,dont_explore_edges_with_degree_above=32; no lo found; dont_explore_detection_event_sets_with_size_above=7,dont_explore_edges_with_degree_above=32; no lo found; dont_explore_detection_event_sets_with_size_above=8,dont_explore_edges_with_degree_above=32; no lo found; dont_explore_detection_event_sets_with_size_above=9,dont_explore_edges_with_degree_above=32; no lo found; dont_explore_detection_event_sets_with_size_above=10,dont_explore_edges_with_degree_above=32; no lo found</t>
  </si>
  <si>
    <t>dont_explore_detection_event_sets_with_size_above=2,dont_explore_edges_with_degree_above=27; no lo found; dont_explore_detection_event_sets_with_size_above=3,dont_explore_edges_with_degree_above=27; no lo found; dont_explore_detection_event_sets_with_size_above=4,dont_explore_edges_with_degree_above=27; no lo found; dont_explore_detection_event_sets_with_size_above=5,dont_explore_edges_with_degree_above=27; no lo found; dont_explore_detection_event_sets_with_size_above=6,dont_explore_edges_with_degree_above=27; no lo found; dont_explore_detection_event_sets_with_size_above=7,dont_explore_edges_with_degree_above=27; no lo found; dont_explore_detection_event_sets_with_size_above=8,dont_explore_edges_with_degree_above=27; no lo found; dont_explore_detection_event_sets_with_size_above=9,dont_explore_edges_with_degree_above=27; no lo found; dont_explore_detection_event_sets_with_size_above=10,dont_explore_edges_with_degree_above=27; no lo found</t>
  </si>
  <si>
    <t>dont_explore_detection_event_sets_with_size_above=2,dont_explore_edges_with_degree_above=33; no lo found; dont_explore_detection_event_sets_with_size_above=3,dont_explore_edges_with_degree_above=33; no lo found; dont_explore_detection_event_sets_with_size_above=4,dont_explore_edges_with_degree_above=33; no lo found; dont_explore_detection_event_sets_with_size_above=5,dont_explore_edges_with_degree_above=33; no lo found; dont_explore_detection_event_sets_with_size_above=6,dont_explore_edges_with_degree_above=33; no lo found; dont_explore_detection_event_sets_with_size_above=7,dont_explore_edges_with_degree_above=33; no lo found; dont_explore_detection_event_sets_with_size_above=8,dont_explore_edges_with_degree_above=33; no lo found; dont_explore_detection_event_sets_with_size_above=9,dont_explore_edges_with_degree_above=33; no lo found; dont_explore_detection_event_sets_with_size_above=10,dont_explore_edges_with_degree_above=33; no lo found</t>
  </si>
  <si>
    <t>dont_explore_detection_event_sets_with_size_above=2,dont_explore_edges_with_degree_above=21; no lo found; dont_explore_detection_event_sets_with_size_above=3,dont_explore_edges_with_degree_above=21; no lo found; dont_explore_detection_event_sets_with_size_above=4,dont_explore_edges_with_degree_above=21; no lo found; dont_explore_detection_event_sets_with_size_above=5,dont_explore_edges_with_degree_above=21; no lo found; dont_explore_detection_event_sets_with_size_above=6,dont_explore_edges_with_degree_above=21; no lo found; dont_explore_detection_event_sets_with_size_above=7,dont_explore_edges_with_degree_above=21; Found w:9; dont_explore_detection_event_sets_with_size_above=8,dont_explore_edges_with_degree_above=21; Found w:9; Breaking - same result 2 times</t>
  </si>
  <si>
    <t>dont_explore_detection_event_sets_with_size_above=2,dont_explore_edges_with_degree_above=22; no lo found; dont_explore_detection_event_sets_with_size_above=3,dont_explore_edges_with_degree_above=22; no lo found; dont_explore_detection_event_sets_with_size_above=4,dont_explore_edges_with_degree_above=22; no lo found; dont_explore_detection_event_sets_with_size_above=5,dont_explore_edges_with_degree_above=22; no lo found; dont_explore_detection_event_sets_with_size_above=6,dont_explore_edges_with_degree_above=22; no lo found; dont_explore_detection_event_sets_with_size_above=7,dont_explore_edges_with_degree_above=22; Found w:9; dont_explore_detection_event_sets_with_size_above=8,dont_explore_edges_with_degree_above=22; Found w:9; Breaking - same result 2 times</t>
  </si>
  <si>
    <t>dont_explore_detection_event_sets_with_size_above=2,dont_explore_edges_with_degree_above=45; no lo found; dont_explore_detection_event_sets_with_size_above=3,dont_explore_edges_with_degree_above=45; no lo found; dont_explore_detection_event_sets_with_size_above=4,dont_explore_edges_with_degree_above=45; no lo found; dont_explore_detection_event_sets_with_size_above=5,dont_explore_edges_with_degree_above=45; no lo found; dont_explore_detection_event_sets_with_size_above=6,dont_explore_edges_with_degree_above=45; no lo found; dont_explore_detection_event_sets_with_size_above=7,dont_explore_edges_with_degree_above=45; no lo found; dont_explore_detection_event_sets_with_size_above=8,dont_explore_edges_with_degree_above=45; no lo found; dont_explore_detection_event_sets_with_size_above=9,dont_explore_edges_with_degree_above=45; no lo found; dont_explore_detection_event_sets_with_size_above=10,dont_explore_edges_with_degree_above=45; no lo found</t>
  </si>
  <si>
    <t>dont_explore_detection_event_sets_with_size_above=2,dont_explore_edges_with_degree_above=23; no lo found; dont_explore_detection_event_sets_with_size_above=3,dont_explore_edges_with_degree_above=23; no lo found; dont_explore_detection_event_sets_with_size_above=4,dont_explore_edges_with_degree_above=23; no lo found; dont_explore_detection_event_sets_with_size_above=5,dont_explore_edges_with_degree_above=23; no lo found; dont_explore_detection_event_sets_with_size_above=6,dont_explore_edges_with_degree_above=23; no lo found; dont_explore_detection_event_sets_with_size_above=7,dont_explore_edges_with_degree_above=23; Found w:9; dont_explore_detection_event_sets_with_size_above=8,dont_explore_edges_with_degree_above=23; Found w:9; Breaking - same result 2 times</t>
  </si>
  <si>
    <t>dont_explore_detection_event_sets_with_size_above=2,dont_explore_edges_with_degree_above=37; no lo found; dont_explore_detection_event_sets_with_size_above=3,dont_explore_edges_with_degree_above=37; no lo found; dont_explore_detection_event_sets_with_size_above=4,dont_explore_edges_with_degree_above=37; no lo found; dont_explore_detection_event_sets_with_size_above=5,dont_explore_edges_with_degree_above=37; no lo found; dont_explore_detection_event_sets_with_size_above=6,dont_explore_edges_with_degree_above=37; no lo found; dont_explore_detection_event_sets_with_size_above=7,dont_explore_edges_with_degree_above=37; no lo found; dont_explore_detection_event_sets_with_size_above=8,dont_explore_edges_with_degree_above=37; no lo found; dont_explore_detection_event_sets_with_size_above=9,dont_explore_edges_with_degree_above=37; no lo found; dont_explore_detection_event_sets_with_size_above=10,dont_explore_edges_with_degree_above=37; no lo found</t>
  </si>
  <si>
    <t>dont_explore_detection_event_sets_with_size_above=2,dont_explore_edges_with_degree_above=39; no lo found; dont_explore_detection_event_sets_with_size_above=3,dont_explore_edges_with_degree_above=39; no lo found; dont_explore_detection_event_sets_with_size_above=4,dont_explore_edges_with_degree_above=39; no lo found; dont_explore_detection_event_sets_with_size_above=5,dont_explore_edges_with_degree_above=39; no lo found; dont_explore_detection_event_sets_with_size_above=6,dont_explore_edges_with_degree_above=39; no lo found; dont_explore_detection_event_sets_with_size_above=7,dont_explore_edges_with_degree_above=39; no lo found; dont_explore_detection_event_sets_with_size_above=8,dont_explore_edges_with_degree_above=39; no lo found; dont_explore_detection_event_sets_with_size_above=9,dont_explore_edges_with_degree_above=39; no lo found; dont_explore_detection_event_sets_with_size_above=10,dont_explore_edges_with_degree_above=39; no lo found</t>
  </si>
  <si>
    <t>dont_explore_detection_event_sets_with_size_above=2,dont_explore_edges_with_degree_above=55; no lo found; dont_explore_detection_event_sets_with_size_above=3,dont_explore_edges_with_degree_above=55; no lo found; dont_explore_detection_event_sets_with_size_above=4,dont_explore_edges_with_degree_above=55; no lo found; dont_explore_detection_event_sets_with_size_above=5,dont_explore_edges_with_degree_above=55; no lo found; dont_explore_detection_event_sets_with_size_above=6,dont_explore_edges_with_degree_above=55; no lo found; dont_explore_detection_event_sets_with_size_above=7,dont_explore_edges_with_degree_above=55; no lo found; dont_explore_detection_event_sets_with_size_above=8,dont_explore_edges_with_degree_above=55; no lo found; dont_explore_detection_event_sets_with_size_above=9,dont_explore_edges_with_degree_above=55; no lo found; dont_explore_detection_event_sets_with_size_above=10,dont_explore_edges_with_degree_above=55; no lo found</t>
  </si>
  <si>
    <t>dont_explore_detection_event_sets_with_size_above=2,dont_explore_edges_with_degree_above=40; no lo found; dont_explore_detection_event_sets_with_size_above=3,dont_explore_edges_with_degree_above=40; no lo found; dont_explore_detection_event_sets_with_size_above=4,dont_explore_edges_with_degree_above=40; no lo found; dont_explore_detection_event_sets_with_size_above=5,dont_explore_edges_with_degree_above=40; no lo found; dont_explore_detection_event_sets_with_size_above=6,dont_explore_edges_with_degree_above=40; no lo found; dont_explore_detection_event_sets_with_size_above=7,dont_explore_edges_with_degree_above=40; no lo found; dont_explore_detection_event_sets_with_size_above=8,dont_explore_edges_with_degree_above=40; no lo found; dont_explore_detection_event_sets_with_size_above=9,dont_explore_edges_with_degree_above=40; no lo found; dont_explore_detection_event_sets_with_size_above=10,dont_explore_edges_with_degree_above=40; no lo found</t>
  </si>
  <si>
    <t>dont_explore_detection_event_sets_with_size_above=2,dont_explore_edges_with_degree_above=43; no lo found; dont_explore_detection_event_sets_with_size_above=3,dont_explore_edges_with_degree_above=43; no lo found; dont_explore_detection_event_sets_with_size_above=4,dont_explore_edges_with_degree_above=43; no lo found; dont_explore_detection_event_sets_with_size_above=5,dont_explore_edges_with_degree_above=43; no lo found; dont_explore_detection_event_sets_with_size_above=6,dont_explore_edges_with_degree_above=43; no lo found; dont_explore_detection_event_sets_with_size_above=7,dont_explore_edges_with_degree_above=43; no lo found; dont_explore_detection_event_sets_with_size_above=8,dont_explore_edges_with_degree_above=43; no lo found; dont_explore_detection_event_sets_with_size_above=9,dont_explore_edges_with_degree_above=43; no lo found; dont_explore_detection_event_sets_with_size_above=10,dont_explore_edges_with_degree_above=43; no lo found</t>
  </si>
  <si>
    <t>dont_explore_detection_event_sets_with_size_above=2,dont_explore_edges_with_degree_above=41; no lo found; dont_explore_detection_event_sets_with_size_above=3,dont_explore_edges_with_degree_above=41; no lo found; dont_explore_detection_event_sets_with_size_above=4,dont_explore_edges_with_degree_above=41; no lo found; dont_explore_detection_event_sets_with_size_above=5,dont_explore_edges_with_degree_above=41; no lo found; dont_explore_detection_event_sets_with_size_above=6,dont_explore_edges_with_degree_above=41; no lo found; dont_explore_detection_event_sets_with_size_above=7,dont_explore_edges_with_degree_above=41; no lo found; dont_explore_detection_event_sets_with_size_above=8,dont_explore_edges_with_degree_above=41; no lo found; dont_explore_detection_event_sets_with_size_above=9,dont_explore_edges_with_degree_above=41; no lo found; dont_explore_detection_event_sets_with_size_above=10,dont_explore_edges_with_degree_above=41; no lo found</t>
  </si>
  <si>
    <t>dont_explore_detection_event_sets_with_size_above=2,dont_explore_edges_with_degree_above=34; no lo found; dont_explore_detection_event_sets_with_size_above=3,dont_explore_edges_with_degree_above=34; no lo found; dont_explore_detection_event_sets_with_size_above=4,dont_explore_edges_with_degree_above=34; no lo found; dont_explore_detection_event_sets_with_size_above=5,dont_explore_edges_with_degree_above=34; no lo found; dont_explore_detection_event_sets_with_size_above=6,dont_explore_edges_with_degree_above=34; no lo found; dont_explore_detection_event_sets_with_size_above=7,dont_explore_edges_with_degree_above=34; no lo found; dont_explore_detection_event_sets_with_size_above=8,dont_explore_edges_with_degree_above=34; no lo found; dont_explore_detection_event_sets_with_size_above=9,dont_explore_edges_with_degree_above=34; no lo found; dont_explore_detection_event_sets_with_size_above=10,dont_explore_edges_with_degree_above=34; no lo found</t>
  </si>
  <si>
    <t>dont_explore_detection_event_sets_with_size_above=2,dont_explore_edges_with_degree_above=59; no lo found; dont_explore_detection_event_sets_with_size_above=3,dont_explore_edges_with_degree_above=59; no lo found; dont_explore_detection_event_sets_with_size_above=4,dont_explore_edges_with_degree_above=59; no lo found; dont_explore_detection_event_sets_with_size_above=5,dont_explore_edges_with_degree_above=59; no lo found; dont_explore_detection_event_sets_with_size_above=6,dont_explore_edges_with_degree_above=59; no lo found; dont_explore_detection_event_sets_with_size_above=7,dont_explore_edges_with_degree_above=59; no lo found; dont_explore_detection_event_sets_with_size_above=8,dont_explore_edges_with_degree_above=59; no lo found; dont_explore_detection_event_sets_with_size_above=9,dont_explore_edges_with_degree_above=59; no lo found; dont_explore_detection_event_sets_with_size_above=10,dont_explore_edges_with_degree_above=59; no lo found</t>
  </si>
  <si>
    <t>dont_explore_detection_event_sets_with_size_above=2,dont_explore_edges_with_degree_above=65; no lo found; dont_explore_detection_event_sets_with_size_above=3,dont_explore_edges_with_degree_above=65; no lo found; dont_explore_detection_event_sets_with_size_above=4,dont_explore_edges_with_degree_above=65; no lo found; dont_explore_detection_event_sets_with_size_above=5,dont_explore_edges_with_degree_above=65; no lo found; dont_explore_detection_event_sets_with_size_above=6,dont_explore_edges_with_degree_above=65; no lo found; dont_explore_detection_event_sets_with_size_above=7,dont_explore_edges_with_degree_above=65; no lo found; dont_explore_detection_event_sets_with_size_above=8,dont_explore_edges_with_degree_above=65; no lo found; dont_explore_detection_event_sets_with_size_above=9,dont_explore_edges_with_degree_above=65; no lo found; dont_explore_detection_event_sets_with_size_above=10,dont_explore_edges_with_degree_above=65; no lo found</t>
  </si>
  <si>
    <t>dont_explore_detection_event_sets_with_size_above=2,dont_explore_edges_with_degree_above=47; no lo found; dont_explore_detection_event_sets_with_size_above=3,dont_explore_edges_with_degree_above=47; no lo found; dont_explore_detection_event_sets_with_size_above=4,dont_explore_edges_with_degree_above=47; no lo found; dont_explore_detection_event_sets_with_size_above=5,dont_explore_edges_with_degree_above=47; no lo found; dont_explore_detection_event_sets_with_size_above=6,dont_explore_edges_with_degree_above=47; no lo found; dont_explore_detection_event_sets_with_size_above=7,dont_explore_edges_with_degree_above=47; no lo found; dont_explore_detection_event_sets_with_size_above=8,dont_explore_edges_with_degree_above=47; no lo found; dont_explore_detection_event_sets_with_size_above=9,dont_explore_edges_with_degree_above=47; no lo found; dont_explore_detection_event_sets_with_size_above=10,dont_explore_edges_with_degree_above=47; no lo found</t>
  </si>
  <si>
    <t>dont_explore_detection_event_sets_with_size_above=2,dont_explore_edges_with_degree_above=36; no lo found; dont_explore_detection_event_sets_with_size_above=3,dont_explore_edges_with_degree_above=36; no lo found; dont_explore_detection_event_sets_with_size_above=4,dont_explore_edges_with_degree_above=36; no lo found; dont_explore_detection_event_sets_with_size_above=5,dont_explore_edges_with_degree_above=36; no lo found; dont_explore_detection_event_sets_with_size_above=6,dont_explore_edges_with_degree_above=36; no lo found; dont_explore_detection_event_sets_with_size_above=7,dont_explore_edges_with_degree_above=36; no lo found; dont_explore_detection_event_sets_with_size_above=8,dont_explore_edges_with_degree_above=36; no lo found; dont_explore_detection_event_sets_with_size_above=9,dont_explore_edges_with_degree_above=36; no lo found; dont_explore_detection_event_sets_with_size_above=10,dont_explore_edges_with_degree_above=36; Found w:12</t>
  </si>
  <si>
    <t>dont_explore_detection_event_sets_with_size_above=2,dont_explore_edges_with_degree_above=49; no lo found; dont_explore_detection_event_sets_with_size_above=3,dont_explore_edges_with_degree_above=49; no lo found; dont_explore_detection_event_sets_with_size_above=4,dont_explore_edges_with_degree_above=49; no lo found; dont_explore_detection_event_sets_with_size_above=5,dont_explore_edges_with_degree_above=49; no lo found; dont_explore_detection_event_sets_with_size_above=6,dont_explore_edges_with_degree_above=49; no lo found; dont_explore_detection_event_sets_with_size_above=7,dont_explore_edges_with_degree_above=49; no lo found; dont_explore_detection_event_sets_with_size_above=8,dont_explore_edges_with_degree_above=49; no lo found; dont_explore_detection_event_sets_with_size_above=9,dont_explore_edges_with_degree_above=49; no lo found; dont_explore_detection_event_sets_with_size_above=10,dont_explore_edges_with_degree_above=49; no lo found</t>
  </si>
  <si>
    <t>dont_explore_detection_event_sets_with_size_above=2,dont_explore_edges_with_degree_above=33; no lo found; dont_explore_detection_event_sets_with_size_above=3,dont_explore_edges_with_degree_above=33; no lo found; dont_explore_detection_event_sets_with_size_above=4,dont_explore_edges_with_degree_above=33; no lo found; dont_explore_detection_event_sets_with_size_above=5,dont_explore_edges_with_degree_above=33; no lo found; dont_explore_detection_event_sets_with_size_above=6,dont_explore_edges_with_degree_above=33; no lo found; dont_explore_detection_event_sets_with_size_above=7,dont_explore_edges_with_degree_above=33; no lo found; dont_explore_detection_event_sets_with_size_above=8,dont_explore_edges_with_degree_above=33; no lo found; dont_explore_detection_event_sets_with_size_above=9,dont_explore_edges_with_degree_above=33; Found w:11; dont_explore_detection_event_sets_with_size_above=10,dont_explore_edges_with_degree_above=33; Found w:11; Breaking - same result 2 times</t>
  </si>
  <si>
    <t>dont_explore_detection_event_sets_with_size_above=2,dont_explore_edges_with_degree_above=42; no lo found; dont_explore_detection_event_sets_with_size_above=3,dont_explore_edges_with_degree_above=42; no lo found; dont_explore_detection_event_sets_with_size_above=4,dont_explore_edges_with_degree_above=42; no lo found; dont_explore_detection_event_sets_with_size_above=5,dont_explore_edges_with_degree_above=42; no lo found; dont_explore_detection_event_sets_with_size_above=6,dont_explore_edges_with_degree_above=42; no lo found; dont_explore_detection_event_sets_with_size_above=7,dont_explore_edges_with_degree_above=42; no lo found; dont_explore_detection_event_sets_with_size_above=8,dont_explore_edges_with_degree_above=42; no lo found; dont_explore_detection_event_sets_with_size_above=9,dont_explore_edges_with_degree_above=42; no lo found; dont_explore_detection_event_sets_with_size_above=10,dont_explore_edges_with_degree_above=42; no lo found</t>
  </si>
  <si>
    <t>dont_explore_detection_event_sets_with_size_above=2,dont_explore_edges_with_degree_above=62; no lo found; dont_explore_detection_event_sets_with_size_above=3,dont_explore_edges_with_degree_above=62; no lo found; dont_explore_detection_event_sets_with_size_above=4,dont_explore_edges_with_degree_above=62; no lo found; dont_explore_detection_event_sets_with_size_above=5,dont_explore_edges_with_degree_above=62; no lo found; dont_explore_detection_event_sets_with_size_above=6,dont_explore_edges_with_degree_above=62; no lo found; dont_explore_detection_event_sets_with_size_above=7,dont_explore_edges_with_degree_above=62; no lo found; dont_explore_detection_event_sets_with_size_above=8,dont_explore_edges_with_degree_above=62; no lo found; dont_explore_detection_event_sets_with_size_above=9,dont_explore_edges_with_degree_above=62; no lo found; dont_explore_detection_event_sets_with_size_above=10,dont_explore_edges_with_degree_above=62; no lo found</t>
  </si>
  <si>
    <t>dont_explore_detection_event_sets_with_size_above=2,dont_explore_edges_with_degree_above=63; no lo found; dont_explore_detection_event_sets_with_size_above=3,dont_explore_edges_with_degree_above=63; no lo found; dont_explore_detection_event_sets_with_size_above=4,dont_explore_edges_with_degree_above=63; no lo found; dont_explore_detection_event_sets_with_size_above=5,dont_explore_edges_with_degree_above=63; no lo found; dont_explore_detection_event_sets_with_size_above=6,dont_explore_edges_with_degree_above=63; no lo found; dont_explore_detection_event_sets_with_size_above=7,dont_explore_edges_with_degree_above=63; no lo found; dont_explore_detection_event_sets_with_size_above=8,dont_explore_edges_with_degree_above=63; no lo found; dont_explore_detection_event_sets_with_size_above=9,dont_explore_edges_with_degree_above=63; no lo found; dont_explore_detection_event_sets_with_size_above=10,dont_explore_edges_with_degree_above=63; no lo found</t>
  </si>
  <si>
    <t>dont_explore_detection_event_sets_with_size_above=2,dont_explore_edges_with_degree_above=57; no lo found; dont_explore_detection_event_sets_with_size_above=3,dont_explore_edges_with_degree_above=57; no lo found; dont_explore_detection_event_sets_with_size_above=4,dont_explore_edges_with_degree_above=57; no lo found; dont_explore_detection_event_sets_with_size_above=5,dont_explore_edges_with_degree_above=57; no lo found; dont_explore_detection_event_sets_with_size_above=6,dont_explore_edges_with_degree_above=57; no lo found; dont_explore_detection_event_sets_with_size_above=7,dont_explore_edges_with_degree_above=57; no lo found; dont_explore_detection_event_sets_with_size_above=8,dont_explore_edges_with_degree_above=57; no lo found; dont_explore_detection_event_sets_with_size_above=9,dont_explore_edges_with_degree_above=57; no lo found; dont_explore_detection_event_sets_with_size_above=10,dont_explore_edges_with_degree_above=57; no lo found</t>
  </si>
  <si>
    <t>dont_explore_detection_event_sets_with_size_above=2,dont_explore_edges_with_degree_above=48; no lo found; dont_explore_detection_event_sets_with_size_above=3,dont_explore_edges_with_degree_above=48; no lo found; dont_explore_detection_event_sets_with_size_above=4,dont_explore_edges_with_degree_above=48; no lo found; dont_explore_detection_event_sets_with_size_above=5,dont_explore_edges_with_degree_above=48; no lo found; dont_explore_detection_event_sets_with_size_above=6,dont_explore_edges_with_degree_above=48; no lo found; dont_explore_detection_event_sets_with_size_above=7,dont_explore_edges_with_degree_above=48; no lo found; dont_explore_detection_event_sets_with_size_above=8,dont_explore_edges_with_degree_above=48; no lo found; dont_explore_detection_event_sets_with_size_above=9,dont_explore_edges_with_degree_above=48; no lo found; dont_explore_detection_event_sets_with_size_above=10,dont_explore_edges_with_degree_above=48; no lo found</t>
  </si>
  <si>
    <t>dont_explore_detection_event_sets_with_size_above=2,dont_explore_edges_with_degree_above=69; no lo found; dont_explore_detection_event_sets_with_size_above=3,dont_explore_edges_with_degree_above=69; no lo found; dont_explore_detection_event_sets_with_size_above=4,dont_explore_edges_with_degree_above=69; no lo found; dont_explore_detection_event_sets_with_size_above=5,dont_explore_edges_with_degree_above=69; no lo found; dont_explore_detection_event_sets_with_size_above=6,dont_explore_edges_with_degree_above=69; no lo found; dont_explore_detection_event_sets_with_size_above=7,dont_explore_edges_with_degree_above=69; no lo found; dont_explore_detection_event_sets_with_size_above=8,dont_explore_edges_with_degree_above=69; no lo found; dont_explore_detection_event_sets_with_size_above=9,dont_explore_edges_with_degree_above=69; no lo found; dont_explore_detection_event_sets_with_size_above=10,dont_explore_edges_with_degree_above=69; no lo found</t>
  </si>
  <si>
    <t>dont_explore_detection_event_sets_with_size_above=2,dont_explore_edges_with_degree_above=76; no lo found; dont_explore_detection_event_sets_with_size_above=3,dont_explore_edges_with_degree_above=76; no lo found; dont_explore_detection_event_sets_with_size_above=4,dont_explore_edges_with_degree_above=76; no lo found; dont_explore_detection_event_sets_with_size_above=5,dont_explore_edges_with_degree_above=76; no lo found; dont_explore_detection_event_sets_with_size_above=6,dont_explore_edges_with_degree_above=76; no lo found; dont_explore_detection_event_sets_with_size_above=7,dont_explore_edges_with_degree_above=76; no lo found; dont_explore_detection_event_sets_with_size_above=8,dont_explore_edges_with_degree_above=76; no lo found; dont_explore_detection_event_sets_with_size_above=9,dont_explore_edges_with_degree_above=76; no lo found; dont_explore_detection_event_sets_with_size_above=10,dont_explore_edges_with_degree_above=76; no lo found</t>
  </si>
  <si>
    <t>dont_explore_detection_event_sets_with_size_above=2,dont_explore_edges_with_degree_above=51; no lo found; dont_explore_detection_event_sets_with_size_above=3,dont_explore_edges_with_degree_above=51; no lo found; dont_explore_detection_event_sets_with_size_above=4,dont_explore_edges_with_degree_above=51; no lo found; dont_explore_detection_event_sets_with_size_above=5,dont_explore_edges_with_degree_above=51; no lo found; dont_explore_detection_event_sets_with_size_above=6,dont_explore_edges_with_degree_above=51; no lo found; dont_explore_detection_event_sets_with_size_above=7,dont_explore_edges_with_degree_above=51; no lo found; dont_explore_detection_event_sets_with_size_above=8,dont_explore_edges_with_degree_above=51; no lo found; dont_explore_detection_event_sets_with_size_above=9,dont_explore_edges_with_degree_above=51; no lo found; dont_explore_detection_event_sets_with_size_above=10,dont_explore_edges_with_degree_above=51; no lo found</t>
  </si>
  <si>
    <t>dont_explore_detection_event_sets_with_size_above=2,dont_explore_edges_with_degree_above=53; no lo found; dont_explore_detection_event_sets_with_size_above=3,dont_explore_edges_with_degree_above=53; no lo found; dont_explore_detection_event_sets_with_size_above=4,dont_explore_edges_with_degree_above=53; no lo found; dont_explore_detection_event_sets_with_size_above=5,dont_explore_edges_with_degree_above=53; no lo found; dont_explore_detection_event_sets_with_size_above=6,dont_explore_edges_with_degree_above=53; no lo found; dont_explore_detection_event_sets_with_size_above=7,dont_explore_edges_with_degree_above=53; no lo found; dont_explore_detection_event_sets_with_size_above=8,dont_explore_edges_with_degree_above=53; no lo found; dont_explore_detection_event_sets_with_size_above=9,dont_explore_edges_with_degree_above=53; no lo found; dont_explore_detection_event_sets_with_size_above=10,dont_explore_edges_with_degree_above=53; no lo found</t>
  </si>
  <si>
    <t>dont_explore_detection_event_sets_with_size_above=2,dont_explore_edges_with_degree_above=72; no lo found; dont_explore_detection_event_sets_with_size_above=3,dont_explore_edges_with_degree_above=72; no lo found; dont_explore_detection_event_sets_with_size_above=4,dont_explore_edges_with_degree_above=72; no lo found; dont_explore_detection_event_sets_with_size_above=5,dont_explore_edges_with_degree_above=72; no lo found; dont_explore_detection_event_sets_with_size_above=6,dont_explore_edges_with_degree_above=72; no lo found; dont_explore_detection_event_sets_with_size_above=7,dont_explore_edges_with_degree_above=72; no lo found; dont_explore_detection_event_sets_with_size_above=8,dont_explore_edges_with_degree_above=72; no lo found; dont_explore_detection_event_sets_with_size_above=9,dont_explore_edges_with_degree_above=72; no lo found; dont_explore_detection_event_sets_with_size_above=10,dont_explore_edges_with_degree_above=72; no lo found</t>
  </si>
  <si>
    <t>dont_explore_detection_event_sets_with_size_above=2,dont_explore_edges_with_degree_above=77; no lo found; dont_explore_detection_event_sets_with_size_above=3,dont_explore_edges_with_degree_above=77; no lo found; dont_explore_detection_event_sets_with_size_above=4,dont_explore_edges_with_degree_above=77; no lo found; dont_explore_detection_event_sets_with_size_above=5,dont_explore_edges_with_degree_above=77; no lo found; dont_explore_detection_event_sets_with_size_above=6,dont_explore_edges_with_degree_above=77; no lo found; dont_explore_detection_event_sets_with_size_above=7,dont_explore_edges_with_degree_above=77; no lo found; dont_explore_detection_event_sets_with_size_above=8,dont_explore_edges_with_degree_above=77; no lo found; dont_explore_detection_event_sets_with_size_above=9,dont_explore_edges_with_degree_above=77; no lo found; dont_explore_detection_event_sets_with_size_above=10,dont_explore_edges_with_degree_above=77; no lo found</t>
  </si>
  <si>
    <t>dont_explore_detection_event_sets_with_size_above=2,dont_explore_edges_with_degree_above=54; no lo found; dont_explore_detection_event_sets_with_size_above=3,dont_explore_edges_with_degree_above=54; no lo found; dont_explore_detection_event_sets_with_size_above=4,dont_explore_edges_with_degree_above=54; no lo found; dont_explore_detection_event_sets_with_size_above=5,dont_explore_edges_with_degree_above=54; no lo found; dont_explore_detection_event_sets_with_size_above=6,dont_explore_edges_with_degree_above=54; no lo found; dont_explore_detection_event_sets_with_size_above=7,dont_explore_edges_with_degree_above=54; no lo found; dont_explore_detection_event_sets_with_size_above=8,dont_explore_edges_with_degree_above=54; no lo found; dont_explore_detection_event_sets_with_size_above=9,dont_explore_edges_with_degree_above=54; no lo found; dont_explore_detection_event_sets_with_size_above=10,dont_explore_edges_with_degree_above=54; no lo found</t>
  </si>
  <si>
    <t>dont_explore_detection_event_sets_with_size_above=2,dont_explore_edges_with_degree_above=87; no lo found; dont_explore_detection_event_sets_with_size_above=3,dont_explore_edges_with_degree_above=87; no lo found; dont_explore_detection_event_sets_with_size_above=4,dont_explore_edges_with_degree_above=87; no lo found; dont_explore_detection_event_sets_with_size_above=5,dont_explore_edges_with_degree_above=87; no lo found; dont_explore_detection_event_sets_with_size_above=6,dont_explore_edges_with_degree_above=87; no lo found; dont_explore_detection_event_sets_with_size_above=7,dont_explore_edges_with_degree_above=87; no lo found; dont_explore_detection_event_sets_with_size_above=8,dont_explore_edges_with_degree_above=87; no lo found; dont_explore_detection_event_sets_with_size_above=9,dont_explore_edges_with_degree_above=87; no lo found; dont_explore_detection_event_sets_with_size_above=10,dont_explore_edges_with_degree_above=87; no lo found</t>
  </si>
  <si>
    <t>dont_explore_detection_event_sets_with_size_above=2,dont_explore_edges_with_degree_above=86; no lo found; dont_explore_detection_event_sets_with_size_above=3,dont_explore_edges_with_degree_above=86; no lo found; dont_explore_detection_event_sets_with_size_above=4,dont_explore_edges_with_degree_above=86; no lo found; dont_explore_detection_event_sets_with_size_above=5,dont_explore_edges_with_degree_above=86; no lo found; dont_explore_detection_event_sets_with_size_above=6,dont_explore_edges_with_degree_above=86; no lo found; dont_explore_detection_event_sets_with_size_above=7,dont_explore_edges_with_degree_above=86; no lo found; dont_explore_detection_event_sets_with_size_above=8,dont_explore_edges_with_degree_above=86; no lo found; dont_explore_detection_event_sets_with_size_above=9,dont_explore_edges_with_degree_above=86; no lo found; dont_explore_detection_event_sets_with_size_above=10,dont_explore_edges_with_degree_above=86; no lo found</t>
  </si>
  <si>
    <t>dont_explore_detection_event_sets_with_size_above=2,dont_explore_edges_with_degree_above=88; no lo found; dont_explore_detection_event_sets_with_size_above=3,dont_explore_edges_with_degree_above=88; no lo found; dont_explore_detection_event_sets_with_size_above=4,dont_explore_edges_with_degree_above=88; no lo found; dont_explore_detection_event_sets_with_size_above=5,dont_explore_edges_with_degree_above=88; no lo found; dont_explore_detection_event_sets_with_size_above=6,dont_explore_edges_with_degree_above=88; no lo found; dont_explore_detection_event_sets_with_size_above=7,dont_explore_edges_with_degree_above=88; no lo found; dont_explore_detection_event_sets_with_size_above=8,dont_explore_edges_with_degree_above=88; no lo found; dont_explore_detection_event_sets_with_size_above=9,dont_explore_edges_with_degree_above=88; no lo found; dont_explore_detection_event_sets_with_size_above=10,dont_explore_edges_with_degree_above=88; no lo found</t>
  </si>
  <si>
    <t>dont_explore_detection_event_sets_with_size_above=2,dont_explore_edges_with_degree_above=89; no lo found; dont_explore_detection_event_sets_with_size_above=3,dont_explore_edges_with_degree_above=89; no lo found; dont_explore_detection_event_sets_with_size_above=4,dont_explore_edges_with_degree_above=89; no lo found; dont_explore_detection_event_sets_with_size_above=5,dont_explore_edges_with_degree_above=89; no lo found; dont_explore_detection_event_sets_with_size_above=6,dont_explore_edges_with_degree_above=89; no lo found; dont_explore_detection_event_sets_with_size_above=7,dont_explore_edges_with_degree_above=89; no lo found; dont_explore_detection_event_sets_with_size_above=8,dont_explore_edges_with_degree_above=89; no lo found; dont_explore_detection_event_sets_with_size_above=9,dont_explore_edges_with_degree_above=89; no lo found; dont_explore_detection_event_sets_with_size_above=10,dont_explore_edges_with_degree_above=89; no lo found</t>
  </si>
  <si>
    <t>dont_explore_detection_event_sets_with_size_above=2,dont_explore_edges_with_degree_above=91; no lo found; dont_explore_detection_event_sets_with_size_above=3,dont_explore_edges_with_degree_above=91; no lo found; dont_explore_detection_event_sets_with_size_above=4,dont_explore_edges_with_degree_above=91; no lo found; dont_explore_detection_event_sets_with_size_above=5,dont_explore_edges_with_degree_above=91; no lo found; dont_explore_detection_event_sets_with_size_above=6,dont_explore_edges_with_degree_above=91; no lo found; dont_explore_detection_event_sets_with_size_above=7,dont_explore_edges_with_degree_above=91; no lo found; dont_explore_detection_event_sets_with_size_above=8,dont_explore_edges_with_degree_above=91; no lo found; dont_explore_detection_event_sets_with_size_above=9,dont_explore_edges_with_degree_above=91; no lo found; dont_explore_detection_event_sets_with_size_above=10,dont_explore_edges_with_degree_above=91; no lo found</t>
  </si>
  <si>
    <t>dont_explore_detection_event_sets_with_size_above=2,dont_explore_edges_with_degree_above=92; no lo found; dont_explore_detection_event_sets_with_size_above=3,dont_explore_edges_with_degree_above=92; no lo found; dont_explore_detection_event_sets_with_size_above=4,dont_explore_edges_with_degree_above=92; no lo found; dont_explore_detection_event_sets_with_size_above=5,dont_explore_edges_with_degree_above=92; no lo found; dont_explore_detection_event_sets_with_size_above=6,dont_explore_edges_with_degree_above=92; no lo found; dont_explore_detection_event_sets_with_size_above=7,dont_explore_edges_with_degree_above=92; no lo found; dont_explore_detection_event_sets_with_size_above=8,dont_explore_edges_with_degree_above=92; no lo found; dont_explore_detection_event_sets_with_size_above=9,dont_explore_edges_with_degree_above=92; no lo found; dont_explore_detection_event_sets_with_size_above=10,dont_explore_edges_with_degree_above=92; no lo found</t>
  </si>
  <si>
    <t>dont_explore_detection_event_sets_with_size_above=2,dont_explore_edges_with_degree_above=75; no lo found; dont_explore_detection_event_sets_with_size_above=3,dont_explore_edges_with_degree_above=75; no lo found; dont_explore_detection_event_sets_with_size_above=4,dont_explore_edges_with_degree_above=75; no lo found; dont_explore_detection_event_sets_with_size_above=5,dont_explore_edges_with_degree_above=75; no lo found; dont_explore_detection_event_sets_with_size_above=6,dont_explore_edges_with_degree_above=75; no lo found; dont_explore_detection_event_sets_with_size_above=7,dont_explore_edges_with_degree_above=75; no lo found; dont_explore_detection_event_sets_with_size_above=8,dont_explore_edges_with_degree_above=75; no lo found; dont_explore_detection_event_sets_with_size_above=9,dont_explore_edges_with_degree_above=75; no lo found; dont_explore_detection_event_sets_with_size_above=10,dont_explore_edges_with_degree_above=75; no lo found</t>
  </si>
  <si>
    <t>dont_explore_detection_event_sets_with_size_above=2,dont_explore_edges_with_degree_above=97; no lo found; dont_explore_detection_event_sets_with_size_above=3,dont_explore_edges_with_degree_above=97; no lo found; dont_explore_detection_event_sets_with_size_above=4,dont_explore_edges_with_degree_above=97; no lo found; dont_explore_detection_event_sets_with_size_above=5,dont_explore_edges_with_degree_above=97; no lo found; dont_explore_detection_event_sets_with_size_above=6,dont_explore_edges_with_degree_above=97; no lo found; dont_explore_detection_event_sets_with_size_above=7,dont_explore_edges_with_degree_above=97; no lo found; dont_explore_detection_event_sets_with_size_above=8,dont_explore_edges_with_degree_above=97; no lo found; dont_explore_detection_event_sets_with_size_above=9,dont_explore_edges_with_degree_above=97; no lo found; dont_explore_detection_event_sets_with_size_above=10,dont_explore_edges_with_degree_above=97; no lo found</t>
  </si>
  <si>
    <t>dont_explore_detection_event_sets_with_size_above=2,dont_explore_edges_with_degree_above=84; no lo found; dont_explore_detection_event_sets_with_size_above=3,dont_explore_edges_with_degree_above=84; no lo found; dont_explore_detection_event_sets_with_size_above=4,dont_explore_edges_with_degree_above=84; no lo found; dont_explore_detection_event_sets_with_size_above=5,dont_explore_edges_with_degree_above=84; no lo found; dont_explore_detection_event_sets_with_size_above=6,dont_explore_edges_with_degree_above=84; no lo found; dont_explore_detection_event_sets_with_size_above=7,dont_explore_edges_with_degree_above=84; no lo found; dont_explore_detection_event_sets_with_size_above=8,dont_explore_edges_with_degree_above=84; no lo found; dont_explore_detection_event_sets_with_size_above=9,dont_explore_edges_with_degree_above=84; no lo found; dont_explore_detection_event_sets_with_size_above=10,dont_explore_edges_with_degree_above=84; no lo found</t>
  </si>
  <si>
    <t>dMinSum</t>
  </si>
  <si>
    <t>Avg Delta d</t>
  </si>
  <si>
    <t>Exact - Processing Time/Succ Trial</t>
  </si>
  <si>
    <t>Heuristic - Processing Time/Succ Trial</t>
  </si>
  <si>
    <t>Heuristic - Success Rate per Trial</t>
  </si>
  <si>
    <t>Heuristic - Average Delta d</t>
  </si>
  <si>
    <t>Processing Time/Successful Trial</t>
  </si>
  <si>
    <t>Success Rate</t>
  </si>
  <si>
    <t>GF4blockRep: 2</t>
  </si>
  <si>
    <t>sMut: 0.2</t>
  </si>
  <si>
    <t>tabuLength: 0</t>
  </si>
  <si>
    <t>swapPivot: 1</t>
  </si>
  <si>
    <t>swapBlockorder: 0</t>
  </si>
  <si>
    <t>Gen:0 Trial:0 w:2; pErr:0.0000, weight 2 CW found:6, wDict:2:10000</t>
  </si>
  <si>
    <t>Gen:0 Trial:0 w:3; pErr:0.0000, weight 3 CW found:4, wDict:3:10000</t>
  </si>
  <si>
    <t>Gen:0 Trial:0 w:4; pErr:0.0000, weight 4 CW found:7, wDict:4:10000</t>
  </si>
  <si>
    <t>Gen:0 Trial:0 w:5; pErr:0.0000, weight 5 CW found:4, wDict:5:10000</t>
  </si>
  <si>
    <t>Gen:0 Trial:0 w:6; pErr:0.0000, weight 6 CW found:6, wDict:6:10000</t>
  </si>
  <si>
    <t>Trial:0 w:2; pErr:0.0000, weight 2 CW found:6, wDict:2:10000</t>
  </si>
  <si>
    <t>Trial:0 w:3; pErr:0.0000, weight 3 CW found:4, wDict:3:10000</t>
  </si>
  <si>
    <t>Trial:0 w:4; pErr:0.0000, weight 4 CW found:7, wDict:4:10000</t>
  </si>
  <si>
    <t>Trial:0 w:5; pErr:0.0000, weight 5 CW found:4, wDict:5:10000</t>
  </si>
  <si>
    <t>Trial:0 w:6; pErr:0.0000, weight 6 CW found:6, wDict:6:10000</t>
  </si>
  <si>
    <t>Trial:0 w:17; pErr:0.0000, weight 17 CW found:58, wDict:17:9563,18:437</t>
  </si>
  <si>
    <t>pMut: 6.0</t>
  </si>
  <si>
    <t>outfile: /home/ucapmwe/dist-benchmark/results/codeTables-GF2_sample.txt-QDistRndMW-20260215_181908.076422_85062422.txt</t>
  </si>
  <si>
    <t>Trial:0 w:3; pErr:0.0000, weight 3 CW found:12, wDict:3:9194,4:806</t>
  </si>
  <si>
    <t>Trial:0 w:5; pErr:0.0000, weight 5 CW found:15, wDict:5:9854,6:146</t>
  </si>
  <si>
    <t>Trial:0 w:5; pErr:0.0000, weight 5 CW found:23, wDict:5:9882,6:118</t>
  </si>
  <si>
    <t>Trial:0 w:5; pErr:0.0000, weight 5 CW found:29, wDict:5:9988,6:12</t>
  </si>
  <si>
    <t>Trial:0 w:5; pErr:0.0000, weight 5 CW found:28, wDict:5:9998,6:2</t>
  </si>
  <si>
    <t>Trial:0 w:9; pErr:0.0000, weight 9 CW found:28, wDict:9:9567,10:415,11:18</t>
  </si>
  <si>
    <t>Trial:0 w:10; pErr:0.0000, weight 10 CW found:30, wDict:10:9985,12:15</t>
  </si>
  <si>
    <t>Trial:0 w:9; pErr:0.0000, weight 9 CW found:36, wDict:9:9576,10:422,11:2</t>
  </si>
  <si>
    <t>Trial:0 w:9; pErr:0.0000, weight 9 CW found:50, wDict:9:9701,10:299</t>
  </si>
  <si>
    <t>Trial:0 w:13; pErr:0.0000, weight 13 CW found:6, wDict:13:9304,14:696</t>
  </si>
  <si>
    <t>Trial:0 w:5; pErr:0.0000, weight 5 CW found:250, wDict:5:9749,6:251</t>
  </si>
  <si>
    <t>Trial:0 w:9; pErr:0.0000, weight 9 CW found:96, wDict:9:9933,10:67</t>
  </si>
  <si>
    <t>Trial:0 w:9; pErr:0.0000, weight 9 CW found:140, wDict:9:9957,10:43</t>
  </si>
  <si>
    <t>Trial:0 w:5; pErr:0.0000, weight 5 CW found:189, wDict:5:9987,6:13</t>
  </si>
  <si>
    <t>Trial:0 w:13; pErr:0.0000, weight 13 CW found:31, wDict:13:7585,14:2415</t>
  </si>
  <si>
    <t>Trial:0 w:14; pErr:0.0000, weight 14 CW found:47, wDict:14:9686,15:314</t>
  </si>
  <si>
    <t>Trial:0 w:17; pErr:0.0000, weight 17 CW found:6, wDict:17:9244,18:756</t>
  </si>
  <si>
    <t>Trial:0 w:13; pErr:0.0000, weight 13 CW found:96, wDict:13:9935,14:64,15:1</t>
  </si>
  <si>
    <t>Trial:0 w:7; pErr:0.0000, weight 7 CW found:972, wDict:7:6465,8:3535</t>
  </si>
  <si>
    <t>Trial:0 w:17; pErr:0.0000, weight 17 CW found:14, wDict:17:8310,18:1657,19:33</t>
  </si>
  <si>
    <t>Trial:0 w:7; pErr:0.0000, weight 7 CW found:1170, wDict:7:9510,8:490</t>
  </si>
  <si>
    <t>Trial:0 w:17; pErr:0.0000, weight 17 CW found:28, wDict:17:9243,18:728,19:29</t>
  </si>
  <si>
    <t>Trial:0 w:18; Trial:1 w:17; pErr:0.0000, weight 17 CW found:50, wDict:17:8188,18:1753,19:59</t>
  </si>
  <si>
    <t>Trial:0 w:21; pErr:0.0000, weight 21 CW found:6, wDict:21:9187,22:813</t>
  </si>
  <si>
    <t>Trial:0 w:13; pErr:0.0000, weight 13 CW found:405, wDict:13:9602,14:395,15:3</t>
  </si>
  <si>
    <t>Trial:0 w:17; pErr:0.0000, weight 17 CW found:90, wDict:17:9351,18:645,19:4</t>
  </si>
  <si>
    <t>Trial:0 w:17; pErr:0.0000, weight 17 CW found:148, wDict:17:9784,18:214,19:2</t>
  </si>
  <si>
    <t>Trial:0 w:10; Trial:2 w:9; pErr:0.0000, weight 9 CW found:1568, wDict:9:7398,10:2602</t>
  </si>
  <si>
    <t>Trial:0 w:9; pErr:0.0000, weight 9 CW found:2024, wDict:9:7495,10:2505</t>
  </si>
  <si>
    <t>Trial:0 w:9; pErr:0.0000, weight 9 CW found:2594, wDict:9:7662,10:2338</t>
  </si>
  <si>
    <t>Trial:0 w:16; Trial:1 w:15; pErr:0.0000, weight 15 CW found:1755, wDict:15:8596,16:1404</t>
  </si>
  <si>
    <t>Trial:0 w:10; Trial:1 w:9; pErr:0.0001, weight 9 CW found:2718, wDict:9:8049,10:1951</t>
  </si>
  <si>
    <t>Trial:0 w:9; pErr:0.0001, weight 9 CW found:2967, wDict:9:8368,10:1630,11:2</t>
  </si>
  <si>
    <t>Trial:0 w:26; Trial:1 w:25; pErr:0.0000, weight 25 CW found:14, wDict:25:8193,26:1762,27:45</t>
  </si>
  <si>
    <t>Trial:0 w:13; pErr:0.0000, weight 13 CW found:1202, wDict:13:8989,14:997,15:7,16:7</t>
  </si>
  <si>
    <t>Trial:0 w:10; Trial:4 w:9; pErr:0.0000, weight 9 CW found:3032, wDict:9:5641,10:4340,11:18,12:1</t>
  </si>
  <si>
    <t>Trial:0 w:17; pErr:0.0000, weight 17 CW found:842, wDict:17:6404,18:3565,19:31</t>
  </si>
  <si>
    <t>Trial:0 w:17; pErr:0.0000, weight 17 CW found:1103, wDict:17:6687,18:3301,19:12</t>
  </si>
  <si>
    <t>Trial:0 w:9; pErr:0.0018, weight 9 CW found:4099, wDict:9:8223,10:1766,11:11</t>
  </si>
  <si>
    <t>Trial:0 w:13; pErr:0.0000, weight 13 CW found:2091, wDict:13:8910,14:1065,15:21,16:4</t>
  </si>
  <si>
    <t>Trial:0 w:18; Trial:1 w:17; pErr:0.0000, weight 17 CW found:1410, wDict:17:6677,18:3254,19:68,20:1</t>
  </si>
  <si>
    <t>Trial:0 w:17; pErr:0.0000, weight 17 CW found:1728, wDict:17:6373,18:3392,19:232,20:3</t>
  </si>
  <si>
    <t>Trial:0 w:32; pErr:0.0000, weight 32 CW found:5, wDict:32:7506,33:2494</t>
  </si>
  <si>
    <t>Trial:0 w:17; pErr:0.0000, weight 17 CW found:1529, wDict:17:7783,18:2135,19:78,20:4</t>
  </si>
  <si>
    <t>Trial:0 w:17; pErr:0.0000, weight 17 CW found:2023, wDict:17:8019,18:1918,19:62,20:1</t>
  </si>
  <si>
    <t>Trial:0 w:19; pErr:0.0000, weight 19 CW found:2032, wDict:19:4825,20:4907,21:267,22:1</t>
  </si>
  <si>
    <t>Trial:0 w:17; pErr:0.0003, weight 17 CW found:2253, wDict:17:7284,18:2317,19:380,20:19</t>
  </si>
  <si>
    <t>Trial:0 w:17; Trial:2 w:16; pErr:0.0012, weight 16 CW found:2684, wDict:16:4967,17:4401,18:558,19:72,20:2</t>
  </si>
  <si>
    <t>Trial:0 w:16; pErr:0.0020, weight 16 CW found:2982, wDict:16:6554,17:3112,18:284,19:48,20:2</t>
  </si>
  <si>
    <t>Trial:0 w:14; Trial:3 w:13; pErr:0.0430, weight 13 CW found:7373, wDict:13:4508,14:5233,15:255,16:4</t>
  </si>
  <si>
    <t>Trial:0 w:14; Trial:1 w:13; pErr:0.0636, weight 13 CW found:8623, wDict:13:4583,14:5191,15:224,16:2</t>
  </si>
  <si>
    <t>Trial:0 w:13; pErr:0.0853, weight 13 CW found:9768, wDict:13:4691,14:5127,15:182</t>
  </si>
  <si>
    <t>Trial:0 w:14; Trial:1 w:13; pErr:0.1099, weight 13 CW found:11022, wDict:13:4636,14:5209,15:154,16:1</t>
  </si>
  <si>
    <t>Trial:0 w:13; pErr:0.1371, weight 13 CW found:12373, wDict:13:4842,14:5021,15:137</t>
  </si>
  <si>
    <t>Trial:0 w:13; pErr:0.1643, weight 13 CW found:13460, wDict:13:5023,14:4865,15:112</t>
  </si>
  <si>
    <t>Trial:0 w:30; Trial:3 w:29; pErr:0.0000, weight 29 CW found:881, wDict:29:5508,30:4376,31:116</t>
  </si>
  <si>
    <t>Trial:0 w:13; pErr:0.1361, weight 13 CW found:10559, wDict:13:5606,14:4029,15:325,16:40</t>
  </si>
  <si>
    <t>Trial:0 w:13; pErr:0.1553, weight 13 CW found:11379, wDict:13:5555,14:4134,15:287,16:24</t>
  </si>
  <si>
    <t>Trial:0 w:33; Trial:1 w:32; pErr:0.0000, weight 32 CW found:172, wDict:32:4302,33:5118,34:577,35:3</t>
  </si>
  <si>
    <t>Trial:0 w:20; Trial:8 w:19; pErr:0.1043, weight 19 CW found:22834, wDict:19:2405,20:7582,23:12,24:1</t>
  </si>
  <si>
    <t>Trial:0 w:12; pErr:0.1666, weight 12 CW found:12748, wDict:12:5243,14:4478,16:279</t>
  </si>
  <si>
    <t>Trial:0 w:14; Trial:2 w:13; pErr:0.1865, weight 13 CW found:11501, wDict:13:2431,14:6129,15:1376,16:48,17:14,18:2</t>
  </si>
  <si>
    <t>Trial:0 w:19; pErr:0.1124, weight 19 CW found:22622, wDict:19:2635,20:7347,23:17,24:1</t>
  </si>
  <si>
    <t>Trial:0 w:27; Trial:1 w:25; Trial:4 w:24; pErr:0.0044, weight 24 CW found:2793, wDict:24:2805,25:4594,26:1977,27:523,28:91,29:9,30:1</t>
  </si>
  <si>
    <t>Trial:0 w:12; Trial:1 w:11; pErr:0.1779, weight 11 CW found:9622, wDict:11:4532,12:3954,13:1347,14:162,15:5</t>
  </si>
  <si>
    <t>Trial:0 w:11; pErr:0.1906, weight 11 CW found:10021, wDict:11:4560,12:3974,13:1307,14:154,15:5</t>
  </si>
  <si>
    <t>Trial:0 w:14; Trial:4 w:13; pErr:0.2210, weight 13 CW found:10072, wDict:13:2905,14:3528,15:2598,16:868,17:96,18:5</t>
  </si>
  <si>
    <t>Trial:0 w:17; Trial:2 w:16; Trial:7 w:15; pErr:0.2868, weight 15 CW found:13918, wDict:15:1513,16:5194,17:2855,18:407,19:31</t>
  </si>
  <si>
    <t>Trial:0 w:15; pErr:0.2982, weight 15 CW found:14416, wDict:15:1553,16:5183,17:2835,18:396,19:33</t>
  </si>
  <si>
    <t>Trial:0 w:25; Trial:2 w:24; pErr:0.0414, weight 24 CW found:4826, wDict:24:382,25:2613,26:4696,27:1841,28:346,29:100,30:22</t>
  </si>
  <si>
    <t>Trial:0 w:25; pErr:0.0430, weight 25 CW found:5115, wDict:25:970,26:4437,27:3680,28:728,29:127,30:52,31:6</t>
  </si>
  <si>
    <t>Trial:0 w:17; Trial:1 w:16; Trial:2 w:15; pErr:0.3247, weight 15 CW found:15961, wDict:15:1616,16:5285,17:2751,18:328,19:20</t>
  </si>
  <si>
    <t>Trial:0 w:13; pErr:0.2867, weight 13 CW found:12469, wDict:13:3180,14:3693,15:2379,16:696,17:51,18:1</t>
  </si>
  <si>
    <t>Trial:0 w:21; pErr:0.2199, weight 21 CW found:9240, wDict:21:2755,22:3153,23:2379,24:1226,25:423,26:61,27:3</t>
  </si>
  <si>
    <t>Trial:0 w:24; Trial:1 w:23; Trial:2 w:21; pErr:0.2432, weight 21 CW found:9927, wDict:21:2791,22:3155,23:2471,24:1134,25:395,26:53,27:1</t>
  </si>
  <si>
    <t>Trial:0 w:26; Trial:1 w:25; pErr:0.1191, weight 25 CW found:6975, wDict:25:1182,26:4513,27:2989,28:582,29:415,30:305,31:14</t>
  </si>
  <si>
    <t>Trial:0 w:16; Trial:2 w:14; Trial:131 w:13; pErr:0.3237, weight 13 CW found:18094, wDict:13:126,14:6335,15:1141,16:2311,17:52,18:35</t>
  </si>
  <si>
    <t>Trial:0 w:14; Trial:20 w:13; pErr:0.3285, weight 13 CW found:16887, wDict:13:189,14:5731,15:2010,16:1959,17:92,18:19</t>
  </si>
  <si>
    <t>Trial:0 w:15; Trial:3 w:14; Trial:13 w:13; pErr:0.3353, weight 13 CW found:16360, wDict:13:264,14:5207,15:2631,16:1760,17:128,18:10</t>
  </si>
  <si>
    <t>Trial:0 w:18; Trial:10 w:17; pErr:0.3364, weight 17 CW found:14535, wDict:17:1316,18:4940,19:2925,20:465,21:245,22:106,23:3</t>
  </si>
  <si>
    <t>Trial:0 w:18; Trial:1 w:17; Trial:3 w:16; pErr:0.3411, weight 16 CW found:14235, wDict:16:493,17:3104,18:4386,19:1456,20:375,21:176,22:10</t>
  </si>
  <si>
    <t>Trial:0 w:18; Trial:2 w:16; Trial:65 w:15; pErr:0.3442, weight 15 CW found:14197, wDict:15:152,16:1565,17:4106,18:3036,19:833,20:278,21:30</t>
  </si>
  <si>
    <t>Trial:0 w:17; Trial:2 w:16; Trial:15 w:15; pErr:0.3473, weight 15 CW found:14273, wDict:15:138,16:1593,17:4181,18:2966,19:843,20:248,21:31</t>
  </si>
  <si>
    <t>Trial:0 w:16; Trial:44 w:15; pErr:0.3500, weight 15 CW found:14475, wDict:15:165,16:1585,17:4165,18:3023,19:778,20:252,21:32</t>
  </si>
  <si>
    <t>Trial:0 w:17; Trial:7 w:16; pErr:0.3537, weight 16 CW found:15009, wDict:16:495,17:3376,18:4342,19:1370,20:291,21:124,22:2</t>
  </si>
  <si>
    <t>Trial:0 w:16; Trial:2 w:15; pErr:0.3439, weight 15 CW found:13174, wDict:15:1004,16:1992,17:2389,18:2562,19:1561,20:454,21:38</t>
  </si>
  <si>
    <t>Trial:0 w:18; Trial:1 w:17; Trial:3 w:16; Trial:18 w:15; pErr:0.3460, weight 15 CW found:13213, wDict:15:1036,16:1962,17:2510,18:2544,19:1523,20:388,21:37</t>
  </si>
  <si>
    <t>Trial:0 w:28; Trial:3 w:25; pErr:0.3088, weight 25 CW found:12464, wDict:25:608,26:3528,27:1133,28:3050,29:717,30:849,31:83,32:31,33:1</t>
  </si>
  <si>
    <t>Trial:0 w:30; Trial:12 w:29; pErr:0.2394, weight 29 CW found:11145, wDict:29:292,30:4479,31:878,32:3180,33:455,34:681,35:28,36:6,37:1</t>
  </si>
  <si>
    <t>Trial:0 w:20; Trial:4 w:18; Trial:14 w:17; pErr:0.3621, weight 17 CW found:15051, wDict:17:504,18:2000,19:3224,20:3005,21:1113,22:145,23:9</t>
  </si>
  <si>
    <t>Trial:0 w:23; Trial:1 w:21; pErr:0.3496, weight 21 CW found:12784, wDict:21:957,22:1609,23:2139,24:2300,25:1869,26:894,27:215,28:16,29:1</t>
  </si>
  <si>
    <t>Trial:0 w:24; Trial:1 w:23; Trial:2 w:22; Trial:3 w:21; pErr:0.3533, weight 21 CW found:13172, wDict:21:937,22:1626,23:2181,24:2322,25:1881,26:834,27:202,28:16,29:1</t>
  </si>
  <si>
    <t>Trial:0 w:20; Trial:1 w:19; Trial:2 w:18; Trial:21 w:17; pErr:0.3598, weight 17 CW found:14959, wDict:17:478,18:2474,19:3206,20:1191,21:1228,22:1357,23:66</t>
  </si>
  <si>
    <t>Trial:0 w:29; Trial:4 w:28; Trial:11 w:26; Trial:46 w:25; pErr:0.3380, weight 25 CW found:13126, wDict:25:281,26:1930,27:728,28:3047,29:1076,30:2238,31:382,32:300,33:16,34:2</t>
  </si>
  <si>
    <t>Trial:0 w:31; Trial:1 w:29; Trial:29 w:28; pErr:0.3193, weight 28 CW found:11785, wDict:28:263,29:1611,30:2998,31:2060,32:1001,33:1381,34:632,35:49,36:4,37:1</t>
  </si>
  <si>
    <t>Trial:0 w:19; Trial:5 w:18; Trial:17 w:17; pErr:0.3620, weight 17 CW found:13677, wDict:17:241,18:1707,19:2900,20:2406,21:1755,22:821,23:158,24:12</t>
  </si>
  <si>
    <t>Trial:0 w:30; Trial:5 w:29; Trial:6 w:28; Trial:207 w:27; pErr:0.3436, weight 27 CW found:12270, wDict:27:100,28:862,29:2415,30:2717,31:1542,32:1266,33:951,34:142,35:5</t>
  </si>
  <si>
    <t>Trial:0 w:36; Trial:2 w:35; Trial:86 w:34; pErr:0.2557, weight 34 CW found:10374, wDict:34:176,35:813,36:2193,37:3401,38:2356,39:829,40:186,41:42,42:4</t>
  </si>
  <si>
    <t>Trial:0 w:39; Trial:1 w:37; Trial:3 w:36; Trial:6 w:34; pErr:0.2808, weight 34 CW found:11142, wDict:34:180,35:847,36:2249,37:3412,38:2366,39:774,40:146,41:24,42:2</t>
  </si>
  <si>
    <t>Trial:0 w:36; Trial:2 w:35; Trial:41 w:33; pErr:0.3164, weight 33 CW found:12430, wDict:33:61,34:490,35:1642,36:3158,37:2919,38:1388,39:299,40:40,41:3</t>
  </si>
  <si>
    <t>Trial:0 w:38; Trial:1 w:37; Trial:2 w:36; Trial:101 w:35; Trial:210 w:34; pErr:0.3066, weight 34 CW found:11879, wDict:34:74,35:208,36:1744,37:3267,38:2935,39:1439,40:292,41:39,42:2</t>
  </si>
  <si>
    <t>Trial:0 w:37; Trial:1 w:36; Trial:43 w:35; Trial:234 w:34; pErr:0.3248, weight 34 CW found:12750, wDict:34:32,35:348,36:1585,37:3336,38:3095,39:1279,40:277,41:43,42:4,43:1</t>
  </si>
  <si>
    <t>Trial:0 w:38; Trial:1 w:37; Trial:4 w:36; Trial:142 w:35; pErr:0.3267, weight 35 CW found:12866, wDict:35:75,36:803,37:2501,38:3726,39:2208,40:582,41:90,42:14,43:1</t>
  </si>
  <si>
    <t>Trial:0 w:39; Trial:2 w:38; Trial:40 w:37; Trial:402 w:36; pErr:0.3191, weight 36 CW found:12773, wDict:36:46,37:601,38:2315,39:4073,40:2327,41:545,42:81,43:10,44:2</t>
  </si>
  <si>
    <t>Trial:0 w:40; Trial:1 w:39; Trial:3 w:38; Trial:37 w:37; Trial:88 w:36; pErr:0.3299, weight 36 CW found:13598, wDict:36:44,37:579,38:2463,39:4073,40:2284,41:478,42:69,43:9,44:1</t>
  </si>
  <si>
    <t>Trial:0 w:39; Trial:6 w:38; Trial:162 w:37; pErr:0.3335, weight 37 CW found:13893, wDict:37:121,38:1149,39:3727,40:3645,41:1155,42:177,43:21,44:5</t>
  </si>
  <si>
    <t>Trial:0 w:28; Trial:5 w:25; pErr:0.3644, weight 25 CW found:13902, wDict:25:197,26:937,27:1607,28:834,29:1160,30:3221,31:1617,32:227,33:133,34:67</t>
  </si>
  <si>
    <t>Trial:0 w:30; Trial:2 w:27; Trial:15 w:26; Trial:62 w:25; pErr:0.3651, weight 25 CW found:13808, wDict:25:173,26:986,27:1687,28:885,29:1185,30:3228,31:1465,32:222,33:110,34:58,35:1</t>
  </si>
  <si>
    <t>Trial:0 w:27; Trial:4 w:25; pErr:0.3653, weight 25 CW found:13975, wDict:25:182,26:984,27:1721,28:855,29:1164,30:3244,31:1492,32:188,33:124,34:46</t>
  </si>
  <si>
    <t>Trial:0 w:30; Trial:1 w:26; Trial:45 w:25; pErr:0.3661, weight 25 CW found:13980, wDict:25:182,26:1033,27:1707,28:867,29:1157,30:3232,31:1455,32:221,33:103,34:43</t>
  </si>
  <si>
    <t>Trial:0 w:32; Trial:1 w:30; Trial:2 w:28; Trial:10 w:27; Trial:11 w:26; pErr:0.3664, weight 26 CW found:15097, wDict:26:541,27:1864,28:1371,30:2602,31:2981,32:485,34:144,35:12</t>
  </si>
  <si>
    <t>Trial:0 w:42; Trial:1 w:40; Trial:5 w:39; Trial:14 w:38; Trial:288 w:37; pErr:0.3361, weight 37 CW found:13535, wDict:37:133,38:1091,39:3622,40:3640,41:1208,42:235,43:56,44:15</t>
  </si>
  <si>
    <t>Trial:0 w:35; Trial:1 w:30; Trial:25 w:29; pErr:0.3640, weight 29 CW found:12670, wDict:29:513,30:880,31:932,32:1353,33:1885,34:1964,35:1513,36:695,37:229,38:34,39:2</t>
  </si>
  <si>
    <t>Gen:0 Trial:0 w:5; pErr:0.0000, weight 5 CW found:10, wDict:5:10000</t>
  </si>
  <si>
    <t>Gen:0 Trial:0 w:5; pErr:0.0000, weight 5 CW found:16, wDict:5:10000</t>
  </si>
  <si>
    <t>Gen:0 Trial:0 w:5; pErr:0.0000, weight 5 CW found:24, wDict:5:10000</t>
  </si>
  <si>
    <t>Gen:0 Trial:0 w:10; pErr:0.0000, weight 10 CW found:20, wDict:10:10000</t>
  </si>
  <si>
    <t>Gen:0 Trial:0 w:21; pErr:0.0000, weight 21 CW found:6, wDict:21:9992,22:8</t>
  </si>
  <si>
    <t>LOCheck: 0</t>
  </si>
  <si>
    <t>pMutScale: 50</t>
  </si>
  <si>
    <t>outfile: /home/ucapmwe/dist-benchmark/results/codeTables-GF2_sample.txt-QDistEvol-20260220_184925.010600_85062422.txt</t>
  </si>
  <si>
    <t>Gen:0 Trial:0 w:3; pErr:0.0000, weight 3 CW found:12, wDict:3:9752,4:248</t>
  </si>
  <si>
    <t>Gen:0 Trial:0 w:5; pErr:0.0000, weight 5 CW found:8, wDict:5:9999,6:1</t>
  </si>
  <si>
    <t>Gen:0 Trial:0 w:9; pErr:0.0000, weight 9 CW found:24, wDict:9:9991,10:7,11:2</t>
  </si>
  <si>
    <t>Gen:0 Trial:0 w:9; pErr:0.0000, weight 9 CW found:22, wDict:9:9995,10:5</t>
  </si>
  <si>
    <t>Gen:0 Trial:0 w:9; pErr:0.0000, weight 9 CW found:22, wDict:9:9998,10:2</t>
  </si>
  <si>
    <t>Gen:0 Trial:0 w:13; pErr:0.0000, weight 13 CW found:6, wDict:13:9988,14:12</t>
  </si>
  <si>
    <t>Gen:0 Trial:0 w:5; pErr:0.0000, weight 5 CW found:64, wDict:5:9999,6:1</t>
  </si>
  <si>
    <t>Gen:0 Trial:0 w:9; pErr:0.0000, weight 9 CW found:42, wDict:9:9999,10:1</t>
  </si>
  <si>
    <t>Gen:0 Trial:0 w:9; pErr:0.0000, weight 9 CW found:56, wDict:9:10000</t>
  </si>
  <si>
    <t>Gen:0 Trial:0 w:5; pErr:0.0000, weight 5 CW found:121, wDict:5:9999,6:1</t>
  </si>
  <si>
    <t>Gen:0 Trial:0 w:13; pErr:0.0000, weight 13 CW found:31, wDict:13:9701,14:299</t>
  </si>
  <si>
    <t>Gen:0 Trial:0 w:14; pErr:0.0000, weight 14 CW found:47, wDict:14:9947,15:53</t>
  </si>
  <si>
    <t>Gen:0 Trial:0 w:17; pErr:0.0000, weight 17 CW found:6, wDict:17:9992,18:8</t>
  </si>
  <si>
    <t>Gen:0 Trial:0 w:13; pErr:0.0000, weight 13 CW found:47, wDict:13:9997,14:3</t>
  </si>
  <si>
    <t>Gen:0 Trial:0 w:8; Trial:1 w:7; pErr:0.0000, weight 7 CW found:661, wDict:7:9828,8:172</t>
  </si>
  <si>
    <t>Gen:0 Trial:0 w:17; pErr:0.0000, weight 17 CW found:10, wDict:17:9980,18:20</t>
  </si>
  <si>
    <t>Gen:0 Trial:0 w:7; pErr:0.0000, weight 7 CW found:375, wDict:7:9978,8:22</t>
  </si>
  <si>
    <t>Gen:0 Trial:0 w:17; pErr:0.0000, weight 17 CW found:18, wDict:17:9989,18:11</t>
  </si>
  <si>
    <t>Gen:0 Trial:0 w:17; pErr:0.0000, weight 17 CW found:30, wDict:17:9977,18:23</t>
  </si>
  <si>
    <t>Gen:0 Trial:0 w:17; pErr:0.0000, weight 17 CW found:42, wDict:17:9993,18:7</t>
  </si>
  <si>
    <t>Gen:0 Trial:0 w:13; pErr:0.0000, weight 13 CW found:144, wDict:13:9996,14:4</t>
  </si>
  <si>
    <t>Gen:0 Trial:0 w:17; pErr:0.0000, weight 17 CW found:62, wDict:17:9988,18:12</t>
  </si>
  <si>
    <t>Gen:0 Trial:0 w:17; pErr:0.0000, weight 17 CW found:63, wDict:17:9999,18:1</t>
  </si>
  <si>
    <t>Gen:0 Trial:0 w:9; pErr:0.0000, weight 9 CW found:1005, wDict:9:8377,10:1623</t>
  </si>
  <si>
    <t>Gen:0 Trial:0 w:10; Trial:1 w:9; pErr:0.0000, weight 9 CW found:1126, wDict:9:9329,10:671</t>
  </si>
  <si>
    <t>Gen:0 Trial:0 w:9; pErr:0.0000, weight 9 CW found:1339, wDict:9:9461,10:539</t>
  </si>
  <si>
    <t>Gen:0 Trial:0 w:15; pErr:0.0000, weight 15 CW found:753, wDict:15:9939,16:61</t>
  </si>
  <si>
    <t>Gen:0 Trial:0 w:10; Trial:1 w:9; pErr:0.0000, weight 9 CW found:973, wDict:9:9710,10:290</t>
  </si>
  <si>
    <t>Gen:0 Trial:0 w:9; pErr:0.0000, weight 9 CW found:1073, wDict:9:9597,10:403</t>
  </si>
  <si>
    <t>Gen:0 Trial:0 w:25; pErr:0.0000, weight 25 CW found:10, wDict:25:9979,26:21</t>
  </si>
  <si>
    <t>Gen:0 Trial:0 w:13; pErr:0.0000, weight 13 CW found:517, wDict:13:9940,14:60</t>
  </si>
  <si>
    <t>Gen:0 Trial:0 w:9; pErr:0.0000, weight 9 CW found:1639, wDict:9:8225,10:1775</t>
  </si>
  <si>
    <t>Gen:0 Trial:0 w:17; pErr:0.0000, weight 17 CW found:583, wDict:17:8998,18:1000,19:2</t>
  </si>
  <si>
    <t>Gen:0 Trial:0 w:18; Trial:1 w:17; pErr:0.0000, weight 17 CW found:690, wDict:17:9070,18:930</t>
  </si>
  <si>
    <t>Gen:0 Trial:0 w:9; pErr:0.0000, weight 9 CW found:1525, wDict:9:8985,10:1015</t>
  </si>
  <si>
    <t>Gen:0 Trial:0 w:13; pErr:0.0000, weight 13 CW found:606, wDict:13:9952,14:48</t>
  </si>
  <si>
    <t>Gen:0 Trial:0 w:17; pErr:0.0000, weight 17 CW found:773, wDict:17:9068,18:932</t>
  </si>
  <si>
    <t>Gen:0 Trial:0 w:18; Trial:2 w:17; pErr:0.0000, weight 17 CW found:434, wDict:17:9867,18:129,19:4</t>
  </si>
  <si>
    <t>Gen:0 Trial:0 w:32; pErr:0.0000, weight 32 CW found:5, wDict:32:9708,33:292</t>
  </si>
  <si>
    <t>Gen:0 Trial:0 w:17; pErr:0.0000, weight 17 CW found:568, wDict:17:9838,18:161,19:1</t>
  </si>
  <si>
    <t>Gen:0 Trial:0 w:17; pErr:0.0000, weight 17 CW found:753, wDict:17:9774,18:226</t>
  </si>
  <si>
    <t>Gen:0 Trial:0 w:20; Trial:2 w:19; pErr:0.0000, weight 19 CW found:938, wDict:19:8312,20:1652,21:36</t>
  </si>
  <si>
    <t>Gen:0 Trial:0 w:17; pErr:0.0000, weight 17 CW found:778, wDict:17:9331,18:651,19:17,20:1</t>
  </si>
  <si>
    <t>Gen:0 Trial:0 w:17; Trial:2 w:16; pErr:0.0000, weight 16 CW found:737, wDict:16:8877,17:1105,18:17,19:1</t>
  </si>
  <si>
    <t>Gen:0 Trial:0 w:16; pErr:0.0000, weight 16 CW found:900, wDict:16:9264,17:721,18:13,19:2</t>
  </si>
  <si>
    <t>Gen:0 Trial:0 w:13; pErr:0.0000, weight 13 CW found:1438, wDict:13:8758,14:1232,15:10</t>
  </si>
  <si>
    <t>Gen:0 Trial:0 w:13; pErr:0.0000, weight 13 CW found:1801, wDict:13:8414,14:1578,15:8</t>
  </si>
  <si>
    <t>Gen:0 Trial:0 w:13; pErr:0.0000, weight 13 CW found:2144, wDict:13:7966,14:2026,15:8</t>
  </si>
  <si>
    <t>Gen:0 Trial:0 w:13; pErr:0.0000, weight 13 CW found:1878, wDict:13:8813,14:1179,15:8</t>
  </si>
  <si>
    <t>Gen:0 Trial:0 w:13; pErr:0.0001, weight 13 CW found:2467, wDict:13:8209,14:1786,15:5</t>
  </si>
  <si>
    <t>Gen:0 Trial:0 w:13; pErr:0.0002, weight 13 CW found:2825, wDict:13:8064,14:1931,15:5</t>
  </si>
  <si>
    <t>Gen:0 Trial:0 w:30; Trial:2 w:29; pErr:0.0000, weight 29 CW found:487, wDict:29:8668,30:1320,31:12</t>
  </si>
  <si>
    <t>Gen:0 Trial:0 w:13; pErr:0.0000, weight 13 CW found:2095, wDict:13:9067,14:922,15:11</t>
  </si>
  <si>
    <t>Gen:0 Trial:0 w:14; Trial:1 w:13; pErr:0.0000, weight 13 CW found:2323, wDict:13:9010,14:965,15:23,16:2</t>
  </si>
  <si>
    <t>Gen:0 Trial:0 w:33; Trial:1 w:32; pErr:0.0000, weight 32 CW found:131, wDict:32:8645,33:1332,34:23</t>
  </si>
  <si>
    <t>Gen:0 Trial:0 w:20; Trial:5 w:19; pErr:0.0008, weight 19 CW found:6476, wDict:19:5626,20:4373,23:1</t>
  </si>
  <si>
    <t>Gen:0 Trial:0 w:14; Trial:1 w:12; pErr:0.0000, weight 12 CW found:1984, wDict:12:9225,14:766,16:9</t>
  </si>
  <si>
    <t>Gen:0 Trial:0 w:14; Trial:8 w:13; pErr:0.0007, weight 13 CW found:2546, wDict:13:6958,14:2798,15:240,16:3,17:1</t>
  </si>
  <si>
    <t>Gen:0 Trial:0 w:20; Trial:4 w:19; pErr:0.0008, weight 19 CW found:6843, wDict:19:5383,20:4617</t>
  </si>
  <si>
    <t>Gen:0 Trial:0 w:25; Trial:1 w:24; pErr:0.0000, weight 24 CW found:897, wDict:24:6949,25:2619,26:392,27:36,28:3,29:1</t>
  </si>
  <si>
    <t>Gen:0 Trial:0 w:11; pErr:0.0000, weight 11 CW found:1836, wDict:11:8413,12:1407,13:169,14:11</t>
  </si>
  <si>
    <t>Gen:0 Trial:0 w:13; Trial:1 w:12; Trial:4 w:11; pErr:0.0000, weight 11 CW found:1831, wDict:11:8668,12:1182,13:141,14:8,15:1</t>
  </si>
  <si>
    <t>Gen:0 Trial:0 w:14; Trial:2 w:13; pErr:0.0000, weight 13 CW found:1514, wDict:13:7854,14:1650,15:415,16:79,17:2</t>
  </si>
  <si>
    <t>Gen:0 Trial:0 w:17; Trial:2 w:16; Trial:4 w:15; pErr:0.0012, weight 15 CW found:2345, wDict:15:6829,16:2461,17:662,18:44,19:4</t>
  </si>
  <si>
    <t>Gen:0 Trial:0 w:16; Trial:3 w:15; pErr:0.0074, weight 15 CW found:3162, wDict:15:6465,16:2601,17:861,18:70,19:2,20:1</t>
  </si>
  <si>
    <t>Gen:0 Trial:0 w:26; Trial:3 w:24; pErr:0.0003, weight 24 CW found:1637, wDict:24:5372,25:1751,26:2195,27:617,28:50,29:15</t>
  </si>
  <si>
    <t>Gen:0 Trial:0 w:27; Trial:1 w:26; Trial:2 w:25; pErr:0.0001, weight 25 CW found:1704, wDict:25:5405,26:3191,27:1296,28:95,29:9,30:4</t>
  </si>
  <si>
    <t>Gen:0 Trial:0 w:15; pErr:0.0108, weight 15 CW found:3450, wDict:15:6240,16:2903,17:795,18:59,19:3</t>
  </si>
  <si>
    <t>Gen:0 Trial:0 w:13; pErr:0.0041, weight 13 CW found:2898, wDict:13:6773,14:2422,15:689,16:109,17:7</t>
  </si>
  <si>
    <t>Gen:0 Trial:0 w:22; Trial:2 w:21; pErr:0.0015, weight 21 CW found:2286, wDict:21:6727,22:1971,23:882,24:356,25:56,26:8</t>
  </si>
  <si>
    <t>Gen:0 Trial:0 w:23; Trial:1 w:22; Trial:2 w:21; pErr:0.0009, weight 21 CW found:2252, wDict:21:7065,22:1922,23:780,24:188,25:38,26:7</t>
  </si>
  <si>
    <t>Gen:0 Trial:0 w:27; Trial:1 w:25; pErr:0.0001, weight 25 CW found:1647, wDict:25:6075,26:2937,27:806,28:92,29:63,30:27</t>
  </si>
  <si>
    <t>Gen:0 Trial:0 w:14; Gen:2 Trial:260 w:13; pErr:0.0059, weight 13 CW found:2777, wDict:13:5507,14:3422,15:647,16:407,17:16,18:1</t>
  </si>
  <si>
    <t>Gen:0 Trial:0 w:15; Trial:2 w:14; Trial:29 w:13; pErr:0.0122, weight 13 CW found:3326, wDict:13:5483,14:3266,15:816,16:410,17:23,18:2</t>
  </si>
  <si>
    <t>Gen:0 Trial:0 w:15; Trial:2 w:14; Trial:80 w:13; pErr:0.0062, weight 13 CW found:2955, wDict:13:6003,14:2861,15:855,16:263,17:15,18:3</t>
  </si>
  <si>
    <t>Gen:0 Trial:0 w:18; Trial:8 w:17; pErr:0.0089, weight 17 CW found:3191, wDict:17:5827,18:3176,19:867,20:95,21:28,22:7</t>
  </si>
  <si>
    <t>Gen:0 Trial:0 w:18; Trial:1 w:17; Gen:1 Trial:109 w:16; pErr:0.0107, weight 16 CW found:3001, wDict:16:5359,17:2159,18:2063,19:338,20:57,21:23,22:1</t>
  </si>
  <si>
    <t>Gen:0 Trial:0 w:16; Trial:54 w:15; pErr:0.0079, weight 15 CW found:2643, wDict:15:6084,16:949,17:1980,18:775,19:165,20:44,21:3</t>
  </si>
  <si>
    <t>Gen:0 Trial:0 w:17; Trial:5 w:16; Trial:6 w:15; pErr:0.0168, weight 15 CW found:3190, wDict:15:5233,16:1247,17:2259,18:1025,19:193,20:39,21:4</t>
  </si>
  <si>
    <t>Gen:0 Trial:0 w:19; Trial:1 w:17; Trial:4 w:16; Trial:10 w:15; pErr:0.0217, weight 15 CW found:3384, wDict:15:5393,16:888,17:2498,18:998,19:182,20:41</t>
  </si>
  <si>
    <t>Gen:0 Trial:0 w:18; Trial:3 w:17; Trial:61 w:16; pErr:0.0237, weight 16 CW found:3646, wDict:16:5290,17:2400,18:1873,19:362,20:55,21:20</t>
  </si>
  <si>
    <t>Gen:0 Trial:0 w:19; Trial:1 w:18; Trial:2 w:16; Trial:20 w:15; pErr:0.0161, weight 15 CW found:3182, wDict:15:5853,16:1453,17:1097,18:1142,19:376,20:77,21:2</t>
  </si>
  <si>
    <t>Gen:0 Trial:0 w:16; Trial:2 w:15; pErr:0.0087, weight 15 CW found:2779, wDict:15:6235,16:1422,17:1134,18:817,19:325,20:63,21:4</t>
  </si>
  <si>
    <t>Gen:0 Trial:0 w:27; Trial:4 w:26; Trial:28 w:25; pErr:0.0132, weight 25 CW found:3004, wDict:25:5526,26:2154,27:983,28:913,29:270,30:140,31:14</t>
  </si>
  <si>
    <t>Gen:0 Trial:0 w:32; Trial:1 w:30; Trial:78 w:29; pErr:0.0088, weight 29 CW found:3089, wDict:29:4423,30:3895,31:228,32:1234,33:62,34:154,35:1,36:3</t>
  </si>
  <si>
    <t>Gen:0 Trial:0 w:19; Trial:2 w:18; Trial:7 w:17; pErr:0.0409, weight 17 CW found:4188, wDict:17:5305,18:1320,19:1735,20:1269,21:336,22:35</t>
  </si>
  <si>
    <t>Gen:0 Trial:0 w:24; Trial:6 w:22; Trial:14 w:21; pErr:0.0170, weight 21 CW found:3229, wDict:21:5767,22:1257,23:1159,24:968,25:610,26:201,27:34,28:4</t>
  </si>
  <si>
    <t>Gen:0 Trial:0 w:25; Trial:4 w:22; Trial:29 w:21; pErr:0.0254, weight 21 CW found:3453, wDict:21:5467,22:1160,23:1434,24:1106,25:613,26:181,27:35,28:4</t>
  </si>
  <si>
    <t>Gen:0 Trial:0 w:19; Trial:3 w:18; Trial:57 w:17; pErr:0.0230, weight 17 CW found:3474, wDict:17:5495,18:1607,19:1722,20:488,21:394,22:287,23:7</t>
  </si>
  <si>
    <t>Gen:0 Trial:0 w:26; Trial:9 w:25; pErr:0.0243, weight 25 CW found:3192, wDict:25:5282,26:1242,27:758,28:1333,29:610,30:597,31:129,32:44,33:5</t>
  </si>
  <si>
    <t>Gen:0 Trial:0 w:30; Trial:3 w:29; Trial:4 w:28; pErr:0.0165, weight 28 CW found:2954, wDict:28:4956,29:1663,30:1609,31:888,32:324,33:431,34:117,35:11,36:1</t>
  </si>
  <si>
    <t>Gen:0 Trial:0 w:20; Trial:1 w:19; Trial:2 w:18; Trial:32 w:17; pErr:0.0029, weight 17 CW found:2476, wDict:17:5982,18:1886,19:1130,20:587,21:287,22:116,23:11,24:1</t>
  </si>
  <si>
    <t>Gen:0 Trial:0 w:33; Trial:1 w:29; Trial:3 w:28; Trial:33 w:27; pErr:0.0373, weight 27 CW found:3588, wDict:27:4813,28:768,29:1688,30:1336,31:647,32:410,33:300,34:36,35:2</t>
  </si>
  <si>
    <t>Gen:0 Trial:0 w:36; Trial:3 w:34; pErr:0.0256, weight 34 CW found:3462, wDict:34:4372,35:730,36:1489,37:2106,38:979,39:289,40:32,41:3</t>
  </si>
  <si>
    <t>Gen:0 Trial:0 w:36; Trial:4 w:35; Trial:54 w:34; pErr:0.0268, weight 34 CW found:3434, wDict:34:4735,35:823,36:1491,37:1732,38:941,39:236,40:35,41:6,42:1</t>
  </si>
  <si>
    <t>Gen:0 Trial:0 w:38; Trial:1 w:37; Trial:2 w:36; Trial:6 w:35; Trial:7 w:34; Trial:53 w:33; pErr:0.0541, weight 33 CW found:4304, wDict:33:4163,34:452,35:1109,36:1983,37:1580,38:596,39:108,40:8,41:1</t>
  </si>
  <si>
    <t>Gen:0 Trial:0 w:38; Trial:1 w:37; Trial:5 w:36; Trial:89 w:35; Gen:2 Trial:250 w:34; pErr:0.0420, weight 34 CW found:3884, wDict:34:4520,35:185,36:1178,37:2057,38:1375,39:604,40:67,41:14</t>
  </si>
  <si>
    <t>Gen:0 Trial:0 w:36; Trial:11 w:35; Gen:2 Trial:210 w:34; pErr:0.0476, weight 34 CW found:4057, wDict:34:4344,35:394,36:1083,37:2069,38:1530,39:489,40:80,41:11</t>
  </si>
  <si>
    <t>Gen:0 Trial:0 w:38; Trial:3 w:37; Trial:6 w:36; Trial:57 w:35; pErr:0.0561, weight 35 CW found:4500, wDict:35:4343,36:582,37:1741,38:2099,39:1032,40:174,41:24,42:5</t>
  </si>
  <si>
    <t>Gen:0 Trial:0 w:38; Trial:10 w:37; Gen:1 Trial:136 w:36; pErr:0.0650, weight 36 CW found:4801, wDict:36:3948,37:414,38:1534,39:2648,40:1208,41:217,42:27,43:4</t>
  </si>
  <si>
    <t>Gen:0 Trial:0 w:39; Trial:2 w:38; Trial:10 w:37; Gen:4 Trial:420 w:36; pErr:0.0657, weight 36 CW found:4655, wDict:36:3890,37:739,38:1692,39:2363,40:1092,41:193,42:30,43:1</t>
  </si>
  <si>
    <t>Gen:0 Trial:0 w:41; Trial:1 w:39; Trial:15 w:38; Gen:2 Trial:262 w:37; pErr:0.0622, weight 37 CW found:4725, wDict:37:4382,38:861,39:2300,40:1973,41:429,42:49,43:6</t>
  </si>
  <si>
    <t>Gen:0 Trial:0 w:27; Trial:30 w:26; Trial:95 w:25; pErr:0.0646, weight 25 CW found:4504, wDict:25:4503,26:781,27:1191,28:529,29:701,30:1640,31:542,32:68,33:27,34:18</t>
  </si>
  <si>
    <t>Gen:0 Trial:0 w:32; Trial:1 w:28; Trial:5 w:27; Trial:9 w:26; Trial:13 w:25; pErr:0.0577, weight 25 CW found:4301, wDict:25:4706,26:1009,27:1332,28:475,29:701,30:1285,31:406,32:48,33:24,34:14</t>
  </si>
  <si>
    <t>Gen:0 Trial:0 w:28; Trial:2 w:27; Trial:11 w:26; Trial:75 w:25; pErr:0.0536, weight 25 CW found:4239, wDict:25:4588,26:1149,27:1327,28:442,29:638,30:1348,31:425,32:52,33:26,34:5</t>
  </si>
  <si>
    <t>Gen:0 Trial:0 w:27; Trial:36 w:26; Trial:56 w:25; pErr:0.0654, weight 25 CW found:4527, wDict:25:4647,26:1054,27:1193,28:559,29:697,30:1376,31:390,32:44,33:31,34:9</t>
  </si>
  <si>
    <t>Gen:0 Trial:0 w:30; Trial:1 w:26; pErr:0.0466, weight 26 CW found:4426, wDict:26:4861,27:2124,28:1095,30:1057,31:753,32:96,34:14</t>
  </si>
  <si>
    <t>Gen:0 Trial:0 w:39; Trial:13 w:38; Trial:71 w:37; pErr:0.0662, weight 37 CW found:4940, wDict:37:3940,38:941,39:2590,40:1997,41:464,42:53,43:11,44:4</t>
  </si>
  <si>
    <t>Gen:0 Trial:0 w:31; Trial:16 w:30; Trial:19 w:29; pErr:0.0843, weight 29 CW found:4805, wDict:29:4389,30:829,31:701,32:881,33:1118,34:1022,35:663,36:323,37:65,38:9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</si>
</sst>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9"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0" fontId="8"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analysis!$GO$68:$GO$200</c:f>
              <c:numCache>
                <c:formatCode>0.0E+00</c:formatCode>
                <c:ptCount val="133"/>
                <c:pt idx="0">
                  <c:v>0.51999621900000603</c:v>
                </c:pt>
                <c:pt idx="1">
                  <c:v>2.3476796000011201E-2</c:v>
                </c:pt>
                <c:pt idx="2">
                  <c:v>2.3317684999994901E-2</c:v>
                </c:pt>
                <c:pt idx="3">
                  <c:v>2.3199311000013201E-2</c:v>
                </c:pt>
                <c:pt idx="4">
                  <c:v>2.3160077000000001E-2</c:v>
                </c:pt>
                <c:pt idx="5">
                  <c:v>2.3293728999988099E-2</c:v>
                </c:pt>
                <c:pt idx="6">
                  <c:v>2.3041127999988399E-2</c:v>
                </c:pt>
                <c:pt idx="7">
                  <c:v>2.3164096000016302E-2</c:v>
                </c:pt>
                <c:pt idx="8">
                  <c:v>3.3072350999987003E-2</c:v>
                </c:pt>
                <c:pt idx="9">
                  <c:v>3.3188117000008698E-2</c:v>
                </c:pt>
                <c:pt idx="10">
                  <c:v>3.3138194000002799E-2</c:v>
                </c:pt>
                <c:pt idx="11">
                  <c:v>3.4091857999982197E-2</c:v>
                </c:pt>
                <c:pt idx="12">
                  <c:v>3.33837750000043E-2</c:v>
                </c:pt>
                <c:pt idx="13">
                  <c:v>3.3571273999996203E-2</c:v>
                </c:pt>
                <c:pt idx="14">
                  <c:v>3.3335762000007201E-2</c:v>
                </c:pt>
                <c:pt idx="15">
                  <c:v>4.3381487999994299E-2</c:v>
                </c:pt>
                <c:pt idx="16">
                  <c:v>3.3113047000000499E-2</c:v>
                </c:pt>
                <c:pt idx="17">
                  <c:v>4.33340330000078E-2</c:v>
                </c:pt>
                <c:pt idx="18">
                  <c:v>8.3764943000005504E-2</c:v>
                </c:pt>
                <c:pt idx="19">
                  <c:v>0.12360734899999599</c:v>
                </c:pt>
                <c:pt idx="20">
                  <c:v>8.3462609999997994E-2</c:v>
                </c:pt>
                <c:pt idx="21">
                  <c:v>4.4023146999990097E-2</c:v>
                </c:pt>
                <c:pt idx="22">
                  <c:v>4.34431300000142E-2</c:v>
                </c:pt>
                <c:pt idx="23">
                  <c:v>3.3121351999994803E-2</c:v>
                </c:pt>
                <c:pt idx="24">
                  <c:v>0.103842770999989</c:v>
                </c:pt>
                <c:pt idx="25">
                  <c:v>0.28492655100001202</c:v>
                </c:pt>
                <c:pt idx="26">
                  <c:v>5.3578969999989498E-2</c:v>
                </c:pt>
                <c:pt idx="27">
                  <c:v>0.36559314500001899</c:v>
                </c:pt>
                <c:pt idx="28">
                  <c:v>5.3664326999978501E-2</c:v>
                </c:pt>
                <c:pt idx="29">
                  <c:v>4.4398245000024802E-2</c:v>
                </c:pt>
                <c:pt idx="30">
                  <c:v>3.3681468999986898E-2</c:v>
                </c:pt>
                <c:pt idx="31">
                  <c:v>7.3845882999989898E-2</c:v>
                </c:pt>
                <c:pt idx="32">
                  <c:v>1.370655886</c:v>
                </c:pt>
                <c:pt idx="33">
                  <c:v>0.14415507000000999</c:v>
                </c:pt>
                <c:pt idx="34">
                  <c:v>0.24467955199997901</c:v>
                </c:pt>
                <c:pt idx="35">
                  <c:v>3.78611333200001</c:v>
                </c:pt>
                <c:pt idx="36">
                  <c:v>5.1656917450000002</c:v>
                </c:pt>
                <c:pt idx="37">
                  <c:v>5.7592573429999998</c:v>
                </c:pt>
                <c:pt idx="38">
                  <c:v>10.4978505739999</c:v>
                </c:pt>
                <c:pt idx="39">
                  <c:v>7.5205127700000096</c:v>
                </c:pt>
                <c:pt idx="40">
                  <c:v>8.3355168850000005</c:v>
                </c:pt>
                <c:pt idx="41">
                  <c:v>7.4578011999989202E-2</c:v>
                </c:pt>
                <c:pt idx="42">
                  <c:v>26.024489638999899</c:v>
                </c:pt>
                <c:pt idx="43">
                  <c:v>10.601583121000001</c:v>
                </c:pt>
                <c:pt idx="44">
                  <c:v>11.356907555999999</c:v>
                </c:pt>
                <c:pt idx="45">
                  <c:v>23.3871824789999</c:v>
                </c:pt>
                <c:pt idx="46">
                  <c:v>40.125280463000003</c:v>
                </c:pt>
                <c:pt idx="47">
                  <c:v>110.369698566</c:v>
                </c:pt>
                <c:pt idx="48">
                  <c:v>37.862207137999903</c:v>
                </c:pt>
                <c:pt idx="49">
                  <c:v>66.096517974999898</c:v>
                </c:pt>
                <c:pt idx="50">
                  <c:v>3.7155938000012101E-2</c:v>
                </c:pt>
                <c:pt idx="51">
                  <c:v>111.174472851</c:v>
                </c:pt>
                <c:pt idx="52">
                  <c:v>55.8427160459999</c:v>
                </c:pt>
                <c:pt idx="53">
                  <c:v>150.14066758800001</c:v>
                </c:pt>
                <c:pt idx="54">
                  <c:v>245.34418115699901</c:v>
                </c:pt>
                <c:pt idx="55">
                  <c:v>354.05574255499999</c:v>
                </c:pt>
                <c:pt idx="56">
                  <c:v>610.85780330299895</c:v>
                </c:pt>
                <c:pt idx="57">
                  <c:v>868.91470208400006</c:v>
                </c:pt>
                <c:pt idx="58">
                  <c:v>1026.7491033609999</c:v>
                </c:pt>
                <c:pt idx="59">
                  <c:v>1345.7162154079999</c:v>
                </c:pt>
                <c:pt idx="60">
                  <c:v>2994.636917372</c:v>
                </c:pt>
                <c:pt idx="61">
                  <c:v>3925.5830660759898</c:v>
                </c:pt>
                <c:pt idx="62">
                  <c:v>3919.194732082</c:v>
                </c:pt>
                <c:pt idx="63">
                  <c:v>5.0985279140004396</c:v>
                </c:pt>
                <c:pt idx="64">
                  <c:v>8271.1062536459995</c:v>
                </c:pt>
                <c:pt idx="65">
                  <c:v>16237.0491383509</c:v>
                </c:pt>
                <c:pt idx="66">
                  <c:v>0.53943949600216001</c:v>
                </c:pt>
                <c:pt idx="67">
                  <c:v>15410.416043705</c:v>
                </c:pt>
                <c:pt idx="68">
                  <c:v>4784.5909319849898</c:v>
                </c:pt>
                <c:pt idx="69">
                  <c:v>23703.070268923999</c:v>
                </c:pt>
                <c:pt idx="70">
                  <c:v>#N/A</c:v>
                </c:pt>
                <c:pt idx="71">
                  <c:v>1418.2379013049899</c:v>
                </c:pt>
                <c:pt idx="72">
                  <c:v>6117.5773403909898</c:v>
                </c:pt>
                <c:pt idx="73">
                  <c:v>6792.5744380680098</c:v>
                </c:pt>
                <c:pt idx="74">
                  <c:v>#N/A</c:v>
                </c:pt>
                <c:pt idx="75">
                  <c:v>#N/A</c:v>
                </c:pt>
                <c:pt idx="76">
                  <c:v>#N/A</c:v>
                </c:pt>
                <c:pt idx="77">
                  <c:v>3050.9262208719701</c:v>
                </c:pt>
                <c:pt idx="78">
                  <c:v>2330.6861149799001</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0-A995-5941-8716-36E17508A035}"/>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analysis!$GP$68:$GP$200</c:f>
              <c:numCache>
                <c:formatCode>0.0E+00</c:formatCode>
                <c:ptCount val="133"/>
                <c:pt idx="0">
                  <c:v>1.3091833999993601E-2</c:v>
                </c:pt>
                <c:pt idx="1">
                  <c:v>0.26379550300001098</c:v>
                </c:pt>
                <c:pt idx="2">
                  <c:v>3.6521911999983503E-2</c:v>
                </c:pt>
                <c:pt idx="3">
                  <c:v>9.8388170000021005E-3</c:v>
                </c:pt>
                <c:pt idx="4">
                  <c:v>1.42623640000181E-2</c:v>
                </c:pt>
                <c:pt idx="5">
                  <c:v>8.1748810000021807E-3</c:v>
                </c:pt>
                <c:pt idx="6">
                  <c:v>1.3085722999989001E-2</c:v>
                </c:pt>
                <c:pt idx="7">
                  <c:v>2.2878967999986299E-2</c:v>
                </c:pt>
                <c:pt idx="8">
                  <c:v>4.113399000002E-2</c:v>
                </c:pt>
                <c:pt idx="9">
                  <c:v>1.86365819999991E-2</c:v>
                </c:pt>
                <c:pt idx="10">
                  <c:v>2.2761113999990801E-2</c:v>
                </c:pt>
                <c:pt idx="11">
                  <c:v>3.6844545999997501E-2</c:v>
                </c:pt>
                <c:pt idx="12">
                  <c:v>0.102639059000011</c:v>
                </c:pt>
                <c:pt idx="13">
                  <c:v>4.6229745000004999E-2</c:v>
                </c:pt>
                <c:pt idx="14">
                  <c:v>0.108746168999999</c:v>
                </c:pt>
                <c:pt idx="15">
                  <c:v>0.111502882999985</c:v>
                </c:pt>
                <c:pt idx="16">
                  <c:v>4.8861657000003299E-2</c:v>
                </c:pt>
                <c:pt idx="17">
                  <c:v>0.152609635999994</c:v>
                </c:pt>
                <c:pt idx="18">
                  <c:v>0.29362409500001202</c:v>
                </c:pt>
                <c:pt idx="19">
                  <c:v>0.45211913099998902</c:v>
                </c:pt>
                <c:pt idx="20">
                  <c:v>0.180053212000018</c:v>
                </c:pt>
                <c:pt idx="21">
                  <c:v>0.20848557899998299</c:v>
                </c:pt>
                <c:pt idx="22">
                  <c:v>0.22005441600000999</c:v>
                </c:pt>
                <c:pt idx="23">
                  <c:v>5.7198543999987798E-2</c:v>
                </c:pt>
                <c:pt idx="24">
                  <c:v>0.52079960500000699</c:v>
                </c:pt>
                <c:pt idx="25">
                  <c:v>0.97787918800000195</c:v>
                </c:pt>
                <c:pt idx="26">
                  <c:v>8.5984198999994904E-2</c:v>
                </c:pt>
                <c:pt idx="27">
                  <c:v>1.40822610199998</c:v>
                </c:pt>
                <c:pt idx="28">
                  <c:v>0.147193634000018</c:v>
                </c:pt>
                <c:pt idx="29">
                  <c:v>0.26095995200000699</c:v>
                </c:pt>
                <c:pt idx="30">
                  <c:v>5.7191941999974398E-2</c:v>
                </c:pt>
                <c:pt idx="31">
                  <c:v>0.48068314200000301</c:v>
                </c:pt>
                <c:pt idx="32">
                  <c:v>4.2709355919999998</c:v>
                </c:pt>
                <c:pt idx="33">
                  <c:v>0.66253385100000595</c:v>
                </c:pt>
                <c:pt idx="34">
                  <c:v>1.0426757609999899</c:v>
                </c:pt>
                <c:pt idx="35">
                  <c:v>12.805042587000001</c:v>
                </c:pt>
                <c:pt idx="36">
                  <c:v>16.912995155000001</c:v>
                </c:pt>
                <c:pt idx="37">
                  <c:v>21.359444230000001</c:v>
                </c:pt>
                <c:pt idx="38">
                  <c:v>25.5154301409999</c:v>
                </c:pt>
                <c:pt idx="39">
                  <c:v>23.182038046999899</c:v>
                </c:pt>
                <c:pt idx="40">
                  <c:v>30.479699176</c:v>
                </c:pt>
                <c:pt idx="41">
                  <c:v>0.26291152499999199</c:v>
                </c:pt>
                <c:pt idx="42">
                  <c:v>76.035392927999894</c:v>
                </c:pt>
                <c:pt idx="43">
                  <c:v>42.591046566999999</c:v>
                </c:pt>
                <c:pt idx="44">
                  <c:v>34.796535921999897</c:v>
                </c:pt>
                <c:pt idx="45">
                  <c:v>86.759684759999999</c:v>
                </c:pt>
                <c:pt idx="46">
                  <c:v>76.062365305999904</c:v>
                </c:pt>
                <c:pt idx="47">
                  <c:v>411.50003692799999</c:v>
                </c:pt>
                <c:pt idx="48">
                  <c:v>89.839479001000001</c:v>
                </c:pt>
                <c:pt idx="49">
                  <c:v>219.39458145200001</c:v>
                </c:pt>
                <c:pt idx="50">
                  <c:v>8.3425056999885699E-2</c:v>
                </c:pt>
                <c:pt idx="51">
                  <c:v>434.38555357299998</c:v>
                </c:pt>
                <c:pt idx="52">
                  <c:v>983.13078872400001</c:v>
                </c:pt>
                <c:pt idx="53">
                  <c:v>614.00113995799904</c:v>
                </c:pt>
                <c:pt idx="54">
                  <c:v>2072.6879365929999</c:v>
                </c:pt>
                <c:pt idx="55">
                  <c:v>2259.6344822789902</c:v>
                </c:pt>
                <c:pt idx="56">
                  <c:v>3941.0216531880001</c:v>
                </c:pt>
                <c:pt idx="57">
                  <c:v>3049.0530629519999</c:v>
                </c:pt>
                <c:pt idx="58">
                  <c:v>5917.1166403129901</c:v>
                </c:pt>
                <c:pt idx="59">
                  <c:v>7134.193378379</c:v>
                </c:pt>
                <c:pt idx="60">
                  <c:v>9960.3739932959998</c:v>
                </c:pt>
                <c:pt idx="61">
                  <c:v>22760.018945541899</c:v>
                </c:pt>
                <c:pt idx="62">
                  <c:v>22065.4265554579</c:v>
                </c:pt>
                <c:pt idx="63">
                  <c:v>15.5075021160009</c:v>
                </c:pt>
                <c:pt idx="64">
                  <c:v>#N/A</c:v>
                </c:pt>
                <c:pt idx="65">
                  <c:v>#N/A</c:v>
                </c:pt>
                <c:pt idx="66">
                  <c:v>1.8813370589923499</c:v>
                </c:pt>
                <c:pt idx="67">
                  <c:v>#N/A</c:v>
                </c:pt>
                <c:pt idx="68">
                  <c:v>22673.835022968698</c:v>
                </c:pt>
                <c:pt idx="69">
                  <c:v>#N/A</c:v>
                </c:pt>
                <c:pt idx="70">
                  <c:v>#N/A</c:v>
                </c:pt>
                <c:pt idx="71">
                  <c:v>#N/A</c:v>
                </c:pt>
                <c:pt idx="72">
                  <c:v>24570.8367157666</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1-A995-5941-8716-36E17508A035}"/>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analysis!$GQ$68:$GQ$200</c:f>
              <c:numCache>
                <c:formatCode>0.0E+00</c:formatCode>
                <c:ptCount val="133"/>
                <c:pt idx="0">
                  <c:v>0.28055935800000498</c:v>
                </c:pt>
                <c:pt idx="1">
                  <c:v>3.8065457999977001E-2</c:v>
                </c:pt>
                <c:pt idx="2">
                  <c:v>2.23985570000024E-2</c:v>
                </c:pt>
                <c:pt idx="3">
                  <c:v>1.2562808000012599E-2</c:v>
                </c:pt>
                <c:pt idx="4">
                  <c:v>1.24929669999858E-2</c:v>
                </c:pt>
                <c:pt idx="5">
                  <c:v>1.22721730000137E-2</c:v>
                </c:pt>
                <c:pt idx="6">
                  <c:v>1.2328846999992E-2</c:v>
                </c:pt>
                <c:pt idx="7">
                  <c:v>1.2436460999992901E-2</c:v>
                </c:pt>
                <c:pt idx="8">
                  <c:v>1.30604550000157E-2</c:v>
                </c:pt>
                <c:pt idx="9">
                  <c:v>1.37671249999868E-2</c:v>
                </c:pt>
                <c:pt idx="10">
                  <c:v>1.4257614000001599E-2</c:v>
                </c:pt>
                <c:pt idx="11">
                  <c:v>1.4245312000014099E-2</c:v>
                </c:pt>
                <c:pt idx="12">
                  <c:v>1.49039049999828E-2</c:v>
                </c:pt>
                <c:pt idx="13">
                  <c:v>1.6636809000004801E-2</c:v>
                </c:pt>
                <c:pt idx="14">
                  <c:v>1.5906338000007701E-2</c:v>
                </c:pt>
                <c:pt idx="15">
                  <c:v>1.9609572999996699E-2</c:v>
                </c:pt>
                <c:pt idx="16">
                  <c:v>1.4425192999993799E-2</c:v>
                </c:pt>
                <c:pt idx="17">
                  <c:v>2.2460295000001899E-2</c:v>
                </c:pt>
                <c:pt idx="18">
                  <c:v>4.2527435000010799E-2</c:v>
                </c:pt>
                <c:pt idx="19">
                  <c:v>5.1098120999995403E-2</c:v>
                </c:pt>
                <c:pt idx="20">
                  <c:v>5.0654422000007998E-2</c:v>
                </c:pt>
                <c:pt idx="21">
                  <c:v>2.0581346000000101E-2</c:v>
                </c:pt>
                <c:pt idx="22">
                  <c:v>2.1646258999993499E-2</c:v>
                </c:pt>
                <c:pt idx="23">
                  <c:v>1.4886186000012401E-2</c:v>
                </c:pt>
                <c:pt idx="24">
                  <c:v>5.1944065999975898E-2</c:v>
                </c:pt>
                <c:pt idx="25">
                  <c:v>0.44511617599999898</c:v>
                </c:pt>
                <c:pt idx="26">
                  <c:v>1.45953650000194E-2</c:v>
                </c:pt>
                <c:pt idx="27">
                  <c:v>0.91708859599998505</c:v>
                </c:pt>
                <c:pt idx="28">
                  <c:v>1.8525185000015602E-2</c:v>
                </c:pt>
                <c:pt idx="29">
                  <c:v>2.79652559999874E-2</c:v>
                </c:pt>
                <c:pt idx="30">
                  <c:v>1.6421387000008201E-2</c:v>
                </c:pt>
                <c:pt idx="31">
                  <c:v>3.7739455999997E-2</c:v>
                </c:pt>
                <c:pt idx="32">
                  <c:v>1.4464353599999999</c:v>
                </c:pt>
                <c:pt idx="33">
                  <c:v>6.9254685999993598E-2</c:v>
                </c:pt>
                <c:pt idx="34">
                  <c:v>0.206056141000004</c:v>
                </c:pt>
                <c:pt idx="35">
                  <c:v>8.1032291149999693</c:v>
                </c:pt>
                <c:pt idx="36">
                  <c:v>13.483091893999999</c:v>
                </c:pt>
                <c:pt idx="37">
                  <c:v>22.003832789999901</c:v>
                </c:pt>
                <c:pt idx="38">
                  <c:v>11.041058187000001</c:v>
                </c:pt>
                <c:pt idx="39">
                  <c:v>21.183980973000001</c:v>
                </c:pt>
                <c:pt idx="40">
                  <c:v>29.745781475000001</c:v>
                </c:pt>
                <c:pt idx="41">
                  <c:v>1.9710098999979601E-2</c:v>
                </c:pt>
                <c:pt idx="42">
                  <c:v>35.351535789000003</c:v>
                </c:pt>
                <c:pt idx="43">
                  <c:v>34.461634861999897</c:v>
                </c:pt>
                <c:pt idx="44">
                  <c:v>12.250151695</c:v>
                </c:pt>
                <c:pt idx="45">
                  <c:v>36.552906497999999</c:v>
                </c:pt>
                <c:pt idx="46">
                  <c:v>72.889192879999996</c:v>
                </c:pt>
                <c:pt idx="47">
                  <c:v>144.06590394499901</c:v>
                </c:pt>
                <c:pt idx="48">
                  <c:v>39.731894324999899</c:v>
                </c:pt>
                <c:pt idx="49">
                  <c:v>57.634280695000001</c:v>
                </c:pt>
                <c:pt idx="50">
                  <c:v>1.7955502000063399E-2</c:v>
                </c:pt>
                <c:pt idx="51">
                  <c:v>102.99656243899901</c:v>
                </c:pt>
                <c:pt idx="52">
                  <c:v>287.29937615999899</c:v>
                </c:pt>
                <c:pt idx="53">
                  <c:v>81.953455182999903</c:v>
                </c:pt>
                <c:pt idx="54">
                  <c:v>272.78723286100001</c:v>
                </c:pt>
                <c:pt idx="55">
                  <c:v>728.44563808400005</c:v>
                </c:pt>
                <c:pt idx="56">
                  <c:v>1311.1362980259901</c:v>
                </c:pt>
                <c:pt idx="57">
                  <c:v>3292.1899070069999</c:v>
                </c:pt>
                <c:pt idx="58">
                  <c:v>5404.3555790769997</c:v>
                </c:pt>
                <c:pt idx="59">
                  <c:v>14539.959327922999</c:v>
                </c:pt>
                <c:pt idx="60">
                  <c:v>13154.143782593001</c:v>
                </c:pt>
                <c:pt idx="61">
                  <c:v>#N/A</c:v>
                </c:pt>
                <c:pt idx="62">
                  <c:v>#N/A</c:v>
                </c:pt>
                <c:pt idx="63">
                  <c:v>7.3110158280032902</c:v>
                </c:pt>
                <c:pt idx="64">
                  <c:v>#N/A</c:v>
                </c:pt>
                <c:pt idx="65">
                  <c:v>#N/A</c:v>
                </c:pt>
                <c:pt idx="66">
                  <c:v>0.83448499298538004</c:v>
                </c:pt>
                <c:pt idx="67">
                  <c:v>#N/A</c:v>
                </c:pt>
                <c:pt idx="68">
                  <c:v>#N/A</c:v>
                </c:pt>
                <c:pt idx="69">
                  <c:v>#N/A</c:v>
                </c:pt>
                <c:pt idx="70">
                  <c:v>#N/A</c:v>
                </c:pt>
                <c:pt idx="71">
                  <c:v>713.81447147298604</c:v>
                </c:pt>
                <c:pt idx="72">
                  <c:v>#N/A</c:v>
                </c:pt>
                <c:pt idx="73">
                  <c:v>#N/A</c:v>
                </c:pt>
                <c:pt idx="74">
                  <c:v>#N/A</c:v>
                </c:pt>
                <c:pt idx="75">
                  <c:v>#N/A</c:v>
                </c:pt>
                <c:pt idx="76">
                  <c:v>#N/A</c:v>
                </c:pt>
                <c:pt idx="77">
                  <c:v>3858.0103362724099</c:v>
                </c:pt>
                <c:pt idx="78">
                  <c:v>8596.2521592453104</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2-A995-5941-8716-36E17508A035}"/>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analysis!$GR$68:$GR$200</c:f>
              <c:numCache>
                <c:formatCode>0.0E+00</c:formatCode>
                <c:ptCount val="133"/>
                <c:pt idx="0">
                  <c:v>0.307876666999987</c:v>
                </c:pt>
                <c:pt idx="1">
                  <c:v>5.3326826000017001E-2</c:v>
                </c:pt>
                <c:pt idx="2">
                  <c:v>6.5493571999979794E-2</c:v>
                </c:pt>
                <c:pt idx="3">
                  <c:v>5.7926476000005701E-2</c:v>
                </c:pt>
                <c:pt idx="4">
                  <c:v>5.64824890000181E-2</c:v>
                </c:pt>
                <c:pt idx="5">
                  <c:v>5.4246421999977201E-2</c:v>
                </c:pt>
                <c:pt idx="6">
                  <c:v>5.7297478999998902E-2</c:v>
                </c:pt>
                <c:pt idx="7">
                  <c:v>5.2931779000005001E-2</c:v>
                </c:pt>
                <c:pt idx="8">
                  <c:v>5.3318691000015399E-2</c:v>
                </c:pt>
                <c:pt idx="9">
                  <c:v>5.2607323999978903E-2</c:v>
                </c:pt>
                <c:pt idx="10">
                  <c:v>5.0782493000014001E-2</c:v>
                </c:pt>
                <c:pt idx="11">
                  <c:v>5.1131656999984898E-2</c:v>
                </c:pt>
                <c:pt idx="12">
                  <c:v>5.2822775999999197E-2</c:v>
                </c:pt>
                <c:pt idx="13">
                  <c:v>5.4473073000025303E-2</c:v>
                </c:pt>
                <c:pt idx="14">
                  <c:v>5.5565760999996799E-2</c:v>
                </c:pt>
                <c:pt idx="15">
                  <c:v>5.6759927999991001E-2</c:v>
                </c:pt>
                <c:pt idx="16">
                  <c:v>5.4202248999985103E-2</c:v>
                </c:pt>
                <c:pt idx="17">
                  <c:v>4.9835378000011497E-2</c:v>
                </c:pt>
                <c:pt idx="18">
                  <c:v>5.9988882999988301E-2</c:v>
                </c:pt>
                <c:pt idx="19">
                  <c:v>6.26322590000256E-2</c:v>
                </c:pt>
                <c:pt idx="20">
                  <c:v>4.9928161999986197E-2</c:v>
                </c:pt>
                <c:pt idx="21">
                  <c:v>5.5234853999991097E-2</c:v>
                </c:pt>
                <c:pt idx="22">
                  <c:v>5.4884012000002202E-2</c:v>
                </c:pt>
                <c:pt idx="23">
                  <c:v>5.3822745000019198E-2</c:v>
                </c:pt>
                <c:pt idx="24">
                  <c:v>8.7457014999983998E-2</c:v>
                </c:pt>
                <c:pt idx="25">
                  <c:v>0.12793387499999601</c:v>
                </c:pt>
                <c:pt idx="26">
                  <c:v>8.5073187999995498E-2</c:v>
                </c:pt>
                <c:pt idx="27">
                  <c:v>0.13665985100001801</c:v>
                </c:pt>
                <c:pt idx="28">
                  <c:v>7.5758070999995597E-2</c:v>
                </c:pt>
                <c:pt idx="29">
                  <c:v>7.8529749000011806E-2</c:v>
                </c:pt>
                <c:pt idx="30">
                  <c:v>6.3924299999996395E-2</c:v>
                </c:pt>
                <c:pt idx="31">
                  <c:v>5.8944042999996699E-2</c:v>
                </c:pt>
                <c:pt idx="32">
                  <c:v>4.1952197949999803</c:v>
                </c:pt>
                <c:pt idx="33">
                  <c:v>6.9563823000009906E-2</c:v>
                </c:pt>
                <c:pt idx="34">
                  <c:v>0.42186363499999402</c:v>
                </c:pt>
                <c:pt idx="35">
                  <c:v>3.9566487989999901</c:v>
                </c:pt>
                <c:pt idx="36">
                  <c:v>5.53195943700001</c:v>
                </c:pt>
                <c:pt idx="37">
                  <c:v>13.0854691469999</c:v>
                </c:pt>
                <c:pt idx="38">
                  <c:v>2830.5099180439902</c:v>
                </c:pt>
                <c:pt idx="39">
                  <c:v>28.235408830000299</c:v>
                </c:pt>
                <c:pt idx="40">
                  <c:v>30.678594074999602</c:v>
                </c:pt>
                <c:pt idx="41">
                  <c:v>2.3468537000098801E-2</c:v>
                </c:pt>
                <c:pt idx="42">
                  <c:v>10060.097772704001</c:v>
                </c:pt>
                <c:pt idx="43">
                  <c:v>14.454949589000501</c:v>
                </c:pt>
                <c:pt idx="44">
                  <c:v>2023.9766111230001</c:v>
                </c:pt>
                <c:pt idx="45">
                  <c:v>14434.9070341959</c:v>
                </c:pt>
                <c:pt idx="46">
                  <c:v>114.424848116999</c:v>
                </c:pt>
                <c:pt idx="47">
                  <c:v>11758.407830782</c:v>
                </c:pt>
                <c:pt idx="48">
                  <c:v>#N/A</c:v>
                </c:pt>
                <c:pt idx="49">
                  <c:v>#N/A</c:v>
                </c:pt>
                <c:pt idx="50">
                  <c:v>0.81508472299901702</c:v>
                </c:pt>
                <c:pt idx="51">
                  <c:v>#N/A</c:v>
                </c:pt>
                <c:pt idx="52">
                  <c:v>#N/A</c:v>
                </c:pt>
                <c:pt idx="53">
                  <c:v>#N/A</c:v>
                </c:pt>
                <c:pt idx="54">
                  <c:v>#N/A</c:v>
                </c:pt>
                <c:pt idx="55">
                  <c:v>#N/A</c:v>
                </c:pt>
                <c:pt idx="56">
                  <c:v>#N/A</c:v>
                </c:pt>
                <c:pt idx="57">
                  <c:v>#N/A</c:v>
                </c:pt>
                <c:pt idx="58">
                  <c:v>#N/A</c:v>
                </c:pt>
                <c:pt idx="59">
                  <c:v>#N/A</c:v>
                </c:pt>
                <c:pt idx="60">
                  <c:v>#N/A</c:v>
                </c:pt>
                <c:pt idx="61">
                  <c:v>#N/A</c:v>
                </c:pt>
                <c:pt idx="62">
                  <c:v>#N/A</c:v>
                </c:pt>
                <c:pt idx="63">
                  <c:v>4620.8486473634803</c:v>
                </c:pt>
                <c:pt idx="64">
                  <c:v>#N/A</c:v>
                </c:pt>
                <c:pt idx="65">
                  <c:v>#N/A</c:v>
                </c:pt>
                <c:pt idx="66">
                  <c:v>15.899908624589401</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3-A995-5941-8716-36E17508A035}"/>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analysis!$GS$68:$GS$200</c:f>
              <c:numCache>
                <c:formatCode>0.0E+00</c:formatCode>
                <c:ptCount val="133"/>
                <c:pt idx="0">
                  <c:v>0.92031004199816302</c:v>
                </c:pt>
                <c:pt idx="1">
                  <c:v>5.9132041002157999E-2</c:v>
                </c:pt>
                <c:pt idx="2">
                  <c:v>5.9731417000875801E-2</c:v>
                </c:pt>
                <c:pt idx="3">
                  <c:v>6.1138917000789599E-2</c:v>
                </c:pt>
                <c:pt idx="4">
                  <c:v>5.8100540998566402E-2</c:v>
                </c:pt>
                <c:pt idx="5">
                  <c:v>5.4936000000452602E-2</c:v>
                </c:pt>
                <c:pt idx="6">
                  <c:v>5.8254708994354497E-2</c:v>
                </c:pt>
                <c:pt idx="7">
                  <c:v>5.5143083001894397E-2</c:v>
                </c:pt>
                <c:pt idx="8">
                  <c:v>5.5624708002142101E-2</c:v>
                </c:pt>
                <c:pt idx="9">
                  <c:v>5.6052250001812298E-2</c:v>
                </c:pt>
                <c:pt idx="10">
                  <c:v>5.6886250000388799E-2</c:v>
                </c:pt>
                <c:pt idx="11">
                  <c:v>5.6987749994732398E-2</c:v>
                </c:pt>
                <c:pt idx="12">
                  <c:v>5.8010291999380501E-2</c:v>
                </c:pt>
                <c:pt idx="13">
                  <c:v>5.5484625001554301E-2</c:v>
                </c:pt>
                <c:pt idx="14">
                  <c:v>5.5288000003201797E-2</c:v>
                </c:pt>
                <c:pt idx="15">
                  <c:v>5.8467582995945101E-2</c:v>
                </c:pt>
                <c:pt idx="16">
                  <c:v>5.3659417004382703E-2</c:v>
                </c:pt>
                <c:pt idx="17">
                  <c:v>5.6709999997110502E-2</c:v>
                </c:pt>
                <c:pt idx="18">
                  <c:v>5.6378624998615103E-2</c:v>
                </c:pt>
                <c:pt idx="19">
                  <c:v>5.6651292004971703E-2</c:v>
                </c:pt>
                <c:pt idx="20">
                  <c:v>5.5864499998278902E-2</c:v>
                </c:pt>
                <c:pt idx="21">
                  <c:v>5.8239165999111699E-2</c:v>
                </c:pt>
                <c:pt idx="22">
                  <c:v>5.6752208998659598E-2</c:v>
                </c:pt>
                <c:pt idx="23">
                  <c:v>5.4078790999483303E-2</c:v>
                </c:pt>
                <c:pt idx="24">
                  <c:v>5.7315792000736103E-2</c:v>
                </c:pt>
                <c:pt idx="25">
                  <c:v>5.5822166999860201E-2</c:v>
                </c:pt>
                <c:pt idx="26">
                  <c:v>5.5268957999942303E-2</c:v>
                </c:pt>
                <c:pt idx="27">
                  <c:v>5.6638833004399203E-2</c:v>
                </c:pt>
                <c:pt idx="28">
                  <c:v>5.9016374994826003E-2</c:v>
                </c:pt>
                <c:pt idx="29">
                  <c:v>5.5898792001244098E-2</c:v>
                </c:pt>
                <c:pt idx="30">
                  <c:v>5.5214749998412999E-2</c:v>
                </c:pt>
                <c:pt idx="31">
                  <c:v>5.64742499991552E-2</c:v>
                </c:pt>
                <c:pt idx="32">
                  <c:v>5.51419170005829E-2</c:v>
                </c:pt>
                <c:pt idx="33">
                  <c:v>5.7326207999722101E-2</c:v>
                </c:pt>
                <c:pt idx="34">
                  <c:v>5.4675500003213501E-2</c:v>
                </c:pt>
                <c:pt idx="35">
                  <c:v>5.6178500002715702E-2</c:v>
                </c:pt>
                <c:pt idx="36">
                  <c:v>5.6413457998132799E-2</c:v>
                </c:pt>
                <c:pt idx="37">
                  <c:v>5.5199041999003301E-2</c:v>
                </c:pt>
                <c:pt idx="38">
                  <c:v>5.5654957999649902E-2</c:v>
                </c:pt>
                <c:pt idx="39">
                  <c:v>5.6346792000113E-2</c:v>
                </c:pt>
                <c:pt idx="40">
                  <c:v>5.77062919983291E-2</c:v>
                </c:pt>
                <c:pt idx="41">
                  <c:v>5.4450458002975197E-2</c:v>
                </c:pt>
                <c:pt idx="42">
                  <c:v>5.6529292000050101E-2</c:v>
                </c:pt>
                <c:pt idx="43">
                  <c:v>5.8769124996615497E-2</c:v>
                </c:pt>
                <c:pt idx="44">
                  <c:v>5.7898375001968802E-2</c:v>
                </c:pt>
                <c:pt idx="45">
                  <c:v>5.6270458000653799E-2</c:v>
                </c:pt>
                <c:pt idx="46">
                  <c:v>0.109378332999767</c:v>
                </c:pt>
                <c:pt idx="47">
                  <c:v>5.7370875001652097E-2</c:v>
                </c:pt>
                <c:pt idx="48">
                  <c:v>5.48911669975495E-2</c:v>
                </c:pt>
                <c:pt idx="49">
                  <c:v>5.5136082999524598E-2</c:v>
                </c:pt>
                <c:pt idx="50">
                  <c:v>5.5281749999267001E-2</c:v>
                </c:pt>
                <c:pt idx="51">
                  <c:v>5.6470625000656499E-2</c:v>
                </c:pt>
                <c:pt idx="52">
                  <c:v>5.6529084002249798E-2</c:v>
                </c:pt>
                <c:pt idx="53">
                  <c:v>5.6562665995443198E-2</c:v>
                </c:pt>
                <c:pt idx="54">
                  <c:v>5.8432875004655202E-2</c:v>
                </c:pt>
                <c:pt idx="55">
                  <c:v>5.7976124997367103E-2</c:v>
                </c:pt>
                <c:pt idx="56">
                  <c:v>5.9271500002068898E-2</c:v>
                </c:pt>
                <c:pt idx="57">
                  <c:v>6.4059208998514805E-2</c:v>
                </c:pt>
                <c:pt idx="58">
                  <c:v>6.0850916001072598E-2</c:v>
                </c:pt>
                <c:pt idx="59">
                  <c:v>6.1133249997510498E-2</c:v>
                </c:pt>
                <c:pt idx="60">
                  <c:v>6.1296500003663802E-2</c:v>
                </c:pt>
                <c:pt idx="61">
                  <c:v>6.6025624997564494E-2</c:v>
                </c:pt>
                <c:pt idx="62">
                  <c:v>8.5915417002979597E-2</c:v>
                </c:pt>
                <c:pt idx="63">
                  <c:v>5.8065166995220303E-2</c:v>
                </c:pt>
                <c:pt idx="64">
                  <c:v>9.0562249999493305E-2</c:v>
                </c:pt>
                <c:pt idx="65">
                  <c:v>0.124677750005503</c:v>
                </c:pt>
                <c:pt idx="66">
                  <c:v>5.5626540997763999E-2</c:v>
                </c:pt>
                <c:pt idx="67">
                  <c:v>9.9921084001834901E-2</c:v>
                </c:pt>
                <c:pt idx="68">
                  <c:v>0.116167499996663</c:v>
                </c:pt>
                <c:pt idx="69">
                  <c:v>0.15310762500303099</c:v>
                </c:pt>
                <c:pt idx="70">
                  <c:v>0.116533041000366</c:v>
                </c:pt>
                <c:pt idx="71">
                  <c:v>5.7779791997745598E-2</c:v>
                </c:pt>
                <c:pt idx="72">
                  <c:v>15.6760042500027</c:v>
                </c:pt>
                <c:pt idx="73">
                  <c:v>19.7291003749996</c:v>
                </c:pt>
                <c:pt idx="74">
                  <c:v>0.5442101669978</c:v>
                </c:pt>
                <c:pt idx="75">
                  <c:v>0.12802087500313</c:v>
                </c:pt>
                <c:pt idx="76">
                  <c:v>0.145614540997485</c:v>
                </c:pt>
                <c:pt idx="77">
                  <c:v>6.4146374999836497E-2</c:v>
                </c:pt>
                <c:pt idx="78">
                  <c:v>5.88789999965229E-2</c:v>
                </c:pt>
                <c:pt idx="79">
                  <c:v>1.2414520840029499</c:v>
                </c:pt>
                <c:pt idx="80">
                  <c:v>116.846370375002</c:v>
                </c:pt>
                <c:pt idx="81">
                  <c:v>0.25013508299889498</c:v>
                </c:pt>
                <c:pt idx="82">
                  <c:v>0.50218012499681197</c:v>
                </c:pt>
                <c:pt idx="83">
                  <c:v>7.3289208005007794E-2</c:v>
                </c:pt>
                <c:pt idx="84">
                  <c:v>676.84917833399902</c:v>
                </c:pt>
                <c:pt idx="85">
                  <c:v>860.68276929100102</c:v>
                </c:pt>
                <c:pt idx="86">
                  <c:v>1092.68203474999</c:v>
                </c:pt>
                <c:pt idx="87">
                  <c:v>0.95396887500101002</c:v>
                </c:pt>
                <c:pt idx="88">
                  <c:v>0.44240575000003401</c:v>
                </c:pt>
                <c:pt idx="89">
                  <c:v>2.7820707499995398</c:v>
                </c:pt>
                <c:pt idx="90">
                  <c:v>9.7526237499987403</c:v>
                </c:pt>
                <c:pt idx="91">
                  <c:v>19.511674583998602</c:v>
                </c:pt>
                <c:pt idx="92">
                  <c:v>19.585598333003801</c:v>
                </c:pt>
                <c:pt idx="93">
                  <c:v>23.259848791996699</c:v>
                </c:pt>
                <c:pt idx="94">
                  <c:v>79.715552583002093</c:v>
                </c:pt>
                <c:pt idx="95">
                  <c:v>0.17037441700085701</c:v>
                </c:pt>
                <c:pt idx="96">
                  <c:v>0.138497583000571</c:v>
                </c:pt>
                <c:pt idx="97">
                  <c:v>27.590027917001802</c:v>
                </c:pt>
                <c:pt idx="98">
                  <c:v>10.107215582997</c:v>
                </c:pt>
                <c:pt idx="99">
                  <c:v>12.7122682499975</c:v>
                </c:pt>
                <c:pt idx="100">
                  <c:v>19.4610055420052</c:v>
                </c:pt>
                <c:pt idx="101">
                  <c:v>0.48542233299667698</c:v>
                </c:pt>
                <c:pt idx="102">
                  <c:v>0.346617124996555</c:v>
                </c:pt>
                <c:pt idx="103">
                  <c:v>45.196406083006799</c:v>
                </c:pt>
                <c:pt idx="104">
                  <c:v>0.395964541996363</c:v>
                </c:pt>
                <c:pt idx="105">
                  <c:v>7.8568791999714394E-2</c:v>
                </c:pt>
                <c:pt idx="106">
                  <c:v>8.6042499999166397E-2</c:v>
                </c:pt>
                <c:pt idx="107">
                  <c:v>0.108733082997787</c:v>
                </c:pt>
                <c:pt idx="108">
                  <c:v>9.7802833006426199E-2</c:v>
                </c:pt>
                <c:pt idx="109">
                  <c:v>0.109405749994039</c:v>
                </c:pt>
                <c:pt idx="110">
                  <c:v>0.122703209002793</c:v>
                </c:pt>
                <c:pt idx="111">
                  <c:v>0.117941582997445</c:v>
                </c:pt>
                <c:pt idx="112">
                  <c:v>0.137007000004814</c:v>
                </c:pt>
                <c:pt idx="113">
                  <c:v>0.167888541996944</c:v>
                </c:pt>
                <c:pt idx="114">
                  <c:v>294.06649633299799</c:v>
                </c:pt>
                <c:pt idx="115">
                  <c:v>382.21908308299999</c:v>
                </c:pt>
                <c:pt idx="116">
                  <c:v>493.48653816700198</c:v>
                </c:pt>
                <c:pt idx="117">
                  <c:v>633.27117074999796</c:v>
                </c:pt>
                <c:pt idx="118">
                  <c:v>985.74302745800298</c:v>
                </c:pt>
                <c:pt idx="119">
                  <c:v>0.37821241699566599</c:v>
                </c:pt>
                <c:pt idx="120">
                  <c:v>28.490223667002201</c:v>
                </c:pt>
              </c:numCache>
            </c:numRef>
          </c:yVal>
          <c:smooth val="0"/>
          <c:extLst>
            <c:ext xmlns:c16="http://schemas.microsoft.com/office/drawing/2014/chart" uri="{C3380CC4-5D6E-409C-BE32-E72D297353CC}">
              <c16:uniqueId val="{00000004-A995-5941-8716-36E17508A035}"/>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817147856517934"/>
          <c:y val="4.7959044181977224E-2"/>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analysis!$GU$68:$GU$200</c:f>
              <c:numCache>
                <c:formatCode>0.0E+00</c:formatCode>
                <c:ptCount val="133"/>
                <c:pt idx="0">
                  <c:v>7.1865071542560996E-5</c:v>
                </c:pt>
                <c:pt idx="1">
                  <c:v>7.2665463667362896E-5</c:v>
                </c:pt>
                <c:pt idx="2">
                  <c:v>7.5812439713627094E-5</c:v>
                </c:pt>
                <c:pt idx="3">
                  <c:v>7.7960081398486996E-5</c:v>
                </c:pt>
                <c:pt idx="4">
                  <c:v>8.2015867324978242E-5</c:v>
                </c:pt>
                <c:pt idx="5">
                  <c:v>7.9541027173399899E-5</c:v>
                </c:pt>
                <c:pt idx="6">
                  <c:v>8.3369372040033296E-5</c:v>
                </c:pt>
                <c:pt idx="7">
                  <c:v>8.4820074308663597E-5</c:v>
                </c:pt>
                <c:pt idx="8">
                  <c:v>8.5814631999034908E-5</c:v>
                </c:pt>
                <c:pt idx="9">
                  <c:v>8.769797073008793E-5</c:v>
                </c:pt>
                <c:pt idx="10">
                  <c:v>9.0191660047585901E-5</c:v>
                </c:pt>
                <c:pt idx="11">
                  <c:v>9.2447405056157822E-5</c:v>
                </c:pt>
                <c:pt idx="12">
                  <c:v>1.0158245109961649E-4</c:v>
                </c:pt>
                <c:pt idx="13">
                  <c:v>1.0833203182572057E-4</c:v>
                </c:pt>
                <c:pt idx="14">
                  <c:v>1.0639097226072472E-4</c:v>
                </c:pt>
                <c:pt idx="15">
                  <c:v>1.0784391001590351E-4</c:v>
                </c:pt>
                <c:pt idx="16">
                  <c:v>1.1194601039596732E-4</c:v>
                </c:pt>
                <c:pt idx="17">
                  <c:v>1.090710845308083E-4</c:v>
                </c:pt>
                <c:pt idx="18">
                  <c:v>1.1328540683890768E-4</c:v>
                </c:pt>
                <c:pt idx="19">
                  <c:v>1.1665523836034248E-4</c:v>
                </c:pt>
                <c:pt idx="20">
                  <c:v>1.1446145723576751E-4</c:v>
                </c:pt>
                <c:pt idx="21">
                  <c:v>1.5532637239681213E-4</c:v>
                </c:pt>
                <c:pt idx="22">
                  <c:v>1.2638548815220214E-4</c:v>
                </c:pt>
                <c:pt idx="23">
                  <c:v>1.3009041357561337E-4</c:v>
                </c:pt>
                <c:pt idx="24">
                  <c:v>1.3116829080397384E-4</c:v>
                </c:pt>
                <c:pt idx="25">
                  <c:v>2.0148420457174166E-4</c:v>
                </c:pt>
                <c:pt idx="26">
                  <c:v>1.5305265925474971E-4</c:v>
                </c:pt>
                <c:pt idx="27">
                  <c:v>1.3197390421378863E-4</c:v>
                </c:pt>
                <c:pt idx="28">
                  <c:v>1.4682784015567673E-4</c:v>
                </c:pt>
                <c:pt idx="29">
                  <c:v>1.6971176426946872E-4</c:v>
                </c:pt>
                <c:pt idx="30">
                  <c:v>1.4972104931732123E-4</c:v>
                </c:pt>
                <c:pt idx="31">
                  <c:v>1.5632060822829761E-4</c:v>
                </c:pt>
                <c:pt idx="32">
                  <c:v>1.5367751650495107E-4</c:v>
                </c:pt>
                <c:pt idx="33">
                  <c:v>1.6458676682763019E-4</c:v>
                </c:pt>
                <c:pt idx="34">
                  <c:v>1.6290718129472712E-4</c:v>
                </c:pt>
                <c:pt idx="35">
                  <c:v>1.9268623534836712E-4</c:v>
                </c:pt>
                <c:pt idx="36">
                  <c:v>1.9062240884513143E-4</c:v>
                </c:pt>
                <c:pt idx="37">
                  <c:v>1.9031990802290266E-4</c:v>
                </c:pt>
                <c:pt idx="38">
                  <c:v>2.0906093724075385E-4</c:v>
                </c:pt>
                <c:pt idx="39">
                  <c:v>1.8799063713857993E-4</c:v>
                </c:pt>
                <c:pt idx="40">
                  <c:v>1.7941865883500479E-4</c:v>
                </c:pt>
                <c:pt idx="41">
                  <c:v>2.0466976872162454E-4</c:v>
                </c:pt>
                <c:pt idx="42">
                  <c:v>1.9522891617670596E-4</c:v>
                </c:pt>
                <c:pt idx="43">
                  <c:v>2.9225903336190391E-4</c:v>
                </c:pt>
                <c:pt idx="44">
                  <c:v>2.8919503017143036E-4</c:v>
                </c:pt>
                <c:pt idx="45">
                  <c:v>2.8415089544157771E-4</c:v>
                </c:pt>
                <c:pt idx="46">
                  <c:v>1.9728892544995864E-4</c:v>
                </c:pt>
                <c:pt idx="47">
                  <c:v>2.0766515989278786E-4</c:v>
                </c:pt>
                <c:pt idx="48">
                  <c:v>2.932134945706021E-4</c:v>
                </c:pt>
                <c:pt idx="49">
                  <c:v>3.1188673375002828E-4</c:v>
                </c:pt>
                <c:pt idx="50">
                  <c:v>2.5462646614546629E-4</c:v>
                </c:pt>
                <c:pt idx="51">
                  <c:v>2.6567386168678786E-4</c:v>
                </c:pt>
                <c:pt idx="52">
                  <c:v>2.5877402288195038E-4</c:v>
                </c:pt>
                <c:pt idx="53">
                  <c:v>4.5341866216356891E-4</c:v>
                </c:pt>
                <c:pt idx="54">
                  <c:v>2.9547162147372736E-4</c:v>
                </c:pt>
                <c:pt idx="55">
                  <c:v>4.3320096447952686E-4</c:v>
                </c:pt>
                <c:pt idx="56">
                  <c:v>3.2127323339593378E-4</c:v>
                </c:pt>
                <c:pt idx="57">
                  <c:v>4.4886257950656162E-4</c:v>
                </c:pt>
                <c:pt idx="58">
                  <c:v>4.484218966110976E-4</c:v>
                </c:pt>
                <c:pt idx="59">
                  <c:v>4.4336821129487957E-4</c:v>
                </c:pt>
                <c:pt idx="60">
                  <c:v>4.5208213850855692E-4</c:v>
                </c:pt>
                <c:pt idx="61">
                  <c:v>4.3832393842435771E-4</c:v>
                </c:pt>
                <c:pt idx="62">
                  <c:v>4.2484230939435994E-4</c:v>
                </c:pt>
                <c:pt idx="63">
                  <c:v>4.9686487835135982E-4</c:v>
                </c:pt>
                <c:pt idx="64">
                  <c:v>3.7967527612161255E-4</c:v>
                </c:pt>
                <c:pt idx="65">
                  <c:v>3.8734061088543649E-4</c:v>
                </c:pt>
                <c:pt idx="66">
                  <c:v>6.3942730022392377E-4</c:v>
                </c:pt>
                <c:pt idx="67">
                  <c:v>1.2209868476786112E-3</c:v>
                </c:pt>
                <c:pt idx="68">
                  <c:v>4.3000963406579252E-4</c:v>
                </c:pt>
                <c:pt idx="69">
                  <c:v>9.5144308090565203E-4</c:v>
                </c:pt>
                <c:pt idx="70">
                  <c:v>1.1708989248132107E-3</c:v>
                </c:pt>
                <c:pt idx="71">
                  <c:v>1.0779005463721462E-3</c:v>
                </c:pt>
                <c:pt idx="72">
                  <c:v>4.679158743839144E-4</c:v>
                </c:pt>
                <c:pt idx="73">
                  <c:v>4.6966910533803076E-4</c:v>
                </c:pt>
                <c:pt idx="74">
                  <c:v>8.1713957849909123E-4</c:v>
                </c:pt>
                <c:pt idx="75">
                  <c:v>1.6813438480519232E-3</c:v>
                </c:pt>
                <c:pt idx="76">
                  <c:v>1.6375885801407793E-3</c:v>
                </c:pt>
                <c:pt idx="77">
                  <c:v>8.533691663138979E-3</c:v>
                </c:pt>
                <c:pt idx="78">
                  <c:v>3.4487705140076909E-3</c:v>
                </c:pt>
                <c:pt idx="79">
                  <c:v>1.6358858787012005E-3</c:v>
                </c:pt>
                <c:pt idx="80">
                  <c:v>7.6796217300232077E-4</c:v>
                </c:pt>
                <c:pt idx="81">
                  <c:v>1.1480556763776189E-3</c:v>
                </c:pt>
                <c:pt idx="82">
                  <c:v>1.150866598358015E-3</c:v>
                </c:pt>
                <c:pt idx="83">
                  <c:v>2.9856908503863027E-3</c:v>
                </c:pt>
                <c:pt idx="84">
                  <c:v>2.0885160621551269E-2</c:v>
                </c:pt>
                <c:pt idx="85">
                  <c:v>1.3979484667144075E-2</c:v>
                </c:pt>
                <c:pt idx="86">
                  <c:v>1.0101921210827461E-2</c:v>
                </c:pt>
                <c:pt idx="87">
                  <c:v>2.3526557796212919E-3</c:v>
                </c:pt>
                <c:pt idx="88">
                  <c:v>5.9228144325391479E-3</c:v>
                </c:pt>
                <c:pt idx="89">
                  <c:v>1.9309214218274539E-2</c:v>
                </c:pt>
                <c:pt idx="90">
                  <c:v>2.1710764090328041E-2</c:v>
                </c:pt>
                <c:pt idx="91">
                  <c:v>1.8241907357040666E-2</c:v>
                </c:pt>
                <c:pt idx="92">
                  <c:v>6.1867257937638382E-3</c:v>
                </c:pt>
                <c:pt idx="93">
                  <c:v>3.077756226678705E-3</c:v>
                </c:pt>
                <c:pt idx="94">
                  <c:v>3.0136584541598549E-3</c:v>
                </c:pt>
                <c:pt idx="95">
                  <c:v>6.7713482820085684E-3</c:v>
                </c:pt>
                <c:pt idx="96">
                  <c:v>1.4415766128453664E-2</c:v>
                </c:pt>
                <c:pt idx="97">
                  <c:v>6.5045682731867862E-3</c:v>
                </c:pt>
                <c:pt idx="98">
                  <c:v>3.9834458772151412E-3</c:v>
                </c:pt>
                <c:pt idx="99">
                  <c:v>4.1707333211122091E-3</c:v>
                </c:pt>
                <c:pt idx="100">
                  <c:v>7.2556144214979499E-3</c:v>
                </c:pt>
                <c:pt idx="101">
                  <c:v>1.5564066550140891E-2</c:v>
                </c:pt>
                <c:pt idx="102">
                  <c:v>1.7570554608117909E-2</c:v>
                </c:pt>
                <c:pt idx="103">
                  <c:v>1.5020367751261246E-2</c:v>
                </c:pt>
                <c:pt idx="104">
                  <c:v>4.5214198436587999E-2</c:v>
                </c:pt>
                <c:pt idx="105">
                  <c:v>2.8053524602331535E-2</c:v>
                </c:pt>
                <c:pt idx="106">
                  <c:v>2.8119987694339609E-2</c:v>
                </c:pt>
                <c:pt idx="107">
                  <c:v>8.3643327970973763E-2</c:v>
                </c:pt>
                <c:pt idx="108">
                  <c:v>6.9636568578111083E-2</c:v>
                </c:pt>
                <c:pt idx="109">
                  <c:v>0.16458551978575969</c:v>
                </c:pt>
                <c:pt idx="110">
                  <c:v>7.1643565719326271E-2</c:v>
                </c:pt>
                <c:pt idx="111">
                  <c:v>0.12042212555103957</c:v>
                </c:pt>
                <c:pt idx="112">
                  <c:v>0.12277781582352772</c:v>
                </c:pt>
                <c:pt idx="113">
                  <c:v>4.9858976971388844E-2</c:v>
                </c:pt>
                <c:pt idx="114">
                  <c:v>2.7311765338261115E-2</c:v>
                </c:pt>
                <c:pt idx="115">
                  <c:v>3.1623428299850813E-2</c:v>
                </c:pt>
                <c:pt idx="116">
                  <c:v>3.0034698448706758E-2</c:v>
                </c:pt>
                <c:pt idx="117">
                  <c:v>3.0667895655874338E-2</c:v>
                </c:pt>
                <c:pt idx="118">
                  <c:v>1.0559150353487227E-2</c:v>
                </c:pt>
                <c:pt idx="119">
                  <c:v>5.007165302767564E-2</c:v>
                </c:pt>
                <c:pt idx="120">
                  <c:v>1.1270097017535107E-2</c:v>
                </c:pt>
              </c:numCache>
            </c:numRef>
          </c:yVal>
          <c:smooth val="0"/>
          <c:extLst>
            <c:ext xmlns:c16="http://schemas.microsoft.com/office/drawing/2014/chart" uri="{C3380CC4-5D6E-409C-BE32-E72D297353CC}">
              <c16:uniqueId val="{00000000-6840-FD41-BC1D-80EBDF248BEC}"/>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analysis!$GV$68:$GV$200</c:f>
              <c:numCache>
                <c:formatCode>0.0E+00</c:formatCode>
                <c:ptCount val="133"/>
                <c:pt idx="0">
                  <c:v>1.2707953723147501E-4</c:v>
                </c:pt>
                <c:pt idx="1">
                  <c:v>1.29493954870849E-4</c:v>
                </c:pt>
                <c:pt idx="2">
                  <c:v>1.32207112479954E-4</c:v>
                </c:pt>
                <c:pt idx="3">
                  <c:v>1.3385189101099899E-4</c:v>
                </c:pt>
                <c:pt idx="4">
                  <c:v>1.3642410795075164E-4</c:v>
                </c:pt>
                <c:pt idx="5">
                  <c:v>1.3672414030879701E-4</c:v>
                </c:pt>
                <c:pt idx="6">
                  <c:v>1.40701152384281E-4</c:v>
                </c:pt>
                <c:pt idx="7">
                  <c:v>1.41772810742259E-4</c:v>
                </c:pt>
                <c:pt idx="8">
                  <c:v>1.4414032115520352E-4</c:v>
                </c:pt>
                <c:pt idx="9">
                  <c:v>1.4714445518329699E-4</c:v>
                </c:pt>
                <c:pt idx="10">
                  <c:v>1.4998495215550001E-4</c:v>
                </c:pt>
                <c:pt idx="11">
                  <c:v>1.51451561413705E-4</c:v>
                </c:pt>
                <c:pt idx="12">
                  <c:v>1.5810723697553899E-4</c:v>
                </c:pt>
                <c:pt idx="13">
                  <c:v>1.6765731079503802E-4</c:v>
                </c:pt>
                <c:pt idx="14">
                  <c:v>1.6385069281876538E-4</c:v>
                </c:pt>
                <c:pt idx="15">
                  <c:v>1.6717865815709141E-4</c:v>
                </c:pt>
                <c:pt idx="16">
                  <c:v>1.6267634227030438E-4</c:v>
                </c:pt>
                <c:pt idx="17">
                  <c:v>1.7781248546228423E-4</c:v>
                </c:pt>
                <c:pt idx="18">
                  <c:v>1.7805621599835685E-4</c:v>
                </c:pt>
                <c:pt idx="19">
                  <c:v>1.7972811339423E-4</c:v>
                </c:pt>
                <c:pt idx="20">
                  <c:v>1.8365764365468946E-4</c:v>
                </c:pt>
                <c:pt idx="21">
                  <c:v>1.8001086710378209E-4</c:v>
                </c:pt>
                <c:pt idx="22">
                  <c:v>1.866640014673359E-4</c:v>
                </c:pt>
                <c:pt idx="23">
                  <c:v>1.8132622432026223E-4</c:v>
                </c:pt>
                <c:pt idx="24">
                  <c:v>1.9365926116192159E-4</c:v>
                </c:pt>
                <c:pt idx="25">
                  <c:v>1.8778160992611012E-4</c:v>
                </c:pt>
                <c:pt idx="26">
                  <c:v>1.9147893458694391E-4</c:v>
                </c:pt>
                <c:pt idx="27">
                  <c:v>1.9638768226837143E-4</c:v>
                </c:pt>
                <c:pt idx="28">
                  <c:v>2.0612968417757735E-4</c:v>
                </c:pt>
                <c:pt idx="29">
                  <c:v>2.1497648419550666E-4</c:v>
                </c:pt>
                <c:pt idx="30">
                  <c:v>1.9621412041227884E-4</c:v>
                </c:pt>
                <c:pt idx="31">
                  <c:v>2.1545620489577303E-4</c:v>
                </c:pt>
                <c:pt idx="32">
                  <c:v>2.2018488597910362E-4</c:v>
                </c:pt>
                <c:pt idx="33">
                  <c:v>2.231467566514457E-4</c:v>
                </c:pt>
                <c:pt idx="34">
                  <c:v>2.2897076005875489E-4</c:v>
                </c:pt>
                <c:pt idx="35">
                  <c:v>2.3996961263365285E-4</c:v>
                </c:pt>
                <c:pt idx="36">
                  <c:v>2.1393843708358774E-4</c:v>
                </c:pt>
                <c:pt idx="37">
                  <c:v>2.1342168727588628E-4</c:v>
                </c:pt>
                <c:pt idx="38">
                  <c:v>2.4693376934810743E-4</c:v>
                </c:pt>
                <c:pt idx="39">
                  <c:v>2.1623574527235631E-4</c:v>
                </c:pt>
                <c:pt idx="40">
                  <c:v>2.1619282748654582E-4</c:v>
                </c:pt>
                <c:pt idx="41">
                  <c:v>2.2788529978380498E-4</c:v>
                </c:pt>
                <c:pt idx="42">
                  <c:v>2.5429260613437927E-4</c:v>
                </c:pt>
                <c:pt idx="43">
                  <c:v>2.7285143936839757E-4</c:v>
                </c:pt>
                <c:pt idx="44">
                  <c:v>2.6414590867231607E-4</c:v>
                </c:pt>
                <c:pt idx="45">
                  <c:v>2.7099529644751601E-4</c:v>
                </c:pt>
                <c:pt idx="46">
                  <c:v>2.5409605949039063E-4</c:v>
                </c:pt>
                <c:pt idx="47">
                  <c:v>2.6945325284312801E-4</c:v>
                </c:pt>
                <c:pt idx="48">
                  <c:v>2.7901488329589108E-4</c:v>
                </c:pt>
                <c:pt idx="49">
                  <c:v>2.8349943625156075E-4</c:v>
                </c:pt>
                <c:pt idx="50">
                  <c:v>2.5818290982854348E-4</c:v>
                </c:pt>
                <c:pt idx="51">
                  <c:v>2.802134812231114E-4</c:v>
                </c:pt>
                <c:pt idx="52">
                  <c:v>2.7990240869723041E-4</c:v>
                </c:pt>
                <c:pt idx="53">
                  <c:v>3.3278648794876923E-4</c:v>
                </c:pt>
                <c:pt idx="54">
                  <c:v>2.9478341992974388E-4</c:v>
                </c:pt>
                <c:pt idx="55">
                  <c:v>3.0907000456678043E-4</c:v>
                </c:pt>
                <c:pt idx="56">
                  <c:v>2.9496232778338947E-4</c:v>
                </c:pt>
                <c:pt idx="57">
                  <c:v>3.0333861646113269E-4</c:v>
                </c:pt>
                <c:pt idx="58">
                  <c:v>3.1386699531043975E-4</c:v>
                </c:pt>
                <c:pt idx="59">
                  <c:v>3.3662905844085992E-4</c:v>
                </c:pt>
                <c:pt idx="60">
                  <c:v>3.0542166700082946E-4</c:v>
                </c:pt>
                <c:pt idx="61">
                  <c:v>3.2799691166050186E-4</c:v>
                </c:pt>
                <c:pt idx="62">
                  <c:v>3.4259905713418157E-4</c:v>
                </c:pt>
                <c:pt idx="63">
                  <c:v>3.9302055987417279E-4</c:v>
                </c:pt>
                <c:pt idx="64">
                  <c:v>3.0935958126035733E-4</c:v>
                </c:pt>
                <c:pt idx="65">
                  <c:v>3.1320721192179914E-4</c:v>
                </c:pt>
                <c:pt idx="66">
                  <c:v>3.824231557940174E-4</c:v>
                </c:pt>
                <c:pt idx="67">
                  <c:v>6.0665526520361352E-4</c:v>
                </c:pt>
                <c:pt idx="68">
                  <c:v>3.1547218197729431E-4</c:v>
                </c:pt>
                <c:pt idx="69">
                  <c:v>4.1444285952901692E-4</c:v>
                </c:pt>
                <c:pt idx="70">
                  <c:v>6.9000918076297599E-4</c:v>
                </c:pt>
                <c:pt idx="71">
                  <c:v>5.2131394307391857E-4</c:v>
                </c:pt>
                <c:pt idx="72">
                  <c:v>3.2303338549596341E-4</c:v>
                </c:pt>
                <c:pt idx="73">
                  <c:v>3.2612386681345754E-4</c:v>
                </c:pt>
                <c:pt idx="74">
                  <c:v>3.8884379404144131E-4</c:v>
                </c:pt>
                <c:pt idx="75">
                  <c:v>4.5603719688728221E-4</c:v>
                </c:pt>
                <c:pt idx="76">
                  <c:v>4.9185376997521271E-4</c:v>
                </c:pt>
                <c:pt idx="77">
                  <c:v>6.8995681777180376E-4</c:v>
                </c:pt>
                <c:pt idx="78">
                  <c:v>7.2030195868147461E-4</c:v>
                </c:pt>
                <c:pt idx="79">
                  <c:v>5.2662366831030287E-4</c:v>
                </c:pt>
                <c:pt idx="80">
                  <c:v>4.520255067944958E-4</c:v>
                </c:pt>
                <c:pt idx="81">
                  <c:v>5.6690279678478224E-4</c:v>
                </c:pt>
                <c:pt idx="82">
                  <c:v>5.4315019739028451E-4</c:v>
                </c:pt>
                <c:pt idx="83">
                  <c:v>6.7299156645197859E-4</c:v>
                </c:pt>
                <c:pt idx="84">
                  <c:v>5.6775289567213372E-4</c:v>
                </c:pt>
                <c:pt idx="85">
                  <c:v>5.7818769057252784E-4</c:v>
                </c:pt>
                <c:pt idx="86">
                  <c:v>5.4497169118170421E-4</c:v>
                </c:pt>
                <c:pt idx="87">
                  <c:v>6.2706760399814483E-4</c:v>
                </c:pt>
                <c:pt idx="88">
                  <c:v>6.4220638915459785E-4</c:v>
                </c:pt>
                <c:pt idx="89">
                  <c:v>5.8149172661778109E-4</c:v>
                </c:pt>
                <c:pt idx="90">
                  <c:v>6.791549317785037E-4</c:v>
                </c:pt>
                <c:pt idx="91">
                  <c:v>6.6452581782896157E-4</c:v>
                </c:pt>
                <c:pt idx="92">
                  <c:v>6.9709611433383734E-4</c:v>
                </c:pt>
                <c:pt idx="93">
                  <c:v>6.4242225077958484E-4</c:v>
                </c:pt>
                <c:pt idx="94">
                  <c:v>6.0261312316514518E-4</c:v>
                </c:pt>
                <c:pt idx="95">
                  <c:v>8.4110168983517371E-4</c:v>
                </c:pt>
                <c:pt idx="96">
                  <c:v>1.0805062127617342E-3</c:v>
                </c:pt>
                <c:pt idx="97">
                  <c:v>7.3415865010382651E-4</c:v>
                </c:pt>
                <c:pt idx="98">
                  <c:v>7.7434696269387717E-4</c:v>
                </c:pt>
                <c:pt idx="99">
                  <c:v>8.2861496030313885E-4</c:v>
                </c:pt>
                <c:pt idx="100">
                  <c:v>7.3172825967403093E-4</c:v>
                </c:pt>
                <c:pt idx="101">
                  <c:v>9.2572117924678908E-4</c:v>
                </c:pt>
                <c:pt idx="102">
                  <c:v>1.0505013635398587E-3</c:v>
                </c:pt>
                <c:pt idx="103">
                  <c:v>7.0629928641541793E-4</c:v>
                </c:pt>
                <c:pt idx="104">
                  <c:v>1.0496175478553274E-3</c:v>
                </c:pt>
                <c:pt idx="105">
                  <c:v>1.2987058412467704E-3</c:v>
                </c:pt>
                <c:pt idx="106">
                  <c:v>1.2131996694735882E-3</c:v>
                </c:pt>
                <c:pt idx="107">
                  <c:v>1.4029880576220488E-3</c:v>
                </c:pt>
                <c:pt idx="108">
                  <c:v>1.2723158579319711E-3</c:v>
                </c:pt>
                <c:pt idx="109">
                  <c:v>1.3678367892846202E-3</c:v>
                </c:pt>
                <c:pt idx="110">
                  <c:v>1.3521840682649089E-3</c:v>
                </c:pt>
                <c:pt idx="111">
                  <c:v>1.4544334279122289E-3</c:v>
                </c:pt>
                <c:pt idx="112">
                  <c:v>1.4535472646911055E-3</c:v>
                </c:pt>
                <c:pt idx="113">
                  <c:v>1.4243194364123505E-3</c:v>
                </c:pt>
                <c:pt idx="114">
                  <c:v>1.2124676876599024E-3</c:v>
                </c:pt>
                <c:pt idx="115">
                  <c:v>1.1873803464826412E-3</c:v>
                </c:pt>
                <c:pt idx="116">
                  <c:v>1.2580654908656908E-3</c:v>
                </c:pt>
                <c:pt idx="117">
                  <c:v>1.1979969928238691E-3</c:v>
                </c:pt>
                <c:pt idx="118">
                  <c:v>1.1783255064142274E-3</c:v>
                </c:pt>
                <c:pt idx="119">
                  <c:v>1.6575653157976981E-3</c:v>
                </c:pt>
                <c:pt idx="120">
                  <c:v>1.3099676439456687E-3</c:v>
                </c:pt>
              </c:numCache>
            </c:numRef>
          </c:yVal>
          <c:smooth val="0"/>
          <c:extLst>
            <c:ext xmlns:c16="http://schemas.microsoft.com/office/drawing/2014/chart" uri="{C3380CC4-5D6E-409C-BE32-E72D297353CC}">
              <c16:uniqueId val="{00000001-6840-FD41-BC1D-80EBDF248BEC}"/>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analysis!$GW$68:$GW$200</c:f>
              <c:numCache>
                <c:formatCode>0.0E+00</c:formatCode>
                <c:ptCount val="133"/>
                <c:pt idx="0">
                  <c:v>6.4833279289305205E-4</c:v>
                </c:pt>
                <c:pt idx="1">
                  <c:v>7.9427926481555669E-4</c:v>
                </c:pt>
                <c:pt idx="2">
                  <c:v>7.3759420458227392E-4</c:v>
                </c:pt>
                <c:pt idx="3">
                  <c:v>7.5209122281521493E-4</c:v>
                </c:pt>
                <c:pt idx="4">
                  <c:v>1.4074008464084419E-3</c:v>
                </c:pt>
                <c:pt idx="5">
                  <c:v>1.0595413035408977E-3</c:v>
                </c:pt>
                <c:pt idx="6">
                  <c:v>9.8749861864400566E-4</c:v>
                </c:pt>
                <c:pt idx="7">
                  <c:v>9.5371500039473107E-4</c:v>
                </c:pt>
                <c:pt idx="8">
                  <c:v>1.2458152565301541E-3</c:v>
                </c:pt>
                <c:pt idx="9">
                  <c:v>1.2693523711918982E-3</c:v>
                </c:pt>
                <c:pt idx="10">
                  <c:v>1.4208538097912839E-3</c:v>
                </c:pt>
                <c:pt idx="11">
                  <c:v>1.4812228826470172E-3</c:v>
                </c:pt>
                <c:pt idx="12">
                  <c:v>1.6273226324901369E-3</c:v>
                </c:pt>
                <c:pt idx="13">
                  <c:v>1.5778272339142801E-3</c:v>
                </c:pt>
                <c:pt idx="14">
                  <c:v>1.9293460346670444E-3</c:v>
                </c:pt>
                <c:pt idx="15">
                  <c:v>1.9437246414371276E-3</c:v>
                </c:pt>
                <c:pt idx="16">
                  <c:v>1.5216983778582592E-3</c:v>
                </c:pt>
                <c:pt idx="17">
                  <c:v>2.2071883591516807E-3</c:v>
                </c:pt>
                <c:pt idx="18">
                  <c:v>2.270455167525292E-3</c:v>
                </c:pt>
                <c:pt idx="19">
                  <c:v>2.5077323155719721E-3</c:v>
                </c:pt>
                <c:pt idx="20">
                  <c:v>2.4620955074087449E-3</c:v>
                </c:pt>
                <c:pt idx="21">
                  <c:v>2.7418568113317028E-3</c:v>
                </c:pt>
                <c:pt idx="22">
                  <c:v>1.7556381302712089E-3</c:v>
                </c:pt>
                <c:pt idx="23">
                  <c:v>1.6769107688912746E-3</c:v>
                </c:pt>
                <c:pt idx="24">
                  <c:v>1.6978685857931787E-3</c:v>
                </c:pt>
                <c:pt idx="25">
                  <c:v>4.5252877445232462E-3</c:v>
                </c:pt>
                <c:pt idx="26">
                  <c:v>1.7580341462287926E-3</c:v>
                </c:pt>
                <c:pt idx="27">
                  <c:v>3.6608159388537287E-3</c:v>
                </c:pt>
                <c:pt idx="28">
                  <c:v>1.7608683647034804E-3</c:v>
                </c:pt>
                <c:pt idx="29">
                  <c:v>2.1483415956122442E-3</c:v>
                </c:pt>
                <c:pt idx="30">
                  <c:v>1.89803797111568E-3</c:v>
                </c:pt>
                <c:pt idx="31">
                  <c:v>1.713868843705321E-3</c:v>
                </c:pt>
                <c:pt idx="32">
                  <c:v>2.8704554056225495E-3</c:v>
                </c:pt>
                <c:pt idx="33">
                  <c:v>2.0683958774889654E-3</c:v>
                </c:pt>
                <c:pt idx="34">
                  <c:v>1.9039349534877663E-3</c:v>
                </c:pt>
                <c:pt idx="35">
                  <c:v>6.7164424359060348E-3</c:v>
                </c:pt>
                <c:pt idx="36">
                  <c:v>6.7231691329347433E-3</c:v>
                </c:pt>
                <c:pt idx="37">
                  <c:v>6.5057764819043606E-3</c:v>
                </c:pt>
                <c:pt idx="38">
                  <c:v>2.4379747261926727E-3</c:v>
                </c:pt>
                <c:pt idx="39">
                  <c:v>7.1263849285909276E-3</c:v>
                </c:pt>
                <c:pt idx="40">
                  <c:v>6.7322124398541293E-3</c:v>
                </c:pt>
                <c:pt idx="41">
                  <c:v>2.2735006880477376E-3</c:v>
                </c:pt>
                <c:pt idx="42">
                  <c:v>4.7794758078578484E-3</c:v>
                </c:pt>
                <c:pt idx="43">
                  <c:v>1.0075334484938407E-2</c:v>
                </c:pt>
                <c:pt idx="44">
                  <c:v>3.8915304244556514E-3</c:v>
                </c:pt>
                <c:pt idx="45">
                  <c:v>6.1578737126088169E-3</c:v>
                </c:pt>
                <c:pt idx="46">
                  <c:v>8.3131379156643308E-3</c:v>
                </c:pt>
                <c:pt idx="47">
                  <c:v>4.1134662371148118E-3</c:v>
                </c:pt>
                <c:pt idx="48">
                  <c:v>4.9893651387921539E-3</c:v>
                </c:pt>
                <c:pt idx="49">
                  <c:v>5.4673725138579526E-3</c:v>
                </c:pt>
                <c:pt idx="50">
                  <c:v>2.8012972663761441E-3</c:v>
                </c:pt>
                <c:pt idx="51">
                  <c:v>3.8602869312663228E-3</c:v>
                </c:pt>
                <c:pt idx="52">
                  <c:v>6.9230450205312825E-3</c:v>
                </c:pt>
                <c:pt idx="53">
                  <c:v>9.5675418779557798E-3</c:v>
                </c:pt>
                <c:pt idx="54">
                  <c:v>5.1496019538661876E-3</c:v>
                </c:pt>
                <c:pt idx="55">
                  <c:v>7.1748649790796043E-3</c:v>
                </c:pt>
                <c:pt idx="56">
                  <c:v>8.6547369569598114E-3</c:v>
                </c:pt>
                <c:pt idx="57">
                  <c:v>1.0092691398723212E-2</c:v>
                </c:pt>
                <c:pt idx="58">
                  <c:v>9.8035509761787154E-3</c:v>
                </c:pt>
                <c:pt idx="59">
                  <c:v>9.766516441808688E-3</c:v>
                </c:pt>
                <c:pt idx="60">
                  <c:v>1.0123450345007803E-2</c:v>
                </c:pt>
                <c:pt idx="61">
                  <c:v>1.0188155223661852E-2</c:v>
                </c:pt>
                <c:pt idx="62">
                  <c:v>1.0440122484678096E-2</c:v>
                </c:pt>
                <c:pt idx="63">
                  <c:v>5.7297655344016657E-3</c:v>
                </c:pt>
                <c:pt idx="64">
                  <c:v>1.2269215030643691E-2</c:v>
                </c:pt>
                <c:pt idx="65">
                  <c:v>1.3884752905592769E-2</c:v>
                </c:pt>
                <c:pt idx="66">
                  <c:v>7.9415221542965559E-3</c:v>
                </c:pt>
                <c:pt idx="67">
                  <c:v>3.9175524647066001E-2</c:v>
                </c:pt>
                <c:pt idx="68">
                  <c:v>1.1586564383317548E-2</c:v>
                </c:pt>
                <c:pt idx="69">
                  <c:v>3.2389118509869863E-2</c:v>
                </c:pt>
                <c:pt idx="70">
                  <c:v>2.0755728325561815E-2</c:v>
                </c:pt>
                <c:pt idx="71">
                  <c:v>1.8827393799107528E-2</c:v>
                </c:pt>
                <c:pt idx="72">
                  <c:v>1.8484693061040641E-2</c:v>
                </c:pt>
                <c:pt idx="73">
                  <c:v>1.829134393236111E-2</c:v>
                </c:pt>
                <c:pt idx="74">
                  <c:v>2.4905360183634397E-2</c:v>
                </c:pt>
                <c:pt idx="75">
                  <c:v>4.3854172710788113E-2</c:v>
                </c:pt>
                <c:pt idx="76">
                  <c:v>4.7983650725165548E-2</c:v>
                </c:pt>
                <c:pt idx="77">
                  <c:v>0.2443065057448737</c:v>
                </c:pt>
                <c:pt idx="78">
                  <c:v>0.10117771797063103</c:v>
                </c:pt>
                <c:pt idx="79">
                  <c:v>5.9361207832104232E-2</c:v>
                </c:pt>
                <c:pt idx="80">
                  <c:v>2.5803510171566194E-2</c:v>
                </c:pt>
                <c:pt idx="81">
                  <c:v>2.5654551849424174E-2</c:v>
                </c:pt>
                <c:pt idx="82">
                  <c:v>3.0523021061602786E-2</c:v>
                </c:pt>
                <c:pt idx="83">
                  <c:v>6.0802831715072905E-2</c:v>
                </c:pt>
                <c:pt idx="84">
                  <c:v>0.92119777771747779</c:v>
                </c:pt>
                <c:pt idx="85">
                  <c:v>0.45184847385344357</c:v>
                </c:pt>
                <c:pt idx="86">
                  <c:v>0.41016285969685229</c:v>
                </c:pt>
                <c:pt idx="87">
                  <c:v>6.9443214188116095E-2</c:v>
                </c:pt>
                <c:pt idx="88">
                  <c:v>0.20645786395582991</c:v>
                </c:pt>
                <c:pt idx="89">
                  <c:v>0.60546321738591546</c:v>
                </c:pt>
                <c:pt idx="90">
                  <c:v>0.58458633892869039</c:v>
                </c:pt>
                <c:pt idx="91">
                  <c:v>0.76093686557365459</c:v>
                </c:pt>
                <c:pt idx="92">
                  <c:v>0.19575542463247733</c:v>
                </c:pt>
                <c:pt idx="93">
                  <c:v>0.11522569611730492</c:v>
                </c:pt>
                <c:pt idx="94">
                  <c:v>0.11106716888988828</c:v>
                </c:pt>
                <c:pt idx="95">
                  <c:v>0.19916838227722997</c:v>
                </c:pt>
                <c:pt idx="96">
                  <c:v>0.35132217536876426</c:v>
                </c:pt>
                <c:pt idx="97">
                  <c:v>0.30265882051737286</c:v>
                </c:pt>
                <c:pt idx="98">
                  <c:v>0.12885521332362654</c:v>
                </c:pt>
                <c:pt idx="99">
                  <c:v>0.13470126723267203</c:v>
                </c:pt>
                <c:pt idx="100">
                  <c:v>0.26718724328822557</c:v>
                </c:pt>
                <c:pt idx="101">
                  <c:v>0.43666420989351973</c:v>
                </c:pt>
                <c:pt idx="102">
                  <c:v>0.39925326632912289</c:v>
                </c:pt>
                <c:pt idx="103">
                  <c:v>0.52058979071770906</c:v>
                </c:pt>
                <c:pt idx="104">
                  <c:v>1.1173889099665708</c:v>
                </c:pt>
                <c:pt idx="105">
                  <c:v>0.5787945013867235</c:v>
                </c:pt>
                <c:pt idx="106">
                  <c:v>0.56327714358449865</c:v>
                </c:pt>
                <c:pt idx="107">
                  <c:v>2.2938507475861973</c:v>
                </c:pt>
                <c:pt idx="108">
                  <c:v>1.3447219693553047</c:v>
                </c:pt>
                <c:pt idx="109">
                  <c:v>8.8004003374630333</c:v>
                </c:pt>
                <c:pt idx="110">
                  <c:v>2.0462527627241776</c:v>
                </c:pt>
                <c:pt idx="111">
                  <c:v>2.4667973536092558</c:v>
                </c:pt>
                <c:pt idx="112">
                  <c:v>3.7015007610392305</c:v>
                </c:pt>
                <c:pt idx="113">
                  <c:v>1.9108365123544848</c:v>
                </c:pt>
                <c:pt idx="114">
                  <c:v>0.97949127735046093</c:v>
                </c:pt>
                <c:pt idx="115">
                  <c:v>0.94104138280575367</c:v>
                </c:pt>
                <c:pt idx="116">
                  <c:v>1.029472020021527</c:v>
                </c:pt>
                <c:pt idx="117">
                  <c:v>1.4529452451136791</c:v>
                </c:pt>
                <c:pt idx="118">
                  <c:v>0.69254899460115527</c:v>
                </c:pt>
                <c:pt idx="119">
                  <c:v>0.89962834318337725</c:v>
                </c:pt>
                <c:pt idx="120">
                  <c:v>0.34806023649622936</c:v>
                </c:pt>
              </c:numCache>
            </c:numRef>
          </c:yVal>
          <c:smooth val="0"/>
          <c:extLst>
            <c:ext xmlns:c16="http://schemas.microsoft.com/office/drawing/2014/chart" uri="{C3380CC4-5D6E-409C-BE32-E72D297353CC}">
              <c16:uniqueId val="{00000002-6840-FD41-BC1D-80EBDF248BEC}"/>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analysis!$GX$68:$GX$200</c:f>
              <c:numCache>
                <c:formatCode>0.0E+00</c:formatCode>
                <c:ptCount val="133"/>
                <c:pt idx="0">
                  <c:v>2.77306325733661E-3</c:v>
                </c:pt>
                <c:pt idx="1">
                  <c:v>2.0101163536310101E-3</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3-6840-FD41-BC1D-80EBDF248BEC}"/>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analysis!$GY$68:$GY$200</c:f>
              <c:numCache>
                <c:formatCode>0.0E+00</c:formatCode>
                <c:ptCount val="133"/>
                <c:pt idx="0">
                  <c:v>2.8045335784554399E-3</c:v>
                </c:pt>
                <c:pt idx="1">
                  <c:v>1.8885582685470501E-3</c:v>
                </c:pt>
                <c:pt idx="2">
                  <c:v>1.82563345879316E-3</c:v>
                </c:pt>
                <c:pt idx="3">
                  <c:v>1.9232248887419701E-3</c:v>
                </c:pt>
                <c:pt idx="4">
                  <c:v>2.1949186921119599E-3</c:v>
                </c:pt>
                <c:pt idx="5">
                  <c:v>2.2741407155990601E-3</c:v>
                </c:pt>
                <c:pt idx="6">
                  <c:v>#N/A</c:v>
                </c:pt>
                <c:pt idx="7">
                  <c:v>#N/A</c:v>
                </c:pt>
                <c:pt idx="8">
                  <c:v>2.6120310649275702E-3</c:v>
                </c:pt>
                <c:pt idx="9">
                  <c:v>2.72889342159032E-3</c:v>
                </c:pt>
                <c:pt idx="10">
                  <c:v>2.9307082295417699E-3</c:v>
                </c:pt>
                <c:pt idx="11">
                  <c:v>3.1950389966368602E-3</c:v>
                </c:pt>
                <c:pt idx="12">
                  <c:v>#N/A</c:v>
                </c:pt>
                <c:pt idx="13">
                  <c:v>#N/A</c:v>
                </c:pt>
                <c:pt idx="14">
                  <c:v>#N/A</c:v>
                </c:pt>
                <c:pt idx="15">
                  <c:v>#N/A</c:v>
                </c:pt>
                <c:pt idx="16">
                  <c:v>#N/A</c:v>
                </c:pt>
                <c:pt idx="17">
                  <c:v>4.5591229572892102E-3</c:v>
                </c:pt>
                <c:pt idx="18">
                  <c:v>#N/A</c:v>
                </c:pt>
                <c:pt idx="19">
                  <c:v>#N/A</c:v>
                </c:pt>
                <c:pt idx="20">
                  <c:v>5.1939738914370502E-3</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4-6840-FD41-BC1D-80EBDF248BEC}"/>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analysis!$GZ$68:$GZ$200</c:f>
              <c:numCache>
                <c:formatCode>0.0E+00</c:formatCode>
                <c:ptCount val="133"/>
                <c:pt idx="0">
                  <c:v>1.1915480718016601E-3</c:v>
                </c:pt>
                <c:pt idx="1">
                  <c:v>9.8078558221458998E-4</c:v>
                </c:pt>
                <c:pt idx="2">
                  <c:v>1.0510385036468499E-3</c:v>
                </c:pt>
                <c:pt idx="3">
                  <c:v>1.11413886770606E-3</c:v>
                </c:pt>
                <c:pt idx="4">
                  <c:v>1.6310955397784699E-3</c:v>
                </c:pt>
                <c:pt idx="5">
                  <c:v>1.277754083275795E-3</c:v>
                </c:pt>
                <c:pt idx="6">
                  <c:v>1.40262162312865E-3</c:v>
                </c:pt>
                <c:pt idx="7">
                  <c:v>1.3946061953902199E-3</c:v>
                </c:pt>
                <c:pt idx="8">
                  <c:v>1.5154471620917301E-3</c:v>
                </c:pt>
                <c:pt idx="9">
                  <c:v>1.72103801742196E-3</c:v>
                </c:pt>
                <c:pt idx="10">
                  <c:v>2.49982252717018E-3</c:v>
                </c:pt>
                <c:pt idx="11">
                  <c:v>2.1529919467866399E-3</c:v>
                </c:pt>
                <c:pt idx="12">
                  <c:v>4.6288631856441498E-3</c:v>
                </c:pt>
                <c:pt idx="13">
                  <c:v>9.3256882391870004E-3</c:v>
                </c:pt>
                <c:pt idx="14">
                  <c:v>7.9048401676117992E-3</c:v>
                </c:pt>
                <c:pt idx="15">
                  <c:v>1.8722441513091301E-2</c:v>
                </c:pt>
                <c:pt idx="16">
                  <c:v>#N/A</c:v>
                </c:pt>
                <c:pt idx="17">
                  <c:v>3.2139406539499751E-3</c:v>
                </c:pt>
                <c:pt idx="18">
                  <c:v>3.12069496139884E-2</c:v>
                </c:pt>
                <c:pt idx="19">
                  <c:v>6.4116024412214506E-2</c:v>
                </c:pt>
                <c:pt idx="20">
                  <c:v>4.4674244709312898E-3</c:v>
                </c:pt>
                <c:pt idx="21">
                  <c:v>#N/A</c:v>
                </c:pt>
                <c:pt idx="22">
                  <c:v>#N/A</c:v>
                </c:pt>
                <c:pt idx="23">
                  <c:v>#N/A</c:v>
                </c:pt>
                <c:pt idx="24">
                  <c:v>#N/A</c:v>
                </c:pt>
                <c:pt idx="25">
                  <c:v>2.3091038223356002E-2</c:v>
                </c:pt>
                <c:pt idx="26">
                  <c:v>#N/A</c:v>
                </c:pt>
                <c:pt idx="27">
                  <c:v>8.4292465355246995E-2</c:v>
                </c:pt>
                <c:pt idx="28">
                  <c:v>#N/A</c:v>
                </c:pt>
                <c:pt idx="29">
                  <c:v>#N/A</c:v>
                </c:pt>
                <c:pt idx="30">
                  <c:v>#N/A</c:v>
                </c:pt>
                <c:pt idx="31">
                  <c:v>#N/A</c:v>
                </c:pt>
                <c:pt idx="32">
                  <c:v>#N/A</c:v>
                </c:pt>
                <c:pt idx="33">
                  <c:v>#N/A</c:v>
                </c:pt>
                <c:pt idx="34">
                  <c:v>#N/A</c:v>
                </c:pt>
                <c:pt idx="35">
                  <c:v>0.14585370384156701</c:v>
                </c:pt>
                <c:pt idx="36">
                  <c:v>0.18060627719387401</c:v>
                </c:pt>
                <c:pt idx="37">
                  <c:v>0.36937506217509503</c:v>
                </c:pt>
                <c:pt idx="38">
                  <c:v>#N/A</c:v>
                </c:pt>
                <c:pt idx="39">
                  <c:v>6.7371229641139493E-2</c:v>
                </c:pt>
                <c:pt idx="40">
                  <c:v>0.1037550484761595</c:v>
                </c:pt>
                <c:pt idx="41">
                  <c:v>#N/A</c:v>
                </c:pt>
                <c:pt idx="42">
                  <c:v>#N/A</c:v>
                </c:pt>
                <c:pt idx="43">
                  <c:v>3.5063117742538452E-2</c:v>
                </c:pt>
                <c:pt idx="44">
                  <c:v>#N/A</c:v>
                </c:pt>
                <c:pt idx="45">
                  <c:v>#N/A</c:v>
                </c:pt>
                <c:pt idx="46">
                  <c:v>4.9596738070249551E-2</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2.44812415912747E-2</c:v>
                </c:pt>
                <c:pt idx="69">
                  <c:v>#N/A</c:v>
                </c:pt>
                <c:pt idx="70">
                  <c:v>#N/A</c:v>
                </c:pt>
                <c:pt idx="71">
                  <c:v>#N/A</c:v>
                </c:pt>
                <c:pt idx="72">
                  <c:v>3.6105215549468953E-2</c:v>
                </c:pt>
                <c:pt idx="73">
                  <c:v>3.7355210166424499E-2</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5-6840-FD41-BC1D-80EBDF248BEC}"/>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4858814523184602"/>
          <c:y val="5.8375710848643916E-2"/>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analysis!$HI$68:$HI$200</c:f>
              <c:numCache>
                <c:formatCode>0.0%</c:formatCode>
                <c:ptCount val="133"/>
                <c:pt idx="0">
                  <c:v>1</c:v>
                </c:pt>
                <c:pt idx="1">
                  <c:v>1</c:v>
                </c:pt>
                <c:pt idx="2">
                  <c:v>1</c:v>
                </c:pt>
                <c:pt idx="3">
                  <c:v>1</c:v>
                </c:pt>
                <c:pt idx="4">
                  <c:v>0.9194</c:v>
                </c:pt>
                <c:pt idx="5">
                  <c:v>1</c:v>
                </c:pt>
                <c:pt idx="6">
                  <c:v>1</c:v>
                </c:pt>
                <c:pt idx="7">
                  <c:v>1</c:v>
                </c:pt>
                <c:pt idx="8">
                  <c:v>0.98540000000000005</c:v>
                </c:pt>
                <c:pt idx="9">
                  <c:v>0.98819999999999997</c:v>
                </c:pt>
                <c:pt idx="10">
                  <c:v>0.99880000000000002</c:v>
                </c:pt>
                <c:pt idx="11">
                  <c:v>0.99980000000000002</c:v>
                </c:pt>
                <c:pt idx="12">
                  <c:v>0.95669999999999999</c:v>
                </c:pt>
                <c:pt idx="13">
                  <c:v>0.99850000000000005</c:v>
                </c:pt>
                <c:pt idx="14">
                  <c:v>0.95760000000000001</c:v>
                </c:pt>
                <c:pt idx="15">
                  <c:v>0.97009999999999996</c:v>
                </c:pt>
                <c:pt idx="16">
                  <c:v>0.9304</c:v>
                </c:pt>
                <c:pt idx="17">
                  <c:v>0.97489999999999999</c:v>
                </c:pt>
                <c:pt idx="18">
                  <c:v>0.99329999999999996</c:v>
                </c:pt>
                <c:pt idx="19">
                  <c:v>0.99570000000000003</c:v>
                </c:pt>
                <c:pt idx="20">
                  <c:v>0.99870000000000003</c:v>
                </c:pt>
                <c:pt idx="21">
                  <c:v>0.75849999999999995</c:v>
                </c:pt>
                <c:pt idx="22">
                  <c:v>0.96860000000000002</c:v>
                </c:pt>
                <c:pt idx="23">
                  <c:v>0.9244</c:v>
                </c:pt>
                <c:pt idx="24">
                  <c:v>0.99350000000000005</c:v>
                </c:pt>
                <c:pt idx="25">
                  <c:v>0.64649999999999996</c:v>
                </c:pt>
                <c:pt idx="26">
                  <c:v>0.83099999999999996</c:v>
                </c:pt>
                <c:pt idx="27">
                  <c:v>0.95099999999999996</c:v>
                </c:pt>
                <c:pt idx="28">
                  <c:v>0.92430000000000001</c:v>
                </c:pt>
                <c:pt idx="29">
                  <c:v>0.81879999999999997</c:v>
                </c:pt>
                <c:pt idx="30">
                  <c:v>0.91869999999999996</c:v>
                </c:pt>
                <c:pt idx="31">
                  <c:v>0.95630000000000004</c:v>
                </c:pt>
                <c:pt idx="32">
                  <c:v>0.96020000000000005</c:v>
                </c:pt>
                <c:pt idx="33">
                  <c:v>0.93510000000000004</c:v>
                </c:pt>
                <c:pt idx="34">
                  <c:v>0.97840000000000005</c:v>
                </c:pt>
                <c:pt idx="35">
                  <c:v>0.73980000000000001</c:v>
                </c:pt>
                <c:pt idx="36">
                  <c:v>0.74950000000000006</c:v>
                </c:pt>
                <c:pt idx="37">
                  <c:v>0.76619999999999999</c:v>
                </c:pt>
                <c:pt idx="38">
                  <c:v>0.85960000000000003</c:v>
                </c:pt>
                <c:pt idx="39">
                  <c:v>0.80489999999999995</c:v>
                </c:pt>
                <c:pt idx="40">
                  <c:v>0.83679999999999999</c:v>
                </c:pt>
                <c:pt idx="41">
                  <c:v>0.81930000000000003</c:v>
                </c:pt>
                <c:pt idx="42">
                  <c:v>0.89890000000000003</c:v>
                </c:pt>
                <c:pt idx="43">
                  <c:v>0.56410000000000005</c:v>
                </c:pt>
                <c:pt idx="44">
                  <c:v>0.64039999999999997</c:v>
                </c:pt>
                <c:pt idx="45">
                  <c:v>0.66869999999999996</c:v>
                </c:pt>
                <c:pt idx="46">
                  <c:v>0.82230000000000003</c:v>
                </c:pt>
                <c:pt idx="47">
                  <c:v>0.89100000000000001</c:v>
                </c:pt>
                <c:pt idx="48">
                  <c:v>0.66769999999999996</c:v>
                </c:pt>
                <c:pt idx="49">
                  <c:v>0.63729999999999998</c:v>
                </c:pt>
                <c:pt idx="50">
                  <c:v>0.75060000000000004</c:v>
                </c:pt>
                <c:pt idx="51">
                  <c:v>0.77829999999999999</c:v>
                </c:pt>
                <c:pt idx="52">
                  <c:v>0.80189999999999995</c:v>
                </c:pt>
                <c:pt idx="53">
                  <c:v>0.48249999999999998</c:v>
                </c:pt>
                <c:pt idx="54">
                  <c:v>0.72840000000000005</c:v>
                </c:pt>
                <c:pt idx="55">
                  <c:v>0.49669999999999997</c:v>
                </c:pt>
                <c:pt idx="56">
                  <c:v>0.65539999999999998</c:v>
                </c:pt>
                <c:pt idx="57">
                  <c:v>0.45079999999999998</c:v>
                </c:pt>
                <c:pt idx="58">
                  <c:v>0.45829999999999999</c:v>
                </c:pt>
                <c:pt idx="59">
                  <c:v>0.46910000000000002</c:v>
                </c:pt>
                <c:pt idx="60">
                  <c:v>0.46360000000000001</c:v>
                </c:pt>
                <c:pt idx="61">
                  <c:v>0.48420000000000002</c:v>
                </c:pt>
                <c:pt idx="62">
                  <c:v>0.50229999999999997</c:v>
                </c:pt>
                <c:pt idx="63">
                  <c:v>0.55079999999999996</c:v>
                </c:pt>
                <c:pt idx="64">
                  <c:v>0.56059999999999999</c:v>
                </c:pt>
                <c:pt idx="65">
                  <c:v>0.55549999999999999</c:v>
                </c:pt>
                <c:pt idx="66">
                  <c:v>0.43020000000000003</c:v>
                </c:pt>
                <c:pt idx="67">
                  <c:v>0.24049999999999999</c:v>
                </c:pt>
                <c:pt idx="68">
                  <c:v>0.52429999999999999</c:v>
                </c:pt>
                <c:pt idx="69">
                  <c:v>0.24310000000000001</c:v>
                </c:pt>
                <c:pt idx="70">
                  <c:v>0.26350000000000001</c:v>
                </c:pt>
                <c:pt idx="71">
                  <c:v>0.28050000000000003</c:v>
                </c:pt>
                <c:pt idx="72">
                  <c:v>0.45319999999999999</c:v>
                </c:pt>
                <c:pt idx="73">
                  <c:v>0.45600000000000002</c:v>
                </c:pt>
                <c:pt idx="74">
                  <c:v>0.29049999999999998</c:v>
                </c:pt>
                <c:pt idx="75">
                  <c:v>0.15129999999999999</c:v>
                </c:pt>
                <c:pt idx="76">
                  <c:v>0.15529999999999999</c:v>
                </c:pt>
                <c:pt idx="77">
                  <c:v>3.8199999999999998E-2</c:v>
                </c:pt>
                <c:pt idx="78">
                  <c:v>9.7000000000000003E-2</c:v>
                </c:pt>
                <c:pt idx="79">
                  <c:v>0.16159999999999999</c:v>
                </c:pt>
                <c:pt idx="80">
                  <c:v>0.318</c:v>
                </c:pt>
                <c:pt idx="81">
                  <c:v>0.27550000000000002</c:v>
                </c:pt>
                <c:pt idx="82">
                  <c:v>0.27910000000000001</c:v>
                </c:pt>
                <c:pt idx="83">
                  <c:v>0.1182</c:v>
                </c:pt>
                <c:pt idx="84">
                  <c:v>1.26E-2</c:v>
                </c:pt>
                <c:pt idx="85">
                  <c:v>1.89E-2</c:v>
                </c:pt>
                <c:pt idx="86">
                  <c:v>2.64E-2</c:v>
                </c:pt>
                <c:pt idx="87">
                  <c:v>0.13159999999999999</c:v>
                </c:pt>
                <c:pt idx="88">
                  <c:v>4.9299999999999997E-2</c:v>
                </c:pt>
                <c:pt idx="89">
                  <c:v>1.52E-2</c:v>
                </c:pt>
                <c:pt idx="90">
                  <c:v>1.38E-2</c:v>
                </c:pt>
                <c:pt idx="91">
                  <c:v>1.6500000000000001E-2</c:v>
                </c:pt>
                <c:pt idx="92">
                  <c:v>4.9500000000000002E-2</c:v>
                </c:pt>
                <c:pt idx="93">
                  <c:v>0.1004</c:v>
                </c:pt>
                <c:pt idx="94">
                  <c:v>0.1036</c:v>
                </c:pt>
                <c:pt idx="95">
                  <c:v>6.08E-2</c:v>
                </c:pt>
                <c:pt idx="96">
                  <c:v>2.92E-2</c:v>
                </c:pt>
                <c:pt idx="97">
                  <c:v>5.04E-2</c:v>
                </c:pt>
                <c:pt idx="98">
                  <c:v>9.5699999999999993E-2</c:v>
                </c:pt>
                <c:pt idx="99">
                  <c:v>9.3700000000000006E-2</c:v>
                </c:pt>
                <c:pt idx="100">
                  <c:v>4.7800000000000002E-2</c:v>
                </c:pt>
                <c:pt idx="101">
                  <c:v>2.81E-2</c:v>
                </c:pt>
                <c:pt idx="102">
                  <c:v>2.63E-2</c:v>
                </c:pt>
                <c:pt idx="103">
                  <c:v>2.41E-2</c:v>
                </c:pt>
                <c:pt idx="104">
                  <c:v>0.01</c:v>
                </c:pt>
                <c:pt idx="105">
                  <c:v>1.7600000000000001E-2</c:v>
                </c:pt>
                <c:pt idx="106">
                  <c:v>1.7999999999999999E-2</c:v>
                </c:pt>
                <c:pt idx="107">
                  <c:v>6.1000000000000004E-3</c:v>
                </c:pt>
                <c:pt idx="108">
                  <c:v>7.4000000000000003E-3</c:v>
                </c:pt>
                <c:pt idx="109">
                  <c:v>3.2000000000000002E-3</c:v>
                </c:pt>
                <c:pt idx="110">
                  <c:v>7.4999999999999997E-3</c:v>
                </c:pt>
                <c:pt idx="111">
                  <c:v>4.5999999999999999E-3</c:v>
                </c:pt>
                <c:pt idx="112">
                  <c:v>4.4000000000000003E-3</c:v>
                </c:pt>
                <c:pt idx="113">
                  <c:v>1.21E-2</c:v>
                </c:pt>
                <c:pt idx="114">
                  <c:v>1.9699999999999999E-2</c:v>
                </c:pt>
                <c:pt idx="115">
                  <c:v>1.7299999999999999E-2</c:v>
                </c:pt>
                <c:pt idx="116">
                  <c:v>1.8200000000000001E-2</c:v>
                </c:pt>
                <c:pt idx="117">
                  <c:v>1.8200000000000001E-2</c:v>
                </c:pt>
                <c:pt idx="118">
                  <c:v>5.4100000000000002E-2</c:v>
                </c:pt>
                <c:pt idx="119">
                  <c:v>1.3299999999999999E-2</c:v>
                </c:pt>
                <c:pt idx="120">
                  <c:v>5.1299999999999998E-2</c:v>
                </c:pt>
              </c:numCache>
            </c:numRef>
          </c:yVal>
          <c:smooth val="0"/>
          <c:extLst>
            <c:ext xmlns:c16="http://schemas.microsoft.com/office/drawing/2014/chart" uri="{C3380CC4-5D6E-409C-BE32-E72D297353CC}">
              <c16:uniqueId val="{00000000-4D67-764C-9CEB-7C095D42017B}"/>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analysis!$HJ$68:$HJ$200</c:f>
              <c:numCache>
                <c:formatCode>0.0%</c:formatCode>
                <c:ptCount val="133"/>
                <c:pt idx="0">
                  <c:v>1</c:v>
                </c:pt>
                <c:pt idx="1">
                  <c:v>1</c:v>
                </c:pt>
                <c:pt idx="2">
                  <c:v>1</c:v>
                </c:pt>
                <c:pt idx="3">
                  <c:v>1</c:v>
                </c:pt>
                <c:pt idx="4">
                  <c:v>0.97519999999999996</c:v>
                </c:pt>
                <c:pt idx="5">
                  <c:v>1</c:v>
                </c:pt>
                <c:pt idx="6">
                  <c:v>1</c:v>
                </c:pt>
                <c:pt idx="7">
                  <c:v>1</c:v>
                </c:pt>
                <c:pt idx="8">
                  <c:v>0.99990000000000001</c:v>
                </c:pt>
                <c:pt idx="9">
                  <c:v>1</c:v>
                </c:pt>
                <c:pt idx="10">
                  <c:v>1</c:v>
                </c:pt>
                <c:pt idx="11">
                  <c:v>1</c:v>
                </c:pt>
                <c:pt idx="12">
                  <c:v>0.99909999999999999</c:v>
                </c:pt>
                <c:pt idx="13">
                  <c:v>1</c:v>
                </c:pt>
                <c:pt idx="14">
                  <c:v>0.99950000000000006</c:v>
                </c:pt>
                <c:pt idx="15">
                  <c:v>0.99980000000000002</c:v>
                </c:pt>
                <c:pt idx="16">
                  <c:v>0.99880000000000002</c:v>
                </c:pt>
                <c:pt idx="17">
                  <c:v>0.99990000000000001</c:v>
                </c:pt>
                <c:pt idx="18">
                  <c:v>0.99990000000000001</c:v>
                </c:pt>
                <c:pt idx="19">
                  <c:v>1</c:v>
                </c:pt>
                <c:pt idx="20">
                  <c:v>0.99990000000000001</c:v>
                </c:pt>
                <c:pt idx="21">
                  <c:v>0.97009999999999996</c:v>
                </c:pt>
                <c:pt idx="22">
                  <c:v>0.99470000000000003</c:v>
                </c:pt>
                <c:pt idx="23">
                  <c:v>0.99919999999999998</c:v>
                </c:pt>
                <c:pt idx="24">
                  <c:v>0.99970000000000003</c:v>
                </c:pt>
                <c:pt idx="25">
                  <c:v>0.98280000000000001</c:v>
                </c:pt>
                <c:pt idx="26">
                  <c:v>0.998</c:v>
                </c:pt>
                <c:pt idx="27">
                  <c:v>0.99780000000000002</c:v>
                </c:pt>
                <c:pt idx="28">
                  <c:v>0.99890000000000001</c:v>
                </c:pt>
                <c:pt idx="29">
                  <c:v>0.99770000000000003</c:v>
                </c:pt>
                <c:pt idx="30">
                  <c:v>0.99919999999999998</c:v>
                </c:pt>
                <c:pt idx="31">
                  <c:v>0.99929999999999997</c:v>
                </c:pt>
                <c:pt idx="32">
                  <c:v>0.99960000000000004</c:v>
                </c:pt>
                <c:pt idx="33">
                  <c:v>0.99880000000000002</c:v>
                </c:pt>
                <c:pt idx="34">
                  <c:v>0.99990000000000001</c:v>
                </c:pt>
                <c:pt idx="35">
                  <c:v>0.8377</c:v>
                </c:pt>
                <c:pt idx="36">
                  <c:v>0.93289999999999995</c:v>
                </c:pt>
                <c:pt idx="37">
                  <c:v>0.94610000000000005</c:v>
                </c:pt>
                <c:pt idx="38">
                  <c:v>0.99390000000000001</c:v>
                </c:pt>
                <c:pt idx="39">
                  <c:v>0.97099999999999997</c:v>
                </c:pt>
                <c:pt idx="40">
                  <c:v>0.9597</c:v>
                </c:pt>
                <c:pt idx="41">
                  <c:v>0.99790000000000001</c:v>
                </c:pt>
                <c:pt idx="42">
                  <c:v>0.99399999999999999</c:v>
                </c:pt>
                <c:pt idx="43">
                  <c:v>0.82250000000000001</c:v>
                </c:pt>
                <c:pt idx="44">
                  <c:v>0.89980000000000004</c:v>
                </c:pt>
                <c:pt idx="45">
                  <c:v>0.90700000000000003</c:v>
                </c:pt>
                <c:pt idx="46">
                  <c:v>0.89849999999999997</c:v>
                </c:pt>
                <c:pt idx="47">
                  <c:v>0.99519999999999997</c:v>
                </c:pt>
                <c:pt idx="48">
                  <c:v>0.90680000000000005</c:v>
                </c:pt>
                <c:pt idx="49">
                  <c:v>0.98670000000000002</c:v>
                </c:pt>
                <c:pt idx="50">
                  <c:v>0.9708</c:v>
                </c:pt>
                <c:pt idx="51">
                  <c:v>0.98380000000000001</c:v>
                </c:pt>
                <c:pt idx="52">
                  <c:v>0.97740000000000005</c:v>
                </c:pt>
                <c:pt idx="53">
                  <c:v>0.83120000000000005</c:v>
                </c:pt>
                <c:pt idx="54">
                  <c:v>0.93310000000000004</c:v>
                </c:pt>
                <c:pt idx="55">
                  <c:v>0.88770000000000004</c:v>
                </c:pt>
                <c:pt idx="56">
                  <c:v>0.9264</c:v>
                </c:pt>
                <c:pt idx="57">
                  <c:v>0.87580000000000002</c:v>
                </c:pt>
                <c:pt idx="58">
                  <c:v>0.84140000000000004</c:v>
                </c:pt>
                <c:pt idx="59">
                  <c:v>0.79659999999999997</c:v>
                </c:pt>
                <c:pt idx="60">
                  <c:v>0.88129999999999997</c:v>
                </c:pt>
                <c:pt idx="61">
                  <c:v>0.82089999999999996</c:v>
                </c:pt>
                <c:pt idx="62">
                  <c:v>0.80640000000000001</c:v>
                </c:pt>
                <c:pt idx="63">
                  <c:v>0.86680000000000001</c:v>
                </c:pt>
                <c:pt idx="64">
                  <c:v>0.90669999999999995</c:v>
                </c:pt>
                <c:pt idx="65">
                  <c:v>0.90100000000000002</c:v>
                </c:pt>
                <c:pt idx="66">
                  <c:v>0.86450000000000005</c:v>
                </c:pt>
                <c:pt idx="67">
                  <c:v>0.56259999999999999</c:v>
                </c:pt>
                <c:pt idx="68">
                  <c:v>0.92249999999999999</c:v>
                </c:pt>
                <c:pt idx="69">
                  <c:v>0.69579999999999997</c:v>
                </c:pt>
                <c:pt idx="70">
                  <c:v>0.5383</c:v>
                </c:pt>
                <c:pt idx="71">
                  <c:v>0.69489999999999996</c:v>
                </c:pt>
                <c:pt idx="72">
                  <c:v>0.84130000000000005</c:v>
                </c:pt>
                <c:pt idx="73">
                  <c:v>0.86680000000000001</c:v>
                </c:pt>
                <c:pt idx="74">
                  <c:v>0.78539999999999999</c:v>
                </c:pt>
                <c:pt idx="75">
                  <c:v>0.68289999999999995</c:v>
                </c:pt>
                <c:pt idx="76">
                  <c:v>0.64649999999999996</c:v>
                </c:pt>
                <c:pt idx="77">
                  <c:v>0.53720000000000001</c:v>
                </c:pt>
                <c:pt idx="78">
                  <c:v>0.54049999999999998</c:v>
                </c:pt>
                <c:pt idx="79">
                  <c:v>0.624</c:v>
                </c:pt>
                <c:pt idx="80">
                  <c:v>0.67730000000000001</c:v>
                </c:pt>
                <c:pt idx="81">
                  <c:v>0.67269999999999996</c:v>
                </c:pt>
                <c:pt idx="82">
                  <c:v>0.70650000000000002</c:v>
                </c:pt>
                <c:pt idx="83">
                  <c:v>0.60750000000000004</c:v>
                </c:pt>
                <c:pt idx="84">
                  <c:v>0.55069999999999997</c:v>
                </c:pt>
                <c:pt idx="85">
                  <c:v>0.54830000000000001</c:v>
                </c:pt>
                <c:pt idx="86">
                  <c:v>0.60029999999999994</c:v>
                </c:pt>
                <c:pt idx="87">
                  <c:v>0.5827</c:v>
                </c:pt>
                <c:pt idx="88">
                  <c:v>0.53590000000000004</c:v>
                </c:pt>
                <c:pt idx="89">
                  <c:v>0.60840000000000005</c:v>
                </c:pt>
                <c:pt idx="90">
                  <c:v>0.52329999999999999</c:v>
                </c:pt>
                <c:pt idx="91">
                  <c:v>0.5393</c:v>
                </c:pt>
                <c:pt idx="92">
                  <c:v>0.52900000000000003</c:v>
                </c:pt>
                <c:pt idx="93">
                  <c:v>0.58530000000000004</c:v>
                </c:pt>
                <c:pt idx="94">
                  <c:v>0.62350000000000005</c:v>
                </c:pt>
                <c:pt idx="95">
                  <c:v>0.55259999999999998</c:v>
                </c:pt>
                <c:pt idx="96">
                  <c:v>0.44230000000000003</c:v>
                </c:pt>
                <c:pt idx="97">
                  <c:v>0.53049999999999997</c:v>
                </c:pt>
                <c:pt idx="98">
                  <c:v>0.57669999999999999</c:v>
                </c:pt>
                <c:pt idx="99">
                  <c:v>0.54669999999999996</c:v>
                </c:pt>
                <c:pt idx="100">
                  <c:v>0.54949999999999999</c:v>
                </c:pt>
                <c:pt idx="101">
                  <c:v>0.5282</c:v>
                </c:pt>
                <c:pt idx="102">
                  <c:v>0.49559999999999998</c:v>
                </c:pt>
                <c:pt idx="103">
                  <c:v>0.59819999999999995</c:v>
                </c:pt>
                <c:pt idx="104">
                  <c:v>0.48130000000000001</c:v>
                </c:pt>
                <c:pt idx="105">
                  <c:v>0.43719999999999998</c:v>
                </c:pt>
                <c:pt idx="106">
                  <c:v>0.47349999999999998</c:v>
                </c:pt>
                <c:pt idx="107">
                  <c:v>0.4163</c:v>
                </c:pt>
                <c:pt idx="108">
                  <c:v>0.45200000000000001</c:v>
                </c:pt>
                <c:pt idx="109">
                  <c:v>0.43440000000000001</c:v>
                </c:pt>
                <c:pt idx="110">
                  <c:v>0.43430000000000002</c:v>
                </c:pt>
                <c:pt idx="111">
                  <c:v>0.39479999999999998</c:v>
                </c:pt>
                <c:pt idx="112">
                  <c:v>0.38900000000000001</c:v>
                </c:pt>
                <c:pt idx="113">
                  <c:v>0.43819999999999998</c:v>
                </c:pt>
                <c:pt idx="114">
                  <c:v>0.45029999999999998</c:v>
                </c:pt>
                <c:pt idx="115">
                  <c:v>0.47060000000000002</c:v>
                </c:pt>
                <c:pt idx="116">
                  <c:v>0.45879999999999999</c:v>
                </c:pt>
                <c:pt idx="117">
                  <c:v>0.4647</c:v>
                </c:pt>
                <c:pt idx="118">
                  <c:v>0.48609999999999998</c:v>
                </c:pt>
                <c:pt idx="119">
                  <c:v>0.39400000000000002</c:v>
                </c:pt>
                <c:pt idx="120">
                  <c:v>0.43890000000000001</c:v>
                </c:pt>
              </c:numCache>
            </c:numRef>
          </c:yVal>
          <c:smooth val="0"/>
          <c:extLst>
            <c:ext xmlns:c16="http://schemas.microsoft.com/office/drawing/2014/chart" uri="{C3380CC4-5D6E-409C-BE32-E72D297353CC}">
              <c16:uniqueId val="{00000001-4D67-764C-9CEB-7C095D42017B}"/>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analysis!$HK$68:$HK$200</c:f>
              <c:numCache>
                <c:formatCode>0.0%</c:formatCode>
                <c:ptCount val="133"/>
                <c:pt idx="0">
                  <c:v>1</c:v>
                </c:pt>
                <c:pt idx="1">
                  <c:v>0.91620000000000001</c:v>
                </c:pt>
                <c:pt idx="2">
                  <c:v>1</c:v>
                </c:pt>
                <c:pt idx="3">
                  <c:v>1</c:v>
                </c:pt>
                <c:pt idx="4">
                  <c:v>0.5776</c:v>
                </c:pt>
                <c:pt idx="5">
                  <c:v>0.75080000000000002</c:v>
                </c:pt>
                <c:pt idx="6">
                  <c:v>0.91349999999999998</c:v>
                </c:pt>
                <c:pt idx="7">
                  <c:v>1</c:v>
                </c:pt>
                <c:pt idx="8">
                  <c:v>0.92259999999999998</c:v>
                </c:pt>
                <c:pt idx="9">
                  <c:v>0.96399999999999997</c:v>
                </c:pt>
                <c:pt idx="10">
                  <c:v>0.91439999999999999</c:v>
                </c:pt>
                <c:pt idx="11">
                  <c:v>0.93200000000000005</c:v>
                </c:pt>
                <c:pt idx="12">
                  <c:v>0.89829999999999999</c:v>
                </c:pt>
                <c:pt idx="13">
                  <c:v>1</c:v>
                </c:pt>
                <c:pt idx="14">
                  <c:v>0.86539999999999995</c:v>
                </c:pt>
                <c:pt idx="15">
                  <c:v>0.92949999999999999</c:v>
                </c:pt>
                <c:pt idx="16">
                  <c:v>0.76400000000000001</c:v>
                </c:pt>
                <c:pt idx="17">
                  <c:v>0.93420000000000003</c:v>
                </c:pt>
                <c:pt idx="18">
                  <c:v>0.95089999999999997</c:v>
                </c:pt>
                <c:pt idx="19">
                  <c:v>0.80989999999999995</c:v>
                </c:pt>
                <c:pt idx="20">
                  <c:v>0.96630000000000005</c:v>
                </c:pt>
                <c:pt idx="21">
                  <c:v>0.48449999999999999</c:v>
                </c:pt>
                <c:pt idx="22">
                  <c:v>0.70230000000000004</c:v>
                </c:pt>
                <c:pt idx="23">
                  <c:v>0.78049999999999997</c:v>
                </c:pt>
                <c:pt idx="24">
                  <c:v>0.95730000000000004</c:v>
                </c:pt>
                <c:pt idx="25">
                  <c:v>0.67279999999999995</c:v>
                </c:pt>
                <c:pt idx="26">
                  <c:v>0.89710000000000001</c:v>
                </c:pt>
                <c:pt idx="27">
                  <c:v>0.87160000000000004</c:v>
                </c:pt>
                <c:pt idx="28">
                  <c:v>0.91369999999999996</c:v>
                </c:pt>
                <c:pt idx="29">
                  <c:v>0.80689999999999995</c:v>
                </c:pt>
                <c:pt idx="30">
                  <c:v>0.77549999999999997</c:v>
                </c:pt>
                <c:pt idx="31">
                  <c:v>0.9284</c:v>
                </c:pt>
                <c:pt idx="32">
                  <c:v>0.91310000000000002</c:v>
                </c:pt>
                <c:pt idx="33">
                  <c:v>0.90169999999999995</c:v>
                </c:pt>
                <c:pt idx="34">
                  <c:v>0.9294</c:v>
                </c:pt>
                <c:pt idx="35">
                  <c:v>0.66120000000000001</c:v>
                </c:pt>
                <c:pt idx="36">
                  <c:v>0.69510000000000005</c:v>
                </c:pt>
                <c:pt idx="37">
                  <c:v>0.63060000000000005</c:v>
                </c:pt>
                <c:pt idx="38">
                  <c:v>0.83389999999999997</c:v>
                </c:pt>
                <c:pt idx="39">
                  <c:v>0.63380000000000003</c:v>
                </c:pt>
                <c:pt idx="40">
                  <c:v>0.72770000000000001</c:v>
                </c:pt>
                <c:pt idx="41">
                  <c:v>0.89280000000000004</c:v>
                </c:pt>
                <c:pt idx="42">
                  <c:v>0.64790000000000003</c:v>
                </c:pt>
                <c:pt idx="43">
                  <c:v>0.56110000000000004</c:v>
                </c:pt>
                <c:pt idx="44">
                  <c:v>0.56710000000000005</c:v>
                </c:pt>
                <c:pt idx="45">
                  <c:v>0.34139999999999998</c:v>
                </c:pt>
                <c:pt idx="46">
                  <c:v>0.74350000000000005</c:v>
                </c:pt>
                <c:pt idx="47">
                  <c:v>0.82569999999999999</c:v>
                </c:pt>
                <c:pt idx="48">
                  <c:v>0.47920000000000001</c:v>
                </c:pt>
                <c:pt idx="49">
                  <c:v>0.45329999999999998</c:v>
                </c:pt>
                <c:pt idx="50">
                  <c:v>0.69710000000000005</c:v>
                </c:pt>
                <c:pt idx="51">
                  <c:v>0.68799999999999994</c:v>
                </c:pt>
                <c:pt idx="52">
                  <c:v>0.34939999999999999</c:v>
                </c:pt>
                <c:pt idx="53">
                  <c:v>0.27679999999999999</c:v>
                </c:pt>
                <c:pt idx="54">
                  <c:v>0.64649999999999996</c:v>
                </c:pt>
                <c:pt idx="55">
                  <c:v>0.42020000000000002</c:v>
                </c:pt>
                <c:pt idx="56">
                  <c:v>0.32</c:v>
                </c:pt>
                <c:pt idx="57">
                  <c:v>0.37869999999999998</c:v>
                </c:pt>
                <c:pt idx="58">
                  <c:v>0.39040000000000002</c:v>
                </c:pt>
                <c:pt idx="59">
                  <c:v>0.39360000000000001</c:v>
                </c:pt>
                <c:pt idx="60">
                  <c:v>0.38319999999999999</c:v>
                </c:pt>
                <c:pt idx="61">
                  <c:v>0.39739999999999998</c:v>
                </c:pt>
                <c:pt idx="62">
                  <c:v>0.40129999999999999</c:v>
                </c:pt>
                <c:pt idx="63">
                  <c:v>0.5101</c:v>
                </c:pt>
                <c:pt idx="64">
                  <c:v>0.43030000000000002</c:v>
                </c:pt>
                <c:pt idx="65">
                  <c:v>0.48399999999999999</c:v>
                </c:pt>
                <c:pt idx="66">
                  <c:v>0.39200000000000002</c:v>
                </c:pt>
                <c:pt idx="67">
                  <c:v>9.0300000000000005E-2</c:v>
                </c:pt>
                <c:pt idx="68">
                  <c:v>0.41370000000000001</c:v>
                </c:pt>
                <c:pt idx="69">
                  <c:v>0.13669999999999999</c:v>
                </c:pt>
                <c:pt idx="70">
                  <c:v>0.21160000000000001</c:v>
                </c:pt>
                <c:pt idx="71">
                  <c:v>0.22450000000000001</c:v>
                </c:pt>
                <c:pt idx="72">
                  <c:v>0.4788</c:v>
                </c:pt>
                <c:pt idx="73">
                  <c:v>0.48959999999999998</c:v>
                </c:pt>
                <c:pt idx="74">
                  <c:v>0.21310000000000001</c:v>
                </c:pt>
                <c:pt idx="75">
                  <c:v>0.1169</c:v>
                </c:pt>
                <c:pt idx="76">
                  <c:v>0.11</c:v>
                </c:pt>
                <c:pt idx="77">
                  <c:v>1.7100000000000001E-2</c:v>
                </c:pt>
                <c:pt idx="78">
                  <c:v>4.2200000000000001E-2</c:v>
                </c:pt>
                <c:pt idx="79">
                  <c:v>9.4500000000000001E-2</c:v>
                </c:pt>
                <c:pt idx="80">
                  <c:v>0.2331</c:v>
                </c:pt>
                <c:pt idx="81">
                  <c:v>0.21840000000000001</c:v>
                </c:pt>
                <c:pt idx="82">
                  <c:v>0.219</c:v>
                </c:pt>
                <c:pt idx="83">
                  <c:v>9.2999999999999999E-2</c:v>
                </c:pt>
                <c:pt idx="84">
                  <c:v>7.1999999999999998E-3</c:v>
                </c:pt>
                <c:pt idx="85">
                  <c:v>1.54E-2</c:v>
                </c:pt>
                <c:pt idx="86">
                  <c:v>1.7600000000000001E-2</c:v>
                </c:pt>
                <c:pt idx="87">
                  <c:v>9.6299999999999997E-2</c:v>
                </c:pt>
                <c:pt idx="88">
                  <c:v>3.3799999999999997E-2</c:v>
                </c:pt>
                <c:pt idx="89">
                  <c:v>1.1599999999999999E-2</c:v>
                </c:pt>
                <c:pt idx="90">
                  <c:v>1.24E-2</c:v>
                </c:pt>
                <c:pt idx="91">
                  <c:v>9.9000000000000008E-3</c:v>
                </c:pt>
                <c:pt idx="92">
                  <c:v>3.9699999999999999E-2</c:v>
                </c:pt>
                <c:pt idx="93">
                  <c:v>6.9199999999999998E-2</c:v>
                </c:pt>
                <c:pt idx="94">
                  <c:v>7.2499999999999995E-2</c:v>
                </c:pt>
                <c:pt idx="95">
                  <c:v>3.6700000000000003E-2</c:v>
                </c:pt>
                <c:pt idx="96">
                  <c:v>1.9E-2</c:v>
                </c:pt>
                <c:pt idx="97">
                  <c:v>3.1300000000000001E-2</c:v>
                </c:pt>
                <c:pt idx="98">
                  <c:v>7.0099999999999996E-2</c:v>
                </c:pt>
                <c:pt idx="99">
                  <c:v>6.7599999999999993E-2</c:v>
                </c:pt>
                <c:pt idx="100">
                  <c:v>3.32E-2</c:v>
                </c:pt>
                <c:pt idx="101">
                  <c:v>1.67E-2</c:v>
                </c:pt>
                <c:pt idx="102">
                  <c:v>2.1000000000000001E-2</c:v>
                </c:pt>
                <c:pt idx="103">
                  <c:v>1.78E-2</c:v>
                </c:pt>
                <c:pt idx="104">
                  <c:v>8.2000000000000007E-3</c:v>
                </c:pt>
                <c:pt idx="105">
                  <c:v>1.32E-2</c:v>
                </c:pt>
                <c:pt idx="106">
                  <c:v>1.43E-2</c:v>
                </c:pt>
                <c:pt idx="107">
                  <c:v>3.3E-3</c:v>
                </c:pt>
                <c:pt idx="108">
                  <c:v>6.4000000000000003E-3</c:v>
                </c:pt>
                <c:pt idx="109">
                  <c:v>8.9999999999999998E-4</c:v>
                </c:pt>
                <c:pt idx="110">
                  <c:v>4.0000000000000001E-3</c:v>
                </c:pt>
                <c:pt idx="111">
                  <c:v>3.5999999999999999E-3</c:v>
                </c:pt>
                <c:pt idx="112">
                  <c:v>2.3E-3</c:v>
                </c:pt>
                <c:pt idx="113">
                  <c:v>4.5999999999999999E-3</c:v>
                </c:pt>
                <c:pt idx="114">
                  <c:v>1.2800000000000001E-2</c:v>
                </c:pt>
                <c:pt idx="115">
                  <c:v>1.38E-2</c:v>
                </c:pt>
                <c:pt idx="116">
                  <c:v>1.29E-2</c:v>
                </c:pt>
                <c:pt idx="117">
                  <c:v>8.0999999999999996E-3</c:v>
                </c:pt>
                <c:pt idx="118">
                  <c:v>1.7399999999999999E-2</c:v>
                </c:pt>
                <c:pt idx="119">
                  <c:v>1.0999999999999999E-2</c:v>
                </c:pt>
                <c:pt idx="120">
                  <c:v>3.7499999999999999E-2</c:v>
                </c:pt>
              </c:numCache>
            </c:numRef>
          </c:yVal>
          <c:smooth val="0"/>
          <c:extLst>
            <c:ext xmlns:c16="http://schemas.microsoft.com/office/drawing/2014/chart" uri="{C3380CC4-5D6E-409C-BE32-E72D297353CC}">
              <c16:uniqueId val="{00000002-4D67-764C-9CEB-7C095D42017B}"/>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analysis!$HL$68:$HL$200</c:f>
              <c:numCache>
                <c:formatCode>0.0%</c:formatCode>
                <c:ptCount val="133"/>
                <c:pt idx="0">
                  <c:v>1</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yVal>
          <c:smooth val="0"/>
          <c:extLst>
            <c:ext xmlns:c16="http://schemas.microsoft.com/office/drawing/2014/chart" uri="{C3380CC4-5D6E-409C-BE32-E72D297353CC}">
              <c16:uniqueId val="{00000003-4D67-764C-9CEB-7C095D42017B}"/>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analysis!$HM$68:$HM$200</c:f>
              <c:numCache>
                <c:formatCode>0.0%</c:formatCode>
                <c:ptCount val="133"/>
                <c:pt idx="0">
                  <c:v>1</c:v>
                </c:pt>
                <c:pt idx="1">
                  <c:v>1</c:v>
                </c:pt>
                <c:pt idx="2">
                  <c:v>1</c:v>
                </c:pt>
                <c:pt idx="3">
                  <c:v>1</c:v>
                </c:pt>
                <c:pt idx="4">
                  <c:v>1</c:v>
                </c:pt>
                <c:pt idx="5">
                  <c:v>1</c:v>
                </c:pt>
                <c:pt idx="6">
                  <c:v>0</c:v>
                </c:pt>
                <c:pt idx="7">
                  <c:v>0</c:v>
                </c:pt>
                <c:pt idx="8">
                  <c:v>1</c:v>
                </c:pt>
                <c:pt idx="9">
                  <c:v>1</c:v>
                </c:pt>
                <c:pt idx="10">
                  <c:v>1</c:v>
                </c:pt>
                <c:pt idx="11">
                  <c:v>1</c:v>
                </c:pt>
                <c:pt idx="12">
                  <c:v>0</c:v>
                </c:pt>
                <c:pt idx="13">
                  <c:v>0</c:v>
                </c:pt>
                <c:pt idx="14">
                  <c:v>0</c:v>
                </c:pt>
                <c:pt idx="15">
                  <c:v>0</c:v>
                </c:pt>
                <c:pt idx="16">
                  <c:v>0</c:v>
                </c:pt>
                <c:pt idx="17">
                  <c:v>1</c:v>
                </c:pt>
                <c:pt idx="18">
                  <c:v>0</c:v>
                </c:pt>
                <c:pt idx="19">
                  <c:v>0</c:v>
                </c:pt>
                <c:pt idx="20">
                  <c:v>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yVal>
          <c:smooth val="0"/>
          <c:extLst>
            <c:ext xmlns:c16="http://schemas.microsoft.com/office/drawing/2014/chart" uri="{C3380CC4-5D6E-409C-BE32-E72D297353CC}">
              <c16:uniqueId val="{00000004-4D67-764C-9CEB-7C095D42017B}"/>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analysis!$HN$68:$HN$200</c:f>
              <c:numCache>
                <c:formatCode>0.0%</c:formatCode>
                <c:ptCount val="133"/>
                <c:pt idx="0">
                  <c:v>1</c:v>
                </c:pt>
                <c:pt idx="1">
                  <c:v>1</c:v>
                </c:pt>
                <c:pt idx="2">
                  <c:v>1</c:v>
                </c:pt>
                <c:pt idx="3">
                  <c:v>1</c:v>
                </c:pt>
                <c:pt idx="4">
                  <c:v>0.66666666666666663</c:v>
                </c:pt>
                <c:pt idx="5">
                  <c:v>0.66666666666666663</c:v>
                </c:pt>
                <c:pt idx="6">
                  <c:v>0.5</c:v>
                </c:pt>
                <c:pt idx="7">
                  <c:v>0.5</c:v>
                </c:pt>
                <c:pt idx="8">
                  <c:v>0.66666666666666663</c:v>
                </c:pt>
                <c:pt idx="9">
                  <c:v>0.66666666666666663</c:v>
                </c:pt>
                <c:pt idx="10">
                  <c:v>0.66666666666666663</c:v>
                </c:pt>
                <c:pt idx="11">
                  <c:v>0.66666666666666663</c:v>
                </c:pt>
                <c:pt idx="12">
                  <c:v>0.2857142857142857</c:v>
                </c:pt>
                <c:pt idx="13">
                  <c:v>0.25</c:v>
                </c:pt>
                <c:pt idx="14">
                  <c:v>0.2857142857142857</c:v>
                </c:pt>
                <c:pt idx="15">
                  <c:v>0.2857142857142857</c:v>
                </c:pt>
                <c:pt idx="16">
                  <c:v>0</c:v>
                </c:pt>
                <c:pt idx="17">
                  <c:v>0.66666666666666663</c:v>
                </c:pt>
                <c:pt idx="18">
                  <c:v>0.2857142857142857</c:v>
                </c:pt>
                <c:pt idx="19">
                  <c:v>0.2857142857142857</c:v>
                </c:pt>
                <c:pt idx="20">
                  <c:v>0.66666666666666663</c:v>
                </c:pt>
                <c:pt idx="21">
                  <c:v>0</c:v>
                </c:pt>
                <c:pt idx="22">
                  <c:v>0</c:v>
                </c:pt>
                <c:pt idx="23">
                  <c:v>0</c:v>
                </c:pt>
                <c:pt idx="24">
                  <c:v>0</c:v>
                </c:pt>
                <c:pt idx="25">
                  <c:v>0.4</c:v>
                </c:pt>
                <c:pt idx="26">
                  <c:v>0</c:v>
                </c:pt>
                <c:pt idx="27">
                  <c:v>0.4</c:v>
                </c:pt>
                <c:pt idx="28">
                  <c:v>0</c:v>
                </c:pt>
                <c:pt idx="29">
                  <c:v>0</c:v>
                </c:pt>
                <c:pt idx="30">
                  <c:v>0</c:v>
                </c:pt>
                <c:pt idx="31">
                  <c:v>0</c:v>
                </c:pt>
                <c:pt idx="32">
                  <c:v>0</c:v>
                </c:pt>
                <c:pt idx="33">
                  <c:v>0</c:v>
                </c:pt>
                <c:pt idx="34">
                  <c:v>0</c:v>
                </c:pt>
                <c:pt idx="35">
                  <c:v>0.2857142857142857</c:v>
                </c:pt>
                <c:pt idx="36">
                  <c:v>0.2857142857142857</c:v>
                </c:pt>
                <c:pt idx="37">
                  <c:v>0.2857142857142857</c:v>
                </c:pt>
                <c:pt idx="38">
                  <c:v>0</c:v>
                </c:pt>
                <c:pt idx="39">
                  <c:v>0.2857142857142857</c:v>
                </c:pt>
                <c:pt idx="40">
                  <c:v>0.2857142857142857</c:v>
                </c:pt>
                <c:pt idx="41">
                  <c:v>0</c:v>
                </c:pt>
                <c:pt idx="42">
                  <c:v>0</c:v>
                </c:pt>
                <c:pt idx="43">
                  <c:v>0.2857142857142857</c:v>
                </c:pt>
                <c:pt idx="44">
                  <c:v>0</c:v>
                </c:pt>
                <c:pt idx="45">
                  <c:v>0</c:v>
                </c:pt>
                <c:pt idx="46">
                  <c:v>0.2857142857142857</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0.1111111111111111</c:v>
                </c:pt>
                <c:pt idx="69">
                  <c:v>0</c:v>
                </c:pt>
                <c:pt idx="70">
                  <c:v>0</c:v>
                </c:pt>
                <c:pt idx="71">
                  <c:v>0</c:v>
                </c:pt>
                <c:pt idx="72">
                  <c:v>0.22222222222222221</c:v>
                </c:pt>
                <c:pt idx="73">
                  <c:v>0.22222222222222221</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yVal>
          <c:smooth val="0"/>
          <c:extLst>
            <c:ext xmlns:c16="http://schemas.microsoft.com/office/drawing/2014/chart" uri="{C3380CC4-5D6E-409C-BE32-E72D297353CC}">
              <c16:uniqueId val="{00000005-4D67-764C-9CEB-7C095D42017B}"/>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analysis!$GG$68:$GG$200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yVal>
          <c:smooth val="0"/>
          <c:extLst>
            <c:ext xmlns:c16="http://schemas.microsoft.com/office/drawing/2014/chart" uri="{C3380CC4-5D6E-409C-BE32-E72D297353CC}">
              <c16:uniqueId val="{00000000-43C9-4F47-BDD0-B06BB554C2BC}"/>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analysis!$GH$68:$GH$200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yVal>
          <c:smooth val="0"/>
          <c:extLst>
            <c:ext xmlns:c16="http://schemas.microsoft.com/office/drawing/2014/chart" uri="{C3380CC4-5D6E-409C-BE32-E72D297353CC}">
              <c16:uniqueId val="{00000001-43C9-4F47-BDD0-B06BB554C2BC}"/>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analysis!$GI$68:$GI$200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yVal>
          <c:smooth val="0"/>
          <c:extLst>
            <c:ext xmlns:c16="http://schemas.microsoft.com/office/drawing/2014/chart" uri="{C3380CC4-5D6E-409C-BE32-E72D297353CC}">
              <c16:uniqueId val="{00000002-43C9-4F47-BDD0-B06BB554C2BC}"/>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analysis!$GJ$68:$GJ$200</c:f>
              <c:numCache>
                <c:formatCode>0.00</c:formatCode>
                <c:ptCount val="133"/>
                <c:pt idx="0">
                  <c:v>0</c:v>
                </c:pt>
                <c:pt idx="1">
                  <c:v>0</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3-43C9-4F47-BDD0-B06BB554C2BC}"/>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analysis!$GK$68:$GK$200</c:f>
              <c:numCache>
                <c:formatCode>0.00</c:formatCode>
                <c:ptCount val="133"/>
                <c:pt idx="0">
                  <c:v>0</c:v>
                </c:pt>
                <c:pt idx="1">
                  <c:v>0</c:v>
                </c:pt>
                <c:pt idx="2">
                  <c:v>0</c:v>
                </c:pt>
                <c:pt idx="3">
                  <c:v>0</c:v>
                </c:pt>
                <c:pt idx="4">
                  <c:v>0</c:v>
                </c:pt>
                <c:pt idx="5">
                  <c:v>0</c:v>
                </c:pt>
                <c:pt idx="6">
                  <c:v>#N/A</c:v>
                </c:pt>
                <c:pt idx="7">
                  <c:v>#N/A</c:v>
                </c:pt>
                <c:pt idx="8">
                  <c:v>0</c:v>
                </c:pt>
                <c:pt idx="9">
                  <c:v>0</c:v>
                </c:pt>
                <c:pt idx="10">
                  <c:v>0</c:v>
                </c:pt>
                <c:pt idx="11">
                  <c:v>0</c:v>
                </c:pt>
                <c:pt idx="12">
                  <c:v>#N/A</c:v>
                </c:pt>
                <c:pt idx="13">
                  <c:v>#N/A</c:v>
                </c:pt>
                <c:pt idx="14">
                  <c:v>#N/A</c:v>
                </c:pt>
                <c:pt idx="15">
                  <c:v>#N/A</c:v>
                </c:pt>
                <c:pt idx="16">
                  <c:v>#N/A</c:v>
                </c:pt>
                <c:pt idx="17">
                  <c:v>0</c:v>
                </c:pt>
                <c:pt idx="18">
                  <c:v>#N/A</c:v>
                </c:pt>
                <c:pt idx="19">
                  <c:v>#N/A</c:v>
                </c:pt>
                <c:pt idx="20">
                  <c:v>0</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4-43C9-4F47-BDD0-B06BB554C2BC}"/>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analysis!$FZ$68:$FZ$200</c:f>
              <c:numCache>
                <c:formatCode>General</c:formatCode>
                <c:ptCount val="133"/>
                <c:pt idx="0">
                  <c:v>5</c:v>
                </c:pt>
                <c:pt idx="1">
                  <c:v>6</c:v>
                </c:pt>
                <c:pt idx="2">
                  <c:v>7</c:v>
                </c:pt>
                <c:pt idx="3">
                  <c:v>8</c:v>
                </c:pt>
                <c:pt idx="4">
                  <c:v>9</c:v>
                </c:pt>
                <c:pt idx="5">
                  <c:v>10</c:v>
                </c:pt>
                <c:pt idx="6">
                  <c:v>11</c:v>
                </c:pt>
                <c:pt idx="7">
                  <c:v>12</c:v>
                </c:pt>
                <c:pt idx="8">
                  <c:v>13</c:v>
                </c:pt>
                <c:pt idx="9">
                  <c:v>14</c:v>
                </c:pt>
                <c:pt idx="10">
                  <c:v>15</c:v>
                </c:pt>
                <c:pt idx="11">
                  <c:v>16</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pt idx="38">
                  <c:v>46</c:v>
                </c:pt>
                <c:pt idx="39">
                  <c:v>47</c:v>
                </c:pt>
                <c:pt idx="40">
                  <c:v>48</c:v>
                </c:pt>
                <c:pt idx="41">
                  <c:v>49</c:v>
                </c:pt>
                <c:pt idx="42">
                  <c:v>50</c:v>
                </c:pt>
                <c:pt idx="43">
                  <c:v>51</c:v>
                </c:pt>
                <c:pt idx="44">
                  <c:v>52</c:v>
                </c:pt>
                <c:pt idx="45">
                  <c:v>53</c:v>
                </c:pt>
                <c:pt idx="46">
                  <c:v>54</c:v>
                </c:pt>
                <c:pt idx="47">
                  <c:v>55</c:v>
                </c:pt>
                <c:pt idx="48">
                  <c:v>56</c:v>
                </c:pt>
                <c:pt idx="49">
                  <c:v>57</c:v>
                </c:pt>
                <c:pt idx="50">
                  <c:v>58</c:v>
                </c:pt>
                <c:pt idx="51">
                  <c:v>59</c:v>
                </c:pt>
                <c:pt idx="52">
                  <c:v>60</c:v>
                </c:pt>
                <c:pt idx="53">
                  <c:v>61</c:v>
                </c:pt>
                <c:pt idx="54">
                  <c:v>62</c:v>
                </c:pt>
                <c:pt idx="55">
                  <c:v>63</c:v>
                </c:pt>
                <c:pt idx="56">
                  <c:v>64</c:v>
                </c:pt>
                <c:pt idx="57">
                  <c:v>65</c:v>
                </c:pt>
                <c:pt idx="58">
                  <c:v>66</c:v>
                </c:pt>
                <c:pt idx="59">
                  <c:v>67</c:v>
                </c:pt>
                <c:pt idx="60">
                  <c:v>68</c:v>
                </c:pt>
                <c:pt idx="61">
                  <c:v>69</c:v>
                </c:pt>
                <c:pt idx="62">
                  <c:v>70</c:v>
                </c:pt>
                <c:pt idx="63">
                  <c:v>71</c:v>
                </c:pt>
                <c:pt idx="64">
                  <c:v>72</c:v>
                </c:pt>
                <c:pt idx="65">
                  <c:v>73</c:v>
                </c:pt>
                <c:pt idx="66">
                  <c:v>74</c:v>
                </c:pt>
                <c:pt idx="67">
                  <c:v>75</c:v>
                </c:pt>
                <c:pt idx="68">
                  <c:v>76</c:v>
                </c:pt>
                <c:pt idx="69">
                  <c:v>77</c:v>
                </c:pt>
                <c:pt idx="70">
                  <c:v>78</c:v>
                </c:pt>
                <c:pt idx="71">
                  <c:v>79</c:v>
                </c:pt>
                <c:pt idx="72">
                  <c:v>80</c:v>
                </c:pt>
                <c:pt idx="73">
                  <c:v>81</c:v>
                </c:pt>
                <c:pt idx="74">
                  <c:v>82</c:v>
                </c:pt>
                <c:pt idx="75">
                  <c:v>83</c:v>
                </c:pt>
                <c:pt idx="76">
                  <c:v>84</c:v>
                </c:pt>
                <c:pt idx="77">
                  <c:v>85</c:v>
                </c:pt>
                <c:pt idx="78">
                  <c:v>86</c:v>
                </c:pt>
                <c:pt idx="79">
                  <c:v>87</c:v>
                </c:pt>
                <c:pt idx="80">
                  <c:v>88</c:v>
                </c:pt>
                <c:pt idx="81">
                  <c:v>89</c:v>
                </c:pt>
                <c:pt idx="82">
                  <c:v>90</c:v>
                </c:pt>
                <c:pt idx="83">
                  <c:v>91</c:v>
                </c:pt>
                <c:pt idx="84">
                  <c:v>92</c:v>
                </c:pt>
                <c:pt idx="85">
                  <c:v>93</c:v>
                </c:pt>
                <c:pt idx="86">
                  <c:v>94</c:v>
                </c:pt>
                <c:pt idx="87">
                  <c:v>95</c:v>
                </c:pt>
                <c:pt idx="88">
                  <c:v>96</c:v>
                </c:pt>
                <c:pt idx="89">
                  <c:v>97</c:v>
                </c:pt>
                <c:pt idx="90">
                  <c:v>98</c:v>
                </c:pt>
                <c:pt idx="91">
                  <c:v>99</c:v>
                </c:pt>
                <c:pt idx="92">
                  <c:v>100</c:v>
                </c:pt>
                <c:pt idx="93">
                  <c:v>101</c:v>
                </c:pt>
                <c:pt idx="94">
                  <c:v>102</c:v>
                </c:pt>
                <c:pt idx="95">
                  <c:v>103</c:v>
                </c:pt>
                <c:pt idx="96">
                  <c:v>104</c:v>
                </c:pt>
                <c:pt idx="97">
                  <c:v>105</c:v>
                </c:pt>
                <c:pt idx="98">
                  <c:v>106</c:v>
                </c:pt>
                <c:pt idx="99">
                  <c:v>107</c:v>
                </c:pt>
                <c:pt idx="100">
                  <c:v>108</c:v>
                </c:pt>
                <c:pt idx="101">
                  <c:v>109</c:v>
                </c:pt>
                <c:pt idx="102">
                  <c:v>110</c:v>
                </c:pt>
                <c:pt idx="103">
                  <c:v>111</c:v>
                </c:pt>
                <c:pt idx="104">
                  <c:v>112</c:v>
                </c:pt>
                <c:pt idx="105">
                  <c:v>113</c:v>
                </c:pt>
                <c:pt idx="106">
                  <c:v>114</c:v>
                </c:pt>
                <c:pt idx="107">
                  <c:v>115</c:v>
                </c:pt>
                <c:pt idx="108">
                  <c:v>116</c:v>
                </c:pt>
                <c:pt idx="109">
                  <c:v>117</c:v>
                </c:pt>
                <c:pt idx="110">
                  <c:v>118</c:v>
                </c:pt>
                <c:pt idx="111">
                  <c:v>119</c:v>
                </c:pt>
                <c:pt idx="112">
                  <c:v>120</c:v>
                </c:pt>
                <c:pt idx="113">
                  <c:v>121</c:v>
                </c:pt>
                <c:pt idx="114">
                  <c:v>122</c:v>
                </c:pt>
                <c:pt idx="115">
                  <c:v>123</c:v>
                </c:pt>
                <c:pt idx="116">
                  <c:v>124</c:v>
                </c:pt>
                <c:pt idx="117">
                  <c:v>125</c:v>
                </c:pt>
                <c:pt idx="118">
                  <c:v>126</c:v>
                </c:pt>
                <c:pt idx="119">
                  <c:v>127</c:v>
                </c:pt>
                <c:pt idx="120">
                  <c:v>128</c:v>
                </c:pt>
              </c:numCache>
            </c:numRef>
          </c:xVal>
          <c:yVal>
            <c:numRef>
              <c:f>analysis!$GL$68:$GL$200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#N/A</c:v>
                </c:pt>
                <c:pt idx="17">
                  <c:v>0</c:v>
                </c:pt>
                <c:pt idx="18">
                  <c:v>0</c:v>
                </c:pt>
                <c:pt idx="19">
                  <c:v>0</c:v>
                </c:pt>
                <c:pt idx="20">
                  <c:v>0</c:v>
                </c:pt>
                <c:pt idx="21">
                  <c:v>#N/A</c:v>
                </c:pt>
                <c:pt idx="22">
                  <c:v>#N/A</c:v>
                </c:pt>
                <c:pt idx="23">
                  <c:v>#N/A</c:v>
                </c:pt>
                <c:pt idx="24">
                  <c:v>#N/A</c:v>
                </c:pt>
                <c:pt idx="25">
                  <c:v>0</c:v>
                </c:pt>
                <c:pt idx="26">
                  <c:v>#N/A</c:v>
                </c:pt>
                <c:pt idx="27">
                  <c:v>0</c:v>
                </c:pt>
                <c:pt idx="28">
                  <c:v>#N/A</c:v>
                </c:pt>
                <c:pt idx="29">
                  <c:v>#N/A</c:v>
                </c:pt>
                <c:pt idx="30">
                  <c:v>#N/A</c:v>
                </c:pt>
                <c:pt idx="31">
                  <c:v>#N/A</c:v>
                </c:pt>
                <c:pt idx="32">
                  <c:v>#N/A</c:v>
                </c:pt>
                <c:pt idx="33">
                  <c:v>#N/A</c:v>
                </c:pt>
                <c:pt idx="34">
                  <c:v>#N/A</c:v>
                </c:pt>
                <c:pt idx="35">
                  <c:v>0</c:v>
                </c:pt>
                <c:pt idx="36">
                  <c:v>0</c:v>
                </c:pt>
                <c:pt idx="37">
                  <c:v>0</c:v>
                </c:pt>
                <c:pt idx="38">
                  <c:v>#N/A</c:v>
                </c:pt>
                <c:pt idx="39">
                  <c:v>0</c:v>
                </c:pt>
                <c:pt idx="40">
                  <c:v>0</c:v>
                </c:pt>
                <c:pt idx="41">
                  <c:v>#N/A</c:v>
                </c:pt>
                <c:pt idx="42">
                  <c:v>#N/A</c:v>
                </c:pt>
                <c:pt idx="43">
                  <c:v>0</c:v>
                </c:pt>
                <c:pt idx="44">
                  <c:v>#N/A</c:v>
                </c:pt>
                <c:pt idx="45">
                  <c:v>#N/A</c:v>
                </c:pt>
                <c:pt idx="46">
                  <c:v>0</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0</c:v>
                </c:pt>
                <c:pt idx="69">
                  <c:v>#N/A</c:v>
                </c:pt>
                <c:pt idx="70">
                  <c:v>#N/A</c:v>
                </c:pt>
                <c:pt idx="71">
                  <c:v>#N/A</c:v>
                </c:pt>
                <c:pt idx="72">
                  <c:v>0</c:v>
                </c:pt>
                <c:pt idx="73">
                  <c:v>0</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5-43C9-4F47-BDD0-B06BB554C2BC}"/>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3576388888888889"/>
          <c:y val="3.2550853018372711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DE3CCFC1-10A1-CF4D-88FE-F9B72DA3B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9D3D1901-60C8-C540-814E-4AC6FADDB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411F1EC1-902B-454D-AFB3-4F31C5A29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B53F541C-29C3-9B44-A974-AACDA4AC0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F4CAB-01A9-9049-8090-788A87C1C152}">
  <dimension ref="A1:HN190"/>
  <sheetViews>
    <sheetView tabSelected="1" topLeftCell="A5" zoomScaleNormal="100" workbookViewId="0">
      <selection activeCell="C10" sqref="C10"/>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01 codeTables_GF2.xlsx</v>
      </c>
      <c r="B1" s="2"/>
      <c r="U1" s="3"/>
      <c r="V1" s="3"/>
    </row>
    <row r="2" spans="1:26" x14ac:dyDescent="0.2">
      <c r="Y2" s="4"/>
      <c r="Z2" s="5"/>
    </row>
    <row r="3" spans="1:26" x14ac:dyDescent="0.2">
      <c r="A3" s="3" t="s">
        <v>0</v>
      </c>
      <c r="B3" s="18">
        <f ca="1">COUNT(AB:AB)</f>
        <v>121</v>
      </c>
      <c r="C3" s="3" t="s">
        <v>1</v>
      </c>
      <c r="D3" s="18">
        <f ca="1">MAX(B68:B300)</f>
        <v>128</v>
      </c>
      <c r="E3" s="3" t="s">
        <v>2</v>
      </c>
      <c r="F3" s="18">
        <f ca="1">MIN(B68:B300)</f>
        <v>5</v>
      </c>
      <c r="G3" s="6" t="s">
        <v>1384</v>
      </c>
      <c r="H3">
        <f ca="1">SUM(C68:C300)</f>
        <v>2025</v>
      </c>
      <c r="M3" s="6" t="s">
        <v>3</v>
      </c>
      <c r="N3">
        <f>8*60*60</f>
        <v>28800</v>
      </c>
      <c r="Y3" s="4"/>
      <c r="Z3" s="5"/>
    </row>
    <row r="4" spans="1:26" x14ac:dyDescent="0.2">
      <c r="M4" t="s">
        <v>4</v>
      </c>
      <c r="N4">
        <v>100</v>
      </c>
      <c r="O4" t="s">
        <v>5</v>
      </c>
      <c r="P4">
        <f ca="1">COUNTIFS(B68:B195,"&lt;="&amp;$N$4)</f>
        <v>93</v>
      </c>
      <c r="Y4" s="4"/>
      <c r="Z4" s="5"/>
    </row>
    <row r="5" spans="1:26" x14ac:dyDescent="0.2">
      <c r="A5" s="11" t="s">
        <v>6</v>
      </c>
      <c r="M5" s="11" t="s">
        <v>7</v>
      </c>
      <c r="Y5" s="4"/>
      <c r="Z5" s="5"/>
    </row>
    <row r="6" spans="1:26" x14ac:dyDescent="0.2">
      <c r="B6" s="6" t="s">
        <v>8</v>
      </c>
      <c r="C6" s="6" t="s">
        <v>9</v>
      </c>
      <c r="D6" s="6" t="s">
        <v>10</v>
      </c>
      <c r="E6" s="6" t="s">
        <v>11</v>
      </c>
      <c r="F6" s="6" t="s">
        <v>12</v>
      </c>
      <c r="G6" s="6" t="s">
        <v>13</v>
      </c>
      <c r="H6" s="6" t="s">
        <v>14</v>
      </c>
      <c r="I6" s="6"/>
      <c r="N6" s="6" t="s">
        <v>15</v>
      </c>
      <c r="O6" s="6" t="s">
        <v>16</v>
      </c>
      <c r="P6" s="6" t="s">
        <v>17</v>
      </c>
      <c r="Q6" s="6" t="s">
        <v>18</v>
      </c>
      <c r="R6" s="6" t="s">
        <v>19</v>
      </c>
      <c r="S6" s="6"/>
      <c r="T6" s="6"/>
      <c r="U6" s="6"/>
      <c r="Y6" s="4"/>
      <c r="Z6" s="5"/>
    </row>
    <row r="7" spans="1:26" x14ac:dyDescent="0.2">
      <c r="A7" s="6" t="s">
        <v>20</v>
      </c>
      <c r="B7" s="12">
        <f ca="1">SUM(BI:BI)</f>
        <v>121</v>
      </c>
      <c r="C7" s="12">
        <f t="shared" ref="C7:H7" ca="1" si="0">SUM(BJ:BJ)</f>
        <v>121</v>
      </c>
      <c r="D7" s="12">
        <f t="shared" ca="1" si="0"/>
        <v>121</v>
      </c>
      <c r="E7" s="12">
        <f t="shared" ca="1" si="0"/>
        <v>121</v>
      </c>
      <c r="F7" s="12">
        <f t="shared" ca="1" si="0"/>
        <v>2</v>
      </c>
      <c r="G7" s="12">
        <f t="shared" ca="1" si="0"/>
        <v>12</v>
      </c>
      <c r="H7" s="12">
        <f t="shared" ca="1" si="0"/>
        <v>32</v>
      </c>
      <c r="I7" s="12"/>
      <c r="J7" s="14" t="s">
        <v>21</v>
      </c>
      <c r="K7" s="13"/>
      <c r="M7" s="6" t="s">
        <v>20</v>
      </c>
      <c r="N7">
        <f ca="1">SUMIFS(BD:BD,$B:$B,"&lt;="&amp;$N$4)</f>
        <v>93</v>
      </c>
      <c r="O7">
        <f t="shared" ref="O7:R7" ca="1" si="1">SUMIFS(BE:BE,$B:$B,"&lt;="&amp;$N$4)</f>
        <v>93</v>
      </c>
      <c r="P7">
        <f t="shared" ca="1" si="1"/>
        <v>93</v>
      </c>
      <c r="Q7">
        <f t="shared" ca="1" si="1"/>
        <v>51</v>
      </c>
      <c r="R7">
        <f t="shared" ca="1" si="1"/>
        <v>93</v>
      </c>
      <c r="S7" s="14" t="s">
        <v>21</v>
      </c>
      <c r="Y7" s="4"/>
      <c r="Z7" s="5"/>
    </row>
    <row r="8" spans="1:26" x14ac:dyDescent="0.2">
      <c r="A8" s="6" t="s">
        <v>22</v>
      </c>
      <c r="B8" s="19">
        <f ca="1">$B$3-B7</f>
        <v>0</v>
      </c>
      <c r="C8" s="19">
        <f t="shared" ref="C8:H8" ca="1" si="2">$B$3-C7</f>
        <v>0</v>
      </c>
      <c r="D8" s="19">
        <f t="shared" ca="1" si="2"/>
        <v>0</v>
      </c>
      <c r="E8" s="19">
        <f t="shared" ca="1" si="2"/>
        <v>0</v>
      </c>
      <c r="F8" s="19">
        <f t="shared" ca="1" si="2"/>
        <v>119</v>
      </c>
      <c r="G8" s="19">
        <f t="shared" ca="1" si="2"/>
        <v>109</v>
      </c>
      <c r="H8" s="19">
        <f t="shared" ca="1" si="2"/>
        <v>89</v>
      </c>
      <c r="I8" s="19"/>
      <c r="J8" s="14" t="s">
        <v>21</v>
      </c>
      <c r="M8" s="6" t="s">
        <v>23</v>
      </c>
      <c r="N8">
        <f ca="1">SUMIFS(AM:AM,$B:$B,"&lt;="&amp;$N$4)</f>
        <v>75</v>
      </c>
      <c r="O8">
        <f t="shared" ref="O8:R8" ca="1" si="3">SUMIFS(AN:AN,$B:$B,"&lt;="&amp;$N$4)</f>
        <v>67</v>
      </c>
      <c r="P8">
        <f t="shared" ca="1" si="3"/>
        <v>66</v>
      </c>
      <c r="Q8">
        <f t="shared" ca="1" si="3"/>
        <v>51</v>
      </c>
      <c r="R8">
        <f t="shared" ca="1" si="3"/>
        <v>93</v>
      </c>
      <c r="S8" s="14" t="s">
        <v>21</v>
      </c>
      <c r="Y8" s="4"/>
      <c r="Z8" s="5"/>
    </row>
    <row r="9" spans="1:26" x14ac:dyDescent="0.2">
      <c r="A9" s="6" t="s">
        <v>24</v>
      </c>
      <c r="B9" s="7">
        <f ca="1">SUM(CQ:CQ)</f>
        <v>121</v>
      </c>
      <c r="C9" s="7">
        <f t="shared" ref="C9:H9" ca="1" si="4">SUM(CR:CR)</f>
        <v>121</v>
      </c>
      <c r="D9" s="7">
        <f t="shared" ca="1" si="4"/>
        <v>121</v>
      </c>
      <c r="E9" s="7">
        <f t="shared" ca="1" si="4"/>
        <v>121</v>
      </c>
      <c r="F9" s="7">
        <f t="shared" ca="1" si="4"/>
        <v>2</v>
      </c>
      <c r="G9" s="7">
        <f t="shared" ca="1" si="4"/>
        <v>12</v>
      </c>
      <c r="H9" s="7">
        <f t="shared" ca="1" si="4"/>
        <v>32</v>
      </c>
      <c r="I9" s="7"/>
      <c r="J9" s="14" t="s">
        <v>25</v>
      </c>
      <c r="M9" s="6" t="s">
        <v>26</v>
      </c>
      <c r="N9">
        <f ca="1">N7-N8</f>
        <v>18</v>
      </c>
      <c r="O9">
        <f t="shared" ref="O9:R9" ca="1" si="5">O7-O8</f>
        <v>26</v>
      </c>
      <c r="P9">
        <f t="shared" ca="1" si="5"/>
        <v>27</v>
      </c>
      <c r="Q9">
        <f t="shared" ca="1" si="5"/>
        <v>0</v>
      </c>
      <c r="R9">
        <f t="shared" ca="1" si="5"/>
        <v>0</v>
      </c>
      <c r="S9" s="14" t="s">
        <v>21</v>
      </c>
      <c r="Y9" s="4"/>
      <c r="Z9" s="5"/>
    </row>
    <row r="10" spans="1:26" x14ac:dyDescent="0.2">
      <c r="A10" s="6" t="s">
        <v>27</v>
      </c>
      <c r="B10" s="4">
        <f ca="1">B9/$B$3</f>
        <v>1</v>
      </c>
      <c r="C10" s="4">
        <f t="shared" ref="C10:H10" ca="1" si="6">C9/$B$3</f>
        <v>1</v>
      </c>
      <c r="D10" s="4">
        <f t="shared" ca="1" si="6"/>
        <v>1</v>
      </c>
      <c r="E10" s="4">
        <f t="shared" ca="1" si="6"/>
        <v>1</v>
      </c>
      <c r="F10" s="4">
        <f t="shared" ca="1" si="6"/>
        <v>1.6528925619834711E-2</v>
      </c>
      <c r="G10" s="4">
        <f t="shared" ca="1" si="6"/>
        <v>9.9173553719008267E-2</v>
      </c>
      <c r="H10" s="4">
        <f t="shared" ca="1" si="6"/>
        <v>0.26446280991735538</v>
      </c>
      <c r="I10" s="4"/>
      <c r="J10" s="14" t="s">
        <v>28</v>
      </c>
      <c r="M10" s="16" t="s">
        <v>22</v>
      </c>
      <c r="N10" s="19">
        <f ca="1">$P$4-N7</f>
        <v>0</v>
      </c>
      <c r="O10" s="19">
        <f t="shared" ref="O10:R10" ca="1" si="7">$P$4-O7</f>
        <v>0</v>
      </c>
      <c r="P10" s="19">
        <f t="shared" ca="1" si="7"/>
        <v>0</v>
      </c>
      <c r="Q10" s="19">
        <f t="shared" ca="1" si="7"/>
        <v>42</v>
      </c>
      <c r="R10" s="19">
        <f t="shared" ca="1" si="7"/>
        <v>0</v>
      </c>
      <c r="S10" s="14" t="s">
        <v>21</v>
      </c>
      <c r="T10" s="5"/>
      <c r="U10" s="5"/>
      <c r="Y10" s="4"/>
      <c r="Z10" s="5"/>
    </row>
    <row r="11" spans="1:26" x14ac:dyDescent="0.2">
      <c r="A11" s="6" t="s">
        <v>29</v>
      </c>
      <c r="B11" s="5">
        <f ca="1">SUM(DH:DH)</f>
        <v>23.125230451114451</v>
      </c>
      <c r="C11" s="5">
        <f t="shared" ref="C11:H11" ca="1" si="8">SUM(DI:DI)</f>
        <v>307.62630305997999</v>
      </c>
      <c r="D11" s="5">
        <f t="shared" ca="1" si="8"/>
        <v>376.68543261475833</v>
      </c>
      <c r="E11" s="5">
        <f t="shared" ca="1" si="8"/>
        <v>5855.9053673511335</v>
      </c>
      <c r="F11" s="5">
        <f t="shared" ca="1" si="8"/>
        <v>1.2624076390638916</v>
      </c>
      <c r="G11" s="5">
        <f t="shared" ca="1" si="8"/>
        <v>1.3084771921858163</v>
      </c>
      <c r="H11" s="5">
        <f t="shared" ca="1" si="8"/>
        <v>4.5095221577212197</v>
      </c>
      <c r="I11" s="5"/>
      <c r="J11" s="15" t="s">
        <v>30</v>
      </c>
      <c r="M11" s="17" t="s">
        <v>24</v>
      </c>
      <c r="N11">
        <f ca="1">SUMIFS(CL:CL,$B:$B,"&lt;="&amp;$N$4)</f>
        <v>93</v>
      </c>
      <c r="O11">
        <f t="shared" ref="O11:R11" ca="1" si="9">SUMIFS(CM:CM,$B:$B,"&lt;="&amp;$N$4)</f>
        <v>93</v>
      </c>
      <c r="P11">
        <f t="shared" ca="1" si="9"/>
        <v>78</v>
      </c>
      <c r="Q11">
        <f t="shared" ca="1" si="9"/>
        <v>51</v>
      </c>
      <c r="R11">
        <f t="shared" ca="1" si="9"/>
        <v>93</v>
      </c>
      <c r="S11" s="14" t="s">
        <v>21</v>
      </c>
      <c r="T11" s="5"/>
      <c r="U11" s="5"/>
      <c r="Y11" s="4"/>
      <c r="Z11" s="5"/>
    </row>
    <row r="12" spans="1:26" x14ac:dyDescent="0.2">
      <c r="A12" s="6" t="s">
        <v>31</v>
      </c>
      <c r="B12" s="7"/>
      <c r="C12" s="7">
        <f t="shared" ref="C12:H12" ca="1" si="10">SUM(FH:FH)</f>
        <v>1210000</v>
      </c>
      <c r="D12" s="7">
        <f t="shared" ca="1" si="10"/>
        <v>1210000</v>
      </c>
      <c r="E12" s="7">
        <f t="shared" ca="1" si="10"/>
        <v>1210000</v>
      </c>
      <c r="F12" s="7">
        <f t="shared" ca="1" si="10"/>
        <v>121</v>
      </c>
      <c r="G12" s="7">
        <f t="shared" ca="1" si="10"/>
        <v>121</v>
      </c>
      <c r="H12" s="7">
        <f t="shared" ca="1" si="10"/>
        <v>970</v>
      </c>
      <c r="I12" s="7"/>
      <c r="J12" s="14" t="s">
        <v>21</v>
      </c>
      <c r="M12" s="6" t="s">
        <v>32</v>
      </c>
      <c r="N12" s="4">
        <f ca="1">N11/$P$4</f>
        <v>1</v>
      </c>
      <c r="O12" s="4">
        <f t="shared" ref="O12:R12" ca="1" si="11">O11/$P$4</f>
        <v>1</v>
      </c>
      <c r="P12" s="4">
        <f t="shared" ca="1" si="11"/>
        <v>0.83870967741935487</v>
      </c>
      <c r="Q12" s="4">
        <f t="shared" ca="1" si="11"/>
        <v>0.54838709677419351</v>
      </c>
      <c r="R12" s="4">
        <f t="shared" ca="1" si="11"/>
        <v>1</v>
      </c>
      <c r="S12" s="14" t="s">
        <v>28</v>
      </c>
      <c r="Y12" s="4"/>
      <c r="Z12" s="5"/>
    </row>
    <row r="13" spans="1:26" x14ac:dyDescent="0.2">
      <c r="A13" s="6" t="s">
        <v>33</v>
      </c>
      <c r="C13">
        <f ca="1">SUM(DZ:DZ)</f>
        <v>598412</v>
      </c>
      <c r="D13">
        <f ca="1">SUM(EA:EA)</f>
        <v>941933</v>
      </c>
      <c r="E13">
        <f t="shared" ref="E13:H13" ca="1" si="12">SUM(EB:EB)</f>
        <v>520735</v>
      </c>
      <c r="F13">
        <f t="shared" ca="1" si="12"/>
        <v>2</v>
      </c>
      <c r="G13">
        <f t="shared" ca="1" si="12"/>
        <v>12</v>
      </c>
      <c r="H13">
        <f t="shared" ca="1" si="12"/>
        <v>63</v>
      </c>
      <c r="J13" s="14" t="s">
        <v>25</v>
      </c>
      <c r="M13" s="6" t="s">
        <v>34</v>
      </c>
      <c r="N13" s="5">
        <f ca="1">SUMIFS(DC:DC,$B:$B,"&lt;="&amp;$N$4)+N16*$N$3</f>
        <v>623969.29870139132</v>
      </c>
      <c r="O13" s="5">
        <f t="shared" ref="O13:R13" ca="1" si="13">SUMIFS(DD:DD,$B:$B,"&lt;="&amp;$N$4)+O16*$N$3</f>
        <v>878842.34967830463</v>
      </c>
      <c r="P13" s="5">
        <f t="shared" ca="1" si="13"/>
        <v>830502.1719284096</v>
      </c>
      <c r="Q13" s="5">
        <f t="shared" ca="1" si="13"/>
        <v>1255584.1999500215</v>
      </c>
      <c r="R13" s="5">
        <f t="shared" ca="1" si="13"/>
        <v>2843.9188421249928</v>
      </c>
      <c r="S13" s="15" t="s">
        <v>30</v>
      </c>
      <c r="Y13" s="4"/>
      <c r="Z13" s="5"/>
    </row>
    <row r="14" spans="1:26" x14ac:dyDescent="0.2">
      <c r="A14" s="6" t="s">
        <v>35</v>
      </c>
      <c r="B14" s="4"/>
      <c r="C14" s="4">
        <f t="shared" ref="C14:H14" ca="1" si="14">C13/C12</f>
        <v>0.49455537190082643</v>
      </c>
      <c r="D14" s="4">
        <f t="shared" ca="1" si="14"/>
        <v>0.77845702479338841</v>
      </c>
      <c r="E14" s="4">
        <f t="shared" ca="1" si="14"/>
        <v>0.4303595041322314</v>
      </c>
      <c r="F14" s="4">
        <f t="shared" ca="1" si="14"/>
        <v>1.6528925619834711E-2</v>
      </c>
      <c r="G14" s="4">
        <f t="shared" ca="1" si="14"/>
        <v>9.9173553719008267E-2</v>
      </c>
      <c r="H14" s="4">
        <f t="shared" ca="1" si="14"/>
        <v>6.4948453608247428E-2</v>
      </c>
      <c r="I14" s="4"/>
      <c r="J14" s="14" t="s">
        <v>28</v>
      </c>
      <c r="M14" s="6" t="s">
        <v>36</v>
      </c>
      <c r="N14" s="5">
        <f ca="1">N13/$P$4</f>
        <v>6709.3472978644231</v>
      </c>
      <c r="O14" s="5">
        <f t="shared" ref="O14:R14" ca="1" si="15">O13/$P$4</f>
        <v>9449.9177384763934</v>
      </c>
      <c r="P14" s="5">
        <f t="shared" ca="1" si="15"/>
        <v>8930.1308809506409</v>
      </c>
      <c r="Q14" s="5">
        <f t="shared" ca="1" si="15"/>
        <v>13500.905375806682</v>
      </c>
      <c r="R14" s="5">
        <f t="shared" ca="1" si="15"/>
        <v>30.579772495967664</v>
      </c>
      <c r="S14" s="15" t="s">
        <v>30</v>
      </c>
      <c r="T14" s="7"/>
      <c r="U14" s="7"/>
      <c r="Y14" s="4"/>
      <c r="Z14" s="5"/>
    </row>
    <row r="15" spans="1:26" x14ac:dyDescent="0.2">
      <c r="A15" s="6" t="s">
        <v>36</v>
      </c>
      <c r="B15" s="20"/>
      <c r="C15" s="20">
        <f t="shared" ref="C15:H15" ca="1" si="16">IF(C12,C11/C12,"")</f>
        <v>2.5423661409915702E-4</v>
      </c>
      <c r="D15" s="20">
        <f t="shared" ca="1" si="16"/>
        <v>3.1131027488823004E-4</v>
      </c>
      <c r="E15" s="20">
        <f t="shared" ca="1" si="16"/>
        <v>4.8395912126868871E-3</v>
      </c>
      <c r="F15" s="20">
        <f t="shared" ca="1" si="16"/>
        <v>1.0433120983999105E-2</v>
      </c>
      <c r="G15" s="20">
        <f t="shared" ca="1" si="16"/>
        <v>1.0813861092444763E-2</v>
      </c>
      <c r="H15" s="20">
        <f t="shared" ca="1" si="16"/>
        <v>4.6489919151765152E-3</v>
      </c>
      <c r="I15" s="20"/>
      <c r="J15" s="15" t="s">
        <v>30</v>
      </c>
      <c r="M15" s="17" t="s">
        <v>37</v>
      </c>
      <c r="N15" s="5">
        <f ca="1">IF(N11,N13/N11,"")</f>
        <v>6709.3472978644231</v>
      </c>
      <c r="O15" s="5">
        <f t="shared" ref="O15:R15" ca="1" si="17">IF(O11,O13/O11,"")</f>
        <v>9449.9177384763934</v>
      </c>
      <c r="P15" s="5">
        <f t="shared" ca="1" si="17"/>
        <v>10647.463742671918</v>
      </c>
      <c r="Q15" s="5">
        <f t="shared" ca="1" si="17"/>
        <v>24619.298038235716</v>
      </c>
      <c r="R15" s="5">
        <f t="shared" ca="1" si="17"/>
        <v>30.579772495967664</v>
      </c>
      <c r="S15" s="15" t="s">
        <v>30</v>
      </c>
      <c r="T15" s="4"/>
      <c r="U15" s="4" t="str">
        <f t="shared" ref="U15" si="18">IF(U12,U14/U12,"")</f>
        <v/>
      </c>
      <c r="Y15" s="4"/>
      <c r="Z15" s="5"/>
    </row>
    <row r="16" spans="1:26" x14ac:dyDescent="0.2">
      <c r="A16" s="6" t="s">
        <v>37</v>
      </c>
      <c r="B16" s="5"/>
      <c r="C16" s="5">
        <f t="shared" ref="C16:H16" ca="1" si="19">IF(C13,C11/C13,"")</f>
        <v>5.1407107989141256E-4</v>
      </c>
      <c r="D16" s="5">
        <f t="shared" ca="1" si="19"/>
        <v>3.9990682205078102E-4</v>
      </c>
      <c r="E16" s="5">
        <f t="shared" ca="1" si="19"/>
        <v>1.1245461448435641E-2</v>
      </c>
      <c r="F16" s="5">
        <f t="shared" ca="1" si="19"/>
        <v>0.63120381953194582</v>
      </c>
      <c r="G16" s="5">
        <f t="shared" ca="1" si="19"/>
        <v>0.10903976601548469</v>
      </c>
      <c r="H16" s="5">
        <f t="shared" ca="1" si="19"/>
        <v>7.1579716789225714E-2</v>
      </c>
      <c r="I16" s="5"/>
      <c r="J16" s="15" t="s">
        <v>30</v>
      </c>
      <c r="M16" s="6" t="s">
        <v>38</v>
      </c>
      <c r="N16">
        <f ca="1">COUNTIFS(DC:DC,"=0",$B:$B,"&lt;="&amp;$N$4)</f>
        <v>0</v>
      </c>
      <c r="O16">
        <f t="shared" ref="O16:R16" ca="1" si="20">COUNTIFS(DD:DD,"=0",$B:$B,"&lt;="&amp;$N$4)</f>
        <v>0</v>
      </c>
      <c r="P16">
        <f t="shared" ca="1" si="20"/>
        <v>0</v>
      </c>
      <c r="Q16">
        <f t="shared" ca="1" si="20"/>
        <v>0</v>
      </c>
      <c r="R16">
        <f t="shared" ca="1" si="20"/>
        <v>0</v>
      </c>
      <c r="Y16" s="4"/>
      <c r="Z16" s="5"/>
    </row>
    <row r="17" spans="1:180" x14ac:dyDescent="0.2">
      <c r="A17" s="6" t="s">
        <v>38</v>
      </c>
      <c r="B17">
        <f ca="1">COUNTIFS(DH:DH,"=0")</f>
        <v>0</v>
      </c>
      <c r="C17">
        <f t="shared" ref="C17:H17" ca="1" si="21">COUNTIFS(DI:DI,"=0")</f>
        <v>0</v>
      </c>
      <c r="D17">
        <f t="shared" ca="1" si="21"/>
        <v>0</v>
      </c>
      <c r="E17">
        <f t="shared" ca="1" si="21"/>
        <v>0</v>
      </c>
      <c r="F17">
        <f t="shared" ca="1" si="21"/>
        <v>0</v>
      </c>
      <c r="G17">
        <f t="shared" ca="1" si="21"/>
        <v>0</v>
      </c>
      <c r="H17">
        <f t="shared" ca="1" si="21"/>
        <v>0</v>
      </c>
      <c r="J17" s="14"/>
      <c r="M17" s="6" t="s">
        <v>1238</v>
      </c>
      <c r="N17">
        <f ca="1">_xlfn.MAXIFS($B67:$B267,DC67:DC267,"&lt;&gt;0",$B67:$B267,"&lt;="&amp;$N$4)</f>
        <v>100</v>
      </c>
      <c r="O17">
        <f t="shared" ref="O17:R17" ca="1" si="22">_xlfn.MAXIFS($B67:$B267,DD67:DD267,"&lt;&gt;0",$B67:$B267,"&lt;="&amp;$N$4)</f>
        <v>100</v>
      </c>
      <c r="P17">
        <f t="shared" ca="1" si="22"/>
        <v>100</v>
      </c>
      <c r="Q17">
        <f t="shared" ca="1" si="22"/>
        <v>100</v>
      </c>
      <c r="R17">
        <f t="shared" ca="1" si="22"/>
        <v>100</v>
      </c>
      <c r="Y17" s="4"/>
      <c r="Z17" s="5"/>
    </row>
    <row r="18" spans="1:180" x14ac:dyDescent="0.2">
      <c r="A18" s="6" t="s">
        <v>1385</v>
      </c>
      <c r="B18" s="23">
        <f ca="1">(SUM(BZ68:BZ300)-$H$3)/$H$3</f>
        <v>0</v>
      </c>
      <c r="C18" s="23">
        <f t="shared" ref="C18:H18" ca="1" si="23">(SUM(CA68:CA300)-$H$3)/$H$3</f>
        <v>0</v>
      </c>
      <c r="D18" s="23">
        <f t="shared" ca="1" si="23"/>
        <v>0</v>
      </c>
      <c r="E18" s="23">
        <f t="shared" ca="1" si="23"/>
        <v>0</v>
      </c>
      <c r="F18" s="23">
        <f t="shared" ca="1" si="23"/>
        <v>3.0424691358024689</v>
      </c>
      <c r="G18" s="23">
        <f t="shared" ca="1" si="23"/>
        <v>2.9935802469135804</v>
      </c>
      <c r="H18" s="23">
        <f t="shared" ca="1" si="23"/>
        <v>2.6869135802469137</v>
      </c>
      <c r="L18" s="5"/>
      <c r="M18" s="5"/>
      <c r="N18" s="5"/>
      <c r="O18" s="5"/>
      <c r="P18" s="5"/>
      <c r="Y18" s="4"/>
      <c r="Z18" s="5"/>
    </row>
    <row r="19" spans="1:180" x14ac:dyDescent="0.2">
      <c r="A19" s="6" t="s">
        <v>39</v>
      </c>
      <c r="B19" s="6" t="s">
        <v>9</v>
      </c>
      <c r="O19" s="5"/>
      <c r="P19" s="5"/>
      <c r="Y19" s="4"/>
      <c r="Z19" s="5"/>
    </row>
    <row r="20" spans="1:180" x14ac:dyDescent="0.2">
      <c r="O20" s="5"/>
      <c r="P20" s="5"/>
      <c r="Y20" s="4"/>
      <c r="Z20" s="5"/>
      <c r="FW20" s="4"/>
      <c r="FX20" s="5"/>
    </row>
    <row r="21" spans="1:180" ht="19" x14ac:dyDescent="0.25">
      <c r="A21" s="8" t="s">
        <v>1386</v>
      </c>
      <c r="B21" s="8"/>
      <c r="C21" s="8"/>
      <c r="D21" s="8"/>
      <c r="E21" s="8" t="s">
        <v>1387</v>
      </c>
      <c r="F21" s="8"/>
      <c r="G21" s="8"/>
      <c r="H21" s="8"/>
      <c r="I21" s="8"/>
      <c r="J21" s="8" t="s">
        <v>1388</v>
      </c>
      <c r="K21" s="8"/>
      <c r="L21" s="8"/>
      <c r="M21" s="8"/>
      <c r="N21" s="8"/>
      <c r="P21" s="8" t="s">
        <v>1389</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24">IF(FU34,FT34/FU34,"")</f>
        <v/>
      </c>
    </row>
    <row r="35" spans="1:180" x14ac:dyDescent="0.2">
      <c r="Y35" s="4"/>
      <c r="Z35" s="5"/>
      <c r="FW35" s="4"/>
      <c r="FX35" s="5" t="str">
        <f t="shared" si="24"/>
        <v/>
      </c>
    </row>
    <row r="36" spans="1:180" x14ac:dyDescent="0.2">
      <c r="Y36" s="4"/>
      <c r="Z36" s="5"/>
      <c r="FW36" s="4"/>
      <c r="FX36" s="5" t="str">
        <f t="shared" si="24"/>
        <v/>
      </c>
    </row>
    <row r="37" spans="1:180" x14ac:dyDescent="0.2">
      <c r="Y37" s="4"/>
      <c r="Z37" s="5"/>
      <c r="FW37" s="4"/>
      <c r="FX37" s="5" t="str">
        <f t="shared" si="24"/>
        <v/>
      </c>
    </row>
    <row r="38" spans="1:180" x14ac:dyDescent="0.2">
      <c r="Y38" s="4"/>
      <c r="Z38" s="5"/>
      <c r="FW38" s="4"/>
      <c r="FX38" s="5" t="str">
        <f t="shared" si="24"/>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41</v>
      </c>
      <c r="M43" t="s">
        <v>41</v>
      </c>
    </row>
    <row r="44" spans="1:180" x14ac:dyDescent="0.2">
      <c r="A44" t="s">
        <v>42</v>
      </c>
      <c r="B44" t="s">
        <v>43</v>
      </c>
      <c r="C44" t="s">
        <v>43</v>
      </c>
      <c r="D44" t="s">
        <v>43</v>
      </c>
      <c r="E44" t="s">
        <v>43</v>
      </c>
      <c r="F44" t="s">
        <v>43</v>
      </c>
      <c r="G44" t="s">
        <v>43</v>
      </c>
      <c r="H44" t="s">
        <v>43</v>
      </c>
      <c r="I44" t="s">
        <v>44</v>
      </c>
      <c r="J44" t="s">
        <v>45</v>
      </c>
      <c r="M44" t="s">
        <v>42</v>
      </c>
      <c r="N44" t="s">
        <v>43</v>
      </c>
      <c r="O44" t="s">
        <v>43</v>
      </c>
      <c r="P44" t="s">
        <v>43</v>
      </c>
      <c r="Q44" t="s">
        <v>43</v>
      </c>
      <c r="R44" t="s">
        <v>43</v>
      </c>
      <c r="S44" t="s">
        <v>44</v>
      </c>
      <c r="T44" t="s">
        <v>45</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46</v>
      </c>
      <c r="J45" t="s">
        <v>45</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46</v>
      </c>
      <c r="T45" t="s">
        <v>45</v>
      </c>
      <c r="V45" s="9"/>
    </row>
    <row r="46" spans="1:180" x14ac:dyDescent="0.2">
      <c r="A46" t="str">
        <f t="shared" ref="A46:A55" si="27">"\textbf{"&amp;A7&amp;"} &amp;"</f>
        <v>\textbf{Result Returned} &amp;</v>
      </c>
      <c r="B46" t="str">
        <f t="shared" ref="B46:H55" ca="1" si="28">SUBSTITUTE(TEXT(B7,$J7)&amp;IF(C46="\\",""," &amp;"),"%","\%")</f>
        <v>121 &amp;</v>
      </c>
      <c r="C46" t="str">
        <f t="shared" ca="1" si="28"/>
        <v>121 &amp;</v>
      </c>
      <c r="D46" t="str">
        <f t="shared" ca="1" si="28"/>
        <v>121 &amp;</v>
      </c>
      <c r="E46" t="str">
        <f t="shared" ca="1" si="28"/>
        <v>121 &amp;</v>
      </c>
      <c r="F46" t="str">
        <f t="shared" ca="1" si="28"/>
        <v>2 &amp;</v>
      </c>
      <c r="G46" t="str">
        <f t="shared" ca="1" si="28"/>
        <v>12 &amp;</v>
      </c>
      <c r="H46" t="str">
        <f t="shared" ca="1" si="28"/>
        <v>32</v>
      </c>
      <c r="I46" s="9" t="s">
        <v>46</v>
      </c>
      <c r="M46" t="str">
        <f>"\textbf{"&amp;M7&amp;"} &amp;"</f>
        <v>\textbf{Result Returned} &amp;</v>
      </c>
      <c r="N46" t="str">
        <f t="shared" ref="N46:R54" ca="1" si="29">SUBSTITUTE(TEXT(N7,$S7)&amp;IF(O46="\\",""," &amp;"),"%","\%")</f>
        <v>93 &amp;</v>
      </c>
      <c r="O46" t="str">
        <f t="shared" ca="1" si="29"/>
        <v>93 &amp;</v>
      </c>
      <c r="P46" t="str">
        <f t="shared" ca="1" si="29"/>
        <v>93 &amp;</v>
      </c>
      <c r="Q46" t="str">
        <f t="shared" ca="1" si="29"/>
        <v>51 &amp;</v>
      </c>
      <c r="R46" t="str">
        <f t="shared" ca="1" si="29"/>
        <v>93</v>
      </c>
      <c r="S46" s="9" t="s">
        <v>46</v>
      </c>
      <c r="V46" s="9"/>
    </row>
    <row r="47" spans="1:180" x14ac:dyDescent="0.2">
      <c r="A47" t="str">
        <f t="shared" si="27"/>
        <v>\textbf{No Result} &amp;</v>
      </c>
      <c r="B47" t="str">
        <f t="shared" ca="1" si="28"/>
        <v>0 &amp;</v>
      </c>
      <c r="C47" t="str">
        <f t="shared" ca="1" si="28"/>
        <v>0 &amp;</v>
      </c>
      <c r="D47" t="str">
        <f t="shared" ca="1" si="28"/>
        <v>0 &amp;</v>
      </c>
      <c r="E47" t="str">
        <f t="shared" ca="1" si="28"/>
        <v>0 &amp;</v>
      </c>
      <c r="F47" t="str">
        <f t="shared" ca="1" si="28"/>
        <v>119 &amp;</v>
      </c>
      <c r="G47" t="str">
        <f t="shared" ca="1" si="28"/>
        <v>109 &amp;</v>
      </c>
      <c r="H47" t="str">
        <f t="shared" ca="1" si="28"/>
        <v>89</v>
      </c>
      <c r="I47" s="9" t="s">
        <v>46</v>
      </c>
      <c r="M47" t="str">
        <f t="shared" ref="M47:M54" si="30">"\textbf{"&amp;M8&amp;"} &amp;"</f>
        <v>\textbf{Completed &lt; MaxTime} &amp;</v>
      </c>
      <c r="N47" t="str">
        <f t="shared" ca="1" si="29"/>
        <v>75 &amp;</v>
      </c>
      <c r="O47" t="str">
        <f t="shared" ca="1" si="29"/>
        <v>67 &amp;</v>
      </c>
      <c r="P47" t="str">
        <f t="shared" ca="1" si="29"/>
        <v>66 &amp;</v>
      </c>
      <c r="Q47" t="str">
        <f t="shared" ca="1" si="29"/>
        <v>51 &amp;</v>
      </c>
      <c r="R47" t="str">
        <f t="shared" ca="1" si="29"/>
        <v>93</v>
      </c>
      <c r="S47" s="9" t="s">
        <v>46</v>
      </c>
      <c r="V47" s="9"/>
    </row>
    <row r="48" spans="1:180" x14ac:dyDescent="0.2">
      <c r="A48" t="str">
        <f t="shared" si="27"/>
        <v>\textbf{At lowest distance} &amp;</v>
      </c>
      <c r="B48" t="str">
        <f t="shared" ca="1" si="28"/>
        <v>121 &amp;</v>
      </c>
      <c r="C48" t="str">
        <f t="shared" ca="1" si="28"/>
        <v>121 &amp;</v>
      </c>
      <c r="D48" t="str">
        <f t="shared" ca="1" si="28"/>
        <v>121 &amp;</v>
      </c>
      <c r="E48" t="str">
        <f t="shared" ca="1" si="28"/>
        <v>121 &amp;</v>
      </c>
      <c r="F48" t="str">
        <f t="shared" ca="1" si="28"/>
        <v>2 &amp;</v>
      </c>
      <c r="G48" t="str">
        <f t="shared" ca="1" si="28"/>
        <v>12 &amp;</v>
      </c>
      <c r="H48" t="str">
        <f t="shared" ca="1" si="28"/>
        <v>32</v>
      </c>
      <c r="I48" s="9" t="s">
        <v>46</v>
      </c>
      <c r="M48" t="str">
        <f t="shared" si="30"/>
        <v>\textbf{Completed &gt; MaxTime} &amp;</v>
      </c>
      <c r="N48" t="str">
        <f t="shared" ca="1" si="29"/>
        <v>18 &amp;</v>
      </c>
      <c r="O48" t="str">
        <f t="shared" ca="1" si="29"/>
        <v>26 &amp;</v>
      </c>
      <c r="P48" t="str">
        <f t="shared" ca="1" si="29"/>
        <v>27 &amp;</v>
      </c>
      <c r="Q48" t="str">
        <f t="shared" ca="1" si="29"/>
        <v>0 &amp;</v>
      </c>
      <c r="R48" t="str">
        <f t="shared" ca="1" si="29"/>
        <v>0</v>
      </c>
      <c r="S48" s="9" t="s">
        <v>46</v>
      </c>
      <c r="V48" s="9"/>
    </row>
    <row r="49" spans="1:180" x14ac:dyDescent="0.2">
      <c r="A49" t="str">
        <f t="shared" si="27"/>
        <v>\textbf{Overall Success Rate} &amp;</v>
      </c>
      <c r="B49" t="str">
        <f t="shared" ca="1" si="28"/>
        <v>100.0\% &amp;</v>
      </c>
      <c r="C49" t="str">
        <f t="shared" ca="1" si="28"/>
        <v>100.0\% &amp;</v>
      </c>
      <c r="D49" t="str">
        <f t="shared" ca="1" si="28"/>
        <v>100.0\% &amp;</v>
      </c>
      <c r="E49" t="str">
        <f t="shared" ca="1" si="28"/>
        <v>100.0\% &amp;</v>
      </c>
      <c r="F49" t="str">
        <f t="shared" ca="1" si="28"/>
        <v>1.7\% &amp;</v>
      </c>
      <c r="G49" t="str">
        <f t="shared" ca="1" si="28"/>
        <v>9.9\% &amp;</v>
      </c>
      <c r="H49" t="str">
        <f t="shared" ca="1" si="28"/>
        <v>26.4\%</v>
      </c>
      <c r="I49" s="9" t="s">
        <v>46</v>
      </c>
      <c r="J49" t="s">
        <v>45</v>
      </c>
      <c r="M49" t="str">
        <f t="shared" si="30"/>
        <v>\textbf{No Result} &amp;</v>
      </c>
      <c r="N49" t="str">
        <f t="shared" ca="1" si="29"/>
        <v>0 &amp;</v>
      </c>
      <c r="O49" t="str">
        <f t="shared" ca="1" si="29"/>
        <v>0 &amp;</v>
      </c>
      <c r="P49" t="str">
        <f t="shared" ca="1" si="29"/>
        <v>0 &amp;</v>
      </c>
      <c r="Q49" t="str">
        <f t="shared" ca="1" si="29"/>
        <v>42 &amp;</v>
      </c>
      <c r="R49" t="str">
        <f t="shared" ca="1" si="29"/>
        <v>0</v>
      </c>
      <c r="S49" s="9" t="s">
        <v>46</v>
      </c>
      <c r="V49" s="9"/>
    </row>
    <row r="50" spans="1:180" x14ac:dyDescent="0.2">
      <c r="A50" t="str">
        <f t="shared" si="27"/>
        <v>\textbf{Total Time (s)} &amp;</v>
      </c>
      <c r="B50" t="str">
        <f t="shared" ca="1" si="28"/>
        <v>2.3E+01 &amp;</v>
      </c>
      <c r="C50" t="str">
        <f t="shared" ca="1" si="28"/>
        <v>3.1E+02 &amp;</v>
      </c>
      <c r="D50" t="str">
        <f t="shared" ca="1" si="28"/>
        <v>3.8E+02 &amp;</v>
      </c>
      <c r="E50" t="str">
        <f t="shared" ca="1" si="28"/>
        <v>5.9E+03 &amp;</v>
      </c>
      <c r="F50" t="str">
        <f t="shared" ca="1" si="28"/>
        <v>1.3E+00 &amp;</v>
      </c>
      <c r="G50" t="str">
        <f t="shared" ca="1" si="28"/>
        <v>1.3E+00 &amp;</v>
      </c>
      <c r="H50" t="str">
        <f t="shared" ca="1" si="28"/>
        <v>4.5E+00</v>
      </c>
      <c r="I50" s="9" t="s">
        <v>46</v>
      </c>
      <c r="M50" t="str">
        <f t="shared" si="30"/>
        <v>\textbf{At lowest distance} &amp;</v>
      </c>
      <c r="N50" t="str">
        <f t="shared" ca="1" si="29"/>
        <v>93 &amp;</v>
      </c>
      <c r="O50" t="str">
        <f t="shared" ca="1" si="29"/>
        <v>93 &amp;</v>
      </c>
      <c r="P50" t="str">
        <f t="shared" ca="1" si="29"/>
        <v>78 &amp;</v>
      </c>
      <c r="Q50" t="str">
        <f t="shared" ca="1" si="29"/>
        <v>51 &amp;</v>
      </c>
      <c r="R50" t="str">
        <f t="shared" ca="1" si="29"/>
        <v>93</v>
      </c>
      <c r="S50" s="9" t="s">
        <v>46</v>
      </c>
      <c r="V50" s="9"/>
    </row>
    <row r="51" spans="1:180" x14ac:dyDescent="0.2">
      <c r="A51" t="str">
        <f t="shared" si="27"/>
        <v>\textbf{Trials} &amp;</v>
      </c>
      <c r="B51" t="str">
        <f t="shared" ca="1" si="28"/>
        <v>0 &amp;</v>
      </c>
      <c r="C51" t="str">
        <f t="shared" ca="1" si="28"/>
        <v>1,210,000 &amp;</v>
      </c>
      <c r="D51" t="str">
        <f t="shared" ca="1" si="28"/>
        <v>1,210,000 &amp;</v>
      </c>
      <c r="E51" t="str">
        <f t="shared" ca="1" si="28"/>
        <v>1,210,000 &amp;</v>
      </c>
      <c r="F51" t="str">
        <f t="shared" ca="1" si="28"/>
        <v>121 &amp;</v>
      </c>
      <c r="G51" t="str">
        <f t="shared" ca="1" si="28"/>
        <v>121 &amp;</v>
      </c>
      <c r="H51" t="str">
        <f t="shared" ca="1" si="28"/>
        <v>970</v>
      </c>
      <c r="I51" s="9" t="s">
        <v>46</v>
      </c>
      <c r="M51" t="str">
        <f t="shared" si="30"/>
        <v>\textbf{Overall success rate} &amp;</v>
      </c>
      <c r="N51" t="str">
        <f t="shared" ca="1" si="29"/>
        <v>100.0\% &amp;</v>
      </c>
      <c r="O51" t="str">
        <f t="shared" ca="1" si="29"/>
        <v>100.0\% &amp;</v>
      </c>
      <c r="P51" t="str">
        <f t="shared" ca="1" si="29"/>
        <v>83.9\% &amp;</v>
      </c>
      <c r="Q51" t="str">
        <f t="shared" ca="1" si="29"/>
        <v>54.8\% &amp;</v>
      </c>
      <c r="R51" t="str">
        <f t="shared" ca="1" si="29"/>
        <v>100.0\%</v>
      </c>
      <c r="S51" s="9" t="s">
        <v>46</v>
      </c>
      <c r="T51" t="s">
        <v>45</v>
      </c>
      <c r="V51" s="9"/>
    </row>
    <row r="52" spans="1:180" x14ac:dyDescent="0.2">
      <c r="A52" t="str">
        <f t="shared" si="27"/>
        <v>\textbf{Trials at lowest distance} &amp;</v>
      </c>
      <c r="B52" t="str">
        <f t="shared" ca="1" si="28"/>
        <v xml:space="preserve"> &amp;</v>
      </c>
      <c r="C52" t="str">
        <f t="shared" ca="1" si="28"/>
        <v>598,412 &amp;</v>
      </c>
      <c r="D52" t="str">
        <f t="shared" ca="1" si="28"/>
        <v>941,933 &amp;</v>
      </c>
      <c r="E52" t="str">
        <f t="shared" ca="1" si="28"/>
        <v>520,735 &amp;</v>
      </c>
      <c r="F52" t="str">
        <f t="shared" ca="1" si="28"/>
        <v>2 &amp;</v>
      </c>
      <c r="G52" t="str">
        <f t="shared" ca="1" si="28"/>
        <v>12 &amp;</v>
      </c>
      <c r="H52" t="str">
        <f t="shared" ca="1" si="28"/>
        <v>63</v>
      </c>
      <c r="I52" s="9" t="s">
        <v>46</v>
      </c>
      <c r="M52" t="str">
        <f t="shared" si="30"/>
        <v>\textbf{Total Time} &amp;</v>
      </c>
      <c r="N52" t="str">
        <f t="shared" ca="1" si="29"/>
        <v>6.2E+05 &amp;</v>
      </c>
      <c r="O52" t="str">
        <f t="shared" ca="1" si="29"/>
        <v>8.8E+05 &amp;</v>
      </c>
      <c r="P52" t="str">
        <f t="shared" ca="1" si="29"/>
        <v>8.3E+05 &amp;</v>
      </c>
      <c r="Q52" t="str">
        <f t="shared" ca="1" si="29"/>
        <v>1.3E+06 &amp;</v>
      </c>
      <c r="R52" t="str">
        <f t="shared" ca="1" si="29"/>
        <v>2.8E+03</v>
      </c>
      <c r="S52" s="9" t="s">
        <v>46</v>
      </c>
      <c r="V52" s="9"/>
    </row>
    <row r="53" spans="1:180" x14ac:dyDescent="0.2">
      <c r="A53" t="str">
        <f t="shared" si="27"/>
        <v>\textbf{Trial Success Rate} &amp;</v>
      </c>
      <c r="B53" t="str">
        <f t="shared" ca="1" si="28"/>
        <v xml:space="preserve"> &amp;</v>
      </c>
      <c r="C53" t="str">
        <f t="shared" ca="1" si="28"/>
        <v>49.5\% &amp;</v>
      </c>
      <c r="D53" t="str">
        <f t="shared" ca="1" si="28"/>
        <v>77.8\% &amp;</v>
      </c>
      <c r="E53" t="str">
        <f t="shared" ca="1" si="28"/>
        <v>43.0\% &amp;</v>
      </c>
      <c r="F53" t="str">
        <f t="shared" ca="1" si="28"/>
        <v>1.7\% &amp;</v>
      </c>
      <c r="G53" t="str">
        <f t="shared" ca="1" si="28"/>
        <v>9.9\% &amp;</v>
      </c>
      <c r="H53" t="str">
        <f t="shared" ca="1" si="28"/>
        <v>6.5\%</v>
      </c>
      <c r="I53" s="9" t="s">
        <v>46</v>
      </c>
      <c r="M53" t="str">
        <f t="shared" si="30"/>
        <v>\textbf{Time/Trial} &amp;</v>
      </c>
      <c r="N53" t="str">
        <f t="shared" ca="1" si="29"/>
        <v>6.7E+03 &amp;</v>
      </c>
      <c r="O53" t="str">
        <f t="shared" ca="1" si="29"/>
        <v>9.4E+03 &amp;</v>
      </c>
      <c r="P53" t="str">
        <f t="shared" ca="1" si="29"/>
        <v>8.9E+03 &amp;</v>
      </c>
      <c r="Q53" t="str">
        <f t="shared" ca="1" si="29"/>
        <v>1.4E+04 &amp;</v>
      </c>
      <c r="R53" t="str">
        <f t="shared" ca="1" si="29"/>
        <v>3.1E+01</v>
      </c>
      <c r="S53" s="9" t="s">
        <v>46</v>
      </c>
      <c r="V53" s="9"/>
    </row>
    <row r="54" spans="1:180" x14ac:dyDescent="0.2">
      <c r="A54" t="str">
        <f t="shared" si="27"/>
        <v>\textbf{Time/Trial} &amp;</v>
      </c>
      <c r="B54" t="str">
        <f t="shared" ca="1" si="28"/>
        <v xml:space="preserve"> &amp;</v>
      </c>
      <c r="C54" t="str">
        <f t="shared" ca="1" si="28"/>
        <v>2.5E-04 &amp;</v>
      </c>
      <c r="D54" t="str">
        <f t="shared" ca="1" si="28"/>
        <v>3.1E-04 &amp;</v>
      </c>
      <c r="E54" t="str">
        <f t="shared" ca="1" si="28"/>
        <v>4.8E-03 &amp;</v>
      </c>
      <c r="F54" t="str">
        <f t="shared" ca="1" si="28"/>
        <v>1.0E-02 &amp;</v>
      </c>
      <c r="G54" t="str">
        <f t="shared" ca="1" si="28"/>
        <v>1.1E-02 &amp;</v>
      </c>
      <c r="H54" t="str">
        <f t="shared" ca="1" si="28"/>
        <v>4.6E-03</v>
      </c>
      <c r="I54" s="9" t="s">
        <v>46</v>
      </c>
      <c r="M54" t="str">
        <f t="shared" si="30"/>
        <v>\textbf{Time/Successful Trial} &amp;</v>
      </c>
      <c r="N54" t="str">
        <f ca="1">SUBSTITUTE(TEXT(N15,$S15)&amp;IF(O54="\\",""," &amp;"),"%","\%")</f>
        <v>6.7E+03 &amp;</v>
      </c>
      <c r="O54" t="str">
        <f t="shared" ca="1" si="29"/>
        <v>9.4E+03 &amp;</v>
      </c>
      <c r="P54" t="str">
        <f t="shared" ca="1" si="29"/>
        <v>1.1E+04 &amp;</v>
      </c>
      <c r="Q54" t="str">
        <f t="shared" ca="1" si="29"/>
        <v>2.5E+04 &amp;</v>
      </c>
      <c r="R54" t="str">
        <f t="shared" ca="1" si="29"/>
        <v>3.1E+01</v>
      </c>
      <c r="S54" s="9" t="s">
        <v>46</v>
      </c>
      <c r="T54" t="s">
        <v>45</v>
      </c>
      <c r="V54" s="9"/>
    </row>
    <row r="55" spans="1:180" x14ac:dyDescent="0.2">
      <c r="A55" t="str">
        <f t="shared" si="27"/>
        <v>\textbf{Time/Successful Trial} &amp;</v>
      </c>
      <c r="B55" t="str">
        <f t="shared" ca="1" si="28"/>
        <v xml:space="preserve"> &amp;</v>
      </c>
      <c r="C55" t="str">
        <f t="shared" ca="1" si="28"/>
        <v>5.1E-04 &amp;</v>
      </c>
      <c r="D55" t="str">
        <f t="shared" ca="1" si="28"/>
        <v>4.0E-04 &amp;</v>
      </c>
      <c r="E55" t="str">
        <f t="shared" ca="1" si="28"/>
        <v>1.1E-02 &amp;</v>
      </c>
      <c r="F55" t="str">
        <f t="shared" ca="1" si="28"/>
        <v>6.3E-01 &amp;</v>
      </c>
      <c r="G55" t="str">
        <f t="shared" ca="1" si="28"/>
        <v>1.1E-01 &amp;</v>
      </c>
      <c r="H55" t="str">
        <f t="shared" ca="1" si="28"/>
        <v>7.2E-02</v>
      </c>
      <c r="I55" s="9" t="s">
        <v>46</v>
      </c>
      <c r="J55" t="s">
        <v>45</v>
      </c>
      <c r="M55" t="s">
        <v>47</v>
      </c>
      <c r="V55" s="9"/>
    </row>
    <row r="56" spans="1:180" x14ac:dyDescent="0.2">
      <c r="A56" t="s">
        <v>47</v>
      </c>
      <c r="J56" s="9"/>
      <c r="M56" t="s">
        <v>48</v>
      </c>
      <c r="V56" s="9"/>
    </row>
    <row r="57" spans="1:180" x14ac:dyDescent="0.2">
      <c r="A57" t="s">
        <v>48</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49</v>
      </c>
      <c r="B64">
        <f ca="1">MATCH("name",INDIRECT($A$67&amp;"!a:a"),)</f>
        <v>27</v>
      </c>
      <c r="Y64" s="4"/>
      <c r="Z64" s="5"/>
      <c r="FW64" s="4"/>
      <c r="FX64" s="5"/>
    </row>
    <row r="65" spans="1:222" x14ac:dyDescent="0.2">
      <c r="Y65" s="4"/>
      <c r="Z65" s="5"/>
      <c r="FS65" t="s">
        <v>50</v>
      </c>
      <c r="FT65" t="str">
        <f>B19</f>
        <v>QDistRndMW</v>
      </c>
      <c r="FW65" s="4"/>
      <c r="FX65" s="5"/>
    </row>
    <row r="66" spans="1:222" s="6" customFormat="1" x14ac:dyDescent="0.2">
      <c r="E66" s="6" t="s">
        <v>51</v>
      </c>
      <c r="V66" s="6" t="s">
        <v>52</v>
      </c>
      <c r="AM66" s="6" t="s">
        <v>53</v>
      </c>
      <c r="AV66" s="6" t="s">
        <v>1251</v>
      </c>
      <c r="BD66" s="6" t="s">
        <v>54</v>
      </c>
      <c r="BU66" s="6" t="s">
        <v>55</v>
      </c>
      <c r="CL66" s="6" t="s">
        <v>56</v>
      </c>
      <c r="DC66" s="6" t="s">
        <v>40</v>
      </c>
      <c r="DT66" s="6" t="s">
        <v>57</v>
      </c>
      <c r="EK66" s="6" t="s">
        <v>58</v>
      </c>
      <c r="FB66" s="6" t="s">
        <v>59</v>
      </c>
      <c r="FS66" s="6" t="s">
        <v>49</v>
      </c>
      <c r="FT66">
        <f>MATCH(B19,E67:Q67,)</f>
        <v>7</v>
      </c>
      <c r="FU66"/>
      <c r="FV66"/>
      <c r="FW66" s="4"/>
      <c r="FX66" s="5"/>
      <c r="FZ66" s="6" t="s">
        <v>1385</v>
      </c>
      <c r="GN66" s="6" t="s">
        <v>1390</v>
      </c>
      <c r="HB66" s="6" t="s">
        <v>1391</v>
      </c>
    </row>
    <row r="67" spans="1:222" s="6" customFormat="1" x14ac:dyDescent="0.2">
      <c r="A67" s="6" t="s">
        <v>60</v>
      </c>
      <c r="B67" s="6" t="s">
        <v>61</v>
      </c>
      <c r="C67" s="6" t="s">
        <v>62</v>
      </c>
      <c r="E67" s="6" t="s">
        <v>15</v>
      </c>
      <c r="F67" s="6" t="s">
        <v>16</v>
      </c>
      <c r="G67" s="6" t="s">
        <v>17</v>
      </c>
      <c r="H67" s="6" t="s">
        <v>63</v>
      </c>
      <c r="I67" s="6" t="s">
        <v>64</v>
      </c>
      <c r="J67" s="6" t="s">
        <v>65</v>
      </c>
      <c r="K67" s="6" t="s">
        <v>9</v>
      </c>
      <c r="L67" s="6" t="s">
        <v>10</v>
      </c>
      <c r="M67" s="6" t="s">
        <v>66</v>
      </c>
      <c r="N67" s="6" t="s">
        <v>12</v>
      </c>
      <c r="O67" s="6" t="s">
        <v>13</v>
      </c>
      <c r="P67" s="6" t="s">
        <v>14</v>
      </c>
      <c r="V67" s="6" t="str">
        <f t="shared" ref="V67:AG67" si="31">E67</f>
        <v>Gurobi</v>
      </c>
      <c r="W67" s="6" t="str">
        <f t="shared" si="31"/>
        <v>MIP-SCIP</v>
      </c>
      <c r="X67" s="6" t="str">
        <f t="shared" si="31"/>
        <v>CLISAT</v>
      </c>
      <c r="Y67" s="6" t="str">
        <f t="shared" si="31"/>
        <v>m4ri_CC</v>
      </c>
      <c r="Z67" s="6" t="str">
        <f t="shared" si="31"/>
        <v>magma</v>
      </c>
      <c r="AA67" s="6" t="str">
        <f t="shared" si="31"/>
        <v>m4ri_RW</v>
      </c>
      <c r="AB67" s="6" t="str">
        <f t="shared" si="31"/>
        <v>QDistRndMW</v>
      </c>
      <c r="AC67" s="6" t="str">
        <f t="shared" si="31"/>
        <v>QDistEvol</v>
      </c>
      <c r="AD67" s="6" t="str">
        <f t="shared" si="31"/>
        <v>bposd</v>
      </c>
      <c r="AE67" s="6" t="str">
        <f t="shared" si="31"/>
        <v>GEStim</v>
      </c>
      <c r="AF67" s="6" t="str">
        <f t="shared" si="31"/>
        <v>CCStim</v>
      </c>
      <c r="AG67" s="6" t="str">
        <f t="shared" si="31"/>
        <v>UEStim</v>
      </c>
      <c r="AM67" s="6" t="str">
        <f t="shared" ref="AM67:AQ67" si="32">E67</f>
        <v>Gurobi</v>
      </c>
      <c r="AN67" s="6" t="str">
        <f t="shared" si="32"/>
        <v>MIP-SCIP</v>
      </c>
      <c r="AO67" s="6" t="str">
        <f t="shared" si="32"/>
        <v>CLISAT</v>
      </c>
      <c r="AP67" s="6" t="str">
        <f t="shared" si="32"/>
        <v>m4ri_CC</v>
      </c>
      <c r="AQ67" s="6" t="str">
        <f t="shared" si="32"/>
        <v>magma</v>
      </c>
      <c r="AV67" s="6" t="str">
        <f>AM67</f>
        <v>Gurobi</v>
      </c>
      <c r="AW67" s="6" t="str">
        <f t="shared" ref="AW67:AZ67" si="33">AN67</f>
        <v>MIP-SCIP</v>
      </c>
      <c r="AX67" s="6" t="str">
        <f t="shared" si="33"/>
        <v>CLISAT</v>
      </c>
      <c r="AY67" s="6" t="str">
        <f t="shared" si="33"/>
        <v>m4ri_CC</v>
      </c>
      <c r="AZ67" s="6" t="str">
        <f t="shared" si="33"/>
        <v>magma</v>
      </c>
      <c r="BD67" s="6" t="str">
        <f t="shared" ref="BD67:BO67" si="34">V67</f>
        <v>Gurobi</v>
      </c>
      <c r="BE67" s="6" t="str">
        <f t="shared" si="34"/>
        <v>MIP-SCIP</v>
      </c>
      <c r="BF67" s="6" t="str">
        <f t="shared" si="34"/>
        <v>CLISAT</v>
      </c>
      <c r="BG67" s="6" t="str">
        <f t="shared" si="34"/>
        <v>m4ri_CC</v>
      </c>
      <c r="BH67" s="6" t="str">
        <f t="shared" si="34"/>
        <v>magma</v>
      </c>
      <c r="BI67" s="6" t="str">
        <f t="shared" si="34"/>
        <v>m4ri_RW</v>
      </c>
      <c r="BJ67" s="6" t="str">
        <f t="shared" si="34"/>
        <v>QDistRndMW</v>
      </c>
      <c r="BK67" s="6" t="str">
        <f t="shared" si="34"/>
        <v>QDistEvol</v>
      </c>
      <c r="BL67" s="6" t="str">
        <f t="shared" si="34"/>
        <v>bposd</v>
      </c>
      <c r="BM67" s="6" t="str">
        <f t="shared" si="34"/>
        <v>GEStim</v>
      </c>
      <c r="BN67" s="6" t="str">
        <f t="shared" si="34"/>
        <v>CCStim</v>
      </c>
      <c r="BO67" s="6" t="str">
        <f t="shared" si="34"/>
        <v>UEStim</v>
      </c>
      <c r="BU67" s="6" t="str">
        <f t="shared" ref="BU67:CF67" si="35">BD67</f>
        <v>Gurobi</v>
      </c>
      <c r="BV67" s="6" t="str">
        <f t="shared" si="35"/>
        <v>MIP-SCIP</v>
      </c>
      <c r="BW67" s="6" t="str">
        <f t="shared" si="35"/>
        <v>CLISAT</v>
      </c>
      <c r="BX67" s="6" t="str">
        <f t="shared" si="35"/>
        <v>m4ri_CC</v>
      </c>
      <c r="BY67" s="6" t="str">
        <f t="shared" si="35"/>
        <v>magma</v>
      </c>
      <c r="BZ67" s="6" t="str">
        <f t="shared" si="35"/>
        <v>m4ri_RW</v>
      </c>
      <c r="CA67" s="6" t="str">
        <f t="shared" si="35"/>
        <v>QDistRndMW</v>
      </c>
      <c r="CB67" s="6" t="str">
        <f t="shared" si="35"/>
        <v>QDistEvol</v>
      </c>
      <c r="CC67" s="6" t="str">
        <f t="shared" si="35"/>
        <v>bposd</v>
      </c>
      <c r="CD67" s="6" t="str">
        <f t="shared" si="35"/>
        <v>GEStim</v>
      </c>
      <c r="CE67" s="6" t="str">
        <f t="shared" si="35"/>
        <v>CCStim</v>
      </c>
      <c r="CF67" s="6" t="str">
        <f t="shared" si="35"/>
        <v>UEStim</v>
      </c>
      <c r="CL67" s="6" t="str">
        <f t="shared" ref="CL67:CW67" si="36">BU67</f>
        <v>Gurobi</v>
      </c>
      <c r="CM67" s="6" t="str">
        <f t="shared" si="36"/>
        <v>MIP-SCIP</v>
      </c>
      <c r="CN67" s="6" t="str">
        <f t="shared" si="36"/>
        <v>CLISAT</v>
      </c>
      <c r="CO67" s="6" t="str">
        <f t="shared" si="36"/>
        <v>m4ri_CC</v>
      </c>
      <c r="CP67" s="6" t="str">
        <f t="shared" si="36"/>
        <v>magma</v>
      </c>
      <c r="CQ67" s="6" t="str">
        <f t="shared" si="36"/>
        <v>m4ri_RW</v>
      </c>
      <c r="CR67" s="6" t="str">
        <f t="shared" si="36"/>
        <v>QDistRndMW</v>
      </c>
      <c r="CS67" s="6" t="str">
        <f t="shared" si="36"/>
        <v>QDistEvol</v>
      </c>
      <c r="CT67" s="6" t="str">
        <f t="shared" si="36"/>
        <v>bposd</v>
      </c>
      <c r="CU67" s="6" t="str">
        <f t="shared" si="36"/>
        <v>GEStim</v>
      </c>
      <c r="CV67" s="6" t="str">
        <f t="shared" si="36"/>
        <v>CCStim</v>
      </c>
      <c r="CW67" s="6" t="str">
        <f t="shared" si="36"/>
        <v>UEStim</v>
      </c>
      <c r="DC67" s="6" t="str">
        <f t="shared" ref="DC67:DN67" si="37">CL67</f>
        <v>Gurobi</v>
      </c>
      <c r="DD67" s="6" t="str">
        <f t="shared" si="37"/>
        <v>MIP-SCIP</v>
      </c>
      <c r="DE67" s="6" t="str">
        <f t="shared" si="37"/>
        <v>CLISAT</v>
      </c>
      <c r="DF67" s="6" t="str">
        <f t="shared" si="37"/>
        <v>m4ri_CC</v>
      </c>
      <c r="DG67" s="6" t="str">
        <f t="shared" si="37"/>
        <v>magma</v>
      </c>
      <c r="DH67" s="6" t="str">
        <f t="shared" si="37"/>
        <v>m4ri_RW</v>
      </c>
      <c r="DI67" s="6" t="str">
        <f t="shared" si="37"/>
        <v>QDistRndMW</v>
      </c>
      <c r="DJ67" s="6" t="str">
        <f t="shared" si="37"/>
        <v>QDistEvol</v>
      </c>
      <c r="DK67" s="6" t="str">
        <f t="shared" si="37"/>
        <v>bposd</v>
      </c>
      <c r="DL67" s="6" t="str">
        <f t="shared" si="37"/>
        <v>GEStim</v>
      </c>
      <c r="DM67" s="6" t="str">
        <f t="shared" si="37"/>
        <v>CCStim</v>
      </c>
      <c r="DN67" s="6" t="str">
        <f t="shared" si="37"/>
        <v>UEStim</v>
      </c>
      <c r="DT67" s="6" t="str">
        <f t="shared" ref="DT67:EE67" si="38">DC67</f>
        <v>Gurobi</v>
      </c>
      <c r="DU67" s="6" t="str">
        <f t="shared" si="38"/>
        <v>MIP-SCIP</v>
      </c>
      <c r="DV67" s="6" t="str">
        <f t="shared" si="38"/>
        <v>CLISAT</v>
      </c>
      <c r="DW67" s="6" t="str">
        <f t="shared" si="38"/>
        <v>m4ri_CC</v>
      </c>
      <c r="DX67" s="6" t="str">
        <f t="shared" si="38"/>
        <v>magma</v>
      </c>
      <c r="DY67" s="6" t="str">
        <f t="shared" si="38"/>
        <v>m4ri_RW</v>
      </c>
      <c r="DZ67" s="6" t="str">
        <f t="shared" si="38"/>
        <v>QDistRndMW</v>
      </c>
      <c r="EA67" s="6" t="str">
        <f t="shared" si="38"/>
        <v>QDistEvol</v>
      </c>
      <c r="EB67" s="6" t="str">
        <f t="shared" si="38"/>
        <v>bposd</v>
      </c>
      <c r="EC67" s="6" t="str">
        <f t="shared" si="38"/>
        <v>GEStim</v>
      </c>
      <c r="ED67" s="6" t="str">
        <f t="shared" si="38"/>
        <v>CCStim</v>
      </c>
      <c r="EE67" s="6" t="str">
        <f t="shared" si="38"/>
        <v>UEStim</v>
      </c>
      <c r="EK67" s="6" t="str">
        <f t="shared" ref="EK67:EV67" si="39">DT67</f>
        <v>Gurobi</v>
      </c>
      <c r="EL67" s="6" t="str">
        <f t="shared" si="39"/>
        <v>MIP-SCIP</v>
      </c>
      <c r="EM67" s="6" t="str">
        <f t="shared" si="39"/>
        <v>CLISAT</v>
      </c>
      <c r="EN67" s="6" t="str">
        <f t="shared" si="39"/>
        <v>m4ri_CC</v>
      </c>
      <c r="EO67" s="6" t="str">
        <f t="shared" si="39"/>
        <v>magma</v>
      </c>
      <c r="EP67" s="6" t="str">
        <f t="shared" si="39"/>
        <v>m4ri_RW</v>
      </c>
      <c r="EQ67" s="6" t="str">
        <f t="shared" si="39"/>
        <v>QDistRndMW</v>
      </c>
      <c r="ER67" s="6" t="str">
        <f t="shared" si="39"/>
        <v>QDistEvol</v>
      </c>
      <c r="ES67" s="6" t="str">
        <f t="shared" si="39"/>
        <v>bposd</v>
      </c>
      <c r="ET67" s="6" t="str">
        <f t="shared" si="39"/>
        <v>GEStim</v>
      </c>
      <c r="EU67" s="6" t="str">
        <f t="shared" si="39"/>
        <v>CCStim</v>
      </c>
      <c r="EV67" s="6" t="str">
        <f t="shared" si="39"/>
        <v>UEStim</v>
      </c>
      <c r="FB67" s="6" t="str">
        <f t="shared" ref="FB67:FM67" si="40">EK67</f>
        <v>Gurobi</v>
      </c>
      <c r="FC67" s="6" t="str">
        <f t="shared" si="40"/>
        <v>MIP-SCIP</v>
      </c>
      <c r="FD67" s="6" t="str">
        <f t="shared" si="40"/>
        <v>CLISAT</v>
      </c>
      <c r="FE67" s="6" t="str">
        <f t="shared" si="40"/>
        <v>m4ri_CC</v>
      </c>
      <c r="FF67" s="6" t="str">
        <f t="shared" si="40"/>
        <v>magma</v>
      </c>
      <c r="FG67" s="6" t="str">
        <f t="shared" si="40"/>
        <v>m4ri_RW</v>
      </c>
      <c r="FH67" s="6" t="str">
        <f t="shared" si="40"/>
        <v>QDistRndMW</v>
      </c>
      <c r="FI67" s="6" t="str">
        <f t="shared" si="40"/>
        <v>QDistEvol</v>
      </c>
      <c r="FJ67" s="6" t="str">
        <f t="shared" si="40"/>
        <v>bposd</v>
      </c>
      <c r="FK67" s="6" t="str">
        <f t="shared" si="40"/>
        <v>GEStim</v>
      </c>
      <c r="FL67" s="6" t="str">
        <f t="shared" si="40"/>
        <v>CCStim</v>
      </c>
      <c r="FM67" s="6" t="str">
        <f t="shared" si="40"/>
        <v>UEStim</v>
      </c>
      <c r="FS67" s="3" t="s">
        <v>61</v>
      </c>
      <c r="FT67" s="3" t="s">
        <v>67</v>
      </c>
      <c r="FU67" t="s">
        <v>58</v>
      </c>
      <c r="FV67" t="s">
        <v>59</v>
      </c>
      <c r="FW67" t="s">
        <v>68</v>
      </c>
      <c r="FX67" t="s">
        <v>69</v>
      </c>
      <c r="FZ67" s="6" t="str">
        <f>GN67</f>
        <v>n</v>
      </c>
      <c r="GA67" s="6" t="s">
        <v>15</v>
      </c>
      <c r="GB67" s="6" t="s">
        <v>16</v>
      </c>
      <c r="GC67" s="6" t="s">
        <v>17</v>
      </c>
      <c r="GD67" s="6" t="s">
        <v>63</v>
      </c>
      <c r="GE67" s="6" t="s">
        <v>64</v>
      </c>
      <c r="GF67" s="6" t="s">
        <v>65</v>
      </c>
      <c r="GG67" s="6" t="s">
        <v>9</v>
      </c>
      <c r="GH67" s="6" t="s">
        <v>10</v>
      </c>
      <c r="GI67" s="6" t="s">
        <v>66</v>
      </c>
      <c r="GJ67" s="6" t="s">
        <v>12</v>
      </c>
      <c r="GK67" s="6" t="s">
        <v>13</v>
      </c>
      <c r="GL67" s="6" t="s">
        <v>14</v>
      </c>
      <c r="GN67" s="6" t="s">
        <v>61</v>
      </c>
      <c r="GO67" s="6" t="str">
        <f>GA67</f>
        <v>Gurobi</v>
      </c>
      <c r="GP67" s="6" t="str">
        <f t="shared" ref="GP67:GZ67" si="41">GB67</f>
        <v>MIP-SCIP</v>
      </c>
      <c r="GQ67" s="6" t="str">
        <f t="shared" si="41"/>
        <v>CLISAT</v>
      </c>
      <c r="GR67" s="6" t="str">
        <f t="shared" si="41"/>
        <v>m4ri_CC</v>
      </c>
      <c r="GS67" s="6" t="str">
        <f t="shared" si="41"/>
        <v>magma</v>
      </c>
      <c r="GT67" s="6" t="str">
        <f t="shared" si="41"/>
        <v>m4ri_RW</v>
      </c>
      <c r="GU67" s="6" t="str">
        <f t="shared" si="41"/>
        <v>QDistRndMW</v>
      </c>
      <c r="GV67" s="6" t="str">
        <f t="shared" si="41"/>
        <v>QDistEvol</v>
      </c>
      <c r="GW67" s="6" t="str">
        <f t="shared" si="41"/>
        <v>bposd</v>
      </c>
      <c r="GX67" s="6" t="str">
        <f t="shared" si="41"/>
        <v>GEStim</v>
      </c>
      <c r="GY67" s="6" t="str">
        <f t="shared" si="41"/>
        <v>CCStim</v>
      </c>
      <c r="GZ67" s="6" t="str">
        <f t="shared" si="41"/>
        <v>UEStim</v>
      </c>
      <c r="HB67" s="6" t="str">
        <f>GN67</f>
        <v>n</v>
      </c>
      <c r="HC67" s="6" t="str">
        <f>GO67</f>
        <v>Gurobi</v>
      </c>
      <c r="HD67" s="6" t="str">
        <f t="shared" ref="HD67:HN67" si="42">GP67</f>
        <v>MIP-SCIP</v>
      </c>
      <c r="HE67" s="6" t="str">
        <f t="shared" si="42"/>
        <v>CLISAT</v>
      </c>
      <c r="HF67" s="6" t="str">
        <f t="shared" si="42"/>
        <v>m4ri_CC</v>
      </c>
      <c r="HG67" s="6" t="str">
        <f t="shared" si="42"/>
        <v>magma</v>
      </c>
      <c r="HH67" s="6" t="str">
        <f t="shared" si="42"/>
        <v>m4ri_RW</v>
      </c>
      <c r="HI67" s="6" t="str">
        <f t="shared" si="42"/>
        <v>QDistRndMW</v>
      </c>
      <c r="HJ67" s="6" t="str">
        <f t="shared" si="42"/>
        <v>QDistEvol</v>
      </c>
      <c r="HK67" s="6" t="str">
        <f t="shared" si="42"/>
        <v>bposd</v>
      </c>
      <c r="HL67" s="6" t="str">
        <f t="shared" si="42"/>
        <v>GEStim</v>
      </c>
      <c r="HM67" s="6" t="str">
        <f t="shared" si="42"/>
        <v>CCStim</v>
      </c>
      <c r="HN67" s="6" t="str">
        <f t="shared" si="42"/>
        <v>UEStim</v>
      </c>
    </row>
    <row r="68" spans="1:222" x14ac:dyDescent="0.2">
      <c r="A68" t="str" cm="1">
        <f t="array" aca="1" ref="A68" ca="1">INDIRECT($A$67&amp;"!A"&amp;ROW(C1)+$B$64)</f>
        <v>[[5,3,2]]</v>
      </c>
      <c r="B68" cm="1">
        <f t="array" aca="1" ref="B68" ca="1">INDIRECT($A$67&amp;"!b"&amp;ROW(D1)+$B$64)</f>
        <v>5</v>
      </c>
      <c r="C68">
        <f ca="1">MIN(INDIRECT($A$67&amp;"!d"&amp;ROW(E1)+$B$64),BU68:CG68)</f>
        <v>2</v>
      </c>
      <c r="E68">
        <f t="shared" ref="E68:P83" ca="1" si="43">MATCH($A68,INDIRECT("'"&amp;E$67&amp;"'!A:A"),)</f>
        <v>25</v>
      </c>
      <c r="F68">
        <f t="shared" ca="1" si="43"/>
        <v>26</v>
      </c>
      <c r="G68">
        <f t="shared" ca="1" si="43"/>
        <v>25</v>
      </c>
      <c r="H68">
        <f t="shared" ca="1" si="43"/>
        <v>25</v>
      </c>
      <c r="I68">
        <f t="shared" ca="1" si="43"/>
        <v>28</v>
      </c>
      <c r="J68">
        <f t="shared" ca="1" si="43"/>
        <v>25</v>
      </c>
      <c r="K68">
        <f t="shared" ca="1" si="43"/>
        <v>32</v>
      </c>
      <c r="L68">
        <f t="shared" ca="1" si="43"/>
        <v>34</v>
      </c>
      <c r="M68">
        <f t="shared" ca="1" si="43"/>
        <v>31</v>
      </c>
      <c r="N68">
        <f t="shared" ca="1" si="43"/>
        <v>29</v>
      </c>
      <c r="O68">
        <f t="shared" ca="1" si="43"/>
        <v>29</v>
      </c>
      <c r="P68">
        <f t="shared" ca="1" si="43"/>
        <v>29</v>
      </c>
      <c r="V68" cm="1">
        <f t="array" aca="1" ref="V68" ca="1">IF(ISNA(E68),$B68,OFFSET(INDIRECT("'"&amp;V$67&amp;"'!d1"),E68-1,))</f>
        <v>2</v>
      </c>
      <c r="W68" cm="1">
        <f t="array" aca="1" ref="W68" ca="1">IF(ISNA(F68),,OFFSET(INDIRECT("'"&amp;W$67&amp;"'!d1"),F68-1,))</f>
        <v>2</v>
      </c>
      <c r="X68" cm="1">
        <f t="array" aca="1" ref="X68" ca="1">IF(ISNA(G68),,OFFSET(INDIRECT("'"&amp;X$67&amp;"'!d1"),G68-1,))</f>
        <v>2</v>
      </c>
      <c r="Y68" cm="1">
        <f t="array" aca="1" ref="Y68" ca="1">IF(ISNA(H68),,OFFSET(INDIRECT("'"&amp;Y$67&amp;"'!d1"),H68-1,))</f>
        <v>2</v>
      </c>
      <c r="Z68" cm="1">
        <f t="array" aca="1" ref="Z68" ca="1">IF(ISNA(I68),,OFFSET(INDIRECT("'"&amp;Z$67&amp;"'!d1"),I68-1,))</f>
        <v>2</v>
      </c>
      <c r="AA68" cm="1">
        <f t="array" aca="1" ref="AA68" ca="1">IF(ISNA(J68),,OFFSET(INDIRECT("'"&amp;AA$67&amp;"'!d1"),J68-1,))</f>
        <v>2</v>
      </c>
      <c r="AB68" cm="1">
        <f t="array" aca="1" ref="AB68" ca="1">IF(ISNA(K68),,OFFSET(INDIRECT("'"&amp;AB$67&amp;"'!d1"),K68-1,))</f>
        <v>2</v>
      </c>
      <c r="AC68" cm="1">
        <f t="array" aca="1" ref="AC68" ca="1">IF(ISNA(L68),,OFFSET(INDIRECT("'"&amp;AC$67&amp;"'!d1"),L68-1,))</f>
        <v>2</v>
      </c>
      <c r="AD68" cm="1">
        <f t="array" aca="1" ref="AD68" ca="1">IF(ISNA(M68),,OFFSET(INDIRECT("'"&amp;AD$67&amp;"'!d1"),M68-1,))</f>
        <v>2</v>
      </c>
      <c r="AE68" cm="1">
        <f t="array" aca="1" ref="AE68" ca="1">IF(ISNA(N68),,OFFSET(INDIRECT("'"&amp;AE$67&amp;"'!d1"),N68-1,))</f>
        <v>2</v>
      </c>
      <c r="AF68" cm="1">
        <f t="array" aca="1" ref="AF68" ca="1">IF(ISNA(O68),,OFFSET(INDIRECT("'"&amp;AF$67&amp;"'!d1"),O68-1,))</f>
        <v>2</v>
      </c>
      <c r="AG68" cm="1">
        <f t="array" aca="1" ref="AG68" ca="1">IF(ISNA(P68),,OFFSET(INDIRECT("'"&amp;AG$67&amp;"'!d1"),P68-1,))</f>
        <v>2</v>
      </c>
      <c r="AM68">
        <f ca="1">IF(DC68&gt;= $N$3,0,BD68)</f>
        <v>1</v>
      </c>
      <c r="AN68">
        <f t="shared" ref="AN68:AP83" ca="1" si="44">IF(DD68&gt;= $N$3,0,BE68)</f>
        <v>1</v>
      </c>
      <c r="AO68">
        <f t="shared" ca="1" si="44"/>
        <v>1</v>
      </c>
      <c r="AP68">
        <f t="shared" ca="1" si="44"/>
        <v>1</v>
      </c>
      <c r="AQ68">
        <f ca="1">IF(DG68*1&gt;= $N$3,0,BH68)</f>
        <v>1</v>
      </c>
      <c r="AV68" t="b">
        <f ca="1">IF(AM68=1,CL68=1,"")</f>
        <v>1</v>
      </c>
      <c r="AW68" t="b">
        <f t="shared" ref="AW68:AZ86" ca="1" si="45">IF(AN68=1,CM68=1,"")</f>
        <v>1</v>
      </c>
      <c r="AX68" t="b">
        <f t="shared" ca="1" si="45"/>
        <v>1</v>
      </c>
      <c r="AY68" t="b">
        <f t="shared" ca="1" si="45"/>
        <v>1</v>
      </c>
      <c r="AZ68" t="b">
        <f t="shared" ca="1" si="45"/>
        <v>1</v>
      </c>
      <c r="BD68">
        <f t="shared" ref="BD68:BO86" ca="1" si="46">IF(AND(V68&gt;0,V68&lt;$B68),1,0)</f>
        <v>1</v>
      </c>
      <c r="BE68">
        <f t="shared" ca="1" si="46"/>
        <v>1</v>
      </c>
      <c r="BF68">
        <f t="shared" ca="1" si="46"/>
        <v>1</v>
      </c>
      <c r="BG68">
        <f t="shared" ca="1" si="46"/>
        <v>1</v>
      </c>
      <c r="BH68">
        <f t="shared" ca="1" si="46"/>
        <v>1</v>
      </c>
      <c r="BI68">
        <f t="shared" ca="1" si="46"/>
        <v>1</v>
      </c>
      <c r="BJ68">
        <f t="shared" ca="1" si="46"/>
        <v>1</v>
      </c>
      <c r="BK68">
        <f t="shared" ca="1" si="46"/>
        <v>1</v>
      </c>
      <c r="BL68">
        <f t="shared" ca="1" si="46"/>
        <v>1</v>
      </c>
      <c r="BM68">
        <f t="shared" ca="1" si="46"/>
        <v>1</v>
      </c>
      <c r="BN68">
        <f t="shared" ca="1" si="46"/>
        <v>1</v>
      </c>
      <c r="BO68">
        <f t="shared" ca="1" si="46"/>
        <v>1</v>
      </c>
      <c r="BU68">
        <f t="shared" ref="BU68:CF86" ca="1" si="47">IF(BD68,V68,$B68)</f>
        <v>2</v>
      </c>
      <c r="BV68">
        <f t="shared" ca="1" si="47"/>
        <v>2</v>
      </c>
      <c r="BW68">
        <f t="shared" ca="1" si="47"/>
        <v>2</v>
      </c>
      <c r="BX68">
        <f t="shared" ca="1" si="47"/>
        <v>2</v>
      </c>
      <c r="BY68">
        <f t="shared" ca="1" si="47"/>
        <v>2</v>
      </c>
      <c r="BZ68">
        <f t="shared" ca="1" si="47"/>
        <v>2</v>
      </c>
      <c r="CA68">
        <f t="shared" ca="1" si="47"/>
        <v>2</v>
      </c>
      <c r="CB68">
        <f t="shared" ca="1" si="47"/>
        <v>2</v>
      </c>
      <c r="CC68">
        <f t="shared" ca="1" si="47"/>
        <v>2</v>
      </c>
      <c r="CD68">
        <f t="shared" ca="1" si="47"/>
        <v>2</v>
      </c>
      <c r="CE68">
        <f t="shared" ca="1" si="47"/>
        <v>2</v>
      </c>
      <c r="CF68">
        <f t="shared" ca="1" si="47"/>
        <v>2</v>
      </c>
      <c r="CL68">
        <f t="shared" ref="CL68:CW86" ca="1" si="48">IF(BU68=$C68,1,0)</f>
        <v>1</v>
      </c>
      <c r="CM68">
        <f t="shared" ca="1" si="48"/>
        <v>1</v>
      </c>
      <c r="CN68">
        <f t="shared" ca="1" si="48"/>
        <v>1</v>
      </c>
      <c r="CO68">
        <f t="shared" ca="1" si="48"/>
        <v>1</v>
      </c>
      <c r="CP68">
        <f t="shared" ca="1" si="48"/>
        <v>1</v>
      </c>
      <c r="CQ68">
        <f t="shared" ca="1" si="48"/>
        <v>1</v>
      </c>
      <c r="CR68">
        <f t="shared" ca="1" si="48"/>
        <v>1</v>
      </c>
      <c r="CS68">
        <f t="shared" ca="1" si="48"/>
        <v>1</v>
      </c>
      <c r="CT68">
        <f t="shared" ca="1" si="48"/>
        <v>1</v>
      </c>
      <c r="CU68">
        <f t="shared" ca="1" si="48"/>
        <v>1</v>
      </c>
      <c r="CV68">
        <f t="shared" ca="1" si="48"/>
        <v>1</v>
      </c>
      <c r="CW68">
        <f t="shared" ca="1" si="48"/>
        <v>1</v>
      </c>
      <c r="DC68" cm="1">
        <f t="array" aca="1" ref="DC68" ca="1">IF(ISNA(E68),,OFFSET(INDIRECT("'"&amp;DT$67&amp;"'!f1"),E68-1,))*1</f>
        <v>0.51999621900000603</v>
      </c>
      <c r="DD68" cm="1">
        <f t="array" aca="1" ref="DD68" ca="1">IF(ISNA(F68),,OFFSET(INDIRECT("'"&amp;DU$67&amp;"'!f1"),F68-1,))*1</f>
        <v>1.3091833999993601E-2</v>
      </c>
      <c r="DE68" cm="1">
        <f t="array" aca="1" ref="DE68" ca="1">IF(ISNA(G68),,OFFSET(INDIRECT("'"&amp;DV$67&amp;"'!f1"),G68-1,))*1</f>
        <v>0.28055935800000498</v>
      </c>
      <c r="DF68" cm="1">
        <f t="array" aca="1" ref="DF68" ca="1">IF(ISNA(H68),,OFFSET(INDIRECT("'"&amp;DW$67&amp;"'!f1"),H68-1,))*1</f>
        <v>0.307876666999987</v>
      </c>
      <c r="DG68" cm="1">
        <f t="array" aca="1" ref="DG68" ca="1">IF(ISNA(I68),,OFFSET(INDIRECT("'"&amp;DX$67&amp;"'!f1"),I68-1,))*1</f>
        <v>0.92031004199816302</v>
      </c>
      <c r="DH68" cm="1">
        <f t="array" aca="1" ref="DH68" ca="1">IF(ISNA(J68),,OFFSET(INDIRECT("'"&amp;DY$67&amp;"'!f1"),J68-1,))*1</f>
        <v>1.7929859925061398E-2</v>
      </c>
      <c r="DI68" cm="1">
        <f t="array" aca="1" ref="DI68" ca="1">IF(ISNA(K68),,OFFSET(INDIRECT("'"&amp;DZ$67&amp;"'!f1"),K68-1,))*1</f>
        <v>0.71865071542560999</v>
      </c>
      <c r="DJ68" cm="1">
        <f t="array" aca="1" ref="DJ68" ca="1">IF(ISNA(L68),,OFFSET(INDIRECT("'"&amp;EA$67&amp;"'!f1"),L68-1,))*1</f>
        <v>1.27079537231475</v>
      </c>
      <c r="DK68" cm="1">
        <f t="array" aca="1" ref="DK68" ca="1">IF(ISNA(M68),,OFFSET(INDIRECT("'"&amp;EB$67&amp;"'!f1"),M68-1,))*1</f>
        <v>6.4833279289305201</v>
      </c>
      <c r="DL68" cm="1">
        <f t="array" aca="1" ref="DL68" ca="1">IF(ISNA(N68),,OFFSET(INDIRECT("'"&amp;EC$67&amp;"'!f1"),N68-1,))*1</f>
        <v>2.77306325733661E-3</v>
      </c>
      <c r="DM68" cm="1">
        <f t="array" aca="1" ref="DM68" ca="1">IF(ISNA(O68),,OFFSET(INDIRECT("'"&amp;ED$67&amp;"'!f1"),O68-1,))*1</f>
        <v>2.8045335784554399E-3</v>
      </c>
      <c r="DN68" cm="1">
        <f t="array" aca="1" ref="DN68" ca="1">IF(ISNA(P68),,OFFSET(INDIRECT("'"&amp;EE$67&amp;"'!f1"),P68-1,))*1</f>
        <v>2.3830961436033201E-3</v>
      </c>
      <c r="DT68">
        <f ca="1">IF(CL68,EK68,)</f>
        <v>1</v>
      </c>
      <c r="DU68">
        <f t="shared" ref="DU68:EE83" ca="1" si="49">IF(CM68,EL68,)</f>
        <v>1</v>
      </c>
      <c r="DV68">
        <f t="shared" ca="1" si="49"/>
        <v>1</v>
      </c>
      <c r="DW68">
        <f t="shared" ca="1" si="49"/>
        <v>1</v>
      </c>
      <c r="DX68">
        <f t="shared" ca="1" si="49"/>
        <v>1</v>
      </c>
      <c r="DY68">
        <f t="shared" ca="1" si="49"/>
        <v>1</v>
      </c>
      <c r="DZ68">
        <f t="shared" ca="1" si="49"/>
        <v>10000</v>
      </c>
      <c r="EA68">
        <f t="shared" ca="1" si="49"/>
        <v>10000</v>
      </c>
      <c r="EB68">
        <f t="shared" ca="1" si="49"/>
        <v>10000</v>
      </c>
      <c r="EC68">
        <f t="shared" ca="1" si="49"/>
        <v>1</v>
      </c>
      <c r="ED68">
        <f t="shared" ca="1" si="49"/>
        <v>1</v>
      </c>
      <c r="EE68">
        <f t="shared" ca="1" si="4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10000</v>
      </c>
      <c r="ER68" cm="1">
        <f t="array" aca="1" ref="ER68" ca="1">IF(ISNA(L68),0,OFFSET(INDIRECT("'"&amp;ER$67&amp;"'!g1"),L68-1,)*CS68)</f>
        <v>10000</v>
      </c>
      <c r="ES68" cm="1">
        <f t="array" aca="1" ref="ES68" ca="1">IF(ISNA(M68),0,OFFSET(INDIRECT("'"&amp;ES$67&amp;"'!g1"),M68-1,)*CT68)</f>
        <v>10000</v>
      </c>
      <c r="ET68" cm="1">
        <f t="array" aca="1" ref="ET68" ca="1">IF(ISNA(N68),0,OFFSET(INDIRECT("'"&amp;ET$67&amp;"'!g1"),N68-1,)*CU68)</f>
        <v>1</v>
      </c>
      <c r="EU68" cm="1">
        <f t="array" aca="1" ref="EU68" ca="1">IF(ISNA(O68),0,OFFSET(INDIRECT("'"&amp;EU$67&amp;"'!g1"),O68-1,)*CV68)</f>
        <v>1</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2</v>
      </c>
      <c r="FN68" s="10"/>
      <c r="FO68" s="10"/>
      <c r="FP68" s="10"/>
      <c r="FQ68" s="10"/>
      <c r="FS68">
        <f ca="1">B68</f>
        <v>5</v>
      </c>
      <c r="FT68">
        <f ca="1">OFFSET($DC68,,$FT$66-1)</f>
        <v>0.71865071542560999</v>
      </c>
      <c r="FU68">
        <f ca="1">OFFSET($DT68,,$FT$66-1)</f>
        <v>10000</v>
      </c>
      <c r="FV68">
        <f ca="1">OFFSET($FB68,,$FT$66-1)</f>
        <v>10000</v>
      </c>
      <c r="FW68" s="4">
        <f ca="1">IF(FV68,FU68/FV68,NA())</f>
        <v>1</v>
      </c>
      <c r="FX68" s="5">
        <f ca="1">IF(FU68,FT68/FU68,NA())</f>
        <v>7.1865071542560996E-5</v>
      </c>
      <c r="FZ68" s="13">
        <f t="shared" ref="FZ68:FZ89" ca="1" si="50">GN68</f>
        <v>5</v>
      </c>
      <c r="GA68" s="23">
        <f ca="1">IF(BD68,(BU68-$C68)/$C68,NA())</f>
        <v>0</v>
      </c>
      <c r="GB68" s="23">
        <f t="shared" ref="GB68:GL89" ca="1" si="51">IF(BE68,(BV68-$C68)/$C68,NA())</f>
        <v>0</v>
      </c>
      <c r="GC68" s="23">
        <f t="shared" ca="1" si="51"/>
        <v>0</v>
      </c>
      <c r="GD68" s="23">
        <f t="shared" ca="1" si="51"/>
        <v>0</v>
      </c>
      <c r="GE68" s="23">
        <f t="shared" ca="1" si="51"/>
        <v>0</v>
      </c>
      <c r="GF68" s="23">
        <f t="shared" ca="1" si="51"/>
        <v>0</v>
      </c>
      <c r="GG68" s="23">
        <f t="shared" ca="1" si="51"/>
        <v>0</v>
      </c>
      <c r="GH68" s="23">
        <f t="shared" ca="1" si="51"/>
        <v>0</v>
      </c>
      <c r="GI68" s="23">
        <f t="shared" ca="1" si="51"/>
        <v>0</v>
      </c>
      <c r="GJ68" s="23">
        <f t="shared" ca="1" si="51"/>
        <v>0</v>
      </c>
      <c r="GK68" s="23">
        <f t="shared" ca="1" si="51"/>
        <v>0</v>
      </c>
      <c r="GL68" s="23">
        <f t="shared" ca="1" si="51"/>
        <v>0</v>
      </c>
      <c r="GM68" s="23"/>
      <c r="GN68">
        <f ca="1">B68</f>
        <v>5</v>
      </c>
      <c r="GO68" s="5">
        <f ca="1">IF(AND(AM68&gt;0,DT68&gt;0),DC68/DT68,NA())</f>
        <v>0.51999621900000603</v>
      </c>
      <c r="GP68" s="5">
        <f t="shared" ref="GP68:GS83" ca="1" si="52">IF(AND(AN68&gt;0,DU68&gt;0),DD68/DU68,NA())</f>
        <v>1.3091833999993601E-2</v>
      </c>
      <c r="GQ68" s="5">
        <f t="shared" ca="1" si="52"/>
        <v>0.28055935800000498</v>
      </c>
      <c r="GR68" s="5">
        <f t="shared" ca="1" si="52"/>
        <v>0.307876666999987</v>
      </c>
      <c r="GS68" s="5">
        <f t="shared" ca="1" si="52"/>
        <v>0.92031004199816302</v>
      </c>
      <c r="GT68" s="5">
        <f ca="1">IF(DY68&gt;0,DH68/DY68,NA())</f>
        <v>1.7929859925061398E-2</v>
      </c>
      <c r="GU68" s="5">
        <f t="shared" ref="GU68:GZ83" ca="1" si="53">IF(DZ68&gt;0,DI68/DZ68,NA())</f>
        <v>7.1865071542560996E-5</v>
      </c>
      <c r="GV68" s="5">
        <f t="shared" ca="1" si="53"/>
        <v>1.2707953723147501E-4</v>
      </c>
      <c r="GW68" s="5">
        <f t="shared" ca="1" si="53"/>
        <v>6.4833279289305205E-4</v>
      </c>
      <c r="GX68" s="5">
        <f t="shared" ca="1" si="53"/>
        <v>2.77306325733661E-3</v>
      </c>
      <c r="GY68" s="5">
        <f t="shared" ca="1" si="53"/>
        <v>2.8045335784554399E-3</v>
      </c>
      <c r="GZ68" s="5">
        <f t="shared" ca="1" si="53"/>
        <v>1.1915480718016601E-3</v>
      </c>
      <c r="HB68" s="13">
        <f t="shared" ref="HB68:HB89" ca="1" si="54">GN68</f>
        <v>5</v>
      </c>
      <c r="HC68" s="4">
        <f ca="1">IF(FB68,DT68/FB68,)</f>
        <v>1</v>
      </c>
      <c r="HD68" s="4">
        <f t="shared" ref="HD68:HN89" ca="1" si="55">IF(FC68,DU68/FC68,)</f>
        <v>1</v>
      </c>
      <c r="HE68" s="4">
        <f t="shared" ca="1" si="55"/>
        <v>1</v>
      </c>
      <c r="HF68" s="4">
        <f t="shared" ca="1" si="55"/>
        <v>1</v>
      </c>
      <c r="HG68" s="4">
        <f t="shared" ca="1" si="55"/>
        <v>1</v>
      </c>
      <c r="HH68" s="4">
        <f t="shared" ca="1" si="55"/>
        <v>1</v>
      </c>
      <c r="HI68" s="4">
        <f t="shared" ca="1" si="55"/>
        <v>1</v>
      </c>
      <c r="HJ68" s="4">
        <f t="shared" ca="1" si="55"/>
        <v>1</v>
      </c>
      <c r="HK68" s="4">
        <f t="shared" ca="1" si="55"/>
        <v>1</v>
      </c>
      <c r="HL68" s="4">
        <f t="shared" ca="1" si="55"/>
        <v>1</v>
      </c>
      <c r="HM68" s="4">
        <f t="shared" ca="1" si="55"/>
        <v>1</v>
      </c>
      <c r="HN68" s="4">
        <f t="shared" ca="1" si="55"/>
        <v>1</v>
      </c>
    </row>
    <row r="69" spans="1:222" x14ac:dyDescent="0.2">
      <c r="A69" t="str" cm="1">
        <f t="array" aca="1" ref="A69" ca="1">INDIRECT($A$67&amp;"!A"&amp;ROW(C2)+$B$64)</f>
        <v>[[6,3,3]]</v>
      </c>
      <c r="B69" cm="1">
        <f t="array" aca="1" ref="B69" ca="1">INDIRECT($A$67&amp;"!b"&amp;ROW(D2)+$B$64)</f>
        <v>6</v>
      </c>
      <c r="C69">
        <f t="shared" ref="C69:C89" ca="1" si="56">MIN(INDIRECT($A$67&amp;"!d"&amp;ROW(E2)+$B$64),BU69:CG69)</f>
        <v>3</v>
      </c>
      <c r="E69">
        <f t="shared" ca="1" si="43"/>
        <v>26</v>
      </c>
      <c r="F69">
        <f t="shared" ca="1" si="43"/>
        <v>27</v>
      </c>
      <c r="G69">
        <f t="shared" ca="1" si="43"/>
        <v>26</v>
      </c>
      <c r="H69">
        <f t="shared" ca="1" si="43"/>
        <v>26</v>
      </c>
      <c r="I69">
        <f t="shared" ca="1" si="43"/>
        <v>29</v>
      </c>
      <c r="J69">
        <f t="shared" ca="1" si="43"/>
        <v>26</v>
      </c>
      <c r="K69">
        <f t="shared" ca="1" si="43"/>
        <v>33</v>
      </c>
      <c r="L69">
        <f t="shared" ca="1" si="43"/>
        <v>35</v>
      </c>
      <c r="M69">
        <f t="shared" ca="1" si="43"/>
        <v>32</v>
      </c>
      <c r="N69">
        <f t="shared" ca="1" si="43"/>
        <v>30</v>
      </c>
      <c r="O69">
        <f t="shared" ca="1" si="43"/>
        <v>30</v>
      </c>
      <c r="P69">
        <f t="shared" ca="1" si="43"/>
        <v>30</v>
      </c>
      <c r="V69" cm="1">
        <f t="array" aca="1" ref="V69" ca="1">IF(ISNA(E69),,OFFSET(INDIRECT("'"&amp;V$67&amp;"'!d1"),E69-1,))</f>
        <v>3</v>
      </c>
      <c r="W69" cm="1">
        <f t="array" aca="1" ref="W69" ca="1">IF(ISNA(F69),,OFFSET(INDIRECT("'"&amp;W$67&amp;"'!d1"),F69-1,))</f>
        <v>3</v>
      </c>
      <c r="X69" cm="1">
        <f t="array" aca="1" ref="X69" ca="1">IF(ISNA(G69),,OFFSET(INDIRECT("'"&amp;X$67&amp;"'!d1"),G69-1,))</f>
        <v>3</v>
      </c>
      <c r="Y69" cm="1">
        <f t="array" aca="1" ref="Y69" ca="1">IF(ISNA(H69),,OFFSET(INDIRECT("'"&amp;Y$67&amp;"'!d1"),H69-1,))</f>
        <v>3</v>
      </c>
      <c r="Z69" cm="1">
        <f t="array" aca="1" ref="Z69" ca="1">IF(ISNA(I69),,OFFSET(INDIRECT("'"&amp;Z$67&amp;"'!d1"),I69-1,))</f>
        <v>3</v>
      </c>
      <c r="AA69" cm="1">
        <f t="array" aca="1" ref="AA69" ca="1">IF(ISNA(J69),,OFFSET(INDIRECT("'"&amp;AA$67&amp;"'!d1"),J69-1,))</f>
        <v>3</v>
      </c>
      <c r="AB69" cm="1">
        <f t="array" aca="1" ref="AB69" ca="1">IF(ISNA(K69),,OFFSET(INDIRECT("'"&amp;AB$67&amp;"'!d1"),K69-1,))</f>
        <v>3</v>
      </c>
      <c r="AC69" cm="1">
        <f t="array" aca="1" ref="AC69" ca="1">IF(ISNA(L69),,OFFSET(INDIRECT("'"&amp;AC$67&amp;"'!d1"),L69-1,))</f>
        <v>3</v>
      </c>
      <c r="AD69" cm="1">
        <f t="array" aca="1" ref="AD69" ca="1">IF(ISNA(M69),,OFFSET(INDIRECT("'"&amp;AD$67&amp;"'!d1"),M69-1,))</f>
        <v>3</v>
      </c>
      <c r="AE69" cm="1">
        <f t="array" aca="1" ref="AE69" ca="1">IF(ISNA(N69),,OFFSET(INDIRECT("'"&amp;AE$67&amp;"'!d1"),N69-1,))</f>
        <v>3</v>
      </c>
      <c r="AF69" cm="1">
        <f t="array" aca="1" ref="AF69" ca="1">IF(ISNA(O69),,OFFSET(INDIRECT("'"&amp;AF$67&amp;"'!d1"),O69-1,))</f>
        <v>3</v>
      </c>
      <c r="AG69" cm="1">
        <f t="array" aca="1" ref="AG69" ca="1">IF(ISNA(P69),,OFFSET(INDIRECT("'"&amp;AG$67&amp;"'!d1"),P69-1,))</f>
        <v>3</v>
      </c>
      <c r="AM69">
        <f t="shared" ref="AM69:AP86" ca="1" si="57">IF(DC69&gt;= $N$3,0,BD69)</f>
        <v>1</v>
      </c>
      <c r="AN69">
        <f t="shared" ca="1" si="44"/>
        <v>1</v>
      </c>
      <c r="AO69">
        <f t="shared" ca="1" si="44"/>
        <v>1</v>
      </c>
      <c r="AP69">
        <f t="shared" ca="1" si="44"/>
        <v>1</v>
      </c>
      <c r="AQ69">
        <f t="shared" ref="AQ69:AQ89" ca="1" si="58">IF(DG69*1&gt;= $N$3,0,BH69)</f>
        <v>1</v>
      </c>
      <c r="AV69" t="b">
        <f t="shared" ref="AV69:AZ89" ca="1" si="59">IF(AM69=1,CL69=1,"")</f>
        <v>1</v>
      </c>
      <c r="AW69" t="b">
        <f t="shared" ca="1" si="45"/>
        <v>1</v>
      </c>
      <c r="AX69" t="b">
        <f t="shared" ca="1" si="45"/>
        <v>1</v>
      </c>
      <c r="AY69" t="b">
        <f t="shared" ca="1" si="45"/>
        <v>1</v>
      </c>
      <c r="AZ69" t="b">
        <f t="shared" ca="1" si="45"/>
        <v>1</v>
      </c>
      <c r="BD69">
        <f t="shared" ca="1" si="46"/>
        <v>1</v>
      </c>
      <c r="BE69">
        <f t="shared" ca="1" si="46"/>
        <v>1</v>
      </c>
      <c r="BF69">
        <f t="shared" ca="1" si="46"/>
        <v>1</v>
      </c>
      <c r="BG69">
        <f t="shared" ca="1" si="46"/>
        <v>1</v>
      </c>
      <c r="BH69">
        <f t="shared" ca="1" si="46"/>
        <v>1</v>
      </c>
      <c r="BI69">
        <f t="shared" ca="1" si="46"/>
        <v>1</v>
      </c>
      <c r="BJ69">
        <f t="shared" ca="1" si="46"/>
        <v>1</v>
      </c>
      <c r="BK69">
        <f t="shared" ca="1" si="46"/>
        <v>1</v>
      </c>
      <c r="BL69">
        <f t="shared" ca="1" si="46"/>
        <v>1</v>
      </c>
      <c r="BM69">
        <f t="shared" ca="1" si="46"/>
        <v>1</v>
      </c>
      <c r="BN69">
        <f t="shared" ca="1" si="46"/>
        <v>1</v>
      </c>
      <c r="BO69">
        <f t="shared" ca="1" si="46"/>
        <v>1</v>
      </c>
      <c r="BU69">
        <f t="shared" ca="1" si="47"/>
        <v>3</v>
      </c>
      <c r="BV69">
        <f t="shared" ca="1" si="47"/>
        <v>3</v>
      </c>
      <c r="BW69">
        <f t="shared" ca="1" si="47"/>
        <v>3</v>
      </c>
      <c r="BX69">
        <f t="shared" ca="1" si="47"/>
        <v>3</v>
      </c>
      <c r="BY69">
        <f t="shared" ca="1" si="47"/>
        <v>3</v>
      </c>
      <c r="BZ69">
        <f t="shared" ca="1" si="47"/>
        <v>3</v>
      </c>
      <c r="CA69">
        <f t="shared" ca="1" si="47"/>
        <v>3</v>
      </c>
      <c r="CB69">
        <f t="shared" ca="1" si="47"/>
        <v>3</v>
      </c>
      <c r="CC69">
        <f t="shared" ca="1" si="47"/>
        <v>3</v>
      </c>
      <c r="CD69">
        <f t="shared" ca="1" si="47"/>
        <v>3</v>
      </c>
      <c r="CE69">
        <f t="shared" ca="1" si="47"/>
        <v>3</v>
      </c>
      <c r="CF69">
        <f t="shared" ca="1" si="47"/>
        <v>3</v>
      </c>
      <c r="CL69">
        <f t="shared" ca="1" si="48"/>
        <v>1</v>
      </c>
      <c r="CM69">
        <f t="shared" ca="1" si="48"/>
        <v>1</v>
      </c>
      <c r="CN69">
        <f t="shared" ca="1" si="48"/>
        <v>1</v>
      </c>
      <c r="CO69">
        <f t="shared" ca="1" si="48"/>
        <v>1</v>
      </c>
      <c r="CP69">
        <f t="shared" ca="1" si="48"/>
        <v>1</v>
      </c>
      <c r="CQ69">
        <f t="shared" ca="1" si="48"/>
        <v>1</v>
      </c>
      <c r="CR69">
        <f t="shared" ca="1" si="48"/>
        <v>1</v>
      </c>
      <c r="CS69">
        <f t="shared" ca="1" si="48"/>
        <v>1</v>
      </c>
      <c r="CT69">
        <f t="shared" ca="1" si="48"/>
        <v>1</v>
      </c>
      <c r="CU69">
        <f t="shared" ca="1" si="48"/>
        <v>1</v>
      </c>
      <c r="CV69">
        <f t="shared" ca="1" si="48"/>
        <v>1</v>
      </c>
      <c r="CW69">
        <f t="shared" ca="1" si="48"/>
        <v>1</v>
      </c>
      <c r="DC69" cm="1">
        <f t="array" aca="1" ref="DC69" ca="1">IF(ISNA(E69),,OFFSET(INDIRECT("'"&amp;DT$67&amp;"'!f1"),E69-1,))*1</f>
        <v>2.3476796000011201E-2</v>
      </c>
      <c r="DD69" cm="1">
        <f t="array" aca="1" ref="DD69" ca="1">IF(ISNA(F69),,OFFSET(INDIRECT("'"&amp;DU$67&amp;"'!f1"),F69-1,))*1</f>
        <v>0.26379550300001098</v>
      </c>
      <c r="DE69" cm="1">
        <f t="array" aca="1" ref="DE69" ca="1">IF(ISNA(G69),,OFFSET(INDIRECT("'"&amp;DV$67&amp;"'!f1"),G69-1,))*1</f>
        <v>3.8065457999977001E-2</v>
      </c>
      <c r="DF69" cm="1">
        <f t="array" aca="1" ref="DF69" ca="1">IF(ISNA(H69),,OFFSET(INDIRECT("'"&amp;DW$67&amp;"'!f1"),H69-1,))*1</f>
        <v>5.3326826000017001E-2</v>
      </c>
      <c r="DG69" cm="1">
        <f t="array" aca="1" ref="DG69" ca="1">IF(ISNA(I69),,OFFSET(INDIRECT("'"&amp;DX$67&amp;"'!f1"),I69-1,))*1</f>
        <v>5.9132041002157999E-2</v>
      </c>
      <c r="DH69" cm="1">
        <f t="array" aca="1" ref="DH69" ca="1">IF(ISNA(J69),,OFFSET(INDIRECT("'"&amp;DY$67&amp;"'!f1"),J69-1,))*1</f>
        <v>1.6970871016383102E-2</v>
      </c>
      <c r="DI69" cm="1">
        <f t="array" aca="1" ref="DI69" ca="1">IF(ISNA(K69),,OFFSET(INDIRECT("'"&amp;DZ$67&amp;"'!f1"),K69-1,))*1</f>
        <v>0.72665463667362895</v>
      </c>
      <c r="DJ69" cm="1">
        <f t="array" aca="1" ref="DJ69" ca="1">IF(ISNA(L69),,OFFSET(INDIRECT("'"&amp;EA$67&amp;"'!f1"),L69-1,))*1</f>
        <v>1.29493954870849</v>
      </c>
      <c r="DK69" cm="1">
        <f t="array" aca="1" ref="DK69" ca="1">IF(ISNA(M69),,OFFSET(INDIRECT("'"&amp;EB$67&amp;"'!f1"),M69-1,))*1</f>
        <v>7.2771866242401302</v>
      </c>
      <c r="DL69" cm="1">
        <f t="array" aca="1" ref="DL69" ca="1">IF(ISNA(N69),,OFFSET(INDIRECT("'"&amp;EC$67&amp;"'!f1"),N69-1,))*1</f>
        <v>2.0101163536310101E-3</v>
      </c>
      <c r="DM69" cm="1">
        <f t="array" aca="1" ref="DM69" ca="1">IF(ISNA(O69),,OFFSET(INDIRECT("'"&amp;ED$67&amp;"'!f1"),O69-1,))*1</f>
        <v>1.8885582685470501E-3</v>
      </c>
      <c r="DN69" cm="1">
        <f t="array" aca="1" ref="DN69" ca="1">IF(ISNA(P69),,OFFSET(INDIRECT("'"&amp;EE$67&amp;"'!f1"),P69-1,))*1</f>
        <v>1.96157116442918E-3</v>
      </c>
      <c r="DT69">
        <f t="shared" ref="DT69:EE86" ca="1" si="60">IF(CL69,EK69,)</f>
        <v>1</v>
      </c>
      <c r="DU69">
        <f t="shared" ca="1" si="49"/>
        <v>1</v>
      </c>
      <c r="DV69">
        <f t="shared" ca="1" si="49"/>
        <v>1</v>
      </c>
      <c r="DW69">
        <f t="shared" ca="1" si="49"/>
        <v>1</v>
      </c>
      <c r="DX69">
        <f t="shared" ca="1" si="49"/>
        <v>1</v>
      </c>
      <c r="DY69">
        <f t="shared" ca="1" si="49"/>
        <v>1</v>
      </c>
      <c r="DZ69">
        <f t="shared" ca="1" si="49"/>
        <v>10000</v>
      </c>
      <c r="EA69">
        <f t="shared" ca="1" si="49"/>
        <v>10000</v>
      </c>
      <c r="EB69">
        <f t="shared" ca="1" si="49"/>
        <v>9162</v>
      </c>
      <c r="EC69">
        <f t="shared" ca="1" si="49"/>
        <v>1</v>
      </c>
      <c r="ED69">
        <f t="shared" ca="1" si="49"/>
        <v>1</v>
      </c>
      <c r="EE69">
        <f t="shared" ca="1" si="49"/>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10000</v>
      </c>
      <c r="ER69" cm="1">
        <f t="array" aca="1" ref="ER69" ca="1">IF(ISNA(L69),0,OFFSET(INDIRECT("'"&amp;ER$67&amp;"'!g1"),L69-1,)*CS69)</f>
        <v>10000</v>
      </c>
      <c r="ES69" cm="1">
        <f t="array" aca="1" ref="ES69" ca="1">IF(ISNA(M69),0,OFFSET(INDIRECT("'"&amp;ES$67&amp;"'!g1"),M69-1,)*CT69)</f>
        <v>9162</v>
      </c>
      <c r="ET69" cm="1">
        <f t="array" aca="1" ref="ET69" ca="1">IF(ISNA(N69),0,OFFSET(INDIRECT("'"&amp;ET$67&amp;"'!g1"),N69-1,)*CU69)</f>
        <v>1</v>
      </c>
      <c r="EU69" cm="1">
        <f t="array" aca="1" ref="EU69" ca="1">IF(ISNA(O69),0,OFFSET(INDIRECT("'"&amp;EU$67&amp;"'!g1"),O69-1,)*CV69)</f>
        <v>1</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2</v>
      </c>
      <c r="FN69" s="10"/>
      <c r="FO69" s="10"/>
      <c r="FP69" s="10"/>
      <c r="FQ69" s="10"/>
      <c r="FS69">
        <f t="shared" ref="FS69:FS89" ca="1" si="61">B69</f>
        <v>6</v>
      </c>
      <c r="FT69">
        <f t="shared" ref="FT69:FT188" ca="1" si="62">OFFSET($DC69,,$FT$66-1)</f>
        <v>0.72665463667362895</v>
      </c>
      <c r="FU69">
        <f t="shared" ref="FU69:FU188" ca="1" si="63">OFFSET($DT69,,$FT$66-1)</f>
        <v>10000</v>
      </c>
      <c r="FV69">
        <f t="shared" ref="FV69:FV188" ca="1" si="64">OFFSET($FB69,,$FT$66-1)</f>
        <v>10000</v>
      </c>
      <c r="FW69" s="4">
        <f t="shared" ref="FW69:FW89" ca="1" si="65">IF(FV69,FU69/FV69,NA())</f>
        <v>1</v>
      </c>
      <c r="FX69" s="5">
        <f t="shared" ref="FX69:FX89" ca="1" si="66">IF(FU69,FT69/FU69,NA())</f>
        <v>7.2665463667362896E-5</v>
      </c>
      <c r="FZ69" s="13">
        <f t="shared" ca="1" si="50"/>
        <v>6</v>
      </c>
      <c r="GA69" s="23">
        <f t="shared" ref="GA69:GA89" ca="1" si="67">IF(BD69,(BU69-$C69)/$C69,NA())</f>
        <v>0</v>
      </c>
      <c r="GB69" s="23">
        <f t="shared" ca="1" si="51"/>
        <v>0</v>
      </c>
      <c r="GC69" s="23">
        <f t="shared" ca="1" si="51"/>
        <v>0</v>
      </c>
      <c r="GD69" s="23">
        <f t="shared" ca="1" si="51"/>
        <v>0</v>
      </c>
      <c r="GE69" s="23">
        <f t="shared" ca="1" si="51"/>
        <v>0</v>
      </c>
      <c r="GF69" s="23">
        <f t="shared" ca="1" si="51"/>
        <v>0</v>
      </c>
      <c r="GG69" s="23">
        <f t="shared" ca="1" si="51"/>
        <v>0</v>
      </c>
      <c r="GH69" s="23">
        <f t="shared" ca="1" si="51"/>
        <v>0</v>
      </c>
      <c r="GI69" s="23">
        <f t="shared" ca="1" si="51"/>
        <v>0</v>
      </c>
      <c r="GJ69" s="23">
        <f t="shared" ca="1" si="51"/>
        <v>0</v>
      </c>
      <c r="GK69" s="23">
        <f t="shared" ca="1" si="51"/>
        <v>0</v>
      </c>
      <c r="GL69" s="23">
        <f t="shared" ca="1" si="51"/>
        <v>0</v>
      </c>
      <c r="GM69" s="23"/>
      <c r="GN69">
        <f t="shared" ref="GN69:GN89" ca="1" si="68">B69</f>
        <v>6</v>
      </c>
      <c r="GO69" s="5">
        <f t="shared" ref="GO69:GS89" ca="1" si="69">IF(AND(AM69&gt;0,DT69&gt;0),DC69/DT69,NA())</f>
        <v>2.3476796000011201E-2</v>
      </c>
      <c r="GP69" s="5">
        <f t="shared" ca="1" si="52"/>
        <v>0.26379550300001098</v>
      </c>
      <c r="GQ69" s="5">
        <f t="shared" ca="1" si="52"/>
        <v>3.8065457999977001E-2</v>
      </c>
      <c r="GR69" s="5">
        <f t="shared" ca="1" si="52"/>
        <v>5.3326826000017001E-2</v>
      </c>
      <c r="GS69" s="5">
        <f t="shared" ca="1" si="52"/>
        <v>5.9132041002157999E-2</v>
      </c>
      <c r="GT69" s="5">
        <f t="shared" ref="GT69:GZ89" ca="1" si="70">IF(DY69&gt;0,DH69/DY69,NA())</f>
        <v>1.6970871016383102E-2</v>
      </c>
      <c r="GU69" s="5">
        <f t="shared" ca="1" si="53"/>
        <v>7.2665463667362896E-5</v>
      </c>
      <c r="GV69" s="5">
        <f t="shared" ca="1" si="53"/>
        <v>1.29493954870849E-4</v>
      </c>
      <c r="GW69" s="5">
        <f t="shared" ca="1" si="53"/>
        <v>7.9427926481555669E-4</v>
      </c>
      <c r="GX69" s="5">
        <f t="shared" ca="1" si="53"/>
        <v>2.0101163536310101E-3</v>
      </c>
      <c r="GY69" s="5">
        <f t="shared" ca="1" si="53"/>
        <v>1.8885582685470501E-3</v>
      </c>
      <c r="GZ69" s="5">
        <f t="shared" ca="1" si="53"/>
        <v>9.8078558221458998E-4</v>
      </c>
      <c r="HB69" s="13">
        <f t="shared" ca="1" si="54"/>
        <v>6</v>
      </c>
      <c r="HC69" s="4">
        <f t="shared" ref="HC69:HC89" ca="1" si="71">IF(FB69,DT69/FB69,)</f>
        <v>1</v>
      </c>
      <c r="HD69" s="4">
        <f t="shared" ca="1" si="55"/>
        <v>1</v>
      </c>
      <c r="HE69" s="4">
        <f t="shared" ca="1" si="55"/>
        <v>1</v>
      </c>
      <c r="HF69" s="4">
        <f t="shared" ca="1" si="55"/>
        <v>1</v>
      </c>
      <c r="HG69" s="4">
        <f t="shared" ca="1" si="55"/>
        <v>1</v>
      </c>
      <c r="HH69" s="4">
        <f t="shared" ca="1" si="55"/>
        <v>1</v>
      </c>
      <c r="HI69" s="4">
        <f t="shared" ca="1" si="55"/>
        <v>1</v>
      </c>
      <c r="HJ69" s="4">
        <f t="shared" ca="1" si="55"/>
        <v>1</v>
      </c>
      <c r="HK69" s="4">
        <f t="shared" ca="1" si="55"/>
        <v>0.91620000000000001</v>
      </c>
      <c r="HL69" s="4">
        <f t="shared" ca="1" si="55"/>
        <v>1</v>
      </c>
      <c r="HM69" s="4">
        <f t="shared" ca="1" si="55"/>
        <v>1</v>
      </c>
      <c r="HN69" s="4">
        <f t="shared" ca="1" si="55"/>
        <v>1</v>
      </c>
    </row>
    <row r="70" spans="1:222" x14ac:dyDescent="0.2">
      <c r="A70" t="str" cm="1">
        <f t="array" aca="1" ref="A70" ca="1">INDIRECT($A$67&amp;"!A"&amp;ROW(C3)+$B$64)</f>
        <v>[[7,3,4]]</v>
      </c>
      <c r="B70" cm="1">
        <f t="array" aca="1" ref="B70" ca="1">INDIRECT($A$67&amp;"!b"&amp;ROW(D3)+$B$64)</f>
        <v>7</v>
      </c>
      <c r="C70">
        <f t="shared" ca="1" si="56"/>
        <v>4</v>
      </c>
      <c r="E70">
        <f t="shared" ca="1" si="43"/>
        <v>27</v>
      </c>
      <c r="F70">
        <f t="shared" ca="1" si="43"/>
        <v>28</v>
      </c>
      <c r="G70">
        <f t="shared" ca="1" si="43"/>
        <v>27</v>
      </c>
      <c r="H70">
        <f t="shared" ca="1" si="43"/>
        <v>27</v>
      </c>
      <c r="I70">
        <f t="shared" ca="1" si="43"/>
        <v>30</v>
      </c>
      <c r="J70">
        <f t="shared" ca="1" si="43"/>
        <v>27</v>
      </c>
      <c r="K70">
        <f t="shared" ca="1" si="43"/>
        <v>34</v>
      </c>
      <c r="L70">
        <f t="shared" ca="1" si="43"/>
        <v>36</v>
      </c>
      <c r="M70">
        <f t="shared" ca="1" si="43"/>
        <v>33</v>
      </c>
      <c r="N70">
        <f t="shared" ca="1" si="43"/>
        <v>31</v>
      </c>
      <c r="O70">
        <f t="shared" ca="1" si="43"/>
        <v>31</v>
      </c>
      <c r="P70">
        <f t="shared" ca="1" si="43"/>
        <v>31</v>
      </c>
      <c r="V70" cm="1">
        <f t="array" aca="1" ref="V70" ca="1">IF(ISNA(E70),,OFFSET(INDIRECT("'"&amp;V$67&amp;"'!d1"),E70-1,))</f>
        <v>4</v>
      </c>
      <c r="W70" cm="1">
        <f t="array" aca="1" ref="W70" ca="1">IF(ISNA(F70),,OFFSET(INDIRECT("'"&amp;W$67&amp;"'!d1"),F70-1,))</f>
        <v>4</v>
      </c>
      <c r="X70" cm="1">
        <f t="array" aca="1" ref="X70" ca="1">IF(ISNA(G70),,OFFSET(INDIRECT("'"&amp;X$67&amp;"'!d1"),G70-1,))</f>
        <v>4</v>
      </c>
      <c r="Y70" cm="1">
        <f t="array" aca="1" ref="Y70" ca="1">IF(ISNA(H70),,OFFSET(INDIRECT("'"&amp;Y$67&amp;"'!d1"),H70-1,))</f>
        <v>4</v>
      </c>
      <c r="Z70" cm="1">
        <f t="array" aca="1" ref="Z70" ca="1">IF(ISNA(I70),,OFFSET(INDIRECT("'"&amp;Z$67&amp;"'!d1"),I70-1,))</f>
        <v>4</v>
      </c>
      <c r="AA70" cm="1">
        <f t="array" aca="1" ref="AA70" ca="1">IF(ISNA(J70),,OFFSET(INDIRECT("'"&amp;AA$67&amp;"'!d1"),J70-1,))</f>
        <v>4</v>
      </c>
      <c r="AB70" cm="1">
        <f t="array" aca="1" ref="AB70" ca="1">IF(ISNA(K70),,OFFSET(INDIRECT("'"&amp;AB$67&amp;"'!d1"),K70-1,))</f>
        <v>4</v>
      </c>
      <c r="AC70" cm="1">
        <f t="array" aca="1" ref="AC70" ca="1">IF(ISNA(L70),,OFFSET(INDIRECT("'"&amp;AC$67&amp;"'!d1"),L70-1,))</f>
        <v>4</v>
      </c>
      <c r="AD70" cm="1">
        <f t="array" aca="1" ref="AD70" ca="1">IF(ISNA(M70),,OFFSET(INDIRECT("'"&amp;AD$67&amp;"'!d1"),M70-1,))</f>
        <v>4</v>
      </c>
      <c r="AE70" cm="1">
        <f t="array" aca="1" ref="AE70" ca="1">IF(ISNA(N70),,OFFSET(INDIRECT("'"&amp;AE$67&amp;"'!d1"),N70-1,))</f>
        <v>0</v>
      </c>
      <c r="AF70" cm="1">
        <f t="array" aca="1" ref="AF70" ca="1">IF(ISNA(O70),,OFFSET(INDIRECT("'"&amp;AF$67&amp;"'!d1"),O70-1,))</f>
        <v>4</v>
      </c>
      <c r="AG70" cm="1">
        <f t="array" aca="1" ref="AG70" ca="1">IF(ISNA(P70),,OFFSET(INDIRECT("'"&amp;AG$67&amp;"'!d1"),P70-1,))</f>
        <v>4</v>
      </c>
      <c r="AM70">
        <f t="shared" ca="1" si="57"/>
        <v>1</v>
      </c>
      <c r="AN70">
        <f t="shared" ca="1" si="44"/>
        <v>1</v>
      </c>
      <c r="AO70">
        <f t="shared" ca="1" si="44"/>
        <v>1</v>
      </c>
      <c r="AP70">
        <f t="shared" ca="1" si="44"/>
        <v>1</v>
      </c>
      <c r="AQ70">
        <f t="shared" ca="1" si="58"/>
        <v>1</v>
      </c>
      <c r="AV70" t="b">
        <f t="shared" ca="1" si="59"/>
        <v>1</v>
      </c>
      <c r="AW70" t="b">
        <f t="shared" ca="1" si="45"/>
        <v>1</v>
      </c>
      <c r="AX70" t="b">
        <f t="shared" ca="1" si="45"/>
        <v>1</v>
      </c>
      <c r="AY70" t="b">
        <f t="shared" ca="1" si="45"/>
        <v>1</v>
      </c>
      <c r="AZ70" t="b">
        <f t="shared" ca="1" si="45"/>
        <v>1</v>
      </c>
      <c r="BD70">
        <f t="shared" ca="1" si="46"/>
        <v>1</v>
      </c>
      <c r="BE70">
        <f t="shared" ca="1" si="46"/>
        <v>1</v>
      </c>
      <c r="BF70">
        <f t="shared" ca="1" si="46"/>
        <v>1</v>
      </c>
      <c r="BG70">
        <f t="shared" ca="1" si="46"/>
        <v>1</v>
      </c>
      <c r="BH70">
        <f t="shared" ca="1" si="46"/>
        <v>1</v>
      </c>
      <c r="BI70">
        <f t="shared" ca="1" si="46"/>
        <v>1</v>
      </c>
      <c r="BJ70">
        <f t="shared" ca="1" si="46"/>
        <v>1</v>
      </c>
      <c r="BK70">
        <f t="shared" ca="1" si="46"/>
        <v>1</v>
      </c>
      <c r="BL70">
        <f t="shared" ca="1" si="46"/>
        <v>1</v>
      </c>
      <c r="BM70">
        <f t="shared" ca="1" si="46"/>
        <v>0</v>
      </c>
      <c r="BN70">
        <f t="shared" ca="1" si="46"/>
        <v>1</v>
      </c>
      <c r="BO70">
        <f t="shared" ca="1" si="46"/>
        <v>1</v>
      </c>
      <c r="BU70">
        <f t="shared" ca="1" si="47"/>
        <v>4</v>
      </c>
      <c r="BV70">
        <f t="shared" ca="1" si="47"/>
        <v>4</v>
      </c>
      <c r="BW70">
        <f t="shared" ca="1" si="47"/>
        <v>4</v>
      </c>
      <c r="BX70">
        <f t="shared" ca="1" si="47"/>
        <v>4</v>
      </c>
      <c r="BY70">
        <f t="shared" ca="1" si="47"/>
        <v>4</v>
      </c>
      <c r="BZ70">
        <f t="shared" ca="1" si="47"/>
        <v>4</v>
      </c>
      <c r="CA70">
        <f t="shared" ca="1" si="47"/>
        <v>4</v>
      </c>
      <c r="CB70">
        <f t="shared" ca="1" si="47"/>
        <v>4</v>
      </c>
      <c r="CC70">
        <f t="shared" ca="1" si="47"/>
        <v>4</v>
      </c>
      <c r="CD70">
        <f t="shared" ca="1" si="47"/>
        <v>7</v>
      </c>
      <c r="CE70">
        <f t="shared" ca="1" si="47"/>
        <v>4</v>
      </c>
      <c r="CF70">
        <f t="shared" ca="1" si="47"/>
        <v>4</v>
      </c>
      <c r="CL70">
        <f t="shared" ca="1" si="48"/>
        <v>1</v>
      </c>
      <c r="CM70">
        <f t="shared" ca="1" si="48"/>
        <v>1</v>
      </c>
      <c r="CN70">
        <f t="shared" ca="1" si="48"/>
        <v>1</v>
      </c>
      <c r="CO70">
        <f t="shared" ca="1" si="48"/>
        <v>1</v>
      </c>
      <c r="CP70">
        <f t="shared" ca="1" si="48"/>
        <v>1</v>
      </c>
      <c r="CQ70">
        <f t="shared" ca="1" si="48"/>
        <v>1</v>
      </c>
      <c r="CR70">
        <f t="shared" ca="1" si="48"/>
        <v>1</v>
      </c>
      <c r="CS70">
        <f t="shared" ca="1" si="48"/>
        <v>1</v>
      </c>
      <c r="CT70">
        <f t="shared" ca="1" si="48"/>
        <v>1</v>
      </c>
      <c r="CU70">
        <f t="shared" ca="1" si="48"/>
        <v>0</v>
      </c>
      <c r="CV70">
        <f t="shared" ca="1" si="48"/>
        <v>1</v>
      </c>
      <c r="CW70">
        <f t="shared" ca="1" si="48"/>
        <v>1</v>
      </c>
      <c r="DC70" cm="1">
        <f t="array" aca="1" ref="DC70" ca="1">IF(ISNA(E70),,OFFSET(INDIRECT("'"&amp;DT$67&amp;"'!f1"),E70-1,))*1</f>
        <v>2.3317684999994901E-2</v>
      </c>
      <c r="DD70" cm="1">
        <f t="array" aca="1" ref="DD70" ca="1">IF(ISNA(F70),,OFFSET(INDIRECT("'"&amp;DU$67&amp;"'!f1"),F70-1,))*1</f>
        <v>3.6521911999983503E-2</v>
      </c>
      <c r="DE70" cm="1">
        <f t="array" aca="1" ref="DE70" ca="1">IF(ISNA(G70),,OFFSET(INDIRECT("'"&amp;DV$67&amp;"'!f1"),G70-1,))*1</f>
        <v>2.23985570000024E-2</v>
      </c>
      <c r="DF70" cm="1">
        <f t="array" aca="1" ref="DF70" ca="1">IF(ISNA(H70),,OFFSET(INDIRECT("'"&amp;DW$67&amp;"'!f1"),H70-1,))*1</f>
        <v>6.5493571999979794E-2</v>
      </c>
      <c r="DG70" cm="1">
        <f t="array" aca="1" ref="DG70" ca="1">IF(ISNA(I70),,OFFSET(INDIRECT("'"&amp;DX$67&amp;"'!f1"),I70-1,))*1</f>
        <v>5.9731417000875801E-2</v>
      </c>
      <c r="DH70" cm="1">
        <f t="array" aca="1" ref="DH70" ca="1">IF(ISNA(J70),,OFFSET(INDIRECT("'"&amp;DY$67&amp;"'!f1"),J70-1,))*1</f>
        <v>1.79922361858189E-2</v>
      </c>
      <c r="DI70" cm="1">
        <f t="array" aca="1" ref="DI70" ca="1">IF(ISNA(K70),,OFFSET(INDIRECT("'"&amp;DZ$67&amp;"'!f1"),K70-1,))*1</f>
        <v>0.758124397136271</v>
      </c>
      <c r="DJ70" cm="1">
        <f t="array" aca="1" ref="DJ70" ca="1">IF(ISNA(L70),,OFFSET(INDIRECT("'"&amp;EA$67&amp;"'!f1"),L70-1,))*1</f>
        <v>1.32207112479954</v>
      </c>
      <c r="DK70" cm="1">
        <f t="array" aca="1" ref="DK70" ca="1">IF(ISNA(M70),,OFFSET(INDIRECT("'"&amp;EB$67&amp;"'!f1"),M70-1,))*1</f>
        <v>7.3759420458227396</v>
      </c>
      <c r="DL70" cm="1">
        <f t="array" aca="1" ref="DL70" ca="1">IF(ISNA(N70),,OFFSET(INDIRECT("'"&amp;EC$67&amp;"'!f1"),N70-1,))*1</f>
        <v>1.81337911635637E-3</v>
      </c>
      <c r="DM70" cm="1">
        <f t="array" aca="1" ref="DM70" ca="1">IF(ISNA(O70),,OFFSET(INDIRECT("'"&amp;ED$67&amp;"'!f1"),O70-1,))*1</f>
        <v>1.82563345879316E-3</v>
      </c>
      <c r="DN70" cm="1">
        <f t="array" aca="1" ref="DN70" ca="1">IF(ISNA(P70),,OFFSET(INDIRECT("'"&amp;EE$67&amp;"'!f1"),P70-1,))*1</f>
        <v>2.1020770072936999E-3</v>
      </c>
      <c r="DT70">
        <f t="shared" ca="1" si="60"/>
        <v>1</v>
      </c>
      <c r="DU70">
        <f t="shared" ca="1" si="49"/>
        <v>1</v>
      </c>
      <c r="DV70">
        <f t="shared" ca="1" si="49"/>
        <v>1</v>
      </c>
      <c r="DW70">
        <f t="shared" ca="1" si="49"/>
        <v>1</v>
      </c>
      <c r="DX70">
        <f t="shared" ca="1" si="49"/>
        <v>1</v>
      </c>
      <c r="DY70">
        <f t="shared" ca="1" si="49"/>
        <v>1</v>
      </c>
      <c r="DZ70">
        <f t="shared" ca="1" si="49"/>
        <v>10000</v>
      </c>
      <c r="EA70">
        <f t="shared" ca="1" si="49"/>
        <v>10000</v>
      </c>
      <c r="EB70">
        <f t="shared" ca="1" si="49"/>
        <v>10000</v>
      </c>
      <c r="EC70">
        <f t="shared" ca="1" si="49"/>
        <v>0</v>
      </c>
      <c r="ED70">
        <f t="shared" ca="1" si="49"/>
        <v>1</v>
      </c>
      <c r="EE70">
        <f t="shared" ca="1" si="49"/>
        <v>2</v>
      </c>
      <c r="EK70" cm="1">
        <f t="array" aca="1" ref="EK70" ca="1">IF(ISNA(E70),0,OFFSET(INDIRECT("'"&amp;EK$67&amp;"'!g1"),E70-1,)*CL70)</f>
        <v>1</v>
      </c>
      <c r="EL70" cm="1">
        <f t="array" aca="1" ref="EL70" ca="1">IF(ISNA(F70),0,OFFSET(INDIRECT("'"&amp;EL$67&amp;"'!g1"),F70-1,)*CM70)</f>
        <v>1</v>
      </c>
      <c r="EM70" cm="1">
        <f t="array" aca="1" ref="EM70" ca="1">IF(ISNA(G70),0,OFFSET(INDIRECT("'"&amp;EM$67&amp;"'!g1"),G70-1,)*CN70)</f>
        <v>1</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10000</v>
      </c>
      <c r="ER70" cm="1">
        <f t="array" aca="1" ref="ER70" ca="1">IF(ISNA(L70),0,OFFSET(INDIRECT("'"&amp;ER$67&amp;"'!g1"),L70-1,)*CS70)</f>
        <v>10000</v>
      </c>
      <c r="ES70" cm="1">
        <f t="array" aca="1" ref="ES70" ca="1">IF(ISNA(M70),0,OFFSET(INDIRECT("'"&amp;ES$67&amp;"'!g1"),M70-1,)*CT70)</f>
        <v>10000</v>
      </c>
      <c r="ET70" cm="1">
        <f t="array" aca="1" ref="ET70" ca="1">IF(ISNA(N70),0,OFFSET(INDIRECT("'"&amp;ET$67&amp;"'!g1"),N70-1,)*CU70)</f>
        <v>0</v>
      </c>
      <c r="EU70" cm="1">
        <f t="array" aca="1" ref="EU70" ca="1">IF(ISNA(O70),0,OFFSET(INDIRECT("'"&amp;EU$67&amp;"'!g1"),O70-1,)*CV70)</f>
        <v>1</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2</v>
      </c>
      <c r="FN70" s="10"/>
      <c r="FO70" s="10"/>
      <c r="FP70" s="10"/>
      <c r="FQ70" s="10"/>
      <c r="FS70">
        <f t="shared" ca="1" si="61"/>
        <v>7</v>
      </c>
      <c r="FT70">
        <f t="shared" ca="1" si="62"/>
        <v>0.758124397136271</v>
      </c>
      <c r="FU70">
        <f t="shared" ca="1" si="63"/>
        <v>10000</v>
      </c>
      <c r="FV70">
        <f t="shared" ca="1" si="64"/>
        <v>10000</v>
      </c>
      <c r="FW70" s="4">
        <f t="shared" ca="1" si="65"/>
        <v>1</v>
      </c>
      <c r="FX70" s="5">
        <f t="shared" ca="1" si="66"/>
        <v>7.5812439713627094E-5</v>
      </c>
      <c r="FZ70" s="13">
        <f t="shared" ca="1" si="50"/>
        <v>7</v>
      </c>
      <c r="GA70" s="23">
        <f t="shared" ca="1" si="67"/>
        <v>0</v>
      </c>
      <c r="GB70" s="23">
        <f t="shared" ca="1" si="51"/>
        <v>0</v>
      </c>
      <c r="GC70" s="23">
        <f t="shared" ca="1" si="51"/>
        <v>0</v>
      </c>
      <c r="GD70" s="23">
        <f t="shared" ca="1" si="51"/>
        <v>0</v>
      </c>
      <c r="GE70" s="23">
        <f t="shared" ca="1" si="51"/>
        <v>0</v>
      </c>
      <c r="GF70" s="23">
        <f t="shared" ca="1" si="51"/>
        <v>0</v>
      </c>
      <c r="GG70" s="23">
        <f t="shared" ca="1" si="51"/>
        <v>0</v>
      </c>
      <c r="GH70" s="23">
        <f t="shared" ca="1" si="51"/>
        <v>0</v>
      </c>
      <c r="GI70" s="23">
        <f t="shared" ca="1" si="51"/>
        <v>0</v>
      </c>
      <c r="GJ70" s="23" t="e">
        <f t="shared" ca="1" si="51"/>
        <v>#N/A</v>
      </c>
      <c r="GK70" s="23">
        <f t="shared" ca="1" si="51"/>
        <v>0</v>
      </c>
      <c r="GL70" s="23">
        <f t="shared" ca="1" si="51"/>
        <v>0</v>
      </c>
      <c r="GM70" s="23"/>
      <c r="GN70">
        <f t="shared" ca="1" si="68"/>
        <v>7</v>
      </c>
      <c r="GO70" s="5">
        <f t="shared" ca="1" si="69"/>
        <v>2.3317684999994901E-2</v>
      </c>
      <c r="GP70" s="5">
        <f t="shared" ca="1" si="52"/>
        <v>3.6521911999983503E-2</v>
      </c>
      <c r="GQ70" s="5">
        <f t="shared" ca="1" si="52"/>
        <v>2.23985570000024E-2</v>
      </c>
      <c r="GR70" s="5">
        <f t="shared" ca="1" si="52"/>
        <v>6.5493571999979794E-2</v>
      </c>
      <c r="GS70" s="5">
        <f t="shared" ca="1" si="52"/>
        <v>5.9731417000875801E-2</v>
      </c>
      <c r="GT70" s="5">
        <f t="shared" ca="1" si="70"/>
        <v>1.79922361858189E-2</v>
      </c>
      <c r="GU70" s="5">
        <f t="shared" ca="1" si="53"/>
        <v>7.5812439713627094E-5</v>
      </c>
      <c r="GV70" s="5">
        <f t="shared" ca="1" si="53"/>
        <v>1.32207112479954E-4</v>
      </c>
      <c r="GW70" s="5">
        <f t="shared" ca="1" si="53"/>
        <v>7.3759420458227392E-4</v>
      </c>
      <c r="GX70" s="5" t="e">
        <f t="shared" ca="1" si="53"/>
        <v>#N/A</v>
      </c>
      <c r="GY70" s="5">
        <f t="shared" ca="1" si="53"/>
        <v>1.82563345879316E-3</v>
      </c>
      <c r="GZ70" s="5">
        <f t="shared" ca="1" si="53"/>
        <v>1.0510385036468499E-3</v>
      </c>
      <c r="HB70" s="13">
        <f t="shared" ca="1" si="54"/>
        <v>7</v>
      </c>
      <c r="HC70" s="4">
        <f t="shared" ca="1" si="71"/>
        <v>1</v>
      </c>
      <c r="HD70" s="4">
        <f t="shared" ca="1" si="55"/>
        <v>1</v>
      </c>
      <c r="HE70" s="4">
        <f t="shared" ca="1" si="55"/>
        <v>1</v>
      </c>
      <c r="HF70" s="4">
        <f t="shared" ca="1" si="55"/>
        <v>1</v>
      </c>
      <c r="HG70" s="4">
        <f t="shared" ca="1" si="55"/>
        <v>1</v>
      </c>
      <c r="HH70" s="4">
        <f t="shared" ca="1" si="55"/>
        <v>1</v>
      </c>
      <c r="HI70" s="4">
        <f t="shared" ca="1" si="55"/>
        <v>1</v>
      </c>
      <c r="HJ70" s="4">
        <f t="shared" ca="1" si="55"/>
        <v>1</v>
      </c>
      <c r="HK70" s="4">
        <f t="shared" ca="1" si="55"/>
        <v>1</v>
      </c>
      <c r="HL70" s="4">
        <f t="shared" ca="1" si="55"/>
        <v>0</v>
      </c>
      <c r="HM70" s="4">
        <f t="shared" ca="1" si="55"/>
        <v>1</v>
      </c>
      <c r="HN70" s="4">
        <f t="shared" ca="1" si="55"/>
        <v>1</v>
      </c>
    </row>
    <row r="71" spans="1:222" x14ac:dyDescent="0.2">
      <c r="A71" t="str" cm="1">
        <f t="array" aca="1" ref="A71" ca="1">INDIRECT($A$67&amp;"!A"&amp;ROW(C4)+$B$64)</f>
        <v>[[8,3,4]]</v>
      </c>
      <c r="B71" cm="1">
        <f t="array" aca="1" ref="B71" ca="1">INDIRECT($A$67&amp;"!b"&amp;ROW(D4)+$B$64)</f>
        <v>8</v>
      </c>
      <c r="C71">
        <f t="shared" ca="1" si="56"/>
        <v>4</v>
      </c>
      <c r="E71">
        <f t="shared" ca="1" si="43"/>
        <v>28</v>
      </c>
      <c r="F71">
        <f t="shared" ca="1" si="43"/>
        <v>29</v>
      </c>
      <c r="G71">
        <f t="shared" ca="1" si="43"/>
        <v>28</v>
      </c>
      <c r="H71">
        <f t="shared" ca="1" si="43"/>
        <v>28</v>
      </c>
      <c r="I71">
        <f t="shared" ca="1" si="43"/>
        <v>31</v>
      </c>
      <c r="J71">
        <f t="shared" ca="1" si="43"/>
        <v>28</v>
      </c>
      <c r="K71">
        <f t="shared" ca="1" si="43"/>
        <v>35</v>
      </c>
      <c r="L71">
        <f t="shared" ca="1" si="43"/>
        <v>37</v>
      </c>
      <c r="M71">
        <f t="shared" ca="1" si="43"/>
        <v>34</v>
      </c>
      <c r="N71">
        <f t="shared" ca="1" si="43"/>
        <v>32</v>
      </c>
      <c r="O71">
        <f t="shared" ca="1" si="43"/>
        <v>32</v>
      </c>
      <c r="P71">
        <f t="shared" ca="1" si="43"/>
        <v>32</v>
      </c>
      <c r="V71" cm="1">
        <f t="array" aca="1" ref="V71" ca="1">IF(ISNA(E71),,OFFSET(INDIRECT("'"&amp;V$67&amp;"'!d1"),E71-1,))</f>
        <v>4</v>
      </c>
      <c r="W71" cm="1">
        <f t="array" aca="1" ref="W71" ca="1">IF(ISNA(F71),,OFFSET(INDIRECT("'"&amp;W$67&amp;"'!d1"),F71-1,))</f>
        <v>4</v>
      </c>
      <c r="X71" cm="1">
        <f t="array" aca="1" ref="X71" ca="1">IF(ISNA(G71),,OFFSET(INDIRECT("'"&amp;X$67&amp;"'!d1"),G71-1,))</f>
        <v>4</v>
      </c>
      <c r="Y71" cm="1">
        <f t="array" aca="1" ref="Y71" ca="1">IF(ISNA(H71),,OFFSET(INDIRECT("'"&amp;Y$67&amp;"'!d1"),H71-1,))</f>
        <v>4</v>
      </c>
      <c r="Z71" cm="1">
        <f t="array" aca="1" ref="Z71" ca="1">IF(ISNA(I71),,OFFSET(INDIRECT("'"&amp;Z$67&amp;"'!d1"),I71-1,))</f>
        <v>4</v>
      </c>
      <c r="AA71" cm="1">
        <f t="array" aca="1" ref="AA71" ca="1">IF(ISNA(J71),,OFFSET(INDIRECT("'"&amp;AA$67&amp;"'!d1"),J71-1,))</f>
        <v>4</v>
      </c>
      <c r="AB71" cm="1">
        <f t="array" aca="1" ref="AB71" ca="1">IF(ISNA(K71),,OFFSET(INDIRECT("'"&amp;AB$67&amp;"'!d1"),K71-1,))</f>
        <v>4</v>
      </c>
      <c r="AC71" cm="1">
        <f t="array" aca="1" ref="AC71" ca="1">IF(ISNA(L71),,OFFSET(INDIRECT("'"&amp;AC$67&amp;"'!d1"),L71-1,))</f>
        <v>4</v>
      </c>
      <c r="AD71" cm="1">
        <f t="array" aca="1" ref="AD71" ca="1">IF(ISNA(M71),,OFFSET(INDIRECT("'"&amp;AD$67&amp;"'!d1"),M71-1,))</f>
        <v>4</v>
      </c>
      <c r="AE71" cm="1">
        <f t="array" aca="1" ref="AE71" ca="1">IF(ISNA(N71),,OFFSET(INDIRECT("'"&amp;AE$67&amp;"'!d1"),N71-1,))</f>
        <v>0</v>
      </c>
      <c r="AF71" cm="1">
        <f t="array" aca="1" ref="AF71" ca="1">IF(ISNA(O71),,OFFSET(INDIRECT("'"&amp;AF$67&amp;"'!d1"),O71-1,))</f>
        <v>4</v>
      </c>
      <c r="AG71" cm="1">
        <f t="array" aca="1" ref="AG71" ca="1">IF(ISNA(P71),,OFFSET(INDIRECT("'"&amp;AG$67&amp;"'!d1"),P71-1,))</f>
        <v>4</v>
      </c>
      <c r="AM71">
        <f t="shared" ca="1" si="57"/>
        <v>1</v>
      </c>
      <c r="AN71">
        <f t="shared" ca="1" si="44"/>
        <v>1</v>
      </c>
      <c r="AO71">
        <f t="shared" ca="1" si="44"/>
        <v>1</v>
      </c>
      <c r="AP71">
        <f t="shared" ca="1" si="44"/>
        <v>1</v>
      </c>
      <c r="AQ71">
        <f t="shared" ca="1" si="58"/>
        <v>1</v>
      </c>
      <c r="AV71" t="b">
        <f t="shared" ca="1" si="59"/>
        <v>1</v>
      </c>
      <c r="AW71" t="b">
        <f t="shared" ca="1" si="45"/>
        <v>1</v>
      </c>
      <c r="AX71" t="b">
        <f t="shared" ca="1" si="45"/>
        <v>1</v>
      </c>
      <c r="AY71" t="b">
        <f t="shared" ca="1" si="45"/>
        <v>1</v>
      </c>
      <c r="AZ71" t="b">
        <f t="shared" ca="1" si="45"/>
        <v>1</v>
      </c>
      <c r="BD71">
        <f t="shared" ca="1" si="46"/>
        <v>1</v>
      </c>
      <c r="BE71">
        <f t="shared" ca="1" si="46"/>
        <v>1</v>
      </c>
      <c r="BF71">
        <f t="shared" ca="1" si="46"/>
        <v>1</v>
      </c>
      <c r="BG71">
        <f t="shared" ca="1" si="46"/>
        <v>1</v>
      </c>
      <c r="BH71">
        <f t="shared" ca="1" si="46"/>
        <v>1</v>
      </c>
      <c r="BI71">
        <f t="shared" ca="1" si="46"/>
        <v>1</v>
      </c>
      <c r="BJ71">
        <f t="shared" ca="1" si="46"/>
        <v>1</v>
      </c>
      <c r="BK71">
        <f t="shared" ca="1" si="46"/>
        <v>1</v>
      </c>
      <c r="BL71">
        <f t="shared" ca="1" si="46"/>
        <v>1</v>
      </c>
      <c r="BM71">
        <f t="shared" ca="1" si="46"/>
        <v>0</v>
      </c>
      <c r="BN71">
        <f t="shared" ca="1" si="46"/>
        <v>1</v>
      </c>
      <c r="BO71">
        <f t="shared" ca="1" si="46"/>
        <v>1</v>
      </c>
      <c r="BU71">
        <f t="shared" ca="1" si="47"/>
        <v>4</v>
      </c>
      <c r="BV71">
        <f t="shared" ca="1" si="47"/>
        <v>4</v>
      </c>
      <c r="BW71">
        <f t="shared" ca="1" si="47"/>
        <v>4</v>
      </c>
      <c r="BX71">
        <f t="shared" ca="1" si="47"/>
        <v>4</v>
      </c>
      <c r="BY71">
        <f t="shared" ca="1" si="47"/>
        <v>4</v>
      </c>
      <c r="BZ71">
        <f t="shared" ca="1" si="47"/>
        <v>4</v>
      </c>
      <c r="CA71">
        <f t="shared" ca="1" si="47"/>
        <v>4</v>
      </c>
      <c r="CB71">
        <f t="shared" ca="1" si="47"/>
        <v>4</v>
      </c>
      <c r="CC71">
        <f t="shared" ca="1" si="47"/>
        <v>4</v>
      </c>
      <c r="CD71">
        <f t="shared" ca="1" si="47"/>
        <v>8</v>
      </c>
      <c r="CE71">
        <f t="shared" ca="1" si="47"/>
        <v>4</v>
      </c>
      <c r="CF71">
        <f t="shared" ca="1" si="47"/>
        <v>4</v>
      </c>
      <c r="CL71">
        <f t="shared" ca="1" si="48"/>
        <v>1</v>
      </c>
      <c r="CM71">
        <f t="shared" ca="1" si="48"/>
        <v>1</v>
      </c>
      <c r="CN71">
        <f t="shared" ca="1" si="48"/>
        <v>1</v>
      </c>
      <c r="CO71">
        <f t="shared" ca="1" si="48"/>
        <v>1</v>
      </c>
      <c r="CP71">
        <f t="shared" ca="1" si="48"/>
        <v>1</v>
      </c>
      <c r="CQ71">
        <f t="shared" ca="1" si="48"/>
        <v>1</v>
      </c>
      <c r="CR71">
        <f t="shared" ca="1" si="48"/>
        <v>1</v>
      </c>
      <c r="CS71">
        <f t="shared" ca="1" si="48"/>
        <v>1</v>
      </c>
      <c r="CT71">
        <f t="shared" ca="1" si="48"/>
        <v>1</v>
      </c>
      <c r="CU71">
        <f t="shared" ca="1" si="48"/>
        <v>0</v>
      </c>
      <c r="CV71">
        <f t="shared" ca="1" si="48"/>
        <v>1</v>
      </c>
      <c r="CW71">
        <f t="shared" ca="1" si="48"/>
        <v>1</v>
      </c>
      <c r="DC71" cm="1">
        <f t="array" aca="1" ref="DC71" ca="1">IF(ISNA(E71),,OFFSET(INDIRECT("'"&amp;DT$67&amp;"'!f1"),E71-1,))*1</f>
        <v>2.3199311000013201E-2</v>
      </c>
      <c r="DD71" cm="1">
        <f t="array" aca="1" ref="DD71" ca="1">IF(ISNA(F71),,OFFSET(INDIRECT("'"&amp;DU$67&amp;"'!f1"),F71-1,))*1</f>
        <v>9.8388170000021005E-3</v>
      </c>
      <c r="DE71" cm="1">
        <f t="array" aca="1" ref="DE71" ca="1">IF(ISNA(G71),,OFFSET(INDIRECT("'"&amp;DV$67&amp;"'!f1"),G71-1,))*1</f>
        <v>1.2562808000012599E-2</v>
      </c>
      <c r="DF71" cm="1">
        <f t="array" aca="1" ref="DF71" ca="1">IF(ISNA(H71),,OFFSET(INDIRECT("'"&amp;DW$67&amp;"'!f1"),H71-1,))*1</f>
        <v>5.7926476000005701E-2</v>
      </c>
      <c r="DG71" cm="1">
        <f t="array" aca="1" ref="DG71" ca="1">IF(ISNA(I71),,OFFSET(INDIRECT("'"&amp;DX$67&amp;"'!f1"),I71-1,))*1</f>
        <v>6.1138917000789599E-2</v>
      </c>
      <c r="DH71" cm="1">
        <f t="array" aca="1" ref="DH71" ca="1">IF(ISNA(J71),,OFFSET(INDIRECT("'"&amp;DY$67&amp;"'!f1"),J71-1,))*1</f>
        <v>1.86736858449876E-2</v>
      </c>
      <c r="DI71" cm="1">
        <f t="array" aca="1" ref="DI71" ca="1">IF(ISNA(K71),,OFFSET(INDIRECT("'"&amp;DZ$67&amp;"'!f1"),K71-1,))*1</f>
        <v>0.77960081398487002</v>
      </c>
      <c r="DJ71" cm="1">
        <f t="array" aca="1" ref="DJ71" ca="1">IF(ISNA(L71),,OFFSET(INDIRECT("'"&amp;EA$67&amp;"'!f1"),L71-1,))*1</f>
        <v>1.3385189101099899</v>
      </c>
      <c r="DK71" cm="1">
        <f t="array" aca="1" ref="DK71" ca="1">IF(ISNA(M71),,OFFSET(INDIRECT("'"&amp;EB$67&amp;"'!f1"),M71-1,))*1</f>
        <v>7.5209122281521497</v>
      </c>
      <c r="DL71" cm="1">
        <f t="array" aca="1" ref="DL71" ca="1">IF(ISNA(N71),,OFFSET(INDIRECT("'"&amp;EC$67&amp;"'!f1"),N71-1,))*1</f>
        <v>1.77819281816482E-3</v>
      </c>
      <c r="DM71" cm="1">
        <f t="array" aca="1" ref="DM71" ca="1">IF(ISNA(O71),,OFFSET(INDIRECT("'"&amp;ED$67&amp;"'!f1"),O71-1,))*1</f>
        <v>1.9232248887419701E-3</v>
      </c>
      <c r="DN71" cm="1">
        <f t="array" aca="1" ref="DN71" ca="1">IF(ISNA(P71),,OFFSET(INDIRECT("'"&amp;EE$67&amp;"'!f1"),P71-1,))*1</f>
        <v>2.22827773541212E-3</v>
      </c>
      <c r="DT71">
        <f t="shared" ca="1" si="60"/>
        <v>1</v>
      </c>
      <c r="DU71">
        <f t="shared" ca="1" si="49"/>
        <v>1</v>
      </c>
      <c r="DV71">
        <f t="shared" ca="1" si="49"/>
        <v>1</v>
      </c>
      <c r="DW71">
        <f t="shared" ca="1" si="49"/>
        <v>1</v>
      </c>
      <c r="DX71">
        <f t="shared" ca="1" si="49"/>
        <v>1</v>
      </c>
      <c r="DY71">
        <f t="shared" ca="1" si="49"/>
        <v>1</v>
      </c>
      <c r="DZ71">
        <f t="shared" ca="1" si="49"/>
        <v>10000</v>
      </c>
      <c r="EA71">
        <f t="shared" ca="1" si="49"/>
        <v>10000</v>
      </c>
      <c r="EB71">
        <f t="shared" ca="1" si="49"/>
        <v>10000</v>
      </c>
      <c r="EC71">
        <f t="shared" ca="1" si="49"/>
        <v>0</v>
      </c>
      <c r="ED71">
        <f t="shared" ca="1" si="49"/>
        <v>1</v>
      </c>
      <c r="EE71">
        <f t="shared" ca="1" si="49"/>
        <v>2</v>
      </c>
      <c r="EK71" cm="1">
        <f t="array" aca="1" ref="EK71" ca="1">IF(ISNA(E71),0,OFFSET(INDIRECT("'"&amp;EK$67&amp;"'!g1"),E71-1,)*CL71)</f>
        <v>1</v>
      </c>
      <c r="EL71" cm="1">
        <f t="array" aca="1" ref="EL71" ca="1">IF(ISNA(F71),0,OFFSET(INDIRECT("'"&amp;EL$67&amp;"'!g1"),F71-1,)*CM71)</f>
        <v>1</v>
      </c>
      <c r="EM71" cm="1">
        <f t="array" aca="1" ref="EM71" ca="1">IF(ISNA(G71),0,OFFSET(INDIRECT("'"&amp;EM$67&amp;"'!g1"),G71-1,)*CN71)</f>
        <v>1</v>
      </c>
      <c r="EN71" cm="1">
        <f t="array" aca="1" ref="EN71" ca="1">IF(ISNA(H71),0,OFFSET(INDIRECT("'"&amp;EN$67&amp;"'!g1"),H71-1,)*CO71)</f>
        <v>1</v>
      </c>
      <c r="EO71" cm="1">
        <f t="array" aca="1" ref="EO71" ca="1">IF(ISNA(I71),0,OFFSET(INDIRECT("'"&amp;EO$67&amp;"'!g1"),I71-1,)*CP71)</f>
        <v>1</v>
      </c>
      <c r="EP71" cm="1">
        <f t="array" aca="1" ref="EP71" ca="1">IF(ISNA(J71),0,OFFSET(INDIRECT("'"&amp;EP$67&amp;"'!g1"),J71-1,)*CQ71)</f>
        <v>1</v>
      </c>
      <c r="EQ71" cm="1">
        <f t="array" aca="1" ref="EQ71" ca="1">IF(ISNA(K71),0,OFFSET(INDIRECT("'"&amp;EQ$67&amp;"'!g1"),K71-1,)*CR71)</f>
        <v>10000</v>
      </c>
      <c r="ER71" cm="1">
        <f t="array" aca="1" ref="ER71" ca="1">IF(ISNA(L71),0,OFFSET(INDIRECT("'"&amp;ER$67&amp;"'!g1"),L71-1,)*CS71)</f>
        <v>10000</v>
      </c>
      <c r="ES71" cm="1">
        <f t="array" aca="1" ref="ES71" ca="1">IF(ISNA(M71),0,OFFSET(INDIRECT("'"&amp;ES$67&amp;"'!g1"),M71-1,)*CT71)</f>
        <v>10000</v>
      </c>
      <c r="ET71" cm="1">
        <f t="array" aca="1" ref="ET71" ca="1">IF(ISNA(N71),0,OFFSET(INDIRECT("'"&amp;ET$67&amp;"'!g1"),N71-1,)*CU71)</f>
        <v>0</v>
      </c>
      <c r="EU71" cm="1">
        <f t="array" aca="1" ref="EU71" ca="1">IF(ISNA(O71),0,OFFSET(INDIRECT("'"&amp;EU$67&amp;"'!g1"),O71-1,)*CV71)</f>
        <v>1</v>
      </c>
      <c r="EV71" cm="1">
        <f t="array" aca="1" ref="EV71" ca="1">IF(ISNA(P71),0,OFFSET(INDIRECT("'"&amp;EV$67&amp;"'!g1"),P71-1,)*CW71)</f>
        <v>2</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2</v>
      </c>
      <c r="FN71" s="10"/>
      <c r="FO71" s="10"/>
      <c r="FP71" s="10"/>
      <c r="FQ71" s="10"/>
      <c r="FS71">
        <f t="shared" ca="1" si="61"/>
        <v>8</v>
      </c>
      <c r="FT71">
        <f t="shared" ca="1" si="62"/>
        <v>0.77960081398487002</v>
      </c>
      <c r="FU71">
        <f t="shared" ca="1" si="63"/>
        <v>10000</v>
      </c>
      <c r="FV71">
        <f t="shared" ca="1" si="64"/>
        <v>10000</v>
      </c>
      <c r="FW71" s="4">
        <f t="shared" ca="1" si="65"/>
        <v>1</v>
      </c>
      <c r="FX71" s="5">
        <f t="shared" ca="1" si="66"/>
        <v>7.7960081398486996E-5</v>
      </c>
      <c r="FZ71" s="13">
        <f t="shared" ca="1" si="50"/>
        <v>8</v>
      </c>
      <c r="GA71" s="23">
        <f t="shared" ca="1" si="67"/>
        <v>0</v>
      </c>
      <c r="GB71" s="23">
        <f t="shared" ca="1" si="51"/>
        <v>0</v>
      </c>
      <c r="GC71" s="23">
        <f t="shared" ca="1" si="51"/>
        <v>0</v>
      </c>
      <c r="GD71" s="23">
        <f t="shared" ca="1" si="51"/>
        <v>0</v>
      </c>
      <c r="GE71" s="23">
        <f t="shared" ca="1" si="51"/>
        <v>0</v>
      </c>
      <c r="GF71" s="23">
        <f t="shared" ca="1" si="51"/>
        <v>0</v>
      </c>
      <c r="GG71" s="23">
        <f t="shared" ca="1" si="51"/>
        <v>0</v>
      </c>
      <c r="GH71" s="23">
        <f t="shared" ca="1" si="51"/>
        <v>0</v>
      </c>
      <c r="GI71" s="23">
        <f t="shared" ca="1" si="51"/>
        <v>0</v>
      </c>
      <c r="GJ71" s="23" t="e">
        <f t="shared" ca="1" si="51"/>
        <v>#N/A</v>
      </c>
      <c r="GK71" s="23">
        <f t="shared" ca="1" si="51"/>
        <v>0</v>
      </c>
      <c r="GL71" s="23">
        <f t="shared" ca="1" si="51"/>
        <v>0</v>
      </c>
      <c r="GM71" s="23"/>
      <c r="GN71">
        <f t="shared" ca="1" si="68"/>
        <v>8</v>
      </c>
      <c r="GO71" s="5">
        <f t="shared" ca="1" si="69"/>
        <v>2.3199311000013201E-2</v>
      </c>
      <c r="GP71" s="5">
        <f t="shared" ca="1" si="52"/>
        <v>9.8388170000021005E-3</v>
      </c>
      <c r="GQ71" s="5">
        <f t="shared" ca="1" si="52"/>
        <v>1.2562808000012599E-2</v>
      </c>
      <c r="GR71" s="5">
        <f t="shared" ca="1" si="52"/>
        <v>5.7926476000005701E-2</v>
      </c>
      <c r="GS71" s="5">
        <f t="shared" ca="1" si="52"/>
        <v>6.1138917000789599E-2</v>
      </c>
      <c r="GT71" s="5">
        <f t="shared" ca="1" si="70"/>
        <v>1.86736858449876E-2</v>
      </c>
      <c r="GU71" s="5">
        <f t="shared" ca="1" si="53"/>
        <v>7.7960081398486996E-5</v>
      </c>
      <c r="GV71" s="5">
        <f t="shared" ca="1" si="53"/>
        <v>1.3385189101099899E-4</v>
      </c>
      <c r="GW71" s="5">
        <f t="shared" ca="1" si="53"/>
        <v>7.5209122281521493E-4</v>
      </c>
      <c r="GX71" s="5" t="e">
        <f t="shared" ca="1" si="53"/>
        <v>#N/A</v>
      </c>
      <c r="GY71" s="5">
        <f t="shared" ca="1" si="53"/>
        <v>1.9232248887419701E-3</v>
      </c>
      <c r="GZ71" s="5">
        <f t="shared" ca="1" si="53"/>
        <v>1.11413886770606E-3</v>
      </c>
      <c r="HB71" s="13">
        <f t="shared" ca="1" si="54"/>
        <v>8</v>
      </c>
      <c r="HC71" s="4">
        <f t="shared" ca="1" si="71"/>
        <v>1</v>
      </c>
      <c r="HD71" s="4">
        <f t="shared" ca="1" si="55"/>
        <v>1</v>
      </c>
      <c r="HE71" s="4">
        <f t="shared" ca="1" si="55"/>
        <v>1</v>
      </c>
      <c r="HF71" s="4">
        <f t="shared" ca="1" si="55"/>
        <v>1</v>
      </c>
      <c r="HG71" s="4">
        <f t="shared" ca="1" si="55"/>
        <v>1</v>
      </c>
      <c r="HH71" s="4">
        <f t="shared" ca="1" si="55"/>
        <v>1</v>
      </c>
      <c r="HI71" s="4">
        <f t="shared" ca="1" si="55"/>
        <v>1</v>
      </c>
      <c r="HJ71" s="4">
        <f t="shared" ca="1" si="55"/>
        <v>1</v>
      </c>
      <c r="HK71" s="4">
        <f t="shared" ca="1" si="55"/>
        <v>1</v>
      </c>
      <c r="HL71" s="4">
        <f t="shared" ca="1" si="55"/>
        <v>0</v>
      </c>
      <c r="HM71" s="4">
        <f t="shared" ca="1" si="55"/>
        <v>1</v>
      </c>
      <c r="HN71" s="4">
        <f t="shared" ca="1" si="55"/>
        <v>1</v>
      </c>
    </row>
    <row r="72" spans="1:222" x14ac:dyDescent="0.2">
      <c r="A72" t="str" cm="1">
        <f t="array" aca="1" ref="A72" ca="1">INDIRECT($A$67&amp;"!A"&amp;ROW(C5)+$B$64)</f>
        <v>[[9,5,3]]</v>
      </c>
      <c r="B72" cm="1">
        <f t="array" aca="1" ref="B72" ca="1">INDIRECT($A$67&amp;"!b"&amp;ROW(D5)+$B$64)</f>
        <v>9</v>
      </c>
      <c r="C72">
        <f t="shared" ca="1" si="56"/>
        <v>3</v>
      </c>
      <c r="E72">
        <f t="shared" ca="1" si="43"/>
        <v>29</v>
      </c>
      <c r="F72">
        <f t="shared" ca="1" si="43"/>
        <v>30</v>
      </c>
      <c r="G72">
        <f t="shared" ca="1" si="43"/>
        <v>29</v>
      </c>
      <c r="H72">
        <f t="shared" ca="1" si="43"/>
        <v>29</v>
      </c>
      <c r="I72">
        <f t="shared" ca="1" si="43"/>
        <v>32</v>
      </c>
      <c r="J72">
        <f t="shared" ca="1" si="43"/>
        <v>29</v>
      </c>
      <c r="K72">
        <f t="shared" ca="1" si="43"/>
        <v>36</v>
      </c>
      <c r="L72">
        <f t="shared" ca="1" si="43"/>
        <v>38</v>
      </c>
      <c r="M72">
        <f t="shared" ca="1" si="43"/>
        <v>35</v>
      </c>
      <c r="N72">
        <f t="shared" ca="1" si="43"/>
        <v>33</v>
      </c>
      <c r="O72">
        <f t="shared" ca="1" si="43"/>
        <v>33</v>
      </c>
      <c r="P72">
        <f t="shared" ca="1" si="43"/>
        <v>33</v>
      </c>
      <c r="V72" cm="1">
        <f t="array" aca="1" ref="V72" ca="1">IF(ISNA(E72),,OFFSET(INDIRECT("'"&amp;V$67&amp;"'!d1"),E72-1,))</f>
        <v>3</v>
      </c>
      <c r="W72" cm="1">
        <f t="array" aca="1" ref="W72" ca="1">IF(ISNA(F72),,OFFSET(INDIRECT("'"&amp;W$67&amp;"'!d1"),F72-1,))</f>
        <v>3</v>
      </c>
      <c r="X72" cm="1">
        <f t="array" aca="1" ref="X72" ca="1">IF(ISNA(G72),,OFFSET(INDIRECT("'"&amp;X$67&amp;"'!d1"),G72-1,))</f>
        <v>3</v>
      </c>
      <c r="Y72" cm="1">
        <f t="array" aca="1" ref="Y72" ca="1">IF(ISNA(H72),,OFFSET(INDIRECT("'"&amp;Y$67&amp;"'!d1"),H72-1,))</f>
        <v>3</v>
      </c>
      <c r="Z72" cm="1">
        <f t="array" aca="1" ref="Z72" ca="1">IF(ISNA(I72),,OFFSET(INDIRECT("'"&amp;Z$67&amp;"'!d1"),I72-1,))</f>
        <v>3</v>
      </c>
      <c r="AA72" cm="1">
        <f t="array" aca="1" ref="AA72" ca="1">IF(ISNA(J72),,OFFSET(INDIRECT("'"&amp;AA$67&amp;"'!d1"),J72-1,))</f>
        <v>3</v>
      </c>
      <c r="AB72" cm="1">
        <f t="array" aca="1" ref="AB72" ca="1">IF(ISNA(K72),,OFFSET(INDIRECT("'"&amp;AB$67&amp;"'!d1"),K72-1,))</f>
        <v>3</v>
      </c>
      <c r="AC72" cm="1">
        <f t="array" aca="1" ref="AC72" ca="1">IF(ISNA(L72),,OFFSET(INDIRECT("'"&amp;AC$67&amp;"'!d1"),L72-1,))</f>
        <v>3</v>
      </c>
      <c r="AD72" cm="1">
        <f t="array" aca="1" ref="AD72" ca="1">IF(ISNA(M72),,OFFSET(INDIRECT("'"&amp;AD$67&amp;"'!d1"),M72-1,))</f>
        <v>3</v>
      </c>
      <c r="AE72" cm="1">
        <f t="array" aca="1" ref="AE72" ca="1">IF(ISNA(N72),,OFFSET(INDIRECT("'"&amp;AE$67&amp;"'!d1"),N72-1,))</f>
        <v>0</v>
      </c>
      <c r="AF72" cm="1">
        <f t="array" aca="1" ref="AF72" ca="1">IF(ISNA(O72),,OFFSET(INDIRECT("'"&amp;AF$67&amp;"'!d1"),O72-1,))</f>
        <v>3</v>
      </c>
      <c r="AG72" cm="1">
        <f t="array" aca="1" ref="AG72" ca="1">IF(ISNA(P72),,OFFSET(INDIRECT("'"&amp;AG$67&amp;"'!d1"),P72-1,))</f>
        <v>3</v>
      </c>
      <c r="AM72">
        <f t="shared" ca="1" si="57"/>
        <v>1</v>
      </c>
      <c r="AN72">
        <f t="shared" ca="1" si="44"/>
        <v>1</v>
      </c>
      <c r="AO72">
        <f t="shared" ca="1" si="44"/>
        <v>1</v>
      </c>
      <c r="AP72">
        <f t="shared" ca="1" si="44"/>
        <v>1</v>
      </c>
      <c r="AQ72">
        <f t="shared" ca="1" si="58"/>
        <v>1</v>
      </c>
      <c r="AV72" t="b">
        <f t="shared" ca="1" si="59"/>
        <v>1</v>
      </c>
      <c r="AW72" t="b">
        <f t="shared" ca="1" si="45"/>
        <v>1</v>
      </c>
      <c r="AX72" t="b">
        <f t="shared" ca="1" si="45"/>
        <v>1</v>
      </c>
      <c r="AY72" t="b">
        <f t="shared" ca="1" si="45"/>
        <v>1</v>
      </c>
      <c r="AZ72" t="b">
        <f t="shared" ca="1" si="45"/>
        <v>1</v>
      </c>
      <c r="BD72">
        <f t="shared" ca="1" si="46"/>
        <v>1</v>
      </c>
      <c r="BE72">
        <f t="shared" ca="1" si="46"/>
        <v>1</v>
      </c>
      <c r="BF72">
        <f t="shared" ca="1" si="46"/>
        <v>1</v>
      </c>
      <c r="BG72">
        <f t="shared" ca="1" si="46"/>
        <v>1</v>
      </c>
      <c r="BH72">
        <f t="shared" ca="1" si="46"/>
        <v>1</v>
      </c>
      <c r="BI72">
        <f t="shared" ca="1" si="46"/>
        <v>1</v>
      </c>
      <c r="BJ72">
        <f t="shared" ca="1" si="46"/>
        <v>1</v>
      </c>
      <c r="BK72">
        <f t="shared" ca="1" si="46"/>
        <v>1</v>
      </c>
      <c r="BL72">
        <f t="shared" ca="1" si="46"/>
        <v>1</v>
      </c>
      <c r="BM72">
        <f t="shared" ca="1" si="46"/>
        <v>0</v>
      </c>
      <c r="BN72">
        <f t="shared" ca="1" si="46"/>
        <v>1</v>
      </c>
      <c r="BO72">
        <f t="shared" ca="1" si="46"/>
        <v>1</v>
      </c>
      <c r="BU72">
        <f t="shared" ca="1" si="47"/>
        <v>3</v>
      </c>
      <c r="BV72">
        <f t="shared" ca="1" si="47"/>
        <v>3</v>
      </c>
      <c r="BW72">
        <f t="shared" ca="1" si="47"/>
        <v>3</v>
      </c>
      <c r="BX72">
        <f t="shared" ca="1" si="47"/>
        <v>3</v>
      </c>
      <c r="BY72">
        <f t="shared" ca="1" si="47"/>
        <v>3</v>
      </c>
      <c r="BZ72">
        <f t="shared" ca="1" si="47"/>
        <v>3</v>
      </c>
      <c r="CA72">
        <f t="shared" ca="1" si="47"/>
        <v>3</v>
      </c>
      <c r="CB72">
        <f t="shared" ca="1" si="47"/>
        <v>3</v>
      </c>
      <c r="CC72">
        <f t="shared" ca="1" si="47"/>
        <v>3</v>
      </c>
      <c r="CD72">
        <f t="shared" ca="1" si="47"/>
        <v>9</v>
      </c>
      <c r="CE72">
        <f t="shared" ca="1" si="47"/>
        <v>3</v>
      </c>
      <c r="CF72">
        <f t="shared" ca="1" si="47"/>
        <v>3</v>
      </c>
      <c r="CL72">
        <f t="shared" ca="1" si="48"/>
        <v>1</v>
      </c>
      <c r="CM72">
        <f t="shared" ca="1" si="48"/>
        <v>1</v>
      </c>
      <c r="CN72">
        <f t="shared" ca="1" si="48"/>
        <v>1</v>
      </c>
      <c r="CO72">
        <f t="shared" ca="1" si="48"/>
        <v>1</v>
      </c>
      <c r="CP72">
        <f t="shared" ca="1" si="48"/>
        <v>1</v>
      </c>
      <c r="CQ72">
        <f t="shared" ca="1" si="48"/>
        <v>1</v>
      </c>
      <c r="CR72">
        <f t="shared" ca="1" si="48"/>
        <v>1</v>
      </c>
      <c r="CS72">
        <f t="shared" ca="1" si="48"/>
        <v>1</v>
      </c>
      <c r="CT72">
        <f t="shared" ca="1" si="48"/>
        <v>1</v>
      </c>
      <c r="CU72">
        <f t="shared" ca="1" si="48"/>
        <v>0</v>
      </c>
      <c r="CV72">
        <f t="shared" ca="1" si="48"/>
        <v>1</v>
      </c>
      <c r="CW72">
        <f t="shared" ca="1" si="48"/>
        <v>1</v>
      </c>
      <c r="DC72" cm="1">
        <f t="array" aca="1" ref="DC72" ca="1">IF(ISNA(E72),,OFFSET(INDIRECT("'"&amp;DT$67&amp;"'!f1"),E72-1,))*1</f>
        <v>2.3160077000000001E-2</v>
      </c>
      <c r="DD72" cm="1">
        <f t="array" aca="1" ref="DD72" ca="1">IF(ISNA(F72),,OFFSET(INDIRECT("'"&amp;DU$67&amp;"'!f1"),F72-1,))*1</f>
        <v>1.42623640000181E-2</v>
      </c>
      <c r="DE72" cm="1">
        <f t="array" aca="1" ref="DE72" ca="1">IF(ISNA(G72),,OFFSET(INDIRECT("'"&amp;DV$67&amp;"'!f1"),G72-1,))*1</f>
        <v>1.24929669999858E-2</v>
      </c>
      <c r="DF72" cm="1">
        <f t="array" aca="1" ref="DF72" ca="1">IF(ISNA(H72),,OFFSET(INDIRECT("'"&amp;DW$67&amp;"'!f1"),H72-1,))*1</f>
        <v>5.64824890000181E-2</v>
      </c>
      <c r="DG72" cm="1">
        <f t="array" aca="1" ref="DG72" ca="1">IF(ISNA(I72),,OFFSET(INDIRECT("'"&amp;DX$67&amp;"'!f1"),I72-1,))*1</f>
        <v>5.8100540998566402E-2</v>
      </c>
      <c r="DH72" cm="1">
        <f t="array" aca="1" ref="DH72" ca="1">IF(ISNA(J72),,OFFSET(INDIRECT("'"&amp;DY$67&amp;"'!f1"),J72-1,))*1</f>
        <v>1.8631094135344001E-2</v>
      </c>
      <c r="DI72" cm="1">
        <f t="array" aca="1" ref="DI72" ca="1">IF(ISNA(K72),,OFFSET(INDIRECT("'"&amp;DZ$67&amp;"'!f1"),K72-1,))*1</f>
        <v>0.75405388418584995</v>
      </c>
      <c r="DJ72" cm="1">
        <f t="array" aca="1" ref="DJ72" ca="1">IF(ISNA(L72),,OFFSET(INDIRECT("'"&amp;EA$67&amp;"'!f1"),L72-1,))*1</f>
        <v>1.3304079007357299</v>
      </c>
      <c r="DK72" cm="1">
        <f t="array" aca="1" ref="DK72" ca="1">IF(ISNA(M72),,OFFSET(INDIRECT("'"&amp;EB$67&amp;"'!f1"),M72-1,))*1</f>
        <v>8.1291472888551599</v>
      </c>
      <c r="DL72" cm="1">
        <f t="array" aca="1" ref="DL72" ca="1">IF(ISNA(N72),,OFFSET(INDIRECT("'"&amp;EC$67&amp;"'!f1"),N72-1,))*1</f>
        <v>1.9374247640371301E-3</v>
      </c>
      <c r="DM72" cm="1">
        <f t="array" aca="1" ref="DM72" ca="1">IF(ISNA(O72),,OFFSET(INDIRECT("'"&amp;ED$67&amp;"'!f1"),O72-1,))*1</f>
        <v>2.1949186921119599E-3</v>
      </c>
      <c r="DN72" cm="1">
        <f t="array" aca="1" ref="DN72" ca="1">IF(ISNA(P72),,OFFSET(INDIRECT("'"&amp;EE$67&amp;"'!f1"),P72-1,))*1</f>
        <v>3.2621910795569398E-3</v>
      </c>
      <c r="DT72">
        <f t="shared" ca="1" si="60"/>
        <v>1</v>
      </c>
      <c r="DU72">
        <f t="shared" ca="1" si="49"/>
        <v>1</v>
      </c>
      <c r="DV72">
        <f t="shared" ca="1" si="49"/>
        <v>1</v>
      </c>
      <c r="DW72">
        <f t="shared" ca="1" si="49"/>
        <v>1</v>
      </c>
      <c r="DX72">
        <f t="shared" ca="1" si="49"/>
        <v>1</v>
      </c>
      <c r="DY72">
        <f t="shared" ca="1" si="49"/>
        <v>1</v>
      </c>
      <c r="DZ72">
        <f t="shared" ca="1" si="49"/>
        <v>9194</v>
      </c>
      <c r="EA72">
        <f t="shared" ca="1" si="49"/>
        <v>9752</v>
      </c>
      <c r="EB72">
        <f t="shared" ca="1" si="49"/>
        <v>5776</v>
      </c>
      <c r="EC72">
        <f t="shared" ca="1" si="49"/>
        <v>0</v>
      </c>
      <c r="ED72">
        <f t="shared" ca="1" si="49"/>
        <v>1</v>
      </c>
      <c r="EE72">
        <f t="shared" ca="1" si="49"/>
        <v>2</v>
      </c>
      <c r="EK72" cm="1">
        <f t="array" aca="1" ref="EK72" ca="1">IF(ISNA(E72),0,OFFSET(INDIRECT("'"&amp;EK$67&amp;"'!g1"),E72-1,)*CL72)</f>
        <v>1</v>
      </c>
      <c r="EL72" cm="1">
        <f t="array" aca="1" ref="EL72" ca="1">IF(ISNA(F72),0,OFFSET(INDIRECT("'"&amp;EL$67&amp;"'!g1"),F72-1,)*CM72)</f>
        <v>1</v>
      </c>
      <c r="EM72" cm="1">
        <f t="array" aca="1" ref="EM72" ca="1">IF(ISNA(G72),0,OFFSET(INDIRECT("'"&amp;EM$67&amp;"'!g1"),G72-1,)*CN72)</f>
        <v>1</v>
      </c>
      <c r="EN72" cm="1">
        <f t="array" aca="1" ref="EN72" ca="1">IF(ISNA(H72),0,OFFSET(INDIRECT("'"&amp;EN$67&amp;"'!g1"),H72-1,)*CO72)</f>
        <v>1</v>
      </c>
      <c r="EO72" cm="1">
        <f t="array" aca="1" ref="EO72" ca="1">IF(ISNA(I72),0,OFFSET(INDIRECT("'"&amp;EO$67&amp;"'!g1"),I72-1,)*CP72)</f>
        <v>1</v>
      </c>
      <c r="EP72" cm="1">
        <f t="array" aca="1" ref="EP72" ca="1">IF(ISNA(J72),0,OFFSET(INDIRECT("'"&amp;EP$67&amp;"'!g1"),J72-1,)*CQ72)</f>
        <v>1</v>
      </c>
      <c r="EQ72" cm="1">
        <f t="array" aca="1" ref="EQ72" ca="1">IF(ISNA(K72),0,OFFSET(INDIRECT("'"&amp;EQ$67&amp;"'!g1"),K72-1,)*CR72)</f>
        <v>9194</v>
      </c>
      <c r="ER72" cm="1">
        <f t="array" aca="1" ref="ER72" ca="1">IF(ISNA(L72),0,OFFSET(INDIRECT("'"&amp;ER$67&amp;"'!g1"),L72-1,)*CS72)</f>
        <v>9752</v>
      </c>
      <c r="ES72" cm="1">
        <f t="array" aca="1" ref="ES72" ca="1">IF(ISNA(M72),0,OFFSET(INDIRECT("'"&amp;ES$67&amp;"'!g1"),M72-1,)*CT72)</f>
        <v>5776</v>
      </c>
      <c r="ET72" cm="1">
        <f t="array" aca="1" ref="ET72" ca="1">IF(ISNA(N72),0,OFFSET(INDIRECT("'"&amp;ET$67&amp;"'!g1"),N72-1,)*CU72)</f>
        <v>0</v>
      </c>
      <c r="EU72" cm="1">
        <f t="array" aca="1" ref="EU72" ca="1">IF(ISNA(O72),0,OFFSET(INDIRECT("'"&amp;EU$67&amp;"'!g1"),O72-1,)*CV72)</f>
        <v>1</v>
      </c>
      <c r="EV72" cm="1">
        <f t="array" aca="1" ref="EV72" ca="1">IF(ISNA(P72),0,OFFSET(INDIRECT("'"&amp;EV$67&amp;"'!g1"),P72-1,)*CW72)</f>
        <v>2</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1</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3</v>
      </c>
      <c r="FN72" s="10"/>
      <c r="FO72" s="10"/>
      <c r="FP72" s="10"/>
      <c r="FQ72" s="10"/>
      <c r="FS72">
        <f t="shared" ca="1" si="61"/>
        <v>9</v>
      </c>
      <c r="FT72">
        <f t="shared" ca="1" si="62"/>
        <v>0.75405388418584995</v>
      </c>
      <c r="FU72">
        <f t="shared" ca="1" si="63"/>
        <v>9194</v>
      </c>
      <c r="FV72">
        <f t="shared" ca="1" si="64"/>
        <v>10000</v>
      </c>
      <c r="FW72" s="4">
        <f t="shared" ca="1" si="65"/>
        <v>0.9194</v>
      </c>
      <c r="FX72" s="5">
        <f t="shared" ca="1" si="66"/>
        <v>8.2015867324978242E-5</v>
      </c>
      <c r="FZ72" s="13">
        <f t="shared" ca="1" si="50"/>
        <v>9</v>
      </c>
      <c r="GA72" s="23">
        <f t="shared" ca="1" si="67"/>
        <v>0</v>
      </c>
      <c r="GB72" s="23">
        <f t="shared" ca="1" si="51"/>
        <v>0</v>
      </c>
      <c r="GC72" s="23">
        <f t="shared" ca="1" si="51"/>
        <v>0</v>
      </c>
      <c r="GD72" s="23">
        <f t="shared" ca="1" si="51"/>
        <v>0</v>
      </c>
      <c r="GE72" s="23">
        <f t="shared" ca="1" si="51"/>
        <v>0</v>
      </c>
      <c r="GF72" s="23">
        <f t="shared" ca="1" si="51"/>
        <v>0</v>
      </c>
      <c r="GG72" s="23">
        <f t="shared" ca="1" si="51"/>
        <v>0</v>
      </c>
      <c r="GH72" s="23">
        <f t="shared" ca="1" si="51"/>
        <v>0</v>
      </c>
      <c r="GI72" s="23">
        <f t="shared" ca="1" si="51"/>
        <v>0</v>
      </c>
      <c r="GJ72" s="23" t="e">
        <f t="shared" ca="1" si="51"/>
        <v>#N/A</v>
      </c>
      <c r="GK72" s="23">
        <f t="shared" ca="1" si="51"/>
        <v>0</v>
      </c>
      <c r="GL72" s="23">
        <f t="shared" ca="1" si="51"/>
        <v>0</v>
      </c>
      <c r="GM72" s="23"/>
      <c r="GN72">
        <f t="shared" ca="1" si="68"/>
        <v>9</v>
      </c>
      <c r="GO72" s="5">
        <f t="shared" ca="1" si="69"/>
        <v>2.3160077000000001E-2</v>
      </c>
      <c r="GP72" s="5">
        <f t="shared" ca="1" si="52"/>
        <v>1.42623640000181E-2</v>
      </c>
      <c r="GQ72" s="5">
        <f t="shared" ca="1" si="52"/>
        <v>1.24929669999858E-2</v>
      </c>
      <c r="GR72" s="5">
        <f t="shared" ca="1" si="52"/>
        <v>5.64824890000181E-2</v>
      </c>
      <c r="GS72" s="5">
        <f t="shared" ca="1" si="52"/>
        <v>5.8100540998566402E-2</v>
      </c>
      <c r="GT72" s="5">
        <f t="shared" ca="1" si="70"/>
        <v>1.8631094135344001E-2</v>
      </c>
      <c r="GU72" s="5">
        <f t="shared" ca="1" si="53"/>
        <v>8.2015867324978242E-5</v>
      </c>
      <c r="GV72" s="5">
        <f t="shared" ca="1" si="53"/>
        <v>1.3642410795075164E-4</v>
      </c>
      <c r="GW72" s="5">
        <f t="shared" ca="1" si="53"/>
        <v>1.4074008464084419E-3</v>
      </c>
      <c r="GX72" s="5" t="e">
        <f t="shared" ca="1" si="53"/>
        <v>#N/A</v>
      </c>
      <c r="GY72" s="5">
        <f t="shared" ca="1" si="53"/>
        <v>2.1949186921119599E-3</v>
      </c>
      <c r="GZ72" s="5">
        <f t="shared" ca="1" si="53"/>
        <v>1.6310955397784699E-3</v>
      </c>
      <c r="HB72" s="13">
        <f t="shared" ca="1" si="54"/>
        <v>9</v>
      </c>
      <c r="HC72" s="4">
        <f t="shared" ca="1" si="71"/>
        <v>1</v>
      </c>
      <c r="HD72" s="4">
        <f t="shared" ca="1" si="55"/>
        <v>1</v>
      </c>
      <c r="HE72" s="4">
        <f t="shared" ca="1" si="55"/>
        <v>1</v>
      </c>
      <c r="HF72" s="4">
        <f t="shared" ca="1" si="55"/>
        <v>1</v>
      </c>
      <c r="HG72" s="4">
        <f t="shared" ca="1" si="55"/>
        <v>1</v>
      </c>
      <c r="HH72" s="4">
        <f t="shared" ca="1" si="55"/>
        <v>1</v>
      </c>
      <c r="HI72" s="4">
        <f t="shared" ca="1" si="55"/>
        <v>0.9194</v>
      </c>
      <c r="HJ72" s="4">
        <f t="shared" ca="1" si="55"/>
        <v>0.97519999999999996</v>
      </c>
      <c r="HK72" s="4">
        <f t="shared" ca="1" si="55"/>
        <v>0.5776</v>
      </c>
      <c r="HL72" s="4">
        <f t="shared" ca="1" si="55"/>
        <v>0</v>
      </c>
      <c r="HM72" s="4">
        <f t="shared" ca="1" si="55"/>
        <v>1</v>
      </c>
      <c r="HN72" s="4">
        <f t="shared" ca="1" si="55"/>
        <v>0.66666666666666663</v>
      </c>
    </row>
    <row r="73" spans="1:222" x14ac:dyDescent="0.2">
      <c r="A73" t="str" cm="1">
        <f t="array" aca="1" ref="A73" ca="1">INDIRECT($A$67&amp;"!A"&amp;ROW(C6)+$B$64)</f>
        <v>[[10,3,5]]</v>
      </c>
      <c r="B73" cm="1">
        <f t="array" aca="1" ref="B73" ca="1">INDIRECT($A$67&amp;"!b"&amp;ROW(D6)+$B$64)</f>
        <v>10</v>
      </c>
      <c r="C73">
        <f t="shared" ca="1" si="56"/>
        <v>5</v>
      </c>
      <c r="E73">
        <f t="shared" ca="1" si="43"/>
        <v>30</v>
      </c>
      <c r="F73">
        <f t="shared" ca="1" si="43"/>
        <v>31</v>
      </c>
      <c r="G73">
        <f t="shared" ca="1" si="43"/>
        <v>30</v>
      </c>
      <c r="H73">
        <f t="shared" ca="1" si="43"/>
        <v>30</v>
      </c>
      <c r="I73">
        <f t="shared" ca="1" si="43"/>
        <v>33</v>
      </c>
      <c r="J73">
        <f t="shared" ca="1" si="43"/>
        <v>30</v>
      </c>
      <c r="K73">
        <f t="shared" ca="1" si="43"/>
        <v>37</v>
      </c>
      <c r="L73">
        <f t="shared" ca="1" si="43"/>
        <v>39</v>
      </c>
      <c r="M73">
        <f t="shared" ca="1" si="43"/>
        <v>36</v>
      </c>
      <c r="N73">
        <f t="shared" ca="1" si="43"/>
        <v>34</v>
      </c>
      <c r="O73">
        <f t="shared" ca="1" si="43"/>
        <v>34</v>
      </c>
      <c r="P73">
        <f t="shared" ca="1" si="43"/>
        <v>34</v>
      </c>
      <c r="V73" cm="1">
        <f t="array" aca="1" ref="V73" ca="1">IF(ISNA(E73),,OFFSET(INDIRECT("'"&amp;V$67&amp;"'!d1"),E73-1,))</f>
        <v>5</v>
      </c>
      <c r="W73" cm="1">
        <f t="array" aca="1" ref="W73" ca="1">IF(ISNA(F73),,OFFSET(INDIRECT("'"&amp;W$67&amp;"'!d1"),F73-1,))</f>
        <v>5</v>
      </c>
      <c r="X73" cm="1">
        <f t="array" aca="1" ref="X73" ca="1">IF(ISNA(G73),,OFFSET(INDIRECT("'"&amp;X$67&amp;"'!d1"),G73-1,))</f>
        <v>5</v>
      </c>
      <c r="Y73" cm="1">
        <f t="array" aca="1" ref="Y73" ca="1">IF(ISNA(H73),,OFFSET(INDIRECT("'"&amp;Y$67&amp;"'!d1"),H73-1,))</f>
        <v>5</v>
      </c>
      <c r="Z73" cm="1">
        <f t="array" aca="1" ref="Z73" ca="1">IF(ISNA(I73),,OFFSET(INDIRECT("'"&amp;Z$67&amp;"'!d1"),I73-1,))</f>
        <v>5</v>
      </c>
      <c r="AA73" cm="1">
        <f t="array" aca="1" ref="AA73" ca="1">IF(ISNA(J73),,OFFSET(INDIRECT("'"&amp;AA$67&amp;"'!d1"),J73-1,))</f>
        <v>5</v>
      </c>
      <c r="AB73" cm="1">
        <f t="array" aca="1" ref="AB73" ca="1">IF(ISNA(K73),,OFFSET(INDIRECT("'"&amp;AB$67&amp;"'!d1"),K73-1,))</f>
        <v>5</v>
      </c>
      <c r="AC73" cm="1">
        <f t="array" aca="1" ref="AC73" ca="1">IF(ISNA(L73),,OFFSET(INDIRECT("'"&amp;AC$67&amp;"'!d1"),L73-1,))</f>
        <v>5</v>
      </c>
      <c r="AD73" cm="1">
        <f t="array" aca="1" ref="AD73" ca="1">IF(ISNA(M73),,OFFSET(INDIRECT("'"&amp;AD$67&amp;"'!d1"),M73-1,))</f>
        <v>5</v>
      </c>
      <c r="AE73" cm="1">
        <f t="array" aca="1" ref="AE73" ca="1">IF(ISNA(N73),,OFFSET(INDIRECT("'"&amp;AE$67&amp;"'!d1"),N73-1,))</f>
        <v>0</v>
      </c>
      <c r="AF73" cm="1">
        <f t="array" aca="1" ref="AF73" ca="1">IF(ISNA(O73),,OFFSET(INDIRECT("'"&amp;AF$67&amp;"'!d1"),O73-1,))</f>
        <v>5</v>
      </c>
      <c r="AG73" cm="1">
        <f t="array" aca="1" ref="AG73" ca="1">IF(ISNA(P73),,OFFSET(INDIRECT("'"&amp;AG$67&amp;"'!d1"),P73-1,))</f>
        <v>5</v>
      </c>
      <c r="AM73">
        <f t="shared" ca="1" si="57"/>
        <v>1</v>
      </c>
      <c r="AN73">
        <f t="shared" ca="1" si="44"/>
        <v>1</v>
      </c>
      <c r="AO73">
        <f t="shared" ca="1" si="44"/>
        <v>1</v>
      </c>
      <c r="AP73">
        <f t="shared" ca="1" si="44"/>
        <v>1</v>
      </c>
      <c r="AQ73">
        <f t="shared" ca="1" si="58"/>
        <v>1</v>
      </c>
      <c r="AV73" t="b">
        <f t="shared" ca="1" si="59"/>
        <v>1</v>
      </c>
      <c r="AW73" t="b">
        <f t="shared" ca="1" si="45"/>
        <v>1</v>
      </c>
      <c r="AX73" t="b">
        <f t="shared" ca="1" si="45"/>
        <v>1</v>
      </c>
      <c r="AY73" t="b">
        <f t="shared" ca="1" si="45"/>
        <v>1</v>
      </c>
      <c r="AZ73" t="b">
        <f t="shared" ca="1" si="45"/>
        <v>1</v>
      </c>
      <c r="BD73">
        <f t="shared" ca="1" si="46"/>
        <v>1</v>
      </c>
      <c r="BE73">
        <f t="shared" ca="1" si="46"/>
        <v>1</v>
      </c>
      <c r="BF73">
        <f t="shared" ca="1" si="46"/>
        <v>1</v>
      </c>
      <c r="BG73">
        <f t="shared" ca="1" si="46"/>
        <v>1</v>
      </c>
      <c r="BH73">
        <f t="shared" ca="1" si="46"/>
        <v>1</v>
      </c>
      <c r="BI73">
        <f t="shared" ca="1" si="46"/>
        <v>1</v>
      </c>
      <c r="BJ73">
        <f t="shared" ca="1" si="46"/>
        <v>1</v>
      </c>
      <c r="BK73">
        <f t="shared" ca="1" si="46"/>
        <v>1</v>
      </c>
      <c r="BL73">
        <f t="shared" ca="1" si="46"/>
        <v>1</v>
      </c>
      <c r="BM73">
        <f t="shared" ca="1" si="46"/>
        <v>0</v>
      </c>
      <c r="BN73">
        <f t="shared" ca="1" si="46"/>
        <v>1</v>
      </c>
      <c r="BO73">
        <f t="shared" ca="1" si="46"/>
        <v>1</v>
      </c>
      <c r="BU73">
        <f t="shared" ca="1" si="47"/>
        <v>5</v>
      </c>
      <c r="BV73">
        <f t="shared" ca="1" si="47"/>
        <v>5</v>
      </c>
      <c r="BW73">
        <f t="shared" ca="1" si="47"/>
        <v>5</v>
      </c>
      <c r="BX73">
        <f t="shared" ca="1" si="47"/>
        <v>5</v>
      </c>
      <c r="BY73">
        <f t="shared" ca="1" si="47"/>
        <v>5</v>
      </c>
      <c r="BZ73">
        <f t="shared" ca="1" si="47"/>
        <v>5</v>
      </c>
      <c r="CA73">
        <f t="shared" ca="1" si="47"/>
        <v>5</v>
      </c>
      <c r="CB73">
        <f t="shared" ca="1" si="47"/>
        <v>5</v>
      </c>
      <c r="CC73">
        <f t="shared" ca="1" si="47"/>
        <v>5</v>
      </c>
      <c r="CD73">
        <f t="shared" ca="1" si="47"/>
        <v>10</v>
      </c>
      <c r="CE73">
        <f t="shared" ca="1" si="47"/>
        <v>5</v>
      </c>
      <c r="CF73">
        <f t="shared" ca="1" si="47"/>
        <v>5</v>
      </c>
      <c r="CL73">
        <f t="shared" ca="1" si="48"/>
        <v>1</v>
      </c>
      <c r="CM73">
        <f t="shared" ca="1" si="48"/>
        <v>1</v>
      </c>
      <c r="CN73">
        <f t="shared" ca="1" si="48"/>
        <v>1</v>
      </c>
      <c r="CO73">
        <f t="shared" ca="1" si="48"/>
        <v>1</v>
      </c>
      <c r="CP73">
        <f t="shared" ca="1" si="48"/>
        <v>1</v>
      </c>
      <c r="CQ73">
        <f t="shared" ca="1" si="48"/>
        <v>1</v>
      </c>
      <c r="CR73">
        <f t="shared" ca="1" si="48"/>
        <v>1</v>
      </c>
      <c r="CS73">
        <f t="shared" ca="1" si="48"/>
        <v>1</v>
      </c>
      <c r="CT73">
        <f t="shared" ca="1" si="48"/>
        <v>1</v>
      </c>
      <c r="CU73">
        <f t="shared" ca="1" si="48"/>
        <v>0</v>
      </c>
      <c r="CV73">
        <f t="shared" ca="1" si="48"/>
        <v>1</v>
      </c>
      <c r="CW73">
        <f t="shared" ca="1" si="48"/>
        <v>1</v>
      </c>
      <c r="DC73" cm="1">
        <f t="array" aca="1" ref="DC73" ca="1">IF(ISNA(E73),,OFFSET(INDIRECT("'"&amp;DT$67&amp;"'!f1"),E73-1,))*1</f>
        <v>2.3293728999988099E-2</v>
      </c>
      <c r="DD73" cm="1">
        <f t="array" aca="1" ref="DD73" ca="1">IF(ISNA(F73),,OFFSET(INDIRECT("'"&amp;DU$67&amp;"'!f1"),F73-1,))*1</f>
        <v>8.1748810000021807E-3</v>
      </c>
      <c r="DE73" cm="1">
        <f t="array" aca="1" ref="DE73" ca="1">IF(ISNA(G73),,OFFSET(INDIRECT("'"&amp;DV$67&amp;"'!f1"),G73-1,))*1</f>
        <v>1.22721730000137E-2</v>
      </c>
      <c r="DF73" cm="1">
        <f t="array" aca="1" ref="DF73" ca="1">IF(ISNA(H73),,OFFSET(INDIRECT("'"&amp;DW$67&amp;"'!f1"),H73-1,))*1</f>
        <v>5.4246421999977201E-2</v>
      </c>
      <c r="DG73" cm="1">
        <f t="array" aca="1" ref="DG73" ca="1">IF(ISNA(I73),,OFFSET(INDIRECT("'"&amp;DX$67&amp;"'!f1"),I73-1,))*1</f>
        <v>5.4936000000452602E-2</v>
      </c>
      <c r="DH73" cm="1">
        <f t="array" aca="1" ref="DH73" ca="1">IF(ISNA(J73),,OFFSET(INDIRECT("'"&amp;DY$67&amp;"'!f1"),J73-1,))*1</f>
        <v>2.2988370619714201E-2</v>
      </c>
      <c r="DI73" cm="1">
        <f t="array" aca="1" ref="DI73" ca="1">IF(ISNA(K73),,OFFSET(INDIRECT("'"&amp;DZ$67&amp;"'!f1"),K73-1,))*1</f>
        <v>0.79541027173399903</v>
      </c>
      <c r="DJ73" cm="1">
        <f t="array" aca="1" ref="DJ73" ca="1">IF(ISNA(L73),,OFFSET(INDIRECT("'"&amp;EA$67&amp;"'!f1"),L73-1,))*1</f>
        <v>1.36724140308797</v>
      </c>
      <c r="DK73" cm="1">
        <f t="array" aca="1" ref="DK73" ca="1">IF(ISNA(M73),,OFFSET(INDIRECT("'"&amp;EB$67&amp;"'!f1"),M73-1,))*1</f>
        <v>7.9550361069850597</v>
      </c>
      <c r="DL73" cm="1">
        <f t="array" aca="1" ref="DL73" ca="1">IF(ISNA(N73),,OFFSET(INDIRECT("'"&amp;EC$67&amp;"'!f1"),N73-1,))*1</f>
        <v>1.9891774281859398E-3</v>
      </c>
      <c r="DM73" cm="1">
        <f t="array" aca="1" ref="DM73" ca="1">IF(ISNA(O73),,OFFSET(INDIRECT("'"&amp;ED$67&amp;"'!f1"),O73-1,))*1</f>
        <v>2.2741407155990601E-3</v>
      </c>
      <c r="DN73" cm="1">
        <f t="array" aca="1" ref="DN73" ca="1">IF(ISNA(P73),,OFFSET(INDIRECT("'"&amp;EE$67&amp;"'!f1"),P73-1,))*1</f>
        <v>2.55550816655159E-3</v>
      </c>
      <c r="DT73">
        <f t="shared" ca="1" si="60"/>
        <v>1</v>
      </c>
      <c r="DU73">
        <f t="shared" ca="1" si="49"/>
        <v>1</v>
      </c>
      <c r="DV73">
        <f t="shared" ca="1" si="49"/>
        <v>1</v>
      </c>
      <c r="DW73">
        <f t="shared" ca="1" si="49"/>
        <v>1</v>
      </c>
      <c r="DX73">
        <f t="shared" ca="1" si="49"/>
        <v>1</v>
      </c>
      <c r="DY73">
        <f t="shared" ca="1" si="49"/>
        <v>1</v>
      </c>
      <c r="DZ73">
        <f t="shared" ca="1" si="49"/>
        <v>10000</v>
      </c>
      <c r="EA73">
        <f t="shared" ca="1" si="49"/>
        <v>10000</v>
      </c>
      <c r="EB73">
        <f t="shared" ca="1" si="49"/>
        <v>7508</v>
      </c>
      <c r="EC73">
        <f t="shared" ca="1" si="49"/>
        <v>0</v>
      </c>
      <c r="ED73">
        <f t="shared" ca="1" si="49"/>
        <v>1</v>
      </c>
      <c r="EE73">
        <f t="shared" ca="1" si="49"/>
        <v>2</v>
      </c>
      <c r="EK73" cm="1">
        <f t="array" aca="1" ref="EK73" ca="1">IF(ISNA(E73),0,OFFSET(INDIRECT("'"&amp;EK$67&amp;"'!g1"),E73-1,)*CL73)</f>
        <v>1</v>
      </c>
      <c r="EL73" cm="1">
        <f t="array" aca="1" ref="EL73" ca="1">IF(ISNA(F73),0,OFFSET(INDIRECT("'"&amp;EL$67&amp;"'!g1"),F73-1,)*CM73)</f>
        <v>1</v>
      </c>
      <c r="EM73" cm="1">
        <f t="array" aca="1" ref="EM73" ca="1">IF(ISNA(G73),0,OFFSET(INDIRECT("'"&amp;EM$67&amp;"'!g1"),G73-1,)*CN73)</f>
        <v>1</v>
      </c>
      <c r="EN73" cm="1">
        <f t="array" aca="1" ref="EN73" ca="1">IF(ISNA(H73),0,OFFSET(INDIRECT("'"&amp;EN$67&amp;"'!g1"),H73-1,)*CO73)</f>
        <v>1</v>
      </c>
      <c r="EO73" cm="1">
        <f t="array" aca="1" ref="EO73" ca="1">IF(ISNA(I73),0,OFFSET(INDIRECT("'"&amp;EO$67&amp;"'!g1"),I73-1,)*CP73)</f>
        <v>1</v>
      </c>
      <c r="EP73" cm="1">
        <f t="array" aca="1" ref="EP73" ca="1">IF(ISNA(J73),0,OFFSET(INDIRECT("'"&amp;EP$67&amp;"'!g1"),J73-1,)*CQ73)</f>
        <v>1</v>
      </c>
      <c r="EQ73" cm="1">
        <f t="array" aca="1" ref="EQ73" ca="1">IF(ISNA(K73),0,OFFSET(INDIRECT("'"&amp;EQ$67&amp;"'!g1"),K73-1,)*CR73)</f>
        <v>10000</v>
      </c>
      <c r="ER73" cm="1">
        <f t="array" aca="1" ref="ER73" ca="1">IF(ISNA(L73),0,OFFSET(INDIRECT("'"&amp;ER$67&amp;"'!g1"),L73-1,)*CS73)</f>
        <v>10000</v>
      </c>
      <c r="ES73" cm="1">
        <f t="array" aca="1" ref="ES73" ca="1">IF(ISNA(M73),0,OFFSET(INDIRECT("'"&amp;ES$67&amp;"'!g1"),M73-1,)*CT73)</f>
        <v>7508</v>
      </c>
      <c r="ET73" cm="1">
        <f t="array" aca="1" ref="ET73" ca="1">IF(ISNA(N73),0,OFFSET(INDIRECT("'"&amp;ET$67&amp;"'!g1"),N73-1,)*CU73)</f>
        <v>0</v>
      </c>
      <c r="EU73" cm="1">
        <f t="array" aca="1" ref="EU73" ca="1">IF(ISNA(O73),0,OFFSET(INDIRECT("'"&amp;EU$67&amp;"'!g1"),O73-1,)*CV73)</f>
        <v>1</v>
      </c>
      <c r="EV73" cm="1">
        <f t="array" aca="1" ref="EV73" ca="1">IF(ISNA(P73),0,OFFSET(INDIRECT("'"&amp;EV$67&amp;"'!g1"),P73-1,)*CW73)</f>
        <v>2</v>
      </c>
      <c r="FB73" s="10" cm="1">
        <f t="array" aca="1" ref="FB73" ca="1">IF(ISNA(E73),0,OFFSET(INDIRECT("'"&amp;EK$67&amp;"'!h1"),E73-1,))</f>
        <v>1</v>
      </c>
      <c r="FC73" s="10" cm="1">
        <f t="array" aca="1" ref="FC73" ca="1">IF(ISNA(F73),0,OFFSET(INDIRECT("'"&amp;EL$67&amp;"'!h1"),F73-1,))</f>
        <v>1</v>
      </c>
      <c r="FD73" s="10" cm="1">
        <f t="array" aca="1" ref="FD73" ca="1">IF(ISNA(G73),0,OFFSET(INDIRECT("'"&amp;EM$67&amp;"'!h1"),G73-1,))</f>
        <v>1</v>
      </c>
      <c r="FE73" s="10" cm="1">
        <f t="array" aca="1" ref="FE73" ca="1">IF(ISNA(H73),0,OFFSET(INDIRECT("'"&amp;EN$67&amp;"'!h1"),H73-1,))</f>
        <v>1</v>
      </c>
      <c r="FF73" s="10" cm="1">
        <f t="array" aca="1" ref="FF73" ca="1">IF(ISNA(I73),0,OFFSET(INDIRECT("'"&amp;EO$67&amp;"'!h1"),I73-1,))</f>
        <v>1</v>
      </c>
      <c r="FG73" s="10" cm="1">
        <f t="array" aca="1" ref="FG73" ca="1">IF(ISNA(J73),0,OFFSET(INDIRECT("'"&amp;EP$67&amp;"'!h1"),J73-1,))</f>
        <v>1</v>
      </c>
      <c r="FH73" s="10" cm="1">
        <f t="array" aca="1" ref="FH73" ca="1">IF(ISNA(K73),0,OFFSET(INDIRECT("'"&amp;EQ$67&amp;"'!h1"),K73-1,))</f>
        <v>10000</v>
      </c>
      <c r="FI73" s="10" cm="1">
        <f t="array" aca="1" ref="FI73" ca="1">IF(ISNA(L73),0,OFFSET(INDIRECT("'"&amp;ER$67&amp;"'!h1"),L73-1,))</f>
        <v>10000</v>
      </c>
      <c r="FJ73" s="10" cm="1">
        <f t="array" aca="1" ref="FJ73" ca="1">IF(ISNA(M73),0,OFFSET(INDIRECT("'"&amp;ES$67&amp;"'!h1"),M73-1,))</f>
        <v>10000</v>
      </c>
      <c r="FK73" s="10" cm="1">
        <f t="array" aca="1" ref="FK73" ca="1">IF(ISNA(N73),0,OFFSET(INDIRECT("'"&amp;ET$67&amp;"'!h1"),N73-1,))</f>
        <v>1</v>
      </c>
      <c r="FL73" s="10" cm="1">
        <f t="array" aca="1" ref="FL73" ca="1">IF(ISNA(O73),0,OFFSET(INDIRECT("'"&amp;EU$67&amp;"'!h1"),O73-1,))</f>
        <v>1</v>
      </c>
      <c r="FM73" s="10" cm="1">
        <f t="array" aca="1" ref="FM73" ca="1">IF(ISNA(P73),0,OFFSET(INDIRECT("'"&amp;EV$67&amp;"'!h1"),P73-1,))</f>
        <v>3</v>
      </c>
      <c r="FN73" s="10"/>
      <c r="FO73" s="10"/>
      <c r="FP73" s="10"/>
      <c r="FQ73" s="10"/>
      <c r="FS73">
        <f t="shared" ca="1" si="61"/>
        <v>10</v>
      </c>
      <c r="FT73">
        <f t="shared" ca="1" si="62"/>
        <v>0.79541027173399903</v>
      </c>
      <c r="FU73">
        <f t="shared" ca="1" si="63"/>
        <v>10000</v>
      </c>
      <c r="FV73">
        <f t="shared" ca="1" si="64"/>
        <v>10000</v>
      </c>
      <c r="FW73" s="4">
        <f t="shared" ca="1" si="65"/>
        <v>1</v>
      </c>
      <c r="FX73" s="5">
        <f t="shared" ca="1" si="66"/>
        <v>7.9541027173399899E-5</v>
      </c>
      <c r="FZ73" s="13">
        <f t="shared" ca="1" si="50"/>
        <v>10</v>
      </c>
      <c r="GA73" s="23">
        <f t="shared" ca="1" si="67"/>
        <v>0</v>
      </c>
      <c r="GB73" s="23">
        <f t="shared" ca="1" si="51"/>
        <v>0</v>
      </c>
      <c r="GC73" s="23">
        <f t="shared" ca="1" si="51"/>
        <v>0</v>
      </c>
      <c r="GD73" s="23">
        <f t="shared" ca="1" si="51"/>
        <v>0</v>
      </c>
      <c r="GE73" s="23">
        <f t="shared" ca="1" si="51"/>
        <v>0</v>
      </c>
      <c r="GF73" s="23">
        <f t="shared" ca="1" si="51"/>
        <v>0</v>
      </c>
      <c r="GG73" s="23">
        <f t="shared" ca="1" si="51"/>
        <v>0</v>
      </c>
      <c r="GH73" s="23">
        <f t="shared" ca="1" si="51"/>
        <v>0</v>
      </c>
      <c r="GI73" s="23">
        <f t="shared" ca="1" si="51"/>
        <v>0</v>
      </c>
      <c r="GJ73" s="23" t="e">
        <f t="shared" ca="1" si="51"/>
        <v>#N/A</v>
      </c>
      <c r="GK73" s="23">
        <f t="shared" ca="1" si="51"/>
        <v>0</v>
      </c>
      <c r="GL73" s="23">
        <f t="shared" ca="1" si="51"/>
        <v>0</v>
      </c>
      <c r="GM73" s="23"/>
      <c r="GN73">
        <f t="shared" ca="1" si="68"/>
        <v>10</v>
      </c>
      <c r="GO73" s="5">
        <f t="shared" ca="1" si="69"/>
        <v>2.3293728999988099E-2</v>
      </c>
      <c r="GP73" s="5">
        <f t="shared" ca="1" si="52"/>
        <v>8.1748810000021807E-3</v>
      </c>
      <c r="GQ73" s="5">
        <f t="shared" ca="1" si="52"/>
        <v>1.22721730000137E-2</v>
      </c>
      <c r="GR73" s="5">
        <f t="shared" ca="1" si="52"/>
        <v>5.4246421999977201E-2</v>
      </c>
      <c r="GS73" s="5">
        <f t="shared" ca="1" si="52"/>
        <v>5.4936000000452602E-2</v>
      </c>
      <c r="GT73" s="5">
        <f t="shared" ca="1" si="70"/>
        <v>2.2988370619714201E-2</v>
      </c>
      <c r="GU73" s="5">
        <f t="shared" ca="1" si="53"/>
        <v>7.9541027173399899E-5</v>
      </c>
      <c r="GV73" s="5">
        <f t="shared" ca="1" si="53"/>
        <v>1.3672414030879701E-4</v>
      </c>
      <c r="GW73" s="5">
        <f t="shared" ca="1" si="53"/>
        <v>1.0595413035408977E-3</v>
      </c>
      <c r="GX73" s="5" t="e">
        <f t="shared" ca="1" si="53"/>
        <v>#N/A</v>
      </c>
      <c r="GY73" s="5">
        <f t="shared" ca="1" si="53"/>
        <v>2.2741407155990601E-3</v>
      </c>
      <c r="GZ73" s="5">
        <f t="shared" ca="1" si="53"/>
        <v>1.277754083275795E-3</v>
      </c>
      <c r="HB73" s="13">
        <f t="shared" ca="1" si="54"/>
        <v>10</v>
      </c>
      <c r="HC73" s="4">
        <f t="shared" ca="1" si="71"/>
        <v>1</v>
      </c>
      <c r="HD73" s="4">
        <f t="shared" ca="1" si="55"/>
        <v>1</v>
      </c>
      <c r="HE73" s="4">
        <f t="shared" ca="1" si="55"/>
        <v>1</v>
      </c>
      <c r="HF73" s="4">
        <f t="shared" ca="1" si="55"/>
        <v>1</v>
      </c>
      <c r="HG73" s="4">
        <f t="shared" ca="1" si="55"/>
        <v>1</v>
      </c>
      <c r="HH73" s="4">
        <f t="shared" ca="1" si="55"/>
        <v>1</v>
      </c>
      <c r="HI73" s="4">
        <f t="shared" ca="1" si="55"/>
        <v>1</v>
      </c>
      <c r="HJ73" s="4">
        <f t="shared" ca="1" si="55"/>
        <v>1</v>
      </c>
      <c r="HK73" s="4">
        <f t="shared" ca="1" si="55"/>
        <v>0.75080000000000002</v>
      </c>
      <c r="HL73" s="4">
        <f t="shared" ca="1" si="55"/>
        <v>0</v>
      </c>
      <c r="HM73" s="4">
        <f t="shared" ca="1" si="55"/>
        <v>1</v>
      </c>
      <c r="HN73" s="4">
        <f t="shared" ca="1" si="55"/>
        <v>0.66666666666666663</v>
      </c>
    </row>
    <row r="74" spans="1:222" x14ac:dyDescent="0.2">
      <c r="A74" t="str" cm="1">
        <f t="array" aca="1" ref="A74" ca="1">INDIRECT($A$67&amp;"!A"&amp;ROW(C7)+$B$64)</f>
        <v>[[11,3,6]]</v>
      </c>
      <c r="B74" cm="1">
        <f t="array" aca="1" ref="B74" ca="1">INDIRECT($A$67&amp;"!b"&amp;ROW(D7)+$B$64)</f>
        <v>11</v>
      </c>
      <c r="C74">
        <f t="shared" ca="1" si="56"/>
        <v>6</v>
      </c>
      <c r="E74">
        <f t="shared" ca="1" si="43"/>
        <v>31</v>
      </c>
      <c r="F74">
        <f t="shared" ca="1" si="43"/>
        <v>32</v>
      </c>
      <c r="G74">
        <f t="shared" ca="1" si="43"/>
        <v>31</v>
      </c>
      <c r="H74">
        <f t="shared" ca="1" si="43"/>
        <v>31</v>
      </c>
      <c r="I74">
        <f t="shared" ca="1" si="43"/>
        <v>34</v>
      </c>
      <c r="J74">
        <f t="shared" ca="1" si="43"/>
        <v>31</v>
      </c>
      <c r="K74">
        <f t="shared" ca="1" si="43"/>
        <v>38</v>
      </c>
      <c r="L74">
        <f t="shared" ca="1" si="43"/>
        <v>40</v>
      </c>
      <c r="M74">
        <f t="shared" ca="1" si="43"/>
        <v>37</v>
      </c>
      <c r="N74">
        <f t="shared" ca="1" si="43"/>
        <v>35</v>
      </c>
      <c r="O74">
        <f t="shared" ca="1" si="43"/>
        <v>35</v>
      </c>
      <c r="P74">
        <f t="shared" ca="1" si="43"/>
        <v>35</v>
      </c>
      <c r="V74" cm="1">
        <f t="array" aca="1" ref="V74" ca="1">IF(ISNA(E74),,OFFSET(INDIRECT("'"&amp;V$67&amp;"'!d1"),E74-1,))</f>
        <v>6</v>
      </c>
      <c r="W74" cm="1">
        <f t="array" aca="1" ref="W74" ca="1">IF(ISNA(F74),,OFFSET(INDIRECT("'"&amp;W$67&amp;"'!d1"),F74-1,))</f>
        <v>6</v>
      </c>
      <c r="X74" cm="1">
        <f t="array" aca="1" ref="X74" ca="1">IF(ISNA(G74),,OFFSET(INDIRECT("'"&amp;X$67&amp;"'!d1"),G74-1,))</f>
        <v>6</v>
      </c>
      <c r="Y74" cm="1">
        <f t="array" aca="1" ref="Y74" ca="1">IF(ISNA(H74),,OFFSET(INDIRECT("'"&amp;Y$67&amp;"'!d1"),H74-1,))</f>
        <v>6</v>
      </c>
      <c r="Z74" cm="1">
        <f t="array" aca="1" ref="Z74" ca="1">IF(ISNA(I74),,OFFSET(INDIRECT("'"&amp;Z$67&amp;"'!d1"),I74-1,))</f>
        <v>6</v>
      </c>
      <c r="AA74" cm="1">
        <f t="array" aca="1" ref="AA74" ca="1">IF(ISNA(J74),,OFFSET(INDIRECT("'"&amp;AA$67&amp;"'!d1"),J74-1,))</f>
        <v>6</v>
      </c>
      <c r="AB74" cm="1">
        <f t="array" aca="1" ref="AB74" ca="1">IF(ISNA(K74),,OFFSET(INDIRECT("'"&amp;AB$67&amp;"'!d1"),K74-1,))</f>
        <v>6</v>
      </c>
      <c r="AC74" cm="1">
        <f t="array" aca="1" ref="AC74" ca="1">IF(ISNA(L74),,OFFSET(INDIRECT("'"&amp;AC$67&amp;"'!d1"),L74-1,))</f>
        <v>6</v>
      </c>
      <c r="AD74" cm="1">
        <f t="array" aca="1" ref="AD74" ca="1">IF(ISNA(M74),,OFFSET(INDIRECT("'"&amp;AD$67&amp;"'!d1"),M74-1,))</f>
        <v>6</v>
      </c>
      <c r="AE74" cm="1">
        <f t="array" aca="1" ref="AE74" ca="1">IF(ISNA(N74),,OFFSET(INDIRECT("'"&amp;AE$67&amp;"'!d1"),N74-1,))</f>
        <v>0</v>
      </c>
      <c r="AF74" cm="1">
        <f t="array" aca="1" ref="AF74" ca="1">IF(ISNA(O74),,OFFSET(INDIRECT("'"&amp;AF$67&amp;"'!d1"),O74-1,))</f>
        <v>0</v>
      </c>
      <c r="AG74" cm="1">
        <f t="array" aca="1" ref="AG74" ca="1">IF(ISNA(P74),,OFFSET(INDIRECT("'"&amp;AG$67&amp;"'!d1"),P74-1,))</f>
        <v>6</v>
      </c>
      <c r="AM74">
        <f t="shared" ca="1" si="57"/>
        <v>1</v>
      </c>
      <c r="AN74">
        <f t="shared" ca="1" si="44"/>
        <v>1</v>
      </c>
      <c r="AO74">
        <f t="shared" ca="1" si="44"/>
        <v>1</v>
      </c>
      <c r="AP74">
        <f t="shared" ca="1" si="44"/>
        <v>1</v>
      </c>
      <c r="AQ74">
        <f t="shared" ca="1" si="58"/>
        <v>1</v>
      </c>
      <c r="AV74" t="b">
        <f t="shared" ca="1" si="59"/>
        <v>1</v>
      </c>
      <c r="AW74" t="b">
        <f t="shared" ca="1" si="45"/>
        <v>1</v>
      </c>
      <c r="AX74" t="b">
        <f t="shared" ca="1" si="45"/>
        <v>1</v>
      </c>
      <c r="AY74" t="b">
        <f t="shared" ca="1" si="45"/>
        <v>1</v>
      </c>
      <c r="AZ74" t="b">
        <f t="shared" ca="1" si="45"/>
        <v>1</v>
      </c>
      <c r="BD74">
        <f t="shared" ca="1" si="46"/>
        <v>1</v>
      </c>
      <c r="BE74">
        <f t="shared" ca="1" si="46"/>
        <v>1</v>
      </c>
      <c r="BF74">
        <f t="shared" ca="1" si="46"/>
        <v>1</v>
      </c>
      <c r="BG74">
        <f t="shared" ca="1" si="46"/>
        <v>1</v>
      </c>
      <c r="BH74">
        <f t="shared" ca="1" si="46"/>
        <v>1</v>
      </c>
      <c r="BI74">
        <f t="shared" ca="1" si="46"/>
        <v>1</v>
      </c>
      <c r="BJ74">
        <f t="shared" ca="1" si="46"/>
        <v>1</v>
      </c>
      <c r="BK74">
        <f t="shared" ca="1" si="46"/>
        <v>1</v>
      </c>
      <c r="BL74">
        <f t="shared" ca="1" si="46"/>
        <v>1</v>
      </c>
      <c r="BM74">
        <f t="shared" ca="1" si="46"/>
        <v>0</v>
      </c>
      <c r="BN74">
        <f t="shared" ca="1" si="46"/>
        <v>0</v>
      </c>
      <c r="BO74">
        <f t="shared" ca="1" si="46"/>
        <v>1</v>
      </c>
      <c r="BU74">
        <f t="shared" ca="1" si="47"/>
        <v>6</v>
      </c>
      <c r="BV74">
        <f t="shared" ca="1" si="47"/>
        <v>6</v>
      </c>
      <c r="BW74">
        <f t="shared" ca="1" si="47"/>
        <v>6</v>
      </c>
      <c r="BX74">
        <f t="shared" ca="1" si="47"/>
        <v>6</v>
      </c>
      <c r="BY74">
        <f t="shared" ca="1" si="47"/>
        <v>6</v>
      </c>
      <c r="BZ74">
        <f t="shared" ca="1" si="47"/>
        <v>6</v>
      </c>
      <c r="CA74">
        <f t="shared" ca="1" si="47"/>
        <v>6</v>
      </c>
      <c r="CB74">
        <f t="shared" ca="1" si="47"/>
        <v>6</v>
      </c>
      <c r="CC74">
        <f t="shared" ca="1" si="47"/>
        <v>6</v>
      </c>
      <c r="CD74">
        <f t="shared" ca="1" si="47"/>
        <v>11</v>
      </c>
      <c r="CE74">
        <f t="shared" ca="1" si="47"/>
        <v>11</v>
      </c>
      <c r="CF74">
        <f t="shared" ca="1" si="47"/>
        <v>6</v>
      </c>
      <c r="CL74">
        <f t="shared" ca="1" si="48"/>
        <v>1</v>
      </c>
      <c r="CM74">
        <f t="shared" ca="1" si="48"/>
        <v>1</v>
      </c>
      <c r="CN74">
        <f t="shared" ca="1" si="48"/>
        <v>1</v>
      </c>
      <c r="CO74">
        <f t="shared" ca="1" si="48"/>
        <v>1</v>
      </c>
      <c r="CP74">
        <f t="shared" ca="1" si="48"/>
        <v>1</v>
      </c>
      <c r="CQ74">
        <f t="shared" ca="1" si="48"/>
        <v>1</v>
      </c>
      <c r="CR74">
        <f t="shared" ca="1" si="48"/>
        <v>1</v>
      </c>
      <c r="CS74">
        <f t="shared" ca="1" si="48"/>
        <v>1</v>
      </c>
      <c r="CT74">
        <f t="shared" ca="1" si="48"/>
        <v>1</v>
      </c>
      <c r="CU74">
        <f t="shared" ca="1" si="48"/>
        <v>0</v>
      </c>
      <c r="CV74">
        <f t="shared" ca="1" si="48"/>
        <v>0</v>
      </c>
      <c r="CW74">
        <f t="shared" ca="1" si="48"/>
        <v>1</v>
      </c>
      <c r="DC74" cm="1">
        <f t="array" aca="1" ref="DC74" ca="1">IF(ISNA(E74),,OFFSET(INDIRECT("'"&amp;DT$67&amp;"'!f1"),E74-1,))*1</f>
        <v>2.3041127999988399E-2</v>
      </c>
      <c r="DD74" cm="1">
        <f t="array" aca="1" ref="DD74" ca="1">IF(ISNA(F74),,OFFSET(INDIRECT("'"&amp;DU$67&amp;"'!f1"),F74-1,))*1</f>
        <v>1.3085722999989001E-2</v>
      </c>
      <c r="DE74" cm="1">
        <f t="array" aca="1" ref="DE74" ca="1">IF(ISNA(G74),,OFFSET(INDIRECT("'"&amp;DV$67&amp;"'!f1"),G74-1,))*1</f>
        <v>1.2328846999992E-2</v>
      </c>
      <c r="DF74" cm="1">
        <f t="array" aca="1" ref="DF74" ca="1">IF(ISNA(H74),,OFFSET(INDIRECT("'"&amp;DW$67&amp;"'!f1"),H74-1,))*1</f>
        <v>5.7297478999998902E-2</v>
      </c>
      <c r="DG74" cm="1">
        <f t="array" aca="1" ref="DG74" ca="1">IF(ISNA(I74),,OFFSET(INDIRECT("'"&amp;DX$67&amp;"'!f1"),I74-1,))*1</f>
        <v>5.8254708994354497E-2</v>
      </c>
      <c r="DH74" cm="1">
        <f t="array" aca="1" ref="DH74" ca="1">IF(ISNA(J74),,OFFSET(INDIRECT("'"&amp;DY$67&amp;"'!f1"),J74-1,))*1</f>
        <v>2.4577920325100401E-2</v>
      </c>
      <c r="DI74" cm="1">
        <f t="array" aca="1" ref="DI74" ca="1">IF(ISNA(K74),,OFFSET(INDIRECT("'"&amp;DZ$67&amp;"'!f1"),K74-1,))*1</f>
        <v>0.83369372040033296</v>
      </c>
      <c r="DJ74" cm="1">
        <f t="array" aca="1" ref="DJ74" ca="1">IF(ISNA(L74),,OFFSET(INDIRECT("'"&amp;EA$67&amp;"'!f1"),L74-1,))*1</f>
        <v>1.40701152384281</v>
      </c>
      <c r="DK74" cm="1">
        <f t="array" aca="1" ref="DK74" ca="1">IF(ISNA(M74),,OFFSET(INDIRECT("'"&amp;EB$67&amp;"'!f1"),M74-1,))*1</f>
        <v>9.0207998813129908</v>
      </c>
      <c r="DL74" cm="1">
        <f t="array" aca="1" ref="DL74" ca="1">IF(ISNA(N74),,OFFSET(INDIRECT("'"&amp;EC$67&amp;"'!f1"),N74-1,))*1</f>
        <v>2.1352525800466498E-3</v>
      </c>
      <c r="DM74" cm="1">
        <f t="array" aca="1" ref="DM74" ca="1">IF(ISNA(O74),,OFFSET(INDIRECT("'"&amp;ED$67&amp;"'!f1"),O74-1,))*1</f>
        <v>2.2167647257447199E-3</v>
      </c>
      <c r="DN74" cm="1">
        <f t="array" aca="1" ref="DN74" ca="1">IF(ISNA(P74),,OFFSET(INDIRECT("'"&amp;EE$67&amp;"'!f1"),P74-1,))*1</f>
        <v>2.8052432462572999E-3</v>
      </c>
      <c r="DT74">
        <f t="shared" ca="1" si="60"/>
        <v>1</v>
      </c>
      <c r="DU74">
        <f t="shared" ca="1" si="49"/>
        <v>1</v>
      </c>
      <c r="DV74">
        <f t="shared" ca="1" si="49"/>
        <v>1</v>
      </c>
      <c r="DW74">
        <f t="shared" ca="1" si="49"/>
        <v>1</v>
      </c>
      <c r="DX74">
        <f t="shared" ca="1" si="49"/>
        <v>1</v>
      </c>
      <c r="DY74">
        <f t="shared" ca="1" si="49"/>
        <v>1</v>
      </c>
      <c r="DZ74">
        <f t="shared" ca="1" si="49"/>
        <v>10000</v>
      </c>
      <c r="EA74">
        <f t="shared" ca="1" si="49"/>
        <v>10000</v>
      </c>
      <c r="EB74">
        <f t="shared" ca="1" si="49"/>
        <v>9135</v>
      </c>
      <c r="EC74">
        <f t="shared" ca="1" si="49"/>
        <v>0</v>
      </c>
      <c r="ED74">
        <f t="shared" ca="1" si="49"/>
        <v>0</v>
      </c>
      <c r="EE74">
        <f t="shared" ca="1" si="49"/>
        <v>2</v>
      </c>
      <c r="EK74" cm="1">
        <f t="array" aca="1" ref="EK74" ca="1">IF(ISNA(E74),0,OFFSET(INDIRECT("'"&amp;EK$67&amp;"'!g1"),E74-1,)*CL74)</f>
        <v>1</v>
      </c>
      <c r="EL74" cm="1">
        <f t="array" aca="1" ref="EL74" ca="1">IF(ISNA(F74),0,OFFSET(INDIRECT("'"&amp;EL$67&amp;"'!g1"),F74-1,)*CM74)</f>
        <v>1</v>
      </c>
      <c r="EM74" cm="1">
        <f t="array" aca="1" ref="EM74" ca="1">IF(ISNA(G74),0,OFFSET(INDIRECT("'"&amp;EM$67&amp;"'!g1"),G74-1,)*CN74)</f>
        <v>1</v>
      </c>
      <c r="EN74" cm="1">
        <f t="array" aca="1" ref="EN74" ca="1">IF(ISNA(H74),0,OFFSET(INDIRECT("'"&amp;EN$67&amp;"'!g1"),H74-1,)*CO74)</f>
        <v>1</v>
      </c>
      <c r="EO74" cm="1">
        <f t="array" aca="1" ref="EO74" ca="1">IF(ISNA(I74),0,OFFSET(INDIRECT("'"&amp;EO$67&amp;"'!g1"),I74-1,)*CP74)</f>
        <v>1</v>
      </c>
      <c r="EP74" cm="1">
        <f t="array" aca="1" ref="EP74" ca="1">IF(ISNA(J74),0,OFFSET(INDIRECT("'"&amp;EP$67&amp;"'!g1"),J74-1,)*CQ74)</f>
        <v>1</v>
      </c>
      <c r="EQ74" cm="1">
        <f t="array" aca="1" ref="EQ74" ca="1">IF(ISNA(K74),0,OFFSET(INDIRECT("'"&amp;EQ$67&amp;"'!g1"),K74-1,)*CR74)</f>
        <v>10000</v>
      </c>
      <c r="ER74" cm="1">
        <f t="array" aca="1" ref="ER74" ca="1">IF(ISNA(L74),0,OFFSET(INDIRECT("'"&amp;ER$67&amp;"'!g1"),L74-1,)*CS74)</f>
        <v>10000</v>
      </c>
      <c r="ES74" cm="1">
        <f t="array" aca="1" ref="ES74" ca="1">IF(ISNA(M74),0,OFFSET(INDIRECT("'"&amp;ES$67&amp;"'!g1"),M74-1,)*CT74)</f>
        <v>9135</v>
      </c>
      <c r="ET74" cm="1">
        <f t="array" aca="1" ref="ET74" ca="1">IF(ISNA(N74),0,OFFSET(INDIRECT("'"&amp;ET$67&amp;"'!g1"),N74-1,)*CU74)</f>
        <v>0</v>
      </c>
      <c r="EU74" cm="1">
        <f t="array" aca="1" ref="EU74" ca="1">IF(ISNA(O74),0,OFFSET(INDIRECT("'"&amp;EU$67&amp;"'!g1"),O74-1,)*CV74)</f>
        <v>0</v>
      </c>
      <c r="EV74" cm="1">
        <f t="array" aca="1" ref="EV74" ca="1">IF(ISNA(P74),0,OFFSET(INDIRECT("'"&amp;EV$67&amp;"'!g1"),P74-1,)*CW74)</f>
        <v>2</v>
      </c>
      <c r="FB74" s="10" cm="1">
        <f t="array" aca="1" ref="FB74" ca="1">IF(ISNA(E74),0,OFFSET(INDIRECT("'"&amp;EK$67&amp;"'!h1"),E74-1,))</f>
        <v>1</v>
      </c>
      <c r="FC74" s="10" cm="1">
        <f t="array" aca="1" ref="FC74" ca="1">IF(ISNA(F74),0,OFFSET(INDIRECT("'"&amp;EL$67&amp;"'!h1"),F74-1,))</f>
        <v>1</v>
      </c>
      <c r="FD74" s="10" cm="1">
        <f t="array" aca="1" ref="FD74" ca="1">IF(ISNA(G74),0,OFFSET(INDIRECT("'"&amp;EM$67&amp;"'!h1"),G74-1,))</f>
        <v>1</v>
      </c>
      <c r="FE74" s="10" cm="1">
        <f t="array" aca="1" ref="FE74" ca="1">IF(ISNA(H74),0,OFFSET(INDIRECT("'"&amp;EN$67&amp;"'!h1"),H74-1,))</f>
        <v>1</v>
      </c>
      <c r="FF74" s="10" cm="1">
        <f t="array" aca="1" ref="FF74" ca="1">IF(ISNA(I74),0,OFFSET(INDIRECT("'"&amp;EO$67&amp;"'!h1"),I74-1,))</f>
        <v>1</v>
      </c>
      <c r="FG74" s="10" cm="1">
        <f t="array" aca="1" ref="FG74" ca="1">IF(ISNA(J74),0,OFFSET(INDIRECT("'"&amp;EP$67&amp;"'!h1"),J74-1,))</f>
        <v>1</v>
      </c>
      <c r="FH74" s="10" cm="1">
        <f t="array" aca="1" ref="FH74" ca="1">IF(ISNA(K74),0,OFFSET(INDIRECT("'"&amp;EQ$67&amp;"'!h1"),K74-1,))</f>
        <v>10000</v>
      </c>
      <c r="FI74" s="10" cm="1">
        <f t="array" aca="1" ref="FI74" ca="1">IF(ISNA(L74),0,OFFSET(INDIRECT("'"&amp;ER$67&amp;"'!h1"),L74-1,))</f>
        <v>10000</v>
      </c>
      <c r="FJ74" s="10" cm="1">
        <f t="array" aca="1" ref="FJ74" ca="1">IF(ISNA(M74),0,OFFSET(INDIRECT("'"&amp;ES$67&amp;"'!h1"),M74-1,))</f>
        <v>10000</v>
      </c>
      <c r="FK74" s="10" cm="1">
        <f t="array" aca="1" ref="FK74" ca="1">IF(ISNA(N74),0,OFFSET(INDIRECT("'"&amp;ET$67&amp;"'!h1"),N74-1,))</f>
        <v>1</v>
      </c>
      <c r="FL74" s="10" cm="1">
        <f t="array" aca="1" ref="FL74" ca="1">IF(ISNA(O74),0,OFFSET(INDIRECT("'"&amp;EU$67&amp;"'!h1"),O74-1,))</f>
        <v>1</v>
      </c>
      <c r="FM74" s="10" cm="1">
        <f t="array" aca="1" ref="FM74" ca="1">IF(ISNA(P74),0,OFFSET(INDIRECT("'"&amp;EV$67&amp;"'!h1"),P74-1,))</f>
        <v>4</v>
      </c>
      <c r="FN74" s="10"/>
      <c r="FO74" s="10"/>
      <c r="FP74" s="10"/>
      <c r="FQ74" s="10"/>
      <c r="FS74">
        <f t="shared" ca="1" si="61"/>
        <v>11</v>
      </c>
      <c r="FT74">
        <f t="shared" ca="1" si="62"/>
        <v>0.83369372040033296</v>
      </c>
      <c r="FU74">
        <f t="shared" ca="1" si="63"/>
        <v>10000</v>
      </c>
      <c r="FV74">
        <f t="shared" ca="1" si="64"/>
        <v>10000</v>
      </c>
      <c r="FW74" s="4">
        <f t="shared" ca="1" si="65"/>
        <v>1</v>
      </c>
      <c r="FX74" s="5">
        <f t="shared" ca="1" si="66"/>
        <v>8.3369372040033296E-5</v>
      </c>
      <c r="FZ74" s="13">
        <f t="shared" ca="1" si="50"/>
        <v>11</v>
      </c>
      <c r="GA74" s="23">
        <f t="shared" ca="1" si="67"/>
        <v>0</v>
      </c>
      <c r="GB74" s="23">
        <f t="shared" ca="1" si="51"/>
        <v>0</v>
      </c>
      <c r="GC74" s="23">
        <f t="shared" ca="1" si="51"/>
        <v>0</v>
      </c>
      <c r="GD74" s="23">
        <f t="shared" ca="1" si="51"/>
        <v>0</v>
      </c>
      <c r="GE74" s="23">
        <f t="shared" ca="1" si="51"/>
        <v>0</v>
      </c>
      <c r="GF74" s="23">
        <f t="shared" ca="1" si="51"/>
        <v>0</v>
      </c>
      <c r="GG74" s="23">
        <f t="shared" ca="1" si="51"/>
        <v>0</v>
      </c>
      <c r="GH74" s="23">
        <f t="shared" ca="1" si="51"/>
        <v>0</v>
      </c>
      <c r="GI74" s="23">
        <f t="shared" ca="1" si="51"/>
        <v>0</v>
      </c>
      <c r="GJ74" s="23" t="e">
        <f t="shared" ca="1" si="51"/>
        <v>#N/A</v>
      </c>
      <c r="GK74" s="23" t="e">
        <f t="shared" ca="1" si="51"/>
        <v>#N/A</v>
      </c>
      <c r="GL74" s="23">
        <f t="shared" ca="1" si="51"/>
        <v>0</v>
      </c>
      <c r="GM74" s="23"/>
      <c r="GN74">
        <f t="shared" ca="1" si="68"/>
        <v>11</v>
      </c>
      <c r="GO74" s="5">
        <f t="shared" ca="1" si="69"/>
        <v>2.3041127999988399E-2</v>
      </c>
      <c r="GP74" s="5">
        <f t="shared" ca="1" si="52"/>
        <v>1.3085722999989001E-2</v>
      </c>
      <c r="GQ74" s="5">
        <f t="shared" ca="1" si="52"/>
        <v>1.2328846999992E-2</v>
      </c>
      <c r="GR74" s="5">
        <f t="shared" ca="1" si="52"/>
        <v>5.7297478999998902E-2</v>
      </c>
      <c r="GS74" s="5">
        <f t="shared" ca="1" si="52"/>
        <v>5.8254708994354497E-2</v>
      </c>
      <c r="GT74" s="5">
        <f t="shared" ca="1" si="70"/>
        <v>2.4577920325100401E-2</v>
      </c>
      <c r="GU74" s="5">
        <f t="shared" ca="1" si="53"/>
        <v>8.3369372040033296E-5</v>
      </c>
      <c r="GV74" s="5">
        <f t="shared" ca="1" si="53"/>
        <v>1.40701152384281E-4</v>
      </c>
      <c r="GW74" s="5">
        <f t="shared" ca="1" si="53"/>
        <v>9.8749861864400566E-4</v>
      </c>
      <c r="GX74" s="5" t="e">
        <f t="shared" ca="1" si="53"/>
        <v>#N/A</v>
      </c>
      <c r="GY74" s="5" t="e">
        <f t="shared" ca="1" si="53"/>
        <v>#N/A</v>
      </c>
      <c r="GZ74" s="5">
        <f t="shared" ca="1" si="53"/>
        <v>1.40262162312865E-3</v>
      </c>
      <c r="HB74" s="13">
        <f t="shared" ca="1" si="54"/>
        <v>11</v>
      </c>
      <c r="HC74" s="4">
        <f t="shared" ca="1" si="71"/>
        <v>1</v>
      </c>
      <c r="HD74" s="4">
        <f t="shared" ca="1" si="55"/>
        <v>1</v>
      </c>
      <c r="HE74" s="4">
        <f t="shared" ca="1" si="55"/>
        <v>1</v>
      </c>
      <c r="HF74" s="4">
        <f t="shared" ca="1" si="55"/>
        <v>1</v>
      </c>
      <c r="HG74" s="4">
        <f t="shared" ca="1" si="55"/>
        <v>1</v>
      </c>
      <c r="HH74" s="4">
        <f t="shared" ca="1" si="55"/>
        <v>1</v>
      </c>
      <c r="HI74" s="4">
        <f t="shared" ca="1" si="55"/>
        <v>1</v>
      </c>
      <c r="HJ74" s="4">
        <f t="shared" ca="1" si="55"/>
        <v>1</v>
      </c>
      <c r="HK74" s="4">
        <f t="shared" ca="1" si="55"/>
        <v>0.91349999999999998</v>
      </c>
      <c r="HL74" s="4">
        <f t="shared" ca="1" si="55"/>
        <v>0</v>
      </c>
      <c r="HM74" s="4">
        <f t="shared" ca="1" si="55"/>
        <v>0</v>
      </c>
      <c r="HN74" s="4">
        <f t="shared" ca="1" si="55"/>
        <v>0.5</v>
      </c>
    </row>
    <row r="75" spans="1:222" x14ac:dyDescent="0.2">
      <c r="A75" t="str" cm="1">
        <f t="array" aca="1" ref="A75" ca="1">INDIRECT($A$67&amp;"!A"&amp;ROW(C8)+$B$64)</f>
        <v>[[12,3,6]]</v>
      </c>
      <c r="B75" cm="1">
        <f t="array" aca="1" ref="B75" ca="1">INDIRECT($A$67&amp;"!b"&amp;ROW(D8)+$B$64)</f>
        <v>12</v>
      </c>
      <c r="C75">
        <f t="shared" ca="1" si="56"/>
        <v>6</v>
      </c>
      <c r="E75">
        <f t="shared" ca="1" si="43"/>
        <v>32</v>
      </c>
      <c r="F75">
        <f t="shared" ca="1" si="43"/>
        <v>33</v>
      </c>
      <c r="G75">
        <f t="shared" ca="1" si="43"/>
        <v>32</v>
      </c>
      <c r="H75">
        <f t="shared" ca="1" si="43"/>
        <v>32</v>
      </c>
      <c r="I75">
        <f t="shared" ca="1" si="43"/>
        <v>35</v>
      </c>
      <c r="J75">
        <f t="shared" ca="1" si="43"/>
        <v>32</v>
      </c>
      <c r="K75">
        <f t="shared" ca="1" si="43"/>
        <v>39</v>
      </c>
      <c r="L75">
        <f t="shared" ca="1" si="43"/>
        <v>41</v>
      </c>
      <c r="M75">
        <f t="shared" ca="1" si="43"/>
        <v>38</v>
      </c>
      <c r="N75">
        <f t="shared" ca="1" si="43"/>
        <v>36</v>
      </c>
      <c r="O75">
        <f t="shared" ca="1" si="43"/>
        <v>36</v>
      </c>
      <c r="P75">
        <f t="shared" ca="1" si="43"/>
        <v>36</v>
      </c>
      <c r="V75" cm="1">
        <f t="array" aca="1" ref="V75" ca="1">IF(ISNA(E75),,OFFSET(INDIRECT("'"&amp;V$67&amp;"'!d1"),E75-1,))</f>
        <v>6</v>
      </c>
      <c r="W75" cm="1">
        <f t="array" aca="1" ref="W75" ca="1">IF(ISNA(F75),,OFFSET(INDIRECT("'"&amp;W$67&amp;"'!d1"),F75-1,))</f>
        <v>6</v>
      </c>
      <c r="X75" cm="1">
        <f t="array" aca="1" ref="X75" ca="1">IF(ISNA(G75),,OFFSET(INDIRECT("'"&amp;X$67&amp;"'!d1"),G75-1,))</f>
        <v>6</v>
      </c>
      <c r="Y75" cm="1">
        <f t="array" aca="1" ref="Y75" ca="1">IF(ISNA(H75),,OFFSET(INDIRECT("'"&amp;Y$67&amp;"'!d1"),H75-1,))</f>
        <v>6</v>
      </c>
      <c r="Z75" cm="1">
        <f t="array" aca="1" ref="Z75" ca="1">IF(ISNA(I75),,OFFSET(INDIRECT("'"&amp;Z$67&amp;"'!d1"),I75-1,))</f>
        <v>6</v>
      </c>
      <c r="AA75" cm="1">
        <f t="array" aca="1" ref="AA75" ca="1">IF(ISNA(J75),,OFFSET(INDIRECT("'"&amp;AA$67&amp;"'!d1"),J75-1,))</f>
        <v>6</v>
      </c>
      <c r="AB75" cm="1">
        <f t="array" aca="1" ref="AB75" ca="1">IF(ISNA(K75),,OFFSET(INDIRECT("'"&amp;AB$67&amp;"'!d1"),K75-1,))</f>
        <v>6</v>
      </c>
      <c r="AC75" cm="1">
        <f t="array" aca="1" ref="AC75" ca="1">IF(ISNA(L75),,OFFSET(INDIRECT("'"&amp;AC$67&amp;"'!d1"),L75-1,))</f>
        <v>6</v>
      </c>
      <c r="AD75" cm="1">
        <f t="array" aca="1" ref="AD75" ca="1">IF(ISNA(M75),,OFFSET(INDIRECT("'"&amp;AD$67&amp;"'!d1"),M75-1,))</f>
        <v>6</v>
      </c>
      <c r="AE75" cm="1">
        <f t="array" aca="1" ref="AE75" ca="1">IF(ISNA(N75),,OFFSET(INDIRECT("'"&amp;AE$67&amp;"'!d1"),N75-1,))</f>
        <v>0</v>
      </c>
      <c r="AF75" cm="1">
        <f t="array" aca="1" ref="AF75" ca="1">IF(ISNA(O75),,OFFSET(INDIRECT("'"&amp;AF$67&amp;"'!d1"),O75-1,))</f>
        <v>0</v>
      </c>
      <c r="AG75" cm="1">
        <f t="array" aca="1" ref="AG75" ca="1">IF(ISNA(P75),,OFFSET(INDIRECT("'"&amp;AG$67&amp;"'!d1"),P75-1,))</f>
        <v>6</v>
      </c>
      <c r="AM75">
        <f t="shared" ca="1" si="57"/>
        <v>1</v>
      </c>
      <c r="AN75">
        <f t="shared" ca="1" si="44"/>
        <v>1</v>
      </c>
      <c r="AO75">
        <f t="shared" ca="1" si="44"/>
        <v>1</v>
      </c>
      <c r="AP75">
        <f t="shared" ca="1" si="44"/>
        <v>1</v>
      </c>
      <c r="AQ75">
        <f t="shared" ca="1" si="58"/>
        <v>1</v>
      </c>
      <c r="AV75" t="b">
        <f t="shared" ca="1" si="59"/>
        <v>1</v>
      </c>
      <c r="AW75" t="b">
        <f t="shared" ca="1" si="45"/>
        <v>1</v>
      </c>
      <c r="AX75" t="b">
        <f t="shared" ca="1" si="45"/>
        <v>1</v>
      </c>
      <c r="AY75" t="b">
        <f t="shared" ca="1" si="45"/>
        <v>1</v>
      </c>
      <c r="AZ75" t="b">
        <f t="shared" ca="1" si="45"/>
        <v>1</v>
      </c>
      <c r="BD75">
        <f t="shared" ca="1" si="46"/>
        <v>1</v>
      </c>
      <c r="BE75">
        <f t="shared" ca="1" si="46"/>
        <v>1</v>
      </c>
      <c r="BF75">
        <f t="shared" ca="1" si="46"/>
        <v>1</v>
      </c>
      <c r="BG75">
        <f t="shared" ca="1" si="46"/>
        <v>1</v>
      </c>
      <c r="BH75">
        <f t="shared" ca="1" si="46"/>
        <v>1</v>
      </c>
      <c r="BI75">
        <f t="shared" ca="1" si="46"/>
        <v>1</v>
      </c>
      <c r="BJ75">
        <f t="shared" ca="1" si="46"/>
        <v>1</v>
      </c>
      <c r="BK75">
        <f t="shared" ca="1" si="46"/>
        <v>1</v>
      </c>
      <c r="BL75">
        <f t="shared" ca="1" si="46"/>
        <v>1</v>
      </c>
      <c r="BM75">
        <f t="shared" ca="1" si="46"/>
        <v>0</v>
      </c>
      <c r="BN75">
        <f t="shared" ca="1" si="46"/>
        <v>0</v>
      </c>
      <c r="BO75">
        <f t="shared" ca="1" si="46"/>
        <v>1</v>
      </c>
      <c r="BU75">
        <f t="shared" ca="1" si="47"/>
        <v>6</v>
      </c>
      <c r="BV75">
        <f t="shared" ca="1" si="47"/>
        <v>6</v>
      </c>
      <c r="BW75">
        <f t="shared" ca="1" si="47"/>
        <v>6</v>
      </c>
      <c r="BX75">
        <f t="shared" ca="1" si="47"/>
        <v>6</v>
      </c>
      <c r="BY75">
        <f t="shared" ca="1" si="47"/>
        <v>6</v>
      </c>
      <c r="BZ75">
        <f t="shared" ca="1" si="47"/>
        <v>6</v>
      </c>
      <c r="CA75">
        <f t="shared" ca="1" si="47"/>
        <v>6</v>
      </c>
      <c r="CB75">
        <f t="shared" ca="1" si="47"/>
        <v>6</v>
      </c>
      <c r="CC75">
        <f t="shared" ca="1" si="47"/>
        <v>6</v>
      </c>
      <c r="CD75">
        <f t="shared" ca="1" si="47"/>
        <v>12</v>
      </c>
      <c r="CE75">
        <f t="shared" ca="1" si="47"/>
        <v>12</v>
      </c>
      <c r="CF75">
        <f t="shared" ca="1" si="47"/>
        <v>6</v>
      </c>
      <c r="CL75">
        <f t="shared" ca="1" si="48"/>
        <v>1</v>
      </c>
      <c r="CM75">
        <f t="shared" ca="1" si="48"/>
        <v>1</v>
      </c>
      <c r="CN75">
        <f t="shared" ca="1" si="48"/>
        <v>1</v>
      </c>
      <c r="CO75">
        <f t="shared" ca="1" si="48"/>
        <v>1</v>
      </c>
      <c r="CP75">
        <f t="shared" ca="1" si="48"/>
        <v>1</v>
      </c>
      <c r="CQ75">
        <f t="shared" ca="1" si="48"/>
        <v>1</v>
      </c>
      <c r="CR75">
        <f t="shared" ca="1" si="48"/>
        <v>1</v>
      </c>
      <c r="CS75">
        <f t="shared" ca="1" si="48"/>
        <v>1</v>
      </c>
      <c r="CT75">
        <f t="shared" ca="1" si="48"/>
        <v>1</v>
      </c>
      <c r="CU75">
        <f t="shared" ca="1" si="48"/>
        <v>0</v>
      </c>
      <c r="CV75">
        <f t="shared" ca="1" si="48"/>
        <v>0</v>
      </c>
      <c r="CW75">
        <f t="shared" ca="1" si="48"/>
        <v>1</v>
      </c>
      <c r="DC75" cm="1">
        <f t="array" aca="1" ref="DC75" ca="1">IF(ISNA(E75),,OFFSET(INDIRECT("'"&amp;DT$67&amp;"'!f1"),E75-1,))*1</f>
        <v>2.3164096000016302E-2</v>
      </c>
      <c r="DD75" cm="1">
        <f t="array" aca="1" ref="DD75" ca="1">IF(ISNA(F75),,OFFSET(INDIRECT("'"&amp;DU$67&amp;"'!f1"),F75-1,))*1</f>
        <v>2.2878967999986299E-2</v>
      </c>
      <c r="DE75" cm="1">
        <f t="array" aca="1" ref="DE75" ca="1">IF(ISNA(G75),,OFFSET(INDIRECT("'"&amp;DV$67&amp;"'!f1"),G75-1,))*1</f>
        <v>1.2436460999992901E-2</v>
      </c>
      <c r="DF75" cm="1">
        <f t="array" aca="1" ref="DF75" ca="1">IF(ISNA(H75),,OFFSET(INDIRECT("'"&amp;DW$67&amp;"'!f1"),H75-1,))*1</f>
        <v>5.2931779000005001E-2</v>
      </c>
      <c r="DG75" cm="1">
        <f t="array" aca="1" ref="DG75" ca="1">IF(ISNA(I75),,OFFSET(INDIRECT("'"&amp;DX$67&amp;"'!f1"),I75-1,))*1</f>
        <v>5.5143083001894397E-2</v>
      </c>
      <c r="DH75" cm="1">
        <f t="array" aca="1" ref="DH75" ca="1">IF(ISNA(J75),,OFFSET(INDIRECT("'"&amp;DY$67&amp;"'!f1"),J75-1,))*1</f>
        <v>2.46292287483811E-2</v>
      </c>
      <c r="DI75" cm="1">
        <f t="array" aca="1" ref="DI75" ca="1">IF(ISNA(K75),,OFFSET(INDIRECT("'"&amp;DZ$67&amp;"'!f1"),K75-1,))*1</f>
        <v>0.84820074308663596</v>
      </c>
      <c r="DJ75" cm="1">
        <f t="array" aca="1" ref="DJ75" ca="1">IF(ISNA(L75),,OFFSET(INDIRECT("'"&amp;EA$67&amp;"'!f1"),L75-1,))*1</f>
        <v>1.41772810742259</v>
      </c>
      <c r="DK75" cm="1">
        <f t="array" aca="1" ref="DK75" ca="1">IF(ISNA(M75),,OFFSET(INDIRECT("'"&amp;EB$67&amp;"'!f1"),M75-1,))*1</f>
        <v>9.5371500039473105</v>
      </c>
      <c r="DL75" cm="1">
        <f t="array" aca="1" ref="DL75" ca="1">IF(ISNA(N75),,OFFSET(INDIRECT("'"&amp;EC$67&amp;"'!f1"),N75-1,))*1</f>
        <v>2.2355448454618402E-3</v>
      </c>
      <c r="DM75" cm="1">
        <f t="array" aca="1" ref="DM75" ca="1">IF(ISNA(O75),,OFFSET(INDIRECT("'"&amp;ED$67&amp;"'!f1"),O75-1,))*1</f>
        <v>2.3460378870368E-3</v>
      </c>
      <c r="DN75" cm="1">
        <f t="array" aca="1" ref="DN75" ca="1">IF(ISNA(P75),,OFFSET(INDIRECT("'"&amp;EE$67&amp;"'!f1"),P75-1,))*1</f>
        <v>2.7892123907804398E-3</v>
      </c>
      <c r="DT75">
        <f t="shared" ca="1" si="60"/>
        <v>1</v>
      </c>
      <c r="DU75">
        <f t="shared" ca="1" si="49"/>
        <v>1</v>
      </c>
      <c r="DV75">
        <f t="shared" ca="1" si="49"/>
        <v>1</v>
      </c>
      <c r="DW75">
        <f t="shared" ca="1" si="49"/>
        <v>1</v>
      </c>
      <c r="DX75">
        <f t="shared" ca="1" si="49"/>
        <v>1</v>
      </c>
      <c r="DY75">
        <f t="shared" ca="1" si="49"/>
        <v>1</v>
      </c>
      <c r="DZ75">
        <f t="shared" ca="1" si="49"/>
        <v>10000</v>
      </c>
      <c r="EA75">
        <f t="shared" ca="1" si="49"/>
        <v>10000</v>
      </c>
      <c r="EB75">
        <f t="shared" ca="1" si="49"/>
        <v>10000</v>
      </c>
      <c r="EC75">
        <f t="shared" ca="1" si="49"/>
        <v>0</v>
      </c>
      <c r="ED75">
        <f t="shared" ca="1" si="49"/>
        <v>0</v>
      </c>
      <c r="EE75">
        <f t="shared" ca="1" si="49"/>
        <v>2</v>
      </c>
      <c r="EK75" cm="1">
        <f t="array" aca="1" ref="EK75" ca="1">IF(ISNA(E75),0,OFFSET(INDIRECT("'"&amp;EK$67&amp;"'!g1"),E75-1,)*CL75)</f>
        <v>1</v>
      </c>
      <c r="EL75" cm="1">
        <f t="array" aca="1" ref="EL75" ca="1">IF(ISNA(F75),0,OFFSET(INDIRECT("'"&amp;EL$67&amp;"'!g1"),F75-1,)*CM75)</f>
        <v>1</v>
      </c>
      <c r="EM75" cm="1">
        <f t="array" aca="1" ref="EM75" ca="1">IF(ISNA(G75),0,OFFSET(INDIRECT("'"&amp;EM$67&amp;"'!g1"),G75-1,)*CN75)</f>
        <v>1</v>
      </c>
      <c r="EN75" cm="1">
        <f t="array" aca="1" ref="EN75" ca="1">IF(ISNA(H75),0,OFFSET(INDIRECT("'"&amp;EN$67&amp;"'!g1"),H75-1,)*CO75)</f>
        <v>1</v>
      </c>
      <c r="EO75" cm="1">
        <f t="array" aca="1" ref="EO75" ca="1">IF(ISNA(I75),0,OFFSET(INDIRECT("'"&amp;EO$67&amp;"'!g1"),I75-1,)*CP75)</f>
        <v>1</v>
      </c>
      <c r="EP75" cm="1">
        <f t="array" aca="1" ref="EP75" ca="1">IF(ISNA(J75),0,OFFSET(INDIRECT("'"&amp;EP$67&amp;"'!g1"),J75-1,)*CQ75)</f>
        <v>1</v>
      </c>
      <c r="EQ75" cm="1">
        <f t="array" aca="1" ref="EQ75" ca="1">IF(ISNA(K75),0,OFFSET(INDIRECT("'"&amp;EQ$67&amp;"'!g1"),K75-1,)*CR75)</f>
        <v>10000</v>
      </c>
      <c r="ER75" cm="1">
        <f t="array" aca="1" ref="ER75" ca="1">IF(ISNA(L75),0,OFFSET(INDIRECT("'"&amp;ER$67&amp;"'!g1"),L75-1,)*CS75)</f>
        <v>10000</v>
      </c>
      <c r="ES75" cm="1">
        <f t="array" aca="1" ref="ES75" ca="1">IF(ISNA(M75),0,OFFSET(INDIRECT("'"&amp;ES$67&amp;"'!g1"),M75-1,)*CT75)</f>
        <v>10000</v>
      </c>
      <c r="ET75" cm="1">
        <f t="array" aca="1" ref="ET75" ca="1">IF(ISNA(N75),0,OFFSET(INDIRECT("'"&amp;ET$67&amp;"'!g1"),N75-1,)*CU75)</f>
        <v>0</v>
      </c>
      <c r="EU75" cm="1">
        <f t="array" aca="1" ref="EU75" ca="1">IF(ISNA(O75),0,OFFSET(INDIRECT("'"&amp;EU$67&amp;"'!g1"),O75-1,)*CV75)</f>
        <v>0</v>
      </c>
      <c r="EV75" cm="1">
        <f t="array" aca="1" ref="EV75" ca="1">IF(ISNA(P75),0,OFFSET(INDIRECT("'"&amp;EV$67&amp;"'!g1"),P75-1,)*CW75)</f>
        <v>2</v>
      </c>
      <c r="FB75" s="10" cm="1">
        <f t="array" aca="1" ref="FB75" ca="1">IF(ISNA(E75),0,OFFSET(INDIRECT("'"&amp;EK$67&amp;"'!h1"),E75-1,))</f>
        <v>1</v>
      </c>
      <c r="FC75" s="10" cm="1">
        <f t="array" aca="1" ref="FC75" ca="1">IF(ISNA(F75),0,OFFSET(INDIRECT("'"&amp;EL$67&amp;"'!h1"),F75-1,))</f>
        <v>1</v>
      </c>
      <c r="FD75" s="10" cm="1">
        <f t="array" aca="1" ref="FD75" ca="1">IF(ISNA(G75),0,OFFSET(INDIRECT("'"&amp;EM$67&amp;"'!h1"),G75-1,))</f>
        <v>1</v>
      </c>
      <c r="FE75" s="10" cm="1">
        <f t="array" aca="1" ref="FE75" ca="1">IF(ISNA(H75),0,OFFSET(INDIRECT("'"&amp;EN$67&amp;"'!h1"),H75-1,))</f>
        <v>1</v>
      </c>
      <c r="FF75" s="10" cm="1">
        <f t="array" aca="1" ref="FF75" ca="1">IF(ISNA(I75),0,OFFSET(INDIRECT("'"&amp;EO$67&amp;"'!h1"),I75-1,))</f>
        <v>1</v>
      </c>
      <c r="FG75" s="10" cm="1">
        <f t="array" aca="1" ref="FG75" ca="1">IF(ISNA(J75),0,OFFSET(INDIRECT("'"&amp;EP$67&amp;"'!h1"),J75-1,))</f>
        <v>1</v>
      </c>
      <c r="FH75" s="10" cm="1">
        <f t="array" aca="1" ref="FH75" ca="1">IF(ISNA(K75),0,OFFSET(INDIRECT("'"&amp;EQ$67&amp;"'!h1"),K75-1,))</f>
        <v>10000</v>
      </c>
      <c r="FI75" s="10" cm="1">
        <f t="array" aca="1" ref="FI75" ca="1">IF(ISNA(L75),0,OFFSET(INDIRECT("'"&amp;ER$67&amp;"'!h1"),L75-1,))</f>
        <v>10000</v>
      </c>
      <c r="FJ75" s="10" cm="1">
        <f t="array" aca="1" ref="FJ75" ca="1">IF(ISNA(M75),0,OFFSET(INDIRECT("'"&amp;ES$67&amp;"'!h1"),M75-1,))</f>
        <v>10000</v>
      </c>
      <c r="FK75" s="10" cm="1">
        <f t="array" aca="1" ref="FK75" ca="1">IF(ISNA(N75),0,OFFSET(INDIRECT("'"&amp;ET$67&amp;"'!h1"),N75-1,))</f>
        <v>1</v>
      </c>
      <c r="FL75" s="10" cm="1">
        <f t="array" aca="1" ref="FL75" ca="1">IF(ISNA(O75),0,OFFSET(INDIRECT("'"&amp;EU$67&amp;"'!h1"),O75-1,))</f>
        <v>1</v>
      </c>
      <c r="FM75" s="10" cm="1">
        <f t="array" aca="1" ref="FM75" ca="1">IF(ISNA(P75),0,OFFSET(INDIRECT("'"&amp;EV$67&amp;"'!h1"),P75-1,))</f>
        <v>4</v>
      </c>
      <c r="FN75" s="10"/>
      <c r="FO75" s="10"/>
      <c r="FP75" s="10"/>
      <c r="FQ75" s="10"/>
      <c r="FS75">
        <f t="shared" ca="1" si="61"/>
        <v>12</v>
      </c>
      <c r="FT75">
        <f t="shared" ca="1" si="62"/>
        <v>0.84820074308663596</v>
      </c>
      <c r="FU75">
        <f t="shared" ca="1" si="63"/>
        <v>10000</v>
      </c>
      <c r="FV75">
        <f t="shared" ca="1" si="64"/>
        <v>10000</v>
      </c>
      <c r="FW75" s="4">
        <f t="shared" ca="1" si="65"/>
        <v>1</v>
      </c>
      <c r="FX75" s="5">
        <f t="shared" ca="1" si="66"/>
        <v>8.4820074308663597E-5</v>
      </c>
      <c r="FZ75" s="13">
        <f t="shared" ca="1" si="50"/>
        <v>12</v>
      </c>
      <c r="GA75" s="23">
        <f t="shared" ca="1" si="67"/>
        <v>0</v>
      </c>
      <c r="GB75" s="23">
        <f t="shared" ca="1" si="51"/>
        <v>0</v>
      </c>
      <c r="GC75" s="23">
        <f t="shared" ca="1" si="51"/>
        <v>0</v>
      </c>
      <c r="GD75" s="23">
        <f t="shared" ca="1" si="51"/>
        <v>0</v>
      </c>
      <c r="GE75" s="23">
        <f t="shared" ca="1" si="51"/>
        <v>0</v>
      </c>
      <c r="GF75" s="23">
        <f t="shared" ca="1" si="51"/>
        <v>0</v>
      </c>
      <c r="GG75" s="23">
        <f t="shared" ca="1" si="51"/>
        <v>0</v>
      </c>
      <c r="GH75" s="23">
        <f t="shared" ca="1" si="51"/>
        <v>0</v>
      </c>
      <c r="GI75" s="23">
        <f t="shared" ca="1" si="51"/>
        <v>0</v>
      </c>
      <c r="GJ75" s="23" t="e">
        <f t="shared" ca="1" si="51"/>
        <v>#N/A</v>
      </c>
      <c r="GK75" s="23" t="e">
        <f t="shared" ca="1" si="51"/>
        <v>#N/A</v>
      </c>
      <c r="GL75" s="23">
        <f t="shared" ca="1" si="51"/>
        <v>0</v>
      </c>
      <c r="GM75" s="23"/>
      <c r="GN75">
        <f t="shared" ca="1" si="68"/>
        <v>12</v>
      </c>
      <c r="GO75" s="5">
        <f t="shared" ca="1" si="69"/>
        <v>2.3164096000016302E-2</v>
      </c>
      <c r="GP75" s="5">
        <f t="shared" ca="1" si="52"/>
        <v>2.2878967999986299E-2</v>
      </c>
      <c r="GQ75" s="5">
        <f t="shared" ca="1" si="52"/>
        <v>1.2436460999992901E-2</v>
      </c>
      <c r="GR75" s="5">
        <f t="shared" ca="1" si="52"/>
        <v>5.2931779000005001E-2</v>
      </c>
      <c r="GS75" s="5">
        <f t="shared" ca="1" si="52"/>
        <v>5.5143083001894397E-2</v>
      </c>
      <c r="GT75" s="5">
        <f t="shared" ca="1" si="70"/>
        <v>2.46292287483811E-2</v>
      </c>
      <c r="GU75" s="5">
        <f t="shared" ca="1" si="53"/>
        <v>8.4820074308663597E-5</v>
      </c>
      <c r="GV75" s="5">
        <f t="shared" ca="1" si="53"/>
        <v>1.41772810742259E-4</v>
      </c>
      <c r="GW75" s="5">
        <f t="shared" ca="1" si="53"/>
        <v>9.5371500039473107E-4</v>
      </c>
      <c r="GX75" s="5" t="e">
        <f t="shared" ca="1" si="53"/>
        <v>#N/A</v>
      </c>
      <c r="GY75" s="5" t="e">
        <f t="shared" ca="1" si="53"/>
        <v>#N/A</v>
      </c>
      <c r="GZ75" s="5">
        <f t="shared" ca="1" si="53"/>
        <v>1.3946061953902199E-3</v>
      </c>
      <c r="HB75" s="13">
        <f t="shared" ca="1" si="54"/>
        <v>12</v>
      </c>
      <c r="HC75" s="4">
        <f t="shared" ca="1" si="71"/>
        <v>1</v>
      </c>
      <c r="HD75" s="4">
        <f t="shared" ca="1" si="55"/>
        <v>1</v>
      </c>
      <c r="HE75" s="4">
        <f t="shared" ca="1" si="55"/>
        <v>1</v>
      </c>
      <c r="HF75" s="4">
        <f t="shared" ca="1" si="55"/>
        <v>1</v>
      </c>
      <c r="HG75" s="4">
        <f t="shared" ca="1" si="55"/>
        <v>1</v>
      </c>
      <c r="HH75" s="4">
        <f t="shared" ca="1" si="55"/>
        <v>1</v>
      </c>
      <c r="HI75" s="4">
        <f t="shared" ca="1" si="55"/>
        <v>1</v>
      </c>
      <c r="HJ75" s="4">
        <f t="shared" ca="1" si="55"/>
        <v>1</v>
      </c>
      <c r="HK75" s="4">
        <f t="shared" ca="1" si="55"/>
        <v>1</v>
      </c>
      <c r="HL75" s="4">
        <f t="shared" ca="1" si="55"/>
        <v>0</v>
      </c>
      <c r="HM75" s="4">
        <f t="shared" ca="1" si="55"/>
        <v>0</v>
      </c>
      <c r="HN75" s="4">
        <f t="shared" ca="1" si="55"/>
        <v>0.5</v>
      </c>
    </row>
    <row r="76" spans="1:222" x14ac:dyDescent="0.2">
      <c r="A76" t="str" cm="1">
        <f t="array" aca="1" ref="A76" ca="1">INDIRECT($A$67&amp;"!A"&amp;ROW(C9)+$B$64)</f>
        <v>[[13,5,5]]</v>
      </c>
      <c r="B76" cm="1">
        <f t="array" aca="1" ref="B76" ca="1">INDIRECT($A$67&amp;"!b"&amp;ROW(D9)+$B$64)</f>
        <v>13</v>
      </c>
      <c r="C76">
        <f t="shared" ca="1" si="56"/>
        <v>5</v>
      </c>
      <c r="E76">
        <f t="shared" ca="1" si="43"/>
        <v>33</v>
      </c>
      <c r="F76">
        <f t="shared" ca="1" si="43"/>
        <v>34</v>
      </c>
      <c r="G76">
        <f t="shared" ca="1" si="43"/>
        <v>33</v>
      </c>
      <c r="H76">
        <f t="shared" ca="1" si="43"/>
        <v>33</v>
      </c>
      <c r="I76">
        <f t="shared" ca="1" si="43"/>
        <v>36</v>
      </c>
      <c r="J76">
        <f t="shared" ca="1" si="43"/>
        <v>33</v>
      </c>
      <c r="K76">
        <f t="shared" ca="1" si="43"/>
        <v>40</v>
      </c>
      <c r="L76">
        <f t="shared" ca="1" si="43"/>
        <v>42</v>
      </c>
      <c r="M76">
        <f t="shared" ca="1" si="43"/>
        <v>39</v>
      </c>
      <c r="N76">
        <f t="shared" ca="1" si="43"/>
        <v>37</v>
      </c>
      <c r="O76">
        <f t="shared" ca="1" si="43"/>
        <v>37</v>
      </c>
      <c r="P76">
        <f t="shared" ca="1" si="43"/>
        <v>37</v>
      </c>
      <c r="V76" cm="1">
        <f t="array" aca="1" ref="V76" ca="1">IF(ISNA(E76),,OFFSET(INDIRECT("'"&amp;V$67&amp;"'!d1"),E76-1,))</f>
        <v>5</v>
      </c>
      <c r="W76" cm="1">
        <f t="array" aca="1" ref="W76" ca="1">IF(ISNA(F76),,OFFSET(INDIRECT("'"&amp;W$67&amp;"'!d1"),F76-1,))</f>
        <v>5</v>
      </c>
      <c r="X76" cm="1">
        <f t="array" aca="1" ref="X76" ca="1">IF(ISNA(G76),,OFFSET(INDIRECT("'"&amp;X$67&amp;"'!d1"),G76-1,))</f>
        <v>5</v>
      </c>
      <c r="Y76" cm="1">
        <f t="array" aca="1" ref="Y76" ca="1">IF(ISNA(H76),,OFFSET(INDIRECT("'"&amp;Y$67&amp;"'!d1"),H76-1,))</f>
        <v>5</v>
      </c>
      <c r="Z76" cm="1">
        <f t="array" aca="1" ref="Z76" ca="1">IF(ISNA(I76),,OFFSET(INDIRECT("'"&amp;Z$67&amp;"'!d1"),I76-1,))</f>
        <v>5</v>
      </c>
      <c r="AA76" cm="1">
        <f t="array" aca="1" ref="AA76" ca="1">IF(ISNA(J76),,OFFSET(INDIRECT("'"&amp;AA$67&amp;"'!d1"),J76-1,))</f>
        <v>5</v>
      </c>
      <c r="AB76" cm="1">
        <f t="array" aca="1" ref="AB76" ca="1">IF(ISNA(K76),,OFFSET(INDIRECT("'"&amp;AB$67&amp;"'!d1"),K76-1,))</f>
        <v>5</v>
      </c>
      <c r="AC76" cm="1">
        <f t="array" aca="1" ref="AC76" ca="1">IF(ISNA(L76),,OFFSET(INDIRECT("'"&amp;AC$67&amp;"'!d1"),L76-1,))</f>
        <v>5</v>
      </c>
      <c r="AD76" cm="1">
        <f t="array" aca="1" ref="AD76" ca="1">IF(ISNA(M76),,OFFSET(INDIRECT("'"&amp;AD$67&amp;"'!d1"),M76-1,))</f>
        <v>5</v>
      </c>
      <c r="AE76" cm="1">
        <f t="array" aca="1" ref="AE76" ca="1">IF(ISNA(N76),,OFFSET(INDIRECT("'"&amp;AE$67&amp;"'!d1"),N76-1,))</f>
        <v>0</v>
      </c>
      <c r="AF76" cm="1">
        <f t="array" aca="1" ref="AF76" ca="1">IF(ISNA(O76),,OFFSET(INDIRECT("'"&amp;AF$67&amp;"'!d1"),O76-1,))</f>
        <v>5</v>
      </c>
      <c r="AG76" cm="1">
        <f t="array" aca="1" ref="AG76" ca="1">IF(ISNA(P76),,OFFSET(INDIRECT("'"&amp;AG$67&amp;"'!d1"),P76-1,))</f>
        <v>5</v>
      </c>
      <c r="AM76">
        <f t="shared" ca="1" si="57"/>
        <v>1</v>
      </c>
      <c r="AN76">
        <f t="shared" ca="1" si="44"/>
        <v>1</v>
      </c>
      <c r="AO76">
        <f t="shared" ca="1" si="44"/>
        <v>1</v>
      </c>
      <c r="AP76">
        <f t="shared" ca="1" si="44"/>
        <v>1</v>
      </c>
      <c r="AQ76">
        <f t="shared" ca="1" si="58"/>
        <v>1</v>
      </c>
      <c r="AV76" t="b">
        <f t="shared" ca="1" si="59"/>
        <v>1</v>
      </c>
      <c r="AW76" t="b">
        <f t="shared" ca="1" si="45"/>
        <v>1</v>
      </c>
      <c r="AX76" t="b">
        <f t="shared" ca="1" si="45"/>
        <v>1</v>
      </c>
      <c r="AY76" t="b">
        <f t="shared" ca="1" si="45"/>
        <v>1</v>
      </c>
      <c r="AZ76" t="b">
        <f t="shared" ca="1" si="45"/>
        <v>1</v>
      </c>
      <c r="BD76">
        <f t="shared" ca="1" si="46"/>
        <v>1</v>
      </c>
      <c r="BE76">
        <f t="shared" ca="1" si="46"/>
        <v>1</v>
      </c>
      <c r="BF76">
        <f t="shared" ca="1" si="46"/>
        <v>1</v>
      </c>
      <c r="BG76">
        <f t="shared" ca="1" si="46"/>
        <v>1</v>
      </c>
      <c r="BH76">
        <f t="shared" ca="1" si="46"/>
        <v>1</v>
      </c>
      <c r="BI76">
        <f t="shared" ca="1" si="46"/>
        <v>1</v>
      </c>
      <c r="BJ76">
        <f t="shared" ca="1" si="46"/>
        <v>1</v>
      </c>
      <c r="BK76">
        <f t="shared" ca="1" si="46"/>
        <v>1</v>
      </c>
      <c r="BL76">
        <f t="shared" ca="1" si="46"/>
        <v>1</v>
      </c>
      <c r="BM76">
        <f t="shared" ca="1" si="46"/>
        <v>0</v>
      </c>
      <c r="BN76">
        <f t="shared" ca="1" si="46"/>
        <v>1</v>
      </c>
      <c r="BO76">
        <f t="shared" ca="1" si="46"/>
        <v>1</v>
      </c>
      <c r="BU76">
        <f t="shared" ca="1" si="47"/>
        <v>5</v>
      </c>
      <c r="BV76">
        <f t="shared" ca="1" si="47"/>
        <v>5</v>
      </c>
      <c r="BW76">
        <f t="shared" ca="1" si="47"/>
        <v>5</v>
      </c>
      <c r="BX76">
        <f t="shared" ca="1" si="47"/>
        <v>5</v>
      </c>
      <c r="BY76">
        <f t="shared" ca="1" si="47"/>
        <v>5</v>
      </c>
      <c r="BZ76">
        <f t="shared" ca="1" si="47"/>
        <v>5</v>
      </c>
      <c r="CA76">
        <f t="shared" ca="1" si="47"/>
        <v>5</v>
      </c>
      <c r="CB76">
        <f t="shared" ca="1" si="47"/>
        <v>5</v>
      </c>
      <c r="CC76">
        <f t="shared" ca="1" si="47"/>
        <v>5</v>
      </c>
      <c r="CD76">
        <f t="shared" ca="1" si="47"/>
        <v>13</v>
      </c>
      <c r="CE76">
        <f t="shared" ca="1" si="47"/>
        <v>5</v>
      </c>
      <c r="CF76">
        <f t="shared" ca="1" si="47"/>
        <v>5</v>
      </c>
      <c r="CL76">
        <f t="shared" ca="1" si="48"/>
        <v>1</v>
      </c>
      <c r="CM76">
        <f t="shared" ca="1" si="48"/>
        <v>1</v>
      </c>
      <c r="CN76">
        <f t="shared" ca="1" si="48"/>
        <v>1</v>
      </c>
      <c r="CO76">
        <f t="shared" ca="1" si="48"/>
        <v>1</v>
      </c>
      <c r="CP76">
        <f t="shared" ca="1" si="48"/>
        <v>1</v>
      </c>
      <c r="CQ76">
        <f t="shared" ca="1" si="48"/>
        <v>1</v>
      </c>
      <c r="CR76">
        <f t="shared" ca="1" si="48"/>
        <v>1</v>
      </c>
      <c r="CS76">
        <f t="shared" ca="1" si="48"/>
        <v>1</v>
      </c>
      <c r="CT76">
        <f t="shared" ca="1" si="48"/>
        <v>1</v>
      </c>
      <c r="CU76">
        <f t="shared" ca="1" si="48"/>
        <v>0</v>
      </c>
      <c r="CV76">
        <f t="shared" ca="1" si="48"/>
        <v>1</v>
      </c>
      <c r="CW76">
        <f t="shared" ca="1" si="48"/>
        <v>1</v>
      </c>
      <c r="DC76" cm="1">
        <f t="array" aca="1" ref="DC76" ca="1">IF(ISNA(E76),,OFFSET(INDIRECT("'"&amp;DT$67&amp;"'!f1"),E76-1,))*1</f>
        <v>3.3072350999987003E-2</v>
      </c>
      <c r="DD76" cm="1">
        <f t="array" aca="1" ref="DD76" ca="1">IF(ISNA(F76),,OFFSET(INDIRECT("'"&amp;DU$67&amp;"'!f1"),F76-1,))*1</f>
        <v>4.113399000002E-2</v>
      </c>
      <c r="DE76" cm="1">
        <f t="array" aca="1" ref="DE76" ca="1">IF(ISNA(G76),,OFFSET(INDIRECT("'"&amp;DV$67&amp;"'!f1"),G76-1,))*1</f>
        <v>1.30604550000157E-2</v>
      </c>
      <c r="DF76" cm="1">
        <f t="array" aca="1" ref="DF76" ca="1">IF(ISNA(H76),,OFFSET(INDIRECT("'"&amp;DW$67&amp;"'!f1"),H76-1,))*1</f>
        <v>5.3318691000015399E-2</v>
      </c>
      <c r="DG76" cm="1">
        <f t="array" aca="1" ref="DG76" ca="1">IF(ISNA(I76),,OFFSET(INDIRECT("'"&amp;DX$67&amp;"'!f1"),I76-1,))*1</f>
        <v>5.5624708002142101E-2</v>
      </c>
      <c r="DH76" cm="1">
        <f t="array" aca="1" ref="DH76" ca="1">IF(ISNA(J76),,OFFSET(INDIRECT("'"&amp;DY$67&amp;"'!f1"),J76-1,))*1</f>
        <v>2.4735215120017501E-2</v>
      </c>
      <c r="DI76" cm="1">
        <f t="array" aca="1" ref="DI76" ca="1">IF(ISNA(K76),,OFFSET(INDIRECT("'"&amp;DZ$67&amp;"'!f1"),K76-1,))*1</f>
        <v>0.84561738371849005</v>
      </c>
      <c r="DJ76" cm="1">
        <f t="array" aca="1" ref="DJ76" ca="1">IF(ISNA(L76),,OFFSET(INDIRECT("'"&amp;EA$67&amp;"'!f1"),L76-1,))*1</f>
        <v>1.4412590712308799</v>
      </c>
      <c r="DK76" cm="1">
        <f t="array" aca="1" ref="DK76" ca="1">IF(ISNA(M76),,OFFSET(INDIRECT("'"&amp;EB$67&amp;"'!f1"),M76-1,))*1</f>
        <v>11.493891556747201</v>
      </c>
      <c r="DL76" cm="1">
        <f t="array" aca="1" ref="DL76" ca="1">IF(ISNA(N76),,OFFSET(INDIRECT("'"&amp;EC$67&amp;"'!f1"),N76-1,))*1</f>
        <v>2.72731110453605E-3</v>
      </c>
      <c r="DM76" cm="1">
        <f t="array" aca="1" ref="DM76" ca="1">IF(ISNA(O76),,OFFSET(INDIRECT("'"&amp;ED$67&amp;"'!f1"),O76-1,))*1</f>
        <v>2.6120310649275702E-3</v>
      </c>
      <c r="DN76" cm="1">
        <f t="array" aca="1" ref="DN76" ca="1">IF(ISNA(P76),,OFFSET(INDIRECT("'"&amp;EE$67&amp;"'!f1"),P76-1,))*1</f>
        <v>3.0308943241834601E-3</v>
      </c>
      <c r="DT76">
        <f t="shared" ca="1" si="60"/>
        <v>1</v>
      </c>
      <c r="DU76">
        <f t="shared" ca="1" si="49"/>
        <v>1</v>
      </c>
      <c r="DV76">
        <f t="shared" ca="1" si="49"/>
        <v>1</v>
      </c>
      <c r="DW76">
        <f t="shared" ca="1" si="49"/>
        <v>1</v>
      </c>
      <c r="DX76">
        <f t="shared" ca="1" si="49"/>
        <v>1</v>
      </c>
      <c r="DY76">
        <f t="shared" ca="1" si="49"/>
        <v>1</v>
      </c>
      <c r="DZ76">
        <f t="shared" ca="1" si="49"/>
        <v>9854</v>
      </c>
      <c r="EA76">
        <f t="shared" ca="1" si="49"/>
        <v>9999</v>
      </c>
      <c r="EB76">
        <f t="shared" ca="1" si="49"/>
        <v>9226</v>
      </c>
      <c r="EC76">
        <f t="shared" ca="1" si="49"/>
        <v>0</v>
      </c>
      <c r="ED76">
        <f t="shared" ca="1" si="49"/>
        <v>1</v>
      </c>
      <c r="EE76">
        <f t="shared" ca="1" si="49"/>
        <v>2</v>
      </c>
      <c r="EK76" cm="1">
        <f t="array" aca="1" ref="EK76" ca="1">IF(ISNA(E76),0,OFFSET(INDIRECT("'"&amp;EK$67&amp;"'!g1"),E76-1,)*CL76)</f>
        <v>1</v>
      </c>
      <c r="EL76" cm="1">
        <f t="array" aca="1" ref="EL76" ca="1">IF(ISNA(F76),0,OFFSET(INDIRECT("'"&amp;EL$67&amp;"'!g1"),F76-1,)*CM76)</f>
        <v>1</v>
      </c>
      <c r="EM76" cm="1">
        <f t="array" aca="1" ref="EM76" ca="1">IF(ISNA(G76),0,OFFSET(INDIRECT("'"&amp;EM$67&amp;"'!g1"),G76-1,)*CN76)</f>
        <v>1</v>
      </c>
      <c r="EN76" cm="1">
        <f t="array" aca="1" ref="EN76" ca="1">IF(ISNA(H76),0,OFFSET(INDIRECT("'"&amp;EN$67&amp;"'!g1"),H76-1,)*CO76)</f>
        <v>1</v>
      </c>
      <c r="EO76" cm="1">
        <f t="array" aca="1" ref="EO76" ca="1">IF(ISNA(I76),0,OFFSET(INDIRECT("'"&amp;EO$67&amp;"'!g1"),I76-1,)*CP76)</f>
        <v>1</v>
      </c>
      <c r="EP76" cm="1">
        <f t="array" aca="1" ref="EP76" ca="1">IF(ISNA(J76),0,OFFSET(INDIRECT("'"&amp;EP$67&amp;"'!g1"),J76-1,)*CQ76)</f>
        <v>1</v>
      </c>
      <c r="EQ76" cm="1">
        <f t="array" aca="1" ref="EQ76" ca="1">IF(ISNA(K76),0,OFFSET(INDIRECT("'"&amp;EQ$67&amp;"'!g1"),K76-1,)*CR76)</f>
        <v>9854</v>
      </c>
      <c r="ER76" cm="1">
        <f t="array" aca="1" ref="ER76" ca="1">IF(ISNA(L76),0,OFFSET(INDIRECT("'"&amp;ER$67&amp;"'!g1"),L76-1,)*CS76)</f>
        <v>9999</v>
      </c>
      <c r="ES76" cm="1">
        <f t="array" aca="1" ref="ES76" ca="1">IF(ISNA(M76),0,OFFSET(INDIRECT("'"&amp;ES$67&amp;"'!g1"),M76-1,)*CT76)</f>
        <v>9226</v>
      </c>
      <c r="ET76" cm="1">
        <f t="array" aca="1" ref="ET76" ca="1">IF(ISNA(N76),0,OFFSET(INDIRECT("'"&amp;ET$67&amp;"'!g1"),N76-1,)*CU76)</f>
        <v>0</v>
      </c>
      <c r="EU76" cm="1">
        <f t="array" aca="1" ref="EU76" ca="1">IF(ISNA(O76),0,OFFSET(INDIRECT("'"&amp;EU$67&amp;"'!g1"),O76-1,)*CV76)</f>
        <v>1</v>
      </c>
      <c r="EV76" cm="1">
        <f t="array" aca="1" ref="EV76" ca="1">IF(ISNA(P76),0,OFFSET(INDIRECT("'"&amp;EV$67&amp;"'!g1"),P76-1,)*CW76)</f>
        <v>2</v>
      </c>
      <c r="FB76" s="10" cm="1">
        <f t="array" aca="1" ref="FB76" ca="1">IF(ISNA(E76),0,OFFSET(INDIRECT("'"&amp;EK$67&amp;"'!h1"),E76-1,))</f>
        <v>1</v>
      </c>
      <c r="FC76" s="10" cm="1">
        <f t="array" aca="1" ref="FC76" ca="1">IF(ISNA(F76),0,OFFSET(INDIRECT("'"&amp;EL$67&amp;"'!h1"),F76-1,))</f>
        <v>1</v>
      </c>
      <c r="FD76" s="10" cm="1">
        <f t="array" aca="1" ref="FD76" ca="1">IF(ISNA(G76),0,OFFSET(INDIRECT("'"&amp;EM$67&amp;"'!h1"),G76-1,))</f>
        <v>1</v>
      </c>
      <c r="FE76" s="10" cm="1">
        <f t="array" aca="1" ref="FE76" ca="1">IF(ISNA(H76),0,OFFSET(INDIRECT("'"&amp;EN$67&amp;"'!h1"),H76-1,))</f>
        <v>1</v>
      </c>
      <c r="FF76" s="10" cm="1">
        <f t="array" aca="1" ref="FF76" ca="1">IF(ISNA(I76),0,OFFSET(INDIRECT("'"&amp;EO$67&amp;"'!h1"),I76-1,))</f>
        <v>1</v>
      </c>
      <c r="FG76" s="10" cm="1">
        <f t="array" aca="1" ref="FG76" ca="1">IF(ISNA(J76),0,OFFSET(INDIRECT("'"&amp;EP$67&amp;"'!h1"),J76-1,))</f>
        <v>1</v>
      </c>
      <c r="FH76" s="10" cm="1">
        <f t="array" aca="1" ref="FH76" ca="1">IF(ISNA(K76),0,OFFSET(INDIRECT("'"&amp;EQ$67&amp;"'!h1"),K76-1,))</f>
        <v>10000</v>
      </c>
      <c r="FI76" s="10" cm="1">
        <f t="array" aca="1" ref="FI76" ca="1">IF(ISNA(L76),0,OFFSET(INDIRECT("'"&amp;ER$67&amp;"'!h1"),L76-1,))</f>
        <v>10000</v>
      </c>
      <c r="FJ76" s="10" cm="1">
        <f t="array" aca="1" ref="FJ76" ca="1">IF(ISNA(M76),0,OFFSET(INDIRECT("'"&amp;ES$67&amp;"'!h1"),M76-1,))</f>
        <v>10000</v>
      </c>
      <c r="FK76" s="10" cm="1">
        <f t="array" aca="1" ref="FK76" ca="1">IF(ISNA(N76),0,OFFSET(INDIRECT("'"&amp;ET$67&amp;"'!h1"),N76-1,))</f>
        <v>1</v>
      </c>
      <c r="FL76" s="10" cm="1">
        <f t="array" aca="1" ref="FL76" ca="1">IF(ISNA(O76),0,OFFSET(INDIRECT("'"&amp;EU$67&amp;"'!h1"),O76-1,))</f>
        <v>1</v>
      </c>
      <c r="FM76" s="10" cm="1">
        <f t="array" aca="1" ref="FM76" ca="1">IF(ISNA(P76),0,OFFSET(INDIRECT("'"&amp;EV$67&amp;"'!h1"),P76-1,))</f>
        <v>3</v>
      </c>
      <c r="FN76" s="10"/>
      <c r="FO76" s="10"/>
      <c r="FP76" s="10"/>
      <c r="FQ76" s="10"/>
      <c r="FS76">
        <f t="shared" ca="1" si="61"/>
        <v>13</v>
      </c>
      <c r="FT76">
        <f t="shared" ca="1" si="62"/>
        <v>0.84561738371849005</v>
      </c>
      <c r="FU76">
        <f t="shared" ca="1" si="63"/>
        <v>9854</v>
      </c>
      <c r="FV76">
        <f t="shared" ca="1" si="64"/>
        <v>10000</v>
      </c>
      <c r="FW76" s="4">
        <f t="shared" ca="1" si="65"/>
        <v>0.98540000000000005</v>
      </c>
      <c r="FX76" s="5">
        <f t="shared" ca="1" si="66"/>
        <v>8.5814631999034908E-5</v>
      </c>
      <c r="FZ76" s="13">
        <f t="shared" ca="1" si="50"/>
        <v>13</v>
      </c>
      <c r="GA76" s="23">
        <f t="shared" ca="1" si="67"/>
        <v>0</v>
      </c>
      <c r="GB76" s="23">
        <f t="shared" ca="1" si="51"/>
        <v>0</v>
      </c>
      <c r="GC76" s="23">
        <f t="shared" ca="1" si="51"/>
        <v>0</v>
      </c>
      <c r="GD76" s="23">
        <f t="shared" ca="1" si="51"/>
        <v>0</v>
      </c>
      <c r="GE76" s="23">
        <f t="shared" ca="1" si="51"/>
        <v>0</v>
      </c>
      <c r="GF76" s="23">
        <f t="shared" ca="1" si="51"/>
        <v>0</v>
      </c>
      <c r="GG76" s="23">
        <f t="shared" ca="1" si="51"/>
        <v>0</v>
      </c>
      <c r="GH76" s="23">
        <f t="shared" ca="1" si="51"/>
        <v>0</v>
      </c>
      <c r="GI76" s="23">
        <f t="shared" ca="1" si="51"/>
        <v>0</v>
      </c>
      <c r="GJ76" s="23" t="e">
        <f t="shared" ca="1" si="51"/>
        <v>#N/A</v>
      </c>
      <c r="GK76" s="23">
        <f t="shared" ca="1" si="51"/>
        <v>0</v>
      </c>
      <c r="GL76" s="23">
        <f t="shared" ca="1" si="51"/>
        <v>0</v>
      </c>
      <c r="GM76" s="23"/>
      <c r="GN76">
        <f t="shared" ca="1" si="68"/>
        <v>13</v>
      </c>
      <c r="GO76" s="5">
        <f t="shared" ca="1" si="69"/>
        <v>3.3072350999987003E-2</v>
      </c>
      <c r="GP76" s="5">
        <f t="shared" ca="1" si="52"/>
        <v>4.113399000002E-2</v>
      </c>
      <c r="GQ76" s="5">
        <f t="shared" ca="1" si="52"/>
        <v>1.30604550000157E-2</v>
      </c>
      <c r="GR76" s="5">
        <f t="shared" ca="1" si="52"/>
        <v>5.3318691000015399E-2</v>
      </c>
      <c r="GS76" s="5">
        <f t="shared" ca="1" si="52"/>
        <v>5.5624708002142101E-2</v>
      </c>
      <c r="GT76" s="5">
        <f t="shared" ca="1" si="70"/>
        <v>2.4735215120017501E-2</v>
      </c>
      <c r="GU76" s="5">
        <f t="shared" ca="1" si="53"/>
        <v>8.5814631999034908E-5</v>
      </c>
      <c r="GV76" s="5">
        <f t="shared" ca="1" si="53"/>
        <v>1.4414032115520352E-4</v>
      </c>
      <c r="GW76" s="5">
        <f t="shared" ca="1" si="53"/>
        <v>1.2458152565301541E-3</v>
      </c>
      <c r="GX76" s="5" t="e">
        <f t="shared" ca="1" si="53"/>
        <v>#N/A</v>
      </c>
      <c r="GY76" s="5">
        <f t="shared" ca="1" si="53"/>
        <v>2.6120310649275702E-3</v>
      </c>
      <c r="GZ76" s="5">
        <f t="shared" ca="1" si="53"/>
        <v>1.5154471620917301E-3</v>
      </c>
      <c r="HB76" s="13">
        <f t="shared" ca="1" si="54"/>
        <v>13</v>
      </c>
      <c r="HC76" s="4">
        <f t="shared" ca="1" si="71"/>
        <v>1</v>
      </c>
      <c r="HD76" s="4">
        <f t="shared" ca="1" si="55"/>
        <v>1</v>
      </c>
      <c r="HE76" s="4">
        <f t="shared" ca="1" si="55"/>
        <v>1</v>
      </c>
      <c r="HF76" s="4">
        <f t="shared" ca="1" si="55"/>
        <v>1</v>
      </c>
      <c r="HG76" s="4">
        <f t="shared" ca="1" si="55"/>
        <v>1</v>
      </c>
      <c r="HH76" s="4">
        <f t="shared" ca="1" si="55"/>
        <v>1</v>
      </c>
      <c r="HI76" s="4">
        <f t="shared" ca="1" si="55"/>
        <v>0.98540000000000005</v>
      </c>
      <c r="HJ76" s="4">
        <f t="shared" ca="1" si="55"/>
        <v>0.99990000000000001</v>
      </c>
      <c r="HK76" s="4">
        <f t="shared" ca="1" si="55"/>
        <v>0.92259999999999998</v>
      </c>
      <c r="HL76" s="4">
        <f t="shared" ca="1" si="55"/>
        <v>0</v>
      </c>
      <c r="HM76" s="4">
        <f t="shared" ca="1" si="55"/>
        <v>1</v>
      </c>
      <c r="HN76" s="4">
        <f t="shared" ca="1" si="55"/>
        <v>0.66666666666666663</v>
      </c>
    </row>
    <row r="77" spans="1:222" x14ac:dyDescent="0.2">
      <c r="A77" t="str" cm="1">
        <f t="array" aca="1" ref="A77" ca="1">INDIRECT($A$67&amp;"!A"&amp;ROW(C10)+$B$64)</f>
        <v>[[14,6,5]]</v>
      </c>
      <c r="B77" cm="1">
        <f t="array" aca="1" ref="B77" ca="1">INDIRECT($A$67&amp;"!b"&amp;ROW(D10)+$B$64)</f>
        <v>14</v>
      </c>
      <c r="C77">
        <f t="shared" ca="1" si="56"/>
        <v>5</v>
      </c>
      <c r="E77">
        <f t="shared" ca="1" si="43"/>
        <v>34</v>
      </c>
      <c r="F77">
        <f t="shared" ca="1" si="43"/>
        <v>35</v>
      </c>
      <c r="G77">
        <f t="shared" ca="1" si="43"/>
        <v>34</v>
      </c>
      <c r="H77">
        <f t="shared" ca="1" si="43"/>
        <v>34</v>
      </c>
      <c r="I77">
        <f t="shared" ca="1" si="43"/>
        <v>37</v>
      </c>
      <c r="J77">
        <f t="shared" ca="1" si="43"/>
        <v>34</v>
      </c>
      <c r="K77">
        <f t="shared" ca="1" si="43"/>
        <v>41</v>
      </c>
      <c r="L77">
        <f t="shared" ca="1" si="43"/>
        <v>43</v>
      </c>
      <c r="M77">
        <f t="shared" ca="1" si="43"/>
        <v>40</v>
      </c>
      <c r="N77">
        <f t="shared" ca="1" si="43"/>
        <v>38</v>
      </c>
      <c r="O77">
        <f t="shared" ca="1" si="43"/>
        <v>38</v>
      </c>
      <c r="P77">
        <f t="shared" ca="1" si="43"/>
        <v>38</v>
      </c>
      <c r="V77" cm="1">
        <f t="array" aca="1" ref="V77" ca="1">IF(ISNA(E77),,OFFSET(INDIRECT("'"&amp;V$67&amp;"'!d1"),E77-1,))</f>
        <v>5</v>
      </c>
      <c r="W77" cm="1">
        <f t="array" aca="1" ref="W77" ca="1">IF(ISNA(F77),,OFFSET(INDIRECT("'"&amp;W$67&amp;"'!d1"),F77-1,))</f>
        <v>5</v>
      </c>
      <c r="X77" cm="1">
        <f t="array" aca="1" ref="X77" ca="1">IF(ISNA(G77),,OFFSET(INDIRECT("'"&amp;X$67&amp;"'!d1"),G77-1,))</f>
        <v>5</v>
      </c>
      <c r="Y77" cm="1">
        <f t="array" aca="1" ref="Y77" ca="1">IF(ISNA(H77),,OFFSET(INDIRECT("'"&amp;Y$67&amp;"'!d1"),H77-1,))</f>
        <v>5</v>
      </c>
      <c r="Z77" cm="1">
        <f t="array" aca="1" ref="Z77" ca="1">IF(ISNA(I77),,OFFSET(INDIRECT("'"&amp;Z$67&amp;"'!d1"),I77-1,))</f>
        <v>5</v>
      </c>
      <c r="AA77" cm="1">
        <f t="array" aca="1" ref="AA77" ca="1">IF(ISNA(J77),,OFFSET(INDIRECT("'"&amp;AA$67&amp;"'!d1"),J77-1,))</f>
        <v>5</v>
      </c>
      <c r="AB77" cm="1">
        <f t="array" aca="1" ref="AB77" ca="1">IF(ISNA(K77),,OFFSET(INDIRECT("'"&amp;AB$67&amp;"'!d1"),K77-1,))</f>
        <v>5</v>
      </c>
      <c r="AC77" cm="1">
        <f t="array" aca="1" ref="AC77" ca="1">IF(ISNA(L77),,OFFSET(INDIRECT("'"&amp;AC$67&amp;"'!d1"),L77-1,))</f>
        <v>5</v>
      </c>
      <c r="AD77" cm="1">
        <f t="array" aca="1" ref="AD77" ca="1">IF(ISNA(M77),,OFFSET(INDIRECT("'"&amp;AD$67&amp;"'!d1"),M77-1,))</f>
        <v>5</v>
      </c>
      <c r="AE77" cm="1">
        <f t="array" aca="1" ref="AE77" ca="1">IF(ISNA(N77),,OFFSET(INDIRECT("'"&amp;AE$67&amp;"'!d1"),N77-1,))</f>
        <v>0</v>
      </c>
      <c r="AF77" cm="1">
        <f t="array" aca="1" ref="AF77" ca="1">IF(ISNA(O77),,OFFSET(INDIRECT("'"&amp;AF$67&amp;"'!d1"),O77-1,))</f>
        <v>5</v>
      </c>
      <c r="AG77" cm="1">
        <f t="array" aca="1" ref="AG77" ca="1">IF(ISNA(P77),,OFFSET(INDIRECT("'"&amp;AG$67&amp;"'!d1"),P77-1,))</f>
        <v>5</v>
      </c>
      <c r="AM77">
        <f t="shared" ca="1" si="57"/>
        <v>1</v>
      </c>
      <c r="AN77">
        <f t="shared" ca="1" si="44"/>
        <v>1</v>
      </c>
      <c r="AO77">
        <f t="shared" ca="1" si="44"/>
        <v>1</v>
      </c>
      <c r="AP77">
        <f t="shared" ca="1" si="44"/>
        <v>1</v>
      </c>
      <c r="AQ77">
        <f t="shared" ca="1" si="58"/>
        <v>1</v>
      </c>
      <c r="AV77" t="b">
        <f t="shared" ca="1" si="59"/>
        <v>1</v>
      </c>
      <c r="AW77" t="b">
        <f t="shared" ca="1" si="45"/>
        <v>1</v>
      </c>
      <c r="AX77" t="b">
        <f t="shared" ca="1" si="45"/>
        <v>1</v>
      </c>
      <c r="AY77" t="b">
        <f t="shared" ca="1" si="45"/>
        <v>1</v>
      </c>
      <c r="AZ77" t="b">
        <f t="shared" ca="1" si="45"/>
        <v>1</v>
      </c>
      <c r="BD77">
        <f t="shared" ca="1" si="46"/>
        <v>1</v>
      </c>
      <c r="BE77">
        <f t="shared" ca="1" si="46"/>
        <v>1</v>
      </c>
      <c r="BF77">
        <f t="shared" ca="1" si="46"/>
        <v>1</v>
      </c>
      <c r="BG77">
        <f t="shared" ca="1" si="46"/>
        <v>1</v>
      </c>
      <c r="BH77">
        <f t="shared" ca="1" si="46"/>
        <v>1</v>
      </c>
      <c r="BI77">
        <f t="shared" ca="1" si="46"/>
        <v>1</v>
      </c>
      <c r="BJ77">
        <f t="shared" ca="1" si="46"/>
        <v>1</v>
      </c>
      <c r="BK77">
        <f t="shared" ca="1" si="46"/>
        <v>1</v>
      </c>
      <c r="BL77">
        <f t="shared" ca="1" si="46"/>
        <v>1</v>
      </c>
      <c r="BM77">
        <f t="shared" ca="1" si="46"/>
        <v>0</v>
      </c>
      <c r="BN77">
        <f t="shared" ca="1" si="46"/>
        <v>1</v>
      </c>
      <c r="BO77">
        <f t="shared" ca="1" si="46"/>
        <v>1</v>
      </c>
      <c r="BU77">
        <f t="shared" ca="1" si="47"/>
        <v>5</v>
      </c>
      <c r="BV77">
        <f t="shared" ca="1" si="47"/>
        <v>5</v>
      </c>
      <c r="BW77">
        <f t="shared" ca="1" si="47"/>
        <v>5</v>
      </c>
      <c r="BX77">
        <f t="shared" ca="1" si="47"/>
        <v>5</v>
      </c>
      <c r="BY77">
        <f t="shared" ca="1" si="47"/>
        <v>5</v>
      </c>
      <c r="BZ77">
        <f t="shared" ca="1" si="47"/>
        <v>5</v>
      </c>
      <c r="CA77">
        <f t="shared" ca="1" si="47"/>
        <v>5</v>
      </c>
      <c r="CB77">
        <f t="shared" ca="1" si="47"/>
        <v>5</v>
      </c>
      <c r="CC77">
        <f t="shared" ca="1" si="47"/>
        <v>5</v>
      </c>
      <c r="CD77">
        <f t="shared" ca="1" si="47"/>
        <v>14</v>
      </c>
      <c r="CE77">
        <f t="shared" ca="1" si="47"/>
        <v>5</v>
      </c>
      <c r="CF77">
        <f t="shared" ca="1" si="47"/>
        <v>5</v>
      </c>
      <c r="CL77">
        <f t="shared" ca="1" si="48"/>
        <v>1</v>
      </c>
      <c r="CM77">
        <f t="shared" ca="1" si="48"/>
        <v>1</v>
      </c>
      <c r="CN77">
        <f t="shared" ca="1" si="48"/>
        <v>1</v>
      </c>
      <c r="CO77">
        <f t="shared" ca="1" si="48"/>
        <v>1</v>
      </c>
      <c r="CP77">
        <f t="shared" ca="1" si="48"/>
        <v>1</v>
      </c>
      <c r="CQ77">
        <f t="shared" ca="1" si="48"/>
        <v>1</v>
      </c>
      <c r="CR77">
        <f t="shared" ca="1" si="48"/>
        <v>1</v>
      </c>
      <c r="CS77">
        <f t="shared" ca="1" si="48"/>
        <v>1</v>
      </c>
      <c r="CT77">
        <f t="shared" ca="1" si="48"/>
        <v>1</v>
      </c>
      <c r="CU77">
        <f t="shared" ca="1" si="48"/>
        <v>0</v>
      </c>
      <c r="CV77">
        <f t="shared" ca="1" si="48"/>
        <v>1</v>
      </c>
      <c r="CW77">
        <f t="shared" ca="1" si="48"/>
        <v>1</v>
      </c>
      <c r="DC77" cm="1">
        <f t="array" aca="1" ref="DC77" ca="1">IF(ISNA(E77),,OFFSET(INDIRECT("'"&amp;DT$67&amp;"'!f1"),E77-1,))*1</f>
        <v>3.3188117000008698E-2</v>
      </c>
      <c r="DD77" cm="1">
        <f t="array" aca="1" ref="DD77" ca="1">IF(ISNA(F77),,OFFSET(INDIRECT("'"&amp;DU$67&amp;"'!f1"),F77-1,))*1</f>
        <v>1.86365819999991E-2</v>
      </c>
      <c r="DE77" cm="1">
        <f t="array" aca="1" ref="DE77" ca="1">IF(ISNA(G77),,OFFSET(INDIRECT("'"&amp;DV$67&amp;"'!f1"),G77-1,))*1</f>
        <v>1.37671249999868E-2</v>
      </c>
      <c r="DF77" cm="1">
        <f t="array" aca="1" ref="DF77" ca="1">IF(ISNA(H77),,OFFSET(INDIRECT("'"&amp;DW$67&amp;"'!f1"),H77-1,))*1</f>
        <v>5.2607323999978903E-2</v>
      </c>
      <c r="DG77" cm="1">
        <f t="array" aca="1" ref="DG77" ca="1">IF(ISNA(I77),,OFFSET(INDIRECT("'"&amp;DX$67&amp;"'!f1"),I77-1,))*1</f>
        <v>5.6052250001812298E-2</v>
      </c>
      <c r="DH77" cm="1">
        <f t="array" aca="1" ref="DH77" ca="1">IF(ISNA(J77),,OFFSET(INDIRECT("'"&amp;DY$67&amp;"'!f1"),J77-1,))*1</f>
        <v>2.5245727971196098E-2</v>
      </c>
      <c r="DI77" cm="1">
        <f t="array" aca="1" ref="DI77" ca="1">IF(ISNA(K77),,OFFSET(INDIRECT("'"&amp;DZ$67&amp;"'!f1"),K77-1,))*1</f>
        <v>0.86663134675472897</v>
      </c>
      <c r="DJ77" cm="1">
        <f t="array" aca="1" ref="DJ77" ca="1">IF(ISNA(L77),,OFFSET(INDIRECT("'"&amp;EA$67&amp;"'!f1"),L77-1,))*1</f>
        <v>1.47144455183297</v>
      </c>
      <c r="DK77" cm="1">
        <f t="array" aca="1" ref="DK77" ca="1">IF(ISNA(M77),,OFFSET(INDIRECT("'"&amp;EB$67&amp;"'!f1"),M77-1,))*1</f>
        <v>12.2365568582899</v>
      </c>
      <c r="DL77" cm="1">
        <f t="array" aca="1" ref="DL77" ca="1">IF(ISNA(N77),,OFFSET(INDIRECT("'"&amp;EC$67&amp;"'!f1"),N77-1,))*1</f>
        <v>2.6971381157636599E-3</v>
      </c>
      <c r="DM77" cm="1">
        <f t="array" aca="1" ref="DM77" ca="1">IF(ISNA(O77),,OFFSET(INDIRECT("'"&amp;ED$67&amp;"'!f1"),O77-1,))*1</f>
        <v>2.72889342159032E-3</v>
      </c>
      <c r="DN77" cm="1">
        <f t="array" aca="1" ref="DN77" ca="1">IF(ISNA(P77),,OFFSET(INDIRECT("'"&amp;EE$67&amp;"'!f1"),P77-1,))*1</f>
        <v>3.4420760348439199E-3</v>
      </c>
      <c r="DT77">
        <f t="shared" ca="1" si="60"/>
        <v>1</v>
      </c>
      <c r="DU77">
        <f t="shared" ca="1" si="49"/>
        <v>1</v>
      </c>
      <c r="DV77">
        <f t="shared" ca="1" si="49"/>
        <v>1</v>
      </c>
      <c r="DW77">
        <f t="shared" ca="1" si="49"/>
        <v>1</v>
      </c>
      <c r="DX77">
        <f t="shared" ca="1" si="49"/>
        <v>1</v>
      </c>
      <c r="DY77">
        <f t="shared" ca="1" si="49"/>
        <v>1</v>
      </c>
      <c r="DZ77">
        <f t="shared" ca="1" si="49"/>
        <v>9882</v>
      </c>
      <c r="EA77">
        <f t="shared" ca="1" si="49"/>
        <v>10000</v>
      </c>
      <c r="EB77">
        <f t="shared" ca="1" si="49"/>
        <v>9640</v>
      </c>
      <c r="EC77">
        <f t="shared" ca="1" si="49"/>
        <v>0</v>
      </c>
      <c r="ED77">
        <f t="shared" ca="1" si="49"/>
        <v>1</v>
      </c>
      <c r="EE77">
        <f t="shared" ca="1" si="49"/>
        <v>2</v>
      </c>
      <c r="EK77" cm="1">
        <f t="array" aca="1" ref="EK77" ca="1">IF(ISNA(E77),0,OFFSET(INDIRECT("'"&amp;EK$67&amp;"'!g1"),E77-1,)*CL77)</f>
        <v>1</v>
      </c>
      <c r="EL77" cm="1">
        <f t="array" aca="1" ref="EL77" ca="1">IF(ISNA(F77),0,OFFSET(INDIRECT("'"&amp;EL$67&amp;"'!g1"),F77-1,)*CM77)</f>
        <v>1</v>
      </c>
      <c r="EM77" cm="1">
        <f t="array" aca="1" ref="EM77" ca="1">IF(ISNA(G77),0,OFFSET(INDIRECT("'"&amp;EM$67&amp;"'!g1"),G77-1,)*CN77)</f>
        <v>1</v>
      </c>
      <c r="EN77" cm="1">
        <f t="array" aca="1" ref="EN77" ca="1">IF(ISNA(H77),0,OFFSET(INDIRECT("'"&amp;EN$67&amp;"'!g1"),H77-1,)*CO77)</f>
        <v>1</v>
      </c>
      <c r="EO77" cm="1">
        <f t="array" aca="1" ref="EO77" ca="1">IF(ISNA(I77),0,OFFSET(INDIRECT("'"&amp;EO$67&amp;"'!g1"),I77-1,)*CP77)</f>
        <v>1</v>
      </c>
      <c r="EP77" cm="1">
        <f t="array" aca="1" ref="EP77" ca="1">IF(ISNA(J77),0,OFFSET(INDIRECT("'"&amp;EP$67&amp;"'!g1"),J77-1,)*CQ77)</f>
        <v>1</v>
      </c>
      <c r="EQ77" cm="1">
        <f t="array" aca="1" ref="EQ77" ca="1">IF(ISNA(K77),0,OFFSET(INDIRECT("'"&amp;EQ$67&amp;"'!g1"),K77-1,)*CR77)</f>
        <v>9882</v>
      </c>
      <c r="ER77" cm="1">
        <f t="array" aca="1" ref="ER77" ca="1">IF(ISNA(L77),0,OFFSET(INDIRECT("'"&amp;ER$67&amp;"'!g1"),L77-1,)*CS77)</f>
        <v>10000</v>
      </c>
      <c r="ES77" cm="1">
        <f t="array" aca="1" ref="ES77" ca="1">IF(ISNA(M77),0,OFFSET(INDIRECT("'"&amp;ES$67&amp;"'!g1"),M77-1,)*CT77)</f>
        <v>9640</v>
      </c>
      <c r="ET77" cm="1">
        <f t="array" aca="1" ref="ET77" ca="1">IF(ISNA(N77),0,OFFSET(INDIRECT("'"&amp;ET$67&amp;"'!g1"),N77-1,)*CU77)</f>
        <v>0</v>
      </c>
      <c r="EU77" cm="1">
        <f t="array" aca="1" ref="EU77" ca="1">IF(ISNA(O77),0,OFFSET(INDIRECT("'"&amp;EU$67&amp;"'!g1"),O77-1,)*CV77)</f>
        <v>1</v>
      </c>
      <c r="EV77" cm="1">
        <f t="array" aca="1" ref="EV77" ca="1">IF(ISNA(P77),0,OFFSET(INDIRECT("'"&amp;EV$67&amp;"'!g1"),P77-1,)*CW77)</f>
        <v>2</v>
      </c>
      <c r="FB77" s="10" cm="1">
        <f t="array" aca="1" ref="FB77" ca="1">IF(ISNA(E77),0,OFFSET(INDIRECT("'"&amp;EK$67&amp;"'!h1"),E77-1,))</f>
        <v>1</v>
      </c>
      <c r="FC77" s="10" cm="1">
        <f t="array" aca="1" ref="FC77" ca="1">IF(ISNA(F77),0,OFFSET(INDIRECT("'"&amp;EL$67&amp;"'!h1"),F77-1,))</f>
        <v>1</v>
      </c>
      <c r="FD77" s="10" cm="1">
        <f t="array" aca="1" ref="FD77" ca="1">IF(ISNA(G77),0,OFFSET(INDIRECT("'"&amp;EM$67&amp;"'!h1"),G77-1,))</f>
        <v>1</v>
      </c>
      <c r="FE77" s="10" cm="1">
        <f t="array" aca="1" ref="FE77" ca="1">IF(ISNA(H77),0,OFFSET(INDIRECT("'"&amp;EN$67&amp;"'!h1"),H77-1,))</f>
        <v>1</v>
      </c>
      <c r="FF77" s="10" cm="1">
        <f t="array" aca="1" ref="FF77" ca="1">IF(ISNA(I77),0,OFFSET(INDIRECT("'"&amp;EO$67&amp;"'!h1"),I77-1,))</f>
        <v>1</v>
      </c>
      <c r="FG77" s="10" cm="1">
        <f t="array" aca="1" ref="FG77" ca="1">IF(ISNA(J77),0,OFFSET(INDIRECT("'"&amp;EP$67&amp;"'!h1"),J77-1,))</f>
        <v>1</v>
      </c>
      <c r="FH77" s="10" cm="1">
        <f t="array" aca="1" ref="FH77" ca="1">IF(ISNA(K77),0,OFFSET(INDIRECT("'"&amp;EQ$67&amp;"'!h1"),K77-1,))</f>
        <v>10000</v>
      </c>
      <c r="FI77" s="10" cm="1">
        <f t="array" aca="1" ref="FI77" ca="1">IF(ISNA(L77),0,OFFSET(INDIRECT("'"&amp;ER$67&amp;"'!h1"),L77-1,))</f>
        <v>10000</v>
      </c>
      <c r="FJ77" s="10" cm="1">
        <f t="array" aca="1" ref="FJ77" ca="1">IF(ISNA(M77),0,OFFSET(INDIRECT("'"&amp;ES$67&amp;"'!h1"),M77-1,))</f>
        <v>10000</v>
      </c>
      <c r="FK77" s="10" cm="1">
        <f t="array" aca="1" ref="FK77" ca="1">IF(ISNA(N77),0,OFFSET(INDIRECT("'"&amp;ET$67&amp;"'!h1"),N77-1,))</f>
        <v>1</v>
      </c>
      <c r="FL77" s="10" cm="1">
        <f t="array" aca="1" ref="FL77" ca="1">IF(ISNA(O77),0,OFFSET(INDIRECT("'"&amp;EU$67&amp;"'!h1"),O77-1,))</f>
        <v>1</v>
      </c>
      <c r="FM77" s="10" cm="1">
        <f t="array" aca="1" ref="FM77" ca="1">IF(ISNA(P77),0,OFFSET(INDIRECT("'"&amp;EV$67&amp;"'!h1"),P77-1,))</f>
        <v>3</v>
      </c>
      <c r="FN77" s="10"/>
      <c r="FO77" s="10"/>
      <c r="FP77" s="10"/>
      <c r="FQ77" s="10"/>
      <c r="FS77">
        <f t="shared" ca="1" si="61"/>
        <v>14</v>
      </c>
      <c r="FT77">
        <f t="shared" ca="1" si="62"/>
        <v>0.86663134675472897</v>
      </c>
      <c r="FU77">
        <f t="shared" ca="1" si="63"/>
        <v>9882</v>
      </c>
      <c r="FV77">
        <f t="shared" ca="1" si="64"/>
        <v>10000</v>
      </c>
      <c r="FW77" s="4">
        <f t="shared" ca="1" si="65"/>
        <v>0.98819999999999997</v>
      </c>
      <c r="FX77" s="5">
        <f t="shared" ca="1" si="66"/>
        <v>8.769797073008793E-5</v>
      </c>
      <c r="FZ77" s="13">
        <f t="shared" ca="1" si="50"/>
        <v>14</v>
      </c>
      <c r="GA77" s="23">
        <f t="shared" ca="1" si="67"/>
        <v>0</v>
      </c>
      <c r="GB77" s="23">
        <f t="shared" ca="1" si="51"/>
        <v>0</v>
      </c>
      <c r="GC77" s="23">
        <f t="shared" ca="1" si="51"/>
        <v>0</v>
      </c>
      <c r="GD77" s="23">
        <f t="shared" ca="1" si="51"/>
        <v>0</v>
      </c>
      <c r="GE77" s="23">
        <f t="shared" ca="1" si="51"/>
        <v>0</v>
      </c>
      <c r="GF77" s="23">
        <f t="shared" ca="1" si="51"/>
        <v>0</v>
      </c>
      <c r="GG77" s="23">
        <f t="shared" ca="1" si="51"/>
        <v>0</v>
      </c>
      <c r="GH77" s="23">
        <f t="shared" ca="1" si="51"/>
        <v>0</v>
      </c>
      <c r="GI77" s="23">
        <f t="shared" ca="1" si="51"/>
        <v>0</v>
      </c>
      <c r="GJ77" s="23" t="e">
        <f t="shared" ca="1" si="51"/>
        <v>#N/A</v>
      </c>
      <c r="GK77" s="23">
        <f t="shared" ca="1" si="51"/>
        <v>0</v>
      </c>
      <c r="GL77" s="23">
        <f t="shared" ca="1" si="51"/>
        <v>0</v>
      </c>
      <c r="GM77" s="23"/>
      <c r="GN77">
        <f t="shared" ca="1" si="68"/>
        <v>14</v>
      </c>
      <c r="GO77" s="5">
        <f t="shared" ca="1" si="69"/>
        <v>3.3188117000008698E-2</v>
      </c>
      <c r="GP77" s="5">
        <f t="shared" ca="1" si="52"/>
        <v>1.86365819999991E-2</v>
      </c>
      <c r="GQ77" s="5">
        <f t="shared" ca="1" si="52"/>
        <v>1.37671249999868E-2</v>
      </c>
      <c r="GR77" s="5">
        <f t="shared" ca="1" si="52"/>
        <v>5.2607323999978903E-2</v>
      </c>
      <c r="GS77" s="5">
        <f t="shared" ca="1" si="52"/>
        <v>5.6052250001812298E-2</v>
      </c>
      <c r="GT77" s="5">
        <f t="shared" ca="1" si="70"/>
        <v>2.5245727971196098E-2</v>
      </c>
      <c r="GU77" s="5">
        <f t="shared" ca="1" si="53"/>
        <v>8.769797073008793E-5</v>
      </c>
      <c r="GV77" s="5">
        <f t="shared" ca="1" si="53"/>
        <v>1.4714445518329699E-4</v>
      </c>
      <c r="GW77" s="5">
        <f t="shared" ca="1" si="53"/>
        <v>1.2693523711918982E-3</v>
      </c>
      <c r="GX77" s="5" t="e">
        <f t="shared" ca="1" si="53"/>
        <v>#N/A</v>
      </c>
      <c r="GY77" s="5">
        <f t="shared" ca="1" si="53"/>
        <v>2.72889342159032E-3</v>
      </c>
      <c r="GZ77" s="5">
        <f t="shared" ca="1" si="53"/>
        <v>1.72103801742196E-3</v>
      </c>
      <c r="HB77" s="13">
        <f t="shared" ca="1" si="54"/>
        <v>14</v>
      </c>
      <c r="HC77" s="4">
        <f t="shared" ca="1" si="71"/>
        <v>1</v>
      </c>
      <c r="HD77" s="4">
        <f t="shared" ca="1" si="55"/>
        <v>1</v>
      </c>
      <c r="HE77" s="4">
        <f t="shared" ca="1" si="55"/>
        <v>1</v>
      </c>
      <c r="HF77" s="4">
        <f t="shared" ca="1" si="55"/>
        <v>1</v>
      </c>
      <c r="HG77" s="4">
        <f t="shared" ca="1" si="55"/>
        <v>1</v>
      </c>
      <c r="HH77" s="4">
        <f t="shared" ca="1" si="55"/>
        <v>1</v>
      </c>
      <c r="HI77" s="4">
        <f t="shared" ca="1" si="55"/>
        <v>0.98819999999999997</v>
      </c>
      <c r="HJ77" s="4">
        <f t="shared" ca="1" si="55"/>
        <v>1</v>
      </c>
      <c r="HK77" s="4">
        <f t="shared" ca="1" si="55"/>
        <v>0.96399999999999997</v>
      </c>
      <c r="HL77" s="4">
        <f t="shared" ca="1" si="55"/>
        <v>0</v>
      </c>
      <c r="HM77" s="4">
        <f t="shared" ca="1" si="55"/>
        <v>1</v>
      </c>
      <c r="HN77" s="4">
        <f t="shared" ca="1" si="55"/>
        <v>0.66666666666666663</v>
      </c>
    </row>
    <row r="78" spans="1:222" x14ac:dyDescent="0.2">
      <c r="A78" t="str" cm="1">
        <f t="array" aca="1" ref="A78" ca="1">INDIRECT($A$67&amp;"!A"&amp;ROW(C11)+$B$64)</f>
        <v>[[15,7,5]]</v>
      </c>
      <c r="B78" cm="1">
        <f t="array" aca="1" ref="B78" ca="1">INDIRECT($A$67&amp;"!b"&amp;ROW(D11)+$B$64)</f>
        <v>15</v>
      </c>
      <c r="C78">
        <f t="shared" ca="1" si="56"/>
        <v>5</v>
      </c>
      <c r="E78">
        <f t="shared" ca="1" si="43"/>
        <v>35</v>
      </c>
      <c r="F78">
        <f t="shared" ca="1" si="43"/>
        <v>36</v>
      </c>
      <c r="G78">
        <f t="shared" ca="1" si="43"/>
        <v>35</v>
      </c>
      <c r="H78">
        <f t="shared" ca="1" si="43"/>
        <v>35</v>
      </c>
      <c r="I78">
        <f t="shared" ca="1" si="43"/>
        <v>38</v>
      </c>
      <c r="J78">
        <f t="shared" ca="1" si="43"/>
        <v>35</v>
      </c>
      <c r="K78">
        <f t="shared" ca="1" si="43"/>
        <v>42</v>
      </c>
      <c r="L78">
        <f t="shared" ca="1" si="43"/>
        <v>44</v>
      </c>
      <c r="M78">
        <f t="shared" ca="1" si="43"/>
        <v>41</v>
      </c>
      <c r="N78">
        <f t="shared" ca="1" si="43"/>
        <v>39</v>
      </c>
      <c r="O78">
        <f t="shared" ca="1" si="43"/>
        <v>39</v>
      </c>
      <c r="P78">
        <f t="shared" ca="1" si="43"/>
        <v>39</v>
      </c>
      <c r="V78" cm="1">
        <f t="array" aca="1" ref="V78" ca="1">IF(ISNA(E78),,OFFSET(INDIRECT("'"&amp;V$67&amp;"'!d1"),E78-1,))</f>
        <v>5</v>
      </c>
      <c r="W78" cm="1">
        <f t="array" aca="1" ref="W78" ca="1">IF(ISNA(F78),,OFFSET(INDIRECT("'"&amp;W$67&amp;"'!d1"),F78-1,))</f>
        <v>5</v>
      </c>
      <c r="X78" cm="1">
        <f t="array" aca="1" ref="X78" ca="1">IF(ISNA(G78),,OFFSET(INDIRECT("'"&amp;X$67&amp;"'!d1"),G78-1,))</f>
        <v>5</v>
      </c>
      <c r="Y78" cm="1">
        <f t="array" aca="1" ref="Y78" ca="1">IF(ISNA(H78),,OFFSET(INDIRECT("'"&amp;Y$67&amp;"'!d1"),H78-1,))</f>
        <v>5</v>
      </c>
      <c r="Z78" cm="1">
        <f t="array" aca="1" ref="Z78" ca="1">IF(ISNA(I78),,OFFSET(INDIRECT("'"&amp;Z$67&amp;"'!d1"),I78-1,))</f>
        <v>5</v>
      </c>
      <c r="AA78" cm="1">
        <f t="array" aca="1" ref="AA78" ca="1">IF(ISNA(J78),,OFFSET(INDIRECT("'"&amp;AA$67&amp;"'!d1"),J78-1,))</f>
        <v>5</v>
      </c>
      <c r="AB78" cm="1">
        <f t="array" aca="1" ref="AB78" ca="1">IF(ISNA(K78),,OFFSET(INDIRECT("'"&amp;AB$67&amp;"'!d1"),K78-1,))</f>
        <v>5</v>
      </c>
      <c r="AC78" cm="1">
        <f t="array" aca="1" ref="AC78" ca="1">IF(ISNA(L78),,OFFSET(INDIRECT("'"&amp;AC$67&amp;"'!d1"),L78-1,))</f>
        <v>5</v>
      </c>
      <c r="AD78" cm="1">
        <f t="array" aca="1" ref="AD78" ca="1">IF(ISNA(M78),,OFFSET(INDIRECT("'"&amp;AD$67&amp;"'!d1"),M78-1,))</f>
        <v>5</v>
      </c>
      <c r="AE78" cm="1">
        <f t="array" aca="1" ref="AE78" ca="1">IF(ISNA(N78),,OFFSET(INDIRECT("'"&amp;AE$67&amp;"'!d1"),N78-1,))</f>
        <v>0</v>
      </c>
      <c r="AF78" cm="1">
        <f t="array" aca="1" ref="AF78" ca="1">IF(ISNA(O78),,OFFSET(INDIRECT("'"&amp;AF$67&amp;"'!d1"),O78-1,))</f>
        <v>5</v>
      </c>
      <c r="AG78" cm="1">
        <f t="array" aca="1" ref="AG78" ca="1">IF(ISNA(P78),,OFFSET(INDIRECT("'"&amp;AG$67&amp;"'!d1"),P78-1,))</f>
        <v>5</v>
      </c>
      <c r="AM78">
        <f t="shared" ca="1" si="57"/>
        <v>1</v>
      </c>
      <c r="AN78">
        <f t="shared" ca="1" si="44"/>
        <v>1</v>
      </c>
      <c r="AO78">
        <f t="shared" ca="1" si="44"/>
        <v>1</v>
      </c>
      <c r="AP78">
        <f t="shared" ca="1" si="44"/>
        <v>1</v>
      </c>
      <c r="AQ78">
        <f t="shared" ca="1" si="58"/>
        <v>1</v>
      </c>
      <c r="AV78" t="b">
        <f t="shared" ca="1" si="59"/>
        <v>1</v>
      </c>
      <c r="AW78" t="b">
        <f t="shared" ca="1" si="45"/>
        <v>1</v>
      </c>
      <c r="AX78" t="b">
        <f t="shared" ca="1" si="45"/>
        <v>1</v>
      </c>
      <c r="AY78" t="b">
        <f t="shared" ca="1" si="45"/>
        <v>1</v>
      </c>
      <c r="AZ78" t="b">
        <f t="shared" ca="1" si="45"/>
        <v>1</v>
      </c>
      <c r="BD78">
        <f t="shared" ca="1" si="46"/>
        <v>1</v>
      </c>
      <c r="BE78">
        <f t="shared" ca="1" si="46"/>
        <v>1</v>
      </c>
      <c r="BF78">
        <f t="shared" ca="1" si="46"/>
        <v>1</v>
      </c>
      <c r="BG78">
        <f t="shared" ca="1" si="46"/>
        <v>1</v>
      </c>
      <c r="BH78">
        <f t="shared" ca="1" si="46"/>
        <v>1</v>
      </c>
      <c r="BI78">
        <f t="shared" ca="1" si="46"/>
        <v>1</v>
      </c>
      <c r="BJ78">
        <f t="shared" ca="1" si="46"/>
        <v>1</v>
      </c>
      <c r="BK78">
        <f t="shared" ca="1" si="46"/>
        <v>1</v>
      </c>
      <c r="BL78">
        <f t="shared" ca="1" si="46"/>
        <v>1</v>
      </c>
      <c r="BM78">
        <f t="shared" ca="1" si="46"/>
        <v>0</v>
      </c>
      <c r="BN78">
        <f t="shared" ca="1" si="46"/>
        <v>1</v>
      </c>
      <c r="BO78">
        <f t="shared" ca="1" si="46"/>
        <v>1</v>
      </c>
      <c r="BU78">
        <f t="shared" ca="1" si="47"/>
        <v>5</v>
      </c>
      <c r="BV78">
        <f t="shared" ca="1" si="47"/>
        <v>5</v>
      </c>
      <c r="BW78">
        <f t="shared" ca="1" si="47"/>
        <v>5</v>
      </c>
      <c r="BX78">
        <f t="shared" ca="1" si="47"/>
        <v>5</v>
      </c>
      <c r="BY78">
        <f t="shared" ca="1" si="47"/>
        <v>5</v>
      </c>
      <c r="BZ78">
        <f t="shared" ca="1" si="47"/>
        <v>5</v>
      </c>
      <c r="CA78">
        <f t="shared" ca="1" si="47"/>
        <v>5</v>
      </c>
      <c r="CB78">
        <f t="shared" ca="1" si="47"/>
        <v>5</v>
      </c>
      <c r="CC78">
        <f t="shared" ca="1" si="47"/>
        <v>5</v>
      </c>
      <c r="CD78">
        <f t="shared" ca="1" si="47"/>
        <v>15</v>
      </c>
      <c r="CE78">
        <f t="shared" ca="1" si="47"/>
        <v>5</v>
      </c>
      <c r="CF78">
        <f t="shared" ca="1" si="47"/>
        <v>5</v>
      </c>
      <c r="CL78">
        <f t="shared" ca="1" si="48"/>
        <v>1</v>
      </c>
      <c r="CM78">
        <f t="shared" ca="1" si="48"/>
        <v>1</v>
      </c>
      <c r="CN78">
        <f t="shared" ca="1" si="48"/>
        <v>1</v>
      </c>
      <c r="CO78">
        <f t="shared" ca="1" si="48"/>
        <v>1</v>
      </c>
      <c r="CP78">
        <f t="shared" ca="1" si="48"/>
        <v>1</v>
      </c>
      <c r="CQ78">
        <f t="shared" ca="1" si="48"/>
        <v>1</v>
      </c>
      <c r="CR78">
        <f t="shared" ca="1" si="48"/>
        <v>1</v>
      </c>
      <c r="CS78">
        <f t="shared" ca="1" si="48"/>
        <v>1</v>
      </c>
      <c r="CT78">
        <f t="shared" ca="1" si="48"/>
        <v>1</v>
      </c>
      <c r="CU78">
        <f t="shared" ca="1" si="48"/>
        <v>0</v>
      </c>
      <c r="CV78">
        <f t="shared" ca="1" si="48"/>
        <v>1</v>
      </c>
      <c r="CW78">
        <f t="shared" ca="1" si="48"/>
        <v>1</v>
      </c>
      <c r="DC78" cm="1">
        <f t="array" aca="1" ref="DC78" ca="1">IF(ISNA(E78),,OFFSET(INDIRECT("'"&amp;DT$67&amp;"'!f1"),E78-1,))*1</f>
        <v>3.3138194000002799E-2</v>
      </c>
      <c r="DD78" cm="1">
        <f t="array" aca="1" ref="DD78" ca="1">IF(ISNA(F78),,OFFSET(INDIRECT("'"&amp;DU$67&amp;"'!f1"),F78-1,))*1</f>
        <v>2.2761113999990801E-2</v>
      </c>
      <c r="DE78" cm="1">
        <f t="array" aca="1" ref="DE78" ca="1">IF(ISNA(G78),,OFFSET(INDIRECT("'"&amp;DV$67&amp;"'!f1"),G78-1,))*1</f>
        <v>1.4257614000001599E-2</v>
      </c>
      <c r="DF78" cm="1">
        <f t="array" aca="1" ref="DF78" ca="1">IF(ISNA(H78),,OFFSET(INDIRECT("'"&amp;DW$67&amp;"'!f1"),H78-1,))*1</f>
        <v>5.0782493000014001E-2</v>
      </c>
      <c r="DG78" cm="1">
        <f t="array" aca="1" ref="DG78" ca="1">IF(ISNA(I78),,OFFSET(INDIRECT("'"&amp;DX$67&amp;"'!f1"),I78-1,))*1</f>
        <v>5.6886250000388799E-2</v>
      </c>
      <c r="DH78" cm="1">
        <f t="array" aca="1" ref="DH78" ca="1">IF(ISNA(J78),,OFFSET(INDIRECT("'"&amp;DY$67&amp;"'!f1"),J78-1,))*1</f>
        <v>2.5495199952274498E-2</v>
      </c>
      <c r="DI78" cm="1">
        <f t="array" aca="1" ref="DI78" ca="1">IF(ISNA(K78),,OFFSET(INDIRECT("'"&amp;DZ$67&amp;"'!f1"),K78-1,))*1</f>
        <v>0.90083430055528801</v>
      </c>
      <c r="DJ78" cm="1">
        <f t="array" aca="1" ref="DJ78" ca="1">IF(ISNA(L78),,OFFSET(INDIRECT("'"&amp;EA$67&amp;"'!f1"),L78-1,))*1</f>
        <v>1.4998495215550001</v>
      </c>
      <c r="DK78" cm="1">
        <f t="array" aca="1" ref="DK78" ca="1">IF(ISNA(M78),,OFFSET(INDIRECT("'"&amp;EB$67&amp;"'!f1"),M78-1,))*1</f>
        <v>12.992287236731499</v>
      </c>
      <c r="DL78" cm="1">
        <f t="array" aca="1" ref="DL78" ca="1">IF(ISNA(N78),,OFFSET(INDIRECT("'"&amp;EC$67&amp;"'!f1"),N78-1,))*1</f>
        <v>2.69848946481943E-3</v>
      </c>
      <c r="DM78" cm="1">
        <f t="array" aca="1" ref="DM78" ca="1">IF(ISNA(O78),,OFFSET(INDIRECT("'"&amp;ED$67&amp;"'!f1"),O78-1,))*1</f>
        <v>2.9307082295417699E-3</v>
      </c>
      <c r="DN78" cm="1">
        <f t="array" aca="1" ref="DN78" ca="1">IF(ISNA(P78),,OFFSET(INDIRECT("'"&amp;EE$67&amp;"'!f1"),P78-1,))*1</f>
        <v>4.9996450543403599E-3</v>
      </c>
      <c r="DT78">
        <f t="shared" ca="1" si="60"/>
        <v>1</v>
      </c>
      <c r="DU78">
        <f t="shared" ca="1" si="49"/>
        <v>1</v>
      </c>
      <c r="DV78">
        <f t="shared" ca="1" si="49"/>
        <v>1</v>
      </c>
      <c r="DW78">
        <f t="shared" ca="1" si="49"/>
        <v>1</v>
      </c>
      <c r="DX78">
        <f t="shared" ca="1" si="49"/>
        <v>1</v>
      </c>
      <c r="DY78">
        <f t="shared" ca="1" si="49"/>
        <v>1</v>
      </c>
      <c r="DZ78">
        <f t="shared" ca="1" si="49"/>
        <v>9988</v>
      </c>
      <c r="EA78">
        <f t="shared" ca="1" si="49"/>
        <v>10000</v>
      </c>
      <c r="EB78">
        <f t="shared" ca="1" si="49"/>
        <v>9144</v>
      </c>
      <c r="EC78">
        <f t="shared" ca="1" si="49"/>
        <v>0</v>
      </c>
      <c r="ED78">
        <f t="shared" ca="1" si="49"/>
        <v>1</v>
      </c>
      <c r="EE78">
        <f t="shared" ca="1" si="49"/>
        <v>2</v>
      </c>
      <c r="EK78" cm="1">
        <f t="array" aca="1" ref="EK78" ca="1">IF(ISNA(E78),0,OFFSET(INDIRECT("'"&amp;EK$67&amp;"'!g1"),E78-1,)*CL78)</f>
        <v>1</v>
      </c>
      <c r="EL78" cm="1">
        <f t="array" aca="1" ref="EL78" ca="1">IF(ISNA(F78),0,OFFSET(INDIRECT("'"&amp;EL$67&amp;"'!g1"),F78-1,)*CM78)</f>
        <v>1</v>
      </c>
      <c r="EM78" cm="1">
        <f t="array" aca="1" ref="EM78" ca="1">IF(ISNA(G78),0,OFFSET(INDIRECT("'"&amp;EM$67&amp;"'!g1"),G78-1,)*CN78)</f>
        <v>1</v>
      </c>
      <c r="EN78" cm="1">
        <f t="array" aca="1" ref="EN78" ca="1">IF(ISNA(H78),0,OFFSET(INDIRECT("'"&amp;EN$67&amp;"'!g1"),H78-1,)*CO78)</f>
        <v>1</v>
      </c>
      <c r="EO78" cm="1">
        <f t="array" aca="1" ref="EO78" ca="1">IF(ISNA(I78),0,OFFSET(INDIRECT("'"&amp;EO$67&amp;"'!g1"),I78-1,)*CP78)</f>
        <v>1</v>
      </c>
      <c r="EP78" cm="1">
        <f t="array" aca="1" ref="EP78" ca="1">IF(ISNA(J78),0,OFFSET(INDIRECT("'"&amp;EP$67&amp;"'!g1"),J78-1,)*CQ78)</f>
        <v>1</v>
      </c>
      <c r="EQ78" cm="1">
        <f t="array" aca="1" ref="EQ78" ca="1">IF(ISNA(K78),0,OFFSET(INDIRECT("'"&amp;EQ$67&amp;"'!g1"),K78-1,)*CR78)</f>
        <v>9988</v>
      </c>
      <c r="ER78" cm="1">
        <f t="array" aca="1" ref="ER78" ca="1">IF(ISNA(L78),0,OFFSET(INDIRECT("'"&amp;ER$67&amp;"'!g1"),L78-1,)*CS78)</f>
        <v>10000</v>
      </c>
      <c r="ES78" cm="1">
        <f t="array" aca="1" ref="ES78" ca="1">IF(ISNA(M78),0,OFFSET(INDIRECT("'"&amp;ES$67&amp;"'!g1"),M78-1,)*CT78)</f>
        <v>9144</v>
      </c>
      <c r="ET78" cm="1">
        <f t="array" aca="1" ref="ET78" ca="1">IF(ISNA(N78),0,OFFSET(INDIRECT("'"&amp;ET$67&amp;"'!g1"),N78-1,)*CU78)</f>
        <v>0</v>
      </c>
      <c r="EU78" cm="1">
        <f t="array" aca="1" ref="EU78" ca="1">IF(ISNA(O78),0,OFFSET(INDIRECT("'"&amp;EU$67&amp;"'!g1"),O78-1,)*CV78)</f>
        <v>1</v>
      </c>
      <c r="EV78" cm="1">
        <f t="array" aca="1" ref="EV78" ca="1">IF(ISNA(P78),0,OFFSET(INDIRECT("'"&amp;EV$67&amp;"'!g1"),P78-1,)*CW78)</f>
        <v>2</v>
      </c>
      <c r="FB78" s="10" cm="1">
        <f t="array" aca="1" ref="FB78" ca="1">IF(ISNA(E78),0,OFFSET(INDIRECT("'"&amp;EK$67&amp;"'!h1"),E78-1,))</f>
        <v>1</v>
      </c>
      <c r="FC78" s="10" cm="1">
        <f t="array" aca="1" ref="FC78" ca="1">IF(ISNA(F78),0,OFFSET(INDIRECT("'"&amp;EL$67&amp;"'!h1"),F78-1,))</f>
        <v>1</v>
      </c>
      <c r="FD78" s="10" cm="1">
        <f t="array" aca="1" ref="FD78" ca="1">IF(ISNA(G78),0,OFFSET(INDIRECT("'"&amp;EM$67&amp;"'!h1"),G78-1,))</f>
        <v>1</v>
      </c>
      <c r="FE78" s="10" cm="1">
        <f t="array" aca="1" ref="FE78" ca="1">IF(ISNA(H78),0,OFFSET(INDIRECT("'"&amp;EN$67&amp;"'!h1"),H78-1,))</f>
        <v>1</v>
      </c>
      <c r="FF78" s="10" cm="1">
        <f t="array" aca="1" ref="FF78" ca="1">IF(ISNA(I78),0,OFFSET(INDIRECT("'"&amp;EO$67&amp;"'!h1"),I78-1,))</f>
        <v>1</v>
      </c>
      <c r="FG78" s="10" cm="1">
        <f t="array" aca="1" ref="FG78" ca="1">IF(ISNA(J78),0,OFFSET(INDIRECT("'"&amp;EP$67&amp;"'!h1"),J78-1,))</f>
        <v>1</v>
      </c>
      <c r="FH78" s="10" cm="1">
        <f t="array" aca="1" ref="FH78" ca="1">IF(ISNA(K78),0,OFFSET(INDIRECT("'"&amp;EQ$67&amp;"'!h1"),K78-1,))</f>
        <v>10000</v>
      </c>
      <c r="FI78" s="10" cm="1">
        <f t="array" aca="1" ref="FI78" ca="1">IF(ISNA(L78),0,OFFSET(INDIRECT("'"&amp;ER$67&amp;"'!h1"),L78-1,))</f>
        <v>10000</v>
      </c>
      <c r="FJ78" s="10" cm="1">
        <f t="array" aca="1" ref="FJ78" ca="1">IF(ISNA(M78),0,OFFSET(INDIRECT("'"&amp;ES$67&amp;"'!h1"),M78-1,))</f>
        <v>10000</v>
      </c>
      <c r="FK78" s="10" cm="1">
        <f t="array" aca="1" ref="FK78" ca="1">IF(ISNA(N78),0,OFFSET(INDIRECT("'"&amp;ET$67&amp;"'!h1"),N78-1,))</f>
        <v>1</v>
      </c>
      <c r="FL78" s="10" cm="1">
        <f t="array" aca="1" ref="FL78" ca="1">IF(ISNA(O78),0,OFFSET(INDIRECT("'"&amp;EU$67&amp;"'!h1"),O78-1,))</f>
        <v>1</v>
      </c>
      <c r="FM78" s="10" cm="1">
        <f t="array" aca="1" ref="FM78" ca="1">IF(ISNA(P78),0,OFFSET(INDIRECT("'"&amp;EV$67&amp;"'!h1"),P78-1,))</f>
        <v>3</v>
      </c>
      <c r="FN78" s="10"/>
      <c r="FO78" s="10"/>
      <c r="FP78" s="10"/>
      <c r="FQ78" s="10"/>
      <c r="FS78">
        <f t="shared" ca="1" si="61"/>
        <v>15</v>
      </c>
      <c r="FT78">
        <f t="shared" ca="1" si="62"/>
        <v>0.90083430055528801</v>
      </c>
      <c r="FU78">
        <f t="shared" ca="1" si="63"/>
        <v>9988</v>
      </c>
      <c r="FV78">
        <f t="shared" ca="1" si="64"/>
        <v>10000</v>
      </c>
      <c r="FW78" s="4">
        <f t="shared" ca="1" si="65"/>
        <v>0.99880000000000002</v>
      </c>
      <c r="FX78" s="5">
        <f t="shared" ca="1" si="66"/>
        <v>9.0191660047585901E-5</v>
      </c>
      <c r="FZ78" s="13">
        <f t="shared" ca="1" si="50"/>
        <v>15</v>
      </c>
      <c r="GA78" s="23">
        <f t="shared" ca="1" si="67"/>
        <v>0</v>
      </c>
      <c r="GB78" s="23">
        <f t="shared" ca="1" si="51"/>
        <v>0</v>
      </c>
      <c r="GC78" s="23">
        <f t="shared" ca="1" si="51"/>
        <v>0</v>
      </c>
      <c r="GD78" s="23">
        <f t="shared" ca="1" si="51"/>
        <v>0</v>
      </c>
      <c r="GE78" s="23">
        <f t="shared" ca="1" si="51"/>
        <v>0</v>
      </c>
      <c r="GF78" s="23">
        <f t="shared" ca="1" si="51"/>
        <v>0</v>
      </c>
      <c r="GG78" s="23">
        <f t="shared" ca="1" si="51"/>
        <v>0</v>
      </c>
      <c r="GH78" s="23">
        <f t="shared" ca="1" si="51"/>
        <v>0</v>
      </c>
      <c r="GI78" s="23">
        <f t="shared" ca="1" si="51"/>
        <v>0</v>
      </c>
      <c r="GJ78" s="23" t="e">
        <f t="shared" ca="1" si="51"/>
        <v>#N/A</v>
      </c>
      <c r="GK78" s="23">
        <f t="shared" ca="1" si="51"/>
        <v>0</v>
      </c>
      <c r="GL78" s="23">
        <f t="shared" ca="1" si="51"/>
        <v>0</v>
      </c>
      <c r="GM78" s="23"/>
      <c r="GN78">
        <f t="shared" ca="1" si="68"/>
        <v>15</v>
      </c>
      <c r="GO78" s="5">
        <f t="shared" ca="1" si="69"/>
        <v>3.3138194000002799E-2</v>
      </c>
      <c r="GP78" s="5">
        <f t="shared" ca="1" si="52"/>
        <v>2.2761113999990801E-2</v>
      </c>
      <c r="GQ78" s="5">
        <f t="shared" ca="1" si="52"/>
        <v>1.4257614000001599E-2</v>
      </c>
      <c r="GR78" s="5">
        <f t="shared" ca="1" si="52"/>
        <v>5.0782493000014001E-2</v>
      </c>
      <c r="GS78" s="5">
        <f t="shared" ca="1" si="52"/>
        <v>5.6886250000388799E-2</v>
      </c>
      <c r="GT78" s="5">
        <f t="shared" ca="1" si="70"/>
        <v>2.5495199952274498E-2</v>
      </c>
      <c r="GU78" s="5">
        <f t="shared" ca="1" si="53"/>
        <v>9.0191660047585901E-5</v>
      </c>
      <c r="GV78" s="5">
        <f t="shared" ca="1" si="53"/>
        <v>1.4998495215550001E-4</v>
      </c>
      <c r="GW78" s="5">
        <f t="shared" ca="1" si="53"/>
        <v>1.4208538097912839E-3</v>
      </c>
      <c r="GX78" s="5" t="e">
        <f t="shared" ca="1" si="53"/>
        <v>#N/A</v>
      </c>
      <c r="GY78" s="5">
        <f t="shared" ca="1" si="53"/>
        <v>2.9307082295417699E-3</v>
      </c>
      <c r="GZ78" s="5">
        <f t="shared" ca="1" si="53"/>
        <v>2.49982252717018E-3</v>
      </c>
      <c r="HB78" s="13">
        <f t="shared" ca="1" si="54"/>
        <v>15</v>
      </c>
      <c r="HC78" s="4">
        <f t="shared" ca="1" si="71"/>
        <v>1</v>
      </c>
      <c r="HD78" s="4">
        <f t="shared" ca="1" si="55"/>
        <v>1</v>
      </c>
      <c r="HE78" s="4">
        <f t="shared" ca="1" si="55"/>
        <v>1</v>
      </c>
      <c r="HF78" s="4">
        <f t="shared" ca="1" si="55"/>
        <v>1</v>
      </c>
      <c r="HG78" s="4">
        <f t="shared" ca="1" si="55"/>
        <v>1</v>
      </c>
      <c r="HH78" s="4">
        <f t="shared" ca="1" si="55"/>
        <v>1</v>
      </c>
      <c r="HI78" s="4">
        <f t="shared" ca="1" si="55"/>
        <v>0.99880000000000002</v>
      </c>
      <c r="HJ78" s="4">
        <f t="shared" ca="1" si="55"/>
        <v>1</v>
      </c>
      <c r="HK78" s="4">
        <f t="shared" ca="1" si="55"/>
        <v>0.91439999999999999</v>
      </c>
      <c r="HL78" s="4">
        <f t="shared" ca="1" si="55"/>
        <v>0</v>
      </c>
      <c r="HM78" s="4">
        <f t="shared" ca="1" si="55"/>
        <v>1</v>
      </c>
      <c r="HN78" s="4">
        <f t="shared" ca="1" si="55"/>
        <v>0.66666666666666663</v>
      </c>
    </row>
    <row r="79" spans="1:222" x14ac:dyDescent="0.2">
      <c r="A79" t="str" cm="1">
        <f t="array" aca="1" ref="A79" ca="1">INDIRECT($A$67&amp;"!A"&amp;ROW(C12)+$B$64)</f>
        <v>[[16,8,5]]</v>
      </c>
      <c r="B79" cm="1">
        <f t="array" aca="1" ref="B79" ca="1">INDIRECT($A$67&amp;"!b"&amp;ROW(D12)+$B$64)</f>
        <v>16</v>
      </c>
      <c r="C79">
        <f t="shared" ca="1" si="56"/>
        <v>5</v>
      </c>
      <c r="E79">
        <f t="shared" ca="1" si="43"/>
        <v>36</v>
      </c>
      <c r="F79">
        <f t="shared" ca="1" si="43"/>
        <v>37</v>
      </c>
      <c r="G79">
        <f t="shared" ca="1" si="43"/>
        <v>36</v>
      </c>
      <c r="H79">
        <f t="shared" ca="1" si="43"/>
        <v>36</v>
      </c>
      <c r="I79">
        <f t="shared" ca="1" si="43"/>
        <v>39</v>
      </c>
      <c r="J79">
        <f t="shared" ca="1" si="43"/>
        <v>36</v>
      </c>
      <c r="K79">
        <f t="shared" ca="1" si="43"/>
        <v>43</v>
      </c>
      <c r="L79">
        <f t="shared" ca="1" si="43"/>
        <v>45</v>
      </c>
      <c r="M79">
        <f t="shared" ca="1" si="43"/>
        <v>42</v>
      </c>
      <c r="N79">
        <f t="shared" ca="1" si="43"/>
        <v>40</v>
      </c>
      <c r="O79">
        <f t="shared" ca="1" si="43"/>
        <v>40</v>
      </c>
      <c r="P79">
        <f t="shared" ca="1" si="43"/>
        <v>40</v>
      </c>
      <c r="V79" cm="1">
        <f t="array" aca="1" ref="V79" ca="1">IF(ISNA(E79),,OFFSET(INDIRECT("'"&amp;V$67&amp;"'!d1"),E79-1,))</f>
        <v>5</v>
      </c>
      <c r="W79" cm="1">
        <f t="array" aca="1" ref="W79" ca="1">IF(ISNA(F79),,OFFSET(INDIRECT("'"&amp;W$67&amp;"'!d1"),F79-1,))</f>
        <v>5</v>
      </c>
      <c r="X79" cm="1">
        <f t="array" aca="1" ref="X79" ca="1">IF(ISNA(G79),,OFFSET(INDIRECT("'"&amp;X$67&amp;"'!d1"),G79-1,))</f>
        <v>5</v>
      </c>
      <c r="Y79" cm="1">
        <f t="array" aca="1" ref="Y79" ca="1">IF(ISNA(H79),,OFFSET(INDIRECT("'"&amp;Y$67&amp;"'!d1"),H79-1,))</f>
        <v>5</v>
      </c>
      <c r="Z79" cm="1">
        <f t="array" aca="1" ref="Z79" ca="1">IF(ISNA(I79),,OFFSET(INDIRECT("'"&amp;Z$67&amp;"'!d1"),I79-1,))</f>
        <v>5</v>
      </c>
      <c r="AA79" cm="1">
        <f t="array" aca="1" ref="AA79" ca="1">IF(ISNA(J79),,OFFSET(INDIRECT("'"&amp;AA$67&amp;"'!d1"),J79-1,))</f>
        <v>5</v>
      </c>
      <c r="AB79" cm="1">
        <f t="array" aca="1" ref="AB79" ca="1">IF(ISNA(K79),,OFFSET(INDIRECT("'"&amp;AB$67&amp;"'!d1"),K79-1,))</f>
        <v>5</v>
      </c>
      <c r="AC79" cm="1">
        <f t="array" aca="1" ref="AC79" ca="1">IF(ISNA(L79),,OFFSET(INDIRECT("'"&amp;AC$67&amp;"'!d1"),L79-1,))</f>
        <v>5</v>
      </c>
      <c r="AD79" cm="1">
        <f t="array" aca="1" ref="AD79" ca="1">IF(ISNA(M79),,OFFSET(INDIRECT("'"&amp;AD$67&amp;"'!d1"),M79-1,))</f>
        <v>5</v>
      </c>
      <c r="AE79" cm="1">
        <f t="array" aca="1" ref="AE79" ca="1">IF(ISNA(N79),,OFFSET(INDIRECT("'"&amp;AE$67&amp;"'!d1"),N79-1,))</f>
        <v>0</v>
      </c>
      <c r="AF79" cm="1">
        <f t="array" aca="1" ref="AF79" ca="1">IF(ISNA(O79),,OFFSET(INDIRECT("'"&amp;AF$67&amp;"'!d1"),O79-1,))</f>
        <v>5</v>
      </c>
      <c r="AG79" cm="1">
        <f t="array" aca="1" ref="AG79" ca="1">IF(ISNA(P79),,OFFSET(INDIRECT("'"&amp;AG$67&amp;"'!d1"),P79-1,))</f>
        <v>5</v>
      </c>
      <c r="AM79">
        <f t="shared" ca="1" si="57"/>
        <v>1</v>
      </c>
      <c r="AN79">
        <f t="shared" ca="1" si="44"/>
        <v>1</v>
      </c>
      <c r="AO79">
        <f t="shared" ca="1" si="44"/>
        <v>1</v>
      </c>
      <c r="AP79">
        <f t="shared" ca="1" si="44"/>
        <v>1</v>
      </c>
      <c r="AQ79">
        <f t="shared" ca="1" si="58"/>
        <v>1</v>
      </c>
      <c r="AV79" t="b">
        <f t="shared" ca="1" si="59"/>
        <v>1</v>
      </c>
      <c r="AW79" t="b">
        <f t="shared" ca="1" si="45"/>
        <v>1</v>
      </c>
      <c r="AX79" t="b">
        <f t="shared" ca="1" si="45"/>
        <v>1</v>
      </c>
      <c r="AY79" t="b">
        <f t="shared" ca="1" si="45"/>
        <v>1</v>
      </c>
      <c r="AZ79" t="b">
        <f t="shared" ca="1" si="45"/>
        <v>1</v>
      </c>
      <c r="BD79">
        <f t="shared" ca="1" si="46"/>
        <v>1</v>
      </c>
      <c r="BE79">
        <f t="shared" ca="1" si="46"/>
        <v>1</v>
      </c>
      <c r="BF79">
        <f t="shared" ca="1" si="46"/>
        <v>1</v>
      </c>
      <c r="BG79">
        <f t="shared" ca="1" si="46"/>
        <v>1</v>
      </c>
      <c r="BH79">
        <f t="shared" ca="1" si="46"/>
        <v>1</v>
      </c>
      <c r="BI79">
        <f t="shared" ca="1" si="46"/>
        <v>1</v>
      </c>
      <c r="BJ79">
        <f t="shared" ca="1" si="46"/>
        <v>1</v>
      </c>
      <c r="BK79">
        <f t="shared" ca="1" si="46"/>
        <v>1</v>
      </c>
      <c r="BL79">
        <f t="shared" ca="1" si="46"/>
        <v>1</v>
      </c>
      <c r="BM79">
        <f t="shared" ca="1" si="46"/>
        <v>0</v>
      </c>
      <c r="BN79">
        <f t="shared" ca="1" si="46"/>
        <v>1</v>
      </c>
      <c r="BO79">
        <f t="shared" ca="1" si="46"/>
        <v>1</v>
      </c>
      <c r="BU79">
        <f t="shared" ca="1" si="47"/>
        <v>5</v>
      </c>
      <c r="BV79">
        <f t="shared" ca="1" si="47"/>
        <v>5</v>
      </c>
      <c r="BW79">
        <f t="shared" ca="1" si="47"/>
        <v>5</v>
      </c>
      <c r="BX79">
        <f t="shared" ca="1" si="47"/>
        <v>5</v>
      </c>
      <c r="BY79">
        <f t="shared" ca="1" si="47"/>
        <v>5</v>
      </c>
      <c r="BZ79">
        <f t="shared" ca="1" si="47"/>
        <v>5</v>
      </c>
      <c r="CA79">
        <f t="shared" ca="1" si="47"/>
        <v>5</v>
      </c>
      <c r="CB79">
        <f t="shared" ca="1" si="47"/>
        <v>5</v>
      </c>
      <c r="CC79">
        <f t="shared" ca="1" si="47"/>
        <v>5</v>
      </c>
      <c r="CD79">
        <f t="shared" ca="1" si="47"/>
        <v>16</v>
      </c>
      <c r="CE79">
        <f t="shared" ca="1" si="47"/>
        <v>5</v>
      </c>
      <c r="CF79">
        <f t="shared" ca="1" si="47"/>
        <v>5</v>
      </c>
      <c r="CL79">
        <f t="shared" ca="1" si="48"/>
        <v>1</v>
      </c>
      <c r="CM79">
        <f t="shared" ca="1" si="48"/>
        <v>1</v>
      </c>
      <c r="CN79">
        <f t="shared" ca="1" si="48"/>
        <v>1</v>
      </c>
      <c r="CO79">
        <f t="shared" ca="1" si="48"/>
        <v>1</v>
      </c>
      <c r="CP79">
        <f t="shared" ca="1" si="48"/>
        <v>1</v>
      </c>
      <c r="CQ79">
        <f t="shared" ca="1" si="48"/>
        <v>1</v>
      </c>
      <c r="CR79">
        <f t="shared" ca="1" si="48"/>
        <v>1</v>
      </c>
      <c r="CS79">
        <f t="shared" ca="1" si="48"/>
        <v>1</v>
      </c>
      <c r="CT79">
        <f t="shared" ca="1" si="48"/>
        <v>1</v>
      </c>
      <c r="CU79">
        <f t="shared" ca="1" si="48"/>
        <v>0</v>
      </c>
      <c r="CV79">
        <f t="shared" ca="1" si="48"/>
        <v>1</v>
      </c>
      <c r="CW79">
        <f t="shared" ca="1" si="48"/>
        <v>1</v>
      </c>
      <c r="DC79" cm="1">
        <f t="array" aca="1" ref="DC79" ca="1">IF(ISNA(E79),,OFFSET(INDIRECT("'"&amp;DT$67&amp;"'!f1"),E79-1,))*1</f>
        <v>3.4091857999982197E-2</v>
      </c>
      <c r="DD79" cm="1">
        <f t="array" aca="1" ref="DD79" ca="1">IF(ISNA(F79),,OFFSET(INDIRECT("'"&amp;DU$67&amp;"'!f1"),F79-1,))*1</f>
        <v>3.6844545999997501E-2</v>
      </c>
      <c r="DE79" cm="1">
        <f t="array" aca="1" ref="DE79" ca="1">IF(ISNA(G79),,OFFSET(INDIRECT("'"&amp;DV$67&amp;"'!f1"),G79-1,))*1</f>
        <v>1.4245312000014099E-2</v>
      </c>
      <c r="DF79" cm="1">
        <f t="array" aca="1" ref="DF79" ca="1">IF(ISNA(H79),,OFFSET(INDIRECT("'"&amp;DW$67&amp;"'!f1"),H79-1,))*1</f>
        <v>5.1131656999984898E-2</v>
      </c>
      <c r="DG79" cm="1">
        <f t="array" aca="1" ref="DG79" ca="1">IF(ISNA(I79),,OFFSET(INDIRECT("'"&amp;DX$67&amp;"'!f1"),I79-1,))*1</f>
        <v>5.6987749994732398E-2</v>
      </c>
      <c r="DH79" cm="1">
        <f t="array" aca="1" ref="DH79" ca="1">IF(ISNA(J79),,OFFSET(INDIRECT("'"&amp;DY$67&amp;"'!f1"),J79-1,))*1</f>
        <v>2.6196362916380101E-2</v>
      </c>
      <c r="DI79" cm="1">
        <f t="array" aca="1" ref="DI79" ca="1">IF(ISNA(K79),,OFFSET(INDIRECT("'"&amp;DZ$67&amp;"'!f1"),K79-1,))*1</f>
        <v>0.92428915575146597</v>
      </c>
      <c r="DJ79" cm="1">
        <f t="array" aca="1" ref="DJ79" ca="1">IF(ISNA(L79),,OFFSET(INDIRECT("'"&amp;EA$67&amp;"'!f1"),L79-1,))*1</f>
        <v>1.5145156141370499</v>
      </c>
      <c r="DK79" cm="1">
        <f t="array" aca="1" ref="DK79" ca="1">IF(ISNA(M79),,OFFSET(INDIRECT("'"&amp;EB$67&amp;"'!f1"),M79-1,))*1</f>
        <v>13.804997266270201</v>
      </c>
      <c r="DL79" cm="1">
        <f t="array" aca="1" ref="DL79" ca="1">IF(ISNA(N79),,OFFSET(INDIRECT("'"&amp;EC$67&amp;"'!f1"),N79-1,))*1</f>
        <v>2.8312504291534402E-3</v>
      </c>
      <c r="DM79" cm="1">
        <f t="array" aca="1" ref="DM79" ca="1">IF(ISNA(O79),,OFFSET(INDIRECT("'"&amp;ED$67&amp;"'!f1"),O79-1,))*1</f>
        <v>3.1950389966368602E-3</v>
      </c>
      <c r="DN79" cm="1">
        <f t="array" aca="1" ref="DN79" ca="1">IF(ISNA(P79),,OFFSET(INDIRECT("'"&amp;EE$67&amp;"'!f1"),P79-1,))*1</f>
        <v>4.3059838935732798E-3</v>
      </c>
      <c r="DT79">
        <f t="shared" ca="1" si="60"/>
        <v>1</v>
      </c>
      <c r="DU79">
        <f t="shared" ca="1" si="49"/>
        <v>1</v>
      </c>
      <c r="DV79">
        <f t="shared" ca="1" si="49"/>
        <v>1</v>
      </c>
      <c r="DW79">
        <f t="shared" ca="1" si="49"/>
        <v>1</v>
      </c>
      <c r="DX79">
        <f t="shared" ca="1" si="49"/>
        <v>1</v>
      </c>
      <c r="DY79">
        <f t="shared" ca="1" si="49"/>
        <v>1</v>
      </c>
      <c r="DZ79">
        <f t="shared" ca="1" si="49"/>
        <v>9998</v>
      </c>
      <c r="EA79">
        <f t="shared" ca="1" si="49"/>
        <v>10000</v>
      </c>
      <c r="EB79">
        <f t="shared" ca="1" si="49"/>
        <v>9320</v>
      </c>
      <c r="EC79">
        <f t="shared" ca="1" si="49"/>
        <v>0</v>
      </c>
      <c r="ED79">
        <f t="shared" ca="1" si="49"/>
        <v>1</v>
      </c>
      <c r="EE79">
        <f t="shared" ca="1" si="49"/>
        <v>2</v>
      </c>
      <c r="EK79" cm="1">
        <f t="array" aca="1" ref="EK79" ca="1">IF(ISNA(E79),0,OFFSET(INDIRECT("'"&amp;EK$67&amp;"'!g1"),E79-1,)*CL79)</f>
        <v>1</v>
      </c>
      <c r="EL79" cm="1">
        <f t="array" aca="1" ref="EL79" ca="1">IF(ISNA(F79),0,OFFSET(INDIRECT("'"&amp;EL$67&amp;"'!g1"),F79-1,)*CM79)</f>
        <v>1</v>
      </c>
      <c r="EM79" cm="1">
        <f t="array" aca="1" ref="EM79" ca="1">IF(ISNA(G79),0,OFFSET(INDIRECT("'"&amp;EM$67&amp;"'!g1"),G79-1,)*CN79)</f>
        <v>1</v>
      </c>
      <c r="EN79" cm="1">
        <f t="array" aca="1" ref="EN79" ca="1">IF(ISNA(H79),0,OFFSET(INDIRECT("'"&amp;EN$67&amp;"'!g1"),H79-1,)*CO79)</f>
        <v>1</v>
      </c>
      <c r="EO79" cm="1">
        <f t="array" aca="1" ref="EO79" ca="1">IF(ISNA(I79),0,OFFSET(INDIRECT("'"&amp;EO$67&amp;"'!g1"),I79-1,)*CP79)</f>
        <v>1</v>
      </c>
      <c r="EP79" cm="1">
        <f t="array" aca="1" ref="EP79" ca="1">IF(ISNA(J79),0,OFFSET(INDIRECT("'"&amp;EP$67&amp;"'!g1"),J79-1,)*CQ79)</f>
        <v>1</v>
      </c>
      <c r="EQ79" cm="1">
        <f t="array" aca="1" ref="EQ79" ca="1">IF(ISNA(K79),0,OFFSET(INDIRECT("'"&amp;EQ$67&amp;"'!g1"),K79-1,)*CR79)</f>
        <v>9998</v>
      </c>
      <c r="ER79" cm="1">
        <f t="array" aca="1" ref="ER79" ca="1">IF(ISNA(L79),0,OFFSET(INDIRECT("'"&amp;ER$67&amp;"'!g1"),L79-1,)*CS79)</f>
        <v>10000</v>
      </c>
      <c r="ES79" cm="1">
        <f t="array" aca="1" ref="ES79" ca="1">IF(ISNA(M79),0,OFFSET(INDIRECT("'"&amp;ES$67&amp;"'!g1"),M79-1,)*CT79)</f>
        <v>9320</v>
      </c>
      <c r="ET79" cm="1">
        <f t="array" aca="1" ref="ET79" ca="1">IF(ISNA(N79),0,OFFSET(INDIRECT("'"&amp;ET$67&amp;"'!g1"),N79-1,)*CU79)</f>
        <v>0</v>
      </c>
      <c r="EU79" cm="1">
        <f t="array" aca="1" ref="EU79" ca="1">IF(ISNA(O79),0,OFFSET(INDIRECT("'"&amp;EU$67&amp;"'!g1"),O79-1,)*CV79)</f>
        <v>1</v>
      </c>
      <c r="EV79" cm="1">
        <f t="array" aca="1" ref="EV79" ca="1">IF(ISNA(P79),0,OFFSET(INDIRECT("'"&amp;EV$67&amp;"'!g1"),P79-1,)*CW79)</f>
        <v>2</v>
      </c>
      <c r="FB79" s="10" cm="1">
        <f t="array" aca="1" ref="FB79" ca="1">IF(ISNA(E79),0,OFFSET(INDIRECT("'"&amp;EK$67&amp;"'!h1"),E79-1,))</f>
        <v>1</v>
      </c>
      <c r="FC79" s="10" cm="1">
        <f t="array" aca="1" ref="FC79" ca="1">IF(ISNA(F79),0,OFFSET(INDIRECT("'"&amp;EL$67&amp;"'!h1"),F79-1,))</f>
        <v>1</v>
      </c>
      <c r="FD79" s="10" cm="1">
        <f t="array" aca="1" ref="FD79" ca="1">IF(ISNA(G79),0,OFFSET(INDIRECT("'"&amp;EM$67&amp;"'!h1"),G79-1,))</f>
        <v>1</v>
      </c>
      <c r="FE79" s="10" cm="1">
        <f t="array" aca="1" ref="FE79" ca="1">IF(ISNA(H79),0,OFFSET(INDIRECT("'"&amp;EN$67&amp;"'!h1"),H79-1,))</f>
        <v>1</v>
      </c>
      <c r="FF79" s="10" cm="1">
        <f t="array" aca="1" ref="FF79" ca="1">IF(ISNA(I79),0,OFFSET(INDIRECT("'"&amp;EO$67&amp;"'!h1"),I79-1,))</f>
        <v>1</v>
      </c>
      <c r="FG79" s="10" cm="1">
        <f t="array" aca="1" ref="FG79" ca="1">IF(ISNA(J79),0,OFFSET(INDIRECT("'"&amp;EP$67&amp;"'!h1"),J79-1,))</f>
        <v>1</v>
      </c>
      <c r="FH79" s="10" cm="1">
        <f t="array" aca="1" ref="FH79" ca="1">IF(ISNA(K79),0,OFFSET(INDIRECT("'"&amp;EQ$67&amp;"'!h1"),K79-1,))</f>
        <v>10000</v>
      </c>
      <c r="FI79" s="10" cm="1">
        <f t="array" aca="1" ref="FI79" ca="1">IF(ISNA(L79),0,OFFSET(INDIRECT("'"&amp;ER$67&amp;"'!h1"),L79-1,))</f>
        <v>10000</v>
      </c>
      <c r="FJ79" s="10" cm="1">
        <f t="array" aca="1" ref="FJ79" ca="1">IF(ISNA(M79),0,OFFSET(INDIRECT("'"&amp;ES$67&amp;"'!h1"),M79-1,))</f>
        <v>10000</v>
      </c>
      <c r="FK79" s="10" cm="1">
        <f t="array" aca="1" ref="FK79" ca="1">IF(ISNA(N79),0,OFFSET(INDIRECT("'"&amp;ET$67&amp;"'!h1"),N79-1,))</f>
        <v>1</v>
      </c>
      <c r="FL79" s="10" cm="1">
        <f t="array" aca="1" ref="FL79" ca="1">IF(ISNA(O79),0,OFFSET(INDIRECT("'"&amp;EU$67&amp;"'!h1"),O79-1,))</f>
        <v>1</v>
      </c>
      <c r="FM79" s="10" cm="1">
        <f t="array" aca="1" ref="FM79" ca="1">IF(ISNA(P79),0,OFFSET(INDIRECT("'"&amp;EV$67&amp;"'!h1"),P79-1,))</f>
        <v>3</v>
      </c>
      <c r="FN79" s="10"/>
      <c r="FO79" s="10"/>
      <c r="FP79" s="10"/>
      <c r="FQ79" s="10"/>
      <c r="FS79">
        <f t="shared" ca="1" si="61"/>
        <v>16</v>
      </c>
      <c r="FT79">
        <f t="shared" ca="1" si="62"/>
        <v>0.92428915575146597</v>
      </c>
      <c r="FU79">
        <f t="shared" ca="1" si="63"/>
        <v>9998</v>
      </c>
      <c r="FV79">
        <f t="shared" ca="1" si="64"/>
        <v>10000</v>
      </c>
      <c r="FW79" s="4">
        <f t="shared" ca="1" si="65"/>
        <v>0.99980000000000002</v>
      </c>
      <c r="FX79" s="5">
        <f t="shared" ca="1" si="66"/>
        <v>9.2447405056157822E-5</v>
      </c>
      <c r="FZ79" s="13">
        <f t="shared" ca="1" si="50"/>
        <v>16</v>
      </c>
      <c r="GA79" s="23">
        <f t="shared" ca="1" si="67"/>
        <v>0</v>
      </c>
      <c r="GB79" s="23">
        <f t="shared" ca="1" si="51"/>
        <v>0</v>
      </c>
      <c r="GC79" s="23">
        <f t="shared" ca="1" si="51"/>
        <v>0</v>
      </c>
      <c r="GD79" s="23">
        <f t="shared" ca="1" si="51"/>
        <v>0</v>
      </c>
      <c r="GE79" s="23">
        <f t="shared" ca="1" si="51"/>
        <v>0</v>
      </c>
      <c r="GF79" s="23">
        <f t="shared" ca="1" si="51"/>
        <v>0</v>
      </c>
      <c r="GG79" s="23">
        <f t="shared" ca="1" si="51"/>
        <v>0</v>
      </c>
      <c r="GH79" s="23">
        <f t="shared" ca="1" si="51"/>
        <v>0</v>
      </c>
      <c r="GI79" s="23">
        <f t="shared" ca="1" si="51"/>
        <v>0</v>
      </c>
      <c r="GJ79" s="23" t="e">
        <f t="shared" ca="1" si="51"/>
        <v>#N/A</v>
      </c>
      <c r="GK79" s="23">
        <f t="shared" ca="1" si="51"/>
        <v>0</v>
      </c>
      <c r="GL79" s="23">
        <f t="shared" ca="1" si="51"/>
        <v>0</v>
      </c>
      <c r="GM79" s="23"/>
      <c r="GN79">
        <f t="shared" ca="1" si="68"/>
        <v>16</v>
      </c>
      <c r="GO79" s="5">
        <f t="shared" ca="1" si="69"/>
        <v>3.4091857999982197E-2</v>
      </c>
      <c r="GP79" s="5">
        <f t="shared" ca="1" si="52"/>
        <v>3.6844545999997501E-2</v>
      </c>
      <c r="GQ79" s="5">
        <f t="shared" ca="1" si="52"/>
        <v>1.4245312000014099E-2</v>
      </c>
      <c r="GR79" s="5">
        <f t="shared" ca="1" si="52"/>
        <v>5.1131656999984898E-2</v>
      </c>
      <c r="GS79" s="5">
        <f t="shared" ca="1" si="52"/>
        <v>5.6987749994732398E-2</v>
      </c>
      <c r="GT79" s="5">
        <f t="shared" ca="1" si="70"/>
        <v>2.6196362916380101E-2</v>
      </c>
      <c r="GU79" s="5">
        <f t="shared" ca="1" si="53"/>
        <v>9.2447405056157822E-5</v>
      </c>
      <c r="GV79" s="5">
        <f t="shared" ca="1" si="53"/>
        <v>1.51451561413705E-4</v>
      </c>
      <c r="GW79" s="5">
        <f t="shared" ca="1" si="53"/>
        <v>1.4812228826470172E-3</v>
      </c>
      <c r="GX79" s="5" t="e">
        <f t="shared" ca="1" si="53"/>
        <v>#N/A</v>
      </c>
      <c r="GY79" s="5">
        <f t="shared" ca="1" si="53"/>
        <v>3.1950389966368602E-3</v>
      </c>
      <c r="GZ79" s="5">
        <f t="shared" ca="1" si="53"/>
        <v>2.1529919467866399E-3</v>
      </c>
      <c r="HB79" s="13">
        <f t="shared" ca="1" si="54"/>
        <v>16</v>
      </c>
      <c r="HC79" s="4">
        <f t="shared" ca="1" si="71"/>
        <v>1</v>
      </c>
      <c r="HD79" s="4">
        <f t="shared" ca="1" si="55"/>
        <v>1</v>
      </c>
      <c r="HE79" s="4">
        <f t="shared" ca="1" si="55"/>
        <v>1</v>
      </c>
      <c r="HF79" s="4">
        <f t="shared" ca="1" si="55"/>
        <v>1</v>
      </c>
      <c r="HG79" s="4">
        <f t="shared" ca="1" si="55"/>
        <v>1</v>
      </c>
      <c r="HH79" s="4">
        <f t="shared" ca="1" si="55"/>
        <v>1</v>
      </c>
      <c r="HI79" s="4">
        <f t="shared" ca="1" si="55"/>
        <v>0.99980000000000002</v>
      </c>
      <c r="HJ79" s="4">
        <f t="shared" ca="1" si="55"/>
        <v>1</v>
      </c>
      <c r="HK79" s="4">
        <f t="shared" ca="1" si="55"/>
        <v>0.93200000000000005</v>
      </c>
      <c r="HL79" s="4">
        <f t="shared" ca="1" si="55"/>
        <v>0</v>
      </c>
      <c r="HM79" s="4">
        <f t="shared" ca="1" si="55"/>
        <v>1</v>
      </c>
      <c r="HN79" s="4">
        <f t="shared" ca="1" si="55"/>
        <v>0.66666666666666663</v>
      </c>
    </row>
    <row r="80" spans="1:222" x14ac:dyDescent="0.2">
      <c r="A80" t="str" cm="1">
        <f t="array" aca="1" ref="A80" ca="1">INDIRECT($A$67&amp;"!A"&amp;ROW(C13)+$B$64)</f>
        <v>[[20,5,9]]</v>
      </c>
      <c r="B80" cm="1">
        <f t="array" aca="1" ref="B80" ca="1">INDIRECT($A$67&amp;"!b"&amp;ROW(D13)+$B$64)</f>
        <v>20</v>
      </c>
      <c r="C80">
        <f t="shared" ca="1" si="56"/>
        <v>9</v>
      </c>
      <c r="E80">
        <f t="shared" ca="1" si="43"/>
        <v>37</v>
      </c>
      <c r="F80">
        <f t="shared" ca="1" si="43"/>
        <v>38</v>
      </c>
      <c r="G80">
        <f t="shared" ca="1" si="43"/>
        <v>37</v>
      </c>
      <c r="H80">
        <f t="shared" ca="1" si="43"/>
        <v>37</v>
      </c>
      <c r="I80">
        <f t="shared" ca="1" si="43"/>
        <v>40</v>
      </c>
      <c r="J80">
        <f t="shared" ca="1" si="43"/>
        <v>37</v>
      </c>
      <c r="K80">
        <f t="shared" ca="1" si="43"/>
        <v>44</v>
      </c>
      <c r="L80">
        <f t="shared" ca="1" si="43"/>
        <v>46</v>
      </c>
      <c r="M80">
        <f t="shared" ca="1" si="43"/>
        <v>43</v>
      </c>
      <c r="N80">
        <f t="shared" ca="1" si="43"/>
        <v>41</v>
      </c>
      <c r="O80">
        <f t="shared" ca="1" si="43"/>
        <v>41</v>
      </c>
      <c r="P80">
        <f t="shared" ca="1" si="43"/>
        <v>41</v>
      </c>
      <c r="V80" cm="1">
        <f t="array" aca="1" ref="V80" ca="1">IF(ISNA(E80),,OFFSET(INDIRECT("'"&amp;V$67&amp;"'!d1"),E80-1,))</f>
        <v>9</v>
      </c>
      <c r="W80" cm="1">
        <f t="array" aca="1" ref="W80" ca="1">IF(ISNA(F80),,OFFSET(INDIRECT("'"&amp;W$67&amp;"'!d1"),F80-1,))</f>
        <v>9</v>
      </c>
      <c r="X80" cm="1">
        <f t="array" aca="1" ref="X80" ca="1">IF(ISNA(G80),,OFFSET(INDIRECT("'"&amp;X$67&amp;"'!d1"),G80-1,))</f>
        <v>9</v>
      </c>
      <c r="Y80" cm="1">
        <f t="array" aca="1" ref="Y80" ca="1">IF(ISNA(H80),,OFFSET(INDIRECT("'"&amp;Y$67&amp;"'!d1"),H80-1,))</f>
        <v>9</v>
      </c>
      <c r="Z80" cm="1">
        <f t="array" aca="1" ref="Z80" ca="1">IF(ISNA(I80),,OFFSET(INDIRECT("'"&amp;Z$67&amp;"'!d1"),I80-1,))</f>
        <v>9</v>
      </c>
      <c r="AA80" cm="1">
        <f t="array" aca="1" ref="AA80" ca="1">IF(ISNA(J80),,OFFSET(INDIRECT("'"&amp;AA$67&amp;"'!d1"),J80-1,))</f>
        <v>9</v>
      </c>
      <c r="AB80" cm="1">
        <f t="array" aca="1" ref="AB80" ca="1">IF(ISNA(K80),,OFFSET(INDIRECT("'"&amp;AB$67&amp;"'!d1"),K80-1,))</f>
        <v>9</v>
      </c>
      <c r="AC80" cm="1">
        <f t="array" aca="1" ref="AC80" ca="1">IF(ISNA(L80),,OFFSET(INDIRECT("'"&amp;AC$67&amp;"'!d1"),L80-1,))</f>
        <v>9</v>
      </c>
      <c r="AD80" cm="1">
        <f t="array" aca="1" ref="AD80" ca="1">IF(ISNA(M80),,OFFSET(INDIRECT("'"&amp;AD$67&amp;"'!d1"),M80-1,))</f>
        <v>9</v>
      </c>
      <c r="AE80" cm="1">
        <f t="array" aca="1" ref="AE80" ca="1">IF(ISNA(N80),,OFFSET(INDIRECT("'"&amp;AE$67&amp;"'!d1"),N80-1,))</f>
        <v>0</v>
      </c>
      <c r="AF80" cm="1">
        <f t="array" aca="1" ref="AF80" ca="1">IF(ISNA(O80),,OFFSET(INDIRECT("'"&amp;AF$67&amp;"'!d1"),O80-1,))</f>
        <v>0</v>
      </c>
      <c r="AG80" cm="1">
        <f t="array" aca="1" ref="AG80" ca="1">IF(ISNA(P80),,OFFSET(INDIRECT("'"&amp;AG$67&amp;"'!d1"),P80-1,))</f>
        <v>9</v>
      </c>
      <c r="AM80">
        <f t="shared" ca="1" si="57"/>
        <v>1</v>
      </c>
      <c r="AN80">
        <f t="shared" ca="1" si="44"/>
        <v>1</v>
      </c>
      <c r="AO80">
        <f t="shared" ca="1" si="44"/>
        <v>1</v>
      </c>
      <c r="AP80">
        <f t="shared" ca="1" si="44"/>
        <v>1</v>
      </c>
      <c r="AQ80">
        <f t="shared" ca="1" si="58"/>
        <v>1</v>
      </c>
      <c r="AV80" t="b">
        <f t="shared" ca="1" si="59"/>
        <v>1</v>
      </c>
      <c r="AW80" t="b">
        <f t="shared" ca="1" si="45"/>
        <v>1</v>
      </c>
      <c r="AX80" t="b">
        <f t="shared" ca="1" si="45"/>
        <v>1</v>
      </c>
      <c r="AY80" t="b">
        <f t="shared" ca="1" si="45"/>
        <v>1</v>
      </c>
      <c r="AZ80" t="b">
        <f t="shared" ca="1" si="45"/>
        <v>1</v>
      </c>
      <c r="BD80">
        <f t="shared" ca="1" si="46"/>
        <v>1</v>
      </c>
      <c r="BE80">
        <f t="shared" ca="1" si="46"/>
        <v>1</v>
      </c>
      <c r="BF80">
        <f t="shared" ca="1" si="46"/>
        <v>1</v>
      </c>
      <c r="BG80">
        <f t="shared" ca="1" si="46"/>
        <v>1</v>
      </c>
      <c r="BH80">
        <f t="shared" ca="1" si="46"/>
        <v>1</v>
      </c>
      <c r="BI80">
        <f t="shared" ca="1" si="46"/>
        <v>1</v>
      </c>
      <c r="BJ80">
        <f t="shared" ca="1" si="46"/>
        <v>1</v>
      </c>
      <c r="BK80">
        <f t="shared" ca="1" si="46"/>
        <v>1</v>
      </c>
      <c r="BL80">
        <f t="shared" ca="1" si="46"/>
        <v>1</v>
      </c>
      <c r="BM80">
        <f t="shared" ca="1" si="46"/>
        <v>0</v>
      </c>
      <c r="BN80">
        <f t="shared" ca="1" si="46"/>
        <v>0</v>
      </c>
      <c r="BO80">
        <f t="shared" ca="1" si="46"/>
        <v>1</v>
      </c>
      <c r="BU80">
        <f t="shared" ca="1" si="47"/>
        <v>9</v>
      </c>
      <c r="BV80">
        <f t="shared" ca="1" si="47"/>
        <v>9</v>
      </c>
      <c r="BW80">
        <f t="shared" ca="1" si="47"/>
        <v>9</v>
      </c>
      <c r="BX80">
        <f t="shared" ca="1" si="47"/>
        <v>9</v>
      </c>
      <c r="BY80">
        <f t="shared" ca="1" si="47"/>
        <v>9</v>
      </c>
      <c r="BZ80">
        <f t="shared" ca="1" si="47"/>
        <v>9</v>
      </c>
      <c r="CA80">
        <f t="shared" ca="1" si="47"/>
        <v>9</v>
      </c>
      <c r="CB80">
        <f t="shared" ca="1" si="47"/>
        <v>9</v>
      </c>
      <c r="CC80">
        <f t="shared" ca="1" si="47"/>
        <v>9</v>
      </c>
      <c r="CD80">
        <f t="shared" ca="1" si="47"/>
        <v>20</v>
      </c>
      <c r="CE80">
        <f t="shared" ca="1" si="47"/>
        <v>20</v>
      </c>
      <c r="CF80">
        <f t="shared" ca="1" si="47"/>
        <v>9</v>
      </c>
      <c r="CL80">
        <f t="shared" ca="1" si="48"/>
        <v>1</v>
      </c>
      <c r="CM80">
        <f t="shared" ca="1" si="48"/>
        <v>1</v>
      </c>
      <c r="CN80">
        <f t="shared" ca="1" si="48"/>
        <v>1</v>
      </c>
      <c r="CO80">
        <f t="shared" ca="1" si="48"/>
        <v>1</v>
      </c>
      <c r="CP80">
        <f t="shared" ca="1" si="48"/>
        <v>1</v>
      </c>
      <c r="CQ80">
        <f t="shared" ca="1" si="48"/>
        <v>1</v>
      </c>
      <c r="CR80">
        <f t="shared" ca="1" si="48"/>
        <v>1</v>
      </c>
      <c r="CS80">
        <f t="shared" ca="1" si="48"/>
        <v>1</v>
      </c>
      <c r="CT80">
        <f t="shared" ca="1" si="48"/>
        <v>1</v>
      </c>
      <c r="CU80">
        <f t="shared" ca="1" si="48"/>
        <v>0</v>
      </c>
      <c r="CV80">
        <f t="shared" ca="1" si="48"/>
        <v>0</v>
      </c>
      <c r="CW80">
        <f t="shared" ca="1" si="48"/>
        <v>1</v>
      </c>
      <c r="DC80" cm="1">
        <f t="array" aca="1" ref="DC80" ca="1">IF(ISNA(E80),,OFFSET(INDIRECT("'"&amp;DT$67&amp;"'!f1"),E80-1,))*1</f>
        <v>3.33837750000043E-2</v>
      </c>
      <c r="DD80" cm="1">
        <f t="array" aca="1" ref="DD80" ca="1">IF(ISNA(F80),,OFFSET(INDIRECT("'"&amp;DU$67&amp;"'!f1"),F80-1,))*1</f>
        <v>0.102639059000011</v>
      </c>
      <c r="DE80" cm="1">
        <f t="array" aca="1" ref="DE80" ca="1">IF(ISNA(G80),,OFFSET(INDIRECT("'"&amp;DV$67&amp;"'!f1"),G80-1,))*1</f>
        <v>1.49039049999828E-2</v>
      </c>
      <c r="DF80" cm="1">
        <f t="array" aca="1" ref="DF80" ca="1">IF(ISNA(H80),,OFFSET(INDIRECT("'"&amp;DW$67&amp;"'!f1"),H80-1,))*1</f>
        <v>5.2822775999999197E-2</v>
      </c>
      <c r="DG80" cm="1">
        <f t="array" aca="1" ref="DG80" ca="1">IF(ISNA(I80),,OFFSET(INDIRECT("'"&amp;DX$67&amp;"'!f1"),I80-1,))*1</f>
        <v>5.8010291999380501E-2</v>
      </c>
      <c r="DH80" cm="1">
        <f t="array" aca="1" ref="DH80" ca="1">IF(ISNA(J80),,OFFSET(INDIRECT("'"&amp;DY$67&amp;"'!f1"),J80-1,))*1</f>
        <v>3.9107468910515301E-2</v>
      </c>
      <c r="DI80" cm="1">
        <f t="array" aca="1" ref="DI80" ca="1">IF(ISNA(K80),,OFFSET(INDIRECT("'"&amp;DZ$67&amp;"'!f1"),K80-1,))*1</f>
        <v>0.97183930967003096</v>
      </c>
      <c r="DJ80" cm="1">
        <f t="array" aca="1" ref="DJ80" ca="1">IF(ISNA(L80),,OFFSET(INDIRECT("'"&amp;EA$67&amp;"'!f1"),L80-1,))*1</f>
        <v>1.5796494046226099</v>
      </c>
      <c r="DK80" cm="1">
        <f t="array" aca="1" ref="DK80" ca="1">IF(ISNA(M80),,OFFSET(INDIRECT("'"&amp;EB$67&amp;"'!f1"),M80-1,))*1</f>
        <v>14.618239207658901</v>
      </c>
      <c r="DL80" cm="1">
        <f t="array" aca="1" ref="DL80" ca="1">IF(ISNA(N80),,OFFSET(INDIRECT("'"&amp;EC$67&amp;"'!f1"),N80-1,))*1</f>
        <v>3.2060872763395301E-3</v>
      </c>
      <c r="DM80" cm="1">
        <f t="array" aca="1" ref="DM80" ca="1">IF(ISNA(O80),,OFFSET(INDIRECT("'"&amp;ED$67&amp;"'!f1"),O80-1,))*1</f>
        <v>3.0028354376554398E-3</v>
      </c>
      <c r="DN80" cm="1">
        <f t="array" aca="1" ref="DN80" ca="1">IF(ISNA(P80),,OFFSET(INDIRECT("'"&amp;EE$67&amp;"'!f1"),P80-1,))*1</f>
        <v>9.2577263712882996E-3</v>
      </c>
      <c r="DT80">
        <f t="shared" ca="1" si="60"/>
        <v>1</v>
      </c>
      <c r="DU80">
        <f t="shared" ca="1" si="49"/>
        <v>1</v>
      </c>
      <c r="DV80">
        <f t="shared" ca="1" si="49"/>
        <v>1</v>
      </c>
      <c r="DW80">
        <f t="shared" ca="1" si="49"/>
        <v>1</v>
      </c>
      <c r="DX80">
        <f t="shared" ca="1" si="49"/>
        <v>1</v>
      </c>
      <c r="DY80">
        <f t="shared" ca="1" si="49"/>
        <v>1</v>
      </c>
      <c r="DZ80">
        <f t="shared" ca="1" si="49"/>
        <v>9567</v>
      </c>
      <c r="EA80">
        <f t="shared" ca="1" si="49"/>
        <v>9991</v>
      </c>
      <c r="EB80">
        <f t="shared" ca="1" si="49"/>
        <v>8983</v>
      </c>
      <c r="EC80">
        <f t="shared" ca="1" si="49"/>
        <v>0</v>
      </c>
      <c r="ED80">
        <f t="shared" ca="1" si="49"/>
        <v>0</v>
      </c>
      <c r="EE80">
        <f t="shared" ca="1" si="49"/>
        <v>2</v>
      </c>
      <c r="EK80" cm="1">
        <f t="array" aca="1" ref="EK80" ca="1">IF(ISNA(E80),0,OFFSET(INDIRECT("'"&amp;EK$67&amp;"'!g1"),E80-1,)*CL80)</f>
        <v>1</v>
      </c>
      <c r="EL80" cm="1">
        <f t="array" aca="1" ref="EL80" ca="1">IF(ISNA(F80),0,OFFSET(INDIRECT("'"&amp;EL$67&amp;"'!g1"),F80-1,)*CM80)</f>
        <v>1</v>
      </c>
      <c r="EM80" cm="1">
        <f t="array" aca="1" ref="EM80" ca="1">IF(ISNA(G80),0,OFFSET(INDIRECT("'"&amp;EM$67&amp;"'!g1"),G80-1,)*CN80)</f>
        <v>1</v>
      </c>
      <c r="EN80" cm="1">
        <f t="array" aca="1" ref="EN80" ca="1">IF(ISNA(H80),0,OFFSET(INDIRECT("'"&amp;EN$67&amp;"'!g1"),H80-1,)*CO80)</f>
        <v>1</v>
      </c>
      <c r="EO80" cm="1">
        <f t="array" aca="1" ref="EO80" ca="1">IF(ISNA(I80),0,OFFSET(INDIRECT("'"&amp;EO$67&amp;"'!g1"),I80-1,)*CP80)</f>
        <v>1</v>
      </c>
      <c r="EP80" cm="1">
        <f t="array" aca="1" ref="EP80" ca="1">IF(ISNA(J80),0,OFFSET(INDIRECT("'"&amp;EP$67&amp;"'!g1"),J80-1,)*CQ80)</f>
        <v>1</v>
      </c>
      <c r="EQ80" cm="1">
        <f t="array" aca="1" ref="EQ80" ca="1">IF(ISNA(K80),0,OFFSET(INDIRECT("'"&amp;EQ$67&amp;"'!g1"),K80-1,)*CR80)</f>
        <v>9567</v>
      </c>
      <c r="ER80" cm="1">
        <f t="array" aca="1" ref="ER80" ca="1">IF(ISNA(L80),0,OFFSET(INDIRECT("'"&amp;ER$67&amp;"'!g1"),L80-1,)*CS80)</f>
        <v>9991</v>
      </c>
      <c r="ES80" cm="1">
        <f t="array" aca="1" ref="ES80" ca="1">IF(ISNA(M80),0,OFFSET(INDIRECT("'"&amp;ES$67&amp;"'!g1"),M80-1,)*CT80)</f>
        <v>8983</v>
      </c>
      <c r="ET80" cm="1">
        <f t="array" aca="1" ref="ET80" ca="1">IF(ISNA(N80),0,OFFSET(INDIRECT("'"&amp;ET$67&amp;"'!g1"),N80-1,)*CU80)</f>
        <v>0</v>
      </c>
      <c r="EU80" cm="1">
        <f t="array" aca="1" ref="EU80" ca="1">IF(ISNA(O80),0,OFFSET(INDIRECT("'"&amp;EU$67&amp;"'!g1"),O80-1,)*CV80)</f>
        <v>0</v>
      </c>
      <c r="EV80" cm="1">
        <f t="array" aca="1" ref="EV80" ca="1">IF(ISNA(P80),0,OFFSET(INDIRECT("'"&amp;EV$67&amp;"'!g1"),P80-1,)*CW80)</f>
        <v>2</v>
      </c>
      <c r="FB80" s="10" cm="1">
        <f t="array" aca="1" ref="FB80" ca="1">IF(ISNA(E80),0,OFFSET(INDIRECT("'"&amp;EK$67&amp;"'!h1"),E80-1,))</f>
        <v>1</v>
      </c>
      <c r="FC80" s="10" cm="1">
        <f t="array" aca="1" ref="FC80" ca="1">IF(ISNA(F80),0,OFFSET(INDIRECT("'"&amp;EL$67&amp;"'!h1"),F80-1,))</f>
        <v>1</v>
      </c>
      <c r="FD80" s="10" cm="1">
        <f t="array" aca="1" ref="FD80" ca="1">IF(ISNA(G80),0,OFFSET(INDIRECT("'"&amp;EM$67&amp;"'!h1"),G80-1,))</f>
        <v>1</v>
      </c>
      <c r="FE80" s="10" cm="1">
        <f t="array" aca="1" ref="FE80" ca="1">IF(ISNA(H80),0,OFFSET(INDIRECT("'"&amp;EN$67&amp;"'!h1"),H80-1,))</f>
        <v>1</v>
      </c>
      <c r="FF80" s="10" cm="1">
        <f t="array" aca="1" ref="FF80" ca="1">IF(ISNA(I80),0,OFFSET(INDIRECT("'"&amp;EO$67&amp;"'!h1"),I80-1,))</f>
        <v>1</v>
      </c>
      <c r="FG80" s="10" cm="1">
        <f t="array" aca="1" ref="FG80" ca="1">IF(ISNA(J80),0,OFFSET(INDIRECT("'"&amp;EP$67&amp;"'!h1"),J80-1,))</f>
        <v>1</v>
      </c>
      <c r="FH80" s="10" cm="1">
        <f t="array" aca="1" ref="FH80" ca="1">IF(ISNA(K80),0,OFFSET(INDIRECT("'"&amp;EQ$67&amp;"'!h1"),K80-1,))</f>
        <v>10000</v>
      </c>
      <c r="FI80" s="10" cm="1">
        <f t="array" aca="1" ref="FI80" ca="1">IF(ISNA(L80),0,OFFSET(INDIRECT("'"&amp;ER$67&amp;"'!h1"),L80-1,))</f>
        <v>10000</v>
      </c>
      <c r="FJ80" s="10" cm="1">
        <f t="array" aca="1" ref="FJ80" ca="1">IF(ISNA(M80),0,OFFSET(INDIRECT("'"&amp;ES$67&amp;"'!h1"),M80-1,))</f>
        <v>10000</v>
      </c>
      <c r="FK80" s="10" cm="1">
        <f t="array" aca="1" ref="FK80" ca="1">IF(ISNA(N80),0,OFFSET(INDIRECT("'"&amp;ET$67&amp;"'!h1"),N80-1,))</f>
        <v>1</v>
      </c>
      <c r="FL80" s="10" cm="1">
        <f t="array" aca="1" ref="FL80" ca="1">IF(ISNA(O80),0,OFFSET(INDIRECT("'"&amp;EU$67&amp;"'!h1"),O80-1,))</f>
        <v>1</v>
      </c>
      <c r="FM80" s="10" cm="1">
        <f t="array" aca="1" ref="FM80" ca="1">IF(ISNA(P80),0,OFFSET(INDIRECT("'"&amp;EV$67&amp;"'!h1"),P80-1,))</f>
        <v>7</v>
      </c>
      <c r="FN80" s="10"/>
      <c r="FO80" s="10"/>
      <c r="FP80" s="10"/>
      <c r="FQ80" s="10"/>
      <c r="FS80">
        <f t="shared" ca="1" si="61"/>
        <v>20</v>
      </c>
      <c r="FT80">
        <f t="shared" ca="1" si="62"/>
        <v>0.97183930967003096</v>
      </c>
      <c r="FU80">
        <f t="shared" ca="1" si="63"/>
        <v>9567</v>
      </c>
      <c r="FV80">
        <f t="shared" ca="1" si="64"/>
        <v>10000</v>
      </c>
      <c r="FW80" s="4">
        <f t="shared" ca="1" si="65"/>
        <v>0.95669999999999999</v>
      </c>
      <c r="FX80" s="5">
        <f t="shared" ca="1" si="66"/>
        <v>1.0158245109961649E-4</v>
      </c>
      <c r="FZ80" s="13">
        <f t="shared" ca="1" si="50"/>
        <v>20</v>
      </c>
      <c r="GA80" s="23">
        <f t="shared" ca="1" si="67"/>
        <v>0</v>
      </c>
      <c r="GB80" s="23">
        <f t="shared" ca="1" si="51"/>
        <v>0</v>
      </c>
      <c r="GC80" s="23">
        <f t="shared" ca="1" si="51"/>
        <v>0</v>
      </c>
      <c r="GD80" s="23">
        <f t="shared" ca="1" si="51"/>
        <v>0</v>
      </c>
      <c r="GE80" s="23">
        <f t="shared" ca="1" si="51"/>
        <v>0</v>
      </c>
      <c r="GF80" s="23">
        <f t="shared" ca="1" si="51"/>
        <v>0</v>
      </c>
      <c r="GG80" s="23">
        <f t="shared" ca="1" si="51"/>
        <v>0</v>
      </c>
      <c r="GH80" s="23">
        <f t="shared" ca="1" si="51"/>
        <v>0</v>
      </c>
      <c r="GI80" s="23">
        <f t="shared" ca="1" si="51"/>
        <v>0</v>
      </c>
      <c r="GJ80" s="23" t="e">
        <f t="shared" ca="1" si="51"/>
        <v>#N/A</v>
      </c>
      <c r="GK80" s="23" t="e">
        <f t="shared" ca="1" si="51"/>
        <v>#N/A</v>
      </c>
      <c r="GL80" s="23">
        <f t="shared" ca="1" si="51"/>
        <v>0</v>
      </c>
      <c r="GM80" s="23"/>
      <c r="GN80">
        <f t="shared" ca="1" si="68"/>
        <v>20</v>
      </c>
      <c r="GO80" s="5">
        <f t="shared" ca="1" si="69"/>
        <v>3.33837750000043E-2</v>
      </c>
      <c r="GP80" s="5">
        <f t="shared" ca="1" si="52"/>
        <v>0.102639059000011</v>
      </c>
      <c r="GQ80" s="5">
        <f t="shared" ca="1" si="52"/>
        <v>1.49039049999828E-2</v>
      </c>
      <c r="GR80" s="5">
        <f t="shared" ca="1" si="52"/>
        <v>5.2822775999999197E-2</v>
      </c>
      <c r="GS80" s="5">
        <f t="shared" ca="1" si="52"/>
        <v>5.8010291999380501E-2</v>
      </c>
      <c r="GT80" s="5">
        <f t="shared" ca="1" si="70"/>
        <v>3.9107468910515301E-2</v>
      </c>
      <c r="GU80" s="5">
        <f t="shared" ca="1" si="53"/>
        <v>1.0158245109961649E-4</v>
      </c>
      <c r="GV80" s="5">
        <f t="shared" ca="1" si="53"/>
        <v>1.5810723697553899E-4</v>
      </c>
      <c r="GW80" s="5">
        <f t="shared" ca="1" si="53"/>
        <v>1.6273226324901369E-3</v>
      </c>
      <c r="GX80" s="5" t="e">
        <f t="shared" ca="1" si="53"/>
        <v>#N/A</v>
      </c>
      <c r="GY80" s="5" t="e">
        <f t="shared" ca="1" si="53"/>
        <v>#N/A</v>
      </c>
      <c r="GZ80" s="5">
        <f t="shared" ca="1" si="53"/>
        <v>4.6288631856441498E-3</v>
      </c>
      <c r="HB80" s="13">
        <f t="shared" ca="1" si="54"/>
        <v>20</v>
      </c>
      <c r="HC80" s="4">
        <f t="shared" ca="1" si="71"/>
        <v>1</v>
      </c>
      <c r="HD80" s="4">
        <f t="shared" ca="1" si="55"/>
        <v>1</v>
      </c>
      <c r="HE80" s="4">
        <f t="shared" ca="1" si="55"/>
        <v>1</v>
      </c>
      <c r="HF80" s="4">
        <f t="shared" ca="1" si="55"/>
        <v>1</v>
      </c>
      <c r="HG80" s="4">
        <f t="shared" ca="1" si="55"/>
        <v>1</v>
      </c>
      <c r="HH80" s="4">
        <f t="shared" ca="1" si="55"/>
        <v>1</v>
      </c>
      <c r="HI80" s="4">
        <f t="shared" ca="1" si="55"/>
        <v>0.95669999999999999</v>
      </c>
      <c r="HJ80" s="4">
        <f t="shared" ca="1" si="55"/>
        <v>0.99909999999999999</v>
      </c>
      <c r="HK80" s="4">
        <f t="shared" ca="1" si="55"/>
        <v>0.89829999999999999</v>
      </c>
      <c r="HL80" s="4">
        <f t="shared" ca="1" si="55"/>
        <v>0</v>
      </c>
      <c r="HM80" s="4">
        <f t="shared" ca="1" si="55"/>
        <v>0</v>
      </c>
      <c r="HN80" s="4">
        <f t="shared" ca="1" si="55"/>
        <v>0.2857142857142857</v>
      </c>
    </row>
    <row r="81" spans="1:222" x14ac:dyDescent="0.2">
      <c r="A81" t="str" cm="1">
        <f t="array" aca="1" ref="A81" ca="1">INDIRECT($A$67&amp;"!A"&amp;ROW(C14)+$B$64)</f>
        <v>[[21,5,10]]</v>
      </c>
      <c r="B81" cm="1">
        <f t="array" aca="1" ref="B81" ca="1">INDIRECT($A$67&amp;"!b"&amp;ROW(D14)+$B$64)</f>
        <v>21</v>
      </c>
      <c r="C81">
        <f t="shared" ca="1" si="56"/>
        <v>10</v>
      </c>
      <c r="E81">
        <f t="shared" ca="1" si="43"/>
        <v>38</v>
      </c>
      <c r="F81">
        <f t="shared" ca="1" si="43"/>
        <v>39</v>
      </c>
      <c r="G81">
        <f t="shared" ca="1" si="43"/>
        <v>38</v>
      </c>
      <c r="H81">
        <f t="shared" ca="1" si="43"/>
        <v>38</v>
      </c>
      <c r="I81">
        <f t="shared" ca="1" si="43"/>
        <v>41</v>
      </c>
      <c r="J81">
        <f t="shared" ca="1" si="43"/>
        <v>38</v>
      </c>
      <c r="K81">
        <f t="shared" ca="1" si="43"/>
        <v>45</v>
      </c>
      <c r="L81">
        <f t="shared" ca="1" si="43"/>
        <v>47</v>
      </c>
      <c r="M81">
        <f t="shared" ca="1" si="43"/>
        <v>44</v>
      </c>
      <c r="N81">
        <f t="shared" ca="1" si="43"/>
        <v>42</v>
      </c>
      <c r="O81">
        <f t="shared" ca="1" si="43"/>
        <v>42</v>
      </c>
      <c r="P81">
        <f t="shared" ca="1" si="43"/>
        <v>42</v>
      </c>
      <c r="V81" cm="1">
        <f t="array" aca="1" ref="V81" ca="1">IF(ISNA(E81),,OFFSET(INDIRECT("'"&amp;V$67&amp;"'!d1"),E81-1,))</f>
        <v>10</v>
      </c>
      <c r="W81" cm="1">
        <f t="array" aca="1" ref="W81" ca="1">IF(ISNA(F81),,OFFSET(INDIRECT("'"&amp;W$67&amp;"'!d1"),F81-1,))</f>
        <v>10</v>
      </c>
      <c r="X81" cm="1">
        <f t="array" aca="1" ref="X81" ca="1">IF(ISNA(G81),,OFFSET(INDIRECT("'"&amp;X$67&amp;"'!d1"),G81-1,))</f>
        <v>10</v>
      </c>
      <c r="Y81" cm="1">
        <f t="array" aca="1" ref="Y81" ca="1">IF(ISNA(H81),,OFFSET(INDIRECT("'"&amp;Y$67&amp;"'!d1"),H81-1,))</f>
        <v>10</v>
      </c>
      <c r="Z81" cm="1">
        <f t="array" aca="1" ref="Z81" ca="1">IF(ISNA(I81),,OFFSET(INDIRECT("'"&amp;Z$67&amp;"'!d1"),I81-1,))</f>
        <v>10</v>
      </c>
      <c r="AA81" cm="1">
        <f t="array" aca="1" ref="AA81" ca="1">IF(ISNA(J81),,OFFSET(INDIRECT("'"&amp;AA$67&amp;"'!d1"),J81-1,))</f>
        <v>10</v>
      </c>
      <c r="AB81" cm="1">
        <f t="array" aca="1" ref="AB81" ca="1">IF(ISNA(K81),,OFFSET(INDIRECT("'"&amp;AB$67&amp;"'!d1"),K81-1,))</f>
        <v>10</v>
      </c>
      <c r="AC81" cm="1">
        <f t="array" aca="1" ref="AC81" ca="1">IF(ISNA(L81),,OFFSET(INDIRECT("'"&amp;AC$67&amp;"'!d1"),L81-1,))</f>
        <v>10</v>
      </c>
      <c r="AD81" cm="1">
        <f t="array" aca="1" ref="AD81" ca="1">IF(ISNA(M81),,OFFSET(INDIRECT("'"&amp;AD$67&amp;"'!d1"),M81-1,))</f>
        <v>10</v>
      </c>
      <c r="AE81" cm="1">
        <f t="array" aca="1" ref="AE81" ca="1">IF(ISNA(N81),,OFFSET(INDIRECT("'"&amp;AE$67&amp;"'!d1"),N81-1,))</f>
        <v>0</v>
      </c>
      <c r="AF81" cm="1">
        <f t="array" aca="1" ref="AF81" ca="1">IF(ISNA(O81),,OFFSET(INDIRECT("'"&amp;AF$67&amp;"'!d1"),O81-1,))</f>
        <v>0</v>
      </c>
      <c r="AG81" cm="1">
        <f t="array" aca="1" ref="AG81" ca="1">IF(ISNA(P81),,OFFSET(INDIRECT("'"&amp;AG$67&amp;"'!d1"),P81-1,))</f>
        <v>10</v>
      </c>
      <c r="AM81">
        <f t="shared" ca="1" si="57"/>
        <v>1</v>
      </c>
      <c r="AN81">
        <f t="shared" ca="1" si="44"/>
        <v>1</v>
      </c>
      <c r="AO81">
        <f t="shared" ca="1" si="44"/>
        <v>1</v>
      </c>
      <c r="AP81">
        <f t="shared" ca="1" si="44"/>
        <v>1</v>
      </c>
      <c r="AQ81">
        <f t="shared" ca="1" si="58"/>
        <v>1</v>
      </c>
      <c r="AV81" t="b">
        <f t="shared" ca="1" si="59"/>
        <v>1</v>
      </c>
      <c r="AW81" t="b">
        <f t="shared" ca="1" si="45"/>
        <v>1</v>
      </c>
      <c r="AX81" t="b">
        <f t="shared" ca="1" si="45"/>
        <v>1</v>
      </c>
      <c r="AY81" t="b">
        <f t="shared" ca="1" si="45"/>
        <v>1</v>
      </c>
      <c r="AZ81" t="b">
        <f t="shared" ca="1" si="45"/>
        <v>1</v>
      </c>
      <c r="BD81">
        <f t="shared" ca="1" si="46"/>
        <v>1</v>
      </c>
      <c r="BE81">
        <f t="shared" ca="1" si="46"/>
        <v>1</v>
      </c>
      <c r="BF81">
        <f t="shared" ca="1" si="46"/>
        <v>1</v>
      </c>
      <c r="BG81">
        <f t="shared" ca="1" si="46"/>
        <v>1</v>
      </c>
      <c r="BH81">
        <f t="shared" ca="1" si="46"/>
        <v>1</v>
      </c>
      <c r="BI81">
        <f t="shared" ca="1" si="46"/>
        <v>1</v>
      </c>
      <c r="BJ81">
        <f t="shared" ca="1" si="46"/>
        <v>1</v>
      </c>
      <c r="BK81">
        <f t="shared" ca="1" si="46"/>
        <v>1</v>
      </c>
      <c r="BL81">
        <f t="shared" ca="1" si="46"/>
        <v>1</v>
      </c>
      <c r="BM81">
        <f t="shared" ca="1" si="46"/>
        <v>0</v>
      </c>
      <c r="BN81">
        <f t="shared" ca="1" si="46"/>
        <v>0</v>
      </c>
      <c r="BO81">
        <f t="shared" ca="1" si="46"/>
        <v>1</v>
      </c>
      <c r="BU81">
        <f t="shared" ca="1" si="47"/>
        <v>10</v>
      </c>
      <c r="BV81">
        <f t="shared" ca="1" si="47"/>
        <v>10</v>
      </c>
      <c r="BW81">
        <f t="shared" ca="1" si="47"/>
        <v>10</v>
      </c>
      <c r="BX81">
        <f t="shared" ca="1" si="47"/>
        <v>10</v>
      </c>
      <c r="BY81">
        <f t="shared" ca="1" si="47"/>
        <v>10</v>
      </c>
      <c r="BZ81">
        <f t="shared" ca="1" si="47"/>
        <v>10</v>
      </c>
      <c r="CA81">
        <f t="shared" ca="1" si="47"/>
        <v>10</v>
      </c>
      <c r="CB81">
        <f t="shared" ca="1" si="47"/>
        <v>10</v>
      </c>
      <c r="CC81">
        <f t="shared" ca="1" si="47"/>
        <v>10</v>
      </c>
      <c r="CD81">
        <f t="shared" ca="1" si="47"/>
        <v>21</v>
      </c>
      <c r="CE81">
        <f t="shared" ca="1" si="47"/>
        <v>21</v>
      </c>
      <c r="CF81">
        <f t="shared" ca="1" si="47"/>
        <v>10</v>
      </c>
      <c r="CL81">
        <f t="shared" ca="1" si="48"/>
        <v>1</v>
      </c>
      <c r="CM81">
        <f t="shared" ca="1" si="48"/>
        <v>1</v>
      </c>
      <c r="CN81">
        <f t="shared" ca="1" si="48"/>
        <v>1</v>
      </c>
      <c r="CO81">
        <f t="shared" ca="1" si="48"/>
        <v>1</v>
      </c>
      <c r="CP81">
        <f t="shared" ca="1" si="48"/>
        <v>1</v>
      </c>
      <c r="CQ81">
        <f t="shared" ca="1" si="48"/>
        <v>1</v>
      </c>
      <c r="CR81">
        <f t="shared" ca="1" si="48"/>
        <v>1</v>
      </c>
      <c r="CS81">
        <f t="shared" ca="1" si="48"/>
        <v>1</v>
      </c>
      <c r="CT81">
        <f t="shared" ca="1" si="48"/>
        <v>1</v>
      </c>
      <c r="CU81">
        <f t="shared" ca="1" si="48"/>
        <v>0</v>
      </c>
      <c r="CV81">
        <f t="shared" ca="1" si="48"/>
        <v>0</v>
      </c>
      <c r="CW81">
        <f t="shared" ca="1" si="48"/>
        <v>1</v>
      </c>
      <c r="DC81" cm="1">
        <f t="array" aca="1" ref="DC81" ca="1">IF(ISNA(E81),,OFFSET(INDIRECT("'"&amp;DT$67&amp;"'!f1"),E81-1,))*1</f>
        <v>3.3571273999996203E-2</v>
      </c>
      <c r="DD81" cm="1">
        <f t="array" aca="1" ref="DD81" ca="1">IF(ISNA(F81),,OFFSET(INDIRECT("'"&amp;DU$67&amp;"'!f1"),F81-1,))*1</f>
        <v>4.6229745000004999E-2</v>
      </c>
      <c r="DE81" cm="1">
        <f t="array" aca="1" ref="DE81" ca="1">IF(ISNA(G81),,OFFSET(INDIRECT("'"&amp;DV$67&amp;"'!f1"),G81-1,))*1</f>
        <v>1.6636809000004801E-2</v>
      </c>
      <c r="DF81" cm="1">
        <f t="array" aca="1" ref="DF81" ca="1">IF(ISNA(H81),,OFFSET(INDIRECT("'"&amp;DW$67&amp;"'!f1"),H81-1,))*1</f>
        <v>5.4473073000025303E-2</v>
      </c>
      <c r="DG81" cm="1">
        <f t="array" aca="1" ref="DG81" ca="1">IF(ISNA(I81),,OFFSET(INDIRECT("'"&amp;DX$67&amp;"'!f1"),I81-1,))*1</f>
        <v>5.5484625001554301E-2</v>
      </c>
      <c r="DH81" cm="1">
        <f t="array" aca="1" ref="DH81" ca="1">IF(ISNA(J81),,OFFSET(INDIRECT("'"&amp;DY$67&amp;"'!f1"),J81-1,))*1</f>
        <v>4.0704191196709802E-2</v>
      </c>
      <c r="DI81" cm="1">
        <f t="array" aca="1" ref="DI81" ca="1">IF(ISNA(K81),,OFFSET(INDIRECT("'"&amp;DZ$67&amp;"'!f1"),K81-1,))*1</f>
        <v>1.08169533777982</v>
      </c>
      <c r="DJ81" cm="1">
        <f t="array" aca="1" ref="DJ81" ca="1">IF(ISNA(L81),,OFFSET(INDIRECT("'"&amp;EA$67&amp;"'!f1"),L81-1,))*1</f>
        <v>1.6765731079503801</v>
      </c>
      <c r="DK81" cm="1">
        <f t="array" aca="1" ref="DK81" ca="1">IF(ISNA(M81),,OFFSET(INDIRECT("'"&amp;EB$67&amp;"'!f1"),M81-1,))*1</f>
        <v>15.7782723391428</v>
      </c>
      <c r="DL81" cm="1">
        <f t="array" aca="1" ref="DL81" ca="1">IF(ISNA(N81),,OFFSET(INDIRECT("'"&amp;EC$67&amp;"'!f1"),N81-1,))*1</f>
        <v>3.39812878519296E-3</v>
      </c>
      <c r="DM81" cm="1">
        <f t="array" aca="1" ref="DM81" ca="1">IF(ISNA(O81),,OFFSET(INDIRECT("'"&amp;ED$67&amp;"'!f1"),O81-1,))*1</f>
        <v>3.57948709279298E-3</v>
      </c>
      <c r="DN81" cm="1">
        <f t="array" aca="1" ref="DN81" ca="1">IF(ISNA(P81),,OFFSET(INDIRECT("'"&amp;EE$67&amp;"'!f1"),P81-1,))*1</f>
        <v>1.8651376478374001E-2</v>
      </c>
      <c r="DT81">
        <f t="shared" ca="1" si="60"/>
        <v>1</v>
      </c>
      <c r="DU81">
        <f t="shared" ca="1" si="49"/>
        <v>1</v>
      </c>
      <c r="DV81">
        <f t="shared" ca="1" si="49"/>
        <v>1</v>
      </c>
      <c r="DW81">
        <f t="shared" ca="1" si="49"/>
        <v>1</v>
      </c>
      <c r="DX81">
        <f t="shared" ca="1" si="49"/>
        <v>1</v>
      </c>
      <c r="DY81">
        <f t="shared" ca="1" si="49"/>
        <v>1</v>
      </c>
      <c r="DZ81">
        <f t="shared" ca="1" si="49"/>
        <v>9985</v>
      </c>
      <c r="EA81">
        <f t="shared" ca="1" si="49"/>
        <v>10000</v>
      </c>
      <c r="EB81">
        <f t="shared" ca="1" si="49"/>
        <v>10000</v>
      </c>
      <c r="EC81">
        <f t="shared" ca="1" si="49"/>
        <v>0</v>
      </c>
      <c r="ED81">
        <f t="shared" ca="1" si="49"/>
        <v>0</v>
      </c>
      <c r="EE81">
        <f t="shared" ca="1" si="49"/>
        <v>2</v>
      </c>
      <c r="EK81" cm="1">
        <f t="array" aca="1" ref="EK81" ca="1">IF(ISNA(E81),0,OFFSET(INDIRECT("'"&amp;EK$67&amp;"'!g1"),E81-1,)*CL81)</f>
        <v>1</v>
      </c>
      <c r="EL81" cm="1">
        <f t="array" aca="1" ref="EL81" ca="1">IF(ISNA(F81),0,OFFSET(INDIRECT("'"&amp;EL$67&amp;"'!g1"),F81-1,)*CM81)</f>
        <v>1</v>
      </c>
      <c r="EM81" cm="1">
        <f t="array" aca="1" ref="EM81" ca="1">IF(ISNA(G81),0,OFFSET(INDIRECT("'"&amp;EM$67&amp;"'!g1"),G81-1,)*CN81)</f>
        <v>1</v>
      </c>
      <c r="EN81" cm="1">
        <f t="array" aca="1" ref="EN81" ca="1">IF(ISNA(H81),0,OFFSET(INDIRECT("'"&amp;EN$67&amp;"'!g1"),H81-1,)*CO81)</f>
        <v>1</v>
      </c>
      <c r="EO81" cm="1">
        <f t="array" aca="1" ref="EO81" ca="1">IF(ISNA(I81),0,OFFSET(INDIRECT("'"&amp;EO$67&amp;"'!g1"),I81-1,)*CP81)</f>
        <v>1</v>
      </c>
      <c r="EP81" cm="1">
        <f t="array" aca="1" ref="EP81" ca="1">IF(ISNA(J81),0,OFFSET(INDIRECT("'"&amp;EP$67&amp;"'!g1"),J81-1,)*CQ81)</f>
        <v>1</v>
      </c>
      <c r="EQ81" cm="1">
        <f t="array" aca="1" ref="EQ81" ca="1">IF(ISNA(K81),0,OFFSET(INDIRECT("'"&amp;EQ$67&amp;"'!g1"),K81-1,)*CR81)</f>
        <v>9985</v>
      </c>
      <c r="ER81" cm="1">
        <f t="array" aca="1" ref="ER81" ca="1">IF(ISNA(L81),0,OFFSET(INDIRECT("'"&amp;ER$67&amp;"'!g1"),L81-1,)*CS81)</f>
        <v>10000</v>
      </c>
      <c r="ES81" cm="1">
        <f t="array" aca="1" ref="ES81" ca="1">IF(ISNA(M81),0,OFFSET(INDIRECT("'"&amp;ES$67&amp;"'!g1"),M81-1,)*CT81)</f>
        <v>10000</v>
      </c>
      <c r="ET81" cm="1">
        <f t="array" aca="1" ref="ET81" ca="1">IF(ISNA(N81),0,OFFSET(INDIRECT("'"&amp;ET$67&amp;"'!g1"),N81-1,)*CU81)</f>
        <v>0</v>
      </c>
      <c r="EU81" cm="1">
        <f t="array" aca="1" ref="EU81" ca="1">IF(ISNA(O81),0,OFFSET(INDIRECT("'"&amp;EU$67&amp;"'!g1"),O81-1,)*CV81)</f>
        <v>0</v>
      </c>
      <c r="EV81" cm="1">
        <f t="array" aca="1" ref="EV81" ca="1">IF(ISNA(P81),0,OFFSET(INDIRECT("'"&amp;EV$67&amp;"'!g1"),P81-1,)*CW81)</f>
        <v>2</v>
      </c>
      <c r="FB81" s="10" cm="1">
        <f t="array" aca="1" ref="FB81" ca="1">IF(ISNA(E81),0,OFFSET(INDIRECT("'"&amp;EK$67&amp;"'!h1"),E81-1,))</f>
        <v>1</v>
      </c>
      <c r="FC81" s="10" cm="1">
        <f t="array" aca="1" ref="FC81" ca="1">IF(ISNA(F81),0,OFFSET(INDIRECT("'"&amp;EL$67&amp;"'!h1"),F81-1,))</f>
        <v>1</v>
      </c>
      <c r="FD81" s="10" cm="1">
        <f t="array" aca="1" ref="FD81" ca="1">IF(ISNA(G81),0,OFFSET(INDIRECT("'"&amp;EM$67&amp;"'!h1"),G81-1,))</f>
        <v>1</v>
      </c>
      <c r="FE81" s="10" cm="1">
        <f t="array" aca="1" ref="FE81" ca="1">IF(ISNA(H81),0,OFFSET(INDIRECT("'"&amp;EN$67&amp;"'!h1"),H81-1,))</f>
        <v>1</v>
      </c>
      <c r="FF81" s="10" cm="1">
        <f t="array" aca="1" ref="FF81" ca="1">IF(ISNA(I81),0,OFFSET(INDIRECT("'"&amp;EO$67&amp;"'!h1"),I81-1,))</f>
        <v>1</v>
      </c>
      <c r="FG81" s="10" cm="1">
        <f t="array" aca="1" ref="FG81" ca="1">IF(ISNA(J81),0,OFFSET(INDIRECT("'"&amp;EP$67&amp;"'!h1"),J81-1,))</f>
        <v>1</v>
      </c>
      <c r="FH81" s="10" cm="1">
        <f t="array" aca="1" ref="FH81" ca="1">IF(ISNA(K81),0,OFFSET(INDIRECT("'"&amp;EQ$67&amp;"'!h1"),K81-1,))</f>
        <v>10000</v>
      </c>
      <c r="FI81" s="10" cm="1">
        <f t="array" aca="1" ref="FI81" ca="1">IF(ISNA(L81),0,OFFSET(INDIRECT("'"&amp;ER$67&amp;"'!h1"),L81-1,))</f>
        <v>10000</v>
      </c>
      <c r="FJ81" s="10" cm="1">
        <f t="array" aca="1" ref="FJ81" ca="1">IF(ISNA(M81),0,OFFSET(INDIRECT("'"&amp;ES$67&amp;"'!h1"),M81-1,))</f>
        <v>10000</v>
      </c>
      <c r="FK81" s="10" cm="1">
        <f t="array" aca="1" ref="FK81" ca="1">IF(ISNA(N81),0,OFFSET(INDIRECT("'"&amp;ET$67&amp;"'!h1"),N81-1,))</f>
        <v>1</v>
      </c>
      <c r="FL81" s="10" cm="1">
        <f t="array" aca="1" ref="FL81" ca="1">IF(ISNA(O81),0,OFFSET(INDIRECT("'"&amp;EU$67&amp;"'!h1"),O81-1,))</f>
        <v>1</v>
      </c>
      <c r="FM81" s="10" cm="1">
        <f t="array" aca="1" ref="FM81" ca="1">IF(ISNA(P81),0,OFFSET(INDIRECT("'"&amp;EV$67&amp;"'!h1"),P81-1,))</f>
        <v>8</v>
      </c>
      <c r="FN81" s="10"/>
      <c r="FO81" s="10"/>
      <c r="FP81" s="10"/>
      <c r="FQ81" s="10"/>
      <c r="FS81">
        <f t="shared" ca="1" si="61"/>
        <v>21</v>
      </c>
      <c r="FT81">
        <f t="shared" ca="1" si="62"/>
        <v>1.08169533777982</v>
      </c>
      <c r="FU81">
        <f t="shared" ca="1" si="63"/>
        <v>9985</v>
      </c>
      <c r="FV81">
        <f t="shared" ca="1" si="64"/>
        <v>10000</v>
      </c>
      <c r="FW81" s="4">
        <f t="shared" ca="1" si="65"/>
        <v>0.99850000000000005</v>
      </c>
      <c r="FX81" s="5">
        <f t="shared" ca="1" si="66"/>
        <v>1.0833203182572057E-4</v>
      </c>
      <c r="FZ81" s="13">
        <f t="shared" ca="1" si="50"/>
        <v>21</v>
      </c>
      <c r="GA81" s="23">
        <f t="shared" ca="1" si="67"/>
        <v>0</v>
      </c>
      <c r="GB81" s="23">
        <f t="shared" ca="1" si="51"/>
        <v>0</v>
      </c>
      <c r="GC81" s="23">
        <f t="shared" ca="1" si="51"/>
        <v>0</v>
      </c>
      <c r="GD81" s="23">
        <f t="shared" ca="1" si="51"/>
        <v>0</v>
      </c>
      <c r="GE81" s="23">
        <f t="shared" ca="1" si="51"/>
        <v>0</v>
      </c>
      <c r="GF81" s="23">
        <f t="shared" ca="1" si="51"/>
        <v>0</v>
      </c>
      <c r="GG81" s="23">
        <f t="shared" ca="1" si="51"/>
        <v>0</v>
      </c>
      <c r="GH81" s="23">
        <f t="shared" ca="1" si="51"/>
        <v>0</v>
      </c>
      <c r="GI81" s="23">
        <f t="shared" ca="1" si="51"/>
        <v>0</v>
      </c>
      <c r="GJ81" s="23" t="e">
        <f t="shared" ca="1" si="51"/>
        <v>#N/A</v>
      </c>
      <c r="GK81" s="23" t="e">
        <f t="shared" ca="1" si="51"/>
        <v>#N/A</v>
      </c>
      <c r="GL81" s="23">
        <f t="shared" ca="1" si="51"/>
        <v>0</v>
      </c>
      <c r="GM81" s="23"/>
      <c r="GN81">
        <f t="shared" ca="1" si="68"/>
        <v>21</v>
      </c>
      <c r="GO81" s="5">
        <f t="shared" ca="1" si="69"/>
        <v>3.3571273999996203E-2</v>
      </c>
      <c r="GP81" s="5">
        <f t="shared" ca="1" si="52"/>
        <v>4.6229745000004999E-2</v>
      </c>
      <c r="GQ81" s="5">
        <f t="shared" ca="1" si="52"/>
        <v>1.6636809000004801E-2</v>
      </c>
      <c r="GR81" s="5">
        <f t="shared" ca="1" si="52"/>
        <v>5.4473073000025303E-2</v>
      </c>
      <c r="GS81" s="5">
        <f t="shared" ca="1" si="52"/>
        <v>5.5484625001554301E-2</v>
      </c>
      <c r="GT81" s="5">
        <f t="shared" ca="1" si="70"/>
        <v>4.0704191196709802E-2</v>
      </c>
      <c r="GU81" s="5">
        <f t="shared" ca="1" si="53"/>
        <v>1.0833203182572057E-4</v>
      </c>
      <c r="GV81" s="5">
        <f t="shared" ca="1" si="53"/>
        <v>1.6765731079503802E-4</v>
      </c>
      <c r="GW81" s="5">
        <f t="shared" ca="1" si="53"/>
        <v>1.5778272339142801E-3</v>
      </c>
      <c r="GX81" s="5" t="e">
        <f t="shared" ca="1" si="53"/>
        <v>#N/A</v>
      </c>
      <c r="GY81" s="5" t="e">
        <f t="shared" ca="1" si="53"/>
        <v>#N/A</v>
      </c>
      <c r="GZ81" s="5">
        <f t="shared" ca="1" si="53"/>
        <v>9.3256882391870004E-3</v>
      </c>
      <c r="HB81" s="13">
        <f t="shared" ca="1" si="54"/>
        <v>21</v>
      </c>
      <c r="HC81" s="4">
        <f t="shared" ca="1" si="71"/>
        <v>1</v>
      </c>
      <c r="HD81" s="4">
        <f t="shared" ca="1" si="55"/>
        <v>1</v>
      </c>
      <c r="HE81" s="4">
        <f t="shared" ca="1" si="55"/>
        <v>1</v>
      </c>
      <c r="HF81" s="4">
        <f t="shared" ca="1" si="55"/>
        <v>1</v>
      </c>
      <c r="HG81" s="4">
        <f t="shared" ca="1" si="55"/>
        <v>1</v>
      </c>
      <c r="HH81" s="4">
        <f t="shared" ca="1" si="55"/>
        <v>1</v>
      </c>
      <c r="HI81" s="4">
        <f t="shared" ca="1" si="55"/>
        <v>0.99850000000000005</v>
      </c>
      <c r="HJ81" s="4">
        <f t="shared" ca="1" si="55"/>
        <v>1</v>
      </c>
      <c r="HK81" s="4">
        <f t="shared" ca="1" si="55"/>
        <v>1</v>
      </c>
      <c r="HL81" s="4">
        <f t="shared" ca="1" si="55"/>
        <v>0</v>
      </c>
      <c r="HM81" s="4">
        <f t="shared" ca="1" si="55"/>
        <v>0</v>
      </c>
      <c r="HN81" s="4">
        <f t="shared" ca="1" si="55"/>
        <v>0.25</v>
      </c>
    </row>
    <row r="82" spans="1:222" x14ac:dyDescent="0.2">
      <c r="A82" t="str" cm="1">
        <f t="array" aca="1" ref="A82" ca="1">INDIRECT($A$67&amp;"!A"&amp;ROW(C15)+$B$64)</f>
        <v>[[22,6,9]]</v>
      </c>
      <c r="B82" cm="1">
        <f t="array" aca="1" ref="B82" ca="1">INDIRECT($A$67&amp;"!b"&amp;ROW(D15)+$B$64)</f>
        <v>22</v>
      </c>
      <c r="C82">
        <f t="shared" ca="1" si="56"/>
        <v>9</v>
      </c>
      <c r="E82">
        <f t="shared" ca="1" si="43"/>
        <v>39</v>
      </c>
      <c r="F82">
        <f t="shared" ca="1" si="43"/>
        <v>40</v>
      </c>
      <c r="G82">
        <f t="shared" ca="1" si="43"/>
        <v>39</v>
      </c>
      <c r="H82">
        <f t="shared" ca="1" si="43"/>
        <v>39</v>
      </c>
      <c r="I82">
        <f t="shared" ca="1" si="43"/>
        <v>42</v>
      </c>
      <c r="J82">
        <f t="shared" ca="1" si="43"/>
        <v>39</v>
      </c>
      <c r="K82">
        <f t="shared" ca="1" si="43"/>
        <v>46</v>
      </c>
      <c r="L82">
        <f t="shared" ca="1" si="43"/>
        <v>48</v>
      </c>
      <c r="M82">
        <f t="shared" ca="1" si="43"/>
        <v>45</v>
      </c>
      <c r="N82">
        <f t="shared" ca="1" si="43"/>
        <v>43</v>
      </c>
      <c r="O82">
        <f t="shared" ca="1" si="43"/>
        <v>43</v>
      </c>
      <c r="P82">
        <f t="shared" ca="1" si="43"/>
        <v>43</v>
      </c>
      <c r="V82" cm="1">
        <f t="array" aca="1" ref="V82" ca="1">IF(ISNA(E82),,OFFSET(INDIRECT("'"&amp;V$67&amp;"'!d1"),E82-1,))</f>
        <v>9</v>
      </c>
      <c r="W82" cm="1">
        <f t="array" aca="1" ref="W82" ca="1">IF(ISNA(F82),,OFFSET(INDIRECT("'"&amp;W$67&amp;"'!d1"),F82-1,))</f>
        <v>9</v>
      </c>
      <c r="X82" cm="1">
        <f t="array" aca="1" ref="X82" ca="1">IF(ISNA(G82),,OFFSET(INDIRECT("'"&amp;X$67&amp;"'!d1"),G82-1,))</f>
        <v>9</v>
      </c>
      <c r="Y82" cm="1">
        <f t="array" aca="1" ref="Y82" ca="1">IF(ISNA(H82),,OFFSET(INDIRECT("'"&amp;Y$67&amp;"'!d1"),H82-1,))</f>
        <v>9</v>
      </c>
      <c r="Z82" cm="1">
        <f t="array" aca="1" ref="Z82" ca="1">IF(ISNA(I82),,OFFSET(INDIRECT("'"&amp;Z$67&amp;"'!d1"),I82-1,))</f>
        <v>9</v>
      </c>
      <c r="AA82" cm="1">
        <f t="array" aca="1" ref="AA82" ca="1">IF(ISNA(J82),,OFFSET(INDIRECT("'"&amp;AA$67&amp;"'!d1"),J82-1,))</f>
        <v>9</v>
      </c>
      <c r="AB82" cm="1">
        <f t="array" aca="1" ref="AB82" ca="1">IF(ISNA(K82),,OFFSET(INDIRECT("'"&amp;AB$67&amp;"'!d1"),K82-1,))</f>
        <v>9</v>
      </c>
      <c r="AC82" cm="1">
        <f t="array" aca="1" ref="AC82" ca="1">IF(ISNA(L82),,OFFSET(INDIRECT("'"&amp;AC$67&amp;"'!d1"),L82-1,))</f>
        <v>9</v>
      </c>
      <c r="AD82" cm="1">
        <f t="array" aca="1" ref="AD82" ca="1">IF(ISNA(M82),,OFFSET(INDIRECT("'"&amp;AD$67&amp;"'!d1"),M82-1,))</f>
        <v>9</v>
      </c>
      <c r="AE82" cm="1">
        <f t="array" aca="1" ref="AE82" ca="1">IF(ISNA(N82),,OFFSET(INDIRECT("'"&amp;AE$67&amp;"'!d1"),N82-1,))</f>
        <v>0</v>
      </c>
      <c r="AF82" cm="1">
        <f t="array" aca="1" ref="AF82" ca="1">IF(ISNA(O82),,OFFSET(INDIRECT("'"&amp;AF$67&amp;"'!d1"),O82-1,))</f>
        <v>0</v>
      </c>
      <c r="AG82" cm="1">
        <f t="array" aca="1" ref="AG82" ca="1">IF(ISNA(P82),,OFFSET(INDIRECT("'"&amp;AG$67&amp;"'!d1"),P82-1,))</f>
        <v>9</v>
      </c>
      <c r="AM82">
        <f t="shared" ca="1" si="57"/>
        <v>1</v>
      </c>
      <c r="AN82">
        <f t="shared" ca="1" si="44"/>
        <v>1</v>
      </c>
      <c r="AO82">
        <f t="shared" ca="1" si="44"/>
        <v>1</v>
      </c>
      <c r="AP82">
        <f t="shared" ca="1" si="44"/>
        <v>1</v>
      </c>
      <c r="AQ82">
        <f t="shared" ca="1" si="58"/>
        <v>1</v>
      </c>
      <c r="AV82" t="b">
        <f t="shared" ca="1" si="59"/>
        <v>1</v>
      </c>
      <c r="AW82" t="b">
        <f t="shared" ca="1" si="45"/>
        <v>1</v>
      </c>
      <c r="AX82" t="b">
        <f t="shared" ca="1" si="45"/>
        <v>1</v>
      </c>
      <c r="AY82" t="b">
        <f t="shared" ca="1" si="45"/>
        <v>1</v>
      </c>
      <c r="AZ82" t="b">
        <f t="shared" ca="1" si="45"/>
        <v>1</v>
      </c>
      <c r="BD82">
        <f t="shared" ca="1" si="46"/>
        <v>1</v>
      </c>
      <c r="BE82">
        <f t="shared" ca="1" si="46"/>
        <v>1</v>
      </c>
      <c r="BF82">
        <f t="shared" ca="1" si="46"/>
        <v>1</v>
      </c>
      <c r="BG82">
        <f t="shared" ca="1" si="46"/>
        <v>1</v>
      </c>
      <c r="BH82">
        <f t="shared" ca="1" si="46"/>
        <v>1</v>
      </c>
      <c r="BI82">
        <f t="shared" ca="1" si="46"/>
        <v>1</v>
      </c>
      <c r="BJ82">
        <f t="shared" ca="1" si="46"/>
        <v>1</v>
      </c>
      <c r="BK82">
        <f t="shared" ca="1" si="46"/>
        <v>1</v>
      </c>
      <c r="BL82">
        <f t="shared" ca="1" si="46"/>
        <v>1</v>
      </c>
      <c r="BM82">
        <f t="shared" ca="1" si="46"/>
        <v>0</v>
      </c>
      <c r="BN82">
        <f t="shared" ca="1" si="46"/>
        <v>0</v>
      </c>
      <c r="BO82">
        <f t="shared" ca="1" si="46"/>
        <v>1</v>
      </c>
      <c r="BU82">
        <f t="shared" ca="1" si="47"/>
        <v>9</v>
      </c>
      <c r="BV82">
        <f t="shared" ca="1" si="47"/>
        <v>9</v>
      </c>
      <c r="BW82">
        <f t="shared" ca="1" si="47"/>
        <v>9</v>
      </c>
      <c r="BX82">
        <f t="shared" ca="1" si="47"/>
        <v>9</v>
      </c>
      <c r="BY82">
        <f t="shared" ca="1" si="47"/>
        <v>9</v>
      </c>
      <c r="BZ82">
        <f t="shared" ca="1" si="47"/>
        <v>9</v>
      </c>
      <c r="CA82">
        <f t="shared" ca="1" si="47"/>
        <v>9</v>
      </c>
      <c r="CB82">
        <f t="shared" ca="1" si="47"/>
        <v>9</v>
      </c>
      <c r="CC82">
        <f t="shared" ca="1" si="47"/>
        <v>9</v>
      </c>
      <c r="CD82">
        <f t="shared" ca="1" si="47"/>
        <v>22</v>
      </c>
      <c r="CE82">
        <f t="shared" ca="1" si="47"/>
        <v>22</v>
      </c>
      <c r="CF82">
        <f t="shared" ca="1" si="47"/>
        <v>9</v>
      </c>
      <c r="CL82">
        <f t="shared" ca="1" si="48"/>
        <v>1</v>
      </c>
      <c r="CM82">
        <f t="shared" ca="1" si="48"/>
        <v>1</v>
      </c>
      <c r="CN82">
        <f t="shared" ca="1" si="48"/>
        <v>1</v>
      </c>
      <c r="CO82">
        <f t="shared" ca="1" si="48"/>
        <v>1</v>
      </c>
      <c r="CP82">
        <f t="shared" ca="1" si="48"/>
        <v>1</v>
      </c>
      <c r="CQ82">
        <f t="shared" ca="1" si="48"/>
        <v>1</v>
      </c>
      <c r="CR82">
        <f t="shared" ca="1" si="48"/>
        <v>1</v>
      </c>
      <c r="CS82">
        <f t="shared" ca="1" si="48"/>
        <v>1</v>
      </c>
      <c r="CT82">
        <f t="shared" ca="1" si="48"/>
        <v>1</v>
      </c>
      <c r="CU82">
        <f t="shared" ca="1" si="48"/>
        <v>0</v>
      </c>
      <c r="CV82">
        <f t="shared" ca="1" si="48"/>
        <v>0</v>
      </c>
      <c r="CW82">
        <f t="shared" ca="1" si="48"/>
        <v>1</v>
      </c>
      <c r="DC82" cm="1">
        <f t="array" aca="1" ref="DC82" ca="1">IF(ISNA(E82),,OFFSET(INDIRECT("'"&amp;DT$67&amp;"'!f1"),E82-1,))*1</f>
        <v>3.3335762000007201E-2</v>
      </c>
      <c r="DD82" cm="1">
        <f t="array" aca="1" ref="DD82" ca="1">IF(ISNA(F82),,OFFSET(INDIRECT("'"&amp;DU$67&amp;"'!f1"),F82-1,))*1</f>
        <v>0.108746168999999</v>
      </c>
      <c r="DE82" cm="1">
        <f t="array" aca="1" ref="DE82" ca="1">IF(ISNA(G82),,OFFSET(INDIRECT("'"&amp;DV$67&amp;"'!f1"),G82-1,))*1</f>
        <v>1.5906338000007701E-2</v>
      </c>
      <c r="DF82" cm="1">
        <f t="array" aca="1" ref="DF82" ca="1">IF(ISNA(H82),,OFFSET(INDIRECT("'"&amp;DW$67&amp;"'!f1"),H82-1,))*1</f>
        <v>5.5565760999996799E-2</v>
      </c>
      <c r="DG82" cm="1">
        <f t="array" aca="1" ref="DG82" ca="1">IF(ISNA(I82),,OFFSET(INDIRECT("'"&amp;DX$67&amp;"'!f1"),I82-1,))*1</f>
        <v>5.5288000003201797E-2</v>
      </c>
      <c r="DH82" cm="1">
        <f t="array" aca="1" ref="DH82" ca="1">IF(ISNA(J82),,OFFSET(INDIRECT("'"&amp;DY$67&amp;"'!f1"),J82-1,))*1</f>
        <v>4.2300824075937202E-2</v>
      </c>
      <c r="DI82" cm="1">
        <f t="array" aca="1" ref="DI82" ca="1">IF(ISNA(K82),,OFFSET(INDIRECT("'"&amp;DZ$67&amp;"'!f1"),K82-1,))*1</f>
        <v>1.0187999503687</v>
      </c>
      <c r="DJ82" cm="1">
        <f t="array" aca="1" ref="DJ82" ca="1">IF(ISNA(L82),,OFFSET(INDIRECT("'"&amp;EA$67&amp;"'!f1"),L82-1,))*1</f>
        <v>1.63768767472356</v>
      </c>
      <c r="DK82" cm="1">
        <f t="array" aca="1" ref="DK82" ca="1">IF(ISNA(M82),,OFFSET(INDIRECT("'"&amp;EB$67&amp;"'!f1"),M82-1,))*1</f>
        <v>16.696560584008601</v>
      </c>
      <c r="DL82" cm="1">
        <f t="array" aca="1" ref="DL82" ca="1">IF(ISNA(N82),,OFFSET(INDIRECT("'"&amp;EC$67&amp;"'!f1"),N82-1,))*1</f>
        <v>3.99587675929069E-3</v>
      </c>
      <c r="DM82" cm="1">
        <f t="array" aca="1" ref="DM82" ca="1">IF(ISNA(O82),,OFFSET(INDIRECT("'"&amp;ED$67&amp;"'!f1"),O82-1,))*1</f>
        <v>3.2379804179072302E-3</v>
      </c>
      <c r="DN82" cm="1">
        <f t="array" aca="1" ref="DN82" ca="1">IF(ISNA(P82),,OFFSET(INDIRECT("'"&amp;EE$67&amp;"'!f1"),P82-1,))*1</f>
        <v>1.5809680335223598E-2</v>
      </c>
      <c r="DT82">
        <f t="shared" ca="1" si="60"/>
        <v>1</v>
      </c>
      <c r="DU82">
        <f t="shared" ca="1" si="49"/>
        <v>1</v>
      </c>
      <c r="DV82">
        <f t="shared" ca="1" si="49"/>
        <v>1</v>
      </c>
      <c r="DW82">
        <f t="shared" ca="1" si="49"/>
        <v>1</v>
      </c>
      <c r="DX82">
        <f t="shared" ca="1" si="49"/>
        <v>1</v>
      </c>
      <c r="DY82">
        <f t="shared" ca="1" si="49"/>
        <v>1</v>
      </c>
      <c r="DZ82">
        <f t="shared" ca="1" si="49"/>
        <v>9576</v>
      </c>
      <c r="EA82">
        <f t="shared" ca="1" si="49"/>
        <v>9995</v>
      </c>
      <c r="EB82">
        <f t="shared" ca="1" si="49"/>
        <v>8654</v>
      </c>
      <c r="EC82">
        <f t="shared" ca="1" si="49"/>
        <v>0</v>
      </c>
      <c r="ED82">
        <f t="shared" ca="1" si="49"/>
        <v>0</v>
      </c>
      <c r="EE82">
        <f t="shared" ca="1" si="49"/>
        <v>2</v>
      </c>
      <c r="EK82" cm="1">
        <f t="array" aca="1" ref="EK82" ca="1">IF(ISNA(E82),0,OFFSET(INDIRECT("'"&amp;EK$67&amp;"'!g1"),E82-1,)*CL82)</f>
        <v>1</v>
      </c>
      <c r="EL82" cm="1">
        <f t="array" aca="1" ref="EL82" ca="1">IF(ISNA(F82),0,OFFSET(INDIRECT("'"&amp;EL$67&amp;"'!g1"),F82-1,)*CM82)</f>
        <v>1</v>
      </c>
      <c r="EM82" cm="1">
        <f t="array" aca="1" ref="EM82" ca="1">IF(ISNA(G82),0,OFFSET(INDIRECT("'"&amp;EM$67&amp;"'!g1"),G82-1,)*CN82)</f>
        <v>1</v>
      </c>
      <c r="EN82" cm="1">
        <f t="array" aca="1" ref="EN82" ca="1">IF(ISNA(H82),0,OFFSET(INDIRECT("'"&amp;EN$67&amp;"'!g1"),H82-1,)*CO82)</f>
        <v>1</v>
      </c>
      <c r="EO82" cm="1">
        <f t="array" aca="1" ref="EO82" ca="1">IF(ISNA(I82),0,OFFSET(INDIRECT("'"&amp;EO$67&amp;"'!g1"),I82-1,)*CP82)</f>
        <v>1</v>
      </c>
      <c r="EP82" cm="1">
        <f t="array" aca="1" ref="EP82" ca="1">IF(ISNA(J82),0,OFFSET(INDIRECT("'"&amp;EP$67&amp;"'!g1"),J82-1,)*CQ82)</f>
        <v>1</v>
      </c>
      <c r="EQ82" cm="1">
        <f t="array" aca="1" ref="EQ82" ca="1">IF(ISNA(K82),0,OFFSET(INDIRECT("'"&amp;EQ$67&amp;"'!g1"),K82-1,)*CR82)</f>
        <v>9576</v>
      </c>
      <c r="ER82" cm="1">
        <f t="array" aca="1" ref="ER82" ca="1">IF(ISNA(L82),0,OFFSET(INDIRECT("'"&amp;ER$67&amp;"'!g1"),L82-1,)*CS82)</f>
        <v>9995</v>
      </c>
      <c r="ES82" cm="1">
        <f t="array" aca="1" ref="ES82" ca="1">IF(ISNA(M82),0,OFFSET(INDIRECT("'"&amp;ES$67&amp;"'!g1"),M82-1,)*CT82)</f>
        <v>8654</v>
      </c>
      <c r="ET82" cm="1">
        <f t="array" aca="1" ref="ET82" ca="1">IF(ISNA(N82),0,OFFSET(INDIRECT("'"&amp;ET$67&amp;"'!g1"),N82-1,)*CU82)</f>
        <v>0</v>
      </c>
      <c r="EU82" cm="1">
        <f t="array" aca="1" ref="EU82" ca="1">IF(ISNA(O82),0,OFFSET(INDIRECT("'"&amp;EU$67&amp;"'!g1"),O82-1,)*CV82)</f>
        <v>0</v>
      </c>
      <c r="EV82" cm="1">
        <f t="array" aca="1" ref="EV82" ca="1">IF(ISNA(P82),0,OFFSET(INDIRECT("'"&amp;EV$67&amp;"'!g1"),P82-1,)*CW82)</f>
        <v>2</v>
      </c>
      <c r="FB82" s="10" cm="1">
        <f t="array" aca="1" ref="FB82" ca="1">IF(ISNA(E82),0,OFFSET(INDIRECT("'"&amp;EK$67&amp;"'!h1"),E82-1,))</f>
        <v>1</v>
      </c>
      <c r="FC82" s="10" cm="1">
        <f t="array" aca="1" ref="FC82" ca="1">IF(ISNA(F82),0,OFFSET(INDIRECT("'"&amp;EL$67&amp;"'!h1"),F82-1,))</f>
        <v>1</v>
      </c>
      <c r="FD82" s="10" cm="1">
        <f t="array" aca="1" ref="FD82" ca="1">IF(ISNA(G82),0,OFFSET(INDIRECT("'"&amp;EM$67&amp;"'!h1"),G82-1,))</f>
        <v>1</v>
      </c>
      <c r="FE82" s="10" cm="1">
        <f t="array" aca="1" ref="FE82" ca="1">IF(ISNA(H82),0,OFFSET(INDIRECT("'"&amp;EN$67&amp;"'!h1"),H82-1,))</f>
        <v>1</v>
      </c>
      <c r="FF82" s="10" cm="1">
        <f t="array" aca="1" ref="FF82" ca="1">IF(ISNA(I82),0,OFFSET(INDIRECT("'"&amp;EO$67&amp;"'!h1"),I82-1,))</f>
        <v>1</v>
      </c>
      <c r="FG82" s="10" cm="1">
        <f t="array" aca="1" ref="FG82" ca="1">IF(ISNA(J82),0,OFFSET(INDIRECT("'"&amp;EP$67&amp;"'!h1"),J82-1,))</f>
        <v>1</v>
      </c>
      <c r="FH82" s="10" cm="1">
        <f t="array" aca="1" ref="FH82" ca="1">IF(ISNA(K82),0,OFFSET(INDIRECT("'"&amp;EQ$67&amp;"'!h1"),K82-1,))</f>
        <v>10000</v>
      </c>
      <c r="FI82" s="10" cm="1">
        <f t="array" aca="1" ref="FI82" ca="1">IF(ISNA(L82),0,OFFSET(INDIRECT("'"&amp;ER$67&amp;"'!h1"),L82-1,))</f>
        <v>10000</v>
      </c>
      <c r="FJ82" s="10" cm="1">
        <f t="array" aca="1" ref="FJ82" ca="1">IF(ISNA(M82),0,OFFSET(INDIRECT("'"&amp;ES$67&amp;"'!h1"),M82-1,))</f>
        <v>10000</v>
      </c>
      <c r="FK82" s="10" cm="1">
        <f t="array" aca="1" ref="FK82" ca="1">IF(ISNA(N82),0,OFFSET(INDIRECT("'"&amp;ET$67&amp;"'!h1"),N82-1,))</f>
        <v>1</v>
      </c>
      <c r="FL82" s="10" cm="1">
        <f t="array" aca="1" ref="FL82" ca="1">IF(ISNA(O82),0,OFFSET(INDIRECT("'"&amp;EU$67&amp;"'!h1"),O82-1,))</f>
        <v>1</v>
      </c>
      <c r="FM82" s="10" cm="1">
        <f t="array" aca="1" ref="FM82" ca="1">IF(ISNA(P82),0,OFFSET(INDIRECT("'"&amp;EV$67&amp;"'!h1"),P82-1,))</f>
        <v>7</v>
      </c>
      <c r="FN82" s="10"/>
      <c r="FO82" s="10"/>
      <c r="FP82" s="10"/>
      <c r="FQ82" s="10"/>
      <c r="FS82">
        <f t="shared" ca="1" si="61"/>
        <v>22</v>
      </c>
      <c r="FT82">
        <f t="shared" ca="1" si="62"/>
        <v>1.0187999503687</v>
      </c>
      <c r="FU82">
        <f t="shared" ca="1" si="63"/>
        <v>9576</v>
      </c>
      <c r="FV82">
        <f t="shared" ca="1" si="64"/>
        <v>10000</v>
      </c>
      <c r="FW82" s="4">
        <f t="shared" ca="1" si="65"/>
        <v>0.95760000000000001</v>
      </c>
      <c r="FX82" s="5">
        <f t="shared" ca="1" si="66"/>
        <v>1.0639097226072472E-4</v>
      </c>
      <c r="FZ82" s="13">
        <f t="shared" ca="1" si="50"/>
        <v>22</v>
      </c>
      <c r="GA82" s="23">
        <f t="shared" ca="1" si="67"/>
        <v>0</v>
      </c>
      <c r="GB82" s="23">
        <f t="shared" ca="1" si="51"/>
        <v>0</v>
      </c>
      <c r="GC82" s="23">
        <f t="shared" ca="1" si="51"/>
        <v>0</v>
      </c>
      <c r="GD82" s="23">
        <f t="shared" ca="1" si="51"/>
        <v>0</v>
      </c>
      <c r="GE82" s="23">
        <f t="shared" ca="1" si="51"/>
        <v>0</v>
      </c>
      <c r="GF82" s="23">
        <f t="shared" ca="1" si="51"/>
        <v>0</v>
      </c>
      <c r="GG82" s="23">
        <f t="shared" ca="1" si="51"/>
        <v>0</v>
      </c>
      <c r="GH82" s="23">
        <f t="shared" ca="1" si="51"/>
        <v>0</v>
      </c>
      <c r="GI82" s="23">
        <f t="shared" ca="1" si="51"/>
        <v>0</v>
      </c>
      <c r="GJ82" s="23" t="e">
        <f t="shared" ca="1" si="51"/>
        <v>#N/A</v>
      </c>
      <c r="GK82" s="23" t="e">
        <f t="shared" ca="1" si="51"/>
        <v>#N/A</v>
      </c>
      <c r="GL82" s="23">
        <f t="shared" ca="1" si="51"/>
        <v>0</v>
      </c>
      <c r="GM82" s="23"/>
      <c r="GN82">
        <f t="shared" ca="1" si="68"/>
        <v>22</v>
      </c>
      <c r="GO82" s="5">
        <f t="shared" ca="1" si="69"/>
        <v>3.3335762000007201E-2</v>
      </c>
      <c r="GP82" s="5">
        <f t="shared" ca="1" si="52"/>
        <v>0.108746168999999</v>
      </c>
      <c r="GQ82" s="5">
        <f t="shared" ca="1" si="52"/>
        <v>1.5906338000007701E-2</v>
      </c>
      <c r="GR82" s="5">
        <f t="shared" ca="1" si="52"/>
        <v>5.5565760999996799E-2</v>
      </c>
      <c r="GS82" s="5">
        <f t="shared" ca="1" si="52"/>
        <v>5.5288000003201797E-2</v>
      </c>
      <c r="GT82" s="5">
        <f t="shared" ca="1" si="70"/>
        <v>4.2300824075937202E-2</v>
      </c>
      <c r="GU82" s="5">
        <f t="shared" ca="1" si="53"/>
        <v>1.0639097226072472E-4</v>
      </c>
      <c r="GV82" s="5">
        <f t="shared" ca="1" si="53"/>
        <v>1.6385069281876538E-4</v>
      </c>
      <c r="GW82" s="5">
        <f t="shared" ca="1" si="53"/>
        <v>1.9293460346670444E-3</v>
      </c>
      <c r="GX82" s="5" t="e">
        <f t="shared" ca="1" si="53"/>
        <v>#N/A</v>
      </c>
      <c r="GY82" s="5" t="e">
        <f t="shared" ca="1" si="53"/>
        <v>#N/A</v>
      </c>
      <c r="GZ82" s="5">
        <f t="shared" ca="1" si="53"/>
        <v>7.9048401676117992E-3</v>
      </c>
      <c r="HB82" s="13">
        <f t="shared" ca="1" si="54"/>
        <v>22</v>
      </c>
      <c r="HC82" s="4">
        <f t="shared" ca="1" si="71"/>
        <v>1</v>
      </c>
      <c r="HD82" s="4">
        <f t="shared" ca="1" si="55"/>
        <v>1</v>
      </c>
      <c r="HE82" s="4">
        <f t="shared" ca="1" si="55"/>
        <v>1</v>
      </c>
      <c r="HF82" s="4">
        <f t="shared" ca="1" si="55"/>
        <v>1</v>
      </c>
      <c r="HG82" s="4">
        <f t="shared" ca="1" si="55"/>
        <v>1</v>
      </c>
      <c r="HH82" s="4">
        <f t="shared" ca="1" si="55"/>
        <v>1</v>
      </c>
      <c r="HI82" s="4">
        <f t="shared" ca="1" si="55"/>
        <v>0.95760000000000001</v>
      </c>
      <c r="HJ82" s="4">
        <f t="shared" ca="1" si="55"/>
        <v>0.99950000000000006</v>
      </c>
      <c r="HK82" s="4">
        <f t="shared" ca="1" si="55"/>
        <v>0.86539999999999995</v>
      </c>
      <c r="HL82" s="4">
        <f t="shared" ca="1" si="55"/>
        <v>0</v>
      </c>
      <c r="HM82" s="4">
        <f t="shared" ca="1" si="55"/>
        <v>0</v>
      </c>
      <c r="HN82" s="4">
        <f t="shared" ca="1" si="55"/>
        <v>0.2857142857142857</v>
      </c>
    </row>
    <row r="83" spans="1:222" x14ac:dyDescent="0.2">
      <c r="A83" t="str" cm="1">
        <f t="array" aca="1" ref="A83" ca="1">INDIRECT($A$67&amp;"!A"&amp;ROW(C16)+$B$64)</f>
        <v>[[23,7,9]]</v>
      </c>
      <c r="B83" cm="1">
        <f t="array" aca="1" ref="B83" ca="1">INDIRECT($A$67&amp;"!b"&amp;ROW(D16)+$B$64)</f>
        <v>23</v>
      </c>
      <c r="C83">
        <f t="shared" ca="1" si="56"/>
        <v>9</v>
      </c>
      <c r="E83">
        <f t="shared" ca="1" si="43"/>
        <v>40</v>
      </c>
      <c r="F83">
        <f t="shared" ca="1" si="43"/>
        <v>41</v>
      </c>
      <c r="G83">
        <f t="shared" ca="1" si="43"/>
        <v>40</v>
      </c>
      <c r="H83">
        <f t="shared" ca="1" si="43"/>
        <v>40</v>
      </c>
      <c r="I83">
        <f t="shared" ca="1" si="43"/>
        <v>43</v>
      </c>
      <c r="J83">
        <f t="shared" ca="1" si="43"/>
        <v>40</v>
      </c>
      <c r="K83">
        <f t="shared" ca="1" si="43"/>
        <v>47</v>
      </c>
      <c r="L83">
        <f t="shared" ca="1" si="43"/>
        <v>49</v>
      </c>
      <c r="M83">
        <f t="shared" ca="1" si="43"/>
        <v>46</v>
      </c>
      <c r="N83">
        <f t="shared" ca="1" si="43"/>
        <v>44</v>
      </c>
      <c r="O83">
        <f t="shared" ca="1" si="43"/>
        <v>44</v>
      </c>
      <c r="P83">
        <f t="shared" ca="1" si="43"/>
        <v>44</v>
      </c>
      <c r="V83" cm="1">
        <f t="array" aca="1" ref="V83" ca="1">IF(ISNA(E83),,OFFSET(INDIRECT("'"&amp;V$67&amp;"'!d1"),E83-1,))</f>
        <v>9</v>
      </c>
      <c r="W83" cm="1">
        <f t="array" aca="1" ref="W83" ca="1">IF(ISNA(F83),,OFFSET(INDIRECT("'"&amp;W$67&amp;"'!d1"),F83-1,))</f>
        <v>9</v>
      </c>
      <c r="X83" cm="1">
        <f t="array" aca="1" ref="X83" ca="1">IF(ISNA(G83),,OFFSET(INDIRECT("'"&amp;X$67&amp;"'!d1"),G83-1,))</f>
        <v>9</v>
      </c>
      <c r="Y83" cm="1">
        <f t="array" aca="1" ref="Y83" ca="1">IF(ISNA(H83),,OFFSET(INDIRECT("'"&amp;Y$67&amp;"'!d1"),H83-1,))</f>
        <v>9</v>
      </c>
      <c r="Z83" cm="1">
        <f t="array" aca="1" ref="Z83" ca="1">IF(ISNA(I83),,OFFSET(INDIRECT("'"&amp;Z$67&amp;"'!d1"),I83-1,))</f>
        <v>9</v>
      </c>
      <c r="AA83" cm="1">
        <f t="array" aca="1" ref="AA83" ca="1">IF(ISNA(J83),,OFFSET(INDIRECT("'"&amp;AA$67&amp;"'!d1"),J83-1,))</f>
        <v>9</v>
      </c>
      <c r="AB83" cm="1">
        <f t="array" aca="1" ref="AB83" ca="1">IF(ISNA(K83),,OFFSET(INDIRECT("'"&amp;AB$67&amp;"'!d1"),K83-1,))</f>
        <v>9</v>
      </c>
      <c r="AC83" cm="1">
        <f t="array" aca="1" ref="AC83" ca="1">IF(ISNA(L83),,OFFSET(INDIRECT("'"&amp;AC$67&amp;"'!d1"),L83-1,))</f>
        <v>9</v>
      </c>
      <c r="AD83" cm="1">
        <f t="array" aca="1" ref="AD83" ca="1">IF(ISNA(M83),,OFFSET(INDIRECT("'"&amp;AD$67&amp;"'!d1"),M83-1,))</f>
        <v>9</v>
      </c>
      <c r="AE83" cm="1">
        <f t="array" aca="1" ref="AE83" ca="1">IF(ISNA(N83),,OFFSET(INDIRECT("'"&amp;AE$67&amp;"'!d1"),N83-1,))</f>
        <v>0</v>
      </c>
      <c r="AF83" cm="1">
        <f t="array" aca="1" ref="AF83" ca="1">IF(ISNA(O83),,OFFSET(INDIRECT("'"&amp;AF$67&amp;"'!d1"),O83-1,))</f>
        <v>0</v>
      </c>
      <c r="AG83" cm="1">
        <f t="array" aca="1" ref="AG83" ca="1">IF(ISNA(P83),,OFFSET(INDIRECT("'"&amp;AG$67&amp;"'!d1"),P83-1,))</f>
        <v>9</v>
      </c>
      <c r="AM83">
        <f t="shared" ca="1" si="57"/>
        <v>1</v>
      </c>
      <c r="AN83">
        <f t="shared" ca="1" si="44"/>
        <v>1</v>
      </c>
      <c r="AO83">
        <f t="shared" ca="1" si="44"/>
        <v>1</v>
      </c>
      <c r="AP83">
        <f t="shared" ca="1" si="44"/>
        <v>1</v>
      </c>
      <c r="AQ83">
        <f t="shared" ca="1" si="58"/>
        <v>1</v>
      </c>
      <c r="AV83" t="b">
        <f t="shared" ca="1" si="59"/>
        <v>1</v>
      </c>
      <c r="AW83" t="b">
        <f t="shared" ca="1" si="45"/>
        <v>1</v>
      </c>
      <c r="AX83" t="b">
        <f t="shared" ca="1" si="45"/>
        <v>1</v>
      </c>
      <c r="AY83" t="b">
        <f t="shared" ca="1" si="45"/>
        <v>1</v>
      </c>
      <c r="AZ83" t="b">
        <f t="shared" ca="1" si="45"/>
        <v>1</v>
      </c>
      <c r="BD83">
        <f t="shared" ca="1" si="46"/>
        <v>1</v>
      </c>
      <c r="BE83">
        <f t="shared" ca="1" si="46"/>
        <v>1</v>
      </c>
      <c r="BF83">
        <f t="shared" ca="1" si="46"/>
        <v>1</v>
      </c>
      <c r="BG83">
        <f t="shared" ca="1" si="46"/>
        <v>1</v>
      </c>
      <c r="BH83">
        <f t="shared" ca="1" si="46"/>
        <v>1</v>
      </c>
      <c r="BI83">
        <f t="shared" ca="1" si="46"/>
        <v>1</v>
      </c>
      <c r="BJ83">
        <f t="shared" ca="1" si="46"/>
        <v>1</v>
      </c>
      <c r="BK83">
        <f t="shared" ca="1" si="46"/>
        <v>1</v>
      </c>
      <c r="BL83">
        <f t="shared" ca="1" si="46"/>
        <v>1</v>
      </c>
      <c r="BM83">
        <f t="shared" ca="1" si="46"/>
        <v>0</v>
      </c>
      <c r="BN83">
        <f t="shared" ca="1" si="46"/>
        <v>0</v>
      </c>
      <c r="BO83">
        <f t="shared" ca="1" si="46"/>
        <v>1</v>
      </c>
      <c r="BU83">
        <f t="shared" ca="1" si="47"/>
        <v>9</v>
      </c>
      <c r="BV83">
        <f t="shared" ca="1" si="47"/>
        <v>9</v>
      </c>
      <c r="BW83">
        <f t="shared" ca="1" si="47"/>
        <v>9</v>
      </c>
      <c r="BX83">
        <f t="shared" ca="1" si="47"/>
        <v>9</v>
      </c>
      <c r="BY83">
        <f t="shared" ca="1" si="47"/>
        <v>9</v>
      </c>
      <c r="BZ83">
        <f t="shared" ca="1" si="47"/>
        <v>9</v>
      </c>
      <c r="CA83">
        <f t="shared" ca="1" si="47"/>
        <v>9</v>
      </c>
      <c r="CB83">
        <f t="shared" ca="1" si="47"/>
        <v>9</v>
      </c>
      <c r="CC83">
        <f t="shared" ca="1" si="47"/>
        <v>9</v>
      </c>
      <c r="CD83">
        <f t="shared" ca="1" si="47"/>
        <v>23</v>
      </c>
      <c r="CE83">
        <f t="shared" ca="1" si="47"/>
        <v>23</v>
      </c>
      <c r="CF83">
        <f t="shared" ca="1" si="47"/>
        <v>9</v>
      </c>
      <c r="CL83">
        <f t="shared" ca="1" si="48"/>
        <v>1</v>
      </c>
      <c r="CM83">
        <f t="shared" ca="1" si="48"/>
        <v>1</v>
      </c>
      <c r="CN83">
        <f t="shared" ca="1" si="48"/>
        <v>1</v>
      </c>
      <c r="CO83">
        <f t="shared" ca="1" si="48"/>
        <v>1</v>
      </c>
      <c r="CP83">
        <f t="shared" ca="1" si="48"/>
        <v>1</v>
      </c>
      <c r="CQ83">
        <f t="shared" ca="1" si="48"/>
        <v>1</v>
      </c>
      <c r="CR83">
        <f t="shared" ca="1" si="48"/>
        <v>1</v>
      </c>
      <c r="CS83">
        <f t="shared" ca="1" si="48"/>
        <v>1</v>
      </c>
      <c r="CT83">
        <f t="shared" ca="1" si="48"/>
        <v>1</v>
      </c>
      <c r="CU83">
        <f t="shared" ca="1" si="48"/>
        <v>0</v>
      </c>
      <c r="CV83">
        <f t="shared" ca="1" si="48"/>
        <v>0</v>
      </c>
      <c r="CW83">
        <f t="shared" ca="1" si="48"/>
        <v>1</v>
      </c>
      <c r="DC83" cm="1">
        <f t="array" aca="1" ref="DC83" ca="1">IF(ISNA(E83),,OFFSET(INDIRECT("'"&amp;DT$67&amp;"'!f1"),E83-1,))*1</f>
        <v>4.3381487999994299E-2</v>
      </c>
      <c r="DD83" cm="1">
        <f t="array" aca="1" ref="DD83" ca="1">IF(ISNA(F83),,OFFSET(INDIRECT("'"&amp;DU$67&amp;"'!f1"),F83-1,))*1</f>
        <v>0.111502882999985</v>
      </c>
      <c r="DE83" cm="1">
        <f t="array" aca="1" ref="DE83" ca="1">IF(ISNA(G83),,OFFSET(INDIRECT("'"&amp;DV$67&amp;"'!f1"),G83-1,))*1</f>
        <v>1.9609572999996699E-2</v>
      </c>
      <c r="DF83" cm="1">
        <f t="array" aca="1" ref="DF83" ca="1">IF(ISNA(H83),,OFFSET(INDIRECT("'"&amp;DW$67&amp;"'!f1"),H83-1,))*1</f>
        <v>5.6759927999991001E-2</v>
      </c>
      <c r="DG83" cm="1">
        <f t="array" aca="1" ref="DG83" ca="1">IF(ISNA(I83),,OFFSET(INDIRECT("'"&amp;DX$67&amp;"'!f1"),I83-1,))*1</f>
        <v>5.8467582995945101E-2</v>
      </c>
      <c r="DH83" cm="1">
        <f t="array" aca="1" ref="DH83" ca="1">IF(ISNA(J83),,OFFSET(INDIRECT("'"&amp;DY$67&amp;"'!f1"),J83-1,))*1</f>
        <v>4.3490824755281203E-2</v>
      </c>
      <c r="DI83" cm="1">
        <f t="array" aca="1" ref="DI83" ca="1">IF(ISNA(K83),,OFFSET(INDIRECT("'"&amp;DZ$67&amp;"'!f1"),K83-1,))*1</f>
        <v>1.0461937710642799</v>
      </c>
      <c r="DJ83" cm="1">
        <f t="array" aca="1" ref="DJ83" ca="1">IF(ISNA(L83),,OFFSET(INDIRECT("'"&amp;EA$67&amp;"'!f1"),L83-1,))*1</f>
        <v>1.6714522242545999</v>
      </c>
      <c r="DK83" cm="1">
        <f t="array" aca="1" ref="DK83" ca="1">IF(ISNA(M83),,OFFSET(INDIRECT("'"&amp;EB$67&amp;"'!f1"),M83-1,))*1</f>
        <v>18.066920542158101</v>
      </c>
      <c r="DL83" cm="1">
        <f t="array" aca="1" ref="DL83" ca="1">IF(ISNA(N83),,OFFSET(INDIRECT("'"&amp;EC$67&amp;"'!f1"),N83-1,))*1</f>
        <v>3.6424892023205701E-3</v>
      </c>
      <c r="DM83" cm="1">
        <f t="array" aca="1" ref="DM83" ca="1">IF(ISNA(O83),,OFFSET(INDIRECT("'"&amp;ED$67&amp;"'!f1"),O83-1,))*1</f>
        <v>3.3793309703469198E-3</v>
      </c>
      <c r="DN83" cm="1">
        <f t="array" aca="1" ref="DN83" ca="1">IF(ISNA(P83),,OFFSET(INDIRECT("'"&amp;EE$67&amp;"'!f1"),P83-1,))*1</f>
        <v>3.7444883026182603E-2</v>
      </c>
      <c r="DT83">
        <f t="shared" ca="1" si="60"/>
        <v>1</v>
      </c>
      <c r="DU83">
        <f t="shared" ca="1" si="49"/>
        <v>1</v>
      </c>
      <c r="DV83">
        <f t="shared" ca="1" si="49"/>
        <v>1</v>
      </c>
      <c r="DW83">
        <f t="shared" ca="1" si="49"/>
        <v>1</v>
      </c>
      <c r="DX83">
        <f t="shared" ca="1" si="49"/>
        <v>1</v>
      </c>
      <c r="DY83">
        <f t="shared" ca="1" si="49"/>
        <v>1</v>
      </c>
      <c r="DZ83">
        <f t="shared" ca="1" si="49"/>
        <v>9701</v>
      </c>
      <c r="EA83">
        <f t="shared" ca="1" si="49"/>
        <v>9998</v>
      </c>
      <c r="EB83">
        <f t="shared" ca="1" si="49"/>
        <v>9295</v>
      </c>
      <c r="EC83">
        <f t="shared" ca="1" si="49"/>
        <v>0</v>
      </c>
      <c r="ED83">
        <f t="shared" ca="1" si="49"/>
        <v>0</v>
      </c>
      <c r="EE83">
        <f t="shared" ca="1" si="49"/>
        <v>2</v>
      </c>
      <c r="EK83" cm="1">
        <f t="array" aca="1" ref="EK83" ca="1">IF(ISNA(E83),0,OFFSET(INDIRECT("'"&amp;EK$67&amp;"'!g1"),E83-1,)*CL83)</f>
        <v>1</v>
      </c>
      <c r="EL83" cm="1">
        <f t="array" aca="1" ref="EL83" ca="1">IF(ISNA(F83),0,OFFSET(INDIRECT("'"&amp;EL$67&amp;"'!g1"),F83-1,)*CM83)</f>
        <v>1</v>
      </c>
      <c r="EM83" cm="1">
        <f t="array" aca="1" ref="EM83" ca="1">IF(ISNA(G83),0,OFFSET(INDIRECT("'"&amp;EM$67&amp;"'!g1"),G83-1,)*CN83)</f>
        <v>1</v>
      </c>
      <c r="EN83" cm="1">
        <f t="array" aca="1" ref="EN83" ca="1">IF(ISNA(H83),0,OFFSET(INDIRECT("'"&amp;EN$67&amp;"'!g1"),H83-1,)*CO83)</f>
        <v>1</v>
      </c>
      <c r="EO83" cm="1">
        <f t="array" aca="1" ref="EO83" ca="1">IF(ISNA(I83),0,OFFSET(INDIRECT("'"&amp;EO$67&amp;"'!g1"),I83-1,)*CP83)</f>
        <v>1</v>
      </c>
      <c r="EP83" cm="1">
        <f t="array" aca="1" ref="EP83" ca="1">IF(ISNA(J83),0,OFFSET(INDIRECT("'"&amp;EP$67&amp;"'!g1"),J83-1,)*CQ83)</f>
        <v>1</v>
      </c>
      <c r="EQ83" cm="1">
        <f t="array" aca="1" ref="EQ83" ca="1">IF(ISNA(K83),0,OFFSET(INDIRECT("'"&amp;EQ$67&amp;"'!g1"),K83-1,)*CR83)</f>
        <v>9701</v>
      </c>
      <c r="ER83" cm="1">
        <f t="array" aca="1" ref="ER83" ca="1">IF(ISNA(L83),0,OFFSET(INDIRECT("'"&amp;ER$67&amp;"'!g1"),L83-1,)*CS83)</f>
        <v>9998</v>
      </c>
      <c r="ES83" cm="1">
        <f t="array" aca="1" ref="ES83" ca="1">IF(ISNA(M83),0,OFFSET(INDIRECT("'"&amp;ES$67&amp;"'!g1"),M83-1,)*CT83)</f>
        <v>9295</v>
      </c>
      <c r="ET83" cm="1">
        <f t="array" aca="1" ref="ET83" ca="1">IF(ISNA(N83),0,OFFSET(INDIRECT("'"&amp;ET$67&amp;"'!g1"),N83-1,)*CU83)</f>
        <v>0</v>
      </c>
      <c r="EU83" cm="1">
        <f t="array" aca="1" ref="EU83" ca="1">IF(ISNA(O83),0,OFFSET(INDIRECT("'"&amp;EU$67&amp;"'!g1"),O83-1,)*CV83)</f>
        <v>0</v>
      </c>
      <c r="EV83" cm="1">
        <f t="array" aca="1" ref="EV83" ca="1">IF(ISNA(P83),0,OFFSET(INDIRECT("'"&amp;EV$67&amp;"'!g1"),P83-1,)*CW83)</f>
        <v>2</v>
      </c>
      <c r="FB83" s="10" cm="1">
        <f t="array" aca="1" ref="FB83" ca="1">IF(ISNA(E83),0,OFFSET(INDIRECT("'"&amp;EK$67&amp;"'!h1"),E83-1,))</f>
        <v>1</v>
      </c>
      <c r="FC83" s="10" cm="1">
        <f t="array" aca="1" ref="FC83" ca="1">IF(ISNA(F83),0,OFFSET(INDIRECT("'"&amp;EL$67&amp;"'!h1"),F83-1,))</f>
        <v>1</v>
      </c>
      <c r="FD83" s="10" cm="1">
        <f t="array" aca="1" ref="FD83" ca="1">IF(ISNA(G83),0,OFFSET(INDIRECT("'"&amp;EM$67&amp;"'!h1"),G83-1,))</f>
        <v>1</v>
      </c>
      <c r="FE83" s="10" cm="1">
        <f t="array" aca="1" ref="FE83" ca="1">IF(ISNA(H83),0,OFFSET(INDIRECT("'"&amp;EN$67&amp;"'!h1"),H83-1,))</f>
        <v>1</v>
      </c>
      <c r="FF83" s="10" cm="1">
        <f t="array" aca="1" ref="FF83" ca="1">IF(ISNA(I83),0,OFFSET(INDIRECT("'"&amp;EO$67&amp;"'!h1"),I83-1,))</f>
        <v>1</v>
      </c>
      <c r="FG83" s="10" cm="1">
        <f t="array" aca="1" ref="FG83" ca="1">IF(ISNA(J83),0,OFFSET(INDIRECT("'"&amp;EP$67&amp;"'!h1"),J83-1,))</f>
        <v>1</v>
      </c>
      <c r="FH83" s="10" cm="1">
        <f t="array" aca="1" ref="FH83" ca="1">IF(ISNA(K83),0,OFFSET(INDIRECT("'"&amp;EQ$67&amp;"'!h1"),K83-1,))</f>
        <v>10000</v>
      </c>
      <c r="FI83" s="10" cm="1">
        <f t="array" aca="1" ref="FI83" ca="1">IF(ISNA(L83),0,OFFSET(INDIRECT("'"&amp;ER$67&amp;"'!h1"),L83-1,))</f>
        <v>10000</v>
      </c>
      <c r="FJ83" s="10" cm="1">
        <f t="array" aca="1" ref="FJ83" ca="1">IF(ISNA(M83),0,OFFSET(INDIRECT("'"&amp;ES$67&amp;"'!h1"),M83-1,))</f>
        <v>10000</v>
      </c>
      <c r="FK83" s="10" cm="1">
        <f t="array" aca="1" ref="FK83" ca="1">IF(ISNA(N83),0,OFFSET(INDIRECT("'"&amp;ET$67&amp;"'!h1"),N83-1,))</f>
        <v>1</v>
      </c>
      <c r="FL83" s="10" cm="1">
        <f t="array" aca="1" ref="FL83" ca="1">IF(ISNA(O83),0,OFFSET(INDIRECT("'"&amp;EU$67&amp;"'!h1"),O83-1,))</f>
        <v>1</v>
      </c>
      <c r="FM83" s="10" cm="1">
        <f t="array" aca="1" ref="FM83" ca="1">IF(ISNA(P83),0,OFFSET(INDIRECT("'"&amp;EV$67&amp;"'!h1"),P83-1,))</f>
        <v>7</v>
      </c>
      <c r="FN83" s="10"/>
      <c r="FO83" s="10"/>
      <c r="FP83" s="10"/>
      <c r="FQ83" s="10"/>
      <c r="FS83">
        <f t="shared" ca="1" si="61"/>
        <v>23</v>
      </c>
      <c r="FT83">
        <f t="shared" ca="1" si="62"/>
        <v>1.0461937710642799</v>
      </c>
      <c r="FU83">
        <f t="shared" ca="1" si="63"/>
        <v>9701</v>
      </c>
      <c r="FV83">
        <f t="shared" ca="1" si="64"/>
        <v>10000</v>
      </c>
      <c r="FW83" s="4">
        <f t="shared" ca="1" si="65"/>
        <v>0.97009999999999996</v>
      </c>
      <c r="FX83" s="5">
        <f t="shared" ca="1" si="66"/>
        <v>1.0784391001590351E-4</v>
      </c>
      <c r="FZ83" s="13">
        <f t="shared" ca="1" si="50"/>
        <v>23</v>
      </c>
      <c r="GA83" s="23">
        <f t="shared" ca="1" si="67"/>
        <v>0</v>
      </c>
      <c r="GB83" s="23">
        <f t="shared" ca="1" si="51"/>
        <v>0</v>
      </c>
      <c r="GC83" s="23">
        <f t="shared" ca="1" si="51"/>
        <v>0</v>
      </c>
      <c r="GD83" s="23">
        <f t="shared" ca="1" si="51"/>
        <v>0</v>
      </c>
      <c r="GE83" s="23">
        <f t="shared" ca="1" si="51"/>
        <v>0</v>
      </c>
      <c r="GF83" s="23">
        <f t="shared" ca="1" si="51"/>
        <v>0</v>
      </c>
      <c r="GG83" s="23">
        <f t="shared" ca="1" si="51"/>
        <v>0</v>
      </c>
      <c r="GH83" s="23">
        <f t="shared" ca="1" si="51"/>
        <v>0</v>
      </c>
      <c r="GI83" s="23">
        <f t="shared" ca="1" si="51"/>
        <v>0</v>
      </c>
      <c r="GJ83" s="23" t="e">
        <f t="shared" ca="1" si="51"/>
        <v>#N/A</v>
      </c>
      <c r="GK83" s="23" t="e">
        <f t="shared" ca="1" si="51"/>
        <v>#N/A</v>
      </c>
      <c r="GL83" s="23">
        <f t="shared" ca="1" si="51"/>
        <v>0</v>
      </c>
      <c r="GM83" s="23"/>
      <c r="GN83">
        <f t="shared" ca="1" si="68"/>
        <v>23</v>
      </c>
      <c r="GO83" s="5">
        <f t="shared" ca="1" si="69"/>
        <v>4.3381487999994299E-2</v>
      </c>
      <c r="GP83" s="5">
        <f t="shared" ca="1" si="52"/>
        <v>0.111502882999985</v>
      </c>
      <c r="GQ83" s="5">
        <f t="shared" ca="1" si="52"/>
        <v>1.9609572999996699E-2</v>
      </c>
      <c r="GR83" s="5">
        <f t="shared" ca="1" si="52"/>
        <v>5.6759927999991001E-2</v>
      </c>
      <c r="GS83" s="5">
        <f t="shared" ca="1" si="52"/>
        <v>5.8467582995945101E-2</v>
      </c>
      <c r="GT83" s="5">
        <f t="shared" ca="1" si="70"/>
        <v>4.3490824755281203E-2</v>
      </c>
      <c r="GU83" s="5">
        <f t="shared" ca="1" si="53"/>
        <v>1.0784391001590351E-4</v>
      </c>
      <c r="GV83" s="5">
        <f t="shared" ca="1" si="53"/>
        <v>1.6717865815709141E-4</v>
      </c>
      <c r="GW83" s="5">
        <f t="shared" ca="1" si="53"/>
        <v>1.9437246414371276E-3</v>
      </c>
      <c r="GX83" s="5" t="e">
        <f t="shared" ca="1" si="53"/>
        <v>#N/A</v>
      </c>
      <c r="GY83" s="5" t="e">
        <f t="shared" ca="1" si="53"/>
        <v>#N/A</v>
      </c>
      <c r="GZ83" s="5">
        <f t="shared" ca="1" si="53"/>
        <v>1.8722441513091301E-2</v>
      </c>
      <c r="HB83" s="13">
        <f t="shared" ca="1" si="54"/>
        <v>23</v>
      </c>
      <c r="HC83" s="4">
        <f t="shared" ca="1" si="71"/>
        <v>1</v>
      </c>
      <c r="HD83" s="4">
        <f t="shared" ca="1" si="55"/>
        <v>1</v>
      </c>
      <c r="HE83" s="4">
        <f t="shared" ca="1" si="55"/>
        <v>1</v>
      </c>
      <c r="HF83" s="4">
        <f t="shared" ca="1" si="55"/>
        <v>1</v>
      </c>
      <c r="HG83" s="4">
        <f t="shared" ca="1" si="55"/>
        <v>1</v>
      </c>
      <c r="HH83" s="4">
        <f t="shared" ca="1" si="55"/>
        <v>1</v>
      </c>
      <c r="HI83" s="4">
        <f t="shared" ca="1" si="55"/>
        <v>0.97009999999999996</v>
      </c>
      <c r="HJ83" s="4">
        <f t="shared" ca="1" si="55"/>
        <v>0.99980000000000002</v>
      </c>
      <c r="HK83" s="4">
        <f t="shared" ca="1" si="55"/>
        <v>0.92949999999999999</v>
      </c>
      <c r="HL83" s="4">
        <f t="shared" ca="1" si="55"/>
        <v>0</v>
      </c>
      <c r="HM83" s="4">
        <f t="shared" ca="1" si="55"/>
        <v>0</v>
      </c>
      <c r="HN83" s="4">
        <f t="shared" ca="1" si="55"/>
        <v>0.2857142857142857</v>
      </c>
    </row>
    <row r="84" spans="1:222" x14ac:dyDescent="0.2">
      <c r="A84" t="str" cm="1">
        <f t="array" aca="1" ref="A84" ca="1">INDIRECT($A$67&amp;"!A"&amp;ROW(C17)+$B$64)</f>
        <v>[[24,3,13]]</v>
      </c>
      <c r="B84" cm="1">
        <f t="array" aca="1" ref="B84" ca="1">INDIRECT($A$67&amp;"!b"&amp;ROW(D17)+$B$64)</f>
        <v>24</v>
      </c>
      <c r="C84">
        <f t="shared" ca="1" si="56"/>
        <v>13</v>
      </c>
      <c r="E84">
        <f t="shared" ref="E84:P105" ca="1" si="72">MATCH($A84,INDIRECT("'"&amp;E$67&amp;"'!A:A"),)</f>
        <v>41</v>
      </c>
      <c r="F84">
        <f t="shared" ca="1" si="72"/>
        <v>42</v>
      </c>
      <c r="G84">
        <f t="shared" ca="1" si="72"/>
        <v>41</v>
      </c>
      <c r="H84">
        <f t="shared" ca="1" si="72"/>
        <v>41</v>
      </c>
      <c r="I84">
        <f t="shared" ca="1" si="72"/>
        <v>44</v>
      </c>
      <c r="J84">
        <f t="shared" ca="1" si="72"/>
        <v>41</v>
      </c>
      <c r="K84">
        <f t="shared" ca="1" si="72"/>
        <v>48</v>
      </c>
      <c r="L84">
        <f t="shared" ca="1" si="72"/>
        <v>50</v>
      </c>
      <c r="M84">
        <f t="shared" ca="1" si="72"/>
        <v>47</v>
      </c>
      <c r="N84">
        <f t="shared" ca="1" si="72"/>
        <v>45</v>
      </c>
      <c r="O84">
        <f t="shared" ca="1" si="72"/>
        <v>45</v>
      </c>
      <c r="P84">
        <f t="shared" ca="1" si="72"/>
        <v>45</v>
      </c>
      <c r="V84" cm="1">
        <f t="array" aca="1" ref="V84" ca="1">IF(ISNA(E84),,OFFSET(INDIRECT("'"&amp;V$67&amp;"'!d1"),E84-1,))</f>
        <v>13</v>
      </c>
      <c r="W84" cm="1">
        <f t="array" aca="1" ref="W84" ca="1">IF(ISNA(F84),,OFFSET(INDIRECT("'"&amp;W$67&amp;"'!d1"),F84-1,))</f>
        <v>13</v>
      </c>
      <c r="X84" cm="1">
        <f t="array" aca="1" ref="X84" ca="1">IF(ISNA(G84),,OFFSET(INDIRECT("'"&amp;X$67&amp;"'!d1"),G84-1,))</f>
        <v>13</v>
      </c>
      <c r="Y84" cm="1">
        <f t="array" aca="1" ref="Y84" ca="1">IF(ISNA(H84),,OFFSET(INDIRECT("'"&amp;Y$67&amp;"'!d1"),H84-1,))</f>
        <v>13</v>
      </c>
      <c r="Z84" cm="1">
        <f t="array" aca="1" ref="Z84" ca="1">IF(ISNA(I84),,OFFSET(INDIRECT("'"&amp;Z$67&amp;"'!d1"),I84-1,))</f>
        <v>13</v>
      </c>
      <c r="AA84" cm="1">
        <f t="array" aca="1" ref="AA84" ca="1">IF(ISNA(J84),,OFFSET(INDIRECT("'"&amp;AA$67&amp;"'!d1"),J84-1,))</f>
        <v>13</v>
      </c>
      <c r="AB84" cm="1">
        <f t="array" aca="1" ref="AB84" ca="1">IF(ISNA(K84),,OFFSET(INDIRECT("'"&amp;AB$67&amp;"'!d1"),K84-1,))</f>
        <v>13</v>
      </c>
      <c r="AC84" cm="1">
        <f t="array" aca="1" ref="AC84" ca="1">IF(ISNA(L84),,OFFSET(INDIRECT("'"&amp;AC$67&amp;"'!d1"),L84-1,))</f>
        <v>13</v>
      </c>
      <c r="AD84" cm="1">
        <f t="array" aca="1" ref="AD84" ca="1">IF(ISNA(M84),,OFFSET(INDIRECT("'"&amp;AD$67&amp;"'!d1"),M84-1,))</f>
        <v>13</v>
      </c>
      <c r="AE84" cm="1">
        <f t="array" aca="1" ref="AE84" ca="1">IF(ISNA(N84),,OFFSET(INDIRECT("'"&amp;AE$67&amp;"'!d1"),N84-1,))</f>
        <v>0</v>
      </c>
      <c r="AF84" cm="1">
        <f t="array" aca="1" ref="AF84" ca="1">IF(ISNA(O84),,OFFSET(INDIRECT("'"&amp;AF$67&amp;"'!d1"),O84-1,))</f>
        <v>0</v>
      </c>
      <c r="AG84" cm="1">
        <f t="array" aca="1" ref="AG84" ca="1">IF(ISNA(P84),,OFFSET(INDIRECT("'"&amp;AG$67&amp;"'!d1"),P84-1,))</f>
        <v>0</v>
      </c>
      <c r="AM84">
        <f t="shared" ca="1" si="57"/>
        <v>1</v>
      </c>
      <c r="AN84">
        <f t="shared" ca="1" si="57"/>
        <v>1</v>
      </c>
      <c r="AO84">
        <f t="shared" ca="1" si="57"/>
        <v>1</v>
      </c>
      <c r="AP84">
        <f t="shared" ca="1" si="57"/>
        <v>1</v>
      </c>
      <c r="AQ84">
        <f t="shared" ca="1" si="58"/>
        <v>1</v>
      </c>
      <c r="AV84" t="b">
        <f t="shared" ca="1" si="59"/>
        <v>1</v>
      </c>
      <c r="AW84" t="b">
        <f t="shared" ca="1" si="45"/>
        <v>1</v>
      </c>
      <c r="AX84" t="b">
        <f t="shared" ca="1" si="45"/>
        <v>1</v>
      </c>
      <c r="AY84" t="b">
        <f t="shared" ca="1" si="45"/>
        <v>1</v>
      </c>
      <c r="AZ84" t="b">
        <f t="shared" ca="1" si="45"/>
        <v>1</v>
      </c>
      <c r="BD84">
        <f t="shared" ca="1" si="46"/>
        <v>1</v>
      </c>
      <c r="BE84">
        <f t="shared" ca="1" si="46"/>
        <v>1</v>
      </c>
      <c r="BF84">
        <f t="shared" ca="1" si="46"/>
        <v>1</v>
      </c>
      <c r="BG84">
        <f t="shared" ca="1" si="46"/>
        <v>1</v>
      </c>
      <c r="BH84">
        <f t="shared" ca="1" si="46"/>
        <v>1</v>
      </c>
      <c r="BI84">
        <f t="shared" ca="1" si="46"/>
        <v>1</v>
      </c>
      <c r="BJ84">
        <f t="shared" ca="1" si="46"/>
        <v>1</v>
      </c>
      <c r="BK84">
        <f t="shared" ca="1" si="46"/>
        <v>1</v>
      </c>
      <c r="BL84">
        <f t="shared" ca="1" si="46"/>
        <v>1</v>
      </c>
      <c r="BM84">
        <f t="shared" ca="1" si="46"/>
        <v>0</v>
      </c>
      <c r="BN84">
        <f t="shared" ca="1" si="46"/>
        <v>0</v>
      </c>
      <c r="BO84">
        <f t="shared" ca="1" si="46"/>
        <v>0</v>
      </c>
      <c r="BU84">
        <f t="shared" ca="1" si="47"/>
        <v>13</v>
      </c>
      <c r="BV84">
        <f t="shared" ca="1" si="47"/>
        <v>13</v>
      </c>
      <c r="BW84">
        <f t="shared" ca="1" si="47"/>
        <v>13</v>
      </c>
      <c r="BX84">
        <f t="shared" ca="1" si="47"/>
        <v>13</v>
      </c>
      <c r="BY84">
        <f t="shared" ca="1" si="47"/>
        <v>13</v>
      </c>
      <c r="BZ84">
        <f t="shared" ca="1" si="47"/>
        <v>13</v>
      </c>
      <c r="CA84">
        <f t="shared" ca="1" si="47"/>
        <v>13</v>
      </c>
      <c r="CB84">
        <f t="shared" ca="1" si="47"/>
        <v>13</v>
      </c>
      <c r="CC84">
        <f t="shared" ca="1" si="47"/>
        <v>13</v>
      </c>
      <c r="CD84">
        <f t="shared" ca="1" si="47"/>
        <v>24</v>
      </c>
      <c r="CE84">
        <f t="shared" ca="1" si="47"/>
        <v>24</v>
      </c>
      <c r="CF84">
        <f t="shared" ca="1" si="47"/>
        <v>24</v>
      </c>
      <c r="CL84">
        <f t="shared" ca="1" si="48"/>
        <v>1</v>
      </c>
      <c r="CM84">
        <f t="shared" ca="1" si="48"/>
        <v>1</v>
      </c>
      <c r="CN84">
        <f t="shared" ca="1" si="48"/>
        <v>1</v>
      </c>
      <c r="CO84">
        <f t="shared" ca="1" si="48"/>
        <v>1</v>
      </c>
      <c r="CP84">
        <f t="shared" ca="1" si="48"/>
        <v>1</v>
      </c>
      <c r="CQ84">
        <f t="shared" ca="1" si="48"/>
        <v>1</v>
      </c>
      <c r="CR84">
        <f t="shared" ca="1" si="48"/>
        <v>1</v>
      </c>
      <c r="CS84">
        <f t="shared" ca="1" si="48"/>
        <v>1</v>
      </c>
      <c r="CT84">
        <f t="shared" ca="1" si="48"/>
        <v>1</v>
      </c>
      <c r="CU84">
        <f t="shared" ca="1" si="48"/>
        <v>0</v>
      </c>
      <c r="CV84">
        <f t="shared" ca="1" si="48"/>
        <v>0</v>
      </c>
      <c r="CW84">
        <f t="shared" ca="1" si="48"/>
        <v>0</v>
      </c>
      <c r="DC84" cm="1">
        <f t="array" aca="1" ref="DC84" ca="1">IF(ISNA(E84),,OFFSET(INDIRECT("'"&amp;DT$67&amp;"'!f1"),E84-1,))*1</f>
        <v>3.3113047000000499E-2</v>
      </c>
      <c r="DD84" cm="1">
        <f t="array" aca="1" ref="DD84" ca="1">IF(ISNA(F84),,OFFSET(INDIRECT("'"&amp;DU$67&amp;"'!f1"),F84-1,))*1</f>
        <v>4.8861657000003299E-2</v>
      </c>
      <c r="DE84" cm="1">
        <f t="array" aca="1" ref="DE84" ca="1">IF(ISNA(G84),,OFFSET(INDIRECT("'"&amp;DV$67&amp;"'!f1"),G84-1,))*1</f>
        <v>1.4425192999993799E-2</v>
      </c>
      <c r="DF84" cm="1">
        <f t="array" aca="1" ref="DF84" ca="1">IF(ISNA(H84),,OFFSET(INDIRECT("'"&amp;DW$67&amp;"'!f1"),H84-1,))*1</f>
        <v>5.4202248999985103E-2</v>
      </c>
      <c r="DG84" cm="1">
        <f t="array" aca="1" ref="DG84" ca="1">IF(ISNA(I84),,OFFSET(INDIRECT("'"&amp;DX$67&amp;"'!f1"),I84-1,))*1</f>
        <v>5.3659417004382703E-2</v>
      </c>
      <c r="DH84" cm="1">
        <f t="array" aca="1" ref="DH84" ca="1">IF(ISNA(J84),,OFFSET(INDIRECT("'"&amp;DY$67&amp;"'!f1"),J84-1,))*1</f>
        <v>0.10712672118097499</v>
      </c>
      <c r="DI84" cm="1">
        <f t="array" aca="1" ref="DI84" ca="1">IF(ISNA(K84),,OFFSET(INDIRECT("'"&amp;DZ$67&amp;"'!f1"),K84-1,))*1</f>
        <v>1.0415456807240799</v>
      </c>
      <c r="DJ84" cm="1">
        <f t="array" aca="1" ref="DJ84" ca="1">IF(ISNA(L84),,OFFSET(INDIRECT("'"&amp;EA$67&amp;"'!f1"),L84-1,))*1</f>
        <v>1.6248113065958001</v>
      </c>
      <c r="DK84" cm="1">
        <f t="array" aca="1" ref="DK84" ca="1">IF(ISNA(M84),,OFFSET(INDIRECT("'"&amp;EB$67&amp;"'!f1"),M84-1,))*1</f>
        <v>11.625775606837101</v>
      </c>
      <c r="DL84" cm="1">
        <f t="array" aca="1" ref="DL84" ca="1">IF(ISNA(N84),,OFFSET(INDIRECT("'"&amp;EC$67&amp;"'!f1"),N84-1,))*1</f>
        <v>3.58123425394296E-3</v>
      </c>
      <c r="DM84" cm="1">
        <f t="array" aca="1" ref="DM84" ca="1">IF(ISNA(O84),,OFFSET(INDIRECT("'"&amp;ED$67&amp;"'!f1"),O84-1,))*1</f>
        <v>3.3065229654312099E-3</v>
      </c>
      <c r="DN84" cm="1">
        <f t="array" aca="1" ref="DN84" ca="1">IF(ISNA(P84),,OFFSET(INDIRECT("'"&amp;EE$67&amp;"'!f1"),P84-1,))*1</f>
        <v>4.8030121251940701E-3</v>
      </c>
      <c r="DT84">
        <f t="shared" ca="1" si="60"/>
        <v>1</v>
      </c>
      <c r="DU84">
        <f t="shared" ca="1" si="60"/>
        <v>1</v>
      </c>
      <c r="DV84">
        <f t="shared" ca="1" si="60"/>
        <v>1</v>
      </c>
      <c r="DW84">
        <f t="shared" ca="1" si="60"/>
        <v>1</v>
      </c>
      <c r="DX84">
        <f t="shared" ca="1" si="60"/>
        <v>1</v>
      </c>
      <c r="DY84">
        <f t="shared" ca="1" si="60"/>
        <v>1</v>
      </c>
      <c r="DZ84">
        <f t="shared" ca="1" si="60"/>
        <v>9304</v>
      </c>
      <c r="EA84">
        <f t="shared" ca="1" si="60"/>
        <v>9988</v>
      </c>
      <c r="EB84">
        <f t="shared" ca="1" si="60"/>
        <v>7640</v>
      </c>
      <c r="EC84">
        <f t="shared" ca="1" si="60"/>
        <v>0</v>
      </c>
      <c r="ED84">
        <f t="shared" ca="1" si="60"/>
        <v>0</v>
      </c>
      <c r="EE84">
        <f t="shared" ca="1" si="60"/>
        <v>0</v>
      </c>
      <c r="EK84" cm="1">
        <f t="array" aca="1" ref="EK84" ca="1">IF(ISNA(E84),0,OFFSET(INDIRECT("'"&amp;EK$67&amp;"'!g1"),E84-1,)*CL84)</f>
        <v>1</v>
      </c>
      <c r="EL84" cm="1">
        <f t="array" aca="1" ref="EL84" ca="1">IF(ISNA(F84),0,OFFSET(INDIRECT("'"&amp;EL$67&amp;"'!g1"),F84-1,)*CM84)</f>
        <v>1</v>
      </c>
      <c r="EM84" cm="1">
        <f t="array" aca="1" ref="EM84" ca="1">IF(ISNA(G84),0,OFFSET(INDIRECT("'"&amp;EM$67&amp;"'!g1"),G84-1,)*CN84)</f>
        <v>1</v>
      </c>
      <c r="EN84" cm="1">
        <f t="array" aca="1" ref="EN84" ca="1">IF(ISNA(H84),0,OFFSET(INDIRECT("'"&amp;EN$67&amp;"'!g1"),H84-1,)*CO84)</f>
        <v>1</v>
      </c>
      <c r="EO84" cm="1">
        <f t="array" aca="1" ref="EO84" ca="1">IF(ISNA(I84),0,OFFSET(INDIRECT("'"&amp;EO$67&amp;"'!g1"),I84-1,)*CP84)</f>
        <v>1</v>
      </c>
      <c r="EP84" cm="1">
        <f t="array" aca="1" ref="EP84" ca="1">IF(ISNA(J84),0,OFFSET(INDIRECT("'"&amp;EP$67&amp;"'!g1"),J84-1,)*CQ84)</f>
        <v>1</v>
      </c>
      <c r="EQ84" cm="1">
        <f t="array" aca="1" ref="EQ84" ca="1">IF(ISNA(K84),0,OFFSET(INDIRECT("'"&amp;EQ$67&amp;"'!g1"),K84-1,)*CR84)</f>
        <v>9304</v>
      </c>
      <c r="ER84" cm="1">
        <f t="array" aca="1" ref="ER84" ca="1">IF(ISNA(L84),0,OFFSET(INDIRECT("'"&amp;ER$67&amp;"'!g1"),L84-1,)*CS84)</f>
        <v>9988</v>
      </c>
      <c r="ES84" cm="1">
        <f t="array" aca="1" ref="ES84" ca="1">IF(ISNA(M84),0,OFFSET(INDIRECT("'"&amp;ES$67&amp;"'!g1"),M84-1,)*CT84)</f>
        <v>7640</v>
      </c>
      <c r="ET84" cm="1">
        <f t="array" aca="1" ref="ET84" ca="1">IF(ISNA(N84),0,OFFSET(INDIRECT("'"&amp;ET$67&amp;"'!g1"),N84-1,)*CU84)</f>
        <v>0</v>
      </c>
      <c r="EU84" cm="1">
        <f t="array" aca="1" ref="EU84" ca="1">IF(ISNA(O84),0,OFFSET(INDIRECT("'"&amp;EU$67&amp;"'!g1"),O84-1,)*CV84)</f>
        <v>0</v>
      </c>
      <c r="EV84" cm="1">
        <f t="array" aca="1" ref="EV84" ca="1">IF(ISNA(P84),0,OFFSET(INDIRECT("'"&amp;EV$67&amp;"'!g1"),P84-1,)*CW84)</f>
        <v>0</v>
      </c>
      <c r="FB84" s="10" cm="1">
        <f t="array" aca="1" ref="FB84" ca="1">IF(ISNA(E84),0,OFFSET(INDIRECT("'"&amp;EK$67&amp;"'!h1"),E84-1,))</f>
        <v>1</v>
      </c>
      <c r="FC84" s="10" cm="1">
        <f t="array" aca="1" ref="FC84" ca="1">IF(ISNA(F84),0,OFFSET(INDIRECT("'"&amp;EL$67&amp;"'!h1"),F84-1,))</f>
        <v>1</v>
      </c>
      <c r="FD84" s="10" cm="1">
        <f t="array" aca="1" ref="FD84" ca="1">IF(ISNA(G84),0,OFFSET(INDIRECT("'"&amp;EM$67&amp;"'!h1"),G84-1,))</f>
        <v>1</v>
      </c>
      <c r="FE84" s="10" cm="1">
        <f t="array" aca="1" ref="FE84" ca="1">IF(ISNA(H84),0,OFFSET(INDIRECT("'"&amp;EN$67&amp;"'!h1"),H84-1,))</f>
        <v>1</v>
      </c>
      <c r="FF84" s="10" cm="1">
        <f t="array" aca="1" ref="FF84" ca="1">IF(ISNA(I84),0,OFFSET(INDIRECT("'"&amp;EO$67&amp;"'!h1"),I84-1,))</f>
        <v>1</v>
      </c>
      <c r="FG84" s="10" cm="1">
        <f t="array" aca="1" ref="FG84" ca="1">IF(ISNA(J84),0,OFFSET(INDIRECT("'"&amp;EP$67&amp;"'!h1"),J84-1,))</f>
        <v>1</v>
      </c>
      <c r="FH84" s="10" cm="1">
        <f t="array" aca="1" ref="FH84" ca="1">IF(ISNA(K84),0,OFFSET(INDIRECT("'"&amp;EQ$67&amp;"'!h1"),K84-1,))</f>
        <v>10000</v>
      </c>
      <c r="FI84" s="10" cm="1">
        <f t="array" aca="1" ref="FI84" ca="1">IF(ISNA(L84),0,OFFSET(INDIRECT("'"&amp;ER$67&amp;"'!h1"),L84-1,))</f>
        <v>10000</v>
      </c>
      <c r="FJ84" s="10" cm="1">
        <f t="array" aca="1" ref="FJ84" ca="1">IF(ISNA(M84),0,OFFSET(INDIRECT("'"&amp;ES$67&amp;"'!h1"),M84-1,))</f>
        <v>10000</v>
      </c>
      <c r="FK84" s="10" cm="1">
        <f t="array" aca="1" ref="FK84" ca="1">IF(ISNA(N84),0,OFFSET(INDIRECT("'"&amp;ET$67&amp;"'!h1"),N84-1,))</f>
        <v>1</v>
      </c>
      <c r="FL84" s="10" cm="1">
        <f t="array" aca="1" ref="FL84" ca="1">IF(ISNA(O84),0,OFFSET(INDIRECT("'"&amp;EU$67&amp;"'!h1"),O84-1,))</f>
        <v>1</v>
      </c>
      <c r="FM84" s="10" cm="1">
        <f t="array" aca="1" ref="FM84" ca="1">IF(ISNA(P84),0,OFFSET(INDIRECT("'"&amp;EV$67&amp;"'!h1"),P84-1,))</f>
        <v>9</v>
      </c>
      <c r="FN84" s="10"/>
      <c r="FO84" s="10"/>
      <c r="FP84" s="10"/>
      <c r="FQ84" s="10"/>
      <c r="FS84">
        <f t="shared" ca="1" si="61"/>
        <v>24</v>
      </c>
      <c r="FT84">
        <f t="shared" ca="1" si="62"/>
        <v>1.0415456807240799</v>
      </c>
      <c r="FU84">
        <f t="shared" ca="1" si="63"/>
        <v>9304</v>
      </c>
      <c r="FV84">
        <f t="shared" ca="1" si="64"/>
        <v>10000</v>
      </c>
      <c r="FW84" s="4">
        <f t="shared" ca="1" si="65"/>
        <v>0.9304</v>
      </c>
      <c r="FX84" s="5">
        <f t="shared" ca="1" si="66"/>
        <v>1.1194601039596732E-4</v>
      </c>
      <c r="FZ84" s="13">
        <f t="shared" ca="1" si="50"/>
        <v>24</v>
      </c>
      <c r="GA84" s="23">
        <f t="shared" ca="1" si="67"/>
        <v>0</v>
      </c>
      <c r="GB84" s="23">
        <f t="shared" ca="1" si="51"/>
        <v>0</v>
      </c>
      <c r="GC84" s="23">
        <f t="shared" ca="1" si="51"/>
        <v>0</v>
      </c>
      <c r="GD84" s="23">
        <f t="shared" ca="1" si="51"/>
        <v>0</v>
      </c>
      <c r="GE84" s="23">
        <f t="shared" ca="1" si="51"/>
        <v>0</v>
      </c>
      <c r="GF84" s="23">
        <f t="shared" ca="1" si="51"/>
        <v>0</v>
      </c>
      <c r="GG84" s="23">
        <f t="shared" ca="1" si="51"/>
        <v>0</v>
      </c>
      <c r="GH84" s="23">
        <f t="shared" ca="1" si="51"/>
        <v>0</v>
      </c>
      <c r="GI84" s="23">
        <f t="shared" ca="1" si="51"/>
        <v>0</v>
      </c>
      <c r="GJ84" s="23" t="e">
        <f t="shared" ca="1" si="51"/>
        <v>#N/A</v>
      </c>
      <c r="GK84" s="23" t="e">
        <f t="shared" ca="1" si="51"/>
        <v>#N/A</v>
      </c>
      <c r="GL84" s="23" t="e">
        <f t="shared" ca="1" si="51"/>
        <v>#N/A</v>
      </c>
      <c r="GM84" s="23"/>
      <c r="GN84">
        <f t="shared" ca="1" si="68"/>
        <v>24</v>
      </c>
      <c r="GO84" s="5">
        <f t="shared" ca="1" si="69"/>
        <v>3.3113047000000499E-2</v>
      </c>
      <c r="GP84" s="5">
        <f t="shared" ca="1" si="69"/>
        <v>4.8861657000003299E-2</v>
      </c>
      <c r="GQ84" s="5">
        <f t="shared" ca="1" si="69"/>
        <v>1.4425192999993799E-2</v>
      </c>
      <c r="GR84" s="5">
        <f t="shared" ca="1" si="69"/>
        <v>5.4202248999985103E-2</v>
      </c>
      <c r="GS84" s="5">
        <f t="shared" ca="1" si="69"/>
        <v>5.3659417004382703E-2</v>
      </c>
      <c r="GT84" s="5">
        <f t="shared" ca="1" si="70"/>
        <v>0.10712672118097499</v>
      </c>
      <c r="GU84" s="5">
        <f t="shared" ca="1" si="70"/>
        <v>1.1194601039596732E-4</v>
      </c>
      <c r="GV84" s="5">
        <f t="shared" ca="1" si="70"/>
        <v>1.6267634227030438E-4</v>
      </c>
      <c r="GW84" s="5">
        <f t="shared" ca="1" si="70"/>
        <v>1.5216983778582592E-3</v>
      </c>
      <c r="GX84" s="5" t="e">
        <f t="shared" ca="1" si="70"/>
        <v>#N/A</v>
      </c>
      <c r="GY84" s="5" t="e">
        <f t="shared" ca="1" si="70"/>
        <v>#N/A</v>
      </c>
      <c r="GZ84" s="5" t="e">
        <f t="shared" ca="1" si="70"/>
        <v>#N/A</v>
      </c>
      <c r="HB84" s="13">
        <f t="shared" ca="1" si="54"/>
        <v>24</v>
      </c>
      <c r="HC84" s="4">
        <f t="shared" ca="1" si="71"/>
        <v>1</v>
      </c>
      <c r="HD84" s="4">
        <f t="shared" ca="1" si="55"/>
        <v>1</v>
      </c>
      <c r="HE84" s="4">
        <f t="shared" ca="1" si="55"/>
        <v>1</v>
      </c>
      <c r="HF84" s="4">
        <f t="shared" ca="1" si="55"/>
        <v>1</v>
      </c>
      <c r="HG84" s="4">
        <f t="shared" ca="1" si="55"/>
        <v>1</v>
      </c>
      <c r="HH84" s="4">
        <f t="shared" ca="1" si="55"/>
        <v>1</v>
      </c>
      <c r="HI84" s="4">
        <f t="shared" ca="1" si="55"/>
        <v>0.9304</v>
      </c>
      <c r="HJ84" s="4">
        <f t="shared" ca="1" si="55"/>
        <v>0.99880000000000002</v>
      </c>
      <c r="HK84" s="4">
        <f t="shared" ca="1" si="55"/>
        <v>0.76400000000000001</v>
      </c>
      <c r="HL84" s="4">
        <f t="shared" ca="1" si="55"/>
        <v>0</v>
      </c>
      <c r="HM84" s="4">
        <f t="shared" ca="1" si="55"/>
        <v>0</v>
      </c>
      <c r="HN84" s="4">
        <f t="shared" ca="1" si="55"/>
        <v>0</v>
      </c>
    </row>
    <row r="85" spans="1:222" x14ac:dyDescent="0.2">
      <c r="A85" t="str" cm="1">
        <f t="array" aca="1" ref="A85" ca="1">INDIRECT($A$67&amp;"!A"&amp;ROW(C18)+$B$64)</f>
        <v>[[25,15,5]]</v>
      </c>
      <c r="B85" cm="1">
        <f t="array" aca="1" ref="B85" ca="1">INDIRECT($A$67&amp;"!b"&amp;ROW(D18)+$B$64)</f>
        <v>25</v>
      </c>
      <c r="C85">
        <f t="shared" ca="1" si="56"/>
        <v>5</v>
      </c>
      <c r="E85">
        <f t="shared" ca="1" si="72"/>
        <v>42</v>
      </c>
      <c r="F85">
        <f t="shared" ca="1" si="72"/>
        <v>43</v>
      </c>
      <c r="G85">
        <f t="shared" ca="1" si="72"/>
        <v>42</v>
      </c>
      <c r="H85">
        <f t="shared" ca="1" si="72"/>
        <v>42</v>
      </c>
      <c r="I85">
        <f t="shared" ca="1" si="72"/>
        <v>45</v>
      </c>
      <c r="J85">
        <f t="shared" ca="1" si="72"/>
        <v>42</v>
      </c>
      <c r="K85">
        <f t="shared" ca="1" si="72"/>
        <v>49</v>
      </c>
      <c r="L85">
        <f t="shared" ca="1" si="72"/>
        <v>51</v>
      </c>
      <c r="M85">
        <f t="shared" ca="1" si="72"/>
        <v>48</v>
      </c>
      <c r="N85">
        <f t="shared" ca="1" si="72"/>
        <v>46</v>
      </c>
      <c r="O85">
        <f t="shared" ca="1" si="72"/>
        <v>46</v>
      </c>
      <c r="P85">
        <f t="shared" ca="1" si="72"/>
        <v>46</v>
      </c>
      <c r="V85" cm="1">
        <f t="array" aca="1" ref="V85" ca="1">IF(ISNA(E85),,OFFSET(INDIRECT("'"&amp;V$67&amp;"'!d1"),E85-1,))</f>
        <v>5</v>
      </c>
      <c r="W85" cm="1">
        <f t="array" aca="1" ref="W85" ca="1">IF(ISNA(F85),,OFFSET(INDIRECT("'"&amp;W$67&amp;"'!d1"),F85-1,))</f>
        <v>5</v>
      </c>
      <c r="X85" cm="1">
        <f t="array" aca="1" ref="X85" ca="1">IF(ISNA(G85),,OFFSET(INDIRECT("'"&amp;X$67&amp;"'!d1"),G85-1,))</f>
        <v>5</v>
      </c>
      <c r="Y85" cm="1">
        <f t="array" aca="1" ref="Y85" ca="1">IF(ISNA(H85),,OFFSET(INDIRECT("'"&amp;Y$67&amp;"'!d1"),H85-1,))</f>
        <v>5</v>
      </c>
      <c r="Z85" cm="1">
        <f t="array" aca="1" ref="Z85" ca="1">IF(ISNA(I85),,OFFSET(INDIRECT("'"&amp;Z$67&amp;"'!d1"),I85-1,))</f>
        <v>5</v>
      </c>
      <c r="AA85" cm="1">
        <f t="array" aca="1" ref="AA85" ca="1">IF(ISNA(J85),,OFFSET(INDIRECT("'"&amp;AA$67&amp;"'!d1"),J85-1,))</f>
        <v>5</v>
      </c>
      <c r="AB85" cm="1">
        <f t="array" aca="1" ref="AB85" ca="1">IF(ISNA(K85),,OFFSET(INDIRECT("'"&amp;AB$67&amp;"'!d1"),K85-1,))</f>
        <v>5</v>
      </c>
      <c r="AC85" cm="1">
        <f t="array" aca="1" ref="AC85" ca="1">IF(ISNA(L85),,OFFSET(INDIRECT("'"&amp;AC$67&amp;"'!d1"),L85-1,))</f>
        <v>5</v>
      </c>
      <c r="AD85" cm="1">
        <f t="array" aca="1" ref="AD85" ca="1">IF(ISNA(M85),,OFFSET(INDIRECT("'"&amp;AD$67&amp;"'!d1"),M85-1,))</f>
        <v>5</v>
      </c>
      <c r="AE85" cm="1">
        <f t="array" aca="1" ref="AE85" ca="1">IF(ISNA(N85),,OFFSET(INDIRECT("'"&amp;AE$67&amp;"'!d1"),N85-1,))</f>
        <v>0</v>
      </c>
      <c r="AF85" cm="1">
        <f t="array" aca="1" ref="AF85" ca="1">IF(ISNA(O85),,OFFSET(INDIRECT("'"&amp;AF$67&amp;"'!d1"),O85-1,))</f>
        <v>5</v>
      </c>
      <c r="AG85" cm="1">
        <f t="array" aca="1" ref="AG85" ca="1">IF(ISNA(P85),,OFFSET(INDIRECT("'"&amp;AG$67&amp;"'!d1"),P85-1,))</f>
        <v>5</v>
      </c>
      <c r="AM85">
        <f t="shared" ca="1" si="57"/>
        <v>1</v>
      </c>
      <c r="AN85">
        <f t="shared" ca="1" si="57"/>
        <v>1</v>
      </c>
      <c r="AO85">
        <f t="shared" ca="1" si="57"/>
        <v>1</v>
      </c>
      <c r="AP85">
        <f t="shared" ca="1" si="57"/>
        <v>1</v>
      </c>
      <c r="AQ85">
        <f t="shared" ca="1" si="58"/>
        <v>1</v>
      </c>
      <c r="AV85" t="b">
        <f t="shared" ca="1" si="59"/>
        <v>1</v>
      </c>
      <c r="AW85" t="b">
        <f t="shared" ca="1" si="45"/>
        <v>1</v>
      </c>
      <c r="AX85" t="b">
        <f t="shared" ca="1" si="45"/>
        <v>1</v>
      </c>
      <c r="AY85" t="b">
        <f t="shared" ca="1" si="45"/>
        <v>1</v>
      </c>
      <c r="AZ85" t="b">
        <f t="shared" ca="1" si="45"/>
        <v>1</v>
      </c>
      <c r="BD85">
        <f t="shared" ca="1" si="46"/>
        <v>1</v>
      </c>
      <c r="BE85">
        <f t="shared" ca="1" si="46"/>
        <v>1</v>
      </c>
      <c r="BF85">
        <f t="shared" ca="1" si="46"/>
        <v>1</v>
      </c>
      <c r="BG85">
        <f t="shared" ca="1" si="46"/>
        <v>1</v>
      </c>
      <c r="BH85">
        <f t="shared" ca="1" si="46"/>
        <v>1</v>
      </c>
      <c r="BI85">
        <f t="shared" ca="1" si="46"/>
        <v>1</v>
      </c>
      <c r="BJ85">
        <f t="shared" ca="1" si="46"/>
        <v>1</v>
      </c>
      <c r="BK85">
        <f t="shared" ca="1" si="46"/>
        <v>1</v>
      </c>
      <c r="BL85">
        <f t="shared" ca="1" si="46"/>
        <v>1</v>
      </c>
      <c r="BM85">
        <f t="shared" ca="1" si="46"/>
        <v>0</v>
      </c>
      <c r="BN85">
        <f t="shared" ca="1" si="46"/>
        <v>1</v>
      </c>
      <c r="BO85">
        <f t="shared" ca="1" si="46"/>
        <v>1</v>
      </c>
      <c r="BU85">
        <f t="shared" ca="1" si="47"/>
        <v>5</v>
      </c>
      <c r="BV85">
        <f t="shared" ca="1" si="47"/>
        <v>5</v>
      </c>
      <c r="BW85">
        <f t="shared" ca="1" si="47"/>
        <v>5</v>
      </c>
      <c r="BX85">
        <f t="shared" ca="1" si="47"/>
        <v>5</v>
      </c>
      <c r="BY85">
        <f t="shared" ca="1" si="47"/>
        <v>5</v>
      </c>
      <c r="BZ85">
        <f t="shared" ca="1" si="47"/>
        <v>5</v>
      </c>
      <c r="CA85">
        <f t="shared" ca="1" si="47"/>
        <v>5</v>
      </c>
      <c r="CB85">
        <f t="shared" ca="1" si="47"/>
        <v>5</v>
      </c>
      <c r="CC85">
        <f t="shared" ca="1" si="47"/>
        <v>5</v>
      </c>
      <c r="CD85">
        <f t="shared" ca="1" si="47"/>
        <v>25</v>
      </c>
      <c r="CE85">
        <f t="shared" ca="1" si="47"/>
        <v>5</v>
      </c>
      <c r="CF85">
        <f t="shared" ca="1" si="47"/>
        <v>5</v>
      </c>
      <c r="CL85">
        <f t="shared" ca="1" si="48"/>
        <v>1</v>
      </c>
      <c r="CM85">
        <f t="shared" ca="1" si="48"/>
        <v>1</v>
      </c>
      <c r="CN85">
        <f t="shared" ca="1" si="48"/>
        <v>1</v>
      </c>
      <c r="CO85">
        <f t="shared" ca="1" si="48"/>
        <v>1</v>
      </c>
      <c r="CP85">
        <f t="shared" ca="1" si="48"/>
        <v>1</v>
      </c>
      <c r="CQ85">
        <f t="shared" ca="1" si="48"/>
        <v>1</v>
      </c>
      <c r="CR85">
        <f t="shared" ca="1" si="48"/>
        <v>1</v>
      </c>
      <c r="CS85">
        <f t="shared" ca="1" si="48"/>
        <v>1</v>
      </c>
      <c r="CT85">
        <f t="shared" ca="1" si="48"/>
        <v>1</v>
      </c>
      <c r="CU85">
        <f t="shared" ca="1" si="48"/>
        <v>0</v>
      </c>
      <c r="CV85">
        <f t="shared" ca="1" si="48"/>
        <v>1</v>
      </c>
      <c r="CW85">
        <f t="shared" ca="1" si="48"/>
        <v>1</v>
      </c>
      <c r="DC85" cm="1">
        <f t="array" aca="1" ref="DC85" ca="1">IF(ISNA(E85),,OFFSET(INDIRECT("'"&amp;DT$67&amp;"'!f1"),E85-1,))*1</f>
        <v>4.33340330000078E-2</v>
      </c>
      <c r="DD85" cm="1">
        <f t="array" aca="1" ref="DD85" ca="1">IF(ISNA(F85),,OFFSET(INDIRECT("'"&amp;DU$67&amp;"'!f1"),F85-1,))*1</f>
        <v>0.152609635999994</v>
      </c>
      <c r="DE85" cm="1">
        <f t="array" aca="1" ref="DE85" ca="1">IF(ISNA(G85),,OFFSET(INDIRECT("'"&amp;DV$67&amp;"'!f1"),G85-1,))*1</f>
        <v>2.2460295000001899E-2</v>
      </c>
      <c r="DF85" cm="1">
        <f t="array" aca="1" ref="DF85" ca="1">IF(ISNA(H85),,OFFSET(INDIRECT("'"&amp;DW$67&amp;"'!f1"),H85-1,))*1</f>
        <v>4.9835378000011497E-2</v>
      </c>
      <c r="DG85" cm="1">
        <f t="array" aca="1" ref="DG85" ca="1">IF(ISNA(I85),,OFFSET(INDIRECT("'"&amp;DX$67&amp;"'!f1"),I85-1,))*1</f>
        <v>5.6709999997110502E-2</v>
      </c>
      <c r="DH85" cm="1">
        <f t="array" aca="1" ref="DH85" ca="1">IF(ISNA(J85),,OFFSET(INDIRECT("'"&amp;DY$67&amp;"'!f1"),J85-1,))*1</f>
        <v>3.37369842454791E-2</v>
      </c>
      <c r="DI85" cm="1">
        <f t="array" aca="1" ref="DI85" ca="1">IF(ISNA(K85),,OFFSET(INDIRECT("'"&amp;DZ$67&amp;"'!f1"),K85-1,))*1</f>
        <v>1.06333400309085</v>
      </c>
      <c r="DJ85" cm="1">
        <f t="array" aca="1" ref="DJ85" ca="1">IF(ISNA(L85),,OFFSET(INDIRECT("'"&amp;EA$67&amp;"'!f1"),L85-1,))*1</f>
        <v>1.77794704213738</v>
      </c>
      <c r="DK85" cm="1">
        <f t="array" aca="1" ref="DK85" ca="1">IF(ISNA(M85),,OFFSET(INDIRECT("'"&amp;EB$67&amp;"'!f1"),M85-1,))*1</f>
        <v>20.619553651195002</v>
      </c>
      <c r="DL85" cm="1">
        <f t="array" aca="1" ref="DL85" ca="1">IF(ISNA(N85),,OFFSET(INDIRECT("'"&amp;EC$67&amp;"'!f1"),N85-1,))*1</f>
        <v>4.4099735096096897E-3</v>
      </c>
      <c r="DM85" cm="1">
        <f t="array" aca="1" ref="DM85" ca="1">IF(ISNA(O85),,OFFSET(INDIRECT("'"&amp;ED$67&amp;"'!f1"),O85-1,))*1</f>
        <v>4.5591229572892102E-3</v>
      </c>
      <c r="DN85" cm="1">
        <f t="array" aca="1" ref="DN85" ca="1">IF(ISNA(P85),,OFFSET(INDIRECT("'"&amp;EE$67&amp;"'!f1"),P85-1,))*1</f>
        <v>6.4278813078999502E-3</v>
      </c>
      <c r="DT85">
        <f t="shared" ca="1" si="60"/>
        <v>1</v>
      </c>
      <c r="DU85">
        <f t="shared" ca="1" si="60"/>
        <v>1</v>
      </c>
      <c r="DV85">
        <f t="shared" ca="1" si="60"/>
        <v>1</v>
      </c>
      <c r="DW85">
        <f t="shared" ca="1" si="60"/>
        <v>1</v>
      </c>
      <c r="DX85">
        <f t="shared" ca="1" si="60"/>
        <v>1</v>
      </c>
      <c r="DY85">
        <f t="shared" ca="1" si="60"/>
        <v>1</v>
      </c>
      <c r="DZ85">
        <f t="shared" ca="1" si="60"/>
        <v>9749</v>
      </c>
      <c r="EA85">
        <f t="shared" ca="1" si="60"/>
        <v>9999</v>
      </c>
      <c r="EB85">
        <f t="shared" ca="1" si="60"/>
        <v>9342</v>
      </c>
      <c r="EC85">
        <f t="shared" ca="1" si="60"/>
        <v>0</v>
      </c>
      <c r="ED85">
        <f t="shared" ca="1" si="60"/>
        <v>1</v>
      </c>
      <c r="EE85">
        <f t="shared" ca="1" si="60"/>
        <v>2</v>
      </c>
      <c r="EK85" cm="1">
        <f t="array" aca="1" ref="EK85" ca="1">IF(ISNA(E85),0,OFFSET(INDIRECT("'"&amp;EK$67&amp;"'!g1"),E85-1,)*CL85)</f>
        <v>1</v>
      </c>
      <c r="EL85" cm="1">
        <f t="array" aca="1" ref="EL85" ca="1">IF(ISNA(F85),0,OFFSET(INDIRECT("'"&amp;EL$67&amp;"'!g1"),F85-1,)*CM85)</f>
        <v>1</v>
      </c>
      <c r="EM85" cm="1">
        <f t="array" aca="1" ref="EM85" ca="1">IF(ISNA(G85),0,OFFSET(INDIRECT("'"&amp;EM$67&amp;"'!g1"),G85-1,)*CN85)</f>
        <v>1</v>
      </c>
      <c r="EN85" cm="1">
        <f t="array" aca="1" ref="EN85" ca="1">IF(ISNA(H85),0,OFFSET(INDIRECT("'"&amp;EN$67&amp;"'!g1"),H85-1,)*CO85)</f>
        <v>1</v>
      </c>
      <c r="EO85" cm="1">
        <f t="array" aca="1" ref="EO85" ca="1">IF(ISNA(I85),0,OFFSET(INDIRECT("'"&amp;EO$67&amp;"'!g1"),I85-1,)*CP85)</f>
        <v>1</v>
      </c>
      <c r="EP85" cm="1">
        <f t="array" aca="1" ref="EP85" ca="1">IF(ISNA(J85),0,OFFSET(INDIRECT("'"&amp;EP$67&amp;"'!g1"),J85-1,)*CQ85)</f>
        <v>1</v>
      </c>
      <c r="EQ85" cm="1">
        <f t="array" aca="1" ref="EQ85" ca="1">IF(ISNA(K85),0,OFFSET(INDIRECT("'"&amp;EQ$67&amp;"'!g1"),K85-1,)*CR85)</f>
        <v>9749</v>
      </c>
      <c r="ER85" cm="1">
        <f t="array" aca="1" ref="ER85" ca="1">IF(ISNA(L85),0,OFFSET(INDIRECT("'"&amp;ER$67&amp;"'!g1"),L85-1,)*CS85)</f>
        <v>9999</v>
      </c>
      <c r="ES85" cm="1">
        <f t="array" aca="1" ref="ES85" ca="1">IF(ISNA(M85),0,OFFSET(INDIRECT("'"&amp;ES$67&amp;"'!g1"),M85-1,)*CT85)</f>
        <v>9342</v>
      </c>
      <c r="ET85" cm="1">
        <f t="array" aca="1" ref="ET85" ca="1">IF(ISNA(N85),0,OFFSET(INDIRECT("'"&amp;ET$67&amp;"'!g1"),N85-1,)*CU85)</f>
        <v>0</v>
      </c>
      <c r="EU85" cm="1">
        <f t="array" aca="1" ref="EU85" ca="1">IF(ISNA(O85),0,OFFSET(INDIRECT("'"&amp;EU$67&amp;"'!g1"),O85-1,)*CV85)</f>
        <v>1</v>
      </c>
      <c r="EV85" cm="1">
        <f t="array" aca="1" ref="EV85" ca="1">IF(ISNA(P85),0,OFFSET(INDIRECT("'"&amp;EV$67&amp;"'!g1"),P85-1,)*CW85)</f>
        <v>2</v>
      </c>
      <c r="FB85" s="10" cm="1">
        <f t="array" aca="1" ref="FB85" ca="1">IF(ISNA(E85),0,OFFSET(INDIRECT("'"&amp;EK$67&amp;"'!h1"),E85-1,))</f>
        <v>1</v>
      </c>
      <c r="FC85" s="10" cm="1">
        <f t="array" aca="1" ref="FC85" ca="1">IF(ISNA(F85),0,OFFSET(INDIRECT("'"&amp;EL$67&amp;"'!h1"),F85-1,))</f>
        <v>1</v>
      </c>
      <c r="FD85" s="10" cm="1">
        <f t="array" aca="1" ref="FD85" ca="1">IF(ISNA(G85),0,OFFSET(INDIRECT("'"&amp;EM$67&amp;"'!h1"),G85-1,))</f>
        <v>1</v>
      </c>
      <c r="FE85" s="10" cm="1">
        <f t="array" aca="1" ref="FE85" ca="1">IF(ISNA(H85),0,OFFSET(INDIRECT("'"&amp;EN$67&amp;"'!h1"),H85-1,))</f>
        <v>1</v>
      </c>
      <c r="FF85" s="10" cm="1">
        <f t="array" aca="1" ref="FF85" ca="1">IF(ISNA(I85),0,OFFSET(INDIRECT("'"&amp;EO$67&amp;"'!h1"),I85-1,))</f>
        <v>1</v>
      </c>
      <c r="FG85" s="10" cm="1">
        <f t="array" aca="1" ref="FG85" ca="1">IF(ISNA(J85),0,OFFSET(INDIRECT("'"&amp;EP$67&amp;"'!h1"),J85-1,))</f>
        <v>1</v>
      </c>
      <c r="FH85" s="10" cm="1">
        <f t="array" aca="1" ref="FH85" ca="1">IF(ISNA(K85),0,OFFSET(INDIRECT("'"&amp;EQ$67&amp;"'!h1"),K85-1,))</f>
        <v>10000</v>
      </c>
      <c r="FI85" s="10" cm="1">
        <f t="array" aca="1" ref="FI85" ca="1">IF(ISNA(L85),0,OFFSET(INDIRECT("'"&amp;ER$67&amp;"'!h1"),L85-1,))</f>
        <v>10000</v>
      </c>
      <c r="FJ85" s="10" cm="1">
        <f t="array" aca="1" ref="FJ85" ca="1">IF(ISNA(M85),0,OFFSET(INDIRECT("'"&amp;ES$67&amp;"'!h1"),M85-1,))</f>
        <v>10000</v>
      </c>
      <c r="FK85" s="10" cm="1">
        <f t="array" aca="1" ref="FK85" ca="1">IF(ISNA(N85),0,OFFSET(INDIRECT("'"&amp;ET$67&amp;"'!h1"),N85-1,))</f>
        <v>1</v>
      </c>
      <c r="FL85" s="10" cm="1">
        <f t="array" aca="1" ref="FL85" ca="1">IF(ISNA(O85),0,OFFSET(INDIRECT("'"&amp;EU$67&amp;"'!h1"),O85-1,))</f>
        <v>1</v>
      </c>
      <c r="FM85" s="10" cm="1">
        <f t="array" aca="1" ref="FM85" ca="1">IF(ISNA(P85),0,OFFSET(INDIRECT("'"&amp;EV$67&amp;"'!h1"),P85-1,))</f>
        <v>3</v>
      </c>
      <c r="FN85" s="10"/>
      <c r="FO85" s="10"/>
      <c r="FP85" s="10"/>
      <c r="FQ85" s="10"/>
      <c r="FS85">
        <f t="shared" ca="1" si="61"/>
        <v>25</v>
      </c>
      <c r="FT85">
        <f t="shared" ca="1" si="62"/>
        <v>1.06333400309085</v>
      </c>
      <c r="FU85">
        <f t="shared" ca="1" si="63"/>
        <v>9749</v>
      </c>
      <c r="FV85">
        <f t="shared" ca="1" si="64"/>
        <v>10000</v>
      </c>
      <c r="FW85" s="4">
        <f t="shared" ca="1" si="65"/>
        <v>0.97489999999999999</v>
      </c>
      <c r="FX85" s="5">
        <f t="shared" ca="1" si="66"/>
        <v>1.090710845308083E-4</v>
      </c>
      <c r="FZ85" s="13">
        <f t="shared" ca="1" si="50"/>
        <v>25</v>
      </c>
      <c r="GA85" s="23">
        <f t="shared" ca="1" si="67"/>
        <v>0</v>
      </c>
      <c r="GB85" s="23">
        <f t="shared" ca="1" si="51"/>
        <v>0</v>
      </c>
      <c r="GC85" s="23">
        <f t="shared" ca="1" si="51"/>
        <v>0</v>
      </c>
      <c r="GD85" s="23">
        <f t="shared" ca="1" si="51"/>
        <v>0</v>
      </c>
      <c r="GE85" s="23">
        <f t="shared" ca="1" si="51"/>
        <v>0</v>
      </c>
      <c r="GF85" s="23">
        <f t="shared" ca="1" si="51"/>
        <v>0</v>
      </c>
      <c r="GG85" s="23">
        <f t="shared" ca="1" si="51"/>
        <v>0</v>
      </c>
      <c r="GH85" s="23">
        <f t="shared" ca="1" si="51"/>
        <v>0</v>
      </c>
      <c r="GI85" s="23">
        <f t="shared" ca="1" si="51"/>
        <v>0</v>
      </c>
      <c r="GJ85" s="23" t="e">
        <f t="shared" ca="1" si="51"/>
        <v>#N/A</v>
      </c>
      <c r="GK85" s="23">
        <f t="shared" ca="1" si="51"/>
        <v>0</v>
      </c>
      <c r="GL85" s="23">
        <f t="shared" ca="1" si="51"/>
        <v>0</v>
      </c>
      <c r="GM85" s="23"/>
      <c r="GN85">
        <f t="shared" ca="1" si="68"/>
        <v>25</v>
      </c>
      <c r="GO85" s="5">
        <f t="shared" ca="1" si="69"/>
        <v>4.33340330000078E-2</v>
      </c>
      <c r="GP85" s="5">
        <f t="shared" ca="1" si="69"/>
        <v>0.152609635999994</v>
      </c>
      <c r="GQ85" s="5">
        <f t="shared" ca="1" si="69"/>
        <v>2.2460295000001899E-2</v>
      </c>
      <c r="GR85" s="5">
        <f t="shared" ca="1" si="69"/>
        <v>4.9835378000011497E-2</v>
      </c>
      <c r="GS85" s="5">
        <f t="shared" ca="1" si="69"/>
        <v>5.6709999997110502E-2</v>
      </c>
      <c r="GT85" s="5">
        <f t="shared" ca="1" si="70"/>
        <v>3.37369842454791E-2</v>
      </c>
      <c r="GU85" s="5">
        <f t="shared" ca="1" si="70"/>
        <v>1.090710845308083E-4</v>
      </c>
      <c r="GV85" s="5">
        <f t="shared" ca="1" si="70"/>
        <v>1.7781248546228423E-4</v>
      </c>
      <c r="GW85" s="5">
        <f t="shared" ca="1" si="70"/>
        <v>2.2071883591516807E-3</v>
      </c>
      <c r="GX85" s="5" t="e">
        <f t="shared" ca="1" si="70"/>
        <v>#N/A</v>
      </c>
      <c r="GY85" s="5">
        <f t="shared" ca="1" si="70"/>
        <v>4.5591229572892102E-3</v>
      </c>
      <c r="GZ85" s="5">
        <f t="shared" ca="1" si="70"/>
        <v>3.2139406539499751E-3</v>
      </c>
      <c r="HB85" s="13">
        <f t="shared" ca="1" si="54"/>
        <v>25</v>
      </c>
      <c r="HC85" s="4">
        <f t="shared" ca="1" si="71"/>
        <v>1</v>
      </c>
      <c r="HD85" s="4">
        <f t="shared" ca="1" si="55"/>
        <v>1</v>
      </c>
      <c r="HE85" s="4">
        <f t="shared" ca="1" si="55"/>
        <v>1</v>
      </c>
      <c r="HF85" s="4">
        <f t="shared" ca="1" si="55"/>
        <v>1</v>
      </c>
      <c r="HG85" s="4">
        <f t="shared" ca="1" si="55"/>
        <v>1</v>
      </c>
      <c r="HH85" s="4">
        <f t="shared" ca="1" si="55"/>
        <v>1</v>
      </c>
      <c r="HI85" s="4">
        <f t="shared" ca="1" si="55"/>
        <v>0.97489999999999999</v>
      </c>
      <c r="HJ85" s="4">
        <f t="shared" ca="1" si="55"/>
        <v>0.99990000000000001</v>
      </c>
      <c r="HK85" s="4">
        <f t="shared" ca="1" si="55"/>
        <v>0.93420000000000003</v>
      </c>
      <c r="HL85" s="4">
        <f t="shared" ca="1" si="55"/>
        <v>0</v>
      </c>
      <c r="HM85" s="4">
        <f t="shared" ca="1" si="55"/>
        <v>1</v>
      </c>
      <c r="HN85" s="4">
        <f t="shared" ca="1" si="55"/>
        <v>0.66666666666666663</v>
      </c>
    </row>
    <row r="86" spans="1:222" x14ac:dyDescent="0.2">
      <c r="A86" t="str" cm="1">
        <f t="array" aca="1" ref="A86" ca="1">INDIRECT($A$67&amp;"!A"&amp;ROW(C19)+$B$64)</f>
        <v>[[26,9,9]]</v>
      </c>
      <c r="B86" cm="1">
        <f t="array" aca="1" ref="B86" ca="1">INDIRECT($A$67&amp;"!b"&amp;ROW(D19)+$B$64)</f>
        <v>26</v>
      </c>
      <c r="C86">
        <f t="shared" ca="1" si="56"/>
        <v>9</v>
      </c>
      <c r="E86">
        <f t="shared" ca="1" si="72"/>
        <v>43</v>
      </c>
      <c r="F86">
        <f t="shared" ca="1" si="72"/>
        <v>44</v>
      </c>
      <c r="G86">
        <f t="shared" ca="1" si="72"/>
        <v>43</v>
      </c>
      <c r="H86">
        <f t="shared" ca="1" si="72"/>
        <v>43</v>
      </c>
      <c r="I86">
        <f t="shared" ca="1" si="72"/>
        <v>46</v>
      </c>
      <c r="J86">
        <f t="shared" ca="1" si="72"/>
        <v>43</v>
      </c>
      <c r="K86">
        <f t="shared" ca="1" si="72"/>
        <v>50</v>
      </c>
      <c r="L86">
        <f t="shared" ca="1" si="72"/>
        <v>52</v>
      </c>
      <c r="M86">
        <f t="shared" ca="1" si="72"/>
        <v>49</v>
      </c>
      <c r="N86">
        <f t="shared" ca="1" si="72"/>
        <v>47</v>
      </c>
      <c r="O86">
        <f t="shared" ca="1" si="72"/>
        <v>47</v>
      </c>
      <c r="P86">
        <f t="shared" ca="1" si="72"/>
        <v>47</v>
      </c>
      <c r="V86" cm="1">
        <f t="array" aca="1" ref="V86" ca="1">IF(ISNA(E86),,OFFSET(INDIRECT("'"&amp;V$67&amp;"'!d1"),E86-1,))</f>
        <v>9</v>
      </c>
      <c r="W86" cm="1">
        <f t="array" aca="1" ref="W86" ca="1">IF(ISNA(F86),,OFFSET(INDIRECT("'"&amp;W$67&amp;"'!d1"),F86-1,))</f>
        <v>9</v>
      </c>
      <c r="X86" cm="1">
        <f t="array" aca="1" ref="X86" ca="1">IF(ISNA(G86),,OFFSET(INDIRECT("'"&amp;X$67&amp;"'!d1"),G86-1,))</f>
        <v>9</v>
      </c>
      <c r="Y86" cm="1">
        <f t="array" aca="1" ref="Y86" ca="1">IF(ISNA(H86),,OFFSET(INDIRECT("'"&amp;Y$67&amp;"'!d1"),H86-1,))</f>
        <v>9</v>
      </c>
      <c r="Z86" cm="1">
        <f t="array" aca="1" ref="Z86" ca="1">IF(ISNA(I86),,OFFSET(INDIRECT("'"&amp;Z$67&amp;"'!d1"),I86-1,))</f>
        <v>9</v>
      </c>
      <c r="AA86" cm="1">
        <f t="array" aca="1" ref="AA86" ca="1">IF(ISNA(J86),,OFFSET(INDIRECT("'"&amp;AA$67&amp;"'!d1"),J86-1,))</f>
        <v>9</v>
      </c>
      <c r="AB86" cm="1">
        <f t="array" aca="1" ref="AB86" ca="1">IF(ISNA(K86),,OFFSET(INDIRECT("'"&amp;AB$67&amp;"'!d1"),K86-1,))</f>
        <v>9</v>
      </c>
      <c r="AC86" cm="1">
        <f t="array" aca="1" ref="AC86" ca="1">IF(ISNA(L86),,OFFSET(INDIRECT("'"&amp;AC$67&amp;"'!d1"),L86-1,))</f>
        <v>9</v>
      </c>
      <c r="AD86" cm="1">
        <f t="array" aca="1" ref="AD86" ca="1">IF(ISNA(M86),,OFFSET(INDIRECT("'"&amp;AD$67&amp;"'!d1"),M86-1,))</f>
        <v>9</v>
      </c>
      <c r="AE86" cm="1">
        <f t="array" aca="1" ref="AE86" ca="1">IF(ISNA(N86),,OFFSET(INDIRECT("'"&amp;AE$67&amp;"'!d1"),N86-1,))</f>
        <v>0</v>
      </c>
      <c r="AF86" cm="1">
        <f t="array" aca="1" ref="AF86" ca="1">IF(ISNA(O86),,OFFSET(INDIRECT("'"&amp;AF$67&amp;"'!d1"),O86-1,))</f>
        <v>0</v>
      </c>
      <c r="AG86" cm="1">
        <f t="array" aca="1" ref="AG86" ca="1">IF(ISNA(P86),,OFFSET(INDIRECT("'"&amp;AG$67&amp;"'!d1"),P86-1,))</f>
        <v>9</v>
      </c>
      <c r="AM86">
        <f t="shared" ca="1" si="57"/>
        <v>1</v>
      </c>
      <c r="AN86">
        <f t="shared" ca="1" si="57"/>
        <v>1</v>
      </c>
      <c r="AO86">
        <f t="shared" ca="1" si="57"/>
        <v>1</v>
      </c>
      <c r="AP86">
        <f t="shared" ca="1" si="57"/>
        <v>1</v>
      </c>
      <c r="AQ86">
        <f t="shared" ca="1" si="58"/>
        <v>1</v>
      </c>
      <c r="AV86" t="b">
        <f t="shared" ca="1" si="59"/>
        <v>1</v>
      </c>
      <c r="AW86" t="b">
        <f t="shared" ca="1" si="45"/>
        <v>1</v>
      </c>
      <c r="AX86" t="b">
        <f t="shared" ca="1" si="45"/>
        <v>1</v>
      </c>
      <c r="AY86" t="b">
        <f t="shared" ca="1" si="45"/>
        <v>1</v>
      </c>
      <c r="AZ86" t="b">
        <f t="shared" ca="1" si="45"/>
        <v>1</v>
      </c>
      <c r="BD86">
        <f t="shared" ca="1" si="46"/>
        <v>1</v>
      </c>
      <c r="BE86">
        <f t="shared" ca="1" si="46"/>
        <v>1</v>
      </c>
      <c r="BF86">
        <f t="shared" ca="1" si="46"/>
        <v>1</v>
      </c>
      <c r="BG86">
        <f t="shared" ca="1" si="46"/>
        <v>1</v>
      </c>
      <c r="BH86">
        <f t="shared" ca="1" si="46"/>
        <v>1</v>
      </c>
      <c r="BI86">
        <f t="shared" ca="1" si="46"/>
        <v>1</v>
      </c>
      <c r="BJ86">
        <f t="shared" ca="1" si="46"/>
        <v>1</v>
      </c>
      <c r="BK86">
        <f t="shared" ca="1" si="46"/>
        <v>1</v>
      </c>
      <c r="BL86">
        <f t="shared" ca="1" si="46"/>
        <v>1</v>
      </c>
      <c r="BM86">
        <f t="shared" ca="1" si="46"/>
        <v>0</v>
      </c>
      <c r="BN86">
        <f t="shared" ca="1" si="46"/>
        <v>0</v>
      </c>
      <c r="BO86">
        <f t="shared" ca="1" si="46"/>
        <v>1</v>
      </c>
      <c r="BU86">
        <f t="shared" ca="1" si="47"/>
        <v>9</v>
      </c>
      <c r="BV86">
        <f t="shared" ca="1" si="47"/>
        <v>9</v>
      </c>
      <c r="BW86">
        <f t="shared" ca="1" si="47"/>
        <v>9</v>
      </c>
      <c r="BX86">
        <f t="shared" ca="1" si="47"/>
        <v>9</v>
      </c>
      <c r="BY86">
        <f t="shared" ca="1" si="47"/>
        <v>9</v>
      </c>
      <c r="BZ86">
        <f t="shared" ca="1" si="47"/>
        <v>9</v>
      </c>
      <c r="CA86">
        <f t="shared" ca="1" si="47"/>
        <v>9</v>
      </c>
      <c r="CB86">
        <f t="shared" ca="1" si="47"/>
        <v>9</v>
      </c>
      <c r="CC86">
        <f t="shared" ca="1" si="47"/>
        <v>9</v>
      </c>
      <c r="CD86">
        <f t="shared" ca="1" si="47"/>
        <v>26</v>
      </c>
      <c r="CE86">
        <f t="shared" ca="1" si="47"/>
        <v>26</v>
      </c>
      <c r="CF86">
        <f t="shared" ca="1" si="47"/>
        <v>9</v>
      </c>
      <c r="CL86">
        <f t="shared" ca="1" si="48"/>
        <v>1</v>
      </c>
      <c r="CM86">
        <f t="shared" ca="1" si="48"/>
        <v>1</v>
      </c>
      <c r="CN86">
        <f t="shared" ca="1" si="48"/>
        <v>1</v>
      </c>
      <c r="CO86">
        <f t="shared" ca="1" si="48"/>
        <v>1</v>
      </c>
      <c r="CP86">
        <f t="shared" ca="1" si="48"/>
        <v>1</v>
      </c>
      <c r="CQ86">
        <f t="shared" ca="1" si="48"/>
        <v>1</v>
      </c>
      <c r="CR86">
        <f t="shared" ca="1" si="48"/>
        <v>1</v>
      </c>
      <c r="CS86">
        <f t="shared" ca="1" si="48"/>
        <v>1</v>
      </c>
      <c r="CT86">
        <f t="shared" ca="1" si="48"/>
        <v>1</v>
      </c>
      <c r="CU86">
        <f t="shared" ca="1" si="48"/>
        <v>0</v>
      </c>
      <c r="CV86">
        <f t="shared" ca="1" si="48"/>
        <v>0</v>
      </c>
      <c r="CW86">
        <f t="shared" ca="1" si="48"/>
        <v>1</v>
      </c>
      <c r="DC86" cm="1">
        <f t="array" aca="1" ref="DC86" ca="1">IF(ISNA(E86),,OFFSET(INDIRECT("'"&amp;DT$67&amp;"'!f1"),E86-1,))*1</f>
        <v>8.3764943000005504E-2</v>
      </c>
      <c r="DD86" cm="1">
        <f t="array" aca="1" ref="DD86" ca="1">IF(ISNA(F86),,OFFSET(INDIRECT("'"&amp;DU$67&amp;"'!f1"),F86-1,))*1</f>
        <v>0.29362409500001202</v>
      </c>
      <c r="DE86" cm="1">
        <f t="array" aca="1" ref="DE86" ca="1">IF(ISNA(G86),,OFFSET(INDIRECT("'"&amp;DV$67&amp;"'!f1"),G86-1,))*1</f>
        <v>4.2527435000010799E-2</v>
      </c>
      <c r="DF86" cm="1">
        <f t="array" aca="1" ref="DF86" ca="1">IF(ISNA(H86),,OFFSET(INDIRECT("'"&amp;DW$67&amp;"'!f1"),H86-1,))*1</f>
        <v>5.9988882999988301E-2</v>
      </c>
      <c r="DG86" cm="1">
        <f t="array" aca="1" ref="DG86" ca="1">IF(ISNA(I86),,OFFSET(INDIRECT("'"&amp;DX$67&amp;"'!f1"),I86-1,))*1</f>
        <v>5.6378624998615103E-2</v>
      </c>
      <c r="DH86" cm="1">
        <f t="array" aca="1" ref="DH86" ca="1">IF(ISNA(J86),,OFFSET(INDIRECT("'"&amp;DY$67&amp;"'!f1"),J86-1,))*1</f>
        <v>4.81057516299188E-2</v>
      </c>
      <c r="DI86" cm="1">
        <f t="array" aca="1" ref="DI86" ca="1">IF(ISNA(K86),,OFFSET(INDIRECT("'"&amp;DZ$67&amp;"'!f1"),K86-1,))*1</f>
        <v>1.12526394613087</v>
      </c>
      <c r="DJ86" cm="1">
        <f t="array" aca="1" ref="DJ86" ca="1">IF(ISNA(L86),,OFFSET(INDIRECT("'"&amp;EA$67&amp;"'!f1"),L86-1,))*1</f>
        <v>1.7803841037675701</v>
      </c>
      <c r="DK86" cm="1">
        <f t="array" aca="1" ref="DK86" ca="1">IF(ISNA(M86),,OFFSET(INDIRECT("'"&amp;EB$67&amp;"'!f1"),M86-1,))*1</f>
        <v>21.589758187998001</v>
      </c>
      <c r="DL86" cm="1">
        <f t="array" aca="1" ref="DL86" ca="1">IF(ISNA(N86),,OFFSET(INDIRECT("'"&amp;EC$67&amp;"'!f1"),N86-1,))*1</f>
        <v>3.9909891784191097E-3</v>
      </c>
      <c r="DM86" cm="1">
        <f t="array" aca="1" ref="DM86" ca="1">IF(ISNA(O86),,OFFSET(INDIRECT("'"&amp;ED$67&amp;"'!f1"),O86-1,))*1</f>
        <v>3.79723869264125E-3</v>
      </c>
      <c r="DN86" cm="1">
        <f t="array" aca="1" ref="DN86" ca="1">IF(ISNA(P86),,OFFSET(INDIRECT("'"&amp;EE$67&amp;"'!f1"),P86-1,))*1</f>
        <v>6.2413899227976799E-2</v>
      </c>
      <c r="DT86">
        <f t="shared" ca="1" si="60"/>
        <v>1</v>
      </c>
      <c r="DU86">
        <f t="shared" ca="1" si="60"/>
        <v>1</v>
      </c>
      <c r="DV86">
        <f t="shared" ca="1" si="60"/>
        <v>1</v>
      </c>
      <c r="DW86">
        <f t="shared" ca="1" si="60"/>
        <v>1</v>
      </c>
      <c r="DX86">
        <f t="shared" ca="1" si="60"/>
        <v>1</v>
      </c>
      <c r="DY86">
        <f t="shared" ca="1" si="60"/>
        <v>1</v>
      </c>
      <c r="DZ86">
        <f t="shared" ca="1" si="60"/>
        <v>9933</v>
      </c>
      <c r="EA86">
        <f t="shared" ca="1" si="60"/>
        <v>9999</v>
      </c>
      <c r="EB86">
        <f t="shared" ca="1" si="60"/>
        <v>9509</v>
      </c>
      <c r="EC86">
        <f t="shared" ca="1" si="60"/>
        <v>0</v>
      </c>
      <c r="ED86">
        <f t="shared" ca="1" si="60"/>
        <v>0</v>
      </c>
      <c r="EE86">
        <f t="shared" ca="1" si="60"/>
        <v>2</v>
      </c>
      <c r="EK86" cm="1">
        <f t="array" aca="1" ref="EK86" ca="1">IF(ISNA(E86),0,OFFSET(INDIRECT("'"&amp;EK$67&amp;"'!g1"),E86-1,)*CL86)</f>
        <v>1</v>
      </c>
      <c r="EL86" cm="1">
        <f t="array" aca="1" ref="EL86" ca="1">IF(ISNA(F86),0,OFFSET(INDIRECT("'"&amp;EL$67&amp;"'!g1"),F86-1,)*CM86)</f>
        <v>1</v>
      </c>
      <c r="EM86" cm="1">
        <f t="array" aca="1" ref="EM86" ca="1">IF(ISNA(G86),0,OFFSET(INDIRECT("'"&amp;EM$67&amp;"'!g1"),G86-1,)*CN86)</f>
        <v>1</v>
      </c>
      <c r="EN86" cm="1">
        <f t="array" aca="1" ref="EN86" ca="1">IF(ISNA(H86),0,OFFSET(INDIRECT("'"&amp;EN$67&amp;"'!g1"),H86-1,)*CO86)</f>
        <v>1</v>
      </c>
      <c r="EO86" cm="1">
        <f t="array" aca="1" ref="EO86" ca="1">IF(ISNA(I86),0,OFFSET(INDIRECT("'"&amp;EO$67&amp;"'!g1"),I86-1,)*CP86)</f>
        <v>1</v>
      </c>
      <c r="EP86" cm="1">
        <f t="array" aca="1" ref="EP86" ca="1">IF(ISNA(J86),0,OFFSET(INDIRECT("'"&amp;EP$67&amp;"'!g1"),J86-1,)*CQ86)</f>
        <v>1</v>
      </c>
      <c r="EQ86" cm="1">
        <f t="array" aca="1" ref="EQ86" ca="1">IF(ISNA(K86),0,OFFSET(INDIRECT("'"&amp;EQ$67&amp;"'!g1"),K86-1,)*CR86)</f>
        <v>9933</v>
      </c>
      <c r="ER86" cm="1">
        <f t="array" aca="1" ref="ER86" ca="1">IF(ISNA(L86),0,OFFSET(INDIRECT("'"&amp;ER$67&amp;"'!g1"),L86-1,)*CS86)</f>
        <v>9999</v>
      </c>
      <c r="ES86" cm="1">
        <f t="array" aca="1" ref="ES86" ca="1">IF(ISNA(M86),0,OFFSET(INDIRECT("'"&amp;ES$67&amp;"'!g1"),M86-1,)*CT86)</f>
        <v>9509</v>
      </c>
      <c r="ET86" cm="1">
        <f t="array" aca="1" ref="ET86" ca="1">IF(ISNA(N86),0,OFFSET(INDIRECT("'"&amp;ET$67&amp;"'!g1"),N86-1,)*CU86)</f>
        <v>0</v>
      </c>
      <c r="EU86" cm="1">
        <f t="array" aca="1" ref="EU86" ca="1">IF(ISNA(O86),0,OFFSET(INDIRECT("'"&amp;EU$67&amp;"'!g1"),O86-1,)*CV86)</f>
        <v>0</v>
      </c>
      <c r="EV86" cm="1">
        <f t="array" aca="1" ref="EV86" ca="1">IF(ISNA(P86),0,OFFSET(INDIRECT("'"&amp;EV$67&amp;"'!g1"),P86-1,)*CW86)</f>
        <v>2</v>
      </c>
      <c r="FB86" s="10" cm="1">
        <f t="array" aca="1" ref="FB86" ca="1">IF(ISNA(E86),0,OFFSET(INDIRECT("'"&amp;EK$67&amp;"'!h1"),E86-1,))</f>
        <v>1</v>
      </c>
      <c r="FC86" s="10" cm="1">
        <f t="array" aca="1" ref="FC86" ca="1">IF(ISNA(F86),0,OFFSET(INDIRECT("'"&amp;EL$67&amp;"'!h1"),F86-1,))</f>
        <v>1</v>
      </c>
      <c r="FD86" s="10" cm="1">
        <f t="array" aca="1" ref="FD86" ca="1">IF(ISNA(G86),0,OFFSET(INDIRECT("'"&amp;EM$67&amp;"'!h1"),G86-1,))</f>
        <v>1</v>
      </c>
      <c r="FE86" s="10" cm="1">
        <f t="array" aca="1" ref="FE86" ca="1">IF(ISNA(H86),0,OFFSET(INDIRECT("'"&amp;EN$67&amp;"'!h1"),H86-1,))</f>
        <v>1</v>
      </c>
      <c r="FF86" s="10" cm="1">
        <f t="array" aca="1" ref="FF86" ca="1">IF(ISNA(I86),0,OFFSET(INDIRECT("'"&amp;EO$67&amp;"'!h1"),I86-1,))</f>
        <v>1</v>
      </c>
      <c r="FG86" s="10" cm="1">
        <f t="array" aca="1" ref="FG86" ca="1">IF(ISNA(J86),0,OFFSET(INDIRECT("'"&amp;EP$67&amp;"'!h1"),J86-1,))</f>
        <v>1</v>
      </c>
      <c r="FH86" s="10" cm="1">
        <f t="array" aca="1" ref="FH86" ca="1">IF(ISNA(K86),0,OFFSET(INDIRECT("'"&amp;EQ$67&amp;"'!h1"),K86-1,))</f>
        <v>10000</v>
      </c>
      <c r="FI86" s="10" cm="1">
        <f t="array" aca="1" ref="FI86" ca="1">IF(ISNA(L86),0,OFFSET(INDIRECT("'"&amp;ER$67&amp;"'!h1"),L86-1,))</f>
        <v>10000</v>
      </c>
      <c r="FJ86" s="10" cm="1">
        <f t="array" aca="1" ref="FJ86" ca="1">IF(ISNA(M86),0,OFFSET(INDIRECT("'"&amp;ES$67&amp;"'!h1"),M86-1,))</f>
        <v>10000</v>
      </c>
      <c r="FK86" s="10" cm="1">
        <f t="array" aca="1" ref="FK86" ca="1">IF(ISNA(N86),0,OFFSET(INDIRECT("'"&amp;ET$67&amp;"'!h1"),N86-1,))</f>
        <v>1</v>
      </c>
      <c r="FL86" s="10" cm="1">
        <f t="array" aca="1" ref="FL86" ca="1">IF(ISNA(O86),0,OFFSET(INDIRECT("'"&amp;EU$67&amp;"'!h1"),O86-1,))</f>
        <v>1</v>
      </c>
      <c r="FM86" s="10" cm="1">
        <f t="array" aca="1" ref="FM86" ca="1">IF(ISNA(P86),0,OFFSET(INDIRECT("'"&amp;EV$67&amp;"'!h1"),P86-1,))</f>
        <v>7</v>
      </c>
      <c r="FN86" s="10"/>
      <c r="FO86" s="10"/>
      <c r="FP86" s="10"/>
      <c r="FQ86" s="10"/>
      <c r="FS86">
        <f t="shared" ca="1" si="61"/>
        <v>26</v>
      </c>
      <c r="FT86">
        <f t="shared" ca="1" si="62"/>
        <v>1.12526394613087</v>
      </c>
      <c r="FU86">
        <f t="shared" ca="1" si="63"/>
        <v>9933</v>
      </c>
      <c r="FV86">
        <f t="shared" ca="1" si="64"/>
        <v>10000</v>
      </c>
      <c r="FW86" s="4">
        <f t="shared" ca="1" si="65"/>
        <v>0.99329999999999996</v>
      </c>
      <c r="FX86" s="5">
        <f t="shared" ca="1" si="66"/>
        <v>1.1328540683890768E-4</v>
      </c>
      <c r="FZ86" s="13">
        <f t="shared" ca="1" si="50"/>
        <v>26</v>
      </c>
      <c r="GA86" s="23">
        <f t="shared" ca="1" si="67"/>
        <v>0</v>
      </c>
      <c r="GB86" s="23">
        <f t="shared" ca="1" si="51"/>
        <v>0</v>
      </c>
      <c r="GC86" s="23">
        <f t="shared" ca="1" si="51"/>
        <v>0</v>
      </c>
      <c r="GD86" s="23">
        <f t="shared" ca="1" si="51"/>
        <v>0</v>
      </c>
      <c r="GE86" s="23">
        <f t="shared" ca="1" si="51"/>
        <v>0</v>
      </c>
      <c r="GF86" s="23">
        <f t="shared" ca="1" si="51"/>
        <v>0</v>
      </c>
      <c r="GG86" s="23">
        <f t="shared" ca="1" si="51"/>
        <v>0</v>
      </c>
      <c r="GH86" s="23">
        <f t="shared" ca="1" si="51"/>
        <v>0</v>
      </c>
      <c r="GI86" s="23">
        <f t="shared" ca="1" si="51"/>
        <v>0</v>
      </c>
      <c r="GJ86" s="23" t="e">
        <f t="shared" ca="1" si="51"/>
        <v>#N/A</v>
      </c>
      <c r="GK86" s="23" t="e">
        <f t="shared" ca="1" si="51"/>
        <v>#N/A</v>
      </c>
      <c r="GL86" s="23">
        <f t="shared" ca="1" si="51"/>
        <v>0</v>
      </c>
      <c r="GM86" s="23"/>
      <c r="GN86">
        <f t="shared" ca="1" si="68"/>
        <v>26</v>
      </c>
      <c r="GO86" s="5">
        <f t="shared" ca="1" si="69"/>
        <v>8.3764943000005504E-2</v>
      </c>
      <c r="GP86" s="5">
        <f t="shared" ca="1" si="69"/>
        <v>0.29362409500001202</v>
      </c>
      <c r="GQ86" s="5">
        <f t="shared" ca="1" si="69"/>
        <v>4.2527435000010799E-2</v>
      </c>
      <c r="GR86" s="5">
        <f t="shared" ca="1" si="69"/>
        <v>5.9988882999988301E-2</v>
      </c>
      <c r="GS86" s="5">
        <f t="shared" ca="1" si="69"/>
        <v>5.6378624998615103E-2</v>
      </c>
      <c r="GT86" s="5">
        <f t="shared" ca="1" si="70"/>
        <v>4.81057516299188E-2</v>
      </c>
      <c r="GU86" s="5">
        <f t="shared" ca="1" si="70"/>
        <v>1.1328540683890768E-4</v>
      </c>
      <c r="GV86" s="5">
        <f t="shared" ca="1" si="70"/>
        <v>1.7805621599835685E-4</v>
      </c>
      <c r="GW86" s="5">
        <f t="shared" ca="1" si="70"/>
        <v>2.270455167525292E-3</v>
      </c>
      <c r="GX86" s="5" t="e">
        <f t="shared" ca="1" si="70"/>
        <v>#N/A</v>
      </c>
      <c r="GY86" s="5" t="e">
        <f t="shared" ca="1" si="70"/>
        <v>#N/A</v>
      </c>
      <c r="GZ86" s="5">
        <f t="shared" ca="1" si="70"/>
        <v>3.12069496139884E-2</v>
      </c>
      <c r="HB86" s="13">
        <f t="shared" ca="1" si="54"/>
        <v>26</v>
      </c>
      <c r="HC86" s="4">
        <f t="shared" ca="1" si="71"/>
        <v>1</v>
      </c>
      <c r="HD86" s="4">
        <f t="shared" ca="1" si="55"/>
        <v>1</v>
      </c>
      <c r="HE86" s="4">
        <f t="shared" ca="1" si="55"/>
        <v>1</v>
      </c>
      <c r="HF86" s="4">
        <f t="shared" ca="1" si="55"/>
        <v>1</v>
      </c>
      <c r="HG86" s="4">
        <f t="shared" ca="1" si="55"/>
        <v>1</v>
      </c>
      <c r="HH86" s="4">
        <f t="shared" ca="1" si="55"/>
        <v>1</v>
      </c>
      <c r="HI86" s="4">
        <f t="shared" ca="1" si="55"/>
        <v>0.99329999999999996</v>
      </c>
      <c r="HJ86" s="4">
        <f t="shared" ca="1" si="55"/>
        <v>0.99990000000000001</v>
      </c>
      <c r="HK86" s="4">
        <f t="shared" ca="1" si="55"/>
        <v>0.95089999999999997</v>
      </c>
      <c r="HL86" s="4">
        <f t="shared" ca="1" si="55"/>
        <v>0</v>
      </c>
      <c r="HM86" s="4">
        <f t="shared" ca="1" si="55"/>
        <v>0</v>
      </c>
      <c r="HN86" s="4">
        <f t="shared" ca="1" si="55"/>
        <v>0.2857142857142857</v>
      </c>
    </row>
    <row r="87" spans="1:222" x14ac:dyDescent="0.2">
      <c r="A87" t="str" cm="1">
        <f t="array" aca="1" ref="A87" ca="1">INDIRECT($A$67&amp;"!A"&amp;ROW(C20)+$B$64)</f>
        <v>[[27,10,9]]</v>
      </c>
      <c r="B87" cm="1">
        <f t="array" aca="1" ref="B87" ca="1">INDIRECT($A$67&amp;"!b"&amp;ROW(D20)+$B$64)</f>
        <v>27</v>
      </c>
      <c r="C87">
        <f t="shared" ca="1" si="56"/>
        <v>9</v>
      </c>
      <c r="E87">
        <f t="shared" ca="1" si="72"/>
        <v>44</v>
      </c>
      <c r="F87">
        <f t="shared" ca="1" si="72"/>
        <v>45</v>
      </c>
      <c r="G87">
        <f t="shared" ca="1" si="72"/>
        <v>44</v>
      </c>
      <c r="H87">
        <f t="shared" ca="1" si="72"/>
        <v>44</v>
      </c>
      <c r="I87">
        <f t="shared" ca="1" si="72"/>
        <v>47</v>
      </c>
      <c r="J87">
        <f t="shared" ca="1" si="72"/>
        <v>44</v>
      </c>
      <c r="K87">
        <f t="shared" ca="1" si="72"/>
        <v>51</v>
      </c>
      <c r="L87">
        <f t="shared" ca="1" si="72"/>
        <v>53</v>
      </c>
      <c r="M87">
        <f t="shared" ca="1" si="72"/>
        <v>50</v>
      </c>
      <c r="N87">
        <f t="shared" ca="1" si="72"/>
        <v>48</v>
      </c>
      <c r="O87">
        <f t="shared" ca="1" si="72"/>
        <v>48</v>
      </c>
      <c r="P87">
        <f t="shared" ca="1" si="72"/>
        <v>48</v>
      </c>
      <c r="V87" cm="1">
        <f t="array" aca="1" ref="V87" ca="1">IF(ISNA(E87),,OFFSET(INDIRECT("'"&amp;V$67&amp;"'!d1"),E87-1,))</f>
        <v>9</v>
      </c>
      <c r="W87" cm="1">
        <f t="array" aca="1" ref="W87" ca="1">IF(ISNA(F87),,OFFSET(INDIRECT("'"&amp;W$67&amp;"'!d1"),F87-1,))</f>
        <v>9</v>
      </c>
      <c r="X87" cm="1">
        <f t="array" aca="1" ref="X87" ca="1">IF(ISNA(G87),,OFFSET(INDIRECT("'"&amp;X$67&amp;"'!d1"),G87-1,))</f>
        <v>9</v>
      </c>
      <c r="Y87" cm="1">
        <f t="array" aca="1" ref="Y87" ca="1">IF(ISNA(H87),,OFFSET(INDIRECT("'"&amp;Y$67&amp;"'!d1"),H87-1,))</f>
        <v>9</v>
      </c>
      <c r="Z87" cm="1">
        <f t="array" aca="1" ref="Z87" ca="1">IF(ISNA(I87),,OFFSET(INDIRECT("'"&amp;Z$67&amp;"'!d1"),I87-1,))</f>
        <v>9</v>
      </c>
      <c r="AA87" cm="1">
        <f t="array" aca="1" ref="AA87" ca="1">IF(ISNA(J87),,OFFSET(INDIRECT("'"&amp;AA$67&amp;"'!d1"),J87-1,))</f>
        <v>9</v>
      </c>
      <c r="AB87" cm="1">
        <f t="array" aca="1" ref="AB87" ca="1">IF(ISNA(K87),,OFFSET(INDIRECT("'"&amp;AB$67&amp;"'!d1"),K87-1,))</f>
        <v>9</v>
      </c>
      <c r="AC87" cm="1">
        <f t="array" aca="1" ref="AC87" ca="1">IF(ISNA(L87),,OFFSET(INDIRECT("'"&amp;AC$67&amp;"'!d1"),L87-1,))</f>
        <v>9</v>
      </c>
      <c r="AD87" cm="1">
        <f t="array" aca="1" ref="AD87" ca="1">IF(ISNA(M87),,OFFSET(INDIRECT("'"&amp;AD$67&amp;"'!d1"),M87-1,))</f>
        <v>9</v>
      </c>
      <c r="AE87" cm="1">
        <f t="array" aca="1" ref="AE87" ca="1">IF(ISNA(N87),,OFFSET(INDIRECT("'"&amp;AE$67&amp;"'!d1"),N87-1,))</f>
        <v>0</v>
      </c>
      <c r="AF87" cm="1">
        <f t="array" aca="1" ref="AF87" ca="1">IF(ISNA(O87),,OFFSET(INDIRECT("'"&amp;AF$67&amp;"'!d1"),O87-1,))</f>
        <v>0</v>
      </c>
      <c r="AG87" cm="1">
        <f t="array" aca="1" ref="AG87" ca="1">IF(ISNA(P87),,OFFSET(INDIRECT("'"&amp;AG$67&amp;"'!d1"),P87-1,))</f>
        <v>9</v>
      </c>
      <c r="AM87">
        <f t="shared" ref="AM87:AP89" ca="1" si="73">IF(DC87&gt;= $N$3,0,BD87)</f>
        <v>1</v>
      </c>
      <c r="AN87">
        <f t="shared" ca="1" si="73"/>
        <v>1</v>
      </c>
      <c r="AO87">
        <f t="shared" ca="1" si="73"/>
        <v>1</v>
      </c>
      <c r="AP87">
        <f t="shared" ca="1" si="73"/>
        <v>1</v>
      </c>
      <c r="AQ87">
        <f t="shared" ca="1" si="58"/>
        <v>1</v>
      </c>
      <c r="AV87" t="b">
        <f t="shared" ca="1" si="59"/>
        <v>1</v>
      </c>
      <c r="AW87" t="b">
        <f t="shared" ca="1" si="59"/>
        <v>1</v>
      </c>
      <c r="AX87" t="b">
        <f t="shared" ca="1" si="59"/>
        <v>1</v>
      </c>
      <c r="AY87" t="b">
        <f t="shared" ca="1" si="59"/>
        <v>1</v>
      </c>
      <c r="AZ87" t="b">
        <f t="shared" ca="1" si="59"/>
        <v>1</v>
      </c>
      <c r="BD87">
        <f t="shared" ref="BD87:BO89" ca="1" si="74">IF(AND(V87&gt;0,V87&lt;$B87),1,0)</f>
        <v>1</v>
      </c>
      <c r="BE87">
        <f t="shared" ca="1" si="74"/>
        <v>1</v>
      </c>
      <c r="BF87">
        <f t="shared" ca="1" si="74"/>
        <v>1</v>
      </c>
      <c r="BG87">
        <f t="shared" ca="1" si="74"/>
        <v>1</v>
      </c>
      <c r="BH87">
        <f t="shared" ca="1" si="74"/>
        <v>1</v>
      </c>
      <c r="BI87">
        <f t="shared" ca="1" si="74"/>
        <v>1</v>
      </c>
      <c r="BJ87">
        <f t="shared" ca="1" si="74"/>
        <v>1</v>
      </c>
      <c r="BK87">
        <f t="shared" ca="1" si="74"/>
        <v>1</v>
      </c>
      <c r="BL87">
        <f t="shared" ca="1" si="74"/>
        <v>1</v>
      </c>
      <c r="BM87">
        <f t="shared" ca="1" si="74"/>
        <v>0</v>
      </c>
      <c r="BN87">
        <f t="shared" ca="1" si="74"/>
        <v>0</v>
      </c>
      <c r="BO87">
        <f t="shared" ca="1" si="74"/>
        <v>1</v>
      </c>
      <c r="BU87">
        <f t="shared" ref="BU87:CF89" ca="1" si="75">IF(BD87,V87,$B87)</f>
        <v>9</v>
      </c>
      <c r="BV87">
        <f t="shared" ca="1" si="75"/>
        <v>9</v>
      </c>
      <c r="BW87">
        <f t="shared" ca="1" si="75"/>
        <v>9</v>
      </c>
      <c r="BX87">
        <f t="shared" ca="1" si="75"/>
        <v>9</v>
      </c>
      <c r="BY87">
        <f t="shared" ca="1" si="75"/>
        <v>9</v>
      </c>
      <c r="BZ87">
        <f t="shared" ca="1" si="75"/>
        <v>9</v>
      </c>
      <c r="CA87">
        <f t="shared" ca="1" si="75"/>
        <v>9</v>
      </c>
      <c r="CB87">
        <f t="shared" ca="1" si="75"/>
        <v>9</v>
      </c>
      <c r="CC87">
        <f t="shared" ca="1" si="75"/>
        <v>9</v>
      </c>
      <c r="CD87">
        <f t="shared" ca="1" si="75"/>
        <v>27</v>
      </c>
      <c r="CE87">
        <f t="shared" ca="1" si="75"/>
        <v>27</v>
      </c>
      <c r="CF87">
        <f t="shared" ca="1" si="75"/>
        <v>9</v>
      </c>
      <c r="CL87">
        <f t="shared" ref="CL87:CW89" ca="1" si="76">IF(BU87=$C87,1,0)</f>
        <v>1</v>
      </c>
      <c r="CM87">
        <f t="shared" ca="1" si="76"/>
        <v>1</v>
      </c>
      <c r="CN87">
        <f t="shared" ca="1" si="76"/>
        <v>1</v>
      </c>
      <c r="CO87">
        <f t="shared" ca="1" si="76"/>
        <v>1</v>
      </c>
      <c r="CP87">
        <f t="shared" ca="1" si="76"/>
        <v>1</v>
      </c>
      <c r="CQ87">
        <f t="shared" ca="1" si="76"/>
        <v>1</v>
      </c>
      <c r="CR87">
        <f t="shared" ca="1" si="76"/>
        <v>1</v>
      </c>
      <c r="CS87">
        <f t="shared" ca="1" si="76"/>
        <v>1</v>
      </c>
      <c r="CT87">
        <f t="shared" ca="1" si="76"/>
        <v>1</v>
      </c>
      <c r="CU87">
        <f t="shared" ca="1" si="76"/>
        <v>0</v>
      </c>
      <c r="CV87">
        <f t="shared" ca="1" si="76"/>
        <v>0</v>
      </c>
      <c r="CW87">
        <f t="shared" ca="1" si="76"/>
        <v>1</v>
      </c>
      <c r="DC87" cm="1">
        <f t="array" aca="1" ref="DC87" ca="1">IF(ISNA(E87),,OFFSET(INDIRECT("'"&amp;DT$67&amp;"'!f1"),E87-1,))*1</f>
        <v>0.12360734899999599</v>
      </c>
      <c r="DD87" cm="1">
        <f t="array" aca="1" ref="DD87" ca="1">IF(ISNA(F87),,OFFSET(INDIRECT("'"&amp;DU$67&amp;"'!f1"),F87-1,))*1</f>
        <v>0.45211913099998902</v>
      </c>
      <c r="DE87" cm="1">
        <f t="array" aca="1" ref="DE87" ca="1">IF(ISNA(G87),,OFFSET(INDIRECT("'"&amp;DV$67&amp;"'!f1"),G87-1,))*1</f>
        <v>5.1098120999995403E-2</v>
      </c>
      <c r="DF87" cm="1">
        <f t="array" aca="1" ref="DF87" ca="1">IF(ISNA(H87),,OFFSET(INDIRECT("'"&amp;DW$67&amp;"'!f1"),H87-1,))*1</f>
        <v>6.26322590000256E-2</v>
      </c>
      <c r="DG87" cm="1">
        <f t="array" aca="1" ref="DG87" ca="1">IF(ISNA(I87),,OFFSET(INDIRECT("'"&amp;DX$67&amp;"'!f1"),I87-1,))*1</f>
        <v>5.6651292004971703E-2</v>
      </c>
      <c r="DH87" cm="1">
        <f t="array" aca="1" ref="DH87" ca="1">IF(ISNA(J87),,OFFSET(INDIRECT("'"&amp;DY$67&amp;"'!f1"),J87-1,))*1</f>
        <v>4.7625557985156698E-2</v>
      </c>
      <c r="DI87" cm="1">
        <f t="array" aca="1" ref="DI87" ca="1">IF(ISNA(K87),,OFFSET(INDIRECT("'"&amp;DZ$67&amp;"'!f1"),K87-1,))*1</f>
        <v>1.16153620835393</v>
      </c>
      <c r="DJ87" cm="1">
        <f t="array" aca="1" ref="DJ87" ca="1">IF(ISNA(L87),,OFFSET(INDIRECT("'"&amp;EA$67&amp;"'!f1"),L87-1,))*1</f>
        <v>1.7972811339423</v>
      </c>
      <c r="DK87" cm="1">
        <f t="array" aca="1" ref="DK87" ca="1">IF(ISNA(M87),,OFFSET(INDIRECT("'"&amp;EB$67&amp;"'!f1"),M87-1,))*1</f>
        <v>20.310124023817401</v>
      </c>
      <c r="DL87" cm="1">
        <f t="array" aca="1" ref="DL87" ca="1">IF(ISNA(N87),,OFFSET(INDIRECT("'"&amp;EC$67&amp;"'!f1"),N87-1,))*1</f>
        <v>3.9608916267752604E-3</v>
      </c>
      <c r="DM87" cm="1">
        <f t="array" aca="1" ref="DM87" ca="1">IF(ISNA(O87),,OFFSET(INDIRECT("'"&amp;ED$67&amp;"'!f1"),O87-1,))*1</f>
        <v>3.9587467908859201E-3</v>
      </c>
      <c r="DN87" cm="1">
        <f t="array" aca="1" ref="DN87" ca="1">IF(ISNA(P87),,OFFSET(INDIRECT("'"&amp;EE$67&amp;"'!f1"),P87-1,))*1</f>
        <v>0.12823204882442901</v>
      </c>
      <c r="DT87">
        <f t="shared" ref="DT87:EE89" ca="1" si="77">IF(CL87,EK87,)</f>
        <v>1</v>
      </c>
      <c r="DU87">
        <f t="shared" ca="1" si="77"/>
        <v>1</v>
      </c>
      <c r="DV87">
        <f t="shared" ca="1" si="77"/>
        <v>1</v>
      </c>
      <c r="DW87">
        <f t="shared" ca="1" si="77"/>
        <v>1</v>
      </c>
      <c r="DX87">
        <f t="shared" ca="1" si="77"/>
        <v>1</v>
      </c>
      <c r="DY87">
        <f t="shared" ca="1" si="77"/>
        <v>1</v>
      </c>
      <c r="DZ87">
        <f t="shared" ca="1" si="77"/>
        <v>9957</v>
      </c>
      <c r="EA87">
        <f t="shared" ca="1" si="77"/>
        <v>10000</v>
      </c>
      <c r="EB87">
        <f t="shared" ca="1" si="77"/>
        <v>8099</v>
      </c>
      <c r="EC87">
        <f t="shared" ca="1" si="77"/>
        <v>0</v>
      </c>
      <c r="ED87">
        <f t="shared" ca="1" si="77"/>
        <v>0</v>
      </c>
      <c r="EE87">
        <f t="shared" ca="1" si="77"/>
        <v>2</v>
      </c>
      <c r="EK87" cm="1">
        <f t="array" aca="1" ref="EK87" ca="1">IF(ISNA(E87),0,OFFSET(INDIRECT("'"&amp;EK$67&amp;"'!g1"),E87-1,)*CL87)</f>
        <v>1</v>
      </c>
      <c r="EL87" cm="1">
        <f t="array" aca="1" ref="EL87" ca="1">IF(ISNA(F87),0,OFFSET(INDIRECT("'"&amp;EL$67&amp;"'!g1"),F87-1,)*CM87)</f>
        <v>1</v>
      </c>
      <c r="EM87" cm="1">
        <f t="array" aca="1" ref="EM87" ca="1">IF(ISNA(G87),0,OFFSET(INDIRECT("'"&amp;EM$67&amp;"'!g1"),G87-1,)*CN87)</f>
        <v>1</v>
      </c>
      <c r="EN87" cm="1">
        <f t="array" aca="1" ref="EN87" ca="1">IF(ISNA(H87),0,OFFSET(INDIRECT("'"&amp;EN$67&amp;"'!g1"),H87-1,)*CO87)</f>
        <v>1</v>
      </c>
      <c r="EO87" cm="1">
        <f t="array" aca="1" ref="EO87" ca="1">IF(ISNA(I87),0,OFFSET(INDIRECT("'"&amp;EO$67&amp;"'!g1"),I87-1,)*CP87)</f>
        <v>1</v>
      </c>
      <c r="EP87" cm="1">
        <f t="array" aca="1" ref="EP87" ca="1">IF(ISNA(J87),0,OFFSET(INDIRECT("'"&amp;EP$67&amp;"'!g1"),J87-1,)*CQ87)</f>
        <v>1</v>
      </c>
      <c r="EQ87" cm="1">
        <f t="array" aca="1" ref="EQ87" ca="1">IF(ISNA(K87),0,OFFSET(INDIRECT("'"&amp;EQ$67&amp;"'!g1"),K87-1,)*CR87)</f>
        <v>9957</v>
      </c>
      <c r="ER87" cm="1">
        <f t="array" aca="1" ref="ER87" ca="1">IF(ISNA(L87),0,OFFSET(INDIRECT("'"&amp;ER$67&amp;"'!g1"),L87-1,)*CS87)</f>
        <v>10000</v>
      </c>
      <c r="ES87" cm="1">
        <f t="array" aca="1" ref="ES87" ca="1">IF(ISNA(M87),0,OFFSET(INDIRECT("'"&amp;ES$67&amp;"'!g1"),M87-1,)*CT87)</f>
        <v>8099</v>
      </c>
      <c r="ET87" cm="1">
        <f t="array" aca="1" ref="ET87" ca="1">IF(ISNA(N87),0,OFFSET(INDIRECT("'"&amp;ET$67&amp;"'!g1"),N87-1,)*CU87)</f>
        <v>0</v>
      </c>
      <c r="EU87" cm="1">
        <f t="array" aca="1" ref="EU87" ca="1">IF(ISNA(O87),0,OFFSET(INDIRECT("'"&amp;EU$67&amp;"'!g1"),O87-1,)*CV87)</f>
        <v>0</v>
      </c>
      <c r="EV87" cm="1">
        <f t="array" aca="1" ref="EV87" ca="1">IF(ISNA(P87),0,OFFSET(INDIRECT("'"&amp;EV$67&amp;"'!g1"),P87-1,)*CW87)</f>
        <v>2</v>
      </c>
      <c r="FB87" s="10" cm="1">
        <f t="array" aca="1" ref="FB87" ca="1">IF(ISNA(E87),0,OFFSET(INDIRECT("'"&amp;EK$67&amp;"'!h1"),E87-1,))</f>
        <v>1</v>
      </c>
      <c r="FC87" s="10" cm="1">
        <f t="array" aca="1" ref="FC87" ca="1">IF(ISNA(F87),0,OFFSET(INDIRECT("'"&amp;EL$67&amp;"'!h1"),F87-1,))</f>
        <v>1</v>
      </c>
      <c r="FD87" s="10" cm="1">
        <f t="array" aca="1" ref="FD87" ca="1">IF(ISNA(G87),0,OFFSET(INDIRECT("'"&amp;EM$67&amp;"'!h1"),G87-1,))</f>
        <v>1</v>
      </c>
      <c r="FE87" s="10" cm="1">
        <f t="array" aca="1" ref="FE87" ca="1">IF(ISNA(H87),0,OFFSET(INDIRECT("'"&amp;EN$67&amp;"'!h1"),H87-1,))</f>
        <v>1</v>
      </c>
      <c r="FF87" s="10" cm="1">
        <f t="array" aca="1" ref="FF87" ca="1">IF(ISNA(I87),0,OFFSET(INDIRECT("'"&amp;EO$67&amp;"'!h1"),I87-1,))</f>
        <v>1</v>
      </c>
      <c r="FG87" s="10" cm="1">
        <f t="array" aca="1" ref="FG87" ca="1">IF(ISNA(J87),0,OFFSET(INDIRECT("'"&amp;EP$67&amp;"'!h1"),J87-1,))</f>
        <v>1</v>
      </c>
      <c r="FH87" s="10" cm="1">
        <f t="array" aca="1" ref="FH87" ca="1">IF(ISNA(K87),0,OFFSET(INDIRECT("'"&amp;EQ$67&amp;"'!h1"),K87-1,))</f>
        <v>10000</v>
      </c>
      <c r="FI87" s="10" cm="1">
        <f t="array" aca="1" ref="FI87" ca="1">IF(ISNA(L87),0,OFFSET(INDIRECT("'"&amp;ER$67&amp;"'!h1"),L87-1,))</f>
        <v>10000</v>
      </c>
      <c r="FJ87" s="10" cm="1">
        <f t="array" aca="1" ref="FJ87" ca="1">IF(ISNA(M87),0,OFFSET(INDIRECT("'"&amp;ES$67&amp;"'!h1"),M87-1,))</f>
        <v>10000</v>
      </c>
      <c r="FK87" s="10" cm="1">
        <f t="array" aca="1" ref="FK87" ca="1">IF(ISNA(N87),0,OFFSET(INDIRECT("'"&amp;ET$67&amp;"'!h1"),N87-1,))</f>
        <v>1</v>
      </c>
      <c r="FL87" s="10" cm="1">
        <f t="array" aca="1" ref="FL87" ca="1">IF(ISNA(O87),0,OFFSET(INDIRECT("'"&amp;EU$67&amp;"'!h1"),O87-1,))</f>
        <v>1</v>
      </c>
      <c r="FM87" s="10" cm="1">
        <f t="array" aca="1" ref="FM87" ca="1">IF(ISNA(P87),0,OFFSET(INDIRECT("'"&amp;EV$67&amp;"'!h1"),P87-1,))</f>
        <v>7</v>
      </c>
      <c r="FN87" s="10"/>
      <c r="FO87" s="10"/>
      <c r="FP87" s="10"/>
      <c r="FQ87" s="10"/>
      <c r="FS87">
        <f t="shared" ca="1" si="61"/>
        <v>27</v>
      </c>
      <c r="FT87">
        <f t="shared" ca="1" si="62"/>
        <v>1.16153620835393</v>
      </c>
      <c r="FU87">
        <f t="shared" ca="1" si="63"/>
        <v>9957</v>
      </c>
      <c r="FV87">
        <f t="shared" ca="1" si="64"/>
        <v>10000</v>
      </c>
      <c r="FW87" s="4">
        <f t="shared" ca="1" si="65"/>
        <v>0.99570000000000003</v>
      </c>
      <c r="FX87" s="5">
        <f t="shared" ca="1" si="66"/>
        <v>1.1665523836034248E-4</v>
      </c>
      <c r="FZ87" s="13">
        <f t="shared" ca="1" si="50"/>
        <v>27</v>
      </c>
      <c r="GA87" s="23">
        <f t="shared" ca="1" si="67"/>
        <v>0</v>
      </c>
      <c r="GB87" s="23">
        <f t="shared" ca="1" si="51"/>
        <v>0</v>
      </c>
      <c r="GC87" s="23">
        <f t="shared" ca="1" si="51"/>
        <v>0</v>
      </c>
      <c r="GD87" s="23">
        <f t="shared" ca="1" si="51"/>
        <v>0</v>
      </c>
      <c r="GE87" s="23">
        <f t="shared" ca="1" si="51"/>
        <v>0</v>
      </c>
      <c r="GF87" s="23">
        <f t="shared" ca="1" si="51"/>
        <v>0</v>
      </c>
      <c r="GG87" s="23">
        <f t="shared" ca="1" si="51"/>
        <v>0</v>
      </c>
      <c r="GH87" s="23">
        <f t="shared" ca="1" si="51"/>
        <v>0</v>
      </c>
      <c r="GI87" s="23">
        <f t="shared" ca="1" si="51"/>
        <v>0</v>
      </c>
      <c r="GJ87" s="23" t="e">
        <f t="shared" ca="1" si="51"/>
        <v>#N/A</v>
      </c>
      <c r="GK87" s="23" t="e">
        <f t="shared" ca="1" si="51"/>
        <v>#N/A</v>
      </c>
      <c r="GL87" s="23">
        <f t="shared" ca="1" si="51"/>
        <v>0</v>
      </c>
      <c r="GM87" s="23"/>
      <c r="GN87">
        <f t="shared" ca="1" si="68"/>
        <v>27</v>
      </c>
      <c r="GO87" s="5">
        <f t="shared" ca="1" si="69"/>
        <v>0.12360734899999599</v>
      </c>
      <c r="GP87" s="5">
        <f t="shared" ca="1" si="69"/>
        <v>0.45211913099998902</v>
      </c>
      <c r="GQ87" s="5">
        <f t="shared" ca="1" si="69"/>
        <v>5.1098120999995403E-2</v>
      </c>
      <c r="GR87" s="5">
        <f t="shared" ca="1" si="69"/>
        <v>6.26322590000256E-2</v>
      </c>
      <c r="GS87" s="5">
        <f t="shared" ca="1" si="69"/>
        <v>5.6651292004971703E-2</v>
      </c>
      <c r="GT87" s="5">
        <f t="shared" ca="1" si="70"/>
        <v>4.7625557985156698E-2</v>
      </c>
      <c r="GU87" s="5">
        <f t="shared" ca="1" si="70"/>
        <v>1.1665523836034248E-4</v>
      </c>
      <c r="GV87" s="5">
        <f t="shared" ca="1" si="70"/>
        <v>1.7972811339423E-4</v>
      </c>
      <c r="GW87" s="5">
        <f t="shared" ca="1" si="70"/>
        <v>2.5077323155719721E-3</v>
      </c>
      <c r="GX87" s="5" t="e">
        <f t="shared" ca="1" si="70"/>
        <v>#N/A</v>
      </c>
      <c r="GY87" s="5" t="e">
        <f t="shared" ca="1" si="70"/>
        <v>#N/A</v>
      </c>
      <c r="GZ87" s="5">
        <f t="shared" ca="1" si="70"/>
        <v>6.4116024412214506E-2</v>
      </c>
      <c r="HB87" s="13">
        <f t="shared" ca="1" si="54"/>
        <v>27</v>
      </c>
      <c r="HC87" s="4">
        <f t="shared" ca="1" si="71"/>
        <v>1</v>
      </c>
      <c r="HD87" s="4">
        <f t="shared" ca="1" si="55"/>
        <v>1</v>
      </c>
      <c r="HE87" s="4">
        <f t="shared" ca="1" si="55"/>
        <v>1</v>
      </c>
      <c r="HF87" s="4">
        <f t="shared" ca="1" si="55"/>
        <v>1</v>
      </c>
      <c r="HG87" s="4">
        <f t="shared" ca="1" si="55"/>
        <v>1</v>
      </c>
      <c r="HH87" s="4">
        <f t="shared" ca="1" si="55"/>
        <v>1</v>
      </c>
      <c r="HI87" s="4">
        <f t="shared" ca="1" si="55"/>
        <v>0.99570000000000003</v>
      </c>
      <c r="HJ87" s="4">
        <f t="shared" ca="1" si="55"/>
        <v>1</v>
      </c>
      <c r="HK87" s="4">
        <f t="shared" ca="1" si="55"/>
        <v>0.80989999999999995</v>
      </c>
      <c r="HL87" s="4">
        <f t="shared" ca="1" si="55"/>
        <v>0</v>
      </c>
      <c r="HM87" s="4">
        <f t="shared" ca="1" si="55"/>
        <v>0</v>
      </c>
      <c r="HN87" s="4">
        <f t="shared" ca="1" si="55"/>
        <v>0.2857142857142857</v>
      </c>
    </row>
    <row r="88" spans="1:222" x14ac:dyDescent="0.2">
      <c r="A88" t="str" cm="1">
        <f t="array" aca="1" ref="A88" ca="1">INDIRECT($A$67&amp;"!A"&amp;ROW(C21)+$B$64)</f>
        <v>[[28,18,5]]</v>
      </c>
      <c r="B88" cm="1">
        <f t="array" aca="1" ref="B88" ca="1">INDIRECT($A$67&amp;"!b"&amp;ROW(D21)+$B$64)</f>
        <v>28</v>
      </c>
      <c r="C88">
        <f t="shared" ca="1" si="56"/>
        <v>5</v>
      </c>
      <c r="E88">
        <f t="shared" ca="1" si="72"/>
        <v>45</v>
      </c>
      <c r="F88">
        <f t="shared" ca="1" si="72"/>
        <v>46</v>
      </c>
      <c r="G88">
        <f t="shared" ca="1" si="72"/>
        <v>45</v>
      </c>
      <c r="H88">
        <f t="shared" ca="1" si="72"/>
        <v>45</v>
      </c>
      <c r="I88">
        <f t="shared" ca="1" si="72"/>
        <v>48</v>
      </c>
      <c r="J88">
        <f t="shared" ca="1" si="72"/>
        <v>45</v>
      </c>
      <c r="K88">
        <f t="shared" ca="1" si="72"/>
        <v>52</v>
      </c>
      <c r="L88">
        <f t="shared" ca="1" si="72"/>
        <v>54</v>
      </c>
      <c r="M88">
        <f t="shared" ca="1" si="72"/>
        <v>51</v>
      </c>
      <c r="N88">
        <f t="shared" ca="1" si="72"/>
        <v>49</v>
      </c>
      <c r="O88">
        <f t="shared" ca="1" si="72"/>
        <v>49</v>
      </c>
      <c r="P88">
        <f t="shared" ca="1" si="72"/>
        <v>49</v>
      </c>
      <c r="V88" cm="1">
        <f t="array" aca="1" ref="V88" ca="1">IF(ISNA(E88),,OFFSET(INDIRECT("'"&amp;V$67&amp;"'!d1"),E88-1,))</f>
        <v>5</v>
      </c>
      <c r="W88" cm="1">
        <f t="array" aca="1" ref="W88" ca="1">IF(ISNA(F88),,OFFSET(INDIRECT("'"&amp;W$67&amp;"'!d1"),F88-1,))</f>
        <v>5</v>
      </c>
      <c r="X88" cm="1">
        <f t="array" aca="1" ref="X88" ca="1">IF(ISNA(G88),,OFFSET(INDIRECT("'"&amp;X$67&amp;"'!d1"),G88-1,))</f>
        <v>5</v>
      </c>
      <c r="Y88" cm="1">
        <f t="array" aca="1" ref="Y88" ca="1">IF(ISNA(H88),,OFFSET(INDIRECT("'"&amp;Y$67&amp;"'!d1"),H88-1,))</f>
        <v>5</v>
      </c>
      <c r="Z88" cm="1">
        <f t="array" aca="1" ref="Z88" ca="1">IF(ISNA(I88),,OFFSET(INDIRECT("'"&amp;Z$67&amp;"'!d1"),I88-1,))</f>
        <v>5</v>
      </c>
      <c r="AA88" cm="1">
        <f t="array" aca="1" ref="AA88" ca="1">IF(ISNA(J88),,OFFSET(INDIRECT("'"&amp;AA$67&amp;"'!d1"),J88-1,))</f>
        <v>5</v>
      </c>
      <c r="AB88" cm="1">
        <f t="array" aca="1" ref="AB88" ca="1">IF(ISNA(K88),,OFFSET(INDIRECT("'"&amp;AB$67&amp;"'!d1"),K88-1,))</f>
        <v>5</v>
      </c>
      <c r="AC88" cm="1">
        <f t="array" aca="1" ref="AC88" ca="1">IF(ISNA(L88),,OFFSET(INDIRECT("'"&amp;AC$67&amp;"'!d1"),L88-1,))</f>
        <v>5</v>
      </c>
      <c r="AD88" cm="1">
        <f t="array" aca="1" ref="AD88" ca="1">IF(ISNA(M88),,OFFSET(INDIRECT("'"&amp;AD$67&amp;"'!d1"),M88-1,))</f>
        <v>5</v>
      </c>
      <c r="AE88" cm="1">
        <f t="array" aca="1" ref="AE88" ca="1">IF(ISNA(N88),,OFFSET(INDIRECT("'"&amp;AE$67&amp;"'!d1"),N88-1,))</f>
        <v>0</v>
      </c>
      <c r="AF88" cm="1">
        <f t="array" aca="1" ref="AF88" ca="1">IF(ISNA(O88),,OFFSET(INDIRECT("'"&amp;AF$67&amp;"'!d1"),O88-1,))</f>
        <v>5</v>
      </c>
      <c r="AG88" cm="1">
        <f t="array" aca="1" ref="AG88" ca="1">IF(ISNA(P88),,OFFSET(INDIRECT("'"&amp;AG$67&amp;"'!d1"),P88-1,))</f>
        <v>5</v>
      </c>
      <c r="AM88">
        <f t="shared" ca="1" si="73"/>
        <v>1</v>
      </c>
      <c r="AN88">
        <f t="shared" ca="1" si="73"/>
        <v>1</v>
      </c>
      <c r="AO88">
        <f t="shared" ca="1" si="73"/>
        <v>1</v>
      </c>
      <c r="AP88">
        <f t="shared" ca="1" si="73"/>
        <v>1</v>
      </c>
      <c r="AQ88">
        <f t="shared" ca="1" si="58"/>
        <v>1</v>
      </c>
      <c r="AV88" t="b">
        <f t="shared" ca="1" si="59"/>
        <v>1</v>
      </c>
      <c r="AW88" t="b">
        <f t="shared" ca="1" si="59"/>
        <v>1</v>
      </c>
      <c r="AX88" t="b">
        <f t="shared" ca="1" si="59"/>
        <v>1</v>
      </c>
      <c r="AY88" t="b">
        <f t="shared" ca="1" si="59"/>
        <v>1</v>
      </c>
      <c r="AZ88" t="b">
        <f t="shared" ca="1" si="59"/>
        <v>1</v>
      </c>
      <c r="BD88">
        <f t="shared" ca="1" si="74"/>
        <v>1</v>
      </c>
      <c r="BE88">
        <f t="shared" ca="1" si="74"/>
        <v>1</v>
      </c>
      <c r="BF88">
        <f t="shared" ca="1" si="74"/>
        <v>1</v>
      </c>
      <c r="BG88">
        <f t="shared" ca="1" si="74"/>
        <v>1</v>
      </c>
      <c r="BH88">
        <f t="shared" ca="1" si="74"/>
        <v>1</v>
      </c>
      <c r="BI88">
        <f t="shared" ca="1" si="74"/>
        <v>1</v>
      </c>
      <c r="BJ88">
        <f t="shared" ca="1" si="74"/>
        <v>1</v>
      </c>
      <c r="BK88">
        <f t="shared" ca="1" si="74"/>
        <v>1</v>
      </c>
      <c r="BL88">
        <f t="shared" ca="1" si="74"/>
        <v>1</v>
      </c>
      <c r="BM88">
        <f t="shared" ca="1" si="74"/>
        <v>0</v>
      </c>
      <c r="BN88">
        <f t="shared" ca="1" si="74"/>
        <v>1</v>
      </c>
      <c r="BO88">
        <f t="shared" ca="1" si="74"/>
        <v>1</v>
      </c>
      <c r="BU88">
        <f t="shared" ca="1" si="75"/>
        <v>5</v>
      </c>
      <c r="BV88">
        <f t="shared" ca="1" si="75"/>
        <v>5</v>
      </c>
      <c r="BW88">
        <f t="shared" ca="1" si="75"/>
        <v>5</v>
      </c>
      <c r="BX88">
        <f t="shared" ca="1" si="75"/>
        <v>5</v>
      </c>
      <c r="BY88">
        <f t="shared" ca="1" si="75"/>
        <v>5</v>
      </c>
      <c r="BZ88">
        <f t="shared" ca="1" si="75"/>
        <v>5</v>
      </c>
      <c r="CA88">
        <f t="shared" ca="1" si="75"/>
        <v>5</v>
      </c>
      <c r="CB88">
        <f t="shared" ca="1" si="75"/>
        <v>5</v>
      </c>
      <c r="CC88">
        <f t="shared" ca="1" si="75"/>
        <v>5</v>
      </c>
      <c r="CD88">
        <f t="shared" ca="1" si="75"/>
        <v>28</v>
      </c>
      <c r="CE88">
        <f t="shared" ca="1" si="75"/>
        <v>5</v>
      </c>
      <c r="CF88">
        <f t="shared" ca="1" si="75"/>
        <v>5</v>
      </c>
      <c r="CL88">
        <f t="shared" ca="1" si="76"/>
        <v>1</v>
      </c>
      <c r="CM88">
        <f t="shared" ca="1" si="76"/>
        <v>1</v>
      </c>
      <c r="CN88">
        <f t="shared" ca="1" si="76"/>
        <v>1</v>
      </c>
      <c r="CO88">
        <f t="shared" ca="1" si="76"/>
        <v>1</v>
      </c>
      <c r="CP88">
        <f t="shared" ca="1" si="76"/>
        <v>1</v>
      </c>
      <c r="CQ88">
        <f t="shared" ca="1" si="76"/>
        <v>1</v>
      </c>
      <c r="CR88">
        <f t="shared" ca="1" si="76"/>
        <v>1</v>
      </c>
      <c r="CS88">
        <f t="shared" ca="1" si="76"/>
        <v>1</v>
      </c>
      <c r="CT88">
        <f t="shared" ca="1" si="76"/>
        <v>1</v>
      </c>
      <c r="CU88">
        <f t="shared" ca="1" si="76"/>
        <v>0</v>
      </c>
      <c r="CV88">
        <f t="shared" ca="1" si="76"/>
        <v>1</v>
      </c>
      <c r="CW88">
        <f t="shared" ca="1" si="76"/>
        <v>1</v>
      </c>
      <c r="DC88" cm="1">
        <f t="array" aca="1" ref="DC88" ca="1">IF(ISNA(E88),,OFFSET(INDIRECT("'"&amp;DT$67&amp;"'!f1"),E88-1,))*1</f>
        <v>8.3462609999997994E-2</v>
      </c>
      <c r="DD88" cm="1">
        <f t="array" aca="1" ref="DD88" ca="1">IF(ISNA(F88),,OFFSET(INDIRECT("'"&amp;DU$67&amp;"'!f1"),F88-1,))*1</f>
        <v>0.180053212000018</v>
      </c>
      <c r="DE88" cm="1">
        <f t="array" aca="1" ref="DE88" ca="1">IF(ISNA(G88),,OFFSET(INDIRECT("'"&amp;DV$67&amp;"'!f1"),G88-1,))*1</f>
        <v>5.0654422000007998E-2</v>
      </c>
      <c r="DF88" cm="1">
        <f t="array" aca="1" ref="DF88" ca="1">IF(ISNA(H88),,OFFSET(INDIRECT("'"&amp;DW$67&amp;"'!f1"),H88-1,))*1</f>
        <v>4.9928161999986197E-2</v>
      </c>
      <c r="DG88" cm="1">
        <f t="array" aca="1" ref="DG88" ca="1">IF(ISNA(I88),,OFFSET(INDIRECT("'"&amp;DX$67&amp;"'!f1"),I88-1,))*1</f>
        <v>5.5864499998278902E-2</v>
      </c>
      <c r="DH88" cm="1">
        <f t="array" aca="1" ref="DH88" ca="1">IF(ISNA(J88),,OFFSET(INDIRECT("'"&amp;DY$67&amp;"'!f1"),J88-1,))*1</f>
        <v>3.4922786056995302E-2</v>
      </c>
      <c r="DI88" cm="1">
        <f t="array" aca="1" ref="DI88" ca="1">IF(ISNA(K88),,OFFSET(INDIRECT("'"&amp;DZ$67&amp;"'!f1"),K88-1,))*1</f>
        <v>1.14312657341361</v>
      </c>
      <c r="DJ88" cm="1">
        <f t="array" aca="1" ref="DJ88" ca="1">IF(ISNA(L88),,OFFSET(INDIRECT("'"&amp;EA$67&amp;"'!f1"),L88-1,))*1</f>
        <v>1.8363927789032399</v>
      </c>
      <c r="DK88" cm="1">
        <f t="array" aca="1" ref="DK88" ca="1">IF(ISNA(M88),,OFFSET(INDIRECT("'"&amp;EB$67&amp;"'!f1"),M88-1,))*1</f>
        <v>23.7912288880907</v>
      </c>
      <c r="DL88" cm="1">
        <f t="array" aca="1" ref="DL88" ca="1">IF(ISNA(N88),,OFFSET(INDIRECT("'"&amp;EC$67&amp;"'!f1"),N88-1,))*1</f>
        <v>4.4666137546300801E-3</v>
      </c>
      <c r="DM88" cm="1">
        <f t="array" aca="1" ref="DM88" ca="1">IF(ISNA(O88),,OFFSET(INDIRECT("'"&amp;ED$67&amp;"'!f1"),O88-1,))*1</f>
        <v>5.1939738914370502E-3</v>
      </c>
      <c r="DN88" cm="1">
        <f t="array" aca="1" ref="DN88" ca="1">IF(ISNA(P88),,OFFSET(INDIRECT("'"&amp;EE$67&amp;"'!f1"),P88-1,))*1</f>
        <v>8.9348489418625797E-3</v>
      </c>
      <c r="DT88">
        <f t="shared" ca="1" si="77"/>
        <v>1</v>
      </c>
      <c r="DU88">
        <f t="shared" ca="1" si="77"/>
        <v>1</v>
      </c>
      <c r="DV88">
        <f t="shared" ca="1" si="77"/>
        <v>1</v>
      </c>
      <c r="DW88">
        <f t="shared" ca="1" si="77"/>
        <v>1</v>
      </c>
      <c r="DX88">
        <f t="shared" ca="1" si="77"/>
        <v>1</v>
      </c>
      <c r="DY88">
        <f t="shared" ca="1" si="77"/>
        <v>1</v>
      </c>
      <c r="DZ88">
        <f t="shared" ca="1" si="77"/>
        <v>9987</v>
      </c>
      <c r="EA88">
        <f t="shared" ca="1" si="77"/>
        <v>9999</v>
      </c>
      <c r="EB88">
        <f t="shared" ca="1" si="77"/>
        <v>9663</v>
      </c>
      <c r="EC88">
        <f t="shared" ca="1" si="77"/>
        <v>0</v>
      </c>
      <c r="ED88">
        <f t="shared" ca="1" si="77"/>
        <v>1</v>
      </c>
      <c r="EE88">
        <f t="shared" ca="1" si="77"/>
        <v>2</v>
      </c>
      <c r="EK88" cm="1">
        <f t="array" aca="1" ref="EK88" ca="1">IF(ISNA(E88),0,OFFSET(INDIRECT("'"&amp;EK$67&amp;"'!g1"),E88-1,)*CL88)</f>
        <v>1</v>
      </c>
      <c r="EL88" cm="1">
        <f t="array" aca="1" ref="EL88" ca="1">IF(ISNA(F88),0,OFFSET(INDIRECT("'"&amp;EL$67&amp;"'!g1"),F88-1,)*CM88)</f>
        <v>1</v>
      </c>
      <c r="EM88" cm="1">
        <f t="array" aca="1" ref="EM88" ca="1">IF(ISNA(G88),0,OFFSET(INDIRECT("'"&amp;EM$67&amp;"'!g1"),G88-1,)*CN88)</f>
        <v>1</v>
      </c>
      <c r="EN88" cm="1">
        <f t="array" aca="1" ref="EN88" ca="1">IF(ISNA(H88),0,OFFSET(INDIRECT("'"&amp;EN$67&amp;"'!g1"),H88-1,)*CO88)</f>
        <v>1</v>
      </c>
      <c r="EO88" cm="1">
        <f t="array" aca="1" ref="EO88" ca="1">IF(ISNA(I88),0,OFFSET(INDIRECT("'"&amp;EO$67&amp;"'!g1"),I88-1,)*CP88)</f>
        <v>1</v>
      </c>
      <c r="EP88" cm="1">
        <f t="array" aca="1" ref="EP88" ca="1">IF(ISNA(J88),0,OFFSET(INDIRECT("'"&amp;EP$67&amp;"'!g1"),J88-1,)*CQ88)</f>
        <v>1</v>
      </c>
      <c r="EQ88" cm="1">
        <f t="array" aca="1" ref="EQ88" ca="1">IF(ISNA(K88),0,OFFSET(INDIRECT("'"&amp;EQ$67&amp;"'!g1"),K88-1,)*CR88)</f>
        <v>9987</v>
      </c>
      <c r="ER88" cm="1">
        <f t="array" aca="1" ref="ER88" ca="1">IF(ISNA(L88),0,OFFSET(INDIRECT("'"&amp;ER$67&amp;"'!g1"),L88-1,)*CS88)</f>
        <v>9999</v>
      </c>
      <c r="ES88" cm="1">
        <f t="array" aca="1" ref="ES88" ca="1">IF(ISNA(M88),0,OFFSET(INDIRECT("'"&amp;ES$67&amp;"'!g1"),M88-1,)*CT88)</f>
        <v>9663</v>
      </c>
      <c r="ET88" cm="1">
        <f t="array" aca="1" ref="ET88" ca="1">IF(ISNA(N88),0,OFFSET(INDIRECT("'"&amp;ET$67&amp;"'!g1"),N88-1,)*CU88)</f>
        <v>0</v>
      </c>
      <c r="EU88" cm="1">
        <f t="array" aca="1" ref="EU88" ca="1">IF(ISNA(O88),0,OFFSET(INDIRECT("'"&amp;EU$67&amp;"'!g1"),O88-1,)*CV88)</f>
        <v>1</v>
      </c>
      <c r="EV88" cm="1">
        <f t="array" aca="1" ref="EV88" ca="1">IF(ISNA(P88),0,OFFSET(INDIRECT("'"&amp;EV$67&amp;"'!g1"),P88-1,)*CW88)</f>
        <v>2</v>
      </c>
      <c r="FB88" s="10" cm="1">
        <f t="array" aca="1" ref="FB88" ca="1">IF(ISNA(E88),0,OFFSET(INDIRECT("'"&amp;EK$67&amp;"'!h1"),E88-1,))</f>
        <v>1</v>
      </c>
      <c r="FC88" s="10" cm="1">
        <f t="array" aca="1" ref="FC88" ca="1">IF(ISNA(F88),0,OFFSET(INDIRECT("'"&amp;EL$67&amp;"'!h1"),F88-1,))</f>
        <v>1</v>
      </c>
      <c r="FD88" s="10" cm="1">
        <f t="array" aca="1" ref="FD88" ca="1">IF(ISNA(G88),0,OFFSET(INDIRECT("'"&amp;EM$67&amp;"'!h1"),G88-1,))</f>
        <v>1</v>
      </c>
      <c r="FE88" s="10" cm="1">
        <f t="array" aca="1" ref="FE88" ca="1">IF(ISNA(H88),0,OFFSET(INDIRECT("'"&amp;EN$67&amp;"'!h1"),H88-1,))</f>
        <v>1</v>
      </c>
      <c r="FF88" s="10" cm="1">
        <f t="array" aca="1" ref="FF88" ca="1">IF(ISNA(I88),0,OFFSET(INDIRECT("'"&amp;EO$67&amp;"'!h1"),I88-1,))</f>
        <v>1</v>
      </c>
      <c r="FG88" s="10" cm="1">
        <f t="array" aca="1" ref="FG88" ca="1">IF(ISNA(J88),0,OFFSET(INDIRECT("'"&amp;EP$67&amp;"'!h1"),J88-1,))</f>
        <v>1</v>
      </c>
      <c r="FH88" s="10" cm="1">
        <f t="array" aca="1" ref="FH88" ca="1">IF(ISNA(K88),0,OFFSET(INDIRECT("'"&amp;EQ$67&amp;"'!h1"),K88-1,))</f>
        <v>10000</v>
      </c>
      <c r="FI88" s="10" cm="1">
        <f t="array" aca="1" ref="FI88" ca="1">IF(ISNA(L88),0,OFFSET(INDIRECT("'"&amp;ER$67&amp;"'!h1"),L88-1,))</f>
        <v>10000</v>
      </c>
      <c r="FJ88" s="10" cm="1">
        <f t="array" aca="1" ref="FJ88" ca="1">IF(ISNA(M88),0,OFFSET(INDIRECT("'"&amp;ES$67&amp;"'!h1"),M88-1,))</f>
        <v>10000</v>
      </c>
      <c r="FK88" s="10" cm="1">
        <f t="array" aca="1" ref="FK88" ca="1">IF(ISNA(N88),0,OFFSET(INDIRECT("'"&amp;ET$67&amp;"'!h1"),N88-1,))</f>
        <v>1</v>
      </c>
      <c r="FL88" s="10" cm="1">
        <f t="array" aca="1" ref="FL88" ca="1">IF(ISNA(O88),0,OFFSET(INDIRECT("'"&amp;EU$67&amp;"'!h1"),O88-1,))</f>
        <v>1</v>
      </c>
      <c r="FM88" s="10" cm="1">
        <f t="array" aca="1" ref="FM88" ca="1">IF(ISNA(P88),0,OFFSET(INDIRECT("'"&amp;EV$67&amp;"'!h1"),P88-1,))</f>
        <v>3</v>
      </c>
      <c r="FN88" s="10"/>
      <c r="FO88" s="10"/>
      <c r="FP88" s="10"/>
      <c r="FQ88" s="10"/>
      <c r="FS88">
        <f t="shared" ca="1" si="61"/>
        <v>28</v>
      </c>
      <c r="FT88">
        <f t="shared" ca="1" si="62"/>
        <v>1.14312657341361</v>
      </c>
      <c r="FU88">
        <f t="shared" ca="1" si="63"/>
        <v>9987</v>
      </c>
      <c r="FV88">
        <f t="shared" ca="1" si="64"/>
        <v>10000</v>
      </c>
      <c r="FW88" s="4">
        <f t="shared" ca="1" si="65"/>
        <v>0.99870000000000003</v>
      </c>
      <c r="FX88" s="5">
        <f t="shared" ca="1" si="66"/>
        <v>1.1446145723576751E-4</v>
      </c>
      <c r="FZ88" s="13">
        <f t="shared" ca="1" si="50"/>
        <v>28</v>
      </c>
      <c r="GA88" s="23">
        <f t="shared" ca="1" si="67"/>
        <v>0</v>
      </c>
      <c r="GB88" s="23">
        <f t="shared" ca="1" si="51"/>
        <v>0</v>
      </c>
      <c r="GC88" s="23">
        <f t="shared" ca="1" si="51"/>
        <v>0</v>
      </c>
      <c r="GD88" s="23">
        <f t="shared" ca="1" si="51"/>
        <v>0</v>
      </c>
      <c r="GE88" s="23">
        <f t="shared" ca="1" si="51"/>
        <v>0</v>
      </c>
      <c r="GF88" s="23">
        <f t="shared" ca="1" si="51"/>
        <v>0</v>
      </c>
      <c r="GG88" s="23">
        <f t="shared" ca="1" si="51"/>
        <v>0</v>
      </c>
      <c r="GH88" s="23">
        <f t="shared" ca="1" si="51"/>
        <v>0</v>
      </c>
      <c r="GI88" s="23">
        <f t="shared" ca="1" si="51"/>
        <v>0</v>
      </c>
      <c r="GJ88" s="23" t="e">
        <f t="shared" ca="1" si="51"/>
        <v>#N/A</v>
      </c>
      <c r="GK88" s="23">
        <f t="shared" ca="1" si="51"/>
        <v>0</v>
      </c>
      <c r="GL88" s="23">
        <f t="shared" ca="1" si="51"/>
        <v>0</v>
      </c>
      <c r="GM88" s="23"/>
      <c r="GN88">
        <f t="shared" ca="1" si="68"/>
        <v>28</v>
      </c>
      <c r="GO88" s="5">
        <f t="shared" ca="1" si="69"/>
        <v>8.3462609999997994E-2</v>
      </c>
      <c r="GP88" s="5">
        <f t="shared" ca="1" si="69"/>
        <v>0.180053212000018</v>
      </c>
      <c r="GQ88" s="5">
        <f t="shared" ca="1" si="69"/>
        <v>5.0654422000007998E-2</v>
      </c>
      <c r="GR88" s="5">
        <f t="shared" ca="1" si="69"/>
        <v>4.9928161999986197E-2</v>
      </c>
      <c r="GS88" s="5">
        <f t="shared" ca="1" si="69"/>
        <v>5.5864499998278902E-2</v>
      </c>
      <c r="GT88" s="5">
        <f t="shared" ca="1" si="70"/>
        <v>3.4922786056995302E-2</v>
      </c>
      <c r="GU88" s="5">
        <f t="shared" ca="1" si="70"/>
        <v>1.1446145723576751E-4</v>
      </c>
      <c r="GV88" s="5">
        <f t="shared" ca="1" si="70"/>
        <v>1.8365764365468946E-4</v>
      </c>
      <c r="GW88" s="5">
        <f t="shared" ca="1" si="70"/>
        <v>2.4620955074087449E-3</v>
      </c>
      <c r="GX88" s="5" t="e">
        <f t="shared" ca="1" si="70"/>
        <v>#N/A</v>
      </c>
      <c r="GY88" s="5">
        <f t="shared" ca="1" si="70"/>
        <v>5.1939738914370502E-3</v>
      </c>
      <c r="GZ88" s="5">
        <f t="shared" ca="1" si="70"/>
        <v>4.4674244709312898E-3</v>
      </c>
      <c r="HB88" s="13">
        <f t="shared" ca="1" si="54"/>
        <v>28</v>
      </c>
      <c r="HC88" s="4">
        <f t="shared" ca="1" si="71"/>
        <v>1</v>
      </c>
      <c r="HD88" s="4">
        <f t="shared" ca="1" si="55"/>
        <v>1</v>
      </c>
      <c r="HE88" s="4">
        <f t="shared" ca="1" si="55"/>
        <v>1</v>
      </c>
      <c r="HF88" s="4">
        <f t="shared" ca="1" si="55"/>
        <v>1</v>
      </c>
      <c r="HG88" s="4">
        <f t="shared" ca="1" si="55"/>
        <v>1</v>
      </c>
      <c r="HH88" s="4">
        <f t="shared" ca="1" si="55"/>
        <v>1</v>
      </c>
      <c r="HI88" s="4">
        <f t="shared" ca="1" si="55"/>
        <v>0.99870000000000003</v>
      </c>
      <c r="HJ88" s="4">
        <f t="shared" ca="1" si="55"/>
        <v>0.99990000000000001</v>
      </c>
      <c r="HK88" s="4">
        <f t="shared" ca="1" si="55"/>
        <v>0.96630000000000005</v>
      </c>
      <c r="HL88" s="4">
        <f t="shared" ca="1" si="55"/>
        <v>0</v>
      </c>
      <c r="HM88" s="4">
        <f t="shared" ca="1" si="55"/>
        <v>1</v>
      </c>
      <c r="HN88" s="4">
        <f t="shared" ca="1" si="55"/>
        <v>0.66666666666666663</v>
      </c>
    </row>
    <row r="89" spans="1:222" x14ac:dyDescent="0.2">
      <c r="A89" t="str" cm="1">
        <f t="array" aca="1" ref="A89" ca="1">INDIRECT($A$67&amp;"!A"&amp;ROW(C22)+$B$64)</f>
        <v>[[29,6,13]]</v>
      </c>
      <c r="B89" cm="1">
        <f t="array" aca="1" ref="B89" ca="1">INDIRECT($A$67&amp;"!b"&amp;ROW(D22)+$B$64)</f>
        <v>29</v>
      </c>
      <c r="C89">
        <f t="shared" ca="1" si="56"/>
        <v>13</v>
      </c>
      <c r="E89">
        <f t="shared" ca="1" si="72"/>
        <v>46</v>
      </c>
      <c r="F89">
        <f t="shared" ca="1" si="72"/>
        <v>47</v>
      </c>
      <c r="G89">
        <f t="shared" ca="1" si="72"/>
        <v>46</v>
      </c>
      <c r="H89">
        <f t="shared" ca="1" si="72"/>
        <v>46</v>
      </c>
      <c r="I89">
        <f t="shared" ca="1" si="72"/>
        <v>49</v>
      </c>
      <c r="J89">
        <f t="shared" ca="1" si="72"/>
        <v>46</v>
      </c>
      <c r="K89">
        <f t="shared" ca="1" si="72"/>
        <v>53</v>
      </c>
      <c r="L89">
        <f t="shared" ca="1" si="72"/>
        <v>55</v>
      </c>
      <c r="M89">
        <f t="shared" ca="1" si="72"/>
        <v>52</v>
      </c>
      <c r="N89">
        <f t="shared" ca="1" si="72"/>
        <v>50</v>
      </c>
      <c r="O89">
        <f t="shared" ca="1" si="72"/>
        <v>50</v>
      </c>
      <c r="P89">
        <f t="shared" ca="1" si="72"/>
        <v>50</v>
      </c>
      <c r="V89" cm="1">
        <f t="array" aca="1" ref="V89" ca="1">IF(ISNA(E89),,OFFSET(INDIRECT("'"&amp;V$67&amp;"'!d1"),E89-1,))</f>
        <v>13</v>
      </c>
      <c r="W89" cm="1">
        <f t="array" aca="1" ref="W89" ca="1">IF(ISNA(F89),,OFFSET(INDIRECT("'"&amp;W$67&amp;"'!d1"),F89-1,))</f>
        <v>13</v>
      </c>
      <c r="X89" cm="1">
        <f t="array" aca="1" ref="X89" ca="1">IF(ISNA(G89),,OFFSET(INDIRECT("'"&amp;X$67&amp;"'!d1"),G89-1,))</f>
        <v>13</v>
      </c>
      <c r="Y89" cm="1">
        <f t="array" aca="1" ref="Y89" ca="1">IF(ISNA(H89),,OFFSET(INDIRECT("'"&amp;Y$67&amp;"'!d1"),H89-1,))</f>
        <v>13</v>
      </c>
      <c r="Z89" cm="1">
        <f t="array" aca="1" ref="Z89" ca="1">IF(ISNA(I89),,OFFSET(INDIRECT("'"&amp;Z$67&amp;"'!d1"),I89-1,))</f>
        <v>13</v>
      </c>
      <c r="AA89" cm="1">
        <f t="array" aca="1" ref="AA89" ca="1">IF(ISNA(J89),,OFFSET(INDIRECT("'"&amp;AA$67&amp;"'!d1"),J89-1,))</f>
        <v>13</v>
      </c>
      <c r="AB89" cm="1">
        <f t="array" aca="1" ref="AB89" ca="1">IF(ISNA(K89),,OFFSET(INDIRECT("'"&amp;AB$67&amp;"'!d1"),K89-1,))</f>
        <v>13</v>
      </c>
      <c r="AC89" cm="1">
        <f t="array" aca="1" ref="AC89" ca="1">IF(ISNA(L89),,OFFSET(INDIRECT("'"&amp;AC$67&amp;"'!d1"),L89-1,))</f>
        <v>13</v>
      </c>
      <c r="AD89" cm="1">
        <f t="array" aca="1" ref="AD89" ca="1">IF(ISNA(M89),,OFFSET(INDIRECT("'"&amp;AD$67&amp;"'!d1"),M89-1,))</f>
        <v>13</v>
      </c>
      <c r="AE89" cm="1">
        <f t="array" aca="1" ref="AE89" ca="1">IF(ISNA(N89),,OFFSET(INDIRECT("'"&amp;AE$67&amp;"'!d1"),N89-1,))</f>
        <v>0</v>
      </c>
      <c r="AF89" cm="1">
        <f t="array" aca="1" ref="AF89" ca="1">IF(ISNA(O89),,OFFSET(INDIRECT("'"&amp;AF$67&amp;"'!d1"),O89-1,))</f>
        <v>0</v>
      </c>
      <c r="AG89" cm="1">
        <f t="array" aca="1" ref="AG89" ca="1">IF(ISNA(P89),,OFFSET(INDIRECT("'"&amp;AG$67&amp;"'!d1"),P89-1,))</f>
        <v>0</v>
      </c>
      <c r="AM89">
        <f t="shared" ca="1" si="73"/>
        <v>1</v>
      </c>
      <c r="AN89">
        <f t="shared" ca="1" si="73"/>
        <v>1</v>
      </c>
      <c r="AO89">
        <f t="shared" ca="1" si="73"/>
        <v>1</v>
      </c>
      <c r="AP89">
        <f t="shared" ca="1" si="73"/>
        <v>1</v>
      </c>
      <c r="AQ89">
        <f t="shared" ca="1" si="58"/>
        <v>1</v>
      </c>
      <c r="AV89" t="b">
        <f t="shared" ca="1" si="59"/>
        <v>1</v>
      </c>
      <c r="AW89" t="b">
        <f t="shared" ca="1" si="59"/>
        <v>1</v>
      </c>
      <c r="AX89" t="b">
        <f t="shared" ca="1" si="59"/>
        <v>1</v>
      </c>
      <c r="AY89" t="b">
        <f t="shared" ca="1" si="59"/>
        <v>1</v>
      </c>
      <c r="AZ89" t="b">
        <f t="shared" ca="1" si="59"/>
        <v>1</v>
      </c>
      <c r="BD89">
        <f t="shared" ca="1" si="74"/>
        <v>1</v>
      </c>
      <c r="BE89">
        <f t="shared" ca="1" si="74"/>
        <v>1</v>
      </c>
      <c r="BF89">
        <f t="shared" ca="1" si="74"/>
        <v>1</v>
      </c>
      <c r="BG89">
        <f t="shared" ca="1" si="74"/>
        <v>1</v>
      </c>
      <c r="BH89">
        <f t="shared" ca="1" si="74"/>
        <v>1</v>
      </c>
      <c r="BI89">
        <f t="shared" ca="1" si="74"/>
        <v>1</v>
      </c>
      <c r="BJ89">
        <f t="shared" ca="1" si="74"/>
        <v>1</v>
      </c>
      <c r="BK89">
        <f t="shared" ca="1" si="74"/>
        <v>1</v>
      </c>
      <c r="BL89">
        <f t="shared" ca="1" si="74"/>
        <v>1</v>
      </c>
      <c r="BM89">
        <f t="shared" ca="1" si="74"/>
        <v>0</v>
      </c>
      <c r="BN89">
        <f t="shared" ca="1" si="74"/>
        <v>0</v>
      </c>
      <c r="BO89">
        <f t="shared" ca="1" si="74"/>
        <v>0</v>
      </c>
      <c r="BU89">
        <f t="shared" ca="1" si="75"/>
        <v>13</v>
      </c>
      <c r="BV89">
        <f t="shared" ca="1" si="75"/>
        <v>13</v>
      </c>
      <c r="BW89">
        <f t="shared" ca="1" si="75"/>
        <v>13</v>
      </c>
      <c r="BX89">
        <f t="shared" ca="1" si="75"/>
        <v>13</v>
      </c>
      <c r="BY89">
        <f t="shared" ca="1" si="75"/>
        <v>13</v>
      </c>
      <c r="BZ89">
        <f t="shared" ca="1" si="75"/>
        <v>13</v>
      </c>
      <c r="CA89">
        <f t="shared" ca="1" si="75"/>
        <v>13</v>
      </c>
      <c r="CB89">
        <f t="shared" ca="1" si="75"/>
        <v>13</v>
      </c>
      <c r="CC89">
        <f t="shared" ca="1" si="75"/>
        <v>13</v>
      </c>
      <c r="CD89">
        <f t="shared" ca="1" si="75"/>
        <v>29</v>
      </c>
      <c r="CE89">
        <f t="shared" ca="1" si="75"/>
        <v>29</v>
      </c>
      <c r="CF89">
        <f t="shared" ca="1" si="75"/>
        <v>29</v>
      </c>
      <c r="CL89">
        <f t="shared" ca="1" si="76"/>
        <v>1</v>
      </c>
      <c r="CM89">
        <f t="shared" ca="1" si="76"/>
        <v>1</v>
      </c>
      <c r="CN89">
        <f t="shared" ca="1" si="76"/>
        <v>1</v>
      </c>
      <c r="CO89">
        <f t="shared" ca="1" si="76"/>
        <v>1</v>
      </c>
      <c r="CP89">
        <f t="shared" ca="1" si="76"/>
        <v>1</v>
      </c>
      <c r="CQ89">
        <f t="shared" ca="1" si="76"/>
        <v>1</v>
      </c>
      <c r="CR89">
        <f t="shared" ca="1" si="76"/>
        <v>1</v>
      </c>
      <c r="CS89">
        <f t="shared" ca="1" si="76"/>
        <v>1</v>
      </c>
      <c r="CT89">
        <f t="shared" ca="1" si="76"/>
        <v>1</v>
      </c>
      <c r="CU89">
        <f t="shared" ca="1" si="76"/>
        <v>0</v>
      </c>
      <c r="CV89">
        <f t="shared" ca="1" si="76"/>
        <v>0</v>
      </c>
      <c r="CW89">
        <f t="shared" ca="1" si="76"/>
        <v>0</v>
      </c>
      <c r="DC89" cm="1">
        <f t="array" aca="1" ref="DC89" ca="1">IF(ISNA(E89),,OFFSET(INDIRECT("'"&amp;DT$67&amp;"'!f1"),E89-1,))*1</f>
        <v>4.4023146999990097E-2</v>
      </c>
      <c r="DD89" cm="1">
        <f t="array" aca="1" ref="DD89" ca="1">IF(ISNA(F89),,OFFSET(INDIRECT("'"&amp;DU$67&amp;"'!f1"),F89-1,))*1</f>
        <v>0.20848557899998299</v>
      </c>
      <c r="DE89" cm="1">
        <f t="array" aca="1" ref="DE89" ca="1">IF(ISNA(G89),,OFFSET(INDIRECT("'"&amp;DV$67&amp;"'!f1"),G89-1,))*1</f>
        <v>2.0581346000000101E-2</v>
      </c>
      <c r="DF89" cm="1">
        <f t="array" aca="1" ref="DF89" ca="1">IF(ISNA(H89),,OFFSET(INDIRECT("'"&amp;DW$67&amp;"'!f1"),H89-1,))*1</f>
        <v>5.5234853999991097E-2</v>
      </c>
      <c r="DG89" cm="1">
        <f t="array" aca="1" ref="DG89" ca="1">IF(ISNA(I89),,OFFSET(INDIRECT("'"&amp;DX$67&amp;"'!f1"),I89-1,))*1</f>
        <v>5.8239165999111699E-2</v>
      </c>
      <c r="DH89" cm="1">
        <f t="array" aca="1" ref="DH89" ca="1">IF(ISNA(J89),,OFFSET(INDIRECT("'"&amp;DY$67&amp;"'!f1"),J89-1,))*1</f>
        <v>5.7223794981837203E-2</v>
      </c>
      <c r="DI89" cm="1">
        <f t="array" aca="1" ref="DI89" ca="1">IF(ISNA(K89),,OFFSET(INDIRECT("'"&amp;DZ$67&amp;"'!f1"),K89-1,))*1</f>
        <v>1.17815053462982</v>
      </c>
      <c r="DJ89" cm="1">
        <f t="array" aca="1" ref="DJ89" ca="1">IF(ISNA(L89),,OFFSET(INDIRECT("'"&amp;EA$67&amp;"'!f1"),L89-1,))*1</f>
        <v>1.74628542177379</v>
      </c>
      <c r="DK89" cm="1">
        <f t="array" aca="1" ref="DK89" ca="1">IF(ISNA(M89),,OFFSET(INDIRECT("'"&amp;EB$67&amp;"'!f1"),M89-1,))*1</f>
        <v>13.2842962509021</v>
      </c>
      <c r="DL89" cm="1">
        <f t="array" aca="1" ref="DL89" ca="1">IF(ISNA(N89),,OFFSET(INDIRECT("'"&amp;EC$67&amp;"'!f1"),N89-1,))*1</f>
        <v>3.8761962205171498E-3</v>
      </c>
      <c r="DM89" cm="1">
        <f t="array" aca="1" ref="DM89" ca="1">IF(ISNA(O89),,OFFSET(INDIRECT("'"&amp;ED$67&amp;"'!f1"),O89-1,))*1</f>
        <v>3.9146812632679896E-3</v>
      </c>
      <c r="DN89" cm="1">
        <f t="array" aca="1" ref="DN89" ca="1">IF(ISNA(P89),,OFFSET(INDIRECT("'"&amp;EE$67&amp;"'!f1"),P89-1,))*1</f>
        <v>5.41835278272628E-3</v>
      </c>
      <c r="DT89">
        <f t="shared" ca="1" si="77"/>
        <v>1</v>
      </c>
      <c r="DU89">
        <f t="shared" ca="1" si="77"/>
        <v>1</v>
      </c>
      <c r="DV89">
        <f t="shared" ca="1" si="77"/>
        <v>1</v>
      </c>
      <c r="DW89">
        <f t="shared" ca="1" si="77"/>
        <v>1</v>
      </c>
      <c r="DX89">
        <f t="shared" ca="1" si="77"/>
        <v>1</v>
      </c>
      <c r="DY89">
        <f t="shared" ca="1" si="77"/>
        <v>1</v>
      </c>
      <c r="DZ89">
        <f t="shared" ca="1" si="77"/>
        <v>7585</v>
      </c>
      <c r="EA89">
        <f t="shared" ca="1" si="77"/>
        <v>9701</v>
      </c>
      <c r="EB89">
        <f t="shared" ca="1" si="77"/>
        <v>4845</v>
      </c>
      <c r="EC89">
        <f t="shared" ca="1" si="77"/>
        <v>0</v>
      </c>
      <c r="ED89">
        <f t="shared" ca="1" si="77"/>
        <v>0</v>
      </c>
      <c r="EE89">
        <f t="shared" ca="1" si="77"/>
        <v>0</v>
      </c>
      <c r="EK89" cm="1">
        <f t="array" aca="1" ref="EK89" ca="1">IF(ISNA(E89),0,OFFSET(INDIRECT("'"&amp;EK$67&amp;"'!g1"),E89-1,)*CL89)</f>
        <v>1</v>
      </c>
      <c r="EL89" cm="1">
        <f t="array" aca="1" ref="EL89" ca="1">IF(ISNA(F89),0,OFFSET(INDIRECT("'"&amp;EL$67&amp;"'!g1"),F89-1,)*CM89)</f>
        <v>1</v>
      </c>
      <c r="EM89" cm="1">
        <f t="array" aca="1" ref="EM89" ca="1">IF(ISNA(G89),0,OFFSET(INDIRECT("'"&amp;EM$67&amp;"'!g1"),G89-1,)*CN89)</f>
        <v>1</v>
      </c>
      <c r="EN89" cm="1">
        <f t="array" aca="1" ref="EN89" ca="1">IF(ISNA(H89),0,OFFSET(INDIRECT("'"&amp;EN$67&amp;"'!g1"),H89-1,)*CO89)</f>
        <v>1</v>
      </c>
      <c r="EO89" cm="1">
        <f t="array" aca="1" ref="EO89" ca="1">IF(ISNA(I89),0,OFFSET(INDIRECT("'"&amp;EO$67&amp;"'!g1"),I89-1,)*CP89)</f>
        <v>1</v>
      </c>
      <c r="EP89" cm="1">
        <f t="array" aca="1" ref="EP89" ca="1">IF(ISNA(J89),0,OFFSET(INDIRECT("'"&amp;EP$67&amp;"'!g1"),J89-1,)*CQ89)</f>
        <v>1</v>
      </c>
      <c r="EQ89" cm="1">
        <f t="array" aca="1" ref="EQ89" ca="1">IF(ISNA(K89),0,OFFSET(INDIRECT("'"&amp;EQ$67&amp;"'!g1"),K89-1,)*CR89)</f>
        <v>7585</v>
      </c>
      <c r="ER89" cm="1">
        <f t="array" aca="1" ref="ER89" ca="1">IF(ISNA(L89),0,OFFSET(INDIRECT("'"&amp;ER$67&amp;"'!g1"),L89-1,)*CS89)</f>
        <v>9701</v>
      </c>
      <c r="ES89" cm="1">
        <f t="array" aca="1" ref="ES89" ca="1">IF(ISNA(M89),0,OFFSET(INDIRECT("'"&amp;ES$67&amp;"'!g1"),M89-1,)*CT89)</f>
        <v>4845</v>
      </c>
      <c r="ET89" cm="1">
        <f t="array" aca="1" ref="ET89" ca="1">IF(ISNA(N89),0,OFFSET(INDIRECT("'"&amp;ET$67&amp;"'!g1"),N89-1,)*CU89)</f>
        <v>0</v>
      </c>
      <c r="EU89" cm="1">
        <f t="array" aca="1" ref="EU89" ca="1">IF(ISNA(O89),0,OFFSET(INDIRECT("'"&amp;EU$67&amp;"'!g1"),O89-1,)*CV89)</f>
        <v>0</v>
      </c>
      <c r="EV89" cm="1">
        <f t="array" aca="1" ref="EV89" ca="1">IF(ISNA(P89),0,OFFSET(INDIRECT("'"&amp;EV$67&amp;"'!g1"),P89-1,)*CW89)</f>
        <v>0</v>
      </c>
      <c r="FB89" s="10" cm="1">
        <f t="array" aca="1" ref="FB89" ca="1">IF(ISNA(E89),0,OFFSET(INDIRECT("'"&amp;EK$67&amp;"'!h1"),E89-1,))</f>
        <v>1</v>
      </c>
      <c r="FC89" s="10" cm="1">
        <f t="array" aca="1" ref="FC89" ca="1">IF(ISNA(F89),0,OFFSET(INDIRECT("'"&amp;EL$67&amp;"'!h1"),F89-1,))</f>
        <v>1</v>
      </c>
      <c r="FD89" s="10" cm="1">
        <f t="array" aca="1" ref="FD89" ca="1">IF(ISNA(G89),0,OFFSET(INDIRECT("'"&amp;EM$67&amp;"'!h1"),G89-1,))</f>
        <v>1</v>
      </c>
      <c r="FE89" s="10" cm="1">
        <f t="array" aca="1" ref="FE89" ca="1">IF(ISNA(H89),0,OFFSET(INDIRECT("'"&amp;EN$67&amp;"'!h1"),H89-1,))</f>
        <v>1</v>
      </c>
      <c r="FF89" s="10" cm="1">
        <f t="array" aca="1" ref="FF89" ca="1">IF(ISNA(I89),0,OFFSET(INDIRECT("'"&amp;EO$67&amp;"'!h1"),I89-1,))</f>
        <v>1</v>
      </c>
      <c r="FG89" s="10" cm="1">
        <f t="array" aca="1" ref="FG89" ca="1">IF(ISNA(J89),0,OFFSET(INDIRECT("'"&amp;EP$67&amp;"'!h1"),J89-1,))</f>
        <v>1</v>
      </c>
      <c r="FH89" s="10" cm="1">
        <f t="array" aca="1" ref="FH89" ca="1">IF(ISNA(K89),0,OFFSET(INDIRECT("'"&amp;EQ$67&amp;"'!h1"),K89-1,))</f>
        <v>10000</v>
      </c>
      <c r="FI89" s="10" cm="1">
        <f t="array" aca="1" ref="FI89" ca="1">IF(ISNA(L89),0,OFFSET(INDIRECT("'"&amp;ER$67&amp;"'!h1"),L89-1,))</f>
        <v>10000</v>
      </c>
      <c r="FJ89" s="10" cm="1">
        <f t="array" aca="1" ref="FJ89" ca="1">IF(ISNA(M89),0,OFFSET(INDIRECT("'"&amp;ES$67&amp;"'!h1"),M89-1,))</f>
        <v>10000</v>
      </c>
      <c r="FK89" s="10" cm="1">
        <f t="array" aca="1" ref="FK89" ca="1">IF(ISNA(N89),0,OFFSET(INDIRECT("'"&amp;ET$67&amp;"'!h1"),N89-1,))</f>
        <v>1</v>
      </c>
      <c r="FL89" s="10" cm="1">
        <f t="array" aca="1" ref="FL89" ca="1">IF(ISNA(O89),0,OFFSET(INDIRECT("'"&amp;EU$67&amp;"'!h1"),O89-1,))</f>
        <v>1</v>
      </c>
      <c r="FM89" s="10" cm="1">
        <f t="array" aca="1" ref="FM89" ca="1">IF(ISNA(P89),0,OFFSET(INDIRECT("'"&amp;EV$67&amp;"'!h1"),P89-1,))</f>
        <v>9</v>
      </c>
      <c r="FN89" s="10"/>
      <c r="FO89" s="10"/>
      <c r="FP89" s="10"/>
      <c r="FQ89" s="10"/>
      <c r="FS89">
        <f t="shared" ca="1" si="61"/>
        <v>29</v>
      </c>
      <c r="FT89">
        <f t="shared" ca="1" si="62"/>
        <v>1.17815053462982</v>
      </c>
      <c r="FU89">
        <f t="shared" ca="1" si="63"/>
        <v>7585</v>
      </c>
      <c r="FV89">
        <f t="shared" ca="1" si="64"/>
        <v>10000</v>
      </c>
      <c r="FW89" s="4">
        <f t="shared" ca="1" si="65"/>
        <v>0.75849999999999995</v>
      </c>
      <c r="FX89" s="5">
        <f t="shared" ca="1" si="66"/>
        <v>1.5532637239681213E-4</v>
      </c>
      <c r="FZ89" s="13">
        <f t="shared" ca="1" si="50"/>
        <v>29</v>
      </c>
      <c r="GA89" s="23">
        <f t="shared" ca="1" si="67"/>
        <v>0</v>
      </c>
      <c r="GB89" s="23">
        <f t="shared" ca="1" si="51"/>
        <v>0</v>
      </c>
      <c r="GC89" s="23">
        <f t="shared" ca="1" si="51"/>
        <v>0</v>
      </c>
      <c r="GD89" s="23">
        <f t="shared" ca="1" si="51"/>
        <v>0</v>
      </c>
      <c r="GE89" s="23">
        <f t="shared" ca="1" si="51"/>
        <v>0</v>
      </c>
      <c r="GF89" s="23">
        <f t="shared" ca="1" si="51"/>
        <v>0</v>
      </c>
      <c r="GG89" s="23">
        <f t="shared" ca="1" si="51"/>
        <v>0</v>
      </c>
      <c r="GH89" s="23">
        <f t="shared" ca="1" si="51"/>
        <v>0</v>
      </c>
      <c r="GI89" s="23">
        <f t="shared" ca="1" si="51"/>
        <v>0</v>
      </c>
      <c r="GJ89" s="23" t="e">
        <f t="shared" ca="1" si="51"/>
        <v>#N/A</v>
      </c>
      <c r="GK89" s="23" t="e">
        <f t="shared" ca="1" si="51"/>
        <v>#N/A</v>
      </c>
      <c r="GL89" s="23" t="e">
        <f t="shared" ca="1" si="51"/>
        <v>#N/A</v>
      </c>
      <c r="GM89" s="23"/>
      <c r="GN89">
        <f t="shared" ca="1" si="68"/>
        <v>29</v>
      </c>
      <c r="GO89" s="5">
        <f t="shared" ca="1" si="69"/>
        <v>4.4023146999990097E-2</v>
      </c>
      <c r="GP89" s="5">
        <f t="shared" ca="1" si="69"/>
        <v>0.20848557899998299</v>
      </c>
      <c r="GQ89" s="5">
        <f t="shared" ca="1" si="69"/>
        <v>2.0581346000000101E-2</v>
      </c>
      <c r="GR89" s="5">
        <f t="shared" ca="1" si="69"/>
        <v>5.5234853999991097E-2</v>
      </c>
      <c r="GS89" s="5">
        <f t="shared" ca="1" si="69"/>
        <v>5.8239165999111699E-2</v>
      </c>
      <c r="GT89" s="5">
        <f t="shared" ca="1" si="70"/>
        <v>5.7223794981837203E-2</v>
      </c>
      <c r="GU89" s="5">
        <f t="shared" ca="1" si="70"/>
        <v>1.5532637239681213E-4</v>
      </c>
      <c r="GV89" s="5">
        <f t="shared" ca="1" si="70"/>
        <v>1.8001086710378209E-4</v>
      </c>
      <c r="GW89" s="5">
        <f t="shared" ca="1" si="70"/>
        <v>2.7418568113317028E-3</v>
      </c>
      <c r="GX89" s="5" t="e">
        <f t="shared" ca="1" si="70"/>
        <v>#N/A</v>
      </c>
      <c r="GY89" s="5" t="e">
        <f t="shared" ca="1" si="70"/>
        <v>#N/A</v>
      </c>
      <c r="GZ89" s="5" t="e">
        <f t="shared" ca="1" si="70"/>
        <v>#N/A</v>
      </c>
      <c r="HB89" s="13">
        <f t="shared" ca="1" si="54"/>
        <v>29</v>
      </c>
      <c r="HC89" s="4">
        <f t="shared" ca="1" si="71"/>
        <v>1</v>
      </c>
      <c r="HD89" s="4">
        <f t="shared" ca="1" si="55"/>
        <v>1</v>
      </c>
      <c r="HE89" s="4">
        <f t="shared" ca="1" si="55"/>
        <v>1</v>
      </c>
      <c r="HF89" s="4">
        <f t="shared" ca="1" si="55"/>
        <v>1</v>
      </c>
      <c r="HG89" s="4">
        <f t="shared" ca="1" si="55"/>
        <v>1</v>
      </c>
      <c r="HH89" s="4">
        <f t="shared" ca="1" si="55"/>
        <v>1</v>
      </c>
      <c r="HI89" s="4">
        <f t="shared" ca="1" si="55"/>
        <v>0.75849999999999995</v>
      </c>
      <c r="HJ89" s="4">
        <f t="shared" ca="1" si="55"/>
        <v>0.97009999999999996</v>
      </c>
      <c r="HK89" s="4">
        <f t="shared" ca="1" si="55"/>
        <v>0.48449999999999999</v>
      </c>
      <c r="HL89" s="4">
        <f t="shared" ca="1" si="55"/>
        <v>0</v>
      </c>
      <c r="HM89" s="4">
        <f t="shared" ca="1" si="55"/>
        <v>0</v>
      </c>
      <c r="HN89" s="4">
        <f t="shared" ca="1" si="55"/>
        <v>0</v>
      </c>
    </row>
    <row r="90" spans="1:222" x14ac:dyDescent="0.2">
      <c r="A90" t="str" cm="1">
        <f t="array" aca="1" ref="A90" ca="1">INDIRECT($A$67&amp;"!A"&amp;ROW(C23)+$B$64)</f>
        <v>[[30,6,14]]</v>
      </c>
      <c r="B90" cm="1">
        <f t="array" aca="1" ref="B90" ca="1">INDIRECT($A$67&amp;"!b"&amp;ROW(D23)+$B$64)</f>
        <v>30</v>
      </c>
      <c r="C90">
        <f t="shared" ref="C90:C153" ca="1" si="78">MIN(INDIRECT($A$67&amp;"!d"&amp;ROW(E23)+$B$64),BU90:CG90)</f>
        <v>14</v>
      </c>
      <c r="E90">
        <f t="shared" ca="1" si="72"/>
        <v>47</v>
      </c>
      <c r="F90">
        <f t="shared" ca="1" si="72"/>
        <v>48</v>
      </c>
      <c r="G90">
        <f t="shared" ca="1" si="72"/>
        <v>47</v>
      </c>
      <c r="H90">
        <f t="shared" ca="1" si="72"/>
        <v>47</v>
      </c>
      <c r="I90">
        <f t="shared" ca="1" si="72"/>
        <v>50</v>
      </c>
      <c r="J90">
        <f t="shared" ca="1" si="72"/>
        <v>47</v>
      </c>
      <c r="K90">
        <f t="shared" ca="1" si="72"/>
        <v>54</v>
      </c>
      <c r="L90">
        <f t="shared" ca="1" si="72"/>
        <v>56</v>
      </c>
      <c r="M90">
        <f t="shared" ca="1" si="72"/>
        <v>53</v>
      </c>
      <c r="N90">
        <f t="shared" ca="1" si="72"/>
        <v>51</v>
      </c>
      <c r="O90">
        <f t="shared" ca="1" si="72"/>
        <v>51</v>
      </c>
      <c r="P90">
        <f t="shared" ca="1" si="72"/>
        <v>51</v>
      </c>
      <c r="V90" cm="1">
        <f t="array" aca="1" ref="V90" ca="1">IF(ISNA(E90),,OFFSET(INDIRECT("'"&amp;V$67&amp;"'!d1"),E90-1,))</f>
        <v>14</v>
      </c>
      <c r="W90" cm="1">
        <f t="array" aca="1" ref="W90" ca="1">IF(ISNA(F90),,OFFSET(INDIRECT("'"&amp;W$67&amp;"'!d1"),F90-1,))</f>
        <v>14</v>
      </c>
      <c r="X90" cm="1">
        <f t="array" aca="1" ref="X90" ca="1">IF(ISNA(G90),,OFFSET(INDIRECT("'"&amp;X$67&amp;"'!d1"),G90-1,))</f>
        <v>14</v>
      </c>
      <c r="Y90" cm="1">
        <f t="array" aca="1" ref="Y90" ca="1">IF(ISNA(H90),,OFFSET(INDIRECT("'"&amp;Y$67&amp;"'!d1"),H90-1,))</f>
        <v>14</v>
      </c>
      <c r="Z90" cm="1">
        <f t="array" aca="1" ref="Z90" ca="1">IF(ISNA(I90),,OFFSET(INDIRECT("'"&amp;Z$67&amp;"'!d1"),I90-1,))</f>
        <v>14</v>
      </c>
      <c r="AA90" cm="1">
        <f t="array" aca="1" ref="AA90" ca="1">IF(ISNA(J90),,OFFSET(INDIRECT("'"&amp;AA$67&amp;"'!d1"),J90-1,))</f>
        <v>14</v>
      </c>
      <c r="AB90" cm="1">
        <f t="array" aca="1" ref="AB90" ca="1">IF(ISNA(K90),,OFFSET(INDIRECT("'"&amp;AB$67&amp;"'!d1"),K90-1,))</f>
        <v>14</v>
      </c>
      <c r="AC90" cm="1">
        <f t="array" aca="1" ref="AC90" ca="1">IF(ISNA(L90),,OFFSET(INDIRECT("'"&amp;AC$67&amp;"'!d1"),L90-1,))</f>
        <v>14</v>
      </c>
      <c r="AD90" cm="1">
        <f t="array" aca="1" ref="AD90" ca="1">IF(ISNA(M90),,OFFSET(INDIRECT("'"&amp;AD$67&amp;"'!d1"),M90-1,))</f>
        <v>14</v>
      </c>
      <c r="AE90" cm="1">
        <f t="array" aca="1" ref="AE90" ca="1">IF(ISNA(N90),,OFFSET(INDIRECT("'"&amp;AE$67&amp;"'!d1"),N90-1,))</f>
        <v>0</v>
      </c>
      <c r="AF90" cm="1">
        <f t="array" aca="1" ref="AF90" ca="1">IF(ISNA(O90),,OFFSET(INDIRECT("'"&amp;AF$67&amp;"'!d1"),O90-1,))</f>
        <v>0</v>
      </c>
      <c r="AG90" cm="1">
        <f t="array" aca="1" ref="AG90" ca="1">IF(ISNA(P90),,OFFSET(INDIRECT("'"&amp;AG$67&amp;"'!d1"),P90-1,))</f>
        <v>0</v>
      </c>
      <c r="AM90">
        <f t="shared" ref="AM90:AM153" ca="1" si="79">IF(DC90&gt;= $N$3,0,BD90)</f>
        <v>1</v>
      </c>
      <c r="AN90">
        <f t="shared" ref="AN90:AN153" ca="1" si="80">IF(DD90&gt;= $N$3,0,BE90)</f>
        <v>1</v>
      </c>
      <c r="AO90">
        <f t="shared" ref="AO90:AO153" ca="1" si="81">IF(DE90&gt;= $N$3,0,BF90)</f>
        <v>1</v>
      </c>
      <c r="AP90">
        <f t="shared" ref="AP90:AP153" ca="1" si="82">IF(DF90&gt;= $N$3,0,BG90)</f>
        <v>1</v>
      </c>
      <c r="AQ90">
        <f t="shared" ref="AQ90:AQ153" ca="1" si="83">IF(DG90*1&gt;= $N$3,0,BH90)</f>
        <v>1</v>
      </c>
      <c r="AV90" t="b">
        <f t="shared" ref="AV90:AV153" ca="1" si="84">IF(AM90=1,CL90=1,"")</f>
        <v>1</v>
      </c>
      <c r="AW90" t="b">
        <f t="shared" ref="AW90:AW153" ca="1" si="85">IF(AN90=1,CM90=1,"")</f>
        <v>1</v>
      </c>
      <c r="AX90" t="b">
        <f t="shared" ref="AX90:AX153" ca="1" si="86">IF(AO90=1,CN90=1,"")</f>
        <v>1</v>
      </c>
      <c r="AY90" t="b">
        <f t="shared" ref="AY90:AY153" ca="1" si="87">IF(AP90=1,CO90=1,"")</f>
        <v>1</v>
      </c>
      <c r="AZ90" t="b">
        <f t="shared" ref="AZ90:AZ153" ca="1" si="88">IF(AQ90=1,CP90=1,"")</f>
        <v>1</v>
      </c>
      <c r="BD90">
        <f t="shared" ref="BD90:BD153" ca="1" si="89">IF(AND(V90&gt;0,V90&lt;$B90),1,0)</f>
        <v>1</v>
      </c>
      <c r="BE90">
        <f t="shared" ref="BE90:BE153" ca="1" si="90">IF(AND(W90&gt;0,W90&lt;$B90),1,0)</f>
        <v>1</v>
      </c>
      <c r="BF90">
        <f t="shared" ref="BF90:BF153" ca="1" si="91">IF(AND(X90&gt;0,X90&lt;$B90),1,0)</f>
        <v>1</v>
      </c>
      <c r="BG90">
        <f t="shared" ref="BG90:BG153" ca="1" si="92">IF(AND(Y90&gt;0,Y90&lt;$B90),1,0)</f>
        <v>1</v>
      </c>
      <c r="BH90">
        <f t="shared" ref="BH90:BH153" ca="1" si="93">IF(AND(Z90&gt;0,Z90&lt;$B90),1,0)</f>
        <v>1</v>
      </c>
      <c r="BI90">
        <f t="shared" ref="BI90:BI153" ca="1" si="94">IF(AND(AA90&gt;0,AA90&lt;$B90),1,0)</f>
        <v>1</v>
      </c>
      <c r="BJ90">
        <f t="shared" ref="BJ90:BJ153" ca="1" si="95">IF(AND(AB90&gt;0,AB90&lt;$B90),1,0)</f>
        <v>1</v>
      </c>
      <c r="BK90">
        <f t="shared" ref="BK90:BK153" ca="1" si="96">IF(AND(AC90&gt;0,AC90&lt;$B90),1,0)</f>
        <v>1</v>
      </c>
      <c r="BL90">
        <f t="shared" ref="BL90:BL153" ca="1" si="97">IF(AND(AD90&gt;0,AD90&lt;$B90),1,0)</f>
        <v>1</v>
      </c>
      <c r="BM90">
        <f t="shared" ref="BM90:BM153" ca="1" si="98">IF(AND(AE90&gt;0,AE90&lt;$B90),1,0)</f>
        <v>0</v>
      </c>
      <c r="BN90">
        <f t="shared" ref="BN90:BN153" ca="1" si="99">IF(AND(AF90&gt;0,AF90&lt;$B90),1,0)</f>
        <v>0</v>
      </c>
      <c r="BO90">
        <f t="shared" ref="BO90:BO153" ca="1" si="100">IF(AND(AG90&gt;0,AG90&lt;$B90),1,0)</f>
        <v>0</v>
      </c>
      <c r="BU90">
        <f t="shared" ref="BU90:BU153" ca="1" si="101">IF(BD90,V90,$B90)</f>
        <v>14</v>
      </c>
      <c r="BV90">
        <f t="shared" ref="BV90:BV153" ca="1" si="102">IF(BE90,W90,$B90)</f>
        <v>14</v>
      </c>
      <c r="BW90">
        <f t="shared" ref="BW90:BW153" ca="1" si="103">IF(BF90,X90,$B90)</f>
        <v>14</v>
      </c>
      <c r="BX90">
        <f t="shared" ref="BX90:BX153" ca="1" si="104">IF(BG90,Y90,$B90)</f>
        <v>14</v>
      </c>
      <c r="BY90">
        <f t="shared" ref="BY90:BY153" ca="1" si="105">IF(BH90,Z90,$B90)</f>
        <v>14</v>
      </c>
      <c r="BZ90">
        <f t="shared" ref="BZ90:BZ153" ca="1" si="106">IF(BI90,AA90,$B90)</f>
        <v>14</v>
      </c>
      <c r="CA90">
        <f t="shared" ref="CA90:CA153" ca="1" si="107">IF(BJ90,AB90,$B90)</f>
        <v>14</v>
      </c>
      <c r="CB90">
        <f t="shared" ref="CB90:CB153" ca="1" si="108">IF(BK90,AC90,$B90)</f>
        <v>14</v>
      </c>
      <c r="CC90">
        <f t="shared" ref="CC90:CC153" ca="1" si="109">IF(BL90,AD90,$B90)</f>
        <v>14</v>
      </c>
      <c r="CD90">
        <f t="shared" ref="CD90:CD153" ca="1" si="110">IF(BM90,AE90,$B90)</f>
        <v>30</v>
      </c>
      <c r="CE90">
        <f t="shared" ref="CE90:CE153" ca="1" si="111">IF(BN90,AF90,$B90)</f>
        <v>30</v>
      </c>
      <c r="CF90">
        <f t="shared" ref="CF90:CF153" ca="1" si="112">IF(BO90,AG90,$B90)</f>
        <v>30</v>
      </c>
      <c r="CL90">
        <f t="shared" ref="CL90:CL153" ca="1" si="113">IF(BU90=$C90,1,0)</f>
        <v>1</v>
      </c>
      <c r="CM90">
        <f t="shared" ref="CM90:CM153" ca="1" si="114">IF(BV90=$C90,1,0)</f>
        <v>1</v>
      </c>
      <c r="CN90">
        <f t="shared" ref="CN90:CN153" ca="1" si="115">IF(BW90=$C90,1,0)</f>
        <v>1</v>
      </c>
      <c r="CO90">
        <f t="shared" ref="CO90:CO153" ca="1" si="116">IF(BX90=$C90,1,0)</f>
        <v>1</v>
      </c>
      <c r="CP90">
        <f t="shared" ref="CP90:CP153" ca="1" si="117">IF(BY90=$C90,1,0)</f>
        <v>1</v>
      </c>
      <c r="CQ90">
        <f t="shared" ref="CQ90:CQ153" ca="1" si="118">IF(BZ90=$C90,1,0)</f>
        <v>1</v>
      </c>
      <c r="CR90">
        <f t="shared" ref="CR90:CR153" ca="1" si="119">IF(CA90=$C90,1,0)</f>
        <v>1</v>
      </c>
      <c r="CS90">
        <f t="shared" ref="CS90:CS153" ca="1" si="120">IF(CB90=$C90,1,0)</f>
        <v>1</v>
      </c>
      <c r="CT90">
        <f t="shared" ref="CT90:CT153" ca="1" si="121">IF(CC90=$C90,1,0)</f>
        <v>1</v>
      </c>
      <c r="CU90">
        <f t="shared" ref="CU90:CU153" ca="1" si="122">IF(CD90=$C90,1,0)</f>
        <v>0</v>
      </c>
      <c r="CV90">
        <f t="shared" ref="CV90:CV153" ca="1" si="123">IF(CE90=$C90,1,0)</f>
        <v>0</v>
      </c>
      <c r="CW90">
        <f t="shared" ref="CW90:CW153" ca="1" si="124">IF(CF90=$C90,1,0)</f>
        <v>0</v>
      </c>
      <c r="DC90" cm="1">
        <f t="array" aca="1" ref="DC90" ca="1">IF(ISNA(E90),,OFFSET(INDIRECT("'"&amp;DT$67&amp;"'!f1"),E90-1,))*1</f>
        <v>4.34431300000142E-2</v>
      </c>
      <c r="DD90" cm="1">
        <f t="array" aca="1" ref="DD90" ca="1">IF(ISNA(F90),,OFFSET(INDIRECT("'"&amp;DU$67&amp;"'!f1"),F90-1,))*1</f>
        <v>0.22005441600000999</v>
      </c>
      <c r="DE90" cm="1">
        <f t="array" aca="1" ref="DE90" ca="1">IF(ISNA(G90),,OFFSET(INDIRECT("'"&amp;DV$67&amp;"'!f1"),G90-1,))*1</f>
        <v>2.1646258999993499E-2</v>
      </c>
      <c r="DF90" cm="1">
        <f t="array" aca="1" ref="DF90" ca="1">IF(ISNA(H90),,OFFSET(INDIRECT("'"&amp;DW$67&amp;"'!f1"),H90-1,))*1</f>
        <v>5.4884012000002202E-2</v>
      </c>
      <c r="DG90" cm="1">
        <f t="array" aca="1" ref="DG90" ca="1">IF(ISNA(I90),,OFFSET(INDIRECT("'"&amp;DX$67&amp;"'!f1"),I90-1,))*1</f>
        <v>5.6752208998659598E-2</v>
      </c>
      <c r="DH90" cm="1">
        <f t="array" aca="1" ref="DH90" ca="1">IF(ISNA(J90),,OFFSET(INDIRECT("'"&amp;DY$67&amp;"'!f1"),J90-1,))*1</f>
        <v>5.9768409933894803E-2</v>
      </c>
      <c r="DI90" cm="1">
        <f t="array" aca="1" ref="DI90" ca="1">IF(ISNA(K90),,OFFSET(INDIRECT("'"&amp;DZ$67&amp;"'!f1"),K90-1,))*1</f>
        <v>1.2241698382422299</v>
      </c>
      <c r="DJ90" cm="1">
        <f t="array" aca="1" ref="DJ90" ca="1">IF(ISNA(L90),,OFFSET(INDIRECT("'"&amp;EA$67&amp;"'!f1"),L90-1,))*1</f>
        <v>1.8567468225955901</v>
      </c>
      <c r="DK90" cm="1">
        <f t="array" aca="1" ref="DK90" ca="1">IF(ISNA(M90),,OFFSET(INDIRECT("'"&amp;EB$67&amp;"'!f1"),M90-1,))*1</f>
        <v>12.3298465888947</v>
      </c>
      <c r="DL90" cm="1">
        <f t="array" aca="1" ref="DL90" ca="1">IF(ISNA(N90),,OFFSET(INDIRECT("'"&amp;EC$67&amp;"'!f1"),N90-1,))*1</f>
        <v>4.0973862633108997E-3</v>
      </c>
      <c r="DM90" cm="1">
        <f t="array" aca="1" ref="DM90" ca="1">IF(ISNA(O90),,OFFSET(INDIRECT("'"&amp;ED$67&amp;"'!f1"),O90-1,))*1</f>
        <v>4.0393620729446402E-3</v>
      </c>
      <c r="DN90" cm="1">
        <f t="array" aca="1" ref="DN90" ca="1">IF(ISNA(P90),,OFFSET(INDIRECT("'"&amp;EE$67&amp;"'!f1"),P90-1,))*1</f>
        <v>5.5812038481235504E-3</v>
      </c>
      <c r="DT90">
        <f t="shared" ref="DT90:DT153" ca="1" si="125">IF(CL90,EK90,)</f>
        <v>1</v>
      </c>
      <c r="DU90">
        <f t="shared" ref="DU90:DU153" ca="1" si="126">IF(CM90,EL90,)</f>
        <v>1</v>
      </c>
      <c r="DV90">
        <f t="shared" ref="DV90:DV153" ca="1" si="127">IF(CN90,EM90,)</f>
        <v>1</v>
      </c>
      <c r="DW90">
        <f t="shared" ref="DW90:DW153" ca="1" si="128">IF(CO90,EN90,)</f>
        <v>1</v>
      </c>
      <c r="DX90">
        <f t="shared" ref="DX90:DX153" ca="1" si="129">IF(CP90,EO90,)</f>
        <v>1</v>
      </c>
      <c r="DY90">
        <f t="shared" ref="DY90:DY153" ca="1" si="130">IF(CQ90,EP90,)</f>
        <v>1</v>
      </c>
      <c r="DZ90">
        <f t="shared" ref="DZ90:DZ153" ca="1" si="131">IF(CR90,EQ90,)</f>
        <v>9686</v>
      </c>
      <c r="EA90">
        <f t="shared" ref="EA90:EA153" ca="1" si="132">IF(CS90,ER90,)</f>
        <v>9947</v>
      </c>
      <c r="EB90">
        <f t="shared" ref="EB90:EB153" ca="1" si="133">IF(CT90,ES90,)</f>
        <v>7023</v>
      </c>
      <c r="EC90">
        <f t="shared" ref="EC90:EC153" ca="1" si="134">IF(CU90,ET90,)</f>
        <v>0</v>
      </c>
      <c r="ED90">
        <f t="shared" ref="ED90:ED153" ca="1" si="135">IF(CV90,EU90,)</f>
        <v>0</v>
      </c>
      <c r="EE90">
        <f t="shared" ref="EE90:EE153" ca="1" si="136">IF(CW90,EV90,)</f>
        <v>0</v>
      </c>
      <c r="EK90" cm="1">
        <f t="array" aca="1" ref="EK90" ca="1">IF(ISNA(E90),0,OFFSET(INDIRECT("'"&amp;EK$67&amp;"'!g1"),E90-1,)*CL90)</f>
        <v>1</v>
      </c>
      <c r="EL90" cm="1">
        <f t="array" aca="1" ref="EL90" ca="1">IF(ISNA(F90),0,OFFSET(INDIRECT("'"&amp;EL$67&amp;"'!g1"),F90-1,)*CM90)</f>
        <v>1</v>
      </c>
      <c r="EM90" cm="1">
        <f t="array" aca="1" ref="EM90" ca="1">IF(ISNA(G90),0,OFFSET(INDIRECT("'"&amp;EM$67&amp;"'!g1"),G90-1,)*CN90)</f>
        <v>1</v>
      </c>
      <c r="EN90" cm="1">
        <f t="array" aca="1" ref="EN90" ca="1">IF(ISNA(H90),0,OFFSET(INDIRECT("'"&amp;EN$67&amp;"'!g1"),H90-1,)*CO90)</f>
        <v>1</v>
      </c>
      <c r="EO90" cm="1">
        <f t="array" aca="1" ref="EO90" ca="1">IF(ISNA(I90),0,OFFSET(INDIRECT("'"&amp;EO$67&amp;"'!g1"),I90-1,)*CP90)</f>
        <v>1</v>
      </c>
      <c r="EP90" cm="1">
        <f t="array" aca="1" ref="EP90" ca="1">IF(ISNA(J90),0,OFFSET(INDIRECT("'"&amp;EP$67&amp;"'!g1"),J90-1,)*CQ90)</f>
        <v>1</v>
      </c>
      <c r="EQ90" cm="1">
        <f t="array" aca="1" ref="EQ90" ca="1">IF(ISNA(K90),0,OFFSET(INDIRECT("'"&amp;EQ$67&amp;"'!g1"),K90-1,)*CR90)</f>
        <v>9686</v>
      </c>
      <c r="ER90" cm="1">
        <f t="array" aca="1" ref="ER90" ca="1">IF(ISNA(L90),0,OFFSET(INDIRECT("'"&amp;ER$67&amp;"'!g1"),L90-1,)*CS90)</f>
        <v>9947</v>
      </c>
      <c r="ES90" cm="1">
        <f t="array" aca="1" ref="ES90" ca="1">IF(ISNA(M90),0,OFFSET(INDIRECT("'"&amp;ES$67&amp;"'!g1"),M90-1,)*CT90)</f>
        <v>7023</v>
      </c>
      <c r="ET90" cm="1">
        <f t="array" aca="1" ref="ET90" ca="1">IF(ISNA(N90),0,OFFSET(INDIRECT("'"&amp;ET$67&amp;"'!g1"),N90-1,)*CU90)</f>
        <v>0</v>
      </c>
      <c r="EU90" cm="1">
        <f t="array" aca="1" ref="EU90" ca="1">IF(ISNA(O90),0,OFFSET(INDIRECT("'"&amp;EU$67&amp;"'!g1"),O90-1,)*CV90)</f>
        <v>0</v>
      </c>
      <c r="EV90" cm="1">
        <f t="array" aca="1" ref="EV90" ca="1">IF(ISNA(P90),0,OFFSET(INDIRECT("'"&amp;EV$67&amp;"'!g1"),P90-1,)*CW90)</f>
        <v>0</v>
      </c>
      <c r="FB90" s="10" cm="1">
        <f t="array" aca="1" ref="FB90" ca="1">IF(ISNA(E90),0,OFFSET(INDIRECT("'"&amp;EK$67&amp;"'!h1"),E90-1,))</f>
        <v>1</v>
      </c>
      <c r="FC90" s="10" cm="1">
        <f t="array" aca="1" ref="FC90" ca="1">IF(ISNA(F90),0,OFFSET(INDIRECT("'"&amp;EL$67&amp;"'!h1"),F90-1,))</f>
        <v>1</v>
      </c>
      <c r="FD90" s="10" cm="1">
        <f t="array" aca="1" ref="FD90" ca="1">IF(ISNA(G90),0,OFFSET(INDIRECT("'"&amp;EM$67&amp;"'!h1"),G90-1,))</f>
        <v>1</v>
      </c>
      <c r="FE90" s="10" cm="1">
        <f t="array" aca="1" ref="FE90" ca="1">IF(ISNA(H90),0,OFFSET(INDIRECT("'"&amp;EN$67&amp;"'!h1"),H90-1,))</f>
        <v>1</v>
      </c>
      <c r="FF90" s="10" cm="1">
        <f t="array" aca="1" ref="FF90" ca="1">IF(ISNA(I90),0,OFFSET(INDIRECT("'"&amp;EO$67&amp;"'!h1"),I90-1,))</f>
        <v>1</v>
      </c>
      <c r="FG90" s="10" cm="1">
        <f t="array" aca="1" ref="FG90" ca="1">IF(ISNA(J90),0,OFFSET(INDIRECT("'"&amp;EP$67&amp;"'!h1"),J90-1,))</f>
        <v>1</v>
      </c>
      <c r="FH90" s="10" cm="1">
        <f t="array" aca="1" ref="FH90" ca="1">IF(ISNA(K90),0,OFFSET(INDIRECT("'"&amp;EQ$67&amp;"'!h1"),K90-1,))</f>
        <v>10000</v>
      </c>
      <c r="FI90" s="10" cm="1">
        <f t="array" aca="1" ref="FI90" ca="1">IF(ISNA(L90),0,OFFSET(INDIRECT("'"&amp;ER$67&amp;"'!h1"),L90-1,))</f>
        <v>10000</v>
      </c>
      <c r="FJ90" s="10" cm="1">
        <f t="array" aca="1" ref="FJ90" ca="1">IF(ISNA(M90),0,OFFSET(INDIRECT("'"&amp;ES$67&amp;"'!h1"),M90-1,))</f>
        <v>10000</v>
      </c>
      <c r="FK90" s="10" cm="1">
        <f t="array" aca="1" ref="FK90" ca="1">IF(ISNA(N90),0,OFFSET(INDIRECT("'"&amp;ET$67&amp;"'!h1"),N90-1,))</f>
        <v>1</v>
      </c>
      <c r="FL90" s="10" cm="1">
        <f t="array" aca="1" ref="FL90" ca="1">IF(ISNA(O90),0,OFFSET(INDIRECT("'"&amp;EU$67&amp;"'!h1"),O90-1,))</f>
        <v>1</v>
      </c>
      <c r="FM90" s="10" cm="1">
        <f t="array" aca="1" ref="FM90" ca="1">IF(ISNA(P90),0,OFFSET(INDIRECT("'"&amp;EV$67&amp;"'!h1"),P90-1,))</f>
        <v>9</v>
      </c>
      <c r="FN90" s="10"/>
      <c r="FO90" s="10"/>
      <c r="FP90" s="10"/>
      <c r="FQ90" s="10"/>
      <c r="FS90">
        <f t="shared" ref="FS90:FS153" ca="1" si="137">B90</f>
        <v>30</v>
      </c>
      <c r="FT90">
        <f t="shared" ca="1" si="62"/>
        <v>1.2241698382422299</v>
      </c>
      <c r="FU90">
        <f t="shared" ca="1" si="63"/>
        <v>9686</v>
      </c>
      <c r="FV90">
        <f t="shared" ca="1" si="64"/>
        <v>10000</v>
      </c>
      <c r="FW90" s="4">
        <f t="shared" ref="FW90:FW153" ca="1" si="138">IF(FV90,FU90/FV90,NA())</f>
        <v>0.96860000000000002</v>
      </c>
      <c r="FX90" s="5">
        <f t="shared" ref="FX90:FX153" ca="1" si="139">IF(FU90,FT90/FU90,NA())</f>
        <v>1.2638548815220214E-4</v>
      </c>
      <c r="FZ90" s="13">
        <f t="shared" ref="FZ90:FZ153" ca="1" si="140">GN90</f>
        <v>30</v>
      </c>
      <c r="GA90" s="23">
        <f t="shared" ref="GA90:GA153" ca="1" si="141">IF(BD90,(BU90-$C90)/$C90,NA())</f>
        <v>0</v>
      </c>
      <c r="GB90" s="23">
        <f t="shared" ref="GB90:GB153" ca="1" si="142">IF(BE90,(BV90-$C90)/$C90,NA())</f>
        <v>0</v>
      </c>
      <c r="GC90" s="23">
        <f t="shared" ref="GC90:GC153" ca="1" si="143">IF(BF90,(BW90-$C90)/$C90,NA())</f>
        <v>0</v>
      </c>
      <c r="GD90" s="23">
        <f t="shared" ref="GD90:GD153" ca="1" si="144">IF(BG90,(BX90-$C90)/$C90,NA())</f>
        <v>0</v>
      </c>
      <c r="GE90" s="23">
        <f t="shared" ref="GE90:GE153" ca="1" si="145">IF(BH90,(BY90-$C90)/$C90,NA())</f>
        <v>0</v>
      </c>
      <c r="GF90" s="23">
        <f t="shared" ref="GF90:GF153" ca="1" si="146">IF(BI90,(BZ90-$C90)/$C90,NA())</f>
        <v>0</v>
      </c>
      <c r="GG90" s="23">
        <f t="shared" ref="GG90:GG153" ca="1" si="147">IF(BJ90,(CA90-$C90)/$C90,NA())</f>
        <v>0</v>
      </c>
      <c r="GH90" s="23">
        <f t="shared" ref="GH90:GH153" ca="1" si="148">IF(BK90,(CB90-$C90)/$C90,NA())</f>
        <v>0</v>
      </c>
      <c r="GI90" s="23">
        <f t="shared" ref="GI90:GI153" ca="1" si="149">IF(BL90,(CC90-$C90)/$C90,NA())</f>
        <v>0</v>
      </c>
      <c r="GJ90" s="23" t="e">
        <f t="shared" ref="GJ90:GJ153" ca="1" si="150">IF(BM90,(CD90-$C90)/$C90,NA())</f>
        <v>#N/A</v>
      </c>
      <c r="GK90" s="23" t="e">
        <f t="shared" ref="GK90:GK153" ca="1" si="151">IF(BN90,(CE90-$C90)/$C90,NA())</f>
        <v>#N/A</v>
      </c>
      <c r="GL90" s="23" t="e">
        <f t="shared" ref="GL90:GL153" ca="1" si="152">IF(BO90,(CF90-$C90)/$C90,NA())</f>
        <v>#N/A</v>
      </c>
      <c r="GM90" s="23"/>
      <c r="GN90">
        <f t="shared" ref="GN90:GN153" ca="1" si="153">B90</f>
        <v>30</v>
      </c>
      <c r="GO90" s="5">
        <f t="shared" ref="GO90:GO153" ca="1" si="154">IF(AND(AM90&gt;0,DT90&gt;0),DC90/DT90,NA())</f>
        <v>4.34431300000142E-2</v>
      </c>
      <c r="GP90" s="5">
        <f t="shared" ref="GP90:GP153" ca="1" si="155">IF(AND(AN90&gt;0,DU90&gt;0),DD90/DU90,NA())</f>
        <v>0.22005441600000999</v>
      </c>
      <c r="GQ90" s="5">
        <f t="shared" ref="GQ90:GQ153" ca="1" si="156">IF(AND(AO90&gt;0,DV90&gt;0),DE90/DV90,NA())</f>
        <v>2.1646258999993499E-2</v>
      </c>
      <c r="GR90" s="5">
        <f t="shared" ref="GR90:GR153" ca="1" si="157">IF(AND(AP90&gt;0,DW90&gt;0),DF90/DW90,NA())</f>
        <v>5.4884012000002202E-2</v>
      </c>
      <c r="GS90" s="5">
        <f t="shared" ref="GS90:GS153" ca="1" si="158">IF(AND(AQ90&gt;0,DX90&gt;0),DG90/DX90,NA())</f>
        <v>5.6752208998659598E-2</v>
      </c>
      <c r="GT90" s="5">
        <f t="shared" ref="GT90:GT153" ca="1" si="159">IF(DY90&gt;0,DH90/DY90,NA())</f>
        <v>5.9768409933894803E-2</v>
      </c>
      <c r="GU90" s="5">
        <f t="shared" ref="GU90:GU153" ca="1" si="160">IF(DZ90&gt;0,DI90/DZ90,NA())</f>
        <v>1.2638548815220214E-4</v>
      </c>
      <c r="GV90" s="5">
        <f t="shared" ref="GV90:GV153" ca="1" si="161">IF(EA90&gt;0,DJ90/EA90,NA())</f>
        <v>1.866640014673359E-4</v>
      </c>
      <c r="GW90" s="5">
        <f t="shared" ref="GW90:GW153" ca="1" si="162">IF(EB90&gt;0,DK90/EB90,NA())</f>
        <v>1.7556381302712089E-3</v>
      </c>
      <c r="GX90" s="5" t="e">
        <f t="shared" ref="GX90:GX153" ca="1" si="163">IF(EC90&gt;0,DL90/EC90,NA())</f>
        <v>#N/A</v>
      </c>
      <c r="GY90" s="5" t="e">
        <f t="shared" ref="GY90:GY153" ca="1" si="164">IF(ED90&gt;0,DM90/ED90,NA())</f>
        <v>#N/A</v>
      </c>
      <c r="GZ90" s="5" t="e">
        <f t="shared" ref="GZ90:GZ153" ca="1" si="165">IF(EE90&gt;0,DN90/EE90,NA())</f>
        <v>#N/A</v>
      </c>
      <c r="HB90" s="13">
        <f t="shared" ref="HB90:HB153" ca="1" si="166">GN90</f>
        <v>30</v>
      </c>
      <c r="HC90" s="4">
        <f t="shared" ref="HC90:HC153" ca="1" si="167">IF(FB90,DT90/FB90,)</f>
        <v>1</v>
      </c>
      <c r="HD90" s="4">
        <f t="shared" ref="HD90:HD153" ca="1" si="168">IF(FC90,DU90/FC90,)</f>
        <v>1</v>
      </c>
      <c r="HE90" s="4">
        <f t="shared" ref="HE90:HE153" ca="1" si="169">IF(FD90,DV90/FD90,)</f>
        <v>1</v>
      </c>
      <c r="HF90" s="4">
        <f t="shared" ref="HF90:HF153" ca="1" si="170">IF(FE90,DW90/FE90,)</f>
        <v>1</v>
      </c>
      <c r="HG90" s="4">
        <f t="shared" ref="HG90:HG153" ca="1" si="171">IF(FF90,DX90/FF90,)</f>
        <v>1</v>
      </c>
      <c r="HH90" s="4">
        <f t="shared" ref="HH90:HH153" ca="1" si="172">IF(FG90,DY90/FG90,)</f>
        <v>1</v>
      </c>
      <c r="HI90" s="4">
        <f t="shared" ref="HI90:HI153" ca="1" si="173">IF(FH90,DZ90/FH90,)</f>
        <v>0.96860000000000002</v>
      </c>
      <c r="HJ90" s="4">
        <f t="shared" ref="HJ90:HJ153" ca="1" si="174">IF(FI90,EA90/FI90,)</f>
        <v>0.99470000000000003</v>
      </c>
      <c r="HK90" s="4">
        <f t="shared" ref="HK90:HK153" ca="1" si="175">IF(FJ90,EB90/FJ90,)</f>
        <v>0.70230000000000004</v>
      </c>
      <c r="HL90" s="4">
        <f t="shared" ref="HL90:HL153" ca="1" si="176">IF(FK90,EC90/FK90,)</f>
        <v>0</v>
      </c>
      <c r="HM90" s="4">
        <f t="shared" ref="HM90:HM153" ca="1" si="177">IF(FL90,ED90/FL90,)</f>
        <v>0</v>
      </c>
      <c r="HN90" s="4">
        <f t="shared" ref="HN90:HN153" ca="1" si="178">IF(FM90,EE90/FM90,)</f>
        <v>0</v>
      </c>
    </row>
    <row r="91" spans="1:222" x14ac:dyDescent="0.2">
      <c r="A91" t="str" cm="1">
        <f t="array" aca="1" ref="A91" ca="1">INDIRECT($A$67&amp;"!A"&amp;ROW(C24)+$B$64)</f>
        <v>[[31,3,17]]</v>
      </c>
      <c r="B91" cm="1">
        <f t="array" aca="1" ref="B91" ca="1">INDIRECT($A$67&amp;"!b"&amp;ROW(D24)+$B$64)</f>
        <v>31</v>
      </c>
      <c r="C91">
        <f t="shared" ca="1" si="78"/>
        <v>17</v>
      </c>
      <c r="E91">
        <f t="shared" ca="1" si="72"/>
        <v>48</v>
      </c>
      <c r="F91">
        <f t="shared" ca="1" si="72"/>
        <v>49</v>
      </c>
      <c r="G91">
        <f t="shared" ca="1" si="72"/>
        <v>48</v>
      </c>
      <c r="H91">
        <f t="shared" ca="1" si="72"/>
        <v>48</v>
      </c>
      <c r="I91">
        <f t="shared" ca="1" si="72"/>
        <v>51</v>
      </c>
      <c r="J91">
        <f t="shared" ca="1" si="72"/>
        <v>48</v>
      </c>
      <c r="K91">
        <f t="shared" ca="1" si="72"/>
        <v>55</v>
      </c>
      <c r="L91">
        <f t="shared" ca="1" si="72"/>
        <v>57</v>
      </c>
      <c r="M91">
        <f t="shared" ca="1" si="72"/>
        <v>54</v>
      </c>
      <c r="N91">
        <f t="shared" ca="1" si="72"/>
        <v>52</v>
      </c>
      <c r="O91">
        <f t="shared" ca="1" si="72"/>
        <v>52</v>
      </c>
      <c r="P91">
        <f t="shared" ca="1" si="72"/>
        <v>52</v>
      </c>
      <c r="V91" cm="1">
        <f t="array" aca="1" ref="V91" ca="1">IF(ISNA(E91),,OFFSET(INDIRECT("'"&amp;V$67&amp;"'!d1"),E91-1,))</f>
        <v>17</v>
      </c>
      <c r="W91" cm="1">
        <f t="array" aca="1" ref="W91" ca="1">IF(ISNA(F91),,OFFSET(INDIRECT("'"&amp;W$67&amp;"'!d1"),F91-1,))</f>
        <v>17</v>
      </c>
      <c r="X91" cm="1">
        <f t="array" aca="1" ref="X91" ca="1">IF(ISNA(G91),,OFFSET(INDIRECT("'"&amp;X$67&amp;"'!d1"),G91-1,))</f>
        <v>17</v>
      </c>
      <c r="Y91" cm="1">
        <f t="array" aca="1" ref="Y91" ca="1">IF(ISNA(H91),,OFFSET(INDIRECT("'"&amp;Y$67&amp;"'!d1"),H91-1,))</f>
        <v>17</v>
      </c>
      <c r="Z91" cm="1">
        <f t="array" aca="1" ref="Z91" ca="1">IF(ISNA(I91),,OFFSET(INDIRECT("'"&amp;Z$67&amp;"'!d1"),I91-1,))</f>
        <v>17</v>
      </c>
      <c r="AA91" cm="1">
        <f t="array" aca="1" ref="AA91" ca="1">IF(ISNA(J91),,OFFSET(INDIRECT("'"&amp;AA$67&amp;"'!d1"),J91-1,))</f>
        <v>17</v>
      </c>
      <c r="AB91" cm="1">
        <f t="array" aca="1" ref="AB91" ca="1">IF(ISNA(K91),,OFFSET(INDIRECT("'"&amp;AB$67&amp;"'!d1"),K91-1,))</f>
        <v>17</v>
      </c>
      <c r="AC91" cm="1">
        <f t="array" aca="1" ref="AC91" ca="1">IF(ISNA(L91),,OFFSET(INDIRECT("'"&amp;AC$67&amp;"'!d1"),L91-1,))</f>
        <v>17</v>
      </c>
      <c r="AD91" cm="1">
        <f t="array" aca="1" ref="AD91" ca="1">IF(ISNA(M91),,OFFSET(INDIRECT("'"&amp;AD$67&amp;"'!d1"),M91-1,))</f>
        <v>17</v>
      </c>
      <c r="AE91" cm="1">
        <f t="array" aca="1" ref="AE91" ca="1">IF(ISNA(N91),,OFFSET(INDIRECT("'"&amp;AE$67&amp;"'!d1"),N91-1,))</f>
        <v>0</v>
      </c>
      <c r="AF91" cm="1">
        <f t="array" aca="1" ref="AF91" ca="1">IF(ISNA(O91),,OFFSET(INDIRECT("'"&amp;AF$67&amp;"'!d1"),O91-1,))</f>
        <v>0</v>
      </c>
      <c r="AG91" cm="1">
        <f t="array" aca="1" ref="AG91" ca="1">IF(ISNA(P91),,OFFSET(INDIRECT("'"&amp;AG$67&amp;"'!d1"),P91-1,))</f>
        <v>0</v>
      </c>
      <c r="AM91">
        <f t="shared" ca="1" si="79"/>
        <v>1</v>
      </c>
      <c r="AN91">
        <f t="shared" ca="1" si="80"/>
        <v>1</v>
      </c>
      <c r="AO91">
        <f t="shared" ca="1" si="81"/>
        <v>1</v>
      </c>
      <c r="AP91">
        <f t="shared" ca="1" si="82"/>
        <v>1</v>
      </c>
      <c r="AQ91">
        <f t="shared" ca="1" si="83"/>
        <v>1</v>
      </c>
      <c r="AV91" t="b">
        <f t="shared" ca="1" si="84"/>
        <v>1</v>
      </c>
      <c r="AW91" t="b">
        <f t="shared" ca="1" si="85"/>
        <v>1</v>
      </c>
      <c r="AX91" t="b">
        <f t="shared" ca="1" si="86"/>
        <v>1</v>
      </c>
      <c r="AY91" t="b">
        <f t="shared" ca="1" si="87"/>
        <v>1</v>
      </c>
      <c r="AZ91" t="b">
        <f t="shared" ca="1" si="88"/>
        <v>1</v>
      </c>
      <c r="BD91">
        <f t="shared" ca="1" si="89"/>
        <v>1</v>
      </c>
      <c r="BE91">
        <f t="shared" ca="1" si="90"/>
        <v>1</v>
      </c>
      <c r="BF91">
        <f t="shared" ca="1" si="91"/>
        <v>1</v>
      </c>
      <c r="BG91">
        <f t="shared" ca="1" si="92"/>
        <v>1</v>
      </c>
      <c r="BH91">
        <f t="shared" ca="1" si="93"/>
        <v>1</v>
      </c>
      <c r="BI91">
        <f t="shared" ca="1" si="94"/>
        <v>1</v>
      </c>
      <c r="BJ91">
        <f t="shared" ca="1" si="95"/>
        <v>1</v>
      </c>
      <c r="BK91">
        <f t="shared" ca="1" si="96"/>
        <v>1</v>
      </c>
      <c r="BL91">
        <f t="shared" ca="1" si="97"/>
        <v>1</v>
      </c>
      <c r="BM91">
        <f t="shared" ca="1" si="98"/>
        <v>0</v>
      </c>
      <c r="BN91">
        <f t="shared" ca="1" si="99"/>
        <v>0</v>
      </c>
      <c r="BO91">
        <f t="shared" ca="1" si="100"/>
        <v>0</v>
      </c>
      <c r="BU91">
        <f t="shared" ca="1" si="101"/>
        <v>17</v>
      </c>
      <c r="BV91">
        <f t="shared" ca="1" si="102"/>
        <v>17</v>
      </c>
      <c r="BW91">
        <f t="shared" ca="1" si="103"/>
        <v>17</v>
      </c>
      <c r="BX91">
        <f t="shared" ca="1" si="104"/>
        <v>17</v>
      </c>
      <c r="BY91">
        <f t="shared" ca="1" si="105"/>
        <v>17</v>
      </c>
      <c r="BZ91">
        <f t="shared" ca="1" si="106"/>
        <v>17</v>
      </c>
      <c r="CA91">
        <f t="shared" ca="1" si="107"/>
        <v>17</v>
      </c>
      <c r="CB91">
        <f t="shared" ca="1" si="108"/>
        <v>17</v>
      </c>
      <c r="CC91">
        <f t="shared" ca="1" si="109"/>
        <v>17</v>
      </c>
      <c r="CD91">
        <f t="shared" ca="1" si="110"/>
        <v>31</v>
      </c>
      <c r="CE91">
        <f t="shared" ca="1" si="111"/>
        <v>31</v>
      </c>
      <c r="CF91">
        <f t="shared" ca="1" si="112"/>
        <v>31</v>
      </c>
      <c r="CL91">
        <f t="shared" ca="1" si="113"/>
        <v>1</v>
      </c>
      <c r="CM91">
        <f t="shared" ca="1" si="114"/>
        <v>1</v>
      </c>
      <c r="CN91">
        <f t="shared" ca="1" si="115"/>
        <v>1</v>
      </c>
      <c r="CO91">
        <f t="shared" ca="1" si="116"/>
        <v>1</v>
      </c>
      <c r="CP91">
        <f t="shared" ca="1" si="117"/>
        <v>1</v>
      </c>
      <c r="CQ91">
        <f t="shared" ca="1" si="118"/>
        <v>1</v>
      </c>
      <c r="CR91">
        <f t="shared" ca="1" si="119"/>
        <v>1</v>
      </c>
      <c r="CS91">
        <f t="shared" ca="1" si="120"/>
        <v>1</v>
      </c>
      <c r="CT91">
        <f t="shared" ca="1" si="121"/>
        <v>1</v>
      </c>
      <c r="CU91">
        <f t="shared" ca="1" si="122"/>
        <v>0</v>
      </c>
      <c r="CV91">
        <f t="shared" ca="1" si="123"/>
        <v>0</v>
      </c>
      <c r="CW91">
        <f t="shared" ca="1" si="124"/>
        <v>0</v>
      </c>
      <c r="DC91" cm="1">
        <f t="array" aca="1" ref="DC91" ca="1">IF(ISNA(E91),,OFFSET(INDIRECT("'"&amp;DT$67&amp;"'!f1"),E91-1,))*1</f>
        <v>3.3121351999994803E-2</v>
      </c>
      <c r="DD91" cm="1">
        <f t="array" aca="1" ref="DD91" ca="1">IF(ISNA(F91),,OFFSET(INDIRECT("'"&amp;DU$67&amp;"'!f1"),F91-1,))*1</f>
        <v>5.7198543999987798E-2</v>
      </c>
      <c r="DE91" cm="1">
        <f t="array" aca="1" ref="DE91" ca="1">IF(ISNA(G91),,OFFSET(INDIRECT("'"&amp;DV$67&amp;"'!f1"),G91-1,))*1</f>
        <v>1.4886186000012401E-2</v>
      </c>
      <c r="DF91" cm="1">
        <f t="array" aca="1" ref="DF91" ca="1">IF(ISNA(H91),,OFFSET(INDIRECT("'"&amp;DW$67&amp;"'!f1"),H91-1,))*1</f>
        <v>5.3822745000019198E-2</v>
      </c>
      <c r="DG91" cm="1">
        <f t="array" aca="1" ref="DG91" ca="1">IF(ISNA(I91),,OFFSET(INDIRECT("'"&amp;DX$67&amp;"'!f1"),I91-1,))*1</f>
        <v>5.4078790999483303E-2</v>
      </c>
      <c r="DH91" cm="1">
        <f t="array" aca="1" ref="DH91" ca="1">IF(ISNA(J91),,OFFSET(INDIRECT("'"&amp;DY$67&amp;"'!f1"),J91-1,))*1</f>
        <v>6.07113670557737E-2</v>
      </c>
      <c r="DI91" cm="1">
        <f t="array" aca="1" ref="DI91" ca="1">IF(ISNA(K91),,OFFSET(INDIRECT("'"&amp;DZ$67&amp;"'!f1"),K91-1,))*1</f>
        <v>1.2025557830929701</v>
      </c>
      <c r="DJ91" cm="1">
        <f t="array" aca="1" ref="DJ91" ca="1">IF(ISNA(L91),,OFFSET(INDIRECT("'"&amp;EA$67&amp;"'!f1"),L91-1,))*1</f>
        <v>1.8118116334080601</v>
      </c>
      <c r="DK91" cm="1">
        <f t="array" aca="1" ref="DK91" ca="1">IF(ISNA(M91),,OFFSET(INDIRECT("'"&amp;EB$67&amp;"'!f1"),M91-1,))*1</f>
        <v>13.088288551196399</v>
      </c>
      <c r="DL91" cm="1">
        <f t="array" aca="1" ref="DL91" ca="1">IF(ISNA(N91),,OFFSET(INDIRECT("'"&amp;EC$67&amp;"'!f1"),N91-1,))*1</f>
        <v>3.9678001776337598E-3</v>
      </c>
      <c r="DM91" cm="1">
        <f t="array" aca="1" ref="DM91" ca="1">IF(ISNA(O91),,OFFSET(INDIRECT("'"&amp;ED$67&amp;"'!f1"),O91-1,))*1</f>
        <v>3.9096474647521903E-3</v>
      </c>
      <c r="DN91" cm="1">
        <f t="array" aca="1" ref="DN91" ca="1">IF(ISNA(P91),,OFFSET(INDIRECT("'"&amp;EE$67&amp;"'!f1"),P91-1,))*1</f>
        <v>5.1650144159793802E-3</v>
      </c>
      <c r="DT91">
        <f t="shared" ca="1" si="125"/>
        <v>1</v>
      </c>
      <c r="DU91">
        <f t="shared" ca="1" si="126"/>
        <v>1</v>
      </c>
      <c r="DV91">
        <f t="shared" ca="1" si="127"/>
        <v>1</v>
      </c>
      <c r="DW91">
        <f t="shared" ca="1" si="128"/>
        <v>1</v>
      </c>
      <c r="DX91">
        <f t="shared" ca="1" si="129"/>
        <v>1</v>
      </c>
      <c r="DY91">
        <f t="shared" ca="1" si="130"/>
        <v>1</v>
      </c>
      <c r="DZ91">
        <f t="shared" ca="1" si="131"/>
        <v>9244</v>
      </c>
      <c r="EA91">
        <f t="shared" ca="1" si="132"/>
        <v>9992</v>
      </c>
      <c r="EB91">
        <f t="shared" ca="1" si="133"/>
        <v>7805</v>
      </c>
      <c r="EC91">
        <f t="shared" ca="1" si="134"/>
        <v>0</v>
      </c>
      <c r="ED91">
        <f t="shared" ca="1" si="135"/>
        <v>0</v>
      </c>
      <c r="EE91">
        <f t="shared" ca="1" si="136"/>
        <v>0</v>
      </c>
      <c r="EK91" cm="1">
        <f t="array" aca="1" ref="EK91" ca="1">IF(ISNA(E91),0,OFFSET(INDIRECT("'"&amp;EK$67&amp;"'!g1"),E91-1,)*CL91)</f>
        <v>1</v>
      </c>
      <c r="EL91" cm="1">
        <f t="array" aca="1" ref="EL91" ca="1">IF(ISNA(F91),0,OFFSET(INDIRECT("'"&amp;EL$67&amp;"'!g1"),F91-1,)*CM91)</f>
        <v>1</v>
      </c>
      <c r="EM91" cm="1">
        <f t="array" aca="1" ref="EM91" ca="1">IF(ISNA(G91),0,OFFSET(INDIRECT("'"&amp;EM$67&amp;"'!g1"),G91-1,)*CN91)</f>
        <v>1</v>
      </c>
      <c r="EN91" cm="1">
        <f t="array" aca="1" ref="EN91" ca="1">IF(ISNA(H91),0,OFFSET(INDIRECT("'"&amp;EN$67&amp;"'!g1"),H91-1,)*CO91)</f>
        <v>1</v>
      </c>
      <c r="EO91" cm="1">
        <f t="array" aca="1" ref="EO91" ca="1">IF(ISNA(I91),0,OFFSET(INDIRECT("'"&amp;EO$67&amp;"'!g1"),I91-1,)*CP91)</f>
        <v>1</v>
      </c>
      <c r="EP91" cm="1">
        <f t="array" aca="1" ref="EP91" ca="1">IF(ISNA(J91),0,OFFSET(INDIRECT("'"&amp;EP$67&amp;"'!g1"),J91-1,)*CQ91)</f>
        <v>1</v>
      </c>
      <c r="EQ91" cm="1">
        <f t="array" aca="1" ref="EQ91" ca="1">IF(ISNA(K91),0,OFFSET(INDIRECT("'"&amp;EQ$67&amp;"'!g1"),K91-1,)*CR91)</f>
        <v>9244</v>
      </c>
      <c r="ER91" cm="1">
        <f t="array" aca="1" ref="ER91" ca="1">IF(ISNA(L91),0,OFFSET(INDIRECT("'"&amp;ER$67&amp;"'!g1"),L91-1,)*CS91)</f>
        <v>9992</v>
      </c>
      <c r="ES91" cm="1">
        <f t="array" aca="1" ref="ES91" ca="1">IF(ISNA(M91),0,OFFSET(INDIRECT("'"&amp;ES$67&amp;"'!g1"),M91-1,)*CT91)</f>
        <v>7805</v>
      </c>
      <c r="ET91" cm="1">
        <f t="array" aca="1" ref="ET91" ca="1">IF(ISNA(N91),0,OFFSET(INDIRECT("'"&amp;ET$67&amp;"'!g1"),N91-1,)*CU91)</f>
        <v>0</v>
      </c>
      <c r="EU91" cm="1">
        <f t="array" aca="1" ref="EU91" ca="1">IF(ISNA(O91),0,OFFSET(INDIRECT("'"&amp;EU$67&amp;"'!g1"),O91-1,)*CV91)</f>
        <v>0</v>
      </c>
      <c r="EV91" cm="1">
        <f t="array" aca="1" ref="EV91" ca="1">IF(ISNA(P91),0,OFFSET(INDIRECT("'"&amp;EV$67&amp;"'!g1"),P91-1,)*CW91)</f>
        <v>0</v>
      </c>
      <c r="FB91" s="10" cm="1">
        <f t="array" aca="1" ref="FB91" ca="1">IF(ISNA(E91),0,OFFSET(INDIRECT("'"&amp;EK$67&amp;"'!h1"),E91-1,))</f>
        <v>1</v>
      </c>
      <c r="FC91" s="10" cm="1">
        <f t="array" aca="1" ref="FC91" ca="1">IF(ISNA(F91),0,OFFSET(INDIRECT("'"&amp;EL$67&amp;"'!h1"),F91-1,))</f>
        <v>1</v>
      </c>
      <c r="FD91" s="10" cm="1">
        <f t="array" aca="1" ref="FD91" ca="1">IF(ISNA(G91),0,OFFSET(INDIRECT("'"&amp;EM$67&amp;"'!h1"),G91-1,))</f>
        <v>1</v>
      </c>
      <c r="FE91" s="10" cm="1">
        <f t="array" aca="1" ref="FE91" ca="1">IF(ISNA(H91),0,OFFSET(INDIRECT("'"&amp;EN$67&amp;"'!h1"),H91-1,))</f>
        <v>1</v>
      </c>
      <c r="FF91" s="10" cm="1">
        <f t="array" aca="1" ref="FF91" ca="1">IF(ISNA(I91),0,OFFSET(INDIRECT("'"&amp;EO$67&amp;"'!h1"),I91-1,))</f>
        <v>1</v>
      </c>
      <c r="FG91" s="10" cm="1">
        <f t="array" aca="1" ref="FG91" ca="1">IF(ISNA(J91),0,OFFSET(INDIRECT("'"&amp;EP$67&amp;"'!h1"),J91-1,))</f>
        <v>1</v>
      </c>
      <c r="FH91" s="10" cm="1">
        <f t="array" aca="1" ref="FH91" ca="1">IF(ISNA(K91),0,OFFSET(INDIRECT("'"&amp;EQ$67&amp;"'!h1"),K91-1,))</f>
        <v>10000</v>
      </c>
      <c r="FI91" s="10" cm="1">
        <f t="array" aca="1" ref="FI91" ca="1">IF(ISNA(L91),0,OFFSET(INDIRECT("'"&amp;ER$67&amp;"'!h1"),L91-1,))</f>
        <v>10000</v>
      </c>
      <c r="FJ91" s="10" cm="1">
        <f t="array" aca="1" ref="FJ91" ca="1">IF(ISNA(M91),0,OFFSET(INDIRECT("'"&amp;ES$67&amp;"'!h1"),M91-1,))</f>
        <v>10000</v>
      </c>
      <c r="FK91" s="10" cm="1">
        <f t="array" aca="1" ref="FK91" ca="1">IF(ISNA(N91),0,OFFSET(INDIRECT("'"&amp;ET$67&amp;"'!h1"),N91-1,))</f>
        <v>1</v>
      </c>
      <c r="FL91" s="10" cm="1">
        <f t="array" aca="1" ref="FL91" ca="1">IF(ISNA(O91),0,OFFSET(INDIRECT("'"&amp;EU$67&amp;"'!h1"),O91-1,))</f>
        <v>1</v>
      </c>
      <c r="FM91" s="10" cm="1">
        <f t="array" aca="1" ref="FM91" ca="1">IF(ISNA(P91),0,OFFSET(INDIRECT("'"&amp;EV$67&amp;"'!h1"),P91-1,))</f>
        <v>9</v>
      </c>
      <c r="FN91" s="10"/>
      <c r="FO91" s="10"/>
      <c r="FP91" s="10"/>
      <c r="FQ91" s="10"/>
      <c r="FS91">
        <f t="shared" ca="1" si="137"/>
        <v>31</v>
      </c>
      <c r="FT91">
        <f t="shared" ca="1" si="62"/>
        <v>1.2025557830929701</v>
      </c>
      <c r="FU91">
        <f t="shared" ca="1" si="63"/>
        <v>9244</v>
      </c>
      <c r="FV91">
        <f t="shared" ca="1" si="64"/>
        <v>10000</v>
      </c>
      <c r="FW91" s="4">
        <f t="shared" ca="1" si="138"/>
        <v>0.9244</v>
      </c>
      <c r="FX91" s="5">
        <f t="shared" ca="1" si="139"/>
        <v>1.3009041357561337E-4</v>
      </c>
      <c r="FZ91" s="13">
        <f t="shared" ca="1" si="140"/>
        <v>31</v>
      </c>
      <c r="GA91" s="23">
        <f t="shared" ca="1" si="141"/>
        <v>0</v>
      </c>
      <c r="GB91" s="23">
        <f t="shared" ca="1" si="142"/>
        <v>0</v>
      </c>
      <c r="GC91" s="23">
        <f t="shared" ca="1" si="143"/>
        <v>0</v>
      </c>
      <c r="GD91" s="23">
        <f t="shared" ca="1" si="144"/>
        <v>0</v>
      </c>
      <c r="GE91" s="23">
        <f t="shared" ca="1" si="145"/>
        <v>0</v>
      </c>
      <c r="GF91" s="23">
        <f t="shared" ca="1" si="146"/>
        <v>0</v>
      </c>
      <c r="GG91" s="23">
        <f t="shared" ca="1" si="147"/>
        <v>0</v>
      </c>
      <c r="GH91" s="23">
        <f t="shared" ca="1" si="148"/>
        <v>0</v>
      </c>
      <c r="GI91" s="23">
        <f t="shared" ca="1" si="149"/>
        <v>0</v>
      </c>
      <c r="GJ91" s="23" t="e">
        <f t="shared" ca="1" si="150"/>
        <v>#N/A</v>
      </c>
      <c r="GK91" s="23" t="e">
        <f t="shared" ca="1" si="151"/>
        <v>#N/A</v>
      </c>
      <c r="GL91" s="23" t="e">
        <f t="shared" ca="1" si="152"/>
        <v>#N/A</v>
      </c>
      <c r="GM91" s="23"/>
      <c r="GN91">
        <f t="shared" ca="1" si="153"/>
        <v>31</v>
      </c>
      <c r="GO91" s="5">
        <f t="shared" ca="1" si="154"/>
        <v>3.3121351999994803E-2</v>
      </c>
      <c r="GP91" s="5">
        <f t="shared" ca="1" si="155"/>
        <v>5.7198543999987798E-2</v>
      </c>
      <c r="GQ91" s="5">
        <f t="shared" ca="1" si="156"/>
        <v>1.4886186000012401E-2</v>
      </c>
      <c r="GR91" s="5">
        <f t="shared" ca="1" si="157"/>
        <v>5.3822745000019198E-2</v>
      </c>
      <c r="GS91" s="5">
        <f t="shared" ca="1" si="158"/>
        <v>5.4078790999483303E-2</v>
      </c>
      <c r="GT91" s="5">
        <f t="shared" ca="1" si="159"/>
        <v>6.07113670557737E-2</v>
      </c>
      <c r="GU91" s="5">
        <f t="shared" ca="1" si="160"/>
        <v>1.3009041357561337E-4</v>
      </c>
      <c r="GV91" s="5">
        <f t="shared" ca="1" si="161"/>
        <v>1.8132622432026223E-4</v>
      </c>
      <c r="GW91" s="5">
        <f t="shared" ca="1" si="162"/>
        <v>1.6769107688912746E-3</v>
      </c>
      <c r="GX91" s="5" t="e">
        <f t="shared" ca="1" si="163"/>
        <v>#N/A</v>
      </c>
      <c r="GY91" s="5" t="e">
        <f t="shared" ca="1" si="164"/>
        <v>#N/A</v>
      </c>
      <c r="GZ91" s="5" t="e">
        <f t="shared" ca="1" si="165"/>
        <v>#N/A</v>
      </c>
      <c r="HB91" s="13">
        <f t="shared" ca="1" si="166"/>
        <v>31</v>
      </c>
      <c r="HC91" s="4">
        <f t="shared" ca="1" si="167"/>
        <v>1</v>
      </c>
      <c r="HD91" s="4">
        <f t="shared" ca="1" si="168"/>
        <v>1</v>
      </c>
      <c r="HE91" s="4">
        <f t="shared" ca="1" si="169"/>
        <v>1</v>
      </c>
      <c r="HF91" s="4">
        <f t="shared" ca="1" si="170"/>
        <v>1</v>
      </c>
      <c r="HG91" s="4">
        <f t="shared" ca="1" si="171"/>
        <v>1</v>
      </c>
      <c r="HH91" s="4">
        <f t="shared" ca="1" si="172"/>
        <v>1</v>
      </c>
      <c r="HI91" s="4">
        <f t="shared" ca="1" si="173"/>
        <v>0.9244</v>
      </c>
      <c r="HJ91" s="4">
        <f t="shared" ca="1" si="174"/>
        <v>0.99919999999999998</v>
      </c>
      <c r="HK91" s="4">
        <f t="shared" ca="1" si="175"/>
        <v>0.78049999999999997</v>
      </c>
      <c r="HL91" s="4">
        <f t="shared" ca="1" si="176"/>
        <v>0</v>
      </c>
      <c r="HM91" s="4">
        <f t="shared" ca="1" si="177"/>
        <v>0</v>
      </c>
      <c r="HN91" s="4">
        <f t="shared" ca="1" si="178"/>
        <v>0</v>
      </c>
    </row>
    <row r="92" spans="1:222" x14ac:dyDescent="0.2">
      <c r="A92" t="str" cm="1">
        <f t="array" aca="1" ref="A92" ca="1">INDIRECT($A$67&amp;"!A"&amp;ROW(C25)+$B$64)</f>
        <v>[[32,8,13]]</v>
      </c>
      <c r="B92" cm="1">
        <f t="array" aca="1" ref="B92" ca="1">INDIRECT($A$67&amp;"!b"&amp;ROW(D25)+$B$64)</f>
        <v>32</v>
      </c>
      <c r="C92">
        <f t="shared" ca="1" si="78"/>
        <v>13</v>
      </c>
      <c r="E92">
        <f t="shared" ca="1" si="72"/>
        <v>49</v>
      </c>
      <c r="F92">
        <f t="shared" ca="1" si="72"/>
        <v>50</v>
      </c>
      <c r="G92">
        <f t="shared" ca="1" si="72"/>
        <v>49</v>
      </c>
      <c r="H92">
        <f t="shared" ca="1" si="72"/>
        <v>49</v>
      </c>
      <c r="I92">
        <f t="shared" ca="1" si="72"/>
        <v>52</v>
      </c>
      <c r="J92">
        <f t="shared" ca="1" si="72"/>
        <v>49</v>
      </c>
      <c r="K92">
        <f t="shared" ca="1" si="72"/>
        <v>56</v>
      </c>
      <c r="L92">
        <f t="shared" ca="1" si="72"/>
        <v>58</v>
      </c>
      <c r="M92">
        <f t="shared" ca="1" si="72"/>
        <v>55</v>
      </c>
      <c r="N92">
        <f t="shared" ca="1" si="72"/>
        <v>53</v>
      </c>
      <c r="O92">
        <f t="shared" ca="1" si="72"/>
        <v>53</v>
      </c>
      <c r="P92">
        <f t="shared" ca="1" si="72"/>
        <v>53</v>
      </c>
      <c r="V92" cm="1">
        <f t="array" aca="1" ref="V92" ca="1">IF(ISNA(E92),,OFFSET(INDIRECT("'"&amp;V$67&amp;"'!d1"),E92-1,))</f>
        <v>13</v>
      </c>
      <c r="W92" cm="1">
        <f t="array" aca="1" ref="W92" ca="1">IF(ISNA(F92),,OFFSET(INDIRECT("'"&amp;W$67&amp;"'!d1"),F92-1,))</f>
        <v>13</v>
      </c>
      <c r="X92" cm="1">
        <f t="array" aca="1" ref="X92" ca="1">IF(ISNA(G92),,OFFSET(INDIRECT("'"&amp;X$67&amp;"'!d1"),G92-1,))</f>
        <v>13</v>
      </c>
      <c r="Y92" cm="1">
        <f t="array" aca="1" ref="Y92" ca="1">IF(ISNA(H92),,OFFSET(INDIRECT("'"&amp;Y$67&amp;"'!d1"),H92-1,))</f>
        <v>13</v>
      </c>
      <c r="Z92" cm="1">
        <f t="array" aca="1" ref="Z92" ca="1">IF(ISNA(I92),,OFFSET(INDIRECT("'"&amp;Z$67&amp;"'!d1"),I92-1,))</f>
        <v>13</v>
      </c>
      <c r="AA92" cm="1">
        <f t="array" aca="1" ref="AA92" ca="1">IF(ISNA(J92),,OFFSET(INDIRECT("'"&amp;AA$67&amp;"'!d1"),J92-1,))</f>
        <v>13</v>
      </c>
      <c r="AB92" cm="1">
        <f t="array" aca="1" ref="AB92" ca="1">IF(ISNA(K92),,OFFSET(INDIRECT("'"&amp;AB$67&amp;"'!d1"),K92-1,))</f>
        <v>13</v>
      </c>
      <c r="AC92" cm="1">
        <f t="array" aca="1" ref="AC92" ca="1">IF(ISNA(L92),,OFFSET(INDIRECT("'"&amp;AC$67&amp;"'!d1"),L92-1,))</f>
        <v>13</v>
      </c>
      <c r="AD92" cm="1">
        <f t="array" aca="1" ref="AD92" ca="1">IF(ISNA(M92),,OFFSET(INDIRECT("'"&amp;AD$67&amp;"'!d1"),M92-1,))</f>
        <v>13</v>
      </c>
      <c r="AE92" cm="1">
        <f t="array" aca="1" ref="AE92" ca="1">IF(ISNA(N92),,OFFSET(INDIRECT("'"&amp;AE$67&amp;"'!d1"),N92-1,))</f>
        <v>0</v>
      </c>
      <c r="AF92" cm="1">
        <f t="array" aca="1" ref="AF92" ca="1">IF(ISNA(O92),,OFFSET(INDIRECT("'"&amp;AF$67&amp;"'!d1"),O92-1,))</f>
        <v>0</v>
      </c>
      <c r="AG92" cm="1">
        <f t="array" aca="1" ref="AG92" ca="1">IF(ISNA(P92),,OFFSET(INDIRECT("'"&amp;AG$67&amp;"'!d1"),P92-1,))</f>
        <v>0</v>
      </c>
      <c r="AM92">
        <f t="shared" ca="1" si="79"/>
        <v>1</v>
      </c>
      <c r="AN92">
        <f t="shared" ca="1" si="80"/>
        <v>1</v>
      </c>
      <c r="AO92">
        <f t="shared" ca="1" si="81"/>
        <v>1</v>
      </c>
      <c r="AP92">
        <f t="shared" ca="1" si="82"/>
        <v>1</v>
      </c>
      <c r="AQ92">
        <f t="shared" ca="1" si="83"/>
        <v>1</v>
      </c>
      <c r="AV92" t="b">
        <f t="shared" ca="1" si="84"/>
        <v>1</v>
      </c>
      <c r="AW92" t="b">
        <f t="shared" ca="1" si="85"/>
        <v>1</v>
      </c>
      <c r="AX92" t="b">
        <f t="shared" ca="1" si="86"/>
        <v>1</v>
      </c>
      <c r="AY92" t="b">
        <f t="shared" ca="1" si="87"/>
        <v>1</v>
      </c>
      <c r="AZ92" t="b">
        <f t="shared" ca="1" si="88"/>
        <v>1</v>
      </c>
      <c r="BD92">
        <f t="shared" ca="1" si="89"/>
        <v>1</v>
      </c>
      <c r="BE92">
        <f t="shared" ca="1" si="90"/>
        <v>1</v>
      </c>
      <c r="BF92">
        <f t="shared" ca="1" si="91"/>
        <v>1</v>
      </c>
      <c r="BG92">
        <f t="shared" ca="1" si="92"/>
        <v>1</v>
      </c>
      <c r="BH92">
        <f t="shared" ca="1" si="93"/>
        <v>1</v>
      </c>
      <c r="BI92">
        <f t="shared" ca="1" si="94"/>
        <v>1</v>
      </c>
      <c r="BJ92">
        <f t="shared" ca="1" si="95"/>
        <v>1</v>
      </c>
      <c r="BK92">
        <f t="shared" ca="1" si="96"/>
        <v>1</v>
      </c>
      <c r="BL92">
        <f t="shared" ca="1" si="97"/>
        <v>1</v>
      </c>
      <c r="BM92">
        <f t="shared" ca="1" si="98"/>
        <v>0</v>
      </c>
      <c r="BN92">
        <f t="shared" ca="1" si="99"/>
        <v>0</v>
      </c>
      <c r="BO92">
        <f t="shared" ca="1" si="100"/>
        <v>0</v>
      </c>
      <c r="BU92">
        <f t="shared" ca="1" si="101"/>
        <v>13</v>
      </c>
      <c r="BV92">
        <f t="shared" ca="1" si="102"/>
        <v>13</v>
      </c>
      <c r="BW92">
        <f t="shared" ca="1" si="103"/>
        <v>13</v>
      </c>
      <c r="BX92">
        <f t="shared" ca="1" si="104"/>
        <v>13</v>
      </c>
      <c r="BY92">
        <f t="shared" ca="1" si="105"/>
        <v>13</v>
      </c>
      <c r="BZ92">
        <f t="shared" ca="1" si="106"/>
        <v>13</v>
      </c>
      <c r="CA92">
        <f t="shared" ca="1" si="107"/>
        <v>13</v>
      </c>
      <c r="CB92">
        <f t="shared" ca="1" si="108"/>
        <v>13</v>
      </c>
      <c r="CC92">
        <f t="shared" ca="1" si="109"/>
        <v>13</v>
      </c>
      <c r="CD92">
        <f t="shared" ca="1" si="110"/>
        <v>32</v>
      </c>
      <c r="CE92">
        <f t="shared" ca="1" si="111"/>
        <v>32</v>
      </c>
      <c r="CF92">
        <f t="shared" ca="1" si="112"/>
        <v>32</v>
      </c>
      <c r="CL92">
        <f t="shared" ca="1" si="113"/>
        <v>1</v>
      </c>
      <c r="CM92">
        <f t="shared" ca="1" si="114"/>
        <v>1</v>
      </c>
      <c r="CN92">
        <f t="shared" ca="1" si="115"/>
        <v>1</v>
      </c>
      <c r="CO92">
        <f t="shared" ca="1" si="116"/>
        <v>1</v>
      </c>
      <c r="CP92">
        <f t="shared" ca="1" si="117"/>
        <v>1</v>
      </c>
      <c r="CQ92">
        <f t="shared" ca="1" si="118"/>
        <v>1</v>
      </c>
      <c r="CR92">
        <f t="shared" ca="1" si="119"/>
        <v>1</v>
      </c>
      <c r="CS92">
        <f t="shared" ca="1" si="120"/>
        <v>1</v>
      </c>
      <c r="CT92">
        <f t="shared" ca="1" si="121"/>
        <v>1</v>
      </c>
      <c r="CU92">
        <f t="shared" ca="1" si="122"/>
        <v>0</v>
      </c>
      <c r="CV92">
        <f t="shared" ca="1" si="123"/>
        <v>0</v>
      </c>
      <c r="CW92">
        <f t="shared" ca="1" si="124"/>
        <v>0</v>
      </c>
      <c r="DC92" cm="1">
        <f t="array" aca="1" ref="DC92" ca="1">IF(ISNA(E92),,OFFSET(INDIRECT("'"&amp;DT$67&amp;"'!f1"),E92-1,))*1</f>
        <v>0.103842770999989</v>
      </c>
      <c r="DD92" cm="1">
        <f t="array" aca="1" ref="DD92" ca="1">IF(ISNA(F92),,OFFSET(INDIRECT("'"&amp;DU$67&amp;"'!f1"),F92-1,))*1</f>
        <v>0.52079960500000699</v>
      </c>
      <c r="DE92" cm="1">
        <f t="array" aca="1" ref="DE92" ca="1">IF(ISNA(G92),,OFFSET(INDIRECT("'"&amp;DV$67&amp;"'!f1"),G92-1,))*1</f>
        <v>5.1944065999975898E-2</v>
      </c>
      <c r="DF92" cm="1">
        <f t="array" aca="1" ref="DF92" ca="1">IF(ISNA(H92),,OFFSET(INDIRECT("'"&amp;DW$67&amp;"'!f1"),H92-1,))*1</f>
        <v>8.7457014999983998E-2</v>
      </c>
      <c r="DG92" cm="1">
        <f t="array" aca="1" ref="DG92" ca="1">IF(ISNA(I92),,OFFSET(INDIRECT("'"&amp;DX$67&amp;"'!f1"),I92-1,))*1</f>
        <v>5.7315792000736103E-2</v>
      </c>
      <c r="DH92" cm="1">
        <f t="array" aca="1" ref="DH92" ca="1">IF(ISNA(J92),,OFFSET(INDIRECT("'"&amp;DY$67&amp;"'!f1"),J92-1,))*1</f>
        <v>6.3566259108483694E-2</v>
      </c>
      <c r="DI92" cm="1">
        <f t="array" aca="1" ref="DI92" ca="1">IF(ISNA(K92),,OFFSET(INDIRECT("'"&amp;DZ$67&amp;"'!f1"),K92-1,))*1</f>
        <v>1.30315696913748</v>
      </c>
      <c r="DJ92" cm="1">
        <f t="array" aca="1" ref="DJ92" ca="1">IF(ISNA(L92),,OFFSET(INDIRECT("'"&amp;EA$67&amp;"'!f1"),L92-1,))*1</f>
        <v>1.9360116338357301</v>
      </c>
      <c r="DK92" cm="1">
        <f t="array" aca="1" ref="DK92" ca="1">IF(ISNA(M92),,OFFSET(INDIRECT("'"&amp;EB$67&amp;"'!f1"),M92-1,))*1</f>
        <v>16.253695971798098</v>
      </c>
      <c r="DL92" cm="1">
        <f t="array" aca="1" ref="DL92" ca="1">IF(ISNA(N92),,OFFSET(INDIRECT("'"&amp;EC$67&amp;"'!f1"),N92-1,))*1</f>
        <v>4.3083028867840698E-3</v>
      </c>
      <c r="DM92" cm="1">
        <f t="array" aca="1" ref="DM92" ca="1">IF(ISNA(O92),,OFFSET(INDIRECT("'"&amp;ED$67&amp;"'!f1"),O92-1,))*1</f>
        <v>4.3215304613113403E-3</v>
      </c>
      <c r="DN92" cm="1">
        <f t="array" aca="1" ref="DN92" ca="1">IF(ISNA(P92),,OFFSET(INDIRECT("'"&amp;EE$67&amp;"'!f1"),P92-1,))*1</f>
        <v>6.1704264953732404E-3</v>
      </c>
      <c r="DT92">
        <f t="shared" ca="1" si="125"/>
        <v>1</v>
      </c>
      <c r="DU92">
        <f t="shared" ca="1" si="126"/>
        <v>1</v>
      </c>
      <c r="DV92">
        <f t="shared" ca="1" si="127"/>
        <v>1</v>
      </c>
      <c r="DW92">
        <f t="shared" ca="1" si="128"/>
        <v>1</v>
      </c>
      <c r="DX92">
        <f t="shared" ca="1" si="129"/>
        <v>1</v>
      </c>
      <c r="DY92">
        <f t="shared" ca="1" si="130"/>
        <v>1</v>
      </c>
      <c r="DZ92">
        <f t="shared" ca="1" si="131"/>
        <v>9935</v>
      </c>
      <c r="EA92">
        <f t="shared" ca="1" si="132"/>
        <v>9997</v>
      </c>
      <c r="EB92">
        <f t="shared" ca="1" si="133"/>
        <v>9573</v>
      </c>
      <c r="EC92">
        <f t="shared" ca="1" si="134"/>
        <v>0</v>
      </c>
      <c r="ED92">
        <f t="shared" ca="1" si="135"/>
        <v>0</v>
      </c>
      <c r="EE92">
        <f t="shared" ca="1" si="136"/>
        <v>0</v>
      </c>
      <c r="EK92" cm="1">
        <f t="array" aca="1" ref="EK92" ca="1">IF(ISNA(E92),0,OFFSET(INDIRECT("'"&amp;EK$67&amp;"'!g1"),E92-1,)*CL92)</f>
        <v>1</v>
      </c>
      <c r="EL92" cm="1">
        <f t="array" aca="1" ref="EL92" ca="1">IF(ISNA(F92),0,OFFSET(INDIRECT("'"&amp;EL$67&amp;"'!g1"),F92-1,)*CM92)</f>
        <v>1</v>
      </c>
      <c r="EM92" cm="1">
        <f t="array" aca="1" ref="EM92" ca="1">IF(ISNA(G92),0,OFFSET(INDIRECT("'"&amp;EM$67&amp;"'!g1"),G92-1,)*CN92)</f>
        <v>1</v>
      </c>
      <c r="EN92" cm="1">
        <f t="array" aca="1" ref="EN92" ca="1">IF(ISNA(H92),0,OFFSET(INDIRECT("'"&amp;EN$67&amp;"'!g1"),H92-1,)*CO92)</f>
        <v>1</v>
      </c>
      <c r="EO92" cm="1">
        <f t="array" aca="1" ref="EO92" ca="1">IF(ISNA(I92),0,OFFSET(INDIRECT("'"&amp;EO$67&amp;"'!g1"),I92-1,)*CP92)</f>
        <v>1</v>
      </c>
      <c r="EP92" cm="1">
        <f t="array" aca="1" ref="EP92" ca="1">IF(ISNA(J92),0,OFFSET(INDIRECT("'"&amp;EP$67&amp;"'!g1"),J92-1,)*CQ92)</f>
        <v>1</v>
      </c>
      <c r="EQ92" cm="1">
        <f t="array" aca="1" ref="EQ92" ca="1">IF(ISNA(K92),0,OFFSET(INDIRECT("'"&amp;EQ$67&amp;"'!g1"),K92-1,)*CR92)</f>
        <v>9935</v>
      </c>
      <c r="ER92" cm="1">
        <f t="array" aca="1" ref="ER92" ca="1">IF(ISNA(L92),0,OFFSET(INDIRECT("'"&amp;ER$67&amp;"'!g1"),L92-1,)*CS92)</f>
        <v>9997</v>
      </c>
      <c r="ES92" cm="1">
        <f t="array" aca="1" ref="ES92" ca="1">IF(ISNA(M92),0,OFFSET(INDIRECT("'"&amp;ES$67&amp;"'!g1"),M92-1,)*CT92)</f>
        <v>9573</v>
      </c>
      <c r="ET92" cm="1">
        <f t="array" aca="1" ref="ET92" ca="1">IF(ISNA(N92),0,OFFSET(INDIRECT("'"&amp;ET$67&amp;"'!g1"),N92-1,)*CU92)</f>
        <v>0</v>
      </c>
      <c r="EU92" cm="1">
        <f t="array" aca="1" ref="EU92" ca="1">IF(ISNA(O92),0,OFFSET(INDIRECT("'"&amp;EU$67&amp;"'!g1"),O92-1,)*CV92)</f>
        <v>0</v>
      </c>
      <c r="EV92" cm="1">
        <f t="array" aca="1" ref="EV92" ca="1">IF(ISNA(P92),0,OFFSET(INDIRECT("'"&amp;EV$67&amp;"'!g1"),P92-1,)*CW92)</f>
        <v>0</v>
      </c>
      <c r="FB92" s="10" cm="1">
        <f t="array" aca="1" ref="FB92" ca="1">IF(ISNA(E92),0,OFFSET(INDIRECT("'"&amp;EK$67&amp;"'!h1"),E92-1,))</f>
        <v>1</v>
      </c>
      <c r="FC92" s="10" cm="1">
        <f t="array" aca="1" ref="FC92" ca="1">IF(ISNA(F92),0,OFFSET(INDIRECT("'"&amp;EL$67&amp;"'!h1"),F92-1,))</f>
        <v>1</v>
      </c>
      <c r="FD92" s="10" cm="1">
        <f t="array" aca="1" ref="FD92" ca="1">IF(ISNA(G92),0,OFFSET(INDIRECT("'"&amp;EM$67&amp;"'!h1"),G92-1,))</f>
        <v>1</v>
      </c>
      <c r="FE92" s="10" cm="1">
        <f t="array" aca="1" ref="FE92" ca="1">IF(ISNA(H92),0,OFFSET(INDIRECT("'"&amp;EN$67&amp;"'!h1"),H92-1,))</f>
        <v>1</v>
      </c>
      <c r="FF92" s="10" cm="1">
        <f t="array" aca="1" ref="FF92" ca="1">IF(ISNA(I92),0,OFFSET(INDIRECT("'"&amp;EO$67&amp;"'!h1"),I92-1,))</f>
        <v>1</v>
      </c>
      <c r="FG92" s="10" cm="1">
        <f t="array" aca="1" ref="FG92" ca="1">IF(ISNA(J92),0,OFFSET(INDIRECT("'"&amp;EP$67&amp;"'!h1"),J92-1,))</f>
        <v>1</v>
      </c>
      <c r="FH92" s="10" cm="1">
        <f t="array" aca="1" ref="FH92" ca="1">IF(ISNA(K92),0,OFFSET(INDIRECT("'"&amp;EQ$67&amp;"'!h1"),K92-1,))</f>
        <v>10000</v>
      </c>
      <c r="FI92" s="10" cm="1">
        <f t="array" aca="1" ref="FI92" ca="1">IF(ISNA(L92),0,OFFSET(INDIRECT("'"&amp;ER$67&amp;"'!h1"),L92-1,))</f>
        <v>10000</v>
      </c>
      <c r="FJ92" s="10" cm="1">
        <f t="array" aca="1" ref="FJ92" ca="1">IF(ISNA(M92),0,OFFSET(INDIRECT("'"&amp;ES$67&amp;"'!h1"),M92-1,))</f>
        <v>10000</v>
      </c>
      <c r="FK92" s="10" cm="1">
        <f t="array" aca="1" ref="FK92" ca="1">IF(ISNA(N92),0,OFFSET(INDIRECT("'"&amp;ET$67&amp;"'!h1"),N92-1,))</f>
        <v>1</v>
      </c>
      <c r="FL92" s="10" cm="1">
        <f t="array" aca="1" ref="FL92" ca="1">IF(ISNA(O92),0,OFFSET(INDIRECT("'"&amp;EU$67&amp;"'!h1"),O92-1,))</f>
        <v>1</v>
      </c>
      <c r="FM92" s="10" cm="1">
        <f t="array" aca="1" ref="FM92" ca="1">IF(ISNA(P92),0,OFFSET(INDIRECT("'"&amp;EV$67&amp;"'!h1"),P92-1,))</f>
        <v>9</v>
      </c>
      <c r="FN92" s="10"/>
      <c r="FO92" s="10"/>
      <c r="FP92" s="10"/>
      <c r="FQ92" s="10"/>
      <c r="FS92">
        <f t="shared" ca="1" si="137"/>
        <v>32</v>
      </c>
      <c r="FT92">
        <f t="shared" ca="1" si="62"/>
        <v>1.30315696913748</v>
      </c>
      <c r="FU92">
        <f t="shared" ca="1" si="63"/>
        <v>9935</v>
      </c>
      <c r="FV92">
        <f t="shared" ca="1" si="64"/>
        <v>10000</v>
      </c>
      <c r="FW92" s="4">
        <f t="shared" ca="1" si="138"/>
        <v>0.99350000000000005</v>
      </c>
      <c r="FX92" s="5">
        <f t="shared" ca="1" si="139"/>
        <v>1.3116829080397384E-4</v>
      </c>
      <c r="FZ92" s="13">
        <f t="shared" ca="1" si="140"/>
        <v>32</v>
      </c>
      <c r="GA92" s="23">
        <f t="shared" ca="1" si="141"/>
        <v>0</v>
      </c>
      <c r="GB92" s="23">
        <f t="shared" ca="1" si="142"/>
        <v>0</v>
      </c>
      <c r="GC92" s="23">
        <f t="shared" ca="1" si="143"/>
        <v>0</v>
      </c>
      <c r="GD92" s="23">
        <f t="shared" ca="1" si="144"/>
        <v>0</v>
      </c>
      <c r="GE92" s="23">
        <f t="shared" ca="1" si="145"/>
        <v>0</v>
      </c>
      <c r="GF92" s="23">
        <f t="shared" ca="1" si="146"/>
        <v>0</v>
      </c>
      <c r="GG92" s="23">
        <f t="shared" ca="1" si="147"/>
        <v>0</v>
      </c>
      <c r="GH92" s="23">
        <f t="shared" ca="1" si="148"/>
        <v>0</v>
      </c>
      <c r="GI92" s="23">
        <f t="shared" ca="1" si="149"/>
        <v>0</v>
      </c>
      <c r="GJ92" s="23" t="e">
        <f t="shared" ca="1" si="150"/>
        <v>#N/A</v>
      </c>
      <c r="GK92" s="23" t="e">
        <f t="shared" ca="1" si="151"/>
        <v>#N/A</v>
      </c>
      <c r="GL92" s="23" t="e">
        <f t="shared" ca="1" si="152"/>
        <v>#N/A</v>
      </c>
      <c r="GM92" s="23"/>
      <c r="GN92">
        <f t="shared" ca="1" si="153"/>
        <v>32</v>
      </c>
      <c r="GO92" s="5">
        <f t="shared" ca="1" si="154"/>
        <v>0.103842770999989</v>
      </c>
      <c r="GP92" s="5">
        <f t="shared" ca="1" si="155"/>
        <v>0.52079960500000699</v>
      </c>
      <c r="GQ92" s="5">
        <f t="shared" ca="1" si="156"/>
        <v>5.1944065999975898E-2</v>
      </c>
      <c r="GR92" s="5">
        <f t="shared" ca="1" si="157"/>
        <v>8.7457014999983998E-2</v>
      </c>
      <c r="GS92" s="5">
        <f t="shared" ca="1" si="158"/>
        <v>5.7315792000736103E-2</v>
      </c>
      <c r="GT92" s="5">
        <f t="shared" ca="1" si="159"/>
        <v>6.3566259108483694E-2</v>
      </c>
      <c r="GU92" s="5">
        <f t="shared" ca="1" si="160"/>
        <v>1.3116829080397384E-4</v>
      </c>
      <c r="GV92" s="5">
        <f t="shared" ca="1" si="161"/>
        <v>1.9365926116192159E-4</v>
      </c>
      <c r="GW92" s="5">
        <f t="shared" ca="1" si="162"/>
        <v>1.6978685857931787E-3</v>
      </c>
      <c r="GX92" s="5" t="e">
        <f t="shared" ca="1" si="163"/>
        <v>#N/A</v>
      </c>
      <c r="GY92" s="5" t="e">
        <f t="shared" ca="1" si="164"/>
        <v>#N/A</v>
      </c>
      <c r="GZ92" s="5" t="e">
        <f t="shared" ca="1" si="165"/>
        <v>#N/A</v>
      </c>
      <c r="HB92" s="13">
        <f t="shared" ca="1" si="166"/>
        <v>32</v>
      </c>
      <c r="HC92" s="4">
        <f t="shared" ca="1" si="167"/>
        <v>1</v>
      </c>
      <c r="HD92" s="4">
        <f t="shared" ca="1" si="168"/>
        <v>1</v>
      </c>
      <c r="HE92" s="4">
        <f t="shared" ca="1" si="169"/>
        <v>1</v>
      </c>
      <c r="HF92" s="4">
        <f t="shared" ca="1" si="170"/>
        <v>1</v>
      </c>
      <c r="HG92" s="4">
        <f t="shared" ca="1" si="171"/>
        <v>1</v>
      </c>
      <c r="HH92" s="4">
        <f t="shared" ca="1" si="172"/>
        <v>1</v>
      </c>
      <c r="HI92" s="4">
        <f t="shared" ca="1" si="173"/>
        <v>0.99350000000000005</v>
      </c>
      <c r="HJ92" s="4">
        <f t="shared" ca="1" si="174"/>
        <v>0.99970000000000003</v>
      </c>
      <c r="HK92" s="4">
        <f t="shared" ca="1" si="175"/>
        <v>0.95730000000000004</v>
      </c>
      <c r="HL92" s="4">
        <f t="shared" ca="1" si="176"/>
        <v>0</v>
      </c>
      <c r="HM92" s="4">
        <f t="shared" ca="1" si="177"/>
        <v>0</v>
      </c>
      <c r="HN92" s="4">
        <f t="shared" ca="1" si="178"/>
        <v>0</v>
      </c>
    </row>
    <row r="93" spans="1:222" x14ac:dyDescent="0.2">
      <c r="A93" t="str" cm="1">
        <f t="array" aca="1" ref="A93" ca="1">INDIRECT($A$67&amp;"!A"&amp;ROW(C26)+$B$64)</f>
        <v>[[33,18,7]]</v>
      </c>
      <c r="B93" cm="1">
        <f t="array" aca="1" ref="B93" ca="1">INDIRECT($A$67&amp;"!b"&amp;ROW(D26)+$B$64)</f>
        <v>33</v>
      </c>
      <c r="C93">
        <f t="shared" ca="1" si="78"/>
        <v>7</v>
      </c>
      <c r="E93">
        <f t="shared" ca="1" si="72"/>
        <v>50</v>
      </c>
      <c r="F93">
        <f t="shared" ca="1" si="72"/>
        <v>51</v>
      </c>
      <c r="G93">
        <f t="shared" ca="1" si="72"/>
        <v>50</v>
      </c>
      <c r="H93">
        <f t="shared" ca="1" si="72"/>
        <v>50</v>
      </c>
      <c r="I93">
        <f t="shared" ca="1" si="72"/>
        <v>53</v>
      </c>
      <c r="J93">
        <f t="shared" ca="1" si="72"/>
        <v>50</v>
      </c>
      <c r="K93">
        <f t="shared" ca="1" si="72"/>
        <v>57</v>
      </c>
      <c r="L93">
        <f t="shared" ca="1" si="72"/>
        <v>59</v>
      </c>
      <c r="M93">
        <f t="shared" ca="1" si="72"/>
        <v>56</v>
      </c>
      <c r="N93">
        <f t="shared" ca="1" si="72"/>
        <v>54</v>
      </c>
      <c r="O93">
        <f t="shared" ca="1" si="72"/>
        <v>54</v>
      </c>
      <c r="P93">
        <f t="shared" ca="1" si="72"/>
        <v>54</v>
      </c>
      <c r="V93" cm="1">
        <f t="array" aca="1" ref="V93" ca="1">IF(ISNA(E93),,OFFSET(INDIRECT("'"&amp;V$67&amp;"'!d1"),E93-1,))</f>
        <v>7</v>
      </c>
      <c r="W93" cm="1">
        <f t="array" aca="1" ref="W93" ca="1">IF(ISNA(F93),,OFFSET(INDIRECT("'"&amp;W$67&amp;"'!d1"),F93-1,))</f>
        <v>7</v>
      </c>
      <c r="X93" cm="1">
        <f t="array" aca="1" ref="X93" ca="1">IF(ISNA(G93),,OFFSET(INDIRECT("'"&amp;X$67&amp;"'!d1"),G93-1,))</f>
        <v>7</v>
      </c>
      <c r="Y93" cm="1">
        <f t="array" aca="1" ref="Y93" ca="1">IF(ISNA(H93),,OFFSET(INDIRECT("'"&amp;Y$67&amp;"'!d1"),H93-1,))</f>
        <v>7</v>
      </c>
      <c r="Z93" cm="1">
        <f t="array" aca="1" ref="Z93" ca="1">IF(ISNA(I93),,OFFSET(INDIRECT("'"&amp;Z$67&amp;"'!d1"),I93-1,))</f>
        <v>7</v>
      </c>
      <c r="AA93" cm="1">
        <f t="array" aca="1" ref="AA93" ca="1">IF(ISNA(J93),,OFFSET(INDIRECT("'"&amp;AA$67&amp;"'!d1"),J93-1,))</f>
        <v>7</v>
      </c>
      <c r="AB93" cm="1">
        <f t="array" aca="1" ref="AB93" ca="1">IF(ISNA(K93),,OFFSET(INDIRECT("'"&amp;AB$67&amp;"'!d1"),K93-1,))</f>
        <v>7</v>
      </c>
      <c r="AC93" cm="1">
        <f t="array" aca="1" ref="AC93" ca="1">IF(ISNA(L93),,OFFSET(INDIRECT("'"&amp;AC$67&amp;"'!d1"),L93-1,))</f>
        <v>7</v>
      </c>
      <c r="AD93" cm="1">
        <f t="array" aca="1" ref="AD93" ca="1">IF(ISNA(M93),,OFFSET(INDIRECT("'"&amp;AD$67&amp;"'!d1"),M93-1,))</f>
        <v>7</v>
      </c>
      <c r="AE93" cm="1">
        <f t="array" aca="1" ref="AE93" ca="1">IF(ISNA(N93),,OFFSET(INDIRECT("'"&amp;AE$67&amp;"'!d1"),N93-1,))</f>
        <v>0</v>
      </c>
      <c r="AF93" cm="1">
        <f t="array" aca="1" ref="AF93" ca="1">IF(ISNA(O93),,OFFSET(INDIRECT("'"&amp;AF$67&amp;"'!d1"),O93-1,))</f>
        <v>0</v>
      </c>
      <c r="AG93" cm="1">
        <f t="array" aca="1" ref="AG93" ca="1">IF(ISNA(P93),,OFFSET(INDIRECT("'"&amp;AG$67&amp;"'!d1"),P93-1,))</f>
        <v>7</v>
      </c>
      <c r="AM93">
        <f t="shared" ca="1" si="79"/>
        <v>1</v>
      </c>
      <c r="AN93">
        <f t="shared" ca="1" si="80"/>
        <v>1</v>
      </c>
      <c r="AO93">
        <f t="shared" ca="1" si="81"/>
        <v>1</v>
      </c>
      <c r="AP93">
        <f t="shared" ca="1" si="82"/>
        <v>1</v>
      </c>
      <c r="AQ93">
        <f t="shared" ca="1" si="83"/>
        <v>1</v>
      </c>
      <c r="AV93" t="b">
        <f t="shared" ca="1" si="84"/>
        <v>1</v>
      </c>
      <c r="AW93" t="b">
        <f t="shared" ca="1" si="85"/>
        <v>1</v>
      </c>
      <c r="AX93" t="b">
        <f t="shared" ca="1" si="86"/>
        <v>1</v>
      </c>
      <c r="AY93" t="b">
        <f t="shared" ca="1" si="87"/>
        <v>1</v>
      </c>
      <c r="AZ93" t="b">
        <f t="shared" ca="1" si="88"/>
        <v>1</v>
      </c>
      <c r="BD93">
        <f t="shared" ca="1" si="89"/>
        <v>1</v>
      </c>
      <c r="BE93">
        <f t="shared" ca="1" si="90"/>
        <v>1</v>
      </c>
      <c r="BF93">
        <f t="shared" ca="1" si="91"/>
        <v>1</v>
      </c>
      <c r="BG93">
        <f t="shared" ca="1" si="92"/>
        <v>1</v>
      </c>
      <c r="BH93">
        <f t="shared" ca="1" si="93"/>
        <v>1</v>
      </c>
      <c r="BI93">
        <f t="shared" ca="1" si="94"/>
        <v>1</v>
      </c>
      <c r="BJ93">
        <f t="shared" ca="1" si="95"/>
        <v>1</v>
      </c>
      <c r="BK93">
        <f t="shared" ca="1" si="96"/>
        <v>1</v>
      </c>
      <c r="BL93">
        <f t="shared" ca="1" si="97"/>
        <v>1</v>
      </c>
      <c r="BM93">
        <f t="shared" ca="1" si="98"/>
        <v>0</v>
      </c>
      <c r="BN93">
        <f t="shared" ca="1" si="99"/>
        <v>0</v>
      </c>
      <c r="BO93">
        <f t="shared" ca="1" si="100"/>
        <v>1</v>
      </c>
      <c r="BU93">
        <f t="shared" ca="1" si="101"/>
        <v>7</v>
      </c>
      <c r="BV93">
        <f t="shared" ca="1" si="102"/>
        <v>7</v>
      </c>
      <c r="BW93">
        <f t="shared" ca="1" si="103"/>
        <v>7</v>
      </c>
      <c r="BX93">
        <f t="shared" ca="1" si="104"/>
        <v>7</v>
      </c>
      <c r="BY93">
        <f t="shared" ca="1" si="105"/>
        <v>7</v>
      </c>
      <c r="BZ93">
        <f t="shared" ca="1" si="106"/>
        <v>7</v>
      </c>
      <c r="CA93">
        <f t="shared" ca="1" si="107"/>
        <v>7</v>
      </c>
      <c r="CB93">
        <f t="shared" ca="1" si="108"/>
        <v>7</v>
      </c>
      <c r="CC93">
        <f t="shared" ca="1" si="109"/>
        <v>7</v>
      </c>
      <c r="CD93">
        <f t="shared" ca="1" si="110"/>
        <v>33</v>
      </c>
      <c r="CE93">
        <f t="shared" ca="1" si="111"/>
        <v>33</v>
      </c>
      <c r="CF93">
        <f t="shared" ca="1" si="112"/>
        <v>7</v>
      </c>
      <c r="CL93">
        <f t="shared" ca="1" si="113"/>
        <v>1</v>
      </c>
      <c r="CM93">
        <f t="shared" ca="1" si="114"/>
        <v>1</v>
      </c>
      <c r="CN93">
        <f t="shared" ca="1" si="115"/>
        <v>1</v>
      </c>
      <c r="CO93">
        <f t="shared" ca="1" si="116"/>
        <v>1</v>
      </c>
      <c r="CP93">
        <f t="shared" ca="1" si="117"/>
        <v>1</v>
      </c>
      <c r="CQ93">
        <f t="shared" ca="1" si="118"/>
        <v>1</v>
      </c>
      <c r="CR93">
        <f t="shared" ca="1" si="119"/>
        <v>1</v>
      </c>
      <c r="CS93">
        <f t="shared" ca="1" si="120"/>
        <v>1</v>
      </c>
      <c r="CT93">
        <f t="shared" ca="1" si="121"/>
        <v>1</v>
      </c>
      <c r="CU93">
        <f t="shared" ca="1" si="122"/>
        <v>0</v>
      </c>
      <c r="CV93">
        <f t="shared" ca="1" si="123"/>
        <v>0</v>
      </c>
      <c r="CW93">
        <f t="shared" ca="1" si="124"/>
        <v>1</v>
      </c>
      <c r="DC93" cm="1">
        <f t="array" aca="1" ref="DC93" ca="1">IF(ISNA(E93),,OFFSET(INDIRECT("'"&amp;DT$67&amp;"'!f1"),E93-1,))*1</f>
        <v>0.28492655100001202</v>
      </c>
      <c r="DD93" cm="1">
        <f t="array" aca="1" ref="DD93" ca="1">IF(ISNA(F93),,OFFSET(INDIRECT("'"&amp;DU$67&amp;"'!f1"),F93-1,))*1</f>
        <v>0.97787918800000195</v>
      </c>
      <c r="DE93" cm="1">
        <f t="array" aca="1" ref="DE93" ca="1">IF(ISNA(G93),,OFFSET(INDIRECT("'"&amp;DV$67&amp;"'!f1"),G93-1,))*1</f>
        <v>0.44511617599999898</v>
      </c>
      <c r="DF93" cm="1">
        <f t="array" aca="1" ref="DF93" ca="1">IF(ISNA(H93),,OFFSET(INDIRECT("'"&amp;DW$67&amp;"'!f1"),H93-1,))*1</f>
        <v>0.12793387499999601</v>
      </c>
      <c r="DG93" cm="1">
        <f t="array" aca="1" ref="DG93" ca="1">IF(ISNA(I93),,OFFSET(INDIRECT("'"&amp;DX$67&amp;"'!f1"),I93-1,))*1</f>
        <v>5.5822166999860201E-2</v>
      </c>
      <c r="DH93" cm="1">
        <f t="array" aca="1" ref="DH93" ca="1">IF(ISNA(J93),,OFFSET(INDIRECT("'"&amp;DY$67&amp;"'!f1"),J93-1,))*1</f>
        <v>5.0690798088908098E-2</v>
      </c>
      <c r="DI93" cm="1">
        <f t="array" aca="1" ref="DI93" ca="1">IF(ISNA(K93),,OFFSET(INDIRECT("'"&amp;DZ$67&amp;"'!f1"),K93-1,))*1</f>
        <v>1.3025953825563099</v>
      </c>
      <c r="DJ93" cm="1">
        <f t="array" aca="1" ref="DJ93" ca="1">IF(ISNA(L93),,OFFSET(INDIRECT("'"&amp;EA$67&amp;"'!f1"),L93-1,))*1</f>
        <v>1.8455176623538101</v>
      </c>
      <c r="DK93" cm="1">
        <f t="array" aca="1" ref="DK93" ca="1">IF(ISNA(M93),,OFFSET(INDIRECT("'"&amp;EB$67&amp;"'!f1"),M93-1,))*1</f>
        <v>30.446135945152399</v>
      </c>
      <c r="DL93" cm="1">
        <f t="array" aca="1" ref="DL93" ca="1">IF(ISNA(N93),,OFFSET(INDIRECT("'"&amp;EC$67&amp;"'!f1"),N93-1,))*1</f>
        <v>4.9235094338655402E-3</v>
      </c>
      <c r="DM93" cm="1">
        <f t="array" aca="1" ref="DM93" ca="1">IF(ISNA(O93),,OFFSET(INDIRECT("'"&amp;ED$67&amp;"'!f1"),O93-1,))*1</f>
        <v>4.9052955582737897E-3</v>
      </c>
      <c r="DN93" cm="1">
        <f t="array" aca="1" ref="DN93" ca="1">IF(ISNA(P93),,OFFSET(INDIRECT("'"&amp;EE$67&amp;"'!f1"),P93-1,))*1</f>
        <v>4.6182076446712003E-2</v>
      </c>
      <c r="DT93">
        <f t="shared" ca="1" si="125"/>
        <v>1</v>
      </c>
      <c r="DU93">
        <f t="shared" ca="1" si="126"/>
        <v>1</v>
      </c>
      <c r="DV93">
        <f t="shared" ca="1" si="127"/>
        <v>1</v>
      </c>
      <c r="DW93">
        <f t="shared" ca="1" si="128"/>
        <v>1</v>
      </c>
      <c r="DX93">
        <f t="shared" ca="1" si="129"/>
        <v>1</v>
      </c>
      <c r="DY93">
        <f t="shared" ca="1" si="130"/>
        <v>1</v>
      </c>
      <c r="DZ93">
        <f t="shared" ca="1" si="131"/>
        <v>6465</v>
      </c>
      <c r="EA93">
        <f t="shared" ca="1" si="132"/>
        <v>9828</v>
      </c>
      <c r="EB93">
        <f t="shared" ca="1" si="133"/>
        <v>6728</v>
      </c>
      <c r="EC93">
        <f t="shared" ca="1" si="134"/>
        <v>0</v>
      </c>
      <c r="ED93">
        <f t="shared" ca="1" si="135"/>
        <v>0</v>
      </c>
      <c r="EE93">
        <f t="shared" ca="1" si="136"/>
        <v>2</v>
      </c>
      <c r="EK93" cm="1">
        <f t="array" aca="1" ref="EK93" ca="1">IF(ISNA(E93),0,OFFSET(INDIRECT("'"&amp;EK$67&amp;"'!g1"),E93-1,)*CL93)</f>
        <v>1</v>
      </c>
      <c r="EL93" cm="1">
        <f t="array" aca="1" ref="EL93" ca="1">IF(ISNA(F93),0,OFFSET(INDIRECT("'"&amp;EL$67&amp;"'!g1"),F93-1,)*CM93)</f>
        <v>1</v>
      </c>
      <c r="EM93" cm="1">
        <f t="array" aca="1" ref="EM93" ca="1">IF(ISNA(G93),0,OFFSET(INDIRECT("'"&amp;EM$67&amp;"'!g1"),G93-1,)*CN93)</f>
        <v>1</v>
      </c>
      <c r="EN93" cm="1">
        <f t="array" aca="1" ref="EN93" ca="1">IF(ISNA(H93),0,OFFSET(INDIRECT("'"&amp;EN$67&amp;"'!g1"),H93-1,)*CO93)</f>
        <v>1</v>
      </c>
      <c r="EO93" cm="1">
        <f t="array" aca="1" ref="EO93" ca="1">IF(ISNA(I93),0,OFFSET(INDIRECT("'"&amp;EO$67&amp;"'!g1"),I93-1,)*CP93)</f>
        <v>1</v>
      </c>
      <c r="EP93" cm="1">
        <f t="array" aca="1" ref="EP93" ca="1">IF(ISNA(J93),0,OFFSET(INDIRECT("'"&amp;EP$67&amp;"'!g1"),J93-1,)*CQ93)</f>
        <v>1</v>
      </c>
      <c r="EQ93" cm="1">
        <f t="array" aca="1" ref="EQ93" ca="1">IF(ISNA(K93),0,OFFSET(INDIRECT("'"&amp;EQ$67&amp;"'!g1"),K93-1,)*CR93)</f>
        <v>6465</v>
      </c>
      <c r="ER93" cm="1">
        <f t="array" aca="1" ref="ER93" ca="1">IF(ISNA(L93),0,OFFSET(INDIRECT("'"&amp;ER$67&amp;"'!g1"),L93-1,)*CS93)</f>
        <v>9828</v>
      </c>
      <c r="ES93" cm="1">
        <f t="array" aca="1" ref="ES93" ca="1">IF(ISNA(M93),0,OFFSET(INDIRECT("'"&amp;ES$67&amp;"'!g1"),M93-1,)*CT93)</f>
        <v>6728</v>
      </c>
      <c r="ET93" cm="1">
        <f t="array" aca="1" ref="ET93" ca="1">IF(ISNA(N93),0,OFFSET(INDIRECT("'"&amp;ET$67&amp;"'!g1"),N93-1,)*CU93)</f>
        <v>0</v>
      </c>
      <c r="EU93" cm="1">
        <f t="array" aca="1" ref="EU93" ca="1">IF(ISNA(O93),0,OFFSET(INDIRECT("'"&amp;EU$67&amp;"'!g1"),O93-1,)*CV93)</f>
        <v>0</v>
      </c>
      <c r="EV93" cm="1">
        <f t="array" aca="1" ref="EV93" ca="1">IF(ISNA(P93),0,OFFSET(INDIRECT("'"&amp;EV$67&amp;"'!g1"),P93-1,)*CW93)</f>
        <v>2</v>
      </c>
      <c r="FB93" s="10" cm="1">
        <f t="array" aca="1" ref="FB93" ca="1">IF(ISNA(E93),0,OFFSET(INDIRECT("'"&amp;EK$67&amp;"'!h1"),E93-1,))</f>
        <v>1</v>
      </c>
      <c r="FC93" s="10" cm="1">
        <f t="array" aca="1" ref="FC93" ca="1">IF(ISNA(F93),0,OFFSET(INDIRECT("'"&amp;EL$67&amp;"'!h1"),F93-1,))</f>
        <v>1</v>
      </c>
      <c r="FD93" s="10" cm="1">
        <f t="array" aca="1" ref="FD93" ca="1">IF(ISNA(G93),0,OFFSET(INDIRECT("'"&amp;EM$67&amp;"'!h1"),G93-1,))</f>
        <v>1</v>
      </c>
      <c r="FE93" s="10" cm="1">
        <f t="array" aca="1" ref="FE93" ca="1">IF(ISNA(H93),0,OFFSET(INDIRECT("'"&amp;EN$67&amp;"'!h1"),H93-1,))</f>
        <v>1</v>
      </c>
      <c r="FF93" s="10" cm="1">
        <f t="array" aca="1" ref="FF93" ca="1">IF(ISNA(I93),0,OFFSET(INDIRECT("'"&amp;EO$67&amp;"'!h1"),I93-1,))</f>
        <v>1</v>
      </c>
      <c r="FG93" s="10" cm="1">
        <f t="array" aca="1" ref="FG93" ca="1">IF(ISNA(J93),0,OFFSET(INDIRECT("'"&amp;EP$67&amp;"'!h1"),J93-1,))</f>
        <v>1</v>
      </c>
      <c r="FH93" s="10" cm="1">
        <f t="array" aca="1" ref="FH93" ca="1">IF(ISNA(K93),0,OFFSET(INDIRECT("'"&amp;EQ$67&amp;"'!h1"),K93-1,))</f>
        <v>10000</v>
      </c>
      <c r="FI93" s="10" cm="1">
        <f t="array" aca="1" ref="FI93" ca="1">IF(ISNA(L93),0,OFFSET(INDIRECT("'"&amp;ER$67&amp;"'!h1"),L93-1,))</f>
        <v>10000</v>
      </c>
      <c r="FJ93" s="10" cm="1">
        <f t="array" aca="1" ref="FJ93" ca="1">IF(ISNA(M93),0,OFFSET(INDIRECT("'"&amp;ES$67&amp;"'!h1"),M93-1,))</f>
        <v>10000</v>
      </c>
      <c r="FK93" s="10" cm="1">
        <f t="array" aca="1" ref="FK93" ca="1">IF(ISNA(N93),0,OFFSET(INDIRECT("'"&amp;ET$67&amp;"'!h1"),N93-1,))</f>
        <v>1</v>
      </c>
      <c r="FL93" s="10" cm="1">
        <f t="array" aca="1" ref="FL93" ca="1">IF(ISNA(O93),0,OFFSET(INDIRECT("'"&amp;EU$67&amp;"'!h1"),O93-1,))</f>
        <v>1</v>
      </c>
      <c r="FM93" s="10" cm="1">
        <f t="array" aca="1" ref="FM93" ca="1">IF(ISNA(P93),0,OFFSET(INDIRECT("'"&amp;EV$67&amp;"'!h1"),P93-1,))</f>
        <v>5</v>
      </c>
      <c r="FN93" s="10"/>
      <c r="FO93" s="10"/>
      <c r="FP93" s="10"/>
      <c r="FQ93" s="10"/>
      <c r="FS93">
        <f t="shared" ca="1" si="137"/>
        <v>33</v>
      </c>
      <c r="FT93">
        <f t="shared" ca="1" si="62"/>
        <v>1.3025953825563099</v>
      </c>
      <c r="FU93">
        <f t="shared" ca="1" si="63"/>
        <v>6465</v>
      </c>
      <c r="FV93">
        <f t="shared" ca="1" si="64"/>
        <v>10000</v>
      </c>
      <c r="FW93" s="4">
        <f t="shared" ca="1" si="138"/>
        <v>0.64649999999999996</v>
      </c>
      <c r="FX93" s="5">
        <f t="shared" ca="1" si="139"/>
        <v>2.0148420457174166E-4</v>
      </c>
      <c r="FZ93" s="13">
        <f t="shared" ca="1" si="140"/>
        <v>33</v>
      </c>
      <c r="GA93" s="23">
        <f t="shared" ca="1" si="141"/>
        <v>0</v>
      </c>
      <c r="GB93" s="23">
        <f t="shared" ca="1" si="142"/>
        <v>0</v>
      </c>
      <c r="GC93" s="23">
        <f t="shared" ca="1" si="143"/>
        <v>0</v>
      </c>
      <c r="GD93" s="23">
        <f t="shared" ca="1" si="144"/>
        <v>0</v>
      </c>
      <c r="GE93" s="23">
        <f t="shared" ca="1" si="145"/>
        <v>0</v>
      </c>
      <c r="GF93" s="23">
        <f t="shared" ca="1" si="146"/>
        <v>0</v>
      </c>
      <c r="GG93" s="23">
        <f t="shared" ca="1" si="147"/>
        <v>0</v>
      </c>
      <c r="GH93" s="23">
        <f t="shared" ca="1" si="148"/>
        <v>0</v>
      </c>
      <c r="GI93" s="23">
        <f t="shared" ca="1" si="149"/>
        <v>0</v>
      </c>
      <c r="GJ93" s="23" t="e">
        <f t="shared" ca="1" si="150"/>
        <v>#N/A</v>
      </c>
      <c r="GK93" s="23" t="e">
        <f t="shared" ca="1" si="151"/>
        <v>#N/A</v>
      </c>
      <c r="GL93" s="23">
        <f t="shared" ca="1" si="152"/>
        <v>0</v>
      </c>
      <c r="GM93" s="23"/>
      <c r="GN93">
        <f t="shared" ca="1" si="153"/>
        <v>33</v>
      </c>
      <c r="GO93" s="5">
        <f t="shared" ca="1" si="154"/>
        <v>0.28492655100001202</v>
      </c>
      <c r="GP93" s="5">
        <f t="shared" ca="1" si="155"/>
        <v>0.97787918800000195</v>
      </c>
      <c r="GQ93" s="5">
        <f t="shared" ca="1" si="156"/>
        <v>0.44511617599999898</v>
      </c>
      <c r="GR93" s="5">
        <f t="shared" ca="1" si="157"/>
        <v>0.12793387499999601</v>
      </c>
      <c r="GS93" s="5">
        <f t="shared" ca="1" si="158"/>
        <v>5.5822166999860201E-2</v>
      </c>
      <c r="GT93" s="5">
        <f t="shared" ca="1" si="159"/>
        <v>5.0690798088908098E-2</v>
      </c>
      <c r="GU93" s="5">
        <f t="shared" ca="1" si="160"/>
        <v>2.0148420457174166E-4</v>
      </c>
      <c r="GV93" s="5">
        <f t="shared" ca="1" si="161"/>
        <v>1.8778160992611012E-4</v>
      </c>
      <c r="GW93" s="5">
        <f t="shared" ca="1" si="162"/>
        <v>4.5252877445232462E-3</v>
      </c>
      <c r="GX93" s="5" t="e">
        <f t="shared" ca="1" si="163"/>
        <v>#N/A</v>
      </c>
      <c r="GY93" s="5" t="e">
        <f t="shared" ca="1" si="164"/>
        <v>#N/A</v>
      </c>
      <c r="GZ93" s="5">
        <f t="shared" ca="1" si="165"/>
        <v>2.3091038223356002E-2</v>
      </c>
      <c r="HB93" s="13">
        <f t="shared" ca="1" si="166"/>
        <v>33</v>
      </c>
      <c r="HC93" s="4">
        <f t="shared" ca="1" si="167"/>
        <v>1</v>
      </c>
      <c r="HD93" s="4">
        <f t="shared" ca="1" si="168"/>
        <v>1</v>
      </c>
      <c r="HE93" s="4">
        <f t="shared" ca="1" si="169"/>
        <v>1</v>
      </c>
      <c r="HF93" s="4">
        <f t="shared" ca="1" si="170"/>
        <v>1</v>
      </c>
      <c r="HG93" s="4">
        <f t="shared" ca="1" si="171"/>
        <v>1</v>
      </c>
      <c r="HH93" s="4">
        <f t="shared" ca="1" si="172"/>
        <v>1</v>
      </c>
      <c r="HI93" s="4">
        <f t="shared" ca="1" si="173"/>
        <v>0.64649999999999996</v>
      </c>
      <c r="HJ93" s="4">
        <f t="shared" ca="1" si="174"/>
        <v>0.98280000000000001</v>
      </c>
      <c r="HK93" s="4">
        <f t="shared" ca="1" si="175"/>
        <v>0.67279999999999995</v>
      </c>
      <c r="HL93" s="4">
        <f t="shared" ca="1" si="176"/>
        <v>0</v>
      </c>
      <c r="HM93" s="4">
        <f t="shared" ca="1" si="177"/>
        <v>0</v>
      </c>
      <c r="HN93" s="4">
        <f t="shared" ca="1" si="178"/>
        <v>0.4</v>
      </c>
    </row>
    <row r="94" spans="1:222" x14ac:dyDescent="0.2">
      <c r="A94" t="str" cm="1">
        <f t="array" aca="1" ref="A94" ca="1">INDIRECT($A$67&amp;"!A"&amp;ROW(C27)+$B$64)</f>
        <v>[[34,4,17]]</v>
      </c>
      <c r="B94" cm="1">
        <f t="array" aca="1" ref="B94" ca="1">INDIRECT($A$67&amp;"!b"&amp;ROW(D27)+$B$64)</f>
        <v>34</v>
      </c>
      <c r="C94">
        <f t="shared" ca="1" si="78"/>
        <v>17</v>
      </c>
      <c r="E94">
        <f t="shared" ca="1" si="72"/>
        <v>51</v>
      </c>
      <c r="F94">
        <f t="shared" ca="1" si="72"/>
        <v>52</v>
      </c>
      <c r="G94">
        <f t="shared" ca="1" si="72"/>
        <v>51</v>
      </c>
      <c r="H94">
        <f t="shared" ca="1" si="72"/>
        <v>51</v>
      </c>
      <c r="I94">
        <f t="shared" ca="1" si="72"/>
        <v>54</v>
      </c>
      <c r="J94">
        <f t="shared" ca="1" si="72"/>
        <v>51</v>
      </c>
      <c r="K94">
        <f t="shared" ca="1" si="72"/>
        <v>58</v>
      </c>
      <c r="L94">
        <f t="shared" ca="1" si="72"/>
        <v>60</v>
      </c>
      <c r="M94">
        <f t="shared" ca="1" si="72"/>
        <v>57</v>
      </c>
      <c r="N94">
        <f t="shared" ca="1" si="72"/>
        <v>55</v>
      </c>
      <c r="O94">
        <f t="shared" ca="1" si="72"/>
        <v>55</v>
      </c>
      <c r="P94">
        <f t="shared" ca="1" si="72"/>
        <v>55</v>
      </c>
      <c r="V94" cm="1">
        <f t="array" aca="1" ref="V94" ca="1">IF(ISNA(E94),,OFFSET(INDIRECT("'"&amp;V$67&amp;"'!d1"),E94-1,))</f>
        <v>17</v>
      </c>
      <c r="W94" cm="1">
        <f t="array" aca="1" ref="W94" ca="1">IF(ISNA(F94),,OFFSET(INDIRECT("'"&amp;W$67&amp;"'!d1"),F94-1,))</f>
        <v>17</v>
      </c>
      <c r="X94" cm="1">
        <f t="array" aca="1" ref="X94" ca="1">IF(ISNA(G94),,OFFSET(INDIRECT("'"&amp;X$67&amp;"'!d1"),G94-1,))</f>
        <v>17</v>
      </c>
      <c r="Y94" cm="1">
        <f t="array" aca="1" ref="Y94" ca="1">IF(ISNA(H94),,OFFSET(INDIRECT("'"&amp;Y$67&amp;"'!d1"),H94-1,))</f>
        <v>17</v>
      </c>
      <c r="Z94" cm="1">
        <f t="array" aca="1" ref="Z94" ca="1">IF(ISNA(I94),,OFFSET(INDIRECT("'"&amp;Z$67&amp;"'!d1"),I94-1,))</f>
        <v>17</v>
      </c>
      <c r="AA94" cm="1">
        <f t="array" aca="1" ref="AA94" ca="1">IF(ISNA(J94),,OFFSET(INDIRECT("'"&amp;AA$67&amp;"'!d1"),J94-1,))</f>
        <v>17</v>
      </c>
      <c r="AB94" cm="1">
        <f t="array" aca="1" ref="AB94" ca="1">IF(ISNA(K94),,OFFSET(INDIRECT("'"&amp;AB$67&amp;"'!d1"),K94-1,))</f>
        <v>17</v>
      </c>
      <c r="AC94" cm="1">
        <f t="array" aca="1" ref="AC94" ca="1">IF(ISNA(L94),,OFFSET(INDIRECT("'"&amp;AC$67&amp;"'!d1"),L94-1,))</f>
        <v>17</v>
      </c>
      <c r="AD94" cm="1">
        <f t="array" aca="1" ref="AD94" ca="1">IF(ISNA(M94),,OFFSET(INDIRECT("'"&amp;AD$67&amp;"'!d1"),M94-1,))</f>
        <v>17</v>
      </c>
      <c r="AE94" cm="1">
        <f t="array" aca="1" ref="AE94" ca="1">IF(ISNA(N94),,OFFSET(INDIRECT("'"&amp;AE$67&amp;"'!d1"),N94-1,))</f>
        <v>0</v>
      </c>
      <c r="AF94" cm="1">
        <f t="array" aca="1" ref="AF94" ca="1">IF(ISNA(O94),,OFFSET(INDIRECT("'"&amp;AF$67&amp;"'!d1"),O94-1,))</f>
        <v>0</v>
      </c>
      <c r="AG94" cm="1">
        <f t="array" aca="1" ref="AG94" ca="1">IF(ISNA(P94),,OFFSET(INDIRECT("'"&amp;AG$67&amp;"'!d1"),P94-1,))</f>
        <v>0</v>
      </c>
      <c r="AM94">
        <f t="shared" ca="1" si="79"/>
        <v>1</v>
      </c>
      <c r="AN94">
        <f t="shared" ca="1" si="80"/>
        <v>1</v>
      </c>
      <c r="AO94">
        <f t="shared" ca="1" si="81"/>
        <v>1</v>
      </c>
      <c r="AP94">
        <f t="shared" ca="1" si="82"/>
        <v>1</v>
      </c>
      <c r="AQ94">
        <f t="shared" ca="1" si="83"/>
        <v>1</v>
      </c>
      <c r="AV94" t="b">
        <f t="shared" ca="1" si="84"/>
        <v>1</v>
      </c>
      <c r="AW94" t="b">
        <f t="shared" ca="1" si="85"/>
        <v>1</v>
      </c>
      <c r="AX94" t="b">
        <f t="shared" ca="1" si="86"/>
        <v>1</v>
      </c>
      <c r="AY94" t="b">
        <f t="shared" ca="1" si="87"/>
        <v>1</v>
      </c>
      <c r="AZ94" t="b">
        <f t="shared" ca="1" si="88"/>
        <v>1</v>
      </c>
      <c r="BD94">
        <f t="shared" ca="1" si="89"/>
        <v>1</v>
      </c>
      <c r="BE94">
        <f t="shared" ca="1" si="90"/>
        <v>1</v>
      </c>
      <c r="BF94">
        <f t="shared" ca="1" si="91"/>
        <v>1</v>
      </c>
      <c r="BG94">
        <f t="shared" ca="1" si="92"/>
        <v>1</v>
      </c>
      <c r="BH94">
        <f t="shared" ca="1" si="93"/>
        <v>1</v>
      </c>
      <c r="BI94">
        <f t="shared" ca="1" si="94"/>
        <v>1</v>
      </c>
      <c r="BJ94">
        <f t="shared" ca="1" si="95"/>
        <v>1</v>
      </c>
      <c r="BK94">
        <f t="shared" ca="1" si="96"/>
        <v>1</v>
      </c>
      <c r="BL94">
        <f t="shared" ca="1" si="97"/>
        <v>1</v>
      </c>
      <c r="BM94">
        <f t="shared" ca="1" si="98"/>
        <v>0</v>
      </c>
      <c r="BN94">
        <f t="shared" ca="1" si="99"/>
        <v>0</v>
      </c>
      <c r="BO94">
        <f t="shared" ca="1" si="100"/>
        <v>0</v>
      </c>
      <c r="BU94">
        <f t="shared" ca="1" si="101"/>
        <v>17</v>
      </c>
      <c r="BV94">
        <f t="shared" ca="1" si="102"/>
        <v>17</v>
      </c>
      <c r="BW94">
        <f t="shared" ca="1" si="103"/>
        <v>17</v>
      </c>
      <c r="BX94">
        <f t="shared" ca="1" si="104"/>
        <v>17</v>
      </c>
      <c r="BY94">
        <f t="shared" ca="1" si="105"/>
        <v>17</v>
      </c>
      <c r="BZ94">
        <f t="shared" ca="1" si="106"/>
        <v>17</v>
      </c>
      <c r="CA94">
        <f t="shared" ca="1" si="107"/>
        <v>17</v>
      </c>
      <c r="CB94">
        <f t="shared" ca="1" si="108"/>
        <v>17</v>
      </c>
      <c r="CC94">
        <f t="shared" ca="1" si="109"/>
        <v>17</v>
      </c>
      <c r="CD94">
        <f t="shared" ca="1" si="110"/>
        <v>34</v>
      </c>
      <c r="CE94">
        <f t="shared" ca="1" si="111"/>
        <v>34</v>
      </c>
      <c r="CF94">
        <f t="shared" ca="1" si="112"/>
        <v>34</v>
      </c>
      <c r="CL94">
        <f t="shared" ca="1" si="113"/>
        <v>1</v>
      </c>
      <c r="CM94">
        <f t="shared" ca="1" si="114"/>
        <v>1</v>
      </c>
      <c r="CN94">
        <f t="shared" ca="1" si="115"/>
        <v>1</v>
      </c>
      <c r="CO94">
        <f t="shared" ca="1" si="116"/>
        <v>1</v>
      </c>
      <c r="CP94">
        <f t="shared" ca="1" si="117"/>
        <v>1</v>
      </c>
      <c r="CQ94">
        <f t="shared" ca="1" si="118"/>
        <v>1</v>
      </c>
      <c r="CR94">
        <f t="shared" ca="1" si="119"/>
        <v>1</v>
      </c>
      <c r="CS94">
        <f t="shared" ca="1" si="120"/>
        <v>1</v>
      </c>
      <c r="CT94">
        <f t="shared" ca="1" si="121"/>
        <v>1</v>
      </c>
      <c r="CU94">
        <f t="shared" ca="1" si="122"/>
        <v>0</v>
      </c>
      <c r="CV94">
        <f t="shared" ca="1" si="123"/>
        <v>0</v>
      </c>
      <c r="CW94">
        <f t="shared" ca="1" si="124"/>
        <v>0</v>
      </c>
      <c r="DC94" cm="1">
        <f t="array" aca="1" ref="DC94" ca="1">IF(ISNA(E94),,OFFSET(INDIRECT("'"&amp;DT$67&amp;"'!f1"),E94-1,))*1</f>
        <v>5.3578969999989498E-2</v>
      </c>
      <c r="DD94" cm="1">
        <f t="array" aca="1" ref="DD94" ca="1">IF(ISNA(F94),,OFFSET(INDIRECT("'"&amp;DU$67&amp;"'!f1"),F94-1,))*1</f>
        <v>8.5984198999994904E-2</v>
      </c>
      <c r="DE94" cm="1">
        <f t="array" aca="1" ref="DE94" ca="1">IF(ISNA(G94),,OFFSET(INDIRECT("'"&amp;DV$67&amp;"'!f1"),G94-1,))*1</f>
        <v>1.45953650000194E-2</v>
      </c>
      <c r="DF94" cm="1">
        <f t="array" aca="1" ref="DF94" ca="1">IF(ISNA(H94),,OFFSET(INDIRECT("'"&amp;DW$67&amp;"'!f1"),H94-1,))*1</f>
        <v>8.5073187999995498E-2</v>
      </c>
      <c r="DG94" cm="1">
        <f t="array" aca="1" ref="DG94" ca="1">IF(ISNA(I94),,OFFSET(INDIRECT("'"&amp;DX$67&amp;"'!f1"),I94-1,))*1</f>
        <v>5.5268957999942303E-2</v>
      </c>
      <c r="DH94" cm="1">
        <f t="array" aca="1" ref="DH94" ca="1">IF(ISNA(J94),,OFFSET(INDIRECT("'"&amp;DY$67&amp;"'!f1"),J94-1,))*1</f>
        <v>7.2226217947900295E-2</v>
      </c>
      <c r="DI94" cm="1">
        <f t="array" aca="1" ref="DI94" ca="1">IF(ISNA(K94),,OFFSET(INDIRECT("'"&amp;DZ$67&amp;"'!f1"),K94-1,))*1</f>
        <v>1.2718675984069701</v>
      </c>
      <c r="DJ94" cm="1">
        <f t="array" aca="1" ref="DJ94" ca="1">IF(ISNA(L94),,OFFSET(INDIRECT("'"&amp;EA$67&amp;"'!f1"),L94-1,))*1</f>
        <v>1.9109597671777001</v>
      </c>
      <c r="DK94" cm="1">
        <f t="array" aca="1" ref="DK94" ca="1">IF(ISNA(M94),,OFFSET(INDIRECT("'"&amp;EB$67&amp;"'!f1"),M94-1,))*1</f>
        <v>15.771324325818499</v>
      </c>
      <c r="DL94" cm="1">
        <f t="array" aca="1" ref="DL94" ca="1">IF(ISNA(N94),,OFFSET(INDIRECT("'"&amp;EC$67&amp;"'!f1"),N94-1,))*1</f>
        <v>4.2302636429667403E-3</v>
      </c>
      <c r="DM94" cm="1">
        <f t="array" aca="1" ref="DM94" ca="1">IF(ISNA(O94),,OFFSET(INDIRECT("'"&amp;ED$67&amp;"'!f1"),O94-1,))*1</f>
        <v>4.2146444320678702E-3</v>
      </c>
      <c r="DN94" cm="1">
        <f t="array" aca="1" ref="DN94" ca="1">IF(ISNA(P94),,OFFSET(INDIRECT("'"&amp;EE$67&amp;"'!f1"),P94-1,))*1</f>
        <v>6.3796378672122903E-3</v>
      </c>
      <c r="DT94">
        <f t="shared" ca="1" si="125"/>
        <v>1</v>
      </c>
      <c r="DU94">
        <f t="shared" ca="1" si="126"/>
        <v>1</v>
      </c>
      <c r="DV94">
        <f t="shared" ca="1" si="127"/>
        <v>1</v>
      </c>
      <c r="DW94">
        <f t="shared" ca="1" si="128"/>
        <v>1</v>
      </c>
      <c r="DX94">
        <f t="shared" ca="1" si="129"/>
        <v>1</v>
      </c>
      <c r="DY94">
        <f t="shared" ca="1" si="130"/>
        <v>1</v>
      </c>
      <c r="DZ94">
        <f t="shared" ca="1" si="131"/>
        <v>8310</v>
      </c>
      <c r="EA94">
        <f t="shared" ca="1" si="132"/>
        <v>9980</v>
      </c>
      <c r="EB94">
        <f t="shared" ca="1" si="133"/>
        <v>8971</v>
      </c>
      <c r="EC94">
        <f t="shared" ca="1" si="134"/>
        <v>0</v>
      </c>
      <c r="ED94">
        <f t="shared" ca="1" si="135"/>
        <v>0</v>
      </c>
      <c r="EE94">
        <f t="shared" ca="1" si="136"/>
        <v>0</v>
      </c>
      <c r="EK94" cm="1">
        <f t="array" aca="1" ref="EK94" ca="1">IF(ISNA(E94),0,OFFSET(INDIRECT("'"&amp;EK$67&amp;"'!g1"),E94-1,)*CL94)</f>
        <v>1</v>
      </c>
      <c r="EL94" cm="1">
        <f t="array" aca="1" ref="EL94" ca="1">IF(ISNA(F94),0,OFFSET(INDIRECT("'"&amp;EL$67&amp;"'!g1"),F94-1,)*CM94)</f>
        <v>1</v>
      </c>
      <c r="EM94" cm="1">
        <f t="array" aca="1" ref="EM94" ca="1">IF(ISNA(G94),0,OFFSET(INDIRECT("'"&amp;EM$67&amp;"'!g1"),G94-1,)*CN94)</f>
        <v>1</v>
      </c>
      <c r="EN94" cm="1">
        <f t="array" aca="1" ref="EN94" ca="1">IF(ISNA(H94),0,OFFSET(INDIRECT("'"&amp;EN$67&amp;"'!g1"),H94-1,)*CO94)</f>
        <v>1</v>
      </c>
      <c r="EO94" cm="1">
        <f t="array" aca="1" ref="EO94" ca="1">IF(ISNA(I94),0,OFFSET(INDIRECT("'"&amp;EO$67&amp;"'!g1"),I94-1,)*CP94)</f>
        <v>1</v>
      </c>
      <c r="EP94" cm="1">
        <f t="array" aca="1" ref="EP94" ca="1">IF(ISNA(J94),0,OFFSET(INDIRECT("'"&amp;EP$67&amp;"'!g1"),J94-1,)*CQ94)</f>
        <v>1</v>
      </c>
      <c r="EQ94" cm="1">
        <f t="array" aca="1" ref="EQ94" ca="1">IF(ISNA(K94),0,OFFSET(INDIRECT("'"&amp;EQ$67&amp;"'!g1"),K94-1,)*CR94)</f>
        <v>8310</v>
      </c>
      <c r="ER94" cm="1">
        <f t="array" aca="1" ref="ER94" ca="1">IF(ISNA(L94),0,OFFSET(INDIRECT("'"&amp;ER$67&amp;"'!g1"),L94-1,)*CS94)</f>
        <v>9980</v>
      </c>
      <c r="ES94" cm="1">
        <f t="array" aca="1" ref="ES94" ca="1">IF(ISNA(M94),0,OFFSET(INDIRECT("'"&amp;ES$67&amp;"'!g1"),M94-1,)*CT94)</f>
        <v>8971</v>
      </c>
      <c r="ET94" cm="1">
        <f t="array" aca="1" ref="ET94" ca="1">IF(ISNA(N94),0,OFFSET(INDIRECT("'"&amp;ET$67&amp;"'!g1"),N94-1,)*CU94)</f>
        <v>0</v>
      </c>
      <c r="EU94" cm="1">
        <f t="array" aca="1" ref="EU94" ca="1">IF(ISNA(O94),0,OFFSET(INDIRECT("'"&amp;EU$67&amp;"'!g1"),O94-1,)*CV94)</f>
        <v>0</v>
      </c>
      <c r="EV94" cm="1">
        <f t="array" aca="1" ref="EV94" ca="1">IF(ISNA(P94),0,OFFSET(INDIRECT("'"&amp;EV$67&amp;"'!g1"),P94-1,)*CW94)</f>
        <v>0</v>
      </c>
      <c r="FB94" s="10" cm="1">
        <f t="array" aca="1" ref="FB94" ca="1">IF(ISNA(E94),0,OFFSET(INDIRECT("'"&amp;EK$67&amp;"'!h1"),E94-1,))</f>
        <v>1</v>
      </c>
      <c r="FC94" s="10" cm="1">
        <f t="array" aca="1" ref="FC94" ca="1">IF(ISNA(F94),0,OFFSET(INDIRECT("'"&amp;EL$67&amp;"'!h1"),F94-1,))</f>
        <v>1</v>
      </c>
      <c r="FD94" s="10" cm="1">
        <f t="array" aca="1" ref="FD94" ca="1">IF(ISNA(G94),0,OFFSET(INDIRECT("'"&amp;EM$67&amp;"'!h1"),G94-1,))</f>
        <v>1</v>
      </c>
      <c r="FE94" s="10" cm="1">
        <f t="array" aca="1" ref="FE94" ca="1">IF(ISNA(H94),0,OFFSET(INDIRECT("'"&amp;EN$67&amp;"'!h1"),H94-1,))</f>
        <v>1</v>
      </c>
      <c r="FF94" s="10" cm="1">
        <f t="array" aca="1" ref="FF94" ca="1">IF(ISNA(I94),0,OFFSET(INDIRECT("'"&amp;EO$67&amp;"'!h1"),I94-1,))</f>
        <v>1</v>
      </c>
      <c r="FG94" s="10" cm="1">
        <f t="array" aca="1" ref="FG94" ca="1">IF(ISNA(J94),0,OFFSET(INDIRECT("'"&amp;EP$67&amp;"'!h1"),J94-1,))</f>
        <v>1</v>
      </c>
      <c r="FH94" s="10" cm="1">
        <f t="array" aca="1" ref="FH94" ca="1">IF(ISNA(K94),0,OFFSET(INDIRECT("'"&amp;EQ$67&amp;"'!h1"),K94-1,))</f>
        <v>10000</v>
      </c>
      <c r="FI94" s="10" cm="1">
        <f t="array" aca="1" ref="FI94" ca="1">IF(ISNA(L94),0,OFFSET(INDIRECT("'"&amp;ER$67&amp;"'!h1"),L94-1,))</f>
        <v>10000</v>
      </c>
      <c r="FJ94" s="10" cm="1">
        <f t="array" aca="1" ref="FJ94" ca="1">IF(ISNA(M94),0,OFFSET(INDIRECT("'"&amp;ES$67&amp;"'!h1"),M94-1,))</f>
        <v>10000</v>
      </c>
      <c r="FK94" s="10" cm="1">
        <f t="array" aca="1" ref="FK94" ca="1">IF(ISNA(N94),0,OFFSET(INDIRECT("'"&amp;ET$67&amp;"'!h1"),N94-1,))</f>
        <v>1</v>
      </c>
      <c r="FL94" s="10" cm="1">
        <f t="array" aca="1" ref="FL94" ca="1">IF(ISNA(O94),0,OFFSET(INDIRECT("'"&amp;EU$67&amp;"'!h1"),O94-1,))</f>
        <v>1</v>
      </c>
      <c r="FM94" s="10" cm="1">
        <f t="array" aca="1" ref="FM94" ca="1">IF(ISNA(P94),0,OFFSET(INDIRECT("'"&amp;EV$67&amp;"'!h1"),P94-1,))</f>
        <v>9</v>
      </c>
      <c r="FN94" s="10"/>
      <c r="FO94" s="10"/>
      <c r="FP94" s="10"/>
      <c r="FQ94" s="10"/>
      <c r="FS94">
        <f t="shared" ca="1" si="137"/>
        <v>34</v>
      </c>
      <c r="FT94">
        <f t="shared" ca="1" si="62"/>
        <v>1.2718675984069701</v>
      </c>
      <c r="FU94">
        <f t="shared" ca="1" si="63"/>
        <v>8310</v>
      </c>
      <c r="FV94">
        <f t="shared" ca="1" si="64"/>
        <v>10000</v>
      </c>
      <c r="FW94" s="4">
        <f t="shared" ca="1" si="138"/>
        <v>0.83099999999999996</v>
      </c>
      <c r="FX94" s="5">
        <f t="shared" ca="1" si="139"/>
        <v>1.5305265925474971E-4</v>
      </c>
      <c r="FZ94" s="13">
        <f t="shared" ca="1" si="140"/>
        <v>34</v>
      </c>
      <c r="GA94" s="23">
        <f t="shared" ca="1" si="141"/>
        <v>0</v>
      </c>
      <c r="GB94" s="23">
        <f t="shared" ca="1" si="142"/>
        <v>0</v>
      </c>
      <c r="GC94" s="23">
        <f t="shared" ca="1" si="143"/>
        <v>0</v>
      </c>
      <c r="GD94" s="23">
        <f t="shared" ca="1" si="144"/>
        <v>0</v>
      </c>
      <c r="GE94" s="23">
        <f t="shared" ca="1" si="145"/>
        <v>0</v>
      </c>
      <c r="GF94" s="23">
        <f t="shared" ca="1" si="146"/>
        <v>0</v>
      </c>
      <c r="GG94" s="23">
        <f t="shared" ca="1" si="147"/>
        <v>0</v>
      </c>
      <c r="GH94" s="23">
        <f t="shared" ca="1" si="148"/>
        <v>0</v>
      </c>
      <c r="GI94" s="23">
        <f t="shared" ca="1" si="149"/>
        <v>0</v>
      </c>
      <c r="GJ94" s="23" t="e">
        <f t="shared" ca="1" si="150"/>
        <v>#N/A</v>
      </c>
      <c r="GK94" s="23" t="e">
        <f t="shared" ca="1" si="151"/>
        <v>#N/A</v>
      </c>
      <c r="GL94" s="23" t="e">
        <f t="shared" ca="1" si="152"/>
        <v>#N/A</v>
      </c>
      <c r="GM94" s="23"/>
      <c r="GN94">
        <f t="shared" ca="1" si="153"/>
        <v>34</v>
      </c>
      <c r="GO94" s="5">
        <f t="shared" ca="1" si="154"/>
        <v>5.3578969999989498E-2</v>
      </c>
      <c r="GP94" s="5">
        <f t="shared" ca="1" si="155"/>
        <v>8.5984198999994904E-2</v>
      </c>
      <c r="GQ94" s="5">
        <f t="shared" ca="1" si="156"/>
        <v>1.45953650000194E-2</v>
      </c>
      <c r="GR94" s="5">
        <f t="shared" ca="1" si="157"/>
        <v>8.5073187999995498E-2</v>
      </c>
      <c r="GS94" s="5">
        <f t="shared" ca="1" si="158"/>
        <v>5.5268957999942303E-2</v>
      </c>
      <c r="GT94" s="5">
        <f t="shared" ca="1" si="159"/>
        <v>7.2226217947900295E-2</v>
      </c>
      <c r="GU94" s="5">
        <f t="shared" ca="1" si="160"/>
        <v>1.5305265925474971E-4</v>
      </c>
      <c r="GV94" s="5">
        <f t="shared" ca="1" si="161"/>
        <v>1.9147893458694391E-4</v>
      </c>
      <c r="GW94" s="5">
        <f t="shared" ca="1" si="162"/>
        <v>1.7580341462287926E-3</v>
      </c>
      <c r="GX94" s="5" t="e">
        <f t="shared" ca="1" si="163"/>
        <v>#N/A</v>
      </c>
      <c r="GY94" s="5" t="e">
        <f t="shared" ca="1" si="164"/>
        <v>#N/A</v>
      </c>
      <c r="GZ94" s="5" t="e">
        <f t="shared" ca="1" si="165"/>
        <v>#N/A</v>
      </c>
      <c r="HB94" s="13">
        <f t="shared" ca="1" si="166"/>
        <v>34</v>
      </c>
      <c r="HC94" s="4">
        <f t="shared" ca="1" si="167"/>
        <v>1</v>
      </c>
      <c r="HD94" s="4">
        <f t="shared" ca="1" si="168"/>
        <v>1</v>
      </c>
      <c r="HE94" s="4">
        <f t="shared" ca="1" si="169"/>
        <v>1</v>
      </c>
      <c r="HF94" s="4">
        <f t="shared" ca="1" si="170"/>
        <v>1</v>
      </c>
      <c r="HG94" s="4">
        <f t="shared" ca="1" si="171"/>
        <v>1</v>
      </c>
      <c r="HH94" s="4">
        <f t="shared" ca="1" si="172"/>
        <v>1</v>
      </c>
      <c r="HI94" s="4">
        <f t="shared" ca="1" si="173"/>
        <v>0.83099999999999996</v>
      </c>
      <c r="HJ94" s="4">
        <f t="shared" ca="1" si="174"/>
        <v>0.998</v>
      </c>
      <c r="HK94" s="4">
        <f t="shared" ca="1" si="175"/>
        <v>0.89710000000000001</v>
      </c>
      <c r="HL94" s="4">
        <f t="shared" ca="1" si="176"/>
        <v>0</v>
      </c>
      <c r="HM94" s="4">
        <f t="shared" ca="1" si="177"/>
        <v>0</v>
      </c>
      <c r="HN94" s="4">
        <f t="shared" ca="1" si="178"/>
        <v>0</v>
      </c>
    </row>
    <row r="95" spans="1:222" x14ac:dyDescent="0.2">
      <c r="A95" t="str" cm="1">
        <f t="array" aca="1" ref="A95" ca="1">INDIRECT($A$67&amp;"!A"&amp;ROW(C28)+$B$64)</f>
        <v>[[35,20,7]]</v>
      </c>
      <c r="B95" cm="1">
        <f t="array" aca="1" ref="B95" ca="1">INDIRECT($A$67&amp;"!b"&amp;ROW(D28)+$B$64)</f>
        <v>35</v>
      </c>
      <c r="C95">
        <f t="shared" ca="1" si="78"/>
        <v>7</v>
      </c>
      <c r="E95">
        <f t="shared" ca="1" si="72"/>
        <v>52</v>
      </c>
      <c r="F95">
        <f t="shared" ca="1" si="72"/>
        <v>53</v>
      </c>
      <c r="G95">
        <f t="shared" ca="1" si="72"/>
        <v>52</v>
      </c>
      <c r="H95">
        <f t="shared" ca="1" si="72"/>
        <v>52</v>
      </c>
      <c r="I95">
        <f t="shared" ca="1" si="72"/>
        <v>55</v>
      </c>
      <c r="J95">
        <f t="shared" ca="1" si="72"/>
        <v>52</v>
      </c>
      <c r="K95">
        <f t="shared" ca="1" si="72"/>
        <v>59</v>
      </c>
      <c r="L95">
        <f t="shared" ca="1" si="72"/>
        <v>61</v>
      </c>
      <c r="M95">
        <f t="shared" ca="1" si="72"/>
        <v>58</v>
      </c>
      <c r="N95">
        <f t="shared" ca="1" si="72"/>
        <v>56</v>
      </c>
      <c r="O95">
        <f t="shared" ca="1" si="72"/>
        <v>56</v>
      </c>
      <c r="P95">
        <f t="shared" ca="1" si="72"/>
        <v>56</v>
      </c>
      <c r="V95" cm="1">
        <f t="array" aca="1" ref="V95" ca="1">IF(ISNA(E95),,OFFSET(INDIRECT("'"&amp;V$67&amp;"'!d1"),E95-1,))</f>
        <v>7</v>
      </c>
      <c r="W95" cm="1">
        <f t="array" aca="1" ref="W95" ca="1">IF(ISNA(F95),,OFFSET(INDIRECT("'"&amp;W$67&amp;"'!d1"),F95-1,))</f>
        <v>7</v>
      </c>
      <c r="X95" cm="1">
        <f t="array" aca="1" ref="X95" ca="1">IF(ISNA(G95),,OFFSET(INDIRECT("'"&amp;X$67&amp;"'!d1"),G95-1,))</f>
        <v>7</v>
      </c>
      <c r="Y95" cm="1">
        <f t="array" aca="1" ref="Y95" ca="1">IF(ISNA(H95),,OFFSET(INDIRECT("'"&amp;Y$67&amp;"'!d1"),H95-1,))</f>
        <v>7</v>
      </c>
      <c r="Z95" cm="1">
        <f t="array" aca="1" ref="Z95" ca="1">IF(ISNA(I95),,OFFSET(INDIRECT("'"&amp;Z$67&amp;"'!d1"),I95-1,))</f>
        <v>7</v>
      </c>
      <c r="AA95" cm="1">
        <f t="array" aca="1" ref="AA95" ca="1">IF(ISNA(J95),,OFFSET(INDIRECT("'"&amp;AA$67&amp;"'!d1"),J95-1,))</f>
        <v>7</v>
      </c>
      <c r="AB95" cm="1">
        <f t="array" aca="1" ref="AB95" ca="1">IF(ISNA(K95),,OFFSET(INDIRECT("'"&amp;AB$67&amp;"'!d1"),K95-1,))</f>
        <v>7</v>
      </c>
      <c r="AC95" cm="1">
        <f t="array" aca="1" ref="AC95" ca="1">IF(ISNA(L95),,OFFSET(INDIRECT("'"&amp;AC$67&amp;"'!d1"),L95-1,))</f>
        <v>7</v>
      </c>
      <c r="AD95" cm="1">
        <f t="array" aca="1" ref="AD95" ca="1">IF(ISNA(M95),,OFFSET(INDIRECT("'"&amp;AD$67&amp;"'!d1"),M95-1,))</f>
        <v>7</v>
      </c>
      <c r="AE95" cm="1">
        <f t="array" aca="1" ref="AE95" ca="1">IF(ISNA(N95),,OFFSET(INDIRECT("'"&amp;AE$67&amp;"'!d1"),N95-1,))</f>
        <v>0</v>
      </c>
      <c r="AF95" cm="1">
        <f t="array" aca="1" ref="AF95" ca="1">IF(ISNA(O95),,OFFSET(INDIRECT("'"&amp;AF$67&amp;"'!d1"),O95-1,))</f>
        <v>0</v>
      </c>
      <c r="AG95" cm="1">
        <f t="array" aca="1" ref="AG95" ca="1">IF(ISNA(P95),,OFFSET(INDIRECT("'"&amp;AG$67&amp;"'!d1"),P95-1,))</f>
        <v>7</v>
      </c>
      <c r="AM95">
        <f t="shared" ca="1" si="79"/>
        <v>1</v>
      </c>
      <c r="AN95">
        <f t="shared" ca="1" si="80"/>
        <v>1</v>
      </c>
      <c r="AO95">
        <f t="shared" ca="1" si="81"/>
        <v>1</v>
      </c>
      <c r="AP95">
        <f t="shared" ca="1" si="82"/>
        <v>1</v>
      </c>
      <c r="AQ95">
        <f t="shared" ca="1" si="83"/>
        <v>1</v>
      </c>
      <c r="AV95" t="b">
        <f t="shared" ca="1" si="84"/>
        <v>1</v>
      </c>
      <c r="AW95" t="b">
        <f t="shared" ca="1" si="85"/>
        <v>1</v>
      </c>
      <c r="AX95" t="b">
        <f t="shared" ca="1" si="86"/>
        <v>1</v>
      </c>
      <c r="AY95" t="b">
        <f t="shared" ca="1" si="87"/>
        <v>1</v>
      </c>
      <c r="AZ95" t="b">
        <f t="shared" ca="1" si="88"/>
        <v>1</v>
      </c>
      <c r="BD95">
        <f t="shared" ca="1" si="89"/>
        <v>1</v>
      </c>
      <c r="BE95">
        <f t="shared" ca="1" si="90"/>
        <v>1</v>
      </c>
      <c r="BF95">
        <f t="shared" ca="1" si="91"/>
        <v>1</v>
      </c>
      <c r="BG95">
        <f t="shared" ca="1" si="92"/>
        <v>1</v>
      </c>
      <c r="BH95">
        <f t="shared" ca="1" si="93"/>
        <v>1</v>
      </c>
      <c r="BI95">
        <f t="shared" ca="1" si="94"/>
        <v>1</v>
      </c>
      <c r="BJ95">
        <f t="shared" ca="1" si="95"/>
        <v>1</v>
      </c>
      <c r="BK95">
        <f t="shared" ca="1" si="96"/>
        <v>1</v>
      </c>
      <c r="BL95">
        <f t="shared" ca="1" si="97"/>
        <v>1</v>
      </c>
      <c r="BM95">
        <f t="shared" ca="1" si="98"/>
        <v>0</v>
      </c>
      <c r="BN95">
        <f t="shared" ca="1" si="99"/>
        <v>0</v>
      </c>
      <c r="BO95">
        <f t="shared" ca="1" si="100"/>
        <v>1</v>
      </c>
      <c r="BU95">
        <f t="shared" ca="1" si="101"/>
        <v>7</v>
      </c>
      <c r="BV95">
        <f t="shared" ca="1" si="102"/>
        <v>7</v>
      </c>
      <c r="BW95">
        <f t="shared" ca="1" si="103"/>
        <v>7</v>
      </c>
      <c r="BX95">
        <f t="shared" ca="1" si="104"/>
        <v>7</v>
      </c>
      <c r="BY95">
        <f t="shared" ca="1" si="105"/>
        <v>7</v>
      </c>
      <c r="BZ95">
        <f t="shared" ca="1" si="106"/>
        <v>7</v>
      </c>
      <c r="CA95">
        <f t="shared" ca="1" si="107"/>
        <v>7</v>
      </c>
      <c r="CB95">
        <f t="shared" ca="1" si="108"/>
        <v>7</v>
      </c>
      <c r="CC95">
        <f t="shared" ca="1" si="109"/>
        <v>7</v>
      </c>
      <c r="CD95">
        <f t="shared" ca="1" si="110"/>
        <v>35</v>
      </c>
      <c r="CE95">
        <f t="shared" ca="1" si="111"/>
        <v>35</v>
      </c>
      <c r="CF95">
        <f t="shared" ca="1" si="112"/>
        <v>7</v>
      </c>
      <c r="CL95">
        <f t="shared" ca="1" si="113"/>
        <v>1</v>
      </c>
      <c r="CM95">
        <f t="shared" ca="1" si="114"/>
        <v>1</v>
      </c>
      <c r="CN95">
        <f t="shared" ca="1" si="115"/>
        <v>1</v>
      </c>
      <c r="CO95">
        <f t="shared" ca="1" si="116"/>
        <v>1</v>
      </c>
      <c r="CP95">
        <f t="shared" ca="1" si="117"/>
        <v>1</v>
      </c>
      <c r="CQ95">
        <f t="shared" ca="1" si="118"/>
        <v>1</v>
      </c>
      <c r="CR95">
        <f t="shared" ca="1" si="119"/>
        <v>1</v>
      </c>
      <c r="CS95">
        <f t="shared" ca="1" si="120"/>
        <v>1</v>
      </c>
      <c r="CT95">
        <f t="shared" ca="1" si="121"/>
        <v>1</v>
      </c>
      <c r="CU95">
        <f t="shared" ca="1" si="122"/>
        <v>0</v>
      </c>
      <c r="CV95">
        <f t="shared" ca="1" si="123"/>
        <v>0</v>
      </c>
      <c r="CW95">
        <f t="shared" ca="1" si="124"/>
        <v>1</v>
      </c>
      <c r="DC95" cm="1">
        <f t="array" aca="1" ref="DC95" ca="1">IF(ISNA(E95),,OFFSET(INDIRECT("'"&amp;DT$67&amp;"'!f1"),E95-1,))*1</f>
        <v>0.36559314500001899</v>
      </c>
      <c r="DD95" cm="1">
        <f t="array" aca="1" ref="DD95" ca="1">IF(ISNA(F95),,OFFSET(INDIRECT("'"&amp;DU$67&amp;"'!f1"),F95-1,))*1</f>
        <v>1.40822610199998</v>
      </c>
      <c r="DE95" cm="1">
        <f t="array" aca="1" ref="DE95" ca="1">IF(ISNA(G95),,OFFSET(INDIRECT("'"&amp;DV$67&amp;"'!f1"),G95-1,))*1</f>
        <v>0.91708859599998505</v>
      </c>
      <c r="DF95" cm="1">
        <f t="array" aca="1" ref="DF95" ca="1">IF(ISNA(H95),,OFFSET(INDIRECT("'"&amp;DW$67&amp;"'!f1"),H95-1,))*1</f>
        <v>0.13665985100001801</v>
      </c>
      <c r="DG95" cm="1">
        <f t="array" aca="1" ref="DG95" ca="1">IF(ISNA(I95),,OFFSET(INDIRECT("'"&amp;DX$67&amp;"'!f1"),I95-1,))*1</f>
        <v>5.6638833004399203E-2</v>
      </c>
      <c r="DH95" cm="1">
        <f t="array" aca="1" ref="DH95" ca="1">IF(ISNA(J95),,OFFSET(INDIRECT("'"&amp;DY$67&amp;"'!f1"),J95-1,))*1</f>
        <v>5.13121890835464E-2</v>
      </c>
      <c r="DI95" cm="1">
        <f t="array" aca="1" ref="DI95" ca="1">IF(ISNA(K95),,OFFSET(INDIRECT("'"&amp;DZ$67&amp;"'!f1"),K95-1,))*1</f>
        <v>1.25507182907313</v>
      </c>
      <c r="DJ95" cm="1">
        <f t="array" aca="1" ref="DJ95" ca="1">IF(ISNA(L95),,OFFSET(INDIRECT("'"&amp;EA$67&amp;"'!f1"),L95-1,))*1</f>
        <v>1.95955629367381</v>
      </c>
      <c r="DK95" cm="1">
        <f t="array" aca="1" ref="DK95" ca="1">IF(ISNA(M95),,OFFSET(INDIRECT("'"&amp;EB$67&amp;"'!f1"),M95-1,))*1</f>
        <v>31.907671723049098</v>
      </c>
      <c r="DL95" cm="1">
        <f t="array" aca="1" ref="DL95" ca="1">IF(ISNA(N95),,OFFSET(INDIRECT("'"&amp;EC$67&amp;"'!f1"),N95-1,))*1</f>
        <v>6.1514340341091104E-3</v>
      </c>
      <c r="DM95" cm="1">
        <f t="array" aca="1" ref="DM95" ca="1">IF(ISNA(O95),,OFFSET(INDIRECT("'"&amp;ED$67&amp;"'!f1"),O95-1,))*1</f>
        <v>5.28959836810827E-3</v>
      </c>
      <c r="DN95" cm="1">
        <f t="array" aca="1" ref="DN95" ca="1">IF(ISNA(P95),,OFFSET(INDIRECT("'"&amp;EE$67&amp;"'!f1"),P95-1,))*1</f>
        <v>0.16858493071049399</v>
      </c>
      <c r="DT95">
        <f t="shared" ca="1" si="125"/>
        <v>1</v>
      </c>
      <c r="DU95">
        <f t="shared" ca="1" si="126"/>
        <v>1</v>
      </c>
      <c r="DV95">
        <f t="shared" ca="1" si="127"/>
        <v>1</v>
      </c>
      <c r="DW95">
        <f t="shared" ca="1" si="128"/>
        <v>1</v>
      </c>
      <c r="DX95">
        <f t="shared" ca="1" si="129"/>
        <v>1</v>
      </c>
      <c r="DY95">
        <f t="shared" ca="1" si="130"/>
        <v>1</v>
      </c>
      <c r="DZ95">
        <f t="shared" ca="1" si="131"/>
        <v>9510</v>
      </c>
      <c r="EA95">
        <f t="shared" ca="1" si="132"/>
        <v>9978</v>
      </c>
      <c r="EB95">
        <f t="shared" ca="1" si="133"/>
        <v>8716</v>
      </c>
      <c r="EC95">
        <f t="shared" ca="1" si="134"/>
        <v>0</v>
      </c>
      <c r="ED95">
        <f t="shared" ca="1" si="135"/>
        <v>0</v>
      </c>
      <c r="EE95">
        <f t="shared" ca="1" si="136"/>
        <v>2</v>
      </c>
      <c r="EK95" cm="1">
        <f t="array" aca="1" ref="EK95" ca="1">IF(ISNA(E95),0,OFFSET(INDIRECT("'"&amp;EK$67&amp;"'!g1"),E95-1,)*CL95)</f>
        <v>1</v>
      </c>
      <c r="EL95" cm="1">
        <f t="array" aca="1" ref="EL95" ca="1">IF(ISNA(F95),0,OFFSET(INDIRECT("'"&amp;EL$67&amp;"'!g1"),F95-1,)*CM95)</f>
        <v>1</v>
      </c>
      <c r="EM95" cm="1">
        <f t="array" aca="1" ref="EM95" ca="1">IF(ISNA(G95),0,OFFSET(INDIRECT("'"&amp;EM$67&amp;"'!g1"),G95-1,)*CN95)</f>
        <v>1</v>
      </c>
      <c r="EN95" cm="1">
        <f t="array" aca="1" ref="EN95" ca="1">IF(ISNA(H95),0,OFFSET(INDIRECT("'"&amp;EN$67&amp;"'!g1"),H95-1,)*CO95)</f>
        <v>1</v>
      </c>
      <c r="EO95" cm="1">
        <f t="array" aca="1" ref="EO95" ca="1">IF(ISNA(I95),0,OFFSET(INDIRECT("'"&amp;EO$67&amp;"'!g1"),I95-1,)*CP95)</f>
        <v>1</v>
      </c>
      <c r="EP95" cm="1">
        <f t="array" aca="1" ref="EP95" ca="1">IF(ISNA(J95),0,OFFSET(INDIRECT("'"&amp;EP$67&amp;"'!g1"),J95-1,)*CQ95)</f>
        <v>1</v>
      </c>
      <c r="EQ95" cm="1">
        <f t="array" aca="1" ref="EQ95" ca="1">IF(ISNA(K95),0,OFFSET(INDIRECT("'"&amp;EQ$67&amp;"'!g1"),K95-1,)*CR95)</f>
        <v>9510</v>
      </c>
      <c r="ER95" cm="1">
        <f t="array" aca="1" ref="ER95" ca="1">IF(ISNA(L95),0,OFFSET(INDIRECT("'"&amp;ER$67&amp;"'!g1"),L95-1,)*CS95)</f>
        <v>9978</v>
      </c>
      <c r="ES95" cm="1">
        <f t="array" aca="1" ref="ES95" ca="1">IF(ISNA(M95),0,OFFSET(INDIRECT("'"&amp;ES$67&amp;"'!g1"),M95-1,)*CT95)</f>
        <v>8716</v>
      </c>
      <c r="ET95" cm="1">
        <f t="array" aca="1" ref="ET95" ca="1">IF(ISNA(N95),0,OFFSET(INDIRECT("'"&amp;ET$67&amp;"'!g1"),N95-1,)*CU95)</f>
        <v>0</v>
      </c>
      <c r="EU95" cm="1">
        <f t="array" aca="1" ref="EU95" ca="1">IF(ISNA(O95),0,OFFSET(INDIRECT("'"&amp;EU$67&amp;"'!g1"),O95-1,)*CV95)</f>
        <v>0</v>
      </c>
      <c r="EV95" cm="1">
        <f t="array" aca="1" ref="EV95" ca="1">IF(ISNA(P95),0,OFFSET(INDIRECT("'"&amp;EV$67&amp;"'!g1"),P95-1,)*CW95)</f>
        <v>2</v>
      </c>
      <c r="FB95" s="10" cm="1">
        <f t="array" aca="1" ref="FB95" ca="1">IF(ISNA(E95),0,OFFSET(INDIRECT("'"&amp;EK$67&amp;"'!h1"),E95-1,))</f>
        <v>1</v>
      </c>
      <c r="FC95" s="10" cm="1">
        <f t="array" aca="1" ref="FC95" ca="1">IF(ISNA(F95),0,OFFSET(INDIRECT("'"&amp;EL$67&amp;"'!h1"),F95-1,))</f>
        <v>1</v>
      </c>
      <c r="FD95" s="10" cm="1">
        <f t="array" aca="1" ref="FD95" ca="1">IF(ISNA(G95),0,OFFSET(INDIRECT("'"&amp;EM$67&amp;"'!h1"),G95-1,))</f>
        <v>1</v>
      </c>
      <c r="FE95" s="10" cm="1">
        <f t="array" aca="1" ref="FE95" ca="1">IF(ISNA(H95),0,OFFSET(INDIRECT("'"&amp;EN$67&amp;"'!h1"),H95-1,))</f>
        <v>1</v>
      </c>
      <c r="FF95" s="10" cm="1">
        <f t="array" aca="1" ref="FF95" ca="1">IF(ISNA(I95),0,OFFSET(INDIRECT("'"&amp;EO$67&amp;"'!h1"),I95-1,))</f>
        <v>1</v>
      </c>
      <c r="FG95" s="10" cm="1">
        <f t="array" aca="1" ref="FG95" ca="1">IF(ISNA(J95),0,OFFSET(INDIRECT("'"&amp;EP$67&amp;"'!h1"),J95-1,))</f>
        <v>1</v>
      </c>
      <c r="FH95" s="10" cm="1">
        <f t="array" aca="1" ref="FH95" ca="1">IF(ISNA(K95),0,OFFSET(INDIRECT("'"&amp;EQ$67&amp;"'!h1"),K95-1,))</f>
        <v>10000</v>
      </c>
      <c r="FI95" s="10" cm="1">
        <f t="array" aca="1" ref="FI95" ca="1">IF(ISNA(L95),0,OFFSET(INDIRECT("'"&amp;ER$67&amp;"'!h1"),L95-1,))</f>
        <v>10000</v>
      </c>
      <c r="FJ95" s="10" cm="1">
        <f t="array" aca="1" ref="FJ95" ca="1">IF(ISNA(M95),0,OFFSET(INDIRECT("'"&amp;ES$67&amp;"'!h1"),M95-1,))</f>
        <v>10000</v>
      </c>
      <c r="FK95" s="10" cm="1">
        <f t="array" aca="1" ref="FK95" ca="1">IF(ISNA(N95),0,OFFSET(INDIRECT("'"&amp;ET$67&amp;"'!h1"),N95-1,))</f>
        <v>1</v>
      </c>
      <c r="FL95" s="10" cm="1">
        <f t="array" aca="1" ref="FL95" ca="1">IF(ISNA(O95),0,OFFSET(INDIRECT("'"&amp;EU$67&amp;"'!h1"),O95-1,))</f>
        <v>1</v>
      </c>
      <c r="FM95" s="10" cm="1">
        <f t="array" aca="1" ref="FM95" ca="1">IF(ISNA(P95),0,OFFSET(INDIRECT("'"&amp;EV$67&amp;"'!h1"),P95-1,))</f>
        <v>5</v>
      </c>
      <c r="FN95" s="10"/>
      <c r="FO95" s="10"/>
      <c r="FP95" s="10"/>
      <c r="FQ95" s="10"/>
      <c r="FS95">
        <f t="shared" ca="1" si="137"/>
        <v>35</v>
      </c>
      <c r="FT95">
        <f t="shared" ca="1" si="62"/>
        <v>1.25507182907313</v>
      </c>
      <c r="FU95">
        <f t="shared" ca="1" si="63"/>
        <v>9510</v>
      </c>
      <c r="FV95">
        <f t="shared" ca="1" si="64"/>
        <v>10000</v>
      </c>
      <c r="FW95" s="4">
        <f t="shared" ca="1" si="138"/>
        <v>0.95099999999999996</v>
      </c>
      <c r="FX95" s="5">
        <f t="shared" ca="1" si="139"/>
        <v>1.3197390421378863E-4</v>
      </c>
      <c r="FZ95" s="13">
        <f t="shared" ca="1" si="140"/>
        <v>35</v>
      </c>
      <c r="GA95" s="23">
        <f t="shared" ca="1" si="141"/>
        <v>0</v>
      </c>
      <c r="GB95" s="23">
        <f t="shared" ca="1" si="142"/>
        <v>0</v>
      </c>
      <c r="GC95" s="23">
        <f t="shared" ca="1" si="143"/>
        <v>0</v>
      </c>
      <c r="GD95" s="23">
        <f t="shared" ca="1" si="144"/>
        <v>0</v>
      </c>
      <c r="GE95" s="23">
        <f t="shared" ca="1" si="145"/>
        <v>0</v>
      </c>
      <c r="GF95" s="23">
        <f t="shared" ca="1" si="146"/>
        <v>0</v>
      </c>
      <c r="GG95" s="23">
        <f t="shared" ca="1" si="147"/>
        <v>0</v>
      </c>
      <c r="GH95" s="23">
        <f t="shared" ca="1" si="148"/>
        <v>0</v>
      </c>
      <c r="GI95" s="23">
        <f t="shared" ca="1" si="149"/>
        <v>0</v>
      </c>
      <c r="GJ95" s="23" t="e">
        <f t="shared" ca="1" si="150"/>
        <v>#N/A</v>
      </c>
      <c r="GK95" s="23" t="e">
        <f t="shared" ca="1" si="151"/>
        <v>#N/A</v>
      </c>
      <c r="GL95" s="23">
        <f t="shared" ca="1" si="152"/>
        <v>0</v>
      </c>
      <c r="GM95" s="23"/>
      <c r="GN95">
        <f t="shared" ca="1" si="153"/>
        <v>35</v>
      </c>
      <c r="GO95" s="5">
        <f t="shared" ca="1" si="154"/>
        <v>0.36559314500001899</v>
      </c>
      <c r="GP95" s="5">
        <f t="shared" ca="1" si="155"/>
        <v>1.40822610199998</v>
      </c>
      <c r="GQ95" s="5">
        <f t="shared" ca="1" si="156"/>
        <v>0.91708859599998505</v>
      </c>
      <c r="GR95" s="5">
        <f t="shared" ca="1" si="157"/>
        <v>0.13665985100001801</v>
      </c>
      <c r="GS95" s="5">
        <f t="shared" ca="1" si="158"/>
        <v>5.6638833004399203E-2</v>
      </c>
      <c r="GT95" s="5">
        <f t="shared" ca="1" si="159"/>
        <v>5.13121890835464E-2</v>
      </c>
      <c r="GU95" s="5">
        <f t="shared" ca="1" si="160"/>
        <v>1.3197390421378863E-4</v>
      </c>
      <c r="GV95" s="5">
        <f t="shared" ca="1" si="161"/>
        <v>1.9638768226837143E-4</v>
      </c>
      <c r="GW95" s="5">
        <f t="shared" ca="1" si="162"/>
        <v>3.6608159388537287E-3</v>
      </c>
      <c r="GX95" s="5" t="e">
        <f t="shared" ca="1" si="163"/>
        <v>#N/A</v>
      </c>
      <c r="GY95" s="5" t="e">
        <f t="shared" ca="1" si="164"/>
        <v>#N/A</v>
      </c>
      <c r="GZ95" s="5">
        <f t="shared" ca="1" si="165"/>
        <v>8.4292465355246995E-2</v>
      </c>
      <c r="HB95" s="13">
        <f t="shared" ca="1" si="166"/>
        <v>35</v>
      </c>
      <c r="HC95" s="4">
        <f t="shared" ca="1" si="167"/>
        <v>1</v>
      </c>
      <c r="HD95" s="4">
        <f t="shared" ca="1" si="168"/>
        <v>1</v>
      </c>
      <c r="HE95" s="4">
        <f t="shared" ca="1" si="169"/>
        <v>1</v>
      </c>
      <c r="HF95" s="4">
        <f t="shared" ca="1" si="170"/>
        <v>1</v>
      </c>
      <c r="HG95" s="4">
        <f t="shared" ca="1" si="171"/>
        <v>1</v>
      </c>
      <c r="HH95" s="4">
        <f t="shared" ca="1" si="172"/>
        <v>1</v>
      </c>
      <c r="HI95" s="4">
        <f t="shared" ca="1" si="173"/>
        <v>0.95099999999999996</v>
      </c>
      <c r="HJ95" s="4">
        <f t="shared" ca="1" si="174"/>
        <v>0.99780000000000002</v>
      </c>
      <c r="HK95" s="4">
        <f t="shared" ca="1" si="175"/>
        <v>0.87160000000000004</v>
      </c>
      <c r="HL95" s="4">
        <f t="shared" ca="1" si="176"/>
        <v>0</v>
      </c>
      <c r="HM95" s="4">
        <f t="shared" ca="1" si="177"/>
        <v>0</v>
      </c>
      <c r="HN95" s="4">
        <f t="shared" ca="1" si="178"/>
        <v>0.4</v>
      </c>
    </row>
    <row r="96" spans="1:222" x14ac:dyDescent="0.2">
      <c r="A96" t="str" cm="1">
        <f t="array" aca="1" ref="A96" ca="1">INDIRECT($A$67&amp;"!A"&amp;ROW(C29)+$B$64)</f>
        <v>[[36,5,17]]</v>
      </c>
      <c r="B96" cm="1">
        <f t="array" aca="1" ref="B96" ca="1">INDIRECT($A$67&amp;"!b"&amp;ROW(D29)+$B$64)</f>
        <v>36</v>
      </c>
      <c r="C96">
        <f t="shared" ca="1" si="78"/>
        <v>17</v>
      </c>
      <c r="E96">
        <f t="shared" ca="1" si="72"/>
        <v>53</v>
      </c>
      <c r="F96">
        <f t="shared" ca="1" si="72"/>
        <v>54</v>
      </c>
      <c r="G96">
        <f t="shared" ca="1" si="72"/>
        <v>53</v>
      </c>
      <c r="H96">
        <f t="shared" ca="1" si="72"/>
        <v>53</v>
      </c>
      <c r="I96">
        <f t="shared" ca="1" si="72"/>
        <v>56</v>
      </c>
      <c r="J96">
        <f t="shared" ca="1" si="72"/>
        <v>53</v>
      </c>
      <c r="K96">
        <f t="shared" ca="1" si="72"/>
        <v>60</v>
      </c>
      <c r="L96">
        <f t="shared" ca="1" si="72"/>
        <v>62</v>
      </c>
      <c r="M96">
        <f t="shared" ca="1" si="72"/>
        <v>59</v>
      </c>
      <c r="N96">
        <f t="shared" ca="1" si="72"/>
        <v>57</v>
      </c>
      <c r="O96">
        <f t="shared" ca="1" si="72"/>
        <v>57</v>
      </c>
      <c r="P96">
        <f t="shared" ca="1" si="72"/>
        <v>57</v>
      </c>
      <c r="V96" cm="1">
        <f t="array" aca="1" ref="V96" ca="1">IF(ISNA(E96),,OFFSET(INDIRECT("'"&amp;V$67&amp;"'!d1"),E96-1,))</f>
        <v>17</v>
      </c>
      <c r="W96" cm="1">
        <f t="array" aca="1" ref="W96" ca="1">IF(ISNA(F96),,OFFSET(INDIRECT("'"&amp;W$67&amp;"'!d1"),F96-1,))</f>
        <v>17</v>
      </c>
      <c r="X96" cm="1">
        <f t="array" aca="1" ref="X96" ca="1">IF(ISNA(G96),,OFFSET(INDIRECT("'"&amp;X$67&amp;"'!d1"),G96-1,))</f>
        <v>17</v>
      </c>
      <c r="Y96" cm="1">
        <f t="array" aca="1" ref="Y96" ca="1">IF(ISNA(H96),,OFFSET(INDIRECT("'"&amp;Y$67&amp;"'!d1"),H96-1,))</f>
        <v>17</v>
      </c>
      <c r="Z96" cm="1">
        <f t="array" aca="1" ref="Z96" ca="1">IF(ISNA(I96),,OFFSET(INDIRECT("'"&amp;Z$67&amp;"'!d1"),I96-1,))</f>
        <v>17</v>
      </c>
      <c r="AA96" cm="1">
        <f t="array" aca="1" ref="AA96" ca="1">IF(ISNA(J96),,OFFSET(INDIRECT("'"&amp;AA$67&amp;"'!d1"),J96-1,))</f>
        <v>17</v>
      </c>
      <c r="AB96" cm="1">
        <f t="array" aca="1" ref="AB96" ca="1">IF(ISNA(K96),,OFFSET(INDIRECT("'"&amp;AB$67&amp;"'!d1"),K96-1,))</f>
        <v>17</v>
      </c>
      <c r="AC96" cm="1">
        <f t="array" aca="1" ref="AC96" ca="1">IF(ISNA(L96),,OFFSET(INDIRECT("'"&amp;AC$67&amp;"'!d1"),L96-1,))</f>
        <v>17</v>
      </c>
      <c r="AD96" cm="1">
        <f t="array" aca="1" ref="AD96" ca="1">IF(ISNA(M96),,OFFSET(INDIRECT("'"&amp;AD$67&amp;"'!d1"),M96-1,))</f>
        <v>17</v>
      </c>
      <c r="AE96" cm="1">
        <f t="array" aca="1" ref="AE96" ca="1">IF(ISNA(N96),,OFFSET(INDIRECT("'"&amp;AE$67&amp;"'!d1"),N96-1,))</f>
        <v>0</v>
      </c>
      <c r="AF96" cm="1">
        <f t="array" aca="1" ref="AF96" ca="1">IF(ISNA(O96),,OFFSET(INDIRECT("'"&amp;AF$67&amp;"'!d1"),O96-1,))</f>
        <v>0</v>
      </c>
      <c r="AG96" cm="1">
        <f t="array" aca="1" ref="AG96" ca="1">IF(ISNA(P96),,OFFSET(INDIRECT("'"&amp;AG$67&amp;"'!d1"),P96-1,))</f>
        <v>0</v>
      </c>
      <c r="AM96">
        <f t="shared" ca="1" si="79"/>
        <v>1</v>
      </c>
      <c r="AN96">
        <f t="shared" ca="1" si="80"/>
        <v>1</v>
      </c>
      <c r="AO96">
        <f t="shared" ca="1" si="81"/>
        <v>1</v>
      </c>
      <c r="AP96">
        <f t="shared" ca="1" si="82"/>
        <v>1</v>
      </c>
      <c r="AQ96">
        <f t="shared" ca="1" si="83"/>
        <v>1</v>
      </c>
      <c r="AV96" t="b">
        <f t="shared" ca="1" si="84"/>
        <v>1</v>
      </c>
      <c r="AW96" t="b">
        <f t="shared" ca="1" si="85"/>
        <v>1</v>
      </c>
      <c r="AX96" t="b">
        <f t="shared" ca="1" si="86"/>
        <v>1</v>
      </c>
      <c r="AY96" t="b">
        <f t="shared" ca="1" si="87"/>
        <v>1</v>
      </c>
      <c r="AZ96" t="b">
        <f t="shared" ca="1" si="88"/>
        <v>1</v>
      </c>
      <c r="BD96">
        <f t="shared" ca="1" si="89"/>
        <v>1</v>
      </c>
      <c r="BE96">
        <f t="shared" ca="1" si="90"/>
        <v>1</v>
      </c>
      <c r="BF96">
        <f t="shared" ca="1" si="91"/>
        <v>1</v>
      </c>
      <c r="BG96">
        <f t="shared" ca="1" si="92"/>
        <v>1</v>
      </c>
      <c r="BH96">
        <f t="shared" ca="1" si="93"/>
        <v>1</v>
      </c>
      <c r="BI96">
        <f t="shared" ca="1" si="94"/>
        <v>1</v>
      </c>
      <c r="BJ96">
        <f t="shared" ca="1" si="95"/>
        <v>1</v>
      </c>
      <c r="BK96">
        <f t="shared" ca="1" si="96"/>
        <v>1</v>
      </c>
      <c r="BL96">
        <f t="shared" ca="1" si="97"/>
        <v>1</v>
      </c>
      <c r="BM96">
        <f t="shared" ca="1" si="98"/>
        <v>0</v>
      </c>
      <c r="BN96">
        <f t="shared" ca="1" si="99"/>
        <v>0</v>
      </c>
      <c r="BO96">
        <f t="shared" ca="1" si="100"/>
        <v>0</v>
      </c>
      <c r="BU96">
        <f t="shared" ca="1" si="101"/>
        <v>17</v>
      </c>
      <c r="BV96">
        <f t="shared" ca="1" si="102"/>
        <v>17</v>
      </c>
      <c r="BW96">
        <f t="shared" ca="1" si="103"/>
        <v>17</v>
      </c>
      <c r="BX96">
        <f t="shared" ca="1" si="104"/>
        <v>17</v>
      </c>
      <c r="BY96">
        <f t="shared" ca="1" si="105"/>
        <v>17</v>
      </c>
      <c r="BZ96">
        <f t="shared" ca="1" si="106"/>
        <v>17</v>
      </c>
      <c r="CA96">
        <f t="shared" ca="1" si="107"/>
        <v>17</v>
      </c>
      <c r="CB96">
        <f t="shared" ca="1" si="108"/>
        <v>17</v>
      </c>
      <c r="CC96">
        <f t="shared" ca="1" si="109"/>
        <v>17</v>
      </c>
      <c r="CD96">
        <f t="shared" ca="1" si="110"/>
        <v>36</v>
      </c>
      <c r="CE96">
        <f t="shared" ca="1" si="111"/>
        <v>36</v>
      </c>
      <c r="CF96">
        <f t="shared" ca="1" si="112"/>
        <v>36</v>
      </c>
      <c r="CL96">
        <f t="shared" ca="1" si="113"/>
        <v>1</v>
      </c>
      <c r="CM96">
        <f t="shared" ca="1" si="114"/>
        <v>1</v>
      </c>
      <c r="CN96">
        <f t="shared" ca="1" si="115"/>
        <v>1</v>
      </c>
      <c r="CO96">
        <f t="shared" ca="1" si="116"/>
        <v>1</v>
      </c>
      <c r="CP96">
        <f t="shared" ca="1" si="117"/>
        <v>1</v>
      </c>
      <c r="CQ96">
        <f t="shared" ca="1" si="118"/>
        <v>1</v>
      </c>
      <c r="CR96">
        <f t="shared" ca="1" si="119"/>
        <v>1</v>
      </c>
      <c r="CS96">
        <f t="shared" ca="1" si="120"/>
        <v>1</v>
      </c>
      <c r="CT96">
        <f t="shared" ca="1" si="121"/>
        <v>1</v>
      </c>
      <c r="CU96">
        <f t="shared" ca="1" si="122"/>
        <v>0</v>
      </c>
      <c r="CV96">
        <f t="shared" ca="1" si="123"/>
        <v>0</v>
      </c>
      <c r="CW96">
        <f t="shared" ca="1" si="124"/>
        <v>0</v>
      </c>
      <c r="DC96" cm="1">
        <f t="array" aca="1" ref="DC96" ca="1">IF(ISNA(E96),,OFFSET(INDIRECT("'"&amp;DT$67&amp;"'!f1"),E96-1,))*1</f>
        <v>5.3664326999978501E-2</v>
      </c>
      <c r="DD96" cm="1">
        <f t="array" aca="1" ref="DD96" ca="1">IF(ISNA(F96),,OFFSET(INDIRECT("'"&amp;DU$67&amp;"'!f1"),F96-1,))*1</f>
        <v>0.147193634000018</v>
      </c>
      <c r="DE96" cm="1">
        <f t="array" aca="1" ref="DE96" ca="1">IF(ISNA(G96),,OFFSET(INDIRECT("'"&amp;DV$67&amp;"'!f1"),G96-1,))*1</f>
        <v>1.8525185000015602E-2</v>
      </c>
      <c r="DF96" cm="1">
        <f t="array" aca="1" ref="DF96" ca="1">IF(ISNA(H96),,OFFSET(INDIRECT("'"&amp;DW$67&amp;"'!f1"),H96-1,))*1</f>
        <v>7.5758070999995597E-2</v>
      </c>
      <c r="DG96" cm="1">
        <f t="array" aca="1" ref="DG96" ca="1">IF(ISNA(I96),,OFFSET(INDIRECT("'"&amp;DX$67&amp;"'!f1"),I96-1,))*1</f>
        <v>5.9016374994826003E-2</v>
      </c>
      <c r="DH96" cm="1">
        <f t="array" aca="1" ref="DH96" ca="1">IF(ISNA(J96),,OFFSET(INDIRECT("'"&amp;DY$67&amp;"'!f1"),J96-1,))*1</f>
        <v>7.9192823730409104E-2</v>
      </c>
      <c r="DI96" cm="1">
        <f t="array" aca="1" ref="DI96" ca="1">IF(ISNA(K96),,OFFSET(INDIRECT("'"&amp;DZ$67&amp;"'!f1"),K96-1,))*1</f>
        <v>1.3571297265589199</v>
      </c>
      <c r="DJ96" cm="1">
        <f t="array" aca="1" ref="DJ96" ca="1">IF(ISNA(L96),,OFFSET(INDIRECT("'"&amp;EA$67&amp;"'!f1"),L96-1,))*1</f>
        <v>2.0590294152498201</v>
      </c>
      <c r="DK96" cm="1">
        <f t="array" aca="1" ref="DK96" ca="1">IF(ISNA(M96),,OFFSET(INDIRECT("'"&amp;EB$67&amp;"'!f1"),M96-1,))*1</f>
        <v>16.0890542482957</v>
      </c>
      <c r="DL96" cm="1">
        <f t="array" aca="1" ref="DL96" ca="1">IF(ISNA(N96),,OFFSET(INDIRECT("'"&amp;EC$67&amp;"'!f1"),N96-1,))*1</f>
        <v>4.4475095346569998E-3</v>
      </c>
      <c r="DM96" cm="1">
        <f t="array" aca="1" ref="DM96" ca="1">IF(ISNA(O96),,OFFSET(INDIRECT("'"&amp;ED$67&amp;"'!f1"),O96-1,))*1</f>
        <v>5.0854953005909902E-3</v>
      </c>
      <c r="DN96" cm="1">
        <f t="array" aca="1" ref="DN96" ca="1">IF(ISNA(P96),,OFFSET(INDIRECT("'"&amp;EE$67&amp;"'!f1"),P96-1,))*1</f>
        <v>7.9100178554654104E-3</v>
      </c>
      <c r="DT96">
        <f t="shared" ca="1" si="125"/>
        <v>1</v>
      </c>
      <c r="DU96">
        <f t="shared" ca="1" si="126"/>
        <v>1</v>
      </c>
      <c r="DV96">
        <f t="shared" ca="1" si="127"/>
        <v>1</v>
      </c>
      <c r="DW96">
        <f t="shared" ca="1" si="128"/>
        <v>1</v>
      </c>
      <c r="DX96">
        <f t="shared" ca="1" si="129"/>
        <v>1</v>
      </c>
      <c r="DY96">
        <f t="shared" ca="1" si="130"/>
        <v>1</v>
      </c>
      <c r="DZ96">
        <f t="shared" ca="1" si="131"/>
        <v>9243</v>
      </c>
      <c r="EA96">
        <f t="shared" ca="1" si="132"/>
        <v>9989</v>
      </c>
      <c r="EB96">
        <f t="shared" ca="1" si="133"/>
        <v>9137</v>
      </c>
      <c r="EC96">
        <f t="shared" ca="1" si="134"/>
        <v>0</v>
      </c>
      <c r="ED96">
        <f t="shared" ca="1" si="135"/>
        <v>0</v>
      </c>
      <c r="EE96">
        <f t="shared" ca="1" si="136"/>
        <v>0</v>
      </c>
      <c r="EK96" cm="1">
        <f t="array" aca="1" ref="EK96" ca="1">IF(ISNA(E96),0,OFFSET(INDIRECT("'"&amp;EK$67&amp;"'!g1"),E96-1,)*CL96)</f>
        <v>1</v>
      </c>
      <c r="EL96" cm="1">
        <f t="array" aca="1" ref="EL96" ca="1">IF(ISNA(F96),0,OFFSET(INDIRECT("'"&amp;EL$67&amp;"'!g1"),F96-1,)*CM96)</f>
        <v>1</v>
      </c>
      <c r="EM96" cm="1">
        <f t="array" aca="1" ref="EM96" ca="1">IF(ISNA(G96),0,OFFSET(INDIRECT("'"&amp;EM$67&amp;"'!g1"),G96-1,)*CN96)</f>
        <v>1</v>
      </c>
      <c r="EN96" cm="1">
        <f t="array" aca="1" ref="EN96" ca="1">IF(ISNA(H96),0,OFFSET(INDIRECT("'"&amp;EN$67&amp;"'!g1"),H96-1,)*CO96)</f>
        <v>1</v>
      </c>
      <c r="EO96" cm="1">
        <f t="array" aca="1" ref="EO96" ca="1">IF(ISNA(I96),0,OFFSET(INDIRECT("'"&amp;EO$67&amp;"'!g1"),I96-1,)*CP96)</f>
        <v>1</v>
      </c>
      <c r="EP96" cm="1">
        <f t="array" aca="1" ref="EP96" ca="1">IF(ISNA(J96),0,OFFSET(INDIRECT("'"&amp;EP$67&amp;"'!g1"),J96-1,)*CQ96)</f>
        <v>1</v>
      </c>
      <c r="EQ96" cm="1">
        <f t="array" aca="1" ref="EQ96" ca="1">IF(ISNA(K96),0,OFFSET(INDIRECT("'"&amp;EQ$67&amp;"'!g1"),K96-1,)*CR96)</f>
        <v>9243</v>
      </c>
      <c r="ER96" cm="1">
        <f t="array" aca="1" ref="ER96" ca="1">IF(ISNA(L96),0,OFFSET(INDIRECT("'"&amp;ER$67&amp;"'!g1"),L96-1,)*CS96)</f>
        <v>9989</v>
      </c>
      <c r="ES96" cm="1">
        <f t="array" aca="1" ref="ES96" ca="1">IF(ISNA(M96),0,OFFSET(INDIRECT("'"&amp;ES$67&amp;"'!g1"),M96-1,)*CT96)</f>
        <v>9137</v>
      </c>
      <c r="ET96" cm="1">
        <f t="array" aca="1" ref="ET96" ca="1">IF(ISNA(N96),0,OFFSET(INDIRECT("'"&amp;ET$67&amp;"'!g1"),N96-1,)*CU96)</f>
        <v>0</v>
      </c>
      <c r="EU96" cm="1">
        <f t="array" aca="1" ref="EU96" ca="1">IF(ISNA(O96),0,OFFSET(INDIRECT("'"&amp;EU$67&amp;"'!g1"),O96-1,)*CV96)</f>
        <v>0</v>
      </c>
      <c r="EV96" cm="1">
        <f t="array" aca="1" ref="EV96" ca="1">IF(ISNA(P96),0,OFFSET(INDIRECT("'"&amp;EV$67&amp;"'!g1"),P96-1,)*CW96)</f>
        <v>0</v>
      </c>
      <c r="FB96" s="10" cm="1">
        <f t="array" aca="1" ref="FB96" ca="1">IF(ISNA(E96),0,OFFSET(INDIRECT("'"&amp;EK$67&amp;"'!h1"),E96-1,))</f>
        <v>1</v>
      </c>
      <c r="FC96" s="10" cm="1">
        <f t="array" aca="1" ref="FC96" ca="1">IF(ISNA(F96),0,OFFSET(INDIRECT("'"&amp;EL$67&amp;"'!h1"),F96-1,))</f>
        <v>1</v>
      </c>
      <c r="FD96" s="10" cm="1">
        <f t="array" aca="1" ref="FD96" ca="1">IF(ISNA(G96),0,OFFSET(INDIRECT("'"&amp;EM$67&amp;"'!h1"),G96-1,))</f>
        <v>1</v>
      </c>
      <c r="FE96" s="10" cm="1">
        <f t="array" aca="1" ref="FE96" ca="1">IF(ISNA(H96),0,OFFSET(INDIRECT("'"&amp;EN$67&amp;"'!h1"),H96-1,))</f>
        <v>1</v>
      </c>
      <c r="FF96" s="10" cm="1">
        <f t="array" aca="1" ref="FF96" ca="1">IF(ISNA(I96),0,OFFSET(INDIRECT("'"&amp;EO$67&amp;"'!h1"),I96-1,))</f>
        <v>1</v>
      </c>
      <c r="FG96" s="10" cm="1">
        <f t="array" aca="1" ref="FG96" ca="1">IF(ISNA(J96),0,OFFSET(INDIRECT("'"&amp;EP$67&amp;"'!h1"),J96-1,))</f>
        <v>1</v>
      </c>
      <c r="FH96" s="10" cm="1">
        <f t="array" aca="1" ref="FH96" ca="1">IF(ISNA(K96),0,OFFSET(INDIRECT("'"&amp;EQ$67&amp;"'!h1"),K96-1,))</f>
        <v>10000</v>
      </c>
      <c r="FI96" s="10" cm="1">
        <f t="array" aca="1" ref="FI96" ca="1">IF(ISNA(L96),0,OFFSET(INDIRECT("'"&amp;ER$67&amp;"'!h1"),L96-1,))</f>
        <v>10000</v>
      </c>
      <c r="FJ96" s="10" cm="1">
        <f t="array" aca="1" ref="FJ96" ca="1">IF(ISNA(M96),0,OFFSET(INDIRECT("'"&amp;ES$67&amp;"'!h1"),M96-1,))</f>
        <v>10000</v>
      </c>
      <c r="FK96" s="10" cm="1">
        <f t="array" aca="1" ref="FK96" ca="1">IF(ISNA(N96),0,OFFSET(INDIRECT("'"&amp;ET$67&amp;"'!h1"),N96-1,))</f>
        <v>1</v>
      </c>
      <c r="FL96" s="10" cm="1">
        <f t="array" aca="1" ref="FL96" ca="1">IF(ISNA(O96),0,OFFSET(INDIRECT("'"&amp;EU$67&amp;"'!h1"),O96-1,))</f>
        <v>1</v>
      </c>
      <c r="FM96" s="10" cm="1">
        <f t="array" aca="1" ref="FM96" ca="1">IF(ISNA(P96),0,OFFSET(INDIRECT("'"&amp;EV$67&amp;"'!h1"),P96-1,))</f>
        <v>9</v>
      </c>
      <c r="FN96" s="10"/>
      <c r="FO96" s="10"/>
      <c r="FP96" s="10"/>
      <c r="FQ96" s="10"/>
      <c r="FS96">
        <f t="shared" ca="1" si="137"/>
        <v>36</v>
      </c>
      <c r="FT96">
        <f t="shared" ca="1" si="62"/>
        <v>1.3571297265589199</v>
      </c>
      <c r="FU96">
        <f t="shared" ca="1" si="63"/>
        <v>9243</v>
      </c>
      <c r="FV96">
        <f t="shared" ca="1" si="64"/>
        <v>10000</v>
      </c>
      <c r="FW96" s="4">
        <f t="shared" ca="1" si="138"/>
        <v>0.92430000000000001</v>
      </c>
      <c r="FX96" s="5">
        <f t="shared" ca="1" si="139"/>
        <v>1.4682784015567673E-4</v>
      </c>
      <c r="FZ96" s="13">
        <f t="shared" ca="1" si="140"/>
        <v>36</v>
      </c>
      <c r="GA96" s="23">
        <f t="shared" ca="1" si="141"/>
        <v>0</v>
      </c>
      <c r="GB96" s="23">
        <f t="shared" ca="1" si="142"/>
        <v>0</v>
      </c>
      <c r="GC96" s="23">
        <f t="shared" ca="1" si="143"/>
        <v>0</v>
      </c>
      <c r="GD96" s="23">
        <f t="shared" ca="1" si="144"/>
        <v>0</v>
      </c>
      <c r="GE96" s="23">
        <f t="shared" ca="1" si="145"/>
        <v>0</v>
      </c>
      <c r="GF96" s="23">
        <f t="shared" ca="1" si="146"/>
        <v>0</v>
      </c>
      <c r="GG96" s="23">
        <f t="shared" ca="1" si="147"/>
        <v>0</v>
      </c>
      <c r="GH96" s="23">
        <f t="shared" ca="1" si="148"/>
        <v>0</v>
      </c>
      <c r="GI96" s="23">
        <f t="shared" ca="1" si="149"/>
        <v>0</v>
      </c>
      <c r="GJ96" s="23" t="e">
        <f t="shared" ca="1" si="150"/>
        <v>#N/A</v>
      </c>
      <c r="GK96" s="23" t="e">
        <f t="shared" ca="1" si="151"/>
        <v>#N/A</v>
      </c>
      <c r="GL96" s="23" t="e">
        <f t="shared" ca="1" si="152"/>
        <v>#N/A</v>
      </c>
      <c r="GM96" s="23"/>
      <c r="GN96">
        <f t="shared" ca="1" si="153"/>
        <v>36</v>
      </c>
      <c r="GO96" s="5">
        <f t="shared" ca="1" si="154"/>
        <v>5.3664326999978501E-2</v>
      </c>
      <c r="GP96" s="5">
        <f t="shared" ca="1" si="155"/>
        <v>0.147193634000018</v>
      </c>
      <c r="GQ96" s="5">
        <f t="shared" ca="1" si="156"/>
        <v>1.8525185000015602E-2</v>
      </c>
      <c r="GR96" s="5">
        <f t="shared" ca="1" si="157"/>
        <v>7.5758070999995597E-2</v>
      </c>
      <c r="GS96" s="5">
        <f t="shared" ca="1" si="158"/>
        <v>5.9016374994826003E-2</v>
      </c>
      <c r="GT96" s="5">
        <f t="shared" ca="1" si="159"/>
        <v>7.9192823730409104E-2</v>
      </c>
      <c r="GU96" s="5">
        <f t="shared" ca="1" si="160"/>
        <v>1.4682784015567673E-4</v>
      </c>
      <c r="GV96" s="5">
        <f t="shared" ca="1" si="161"/>
        <v>2.0612968417757735E-4</v>
      </c>
      <c r="GW96" s="5">
        <f t="shared" ca="1" si="162"/>
        <v>1.7608683647034804E-3</v>
      </c>
      <c r="GX96" s="5" t="e">
        <f t="shared" ca="1" si="163"/>
        <v>#N/A</v>
      </c>
      <c r="GY96" s="5" t="e">
        <f t="shared" ca="1" si="164"/>
        <v>#N/A</v>
      </c>
      <c r="GZ96" s="5" t="e">
        <f t="shared" ca="1" si="165"/>
        <v>#N/A</v>
      </c>
      <c r="HB96" s="13">
        <f t="shared" ca="1" si="166"/>
        <v>36</v>
      </c>
      <c r="HC96" s="4">
        <f t="shared" ca="1" si="167"/>
        <v>1</v>
      </c>
      <c r="HD96" s="4">
        <f t="shared" ca="1" si="168"/>
        <v>1</v>
      </c>
      <c r="HE96" s="4">
        <f t="shared" ca="1" si="169"/>
        <v>1</v>
      </c>
      <c r="HF96" s="4">
        <f t="shared" ca="1" si="170"/>
        <v>1</v>
      </c>
      <c r="HG96" s="4">
        <f t="shared" ca="1" si="171"/>
        <v>1</v>
      </c>
      <c r="HH96" s="4">
        <f t="shared" ca="1" si="172"/>
        <v>1</v>
      </c>
      <c r="HI96" s="4">
        <f t="shared" ca="1" si="173"/>
        <v>0.92430000000000001</v>
      </c>
      <c r="HJ96" s="4">
        <f t="shared" ca="1" si="174"/>
        <v>0.99890000000000001</v>
      </c>
      <c r="HK96" s="4">
        <f t="shared" ca="1" si="175"/>
        <v>0.91369999999999996</v>
      </c>
      <c r="HL96" s="4">
        <f t="shared" ca="1" si="176"/>
        <v>0</v>
      </c>
      <c r="HM96" s="4">
        <f t="shared" ca="1" si="177"/>
        <v>0</v>
      </c>
      <c r="HN96" s="4">
        <f t="shared" ca="1" si="178"/>
        <v>0</v>
      </c>
    </row>
    <row r="97" spans="1:222" x14ac:dyDescent="0.2">
      <c r="A97" t="str" cm="1">
        <f t="array" aca="1" ref="A97" ca="1">INDIRECT($A$67&amp;"!A"&amp;ROW(C30)+$B$64)</f>
        <v>[[37,6,17]]</v>
      </c>
      <c r="B97" cm="1">
        <f t="array" aca="1" ref="B97" ca="1">INDIRECT($A$67&amp;"!b"&amp;ROW(D30)+$B$64)</f>
        <v>37</v>
      </c>
      <c r="C97">
        <f t="shared" ca="1" si="78"/>
        <v>17</v>
      </c>
      <c r="E97">
        <f t="shared" ca="1" si="72"/>
        <v>54</v>
      </c>
      <c r="F97">
        <f t="shared" ca="1" si="72"/>
        <v>55</v>
      </c>
      <c r="G97">
        <f t="shared" ca="1" si="72"/>
        <v>54</v>
      </c>
      <c r="H97">
        <f t="shared" ca="1" si="72"/>
        <v>54</v>
      </c>
      <c r="I97">
        <f t="shared" ca="1" si="72"/>
        <v>57</v>
      </c>
      <c r="J97">
        <f t="shared" ca="1" si="72"/>
        <v>54</v>
      </c>
      <c r="K97">
        <f t="shared" ca="1" si="72"/>
        <v>61</v>
      </c>
      <c r="L97">
        <f t="shared" ca="1" si="72"/>
        <v>63</v>
      </c>
      <c r="M97">
        <f t="shared" ca="1" si="72"/>
        <v>60</v>
      </c>
      <c r="N97">
        <f t="shared" ca="1" si="72"/>
        <v>58</v>
      </c>
      <c r="O97">
        <f t="shared" ca="1" si="72"/>
        <v>58</v>
      </c>
      <c r="P97">
        <f t="shared" ca="1" si="72"/>
        <v>58</v>
      </c>
      <c r="V97" cm="1">
        <f t="array" aca="1" ref="V97" ca="1">IF(ISNA(E97),,OFFSET(INDIRECT("'"&amp;V$67&amp;"'!d1"),E97-1,))</f>
        <v>17</v>
      </c>
      <c r="W97" cm="1">
        <f t="array" aca="1" ref="W97" ca="1">IF(ISNA(F97),,OFFSET(INDIRECT("'"&amp;W$67&amp;"'!d1"),F97-1,))</f>
        <v>17</v>
      </c>
      <c r="X97" cm="1">
        <f t="array" aca="1" ref="X97" ca="1">IF(ISNA(G97),,OFFSET(INDIRECT("'"&amp;X$67&amp;"'!d1"),G97-1,))</f>
        <v>17</v>
      </c>
      <c r="Y97" cm="1">
        <f t="array" aca="1" ref="Y97" ca="1">IF(ISNA(H97),,OFFSET(INDIRECT("'"&amp;Y$67&amp;"'!d1"),H97-1,))</f>
        <v>17</v>
      </c>
      <c r="Z97" cm="1">
        <f t="array" aca="1" ref="Z97" ca="1">IF(ISNA(I97),,OFFSET(INDIRECT("'"&amp;Z$67&amp;"'!d1"),I97-1,))</f>
        <v>17</v>
      </c>
      <c r="AA97" cm="1">
        <f t="array" aca="1" ref="AA97" ca="1">IF(ISNA(J97),,OFFSET(INDIRECT("'"&amp;AA$67&amp;"'!d1"),J97-1,))</f>
        <v>17</v>
      </c>
      <c r="AB97" cm="1">
        <f t="array" aca="1" ref="AB97" ca="1">IF(ISNA(K97),,OFFSET(INDIRECT("'"&amp;AB$67&amp;"'!d1"),K97-1,))</f>
        <v>17</v>
      </c>
      <c r="AC97" cm="1">
        <f t="array" aca="1" ref="AC97" ca="1">IF(ISNA(L97),,OFFSET(INDIRECT("'"&amp;AC$67&amp;"'!d1"),L97-1,))</f>
        <v>17</v>
      </c>
      <c r="AD97" cm="1">
        <f t="array" aca="1" ref="AD97" ca="1">IF(ISNA(M97),,OFFSET(INDIRECT("'"&amp;AD$67&amp;"'!d1"),M97-1,))</f>
        <v>17</v>
      </c>
      <c r="AE97" cm="1">
        <f t="array" aca="1" ref="AE97" ca="1">IF(ISNA(N97),,OFFSET(INDIRECT("'"&amp;AE$67&amp;"'!d1"),N97-1,))</f>
        <v>0</v>
      </c>
      <c r="AF97" cm="1">
        <f t="array" aca="1" ref="AF97" ca="1">IF(ISNA(O97),,OFFSET(INDIRECT("'"&amp;AF$67&amp;"'!d1"),O97-1,))</f>
        <v>0</v>
      </c>
      <c r="AG97" cm="1">
        <f t="array" aca="1" ref="AG97" ca="1">IF(ISNA(P97),,OFFSET(INDIRECT("'"&amp;AG$67&amp;"'!d1"),P97-1,))</f>
        <v>0</v>
      </c>
      <c r="AM97">
        <f t="shared" ca="1" si="79"/>
        <v>1</v>
      </c>
      <c r="AN97">
        <f t="shared" ca="1" si="80"/>
        <v>1</v>
      </c>
      <c r="AO97">
        <f t="shared" ca="1" si="81"/>
        <v>1</v>
      </c>
      <c r="AP97">
        <f t="shared" ca="1" si="82"/>
        <v>1</v>
      </c>
      <c r="AQ97">
        <f t="shared" ca="1" si="83"/>
        <v>1</v>
      </c>
      <c r="AV97" t="b">
        <f t="shared" ca="1" si="84"/>
        <v>1</v>
      </c>
      <c r="AW97" t="b">
        <f t="shared" ca="1" si="85"/>
        <v>1</v>
      </c>
      <c r="AX97" t="b">
        <f t="shared" ca="1" si="86"/>
        <v>1</v>
      </c>
      <c r="AY97" t="b">
        <f t="shared" ca="1" si="87"/>
        <v>1</v>
      </c>
      <c r="AZ97" t="b">
        <f t="shared" ca="1" si="88"/>
        <v>1</v>
      </c>
      <c r="BD97">
        <f t="shared" ca="1" si="89"/>
        <v>1</v>
      </c>
      <c r="BE97">
        <f t="shared" ca="1" si="90"/>
        <v>1</v>
      </c>
      <c r="BF97">
        <f t="shared" ca="1" si="91"/>
        <v>1</v>
      </c>
      <c r="BG97">
        <f t="shared" ca="1" si="92"/>
        <v>1</v>
      </c>
      <c r="BH97">
        <f t="shared" ca="1" si="93"/>
        <v>1</v>
      </c>
      <c r="BI97">
        <f t="shared" ca="1" si="94"/>
        <v>1</v>
      </c>
      <c r="BJ97">
        <f t="shared" ca="1" si="95"/>
        <v>1</v>
      </c>
      <c r="BK97">
        <f t="shared" ca="1" si="96"/>
        <v>1</v>
      </c>
      <c r="BL97">
        <f t="shared" ca="1" si="97"/>
        <v>1</v>
      </c>
      <c r="BM97">
        <f t="shared" ca="1" si="98"/>
        <v>0</v>
      </c>
      <c r="BN97">
        <f t="shared" ca="1" si="99"/>
        <v>0</v>
      </c>
      <c r="BO97">
        <f t="shared" ca="1" si="100"/>
        <v>0</v>
      </c>
      <c r="BU97">
        <f t="shared" ca="1" si="101"/>
        <v>17</v>
      </c>
      <c r="BV97">
        <f t="shared" ca="1" si="102"/>
        <v>17</v>
      </c>
      <c r="BW97">
        <f t="shared" ca="1" si="103"/>
        <v>17</v>
      </c>
      <c r="BX97">
        <f t="shared" ca="1" si="104"/>
        <v>17</v>
      </c>
      <c r="BY97">
        <f t="shared" ca="1" si="105"/>
        <v>17</v>
      </c>
      <c r="BZ97">
        <f t="shared" ca="1" si="106"/>
        <v>17</v>
      </c>
      <c r="CA97">
        <f t="shared" ca="1" si="107"/>
        <v>17</v>
      </c>
      <c r="CB97">
        <f t="shared" ca="1" si="108"/>
        <v>17</v>
      </c>
      <c r="CC97">
        <f t="shared" ca="1" si="109"/>
        <v>17</v>
      </c>
      <c r="CD97">
        <f t="shared" ca="1" si="110"/>
        <v>37</v>
      </c>
      <c r="CE97">
        <f t="shared" ca="1" si="111"/>
        <v>37</v>
      </c>
      <c r="CF97">
        <f t="shared" ca="1" si="112"/>
        <v>37</v>
      </c>
      <c r="CL97">
        <f t="shared" ca="1" si="113"/>
        <v>1</v>
      </c>
      <c r="CM97">
        <f t="shared" ca="1" si="114"/>
        <v>1</v>
      </c>
      <c r="CN97">
        <f t="shared" ca="1" si="115"/>
        <v>1</v>
      </c>
      <c r="CO97">
        <f t="shared" ca="1" si="116"/>
        <v>1</v>
      </c>
      <c r="CP97">
        <f t="shared" ca="1" si="117"/>
        <v>1</v>
      </c>
      <c r="CQ97">
        <f t="shared" ca="1" si="118"/>
        <v>1</v>
      </c>
      <c r="CR97">
        <f t="shared" ca="1" si="119"/>
        <v>1</v>
      </c>
      <c r="CS97">
        <f t="shared" ca="1" si="120"/>
        <v>1</v>
      </c>
      <c r="CT97">
        <f t="shared" ca="1" si="121"/>
        <v>1</v>
      </c>
      <c r="CU97">
        <f t="shared" ca="1" si="122"/>
        <v>0</v>
      </c>
      <c r="CV97">
        <f t="shared" ca="1" si="123"/>
        <v>0</v>
      </c>
      <c r="CW97">
        <f t="shared" ca="1" si="124"/>
        <v>0</v>
      </c>
      <c r="DC97" cm="1">
        <f t="array" aca="1" ref="DC97" ca="1">IF(ISNA(E97),,OFFSET(INDIRECT("'"&amp;DT$67&amp;"'!f1"),E97-1,))*1</f>
        <v>4.4398245000024802E-2</v>
      </c>
      <c r="DD97" cm="1">
        <f t="array" aca="1" ref="DD97" ca="1">IF(ISNA(F97),,OFFSET(INDIRECT("'"&amp;DU$67&amp;"'!f1"),F97-1,))*1</f>
        <v>0.26095995200000699</v>
      </c>
      <c r="DE97" cm="1">
        <f t="array" aca="1" ref="DE97" ca="1">IF(ISNA(G97),,OFFSET(INDIRECT("'"&amp;DV$67&amp;"'!f1"),G97-1,))*1</f>
        <v>2.79652559999874E-2</v>
      </c>
      <c r="DF97" cm="1">
        <f t="array" aca="1" ref="DF97" ca="1">IF(ISNA(H97),,OFFSET(INDIRECT("'"&amp;DW$67&amp;"'!f1"),H97-1,))*1</f>
        <v>7.8529749000011806E-2</v>
      </c>
      <c r="DG97" cm="1">
        <f t="array" aca="1" ref="DG97" ca="1">IF(ISNA(I97),,OFFSET(INDIRECT("'"&amp;DX$67&amp;"'!f1"),I97-1,))*1</f>
        <v>5.5898792001244098E-2</v>
      </c>
      <c r="DH97" cm="1">
        <f t="array" aca="1" ref="DH97" ca="1">IF(ISNA(J97),,OFFSET(INDIRECT("'"&amp;DY$67&amp;"'!f1"),J97-1,))*1</f>
        <v>8.0939396284520598E-2</v>
      </c>
      <c r="DI97" cm="1">
        <f t="array" aca="1" ref="DI97" ca="1">IF(ISNA(K97),,OFFSET(INDIRECT("'"&amp;DZ$67&amp;"'!f1"),K97-1,))*1</f>
        <v>1.38959992583841</v>
      </c>
      <c r="DJ97" cm="1">
        <f t="array" aca="1" ref="DJ97" ca="1">IF(ISNA(L97),,OFFSET(INDIRECT("'"&amp;EA$67&amp;"'!f1"),L97-1,))*1</f>
        <v>2.1448203828185699</v>
      </c>
      <c r="DK97" cm="1">
        <f t="array" aca="1" ref="DK97" ca="1">IF(ISNA(M97),,OFFSET(INDIRECT("'"&amp;EB$67&amp;"'!f1"),M97-1,))*1</f>
        <v>17.3349683349952</v>
      </c>
      <c r="DL97" cm="1">
        <f t="array" aca="1" ref="DL97" ca="1">IF(ISNA(N97),,OFFSET(INDIRECT("'"&amp;EC$67&amp;"'!f1"),N97-1,))*1</f>
        <v>4.6582845970988204E-3</v>
      </c>
      <c r="DM97" cm="1">
        <f t="array" aca="1" ref="DM97" ca="1">IF(ISNA(O97),,OFFSET(INDIRECT("'"&amp;ED$67&amp;"'!f1"),O97-1,))*1</f>
        <v>4.62435558438301E-3</v>
      </c>
      <c r="DN97" cm="1">
        <f t="array" aca="1" ref="DN97" ca="1">IF(ISNA(P97),,OFFSET(INDIRECT("'"&amp;EE$67&amp;"'!f1"),P97-1,))*1</f>
        <v>6.6789072006940798E-3</v>
      </c>
      <c r="DT97">
        <f t="shared" ca="1" si="125"/>
        <v>1</v>
      </c>
      <c r="DU97">
        <f t="shared" ca="1" si="126"/>
        <v>1</v>
      </c>
      <c r="DV97">
        <f t="shared" ca="1" si="127"/>
        <v>1</v>
      </c>
      <c r="DW97">
        <f t="shared" ca="1" si="128"/>
        <v>1</v>
      </c>
      <c r="DX97">
        <f t="shared" ca="1" si="129"/>
        <v>1</v>
      </c>
      <c r="DY97">
        <f t="shared" ca="1" si="130"/>
        <v>1</v>
      </c>
      <c r="DZ97">
        <f t="shared" ca="1" si="131"/>
        <v>8188</v>
      </c>
      <c r="EA97">
        <f t="shared" ca="1" si="132"/>
        <v>9977</v>
      </c>
      <c r="EB97">
        <f t="shared" ca="1" si="133"/>
        <v>8069</v>
      </c>
      <c r="EC97">
        <f t="shared" ca="1" si="134"/>
        <v>0</v>
      </c>
      <c r="ED97">
        <f t="shared" ca="1" si="135"/>
        <v>0</v>
      </c>
      <c r="EE97">
        <f t="shared" ca="1" si="136"/>
        <v>0</v>
      </c>
      <c r="EK97" cm="1">
        <f t="array" aca="1" ref="EK97" ca="1">IF(ISNA(E97),0,OFFSET(INDIRECT("'"&amp;EK$67&amp;"'!g1"),E97-1,)*CL97)</f>
        <v>1</v>
      </c>
      <c r="EL97" cm="1">
        <f t="array" aca="1" ref="EL97" ca="1">IF(ISNA(F97),0,OFFSET(INDIRECT("'"&amp;EL$67&amp;"'!g1"),F97-1,)*CM97)</f>
        <v>1</v>
      </c>
      <c r="EM97" cm="1">
        <f t="array" aca="1" ref="EM97" ca="1">IF(ISNA(G97),0,OFFSET(INDIRECT("'"&amp;EM$67&amp;"'!g1"),G97-1,)*CN97)</f>
        <v>1</v>
      </c>
      <c r="EN97" cm="1">
        <f t="array" aca="1" ref="EN97" ca="1">IF(ISNA(H97),0,OFFSET(INDIRECT("'"&amp;EN$67&amp;"'!g1"),H97-1,)*CO97)</f>
        <v>1</v>
      </c>
      <c r="EO97" cm="1">
        <f t="array" aca="1" ref="EO97" ca="1">IF(ISNA(I97),0,OFFSET(INDIRECT("'"&amp;EO$67&amp;"'!g1"),I97-1,)*CP97)</f>
        <v>1</v>
      </c>
      <c r="EP97" cm="1">
        <f t="array" aca="1" ref="EP97" ca="1">IF(ISNA(J97),0,OFFSET(INDIRECT("'"&amp;EP$67&amp;"'!g1"),J97-1,)*CQ97)</f>
        <v>1</v>
      </c>
      <c r="EQ97" cm="1">
        <f t="array" aca="1" ref="EQ97" ca="1">IF(ISNA(K97),0,OFFSET(INDIRECT("'"&amp;EQ$67&amp;"'!g1"),K97-1,)*CR97)</f>
        <v>8188</v>
      </c>
      <c r="ER97" cm="1">
        <f t="array" aca="1" ref="ER97" ca="1">IF(ISNA(L97),0,OFFSET(INDIRECT("'"&amp;ER$67&amp;"'!g1"),L97-1,)*CS97)</f>
        <v>9977</v>
      </c>
      <c r="ES97" cm="1">
        <f t="array" aca="1" ref="ES97" ca="1">IF(ISNA(M97),0,OFFSET(INDIRECT("'"&amp;ES$67&amp;"'!g1"),M97-1,)*CT97)</f>
        <v>8069</v>
      </c>
      <c r="ET97" cm="1">
        <f t="array" aca="1" ref="ET97" ca="1">IF(ISNA(N97),0,OFFSET(INDIRECT("'"&amp;ET$67&amp;"'!g1"),N97-1,)*CU97)</f>
        <v>0</v>
      </c>
      <c r="EU97" cm="1">
        <f t="array" aca="1" ref="EU97" ca="1">IF(ISNA(O97),0,OFFSET(INDIRECT("'"&amp;EU$67&amp;"'!g1"),O97-1,)*CV97)</f>
        <v>0</v>
      </c>
      <c r="EV97" cm="1">
        <f t="array" aca="1" ref="EV97" ca="1">IF(ISNA(P97),0,OFFSET(INDIRECT("'"&amp;EV$67&amp;"'!g1"),P97-1,)*CW97)</f>
        <v>0</v>
      </c>
      <c r="FB97" s="10" cm="1">
        <f t="array" aca="1" ref="FB97" ca="1">IF(ISNA(E97),0,OFFSET(INDIRECT("'"&amp;EK$67&amp;"'!h1"),E97-1,))</f>
        <v>1</v>
      </c>
      <c r="FC97" s="10" cm="1">
        <f t="array" aca="1" ref="FC97" ca="1">IF(ISNA(F97),0,OFFSET(INDIRECT("'"&amp;EL$67&amp;"'!h1"),F97-1,))</f>
        <v>1</v>
      </c>
      <c r="FD97" s="10" cm="1">
        <f t="array" aca="1" ref="FD97" ca="1">IF(ISNA(G97),0,OFFSET(INDIRECT("'"&amp;EM$67&amp;"'!h1"),G97-1,))</f>
        <v>1</v>
      </c>
      <c r="FE97" s="10" cm="1">
        <f t="array" aca="1" ref="FE97" ca="1">IF(ISNA(H97),0,OFFSET(INDIRECT("'"&amp;EN$67&amp;"'!h1"),H97-1,))</f>
        <v>1</v>
      </c>
      <c r="FF97" s="10" cm="1">
        <f t="array" aca="1" ref="FF97" ca="1">IF(ISNA(I97),0,OFFSET(INDIRECT("'"&amp;EO$67&amp;"'!h1"),I97-1,))</f>
        <v>1</v>
      </c>
      <c r="FG97" s="10" cm="1">
        <f t="array" aca="1" ref="FG97" ca="1">IF(ISNA(J97),0,OFFSET(INDIRECT("'"&amp;EP$67&amp;"'!h1"),J97-1,))</f>
        <v>1</v>
      </c>
      <c r="FH97" s="10" cm="1">
        <f t="array" aca="1" ref="FH97" ca="1">IF(ISNA(K97),0,OFFSET(INDIRECT("'"&amp;EQ$67&amp;"'!h1"),K97-1,))</f>
        <v>10000</v>
      </c>
      <c r="FI97" s="10" cm="1">
        <f t="array" aca="1" ref="FI97" ca="1">IF(ISNA(L97),0,OFFSET(INDIRECT("'"&amp;ER$67&amp;"'!h1"),L97-1,))</f>
        <v>10000</v>
      </c>
      <c r="FJ97" s="10" cm="1">
        <f t="array" aca="1" ref="FJ97" ca="1">IF(ISNA(M97),0,OFFSET(INDIRECT("'"&amp;ES$67&amp;"'!h1"),M97-1,))</f>
        <v>10000</v>
      </c>
      <c r="FK97" s="10" cm="1">
        <f t="array" aca="1" ref="FK97" ca="1">IF(ISNA(N97),0,OFFSET(INDIRECT("'"&amp;ET$67&amp;"'!h1"),N97-1,))</f>
        <v>1</v>
      </c>
      <c r="FL97" s="10" cm="1">
        <f t="array" aca="1" ref="FL97" ca="1">IF(ISNA(O97),0,OFFSET(INDIRECT("'"&amp;EU$67&amp;"'!h1"),O97-1,))</f>
        <v>1</v>
      </c>
      <c r="FM97" s="10" cm="1">
        <f t="array" aca="1" ref="FM97" ca="1">IF(ISNA(P97),0,OFFSET(INDIRECT("'"&amp;EV$67&amp;"'!h1"),P97-1,))</f>
        <v>9</v>
      </c>
      <c r="FN97" s="10"/>
      <c r="FO97" s="10"/>
      <c r="FP97" s="10"/>
      <c r="FQ97" s="10"/>
      <c r="FS97">
        <f t="shared" ca="1" si="137"/>
        <v>37</v>
      </c>
      <c r="FT97">
        <f t="shared" ca="1" si="62"/>
        <v>1.38959992583841</v>
      </c>
      <c r="FU97">
        <f t="shared" ca="1" si="63"/>
        <v>8188</v>
      </c>
      <c r="FV97">
        <f t="shared" ca="1" si="64"/>
        <v>10000</v>
      </c>
      <c r="FW97" s="4">
        <f t="shared" ca="1" si="138"/>
        <v>0.81879999999999997</v>
      </c>
      <c r="FX97" s="5">
        <f t="shared" ca="1" si="139"/>
        <v>1.6971176426946872E-4</v>
      </c>
      <c r="FZ97" s="13">
        <f t="shared" ca="1" si="140"/>
        <v>37</v>
      </c>
      <c r="GA97" s="23">
        <f t="shared" ca="1" si="141"/>
        <v>0</v>
      </c>
      <c r="GB97" s="23">
        <f t="shared" ca="1" si="142"/>
        <v>0</v>
      </c>
      <c r="GC97" s="23">
        <f t="shared" ca="1" si="143"/>
        <v>0</v>
      </c>
      <c r="GD97" s="23">
        <f t="shared" ca="1" si="144"/>
        <v>0</v>
      </c>
      <c r="GE97" s="23">
        <f t="shared" ca="1" si="145"/>
        <v>0</v>
      </c>
      <c r="GF97" s="23">
        <f t="shared" ca="1" si="146"/>
        <v>0</v>
      </c>
      <c r="GG97" s="23">
        <f t="shared" ca="1" si="147"/>
        <v>0</v>
      </c>
      <c r="GH97" s="23">
        <f t="shared" ca="1" si="148"/>
        <v>0</v>
      </c>
      <c r="GI97" s="23">
        <f t="shared" ca="1" si="149"/>
        <v>0</v>
      </c>
      <c r="GJ97" s="23" t="e">
        <f t="shared" ca="1" si="150"/>
        <v>#N/A</v>
      </c>
      <c r="GK97" s="23" t="e">
        <f t="shared" ca="1" si="151"/>
        <v>#N/A</v>
      </c>
      <c r="GL97" s="23" t="e">
        <f t="shared" ca="1" si="152"/>
        <v>#N/A</v>
      </c>
      <c r="GM97" s="23"/>
      <c r="GN97">
        <f t="shared" ca="1" si="153"/>
        <v>37</v>
      </c>
      <c r="GO97" s="5">
        <f t="shared" ca="1" si="154"/>
        <v>4.4398245000024802E-2</v>
      </c>
      <c r="GP97" s="5">
        <f t="shared" ca="1" si="155"/>
        <v>0.26095995200000699</v>
      </c>
      <c r="GQ97" s="5">
        <f t="shared" ca="1" si="156"/>
        <v>2.79652559999874E-2</v>
      </c>
      <c r="GR97" s="5">
        <f t="shared" ca="1" si="157"/>
        <v>7.8529749000011806E-2</v>
      </c>
      <c r="GS97" s="5">
        <f t="shared" ca="1" si="158"/>
        <v>5.5898792001244098E-2</v>
      </c>
      <c r="GT97" s="5">
        <f t="shared" ca="1" si="159"/>
        <v>8.0939396284520598E-2</v>
      </c>
      <c r="GU97" s="5">
        <f t="shared" ca="1" si="160"/>
        <v>1.6971176426946872E-4</v>
      </c>
      <c r="GV97" s="5">
        <f t="shared" ca="1" si="161"/>
        <v>2.1497648419550666E-4</v>
      </c>
      <c r="GW97" s="5">
        <f t="shared" ca="1" si="162"/>
        <v>2.1483415956122442E-3</v>
      </c>
      <c r="GX97" s="5" t="e">
        <f t="shared" ca="1" si="163"/>
        <v>#N/A</v>
      </c>
      <c r="GY97" s="5" t="e">
        <f t="shared" ca="1" si="164"/>
        <v>#N/A</v>
      </c>
      <c r="GZ97" s="5" t="e">
        <f t="shared" ca="1" si="165"/>
        <v>#N/A</v>
      </c>
      <c r="HB97" s="13">
        <f t="shared" ca="1" si="166"/>
        <v>37</v>
      </c>
      <c r="HC97" s="4">
        <f t="shared" ca="1" si="167"/>
        <v>1</v>
      </c>
      <c r="HD97" s="4">
        <f t="shared" ca="1" si="168"/>
        <v>1</v>
      </c>
      <c r="HE97" s="4">
        <f t="shared" ca="1" si="169"/>
        <v>1</v>
      </c>
      <c r="HF97" s="4">
        <f t="shared" ca="1" si="170"/>
        <v>1</v>
      </c>
      <c r="HG97" s="4">
        <f t="shared" ca="1" si="171"/>
        <v>1</v>
      </c>
      <c r="HH97" s="4">
        <f t="shared" ca="1" si="172"/>
        <v>1</v>
      </c>
      <c r="HI97" s="4">
        <f t="shared" ca="1" si="173"/>
        <v>0.81879999999999997</v>
      </c>
      <c r="HJ97" s="4">
        <f t="shared" ca="1" si="174"/>
        <v>0.99770000000000003</v>
      </c>
      <c r="HK97" s="4">
        <f t="shared" ca="1" si="175"/>
        <v>0.80689999999999995</v>
      </c>
      <c r="HL97" s="4">
        <f t="shared" ca="1" si="176"/>
        <v>0</v>
      </c>
      <c r="HM97" s="4">
        <f t="shared" ca="1" si="177"/>
        <v>0</v>
      </c>
      <c r="HN97" s="4">
        <f t="shared" ca="1" si="178"/>
        <v>0</v>
      </c>
    </row>
    <row r="98" spans="1:222" x14ac:dyDescent="0.2">
      <c r="A98" t="str" cm="1">
        <f t="array" aca="1" ref="A98" ca="1">INDIRECT($A$67&amp;"!A"&amp;ROW(C31)+$B$64)</f>
        <v>[[38,3,21]]</v>
      </c>
      <c r="B98" cm="1">
        <f t="array" aca="1" ref="B98" ca="1">INDIRECT($A$67&amp;"!b"&amp;ROW(D31)+$B$64)</f>
        <v>38</v>
      </c>
      <c r="C98">
        <f t="shared" ca="1" si="78"/>
        <v>21</v>
      </c>
      <c r="E98">
        <f t="shared" ca="1" si="72"/>
        <v>55</v>
      </c>
      <c r="F98">
        <f t="shared" ca="1" si="72"/>
        <v>56</v>
      </c>
      <c r="G98">
        <f t="shared" ca="1" si="72"/>
        <v>55</v>
      </c>
      <c r="H98">
        <f t="shared" ca="1" si="72"/>
        <v>55</v>
      </c>
      <c r="I98">
        <f t="shared" ca="1" si="72"/>
        <v>58</v>
      </c>
      <c r="J98">
        <f t="shared" ca="1" si="72"/>
        <v>55</v>
      </c>
      <c r="K98">
        <f t="shared" ca="1" si="72"/>
        <v>62</v>
      </c>
      <c r="L98">
        <f t="shared" ca="1" si="72"/>
        <v>64</v>
      </c>
      <c r="M98">
        <f t="shared" ca="1" si="72"/>
        <v>61</v>
      </c>
      <c r="N98">
        <f t="shared" ca="1" si="72"/>
        <v>59</v>
      </c>
      <c r="O98">
        <f t="shared" ca="1" si="72"/>
        <v>59</v>
      </c>
      <c r="P98">
        <f t="shared" ca="1" si="72"/>
        <v>59</v>
      </c>
      <c r="V98" cm="1">
        <f t="array" aca="1" ref="V98" ca="1">IF(ISNA(E98),,OFFSET(INDIRECT("'"&amp;V$67&amp;"'!d1"),E98-1,))</f>
        <v>21</v>
      </c>
      <c r="W98" cm="1">
        <f t="array" aca="1" ref="W98" ca="1">IF(ISNA(F98),,OFFSET(INDIRECT("'"&amp;W$67&amp;"'!d1"),F98-1,))</f>
        <v>21</v>
      </c>
      <c r="X98" cm="1">
        <f t="array" aca="1" ref="X98" ca="1">IF(ISNA(G98),,OFFSET(INDIRECT("'"&amp;X$67&amp;"'!d1"),G98-1,))</f>
        <v>21</v>
      </c>
      <c r="Y98" cm="1">
        <f t="array" aca="1" ref="Y98" ca="1">IF(ISNA(H98),,OFFSET(INDIRECT("'"&amp;Y$67&amp;"'!d1"),H98-1,))</f>
        <v>21</v>
      </c>
      <c r="Z98" cm="1">
        <f t="array" aca="1" ref="Z98" ca="1">IF(ISNA(I98),,OFFSET(INDIRECT("'"&amp;Z$67&amp;"'!d1"),I98-1,))</f>
        <v>21</v>
      </c>
      <c r="AA98" cm="1">
        <f t="array" aca="1" ref="AA98" ca="1">IF(ISNA(J98),,OFFSET(INDIRECT("'"&amp;AA$67&amp;"'!d1"),J98-1,))</f>
        <v>21</v>
      </c>
      <c r="AB98" cm="1">
        <f t="array" aca="1" ref="AB98" ca="1">IF(ISNA(K98),,OFFSET(INDIRECT("'"&amp;AB$67&amp;"'!d1"),K98-1,))</f>
        <v>21</v>
      </c>
      <c r="AC98" cm="1">
        <f t="array" aca="1" ref="AC98" ca="1">IF(ISNA(L98),,OFFSET(INDIRECT("'"&amp;AC$67&amp;"'!d1"),L98-1,))</f>
        <v>21</v>
      </c>
      <c r="AD98" cm="1">
        <f t="array" aca="1" ref="AD98" ca="1">IF(ISNA(M98),,OFFSET(INDIRECT("'"&amp;AD$67&amp;"'!d1"),M98-1,))</f>
        <v>21</v>
      </c>
      <c r="AE98" cm="1">
        <f t="array" aca="1" ref="AE98" ca="1">IF(ISNA(N98),,OFFSET(INDIRECT("'"&amp;AE$67&amp;"'!d1"),N98-1,))</f>
        <v>0</v>
      </c>
      <c r="AF98" cm="1">
        <f t="array" aca="1" ref="AF98" ca="1">IF(ISNA(O98),,OFFSET(INDIRECT("'"&amp;AF$67&amp;"'!d1"),O98-1,))</f>
        <v>0</v>
      </c>
      <c r="AG98" cm="1">
        <f t="array" aca="1" ref="AG98" ca="1">IF(ISNA(P98),,OFFSET(INDIRECT("'"&amp;AG$67&amp;"'!d1"),P98-1,))</f>
        <v>0</v>
      </c>
      <c r="AM98">
        <f t="shared" ca="1" si="79"/>
        <v>1</v>
      </c>
      <c r="AN98">
        <f t="shared" ca="1" si="80"/>
        <v>1</v>
      </c>
      <c r="AO98">
        <f t="shared" ca="1" si="81"/>
        <v>1</v>
      </c>
      <c r="AP98">
        <f t="shared" ca="1" si="82"/>
        <v>1</v>
      </c>
      <c r="AQ98">
        <f t="shared" ca="1" si="83"/>
        <v>1</v>
      </c>
      <c r="AV98" t="b">
        <f t="shared" ca="1" si="84"/>
        <v>1</v>
      </c>
      <c r="AW98" t="b">
        <f t="shared" ca="1" si="85"/>
        <v>1</v>
      </c>
      <c r="AX98" t="b">
        <f t="shared" ca="1" si="86"/>
        <v>1</v>
      </c>
      <c r="AY98" t="b">
        <f t="shared" ca="1" si="87"/>
        <v>1</v>
      </c>
      <c r="AZ98" t="b">
        <f t="shared" ca="1" si="88"/>
        <v>1</v>
      </c>
      <c r="BD98">
        <f t="shared" ca="1" si="89"/>
        <v>1</v>
      </c>
      <c r="BE98">
        <f t="shared" ca="1" si="90"/>
        <v>1</v>
      </c>
      <c r="BF98">
        <f t="shared" ca="1" si="91"/>
        <v>1</v>
      </c>
      <c r="BG98">
        <f t="shared" ca="1" si="92"/>
        <v>1</v>
      </c>
      <c r="BH98">
        <f t="shared" ca="1" si="93"/>
        <v>1</v>
      </c>
      <c r="BI98">
        <f t="shared" ca="1" si="94"/>
        <v>1</v>
      </c>
      <c r="BJ98">
        <f t="shared" ca="1" si="95"/>
        <v>1</v>
      </c>
      <c r="BK98">
        <f t="shared" ca="1" si="96"/>
        <v>1</v>
      </c>
      <c r="BL98">
        <f t="shared" ca="1" si="97"/>
        <v>1</v>
      </c>
      <c r="BM98">
        <f t="shared" ca="1" si="98"/>
        <v>0</v>
      </c>
      <c r="BN98">
        <f t="shared" ca="1" si="99"/>
        <v>0</v>
      </c>
      <c r="BO98">
        <f t="shared" ca="1" si="100"/>
        <v>0</v>
      </c>
      <c r="BU98">
        <f t="shared" ca="1" si="101"/>
        <v>21</v>
      </c>
      <c r="BV98">
        <f t="shared" ca="1" si="102"/>
        <v>21</v>
      </c>
      <c r="BW98">
        <f t="shared" ca="1" si="103"/>
        <v>21</v>
      </c>
      <c r="BX98">
        <f t="shared" ca="1" si="104"/>
        <v>21</v>
      </c>
      <c r="BY98">
        <f t="shared" ca="1" si="105"/>
        <v>21</v>
      </c>
      <c r="BZ98">
        <f t="shared" ca="1" si="106"/>
        <v>21</v>
      </c>
      <c r="CA98">
        <f t="shared" ca="1" si="107"/>
        <v>21</v>
      </c>
      <c r="CB98">
        <f t="shared" ca="1" si="108"/>
        <v>21</v>
      </c>
      <c r="CC98">
        <f t="shared" ca="1" si="109"/>
        <v>21</v>
      </c>
      <c r="CD98">
        <f t="shared" ca="1" si="110"/>
        <v>38</v>
      </c>
      <c r="CE98">
        <f t="shared" ca="1" si="111"/>
        <v>38</v>
      </c>
      <c r="CF98">
        <f t="shared" ca="1" si="112"/>
        <v>38</v>
      </c>
      <c r="CL98">
        <f t="shared" ca="1" si="113"/>
        <v>1</v>
      </c>
      <c r="CM98">
        <f t="shared" ca="1" si="114"/>
        <v>1</v>
      </c>
      <c r="CN98">
        <f t="shared" ca="1" si="115"/>
        <v>1</v>
      </c>
      <c r="CO98">
        <f t="shared" ca="1" si="116"/>
        <v>1</v>
      </c>
      <c r="CP98">
        <f t="shared" ca="1" si="117"/>
        <v>1</v>
      </c>
      <c r="CQ98">
        <f t="shared" ca="1" si="118"/>
        <v>1</v>
      </c>
      <c r="CR98">
        <f t="shared" ca="1" si="119"/>
        <v>1</v>
      </c>
      <c r="CS98">
        <f t="shared" ca="1" si="120"/>
        <v>1</v>
      </c>
      <c r="CT98">
        <f t="shared" ca="1" si="121"/>
        <v>1</v>
      </c>
      <c r="CU98">
        <f t="shared" ca="1" si="122"/>
        <v>0</v>
      </c>
      <c r="CV98">
        <f t="shared" ca="1" si="123"/>
        <v>0</v>
      </c>
      <c r="CW98">
        <f t="shared" ca="1" si="124"/>
        <v>0</v>
      </c>
      <c r="DC98" cm="1">
        <f t="array" aca="1" ref="DC98" ca="1">IF(ISNA(E98),,OFFSET(INDIRECT("'"&amp;DT$67&amp;"'!f1"),E98-1,))*1</f>
        <v>3.3681468999986898E-2</v>
      </c>
      <c r="DD98" cm="1">
        <f t="array" aca="1" ref="DD98" ca="1">IF(ISNA(F98),,OFFSET(INDIRECT("'"&amp;DU$67&amp;"'!f1"),F98-1,))*1</f>
        <v>5.7191941999974398E-2</v>
      </c>
      <c r="DE98" cm="1">
        <f t="array" aca="1" ref="DE98" ca="1">IF(ISNA(G98),,OFFSET(INDIRECT("'"&amp;DV$67&amp;"'!f1"),G98-1,))*1</f>
        <v>1.6421387000008201E-2</v>
      </c>
      <c r="DF98" cm="1">
        <f t="array" aca="1" ref="DF98" ca="1">IF(ISNA(H98),,OFFSET(INDIRECT("'"&amp;DW$67&amp;"'!f1"),H98-1,))*1</f>
        <v>6.3924299999996395E-2</v>
      </c>
      <c r="DG98" cm="1">
        <f t="array" aca="1" ref="DG98" ca="1">IF(ISNA(I98),,OFFSET(INDIRECT("'"&amp;DX$67&amp;"'!f1"),I98-1,))*1</f>
        <v>5.5214749998412999E-2</v>
      </c>
      <c r="DH98" cm="1">
        <f t="array" aca="1" ref="DH98" ca="1">IF(ISNA(J98),,OFFSET(INDIRECT("'"&amp;DY$67&amp;"'!f1"),J98-1,))*1</f>
        <v>8.0993093084543902E-2</v>
      </c>
      <c r="DI98" cm="1">
        <f t="array" aca="1" ref="DI98" ca="1">IF(ISNA(K98),,OFFSET(INDIRECT("'"&amp;DZ$67&amp;"'!f1"),K98-1,))*1</f>
        <v>1.3754872800782301</v>
      </c>
      <c r="DJ98" cm="1">
        <f t="array" aca="1" ref="DJ98" ca="1">IF(ISNA(L98),,OFFSET(INDIRECT("'"&amp;EA$67&amp;"'!f1"),L98-1,))*1</f>
        <v>1.96057149115949</v>
      </c>
      <c r="DK98" cm="1">
        <f t="array" aca="1" ref="DK98" ca="1">IF(ISNA(M98),,OFFSET(INDIRECT("'"&amp;EB$67&amp;"'!f1"),M98-1,))*1</f>
        <v>14.719284466002099</v>
      </c>
      <c r="DL98" cm="1">
        <f t="array" aca="1" ref="DL98" ca="1">IF(ISNA(N98),,OFFSET(INDIRECT("'"&amp;EC$67&amp;"'!f1"),N98-1,))*1</f>
        <v>4.5459736138582204E-3</v>
      </c>
      <c r="DM98" cm="1">
        <f t="array" aca="1" ref="DM98" ca="1">IF(ISNA(O98),,OFFSET(INDIRECT("'"&amp;ED$67&amp;"'!f1"),O98-1,))*1</f>
        <v>4.5762937515974001E-3</v>
      </c>
      <c r="DN98" cm="1">
        <f t="array" aca="1" ref="DN98" ca="1">IF(ISNA(P98),,OFFSET(INDIRECT("'"&amp;EE$67&amp;"'!f1"),P98-1,))*1</f>
        <v>6.2644360587000803E-3</v>
      </c>
      <c r="DT98">
        <f t="shared" ca="1" si="125"/>
        <v>1</v>
      </c>
      <c r="DU98">
        <f t="shared" ca="1" si="126"/>
        <v>1</v>
      </c>
      <c r="DV98">
        <f t="shared" ca="1" si="127"/>
        <v>1</v>
      </c>
      <c r="DW98">
        <f t="shared" ca="1" si="128"/>
        <v>1</v>
      </c>
      <c r="DX98">
        <f t="shared" ca="1" si="129"/>
        <v>1</v>
      </c>
      <c r="DY98">
        <f t="shared" ca="1" si="130"/>
        <v>1</v>
      </c>
      <c r="DZ98">
        <f t="shared" ca="1" si="131"/>
        <v>9187</v>
      </c>
      <c r="EA98">
        <f t="shared" ca="1" si="132"/>
        <v>9992</v>
      </c>
      <c r="EB98">
        <f t="shared" ca="1" si="133"/>
        <v>7755</v>
      </c>
      <c r="EC98">
        <f t="shared" ca="1" si="134"/>
        <v>0</v>
      </c>
      <c r="ED98">
        <f t="shared" ca="1" si="135"/>
        <v>0</v>
      </c>
      <c r="EE98">
        <f t="shared" ca="1" si="136"/>
        <v>0</v>
      </c>
      <c r="EK98" cm="1">
        <f t="array" aca="1" ref="EK98" ca="1">IF(ISNA(E98),0,OFFSET(INDIRECT("'"&amp;EK$67&amp;"'!g1"),E98-1,)*CL98)</f>
        <v>1</v>
      </c>
      <c r="EL98" cm="1">
        <f t="array" aca="1" ref="EL98" ca="1">IF(ISNA(F98),0,OFFSET(INDIRECT("'"&amp;EL$67&amp;"'!g1"),F98-1,)*CM98)</f>
        <v>1</v>
      </c>
      <c r="EM98" cm="1">
        <f t="array" aca="1" ref="EM98" ca="1">IF(ISNA(G98),0,OFFSET(INDIRECT("'"&amp;EM$67&amp;"'!g1"),G98-1,)*CN98)</f>
        <v>1</v>
      </c>
      <c r="EN98" cm="1">
        <f t="array" aca="1" ref="EN98" ca="1">IF(ISNA(H98),0,OFFSET(INDIRECT("'"&amp;EN$67&amp;"'!g1"),H98-1,)*CO98)</f>
        <v>1</v>
      </c>
      <c r="EO98" cm="1">
        <f t="array" aca="1" ref="EO98" ca="1">IF(ISNA(I98),0,OFFSET(INDIRECT("'"&amp;EO$67&amp;"'!g1"),I98-1,)*CP98)</f>
        <v>1</v>
      </c>
      <c r="EP98" cm="1">
        <f t="array" aca="1" ref="EP98" ca="1">IF(ISNA(J98),0,OFFSET(INDIRECT("'"&amp;EP$67&amp;"'!g1"),J98-1,)*CQ98)</f>
        <v>1</v>
      </c>
      <c r="EQ98" cm="1">
        <f t="array" aca="1" ref="EQ98" ca="1">IF(ISNA(K98),0,OFFSET(INDIRECT("'"&amp;EQ$67&amp;"'!g1"),K98-1,)*CR98)</f>
        <v>9187</v>
      </c>
      <c r="ER98" cm="1">
        <f t="array" aca="1" ref="ER98" ca="1">IF(ISNA(L98),0,OFFSET(INDIRECT("'"&amp;ER$67&amp;"'!g1"),L98-1,)*CS98)</f>
        <v>9992</v>
      </c>
      <c r="ES98" cm="1">
        <f t="array" aca="1" ref="ES98" ca="1">IF(ISNA(M98),0,OFFSET(INDIRECT("'"&amp;ES$67&amp;"'!g1"),M98-1,)*CT98)</f>
        <v>7755</v>
      </c>
      <c r="ET98" cm="1">
        <f t="array" aca="1" ref="ET98" ca="1">IF(ISNA(N98),0,OFFSET(INDIRECT("'"&amp;ET$67&amp;"'!g1"),N98-1,)*CU98)</f>
        <v>0</v>
      </c>
      <c r="EU98" cm="1">
        <f t="array" aca="1" ref="EU98" ca="1">IF(ISNA(O98),0,OFFSET(INDIRECT("'"&amp;EU$67&amp;"'!g1"),O98-1,)*CV98)</f>
        <v>0</v>
      </c>
      <c r="EV98" cm="1">
        <f t="array" aca="1" ref="EV98" ca="1">IF(ISNA(P98),0,OFFSET(INDIRECT("'"&amp;EV$67&amp;"'!g1"),P98-1,)*CW98)</f>
        <v>0</v>
      </c>
      <c r="FB98" s="10" cm="1">
        <f t="array" aca="1" ref="FB98" ca="1">IF(ISNA(E98),0,OFFSET(INDIRECT("'"&amp;EK$67&amp;"'!h1"),E98-1,))</f>
        <v>1</v>
      </c>
      <c r="FC98" s="10" cm="1">
        <f t="array" aca="1" ref="FC98" ca="1">IF(ISNA(F98),0,OFFSET(INDIRECT("'"&amp;EL$67&amp;"'!h1"),F98-1,))</f>
        <v>1</v>
      </c>
      <c r="FD98" s="10" cm="1">
        <f t="array" aca="1" ref="FD98" ca="1">IF(ISNA(G98),0,OFFSET(INDIRECT("'"&amp;EM$67&amp;"'!h1"),G98-1,))</f>
        <v>1</v>
      </c>
      <c r="FE98" s="10" cm="1">
        <f t="array" aca="1" ref="FE98" ca="1">IF(ISNA(H98),0,OFFSET(INDIRECT("'"&amp;EN$67&amp;"'!h1"),H98-1,))</f>
        <v>1</v>
      </c>
      <c r="FF98" s="10" cm="1">
        <f t="array" aca="1" ref="FF98" ca="1">IF(ISNA(I98),0,OFFSET(INDIRECT("'"&amp;EO$67&amp;"'!h1"),I98-1,))</f>
        <v>1</v>
      </c>
      <c r="FG98" s="10" cm="1">
        <f t="array" aca="1" ref="FG98" ca="1">IF(ISNA(J98),0,OFFSET(INDIRECT("'"&amp;EP$67&amp;"'!h1"),J98-1,))</f>
        <v>1</v>
      </c>
      <c r="FH98" s="10" cm="1">
        <f t="array" aca="1" ref="FH98" ca="1">IF(ISNA(K98),0,OFFSET(INDIRECT("'"&amp;EQ$67&amp;"'!h1"),K98-1,))</f>
        <v>10000</v>
      </c>
      <c r="FI98" s="10" cm="1">
        <f t="array" aca="1" ref="FI98" ca="1">IF(ISNA(L98),0,OFFSET(INDIRECT("'"&amp;ER$67&amp;"'!h1"),L98-1,))</f>
        <v>10000</v>
      </c>
      <c r="FJ98" s="10" cm="1">
        <f t="array" aca="1" ref="FJ98" ca="1">IF(ISNA(M98),0,OFFSET(INDIRECT("'"&amp;ES$67&amp;"'!h1"),M98-1,))</f>
        <v>10000</v>
      </c>
      <c r="FK98" s="10" cm="1">
        <f t="array" aca="1" ref="FK98" ca="1">IF(ISNA(N98),0,OFFSET(INDIRECT("'"&amp;ET$67&amp;"'!h1"),N98-1,))</f>
        <v>1</v>
      </c>
      <c r="FL98" s="10" cm="1">
        <f t="array" aca="1" ref="FL98" ca="1">IF(ISNA(O98),0,OFFSET(INDIRECT("'"&amp;EU$67&amp;"'!h1"),O98-1,))</f>
        <v>1</v>
      </c>
      <c r="FM98" s="10" cm="1">
        <f t="array" aca="1" ref="FM98" ca="1">IF(ISNA(P98),0,OFFSET(INDIRECT("'"&amp;EV$67&amp;"'!h1"),P98-1,))</f>
        <v>9</v>
      </c>
      <c r="FN98" s="10"/>
      <c r="FO98" s="10"/>
      <c r="FP98" s="10"/>
      <c r="FQ98" s="10"/>
      <c r="FS98">
        <f t="shared" ca="1" si="137"/>
        <v>38</v>
      </c>
      <c r="FT98">
        <f t="shared" ca="1" si="62"/>
        <v>1.3754872800782301</v>
      </c>
      <c r="FU98">
        <f t="shared" ca="1" si="63"/>
        <v>9187</v>
      </c>
      <c r="FV98">
        <f t="shared" ca="1" si="64"/>
        <v>10000</v>
      </c>
      <c r="FW98" s="4">
        <f t="shared" ca="1" si="138"/>
        <v>0.91869999999999996</v>
      </c>
      <c r="FX98" s="5">
        <f t="shared" ca="1" si="139"/>
        <v>1.4972104931732123E-4</v>
      </c>
      <c r="FZ98" s="13">
        <f t="shared" ca="1" si="140"/>
        <v>38</v>
      </c>
      <c r="GA98" s="23">
        <f t="shared" ca="1" si="141"/>
        <v>0</v>
      </c>
      <c r="GB98" s="23">
        <f t="shared" ca="1" si="142"/>
        <v>0</v>
      </c>
      <c r="GC98" s="23">
        <f t="shared" ca="1" si="143"/>
        <v>0</v>
      </c>
      <c r="GD98" s="23">
        <f t="shared" ca="1" si="144"/>
        <v>0</v>
      </c>
      <c r="GE98" s="23">
        <f t="shared" ca="1" si="145"/>
        <v>0</v>
      </c>
      <c r="GF98" s="23">
        <f t="shared" ca="1" si="146"/>
        <v>0</v>
      </c>
      <c r="GG98" s="23">
        <f t="shared" ca="1" si="147"/>
        <v>0</v>
      </c>
      <c r="GH98" s="23">
        <f t="shared" ca="1" si="148"/>
        <v>0</v>
      </c>
      <c r="GI98" s="23">
        <f t="shared" ca="1" si="149"/>
        <v>0</v>
      </c>
      <c r="GJ98" s="23" t="e">
        <f t="shared" ca="1" si="150"/>
        <v>#N/A</v>
      </c>
      <c r="GK98" s="23" t="e">
        <f t="shared" ca="1" si="151"/>
        <v>#N/A</v>
      </c>
      <c r="GL98" s="23" t="e">
        <f t="shared" ca="1" si="152"/>
        <v>#N/A</v>
      </c>
      <c r="GM98" s="23"/>
      <c r="GN98">
        <f t="shared" ca="1" si="153"/>
        <v>38</v>
      </c>
      <c r="GO98" s="5">
        <f t="shared" ca="1" si="154"/>
        <v>3.3681468999986898E-2</v>
      </c>
      <c r="GP98" s="5">
        <f t="shared" ca="1" si="155"/>
        <v>5.7191941999974398E-2</v>
      </c>
      <c r="GQ98" s="5">
        <f t="shared" ca="1" si="156"/>
        <v>1.6421387000008201E-2</v>
      </c>
      <c r="GR98" s="5">
        <f t="shared" ca="1" si="157"/>
        <v>6.3924299999996395E-2</v>
      </c>
      <c r="GS98" s="5">
        <f t="shared" ca="1" si="158"/>
        <v>5.5214749998412999E-2</v>
      </c>
      <c r="GT98" s="5">
        <f t="shared" ca="1" si="159"/>
        <v>8.0993093084543902E-2</v>
      </c>
      <c r="GU98" s="5">
        <f t="shared" ca="1" si="160"/>
        <v>1.4972104931732123E-4</v>
      </c>
      <c r="GV98" s="5">
        <f t="shared" ca="1" si="161"/>
        <v>1.9621412041227884E-4</v>
      </c>
      <c r="GW98" s="5">
        <f t="shared" ca="1" si="162"/>
        <v>1.89803797111568E-3</v>
      </c>
      <c r="GX98" s="5" t="e">
        <f t="shared" ca="1" si="163"/>
        <v>#N/A</v>
      </c>
      <c r="GY98" s="5" t="e">
        <f t="shared" ca="1" si="164"/>
        <v>#N/A</v>
      </c>
      <c r="GZ98" s="5" t="e">
        <f t="shared" ca="1" si="165"/>
        <v>#N/A</v>
      </c>
      <c r="HB98" s="13">
        <f t="shared" ca="1" si="166"/>
        <v>38</v>
      </c>
      <c r="HC98" s="4">
        <f t="shared" ca="1" si="167"/>
        <v>1</v>
      </c>
      <c r="HD98" s="4">
        <f t="shared" ca="1" si="168"/>
        <v>1</v>
      </c>
      <c r="HE98" s="4">
        <f t="shared" ca="1" si="169"/>
        <v>1</v>
      </c>
      <c r="HF98" s="4">
        <f t="shared" ca="1" si="170"/>
        <v>1</v>
      </c>
      <c r="HG98" s="4">
        <f t="shared" ca="1" si="171"/>
        <v>1</v>
      </c>
      <c r="HH98" s="4">
        <f t="shared" ca="1" si="172"/>
        <v>1</v>
      </c>
      <c r="HI98" s="4">
        <f t="shared" ca="1" si="173"/>
        <v>0.91869999999999996</v>
      </c>
      <c r="HJ98" s="4">
        <f t="shared" ca="1" si="174"/>
        <v>0.99919999999999998</v>
      </c>
      <c r="HK98" s="4">
        <f t="shared" ca="1" si="175"/>
        <v>0.77549999999999997</v>
      </c>
      <c r="HL98" s="4">
        <f t="shared" ca="1" si="176"/>
        <v>0</v>
      </c>
      <c r="HM98" s="4">
        <f t="shared" ca="1" si="177"/>
        <v>0</v>
      </c>
      <c r="HN98" s="4">
        <f t="shared" ca="1" si="178"/>
        <v>0</v>
      </c>
    </row>
    <row r="99" spans="1:222" x14ac:dyDescent="0.2">
      <c r="A99" t="str" cm="1">
        <f t="array" aca="1" ref="A99" ca="1">INDIRECT($A$67&amp;"!A"&amp;ROW(C32)+$B$64)</f>
        <v>[[39,7,17]]</v>
      </c>
      <c r="B99" cm="1">
        <f t="array" aca="1" ref="B99" ca="1">INDIRECT($A$67&amp;"!b"&amp;ROW(D32)+$B$64)</f>
        <v>39</v>
      </c>
      <c r="C99">
        <f t="shared" ca="1" si="78"/>
        <v>17</v>
      </c>
      <c r="E99">
        <f t="shared" ca="1" si="72"/>
        <v>56</v>
      </c>
      <c r="F99">
        <f t="shared" ca="1" si="72"/>
        <v>57</v>
      </c>
      <c r="G99">
        <f t="shared" ca="1" si="72"/>
        <v>56</v>
      </c>
      <c r="H99">
        <f t="shared" ca="1" si="72"/>
        <v>56</v>
      </c>
      <c r="I99">
        <f t="shared" ca="1" si="72"/>
        <v>59</v>
      </c>
      <c r="J99">
        <f t="shared" ca="1" si="72"/>
        <v>56</v>
      </c>
      <c r="K99">
        <f t="shared" ca="1" si="72"/>
        <v>63</v>
      </c>
      <c r="L99">
        <f t="shared" ca="1" si="72"/>
        <v>65</v>
      </c>
      <c r="M99">
        <f t="shared" ca="1" si="72"/>
        <v>62</v>
      </c>
      <c r="N99">
        <f t="shared" ca="1" si="72"/>
        <v>60</v>
      </c>
      <c r="O99">
        <f t="shared" ca="1" si="72"/>
        <v>60</v>
      </c>
      <c r="P99">
        <f t="shared" ca="1" si="72"/>
        <v>60</v>
      </c>
      <c r="V99" cm="1">
        <f t="array" aca="1" ref="V99" ca="1">IF(ISNA(E99),,OFFSET(INDIRECT("'"&amp;V$67&amp;"'!d1"),E99-1,))</f>
        <v>17</v>
      </c>
      <c r="W99" cm="1">
        <f t="array" aca="1" ref="W99" ca="1">IF(ISNA(F99),,OFFSET(INDIRECT("'"&amp;W$67&amp;"'!d1"),F99-1,))</f>
        <v>17</v>
      </c>
      <c r="X99" cm="1">
        <f t="array" aca="1" ref="X99" ca="1">IF(ISNA(G99),,OFFSET(INDIRECT("'"&amp;X$67&amp;"'!d1"),G99-1,))</f>
        <v>17</v>
      </c>
      <c r="Y99" cm="1">
        <f t="array" aca="1" ref="Y99" ca="1">IF(ISNA(H99),,OFFSET(INDIRECT("'"&amp;Y$67&amp;"'!d1"),H99-1,))</f>
        <v>17</v>
      </c>
      <c r="Z99" cm="1">
        <f t="array" aca="1" ref="Z99" ca="1">IF(ISNA(I99),,OFFSET(INDIRECT("'"&amp;Z$67&amp;"'!d1"),I99-1,))</f>
        <v>17</v>
      </c>
      <c r="AA99" cm="1">
        <f t="array" aca="1" ref="AA99" ca="1">IF(ISNA(J99),,OFFSET(INDIRECT("'"&amp;AA$67&amp;"'!d1"),J99-1,))</f>
        <v>17</v>
      </c>
      <c r="AB99" cm="1">
        <f t="array" aca="1" ref="AB99" ca="1">IF(ISNA(K99),,OFFSET(INDIRECT("'"&amp;AB$67&amp;"'!d1"),K99-1,))</f>
        <v>17</v>
      </c>
      <c r="AC99" cm="1">
        <f t="array" aca="1" ref="AC99" ca="1">IF(ISNA(L99),,OFFSET(INDIRECT("'"&amp;AC$67&amp;"'!d1"),L99-1,))</f>
        <v>17</v>
      </c>
      <c r="AD99" cm="1">
        <f t="array" aca="1" ref="AD99" ca="1">IF(ISNA(M99),,OFFSET(INDIRECT("'"&amp;AD$67&amp;"'!d1"),M99-1,))</f>
        <v>17</v>
      </c>
      <c r="AE99" cm="1">
        <f t="array" aca="1" ref="AE99" ca="1">IF(ISNA(N99),,OFFSET(INDIRECT("'"&amp;AE$67&amp;"'!d1"),N99-1,))</f>
        <v>0</v>
      </c>
      <c r="AF99" cm="1">
        <f t="array" aca="1" ref="AF99" ca="1">IF(ISNA(O99),,OFFSET(INDIRECT("'"&amp;AF$67&amp;"'!d1"),O99-1,))</f>
        <v>0</v>
      </c>
      <c r="AG99" cm="1">
        <f t="array" aca="1" ref="AG99" ca="1">IF(ISNA(P99),,OFFSET(INDIRECT("'"&amp;AG$67&amp;"'!d1"),P99-1,))</f>
        <v>0</v>
      </c>
      <c r="AM99">
        <f t="shared" ca="1" si="79"/>
        <v>1</v>
      </c>
      <c r="AN99">
        <f t="shared" ca="1" si="80"/>
        <v>1</v>
      </c>
      <c r="AO99">
        <f t="shared" ca="1" si="81"/>
        <v>1</v>
      </c>
      <c r="AP99">
        <f t="shared" ca="1" si="82"/>
        <v>1</v>
      </c>
      <c r="AQ99">
        <f t="shared" ca="1" si="83"/>
        <v>1</v>
      </c>
      <c r="AV99" t="b">
        <f t="shared" ca="1" si="84"/>
        <v>1</v>
      </c>
      <c r="AW99" t="b">
        <f t="shared" ca="1" si="85"/>
        <v>1</v>
      </c>
      <c r="AX99" t="b">
        <f t="shared" ca="1" si="86"/>
        <v>1</v>
      </c>
      <c r="AY99" t="b">
        <f t="shared" ca="1" si="87"/>
        <v>1</v>
      </c>
      <c r="AZ99" t="b">
        <f t="shared" ca="1" si="88"/>
        <v>1</v>
      </c>
      <c r="BD99">
        <f t="shared" ca="1" si="89"/>
        <v>1</v>
      </c>
      <c r="BE99">
        <f t="shared" ca="1" si="90"/>
        <v>1</v>
      </c>
      <c r="BF99">
        <f t="shared" ca="1" si="91"/>
        <v>1</v>
      </c>
      <c r="BG99">
        <f t="shared" ca="1" si="92"/>
        <v>1</v>
      </c>
      <c r="BH99">
        <f t="shared" ca="1" si="93"/>
        <v>1</v>
      </c>
      <c r="BI99">
        <f t="shared" ca="1" si="94"/>
        <v>1</v>
      </c>
      <c r="BJ99">
        <f t="shared" ca="1" si="95"/>
        <v>1</v>
      </c>
      <c r="BK99">
        <f t="shared" ca="1" si="96"/>
        <v>1</v>
      </c>
      <c r="BL99">
        <f t="shared" ca="1" si="97"/>
        <v>1</v>
      </c>
      <c r="BM99">
        <f t="shared" ca="1" si="98"/>
        <v>0</v>
      </c>
      <c r="BN99">
        <f t="shared" ca="1" si="99"/>
        <v>0</v>
      </c>
      <c r="BO99">
        <f t="shared" ca="1" si="100"/>
        <v>0</v>
      </c>
      <c r="BU99">
        <f t="shared" ca="1" si="101"/>
        <v>17</v>
      </c>
      <c r="BV99">
        <f t="shared" ca="1" si="102"/>
        <v>17</v>
      </c>
      <c r="BW99">
        <f t="shared" ca="1" si="103"/>
        <v>17</v>
      </c>
      <c r="BX99">
        <f t="shared" ca="1" si="104"/>
        <v>17</v>
      </c>
      <c r="BY99">
        <f t="shared" ca="1" si="105"/>
        <v>17</v>
      </c>
      <c r="BZ99">
        <f t="shared" ca="1" si="106"/>
        <v>17</v>
      </c>
      <c r="CA99">
        <f t="shared" ca="1" si="107"/>
        <v>17</v>
      </c>
      <c r="CB99">
        <f t="shared" ca="1" si="108"/>
        <v>17</v>
      </c>
      <c r="CC99">
        <f t="shared" ca="1" si="109"/>
        <v>17</v>
      </c>
      <c r="CD99">
        <f t="shared" ca="1" si="110"/>
        <v>39</v>
      </c>
      <c r="CE99">
        <f t="shared" ca="1" si="111"/>
        <v>39</v>
      </c>
      <c r="CF99">
        <f t="shared" ca="1" si="112"/>
        <v>39</v>
      </c>
      <c r="CL99">
        <f t="shared" ca="1" si="113"/>
        <v>1</v>
      </c>
      <c r="CM99">
        <f t="shared" ca="1" si="114"/>
        <v>1</v>
      </c>
      <c r="CN99">
        <f t="shared" ca="1" si="115"/>
        <v>1</v>
      </c>
      <c r="CO99">
        <f t="shared" ca="1" si="116"/>
        <v>1</v>
      </c>
      <c r="CP99">
        <f t="shared" ca="1" si="117"/>
        <v>1</v>
      </c>
      <c r="CQ99">
        <f t="shared" ca="1" si="118"/>
        <v>1</v>
      </c>
      <c r="CR99">
        <f t="shared" ca="1" si="119"/>
        <v>1</v>
      </c>
      <c r="CS99">
        <f t="shared" ca="1" si="120"/>
        <v>1</v>
      </c>
      <c r="CT99">
        <f t="shared" ca="1" si="121"/>
        <v>1</v>
      </c>
      <c r="CU99">
        <f t="shared" ca="1" si="122"/>
        <v>0</v>
      </c>
      <c r="CV99">
        <f t="shared" ca="1" si="123"/>
        <v>0</v>
      </c>
      <c r="CW99">
        <f t="shared" ca="1" si="124"/>
        <v>0</v>
      </c>
      <c r="DC99" cm="1">
        <f t="array" aca="1" ref="DC99" ca="1">IF(ISNA(E99),,OFFSET(INDIRECT("'"&amp;DT$67&amp;"'!f1"),E99-1,))*1</f>
        <v>7.3845882999989898E-2</v>
      </c>
      <c r="DD99" cm="1">
        <f t="array" aca="1" ref="DD99" ca="1">IF(ISNA(F99),,OFFSET(INDIRECT("'"&amp;DU$67&amp;"'!f1"),F99-1,))*1</f>
        <v>0.48068314200000301</v>
      </c>
      <c r="DE99" cm="1">
        <f t="array" aca="1" ref="DE99" ca="1">IF(ISNA(G99),,OFFSET(INDIRECT("'"&amp;DV$67&amp;"'!f1"),G99-1,))*1</f>
        <v>3.7739455999997E-2</v>
      </c>
      <c r="DF99" cm="1">
        <f t="array" aca="1" ref="DF99" ca="1">IF(ISNA(H99),,OFFSET(INDIRECT("'"&amp;DW$67&amp;"'!f1"),H99-1,))*1</f>
        <v>5.8944042999996699E-2</v>
      </c>
      <c r="DG99" cm="1">
        <f t="array" aca="1" ref="DG99" ca="1">IF(ISNA(I99),,OFFSET(INDIRECT("'"&amp;DX$67&amp;"'!f1"),I99-1,))*1</f>
        <v>5.64742499991552E-2</v>
      </c>
      <c r="DH99" cm="1">
        <f t="array" aca="1" ref="DH99" ca="1">IF(ISNA(J99),,OFFSET(INDIRECT("'"&amp;DY$67&amp;"'!f1"),J99-1,))*1</f>
        <v>8.55560009367764E-2</v>
      </c>
      <c r="DI99" cm="1">
        <f t="array" aca="1" ref="DI99" ca="1">IF(ISNA(K99),,OFFSET(INDIRECT("'"&amp;DZ$67&amp;"'!f1"),K99-1,))*1</f>
        <v>1.49489397648721</v>
      </c>
      <c r="DJ99" cm="1">
        <f t="array" aca="1" ref="DJ99" ca="1">IF(ISNA(L99),,OFFSET(INDIRECT("'"&amp;EA$67&amp;"'!f1"),L99-1,))*1</f>
        <v>2.15305385552346</v>
      </c>
      <c r="DK99" cm="1">
        <f t="array" aca="1" ref="DK99" ca="1">IF(ISNA(M99),,OFFSET(INDIRECT("'"&amp;EB$67&amp;"'!f1"),M99-1,))*1</f>
        <v>15.9115583449602</v>
      </c>
      <c r="DL99" cm="1">
        <f t="array" aca="1" ref="DL99" ca="1">IF(ISNA(N99),,OFFSET(INDIRECT("'"&amp;EC$67&amp;"'!f1"),N99-1,))*1</f>
        <v>4.9838544800877502E-3</v>
      </c>
      <c r="DM99" cm="1">
        <f t="array" aca="1" ref="DM99" ca="1">IF(ISNA(O99),,OFFSET(INDIRECT("'"&amp;ED$67&amp;"'!f1"),O99-1,))*1</f>
        <v>5.3554521873593296E-3</v>
      </c>
      <c r="DN99" cm="1">
        <f t="array" aca="1" ref="DN99" ca="1">IF(ISNA(P99),,OFFSET(INDIRECT("'"&amp;EE$67&amp;"'!f1"),P99-1,))*1</f>
        <v>7.1825059130787797E-3</v>
      </c>
      <c r="DT99">
        <f t="shared" ca="1" si="125"/>
        <v>1</v>
      </c>
      <c r="DU99">
        <f t="shared" ca="1" si="126"/>
        <v>1</v>
      </c>
      <c r="DV99">
        <f t="shared" ca="1" si="127"/>
        <v>1</v>
      </c>
      <c r="DW99">
        <f t="shared" ca="1" si="128"/>
        <v>1</v>
      </c>
      <c r="DX99">
        <f t="shared" ca="1" si="129"/>
        <v>1</v>
      </c>
      <c r="DY99">
        <f t="shared" ca="1" si="130"/>
        <v>1</v>
      </c>
      <c r="DZ99">
        <f t="shared" ca="1" si="131"/>
        <v>9563</v>
      </c>
      <c r="EA99">
        <f t="shared" ca="1" si="132"/>
        <v>9993</v>
      </c>
      <c r="EB99">
        <f t="shared" ca="1" si="133"/>
        <v>9284</v>
      </c>
      <c r="EC99">
        <f t="shared" ca="1" si="134"/>
        <v>0</v>
      </c>
      <c r="ED99">
        <f t="shared" ca="1" si="135"/>
        <v>0</v>
      </c>
      <c r="EE99">
        <f t="shared" ca="1" si="136"/>
        <v>0</v>
      </c>
      <c r="EK99" cm="1">
        <f t="array" aca="1" ref="EK99" ca="1">IF(ISNA(E99),0,OFFSET(INDIRECT("'"&amp;EK$67&amp;"'!g1"),E99-1,)*CL99)</f>
        <v>1</v>
      </c>
      <c r="EL99" cm="1">
        <f t="array" aca="1" ref="EL99" ca="1">IF(ISNA(F99),0,OFFSET(INDIRECT("'"&amp;EL$67&amp;"'!g1"),F99-1,)*CM99)</f>
        <v>1</v>
      </c>
      <c r="EM99" cm="1">
        <f t="array" aca="1" ref="EM99" ca="1">IF(ISNA(G99),0,OFFSET(INDIRECT("'"&amp;EM$67&amp;"'!g1"),G99-1,)*CN99)</f>
        <v>1</v>
      </c>
      <c r="EN99" cm="1">
        <f t="array" aca="1" ref="EN99" ca="1">IF(ISNA(H99),0,OFFSET(INDIRECT("'"&amp;EN$67&amp;"'!g1"),H99-1,)*CO99)</f>
        <v>1</v>
      </c>
      <c r="EO99" cm="1">
        <f t="array" aca="1" ref="EO99" ca="1">IF(ISNA(I99),0,OFFSET(INDIRECT("'"&amp;EO$67&amp;"'!g1"),I99-1,)*CP99)</f>
        <v>1</v>
      </c>
      <c r="EP99" cm="1">
        <f t="array" aca="1" ref="EP99" ca="1">IF(ISNA(J99),0,OFFSET(INDIRECT("'"&amp;EP$67&amp;"'!g1"),J99-1,)*CQ99)</f>
        <v>1</v>
      </c>
      <c r="EQ99" cm="1">
        <f t="array" aca="1" ref="EQ99" ca="1">IF(ISNA(K99),0,OFFSET(INDIRECT("'"&amp;EQ$67&amp;"'!g1"),K99-1,)*CR99)</f>
        <v>9563</v>
      </c>
      <c r="ER99" cm="1">
        <f t="array" aca="1" ref="ER99" ca="1">IF(ISNA(L99),0,OFFSET(INDIRECT("'"&amp;ER$67&amp;"'!g1"),L99-1,)*CS99)</f>
        <v>9993</v>
      </c>
      <c r="ES99" cm="1">
        <f t="array" aca="1" ref="ES99" ca="1">IF(ISNA(M99),0,OFFSET(INDIRECT("'"&amp;ES$67&amp;"'!g1"),M99-1,)*CT99)</f>
        <v>9284</v>
      </c>
      <c r="ET99" cm="1">
        <f t="array" aca="1" ref="ET99" ca="1">IF(ISNA(N99),0,OFFSET(INDIRECT("'"&amp;ET$67&amp;"'!g1"),N99-1,)*CU99)</f>
        <v>0</v>
      </c>
      <c r="EU99" cm="1">
        <f t="array" aca="1" ref="EU99" ca="1">IF(ISNA(O99),0,OFFSET(INDIRECT("'"&amp;EU$67&amp;"'!g1"),O99-1,)*CV99)</f>
        <v>0</v>
      </c>
      <c r="EV99" cm="1">
        <f t="array" aca="1" ref="EV99" ca="1">IF(ISNA(P99),0,OFFSET(INDIRECT("'"&amp;EV$67&amp;"'!g1"),P99-1,)*CW99)</f>
        <v>0</v>
      </c>
      <c r="FB99" s="10" cm="1">
        <f t="array" aca="1" ref="FB99" ca="1">IF(ISNA(E99),0,OFFSET(INDIRECT("'"&amp;EK$67&amp;"'!h1"),E99-1,))</f>
        <v>1</v>
      </c>
      <c r="FC99" s="10" cm="1">
        <f t="array" aca="1" ref="FC99" ca="1">IF(ISNA(F99),0,OFFSET(INDIRECT("'"&amp;EL$67&amp;"'!h1"),F99-1,))</f>
        <v>1</v>
      </c>
      <c r="FD99" s="10" cm="1">
        <f t="array" aca="1" ref="FD99" ca="1">IF(ISNA(G99),0,OFFSET(INDIRECT("'"&amp;EM$67&amp;"'!h1"),G99-1,))</f>
        <v>1</v>
      </c>
      <c r="FE99" s="10" cm="1">
        <f t="array" aca="1" ref="FE99" ca="1">IF(ISNA(H99),0,OFFSET(INDIRECT("'"&amp;EN$67&amp;"'!h1"),H99-1,))</f>
        <v>1</v>
      </c>
      <c r="FF99" s="10" cm="1">
        <f t="array" aca="1" ref="FF99" ca="1">IF(ISNA(I99),0,OFFSET(INDIRECT("'"&amp;EO$67&amp;"'!h1"),I99-1,))</f>
        <v>1</v>
      </c>
      <c r="FG99" s="10" cm="1">
        <f t="array" aca="1" ref="FG99" ca="1">IF(ISNA(J99),0,OFFSET(INDIRECT("'"&amp;EP$67&amp;"'!h1"),J99-1,))</f>
        <v>1</v>
      </c>
      <c r="FH99" s="10" cm="1">
        <f t="array" aca="1" ref="FH99" ca="1">IF(ISNA(K99),0,OFFSET(INDIRECT("'"&amp;EQ$67&amp;"'!h1"),K99-1,))</f>
        <v>10000</v>
      </c>
      <c r="FI99" s="10" cm="1">
        <f t="array" aca="1" ref="FI99" ca="1">IF(ISNA(L99),0,OFFSET(INDIRECT("'"&amp;ER$67&amp;"'!h1"),L99-1,))</f>
        <v>10000</v>
      </c>
      <c r="FJ99" s="10" cm="1">
        <f t="array" aca="1" ref="FJ99" ca="1">IF(ISNA(M99),0,OFFSET(INDIRECT("'"&amp;ES$67&amp;"'!h1"),M99-1,))</f>
        <v>10000</v>
      </c>
      <c r="FK99" s="10" cm="1">
        <f t="array" aca="1" ref="FK99" ca="1">IF(ISNA(N99),0,OFFSET(INDIRECT("'"&amp;ET$67&amp;"'!h1"),N99-1,))</f>
        <v>1</v>
      </c>
      <c r="FL99" s="10" cm="1">
        <f t="array" aca="1" ref="FL99" ca="1">IF(ISNA(O99),0,OFFSET(INDIRECT("'"&amp;EU$67&amp;"'!h1"),O99-1,))</f>
        <v>1</v>
      </c>
      <c r="FM99" s="10" cm="1">
        <f t="array" aca="1" ref="FM99" ca="1">IF(ISNA(P99),0,OFFSET(INDIRECT("'"&amp;EV$67&amp;"'!h1"),P99-1,))</f>
        <v>9</v>
      </c>
      <c r="FN99" s="10"/>
      <c r="FO99" s="10"/>
      <c r="FP99" s="10"/>
      <c r="FQ99" s="10"/>
      <c r="FS99">
        <f t="shared" ca="1" si="137"/>
        <v>39</v>
      </c>
      <c r="FT99">
        <f t="shared" ca="1" si="62"/>
        <v>1.49489397648721</v>
      </c>
      <c r="FU99">
        <f t="shared" ca="1" si="63"/>
        <v>9563</v>
      </c>
      <c r="FV99">
        <f t="shared" ca="1" si="64"/>
        <v>10000</v>
      </c>
      <c r="FW99" s="4">
        <f t="shared" ca="1" si="138"/>
        <v>0.95630000000000004</v>
      </c>
      <c r="FX99" s="5">
        <f t="shared" ca="1" si="139"/>
        <v>1.5632060822829761E-4</v>
      </c>
      <c r="FZ99" s="13">
        <f t="shared" ca="1" si="140"/>
        <v>39</v>
      </c>
      <c r="GA99" s="23">
        <f t="shared" ca="1" si="141"/>
        <v>0</v>
      </c>
      <c r="GB99" s="23">
        <f t="shared" ca="1" si="142"/>
        <v>0</v>
      </c>
      <c r="GC99" s="23">
        <f t="shared" ca="1" si="143"/>
        <v>0</v>
      </c>
      <c r="GD99" s="23">
        <f t="shared" ca="1" si="144"/>
        <v>0</v>
      </c>
      <c r="GE99" s="23">
        <f t="shared" ca="1" si="145"/>
        <v>0</v>
      </c>
      <c r="GF99" s="23">
        <f t="shared" ca="1" si="146"/>
        <v>0</v>
      </c>
      <c r="GG99" s="23">
        <f t="shared" ca="1" si="147"/>
        <v>0</v>
      </c>
      <c r="GH99" s="23">
        <f t="shared" ca="1" si="148"/>
        <v>0</v>
      </c>
      <c r="GI99" s="23">
        <f t="shared" ca="1" si="149"/>
        <v>0</v>
      </c>
      <c r="GJ99" s="23" t="e">
        <f t="shared" ca="1" si="150"/>
        <v>#N/A</v>
      </c>
      <c r="GK99" s="23" t="e">
        <f t="shared" ca="1" si="151"/>
        <v>#N/A</v>
      </c>
      <c r="GL99" s="23" t="e">
        <f t="shared" ca="1" si="152"/>
        <v>#N/A</v>
      </c>
      <c r="GM99" s="23"/>
      <c r="GN99">
        <f t="shared" ca="1" si="153"/>
        <v>39</v>
      </c>
      <c r="GO99" s="5">
        <f t="shared" ca="1" si="154"/>
        <v>7.3845882999989898E-2</v>
      </c>
      <c r="GP99" s="5">
        <f t="shared" ca="1" si="155"/>
        <v>0.48068314200000301</v>
      </c>
      <c r="GQ99" s="5">
        <f t="shared" ca="1" si="156"/>
        <v>3.7739455999997E-2</v>
      </c>
      <c r="GR99" s="5">
        <f t="shared" ca="1" si="157"/>
        <v>5.8944042999996699E-2</v>
      </c>
      <c r="GS99" s="5">
        <f t="shared" ca="1" si="158"/>
        <v>5.64742499991552E-2</v>
      </c>
      <c r="GT99" s="5">
        <f t="shared" ca="1" si="159"/>
        <v>8.55560009367764E-2</v>
      </c>
      <c r="GU99" s="5">
        <f t="shared" ca="1" si="160"/>
        <v>1.5632060822829761E-4</v>
      </c>
      <c r="GV99" s="5">
        <f t="shared" ca="1" si="161"/>
        <v>2.1545620489577303E-4</v>
      </c>
      <c r="GW99" s="5">
        <f t="shared" ca="1" si="162"/>
        <v>1.713868843705321E-3</v>
      </c>
      <c r="GX99" s="5" t="e">
        <f t="shared" ca="1" si="163"/>
        <v>#N/A</v>
      </c>
      <c r="GY99" s="5" t="e">
        <f t="shared" ca="1" si="164"/>
        <v>#N/A</v>
      </c>
      <c r="GZ99" s="5" t="e">
        <f t="shared" ca="1" si="165"/>
        <v>#N/A</v>
      </c>
      <c r="HB99" s="13">
        <f t="shared" ca="1" si="166"/>
        <v>39</v>
      </c>
      <c r="HC99" s="4">
        <f t="shared" ca="1" si="167"/>
        <v>1</v>
      </c>
      <c r="HD99" s="4">
        <f t="shared" ca="1" si="168"/>
        <v>1</v>
      </c>
      <c r="HE99" s="4">
        <f t="shared" ca="1" si="169"/>
        <v>1</v>
      </c>
      <c r="HF99" s="4">
        <f t="shared" ca="1" si="170"/>
        <v>1</v>
      </c>
      <c r="HG99" s="4">
        <f t="shared" ca="1" si="171"/>
        <v>1</v>
      </c>
      <c r="HH99" s="4">
        <f t="shared" ca="1" si="172"/>
        <v>1</v>
      </c>
      <c r="HI99" s="4">
        <f t="shared" ca="1" si="173"/>
        <v>0.95630000000000004</v>
      </c>
      <c r="HJ99" s="4">
        <f t="shared" ca="1" si="174"/>
        <v>0.99929999999999997</v>
      </c>
      <c r="HK99" s="4">
        <f t="shared" ca="1" si="175"/>
        <v>0.9284</v>
      </c>
      <c r="HL99" s="4">
        <f t="shared" ca="1" si="176"/>
        <v>0</v>
      </c>
      <c r="HM99" s="4">
        <f t="shared" ca="1" si="177"/>
        <v>0</v>
      </c>
      <c r="HN99" s="4">
        <f t="shared" ca="1" si="178"/>
        <v>0</v>
      </c>
    </row>
    <row r="100" spans="1:222" x14ac:dyDescent="0.2">
      <c r="A100" t="str" cm="1">
        <f t="array" aca="1" ref="A100" ca="1">INDIRECT($A$67&amp;"!A"&amp;ROW(C33)+$B$64)</f>
        <v>[[40,13,13]]</v>
      </c>
      <c r="B100" cm="1">
        <f t="array" aca="1" ref="B100" ca="1">INDIRECT($A$67&amp;"!b"&amp;ROW(D33)+$B$64)</f>
        <v>40</v>
      </c>
      <c r="C100">
        <f t="shared" ca="1" si="78"/>
        <v>13</v>
      </c>
      <c r="E100">
        <f t="shared" ca="1" si="72"/>
        <v>57</v>
      </c>
      <c r="F100">
        <f t="shared" ca="1" si="72"/>
        <v>58</v>
      </c>
      <c r="G100">
        <f t="shared" ca="1" si="72"/>
        <v>57</v>
      </c>
      <c r="H100">
        <f t="shared" ca="1" si="72"/>
        <v>57</v>
      </c>
      <c r="I100">
        <f t="shared" ca="1" si="72"/>
        <v>60</v>
      </c>
      <c r="J100">
        <f t="shared" ca="1" si="72"/>
        <v>57</v>
      </c>
      <c r="K100">
        <f t="shared" ca="1" si="72"/>
        <v>64</v>
      </c>
      <c r="L100">
        <f t="shared" ca="1" si="72"/>
        <v>66</v>
      </c>
      <c r="M100">
        <f t="shared" ca="1" si="72"/>
        <v>63</v>
      </c>
      <c r="N100">
        <f t="shared" ca="1" si="72"/>
        <v>61</v>
      </c>
      <c r="O100">
        <f t="shared" ca="1" si="72"/>
        <v>61</v>
      </c>
      <c r="P100">
        <f t="shared" ca="1" si="72"/>
        <v>61</v>
      </c>
      <c r="V100" cm="1">
        <f t="array" aca="1" ref="V100" ca="1">IF(ISNA(E100),,OFFSET(INDIRECT("'"&amp;V$67&amp;"'!d1"),E100-1,))</f>
        <v>13</v>
      </c>
      <c r="W100" cm="1">
        <f t="array" aca="1" ref="W100" ca="1">IF(ISNA(F100),,OFFSET(INDIRECT("'"&amp;W$67&amp;"'!d1"),F100-1,))</f>
        <v>13</v>
      </c>
      <c r="X100" cm="1">
        <f t="array" aca="1" ref="X100" ca="1">IF(ISNA(G100),,OFFSET(INDIRECT("'"&amp;X$67&amp;"'!d1"),G100-1,))</f>
        <v>13</v>
      </c>
      <c r="Y100" cm="1">
        <f t="array" aca="1" ref="Y100" ca="1">IF(ISNA(H100),,OFFSET(INDIRECT("'"&amp;Y$67&amp;"'!d1"),H100-1,))</f>
        <v>13</v>
      </c>
      <c r="Z100" cm="1">
        <f t="array" aca="1" ref="Z100" ca="1">IF(ISNA(I100),,OFFSET(INDIRECT("'"&amp;Z$67&amp;"'!d1"),I100-1,))</f>
        <v>13</v>
      </c>
      <c r="AA100" cm="1">
        <f t="array" aca="1" ref="AA100" ca="1">IF(ISNA(J100),,OFFSET(INDIRECT("'"&amp;AA$67&amp;"'!d1"),J100-1,))</f>
        <v>13</v>
      </c>
      <c r="AB100" cm="1">
        <f t="array" aca="1" ref="AB100" ca="1">IF(ISNA(K100),,OFFSET(INDIRECT("'"&amp;AB$67&amp;"'!d1"),K100-1,))</f>
        <v>13</v>
      </c>
      <c r="AC100" cm="1">
        <f t="array" aca="1" ref="AC100" ca="1">IF(ISNA(L100),,OFFSET(INDIRECT("'"&amp;AC$67&amp;"'!d1"),L100-1,))</f>
        <v>13</v>
      </c>
      <c r="AD100" cm="1">
        <f t="array" aca="1" ref="AD100" ca="1">IF(ISNA(M100),,OFFSET(INDIRECT("'"&amp;AD$67&amp;"'!d1"),M100-1,))</f>
        <v>13</v>
      </c>
      <c r="AE100" cm="1">
        <f t="array" aca="1" ref="AE100" ca="1">IF(ISNA(N100),,OFFSET(INDIRECT("'"&amp;AE$67&amp;"'!d1"),N100-1,))</f>
        <v>0</v>
      </c>
      <c r="AF100" cm="1">
        <f t="array" aca="1" ref="AF100" ca="1">IF(ISNA(O100),,OFFSET(INDIRECT("'"&amp;AF$67&amp;"'!d1"),O100-1,))</f>
        <v>0</v>
      </c>
      <c r="AG100" cm="1">
        <f t="array" aca="1" ref="AG100" ca="1">IF(ISNA(P100),,OFFSET(INDIRECT("'"&amp;AG$67&amp;"'!d1"),P100-1,))</f>
        <v>0</v>
      </c>
      <c r="AM100">
        <f t="shared" ca="1" si="79"/>
        <v>1</v>
      </c>
      <c r="AN100">
        <f t="shared" ca="1" si="80"/>
        <v>1</v>
      </c>
      <c r="AO100">
        <f t="shared" ca="1" si="81"/>
        <v>1</v>
      </c>
      <c r="AP100">
        <f t="shared" ca="1" si="82"/>
        <v>1</v>
      </c>
      <c r="AQ100">
        <f t="shared" ca="1" si="83"/>
        <v>1</v>
      </c>
      <c r="AV100" t="b">
        <f t="shared" ca="1" si="84"/>
        <v>1</v>
      </c>
      <c r="AW100" t="b">
        <f t="shared" ca="1" si="85"/>
        <v>1</v>
      </c>
      <c r="AX100" t="b">
        <f t="shared" ca="1" si="86"/>
        <v>1</v>
      </c>
      <c r="AY100" t="b">
        <f t="shared" ca="1" si="87"/>
        <v>1</v>
      </c>
      <c r="AZ100" t="b">
        <f t="shared" ca="1" si="88"/>
        <v>1</v>
      </c>
      <c r="BD100">
        <f t="shared" ca="1" si="89"/>
        <v>1</v>
      </c>
      <c r="BE100">
        <f t="shared" ca="1" si="90"/>
        <v>1</v>
      </c>
      <c r="BF100">
        <f t="shared" ca="1" si="91"/>
        <v>1</v>
      </c>
      <c r="BG100">
        <f t="shared" ca="1" si="92"/>
        <v>1</v>
      </c>
      <c r="BH100">
        <f t="shared" ca="1" si="93"/>
        <v>1</v>
      </c>
      <c r="BI100">
        <f t="shared" ca="1" si="94"/>
        <v>1</v>
      </c>
      <c r="BJ100">
        <f t="shared" ca="1" si="95"/>
        <v>1</v>
      </c>
      <c r="BK100">
        <f t="shared" ca="1" si="96"/>
        <v>1</v>
      </c>
      <c r="BL100">
        <f t="shared" ca="1" si="97"/>
        <v>1</v>
      </c>
      <c r="BM100">
        <f t="shared" ca="1" si="98"/>
        <v>0</v>
      </c>
      <c r="BN100">
        <f t="shared" ca="1" si="99"/>
        <v>0</v>
      </c>
      <c r="BO100">
        <f t="shared" ca="1" si="100"/>
        <v>0</v>
      </c>
      <c r="BU100">
        <f t="shared" ca="1" si="101"/>
        <v>13</v>
      </c>
      <c r="BV100">
        <f t="shared" ca="1" si="102"/>
        <v>13</v>
      </c>
      <c r="BW100">
        <f t="shared" ca="1" si="103"/>
        <v>13</v>
      </c>
      <c r="BX100">
        <f t="shared" ca="1" si="104"/>
        <v>13</v>
      </c>
      <c r="BY100">
        <f t="shared" ca="1" si="105"/>
        <v>13</v>
      </c>
      <c r="BZ100">
        <f t="shared" ca="1" si="106"/>
        <v>13</v>
      </c>
      <c r="CA100">
        <f t="shared" ca="1" si="107"/>
        <v>13</v>
      </c>
      <c r="CB100">
        <f t="shared" ca="1" si="108"/>
        <v>13</v>
      </c>
      <c r="CC100">
        <f t="shared" ca="1" si="109"/>
        <v>13</v>
      </c>
      <c r="CD100">
        <f t="shared" ca="1" si="110"/>
        <v>40</v>
      </c>
      <c r="CE100">
        <f t="shared" ca="1" si="111"/>
        <v>40</v>
      </c>
      <c r="CF100">
        <f t="shared" ca="1" si="112"/>
        <v>40</v>
      </c>
      <c r="CL100">
        <f t="shared" ca="1" si="113"/>
        <v>1</v>
      </c>
      <c r="CM100">
        <f t="shared" ca="1" si="114"/>
        <v>1</v>
      </c>
      <c r="CN100">
        <f t="shared" ca="1" si="115"/>
        <v>1</v>
      </c>
      <c r="CO100">
        <f t="shared" ca="1" si="116"/>
        <v>1</v>
      </c>
      <c r="CP100">
        <f t="shared" ca="1" si="117"/>
        <v>1</v>
      </c>
      <c r="CQ100">
        <f t="shared" ca="1" si="118"/>
        <v>1</v>
      </c>
      <c r="CR100">
        <f t="shared" ca="1" si="119"/>
        <v>1</v>
      </c>
      <c r="CS100">
        <f t="shared" ca="1" si="120"/>
        <v>1</v>
      </c>
      <c r="CT100">
        <f t="shared" ca="1" si="121"/>
        <v>1</v>
      </c>
      <c r="CU100">
        <f t="shared" ca="1" si="122"/>
        <v>0</v>
      </c>
      <c r="CV100">
        <f t="shared" ca="1" si="123"/>
        <v>0</v>
      </c>
      <c r="CW100">
        <f t="shared" ca="1" si="124"/>
        <v>0</v>
      </c>
      <c r="DC100" cm="1">
        <f t="array" aca="1" ref="DC100" ca="1">IF(ISNA(E100),,OFFSET(INDIRECT("'"&amp;DT$67&amp;"'!f1"),E100-1,))*1</f>
        <v>1.370655886</v>
      </c>
      <c r="DD100" cm="1">
        <f t="array" aca="1" ref="DD100" ca="1">IF(ISNA(F100),,OFFSET(INDIRECT("'"&amp;DU$67&amp;"'!f1"),F100-1,))*1</f>
        <v>4.2709355919999998</v>
      </c>
      <c r="DE100" cm="1">
        <f t="array" aca="1" ref="DE100" ca="1">IF(ISNA(G100),,OFFSET(INDIRECT("'"&amp;DV$67&amp;"'!f1"),G100-1,))*1</f>
        <v>1.4464353599999999</v>
      </c>
      <c r="DF100" cm="1">
        <f t="array" aca="1" ref="DF100" ca="1">IF(ISNA(H100),,OFFSET(INDIRECT("'"&amp;DW$67&amp;"'!f1"),H100-1,))*1</f>
        <v>4.1952197949999803</v>
      </c>
      <c r="DG100" cm="1">
        <f t="array" aca="1" ref="DG100" ca="1">IF(ISNA(I100),,OFFSET(INDIRECT("'"&amp;DX$67&amp;"'!f1"),I100-1,))*1</f>
        <v>5.51419170005829E-2</v>
      </c>
      <c r="DH100" cm="1">
        <f t="array" aca="1" ref="DH100" ca="1">IF(ISNA(J100),,OFFSET(INDIRECT("'"&amp;DY$67&amp;"'!f1"),J100-1,))*1</f>
        <v>8.1119579728692701E-2</v>
      </c>
      <c r="DI100" cm="1">
        <f t="array" aca="1" ref="DI100" ca="1">IF(ISNA(K100),,OFFSET(INDIRECT("'"&amp;DZ$67&amp;"'!f1"),K100-1,))*1</f>
        <v>1.4756115134805401</v>
      </c>
      <c r="DJ100" cm="1">
        <f t="array" aca="1" ref="DJ100" ca="1">IF(ISNA(L100),,OFFSET(INDIRECT("'"&amp;EA$67&amp;"'!f1"),L100-1,))*1</f>
        <v>2.2009681202471199</v>
      </c>
      <c r="DK100" cm="1">
        <f t="array" aca="1" ref="DK100" ca="1">IF(ISNA(M100),,OFFSET(INDIRECT("'"&amp;EB$67&amp;"'!f1"),M100-1,))*1</f>
        <v>26.210128308739499</v>
      </c>
      <c r="DL100" cm="1">
        <f t="array" aca="1" ref="DL100" ca="1">IF(ISNA(N100),,OFFSET(INDIRECT("'"&amp;EC$67&amp;"'!f1"),N100-1,))*1</f>
        <v>5.5095758289098696E-3</v>
      </c>
      <c r="DM100" cm="1">
        <f t="array" aca="1" ref="DM100" ca="1">IF(ISNA(O100),,OFFSET(INDIRECT("'"&amp;ED$67&amp;"'!f1"),O100-1,))*1</f>
        <v>5.5609084665775299E-3</v>
      </c>
      <c r="DN100" cm="1">
        <f t="array" aca="1" ref="DN100" ca="1">IF(ISNA(P100),,OFFSET(INDIRECT("'"&amp;EE$67&amp;"'!f1"),P100-1,))*1</f>
        <v>8.0975946038961393E-3</v>
      </c>
      <c r="DT100">
        <f t="shared" ca="1" si="125"/>
        <v>1</v>
      </c>
      <c r="DU100">
        <f t="shared" ca="1" si="126"/>
        <v>1</v>
      </c>
      <c r="DV100">
        <f t="shared" ca="1" si="127"/>
        <v>1</v>
      </c>
      <c r="DW100">
        <f t="shared" ca="1" si="128"/>
        <v>1</v>
      </c>
      <c r="DX100">
        <f t="shared" ca="1" si="129"/>
        <v>1</v>
      </c>
      <c r="DY100">
        <f t="shared" ca="1" si="130"/>
        <v>1</v>
      </c>
      <c r="DZ100">
        <f t="shared" ca="1" si="131"/>
        <v>9602</v>
      </c>
      <c r="EA100">
        <f t="shared" ca="1" si="132"/>
        <v>9996</v>
      </c>
      <c r="EB100">
        <f t="shared" ca="1" si="133"/>
        <v>9131</v>
      </c>
      <c r="EC100">
        <f t="shared" ca="1" si="134"/>
        <v>0</v>
      </c>
      <c r="ED100">
        <f t="shared" ca="1" si="135"/>
        <v>0</v>
      </c>
      <c r="EE100">
        <f t="shared" ca="1" si="136"/>
        <v>0</v>
      </c>
      <c r="EK100" cm="1">
        <f t="array" aca="1" ref="EK100" ca="1">IF(ISNA(E100),0,OFFSET(INDIRECT("'"&amp;EK$67&amp;"'!g1"),E100-1,)*CL100)</f>
        <v>1</v>
      </c>
      <c r="EL100" cm="1">
        <f t="array" aca="1" ref="EL100" ca="1">IF(ISNA(F100),0,OFFSET(INDIRECT("'"&amp;EL$67&amp;"'!g1"),F100-1,)*CM100)</f>
        <v>1</v>
      </c>
      <c r="EM100" cm="1">
        <f t="array" aca="1" ref="EM100" ca="1">IF(ISNA(G100),0,OFFSET(INDIRECT("'"&amp;EM$67&amp;"'!g1"),G100-1,)*CN100)</f>
        <v>1</v>
      </c>
      <c r="EN100" cm="1">
        <f t="array" aca="1" ref="EN100" ca="1">IF(ISNA(H100),0,OFFSET(INDIRECT("'"&amp;EN$67&amp;"'!g1"),H100-1,)*CO100)</f>
        <v>1</v>
      </c>
      <c r="EO100" cm="1">
        <f t="array" aca="1" ref="EO100" ca="1">IF(ISNA(I100),0,OFFSET(INDIRECT("'"&amp;EO$67&amp;"'!g1"),I100-1,)*CP100)</f>
        <v>1</v>
      </c>
      <c r="EP100" cm="1">
        <f t="array" aca="1" ref="EP100" ca="1">IF(ISNA(J100),0,OFFSET(INDIRECT("'"&amp;EP$67&amp;"'!g1"),J100-1,)*CQ100)</f>
        <v>1</v>
      </c>
      <c r="EQ100" cm="1">
        <f t="array" aca="1" ref="EQ100" ca="1">IF(ISNA(K100),0,OFFSET(INDIRECT("'"&amp;EQ$67&amp;"'!g1"),K100-1,)*CR100)</f>
        <v>9602</v>
      </c>
      <c r="ER100" cm="1">
        <f t="array" aca="1" ref="ER100" ca="1">IF(ISNA(L100),0,OFFSET(INDIRECT("'"&amp;ER$67&amp;"'!g1"),L100-1,)*CS100)</f>
        <v>9996</v>
      </c>
      <c r="ES100" cm="1">
        <f t="array" aca="1" ref="ES100" ca="1">IF(ISNA(M100),0,OFFSET(INDIRECT("'"&amp;ES$67&amp;"'!g1"),M100-1,)*CT100)</f>
        <v>9131</v>
      </c>
      <c r="ET100" cm="1">
        <f t="array" aca="1" ref="ET100" ca="1">IF(ISNA(N100),0,OFFSET(INDIRECT("'"&amp;ET$67&amp;"'!g1"),N100-1,)*CU100)</f>
        <v>0</v>
      </c>
      <c r="EU100" cm="1">
        <f t="array" aca="1" ref="EU100" ca="1">IF(ISNA(O100),0,OFFSET(INDIRECT("'"&amp;EU$67&amp;"'!g1"),O100-1,)*CV100)</f>
        <v>0</v>
      </c>
      <c r="EV100" cm="1">
        <f t="array" aca="1" ref="EV100" ca="1">IF(ISNA(P100),0,OFFSET(INDIRECT("'"&amp;EV$67&amp;"'!g1"),P100-1,)*CW100)</f>
        <v>0</v>
      </c>
      <c r="FB100" s="10" cm="1">
        <f t="array" aca="1" ref="FB100" ca="1">IF(ISNA(E100),0,OFFSET(INDIRECT("'"&amp;EK$67&amp;"'!h1"),E100-1,))</f>
        <v>1</v>
      </c>
      <c r="FC100" s="10" cm="1">
        <f t="array" aca="1" ref="FC100" ca="1">IF(ISNA(F100),0,OFFSET(INDIRECT("'"&amp;EL$67&amp;"'!h1"),F100-1,))</f>
        <v>1</v>
      </c>
      <c r="FD100" s="10" cm="1">
        <f t="array" aca="1" ref="FD100" ca="1">IF(ISNA(G100),0,OFFSET(INDIRECT("'"&amp;EM$67&amp;"'!h1"),G100-1,))</f>
        <v>1</v>
      </c>
      <c r="FE100" s="10" cm="1">
        <f t="array" aca="1" ref="FE100" ca="1">IF(ISNA(H100),0,OFFSET(INDIRECT("'"&amp;EN$67&amp;"'!h1"),H100-1,))</f>
        <v>1</v>
      </c>
      <c r="FF100" s="10" cm="1">
        <f t="array" aca="1" ref="FF100" ca="1">IF(ISNA(I100),0,OFFSET(INDIRECT("'"&amp;EO$67&amp;"'!h1"),I100-1,))</f>
        <v>1</v>
      </c>
      <c r="FG100" s="10" cm="1">
        <f t="array" aca="1" ref="FG100" ca="1">IF(ISNA(J100),0,OFFSET(INDIRECT("'"&amp;EP$67&amp;"'!h1"),J100-1,))</f>
        <v>1</v>
      </c>
      <c r="FH100" s="10" cm="1">
        <f t="array" aca="1" ref="FH100" ca="1">IF(ISNA(K100),0,OFFSET(INDIRECT("'"&amp;EQ$67&amp;"'!h1"),K100-1,))</f>
        <v>10000</v>
      </c>
      <c r="FI100" s="10" cm="1">
        <f t="array" aca="1" ref="FI100" ca="1">IF(ISNA(L100),0,OFFSET(INDIRECT("'"&amp;ER$67&amp;"'!h1"),L100-1,))</f>
        <v>10000</v>
      </c>
      <c r="FJ100" s="10" cm="1">
        <f t="array" aca="1" ref="FJ100" ca="1">IF(ISNA(M100),0,OFFSET(INDIRECT("'"&amp;ES$67&amp;"'!h1"),M100-1,))</f>
        <v>10000</v>
      </c>
      <c r="FK100" s="10" cm="1">
        <f t="array" aca="1" ref="FK100" ca="1">IF(ISNA(N100),0,OFFSET(INDIRECT("'"&amp;ET$67&amp;"'!h1"),N100-1,))</f>
        <v>1</v>
      </c>
      <c r="FL100" s="10" cm="1">
        <f t="array" aca="1" ref="FL100" ca="1">IF(ISNA(O100),0,OFFSET(INDIRECT("'"&amp;EU$67&amp;"'!h1"),O100-1,))</f>
        <v>1</v>
      </c>
      <c r="FM100" s="10" cm="1">
        <f t="array" aca="1" ref="FM100" ca="1">IF(ISNA(P100),0,OFFSET(INDIRECT("'"&amp;EV$67&amp;"'!h1"),P100-1,))</f>
        <v>9</v>
      </c>
      <c r="FN100" s="10"/>
      <c r="FO100" s="10"/>
      <c r="FP100" s="10"/>
      <c r="FQ100" s="10"/>
      <c r="FS100">
        <f t="shared" ca="1" si="137"/>
        <v>40</v>
      </c>
      <c r="FT100">
        <f t="shared" ca="1" si="62"/>
        <v>1.4756115134805401</v>
      </c>
      <c r="FU100">
        <f t="shared" ca="1" si="63"/>
        <v>9602</v>
      </c>
      <c r="FV100">
        <f t="shared" ca="1" si="64"/>
        <v>10000</v>
      </c>
      <c r="FW100" s="4">
        <f t="shared" ca="1" si="138"/>
        <v>0.96020000000000005</v>
      </c>
      <c r="FX100" s="5">
        <f t="shared" ca="1" si="139"/>
        <v>1.5367751650495107E-4</v>
      </c>
      <c r="FZ100" s="13">
        <f t="shared" ca="1" si="140"/>
        <v>40</v>
      </c>
      <c r="GA100" s="23">
        <f t="shared" ca="1" si="141"/>
        <v>0</v>
      </c>
      <c r="GB100" s="23">
        <f t="shared" ca="1" si="142"/>
        <v>0</v>
      </c>
      <c r="GC100" s="23">
        <f t="shared" ca="1" si="143"/>
        <v>0</v>
      </c>
      <c r="GD100" s="23">
        <f t="shared" ca="1" si="144"/>
        <v>0</v>
      </c>
      <c r="GE100" s="23">
        <f t="shared" ca="1" si="145"/>
        <v>0</v>
      </c>
      <c r="GF100" s="23">
        <f t="shared" ca="1" si="146"/>
        <v>0</v>
      </c>
      <c r="GG100" s="23">
        <f t="shared" ca="1" si="147"/>
        <v>0</v>
      </c>
      <c r="GH100" s="23">
        <f t="shared" ca="1" si="148"/>
        <v>0</v>
      </c>
      <c r="GI100" s="23">
        <f t="shared" ca="1" si="149"/>
        <v>0</v>
      </c>
      <c r="GJ100" s="23" t="e">
        <f t="shared" ca="1" si="150"/>
        <v>#N/A</v>
      </c>
      <c r="GK100" s="23" t="e">
        <f t="shared" ca="1" si="151"/>
        <v>#N/A</v>
      </c>
      <c r="GL100" s="23" t="e">
        <f t="shared" ca="1" si="152"/>
        <v>#N/A</v>
      </c>
      <c r="GM100" s="23"/>
      <c r="GN100">
        <f t="shared" ca="1" si="153"/>
        <v>40</v>
      </c>
      <c r="GO100" s="5">
        <f t="shared" ca="1" si="154"/>
        <v>1.370655886</v>
      </c>
      <c r="GP100" s="5">
        <f t="shared" ca="1" si="155"/>
        <v>4.2709355919999998</v>
      </c>
      <c r="GQ100" s="5">
        <f t="shared" ca="1" si="156"/>
        <v>1.4464353599999999</v>
      </c>
      <c r="GR100" s="5">
        <f t="shared" ca="1" si="157"/>
        <v>4.1952197949999803</v>
      </c>
      <c r="GS100" s="5">
        <f t="shared" ca="1" si="158"/>
        <v>5.51419170005829E-2</v>
      </c>
      <c r="GT100" s="5">
        <f t="shared" ca="1" si="159"/>
        <v>8.1119579728692701E-2</v>
      </c>
      <c r="GU100" s="5">
        <f t="shared" ca="1" si="160"/>
        <v>1.5367751650495107E-4</v>
      </c>
      <c r="GV100" s="5">
        <f t="shared" ca="1" si="161"/>
        <v>2.2018488597910362E-4</v>
      </c>
      <c r="GW100" s="5">
        <f t="shared" ca="1" si="162"/>
        <v>2.8704554056225495E-3</v>
      </c>
      <c r="GX100" s="5" t="e">
        <f t="shared" ca="1" si="163"/>
        <v>#N/A</v>
      </c>
      <c r="GY100" s="5" t="e">
        <f t="shared" ca="1" si="164"/>
        <v>#N/A</v>
      </c>
      <c r="GZ100" s="5" t="e">
        <f t="shared" ca="1" si="165"/>
        <v>#N/A</v>
      </c>
      <c r="HB100" s="13">
        <f t="shared" ca="1" si="166"/>
        <v>40</v>
      </c>
      <c r="HC100" s="4">
        <f t="shared" ca="1" si="167"/>
        <v>1</v>
      </c>
      <c r="HD100" s="4">
        <f t="shared" ca="1" si="168"/>
        <v>1</v>
      </c>
      <c r="HE100" s="4">
        <f t="shared" ca="1" si="169"/>
        <v>1</v>
      </c>
      <c r="HF100" s="4">
        <f t="shared" ca="1" si="170"/>
        <v>1</v>
      </c>
      <c r="HG100" s="4">
        <f t="shared" ca="1" si="171"/>
        <v>1</v>
      </c>
      <c r="HH100" s="4">
        <f t="shared" ca="1" si="172"/>
        <v>1</v>
      </c>
      <c r="HI100" s="4">
        <f t="shared" ca="1" si="173"/>
        <v>0.96020000000000005</v>
      </c>
      <c r="HJ100" s="4">
        <f t="shared" ca="1" si="174"/>
        <v>0.99960000000000004</v>
      </c>
      <c r="HK100" s="4">
        <f t="shared" ca="1" si="175"/>
        <v>0.91310000000000002</v>
      </c>
      <c r="HL100" s="4">
        <f t="shared" ca="1" si="176"/>
        <v>0</v>
      </c>
      <c r="HM100" s="4">
        <f t="shared" ca="1" si="177"/>
        <v>0</v>
      </c>
      <c r="HN100" s="4">
        <f t="shared" ca="1" si="178"/>
        <v>0</v>
      </c>
    </row>
    <row r="101" spans="1:222" x14ac:dyDescent="0.2">
      <c r="A101" t="str" cm="1">
        <f t="array" aca="1" ref="A101" ca="1">INDIRECT($A$67&amp;"!A"&amp;ROW(C34)+$B$64)</f>
        <v>[[41,8,17]]</v>
      </c>
      <c r="B101" cm="1">
        <f t="array" aca="1" ref="B101" ca="1">INDIRECT($A$67&amp;"!b"&amp;ROW(D34)+$B$64)</f>
        <v>41</v>
      </c>
      <c r="C101">
        <f t="shared" ca="1" si="78"/>
        <v>17</v>
      </c>
      <c r="E101">
        <f t="shared" ca="1" si="72"/>
        <v>58</v>
      </c>
      <c r="F101">
        <f t="shared" ca="1" si="72"/>
        <v>59</v>
      </c>
      <c r="G101">
        <f t="shared" ca="1" si="72"/>
        <v>58</v>
      </c>
      <c r="H101">
        <f t="shared" ca="1" si="72"/>
        <v>58</v>
      </c>
      <c r="I101">
        <f t="shared" ca="1" si="72"/>
        <v>61</v>
      </c>
      <c r="J101">
        <f t="shared" ca="1" si="72"/>
        <v>58</v>
      </c>
      <c r="K101">
        <f t="shared" ca="1" si="72"/>
        <v>65</v>
      </c>
      <c r="L101">
        <f t="shared" ca="1" si="72"/>
        <v>67</v>
      </c>
      <c r="M101">
        <f t="shared" ca="1" si="72"/>
        <v>64</v>
      </c>
      <c r="N101">
        <f t="shared" ca="1" si="72"/>
        <v>62</v>
      </c>
      <c r="O101">
        <f t="shared" ca="1" si="72"/>
        <v>62</v>
      </c>
      <c r="P101">
        <f t="shared" ca="1" si="72"/>
        <v>62</v>
      </c>
      <c r="V101" cm="1">
        <f t="array" aca="1" ref="V101" ca="1">IF(ISNA(E101),,OFFSET(INDIRECT("'"&amp;V$67&amp;"'!d1"),E101-1,))</f>
        <v>17</v>
      </c>
      <c r="W101" cm="1">
        <f t="array" aca="1" ref="W101" ca="1">IF(ISNA(F101),,OFFSET(INDIRECT("'"&amp;W$67&amp;"'!d1"),F101-1,))</f>
        <v>17</v>
      </c>
      <c r="X101" cm="1">
        <f t="array" aca="1" ref="X101" ca="1">IF(ISNA(G101),,OFFSET(INDIRECT("'"&amp;X$67&amp;"'!d1"),G101-1,))</f>
        <v>17</v>
      </c>
      <c r="Y101" cm="1">
        <f t="array" aca="1" ref="Y101" ca="1">IF(ISNA(H101),,OFFSET(INDIRECT("'"&amp;Y$67&amp;"'!d1"),H101-1,))</f>
        <v>17</v>
      </c>
      <c r="Z101" cm="1">
        <f t="array" aca="1" ref="Z101" ca="1">IF(ISNA(I101),,OFFSET(INDIRECT("'"&amp;Z$67&amp;"'!d1"),I101-1,))</f>
        <v>17</v>
      </c>
      <c r="AA101" cm="1">
        <f t="array" aca="1" ref="AA101" ca="1">IF(ISNA(J101),,OFFSET(INDIRECT("'"&amp;AA$67&amp;"'!d1"),J101-1,))</f>
        <v>17</v>
      </c>
      <c r="AB101" cm="1">
        <f t="array" aca="1" ref="AB101" ca="1">IF(ISNA(K101),,OFFSET(INDIRECT("'"&amp;AB$67&amp;"'!d1"),K101-1,))</f>
        <v>17</v>
      </c>
      <c r="AC101" cm="1">
        <f t="array" aca="1" ref="AC101" ca="1">IF(ISNA(L101),,OFFSET(INDIRECT("'"&amp;AC$67&amp;"'!d1"),L101-1,))</f>
        <v>17</v>
      </c>
      <c r="AD101" cm="1">
        <f t="array" aca="1" ref="AD101" ca="1">IF(ISNA(M101),,OFFSET(INDIRECT("'"&amp;AD$67&amp;"'!d1"),M101-1,))</f>
        <v>17</v>
      </c>
      <c r="AE101" cm="1">
        <f t="array" aca="1" ref="AE101" ca="1">IF(ISNA(N101),,OFFSET(INDIRECT("'"&amp;AE$67&amp;"'!d1"),N101-1,))</f>
        <v>0</v>
      </c>
      <c r="AF101" cm="1">
        <f t="array" aca="1" ref="AF101" ca="1">IF(ISNA(O101),,OFFSET(INDIRECT("'"&amp;AF$67&amp;"'!d1"),O101-1,))</f>
        <v>0</v>
      </c>
      <c r="AG101" cm="1">
        <f t="array" aca="1" ref="AG101" ca="1">IF(ISNA(P101),,OFFSET(INDIRECT("'"&amp;AG$67&amp;"'!d1"),P101-1,))</f>
        <v>0</v>
      </c>
      <c r="AM101">
        <f t="shared" ca="1" si="79"/>
        <v>1</v>
      </c>
      <c r="AN101">
        <f t="shared" ca="1" si="80"/>
        <v>1</v>
      </c>
      <c r="AO101">
        <f t="shared" ca="1" si="81"/>
        <v>1</v>
      </c>
      <c r="AP101">
        <f t="shared" ca="1" si="82"/>
        <v>1</v>
      </c>
      <c r="AQ101">
        <f t="shared" ca="1" si="83"/>
        <v>1</v>
      </c>
      <c r="AV101" t="b">
        <f t="shared" ca="1" si="84"/>
        <v>1</v>
      </c>
      <c r="AW101" t="b">
        <f t="shared" ca="1" si="85"/>
        <v>1</v>
      </c>
      <c r="AX101" t="b">
        <f t="shared" ca="1" si="86"/>
        <v>1</v>
      </c>
      <c r="AY101" t="b">
        <f t="shared" ca="1" si="87"/>
        <v>1</v>
      </c>
      <c r="AZ101" t="b">
        <f t="shared" ca="1" si="88"/>
        <v>1</v>
      </c>
      <c r="BD101">
        <f t="shared" ca="1" si="89"/>
        <v>1</v>
      </c>
      <c r="BE101">
        <f t="shared" ca="1" si="90"/>
        <v>1</v>
      </c>
      <c r="BF101">
        <f t="shared" ca="1" si="91"/>
        <v>1</v>
      </c>
      <c r="BG101">
        <f t="shared" ca="1" si="92"/>
        <v>1</v>
      </c>
      <c r="BH101">
        <f t="shared" ca="1" si="93"/>
        <v>1</v>
      </c>
      <c r="BI101">
        <f t="shared" ca="1" si="94"/>
        <v>1</v>
      </c>
      <c r="BJ101">
        <f t="shared" ca="1" si="95"/>
        <v>1</v>
      </c>
      <c r="BK101">
        <f t="shared" ca="1" si="96"/>
        <v>1</v>
      </c>
      <c r="BL101">
        <f t="shared" ca="1" si="97"/>
        <v>1</v>
      </c>
      <c r="BM101">
        <f t="shared" ca="1" si="98"/>
        <v>0</v>
      </c>
      <c r="BN101">
        <f t="shared" ca="1" si="99"/>
        <v>0</v>
      </c>
      <c r="BO101">
        <f t="shared" ca="1" si="100"/>
        <v>0</v>
      </c>
      <c r="BU101">
        <f t="shared" ca="1" si="101"/>
        <v>17</v>
      </c>
      <c r="BV101">
        <f t="shared" ca="1" si="102"/>
        <v>17</v>
      </c>
      <c r="BW101">
        <f t="shared" ca="1" si="103"/>
        <v>17</v>
      </c>
      <c r="BX101">
        <f t="shared" ca="1" si="104"/>
        <v>17</v>
      </c>
      <c r="BY101">
        <f t="shared" ca="1" si="105"/>
        <v>17</v>
      </c>
      <c r="BZ101">
        <f t="shared" ca="1" si="106"/>
        <v>17</v>
      </c>
      <c r="CA101">
        <f t="shared" ca="1" si="107"/>
        <v>17</v>
      </c>
      <c r="CB101">
        <f t="shared" ca="1" si="108"/>
        <v>17</v>
      </c>
      <c r="CC101">
        <f t="shared" ca="1" si="109"/>
        <v>17</v>
      </c>
      <c r="CD101">
        <f t="shared" ca="1" si="110"/>
        <v>41</v>
      </c>
      <c r="CE101">
        <f t="shared" ca="1" si="111"/>
        <v>41</v>
      </c>
      <c r="CF101">
        <f t="shared" ca="1" si="112"/>
        <v>41</v>
      </c>
      <c r="CL101">
        <f t="shared" ca="1" si="113"/>
        <v>1</v>
      </c>
      <c r="CM101">
        <f t="shared" ca="1" si="114"/>
        <v>1</v>
      </c>
      <c r="CN101">
        <f t="shared" ca="1" si="115"/>
        <v>1</v>
      </c>
      <c r="CO101">
        <f t="shared" ca="1" si="116"/>
        <v>1</v>
      </c>
      <c r="CP101">
        <f t="shared" ca="1" si="117"/>
        <v>1</v>
      </c>
      <c r="CQ101">
        <f t="shared" ca="1" si="118"/>
        <v>1</v>
      </c>
      <c r="CR101">
        <f t="shared" ca="1" si="119"/>
        <v>1</v>
      </c>
      <c r="CS101">
        <f t="shared" ca="1" si="120"/>
        <v>1</v>
      </c>
      <c r="CT101">
        <f t="shared" ca="1" si="121"/>
        <v>1</v>
      </c>
      <c r="CU101">
        <f t="shared" ca="1" si="122"/>
        <v>0</v>
      </c>
      <c r="CV101">
        <f t="shared" ca="1" si="123"/>
        <v>0</v>
      </c>
      <c r="CW101">
        <f t="shared" ca="1" si="124"/>
        <v>0</v>
      </c>
      <c r="DC101" cm="1">
        <f t="array" aca="1" ref="DC101" ca="1">IF(ISNA(E101),,OFFSET(INDIRECT("'"&amp;DT$67&amp;"'!f1"),E101-1,))*1</f>
        <v>0.14415507000000999</v>
      </c>
      <c r="DD101" cm="1">
        <f t="array" aca="1" ref="DD101" ca="1">IF(ISNA(F101),,OFFSET(INDIRECT("'"&amp;DU$67&amp;"'!f1"),F101-1,))*1</f>
        <v>0.66253385100000595</v>
      </c>
      <c r="DE101" cm="1">
        <f t="array" aca="1" ref="DE101" ca="1">IF(ISNA(G101),,OFFSET(INDIRECT("'"&amp;DV$67&amp;"'!f1"),G101-1,))*1</f>
        <v>6.9254685999993598E-2</v>
      </c>
      <c r="DF101" cm="1">
        <f t="array" aca="1" ref="DF101" ca="1">IF(ISNA(H101),,OFFSET(INDIRECT("'"&amp;DW$67&amp;"'!f1"),H101-1,))*1</f>
        <v>6.9563823000009906E-2</v>
      </c>
      <c r="DG101" cm="1">
        <f t="array" aca="1" ref="DG101" ca="1">IF(ISNA(I101),,OFFSET(INDIRECT("'"&amp;DX$67&amp;"'!f1"),I101-1,))*1</f>
        <v>5.7326207999722101E-2</v>
      </c>
      <c r="DH101" cm="1">
        <f t="array" aca="1" ref="DH101" ca="1">IF(ISNA(J101),,OFFSET(INDIRECT("'"&amp;DY$67&amp;"'!f1"),J101-1,))*1</f>
        <v>9.1394188348203897E-2</v>
      </c>
      <c r="DI101" cm="1">
        <f t="array" aca="1" ref="DI101" ca="1">IF(ISNA(K101),,OFFSET(INDIRECT("'"&amp;DZ$67&amp;"'!f1"),K101-1,))*1</f>
        <v>1.5390508566051699</v>
      </c>
      <c r="DJ101" cm="1">
        <f t="array" aca="1" ref="DJ101" ca="1">IF(ISNA(L101),,OFFSET(INDIRECT("'"&amp;EA$67&amp;"'!f1"),L101-1,))*1</f>
        <v>2.2287898054346398</v>
      </c>
      <c r="DK101" cm="1">
        <f t="array" aca="1" ref="DK101" ca="1">IF(ISNA(M101),,OFFSET(INDIRECT("'"&amp;EB$67&amp;"'!f1"),M101-1,))*1</f>
        <v>18.650725627318</v>
      </c>
      <c r="DL101" cm="1">
        <f t="array" aca="1" ref="DL101" ca="1">IF(ISNA(N101),,OFFSET(INDIRECT("'"&amp;EC$67&amp;"'!f1"),N101-1,))*1</f>
        <v>5.9865657240152298E-3</v>
      </c>
      <c r="DM101" cm="1">
        <f t="array" aca="1" ref="DM101" ca="1">IF(ISNA(O101),,OFFSET(INDIRECT("'"&amp;ED$67&amp;"'!f1"),O101-1,))*1</f>
        <v>5.2518481388688001E-3</v>
      </c>
      <c r="DN101" cm="1">
        <f t="array" aca="1" ref="DN101" ca="1">IF(ISNA(P101),,OFFSET(INDIRECT("'"&amp;EE$67&amp;"'!f1"),P101-1,))*1</f>
        <v>7.8357793390750798E-3</v>
      </c>
      <c r="DT101">
        <f t="shared" ca="1" si="125"/>
        <v>1</v>
      </c>
      <c r="DU101">
        <f t="shared" ca="1" si="126"/>
        <v>1</v>
      </c>
      <c r="DV101">
        <f t="shared" ca="1" si="127"/>
        <v>1</v>
      </c>
      <c r="DW101">
        <f t="shared" ca="1" si="128"/>
        <v>1</v>
      </c>
      <c r="DX101">
        <f t="shared" ca="1" si="129"/>
        <v>1</v>
      </c>
      <c r="DY101">
        <f t="shared" ca="1" si="130"/>
        <v>1</v>
      </c>
      <c r="DZ101">
        <f t="shared" ca="1" si="131"/>
        <v>9351</v>
      </c>
      <c r="EA101">
        <f t="shared" ca="1" si="132"/>
        <v>9988</v>
      </c>
      <c r="EB101">
        <f t="shared" ca="1" si="133"/>
        <v>9017</v>
      </c>
      <c r="EC101">
        <f t="shared" ca="1" si="134"/>
        <v>0</v>
      </c>
      <c r="ED101">
        <f t="shared" ca="1" si="135"/>
        <v>0</v>
      </c>
      <c r="EE101">
        <f t="shared" ca="1" si="136"/>
        <v>0</v>
      </c>
      <c r="EK101" cm="1">
        <f t="array" aca="1" ref="EK101" ca="1">IF(ISNA(E101),0,OFFSET(INDIRECT("'"&amp;EK$67&amp;"'!g1"),E101-1,)*CL101)</f>
        <v>1</v>
      </c>
      <c r="EL101" cm="1">
        <f t="array" aca="1" ref="EL101" ca="1">IF(ISNA(F101),0,OFFSET(INDIRECT("'"&amp;EL$67&amp;"'!g1"),F101-1,)*CM101)</f>
        <v>1</v>
      </c>
      <c r="EM101" cm="1">
        <f t="array" aca="1" ref="EM101" ca="1">IF(ISNA(G101),0,OFFSET(INDIRECT("'"&amp;EM$67&amp;"'!g1"),G101-1,)*CN101)</f>
        <v>1</v>
      </c>
      <c r="EN101" cm="1">
        <f t="array" aca="1" ref="EN101" ca="1">IF(ISNA(H101),0,OFFSET(INDIRECT("'"&amp;EN$67&amp;"'!g1"),H101-1,)*CO101)</f>
        <v>1</v>
      </c>
      <c r="EO101" cm="1">
        <f t="array" aca="1" ref="EO101" ca="1">IF(ISNA(I101),0,OFFSET(INDIRECT("'"&amp;EO$67&amp;"'!g1"),I101-1,)*CP101)</f>
        <v>1</v>
      </c>
      <c r="EP101" cm="1">
        <f t="array" aca="1" ref="EP101" ca="1">IF(ISNA(J101),0,OFFSET(INDIRECT("'"&amp;EP$67&amp;"'!g1"),J101-1,)*CQ101)</f>
        <v>1</v>
      </c>
      <c r="EQ101" cm="1">
        <f t="array" aca="1" ref="EQ101" ca="1">IF(ISNA(K101),0,OFFSET(INDIRECT("'"&amp;EQ$67&amp;"'!g1"),K101-1,)*CR101)</f>
        <v>9351</v>
      </c>
      <c r="ER101" cm="1">
        <f t="array" aca="1" ref="ER101" ca="1">IF(ISNA(L101),0,OFFSET(INDIRECT("'"&amp;ER$67&amp;"'!g1"),L101-1,)*CS101)</f>
        <v>9988</v>
      </c>
      <c r="ES101" cm="1">
        <f t="array" aca="1" ref="ES101" ca="1">IF(ISNA(M101),0,OFFSET(INDIRECT("'"&amp;ES$67&amp;"'!g1"),M101-1,)*CT101)</f>
        <v>9017</v>
      </c>
      <c r="ET101" cm="1">
        <f t="array" aca="1" ref="ET101" ca="1">IF(ISNA(N101),0,OFFSET(INDIRECT("'"&amp;ET$67&amp;"'!g1"),N101-1,)*CU101)</f>
        <v>0</v>
      </c>
      <c r="EU101" cm="1">
        <f t="array" aca="1" ref="EU101" ca="1">IF(ISNA(O101),0,OFFSET(INDIRECT("'"&amp;EU$67&amp;"'!g1"),O101-1,)*CV101)</f>
        <v>0</v>
      </c>
      <c r="EV101" cm="1">
        <f t="array" aca="1" ref="EV101" ca="1">IF(ISNA(P101),0,OFFSET(INDIRECT("'"&amp;EV$67&amp;"'!g1"),P101-1,)*CW101)</f>
        <v>0</v>
      </c>
      <c r="FB101" s="10" cm="1">
        <f t="array" aca="1" ref="FB101" ca="1">IF(ISNA(E101),0,OFFSET(INDIRECT("'"&amp;EK$67&amp;"'!h1"),E101-1,))</f>
        <v>1</v>
      </c>
      <c r="FC101" s="10" cm="1">
        <f t="array" aca="1" ref="FC101" ca="1">IF(ISNA(F101),0,OFFSET(INDIRECT("'"&amp;EL$67&amp;"'!h1"),F101-1,))</f>
        <v>1</v>
      </c>
      <c r="FD101" s="10" cm="1">
        <f t="array" aca="1" ref="FD101" ca="1">IF(ISNA(G101),0,OFFSET(INDIRECT("'"&amp;EM$67&amp;"'!h1"),G101-1,))</f>
        <v>1</v>
      </c>
      <c r="FE101" s="10" cm="1">
        <f t="array" aca="1" ref="FE101" ca="1">IF(ISNA(H101),0,OFFSET(INDIRECT("'"&amp;EN$67&amp;"'!h1"),H101-1,))</f>
        <v>1</v>
      </c>
      <c r="FF101" s="10" cm="1">
        <f t="array" aca="1" ref="FF101" ca="1">IF(ISNA(I101),0,OFFSET(INDIRECT("'"&amp;EO$67&amp;"'!h1"),I101-1,))</f>
        <v>1</v>
      </c>
      <c r="FG101" s="10" cm="1">
        <f t="array" aca="1" ref="FG101" ca="1">IF(ISNA(J101),0,OFFSET(INDIRECT("'"&amp;EP$67&amp;"'!h1"),J101-1,))</f>
        <v>1</v>
      </c>
      <c r="FH101" s="10" cm="1">
        <f t="array" aca="1" ref="FH101" ca="1">IF(ISNA(K101),0,OFFSET(INDIRECT("'"&amp;EQ$67&amp;"'!h1"),K101-1,))</f>
        <v>10000</v>
      </c>
      <c r="FI101" s="10" cm="1">
        <f t="array" aca="1" ref="FI101" ca="1">IF(ISNA(L101),0,OFFSET(INDIRECT("'"&amp;ER$67&amp;"'!h1"),L101-1,))</f>
        <v>10000</v>
      </c>
      <c r="FJ101" s="10" cm="1">
        <f t="array" aca="1" ref="FJ101" ca="1">IF(ISNA(M101),0,OFFSET(INDIRECT("'"&amp;ES$67&amp;"'!h1"),M101-1,))</f>
        <v>10000</v>
      </c>
      <c r="FK101" s="10" cm="1">
        <f t="array" aca="1" ref="FK101" ca="1">IF(ISNA(N101),0,OFFSET(INDIRECT("'"&amp;ET$67&amp;"'!h1"),N101-1,))</f>
        <v>1</v>
      </c>
      <c r="FL101" s="10" cm="1">
        <f t="array" aca="1" ref="FL101" ca="1">IF(ISNA(O101),0,OFFSET(INDIRECT("'"&amp;EU$67&amp;"'!h1"),O101-1,))</f>
        <v>1</v>
      </c>
      <c r="FM101" s="10" cm="1">
        <f t="array" aca="1" ref="FM101" ca="1">IF(ISNA(P101),0,OFFSET(INDIRECT("'"&amp;EV$67&amp;"'!h1"),P101-1,))</f>
        <v>9</v>
      </c>
      <c r="FN101" s="10"/>
      <c r="FO101" s="10"/>
      <c r="FP101" s="10"/>
      <c r="FQ101" s="10"/>
      <c r="FS101">
        <f t="shared" ca="1" si="137"/>
        <v>41</v>
      </c>
      <c r="FT101">
        <f t="shared" ca="1" si="62"/>
        <v>1.5390508566051699</v>
      </c>
      <c r="FU101">
        <f t="shared" ca="1" si="63"/>
        <v>9351</v>
      </c>
      <c r="FV101">
        <f t="shared" ca="1" si="64"/>
        <v>10000</v>
      </c>
      <c r="FW101" s="4">
        <f t="shared" ca="1" si="138"/>
        <v>0.93510000000000004</v>
      </c>
      <c r="FX101" s="5">
        <f t="shared" ca="1" si="139"/>
        <v>1.6458676682763019E-4</v>
      </c>
      <c r="FZ101" s="13">
        <f t="shared" ca="1" si="140"/>
        <v>41</v>
      </c>
      <c r="GA101" s="23">
        <f t="shared" ca="1" si="141"/>
        <v>0</v>
      </c>
      <c r="GB101" s="23">
        <f t="shared" ca="1" si="142"/>
        <v>0</v>
      </c>
      <c r="GC101" s="23">
        <f t="shared" ca="1" si="143"/>
        <v>0</v>
      </c>
      <c r="GD101" s="23">
        <f t="shared" ca="1" si="144"/>
        <v>0</v>
      </c>
      <c r="GE101" s="23">
        <f t="shared" ca="1" si="145"/>
        <v>0</v>
      </c>
      <c r="GF101" s="23">
        <f t="shared" ca="1" si="146"/>
        <v>0</v>
      </c>
      <c r="GG101" s="23">
        <f t="shared" ca="1" si="147"/>
        <v>0</v>
      </c>
      <c r="GH101" s="23">
        <f t="shared" ca="1" si="148"/>
        <v>0</v>
      </c>
      <c r="GI101" s="23">
        <f t="shared" ca="1" si="149"/>
        <v>0</v>
      </c>
      <c r="GJ101" s="23" t="e">
        <f t="shared" ca="1" si="150"/>
        <v>#N/A</v>
      </c>
      <c r="GK101" s="23" t="e">
        <f t="shared" ca="1" si="151"/>
        <v>#N/A</v>
      </c>
      <c r="GL101" s="23" t="e">
        <f t="shared" ca="1" si="152"/>
        <v>#N/A</v>
      </c>
      <c r="GM101" s="23"/>
      <c r="GN101">
        <f t="shared" ca="1" si="153"/>
        <v>41</v>
      </c>
      <c r="GO101" s="5">
        <f t="shared" ca="1" si="154"/>
        <v>0.14415507000000999</v>
      </c>
      <c r="GP101" s="5">
        <f t="shared" ca="1" si="155"/>
        <v>0.66253385100000595</v>
      </c>
      <c r="GQ101" s="5">
        <f t="shared" ca="1" si="156"/>
        <v>6.9254685999993598E-2</v>
      </c>
      <c r="GR101" s="5">
        <f t="shared" ca="1" si="157"/>
        <v>6.9563823000009906E-2</v>
      </c>
      <c r="GS101" s="5">
        <f t="shared" ca="1" si="158"/>
        <v>5.7326207999722101E-2</v>
      </c>
      <c r="GT101" s="5">
        <f t="shared" ca="1" si="159"/>
        <v>9.1394188348203897E-2</v>
      </c>
      <c r="GU101" s="5">
        <f t="shared" ca="1" si="160"/>
        <v>1.6458676682763019E-4</v>
      </c>
      <c r="GV101" s="5">
        <f t="shared" ca="1" si="161"/>
        <v>2.231467566514457E-4</v>
      </c>
      <c r="GW101" s="5">
        <f t="shared" ca="1" si="162"/>
        <v>2.0683958774889654E-3</v>
      </c>
      <c r="GX101" s="5" t="e">
        <f t="shared" ca="1" si="163"/>
        <v>#N/A</v>
      </c>
      <c r="GY101" s="5" t="e">
        <f t="shared" ca="1" si="164"/>
        <v>#N/A</v>
      </c>
      <c r="GZ101" s="5" t="e">
        <f t="shared" ca="1" si="165"/>
        <v>#N/A</v>
      </c>
      <c r="HB101" s="13">
        <f t="shared" ca="1" si="166"/>
        <v>41</v>
      </c>
      <c r="HC101" s="4">
        <f t="shared" ca="1" si="167"/>
        <v>1</v>
      </c>
      <c r="HD101" s="4">
        <f t="shared" ca="1" si="168"/>
        <v>1</v>
      </c>
      <c r="HE101" s="4">
        <f t="shared" ca="1" si="169"/>
        <v>1</v>
      </c>
      <c r="HF101" s="4">
        <f t="shared" ca="1" si="170"/>
        <v>1</v>
      </c>
      <c r="HG101" s="4">
        <f t="shared" ca="1" si="171"/>
        <v>1</v>
      </c>
      <c r="HH101" s="4">
        <f t="shared" ca="1" si="172"/>
        <v>1</v>
      </c>
      <c r="HI101" s="4">
        <f t="shared" ca="1" si="173"/>
        <v>0.93510000000000004</v>
      </c>
      <c r="HJ101" s="4">
        <f t="shared" ca="1" si="174"/>
        <v>0.99880000000000002</v>
      </c>
      <c r="HK101" s="4">
        <f t="shared" ca="1" si="175"/>
        <v>0.90169999999999995</v>
      </c>
      <c r="HL101" s="4">
        <f t="shared" ca="1" si="176"/>
        <v>0</v>
      </c>
      <c r="HM101" s="4">
        <f t="shared" ca="1" si="177"/>
        <v>0</v>
      </c>
      <c r="HN101" s="4">
        <f t="shared" ca="1" si="178"/>
        <v>0</v>
      </c>
    </row>
    <row r="102" spans="1:222" x14ac:dyDescent="0.2">
      <c r="A102" t="str" cm="1">
        <f t="array" aca="1" ref="A102" ca="1">INDIRECT($A$67&amp;"!A"&amp;ROW(C35)+$B$64)</f>
        <v>[[42,9,17]]</v>
      </c>
      <c r="B102" cm="1">
        <f t="array" aca="1" ref="B102" ca="1">INDIRECT($A$67&amp;"!b"&amp;ROW(D35)+$B$64)</f>
        <v>42</v>
      </c>
      <c r="C102">
        <f t="shared" ca="1" si="78"/>
        <v>17</v>
      </c>
      <c r="E102">
        <f t="shared" ca="1" si="72"/>
        <v>59</v>
      </c>
      <c r="F102">
        <f t="shared" ca="1" si="72"/>
        <v>60</v>
      </c>
      <c r="G102">
        <f t="shared" ca="1" si="72"/>
        <v>59</v>
      </c>
      <c r="H102">
        <f t="shared" ca="1" si="72"/>
        <v>59</v>
      </c>
      <c r="I102">
        <f t="shared" ca="1" si="72"/>
        <v>62</v>
      </c>
      <c r="J102">
        <f t="shared" ca="1" si="72"/>
        <v>59</v>
      </c>
      <c r="K102">
        <f t="shared" ca="1" si="72"/>
        <v>66</v>
      </c>
      <c r="L102">
        <f t="shared" ca="1" si="72"/>
        <v>68</v>
      </c>
      <c r="M102">
        <f t="shared" ca="1" si="72"/>
        <v>65</v>
      </c>
      <c r="N102">
        <f t="shared" ca="1" si="72"/>
        <v>63</v>
      </c>
      <c r="O102">
        <f t="shared" ca="1" si="72"/>
        <v>63</v>
      </c>
      <c r="P102">
        <f t="shared" ca="1" si="72"/>
        <v>63</v>
      </c>
      <c r="V102" cm="1">
        <f t="array" aca="1" ref="V102" ca="1">IF(ISNA(E102),,OFFSET(INDIRECT("'"&amp;V$67&amp;"'!d1"),E102-1,))</f>
        <v>17</v>
      </c>
      <c r="W102" cm="1">
        <f t="array" aca="1" ref="W102" ca="1">IF(ISNA(F102),,OFFSET(INDIRECT("'"&amp;W$67&amp;"'!d1"),F102-1,))</f>
        <v>17</v>
      </c>
      <c r="X102" cm="1">
        <f t="array" aca="1" ref="X102" ca="1">IF(ISNA(G102),,OFFSET(INDIRECT("'"&amp;X$67&amp;"'!d1"),G102-1,))</f>
        <v>17</v>
      </c>
      <c r="Y102" cm="1">
        <f t="array" aca="1" ref="Y102" ca="1">IF(ISNA(H102),,OFFSET(INDIRECT("'"&amp;Y$67&amp;"'!d1"),H102-1,))</f>
        <v>17</v>
      </c>
      <c r="Z102" cm="1">
        <f t="array" aca="1" ref="Z102" ca="1">IF(ISNA(I102),,OFFSET(INDIRECT("'"&amp;Z$67&amp;"'!d1"),I102-1,))</f>
        <v>17</v>
      </c>
      <c r="AA102" cm="1">
        <f t="array" aca="1" ref="AA102" ca="1">IF(ISNA(J102),,OFFSET(INDIRECT("'"&amp;AA$67&amp;"'!d1"),J102-1,))</f>
        <v>17</v>
      </c>
      <c r="AB102" cm="1">
        <f t="array" aca="1" ref="AB102" ca="1">IF(ISNA(K102),,OFFSET(INDIRECT("'"&amp;AB$67&amp;"'!d1"),K102-1,))</f>
        <v>17</v>
      </c>
      <c r="AC102" cm="1">
        <f t="array" aca="1" ref="AC102" ca="1">IF(ISNA(L102),,OFFSET(INDIRECT("'"&amp;AC$67&amp;"'!d1"),L102-1,))</f>
        <v>17</v>
      </c>
      <c r="AD102" cm="1">
        <f t="array" aca="1" ref="AD102" ca="1">IF(ISNA(M102),,OFFSET(INDIRECT("'"&amp;AD$67&amp;"'!d1"),M102-1,))</f>
        <v>17</v>
      </c>
      <c r="AE102" cm="1">
        <f t="array" aca="1" ref="AE102" ca="1">IF(ISNA(N102),,OFFSET(INDIRECT("'"&amp;AE$67&amp;"'!d1"),N102-1,))</f>
        <v>0</v>
      </c>
      <c r="AF102" cm="1">
        <f t="array" aca="1" ref="AF102" ca="1">IF(ISNA(O102),,OFFSET(INDIRECT("'"&amp;AF$67&amp;"'!d1"),O102-1,))</f>
        <v>0</v>
      </c>
      <c r="AG102" cm="1">
        <f t="array" aca="1" ref="AG102" ca="1">IF(ISNA(P102),,OFFSET(INDIRECT("'"&amp;AG$67&amp;"'!d1"),P102-1,))</f>
        <v>0</v>
      </c>
      <c r="AM102">
        <f t="shared" ca="1" si="79"/>
        <v>1</v>
      </c>
      <c r="AN102">
        <f t="shared" ca="1" si="80"/>
        <v>1</v>
      </c>
      <c r="AO102">
        <f t="shared" ca="1" si="81"/>
        <v>1</v>
      </c>
      <c r="AP102">
        <f t="shared" ca="1" si="82"/>
        <v>1</v>
      </c>
      <c r="AQ102">
        <f t="shared" ca="1" si="83"/>
        <v>1</v>
      </c>
      <c r="AV102" t="b">
        <f t="shared" ca="1" si="84"/>
        <v>1</v>
      </c>
      <c r="AW102" t="b">
        <f t="shared" ca="1" si="85"/>
        <v>1</v>
      </c>
      <c r="AX102" t="b">
        <f t="shared" ca="1" si="86"/>
        <v>1</v>
      </c>
      <c r="AY102" t="b">
        <f t="shared" ca="1" si="87"/>
        <v>1</v>
      </c>
      <c r="AZ102" t="b">
        <f t="shared" ca="1" si="88"/>
        <v>1</v>
      </c>
      <c r="BD102">
        <f t="shared" ca="1" si="89"/>
        <v>1</v>
      </c>
      <c r="BE102">
        <f t="shared" ca="1" si="90"/>
        <v>1</v>
      </c>
      <c r="BF102">
        <f t="shared" ca="1" si="91"/>
        <v>1</v>
      </c>
      <c r="BG102">
        <f t="shared" ca="1" si="92"/>
        <v>1</v>
      </c>
      <c r="BH102">
        <f t="shared" ca="1" si="93"/>
        <v>1</v>
      </c>
      <c r="BI102">
        <f t="shared" ca="1" si="94"/>
        <v>1</v>
      </c>
      <c r="BJ102">
        <f t="shared" ca="1" si="95"/>
        <v>1</v>
      </c>
      <c r="BK102">
        <f t="shared" ca="1" si="96"/>
        <v>1</v>
      </c>
      <c r="BL102">
        <f t="shared" ca="1" si="97"/>
        <v>1</v>
      </c>
      <c r="BM102">
        <f t="shared" ca="1" si="98"/>
        <v>0</v>
      </c>
      <c r="BN102">
        <f t="shared" ca="1" si="99"/>
        <v>0</v>
      </c>
      <c r="BO102">
        <f t="shared" ca="1" si="100"/>
        <v>0</v>
      </c>
      <c r="BU102">
        <f t="shared" ca="1" si="101"/>
        <v>17</v>
      </c>
      <c r="BV102">
        <f t="shared" ca="1" si="102"/>
        <v>17</v>
      </c>
      <c r="BW102">
        <f t="shared" ca="1" si="103"/>
        <v>17</v>
      </c>
      <c r="BX102">
        <f t="shared" ca="1" si="104"/>
        <v>17</v>
      </c>
      <c r="BY102">
        <f t="shared" ca="1" si="105"/>
        <v>17</v>
      </c>
      <c r="BZ102">
        <f t="shared" ca="1" si="106"/>
        <v>17</v>
      </c>
      <c r="CA102">
        <f t="shared" ca="1" si="107"/>
        <v>17</v>
      </c>
      <c r="CB102">
        <f t="shared" ca="1" si="108"/>
        <v>17</v>
      </c>
      <c r="CC102">
        <f t="shared" ca="1" si="109"/>
        <v>17</v>
      </c>
      <c r="CD102">
        <f t="shared" ca="1" si="110"/>
        <v>42</v>
      </c>
      <c r="CE102">
        <f t="shared" ca="1" si="111"/>
        <v>42</v>
      </c>
      <c r="CF102">
        <f t="shared" ca="1" si="112"/>
        <v>42</v>
      </c>
      <c r="CL102">
        <f t="shared" ca="1" si="113"/>
        <v>1</v>
      </c>
      <c r="CM102">
        <f t="shared" ca="1" si="114"/>
        <v>1</v>
      </c>
      <c r="CN102">
        <f t="shared" ca="1" si="115"/>
        <v>1</v>
      </c>
      <c r="CO102">
        <f t="shared" ca="1" si="116"/>
        <v>1</v>
      </c>
      <c r="CP102">
        <f t="shared" ca="1" si="117"/>
        <v>1</v>
      </c>
      <c r="CQ102">
        <f t="shared" ca="1" si="118"/>
        <v>1</v>
      </c>
      <c r="CR102">
        <f t="shared" ca="1" si="119"/>
        <v>1</v>
      </c>
      <c r="CS102">
        <f t="shared" ca="1" si="120"/>
        <v>1</v>
      </c>
      <c r="CT102">
        <f t="shared" ca="1" si="121"/>
        <v>1</v>
      </c>
      <c r="CU102">
        <f t="shared" ca="1" si="122"/>
        <v>0</v>
      </c>
      <c r="CV102">
        <f t="shared" ca="1" si="123"/>
        <v>0</v>
      </c>
      <c r="CW102">
        <f t="shared" ca="1" si="124"/>
        <v>0</v>
      </c>
      <c r="DC102" cm="1">
        <f t="array" aca="1" ref="DC102" ca="1">IF(ISNA(E102),,OFFSET(INDIRECT("'"&amp;DT$67&amp;"'!f1"),E102-1,))*1</f>
        <v>0.24467955199997901</v>
      </c>
      <c r="DD102" cm="1">
        <f t="array" aca="1" ref="DD102" ca="1">IF(ISNA(F102),,OFFSET(INDIRECT("'"&amp;DU$67&amp;"'!f1"),F102-1,))*1</f>
        <v>1.0426757609999899</v>
      </c>
      <c r="DE102" cm="1">
        <f t="array" aca="1" ref="DE102" ca="1">IF(ISNA(G102),,OFFSET(INDIRECT("'"&amp;DV$67&amp;"'!f1"),G102-1,))*1</f>
        <v>0.206056141000004</v>
      </c>
      <c r="DF102" cm="1">
        <f t="array" aca="1" ref="DF102" ca="1">IF(ISNA(H102),,OFFSET(INDIRECT("'"&amp;DW$67&amp;"'!f1"),H102-1,))*1</f>
        <v>0.42186363499999402</v>
      </c>
      <c r="DG102" cm="1">
        <f t="array" aca="1" ref="DG102" ca="1">IF(ISNA(I102),,OFFSET(INDIRECT("'"&amp;DX$67&amp;"'!f1"),I102-1,))*1</f>
        <v>5.4675500003213501E-2</v>
      </c>
      <c r="DH102" cm="1">
        <f t="array" aca="1" ref="DH102" ca="1">IF(ISNA(J102),,OFFSET(INDIRECT("'"&amp;DY$67&amp;"'!f1"),J102-1,))*1</f>
        <v>9.3861935660243007E-2</v>
      </c>
      <c r="DI102" cm="1">
        <f t="array" aca="1" ref="DI102" ca="1">IF(ISNA(K102),,OFFSET(INDIRECT("'"&amp;DZ$67&amp;"'!f1"),K102-1,))*1</f>
        <v>1.5938838617876101</v>
      </c>
      <c r="DJ102" cm="1">
        <f t="array" aca="1" ref="DJ102" ca="1">IF(ISNA(L102),,OFFSET(INDIRECT("'"&amp;EA$67&amp;"'!f1"),L102-1,))*1</f>
        <v>2.2894786298274901</v>
      </c>
      <c r="DK102" cm="1">
        <f t="array" aca="1" ref="DK102" ca="1">IF(ISNA(M102),,OFFSET(INDIRECT("'"&amp;EB$67&amp;"'!f1"),M102-1,))*1</f>
        <v>17.695171457715301</v>
      </c>
      <c r="DL102" cm="1">
        <f t="array" aca="1" ref="DL102" ca="1">IF(ISNA(N102),,OFFSET(INDIRECT("'"&amp;EC$67&amp;"'!f1"),N102-1,))*1</f>
        <v>4.6835467219352696E-3</v>
      </c>
      <c r="DM102" cm="1">
        <f t="array" aca="1" ref="DM102" ca="1">IF(ISNA(O102),,OFFSET(INDIRECT("'"&amp;ED$67&amp;"'!f1"),O102-1,))*1</f>
        <v>6.6767018288373904E-3</v>
      </c>
      <c r="DN102" cm="1">
        <f t="array" aca="1" ref="DN102" ca="1">IF(ISNA(P102),,OFFSET(INDIRECT("'"&amp;EE$67&amp;"'!f1"),P102-1,))*1</f>
        <v>8.0320388078689506E-3</v>
      </c>
      <c r="DT102">
        <f t="shared" ca="1" si="125"/>
        <v>1</v>
      </c>
      <c r="DU102">
        <f t="shared" ca="1" si="126"/>
        <v>1</v>
      </c>
      <c r="DV102">
        <f t="shared" ca="1" si="127"/>
        <v>1</v>
      </c>
      <c r="DW102">
        <f t="shared" ca="1" si="128"/>
        <v>1</v>
      </c>
      <c r="DX102">
        <f t="shared" ca="1" si="129"/>
        <v>1</v>
      </c>
      <c r="DY102">
        <f t="shared" ca="1" si="130"/>
        <v>1</v>
      </c>
      <c r="DZ102">
        <f t="shared" ca="1" si="131"/>
        <v>9784</v>
      </c>
      <c r="EA102">
        <f t="shared" ca="1" si="132"/>
        <v>9999</v>
      </c>
      <c r="EB102">
        <f t="shared" ca="1" si="133"/>
        <v>9294</v>
      </c>
      <c r="EC102">
        <f t="shared" ca="1" si="134"/>
        <v>0</v>
      </c>
      <c r="ED102">
        <f t="shared" ca="1" si="135"/>
        <v>0</v>
      </c>
      <c r="EE102">
        <f t="shared" ca="1" si="136"/>
        <v>0</v>
      </c>
      <c r="EK102" cm="1">
        <f t="array" aca="1" ref="EK102" ca="1">IF(ISNA(E102),0,OFFSET(INDIRECT("'"&amp;EK$67&amp;"'!g1"),E102-1,)*CL102)</f>
        <v>1</v>
      </c>
      <c r="EL102" cm="1">
        <f t="array" aca="1" ref="EL102" ca="1">IF(ISNA(F102),0,OFFSET(INDIRECT("'"&amp;EL$67&amp;"'!g1"),F102-1,)*CM102)</f>
        <v>1</v>
      </c>
      <c r="EM102" cm="1">
        <f t="array" aca="1" ref="EM102" ca="1">IF(ISNA(G102),0,OFFSET(INDIRECT("'"&amp;EM$67&amp;"'!g1"),G102-1,)*CN102)</f>
        <v>1</v>
      </c>
      <c r="EN102" cm="1">
        <f t="array" aca="1" ref="EN102" ca="1">IF(ISNA(H102),0,OFFSET(INDIRECT("'"&amp;EN$67&amp;"'!g1"),H102-1,)*CO102)</f>
        <v>1</v>
      </c>
      <c r="EO102" cm="1">
        <f t="array" aca="1" ref="EO102" ca="1">IF(ISNA(I102),0,OFFSET(INDIRECT("'"&amp;EO$67&amp;"'!g1"),I102-1,)*CP102)</f>
        <v>1</v>
      </c>
      <c r="EP102" cm="1">
        <f t="array" aca="1" ref="EP102" ca="1">IF(ISNA(J102),0,OFFSET(INDIRECT("'"&amp;EP$67&amp;"'!g1"),J102-1,)*CQ102)</f>
        <v>1</v>
      </c>
      <c r="EQ102" cm="1">
        <f t="array" aca="1" ref="EQ102" ca="1">IF(ISNA(K102),0,OFFSET(INDIRECT("'"&amp;EQ$67&amp;"'!g1"),K102-1,)*CR102)</f>
        <v>9784</v>
      </c>
      <c r="ER102" cm="1">
        <f t="array" aca="1" ref="ER102" ca="1">IF(ISNA(L102),0,OFFSET(INDIRECT("'"&amp;ER$67&amp;"'!g1"),L102-1,)*CS102)</f>
        <v>9999</v>
      </c>
      <c r="ES102" cm="1">
        <f t="array" aca="1" ref="ES102" ca="1">IF(ISNA(M102),0,OFFSET(INDIRECT("'"&amp;ES$67&amp;"'!g1"),M102-1,)*CT102)</f>
        <v>9294</v>
      </c>
      <c r="ET102" cm="1">
        <f t="array" aca="1" ref="ET102" ca="1">IF(ISNA(N102),0,OFFSET(INDIRECT("'"&amp;ET$67&amp;"'!g1"),N102-1,)*CU102)</f>
        <v>0</v>
      </c>
      <c r="EU102" cm="1">
        <f t="array" aca="1" ref="EU102" ca="1">IF(ISNA(O102),0,OFFSET(INDIRECT("'"&amp;EU$67&amp;"'!g1"),O102-1,)*CV102)</f>
        <v>0</v>
      </c>
      <c r="EV102" cm="1">
        <f t="array" aca="1" ref="EV102" ca="1">IF(ISNA(P102),0,OFFSET(INDIRECT("'"&amp;EV$67&amp;"'!g1"),P102-1,)*CW102)</f>
        <v>0</v>
      </c>
      <c r="FB102" s="10" cm="1">
        <f t="array" aca="1" ref="FB102" ca="1">IF(ISNA(E102),0,OFFSET(INDIRECT("'"&amp;EK$67&amp;"'!h1"),E102-1,))</f>
        <v>1</v>
      </c>
      <c r="FC102" s="10" cm="1">
        <f t="array" aca="1" ref="FC102" ca="1">IF(ISNA(F102),0,OFFSET(INDIRECT("'"&amp;EL$67&amp;"'!h1"),F102-1,))</f>
        <v>1</v>
      </c>
      <c r="FD102" s="10" cm="1">
        <f t="array" aca="1" ref="FD102" ca="1">IF(ISNA(G102),0,OFFSET(INDIRECT("'"&amp;EM$67&amp;"'!h1"),G102-1,))</f>
        <v>1</v>
      </c>
      <c r="FE102" s="10" cm="1">
        <f t="array" aca="1" ref="FE102" ca="1">IF(ISNA(H102),0,OFFSET(INDIRECT("'"&amp;EN$67&amp;"'!h1"),H102-1,))</f>
        <v>1</v>
      </c>
      <c r="FF102" s="10" cm="1">
        <f t="array" aca="1" ref="FF102" ca="1">IF(ISNA(I102),0,OFFSET(INDIRECT("'"&amp;EO$67&amp;"'!h1"),I102-1,))</f>
        <v>1</v>
      </c>
      <c r="FG102" s="10" cm="1">
        <f t="array" aca="1" ref="FG102" ca="1">IF(ISNA(J102),0,OFFSET(INDIRECT("'"&amp;EP$67&amp;"'!h1"),J102-1,))</f>
        <v>1</v>
      </c>
      <c r="FH102" s="10" cm="1">
        <f t="array" aca="1" ref="FH102" ca="1">IF(ISNA(K102),0,OFFSET(INDIRECT("'"&amp;EQ$67&amp;"'!h1"),K102-1,))</f>
        <v>10000</v>
      </c>
      <c r="FI102" s="10" cm="1">
        <f t="array" aca="1" ref="FI102" ca="1">IF(ISNA(L102),0,OFFSET(INDIRECT("'"&amp;ER$67&amp;"'!h1"),L102-1,))</f>
        <v>10000</v>
      </c>
      <c r="FJ102" s="10" cm="1">
        <f t="array" aca="1" ref="FJ102" ca="1">IF(ISNA(M102),0,OFFSET(INDIRECT("'"&amp;ES$67&amp;"'!h1"),M102-1,))</f>
        <v>10000</v>
      </c>
      <c r="FK102" s="10" cm="1">
        <f t="array" aca="1" ref="FK102" ca="1">IF(ISNA(N102),0,OFFSET(INDIRECT("'"&amp;ET$67&amp;"'!h1"),N102-1,))</f>
        <v>1</v>
      </c>
      <c r="FL102" s="10" cm="1">
        <f t="array" aca="1" ref="FL102" ca="1">IF(ISNA(O102),0,OFFSET(INDIRECT("'"&amp;EU$67&amp;"'!h1"),O102-1,))</f>
        <v>1</v>
      </c>
      <c r="FM102" s="10" cm="1">
        <f t="array" aca="1" ref="FM102" ca="1">IF(ISNA(P102),0,OFFSET(INDIRECT("'"&amp;EV$67&amp;"'!h1"),P102-1,))</f>
        <v>9</v>
      </c>
      <c r="FN102" s="10"/>
      <c r="FO102" s="10"/>
      <c r="FP102" s="10"/>
      <c r="FQ102" s="10"/>
      <c r="FS102">
        <f t="shared" ca="1" si="137"/>
        <v>42</v>
      </c>
      <c r="FT102">
        <f t="shared" ca="1" si="62"/>
        <v>1.5938838617876101</v>
      </c>
      <c r="FU102">
        <f t="shared" ca="1" si="63"/>
        <v>9784</v>
      </c>
      <c r="FV102">
        <f t="shared" ca="1" si="64"/>
        <v>10000</v>
      </c>
      <c r="FW102" s="4">
        <f t="shared" ca="1" si="138"/>
        <v>0.97840000000000005</v>
      </c>
      <c r="FX102" s="5">
        <f t="shared" ca="1" si="139"/>
        <v>1.6290718129472712E-4</v>
      </c>
      <c r="FZ102" s="13">
        <f t="shared" ca="1" si="140"/>
        <v>42</v>
      </c>
      <c r="GA102" s="23">
        <f t="shared" ca="1" si="141"/>
        <v>0</v>
      </c>
      <c r="GB102" s="23">
        <f t="shared" ca="1" si="142"/>
        <v>0</v>
      </c>
      <c r="GC102" s="23">
        <f t="shared" ca="1" si="143"/>
        <v>0</v>
      </c>
      <c r="GD102" s="23">
        <f t="shared" ca="1" si="144"/>
        <v>0</v>
      </c>
      <c r="GE102" s="23">
        <f t="shared" ca="1" si="145"/>
        <v>0</v>
      </c>
      <c r="GF102" s="23">
        <f t="shared" ca="1" si="146"/>
        <v>0</v>
      </c>
      <c r="GG102" s="23">
        <f t="shared" ca="1" si="147"/>
        <v>0</v>
      </c>
      <c r="GH102" s="23">
        <f t="shared" ca="1" si="148"/>
        <v>0</v>
      </c>
      <c r="GI102" s="23">
        <f t="shared" ca="1" si="149"/>
        <v>0</v>
      </c>
      <c r="GJ102" s="23" t="e">
        <f t="shared" ca="1" si="150"/>
        <v>#N/A</v>
      </c>
      <c r="GK102" s="23" t="e">
        <f t="shared" ca="1" si="151"/>
        <v>#N/A</v>
      </c>
      <c r="GL102" s="23" t="e">
        <f t="shared" ca="1" si="152"/>
        <v>#N/A</v>
      </c>
      <c r="GM102" s="23"/>
      <c r="GN102">
        <f t="shared" ca="1" si="153"/>
        <v>42</v>
      </c>
      <c r="GO102" s="5">
        <f t="shared" ca="1" si="154"/>
        <v>0.24467955199997901</v>
      </c>
      <c r="GP102" s="5">
        <f t="shared" ca="1" si="155"/>
        <v>1.0426757609999899</v>
      </c>
      <c r="GQ102" s="5">
        <f t="shared" ca="1" si="156"/>
        <v>0.206056141000004</v>
      </c>
      <c r="GR102" s="5">
        <f t="shared" ca="1" si="157"/>
        <v>0.42186363499999402</v>
      </c>
      <c r="GS102" s="5">
        <f t="shared" ca="1" si="158"/>
        <v>5.4675500003213501E-2</v>
      </c>
      <c r="GT102" s="5">
        <f t="shared" ca="1" si="159"/>
        <v>9.3861935660243007E-2</v>
      </c>
      <c r="GU102" s="5">
        <f t="shared" ca="1" si="160"/>
        <v>1.6290718129472712E-4</v>
      </c>
      <c r="GV102" s="5">
        <f t="shared" ca="1" si="161"/>
        <v>2.2897076005875489E-4</v>
      </c>
      <c r="GW102" s="5">
        <f t="shared" ca="1" si="162"/>
        <v>1.9039349534877663E-3</v>
      </c>
      <c r="GX102" s="5" t="e">
        <f t="shared" ca="1" si="163"/>
        <v>#N/A</v>
      </c>
      <c r="GY102" s="5" t="e">
        <f t="shared" ca="1" si="164"/>
        <v>#N/A</v>
      </c>
      <c r="GZ102" s="5" t="e">
        <f t="shared" ca="1" si="165"/>
        <v>#N/A</v>
      </c>
      <c r="HB102" s="13">
        <f t="shared" ca="1" si="166"/>
        <v>42</v>
      </c>
      <c r="HC102" s="4">
        <f t="shared" ca="1" si="167"/>
        <v>1</v>
      </c>
      <c r="HD102" s="4">
        <f t="shared" ca="1" si="168"/>
        <v>1</v>
      </c>
      <c r="HE102" s="4">
        <f t="shared" ca="1" si="169"/>
        <v>1</v>
      </c>
      <c r="HF102" s="4">
        <f t="shared" ca="1" si="170"/>
        <v>1</v>
      </c>
      <c r="HG102" s="4">
        <f t="shared" ca="1" si="171"/>
        <v>1</v>
      </c>
      <c r="HH102" s="4">
        <f t="shared" ca="1" si="172"/>
        <v>1</v>
      </c>
      <c r="HI102" s="4">
        <f t="shared" ca="1" si="173"/>
        <v>0.97840000000000005</v>
      </c>
      <c r="HJ102" s="4">
        <f t="shared" ca="1" si="174"/>
        <v>0.99990000000000001</v>
      </c>
      <c r="HK102" s="4">
        <f t="shared" ca="1" si="175"/>
        <v>0.9294</v>
      </c>
      <c r="HL102" s="4">
        <f t="shared" ca="1" si="176"/>
        <v>0</v>
      </c>
      <c r="HM102" s="4">
        <f t="shared" ca="1" si="177"/>
        <v>0</v>
      </c>
      <c r="HN102" s="4">
        <f t="shared" ca="1" si="178"/>
        <v>0</v>
      </c>
    </row>
    <row r="103" spans="1:222" x14ac:dyDescent="0.2">
      <c r="A103" t="str" cm="1">
        <f t="array" aca="1" ref="A103" ca="1">INDIRECT($A$67&amp;"!A"&amp;ROW(C36)+$B$64)</f>
        <v>[[43,22,9]]</v>
      </c>
      <c r="B103" cm="1">
        <f t="array" aca="1" ref="B103" ca="1">INDIRECT($A$67&amp;"!b"&amp;ROW(D36)+$B$64)</f>
        <v>43</v>
      </c>
      <c r="C103">
        <f t="shared" ca="1" si="78"/>
        <v>9</v>
      </c>
      <c r="E103">
        <f t="shared" ca="1" si="72"/>
        <v>60</v>
      </c>
      <c r="F103">
        <f t="shared" ca="1" si="72"/>
        <v>61</v>
      </c>
      <c r="G103">
        <f t="shared" ca="1" si="72"/>
        <v>60</v>
      </c>
      <c r="H103">
        <f t="shared" ca="1" si="72"/>
        <v>60</v>
      </c>
      <c r="I103">
        <f t="shared" ca="1" si="72"/>
        <v>63</v>
      </c>
      <c r="J103">
        <f t="shared" ca="1" si="72"/>
        <v>60</v>
      </c>
      <c r="K103">
        <f t="shared" ca="1" si="72"/>
        <v>67</v>
      </c>
      <c r="L103">
        <f t="shared" ca="1" si="72"/>
        <v>69</v>
      </c>
      <c r="M103">
        <f t="shared" ca="1" si="72"/>
        <v>66</v>
      </c>
      <c r="N103">
        <f t="shared" ca="1" si="72"/>
        <v>64</v>
      </c>
      <c r="O103">
        <f t="shared" ca="1" si="72"/>
        <v>64</v>
      </c>
      <c r="P103">
        <f t="shared" ca="1" si="72"/>
        <v>64</v>
      </c>
      <c r="V103" cm="1">
        <f t="array" aca="1" ref="V103" ca="1">IF(ISNA(E103),,OFFSET(INDIRECT("'"&amp;V$67&amp;"'!d1"),E103-1,))</f>
        <v>9</v>
      </c>
      <c r="W103" cm="1">
        <f t="array" aca="1" ref="W103" ca="1">IF(ISNA(F103),,OFFSET(INDIRECT("'"&amp;W$67&amp;"'!d1"),F103-1,))</f>
        <v>9</v>
      </c>
      <c r="X103" cm="1">
        <f t="array" aca="1" ref="X103" ca="1">IF(ISNA(G103),,OFFSET(INDIRECT("'"&amp;X$67&amp;"'!d1"),G103-1,))</f>
        <v>9</v>
      </c>
      <c r="Y103" cm="1">
        <f t="array" aca="1" ref="Y103" ca="1">IF(ISNA(H103),,OFFSET(INDIRECT("'"&amp;Y$67&amp;"'!d1"),H103-1,))</f>
        <v>9</v>
      </c>
      <c r="Z103" cm="1">
        <f t="array" aca="1" ref="Z103" ca="1">IF(ISNA(I103),,OFFSET(INDIRECT("'"&amp;Z$67&amp;"'!d1"),I103-1,))</f>
        <v>9</v>
      </c>
      <c r="AA103" cm="1">
        <f t="array" aca="1" ref="AA103" ca="1">IF(ISNA(J103),,OFFSET(INDIRECT("'"&amp;AA$67&amp;"'!d1"),J103-1,))</f>
        <v>9</v>
      </c>
      <c r="AB103" cm="1">
        <f t="array" aca="1" ref="AB103" ca="1">IF(ISNA(K103),,OFFSET(INDIRECT("'"&amp;AB$67&amp;"'!d1"),K103-1,))</f>
        <v>9</v>
      </c>
      <c r="AC103" cm="1">
        <f t="array" aca="1" ref="AC103" ca="1">IF(ISNA(L103),,OFFSET(INDIRECT("'"&amp;AC$67&amp;"'!d1"),L103-1,))</f>
        <v>9</v>
      </c>
      <c r="AD103" cm="1">
        <f t="array" aca="1" ref="AD103" ca="1">IF(ISNA(M103),,OFFSET(INDIRECT("'"&amp;AD$67&amp;"'!d1"),M103-1,))</f>
        <v>9</v>
      </c>
      <c r="AE103" cm="1">
        <f t="array" aca="1" ref="AE103" ca="1">IF(ISNA(N103),,OFFSET(INDIRECT("'"&amp;AE$67&amp;"'!d1"),N103-1,))</f>
        <v>0</v>
      </c>
      <c r="AF103" cm="1">
        <f t="array" aca="1" ref="AF103" ca="1">IF(ISNA(O103),,OFFSET(INDIRECT("'"&amp;AF$67&amp;"'!d1"),O103-1,))</f>
        <v>0</v>
      </c>
      <c r="AG103" cm="1">
        <f t="array" aca="1" ref="AG103" ca="1">IF(ISNA(P103),,OFFSET(INDIRECT("'"&amp;AG$67&amp;"'!d1"),P103-1,))</f>
        <v>9</v>
      </c>
      <c r="AM103">
        <f t="shared" ca="1" si="79"/>
        <v>1</v>
      </c>
      <c r="AN103">
        <f t="shared" ca="1" si="80"/>
        <v>1</v>
      </c>
      <c r="AO103">
        <f t="shared" ca="1" si="81"/>
        <v>1</v>
      </c>
      <c r="AP103">
        <f t="shared" ca="1" si="82"/>
        <v>1</v>
      </c>
      <c r="AQ103">
        <f t="shared" ca="1" si="83"/>
        <v>1</v>
      </c>
      <c r="AV103" t="b">
        <f t="shared" ca="1" si="84"/>
        <v>1</v>
      </c>
      <c r="AW103" t="b">
        <f t="shared" ca="1" si="85"/>
        <v>1</v>
      </c>
      <c r="AX103" t="b">
        <f t="shared" ca="1" si="86"/>
        <v>1</v>
      </c>
      <c r="AY103" t="b">
        <f t="shared" ca="1" si="87"/>
        <v>1</v>
      </c>
      <c r="AZ103" t="b">
        <f t="shared" ca="1" si="88"/>
        <v>1</v>
      </c>
      <c r="BD103">
        <f t="shared" ca="1" si="89"/>
        <v>1</v>
      </c>
      <c r="BE103">
        <f t="shared" ca="1" si="90"/>
        <v>1</v>
      </c>
      <c r="BF103">
        <f t="shared" ca="1" si="91"/>
        <v>1</v>
      </c>
      <c r="BG103">
        <f t="shared" ca="1" si="92"/>
        <v>1</v>
      </c>
      <c r="BH103">
        <f t="shared" ca="1" si="93"/>
        <v>1</v>
      </c>
      <c r="BI103">
        <f t="shared" ca="1" si="94"/>
        <v>1</v>
      </c>
      <c r="BJ103">
        <f t="shared" ca="1" si="95"/>
        <v>1</v>
      </c>
      <c r="BK103">
        <f t="shared" ca="1" si="96"/>
        <v>1</v>
      </c>
      <c r="BL103">
        <f t="shared" ca="1" si="97"/>
        <v>1</v>
      </c>
      <c r="BM103">
        <f t="shared" ca="1" si="98"/>
        <v>0</v>
      </c>
      <c r="BN103">
        <f t="shared" ca="1" si="99"/>
        <v>0</v>
      </c>
      <c r="BO103">
        <f t="shared" ca="1" si="100"/>
        <v>1</v>
      </c>
      <c r="BU103">
        <f t="shared" ca="1" si="101"/>
        <v>9</v>
      </c>
      <c r="BV103">
        <f t="shared" ca="1" si="102"/>
        <v>9</v>
      </c>
      <c r="BW103">
        <f t="shared" ca="1" si="103"/>
        <v>9</v>
      </c>
      <c r="BX103">
        <f t="shared" ca="1" si="104"/>
        <v>9</v>
      </c>
      <c r="BY103">
        <f t="shared" ca="1" si="105"/>
        <v>9</v>
      </c>
      <c r="BZ103">
        <f t="shared" ca="1" si="106"/>
        <v>9</v>
      </c>
      <c r="CA103">
        <f t="shared" ca="1" si="107"/>
        <v>9</v>
      </c>
      <c r="CB103">
        <f t="shared" ca="1" si="108"/>
        <v>9</v>
      </c>
      <c r="CC103">
        <f t="shared" ca="1" si="109"/>
        <v>9</v>
      </c>
      <c r="CD103">
        <f t="shared" ca="1" si="110"/>
        <v>43</v>
      </c>
      <c r="CE103">
        <f t="shared" ca="1" si="111"/>
        <v>43</v>
      </c>
      <c r="CF103">
        <f t="shared" ca="1" si="112"/>
        <v>9</v>
      </c>
      <c r="CL103">
        <f t="shared" ca="1" si="113"/>
        <v>1</v>
      </c>
      <c r="CM103">
        <f t="shared" ca="1" si="114"/>
        <v>1</v>
      </c>
      <c r="CN103">
        <f t="shared" ca="1" si="115"/>
        <v>1</v>
      </c>
      <c r="CO103">
        <f t="shared" ca="1" si="116"/>
        <v>1</v>
      </c>
      <c r="CP103">
        <f t="shared" ca="1" si="117"/>
        <v>1</v>
      </c>
      <c r="CQ103">
        <f t="shared" ca="1" si="118"/>
        <v>1</v>
      </c>
      <c r="CR103">
        <f t="shared" ca="1" si="119"/>
        <v>1</v>
      </c>
      <c r="CS103">
        <f t="shared" ca="1" si="120"/>
        <v>1</v>
      </c>
      <c r="CT103">
        <f t="shared" ca="1" si="121"/>
        <v>1</v>
      </c>
      <c r="CU103">
        <f t="shared" ca="1" si="122"/>
        <v>0</v>
      </c>
      <c r="CV103">
        <f t="shared" ca="1" si="123"/>
        <v>0</v>
      </c>
      <c r="CW103">
        <f t="shared" ca="1" si="124"/>
        <v>1</v>
      </c>
      <c r="DC103" cm="1">
        <f t="array" aca="1" ref="DC103" ca="1">IF(ISNA(E103),,OFFSET(INDIRECT("'"&amp;DT$67&amp;"'!f1"),E103-1,))*1</f>
        <v>3.78611333200001</v>
      </c>
      <c r="DD103" cm="1">
        <f t="array" aca="1" ref="DD103" ca="1">IF(ISNA(F103),,OFFSET(INDIRECT("'"&amp;DU$67&amp;"'!f1"),F103-1,))*1</f>
        <v>12.805042587000001</v>
      </c>
      <c r="DE103" cm="1">
        <f t="array" aca="1" ref="DE103" ca="1">IF(ISNA(G103),,OFFSET(INDIRECT("'"&amp;DV$67&amp;"'!f1"),G103-1,))*1</f>
        <v>8.1032291149999693</v>
      </c>
      <c r="DF103" cm="1">
        <f t="array" aca="1" ref="DF103" ca="1">IF(ISNA(H103),,OFFSET(INDIRECT("'"&amp;DW$67&amp;"'!f1"),H103-1,))*1</f>
        <v>3.9566487989999901</v>
      </c>
      <c r="DG103" cm="1">
        <f t="array" aca="1" ref="DG103" ca="1">IF(ISNA(I103),,OFFSET(INDIRECT("'"&amp;DX$67&amp;"'!f1"),I103-1,))*1</f>
        <v>5.6178500002715702E-2</v>
      </c>
      <c r="DH103" cm="1">
        <f t="array" aca="1" ref="DH103" ca="1">IF(ISNA(J103),,OFFSET(INDIRECT("'"&amp;DY$67&amp;"'!f1"),J103-1,))*1</f>
        <v>6.9774147123098304E-2</v>
      </c>
      <c r="DI103" cm="1">
        <f t="array" aca="1" ref="DI103" ca="1">IF(ISNA(K103),,OFFSET(INDIRECT("'"&amp;DZ$67&amp;"'!f1"),K103-1,))*1</f>
        <v>1.4254927691072199</v>
      </c>
      <c r="DJ103" cm="1">
        <f t="array" aca="1" ref="DJ103" ca="1">IF(ISNA(L103),,OFFSET(INDIRECT("'"&amp;EA$67&amp;"'!f1"),L103-1,))*1</f>
        <v>2.01022544503211</v>
      </c>
      <c r="DK103" cm="1">
        <f t="array" aca="1" ref="DK103" ca="1">IF(ISNA(M103),,OFFSET(INDIRECT("'"&amp;EB$67&amp;"'!f1"),M103-1,))*1</f>
        <v>44.409117386210703</v>
      </c>
      <c r="DL103" cm="1">
        <f t="array" aca="1" ref="DL103" ca="1">IF(ISNA(N103),,OFFSET(INDIRECT("'"&amp;EC$67&amp;"'!f1"),N103-1,))*1</f>
        <v>5.5387895554304097E-3</v>
      </c>
      <c r="DM103" cm="1">
        <f t="array" aca="1" ref="DM103" ca="1">IF(ISNA(O103),,OFFSET(INDIRECT("'"&amp;ED$67&amp;"'!f1"),O103-1,))*1</f>
        <v>6.4366515725850998E-3</v>
      </c>
      <c r="DN103" cm="1">
        <f t="array" aca="1" ref="DN103" ca="1">IF(ISNA(P103),,OFFSET(INDIRECT("'"&amp;EE$67&amp;"'!f1"),P103-1,))*1</f>
        <v>0.29170740768313402</v>
      </c>
      <c r="DT103">
        <f t="shared" ca="1" si="125"/>
        <v>1</v>
      </c>
      <c r="DU103">
        <f t="shared" ca="1" si="126"/>
        <v>1</v>
      </c>
      <c r="DV103">
        <f t="shared" ca="1" si="127"/>
        <v>1</v>
      </c>
      <c r="DW103">
        <f t="shared" ca="1" si="128"/>
        <v>1</v>
      </c>
      <c r="DX103">
        <f t="shared" ca="1" si="129"/>
        <v>1</v>
      </c>
      <c r="DY103">
        <f t="shared" ca="1" si="130"/>
        <v>1</v>
      </c>
      <c r="DZ103">
        <f t="shared" ca="1" si="131"/>
        <v>7398</v>
      </c>
      <c r="EA103">
        <f t="shared" ca="1" si="132"/>
        <v>8377</v>
      </c>
      <c r="EB103">
        <f t="shared" ca="1" si="133"/>
        <v>6612</v>
      </c>
      <c r="EC103">
        <f t="shared" ca="1" si="134"/>
        <v>0</v>
      </c>
      <c r="ED103">
        <f t="shared" ca="1" si="135"/>
        <v>0</v>
      </c>
      <c r="EE103">
        <f t="shared" ca="1" si="136"/>
        <v>2</v>
      </c>
      <c r="EK103" cm="1">
        <f t="array" aca="1" ref="EK103" ca="1">IF(ISNA(E103),0,OFFSET(INDIRECT("'"&amp;EK$67&amp;"'!g1"),E103-1,)*CL103)</f>
        <v>1</v>
      </c>
      <c r="EL103" cm="1">
        <f t="array" aca="1" ref="EL103" ca="1">IF(ISNA(F103),0,OFFSET(INDIRECT("'"&amp;EL$67&amp;"'!g1"),F103-1,)*CM103)</f>
        <v>1</v>
      </c>
      <c r="EM103" cm="1">
        <f t="array" aca="1" ref="EM103" ca="1">IF(ISNA(G103),0,OFFSET(INDIRECT("'"&amp;EM$67&amp;"'!g1"),G103-1,)*CN103)</f>
        <v>1</v>
      </c>
      <c r="EN103" cm="1">
        <f t="array" aca="1" ref="EN103" ca="1">IF(ISNA(H103),0,OFFSET(INDIRECT("'"&amp;EN$67&amp;"'!g1"),H103-1,)*CO103)</f>
        <v>1</v>
      </c>
      <c r="EO103" cm="1">
        <f t="array" aca="1" ref="EO103" ca="1">IF(ISNA(I103),0,OFFSET(INDIRECT("'"&amp;EO$67&amp;"'!g1"),I103-1,)*CP103)</f>
        <v>1</v>
      </c>
      <c r="EP103" cm="1">
        <f t="array" aca="1" ref="EP103" ca="1">IF(ISNA(J103),0,OFFSET(INDIRECT("'"&amp;EP$67&amp;"'!g1"),J103-1,)*CQ103)</f>
        <v>1</v>
      </c>
      <c r="EQ103" cm="1">
        <f t="array" aca="1" ref="EQ103" ca="1">IF(ISNA(K103),0,OFFSET(INDIRECT("'"&amp;EQ$67&amp;"'!g1"),K103-1,)*CR103)</f>
        <v>7398</v>
      </c>
      <c r="ER103" cm="1">
        <f t="array" aca="1" ref="ER103" ca="1">IF(ISNA(L103),0,OFFSET(INDIRECT("'"&amp;ER$67&amp;"'!g1"),L103-1,)*CS103)</f>
        <v>8377</v>
      </c>
      <c r="ES103" cm="1">
        <f t="array" aca="1" ref="ES103" ca="1">IF(ISNA(M103),0,OFFSET(INDIRECT("'"&amp;ES$67&amp;"'!g1"),M103-1,)*CT103)</f>
        <v>6612</v>
      </c>
      <c r="ET103" cm="1">
        <f t="array" aca="1" ref="ET103" ca="1">IF(ISNA(N103),0,OFFSET(INDIRECT("'"&amp;ET$67&amp;"'!g1"),N103-1,)*CU103)</f>
        <v>0</v>
      </c>
      <c r="EU103" cm="1">
        <f t="array" aca="1" ref="EU103" ca="1">IF(ISNA(O103),0,OFFSET(INDIRECT("'"&amp;EU$67&amp;"'!g1"),O103-1,)*CV103)</f>
        <v>0</v>
      </c>
      <c r="EV103" cm="1">
        <f t="array" aca="1" ref="EV103" ca="1">IF(ISNA(P103),0,OFFSET(INDIRECT("'"&amp;EV$67&amp;"'!g1"),P103-1,)*CW103)</f>
        <v>2</v>
      </c>
      <c r="FB103" s="10" cm="1">
        <f t="array" aca="1" ref="FB103" ca="1">IF(ISNA(E103),0,OFFSET(INDIRECT("'"&amp;EK$67&amp;"'!h1"),E103-1,))</f>
        <v>1</v>
      </c>
      <c r="FC103" s="10" cm="1">
        <f t="array" aca="1" ref="FC103" ca="1">IF(ISNA(F103),0,OFFSET(INDIRECT("'"&amp;EL$67&amp;"'!h1"),F103-1,))</f>
        <v>1</v>
      </c>
      <c r="FD103" s="10" cm="1">
        <f t="array" aca="1" ref="FD103" ca="1">IF(ISNA(G103),0,OFFSET(INDIRECT("'"&amp;EM$67&amp;"'!h1"),G103-1,))</f>
        <v>1</v>
      </c>
      <c r="FE103" s="10" cm="1">
        <f t="array" aca="1" ref="FE103" ca="1">IF(ISNA(H103),0,OFFSET(INDIRECT("'"&amp;EN$67&amp;"'!h1"),H103-1,))</f>
        <v>1</v>
      </c>
      <c r="FF103" s="10" cm="1">
        <f t="array" aca="1" ref="FF103" ca="1">IF(ISNA(I103),0,OFFSET(INDIRECT("'"&amp;EO$67&amp;"'!h1"),I103-1,))</f>
        <v>1</v>
      </c>
      <c r="FG103" s="10" cm="1">
        <f t="array" aca="1" ref="FG103" ca="1">IF(ISNA(J103),0,OFFSET(INDIRECT("'"&amp;EP$67&amp;"'!h1"),J103-1,))</f>
        <v>1</v>
      </c>
      <c r="FH103" s="10" cm="1">
        <f t="array" aca="1" ref="FH103" ca="1">IF(ISNA(K103),0,OFFSET(INDIRECT("'"&amp;EQ$67&amp;"'!h1"),K103-1,))</f>
        <v>10000</v>
      </c>
      <c r="FI103" s="10" cm="1">
        <f t="array" aca="1" ref="FI103" ca="1">IF(ISNA(L103),0,OFFSET(INDIRECT("'"&amp;ER$67&amp;"'!h1"),L103-1,))</f>
        <v>10000</v>
      </c>
      <c r="FJ103" s="10" cm="1">
        <f t="array" aca="1" ref="FJ103" ca="1">IF(ISNA(M103),0,OFFSET(INDIRECT("'"&amp;ES$67&amp;"'!h1"),M103-1,))</f>
        <v>10000</v>
      </c>
      <c r="FK103" s="10" cm="1">
        <f t="array" aca="1" ref="FK103" ca="1">IF(ISNA(N103),0,OFFSET(INDIRECT("'"&amp;ET$67&amp;"'!h1"),N103-1,))</f>
        <v>1</v>
      </c>
      <c r="FL103" s="10" cm="1">
        <f t="array" aca="1" ref="FL103" ca="1">IF(ISNA(O103),0,OFFSET(INDIRECT("'"&amp;EU$67&amp;"'!h1"),O103-1,))</f>
        <v>1</v>
      </c>
      <c r="FM103" s="10" cm="1">
        <f t="array" aca="1" ref="FM103" ca="1">IF(ISNA(P103),0,OFFSET(INDIRECT("'"&amp;EV$67&amp;"'!h1"),P103-1,))</f>
        <v>7</v>
      </c>
      <c r="FN103" s="10"/>
      <c r="FO103" s="10"/>
      <c r="FP103" s="10"/>
      <c r="FQ103" s="10"/>
      <c r="FS103">
        <f t="shared" ca="1" si="137"/>
        <v>43</v>
      </c>
      <c r="FT103">
        <f t="shared" ca="1" si="62"/>
        <v>1.4254927691072199</v>
      </c>
      <c r="FU103">
        <f t="shared" ca="1" si="63"/>
        <v>7398</v>
      </c>
      <c r="FV103">
        <f t="shared" ca="1" si="64"/>
        <v>10000</v>
      </c>
      <c r="FW103" s="4">
        <f t="shared" ca="1" si="138"/>
        <v>0.73980000000000001</v>
      </c>
      <c r="FX103" s="5">
        <f t="shared" ca="1" si="139"/>
        <v>1.9268623534836712E-4</v>
      </c>
      <c r="FZ103" s="13">
        <f t="shared" ca="1" si="140"/>
        <v>43</v>
      </c>
      <c r="GA103" s="23">
        <f t="shared" ca="1" si="141"/>
        <v>0</v>
      </c>
      <c r="GB103" s="23">
        <f t="shared" ca="1" si="142"/>
        <v>0</v>
      </c>
      <c r="GC103" s="23">
        <f t="shared" ca="1" si="143"/>
        <v>0</v>
      </c>
      <c r="GD103" s="23">
        <f t="shared" ca="1" si="144"/>
        <v>0</v>
      </c>
      <c r="GE103" s="23">
        <f t="shared" ca="1" si="145"/>
        <v>0</v>
      </c>
      <c r="GF103" s="23">
        <f t="shared" ca="1" si="146"/>
        <v>0</v>
      </c>
      <c r="GG103" s="23">
        <f t="shared" ca="1" si="147"/>
        <v>0</v>
      </c>
      <c r="GH103" s="23">
        <f t="shared" ca="1" si="148"/>
        <v>0</v>
      </c>
      <c r="GI103" s="23">
        <f t="shared" ca="1" si="149"/>
        <v>0</v>
      </c>
      <c r="GJ103" s="23" t="e">
        <f t="shared" ca="1" si="150"/>
        <v>#N/A</v>
      </c>
      <c r="GK103" s="23" t="e">
        <f t="shared" ca="1" si="151"/>
        <v>#N/A</v>
      </c>
      <c r="GL103" s="23">
        <f t="shared" ca="1" si="152"/>
        <v>0</v>
      </c>
      <c r="GM103" s="23"/>
      <c r="GN103">
        <f t="shared" ca="1" si="153"/>
        <v>43</v>
      </c>
      <c r="GO103" s="5">
        <f t="shared" ca="1" si="154"/>
        <v>3.78611333200001</v>
      </c>
      <c r="GP103" s="5">
        <f t="shared" ca="1" si="155"/>
        <v>12.805042587000001</v>
      </c>
      <c r="GQ103" s="5">
        <f t="shared" ca="1" si="156"/>
        <v>8.1032291149999693</v>
      </c>
      <c r="GR103" s="5">
        <f t="shared" ca="1" si="157"/>
        <v>3.9566487989999901</v>
      </c>
      <c r="GS103" s="5">
        <f t="shared" ca="1" si="158"/>
        <v>5.6178500002715702E-2</v>
      </c>
      <c r="GT103" s="5">
        <f t="shared" ca="1" si="159"/>
        <v>6.9774147123098304E-2</v>
      </c>
      <c r="GU103" s="5">
        <f t="shared" ca="1" si="160"/>
        <v>1.9268623534836712E-4</v>
      </c>
      <c r="GV103" s="5">
        <f t="shared" ca="1" si="161"/>
        <v>2.3996961263365285E-4</v>
      </c>
      <c r="GW103" s="5">
        <f t="shared" ca="1" si="162"/>
        <v>6.7164424359060348E-3</v>
      </c>
      <c r="GX103" s="5" t="e">
        <f t="shared" ca="1" si="163"/>
        <v>#N/A</v>
      </c>
      <c r="GY103" s="5" t="e">
        <f t="shared" ca="1" si="164"/>
        <v>#N/A</v>
      </c>
      <c r="GZ103" s="5">
        <f t="shared" ca="1" si="165"/>
        <v>0.14585370384156701</v>
      </c>
      <c r="HB103" s="13">
        <f t="shared" ca="1" si="166"/>
        <v>43</v>
      </c>
      <c r="HC103" s="4">
        <f t="shared" ca="1" si="167"/>
        <v>1</v>
      </c>
      <c r="HD103" s="4">
        <f t="shared" ca="1" si="168"/>
        <v>1</v>
      </c>
      <c r="HE103" s="4">
        <f t="shared" ca="1" si="169"/>
        <v>1</v>
      </c>
      <c r="HF103" s="4">
        <f t="shared" ca="1" si="170"/>
        <v>1</v>
      </c>
      <c r="HG103" s="4">
        <f t="shared" ca="1" si="171"/>
        <v>1</v>
      </c>
      <c r="HH103" s="4">
        <f t="shared" ca="1" si="172"/>
        <v>1</v>
      </c>
      <c r="HI103" s="4">
        <f t="shared" ca="1" si="173"/>
        <v>0.73980000000000001</v>
      </c>
      <c r="HJ103" s="4">
        <f t="shared" ca="1" si="174"/>
        <v>0.8377</v>
      </c>
      <c r="HK103" s="4">
        <f t="shared" ca="1" si="175"/>
        <v>0.66120000000000001</v>
      </c>
      <c r="HL103" s="4">
        <f t="shared" ca="1" si="176"/>
        <v>0</v>
      </c>
      <c r="HM103" s="4">
        <f t="shared" ca="1" si="177"/>
        <v>0</v>
      </c>
      <c r="HN103" s="4">
        <f t="shared" ca="1" si="178"/>
        <v>0.2857142857142857</v>
      </c>
    </row>
    <row r="104" spans="1:222" x14ac:dyDescent="0.2">
      <c r="A104" t="str" cm="1">
        <f t="array" aca="1" ref="A104" ca="1">INDIRECT($A$67&amp;"!A"&amp;ROW(C37)+$B$64)</f>
        <v>[[44,23,9]]</v>
      </c>
      <c r="B104" cm="1">
        <f t="array" aca="1" ref="B104" ca="1">INDIRECT($A$67&amp;"!b"&amp;ROW(D37)+$B$64)</f>
        <v>44</v>
      </c>
      <c r="C104">
        <f t="shared" ca="1" si="78"/>
        <v>9</v>
      </c>
      <c r="E104">
        <f t="shared" ca="1" si="72"/>
        <v>61</v>
      </c>
      <c r="F104">
        <f t="shared" ca="1" si="72"/>
        <v>62</v>
      </c>
      <c r="G104">
        <f t="shared" ca="1" si="72"/>
        <v>61</v>
      </c>
      <c r="H104">
        <f t="shared" ca="1" si="72"/>
        <v>61</v>
      </c>
      <c r="I104">
        <f t="shared" ca="1" si="72"/>
        <v>64</v>
      </c>
      <c r="J104">
        <f t="shared" ca="1" si="72"/>
        <v>61</v>
      </c>
      <c r="K104">
        <f t="shared" ca="1" si="72"/>
        <v>68</v>
      </c>
      <c r="L104">
        <f t="shared" ca="1" si="72"/>
        <v>70</v>
      </c>
      <c r="M104">
        <f t="shared" ca="1" si="72"/>
        <v>67</v>
      </c>
      <c r="N104">
        <f t="shared" ca="1" si="72"/>
        <v>65</v>
      </c>
      <c r="O104">
        <f t="shared" ca="1" si="72"/>
        <v>65</v>
      </c>
      <c r="P104">
        <f t="shared" ca="1" si="72"/>
        <v>65</v>
      </c>
      <c r="V104" cm="1">
        <f t="array" aca="1" ref="V104" ca="1">IF(ISNA(E104),,OFFSET(INDIRECT("'"&amp;V$67&amp;"'!d1"),E104-1,))</f>
        <v>9</v>
      </c>
      <c r="W104" cm="1">
        <f t="array" aca="1" ref="W104" ca="1">IF(ISNA(F104),,OFFSET(INDIRECT("'"&amp;W$67&amp;"'!d1"),F104-1,))</f>
        <v>9</v>
      </c>
      <c r="X104" cm="1">
        <f t="array" aca="1" ref="X104" ca="1">IF(ISNA(G104),,OFFSET(INDIRECT("'"&amp;X$67&amp;"'!d1"),G104-1,))</f>
        <v>9</v>
      </c>
      <c r="Y104" cm="1">
        <f t="array" aca="1" ref="Y104" ca="1">IF(ISNA(H104),,OFFSET(INDIRECT("'"&amp;Y$67&amp;"'!d1"),H104-1,))</f>
        <v>9</v>
      </c>
      <c r="Z104" cm="1">
        <f t="array" aca="1" ref="Z104" ca="1">IF(ISNA(I104),,OFFSET(INDIRECT("'"&amp;Z$67&amp;"'!d1"),I104-1,))</f>
        <v>9</v>
      </c>
      <c r="AA104" cm="1">
        <f t="array" aca="1" ref="AA104" ca="1">IF(ISNA(J104),,OFFSET(INDIRECT("'"&amp;AA$67&amp;"'!d1"),J104-1,))</f>
        <v>9</v>
      </c>
      <c r="AB104" cm="1">
        <f t="array" aca="1" ref="AB104" ca="1">IF(ISNA(K104),,OFFSET(INDIRECT("'"&amp;AB$67&amp;"'!d1"),K104-1,))</f>
        <v>9</v>
      </c>
      <c r="AC104" cm="1">
        <f t="array" aca="1" ref="AC104" ca="1">IF(ISNA(L104),,OFFSET(INDIRECT("'"&amp;AC$67&amp;"'!d1"),L104-1,))</f>
        <v>9</v>
      </c>
      <c r="AD104" cm="1">
        <f t="array" aca="1" ref="AD104" ca="1">IF(ISNA(M104),,OFFSET(INDIRECT("'"&amp;AD$67&amp;"'!d1"),M104-1,))</f>
        <v>9</v>
      </c>
      <c r="AE104" cm="1">
        <f t="array" aca="1" ref="AE104" ca="1">IF(ISNA(N104),,OFFSET(INDIRECT("'"&amp;AE$67&amp;"'!d1"),N104-1,))</f>
        <v>0</v>
      </c>
      <c r="AF104" cm="1">
        <f t="array" aca="1" ref="AF104" ca="1">IF(ISNA(O104),,OFFSET(INDIRECT("'"&amp;AF$67&amp;"'!d1"),O104-1,))</f>
        <v>0</v>
      </c>
      <c r="AG104" cm="1">
        <f t="array" aca="1" ref="AG104" ca="1">IF(ISNA(P104),,OFFSET(INDIRECT("'"&amp;AG$67&amp;"'!d1"),P104-1,))</f>
        <v>9</v>
      </c>
      <c r="AM104">
        <f t="shared" ca="1" si="79"/>
        <v>1</v>
      </c>
      <c r="AN104">
        <f t="shared" ca="1" si="80"/>
        <v>1</v>
      </c>
      <c r="AO104">
        <f t="shared" ca="1" si="81"/>
        <v>1</v>
      </c>
      <c r="AP104">
        <f t="shared" ca="1" si="82"/>
        <v>1</v>
      </c>
      <c r="AQ104">
        <f t="shared" ca="1" si="83"/>
        <v>1</v>
      </c>
      <c r="AV104" t="b">
        <f t="shared" ca="1" si="84"/>
        <v>1</v>
      </c>
      <c r="AW104" t="b">
        <f t="shared" ca="1" si="85"/>
        <v>1</v>
      </c>
      <c r="AX104" t="b">
        <f t="shared" ca="1" si="86"/>
        <v>1</v>
      </c>
      <c r="AY104" t="b">
        <f t="shared" ca="1" si="87"/>
        <v>1</v>
      </c>
      <c r="AZ104" t="b">
        <f t="shared" ca="1" si="88"/>
        <v>1</v>
      </c>
      <c r="BD104">
        <f t="shared" ca="1" si="89"/>
        <v>1</v>
      </c>
      <c r="BE104">
        <f t="shared" ca="1" si="90"/>
        <v>1</v>
      </c>
      <c r="BF104">
        <f t="shared" ca="1" si="91"/>
        <v>1</v>
      </c>
      <c r="BG104">
        <f t="shared" ca="1" si="92"/>
        <v>1</v>
      </c>
      <c r="BH104">
        <f t="shared" ca="1" si="93"/>
        <v>1</v>
      </c>
      <c r="BI104">
        <f t="shared" ca="1" si="94"/>
        <v>1</v>
      </c>
      <c r="BJ104">
        <f t="shared" ca="1" si="95"/>
        <v>1</v>
      </c>
      <c r="BK104">
        <f t="shared" ca="1" si="96"/>
        <v>1</v>
      </c>
      <c r="BL104">
        <f t="shared" ca="1" si="97"/>
        <v>1</v>
      </c>
      <c r="BM104">
        <f t="shared" ca="1" si="98"/>
        <v>0</v>
      </c>
      <c r="BN104">
        <f t="shared" ca="1" si="99"/>
        <v>0</v>
      </c>
      <c r="BO104">
        <f t="shared" ca="1" si="100"/>
        <v>1</v>
      </c>
      <c r="BU104">
        <f t="shared" ca="1" si="101"/>
        <v>9</v>
      </c>
      <c r="BV104">
        <f t="shared" ca="1" si="102"/>
        <v>9</v>
      </c>
      <c r="BW104">
        <f t="shared" ca="1" si="103"/>
        <v>9</v>
      </c>
      <c r="BX104">
        <f t="shared" ca="1" si="104"/>
        <v>9</v>
      </c>
      <c r="BY104">
        <f t="shared" ca="1" si="105"/>
        <v>9</v>
      </c>
      <c r="BZ104">
        <f t="shared" ca="1" si="106"/>
        <v>9</v>
      </c>
      <c r="CA104">
        <f t="shared" ca="1" si="107"/>
        <v>9</v>
      </c>
      <c r="CB104">
        <f t="shared" ca="1" si="108"/>
        <v>9</v>
      </c>
      <c r="CC104">
        <f t="shared" ca="1" si="109"/>
        <v>9</v>
      </c>
      <c r="CD104">
        <f t="shared" ca="1" si="110"/>
        <v>44</v>
      </c>
      <c r="CE104">
        <f t="shared" ca="1" si="111"/>
        <v>44</v>
      </c>
      <c r="CF104">
        <f t="shared" ca="1" si="112"/>
        <v>9</v>
      </c>
      <c r="CL104">
        <f t="shared" ca="1" si="113"/>
        <v>1</v>
      </c>
      <c r="CM104">
        <f t="shared" ca="1" si="114"/>
        <v>1</v>
      </c>
      <c r="CN104">
        <f t="shared" ca="1" si="115"/>
        <v>1</v>
      </c>
      <c r="CO104">
        <f t="shared" ca="1" si="116"/>
        <v>1</v>
      </c>
      <c r="CP104">
        <f t="shared" ca="1" si="117"/>
        <v>1</v>
      </c>
      <c r="CQ104">
        <f t="shared" ca="1" si="118"/>
        <v>1</v>
      </c>
      <c r="CR104">
        <f t="shared" ca="1" si="119"/>
        <v>1</v>
      </c>
      <c r="CS104">
        <f t="shared" ca="1" si="120"/>
        <v>1</v>
      </c>
      <c r="CT104">
        <f t="shared" ca="1" si="121"/>
        <v>1</v>
      </c>
      <c r="CU104">
        <f t="shared" ca="1" si="122"/>
        <v>0</v>
      </c>
      <c r="CV104">
        <f t="shared" ca="1" si="123"/>
        <v>0</v>
      </c>
      <c r="CW104">
        <f t="shared" ca="1" si="124"/>
        <v>1</v>
      </c>
      <c r="DC104" cm="1">
        <f t="array" aca="1" ref="DC104" ca="1">IF(ISNA(E104),,OFFSET(INDIRECT("'"&amp;DT$67&amp;"'!f1"),E104-1,))*1</f>
        <v>5.1656917450000002</v>
      </c>
      <c r="DD104" cm="1">
        <f t="array" aca="1" ref="DD104" ca="1">IF(ISNA(F104),,OFFSET(INDIRECT("'"&amp;DU$67&amp;"'!f1"),F104-1,))*1</f>
        <v>16.912995155000001</v>
      </c>
      <c r="DE104" cm="1">
        <f t="array" aca="1" ref="DE104" ca="1">IF(ISNA(G104),,OFFSET(INDIRECT("'"&amp;DV$67&amp;"'!f1"),G104-1,))*1</f>
        <v>13.483091893999999</v>
      </c>
      <c r="DF104" cm="1">
        <f t="array" aca="1" ref="DF104" ca="1">IF(ISNA(H104),,OFFSET(INDIRECT("'"&amp;DW$67&amp;"'!f1"),H104-1,))*1</f>
        <v>5.53195943700001</v>
      </c>
      <c r="DG104" cm="1">
        <f t="array" aca="1" ref="DG104" ca="1">IF(ISNA(I104),,OFFSET(INDIRECT("'"&amp;DX$67&amp;"'!f1"),I104-1,))*1</f>
        <v>5.6413457998132799E-2</v>
      </c>
      <c r="DH104" cm="1">
        <f t="array" aca="1" ref="DH104" ca="1">IF(ISNA(J104),,OFFSET(INDIRECT("'"&amp;DY$67&amp;"'!f1"),J104-1,))*1</f>
        <v>7.0218198001384693E-2</v>
      </c>
      <c r="DI104" cm="1">
        <f t="array" aca="1" ref="DI104" ca="1">IF(ISNA(K104),,OFFSET(INDIRECT("'"&amp;DZ$67&amp;"'!f1"),K104-1,))*1</f>
        <v>1.4287149542942601</v>
      </c>
      <c r="DJ104" cm="1">
        <f t="array" aca="1" ref="DJ104" ca="1">IF(ISNA(L104),,OFFSET(INDIRECT("'"&amp;EA$67&amp;"'!f1"),L104-1,))*1</f>
        <v>1.99583167955279</v>
      </c>
      <c r="DK104" cm="1">
        <f t="array" aca="1" ref="DK104" ca="1">IF(ISNA(M104),,OFFSET(INDIRECT("'"&amp;EB$67&amp;"'!f1"),M104-1,))*1</f>
        <v>46.732748643029403</v>
      </c>
      <c r="DL104" cm="1">
        <f t="array" aca="1" ref="DL104" ca="1">IF(ISNA(N104),,OFFSET(INDIRECT("'"&amp;EC$67&amp;"'!f1"),N104-1,))*1</f>
        <v>5.6784339249134003E-3</v>
      </c>
      <c r="DM104" cm="1">
        <f t="array" aca="1" ref="DM104" ca="1">IF(ISNA(O104),,OFFSET(INDIRECT("'"&amp;ED$67&amp;"'!f1"),O104-1,))*1</f>
        <v>7.7259978279471397E-3</v>
      </c>
      <c r="DN104" cm="1">
        <f t="array" aca="1" ref="DN104" ca="1">IF(ISNA(P104),,OFFSET(INDIRECT("'"&amp;EE$67&amp;"'!f1"),P104-1,))*1</f>
        <v>0.36121255438774802</v>
      </c>
      <c r="DT104">
        <f t="shared" ca="1" si="125"/>
        <v>1</v>
      </c>
      <c r="DU104">
        <f t="shared" ca="1" si="126"/>
        <v>1</v>
      </c>
      <c r="DV104">
        <f t="shared" ca="1" si="127"/>
        <v>1</v>
      </c>
      <c r="DW104">
        <f t="shared" ca="1" si="128"/>
        <v>1</v>
      </c>
      <c r="DX104">
        <f t="shared" ca="1" si="129"/>
        <v>1</v>
      </c>
      <c r="DY104">
        <f t="shared" ca="1" si="130"/>
        <v>1</v>
      </c>
      <c r="DZ104">
        <f t="shared" ca="1" si="131"/>
        <v>7495</v>
      </c>
      <c r="EA104">
        <f t="shared" ca="1" si="132"/>
        <v>9329</v>
      </c>
      <c r="EB104">
        <f t="shared" ca="1" si="133"/>
        <v>6951</v>
      </c>
      <c r="EC104">
        <f t="shared" ca="1" si="134"/>
        <v>0</v>
      </c>
      <c r="ED104">
        <f t="shared" ca="1" si="135"/>
        <v>0</v>
      </c>
      <c r="EE104">
        <f t="shared" ca="1" si="136"/>
        <v>2</v>
      </c>
      <c r="EK104" cm="1">
        <f t="array" aca="1" ref="EK104" ca="1">IF(ISNA(E104),0,OFFSET(INDIRECT("'"&amp;EK$67&amp;"'!g1"),E104-1,)*CL104)</f>
        <v>1</v>
      </c>
      <c r="EL104" cm="1">
        <f t="array" aca="1" ref="EL104" ca="1">IF(ISNA(F104),0,OFFSET(INDIRECT("'"&amp;EL$67&amp;"'!g1"),F104-1,)*CM104)</f>
        <v>1</v>
      </c>
      <c r="EM104" cm="1">
        <f t="array" aca="1" ref="EM104" ca="1">IF(ISNA(G104),0,OFFSET(INDIRECT("'"&amp;EM$67&amp;"'!g1"),G104-1,)*CN104)</f>
        <v>1</v>
      </c>
      <c r="EN104" cm="1">
        <f t="array" aca="1" ref="EN104" ca="1">IF(ISNA(H104),0,OFFSET(INDIRECT("'"&amp;EN$67&amp;"'!g1"),H104-1,)*CO104)</f>
        <v>1</v>
      </c>
      <c r="EO104" cm="1">
        <f t="array" aca="1" ref="EO104" ca="1">IF(ISNA(I104),0,OFFSET(INDIRECT("'"&amp;EO$67&amp;"'!g1"),I104-1,)*CP104)</f>
        <v>1</v>
      </c>
      <c r="EP104" cm="1">
        <f t="array" aca="1" ref="EP104" ca="1">IF(ISNA(J104),0,OFFSET(INDIRECT("'"&amp;EP$67&amp;"'!g1"),J104-1,)*CQ104)</f>
        <v>1</v>
      </c>
      <c r="EQ104" cm="1">
        <f t="array" aca="1" ref="EQ104" ca="1">IF(ISNA(K104),0,OFFSET(INDIRECT("'"&amp;EQ$67&amp;"'!g1"),K104-1,)*CR104)</f>
        <v>7495</v>
      </c>
      <c r="ER104" cm="1">
        <f t="array" aca="1" ref="ER104" ca="1">IF(ISNA(L104),0,OFFSET(INDIRECT("'"&amp;ER$67&amp;"'!g1"),L104-1,)*CS104)</f>
        <v>9329</v>
      </c>
      <c r="ES104" cm="1">
        <f t="array" aca="1" ref="ES104" ca="1">IF(ISNA(M104),0,OFFSET(INDIRECT("'"&amp;ES$67&amp;"'!g1"),M104-1,)*CT104)</f>
        <v>6951</v>
      </c>
      <c r="ET104" cm="1">
        <f t="array" aca="1" ref="ET104" ca="1">IF(ISNA(N104),0,OFFSET(INDIRECT("'"&amp;ET$67&amp;"'!g1"),N104-1,)*CU104)</f>
        <v>0</v>
      </c>
      <c r="EU104" cm="1">
        <f t="array" aca="1" ref="EU104" ca="1">IF(ISNA(O104),0,OFFSET(INDIRECT("'"&amp;EU$67&amp;"'!g1"),O104-1,)*CV104)</f>
        <v>0</v>
      </c>
      <c r="EV104" cm="1">
        <f t="array" aca="1" ref="EV104" ca="1">IF(ISNA(P104),0,OFFSET(INDIRECT("'"&amp;EV$67&amp;"'!g1"),P104-1,)*CW104)</f>
        <v>2</v>
      </c>
      <c r="FB104" s="10" cm="1">
        <f t="array" aca="1" ref="FB104" ca="1">IF(ISNA(E104),0,OFFSET(INDIRECT("'"&amp;EK$67&amp;"'!h1"),E104-1,))</f>
        <v>1</v>
      </c>
      <c r="FC104" s="10" cm="1">
        <f t="array" aca="1" ref="FC104" ca="1">IF(ISNA(F104),0,OFFSET(INDIRECT("'"&amp;EL$67&amp;"'!h1"),F104-1,))</f>
        <v>1</v>
      </c>
      <c r="FD104" s="10" cm="1">
        <f t="array" aca="1" ref="FD104" ca="1">IF(ISNA(G104),0,OFFSET(INDIRECT("'"&amp;EM$67&amp;"'!h1"),G104-1,))</f>
        <v>1</v>
      </c>
      <c r="FE104" s="10" cm="1">
        <f t="array" aca="1" ref="FE104" ca="1">IF(ISNA(H104),0,OFFSET(INDIRECT("'"&amp;EN$67&amp;"'!h1"),H104-1,))</f>
        <v>1</v>
      </c>
      <c r="FF104" s="10" cm="1">
        <f t="array" aca="1" ref="FF104" ca="1">IF(ISNA(I104),0,OFFSET(INDIRECT("'"&amp;EO$67&amp;"'!h1"),I104-1,))</f>
        <v>1</v>
      </c>
      <c r="FG104" s="10" cm="1">
        <f t="array" aca="1" ref="FG104" ca="1">IF(ISNA(J104),0,OFFSET(INDIRECT("'"&amp;EP$67&amp;"'!h1"),J104-1,))</f>
        <v>1</v>
      </c>
      <c r="FH104" s="10" cm="1">
        <f t="array" aca="1" ref="FH104" ca="1">IF(ISNA(K104),0,OFFSET(INDIRECT("'"&amp;EQ$67&amp;"'!h1"),K104-1,))</f>
        <v>10000</v>
      </c>
      <c r="FI104" s="10" cm="1">
        <f t="array" aca="1" ref="FI104" ca="1">IF(ISNA(L104),0,OFFSET(INDIRECT("'"&amp;ER$67&amp;"'!h1"),L104-1,))</f>
        <v>10000</v>
      </c>
      <c r="FJ104" s="10" cm="1">
        <f t="array" aca="1" ref="FJ104" ca="1">IF(ISNA(M104),0,OFFSET(INDIRECT("'"&amp;ES$67&amp;"'!h1"),M104-1,))</f>
        <v>10000</v>
      </c>
      <c r="FK104" s="10" cm="1">
        <f t="array" aca="1" ref="FK104" ca="1">IF(ISNA(N104),0,OFFSET(INDIRECT("'"&amp;ET$67&amp;"'!h1"),N104-1,))</f>
        <v>1</v>
      </c>
      <c r="FL104" s="10" cm="1">
        <f t="array" aca="1" ref="FL104" ca="1">IF(ISNA(O104),0,OFFSET(INDIRECT("'"&amp;EU$67&amp;"'!h1"),O104-1,))</f>
        <v>1</v>
      </c>
      <c r="FM104" s="10" cm="1">
        <f t="array" aca="1" ref="FM104" ca="1">IF(ISNA(P104),0,OFFSET(INDIRECT("'"&amp;EV$67&amp;"'!h1"),P104-1,))</f>
        <v>7</v>
      </c>
      <c r="FN104" s="10"/>
      <c r="FO104" s="10"/>
      <c r="FP104" s="10"/>
      <c r="FQ104" s="10"/>
      <c r="FS104">
        <f t="shared" ca="1" si="137"/>
        <v>44</v>
      </c>
      <c r="FT104">
        <f t="shared" ca="1" si="62"/>
        <v>1.4287149542942601</v>
      </c>
      <c r="FU104">
        <f t="shared" ca="1" si="63"/>
        <v>7495</v>
      </c>
      <c r="FV104">
        <f t="shared" ca="1" si="64"/>
        <v>10000</v>
      </c>
      <c r="FW104" s="4">
        <f t="shared" ca="1" si="138"/>
        <v>0.74950000000000006</v>
      </c>
      <c r="FX104" s="5">
        <f t="shared" ca="1" si="139"/>
        <v>1.9062240884513143E-4</v>
      </c>
      <c r="FZ104" s="13">
        <f t="shared" ca="1" si="140"/>
        <v>44</v>
      </c>
      <c r="GA104" s="23">
        <f t="shared" ca="1" si="141"/>
        <v>0</v>
      </c>
      <c r="GB104" s="23">
        <f t="shared" ca="1" si="142"/>
        <v>0</v>
      </c>
      <c r="GC104" s="23">
        <f t="shared" ca="1" si="143"/>
        <v>0</v>
      </c>
      <c r="GD104" s="23">
        <f t="shared" ca="1" si="144"/>
        <v>0</v>
      </c>
      <c r="GE104" s="23">
        <f t="shared" ca="1" si="145"/>
        <v>0</v>
      </c>
      <c r="GF104" s="23">
        <f t="shared" ca="1" si="146"/>
        <v>0</v>
      </c>
      <c r="GG104" s="23">
        <f t="shared" ca="1" si="147"/>
        <v>0</v>
      </c>
      <c r="GH104" s="23">
        <f t="shared" ca="1" si="148"/>
        <v>0</v>
      </c>
      <c r="GI104" s="23">
        <f t="shared" ca="1" si="149"/>
        <v>0</v>
      </c>
      <c r="GJ104" s="23" t="e">
        <f t="shared" ca="1" si="150"/>
        <v>#N/A</v>
      </c>
      <c r="GK104" s="23" t="e">
        <f t="shared" ca="1" si="151"/>
        <v>#N/A</v>
      </c>
      <c r="GL104" s="23">
        <f t="shared" ca="1" si="152"/>
        <v>0</v>
      </c>
      <c r="GM104" s="23"/>
      <c r="GN104">
        <f t="shared" ca="1" si="153"/>
        <v>44</v>
      </c>
      <c r="GO104" s="5">
        <f t="shared" ca="1" si="154"/>
        <v>5.1656917450000002</v>
      </c>
      <c r="GP104" s="5">
        <f t="shared" ca="1" si="155"/>
        <v>16.912995155000001</v>
      </c>
      <c r="GQ104" s="5">
        <f t="shared" ca="1" si="156"/>
        <v>13.483091893999999</v>
      </c>
      <c r="GR104" s="5">
        <f t="shared" ca="1" si="157"/>
        <v>5.53195943700001</v>
      </c>
      <c r="GS104" s="5">
        <f t="shared" ca="1" si="158"/>
        <v>5.6413457998132799E-2</v>
      </c>
      <c r="GT104" s="5">
        <f t="shared" ca="1" si="159"/>
        <v>7.0218198001384693E-2</v>
      </c>
      <c r="GU104" s="5">
        <f t="shared" ca="1" si="160"/>
        <v>1.9062240884513143E-4</v>
      </c>
      <c r="GV104" s="5">
        <f t="shared" ca="1" si="161"/>
        <v>2.1393843708358774E-4</v>
      </c>
      <c r="GW104" s="5">
        <f t="shared" ca="1" si="162"/>
        <v>6.7231691329347433E-3</v>
      </c>
      <c r="GX104" s="5" t="e">
        <f t="shared" ca="1" si="163"/>
        <v>#N/A</v>
      </c>
      <c r="GY104" s="5" t="e">
        <f t="shared" ca="1" si="164"/>
        <v>#N/A</v>
      </c>
      <c r="GZ104" s="5">
        <f t="shared" ca="1" si="165"/>
        <v>0.18060627719387401</v>
      </c>
      <c r="HB104" s="13">
        <f t="shared" ca="1" si="166"/>
        <v>44</v>
      </c>
      <c r="HC104" s="4">
        <f t="shared" ca="1" si="167"/>
        <v>1</v>
      </c>
      <c r="HD104" s="4">
        <f t="shared" ca="1" si="168"/>
        <v>1</v>
      </c>
      <c r="HE104" s="4">
        <f t="shared" ca="1" si="169"/>
        <v>1</v>
      </c>
      <c r="HF104" s="4">
        <f t="shared" ca="1" si="170"/>
        <v>1</v>
      </c>
      <c r="HG104" s="4">
        <f t="shared" ca="1" si="171"/>
        <v>1</v>
      </c>
      <c r="HH104" s="4">
        <f t="shared" ca="1" si="172"/>
        <v>1</v>
      </c>
      <c r="HI104" s="4">
        <f t="shared" ca="1" si="173"/>
        <v>0.74950000000000006</v>
      </c>
      <c r="HJ104" s="4">
        <f t="shared" ca="1" si="174"/>
        <v>0.93289999999999995</v>
      </c>
      <c r="HK104" s="4">
        <f t="shared" ca="1" si="175"/>
        <v>0.69510000000000005</v>
      </c>
      <c r="HL104" s="4">
        <f t="shared" ca="1" si="176"/>
        <v>0</v>
      </c>
      <c r="HM104" s="4">
        <f t="shared" ca="1" si="177"/>
        <v>0</v>
      </c>
      <c r="HN104" s="4">
        <f t="shared" ca="1" si="178"/>
        <v>0.2857142857142857</v>
      </c>
    </row>
    <row r="105" spans="1:222" x14ac:dyDescent="0.2">
      <c r="A105" t="str" cm="1">
        <f t="array" aca="1" ref="A105" ca="1">INDIRECT($A$67&amp;"!A"&amp;ROW(C38)+$B$64)</f>
        <v>[[45,24,9]]</v>
      </c>
      <c r="B105" cm="1">
        <f t="array" aca="1" ref="B105" ca="1">INDIRECT($A$67&amp;"!b"&amp;ROW(D38)+$B$64)</f>
        <v>45</v>
      </c>
      <c r="C105">
        <f t="shared" ca="1" si="78"/>
        <v>9</v>
      </c>
      <c r="E105">
        <f t="shared" ca="1" si="72"/>
        <v>62</v>
      </c>
      <c r="F105">
        <f t="shared" ca="1" si="72"/>
        <v>63</v>
      </c>
      <c r="G105">
        <f t="shared" ca="1" si="72"/>
        <v>62</v>
      </c>
      <c r="H105">
        <f t="shared" ref="H105:P105" ca="1" si="179">MATCH($A105,INDIRECT("'"&amp;H$67&amp;"'!A:A"),)</f>
        <v>62</v>
      </c>
      <c r="I105">
        <f t="shared" ca="1" si="179"/>
        <v>65</v>
      </c>
      <c r="J105">
        <f t="shared" ca="1" si="179"/>
        <v>62</v>
      </c>
      <c r="K105">
        <f t="shared" ca="1" si="179"/>
        <v>69</v>
      </c>
      <c r="L105">
        <f t="shared" ca="1" si="179"/>
        <v>71</v>
      </c>
      <c r="M105">
        <f t="shared" ca="1" si="179"/>
        <v>68</v>
      </c>
      <c r="N105">
        <f t="shared" ca="1" si="179"/>
        <v>66</v>
      </c>
      <c r="O105">
        <f t="shared" ca="1" si="179"/>
        <v>66</v>
      </c>
      <c r="P105">
        <f t="shared" ca="1" si="179"/>
        <v>66</v>
      </c>
      <c r="V105" cm="1">
        <f t="array" aca="1" ref="V105" ca="1">IF(ISNA(E105),,OFFSET(INDIRECT("'"&amp;V$67&amp;"'!d1"),E105-1,))</f>
        <v>9</v>
      </c>
      <c r="W105" cm="1">
        <f t="array" aca="1" ref="W105" ca="1">IF(ISNA(F105),,OFFSET(INDIRECT("'"&amp;W$67&amp;"'!d1"),F105-1,))</f>
        <v>9</v>
      </c>
      <c r="X105" cm="1">
        <f t="array" aca="1" ref="X105" ca="1">IF(ISNA(G105),,OFFSET(INDIRECT("'"&amp;X$67&amp;"'!d1"),G105-1,))</f>
        <v>9</v>
      </c>
      <c r="Y105" cm="1">
        <f t="array" aca="1" ref="Y105" ca="1">IF(ISNA(H105),,OFFSET(INDIRECT("'"&amp;Y$67&amp;"'!d1"),H105-1,))</f>
        <v>9</v>
      </c>
      <c r="Z105" cm="1">
        <f t="array" aca="1" ref="Z105" ca="1">IF(ISNA(I105),,OFFSET(INDIRECT("'"&amp;Z$67&amp;"'!d1"),I105-1,))</f>
        <v>9</v>
      </c>
      <c r="AA105" cm="1">
        <f t="array" aca="1" ref="AA105" ca="1">IF(ISNA(J105),,OFFSET(INDIRECT("'"&amp;AA$67&amp;"'!d1"),J105-1,))</f>
        <v>9</v>
      </c>
      <c r="AB105" cm="1">
        <f t="array" aca="1" ref="AB105" ca="1">IF(ISNA(K105),,OFFSET(INDIRECT("'"&amp;AB$67&amp;"'!d1"),K105-1,))</f>
        <v>9</v>
      </c>
      <c r="AC105" cm="1">
        <f t="array" aca="1" ref="AC105" ca="1">IF(ISNA(L105),,OFFSET(INDIRECT("'"&amp;AC$67&amp;"'!d1"),L105-1,))</f>
        <v>9</v>
      </c>
      <c r="AD105" cm="1">
        <f t="array" aca="1" ref="AD105" ca="1">IF(ISNA(M105),,OFFSET(INDIRECT("'"&amp;AD$67&amp;"'!d1"),M105-1,))</f>
        <v>9</v>
      </c>
      <c r="AE105" cm="1">
        <f t="array" aca="1" ref="AE105" ca="1">IF(ISNA(N105),,OFFSET(INDIRECT("'"&amp;AE$67&amp;"'!d1"),N105-1,))</f>
        <v>0</v>
      </c>
      <c r="AF105" cm="1">
        <f t="array" aca="1" ref="AF105" ca="1">IF(ISNA(O105),,OFFSET(INDIRECT("'"&amp;AF$67&amp;"'!d1"),O105-1,))</f>
        <v>0</v>
      </c>
      <c r="AG105" cm="1">
        <f t="array" aca="1" ref="AG105" ca="1">IF(ISNA(P105),,OFFSET(INDIRECT("'"&amp;AG$67&amp;"'!d1"),P105-1,))</f>
        <v>9</v>
      </c>
      <c r="AM105">
        <f t="shared" ca="1" si="79"/>
        <v>1</v>
      </c>
      <c r="AN105">
        <f t="shared" ca="1" si="80"/>
        <v>1</v>
      </c>
      <c r="AO105">
        <f t="shared" ca="1" si="81"/>
        <v>1</v>
      </c>
      <c r="AP105">
        <f t="shared" ca="1" si="82"/>
        <v>1</v>
      </c>
      <c r="AQ105">
        <f t="shared" ca="1" si="83"/>
        <v>1</v>
      </c>
      <c r="AV105" t="b">
        <f t="shared" ca="1" si="84"/>
        <v>1</v>
      </c>
      <c r="AW105" t="b">
        <f t="shared" ca="1" si="85"/>
        <v>1</v>
      </c>
      <c r="AX105" t="b">
        <f t="shared" ca="1" si="86"/>
        <v>1</v>
      </c>
      <c r="AY105" t="b">
        <f t="shared" ca="1" si="87"/>
        <v>1</v>
      </c>
      <c r="AZ105" t="b">
        <f t="shared" ca="1" si="88"/>
        <v>1</v>
      </c>
      <c r="BD105">
        <f t="shared" ca="1" si="89"/>
        <v>1</v>
      </c>
      <c r="BE105">
        <f t="shared" ca="1" si="90"/>
        <v>1</v>
      </c>
      <c r="BF105">
        <f t="shared" ca="1" si="91"/>
        <v>1</v>
      </c>
      <c r="BG105">
        <f t="shared" ca="1" si="92"/>
        <v>1</v>
      </c>
      <c r="BH105">
        <f t="shared" ca="1" si="93"/>
        <v>1</v>
      </c>
      <c r="BI105">
        <f t="shared" ca="1" si="94"/>
        <v>1</v>
      </c>
      <c r="BJ105">
        <f t="shared" ca="1" si="95"/>
        <v>1</v>
      </c>
      <c r="BK105">
        <f t="shared" ca="1" si="96"/>
        <v>1</v>
      </c>
      <c r="BL105">
        <f t="shared" ca="1" si="97"/>
        <v>1</v>
      </c>
      <c r="BM105">
        <f t="shared" ca="1" si="98"/>
        <v>0</v>
      </c>
      <c r="BN105">
        <f t="shared" ca="1" si="99"/>
        <v>0</v>
      </c>
      <c r="BO105">
        <f t="shared" ca="1" si="100"/>
        <v>1</v>
      </c>
      <c r="BU105">
        <f t="shared" ca="1" si="101"/>
        <v>9</v>
      </c>
      <c r="BV105">
        <f t="shared" ca="1" si="102"/>
        <v>9</v>
      </c>
      <c r="BW105">
        <f t="shared" ca="1" si="103"/>
        <v>9</v>
      </c>
      <c r="BX105">
        <f t="shared" ca="1" si="104"/>
        <v>9</v>
      </c>
      <c r="BY105">
        <f t="shared" ca="1" si="105"/>
        <v>9</v>
      </c>
      <c r="BZ105">
        <f t="shared" ca="1" si="106"/>
        <v>9</v>
      </c>
      <c r="CA105">
        <f t="shared" ca="1" si="107"/>
        <v>9</v>
      </c>
      <c r="CB105">
        <f t="shared" ca="1" si="108"/>
        <v>9</v>
      </c>
      <c r="CC105">
        <f t="shared" ca="1" si="109"/>
        <v>9</v>
      </c>
      <c r="CD105">
        <f t="shared" ca="1" si="110"/>
        <v>45</v>
      </c>
      <c r="CE105">
        <f t="shared" ca="1" si="111"/>
        <v>45</v>
      </c>
      <c r="CF105">
        <f t="shared" ca="1" si="112"/>
        <v>9</v>
      </c>
      <c r="CL105">
        <f t="shared" ca="1" si="113"/>
        <v>1</v>
      </c>
      <c r="CM105">
        <f t="shared" ca="1" si="114"/>
        <v>1</v>
      </c>
      <c r="CN105">
        <f t="shared" ca="1" si="115"/>
        <v>1</v>
      </c>
      <c r="CO105">
        <f t="shared" ca="1" si="116"/>
        <v>1</v>
      </c>
      <c r="CP105">
        <f t="shared" ca="1" si="117"/>
        <v>1</v>
      </c>
      <c r="CQ105">
        <f t="shared" ca="1" si="118"/>
        <v>1</v>
      </c>
      <c r="CR105">
        <f t="shared" ca="1" si="119"/>
        <v>1</v>
      </c>
      <c r="CS105">
        <f t="shared" ca="1" si="120"/>
        <v>1</v>
      </c>
      <c r="CT105">
        <f t="shared" ca="1" si="121"/>
        <v>1</v>
      </c>
      <c r="CU105">
        <f t="shared" ca="1" si="122"/>
        <v>0</v>
      </c>
      <c r="CV105">
        <f t="shared" ca="1" si="123"/>
        <v>0</v>
      </c>
      <c r="CW105">
        <f t="shared" ca="1" si="124"/>
        <v>1</v>
      </c>
      <c r="DC105" cm="1">
        <f t="array" aca="1" ref="DC105" ca="1">IF(ISNA(E105),,OFFSET(INDIRECT("'"&amp;DT$67&amp;"'!f1"),E105-1,))*1</f>
        <v>5.7592573429999998</v>
      </c>
      <c r="DD105" cm="1">
        <f t="array" aca="1" ref="DD105" ca="1">IF(ISNA(F105),,OFFSET(INDIRECT("'"&amp;DU$67&amp;"'!f1"),F105-1,))*1</f>
        <v>21.359444230000001</v>
      </c>
      <c r="DE105" cm="1">
        <f t="array" aca="1" ref="DE105" ca="1">IF(ISNA(G105),,OFFSET(INDIRECT("'"&amp;DV$67&amp;"'!f1"),G105-1,))*1</f>
        <v>22.003832789999901</v>
      </c>
      <c r="DF105" cm="1">
        <f t="array" aca="1" ref="DF105" ca="1">IF(ISNA(H105),,OFFSET(INDIRECT("'"&amp;DW$67&amp;"'!f1"),H105-1,))*1</f>
        <v>13.0854691469999</v>
      </c>
      <c r="DG105" cm="1">
        <f t="array" aca="1" ref="DG105" ca="1">IF(ISNA(I105),,OFFSET(INDIRECT("'"&amp;DX$67&amp;"'!f1"),I105-1,))*1</f>
        <v>5.5199041999003301E-2</v>
      </c>
      <c r="DH105" cm="1">
        <f t="array" aca="1" ref="DH105" ca="1">IF(ISNA(J105),,OFFSET(INDIRECT("'"&amp;DY$67&amp;"'!f1"),J105-1,))*1</f>
        <v>7.0570485200732905E-2</v>
      </c>
      <c r="DI105" cm="1">
        <f t="array" aca="1" ref="DI105" ca="1">IF(ISNA(K105),,OFFSET(INDIRECT("'"&amp;DZ$67&amp;"'!f1"),K105-1,))*1</f>
        <v>1.4582311352714801</v>
      </c>
      <c r="DJ105" cm="1">
        <f t="array" aca="1" ref="DJ105" ca="1">IF(ISNA(L105),,OFFSET(INDIRECT("'"&amp;EA$67&amp;"'!f1"),L105-1,))*1</f>
        <v>2.0191825833171602</v>
      </c>
      <c r="DK105" cm="1">
        <f t="array" aca="1" ref="DK105" ca="1">IF(ISNA(M105),,OFFSET(INDIRECT("'"&amp;EB$67&amp;"'!f1"),M105-1,))*1</f>
        <v>41.025426494888897</v>
      </c>
      <c r="DL105" cm="1">
        <f t="array" aca="1" ref="DL105" ca="1">IF(ISNA(N105),,OFFSET(INDIRECT("'"&amp;EC$67&amp;"'!f1"),N105-1,))*1</f>
        <v>5.74761163443326E-3</v>
      </c>
      <c r="DM105" cm="1">
        <f t="array" aca="1" ref="DM105" ca="1">IF(ISNA(O105),,OFFSET(INDIRECT("'"&amp;ED$67&amp;"'!f1"),O105-1,))*1</f>
        <v>6.9470135495066599E-3</v>
      </c>
      <c r="DN105" cm="1">
        <f t="array" aca="1" ref="DN105" ca="1">IF(ISNA(P105),,OFFSET(INDIRECT("'"&amp;EE$67&amp;"'!f1"),P105-1,))*1</f>
        <v>0.73875012435019005</v>
      </c>
      <c r="DT105">
        <f t="shared" ca="1" si="125"/>
        <v>1</v>
      </c>
      <c r="DU105">
        <f t="shared" ca="1" si="126"/>
        <v>1</v>
      </c>
      <c r="DV105">
        <f t="shared" ca="1" si="127"/>
        <v>1</v>
      </c>
      <c r="DW105">
        <f t="shared" ca="1" si="128"/>
        <v>1</v>
      </c>
      <c r="DX105">
        <f t="shared" ca="1" si="129"/>
        <v>1</v>
      </c>
      <c r="DY105">
        <f t="shared" ca="1" si="130"/>
        <v>1</v>
      </c>
      <c r="DZ105">
        <f t="shared" ca="1" si="131"/>
        <v>7662</v>
      </c>
      <c r="EA105">
        <f t="shared" ca="1" si="132"/>
        <v>9461</v>
      </c>
      <c r="EB105">
        <f t="shared" ca="1" si="133"/>
        <v>6306</v>
      </c>
      <c r="EC105">
        <f t="shared" ca="1" si="134"/>
        <v>0</v>
      </c>
      <c r="ED105">
        <f t="shared" ca="1" si="135"/>
        <v>0</v>
      </c>
      <c r="EE105">
        <f t="shared" ca="1" si="136"/>
        <v>2</v>
      </c>
      <c r="EK105" cm="1">
        <f t="array" aca="1" ref="EK105" ca="1">IF(ISNA(E105),0,OFFSET(INDIRECT("'"&amp;EK$67&amp;"'!g1"),E105-1,)*CL105)</f>
        <v>1</v>
      </c>
      <c r="EL105" cm="1">
        <f t="array" aca="1" ref="EL105" ca="1">IF(ISNA(F105),0,OFFSET(INDIRECT("'"&amp;EL$67&amp;"'!g1"),F105-1,)*CM105)</f>
        <v>1</v>
      </c>
      <c r="EM105" cm="1">
        <f t="array" aca="1" ref="EM105" ca="1">IF(ISNA(G105),0,OFFSET(INDIRECT("'"&amp;EM$67&amp;"'!g1"),G105-1,)*CN105)</f>
        <v>1</v>
      </c>
      <c r="EN105" cm="1">
        <f t="array" aca="1" ref="EN105" ca="1">IF(ISNA(H105),0,OFFSET(INDIRECT("'"&amp;EN$67&amp;"'!g1"),H105-1,)*CO105)</f>
        <v>1</v>
      </c>
      <c r="EO105" cm="1">
        <f t="array" aca="1" ref="EO105" ca="1">IF(ISNA(I105),0,OFFSET(INDIRECT("'"&amp;EO$67&amp;"'!g1"),I105-1,)*CP105)</f>
        <v>1</v>
      </c>
      <c r="EP105" cm="1">
        <f t="array" aca="1" ref="EP105" ca="1">IF(ISNA(J105),0,OFFSET(INDIRECT("'"&amp;EP$67&amp;"'!g1"),J105-1,)*CQ105)</f>
        <v>1</v>
      </c>
      <c r="EQ105" cm="1">
        <f t="array" aca="1" ref="EQ105" ca="1">IF(ISNA(K105),0,OFFSET(INDIRECT("'"&amp;EQ$67&amp;"'!g1"),K105-1,)*CR105)</f>
        <v>7662</v>
      </c>
      <c r="ER105" cm="1">
        <f t="array" aca="1" ref="ER105" ca="1">IF(ISNA(L105),0,OFFSET(INDIRECT("'"&amp;ER$67&amp;"'!g1"),L105-1,)*CS105)</f>
        <v>9461</v>
      </c>
      <c r="ES105" cm="1">
        <f t="array" aca="1" ref="ES105" ca="1">IF(ISNA(M105),0,OFFSET(INDIRECT("'"&amp;ES$67&amp;"'!g1"),M105-1,)*CT105)</f>
        <v>6306</v>
      </c>
      <c r="ET105" cm="1">
        <f t="array" aca="1" ref="ET105" ca="1">IF(ISNA(N105),0,OFFSET(INDIRECT("'"&amp;ET$67&amp;"'!g1"),N105-1,)*CU105)</f>
        <v>0</v>
      </c>
      <c r="EU105" cm="1">
        <f t="array" aca="1" ref="EU105" ca="1">IF(ISNA(O105),0,OFFSET(INDIRECT("'"&amp;EU$67&amp;"'!g1"),O105-1,)*CV105)</f>
        <v>0</v>
      </c>
      <c r="EV105" cm="1">
        <f t="array" aca="1" ref="EV105" ca="1">IF(ISNA(P105),0,OFFSET(INDIRECT("'"&amp;EV$67&amp;"'!g1"),P105-1,)*CW105)</f>
        <v>2</v>
      </c>
      <c r="FB105" s="10" cm="1">
        <f t="array" aca="1" ref="FB105" ca="1">IF(ISNA(E105),0,OFFSET(INDIRECT("'"&amp;EK$67&amp;"'!h1"),E105-1,))</f>
        <v>1</v>
      </c>
      <c r="FC105" s="10" cm="1">
        <f t="array" aca="1" ref="FC105" ca="1">IF(ISNA(F105),0,OFFSET(INDIRECT("'"&amp;EL$67&amp;"'!h1"),F105-1,))</f>
        <v>1</v>
      </c>
      <c r="FD105" s="10" cm="1">
        <f t="array" aca="1" ref="FD105" ca="1">IF(ISNA(G105),0,OFFSET(INDIRECT("'"&amp;EM$67&amp;"'!h1"),G105-1,))</f>
        <v>1</v>
      </c>
      <c r="FE105" s="10" cm="1">
        <f t="array" aca="1" ref="FE105" ca="1">IF(ISNA(H105),0,OFFSET(INDIRECT("'"&amp;EN$67&amp;"'!h1"),H105-1,))</f>
        <v>1</v>
      </c>
      <c r="FF105" s="10" cm="1">
        <f t="array" aca="1" ref="FF105" ca="1">IF(ISNA(I105),0,OFFSET(INDIRECT("'"&amp;EO$67&amp;"'!h1"),I105-1,))</f>
        <v>1</v>
      </c>
      <c r="FG105" s="10" cm="1">
        <f t="array" aca="1" ref="FG105" ca="1">IF(ISNA(J105),0,OFFSET(INDIRECT("'"&amp;EP$67&amp;"'!h1"),J105-1,))</f>
        <v>1</v>
      </c>
      <c r="FH105" s="10" cm="1">
        <f t="array" aca="1" ref="FH105" ca="1">IF(ISNA(K105),0,OFFSET(INDIRECT("'"&amp;EQ$67&amp;"'!h1"),K105-1,))</f>
        <v>10000</v>
      </c>
      <c r="FI105" s="10" cm="1">
        <f t="array" aca="1" ref="FI105" ca="1">IF(ISNA(L105),0,OFFSET(INDIRECT("'"&amp;ER$67&amp;"'!h1"),L105-1,))</f>
        <v>10000</v>
      </c>
      <c r="FJ105" s="10" cm="1">
        <f t="array" aca="1" ref="FJ105" ca="1">IF(ISNA(M105),0,OFFSET(INDIRECT("'"&amp;ES$67&amp;"'!h1"),M105-1,))</f>
        <v>10000</v>
      </c>
      <c r="FK105" s="10" cm="1">
        <f t="array" aca="1" ref="FK105" ca="1">IF(ISNA(N105),0,OFFSET(INDIRECT("'"&amp;ET$67&amp;"'!h1"),N105-1,))</f>
        <v>1</v>
      </c>
      <c r="FL105" s="10" cm="1">
        <f t="array" aca="1" ref="FL105" ca="1">IF(ISNA(O105),0,OFFSET(INDIRECT("'"&amp;EU$67&amp;"'!h1"),O105-1,))</f>
        <v>1</v>
      </c>
      <c r="FM105" s="10" cm="1">
        <f t="array" aca="1" ref="FM105" ca="1">IF(ISNA(P105),0,OFFSET(INDIRECT("'"&amp;EV$67&amp;"'!h1"),P105-1,))</f>
        <v>7</v>
      </c>
      <c r="FN105" s="10"/>
      <c r="FO105" s="10"/>
      <c r="FP105" s="10"/>
      <c r="FQ105" s="10"/>
      <c r="FS105">
        <f t="shared" ca="1" si="137"/>
        <v>45</v>
      </c>
      <c r="FT105">
        <f t="shared" ca="1" si="62"/>
        <v>1.4582311352714801</v>
      </c>
      <c r="FU105">
        <f t="shared" ca="1" si="63"/>
        <v>7662</v>
      </c>
      <c r="FV105">
        <f t="shared" ca="1" si="64"/>
        <v>10000</v>
      </c>
      <c r="FW105" s="4">
        <f t="shared" ca="1" si="138"/>
        <v>0.76619999999999999</v>
      </c>
      <c r="FX105" s="5">
        <f t="shared" ca="1" si="139"/>
        <v>1.9031990802290266E-4</v>
      </c>
      <c r="FZ105" s="13">
        <f t="shared" ca="1" si="140"/>
        <v>45</v>
      </c>
      <c r="GA105" s="23">
        <f t="shared" ca="1" si="141"/>
        <v>0</v>
      </c>
      <c r="GB105" s="23">
        <f t="shared" ca="1" si="142"/>
        <v>0</v>
      </c>
      <c r="GC105" s="23">
        <f t="shared" ca="1" si="143"/>
        <v>0</v>
      </c>
      <c r="GD105" s="23">
        <f t="shared" ca="1" si="144"/>
        <v>0</v>
      </c>
      <c r="GE105" s="23">
        <f t="shared" ca="1" si="145"/>
        <v>0</v>
      </c>
      <c r="GF105" s="23">
        <f t="shared" ca="1" si="146"/>
        <v>0</v>
      </c>
      <c r="GG105" s="23">
        <f t="shared" ca="1" si="147"/>
        <v>0</v>
      </c>
      <c r="GH105" s="23">
        <f t="shared" ca="1" si="148"/>
        <v>0</v>
      </c>
      <c r="GI105" s="23">
        <f t="shared" ca="1" si="149"/>
        <v>0</v>
      </c>
      <c r="GJ105" s="23" t="e">
        <f t="shared" ca="1" si="150"/>
        <v>#N/A</v>
      </c>
      <c r="GK105" s="23" t="e">
        <f t="shared" ca="1" si="151"/>
        <v>#N/A</v>
      </c>
      <c r="GL105" s="23">
        <f t="shared" ca="1" si="152"/>
        <v>0</v>
      </c>
      <c r="GM105" s="23"/>
      <c r="GN105">
        <f t="shared" ca="1" si="153"/>
        <v>45</v>
      </c>
      <c r="GO105" s="5">
        <f t="shared" ca="1" si="154"/>
        <v>5.7592573429999998</v>
      </c>
      <c r="GP105" s="5">
        <f t="shared" ca="1" si="155"/>
        <v>21.359444230000001</v>
      </c>
      <c r="GQ105" s="5">
        <f t="shared" ca="1" si="156"/>
        <v>22.003832789999901</v>
      </c>
      <c r="GR105" s="5">
        <f t="shared" ca="1" si="157"/>
        <v>13.0854691469999</v>
      </c>
      <c r="GS105" s="5">
        <f t="shared" ca="1" si="158"/>
        <v>5.5199041999003301E-2</v>
      </c>
      <c r="GT105" s="5">
        <f t="shared" ca="1" si="159"/>
        <v>7.0570485200732905E-2</v>
      </c>
      <c r="GU105" s="5">
        <f t="shared" ca="1" si="160"/>
        <v>1.9031990802290266E-4</v>
      </c>
      <c r="GV105" s="5">
        <f t="shared" ca="1" si="161"/>
        <v>2.1342168727588628E-4</v>
      </c>
      <c r="GW105" s="5">
        <f t="shared" ca="1" si="162"/>
        <v>6.5057764819043606E-3</v>
      </c>
      <c r="GX105" s="5" t="e">
        <f t="shared" ca="1" si="163"/>
        <v>#N/A</v>
      </c>
      <c r="GY105" s="5" t="e">
        <f t="shared" ca="1" si="164"/>
        <v>#N/A</v>
      </c>
      <c r="GZ105" s="5">
        <f t="shared" ca="1" si="165"/>
        <v>0.36937506217509503</v>
      </c>
      <c r="HB105" s="13">
        <f t="shared" ca="1" si="166"/>
        <v>45</v>
      </c>
      <c r="HC105" s="4">
        <f t="shared" ca="1" si="167"/>
        <v>1</v>
      </c>
      <c r="HD105" s="4">
        <f t="shared" ca="1" si="168"/>
        <v>1</v>
      </c>
      <c r="HE105" s="4">
        <f t="shared" ca="1" si="169"/>
        <v>1</v>
      </c>
      <c r="HF105" s="4">
        <f t="shared" ca="1" si="170"/>
        <v>1</v>
      </c>
      <c r="HG105" s="4">
        <f t="shared" ca="1" si="171"/>
        <v>1</v>
      </c>
      <c r="HH105" s="4">
        <f t="shared" ca="1" si="172"/>
        <v>1</v>
      </c>
      <c r="HI105" s="4">
        <f t="shared" ca="1" si="173"/>
        <v>0.76619999999999999</v>
      </c>
      <c r="HJ105" s="4">
        <f t="shared" ca="1" si="174"/>
        <v>0.94610000000000005</v>
      </c>
      <c r="HK105" s="4">
        <f t="shared" ca="1" si="175"/>
        <v>0.63060000000000005</v>
      </c>
      <c r="HL105" s="4">
        <f t="shared" ca="1" si="176"/>
        <v>0</v>
      </c>
      <c r="HM105" s="4">
        <f t="shared" ca="1" si="177"/>
        <v>0</v>
      </c>
      <c r="HN105" s="4">
        <f t="shared" ca="1" si="178"/>
        <v>0.2857142857142857</v>
      </c>
    </row>
    <row r="106" spans="1:222" x14ac:dyDescent="0.2">
      <c r="A106" t="str" cm="1">
        <f t="array" aca="1" ref="A106" ca="1">INDIRECT($A$67&amp;"!A"&amp;ROW(C39)+$B$64)</f>
        <v>[[46,15,15]]</v>
      </c>
      <c r="B106" cm="1">
        <f t="array" aca="1" ref="B106" ca="1">INDIRECT($A$67&amp;"!b"&amp;ROW(D39)+$B$64)</f>
        <v>46</v>
      </c>
      <c r="C106">
        <f t="shared" ca="1" si="78"/>
        <v>15</v>
      </c>
      <c r="E106">
        <f t="shared" ref="E106:P127" ca="1" si="180">MATCH($A106,INDIRECT("'"&amp;E$67&amp;"'!A:A"),)</f>
        <v>63</v>
      </c>
      <c r="F106">
        <f t="shared" ca="1" si="180"/>
        <v>64</v>
      </c>
      <c r="G106">
        <f t="shared" ca="1" si="180"/>
        <v>63</v>
      </c>
      <c r="H106">
        <f t="shared" ca="1" si="180"/>
        <v>63</v>
      </c>
      <c r="I106">
        <f t="shared" ca="1" si="180"/>
        <v>66</v>
      </c>
      <c r="J106">
        <f t="shared" ca="1" si="180"/>
        <v>63</v>
      </c>
      <c r="K106">
        <f t="shared" ca="1" si="180"/>
        <v>70</v>
      </c>
      <c r="L106">
        <f t="shared" ca="1" si="180"/>
        <v>72</v>
      </c>
      <c r="M106">
        <f t="shared" ca="1" si="180"/>
        <v>69</v>
      </c>
      <c r="N106">
        <f t="shared" ca="1" si="180"/>
        <v>67</v>
      </c>
      <c r="O106">
        <f t="shared" ca="1" si="180"/>
        <v>67</v>
      </c>
      <c r="P106">
        <f t="shared" ca="1" si="180"/>
        <v>67</v>
      </c>
      <c r="V106" cm="1">
        <f t="array" aca="1" ref="V106" ca="1">IF(ISNA(E106),,OFFSET(INDIRECT("'"&amp;V$67&amp;"'!d1"),E106-1,))</f>
        <v>15</v>
      </c>
      <c r="W106" cm="1">
        <f t="array" aca="1" ref="W106" ca="1">IF(ISNA(F106),,OFFSET(INDIRECT("'"&amp;W$67&amp;"'!d1"),F106-1,))</f>
        <v>15</v>
      </c>
      <c r="X106" cm="1">
        <f t="array" aca="1" ref="X106" ca="1">IF(ISNA(G106),,OFFSET(INDIRECT("'"&amp;X$67&amp;"'!d1"),G106-1,))</f>
        <v>15</v>
      </c>
      <c r="Y106" cm="1">
        <f t="array" aca="1" ref="Y106" ca="1">IF(ISNA(H106),,OFFSET(INDIRECT("'"&amp;Y$67&amp;"'!d1"),H106-1,))</f>
        <v>15</v>
      </c>
      <c r="Z106" cm="1">
        <f t="array" aca="1" ref="Z106" ca="1">IF(ISNA(I106),,OFFSET(INDIRECT("'"&amp;Z$67&amp;"'!d1"),I106-1,))</f>
        <v>15</v>
      </c>
      <c r="AA106" cm="1">
        <f t="array" aca="1" ref="AA106" ca="1">IF(ISNA(J106),,OFFSET(INDIRECT("'"&amp;AA$67&amp;"'!d1"),J106-1,))</f>
        <v>15</v>
      </c>
      <c r="AB106" cm="1">
        <f t="array" aca="1" ref="AB106" ca="1">IF(ISNA(K106),,OFFSET(INDIRECT("'"&amp;AB$67&amp;"'!d1"),K106-1,))</f>
        <v>15</v>
      </c>
      <c r="AC106" cm="1">
        <f t="array" aca="1" ref="AC106" ca="1">IF(ISNA(L106),,OFFSET(INDIRECT("'"&amp;AC$67&amp;"'!d1"),L106-1,))</f>
        <v>15</v>
      </c>
      <c r="AD106" cm="1">
        <f t="array" aca="1" ref="AD106" ca="1">IF(ISNA(M106),,OFFSET(INDIRECT("'"&amp;AD$67&amp;"'!d1"),M106-1,))</f>
        <v>15</v>
      </c>
      <c r="AE106" cm="1">
        <f t="array" aca="1" ref="AE106" ca="1">IF(ISNA(N106),,OFFSET(INDIRECT("'"&amp;AE$67&amp;"'!d1"),N106-1,))</f>
        <v>0</v>
      </c>
      <c r="AF106" cm="1">
        <f t="array" aca="1" ref="AF106" ca="1">IF(ISNA(O106),,OFFSET(INDIRECT("'"&amp;AF$67&amp;"'!d1"),O106-1,))</f>
        <v>0</v>
      </c>
      <c r="AG106" cm="1">
        <f t="array" aca="1" ref="AG106" ca="1">IF(ISNA(P106),,OFFSET(INDIRECT("'"&amp;AG$67&amp;"'!d1"),P106-1,))</f>
        <v>0</v>
      </c>
      <c r="AM106">
        <f t="shared" ca="1" si="79"/>
        <v>1</v>
      </c>
      <c r="AN106">
        <f t="shared" ca="1" si="80"/>
        <v>1</v>
      </c>
      <c r="AO106">
        <f t="shared" ca="1" si="81"/>
        <v>1</v>
      </c>
      <c r="AP106">
        <f t="shared" ca="1" si="82"/>
        <v>1</v>
      </c>
      <c r="AQ106">
        <f t="shared" ca="1" si="83"/>
        <v>1</v>
      </c>
      <c r="AV106" t="b">
        <f t="shared" ca="1" si="84"/>
        <v>1</v>
      </c>
      <c r="AW106" t="b">
        <f t="shared" ca="1" si="85"/>
        <v>1</v>
      </c>
      <c r="AX106" t="b">
        <f t="shared" ca="1" si="86"/>
        <v>1</v>
      </c>
      <c r="AY106" t="b">
        <f t="shared" ca="1" si="87"/>
        <v>1</v>
      </c>
      <c r="AZ106" t="b">
        <f t="shared" ca="1" si="88"/>
        <v>1</v>
      </c>
      <c r="BD106">
        <f t="shared" ca="1" si="89"/>
        <v>1</v>
      </c>
      <c r="BE106">
        <f t="shared" ca="1" si="90"/>
        <v>1</v>
      </c>
      <c r="BF106">
        <f t="shared" ca="1" si="91"/>
        <v>1</v>
      </c>
      <c r="BG106">
        <f t="shared" ca="1" si="92"/>
        <v>1</v>
      </c>
      <c r="BH106">
        <f t="shared" ca="1" si="93"/>
        <v>1</v>
      </c>
      <c r="BI106">
        <f t="shared" ca="1" si="94"/>
        <v>1</v>
      </c>
      <c r="BJ106">
        <f t="shared" ca="1" si="95"/>
        <v>1</v>
      </c>
      <c r="BK106">
        <f t="shared" ca="1" si="96"/>
        <v>1</v>
      </c>
      <c r="BL106">
        <f t="shared" ca="1" si="97"/>
        <v>1</v>
      </c>
      <c r="BM106">
        <f t="shared" ca="1" si="98"/>
        <v>0</v>
      </c>
      <c r="BN106">
        <f t="shared" ca="1" si="99"/>
        <v>0</v>
      </c>
      <c r="BO106">
        <f t="shared" ca="1" si="100"/>
        <v>0</v>
      </c>
      <c r="BU106">
        <f t="shared" ca="1" si="101"/>
        <v>15</v>
      </c>
      <c r="BV106">
        <f t="shared" ca="1" si="102"/>
        <v>15</v>
      </c>
      <c r="BW106">
        <f t="shared" ca="1" si="103"/>
        <v>15</v>
      </c>
      <c r="BX106">
        <f t="shared" ca="1" si="104"/>
        <v>15</v>
      </c>
      <c r="BY106">
        <f t="shared" ca="1" si="105"/>
        <v>15</v>
      </c>
      <c r="BZ106">
        <f t="shared" ca="1" si="106"/>
        <v>15</v>
      </c>
      <c r="CA106">
        <f t="shared" ca="1" si="107"/>
        <v>15</v>
      </c>
      <c r="CB106">
        <f t="shared" ca="1" si="108"/>
        <v>15</v>
      </c>
      <c r="CC106">
        <f t="shared" ca="1" si="109"/>
        <v>15</v>
      </c>
      <c r="CD106">
        <f t="shared" ca="1" si="110"/>
        <v>46</v>
      </c>
      <c r="CE106">
        <f t="shared" ca="1" si="111"/>
        <v>46</v>
      </c>
      <c r="CF106">
        <f t="shared" ca="1" si="112"/>
        <v>46</v>
      </c>
      <c r="CL106">
        <f t="shared" ca="1" si="113"/>
        <v>1</v>
      </c>
      <c r="CM106">
        <f t="shared" ca="1" si="114"/>
        <v>1</v>
      </c>
      <c r="CN106">
        <f t="shared" ca="1" si="115"/>
        <v>1</v>
      </c>
      <c r="CO106">
        <f t="shared" ca="1" si="116"/>
        <v>1</v>
      </c>
      <c r="CP106">
        <f t="shared" ca="1" si="117"/>
        <v>1</v>
      </c>
      <c r="CQ106">
        <f t="shared" ca="1" si="118"/>
        <v>1</v>
      </c>
      <c r="CR106">
        <f t="shared" ca="1" si="119"/>
        <v>1</v>
      </c>
      <c r="CS106">
        <f t="shared" ca="1" si="120"/>
        <v>1</v>
      </c>
      <c r="CT106">
        <f t="shared" ca="1" si="121"/>
        <v>1</v>
      </c>
      <c r="CU106">
        <f t="shared" ca="1" si="122"/>
        <v>0</v>
      </c>
      <c r="CV106">
        <f t="shared" ca="1" si="123"/>
        <v>0</v>
      </c>
      <c r="CW106">
        <f t="shared" ca="1" si="124"/>
        <v>0</v>
      </c>
      <c r="DC106" cm="1">
        <f t="array" aca="1" ref="DC106" ca="1">IF(ISNA(E106),,OFFSET(INDIRECT("'"&amp;DT$67&amp;"'!f1"),E106-1,))*1</f>
        <v>10.4978505739999</v>
      </c>
      <c r="DD106" cm="1">
        <f t="array" aca="1" ref="DD106" ca="1">IF(ISNA(F106),,OFFSET(INDIRECT("'"&amp;DU$67&amp;"'!f1"),F106-1,))*1</f>
        <v>25.5154301409999</v>
      </c>
      <c r="DE106" cm="1">
        <f t="array" aca="1" ref="DE106" ca="1">IF(ISNA(G106),,OFFSET(INDIRECT("'"&amp;DV$67&amp;"'!f1"),G106-1,))*1</f>
        <v>11.041058187000001</v>
      </c>
      <c r="DF106" cm="1">
        <f t="array" aca="1" ref="DF106" ca="1">IF(ISNA(H106),,OFFSET(INDIRECT("'"&amp;DW$67&amp;"'!f1"),H106-1,))*1</f>
        <v>2830.5099180439902</v>
      </c>
      <c r="DG106" cm="1">
        <f t="array" aca="1" ref="DG106" ca="1">IF(ISNA(I106),,OFFSET(INDIRECT("'"&amp;DX$67&amp;"'!f1"),I106-1,))*1</f>
        <v>5.5654957999649902E-2</v>
      </c>
      <c r="DH106" cm="1">
        <f t="array" aca="1" ref="DH106" ca="1">IF(ISNA(J106),,OFFSET(INDIRECT("'"&amp;DY$67&amp;"'!f1"),J106-1,))*1</f>
        <v>0.11467720894142901</v>
      </c>
      <c r="DI106" cm="1">
        <f t="array" aca="1" ref="DI106" ca="1">IF(ISNA(K106),,OFFSET(INDIRECT("'"&amp;DZ$67&amp;"'!f1"),K106-1,))*1</f>
        <v>1.7970878165215201</v>
      </c>
      <c r="DJ106" cm="1">
        <f t="array" aca="1" ref="DJ106" ca="1">IF(ISNA(L106),,OFFSET(INDIRECT("'"&amp;EA$67&amp;"'!f1"),L106-1,))*1</f>
        <v>2.4542747335508399</v>
      </c>
      <c r="DK106" cm="1">
        <f t="array" aca="1" ref="DK106" ca="1">IF(ISNA(M106),,OFFSET(INDIRECT("'"&amp;EB$67&amp;"'!f1"),M106-1,))*1</f>
        <v>20.330271241720698</v>
      </c>
      <c r="DL106" cm="1">
        <f t="array" aca="1" ref="DL106" ca="1">IF(ISNA(N106),,OFFSET(INDIRECT("'"&amp;EC$67&amp;"'!f1"),N106-1,))*1</f>
        <v>5.3776623681187604E-3</v>
      </c>
      <c r="DM106" cm="1">
        <f t="array" aca="1" ref="DM106" ca="1">IF(ISNA(O106),,OFFSET(INDIRECT("'"&amp;ED$67&amp;"'!f1"),O106-1,))*1</f>
        <v>6.3777640461921596E-3</v>
      </c>
      <c r="DN106" cm="1">
        <f t="array" aca="1" ref="DN106" ca="1">IF(ISNA(P106),,OFFSET(INDIRECT("'"&amp;EE$67&amp;"'!f1"),P106-1,))*1</f>
        <v>1.0825841687619599E-2</v>
      </c>
      <c r="DT106">
        <f t="shared" ca="1" si="125"/>
        <v>1</v>
      </c>
      <c r="DU106">
        <f t="shared" ca="1" si="126"/>
        <v>1</v>
      </c>
      <c r="DV106">
        <f t="shared" ca="1" si="127"/>
        <v>1</v>
      </c>
      <c r="DW106">
        <f t="shared" ca="1" si="128"/>
        <v>1</v>
      </c>
      <c r="DX106">
        <f t="shared" ca="1" si="129"/>
        <v>1</v>
      </c>
      <c r="DY106">
        <f t="shared" ca="1" si="130"/>
        <v>1</v>
      </c>
      <c r="DZ106">
        <f t="shared" ca="1" si="131"/>
        <v>8596</v>
      </c>
      <c r="EA106">
        <f t="shared" ca="1" si="132"/>
        <v>9939</v>
      </c>
      <c r="EB106">
        <f t="shared" ca="1" si="133"/>
        <v>8339</v>
      </c>
      <c r="EC106">
        <f t="shared" ca="1" si="134"/>
        <v>0</v>
      </c>
      <c r="ED106">
        <f t="shared" ca="1" si="135"/>
        <v>0</v>
      </c>
      <c r="EE106">
        <f t="shared" ca="1" si="136"/>
        <v>0</v>
      </c>
      <c r="EK106" cm="1">
        <f t="array" aca="1" ref="EK106" ca="1">IF(ISNA(E106),0,OFFSET(INDIRECT("'"&amp;EK$67&amp;"'!g1"),E106-1,)*CL106)</f>
        <v>1</v>
      </c>
      <c r="EL106" cm="1">
        <f t="array" aca="1" ref="EL106" ca="1">IF(ISNA(F106),0,OFFSET(INDIRECT("'"&amp;EL$67&amp;"'!g1"),F106-1,)*CM106)</f>
        <v>1</v>
      </c>
      <c r="EM106" cm="1">
        <f t="array" aca="1" ref="EM106" ca="1">IF(ISNA(G106),0,OFFSET(INDIRECT("'"&amp;EM$67&amp;"'!g1"),G106-1,)*CN106)</f>
        <v>1</v>
      </c>
      <c r="EN106" cm="1">
        <f t="array" aca="1" ref="EN106" ca="1">IF(ISNA(H106),0,OFFSET(INDIRECT("'"&amp;EN$67&amp;"'!g1"),H106-1,)*CO106)</f>
        <v>1</v>
      </c>
      <c r="EO106" cm="1">
        <f t="array" aca="1" ref="EO106" ca="1">IF(ISNA(I106),0,OFFSET(INDIRECT("'"&amp;EO$67&amp;"'!g1"),I106-1,)*CP106)</f>
        <v>1</v>
      </c>
      <c r="EP106" cm="1">
        <f t="array" aca="1" ref="EP106" ca="1">IF(ISNA(J106),0,OFFSET(INDIRECT("'"&amp;EP$67&amp;"'!g1"),J106-1,)*CQ106)</f>
        <v>1</v>
      </c>
      <c r="EQ106" cm="1">
        <f t="array" aca="1" ref="EQ106" ca="1">IF(ISNA(K106),0,OFFSET(INDIRECT("'"&amp;EQ$67&amp;"'!g1"),K106-1,)*CR106)</f>
        <v>8596</v>
      </c>
      <c r="ER106" cm="1">
        <f t="array" aca="1" ref="ER106" ca="1">IF(ISNA(L106),0,OFFSET(INDIRECT("'"&amp;ER$67&amp;"'!g1"),L106-1,)*CS106)</f>
        <v>9939</v>
      </c>
      <c r="ES106" cm="1">
        <f t="array" aca="1" ref="ES106" ca="1">IF(ISNA(M106),0,OFFSET(INDIRECT("'"&amp;ES$67&amp;"'!g1"),M106-1,)*CT106)</f>
        <v>8339</v>
      </c>
      <c r="ET106" cm="1">
        <f t="array" aca="1" ref="ET106" ca="1">IF(ISNA(N106),0,OFFSET(INDIRECT("'"&amp;ET$67&amp;"'!g1"),N106-1,)*CU106)</f>
        <v>0</v>
      </c>
      <c r="EU106" cm="1">
        <f t="array" aca="1" ref="EU106" ca="1">IF(ISNA(O106),0,OFFSET(INDIRECT("'"&amp;EU$67&amp;"'!g1"),O106-1,)*CV106)</f>
        <v>0</v>
      </c>
      <c r="EV106" cm="1">
        <f t="array" aca="1" ref="EV106" ca="1">IF(ISNA(P106),0,OFFSET(INDIRECT("'"&amp;EV$67&amp;"'!g1"),P106-1,)*CW106)</f>
        <v>0</v>
      </c>
      <c r="FB106" s="10" cm="1">
        <f t="array" aca="1" ref="FB106" ca="1">IF(ISNA(E106),0,OFFSET(INDIRECT("'"&amp;EK$67&amp;"'!h1"),E106-1,))</f>
        <v>1</v>
      </c>
      <c r="FC106" s="10" cm="1">
        <f t="array" aca="1" ref="FC106" ca="1">IF(ISNA(F106),0,OFFSET(INDIRECT("'"&amp;EL$67&amp;"'!h1"),F106-1,))</f>
        <v>1</v>
      </c>
      <c r="FD106" s="10" cm="1">
        <f t="array" aca="1" ref="FD106" ca="1">IF(ISNA(G106),0,OFFSET(INDIRECT("'"&amp;EM$67&amp;"'!h1"),G106-1,))</f>
        <v>1</v>
      </c>
      <c r="FE106" s="10" cm="1">
        <f t="array" aca="1" ref="FE106" ca="1">IF(ISNA(H106),0,OFFSET(INDIRECT("'"&amp;EN$67&amp;"'!h1"),H106-1,))</f>
        <v>1</v>
      </c>
      <c r="FF106" s="10" cm="1">
        <f t="array" aca="1" ref="FF106" ca="1">IF(ISNA(I106),0,OFFSET(INDIRECT("'"&amp;EO$67&amp;"'!h1"),I106-1,))</f>
        <v>1</v>
      </c>
      <c r="FG106" s="10" cm="1">
        <f t="array" aca="1" ref="FG106" ca="1">IF(ISNA(J106),0,OFFSET(INDIRECT("'"&amp;EP$67&amp;"'!h1"),J106-1,))</f>
        <v>1</v>
      </c>
      <c r="FH106" s="10" cm="1">
        <f t="array" aca="1" ref="FH106" ca="1">IF(ISNA(K106),0,OFFSET(INDIRECT("'"&amp;EQ$67&amp;"'!h1"),K106-1,))</f>
        <v>10000</v>
      </c>
      <c r="FI106" s="10" cm="1">
        <f t="array" aca="1" ref="FI106" ca="1">IF(ISNA(L106),0,OFFSET(INDIRECT("'"&amp;ER$67&amp;"'!h1"),L106-1,))</f>
        <v>10000</v>
      </c>
      <c r="FJ106" s="10" cm="1">
        <f t="array" aca="1" ref="FJ106" ca="1">IF(ISNA(M106),0,OFFSET(INDIRECT("'"&amp;ES$67&amp;"'!h1"),M106-1,))</f>
        <v>10000</v>
      </c>
      <c r="FK106" s="10" cm="1">
        <f t="array" aca="1" ref="FK106" ca="1">IF(ISNA(N106),0,OFFSET(INDIRECT("'"&amp;ET$67&amp;"'!h1"),N106-1,))</f>
        <v>1</v>
      </c>
      <c r="FL106" s="10" cm="1">
        <f t="array" aca="1" ref="FL106" ca="1">IF(ISNA(O106),0,OFFSET(INDIRECT("'"&amp;EU$67&amp;"'!h1"),O106-1,))</f>
        <v>1</v>
      </c>
      <c r="FM106" s="10" cm="1">
        <f t="array" aca="1" ref="FM106" ca="1">IF(ISNA(P106),0,OFFSET(INDIRECT("'"&amp;EV$67&amp;"'!h1"),P106-1,))</f>
        <v>9</v>
      </c>
      <c r="FN106" s="10"/>
      <c r="FO106" s="10"/>
      <c r="FP106" s="10"/>
      <c r="FQ106" s="10"/>
      <c r="FS106">
        <f t="shared" ca="1" si="137"/>
        <v>46</v>
      </c>
      <c r="FT106">
        <f t="shared" ca="1" si="62"/>
        <v>1.7970878165215201</v>
      </c>
      <c r="FU106">
        <f t="shared" ca="1" si="63"/>
        <v>8596</v>
      </c>
      <c r="FV106">
        <f t="shared" ca="1" si="64"/>
        <v>10000</v>
      </c>
      <c r="FW106" s="4">
        <f t="shared" ca="1" si="138"/>
        <v>0.85960000000000003</v>
      </c>
      <c r="FX106" s="5">
        <f t="shared" ca="1" si="139"/>
        <v>2.0906093724075385E-4</v>
      </c>
      <c r="FZ106" s="13">
        <f t="shared" ca="1" si="140"/>
        <v>46</v>
      </c>
      <c r="GA106" s="23">
        <f t="shared" ca="1" si="141"/>
        <v>0</v>
      </c>
      <c r="GB106" s="23">
        <f t="shared" ca="1" si="142"/>
        <v>0</v>
      </c>
      <c r="GC106" s="23">
        <f t="shared" ca="1" si="143"/>
        <v>0</v>
      </c>
      <c r="GD106" s="23">
        <f t="shared" ca="1" si="144"/>
        <v>0</v>
      </c>
      <c r="GE106" s="23">
        <f t="shared" ca="1" si="145"/>
        <v>0</v>
      </c>
      <c r="GF106" s="23">
        <f t="shared" ca="1" si="146"/>
        <v>0</v>
      </c>
      <c r="GG106" s="23">
        <f t="shared" ca="1" si="147"/>
        <v>0</v>
      </c>
      <c r="GH106" s="23">
        <f t="shared" ca="1" si="148"/>
        <v>0</v>
      </c>
      <c r="GI106" s="23">
        <f t="shared" ca="1" si="149"/>
        <v>0</v>
      </c>
      <c r="GJ106" s="23" t="e">
        <f t="shared" ca="1" si="150"/>
        <v>#N/A</v>
      </c>
      <c r="GK106" s="23" t="e">
        <f t="shared" ca="1" si="151"/>
        <v>#N/A</v>
      </c>
      <c r="GL106" s="23" t="e">
        <f t="shared" ca="1" si="152"/>
        <v>#N/A</v>
      </c>
      <c r="GM106" s="23"/>
      <c r="GN106">
        <f t="shared" ca="1" si="153"/>
        <v>46</v>
      </c>
      <c r="GO106" s="5">
        <f t="shared" ca="1" si="154"/>
        <v>10.4978505739999</v>
      </c>
      <c r="GP106" s="5">
        <f t="shared" ca="1" si="155"/>
        <v>25.5154301409999</v>
      </c>
      <c r="GQ106" s="5">
        <f t="shared" ca="1" si="156"/>
        <v>11.041058187000001</v>
      </c>
      <c r="GR106" s="5">
        <f t="shared" ca="1" si="157"/>
        <v>2830.5099180439902</v>
      </c>
      <c r="GS106" s="5">
        <f t="shared" ca="1" si="158"/>
        <v>5.5654957999649902E-2</v>
      </c>
      <c r="GT106" s="5">
        <f t="shared" ca="1" si="159"/>
        <v>0.11467720894142901</v>
      </c>
      <c r="GU106" s="5">
        <f t="shared" ca="1" si="160"/>
        <v>2.0906093724075385E-4</v>
      </c>
      <c r="GV106" s="5">
        <f t="shared" ca="1" si="161"/>
        <v>2.4693376934810743E-4</v>
      </c>
      <c r="GW106" s="5">
        <f t="shared" ca="1" si="162"/>
        <v>2.4379747261926727E-3</v>
      </c>
      <c r="GX106" s="5" t="e">
        <f t="shared" ca="1" si="163"/>
        <v>#N/A</v>
      </c>
      <c r="GY106" s="5" t="e">
        <f t="shared" ca="1" si="164"/>
        <v>#N/A</v>
      </c>
      <c r="GZ106" s="5" t="e">
        <f t="shared" ca="1" si="165"/>
        <v>#N/A</v>
      </c>
      <c r="HB106" s="13">
        <f t="shared" ca="1" si="166"/>
        <v>46</v>
      </c>
      <c r="HC106" s="4">
        <f t="shared" ca="1" si="167"/>
        <v>1</v>
      </c>
      <c r="HD106" s="4">
        <f t="shared" ca="1" si="168"/>
        <v>1</v>
      </c>
      <c r="HE106" s="4">
        <f t="shared" ca="1" si="169"/>
        <v>1</v>
      </c>
      <c r="HF106" s="4">
        <f t="shared" ca="1" si="170"/>
        <v>1</v>
      </c>
      <c r="HG106" s="4">
        <f t="shared" ca="1" si="171"/>
        <v>1</v>
      </c>
      <c r="HH106" s="4">
        <f t="shared" ca="1" si="172"/>
        <v>1</v>
      </c>
      <c r="HI106" s="4">
        <f t="shared" ca="1" si="173"/>
        <v>0.85960000000000003</v>
      </c>
      <c r="HJ106" s="4">
        <f t="shared" ca="1" si="174"/>
        <v>0.99390000000000001</v>
      </c>
      <c r="HK106" s="4">
        <f t="shared" ca="1" si="175"/>
        <v>0.83389999999999997</v>
      </c>
      <c r="HL106" s="4">
        <f t="shared" ca="1" si="176"/>
        <v>0</v>
      </c>
      <c r="HM106" s="4">
        <f t="shared" ca="1" si="177"/>
        <v>0</v>
      </c>
      <c r="HN106" s="4">
        <f t="shared" ca="1" si="178"/>
        <v>0</v>
      </c>
    </row>
    <row r="107" spans="1:222" x14ac:dyDescent="0.2">
      <c r="A107" t="str" cm="1">
        <f t="array" aca="1" ref="A107" ca="1">INDIRECT($A$67&amp;"!A"&amp;ROW(C40)+$B$64)</f>
        <v>[[47,25,9]]</v>
      </c>
      <c r="B107" cm="1">
        <f t="array" aca="1" ref="B107" ca="1">INDIRECT($A$67&amp;"!b"&amp;ROW(D40)+$B$64)</f>
        <v>47</v>
      </c>
      <c r="C107">
        <f t="shared" ca="1" si="78"/>
        <v>9</v>
      </c>
      <c r="E107">
        <f t="shared" ca="1" si="180"/>
        <v>64</v>
      </c>
      <c r="F107">
        <f t="shared" ca="1" si="180"/>
        <v>65</v>
      </c>
      <c r="G107">
        <f t="shared" ca="1" si="180"/>
        <v>64</v>
      </c>
      <c r="H107">
        <f t="shared" ca="1" si="180"/>
        <v>64</v>
      </c>
      <c r="I107">
        <f t="shared" ca="1" si="180"/>
        <v>67</v>
      </c>
      <c r="J107">
        <f t="shared" ca="1" si="180"/>
        <v>64</v>
      </c>
      <c r="K107">
        <f t="shared" ca="1" si="180"/>
        <v>71</v>
      </c>
      <c r="L107">
        <f t="shared" ca="1" si="180"/>
        <v>73</v>
      </c>
      <c r="M107">
        <f t="shared" ca="1" si="180"/>
        <v>70</v>
      </c>
      <c r="N107">
        <f t="shared" ca="1" si="180"/>
        <v>68</v>
      </c>
      <c r="O107">
        <f t="shared" ca="1" si="180"/>
        <v>68</v>
      </c>
      <c r="P107">
        <f t="shared" ca="1" si="180"/>
        <v>68</v>
      </c>
      <c r="V107" cm="1">
        <f t="array" aca="1" ref="V107" ca="1">IF(ISNA(E107),,OFFSET(INDIRECT("'"&amp;V$67&amp;"'!d1"),E107-1,))</f>
        <v>9</v>
      </c>
      <c r="W107" cm="1">
        <f t="array" aca="1" ref="W107" ca="1">IF(ISNA(F107),,OFFSET(INDIRECT("'"&amp;W$67&amp;"'!d1"),F107-1,))</f>
        <v>9</v>
      </c>
      <c r="X107" cm="1">
        <f t="array" aca="1" ref="X107" ca="1">IF(ISNA(G107),,OFFSET(INDIRECT("'"&amp;X$67&amp;"'!d1"),G107-1,))</f>
        <v>9</v>
      </c>
      <c r="Y107" cm="1">
        <f t="array" aca="1" ref="Y107" ca="1">IF(ISNA(H107),,OFFSET(INDIRECT("'"&amp;Y$67&amp;"'!d1"),H107-1,))</f>
        <v>9</v>
      </c>
      <c r="Z107" cm="1">
        <f t="array" aca="1" ref="Z107" ca="1">IF(ISNA(I107),,OFFSET(INDIRECT("'"&amp;Z$67&amp;"'!d1"),I107-1,))</f>
        <v>9</v>
      </c>
      <c r="AA107" cm="1">
        <f t="array" aca="1" ref="AA107" ca="1">IF(ISNA(J107),,OFFSET(INDIRECT("'"&amp;AA$67&amp;"'!d1"),J107-1,))</f>
        <v>9</v>
      </c>
      <c r="AB107" cm="1">
        <f t="array" aca="1" ref="AB107" ca="1">IF(ISNA(K107),,OFFSET(INDIRECT("'"&amp;AB$67&amp;"'!d1"),K107-1,))</f>
        <v>9</v>
      </c>
      <c r="AC107" cm="1">
        <f t="array" aca="1" ref="AC107" ca="1">IF(ISNA(L107),,OFFSET(INDIRECT("'"&amp;AC$67&amp;"'!d1"),L107-1,))</f>
        <v>9</v>
      </c>
      <c r="AD107" cm="1">
        <f t="array" aca="1" ref="AD107" ca="1">IF(ISNA(M107),,OFFSET(INDIRECT("'"&amp;AD$67&amp;"'!d1"),M107-1,))</f>
        <v>9</v>
      </c>
      <c r="AE107" cm="1">
        <f t="array" aca="1" ref="AE107" ca="1">IF(ISNA(N107),,OFFSET(INDIRECT("'"&amp;AE$67&amp;"'!d1"),N107-1,))</f>
        <v>0</v>
      </c>
      <c r="AF107" cm="1">
        <f t="array" aca="1" ref="AF107" ca="1">IF(ISNA(O107),,OFFSET(INDIRECT("'"&amp;AF$67&amp;"'!d1"),O107-1,))</f>
        <v>0</v>
      </c>
      <c r="AG107" cm="1">
        <f t="array" aca="1" ref="AG107" ca="1">IF(ISNA(P107),,OFFSET(INDIRECT("'"&amp;AG$67&amp;"'!d1"),P107-1,))</f>
        <v>9</v>
      </c>
      <c r="AM107">
        <f t="shared" ca="1" si="79"/>
        <v>1</v>
      </c>
      <c r="AN107">
        <f t="shared" ca="1" si="80"/>
        <v>1</v>
      </c>
      <c r="AO107">
        <f t="shared" ca="1" si="81"/>
        <v>1</v>
      </c>
      <c r="AP107">
        <f t="shared" ca="1" si="82"/>
        <v>1</v>
      </c>
      <c r="AQ107">
        <f t="shared" ca="1" si="83"/>
        <v>1</v>
      </c>
      <c r="AV107" t="b">
        <f t="shared" ca="1" si="84"/>
        <v>1</v>
      </c>
      <c r="AW107" t="b">
        <f t="shared" ca="1" si="85"/>
        <v>1</v>
      </c>
      <c r="AX107" t="b">
        <f t="shared" ca="1" si="86"/>
        <v>1</v>
      </c>
      <c r="AY107" t="b">
        <f t="shared" ca="1" si="87"/>
        <v>1</v>
      </c>
      <c r="AZ107" t="b">
        <f t="shared" ca="1" si="88"/>
        <v>1</v>
      </c>
      <c r="BD107">
        <f t="shared" ca="1" si="89"/>
        <v>1</v>
      </c>
      <c r="BE107">
        <f t="shared" ca="1" si="90"/>
        <v>1</v>
      </c>
      <c r="BF107">
        <f t="shared" ca="1" si="91"/>
        <v>1</v>
      </c>
      <c r="BG107">
        <f t="shared" ca="1" si="92"/>
        <v>1</v>
      </c>
      <c r="BH107">
        <f t="shared" ca="1" si="93"/>
        <v>1</v>
      </c>
      <c r="BI107">
        <f t="shared" ca="1" si="94"/>
        <v>1</v>
      </c>
      <c r="BJ107">
        <f t="shared" ca="1" si="95"/>
        <v>1</v>
      </c>
      <c r="BK107">
        <f t="shared" ca="1" si="96"/>
        <v>1</v>
      </c>
      <c r="BL107">
        <f t="shared" ca="1" si="97"/>
        <v>1</v>
      </c>
      <c r="BM107">
        <f t="shared" ca="1" si="98"/>
        <v>0</v>
      </c>
      <c r="BN107">
        <f t="shared" ca="1" si="99"/>
        <v>0</v>
      </c>
      <c r="BO107">
        <f t="shared" ca="1" si="100"/>
        <v>1</v>
      </c>
      <c r="BU107">
        <f t="shared" ca="1" si="101"/>
        <v>9</v>
      </c>
      <c r="BV107">
        <f t="shared" ca="1" si="102"/>
        <v>9</v>
      </c>
      <c r="BW107">
        <f t="shared" ca="1" si="103"/>
        <v>9</v>
      </c>
      <c r="BX107">
        <f t="shared" ca="1" si="104"/>
        <v>9</v>
      </c>
      <c r="BY107">
        <f t="shared" ca="1" si="105"/>
        <v>9</v>
      </c>
      <c r="BZ107">
        <f t="shared" ca="1" si="106"/>
        <v>9</v>
      </c>
      <c r="CA107">
        <f t="shared" ca="1" si="107"/>
        <v>9</v>
      </c>
      <c r="CB107">
        <f t="shared" ca="1" si="108"/>
        <v>9</v>
      </c>
      <c r="CC107">
        <f t="shared" ca="1" si="109"/>
        <v>9</v>
      </c>
      <c r="CD107">
        <f t="shared" ca="1" si="110"/>
        <v>47</v>
      </c>
      <c r="CE107">
        <f t="shared" ca="1" si="111"/>
        <v>47</v>
      </c>
      <c r="CF107">
        <f t="shared" ca="1" si="112"/>
        <v>9</v>
      </c>
      <c r="CL107">
        <f t="shared" ca="1" si="113"/>
        <v>1</v>
      </c>
      <c r="CM107">
        <f t="shared" ca="1" si="114"/>
        <v>1</v>
      </c>
      <c r="CN107">
        <f t="shared" ca="1" si="115"/>
        <v>1</v>
      </c>
      <c r="CO107">
        <f t="shared" ca="1" si="116"/>
        <v>1</v>
      </c>
      <c r="CP107">
        <f t="shared" ca="1" si="117"/>
        <v>1</v>
      </c>
      <c r="CQ107">
        <f t="shared" ca="1" si="118"/>
        <v>1</v>
      </c>
      <c r="CR107">
        <f t="shared" ca="1" si="119"/>
        <v>1</v>
      </c>
      <c r="CS107">
        <f t="shared" ca="1" si="120"/>
        <v>1</v>
      </c>
      <c r="CT107">
        <f t="shared" ca="1" si="121"/>
        <v>1</v>
      </c>
      <c r="CU107">
        <f t="shared" ca="1" si="122"/>
        <v>0</v>
      </c>
      <c r="CV107">
        <f t="shared" ca="1" si="123"/>
        <v>0</v>
      </c>
      <c r="CW107">
        <f t="shared" ca="1" si="124"/>
        <v>1</v>
      </c>
      <c r="DC107" cm="1">
        <f t="array" aca="1" ref="DC107" ca="1">IF(ISNA(E107),,OFFSET(INDIRECT("'"&amp;DT$67&amp;"'!f1"),E107-1,))*1</f>
        <v>7.5205127700000096</v>
      </c>
      <c r="DD107" cm="1">
        <f t="array" aca="1" ref="DD107" ca="1">IF(ISNA(F107),,OFFSET(INDIRECT("'"&amp;DU$67&amp;"'!f1"),F107-1,))*1</f>
        <v>23.182038046999899</v>
      </c>
      <c r="DE107" cm="1">
        <f t="array" aca="1" ref="DE107" ca="1">IF(ISNA(G107),,OFFSET(INDIRECT("'"&amp;DV$67&amp;"'!f1"),G107-1,))*1</f>
        <v>21.183980973000001</v>
      </c>
      <c r="DF107" cm="1">
        <f t="array" aca="1" ref="DF107" ca="1">IF(ISNA(H107),,OFFSET(INDIRECT("'"&amp;DW$67&amp;"'!f1"),H107-1,))*1</f>
        <v>28.235408830000299</v>
      </c>
      <c r="DG107" cm="1">
        <f t="array" aca="1" ref="DG107" ca="1">IF(ISNA(I107),,OFFSET(INDIRECT("'"&amp;DX$67&amp;"'!f1"),I107-1,))*1</f>
        <v>5.6346792000113E-2</v>
      </c>
      <c r="DH107" cm="1">
        <f t="array" aca="1" ref="DH107" ca="1">IF(ISNA(J107),,OFFSET(INDIRECT("'"&amp;DY$67&amp;"'!f1"),J107-1,))*1</f>
        <v>7.4505002703517606E-2</v>
      </c>
      <c r="DI107" cm="1">
        <f t="array" aca="1" ref="DI107" ca="1">IF(ISNA(K107),,OFFSET(INDIRECT("'"&amp;DZ$67&amp;"'!f1"),K107-1,))*1</f>
        <v>1.5131366383284299</v>
      </c>
      <c r="DJ107" cm="1">
        <f t="array" aca="1" ref="DJ107" ca="1">IF(ISNA(L107),,OFFSET(INDIRECT("'"&amp;EA$67&amp;"'!f1"),L107-1,))*1</f>
        <v>2.0996490865945798</v>
      </c>
      <c r="DK107" cm="1">
        <f t="array" aca="1" ref="DK107" ca="1">IF(ISNA(M107),,OFFSET(INDIRECT("'"&amp;EB$67&amp;"'!f1"),M107-1,))*1</f>
        <v>45.167027677409301</v>
      </c>
      <c r="DL107" cm="1">
        <f t="array" aca="1" ref="DL107" ca="1">IF(ISNA(N107),,OFFSET(INDIRECT("'"&amp;EC$67&amp;"'!f1"),N107-1,))*1</f>
        <v>6.0482835397124204E-3</v>
      </c>
      <c r="DM107" cm="1">
        <f t="array" aca="1" ref="DM107" ca="1">IF(ISNA(O107),,OFFSET(INDIRECT("'"&amp;ED$67&amp;"'!f1"),O107-1,))*1</f>
        <v>7.2086052969097996E-3</v>
      </c>
      <c r="DN107" cm="1">
        <f t="array" aca="1" ref="DN107" ca="1">IF(ISNA(P107),,OFFSET(INDIRECT("'"&amp;EE$67&amp;"'!f1"),P107-1,))*1</f>
        <v>0.13474245928227899</v>
      </c>
      <c r="DT107">
        <f t="shared" ca="1" si="125"/>
        <v>1</v>
      </c>
      <c r="DU107">
        <f t="shared" ca="1" si="126"/>
        <v>1</v>
      </c>
      <c r="DV107">
        <f t="shared" ca="1" si="127"/>
        <v>1</v>
      </c>
      <c r="DW107">
        <f t="shared" ca="1" si="128"/>
        <v>1</v>
      </c>
      <c r="DX107">
        <f t="shared" ca="1" si="129"/>
        <v>1</v>
      </c>
      <c r="DY107">
        <f t="shared" ca="1" si="130"/>
        <v>1</v>
      </c>
      <c r="DZ107">
        <f t="shared" ca="1" si="131"/>
        <v>8049</v>
      </c>
      <c r="EA107">
        <f t="shared" ca="1" si="132"/>
        <v>9710</v>
      </c>
      <c r="EB107">
        <f t="shared" ca="1" si="133"/>
        <v>6338</v>
      </c>
      <c r="EC107">
        <f t="shared" ca="1" si="134"/>
        <v>0</v>
      </c>
      <c r="ED107">
        <f t="shared" ca="1" si="135"/>
        <v>0</v>
      </c>
      <c r="EE107">
        <f t="shared" ca="1" si="136"/>
        <v>2</v>
      </c>
      <c r="EK107" cm="1">
        <f t="array" aca="1" ref="EK107" ca="1">IF(ISNA(E107),0,OFFSET(INDIRECT("'"&amp;EK$67&amp;"'!g1"),E107-1,)*CL107)</f>
        <v>1</v>
      </c>
      <c r="EL107" cm="1">
        <f t="array" aca="1" ref="EL107" ca="1">IF(ISNA(F107),0,OFFSET(INDIRECT("'"&amp;EL$67&amp;"'!g1"),F107-1,)*CM107)</f>
        <v>1</v>
      </c>
      <c r="EM107" cm="1">
        <f t="array" aca="1" ref="EM107" ca="1">IF(ISNA(G107),0,OFFSET(INDIRECT("'"&amp;EM$67&amp;"'!g1"),G107-1,)*CN107)</f>
        <v>1</v>
      </c>
      <c r="EN107" cm="1">
        <f t="array" aca="1" ref="EN107" ca="1">IF(ISNA(H107),0,OFFSET(INDIRECT("'"&amp;EN$67&amp;"'!g1"),H107-1,)*CO107)</f>
        <v>1</v>
      </c>
      <c r="EO107" cm="1">
        <f t="array" aca="1" ref="EO107" ca="1">IF(ISNA(I107),0,OFFSET(INDIRECT("'"&amp;EO$67&amp;"'!g1"),I107-1,)*CP107)</f>
        <v>1</v>
      </c>
      <c r="EP107" cm="1">
        <f t="array" aca="1" ref="EP107" ca="1">IF(ISNA(J107),0,OFFSET(INDIRECT("'"&amp;EP$67&amp;"'!g1"),J107-1,)*CQ107)</f>
        <v>1</v>
      </c>
      <c r="EQ107" cm="1">
        <f t="array" aca="1" ref="EQ107" ca="1">IF(ISNA(K107),0,OFFSET(INDIRECT("'"&amp;EQ$67&amp;"'!g1"),K107-1,)*CR107)</f>
        <v>8049</v>
      </c>
      <c r="ER107" cm="1">
        <f t="array" aca="1" ref="ER107" ca="1">IF(ISNA(L107),0,OFFSET(INDIRECT("'"&amp;ER$67&amp;"'!g1"),L107-1,)*CS107)</f>
        <v>9710</v>
      </c>
      <c r="ES107" cm="1">
        <f t="array" aca="1" ref="ES107" ca="1">IF(ISNA(M107),0,OFFSET(INDIRECT("'"&amp;ES$67&amp;"'!g1"),M107-1,)*CT107)</f>
        <v>6338</v>
      </c>
      <c r="ET107" cm="1">
        <f t="array" aca="1" ref="ET107" ca="1">IF(ISNA(N107),0,OFFSET(INDIRECT("'"&amp;ET$67&amp;"'!g1"),N107-1,)*CU107)</f>
        <v>0</v>
      </c>
      <c r="EU107" cm="1">
        <f t="array" aca="1" ref="EU107" ca="1">IF(ISNA(O107),0,OFFSET(INDIRECT("'"&amp;EU$67&amp;"'!g1"),O107-1,)*CV107)</f>
        <v>0</v>
      </c>
      <c r="EV107" cm="1">
        <f t="array" aca="1" ref="EV107" ca="1">IF(ISNA(P107),0,OFFSET(INDIRECT("'"&amp;EV$67&amp;"'!g1"),P107-1,)*CW107)</f>
        <v>2</v>
      </c>
      <c r="FB107" s="10" cm="1">
        <f t="array" aca="1" ref="FB107" ca="1">IF(ISNA(E107),0,OFFSET(INDIRECT("'"&amp;EK$67&amp;"'!h1"),E107-1,))</f>
        <v>1</v>
      </c>
      <c r="FC107" s="10" cm="1">
        <f t="array" aca="1" ref="FC107" ca="1">IF(ISNA(F107),0,OFFSET(INDIRECT("'"&amp;EL$67&amp;"'!h1"),F107-1,))</f>
        <v>1</v>
      </c>
      <c r="FD107" s="10" cm="1">
        <f t="array" aca="1" ref="FD107" ca="1">IF(ISNA(G107),0,OFFSET(INDIRECT("'"&amp;EM$67&amp;"'!h1"),G107-1,))</f>
        <v>1</v>
      </c>
      <c r="FE107" s="10" cm="1">
        <f t="array" aca="1" ref="FE107" ca="1">IF(ISNA(H107),0,OFFSET(INDIRECT("'"&amp;EN$67&amp;"'!h1"),H107-1,))</f>
        <v>1</v>
      </c>
      <c r="FF107" s="10" cm="1">
        <f t="array" aca="1" ref="FF107" ca="1">IF(ISNA(I107),0,OFFSET(INDIRECT("'"&amp;EO$67&amp;"'!h1"),I107-1,))</f>
        <v>1</v>
      </c>
      <c r="FG107" s="10" cm="1">
        <f t="array" aca="1" ref="FG107" ca="1">IF(ISNA(J107),0,OFFSET(INDIRECT("'"&amp;EP$67&amp;"'!h1"),J107-1,))</f>
        <v>1</v>
      </c>
      <c r="FH107" s="10" cm="1">
        <f t="array" aca="1" ref="FH107" ca="1">IF(ISNA(K107),0,OFFSET(INDIRECT("'"&amp;EQ$67&amp;"'!h1"),K107-1,))</f>
        <v>10000</v>
      </c>
      <c r="FI107" s="10" cm="1">
        <f t="array" aca="1" ref="FI107" ca="1">IF(ISNA(L107),0,OFFSET(INDIRECT("'"&amp;ER$67&amp;"'!h1"),L107-1,))</f>
        <v>10000</v>
      </c>
      <c r="FJ107" s="10" cm="1">
        <f t="array" aca="1" ref="FJ107" ca="1">IF(ISNA(M107),0,OFFSET(INDIRECT("'"&amp;ES$67&amp;"'!h1"),M107-1,))</f>
        <v>10000</v>
      </c>
      <c r="FK107" s="10" cm="1">
        <f t="array" aca="1" ref="FK107" ca="1">IF(ISNA(N107),0,OFFSET(INDIRECT("'"&amp;ET$67&amp;"'!h1"),N107-1,))</f>
        <v>1</v>
      </c>
      <c r="FL107" s="10" cm="1">
        <f t="array" aca="1" ref="FL107" ca="1">IF(ISNA(O107),0,OFFSET(INDIRECT("'"&amp;EU$67&amp;"'!h1"),O107-1,))</f>
        <v>1</v>
      </c>
      <c r="FM107" s="10" cm="1">
        <f t="array" aca="1" ref="FM107" ca="1">IF(ISNA(P107),0,OFFSET(INDIRECT("'"&amp;EV$67&amp;"'!h1"),P107-1,))</f>
        <v>7</v>
      </c>
      <c r="FN107" s="10"/>
      <c r="FO107" s="10"/>
      <c r="FP107" s="10"/>
      <c r="FQ107" s="10"/>
      <c r="FS107">
        <f t="shared" ca="1" si="137"/>
        <v>47</v>
      </c>
      <c r="FT107">
        <f t="shared" ca="1" si="62"/>
        <v>1.5131366383284299</v>
      </c>
      <c r="FU107">
        <f t="shared" ca="1" si="63"/>
        <v>8049</v>
      </c>
      <c r="FV107">
        <f t="shared" ca="1" si="64"/>
        <v>10000</v>
      </c>
      <c r="FW107" s="4">
        <f t="shared" ca="1" si="138"/>
        <v>0.80489999999999995</v>
      </c>
      <c r="FX107" s="5">
        <f t="shared" ca="1" si="139"/>
        <v>1.8799063713857993E-4</v>
      </c>
      <c r="FZ107" s="13">
        <f t="shared" ca="1" si="140"/>
        <v>47</v>
      </c>
      <c r="GA107" s="23">
        <f t="shared" ca="1" si="141"/>
        <v>0</v>
      </c>
      <c r="GB107" s="23">
        <f t="shared" ca="1" si="142"/>
        <v>0</v>
      </c>
      <c r="GC107" s="23">
        <f t="shared" ca="1" si="143"/>
        <v>0</v>
      </c>
      <c r="GD107" s="23">
        <f t="shared" ca="1" si="144"/>
        <v>0</v>
      </c>
      <c r="GE107" s="23">
        <f t="shared" ca="1" si="145"/>
        <v>0</v>
      </c>
      <c r="GF107" s="23">
        <f t="shared" ca="1" si="146"/>
        <v>0</v>
      </c>
      <c r="GG107" s="23">
        <f t="shared" ca="1" si="147"/>
        <v>0</v>
      </c>
      <c r="GH107" s="23">
        <f t="shared" ca="1" si="148"/>
        <v>0</v>
      </c>
      <c r="GI107" s="23">
        <f t="shared" ca="1" si="149"/>
        <v>0</v>
      </c>
      <c r="GJ107" s="23" t="e">
        <f t="shared" ca="1" si="150"/>
        <v>#N/A</v>
      </c>
      <c r="GK107" s="23" t="e">
        <f t="shared" ca="1" si="151"/>
        <v>#N/A</v>
      </c>
      <c r="GL107" s="23">
        <f t="shared" ca="1" si="152"/>
        <v>0</v>
      </c>
      <c r="GM107" s="23"/>
      <c r="GN107">
        <f t="shared" ca="1" si="153"/>
        <v>47</v>
      </c>
      <c r="GO107" s="5">
        <f t="shared" ca="1" si="154"/>
        <v>7.5205127700000096</v>
      </c>
      <c r="GP107" s="5">
        <f t="shared" ca="1" si="155"/>
        <v>23.182038046999899</v>
      </c>
      <c r="GQ107" s="5">
        <f t="shared" ca="1" si="156"/>
        <v>21.183980973000001</v>
      </c>
      <c r="GR107" s="5">
        <f t="shared" ca="1" si="157"/>
        <v>28.235408830000299</v>
      </c>
      <c r="GS107" s="5">
        <f t="shared" ca="1" si="158"/>
        <v>5.6346792000113E-2</v>
      </c>
      <c r="GT107" s="5">
        <f t="shared" ca="1" si="159"/>
        <v>7.4505002703517606E-2</v>
      </c>
      <c r="GU107" s="5">
        <f t="shared" ca="1" si="160"/>
        <v>1.8799063713857993E-4</v>
      </c>
      <c r="GV107" s="5">
        <f t="shared" ca="1" si="161"/>
        <v>2.1623574527235631E-4</v>
      </c>
      <c r="GW107" s="5">
        <f t="shared" ca="1" si="162"/>
        <v>7.1263849285909276E-3</v>
      </c>
      <c r="GX107" s="5" t="e">
        <f t="shared" ca="1" si="163"/>
        <v>#N/A</v>
      </c>
      <c r="GY107" s="5" t="e">
        <f t="shared" ca="1" si="164"/>
        <v>#N/A</v>
      </c>
      <c r="GZ107" s="5">
        <f t="shared" ca="1" si="165"/>
        <v>6.7371229641139493E-2</v>
      </c>
      <c r="HB107" s="13">
        <f t="shared" ca="1" si="166"/>
        <v>47</v>
      </c>
      <c r="HC107" s="4">
        <f t="shared" ca="1" si="167"/>
        <v>1</v>
      </c>
      <c r="HD107" s="4">
        <f t="shared" ca="1" si="168"/>
        <v>1</v>
      </c>
      <c r="HE107" s="4">
        <f t="shared" ca="1" si="169"/>
        <v>1</v>
      </c>
      <c r="HF107" s="4">
        <f t="shared" ca="1" si="170"/>
        <v>1</v>
      </c>
      <c r="HG107" s="4">
        <f t="shared" ca="1" si="171"/>
        <v>1</v>
      </c>
      <c r="HH107" s="4">
        <f t="shared" ca="1" si="172"/>
        <v>1</v>
      </c>
      <c r="HI107" s="4">
        <f t="shared" ca="1" si="173"/>
        <v>0.80489999999999995</v>
      </c>
      <c r="HJ107" s="4">
        <f t="shared" ca="1" si="174"/>
        <v>0.97099999999999997</v>
      </c>
      <c r="HK107" s="4">
        <f t="shared" ca="1" si="175"/>
        <v>0.63380000000000003</v>
      </c>
      <c r="HL107" s="4">
        <f t="shared" ca="1" si="176"/>
        <v>0</v>
      </c>
      <c r="HM107" s="4">
        <f t="shared" ca="1" si="177"/>
        <v>0</v>
      </c>
      <c r="HN107" s="4">
        <f t="shared" ca="1" si="178"/>
        <v>0.2857142857142857</v>
      </c>
    </row>
    <row r="108" spans="1:222" x14ac:dyDescent="0.2">
      <c r="A108" t="str" cm="1">
        <f t="array" aca="1" ref="A108" ca="1">INDIRECT($A$67&amp;"!A"&amp;ROW(C41)+$B$64)</f>
        <v>[[48,26,9]]</v>
      </c>
      <c r="B108" cm="1">
        <f t="array" aca="1" ref="B108" ca="1">INDIRECT($A$67&amp;"!b"&amp;ROW(D41)+$B$64)</f>
        <v>48</v>
      </c>
      <c r="C108">
        <f t="shared" ca="1" si="78"/>
        <v>9</v>
      </c>
      <c r="E108">
        <f t="shared" ca="1" si="180"/>
        <v>65</v>
      </c>
      <c r="F108">
        <f t="shared" ca="1" si="180"/>
        <v>66</v>
      </c>
      <c r="G108">
        <f t="shared" ca="1" si="180"/>
        <v>65</v>
      </c>
      <c r="H108">
        <f t="shared" ca="1" si="180"/>
        <v>65</v>
      </c>
      <c r="I108">
        <f t="shared" ca="1" si="180"/>
        <v>68</v>
      </c>
      <c r="J108">
        <f t="shared" ca="1" si="180"/>
        <v>65</v>
      </c>
      <c r="K108">
        <f t="shared" ca="1" si="180"/>
        <v>72</v>
      </c>
      <c r="L108">
        <f t="shared" ca="1" si="180"/>
        <v>74</v>
      </c>
      <c r="M108">
        <f t="shared" ca="1" si="180"/>
        <v>71</v>
      </c>
      <c r="N108">
        <f t="shared" ca="1" si="180"/>
        <v>69</v>
      </c>
      <c r="O108">
        <f t="shared" ca="1" si="180"/>
        <v>69</v>
      </c>
      <c r="P108">
        <f t="shared" ca="1" si="180"/>
        <v>69</v>
      </c>
      <c r="V108" cm="1">
        <f t="array" aca="1" ref="V108" ca="1">IF(ISNA(E108),,OFFSET(INDIRECT("'"&amp;V$67&amp;"'!d1"),E108-1,))</f>
        <v>9</v>
      </c>
      <c r="W108" cm="1">
        <f t="array" aca="1" ref="W108" ca="1">IF(ISNA(F108),,OFFSET(INDIRECT("'"&amp;W$67&amp;"'!d1"),F108-1,))</f>
        <v>9</v>
      </c>
      <c r="X108" cm="1">
        <f t="array" aca="1" ref="X108" ca="1">IF(ISNA(G108),,OFFSET(INDIRECT("'"&amp;X$67&amp;"'!d1"),G108-1,))</f>
        <v>9</v>
      </c>
      <c r="Y108" cm="1">
        <f t="array" aca="1" ref="Y108" ca="1">IF(ISNA(H108),,OFFSET(INDIRECT("'"&amp;Y$67&amp;"'!d1"),H108-1,))</f>
        <v>9</v>
      </c>
      <c r="Z108" cm="1">
        <f t="array" aca="1" ref="Z108" ca="1">IF(ISNA(I108),,OFFSET(INDIRECT("'"&amp;Z$67&amp;"'!d1"),I108-1,))</f>
        <v>9</v>
      </c>
      <c r="AA108" cm="1">
        <f t="array" aca="1" ref="AA108" ca="1">IF(ISNA(J108),,OFFSET(INDIRECT("'"&amp;AA$67&amp;"'!d1"),J108-1,))</f>
        <v>9</v>
      </c>
      <c r="AB108" cm="1">
        <f t="array" aca="1" ref="AB108" ca="1">IF(ISNA(K108),,OFFSET(INDIRECT("'"&amp;AB$67&amp;"'!d1"),K108-1,))</f>
        <v>9</v>
      </c>
      <c r="AC108" cm="1">
        <f t="array" aca="1" ref="AC108" ca="1">IF(ISNA(L108),,OFFSET(INDIRECT("'"&amp;AC$67&amp;"'!d1"),L108-1,))</f>
        <v>9</v>
      </c>
      <c r="AD108" cm="1">
        <f t="array" aca="1" ref="AD108" ca="1">IF(ISNA(M108),,OFFSET(INDIRECT("'"&amp;AD$67&amp;"'!d1"),M108-1,))</f>
        <v>9</v>
      </c>
      <c r="AE108" cm="1">
        <f t="array" aca="1" ref="AE108" ca="1">IF(ISNA(N108),,OFFSET(INDIRECT("'"&amp;AE$67&amp;"'!d1"),N108-1,))</f>
        <v>0</v>
      </c>
      <c r="AF108" cm="1">
        <f t="array" aca="1" ref="AF108" ca="1">IF(ISNA(O108),,OFFSET(INDIRECT("'"&amp;AF$67&amp;"'!d1"),O108-1,))</f>
        <v>0</v>
      </c>
      <c r="AG108" cm="1">
        <f t="array" aca="1" ref="AG108" ca="1">IF(ISNA(P108),,OFFSET(INDIRECT("'"&amp;AG$67&amp;"'!d1"),P108-1,))</f>
        <v>9</v>
      </c>
      <c r="AM108">
        <f t="shared" ca="1" si="79"/>
        <v>1</v>
      </c>
      <c r="AN108">
        <f t="shared" ca="1" si="80"/>
        <v>1</v>
      </c>
      <c r="AO108">
        <f t="shared" ca="1" si="81"/>
        <v>1</v>
      </c>
      <c r="AP108">
        <f t="shared" ca="1" si="82"/>
        <v>1</v>
      </c>
      <c r="AQ108">
        <f t="shared" ca="1" si="83"/>
        <v>1</v>
      </c>
      <c r="AV108" t="b">
        <f t="shared" ca="1" si="84"/>
        <v>1</v>
      </c>
      <c r="AW108" t="b">
        <f t="shared" ca="1" si="85"/>
        <v>1</v>
      </c>
      <c r="AX108" t="b">
        <f t="shared" ca="1" si="86"/>
        <v>1</v>
      </c>
      <c r="AY108" t="b">
        <f t="shared" ca="1" si="87"/>
        <v>1</v>
      </c>
      <c r="AZ108" t="b">
        <f t="shared" ca="1" si="88"/>
        <v>1</v>
      </c>
      <c r="BD108">
        <f t="shared" ca="1" si="89"/>
        <v>1</v>
      </c>
      <c r="BE108">
        <f t="shared" ca="1" si="90"/>
        <v>1</v>
      </c>
      <c r="BF108">
        <f t="shared" ca="1" si="91"/>
        <v>1</v>
      </c>
      <c r="BG108">
        <f t="shared" ca="1" si="92"/>
        <v>1</v>
      </c>
      <c r="BH108">
        <f t="shared" ca="1" si="93"/>
        <v>1</v>
      </c>
      <c r="BI108">
        <f t="shared" ca="1" si="94"/>
        <v>1</v>
      </c>
      <c r="BJ108">
        <f t="shared" ca="1" si="95"/>
        <v>1</v>
      </c>
      <c r="BK108">
        <f t="shared" ca="1" si="96"/>
        <v>1</v>
      </c>
      <c r="BL108">
        <f t="shared" ca="1" si="97"/>
        <v>1</v>
      </c>
      <c r="BM108">
        <f t="shared" ca="1" si="98"/>
        <v>0</v>
      </c>
      <c r="BN108">
        <f t="shared" ca="1" si="99"/>
        <v>0</v>
      </c>
      <c r="BO108">
        <f t="shared" ca="1" si="100"/>
        <v>1</v>
      </c>
      <c r="BU108">
        <f t="shared" ca="1" si="101"/>
        <v>9</v>
      </c>
      <c r="BV108">
        <f t="shared" ca="1" si="102"/>
        <v>9</v>
      </c>
      <c r="BW108">
        <f t="shared" ca="1" si="103"/>
        <v>9</v>
      </c>
      <c r="BX108">
        <f t="shared" ca="1" si="104"/>
        <v>9</v>
      </c>
      <c r="BY108">
        <f t="shared" ca="1" si="105"/>
        <v>9</v>
      </c>
      <c r="BZ108">
        <f t="shared" ca="1" si="106"/>
        <v>9</v>
      </c>
      <c r="CA108">
        <f t="shared" ca="1" si="107"/>
        <v>9</v>
      </c>
      <c r="CB108">
        <f t="shared" ca="1" si="108"/>
        <v>9</v>
      </c>
      <c r="CC108">
        <f t="shared" ca="1" si="109"/>
        <v>9</v>
      </c>
      <c r="CD108">
        <f t="shared" ca="1" si="110"/>
        <v>48</v>
      </c>
      <c r="CE108">
        <f t="shared" ca="1" si="111"/>
        <v>48</v>
      </c>
      <c r="CF108">
        <f t="shared" ca="1" si="112"/>
        <v>9</v>
      </c>
      <c r="CL108">
        <f t="shared" ca="1" si="113"/>
        <v>1</v>
      </c>
      <c r="CM108">
        <f t="shared" ca="1" si="114"/>
        <v>1</v>
      </c>
      <c r="CN108">
        <f t="shared" ca="1" si="115"/>
        <v>1</v>
      </c>
      <c r="CO108">
        <f t="shared" ca="1" si="116"/>
        <v>1</v>
      </c>
      <c r="CP108">
        <f t="shared" ca="1" si="117"/>
        <v>1</v>
      </c>
      <c r="CQ108">
        <f t="shared" ca="1" si="118"/>
        <v>1</v>
      </c>
      <c r="CR108">
        <f t="shared" ca="1" si="119"/>
        <v>1</v>
      </c>
      <c r="CS108">
        <f t="shared" ca="1" si="120"/>
        <v>1</v>
      </c>
      <c r="CT108">
        <f t="shared" ca="1" si="121"/>
        <v>1</v>
      </c>
      <c r="CU108">
        <f t="shared" ca="1" si="122"/>
        <v>0</v>
      </c>
      <c r="CV108">
        <f t="shared" ca="1" si="123"/>
        <v>0</v>
      </c>
      <c r="CW108">
        <f t="shared" ca="1" si="124"/>
        <v>1</v>
      </c>
      <c r="DC108" cm="1">
        <f t="array" aca="1" ref="DC108" ca="1">IF(ISNA(E108),,OFFSET(INDIRECT("'"&amp;DT$67&amp;"'!f1"),E108-1,))*1</f>
        <v>8.3355168850000005</v>
      </c>
      <c r="DD108" cm="1">
        <f t="array" aca="1" ref="DD108" ca="1">IF(ISNA(F108),,OFFSET(INDIRECT("'"&amp;DU$67&amp;"'!f1"),F108-1,))*1</f>
        <v>30.479699176</v>
      </c>
      <c r="DE108" cm="1">
        <f t="array" aca="1" ref="DE108" ca="1">IF(ISNA(G108),,OFFSET(INDIRECT("'"&amp;DV$67&amp;"'!f1"),G108-1,))*1</f>
        <v>29.745781475000001</v>
      </c>
      <c r="DF108" cm="1">
        <f t="array" aca="1" ref="DF108" ca="1">IF(ISNA(H108),,OFFSET(INDIRECT("'"&amp;DW$67&amp;"'!f1"),H108-1,))*1</f>
        <v>30.678594074999602</v>
      </c>
      <c r="DG108" cm="1">
        <f t="array" aca="1" ref="DG108" ca="1">IF(ISNA(I108),,OFFSET(INDIRECT("'"&amp;DX$67&amp;"'!f1"),I108-1,))*1</f>
        <v>5.77062919983291E-2</v>
      </c>
      <c r="DH108" cm="1">
        <f t="array" aca="1" ref="DH108" ca="1">IF(ISNA(J108),,OFFSET(INDIRECT("'"&amp;DY$67&amp;"'!f1"),J108-1,))*1</f>
        <v>7.5651172082871199E-2</v>
      </c>
      <c r="DI108" cm="1">
        <f t="array" aca="1" ref="DI108" ca="1">IF(ISNA(K108),,OFFSET(INDIRECT("'"&amp;DZ$67&amp;"'!f1"),K108-1,))*1</f>
        <v>1.5013753371313201</v>
      </c>
      <c r="DJ108" cm="1">
        <f t="array" aca="1" ref="DJ108" ca="1">IF(ISNA(L108),,OFFSET(INDIRECT("'"&amp;EA$67&amp;"'!f1"),L108-1,))*1</f>
        <v>2.0748025653883801</v>
      </c>
      <c r="DK108" cm="1">
        <f t="array" aca="1" ref="DK108" ca="1">IF(ISNA(M108),,OFFSET(INDIRECT("'"&amp;EB$67&amp;"'!f1"),M108-1,))*1</f>
        <v>48.990309924818497</v>
      </c>
      <c r="DL108" cm="1">
        <f t="array" aca="1" ref="DL108" ca="1">IF(ISNA(N108),,OFFSET(INDIRECT("'"&amp;EC$67&amp;"'!f1"),N108-1,))*1</f>
        <v>6.1898613348603197E-3</v>
      </c>
      <c r="DM108" cm="1">
        <f t="array" aca="1" ref="DM108" ca="1">IF(ISNA(O108),,OFFSET(INDIRECT("'"&amp;ED$67&amp;"'!f1"),O108-1,))*1</f>
        <v>7.4293417856097204E-3</v>
      </c>
      <c r="DN108" cm="1">
        <f t="array" aca="1" ref="DN108" ca="1">IF(ISNA(P108),,OFFSET(INDIRECT("'"&amp;EE$67&amp;"'!f1"),P108-1,))*1</f>
        <v>0.20751009695231901</v>
      </c>
      <c r="DT108">
        <f t="shared" ca="1" si="125"/>
        <v>1</v>
      </c>
      <c r="DU108">
        <f t="shared" ca="1" si="126"/>
        <v>1</v>
      </c>
      <c r="DV108">
        <f t="shared" ca="1" si="127"/>
        <v>1</v>
      </c>
      <c r="DW108">
        <f t="shared" ca="1" si="128"/>
        <v>1</v>
      </c>
      <c r="DX108">
        <f t="shared" ca="1" si="129"/>
        <v>1</v>
      </c>
      <c r="DY108">
        <f t="shared" ca="1" si="130"/>
        <v>1</v>
      </c>
      <c r="DZ108">
        <f t="shared" ca="1" si="131"/>
        <v>8368</v>
      </c>
      <c r="EA108">
        <f t="shared" ca="1" si="132"/>
        <v>9597</v>
      </c>
      <c r="EB108">
        <f t="shared" ca="1" si="133"/>
        <v>7277</v>
      </c>
      <c r="EC108">
        <f t="shared" ca="1" si="134"/>
        <v>0</v>
      </c>
      <c r="ED108">
        <f t="shared" ca="1" si="135"/>
        <v>0</v>
      </c>
      <c r="EE108">
        <f t="shared" ca="1" si="136"/>
        <v>2</v>
      </c>
      <c r="EK108" cm="1">
        <f t="array" aca="1" ref="EK108" ca="1">IF(ISNA(E108),0,OFFSET(INDIRECT("'"&amp;EK$67&amp;"'!g1"),E108-1,)*CL108)</f>
        <v>1</v>
      </c>
      <c r="EL108" cm="1">
        <f t="array" aca="1" ref="EL108" ca="1">IF(ISNA(F108),0,OFFSET(INDIRECT("'"&amp;EL$67&amp;"'!g1"),F108-1,)*CM108)</f>
        <v>1</v>
      </c>
      <c r="EM108" cm="1">
        <f t="array" aca="1" ref="EM108" ca="1">IF(ISNA(G108),0,OFFSET(INDIRECT("'"&amp;EM$67&amp;"'!g1"),G108-1,)*CN108)</f>
        <v>1</v>
      </c>
      <c r="EN108" cm="1">
        <f t="array" aca="1" ref="EN108" ca="1">IF(ISNA(H108),0,OFFSET(INDIRECT("'"&amp;EN$67&amp;"'!g1"),H108-1,)*CO108)</f>
        <v>1</v>
      </c>
      <c r="EO108" cm="1">
        <f t="array" aca="1" ref="EO108" ca="1">IF(ISNA(I108),0,OFFSET(INDIRECT("'"&amp;EO$67&amp;"'!g1"),I108-1,)*CP108)</f>
        <v>1</v>
      </c>
      <c r="EP108" cm="1">
        <f t="array" aca="1" ref="EP108" ca="1">IF(ISNA(J108),0,OFFSET(INDIRECT("'"&amp;EP$67&amp;"'!g1"),J108-1,)*CQ108)</f>
        <v>1</v>
      </c>
      <c r="EQ108" cm="1">
        <f t="array" aca="1" ref="EQ108" ca="1">IF(ISNA(K108),0,OFFSET(INDIRECT("'"&amp;EQ$67&amp;"'!g1"),K108-1,)*CR108)</f>
        <v>8368</v>
      </c>
      <c r="ER108" cm="1">
        <f t="array" aca="1" ref="ER108" ca="1">IF(ISNA(L108),0,OFFSET(INDIRECT("'"&amp;ER$67&amp;"'!g1"),L108-1,)*CS108)</f>
        <v>9597</v>
      </c>
      <c r="ES108" cm="1">
        <f t="array" aca="1" ref="ES108" ca="1">IF(ISNA(M108),0,OFFSET(INDIRECT("'"&amp;ES$67&amp;"'!g1"),M108-1,)*CT108)</f>
        <v>7277</v>
      </c>
      <c r="ET108" cm="1">
        <f t="array" aca="1" ref="ET108" ca="1">IF(ISNA(N108),0,OFFSET(INDIRECT("'"&amp;ET$67&amp;"'!g1"),N108-1,)*CU108)</f>
        <v>0</v>
      </c>
      <c r="EU108" cm="1">
        <f t="array" aca="1" ref="EU108" ca="1">IF(ISNA(O108),0,OFFSET(INDIRECT("'"&amp;EU$67&amp;"'!g1"),O108-1,)*CV108)</f>
        <v>0</v>
      </c>
      <c r="EV108" cm="1">
        <f t="array" aca="1" ref="EV108" ca="1">IF(ISNA(P108),0,OFFSET(INDIRECT("'"&amp;EV$67&amp;"'!g1"),P108-1,)*CW108)</f>
        <v>2</v>
      </c>
      <c r="FB108" s="10" cm="1">
        <f t="array" aca="1" ref="FB108" ca="1">IF(ISNA(E108),0,OFFSET(INDIRECT("'"&amp;EK$67&amp;"'!h1"),E108-1,))</f>
        <v>1</v>
      </c>
      <c r="FC108" s="10" cm="1">
        <f t="array" aca="1" ref="FC108" ca="1">IF(ISNA(F108),0,OFFSET(INDIRECT("'"&amp;EL$67&amp;"'!h1"),F108-1,))</f>
        <v>1</v>
      </c>
      <c r="FD108" s="10" cm="1">
        <f t="array" aca="1" ref="FD108" ca="1">IF(ISNA(G108),0,OFFSET(INDIRECT("'"&amp;EM$67&amp;"'!h1"),G108-1,))</f>
        <v>1</v>
      </c>
      <c r="FE108" s="10" cm="1">
        <f t="array" aca="1" ref="FE108" ca="1">IF(ISNA(H108),0,OFFSET(INDIRECT("'"&amp;EN$67&amp;"'!h1"),H108-1,))</f>
        <v>1</v>
      </c>
      <c r="FF108" s="10" cm="1">
        <f t="array" aca="1" ref="FF108" ca="1">IF(ISNA(I108),0,OFFSET(INDIRECT("'"&amp;EO$67&amp;"'!h1"),I108-1,))</f>
        <v>1</v>
      </c>
      <c r="FG108" s="10" cm="1">
        <f t="array" aca="1" ref="FG108" ca="1">IF(ISNA(J108),0,OFFSET(INDIRECT("'"&amp;EP$67&amp;"'!h1"),J108-1,))</f>
        <v>1</v>
      </c>
      <c r="FH108" s="10" cm="1">
        <f t="array" aca="1" ref="FH108" ca="1">IF(ISNA(K108),0,OFFSET(INDIRECT("'"&amp;EQ$67&amp;"'!h1"),K108-1,))</f>
        <v>10000</v>
      </c>
      <c r="FI108" s="10" cm="1">
        <f t="array" aca="1" ref="FI108" ca="1">IF(ISNA(L108),0,OFFSET(INDIRECT("'"&amp;ER$67&amp;"'!h1"),L108-1,))</f>
        <v>10000</v>
      </c>
      <c r="FJ108" s="10" cm="1">
        <f t="array" aca="1" ref="FJ108" ca="1">IF(ISNA(M108),0,OFFSET(INDIRECT("'"&amp;ES$67&amp;"'!h1"),M108-1,))</f>
        <v>10000</v>
      </c>
      <c r="FK108" s="10" cm="1">
        <f t="array" aca="1" ref="FK108" ca="1">IF(ISNA(N108),0,OFFSET(INDIRECT("'"&amp;ET$67&amp;"'!h1"),N108-1,))</f>
        <v>1</v>
      </c>
      <c r="FL108" s="10" cm="1">
        <f t="array" aca="1" ref="FL108" ca="1">IF(ISNA(O108),0,OFFSET(INDIRECT("'"&amp;EU$67&amp;"'!h1"),O108-1,))</f>
        <v>1</v>
      </c>
      <c r="FM108" s="10" cm="1">
        <f t="array" aca="1" ref="FM108" ca="1">IF(ISNA(P108),0,OFFSET(INDIRECT("'"&amp;EV$67&amp;"'!h1"),P108-1,))</f>
        <v>7</v>
      </c>
      <c r="FN108" s="10"/>
      <c r="FO108" s="10"/>
      <c r="FP108" s="10"/>
      <c r="FQ108" s="10"/>
      <c r="FS108">
        <f t="shared" ca="1" si="137"/>
        <v>48</v>
      </c>
      <c r="FT108">
        <f t="shared" ca="1" si="62"/>
        <v>1.5013753371313201</v>
      </c>
      <c r="FU108">
        <f t="shared" ca="1" si="63"/>
        <v>8368</v>
      </c>
      <c r="FV108">
        <f t="shared" ca="1" si="64"/>
        <v>10000</v>
      </c>
      <c r="FW108" s="4">
        <f t="shared" ca="1" si="138"/>
        <v>0.83679999999999999</v>
      </c>
      <c r="FX108" s="5">
        <f t="shared" ca="1" si="139"/>
        <v>1.7941865883500479E-4</v>
      </c>
      <c r="FZ108" s="13">
        <f t="shared" ca="1" si="140"/>
        <v>48</v>
      </c>
      <c r="GA108" s="23">
        <f t="shared" ca="1" si="141"/>
        <v>0</v>
      </c>
      <c r="GB108" s="23">
        <f t="shared" ca="1" si="142"/>
        <v>0</v>
      </c>
      <c r="GC108" s="23">
        <f t="shared" ca="1" si="143"/>
        <v>0</v>
      </c>
      <c r="GD108" s="23">
        <f t="shared" ca="1" si="144"/>
        <v>0</v>
      </c>
      <c r="GE108" s="23">
        <f t="shared" ca="1" si="145"/>
        <v>0</v>
      </c>
      <c r="GF108" s="23">
        <f t="shared" ca="1" si="146"/>
        <v>0</v>
      </c>
      <c r="GG108" s="23">
        <f t="shared" ca="1" si="147"/>
        <v>0</v>
      </c>
      <c r="GH108" s="23">
        <f t="shared" ca="1" si="148"/>
        <v>0</v>
      </c>
      <c r="GI108" s="23">
        <f t="shared" ca="1" si="149"/>
        <v>0</v>
      </c>
      <c r="GJ108" s="23" t="e">
        <f t="shared" ca="1" si="150"/>
        <v>#N/A</v>
      </c>
      <c r="GK108" s="23" t="e">
        <f t="shared" ca="1" si="151"/>
        <v>#N/A</v>
      </c>
      <c r="GL108" s="23">
        <f t="shared" ca="1" si="152"/>
        <v>0</v>
      </c>
      <c r="GM108" s="23"/>
      <c r="GN108">
        <f t="shared" ca="1" si="153"/>
        <v>48</v>
      </c>
      <c r="GO108" s="5">
        <f t="shared" ca="1" si="154"/>
        <v>8.3355168850000005</v>
      </c>
      <c r="GP108" s="5">
        <f t="shared" ca="1" si="155"/>
        <v>30.479699176</v>
      </c>
      <c r="GQ108" s="5">
        <f t="shared" ca="1" si="156"/>
        <v>29.745781475000001</v>
      </c>
      <c r="GR108" s="5">
        <f t="shared" ca="1" si="157"/>
        <v>30.678594074999602</v>
      </c>
      <c r="GS108" s="5">
        <f t="shared" ca="1" si="158"/>
        <v>5.77062919983291E-2</v>
      </c>
      <c r="GT108" s="5">
        <f t="shared" ca="1" si="159"/>
        <v>7.5651172082871199E-2</v>
      </c>
      <c r="GU108" s="5">
        <f t="shared" ca="1" si="160"/>
        <v>1.7941865883500479E-4</v>
      </c>
      <c r="GV108" s="5">
        <f t="shared" ca="1" si="161"/>
        <v>2.1619282748654582E-4</v>
      </c>
      <c r="GW108" s="5">
        <f t="shared" ca="1" si="162"/>
        <v>6.7322124398541293E-3</v>
      </c>
      <c r="GX108" s="5" t="e">
        <f t="shared" ca="1" si="163"/>
        <v>#N/A</v>
      </c>
      <c r="GY108" s="5" t="e">
        <f t="shared" ca="1" si="164"/>
        <v>#N/A</v>
      </c>
      <c r="GZ108" s="5">
        <f t="shared" ca="1" si="165"/>
        <v>0.1037550484761595</v>
      </c>
      <c r="HB108" s="13">
        <f t="shared" ca="1" si="166"/>
        <v>48</v>
      </c>
      <c r="HC108" s="4">
        <f t="shared" ca="1" si="167"/>
        <v>1</v>
      </c>
      <c r="HD108" s="4">
        <f t="shared" ca="1" si="168"/>
        <v>1</v>
      </c>
      <c r="HE108" s="4">
        <f t="shared" ca="1" si="169"/>
        <v>1</v>
      </c>
      <c r="HF108" s="4">
        <f t="shared" ca="1" si="170"/>
        <v>1</v>
      </c>
      <c r="HG108" s="4">
        <f t="shared" ca="1" si="171"/>
        <v>1</v>
      </c>
      <c r="HH108" s="4">
        <f t="shared" ca="1" si="172"/>
        <v>1</v>
      </c>
      <c r="HI108" s="4">
        <f t="shared" ca="1" si="173"/>
        <v>0.83679999999999999</v>
      </c>
      <c r="HJ108" s="4">
        <f t="shared" ca="1" si="174"/>
        <v>0.9597</v>
      </c>
      <c r="HK108" s="4">
        <f t="shared" ca="1" si="175"/>
        <v>0.72770000000000001</v>
      </c>
      <c r="HL108" s="4">
        <f t="shared" ca="1" si="176"/>
        <v>0</v>
      </c>
      <c r="HM108" s="4">
        <f t="shared" ca="1" si="177"/>
        <v>0</v>
      </c>
      <c r="HN108" s="4">
        <f t="shared" ca="1" si="178"/>
        <v>0.2857142857142857</v>
      </c>
    </row>
    <row r="109" spans="1:222" x14ac:dyDescent="0.2">
      <c r="A109" t="str" cm="1">
        <f t="array" aca="1" ref="A109" ca="1">INDIRECT($A$67&amp;"!A"&amp;ROW(C42)+$B$64)</f>
        <v>[[49,4,25]]</v>
      </c>
      <c r="B109" cm="1">
        <f t="array" aca="1" ref="B109" ca="1">INDIRECT($A$67&amp;"!b"&amp;ROW(D42)+$B$64)</f>
        <v>49</v>
      </c>
      <c r="C109">
        <f t="shared" ca="1" si="78"/>
        <v>25</v>
      </c>
      <c r="E109">
        <f t="shared" ca="1" si="180"/>
        <v>66</v>
      </c>
      <c r="F109">
        <f t="shared" ca="1" si="180"/>
        <v>67</v>
      </c>
      <c r="G109">
        <f t="shared" ca="1" si="180"/>
        <v>66</v>
      </c>
      <c r="H109">
        <f t="shared" ca="1" si="180"/>
        <v>66</v>
      </c>
      <c r="I109">
        <f t="shared" ca="1" si="180"/>
        <v>69</v>
      </c>
      <c r="J109">
        <f t="shared" ca="1" si="180"/>
        <v>66</v>
      </c>
      <c r="K109">
        <f t="shared" ca="1" si="180"/>
        <v>73</v>
      </c>
      <c r="L109">
        <f t="shared" ca="1" si="180"/>
        <v>75</v>
      </c>
      <c r="M109">
        <f t="shared" ca="1" si="180"/>
        <v>72</v>
      </c>
      <c r="N109">
        <f t="shared" ca="1" si="180"/>
        <v>70</v>
      </c>
      <c r="O109">
        <f t="shared" ca="1" si="180"/>
        <v>70</v>
      </c>
      <c r="P109">
        <f t="shared" ca="1" si="180"/>
        <v>70</v>
      </c>
      <c r="V109" cm="1">
        <f t="array" aca="1" ref="V109" ca="1">IF(ISNA(E109),,OFFSET(INDIRECT("'"&amp;V$67&amp;"'!d1"),E109-1,))</f>
        <v>25</v>
      </c>
      <c r="W109" cm="1">
        <f t="array" aca="1" ref="W109" ca="1">IF(ISNA(F109),,OFFSET(INDIRECT("'"&amp;W$67&amp;"'!d1"),F109-1,))</f>
        <v>25</v>
      </c>
      <c r="X109" cm="1">
        <f t="array" aca="1" ref="X109" ca="1">IF(ISNA(G109),,OFFSET(INDIRECT("'"&amp;X$67&amp;"'!d1"),G109-1,))</f>
        <v>25</v>
      </c>
      <c r="Y109" cm="1">
        <f t="array" aca="1" ref="Y109" ca="1">IF(ISNA(H109),,OFFSET(INDIRECT("'"&amp;Y$67&amp;"'!d1"),H109-1,))</f>
        <v>25</v>
      </c>
      <c r="Z109" cm="1">
        <f t="array" aca="1" ref="Z109" ca="1">IF(ISNA(I109),,OFFSET(INDIRECT("'"&amp;Z$67&amp;"'!d1"),I109-1,))</f>
        <v>25</v>
      </c>
      <c r="AA109" cm="1">
        <f t="array" aca="1" ref="AA109" ca="1">IF(ISNA(J109),,OFFSET(INDIRECT("'"&amp;AA$67&amp;"'!d1"),J109-1,))</f>
        <v>25</v>
      </c>
      <c r="AB109" cm="1">
        <f t="array" aca="1" ref="AB109" ca="1">IF(ISNA(K109),,OFFSET(INDIRECT("'"&amp;AB$67&amp;"'!d1"),K109-1,))</f>
        <v>25</v>
      </c>
      <c r="AC109" cm="1">
        <f t="array" aca="1" ref="AC109" ca="1">IF(ISNA(L109),,OFFSET(INDIRECT("'"&amp;AC$67&amp;"'!d1"),L109-1,))</f>
        <v>25</v>
      </c>
      <c r="AD109" cm="1">
        <f t="array" aca="1" ref="AD109" ca="1">IF(ISNA(M109),,OFFSET(INDIRECT("'"&amp;AD$67&amp;"'!d1"),M109-1,))</f>
        <v>25</v>
      </c>
      <c r="AE109" cm="1">
        <f t="array" aca="1" ref="AE109" ca="1">IF(ISNA(N109),,OFFSET(INDIRECT("'"&amp;AE$67&amp;"'!d1"),N109-1,))</f>
        <v>0</v>
      </c>
      <c r="AF109" cm="1">
        <f t="array" aca="1" ref="AF109" ca="1">IF(ISNA(O109),,OFFSET(INDIRECT("'"&amp;AF$67&amp;"'!d1"),O109-1,))</f>
        <v>0</v>
      </c>
      <c r="AG109" cm="1">
        <f t="array" aca="1" ref="AG109" ca="1">IF(ISNA(P109),,OFFSET(INDIRECT("'"&amp;AG$67&amp;"'!d1"),P109-1,))</f>
        <v>0</v>
      </c>
      <c r="AM109">
        <f t="shared" ca="1" si="79"/>
        <v>1</v>
      </c>
      <c r="AN109">
        <f t="shared" ca="1" si="80"/>
        <v>1</v>
      </c>
      <c r="AO109">
        <f t="shared" ca="1" si="81"/>
        <v>1</v>
      </c>
      <c r="AP109">
        <f t="shared" ca="1" si="82"/>
        <v>1</v>
      </c>
      <c r="AQ109">
        <f t="shared" ca="1" si="83"/>
        <v>1</v>
      </c>
      <c r="AV109" t="b">
        <f t="shared" ca="1" si="84"/>
        <v>1</v>
      </c>
      <c r="AW109" t="b">
        <f t="shared" ca="1" si="85"/>
        <v>1</v>
      </c>
      <c r="AX109" t="b">
        <f t="shared" ca="1" si="86"/>
        <v>1</v>
      </c>
      <c r="AY109" t="b">
        <f t="shared" ca="1" si="87"/>
        <v>1</v>
      </c>
      <c r="AZ109" t="b">
        <f t="shared" ca="1" si="88"/>
        <v>1</v>
      </c>
      <c r="BD109">
        <f t="shared" ca="1" si="89"/>
        <v>1</v>
      </c>
      <c r="BE109">
        <f t="shared" ca="1" si="90"/>
        <v>1</v>
      </c>
      <c r="BF109">
        <f t="shared" ca="1" si="91"/>
        <v>1</v>
      </c>
      <c r="BG109">
        <f t="shared" ca="1" si="92"/>
        <v>1</v>
      </c>
      <c r="BH109">
        <f t="shared" ca="1" si="93"/>
        <v>1</v>
      </c>
      <c r="BI109">
        <f t="shared" ca="1" si="94"/>
        <v>1</v>
      </c>
      <c r="BJ109">
        <f t="shared" ca="1" si="95"/>
        <v>1</v>
      </c>
      <c r="BK109">
        <f t="shared" ca="1" si="96"/>
        <v>1</v>
      </c>
      <c r="BL109">
        <f t="shared" ca="1" si="97"/>
        <v>1</v>
      </c>
      <c r="BM109">
        <f t="shared" ca="1" si="98"/>
        <v>0</v>
      </c>
      <c r="BN109">
        <f t="shared" ca="1" si="99"/>
        <v>0</v>
      </c>
      <c r="BO109">
        <f t="shared" ca="1" si="100"/>
        <v>0</v>
      </c>
      <c r="BU109">
        <f t="shared" ca="1" si="101"/>
        <v>25</v>
      </c>
      <c r="BV109">
        <f t="shared" ca="1" si="102"/>
        <v>25</v>
      </c>
      <c r="BW109">
        <f t="shared" ca="1" si="103"/>
        <v>25</v>
      </c>
      <c r="BX109">
        <f t="shared" ca="1" si="104"/>
        <v>25</v>
      </c>
      <c r="BY109">
        <f t="shared" ca="1" si="105"/>
        <v>25</v>
      </c>
      <c r="BZ109">
        <f t="shared" ca="1" si="106"/>
        <v>25</v>
      </c>
      <c r="CA109">
        <f t="shared" ca="1" si="107"/>
        <v>25</v>
      </c>
      <c r="CB109">
        <f t="shared" ca="1" si="108"/>
        <v>25</v>
      </c>
      <c r="CC109">
        <f t="shared" ca="1" si="109"/>
        <v>25</v>
      </c>
      <c r="CD109">
        <f t="shared" ca="1" si="110"/>
        <v>49</v>
      </c>
      <c r="CE109">
        <f t="shared" ca="1" si="111"/>
        <v>49</v>
      </c>
      <c r="CF109">
        <f t="shared" ca="1" si="112"/>
        <v>49</v>
      </c>
      <c r="CL109">
        <f t="shared" ca="1" si="113"/>
        <v>1</v>
      </c>
      <c r="CM109">
        <f t="shared" ca="1" si="114"/>
        <v>1</v>
      </c>
      <c r="CN109">
        <f t="shared" ca="1" si="115"/>
        <v>1</v>
      </c>
      <c r="CO109">
        <f t="shared" ca="1" si="116"/>
        <v>1</v>
      </c>
      <c r="CP109">
        <f t="shared" ca="1" si="117"/>
        <v>1</v>
      </c>
      <c r="CQ109">
        <f t="shared" ca="1" si="118"/>
        <v>1</v>
      </c>
      <c r="CR109">
        <f t="shared" ca="1" si="119"/>
        <v>1</v>
      </c>
      <c r="CS109">
        <f t="shared" ca="1" si="120"/>
        <v>1</v>
      </c>
      <c r="CT109">
        <f t="shared" ca="1" si="121"/>
        <v>1</v>
      </c>
      <c r="CU109">
        <f t="shared" ca="1" si="122"/>
        <v>0</v>
      </c>
      <c r="CV109">
        <f t="shared" ca="1" si="123"/>
        <v>0</v>
      </c>
      <c r="CW109">
        <f t="shared" ca="1" si="124"/>
        <v>0</v>
      </c>
      <c r="DC109" cm="1">
        <f t="array" aca="1" ref="DC109" ca="1">IF(ISNA(E109),,OFFSET(INDIRECT("'"&amp;DT$67&amp;"'!f1"),E109-1,))*1</f>
        <v>7.4578011999989202E-2</v>
      </c>
      <c r="DD109" cm="1">
        <f t="array" aca="1" ref="DD109" ca="1">IF(ISNA(F109),,OFFSET(INDIRECT("'"&amp;DU$67&amp;"'!f1"),F109-1,))*1</f>
        <v>0.26291152499999199</v>
      </c>
      <c r="DE109" cm="1">
        <f t="array" aca="1" ref="DE109" ca="1">IF(ISNA(G109),,OFFSET(INDIRECT("'"&amp;DV$67&amp;"'!f1"),G109-1,))*1</f>
        <v>1.9710098999979601E-2</v>
      </c>
      <c r="DF109" cm="1">
        <f t="array" aca="1" ref="DF109" ca="1">IF(ISNA(H109),,OFFSET(INDIRECT("'"&amp;DW$67&amp;"'!f1"),H109-1,))*1</f>
        <v>2.3468537000098801E-2</v>
      </c>
      <c r="DG109" cm="1">
        <f t="array" aca="1" ref="DG109" ca="1">IF(ISNA(I109),,OFFSET(INDIRECT("'"&amp;DX$67&amp;"'!f1"),I109-1,))*1</f>
        <v>5.4450458002975197E-2</v>
      </c>
      <c r="DH109" cm="1">
        <f t="array" aca="1" ref="DH109" ca="1">IF(ISNA(J109),,OFFSET(INDIRECT("'"&amp;DY$67&amp;"'!f1"),J109-1,))*1</f>
        <v>0.11099892295897</v>
      </c>
      <c r="DI109" cm="1">
        <f t="array" aca="1" ref="DI109" ca="1">IF(ISNA(K109),,OFFSET(INDIRECT("'"&amp;DZ$67&amp;"'!f1"),K109-1,))*1</f>
        <v>1.6768594151362699</v>
      </c>
      <c r="DJ109" cm="1">
        <f t="array" aca="1" ref="DJ109" ca="1">IF(ISNA(L109),,OFFSET(INDIRECT("'"&amp;EA$67&amp;"'!f1"),L109-1,))*1</f>
        <v>2.2740674065425899</v>
      </c>
      <c r="DK109" cm="1">
        <f t="array" aca="1" ref="DK109" ca="1">IF(ISNA(M109),,OFFSET(INDIRECT("'"&amp;EB$67&amp;"'!f1"),M109-1,))*1</f>
        <v>20.2978141428902</v>
      </c>
      <c r="DL109" cm="1">
        <f t="array" aca="1" ref="DL109" ca="1">IF(ISNA(N109),,OFFSET(INDIRECT("'"&amp;EC$67&amp;"'!f1"),N109-1,))*1</f>
        <v>4.91847842931747E-3</v>
      </c>
      <c r="DM109" cm="1">
        <f t="array" aca="1" ref="DM109" ca="1">IF(ISNA(O109),,OFFSET(INDIRECT("'"&amp;ED$67&amp;"'!f1"),O109-1,))*1</f>
        <v>5.8431578800082198E-3</v>
      </c>
      <c r="DN109" cm="1">
        <f t="array" aca="1" ref="DN109" ca="1">IF(ISNA(P109),,OFFSET(INDIRECT("'"&amp;EE$67&amp;"'!f1"),P109-1,))*1</f>
        <v>8.2095963880419696E-3</v>
      </c>
      <c r="DT109">
        <f t="shared" ca="1" si="125"/>
        <v>1</v>
      </c>
      <c r="DU109">
        <f t="shared" ca="1" si="126"/>
        <v>1</v>
      </c>
      <c r="DV109">
        <f t="shared" ca="1" si="127"/>
        <v>1</v>
      </c>
      <c r="DW109">
        <f t="shared" ca="1" si="128"/>
        <v>1</v>
      </c>
      <c r="DX109">
        <f t="shared" ca="1" si="129"/>
        <v>1</v>
      </c>
      <c r="DY109">
        <f t="shared" ca="1" si="130"/>
        <v>1</v>
      </c>
      <c r="DZ109">
        <f t="shared" ca="1" si="131"/>
        <v>8193</v>
      </c>
      <c r="EA109">
        <f t="shared" ca="1" si="132"/>
        <v>9979</v>
      </c>
      <c r="EB109">
        <f t="shared" ca="1" si="133"/>
        <v>8928</v>
      </c>
      <c r="EC109">
        <f t="shared" ca="1" si="134"/>
        <v>0</v>
      </c>
      <c r="ED109">
        <f t="shared" ca="1" si="135"/>
        <v>0</v>
      </c>
      <c r="EE109">
        <f t="shared" ca="1" si="136"/>
        <v>0</v>
      </c>
      <c r="EK109" cm="1">
        <f t="array" aca="1" ref="EK109" ca="1">IF(ISNA(E109),0,OFFSET(INDIRECT("'"&amp;EK$67&amp;"'!g1"),E109-1,)*CL109)</f>
        <v>1</v>
      </c>
      <c r="EL109" cm="1">
        <f t="array" aca="1" ref="EL109" ca="1">IF(ISNA(F109),0,OFFSET(INDIRECT("'"&amp;EL$67&amp;"'!g1"),F109-1,)*CM109)</f>
        <v>1</v>
      </c>
      <c r="EM109" cm="1">
        <f t="array" aca="1" ref="EM109" ca="1">IF(ISNA(G109),0,OFFSET(INDIRECT("'"&amp;EM$67&amp;"'!g1"),G109-1,)*CN109)</f>
        <v>1</v>
      </c>
      <c r="EN109" cm="1">
        <f t="array" aca="1" ref="EN109" ca="1">IF(ISNA(H109),0,OFFSET(INDIRECT("'"&amp;EN$67&amp;"'!g1"),H109-1,)*CO109)</f>
        <v>1</v>
      </c>
      <c r="EO109" cm="1">
        <f t="array" aca="1" ref="EO109" ca="1">IF(ISNA(I109),0,OFFSET(INDIRECT("'"&amp;EO$67&amp;"'!g1"),I109-1,)*CP109)</f>
        <v>1</v>
      </c>
      <c r="EP109" cm="1">
        <f t="array" aca="1" ref="EP109" ca="1">IF(ISNA(J109),0,OFFSET(INDIRECT("'"&amp;EP$67&amp;"'!g1"),J109-1,)*CQ109)</f>
        <v>1</v>
      </c>
      <c r="EQ109" cm="1">
        <f t="array" aca="1" ref="EQ109" ca="1">IF(ISNA(K109),0,OFFSET(INDIRECT("'"&amp;EQ$67&amp;"'!g1"),K109-1,)*CR109)</f>
        <v>8193</v>
      </c>
      <c r="ER109" cm="1">
        <f t="array" aca="1" ref="ER109" ca="1">IF(ISNA(L109),0,OFFSET(INDIRECT("'"&amp;ER$67&amp;"'!g1"),L109-1,)*CS109)</f>
        <v>9979</v>
      </c>
      <c r="ES109" cm="1">
        <f t="array" aca="1" ref="ES109" ca="1">IF(ISNA(M109),0,OFFSET(INDIRECT("'"&amp;ES$67&amp;"'!g1"),M109-1,)*CT109)</f>
        <v>8928</v>
      </c>
      <c r="ET109" cm="1">
        <f t="array" aca="1" ref="ET109" ca="1">IF(ISNA(N109),0,OFFSET(INDIRECT("'"&amp;ET$67&amp;"'!g1"),N109-1,)*CU109)</f>
        <v>0</v>
      </c>
      <c r="EU109" cm="1">
        <f t="array" aca="1" ref="EU109" ca="1">IF(ISNA(O109),0,OFFSET(INDIRECT("'"&amp;EU$67&amp;"'!g1"),O109-1,)*CV109)</f>
        <v>0</v>
      </c>
      <c r="EV109" cm="1">
        <f t="array" aca="1" ref="EV109" ca="1">IF(ISNA(P109),0,OFFSET(INDIRECT("'"&amp;EV$67&amp;"'!g1"),P109-1,)*CW109)</f>
        <v>0</v>
      </c>
      <c r="FB109" s="10" cm="1">
        <f t="array" aca="1" ref="FB109" ca="1">IF(ISNA(E109),0,OFFSET(INDIRECT("'"&amp;EK$67&amp;"'!h1"),E109-1,))</f>
        <v>1</v>
      </c>
      <c r="FC109" s="10" cm="1">
        <f t="array" aca="1" ref="FC109" ca="1">IF(ISNA(F109),0,OFFSET(INDIRECT("'"&amp;EL$67&amp;"'!h1"),F109-1,))</f>
        <v>1</v>
      </c>
      <c r="FD109" s="10" cm="1">
        <f t="array" aca="1" ref="FD109" ca="1">IF(ISNA(G109),0,OFFSET(INDIRECT("'"&amp;EM$67&amp;"'!h1"),G109-1,))</f>
        <v>1</v>
      </c>
      <c r="FE109" s="10" cm="1">
        <f t="array" aca="1" ref="FE109" ca="1">IF(ISNA(H109),0,OFFSET(INDIRECT("'"&amp;EN$67&amp;"'!h1"),H109-1,))</f>
        <v>1</v>
      </c>
      <c r="FF109" s="10" cm="1">
        <f t="array" aca="1" ref="FF109" ca="1">IF(ISNA(I109),0,OFFSET(INDIRECT("'"&amp;EO$67&amp;"'!h1"),I109-1,))</f>
        <v>1</v>
      </c>
      <c r="FG109" s="10" cm="1">
        <f t="array" aca="1" ref="FG109" ca="1">IF(ISNA(J109),0,OFFSET(INDIRECT("'"&amp;EP$67&amp;"'!h1"),J109-1,))</f>
        <v>1</v>
      </c>
      <c r="FH109" s="10" cm="1">
        <f t="array" aca="1" ref="FH109" ca="1">IF(ISNA(K109),0,OFFSET(INDIRECT("'"&amp;EQ$67&amp;"'!h1"),K109-1,))</f>
        <v>10000</v>
      </c>
      <c r="FI109" s="10" cm="1">
        <f t="array" aca="1" ref="FI109" ca="1">IF(ISNA(L109),0,OFFSET(INDIRECT("'"&amp;ER$67&amp;"'!h1"),L109-1,))</f>
        <v>10000</v>
      </c>
      <c r="FJ109" s="10" cm="1">
        <f t="array" aca="1" ref="FJ109" ca="1">IF(ISNA(M109),0,OFFSET(INDIRECT("'"&amp;ES$67&amp;"'!h1"),M109-1,))</f>
        <v>10000</v>
      </c>
      <c r="FK109" s="10" cm="1">
        <f t="array" aca="1" ref="FK109" ca="1">IF(ISNA(N109),0,OFFSET(INDIRECT("'"&amp;ET$67&amp;"'!h1"),N109-1,))</f>
        <v>1</v>
      </c>
      <c r="FL109" s="10" cm="1">
        <f t="array" aca="1" ref="FL109" ca="1">IF(ISNA(O109),0,OFFSET(INDIRECT("'"&amp;EU$67&amp;"'!h1"),O109-1,))</f>
        <v>1</v>
      </c>
      <c r="FM109" s="10" cm="1">
        <f t="array" aca="1" ref="FM109" ca="1">IF(ISNA(P109),0,OFFSET(INDIRECT("'"&amp;EV$67&amp;"'!h1"),P109-1,))</f>
        <v>9</v>
      </c>
      <c r="FN109" s="10"/>
      <c r="FO109" s="10"/>
      <c r="FP109" s="10"/>
      <c r="FQ109" s="10"/>
      <c r="FS109">
        <f t="shared" ca="1" si="137"/>
        <v>49</v>
      </c>
      <c r="FT109">
        <f t="shared" ca="1" si="62"/>
        <v>1.6768594151362699</v>
      </c>
      <c r="FU109">
        <f t="shared" ca="1" si="63"/>
        <v>8193</v>
      </c>
      <c r="FV109">
        <f t="shared" ca="1" si="64"/>
        <v>10000</v>
      </c>
      <c r="FW109" s="4">
        <f t="shared" ca="1" si="138"/>
        <v>0.81930000000000003</v>
      </c>
      <c r="FX109" s="5">
        <f t="shared" ca="1" si="139"/>
        <v>2.0466976872162454E-4</v>
      </c>
      <c r="FZ109" s="13">
        <f t="shared" ca="1" si="140"/>
        <v>49</v>
      </c>
      <c r="GA109" s="23">
        <f t="shared" ca="1" si="141"/>
        <v>0</v>
      </c>
      <c r="GB109" s="23">
        <f t="shared" ca="1" si="142"/>
        <v>0</v>
      </c>
      <c r="GC109" s="23">
        <f t="shared" ca="1" si="143"/>
        <v>0</v>
      </c>
      <c r="GD109" s="23">
        <f t="shared" ca="1" si="144"/>
        <v>0</v>
      </c>
      <c r="GE109" s="23">
        <f t="shared" ca="1" si="145"/>
        <v>0</v>
      </c>
      <c r="GF109" s="23">
        <f t="shared" ca="1" si="146"/>
        <v>0</v>
      </c>
      <c r="GG109" s="23">
        <f t="shared" ca="1" si="147"/>
        <v>0</v>
      </c>
      <c r="GH109" s="23">
        <f t="shared" ca="1" si="148"/>
        <v>0</v>
      </c>
      <c r="GI109" s="23">
        <f t="shared" ca="1" si="149"/>
        <v>0</v>
      </c>
      <c r="GJ109" s="23" t="e">
        <f t="shared" ca="1" si="150"/>
        <v>#N/A</v>
      </c>
      <c r="GK109" s="23" t="e">
        <f t="shared" ca="1" si="151"/>
        <v>#N/A</v>
      </c>
      <c r="GL109" s="23" t="e">
        <f t="shared" ca="1" si="152"/>
        <v>#N/A</v>
      </c>
      <c r="GM109" s="23"/>
      <c r="GN109">
        <f t="shared" ca="1" si="153"/>
        <v>49</v>
      </c>
      <c r="GO109" s="5">
        <f t="shared" ca="1" si="154"/>
        <v>7.4578011999989202E-2</v>
      </c>
      <c r="GP109" s="5">
        <f t="shared" ca="1" si="155"/>
        <v>0.26291152499999199</v>
      </c>
      <c r="GQ109" s="5">
        <f t="shared" ca="1" si="156"/>
        <v>1.9710098999979601E-2</v>
      </c>
      <c r="GR109" s="5">
        <f t="shared" ca="1" si="157"/>
        <v>2.3468537000098801E-2</v>
      </c>
      <c r="GS109" s="5">
        <f t="shared" ca="1" si="158"/>
        <v>5.4450458002975197E-2</v>
      </c>
      <c r="GT109" s="5">
        <f t="shared" ca="1" si="159"/>
        <v>0.11099892295897</v>
      </c>
      <c r="GU109" s="5">
        <f t="shared" ca="1" si="160"/>
        <v>2.0466976872162454E-4</v>
      </c>
      <c r="GV109" s="5">
        <f t="shared" ca="1" si="161"/>
        <v>2.2788529978380498E-4</v>
      </c>
      <c r="GW109" s="5">
        <f t="shared" ca="1" si="162"/>
        <v>2.2735006880477376E-3</v>
      </c>
      <c r="GX109" s="5" t="e">
        <f t="shared" ca="1" si="163"/>
        <v>#N/A</v>
      </c>
      <c r="GY109" s="5" t="e">
        <f t="shared" ca="1" si="164"/>
        <v>#N/A</v>
      </c>
      <c r="GZ109" s="5" t="e">
        <f t="shared" ca="1" si="165"/>
        <v>#N/A</v>
      </c>
      <c r="HB109" s="13">
        <f t="shared" ca="1" si="166"/>
        <v>49</v>
      </c>
      <c r="HC109" s="4">
        <f t="shared" ca="1" si="167"/>
        <v>1</v>
      </c>
      <c r="HD109" s="4">
        <f t="shared" ca="1" si="168"/>
        <v>1</v>
      </c>
      <c r="HE109" s="4">
        <f t="shared" ca="1" si="169"/>
        <v>1</v>
      </c>
      <c r="HF109" s="4">
        <f t="shared" ca="1" si="170"/>
        <v>1</v>
      </c>
      <c r="HG109" s="4">
        <f t="shared" ca="1" si="171"/>
        <v>1</v>
      </c>
      <c r="HH109" s="4">
        <f t="shared" ca="1" si="172"/>
        <v>1</v>
      </c>
      <c r="HI109" s="4">
        <f t="shared" ca="1" si="173"/>
        <v>0.81930000000000003</v>
      </c>
      <c r="HJ109" s="4">
        <f t="shared" ca="1" si="174"/>
        <v>0.99790000000000001</v>
      </c>
      <c r="HK109" s="4">
        <f t="shared" ca="1" si="175"/>
        <v>0.89280000000000004</v>
      </c>
      <c r="HL109" s="4">
        <f t="shared" ca="1" si="176"/>
        <v>0</v>
      </c>
      <c r="HM109" s="4">
        <f t="shared" ca="1" si="177"/>
        <v>0</v>
      </c>
      <c r="HN109" s="4">
        <f t="shared" ca="1" si="178"/>
        <v>0</v>
      </c>
    </row>
    <row r="110" spans="1:222" x14ac:dyDescent="0.2">
      <c r="A110" t="str" cm="1">
        <f t="array" aca="1" ref="A110" ca="1">INDIRECT($A$67&amp;"!A"&amp;ROW(C43)+$B$64)</f>
        <v>[[50,19,13]]</v>
      </c>
      <c r="B110" cm="1">
        <f t="array" aca="1" ref="B110" ca="1">INDIRECT($A$67&amp;"!b"&amp;ROW(D43)+$B$64)</f>
        <v>50</v>
      </c>
      <c r="C110">
        <f t="shared" ca="1" si="78"/>
        <v>13</v>
      </c>
      <c r="E110">
        <f t="shared" ca="1" si="180"/>
        <v>67</v>
      </c>
      <c r="F110">
        <f t="shared" ca="1" si="180"/>
        <v>68</v>
      </c>
      <c r="G110">
        <f t="shared" ca="1" si="180"/>
        <v>67</v>
      </c>
      <c r="H110">
        <f t="shared" ca="1" si="180"/>
        <v>67</v>
      </c>
      <c r="I110">
        <f t="shared" ca="1" si="180"/>
        <v>70</v>
      </c>
      <c r="J110">
        <f t="shared" ca="1" si="180"/>
        <v>67</v>
      </c>
      <c r="K110">
        <f t="shared" ca="1" si="180"/>
        <v>74</v>
      </c>
      <c r="L110">
        <f t="shared" ca="1" si="180"/>
        <v>76</v>
      </c>
      <c r="M110">
        <f t="shared" ca="1" si="180"/>
        <v>73</v>
      </c>
      <c r="N110">
        <f t="shared" ca="1" si="180"/>
        <v>71</v>
      </c>
      <c r="O110">
        <f t="shared" ca="1" si="180"/>
        <v>71</v>
      </c>
      <c r="P110">
        <f t="shared" ca="1" si="180"/>
        <v>71</v>
      </c>
      <c r="V110" cm="1">
        <f t="array" aca="1" ref="V110" ca="1">IF(ISNA(E110),,OFFSET(INDIRECT("'"&amp;V$67&amp;"'!d1"),E110-1,))</f>
        <v>13</v>
      </c>
      <c r="W110" cm="1">
        <f t="array" aca="1" ref="W110" ca="1">IF(ISNA(F110),,OFFSET(INDIRECT("'"&amp;W$67&amp;"'!d1"),F110-1,))</f>
        <v>13</v>
      </c>
      <c r="X110" cm="1">
        <f t="array" aca="1" ref="X110" ca="1">IF(ISNA(G110),,OFFSET(INDIRECT("'"&amp;X$67&amp;"'!d1"),G110-1,))</f>
        <v>13</v>
      </c>
      <c r="Y110" cm="1">
        <f t="array" aca="1" ref="Y110" ca="1">IF(ISNA(H110),,OFFSET(INDIRECT("'"&amp;Y$67&amp;"'!d1"),H110-1,))</f>
        <v>13</v>
      </c>
      <c r="Z110" cm="1">
        <f t="array" aca="1" ref="Z110" ca="1">IF(ISNA(I110),,OFFSET(INDIRECT("'"&amp;Z$67&amp;"'!d1"),I110-1,))</f>
        <v>13</v>
      </c>
      <c r="AA110" cm="1">
        <f t="array" aca="1" ref="AA110" ca="1">IF(ISNA(J110),,OFFSET(INDIRECT("'"&amp;AA$67&amp;"'!d1"),J110-1,))</f>
        <v>13</v>
      </c>
      <c r="AB110" cm="1">
        <f t="array" aca="1" ref="AB110" ca="1">IF(ISNA(K110),,OFFSET(INDIRECT("'"&amp;AB$67&amp;"'!d1"),K110-1,))</f>
        <v>13</v>
      </c>
      <c r="AC110" cm="1">
        <f t="array" aca="1" ref="AC110" ca="1">IF(ISNA(L110),,OFFSET(INDIRECT("'"&amp;AC$67&amp;"'!d1"),L110-1,))</f>
        <v>13</v>
      </c>
      <c r="AD110" cm="1">
        <f t="array" aca="1" ref="AD110" ca="1">IF(ISNA(M110),,OFFSET(INDIRECT("'"&amp;AD$67&amp;"'!d1"),M110-1,))</f>
        <v>13</v>
      </c>
      <c r="AE110" cm="1">
        <f t="array" aca="1" ref="AE110" ca="1">IF(ISNA(N110),,OFFSET(INDIRECT("'"&amp;AE$67&amp;"'!d1"),N110-1,))</f>
        <v>0</v>
      </c>
      <c r="AF110" cm="1">
        <f t="array" aca="1" ref="AF110" ca="1">IF(ISNA(O110),,OFFSET(INDIRECT("'"&amp;AF$67&amp;"'!d1"),O110-1,))</f>
        <v>0</v>
      </c>
      <c r="AG110" cm="1">
        <f t="array" aca="1" ref="AG110" ca="1">IF(ISNA(P110),,OFFSET(INDIRECT("'"&amp;AG$67&amp;"'!d1"),P110-1,))</f>
        <v>0</v>
      </c>
      <c r="AM110">
        <f t="shared" ca="1" si="79"/>
        <v>1</v>
      </c>
      <c r="AN110">
        <f t="shared" ca="1" si="80"/>
        <v>1</v>
      </c>
      <c r="AO110">
        <f t="shared" ca="1" si="81"/>
        <v>1</v>
      </c>
      <c r="AP110">
        <f t="shared" ca="1" si="82"/>
        <v>1</v>
      </c>
      <c r="AQ110">
        <f t="shared" ca="1" si="83"/>
        <v>1</v>
      </c>
      <c r="AV110" t="b">
        <f t="shared" ca="1" si="84"/>
        <v>1</v>
      </c>
      <c r="AW110" t="b">
        <f t="shared" ca="1" si="85"/>
        <v>1</v>
      </c>
      <c r="AX110" t="b">
        <f t="shared" ca="1" si="86"/>
        <v>1</v>
      </c>
      <c r="AY110" t="b">
        <f t="shared" ca="1" si="87"/>
        <v>1</v>
      </c>
      <c r="AZ110" t="b">
        <f t="shared" ca="1" si="88"/>
        <v>1</v>
      </c>
      <c r="BD110">
        <f t="shared" ca="1" si="89"/>
        <v>1</v>
      </c>
      <c r="BE110">
        <f t="shared" ca="1" si="90"/>
        <v>1</v>
      </c>
      <c r="BF110">
        <f t="shared" ca="1" si="91"/>
        <v>1</v>
      </c>
      <c r="BG110">
        <f t="shared" ca="1" si="92"/>
        <v>1</v>
      </c>
      <c r="BH110">
        <f t="shared" ca="1" si="93"/>
        <v>1</v>
      </c>
      <c r="BI110">
        <f t="shared" ca="1" si="94"/>
        <v>1</v>
      </c>
      <c r="BJ110">
        <f t="shared" ca="1" si="95"/>
        <v>1</v>
      </c>
      <c r="BK110">
        <f t="shared" ca="1" si="96"/>
        <v>1</v>
      </c>
      <c r="BL110">
        <f t="shared" ca="1" si="97"/>
        <v>1</v>
      </c>
      <c r="BM110">
        <f t="shared" ca="1" si="98"/>
        <v>0</v>
      </c>
      <c r="BN110">
        <f t="shared" ca="1" si="99"/>
        <v>0</v>
      </c>
      <c r="BO110">
        <f t="shared" ca="1" si="100"/>
        <v>0</v>
      </c>
      <c r="BU110">
        <f t="shared" ca="1" si="101"/>
        <v>13</v>
      </c>
      <c r="BV110">
        <f t="shared" ca="1" si="102"/>
        <v>13</v>
      </c>
      <c r="BW110">
        <f t="shared" ca="1" si="103"/>
        <v>13</v>
      </c>
      <c r="BX110">
        <f t="shared" ca="1" si="104"/>
        <v>13</v>
      </c>
      <c r="BY110">
        <f t="shared" ca="1" si="105"/>
        <v>13</v>
      </c>
      <c r="BZ110">
        <f t="shared" ca="1" si="106"/>
        <v>13</v>
      </c>
      <c r="CA110">
        <f t="shared" ca="1" si="107"/>
        <v>13</v>
      </c>
      <c r="CB110">
        <f t="shared" ca="1" si="108"/>
        <v>13</v>
      </c>
      <c r="CC110">
        <f t="shared" ca="1" si="109"/>
        <v>13</v>
      </c>
      <c r="CD110">
        <f t="shared" ca="1" si="110"/>
        <v>50</v>
      </c>
      <c r="CE110">
        <f t="shared" ca="1" si="111"/>
        <v>50</v>
      </c>
      <c r="CF110">
        <f t="shared" ca="1" si="112"/>
        <v>50</v>
      </c>
      <c r="CL110">
        <f t="shared" ca="1" si="113"/>
        <v>1</v>
      </c>
      <c r="CM110">
        <f t="shared" ca="1" si="114"/>
        <v>1</v>
      </c>
      <c r="CN110">
        <f t="shared" ca="1" si="115"/>
        <v>1</v>
      </c>
      <c r="CO110">
        <f t="shared" ca="1" si="116"/>
        <v>1</v>
      </c>
      <c r="CP110">
        <f t="shared" ca="1" si="117"/>
        <v>1</v>
      </c>
      <c r="CQ110">
        <f t="shared" ca="1" si="118"/>
        <v>1</v>
      </c>
      <c r="CR110">
        <f t="shared" ca="1" si="119"/>
        <v>1</v>
      </c>
      <c r="CS110">
        <f t="shared" ca="1" si="120"/>
        <v>1</v>
      </c>
      <c r="CT110">
        <f t="shared" ca="1" si="121"/>
        <v>1</v>
      </c>
      <c r="CU110">
        <f t="shared" ca="1" si="122"/>
        <v>0</v>
      </c>
      <c r="CV110">
        <f t="shared" ca="1" si="123"/>
        <v>0</v>
      </c>
      <c r="CW110">
        <f t="shared" ca="1" si="124"/>
        <v>0</v>
      </c>
      <c r="DC110" cm="1">
        <f t="array" aca="1" ref="DC110" ca="1">IF(ISNA(E110),,OFFSET(INDIRECT("'"&amp;DT$67&amp;"'!f1"),E110-1,))*1</f>
        <v>26.024489638999899</v>
      </c>
      <c r="DD110" cm="1">
        <f t="array" aca="1" ref="DD110" ca="1">IF(ISNA(F110),,OFFSET(INDIRECT("'"&amp;DU$67&amp;"'!f1"),F110-1,))*1</f>
        <v>76.035392927999894</v>
      </c>
      <c r="DE110" cm="1">
        <f t="array" aca="1" ref="DE110" ca="1">IF(ISNA(G110),,OFFSET(INDIRECT("'"&amp;DV$67&amp;"'!f1"),G110-1,))*1</f>
        <v>35.351535789000003</v>
      </c>
      <c r="DF110" cm="1">
        <f t="array" aca="1" ref="DF110" ca="1">IF(ISNA(H110),,OFFSET(INDIRECT("'"&amp;DW$67&amp;"'!f1"),H110-1,))*1</f>
        <v>10060.097772704001</v>
      </c>
      <c r="DG110" cm="1">
        <f t="array" aca="1" ref="DG110" ca="1">IF(ISNA(I110),,OFFSET(INDIRECT("'"&amp;DX$67&amp;"'!f1"),I110-1,))*1</f>
        <v>5.6529292000050101E-2</v>
      </c>
      <c r="DH110" cm="1">
        <f t="array" aca="1" ref="DH110" ca="1">IF(ISNA(J110),,OFFSET(INDIRECT("'"&amp;DY$67&amp;"'!f1"),J110-1,))*1</f>
        <v>0.101720361039042</v>
      </c>
      <c r="DI110" cm="1">
        <f t="array" aca="1" ref="DI110" ca="1">IF(ISNA(K110),,OFFSET(INDIRECT("'"&amp;DZ$67&amp;"'!f1"),K110-1,))*1</f>
        <v>1.7549127275124099</v>
      </c>
      <c r="DJ110" cm="1">
        <f t="array" aca="1" ref="DJ110" ca="1">IF(ISNA(L110),,OFFSET(INDIRECT("'"&amp;EA$67&amp;"'!f1"),L110-1,))*1</f>
        <v>2.5276685049757299</v>
      </c>
      <c r="DK110" cm="1">
        <f t="array" aca="1" ref="DK110" ca="1">IF(ISNA(M110),,OFFSET(INDIRECT("'"&amp;EB$67&amp;"'!f1"),M110-1,))*1</f>
        <v>30.966223759110999</v>
      </c>
      <c r="DL110" cm="1">
        <f t="array" aca="1" ref="DL110" ca="1">IF(ISNA(N110),,OFFSET(INDIRECT("'"&amp;EC$67&amp;"'!f1"),N110-1,))*1</f>
        <v>6.0090906918048798E-3</v>
      </c>
      <c r="DM110" cm="1">
        <f t="array" aca="1" ref="DM110" ca="1">IF(ISNA(O110),,OFFSET(INDIRECT("'"&amp;ED$67&amp;"'!f1"),O110-1,))*1</f>
        <v>7.0520862936973502E-3</v>
      </c>
      <c r="DN110" cm="1">
        <f t="array" aca="1" ref="DN110" ca="1">IF(ISNA(P110),,OFFSET(INDIRECT("'"&amp;EE$67&amp;"'!f1"),P110-1,))*1</f>
        <v>1.1270497925579499E-2</v>
      </c>
      <c r="DT110">
        <f t="shared" ca="1" si="125"/>
        <v>1</v>
      </c>
      <c r="DU110">
        <f t="shared" ca="1" si="126"/>
        <v>1</v>
      </c>
      <c r="DV110">
        <f t="shared" ca="1" si="127"/>
        <v>1</v>
      </c>
      <c r="DW110">
        <f t="shared" ca="1" si="128"/>
        <v>1</v>
      </c>
      <c r="DX110">
        <f t="shared" ca="1" si="129"/>
        <v>1</v>
      </c>
      <c r="DY110">
        <f t="shared" ca="1" si="130"/>
        <v>1</v>
      </c>
      <c r="DZ110">
        <f t="shared" ca="1" si="131"/>
        <v>8989</v>
      </c>
      <c r="EA110">
        <f t="shared" ca="1" si="132"/>
        <v>9940</v>
      </c>
      <c r="EB110">
        <f t="shared" ca="1" si="133"/>
        <v>6479</v>
      </c>
      <c r="EC110">
        <f t="shared" ca="1" si="134"/>
        <v>0</v>
      </c>
      <c r="ED110">
        <f t="shared" ca="1" si="135"/>
        <v>0</v>
      </c>
      <c r="EE110">
        <f t="shared" ca="1" si="136"/>
        <v>0</v>
      </c>
      <c r="EK110" cm="1">
        <f t="array" aca="1" ref="EK110" ca="1">IF(ISNA(E110),0,OFFSET(INDIRECT("'"&amp;EK$67&amp;"'!g1"),E110-1,)*CL110)</f>
        <v>1</v>
      </c>
      <c r="EL110" cm="1">
        <f t="array" aca="1" ref="EL110" ca="1">IF(ISNA(F110),0,OFFSET(INDIRECT("'"&amp;EL$67&amp;"'!g1"),F110-1,)*CM110)</f>
        <v>1</v>
      </c>
      <c r="EM110" cm="1">
        <f t="array" aca="1" ref="EM110" ca="1">IF(ISNA(G110),0,OFFSET(INDIRECT("'"&amp;EM$67&amp;"'!g1"),G110-1,)*CN110)</f>
        <v>1</v>
      </c>
      <c r="EN110" cm="1">
        <f t="array" aca="1" ref="EN110" ca="1">IF(ISNA(H110),0,OFFSET(INDIRECT("'"&amp;EN$67&amp;"'!g1"),H110-1,)*CO110)</f>
        <v>1</v>
      </c>
      <c r="EO110" cm="1">
        <f t="array" aca="1" ref="EO110" ca="1">IF(ISNA(I110),0,OFFSET(INDIRECT("'"&amp;EO$67&amp;"'!g1"),I110-1,)*CP110)</f>
        <v>1</v>
      </c>
      <c r="EP110" cm="1">
        <f t="array" aca="1" ref="EP110" ca="1">IF(ISNA(J110),0,OFFSET(INDIRECT("'"&amp;EP$67&amp;"'!g1"),J110-1,)*CQ110)</f>
        <v>1</v>
      </c>
      <c r="EQ110" cm="1">
        <f t="array" aca="1" ref="EQ110" ca="1">IF(ISNA(K110),0,OFFSET(INDIRECT("'"&amp;EQ$67&amp;"'!g1"),K110-1,)*CR110)</f>
        <v>8989</v>
      </c>
      <c r="ER110" cm="1">
        <f t="array" aca="1" ref="ER110" ca="1">IF(ISNA(L110),0,OFFSET(INDIRECT("'"&amp;ER$67&amp;"'!g1"),L110-1,)*CS110)</f>
        <v>9940</v>
      </c>
      <c r="ES110" cm="1">
        <f t="array" aca="1" ref="ES110" ca="1">IF(ISNA(M110),0,OFFSET(INDIRECT("'"&amp;ES$67&amp;"'!g1"),M110-1,)*CT110)</f>
        <v>6479</v>
      </c>
      <c r="ET110" cm="1">
        <f t="array" aca="1" ref="ET110" ca="1">IF(ISNA(N110),0,OFFSET(INDIRECT("'"&amp;ET$67&amp;"'!g1"),N110-1,)*CU110)</f>
        <v>0</v>
      </c>
      <c r="EU110" cm="1">
        <f t="array" aca="1" ref="EU110" ca="1">IF(ISNA(O110),0,OFFSET(INDIRECT("'"&amp;EU$67&amp;"'!g1"),O110-1,)*CV110)</f>
        <v>0</v>
      </c>
      <c r="EV110" cm="1">
        <f t="array" aca="1" ref="EV110" ca="1">IF(ISNA(P110),0,OFFSET(INDIRECT("'"&amp;EV$67&amp;"'!g1"),P110-1,)*CW110)</f>
        <v>0</v>
      </c>
      <c r="FB110" s="10" cm="1">
        <f t="array" aca="1" ref="FB110" ca="1">IF(ISNA(E110),0,OFFSET(INDIRECT("'"&amp;EK$67&amp;"'!h1"),E110-1,))</f>
        <v>1</v>
      </c>
      <c r="FC110" s="10" cm="1">
        <f t="array" aca="1" ref="FC110" ca="1">IF(ISNA(F110),0,OFFSET(INDIRECT("'"&amp;EL$67&amp;"'!h1"),F110-1,))</f>
        <v>1</v>
      </c>
      <c r="FD110" s="10" cm="1">
        <f t="array" aca="1" ref="FD110" ca="1">IF(ISNA(G110),0,OFFSET(INDIRECT("'"&amp;EM$67&amp;"'!h1"),G110-1,))</f>
        <v>1</v>
      </c>
      <c r="FE110" s="10" cm="1">
        <f t="array" aca="1" ref="FE110" ca="1">IF(ISNA(H110),0,OFFSET(INDIRECT("'"&amp;EN$67&amp;"'!h1"),H110-1,))</f>
        <v>1</v>
      </c>
      <c r="FF110" s="10" cm="1">
        <f t="array" aca="1" ref="FF110" ca="1">IF(ISNA(I110),0,OFFSET(INDIRECT("'"&amp;EO$67&amp;"'!h1"),I110-1,))</f>
        <v>1</v>
      </c>
      <c r="FG110" s="10" cm="1">
        <f t="array" aca="1" ref="FG110" ca="1">IF(ISNA(J110),0,OFFSET(INDIRECT("'"&amp;EP$67&amp;"'!h1"),J110-1,))</f>
        <v>1</v>
      </c>
      <c r="FH110" s="10" cm="1">
        <f t="array" aca="1" ref="FH110" ca="1">IF(ISNA(K110),0,OFFSET(INDIRECT("'"&amp;EQ$67&amp;"'!h1"),K110-1,))</f>
        <v>10000</v>
      </c>
      <c r="FI110" s="10" cm="1">
        <f t="array" aca="1" ref="FI110" ca="1">IF(ISNA(L110),0,OFFSET(INDIRECT("'"&amp;ER$67&amp;"'!h1"),L110-1,))</f>
        <v>10000</v>
      </c>
      <c r="FJ110" s="10" cm="1">
        <f t="array" aca="1" ref="FJ110" ca="1">IF(ISNA(M110),0,OFFSET(INDIRECT("'"&amp;ES$67&amp;"'!h1"),M110-1,))</f>
        <v>10000</v>
      </c>
      <c r="FK110" s="10" cm="1">
        <f t="array" aca="1" ref="FK110" ca="1">IF(ISNA(N110),0,OFFSET(INDIRECT("'"&amp;ET$67&amp;"'!h1"),N110-1,))</f>
        <v>1</v>
      </c>
      <c r="FL110" s="10" cm="1">
        <f t="array" aca="1" ref="FL110" ca="1">IF(ISNA(O110),0,OFFSET(INDIRECT("'"&amp;EU$67&amp;"'!h1"),O110-1,))</f>
        <v>1</v>
      </c>
      <c r="FM110" s="10" cm="1">
        <f t="array" aca="1" ref="FM110" ca="1">IF(ISNA(P110),0,OFFSET(INDIRECT("'"&amp;EV$67&amp;"'!h1"),P110-1,))</f>
        <v>9</v>
      </c>
      <c r="FN110" s="10"/>
      <c r="FO110" s="10"/>
      <c r="FP110" s="10"/>
      <c r="FQ110" s="10"/>
      <c r="FS110">
        <f t="shared" ca="1" si="137"/>
        <v>50</v>
      </c>
      <c r="FT110">
        <f t="shared" ca="1" si="62"/>
        <v>1.7549127275124099</v>
      </c>
      <c r="FU110">
        <f t="shared" ca="1" si="63"/>
        <v>8989</v>
      </c>
      <c r="FV110">
        <f t="shared" ca="1" si="64"/>
        <v>10000</v>
      </c>
      <c r="FW110" s="4">
        <f t="shared" ca="1" si="138"/>
        <v>0.89890000000000003</v>
      </c>
      <c r="FX110" s="5">
        <f t="shared" ca="1" si="139"/>
        <v>1.9522891617670596E-4</v>
      </c>
      <c r="FZ110" s="13">
        <f t="shared" ca="1" si="140"/>
        <v>50</v>
      </c>
      <c r="GA110" s="23">
        <f t="shared" ca="1" si="141"/>
        <v>0</v>
      </c>
      <c r="GB110" s="23">
        <f t="shared" ca="1" si="142"/>
        <v>0</v>
      </c>
      <c r="GC110" s="23">
        <f t="shared" ca="1" si="143"/>
        <v>0</v>
      </c>
      <c r="GD110" s="23">
        <f t="shared" ca="1" si="144"/>
        <v>0</v>
      </c>
      <c r="GE110" s="23">
        <f t="shared" ca="1" si="145"/>
        <v>0</v>
      </c>
      <c r="GF110" s="23">
        <f t="shared" ca="1" si="146"/>
        <v>0</v>
      </c>
      <c r="GG110" s="23">
        <f t="shared" ca="1" si="147"/>
        <v>0</v>
      </c>
      <c r="GH110" s="23">
        <f t="shared" ca="1" si="148"/>
        <v>0</v>
      </c>
      <c r="GI110" s="23">
        <f t="shared" ca="1" si="149"/>
        <v>0</v>
      </c>
      <c r="GJ110" s="23" t="e">
        <f t="shared" ca="1" si="150"/>
        <v>#N/A</v>
      </c>
      <c r="GK110" s="23" t="e">
        <f t="shared" ca="1" si="151"/>
        <v>#N/A</v>
      </c>
      <c r="GL110" s="23" t="e">
        <f t="shared" ca="1" si="152"/>
        <v>#N/A</v>
      </c>
      <c r="GM110" s="23"/>
      <c r="GN110">
        <f t="shared" ca="1" si="153"/>
        <v>50</v>
      </c>
      <c r="GO110" s="5">
        <f t="shared" ca="1" si="154"/>
        <v>26.024489638999899</v>
      </c>
      <c r="GP110" s="5">
        <f t="shared" ca="1" si="155"/>
        <v>76.035392927999894</v>
      </c>
      <c r="GQ110" s="5">
        <f t="shared" ca="1" si="156"/>
        <v>35.351535789000003</v>
      </c>
      <c r="GR110" s="5">
        <f t="shared" ca="1" si="157"/>
        <v>10060.097772704001</v>
      </c>
      <c r="GS110" s="5">
        <f t="shared" ca="1" si="158"/>
        <v>5.6529292000050101E-2</v>
      </c>
      <c r="GT110" s="5">
        <f t="shared" ca="1" si="159"/>
        <v>0.101720361039042</v>
      </c>
      <c r="GU110" s="5">
        <f t="shared" ca="1" si="160"/>
        <v>1.9522891617670596E-4</v>
      </c>
      <c r="GV110" s="5">
        <f t="shared" ca="1" si="161"/>
        <v>2.5429260613437927E-4</v>
      </c>
      <c r="GW110" s="5">
        <f t="shared" ca="1" si="162"/>
        <v>4.7794758078578484E-3</v>
      </c>
      <c r="GX110" s="5" t="e">
        <f t="shared" ca="1" si="163"/>
        <v>#N/A</v>
      </c>
      <c r="GY110" s="5" t="e">
        <f t="shared" ca="1" si="164"/>
        <v>#N/A</v>
      </c>
      <c r="GZ110" s="5" t="e">
        <f t="shared" ca="1" si="165"/>
        <v>#N/A</v>
      </c>
      <c r="HB110" s="13">
        <f t="shared" ca="1" si="166"/>
        <v>50</v>
      </c>
      <c r="HC110" s="4">
        <f t="shared" ca="1" si="167"/>
        <v>1</v>
      </c>
      <c r="HD110" s="4">
        <f t="shared" ca="1" si="168"/>
        <v>1</v>
      </c>
      <c r="HE110" s="4">
        <f t="shared" ca="1" si="169"/>
        <v>1</v>
      </c>
      <c r="HF110" s="4">
        <f t="shared" ca="1" si="170"/>
        <v>1</v>
      </c>
      <c r="HG110" s="4">
        <f t="shared" ca="1" si="171"/>
        <v>1</v>
      </c>
      <c r="HH110" s="4">
        <f t="shared" ca="1" si="172"/>
        <v>1</v>
      </c>
      <c r="HI110" s="4">
        <f t="shared" ca="1" si="173"/>
        <v>0.89890000000000003</v>
      </c>
      <c r="HJ110" s="4">
        <f t="shared" ca="1" si="174"/>
        <v>0.99399999999999999</v>
      </c>
      <c r="HK110" s="4">
        <f t="shared" ca="1" si="175"/>
        <v>0.64790000000000003</v>
      </c>
      <c r="HL110" s="4">
        <f t="shared" ca="1" si="176"/>
        <v>0</v>
      </c>
      <c r="HM110" s="4">
        <f t="shared" ca="1" si="177"/>
        <v>0</v>
      </c>
      <c r="HN110" s="4">
        <f t="shared" ca="1" si="178"/>
        <v>0</v>
      </c>
    </row>
    <row r="111" spans="1:222" x14ac:dyDescent="0.2">
      <c r="A111" t="str" cm="1">
        <f t="array" aca="1" ref="A111" ca="1">INDIRECT($A$67&amp;"!A"&amp;ROW(C44)+$B$64)</f>
        <v>[[51,28,9]]</v>
      </c>
      <c r="B111" cm="1">
        <f t="array" aca="1" ref="B111" ca="1">INDIRECT($A$67&amp;"!b"&amp;ROW(D44)+$B$64)</f>
        <v>51</v>
      </c>
      <c r="C111">
        <f t="shared" ca="1" si="78"/>
        <v>9</v>
      </c>
      <c r="E111">
        <f t="shared" ca="1" si="180"/>
        <v>68</v>
      </c>
      <c r="F111">
        <f t="shared" ca="1" si="180"/>
        <v>69</v>
      </c>
      <c r="G111">
        <f t="shared" ca="1" si="180"/>
        <v>68</v>
      </c>
      <c r="H111">
        <f t="shared" ca="1" si="180"/>
        <v>68</v>
      </c>
      <c r="I111">
        <f t="shared" ca="1" si="180"/>
        <v>71</v>
      </c>
      <c r="J111">
        <f t="shared" ca="1" si="180"/>
        <v>68</v>
      </c>
      <c r="K111">
        <f t="shared" ca="1" si="180"/>
        <v>75</v>
      </c>
      <c r="L111">
        <f t="shared" ca="1" si="180"/>
        <v>77</v>
      </c>
      <c r="M111">
        <f t="shared" ca="1" si="180"/>
        <v>74</v>
      </c>
      <c r="N111">
        <f t="shared" ca="1" si="180"/>
        <v>72</v>
      </c>
      <c r="O111">
        <f t="shared" ca="1" si="180"/>
        <v>72</v>
      </c>
      <c r="P111">
        <f t="shared" ca="1" si="180"/>
        <v>72</v>
      </c>
      <c r="V111" cm="1">
        <f t="array" aca="1" ref="V111" ca="1">IF(ISNA(E111),,OFFSET(INDIRECT("'"&amp;V$67&amp;"'!d1"),E111-1,))</f>
        <v>9</v>
      </c>
      <c r="W111" cm="1">
        <f t="array" aca="1" ref="W111" ca="1">IF(ISNA(F111),,OFFSET(INDIRECT("'"&amp;W$67&amp;"'!d1"),F111-1,))</f>
        <v>9</v>
      </c>
      <c r="X111" cm="1">
        <f t="array" aca="1" ref="X111" ca="1">IF(ISNA(G111),,OFFSET(INDIRECT("'"&amp;X$67&amp;"'!d1"),G111-1,))</f>
        <v>9</v>
      </c>
      <c r="Y111" cm="1">
        <f t="array" aca="1" ref="Y111" ca="1">IF(ISNA(H111),,OFFSET(INDIRECT("'"&amp;Y$67&amp;"'!d1"),H111-1,))</f>
        <v>9</v>
      </c>
      <c r="Z111" cm="1">
        <f t="array" aca="1" ref="Z111" ca="1">IF(ISNA(I111),,OFFSET(INDIRECT("'"&amp;Z$67&amp;"'!d1"),I111-1,))</f>
        <v>9</v>
      </c>
      <c r="AA111" cm="1">
        <f t="array" aca="1" ref="AA111" ca="1">IF(ISNA(J111),,OFFSET(INDIRECT("'"&amp;AA$67&amp;"'!d1"),J111-1,))</f>
        <v>9</v>
      </c>
      <c r="AB111" cm="1">
        <f t="array" aca="1" ref="AB111" ca="1">IF(ISNA(K111),,OFFSET(INDIRECT("'"&amp;AB$67&amp;"'!d1"),K111-1,))</f>
        <v>9</v>
      </c>
      <c r="AC111" cm="1">
        <f t="array" aca="1" ref="AC111" ca="1">IF(ISNA(L111),,OFFSET(INDIRECT("'"&amp;AC$67&amp;"'!d1"),L111-1,))</f>
        <v>9</v>
      </c>
      <c r="AD111" cm="1">
        <f t="array" aca="1" ref="AD111" ca="1">IF(ISNA(M111),,OFFSET(INDIRECT("'"&amp;AD$67&amp;"'!d1"),M111-1,))</f>
        <v>9</v>
      </c>
      <c r="AE111" cm="1">
        <f t="array" aca="1" ref="AE111" ca="1">IF(ISNA(N111),,OFFSET(INDIRECT("'"&amp;AE$67&amp;"'!d1"),N111-1,))</f>
        <v>0</v>
      </c>
      <c r="AF111" cm="1">
        <f t="array" aca="1" ref="AF111" ca="1">IF(ISNA(O111),,OFFSET(INDIRECT("'"&amp;AF$67&amp;"'!d1"),O111-1,))</f>
        <v>0</v>
      </c>
      <c r="AG111" cm="1">
        <f t="array" aca="1" ref="AG111" ca="1">IF(ISNA(P111),,OFFSET(INDIRECT("'"&amp;AG$67&amp;"'!d1"),P111-1,))</f>
        <v>9</v>
      </c>
      <c r="AM111">
        <f t="shared" ca="1" si="79"/>
        <v>1</v>
      </c>
      <c r="AN111">
        <f t="shared" ca="1" si="80"/>
        <v>1</v>
      </c>
      <c r="AO111">
        <f t="shared" ca="1" si="81"/>
        <v>1</v>
      </c>
      <c r="AP111">
        <f t="shared" ca="1" si="82"/>
        <v>1</v>
      </c>
      <c r="AQ111">
        <f t="shared" ca="1" si="83"/>
        <v>1</v>
      </c>
      <c r="AV111" t="b">
        <f t="shared" ca="1" si="84"/>
        <v>1</v>
      </c>
      <c r="AW111" t="b">
        <f t="shared" ca="1" si="85"/>
        <v>1</v>
      </c>
      <c r="AX111" t="b">
        <f t="shared" ca="1" si="86"/>
        <v>1</v>
      </c>
      <c r="AY111" t="b">
        <f t="shared" ca="1" si="87"/>
        <v>1</v>
      </c>
      <c r="AZ111" t="b">
        <f t="shared" ca="1" si="88"/>
        <v>1</v>
      </c>
      <c r="BD111">
        <f t="shared" ca="1" si="89"/>
        <v>1</v>
      </c>
      <c r="BE111">
        <f t="shared" ca="1" si="90"/>
        <v>1</v>
      </c>
      <c r="BF111">
        <f t="shared" ca="1" si="91"/>
        <v>1</v>
      </c>
      <c r="BG111">
        <f t="shared" ca="1" si="92"/>
        <v>1</v>
      </c>
      <c r="BH111">
        <f t="shared" ca="1" si="93"/>
        <v>1</v>
      </c>
      <c r="BI111">
        <f t="shared" ca="1" si="94"/>
        <v>1</v>
      </c>
      <c r="BJ111">
        <f t="shared" ca="1" si="95"/>
        <v>1</v>
      </c>
      <c r="BK111">
        <f t="shared" ca="1" si="96"/>
        <v>1</v>
      </c>
      <c r="BL111">
        <f t="shared" ca="1" si="97"/>
        <v>1</v>
      </c>
      <c r="BM111">
        <f t="shared" ca="1" si="98"/>
        <v>0</v>
      </c>
      <c r="BN111">
        <f t="shared" ca="1" si="99"/>
        <v>0</v>
      </c>
      <c r="BO111">
        <f t="shared" ca="1" si="100"/>
        <v>1</v>
      </c>
      <c r="BU111">
        <f t="shared" ca="1" si="101"/>
        <v>9</v>
      </c>
      <c r="BV111">
        <f t="shared" ca="1" si="102"/>
        <v>9</v>
      </c>
      <c r="BW111">
        <f t="shared" ca="1" si="103"/>
        <v>9</v>
      </c>
      <c r="BX111">
        <f t="shared" ca="1" si="104"/>
        <v>9</v>
      </c>
      <c r="BY111">
        <f t="shared" ca="1" si="105"/>
        <v>9</v>
      </c>
      <c r="BZ111">
        <f t="shared" ca="1" si="106"/>
        <v>9</v>
      </c>
      <c r="CA111">
        <f t="shared" ca="1" si="107"/>
        <v>9</v>
      </c>
      <c r="CB111">
        <f t="shared" ca="1" si="108"/>
        <v>9</v>
      </c>
      <c r="CC111">
        <f t="shared" ca="1" si="109"/>
        <v>9</v>
      </c>
      <c r="CD111">
        <f t="shared" ca="1" si="110"/>
        <v>51</v>
      </c>
      <c r="CE111">
        <f t="shared" ca="1" si="111"/>
        <v>51</v>
      </c>
      <c r="CF111">
        <f t="shared" ca="1" si="112"/>
        <v>9</v>
      </c>
      <c r="CL111">
        <f t="shared" ca="1" si="113"/>
        <v>1</v>
      </c>
      <c r="CM111">
        <f t="shared" ca="1" si="114"/>
        <v>1</v>
      </c>
      <c r="CN111">
        <f t="shared" ca="1" si="115"/>
        <v>1</v>
      </c>
      <c r="CO111">
        <f t="shared" ca="1" si="116"/>
        <v>1</v>
      </c>
      <c r="CP111">
        <f t="shared" ca="1" si="117"/>
        <v>1</v>
      </c>
      <c r="CQ111">
        <f t="shared" ca="1" si="118"/>
        <v>1</v>
      </c>
      <c r="CR111">
        <f t="shared" ca="1" si="119"/>
        <v>1</v>
      </c>
      <c r="CS111">
        <f t="shared" ca="1" si="120"/>
        <v>1</v>
      </c>
      <c r="CT111">
        <f t="shared" ca="1" si="121"/>
        <v>1</v>
      </c>
      <c r="CU111">
        <f t="shared" ca="1" si="122"/>
        <v>0</v>
      </c>
      <c r="CV111">
        <f t="shared" ca="1" si="123"/>
        <v>0</v>
      </c>
      <c r="CW111">
        <f t="shared" ca="1" si="124"/>
        <v>1</v>
      </c>
      <c r="DC111" cm="1">
        <f t="array" aca="1" ref="DC111" ca="1">IF(ISNA(E111),,OFFSET(INDIRECT("'"&amp;DT$67&amp;"'!f1"),E111-1,))*1</f>
        <v>10.601583121000001</v>
      </c>
      <c r="DD111" cm="1">
        <f t="array" aca="1" ref="DD111" ca="1">IF(ISNA(F111),,OFFSET(INDIRECT("'"&amp;DU$67&amp;"'!f1"),F111-1,))*1</f>
        <v>42.591046566999999</v>
      </c>
      <c r="DE111" cm="1">
        <f t="array" aca="1" ref="DE111" ca="1">IF(ISNA(G111),,OFFSET(INDIRECT("'"&amp;DV$67&amp;"'!f1"),G111-1,))*1</f>
        <v>34.461634861999897</v>
      </c>
      <c r="DF111" cm="1">
        <f t="array" aca="1" ref="DF111" ca="1">IF(ISNA(H111),,OFFSET(INDIRECT("'"&amp;DW$67&amp;"'!f1"),H111-1,))*1</f>
        <v>14.454949589000501</v>
      </c>
      <c r="DG111" cm="1">
        <f t="array" aca="1" ref="DG111" ca="1">IF(ISNA(I111),,OFFSET(INDIRECT("'"&amp;DX$67&amp;"'!f1"),I111-1,))*1</f>
        <v>5.8769124996615497E-2</v>
      </c>
      <c r="DH111" cm="1">
        <f t="array" aca="1" ref="DH111" ca="1">IF(ISNA(J111),,OFFSET(INDIRECT("'"&amp;DY$67&amp;"'!f1"),J111-1,))*1</f>
        <v>7.9380623996257699E-2</v>
      </c>
      <c r="DI111" cm="1">
        <f t="array" aca="1" ref="DI111" ca="1">IF(ISNA(K111),,OFFSET(INDIRECT("'"&amp;DZ$67&amp;"'!f1"),K111-1,))*1</f>
        <v>1.6486332071945</v>
      </c>
      <c r="DJ111" cm="1">
        <f t="array" aca="1" ref="DJ111" ca="1">IF(ISNA(L111),,OFFSET(INDIRECT("'"&amp;EA$67&amp;"'!f1"),L111-1,))*1</f>
        <v>2.2442030888050701</v>
      </c>
      <c r="DK111" cm="1">
        <f t="array" aca="1" ref="DK111" ca="1">IF(ISNA(M111),,OFFSET(INDIRECT("'"&amp;EB$67&amp;"'!f1"),M111-1,))*1</f>
        <v>56.5327017949894</v>
      </c>
      <c r="DL111" cm="1">
        <f t="array" aca="1" ref="DL111" ca="1">IF(ISNA(N111),,OFFSET(INDIRECT("'"&amp;EC$67&amp;"'!f1"),N111-1,))*1</f>
        <v>6.6111516207456502E-3</v>
      </c>
      <c r="DM111" cm="1">
        <f t="array" aca="1" ref="DM111" ca="1">IF(ISNA(O111),,OFFSET(INDIRECT("'"&amp;ED$67&amp;"'!f1"),O111-1,))*1</f>
        <v>7.8892717137932708E-3</v>
      </c>
      <c r="DN111" cm="1">
        <f t="array" aca="1" ref="DN111" ca="1">IF(ISNA(P111),,OFFSET(INDIRECT("'"&amp;EE$67&amp;"'!f1"),P111-1,))*1</f>
        <v>7.0126235485076904E-2</v>
      </c>
      <c r="DT111">
        <f t="shared" ca="1" si="125"/>
        <v>1</v>
      </c>
      <c r="DU111">
        <f t="shared" ca="1" si="126"/>
        <v>1</v>
      </c>
      <c r="DV111">
        <f t="shared" ca="1" si="127"/>
        <v>1</v>
      </c>
      <c r="DW111">
        <f t="shared" ca="1" si="128"/>
        <v>1</v>
      </c>
      <c r="DX111">
        <f t="shared" ca="1" si="129"/>
        <v>1</v>
      </c>
      <c r="DY111">
        <f t="shared" ca="1" si="130"/>
        <v>1</v>
      </c>
      <c r="DZ111">
        <f t="shared" ca="1" si="131"/>
        <v>5641</v>
      </c>
      <c r="EA111">
        <f t="shared" ca="1" si="132"/>
        <v>8225</v>
      </c>
      <c r="EB111">
        <f t="shared" ca="1" si="133"/>
        <v>5611</v>
      </c>
      <c r="EC111">
        <f t="shared" ca="1" si="134"/>
        <v>0</v>
      </c>
      <c r="ED111">
        <f t="shared" ca="1" si="135"/>
        <v>0</v>
      </c>
      <c r="EE111">
        <f t="shared" ca="1" si="136"/>
        <v>2</v>
      </c>
      <c r="EK111" cm="1">
        <f t="array" aca="1" ref="EK111" ca="1">IF(ISNA(E111),0,OFFSET(INDIRECT("'"&amp;EK$67&amp;"'!g1"),E111-1,)*CL111)</f>
        <v>1</v>
      </c>
      <c r="EL111" cm="1">
        <f t="array" aca="1" ref="EL111" ca="1">IF(ISNA(F111),0,OFFSET(INDIRECT("'"&amp;EL$67&amp;"'!g1"),F111-1,)*CM111)</f>
        <v>1</v>
      </c>
      <c r="EM111" cm="1">
        <f t="array" aca="1" ref="EM111" ca="1">IF(ISNA(G111),0,OFFSET(INDIRECT("'"&amp;EM$67&amp;"'!g1"),G111-1,)*CN111)</f>
        <v>1</v>
      </c>
      <c r="EN111" cm="1">
        <f t="array" aca="1" ref="EN111" ca="1">IF(ISNA(H111),0,OFFSET(INDIRECT("'"&amp;EN$67&amp;"'!g1"),H111-1,)*CO111)</f>
        <v>1</v>
      </c>
      <c r="EO111" cm="1">
        <f t="array" aca="1" ref="EO111" ca="1">IF(ISNA(I111),0,OFFSET(INDIRECT("'"&amp;EO$67&amp;"'!g1"),I111-1,)*CP111)</f>
        <v>1</v>
      </c>
      <c r="EP111" cm="1">
        <f t="array" aca="1" ref="EP111" ca="1">IF(ISNA(J111),0,OFFSET(INDIRECT("'"&amp;EP$67&amp;"'!g1"),J111-1,)*CQ111)</f>
        <v>1</v>
      </c>
      <c r="EQ111" cm="1">
        <f t="array" aca="1" ref="EQ111" ca="1">IF(ISNA(K111),0,OFFSET(INDIRECT("'"&amp;EQ$67&amp;"'!g1"),K111-1,)*CR111)</f>
        <v>5641</v>
      </c>
      <c r="ER111" cm="1">
        <f t="array" aca="1" ref="ER111" ca="1">IF(ISNA(L111),0,OFFSET(INDIRECT("'"&amp;ER$67&amp;"'!g1"),L111-1,)*CS111)</f>
        <v>8225</v>
      </c>
      <c r="ES111" cm="1">
        <f t="array" aca="1" ref="ES111" ca="1">IF(ISNA(M111),0,OFFSET(INDIRECT("'"&amp;ES$67&amp;"'!g1"),M111-1,)*CT111)</f>
        <v>5611</v>
      </c>
      <c r="ET111" cm="1">
        <f t="array" aca="1" ref="ET111" ca="1">IF(ISNA(N111),0,OFFSET(INDIRECT("'"&amp;ET$67&amp;"'!g1"),N111-1,)*CU111)</f>
        <v>0</v>
      </c>
      <c r="EU111" cm="1">
        <f t="array" aca="1" ref="EU111" ca="1">IF(ISNA(O111),0,OFFSET(INDIRECT("'"&amp;EU$67&amp;"'!g1"),O111-1,)*CV111)</f>
        <v>0</v>
      </c>
      <c r="EV111" cm="1">
        <f t="array" aca="1" ref="EV111" ca="1">IF(ISNA(P111),0,OFFSET(INDIRECT("'"&amp;EV$67&amp;"'!g1"),P111-1,)*CW111)</f>
        <v>2</v>
      </c>
      <c r="FB111" s="10" cm="1">
        <f t="array" aca="1" ref="FB111" ca="1">IF(ISNA(E111),0,OFFSET(INDIRECT("'"&amp;EK$67&amp;"'!h1"),E111-1,))</f>
        <v>1</v>
      </c>
      <c r="FC111" s="10" cm="1">
        <f t="array" aca="1" ref="FC111" ca="1">IF(ISNA(F111),0,OFFSET(INDIRECT("'"&amp;EL$67&amp;"'!h1"),F111-1,))</f>
        <v>1</v>
      </c>
      <c r="FD111" s="10" cm="1">
        <f t="array" aca="1" ref="FD111" ca="1">IF(ISNA(G111),0,OFFSET(INDIRECT("'"&amp;EM$67&amp;"'!h1"),G111-1,))</f>
        <v>1</v>
      </c>
      <c r="FE111" s="10" cm="1">
        <f t="array" aca="1" ref="FE111" ca="1">IF(ISNA(H111),0,OFFSET(INDIRECT("'"&amp;EN$67&amp;"'!h1"),H111-1,))</f>
        <v>1</v>
      </c>
      <c r="FF111" s="10" cm="1">
        <f t="array" aca="1" ref="FF111" ca="1">IF(ISNA(I111),0,OFFSET(INDIRECT("'"&amp;EO$67&amp;"'!h1"),I111-1,))</f>
        <v>1</v>
      </c>
      <c r="FG111" s="10" cm="1">
        <f t="array" aca="1" ref="FG111" ca="1">IF(ISNA(J111),0,OFFSET(INDIRECT("'"&amp;EP$67&amp;"'!h1"),J111-1,))</f>
        <v>1</v>
      </c>
      <c r="FH111" s="10" cm="1">
        <f t="array" aca="1" ref="FH111" ca="1">IF(ISNA(K111),0,OFFSET(INDIRECT("'"&amp;EQ$67&amp;"'!h1"),K111-1,))</f>
        <v>10000</v>
      </c>
      <c r="FI111" s="10" cm="1">
        <f t="array" aca="1" ref="FI111" ca="1">IF(ISNA(L111),0,OFFSET(INDIRECT("'"&amp;ER$67&amp;"'!h1"),L111-1,))</f>
        <v>10000</v>
      </c>
      <c r="FJ111" s="10" cm="1">
        <f t="array" aca="1" ref="FJ111" ca="1">IF(ISNA(M111),0,OFFSET(INDIRECT("'"&amp;ES$67&amp;"'!h1"),M111-1,))</f>
        <v>10000</v>
      </c>
      <c r="FK111" s="10" cm="1">
        <f t="array" aca="1" ref="FK111" ca="1">IF(ISNA(N111),0,OFFSET(INDIRECT("'"&amp;ET$67&amp;"'!h1"),N111-1,))</f>
        <v>1</v>
      </c>
      <c r="FL111" s="10" cm="1">
        <f t="array" aca="1" ref="FL111" ca="1">IF(ISNA(O111),0,OFFSET(INDIRECT("'"&amp;EU$67&amp;"'!h1"),O111-1,))</f>
        <v>1</v>
      </c>
      <c r="FM111" s="10" cm="1">
        <f t="array" aca="1" ref="FM111" ca="1">IF(ISNA(P111),0,OFFSET(INDIRECT("'"&amp;EV$67&amp;"'!h1"),P111-1,))</f>
        <v>7</v>
      </c>
      <c r="FN111" s="10"/>
      <c r="FO111" s="10"/>
      <c r="FP111" s="10"/>
      <c r="FQ111" s="10"/>
      <c r="FS111">
        <f t="shared" ca="1" si="137"/>
        <v>51</v>
      </c>
      <c r="FT111">
        <f t="shared" ca="1" si="62"/>
        <v>1.6486332071945</v>
      </c>
      <c r="FU111">
        <f t="shared" ca="1" si="63"/>
        <v>5641</v>
      </c>
      <c r="FV111">
        <f t="shared" ca="1" si="64"/>
        <v>10000</v>
      </c>
      <c r="FW111" s="4">
        <f t="shared" ca="1" si="138"/>
        <v>0.56410000000000005</v>
      </c>
      <c r="FX111" s="5">
        <f t="shared" ca="1" si="139"/>
        <v>2.9225903336190391E-4</v>
      </c>
      <c r="FZ111" s="13">
        <f t="shared" ca="1" si="140"/>
        <v>51</v>
      </c>
      <c r="GA111" s="23">
        <f t="shared" ca="1" si="141"/>
        <v>0</v>
      </c>
      <c r="GB111" s="23">
        <f t="shared" ca="1" si="142"/>
        <v>0</v>
      </c>
      <c r="GC111" s="23">
        <f t="shared" ca="1" si="143"/>
        <v>0</v>
      </c>
      <c r="GD111" s="23">
        <f t="shared" ca="1" si="144"/>
        <v>0</v>
      </c>
      <c r="GE111" s="23">
        <f t="shared" ca="1" si="145"/>
        <v>0</v>
      </c>
      <c r="GF111" s="23">
        <f t="shared" ca="1" si="146"/>
        <v>0</v>
      </c>
      <c r="GG111" s="23">
        <f t="shared" ca="1" si="147"/>
        <v>0</v>
      </c>
      <c r="GH111" s="23">
        <f t="shared" ca="1" si="148"/>
        <v>0</v>
      </c>
      <c r="GI111" s="23">
        <f t="shared" ca="1" si="149"/>
        <v>0</v>
      </c>
      <c r="GJ111" s="23" t="e">
        <f t="shared" ca="1" si="150"/>
        <v>#N/A</v>
      </c>
      <c r="GK111" s="23" t="e">
        <f t="shared" ca="1" si="151"/>
        <v>#N/A</v>
      </c>
      <c r="GL111" s="23">
        <f t="shared" ca="1" si="152"/>
        <v>0</v>
      </c>
      <c r="GM111" s="23"/>
      <c r="GN111">
        <f t="shared" ca="1" si="153"/>
        <v>51</v>
      </c>
      <c r="GO111" s="5">
        <f t="shared" ca="1" si="154"/>
        <v>10.601583121000001</v>
      </c>
      <c r="GP111" s="5">
        <f t="shared" ca="1" si="155"/>
        <v>42.591046566999999</v>
      </c>
      <c r="GQ111" s="5">
        <f t="shared" ca="1" si="156"/>
        <v>34.461634861999897</v>
      </c>
      <c r="GR111" s="5">
        <f t="shared" ca="1" si="157"/>
        <v>14.454949589000501</v>
      </c>
      <c r="GS111" s="5">
        <f t="shared" ca="1" si="158"/>
        <v>5.8769124996615497E-2</v>
      </c>
      <c r="GT111" s="5">
        <f t="shared" ca="1" si="159"/>
        <v>7.9380623996257699E-2</v>
      </c>
      <c r="GU111" s="5">
        <f t="shared" ca="1" si="160"/>
        <v>2.9225903336190391E-4</v>
      </c>
      <c r="GV111" s="5">
        <f t="shared" ca="1" si="161"/>
        <v>2.7285143936839757E-4</v>
      </c>
      <c r="GW111" s="5">
        <f t="shared" ca="1" si="162"/>
        <v>1.0075334484938407E-2</v>
      </c>
      <c r="GX111" s="5" t="e">
        <f t="shared" ca="1" si="163"/>
        <v>#N/A</v>
      </c>
      <c r="GY111" s="5" t="e">
        <f t="shared" ca="1" si="164"/>
        <v>#N/A</v>
      </c>
      <c r="GZ111" s="5">
        <f t="shared" ca="1" si="165"/>
        <v>3.5063117742538452E-2</v>
      </c>
      <c r="HB111" s="13">
        <f t="shared" ca="1" si="166"/>
        <v>51</v>
      </c>
      <c r="HC111" s="4">
        <f t="shared" ca="1" si="167"/>
        <v>1</v>
      </c>
      <c r="HD111" s="4">
        <f t="shared" ca="1" si="168"/>
        <v>1</v>
      </c>
      <c r="HE111" s="4">
        <f t="shared" ca="1" si="169"/>
        <v>1</v>
      </c>
      <c r="HF111" s="4">
        <f t="shared" ca="1" si="170"/>
        <v>1</v>
      </c>
      <c r="HG111" s="4">
        <f t="shared" ca="1" si="171"/>
        <v>1</v>
      </c>
      <c r="HH111" s="4">
        <f t="shared" ca="1" si="172"/>
        <v>1</v>
      </c>
      <c r="HI111" s="4">
        <f t="shared" ca="1" si="173"/>
        <v>0.56410000000000005</v>
      </c>
      <c r="HJ111" s="4">
        <f t="shared" ca="1" si="174"/>
        <v>0.82250000000000001</v>
      </c>
      <c r="HK111" s="4">
        <f t="shared" ca="1" si="175"/>
        <v>0.56110000000000004</v>
      </c>
      <c r="HL111" s="4">
        <f t="shared" ca="1" si="176"/>
        <v>0</v>
      </c>
      <c r="HM111" s="4">
        <f t="shared" ca="1" si="177"/>
        <v>0</v>
      </c>
      <c r="HN111" s="4">
        <f t="shared" ca="1" si="178"/>
        <v>0.2857142857142857</v>
      </c>
    </row>
    <row r="112" spans="1:222" x14ac:dyDescent="0.2">
      <c r="A112" t="str" cm="1">
        <f t="array" aca="1" ref="A112" ca="1">INDIRECT($A$67&amp;"!A"&amp;ROW(C45)+$B$64)</f>
        <v>[[52,15,17]]</v>
      </c>
      <c r="B112" cm="1">
        <f t="array" aca="1" ref="B112" ca="1">INDIRECT($A$67&amp;"!b"&amp;ROW(D45)+$B$64)</f>
        <v>52</v>
      </c>
      <c r="C112">
        <f t="shared" ca="1" si="78"/>
        <v>17</v>
      </c>
      <c r="E112">
        <f t="shared" ca="1" si="180"/>
        <v>69</v>
      </c>
      <c r="F112">
        <f t="shared" ca="1" si="180"/>
        <v>70</v>
      </c>
      <c r="G112">
        <f t="shared" ca="1" si="180"/>
        <v>69</v>
      </c>
      <c r="H112">
        <f t="shared" ca="1" si="180"/>
        <v>69</v>
      </c>
      <c r="I112">
        <f t="shared" ca="1" si="180"/>
        <v>72</v>
      </c>
      <c r="J112">
        <f t="shared" ca="1" si="180"/>
        <v>69</v>
      </c>
      <c r="K112">
        <f t="shared" ca="1" si="180"/>
        <v>76</v>
      </c>
      <c r="L112">
        <f t="shared" ca="1" si="180"/>
        <v>78</v>
      </c>
      <c r="M112">
        <f t="shared" ca="1" si="180"/>
        <v>75</v>
      </c>
      <c r="N112">
        <f t="shared" ca="1" si="180"/>
        <v>73</v>
      </c>
      <c r="O112">
        <f t="shared" ca="1" si="180"/>
        <v>73</v>
      </c>
      <c r="P112">
        <f t="shared" ca="1" si="180"/>
        <v>73</v>
      </c>
      <c r="V112" cm="1">
        <f t="array" aca="1" ref="V112" ca="1">IF(ISNA(E112),,OFFSET(INDIRECT("'"&amp;V$67&amp;"'!d1"),E112-1,))</f>
        <v>17</v>
      </c>
      <c r="W112" cm="1">
        <f t="array" aca="1" ref="W112" ca="1">IF(ISNA(F112),,OFFSET(INDIRECT("'"&amp;W$67&amp;"'!d1"),F112-1,))</f>
        <v>17</v>
      </c>
      <c r="X112" cm="1">
        <f t="array" aca="1" ref="X112" ca="1">IF(ISNA(G112),,OFFSET(INDIRECT("'"&amp;X$67&amp;"'!d1"),G112-1,))</f>
        <v>17</v>
      </c>
      <c r="Y112" cm="1">
        <f t="array" aca="1" ref="Y112" ca="1">IF(ISNA(H112),,OFFSET(INDIRECT("'"&amp;Y$67&amp;"'!d1"),H112-1,))</f>
        <v>17</v>
      </c>
      <c r="Z112" cm="1">
        <f t="array" aca="1" ref="Z112" ca="1">IF(ISNA(I112),,OFFSET(INDIRECT("'"&amp;Z$67&amp;"'!d1"),I112-1,))</f>
        <v>17</v>
      </c>
      <c r="AA112" cm="1">
        <f t="array" aca="1" ref="AA112" ca="1">IF(ISNA(J112),,OFFSET(INDIRECT("'"&amp;AA$67&amp;"'!d1"),J112-1,))</f>
        <v>17</v>
      </c>
      <c r="AB112" cm="1">
        <f t="array" aca="1" ref="AB112" ca="1">IF(ISNA(K112),,OFFSET(INDIRECT("'"&amp;AB$67&amp;"'!d1"),K112-1,))</f>
        <v>17</v>
      </c>
      <c r="AC112" cm="1">
        <f t="array" aca="1" ref="AC112" ca="1">IF(ISNA(L112),,OFFSET(INDIRECT("'"&amp;AC$67&amp;"'!d1"),L112-1,))</f>
        <v>17</v>
      </c>
      <c r="AD112" cm="1">
        <f t="array" aca="1" ref="AD112" ca="1">IF(ISNA(M112),,OFFSET(INDIRECT("'"&amp;AD$67&amp;"'!d1"),M112-1,))</f>
        <v>17</v>
      </c>
      <c r="AE112" cm="1">
        <f t="array" aca="1" ref="AE112" ca="1">IF(ISNA(N112),,OFFSET(INDIRECT("'"&amp;AE$67&amp;"'!d1"),N112-1,))</f>
        <v>0</v>
      </c>
      <c r="AF112" cm="1">
        <f t="array" aca="1" ref="AF112" ca="1">IF(ISNA(O112),,OFFSET(INDIRECT("'"&amp;AF$67&amp;"'!d1"),O112-1,))</f>
        <v>0</v>
      </c>
      <c r="AG112" cm="1">
        <f t="array" aca="1" ref="AG112" ca="1">IF(ISNA(P112),,OFFSET(INDIRECT("'"&amp;AG$67&amp;"'!d1"),P112-1,))</f>
        <v>0</v>
      </c>
      <c r="AM112">
        <f t="shared" ca="1" si="79"/>
        <v>1</v>
      </c>
      <c r="AN112">
        <f t="shared" ca="1" si="80"/>
        <v>1</v>
      </c>
      <c r="AO112">
        <f t="shared" ca="1" si="81"/>
        <v>1</v>
      </c>
      <c r="AP112">
        <f t="shared" ca="1" si="82"/>
        <v>1</v>
      </c>
      <c r="AQ112">
        <f t="shared" ca="1" si="83"/>
        <v>1</v>
      </c>
      <c r="AV112" t="b">
        <f t="shared" ca="1" si="84"/>
        <v>1</v>
      </c>
      <c r="AW112" t="b">
        <f t="shared" ca="1" si="85"/>
        <v>1</v>
      </c>
      <c r="AX112" t="b">
        <f t="shared" ca="1" si="86"/>
        <v>1</v>
      </c>
      <c r="AY112" t="b">
        <f t="shared" ca="1" si="87"/>
        <v>1</v>
      </c>
      <c r="AZ112" t="b">
        <f t="shared" ca="1" si="88"/>
        <v>1</v>
      </c>
      <c r="BD112">
        <f t="shared" ca="1" si="89"/>
        <v>1</v>
      </c>
      <c r="BE112">
        <f t="shared" ca="1" si="90"/>
        <v>1</v>
      </c>
      <c r="BF112">
        <f t="shared" ca="1" si="91"/>
        <v>1</v>
      </c>
      <c r="BG112">
        <f t="shared" ca="1" si="92"/>
        <v>1</v>
      </c>
      <c r="BH112">
        <f t="shared" ca="1" si="93"/>
        <v>1</v>
      </c>
      <c r="BI112">
        <f t="shared" ca="1" si="94"/>
        <v>1</v>
      </c>
      <c r="BJ112">
        <f t="shared" ca="1" si="95"/>
        <v>1</v>
      </c>
      <c r="BK112">
        <f t="shared" ca="1" si="96"/>
        <v>1</v>
      </c>
      <c r="BL112">
        <f t="shared" ca="1" si="97"/>
        <v>1</v>
      </c>
      <c r="BM112">
        <f t="shared" ca="1" si="98"/>
        <v>0</v>
      </c>
      <c r="BN112">
        <f t="shared" ca="1" si="99"/>
        <v>0</v>
      </c>
      <c r="BO112">
        <f t="shared" ca="1" si="100"/>
        <v>0</v>
      </c>
      <c r="BU112">
        <f t="shared" ca="1" si="101"/>
        <v>17</v>
      </c>
      <c r="BV112">
        <f t="shared" ca="1" si="102"/>
        <v>17</v>
      </c>
      <c r="BW112">
        <f t="shared" ca="1" si="103"/>
        <v>17</v>
      </c>
      <c r="BX112">
        <f t="shared" ca="1" si="104"/>
        <v>17</v>
      </c>
      <c r="BY112">
        <f t="shared" ca="1" si="105"/>
        <v>17</v>
      </c>
      <c r="BZ112">
        <f t="shared" ca="1" si="106"/>
        <v>17</v>
      </c>
      <c r="CA112">
        <f t="shared" ca="1" si="107"/>
        <v>17</v>
      </c>
      <c r="CB112">
        <f t="shared" ca="1" si="108"/>
        <v>17</v>
      </c>
      <c r="CC112">
        <f t="shared" ca="1" si="109"/>
        <v>17</v>
      </c>
      <c r="CD112">
        <f t="shared" ca="1" si="110"/>
        <v>52</v>
      </c>
      <c r="CE112">
        <f t="shared" ca="1" si="111"/>
        <v>52</v>
      </c>
      <c r="CF112">
        <f t="shared" ca="1" si="112"/>
        <v>52</v>
      </c>
      <c r="CL112">
        <f t="shared" ca="1" si="113"/>
        <v>1</v>
      </c>
      <c r="CM112">
        <f t="shared" ca="1" si="114"/>
        <v>1</v>
      </c>
      <c r="CN112">
        <f t="shared" ca="1" si="115"/>
        <v>1</v>
      </c>
      <c r="CO112">
        <f t="shared" ca="1" si="116"/>
        <v>1</v>
      </c>
      <c r="CP112">
        <f t="shared" ca="1" si="117"/>
        <v>1</v>
      </c>
      <c r="CQ112">
        <f t="shared" ca="1" si="118"/>
        <v>1</v>
      </c>
      <c r="CR112">
        <f t="shared" ca="1" si="119"/>
        <v>1</v>
      </c>
      <c r="CS112">
        <f t="shared" ca="1" si="120"/>
        <v>1</v>
      </c>
      <c r="CT112">
        <f t="shared" ca="1" si="121"/>
        <v>1</v>
      </c>
      <c r="CU112">
        <f t="shared" ca="1" si="122"/>
        <v>0</v>
      </c>
      <c r="CV112">
        <f t="shared" ca="1" si="123"/>
        <v>0</v>
      </c>
      <c r="CW112">
        <f t="shared" ca="1" si="124"/>
        <v>0</v>
      </c>
      <c r="DC112" cm="1">
        <f t="array" aca="1" ref="DC112" ca="1">IF(ISNA(E112),,OFFSET(INDIRECT("'"&amp;DT$67&amp;"'!f1"),E112-1,))*1</f>
        <v>11.356907555999999</v>
      </c>
      <c r="DD112" cm="1">
        <f t="array" aca="1" ref="DD112" ca="1">IF(ISNA(F112),,OFFSET(INDIRECT("'"&amp;DU$67&amp;"'!f1"),F112-1,))*1</f>
        <v>34.796535921999897</v>
      </c>
      <c r="DE112" cm="1">
        <f t="array" aca="1" ref="DE112" ca="1">IF(ISNA(G112),,OFFSET(INDIRECT("'"&amp;DV$67&amp;"'!f1"),G112-1,))*1</f>
        <v>12.250151695</v>
      </c>
      <c r="DF112" cm="1">
        <f t="array" aca="1" ref="DF112" ca="1">IF(ISNA(H112),,OFFSET(INDIRECT("'"&amp;DW$67&amp;"'!f1"),H112-1,))*1</f>
        <v>2023.9766111230001</v>
      </c>
      <c r="DG112" cm="1">
        <f t="array" aca="1" ref="DG112" ca="1">IF(ISNA(I112),,OFFSET(INDIRECT("'"&amp;DX$67&amp;"'!f1"),I112-1,))*1</f>
        <v>5.7898375001968802E-2</v>
      </c>
      <c r="DH112" cm="1">
        <f t="array" aca="1" ref="DH112" ca="1">IF(ISNA(J112),,OFFSET(INDIRECT("'"&amp;DY$67&amp;"'!f1"),J112-1,))*1</f>
        <v>0.120089904870837</v>
      </c>
      <c r="DI112" cm="1">
        <f t="array" aca="1" ref="DI112" ca="1">IF(ISNA(K112),,OFFSET(INDIRECT("'"&amp;DZ$67&amp;"'!f1"),K112-1,))*1</f>
        <v>1.8520049732178401</v>
      </c>
      <c r="DJ112" cm="1">
        <f t="array" aca="1" ref="DJ112" ca="1">IF(ISNA(L112),,OFFSET(INDIRECT("'"&amp;EA$67&amp;"'!f1"),L112-1,))*1</f>
        <v>2.3767848862335001</v>
      </c>
      <c r="DK112" cm="1">
        <f t="array" aca="1" ref="DK112" ca="1">IF(ISNA(M112),,OFFSET(INDIRECT("'"&amp;EB$67&amp;"'!f1"),M112-1,))*1</f>
        <v>22.068869037088</v>
      </c>
      <c r="DL112" cm="1">
        <f t="array" aca="1" ref="DL112" ca="1">IF(ISNA(N112),,OFFSET(INDIRECT("'"&amp;EC$67&amp;"'!f1"),N112-1,))*1</f>
        <v>5.9209605678915899E-3</v>
      </c>
      <c r="DM112" cm="1">
        <f t="array" aca="1" ref="DM112" ca="1">IF(ISNA(O112),,OFFSET(INDIRECT("'"&amp;ED$67&amp;"'!f1"),O112-1,))*1</f>
        <v>6.9920280948281201E-3</v>
      </c>
      <c r="DN112" cm="1">
        <f t="array" aca="1" ref="DN112" ca="1">IF(ISNA(P112),,OFFSET(INDIRECT("'"&amp;EE$67&amp;"'!f1"),P112-1,))*1</f>
        <v>1.1028458364307801E-2</v>
      </c>
      <c r="DT112">
        <f t="shared" ca="1" si="125"/>
        <v>1</v>
      </c>
      <c r="DU112">
        <f t="shared" ca="1" si="126"/>
        <v>1</v>
      </c>
      <c r="DV112">
        <f t="shared" ca="1" si="127"/>
        <v>1</v>
      </c>
      <c r="DW112">
        <f t="shared" ca="1" si="128"/>
        <v>1</v>
      </c>
      <c r="DX112">
        <f t="shared" ca="1" si="129"/>
        <v>1</v>
      </c>
      <c r="DY112">
        <f t="shared" ca="1" si="130"/>
        <v>1</v>
      </c>
      <c r="DZ112">
        <f t="shared" ca="1" si="131"/>
        <v>6404</v>
      </c>
      <c r="EA112">
        <f t="shared" ca="1" si="132"/>
        <v>8998</v>
      </c>
      <c r="EB112">
        <f t="shared" ca="1" si="133"/>
        <v>5671</v>
      </c>
      <c r="EC112">
        <f t="shared" ca="1" si="134"/>
        <v>0</v>
      </c>
      <c r="ED112">
        <f t="shared" ca="1" si="135"/>
        <v>0</v>
      </c>
      <c r="EE112">
        <f t="shared" ca="1" si="136"/>
        <v>0</v>
      </c>
      <c r="EK112" cm="1">
        <f t="array" aca="1" ref="EK112" ca="1">IF(ISNA(E112),0,OFFSET(INDIRECT("'"&amp;EK$67&amp;"'!g1"),E112-1,)*CL112)</f>
        <v>1</v>
      </c>
      <c r="EL112" cm="1">
        <f t="array" aca="1" ref="EL112" ca="1">IF(ISNA(F112),0,OFFSET(INDIRECT("'"&amp;EL$67&amp;"'!g1"),F112-1,)*CM112)</f>
        <v>1</v>
      </c>
      <c r="EM112" cm="1">
        <f t="array" aca="1" ref="EM112" ca="1">IF(ISNA(G112),0,OFFSET(INDIRECT("'"&amp;EM$67&amp;"'!g1"),G112-1,)*CN112)</f>
        <v>1</v>
      </c>
      <c r="EN112" cm="1">
        <f t="array" aca="1" ref="EN112" ca="1">IF(ISNA(H112),0,OFFSET(INDIRECT("'"&amp;EN$67&amp;"'!g1"),H112-1,)*CO112)</f>
        <v>1</v>
      </c>
      <c r="EO112" cm="1">
        <f t="array" aca="1" ref="EO112" ca="1">IF(ISNA(I112),0,OFFSET(INDIRECT("'"&amp;EO$67&amp;"'!g1"),I112-1,)*CP112)</f>
        <v>1</v>
      </c>
      <c r="EP112" cm="1">
        <f t="array" aca="1" ref="EP112" ca="1">IF(ISNA(J112),0,OFFSET(INDIRECT("'"&amp;EP$67&amp;"'!g1"),J112-1,)*CQ112)</f>
        <v>1</v>
      </c>
      <c r="EQ112" cm="1">
        <f t="array" aca="1" ref="EQ112" ca="1">IF(ISNA(K112),0,OFFSET(INDIRECT("'"&amp;EQ$67&amp;"'!g1"),K112-1,)*CR112)</f>
        <v>6404</v>
      </c>
      <c r="ER112" cm="1">
        <f t="array" aca="1" ref="ER112" ca="1">IF(ISNA(L112),0,OFFSET(INDIRECT("'"&amp;ER$67&amp;"'!g1"),L112-1,)*CS112)</f>
        <v>8998</v>
      </c>
      <c r="ES112" cm="1">
        <f t="array" aca="1" ref="ES112" ca="1">IF(ISNA(M112),0,OFFSET(INDIRECT("'"&amp;ES$67&amp;"'!g1"),M112-1,)*CT112)</f>
        <v>5671</v>
      </c>
      <c r="ET112" cm="1">
        <f t="array" aca="1" ref="ET112" ca="1">IF(ISNA(N112),0,OFFSET(INDIRECT("'"&amp;ET$67&amp;"'!g1"),N112-1,)*CU112)</f>
        <v>0</v>
      </c>
      <c r="EU112" cm="1">
        <f t="array" aca="1" ref="EU112" ca="1">IF(ISNA(O112),0,OFFSET(INDIRECT("'"&amp;EU$67&amp;"'!g1"),O112-1,)*CV112)</f>
        <v>0</v>
      </c>
      <c r="EV112" cm="1">
        <f t="array" aca="1" ref="EV112" ca="1">IF(ISNA(P112),0,OFFSET(INDIRECT("'"&amp;EV$67&amp;"'!g1"),P112-1,)*CW112)</f>
        <v>0</v>
      </c>
      <c r="FB112" s="10" cm="1">
        <f t="array" aca="1" ref="FB112" ca="1">IF(ISNA(E112),0,OFFSET(INDIRECT("'"&amp;EK$67&amp;"'!h1"),E112-1,))</f>
        <v>1</v>
      </c>
      <c r="FC112" s="10" cm="1">
        <f t="array" aca="1" ref="FC112" ca="1">IF(ISNA(F112),0,OFFSET(INDIRECT("'"&amp;EL$67&amp;"'!h1"),F112-1,))</f>
        <v>1</v>
      </c>
      <c r="FD112" s="10" cm="1">
        <f t="array" aca="1" ref="FD112" ca="1">IF(ISNA(G112),0,OFFSET(INDIRECT("'"&amp;EM$67&amp;"'!h1"),G112-1,))</f>
        <v>1</v>
      </c>
      <c r="FE112" s="10" cm="1">
        <f t="array" aca="1" ref="FE112" ca="1">IF(ISNA(H112),0,OFFSET(INDIRECT("'"&amp;EN$67&amp;"'!h1"),H112-1,))</f>
        <v>1</v>
      </c>
      <c r="FF112" s="10" cm="1">
        <f t="array" aca="1" ref="FF112" ca="1">IF(ISNA(I112),0,OFFSET(INDIRECT("'"&amp;EO$67&amp;"'!h1"),I112-1,))</f>
        <v>1</v>
      </c>
      <c r="FG112" s="10" cm="1">
        <f t="array" aca="1" ref="FG112" ca="1">IF(ISNA(J112),0,OFFSET(INDIRECT("'"&amp;EP$67&amp;"'!h1"),J112-1,))</f>
        <v>1</v>
      </c>
      <c r="FH112" s="10" cm="1">
        <f t="array" aca="1" ref="FH112" ca="1">IF(ISNA(K112),0,OFFSET(INDIRECT("'"&amp;EQ$67&amp;"'!h1"),K112-1,))</f>
        <v>10000</v>
      </c>
      <c r="FI112" s="10" cm="1">
        <f t="array" aca="1" ref="FI112" ca="1">IF(ISNA(L112),0,OFFSET(INDIRECT("'"&amp;ER$67&amp;"'!h1"),L112-1,))</f>
        <v>10000</v>
      </c>
      <c r="FJ112" s="10" cm="1">
        <f t="array" aca="1" ref="FJ112" ca="1">IF(ISNA(M112),0,OFFSET(INDIRECT("'"&amp;ES$67&amp;"'!h1"),M112-1,))</f>
        <v>10000</v>
      </c>
      <c r="FK112" s="10" cm="1">
        <f t="array" aca="1" ref="FK112" ca="1">IF(ISNA(N112),0,OFFSET(INDIRECT("'"&amp;ET$67&amp;"'!h1"),N112-1,))</f>
        <v>1</v>
      </c>
      <c r="FL112" s="10" cm="1">
        <f t="array" aca="1" ref="FL112" ca="1">IF(ISNA(O112),0,OFFSET(INDIRECT("'"&amp;EU$67&amp;"'!h1"),O112-1,))</f>
        <v>1</v>
      </c>
      <c r="FM112" s="10" cm="1">
        <f t="array" aca="1" ref="FM112" ca="1">IF(ISNA(P112),0,OFFSET(INDIRECT("'"&amp;EV$67&amp;"'!h1"),P112-1,))</f>
        <v>9</v>
      </c>
      <c r="FN112" s="10"/>
      <c r="FO112" s="10"/>
      <c r="FP112" s="10"/>
      <c r="FQ112" s="10"/>
      <c r="FS112">
        <f t="shared" ca="1" si="137"/>
        <v>52</v>
      </c>
      <c r="FT112">
        <f t="shared" ca="1" si="62"/>
        <v>1.8520049732178401</v>
      </c>
      <c r="FU112">
        <f t="shared" ca="1" si="63"/>
        <v>6404</v>
      </c>
      <c r="FV112">
        <f t="shared" ca="1" si="64"/>
        <v>10000</v>
      </c>
      <c r="FW112" s="4">
        <f t="shared" ca="1" si="138"/>
        <v>0.64039999999999997</v>
      </c>
      <c r="FX112" s="5">
        <f t="shared" ca="1" si="139"/>
        <v>2.8919503017143036E-4</v>
      </c>
      <c r="FZ112" s="13">
        <f t="shared" ca="1" si="140"/>
        <v>52</v>
      </c>
      <c r="GA112" s="23">
        <f t="shared" ca="1" si="141"/>
        <v>0</v>
      </c>
      <c r="GB112" s="23">
        <f t="shared" ca="1" si="142"/>
        <v>0</v>
      </c>
      <c r="GC112" s="23">
        <f t="shared" ca="1" si="143"/>
        <v>0</v>
      </c>
      <c r="GD112" s="23">
        <f t="shared" ca="1" si="144"/>
        <v>0</v>
      </c>
      <c r="GE112" s="23">
        <f t="shared" ca="1" si="145"/>
        <v>0</v>
      </c>
      <c r="GF112" s="23">
        <f t="shared" ca="1" si="146"/>
        <v>0</v>
      </c>
      <c r="GG112" s="23">
        <f t="shared" ca="1" si="147"/>
        <v>0</v>
      </c>
      <c r="GH112" s="23">
        <f t="shared" ca="1" si="148"/>
        <v>0</v>
      </c>
      <c r="GI112" s="23">
        <f t="shared" ca="1" si="149"/>
        <v>0</v>
      </c>
      <c r="GJ112" s="23" t="e">
        <f t="shared" ca="1" si="150"/>
        <v>#N/A</v>
      </c>
      <c r="GK112" s="23" t="e">
        <f t="shared" ca="1" si="151"/>
        <v>#N/A</v>
      </c>
      <c r="GL112" s="23" t="e">
        <f t="shared" ca="1" si="152"/>
        <v>#N/A</v>
      </c>
      <c r="GM112" s="23"/>
      <c r="GN112">
        <f t="shared" ca="1" si="153"/>
        <v>52</v>
      </c>
      <c r="GO112" s="5">
        <f t="shared" ca="1" si="154"/>
        <v>11.356907555999999</v>
      </c>
      <c r="GP112" s="5">
        <f t="shared" ca="1" si="155"/>
        <v>34.796535921999897</v>
      </c>
      <c r="GQ112" s="5">
        <f t="shared" ca="1" si="156"/>
        <v>12.250151695</v>
      </c>
      <c r="GR112" s="5">
        <f t="shared" ca="1" si="157"/>
        <v>2023.9766111230001</v>
      </c>
      <c r="GS112" s="5">
        <f t="shared" ca="1" si="158"/>
        <v>5.7898375001968802E-2</v>
      </c>
      <c r="GT112" s="5">
        <f t="shared" ca="1" si="159"/>
        <v>0.120089904870837</v>
      </c>
      <c r="GU112" s="5">
        <f t="shared" ca="1" si="160"/>
        <v>2.8919503017143036E-4</v>
      </c>
      <c r="GV112" s="5">
        <f t="shared" ca="1" si="161"/>
        <v>2.6414590867231607E-4</v>
      </c>
      <c r="GW112" s="5">
        <f t="shared" ca="1" si="162"/>
        <v>3.8915304244556514E-3</v>
      </c>
      <c r="GX112" s="5" t="e">
        <f t="shared" ca="1" si="163"/>
        <v>#N/A</v>
      </c>
      <c r="GY112" s="5" t="e">
        <f t="shared" ca="1" si="164"/>
        <v>#N/A</v>
      </c>
      <c r="GZ112" s="5" t="e">
        <f t="shared" ca="1" si="165"/>
        <v>#N/A</v>
      </c>
      <c r="HB112" s="13">
        <f t="shared" ca="1" si="166"/>
        <v>52</v>
      </c>
      <c r="HC112" s="4">
        <f t="shared" ca="1" si="167"/>
        <v>1</v>
      </c>
      <c r="HD112" s="4">
        <f t="shared" ca="1" si="168"/>
        <v>1</v>
      </c>
      <c r="HE112" s="4">
        <f t="shared" ca="1" si="169"/>
        <v>1</v>
      </c>
      <c r="HF112" s="4">
        <f t="shared" ca="1" si="170"/>
        <v>1</v>
      </c>
      <c r="HG112" s="4">
        <f t="shared" ca="1" si="171"/>
        <v>1</v>
      </c>
      <c r="HH112" s="4">
        <f t="shared" ca="1" si="172"/>
        <v>1</v>
      </c>
      <c r="HI112" s="4">
        <f t="shared" ca="1" si="173"/>
        <v>0.64039999999999997</v>
      </c>
      <c r="HJ112" s="4">
        <f t="shared" ca="1" si="174"/>
        <v>0.89980000000000004</v>
      </c>
      <c r="HK112" s="4">
        <f t="shared" ca="1" si="175"/>
        <v>0.56710000000000005</v>
      </c>
      <c r="HL112" s="4">
        <f t="shared" ca="1" si="176"/>
        <v>0</v>
      </c>
      <c r="HM112" s="4">
        <f t="shared" ca="1" si="177"/>
        <v>0</v>
      </c>
      <c r="HN112" s="4">
        <f t="shared" ca="1" si="178"/>
        <v>0</v>
      </c>
    </row>
    <row r="113" spans="1:222" x14ac:dyDescent="0.2">
      <c r="A113" t="str" cm="1">
        <f t="array" aca="1" ref="A113" ca="1">INDIRECT($A$67&amp;"!A"&amp;ROW(C46)+$B$64)</f>
        <v>[[53,16,17]]</v>
      </c>
      <c r="B113" cm="1">
        <f t="array" aca="1" ref="B113" ca="1">INDIRECT($A$67&amp;"!b"&amp;ROW(D46)+$B$64)</f>
        <v>53</v>
      </c>
      <c r="C113">
        <f t="shared" ca="1" si="78"/>
        <v>17</v>
      </c>
      <c r="E113">
        <f t="shared" ca="1" si="180"/>
        <v>70</v>
      </c>
      <c r="F113">
        <f t="shared" ca="1" si="180"/>
        <v>71</v>
      </c>
      <c r="G113">
        <f t="shared" ca="1" si="180"/>
        <v>70</v>
      </c>
      <c r="H113">
        <f t="shared" ca="1" si="180"/>
        <v>70</v>
      </c>
      <c r="I113">
        <f t="shared" ca="1" si="180"/>
        <v>73</v>
      </c>
      <c r="J113">
        <f t="shared" ca="1" si="180"/>
        <v>70</v>
      </c>
      <c r="K113">
        <f t="shared" ca="1" si="180"/>
        <v>77</v>
      </c>
      <c r="L113">
        <f t="shared" ca="1" si="180"/>
        <v>79</v>
      </c>
      <c r="M113">
        <f t="shared" ca="1" si="180"/>
        <v>76</v>
      </c>
      <c r="N113">
        <f t="shared" ca="1" si="180"/>
        <v>74</v>
      </c>
      <c r="O113">
        <f t="shared" ca="1" si="180"/>
        <v>74</v>
      </c>
      <c r="P113">
        <f t="shared" ca="1" si="180"/>
        <v>74</v>
      </c>
      <c r="V113" cm="1">
        <f t="array" aca="1" ref="V113" ca="1">IF(ISNA(E113),,OFFSET(INDIRECT("'"&amp;V$67&amp;"'!d1"),E113-1,))</f>
        <v>17</v>
      </c>
      <c r="W113" cm="1">
        <f t="array" aca="1" ref="W113" ca="1">IF(ISNA(F113),,OFFSET(INDIRECT("'"&amp;W$67&amp;"'!d1"),F113-1,))</f>
        <v>17</v>
      </c>
      <c r="X113" cm="1">
        <f t="array" aca="1" ref="X113" ca="1">IF(ISNA(G113),,OFFSET(INDIRECT("'"&amp;X$67&amp;"'!d1"),G113-1,))</f>
        <v>17</v>
      </c>
      <c r="Y113" cm="1">
        <f t="array" aca="1" ref="Y113" ca="1">IF(ISNA(H113),,OFFSET(INDIRECT("'"&amp;Y$67&amp;"'!d1"),H113-1,))</f>
        <v>17</v>
      </c>
      <c r="Z113" cm="1">
        <f t="array" aca="1" ref="Z113" ca="1">IF(ISNA(I113),,OFFSET(INDIRECT("'"&amp;Z$67&amp;"'!d1"),I113-1,))</f>
        <v>17</v>
      </c>
      <c r="AA113" cm="1">
        <f t="array" aca="1" ref="AA113" ca="1">IF(ISNA(J113),,OFFSET(INDIRECT("'"&amp;AA$67&amp;"'!d1"),J113-1,))</f>
        <v>17</v>
      </c>
      <c r="AB113" cm="1">
        <f t="array" aca="1" ref="AB113" ca="1">IF(ISNA(K113),,OFFSET(INDIRECT("'"&amp;AB$67&amp;"'!d1"),K113-1,))</f>
        <v>17</v>
      </c>
      <c r="AC113" cm="1">
        <f t="array" aca="1" ref="AC113" ca="1">IF(ISNA(L113),,OFFSET(INDIRECT("'"&amp;AC$67&amp;"'!d1"),L113-1,))</f>
        <v>17</v>
      </c>
      <c r="AD113" cm="1">
        <f t="array" aca="1" ref="AD113" ca="1">IF(ISNA(M113),,OFFSET(INDIRECT("'"&amp;AD$67&amp;"'!d1"),M113-1,))</f>
        <v>17</v>
      </c>
      <c r="AE113" cm="1">
        <f t="array" aca="1" ref="AE113" ca="1">IF(ISNA(N113),,OFFSET(INDIRECT("'"&amp;AE$67&amp;"'!d1"),N113-1,))</f>
        <v>0</v>
      </c>
      <c r="AF113" cm="1">
        <f t="array" aca="1" ref="AF113" ca="1">IF(ISNA(O113),,OFFSET(INDIRECT("'"&amp;AF$67&amp;"'!d1"),O113-1,))</f>
        <v>0</v>
      </c>
      <c r="AG113" cm="1">
        <f t="array" aca="1" ref="AG113" ca="1">IF(ISNA(P113),,OFFSET(INDIRECT("'"&amp;AG$67&amp;"'!d1"),P113-1,))</f>
        <v>0</v>
      </c>
      <c r="AM113">
        <f t="shared" ca="1" si="79"/>
        <v>1</v>
      </c>
      <c r="AN113">
        <f t="shared" ca="1" si="80"/>
        <v>1</v>
      </c>
      <c r="AO113">
        <f t="shared" ca="1" si="81"/>
        <v>1</v>
      </c>
      <c r="AP113">
        <f t="shared" ca="1" si="82"/>
        <v>1</v>
      </c>
      <c r="AQ113">
        <f t="shared" ca="1" si="83"/>
        <v>1</v>
      </c>
      <c r="AV113" t="b">
        <f t="shared" ca="1" si="84"/>
        <v>1</v>
      </c>
      <c r="AW113" t="b">
        <f t="shared" ca="1" si="85"/>
        <v>1</v>
      </c>
      <c r="AX113" t="b">
        <f t="shared" ca="1" si="86"/>
        <v>1</v>
      </c>
      <c r="AY113" t="b">
        <f t="shared" ca="1" si="87"/>
        <v>1</v>
      </c>
      <c r="AZ113" t="b">
        <f t="shared" ca="1" si="88"/>
        <v>1</v>
      </c>
      <c r="BD113">
        <f t="shared" ca="1" si="89"/>
        <v>1</v>
      </c>
      <c r="BE113">
        <f t="shared" ca="1" si="90"/>
        <v>1</v>
      </c>
      <c r="BF113">
        <f t="shared" ca="1" si="91"/>
        <v>1</v>
      </c>
      <c r="BG113">
        <f t="shared" ca="1" si="92"/>
        <v>1</v>
      </c>
      <c r="BH113">
        <f t="shared" ca="1" si="93"/>
        <v>1</v>
      </c>
      <c r="BI113">
        <f t="shared" ca="1" si="94"/>
        <v>1</v>
      </c>
      <c r="BJ113">
        <f t="shared" ca="1" si="95"/>
        <v>1</v>
      </c>
      <c r="BK113">
        <f t="shared" ca="1" si="96"/>
        <v>1</v>
      </c>
      <c r="BL113">
        <f t="shared" ca="1" si="97"/>
        <v>1</v>
      </c>
      <c r="BM113">
        <f t="shared" ca="1" si="98"/>
        <v>0</v>
      </c>
      <c r="BN113">
        <f t="shared" ca="1" si="99"/>
        <v>0</v>
      </c>
      <c r="BO113">
        <f t="shared" ca="1" si="100"/>
        <v>0</v>
      </c>
      <c r="BU113">
        <f t="shared" ca="1" si="101"/>
        <v>17</v>
      </c>
      <c r="BV113">
        <f t="shared" ca="1" si="102"/>
        <v>17</v>
      </c>
      <c r="BW113">
        <f t="shared" ca="1" si="103"/>
        <v>17</v>
      </c>
      <c r="BX113">
        <f t="shared" ca="1" si="104"/>
        <v>17</v>
      </c>
      <c r="BY113">
        <f t="shared" ca="1" si="105"/>
        <v>17</v>
      </c>
      <c r="BZ113">
        <f t="shared" ca="1" si="106"/>
        <v>17</v>
      </c>
      <c r="CA113">
        <f t="shared" ca="1" si="107"/>
        <v>17</v>
      </c>
      <c r="CB113">
        <f t="shared" ca="1" si="108"/>
        <v>17</v>
      </c>
      <c r="CC113">
        <f t="shared" ca="1" si="109"/>
        <v>17</v>
      </c>
      <c r="CD113">
        <f t="shared" ca="1" si="110"/>
        <v>53</v>
      </c>
      <c r="CE113">
        <f t="shared" ca="1" si="111"/>
        <v>53</v>
      </c>
      <c r="CF113">
        <f t="shared" ca="1" si="112"/>
        <v>53</v>
      </c>
      <c r="CL113">
        <f t="shared" ca="1" si="113"/>
        <v>1</v>
      </c>
      <c r="CM113">
        <f t="shared" ca="1" si="114"/>
        <v>1</v>
      </c>
      <c r="CN113">
        <f t="shared" ca="1" si="115"/>
        <v>1</v>
      </c>
      <c r="CO113">
        <f t="shared" ca="1" si="116"/>
        <v>1</v>
      </c>
      <c r="CP113">
        <f t="shared" ca="1" si="117"/>
        <v>1</v>
      </c>
      <c r="CQ113">
        <f t="shared" ca="1" si="118"/>
        <v>1</v>
      </c>
      <c r="CR113">
        <f t="shared" ca="1" si="119"/>
        <v>1</v>
      </c>
      <c r="CS113">
        <f t="shared" ca="1" si="120"/>
        <v>1</v>
      </c>
      <c r="CT113">
        <f t="shared" ca="1" si="121"/>
        <v>1</v>
      </c>
      <c r="CU113">
        <f t="shared" ca="1" si="122"/>
        <v>0</v>
      </c>
      <c r="CV113">
        <f t="shared" ca="1" si="123"/>
        <v>0</v>
      </c>
      <c r="CW113">
        <f t="shared" ca="1" si="124"/>
        <v>0</v>
      </c>
      <c r="DC113" cm="1">
        <f t="array" aca="1" ref="DC113" ca="1">IF(ISNA(E113),,OFFSET(INDIRECT("'"&amp;DT$67&amp;"'!f1"),E113-1,))*1</f>
        <v>23.3871824789999</v>
      </c>
      <c r="DD113" cm="1">
        <f t="array" aca="1" ref="DD113" ca="1">IF(ISNA(F113),,OFFSET(INDIRECT("'"&amp;DU$67&amp;"'!f1"),F113-1,))*1</f>
        <v>86.759684759999999</v>
      </c>
      <c r="DE113" cm="1">
        <f t="array" aca="1" ref="DE113" ca="1">IF(ISNA(G113),,OFFSET(INDIRECT("'"&amp;DV$67&amp;"'!f1"),G113-1,))*1</f>
        <v>36.552906497999999</v>
      </c>
      <c r="DF113" cm="1">
        <f t="array" aca="1" ref="DF113" ca="1">IF(ISNA(H113),,OFFSET(INDIRECT("'"&amp;DW$67&amp;"'!f1"),H113-1,))*1</f>
        <v>14434.9070341959</v>
      </c>
      <c r="DG113" cm="1">
        <f t="array" aca="1" ref="DG113" ca="1">IF(ISNA(I113),,OFFSET(INDIRECT("'"&amp;DX$67&amp;"'!f1"),I113-1,))*1</f>
        <v>5.6270458000653799E-2</v>
      </c>
      <c r="DH113" cm="1">
        <f t="array" aca="1" ref="DH113" ca="1">IF(ISNA(J113),,OFFSET(INDIRECT("'"&amp;DY$67&amp;"'!f1"),J113-1,))*1</f>
        <v>0.122091226279735</v>
      </c>
      <c r="DI113" cm="1">
        <f t="array" aca="1" ref="DI113" ca="1">IF(ISNA(K113),,OFFSET(INDIRECT("'"&amp;DZ$67&amp;"'!f1"),K113-1,))*1</f>
        <v>1.90011703781783</v>
      </c>
      <c r="DJ113" cm="1">
        <f t="array" aca="1" ref="DJ113" ca="1">IF(ISNA(L113),,OFFSET(INDIRECT("'"&amp;EA$67&amp;"'!f1"),L113-1,))*1</f>
        <v>2.45792733877897</v>
      </c>
      <c r="DK113" cm="1">
        <f t="array" aca="1" ref="DK113" ca="1">IF(ISNA(M113),,OFFSET(INDIRECT("'"&amp;EB$67&amp;"'!f1"),M113-1,))*1</f>
        <v>21.022980854846502</v>
      </c>
      <c r="DL113" cm="1">
        <f t="array" aca="1" ref="DL113" ca="1">IF(ISNA(N113),,OFFSET(INDIRECT("'"&amp;EC$67&amp;"'!f1"),N113-1,))*1</f>
        <v>6.05086609721183E-3</v>
      </c>
      <c r="DM113" cm="1">
        <f t="array" aca="1" ref="DM113" ca="1">IF(ISNA(O113),,OFFSET(INDIRECT("'"&amp;ED$67&amp;"'!f1"),O113-1,))*1</f>
        <v>7.2093363851308797E-3</v>
      </c>
      <c r="DN113" cm="1">
        <f t="array" aca="1" ref="DN113" ca="1">IF(ISNA(P113),,OFFSET(INDIRECT("'"&amp;EE$67&amp;"'!f1"),P113-1,))*1</f>
        <v>1.1411239393055401E-2</v>
      </c>
      <c r="DT113">
        <f t="shared" ca="1" si="125"/>
        <v>1</v>
      </c>
      <c r="DU113">
        <f t="shared" ca="1" si="126"/>
        <v>1</v>
      </c>
      <c r="DV113">
        <f t="shared" ca="1" si="127"/>
        <v>1</v>
      </c>
      <c r="DW113">
        <f t="shared" ca="1" si="128"/>
        <v>1</v>
      </c>
      <c r="DX113">
        <f t="shared" ca="1" si="129"/>
        <v>1</v>
      </c>
      <c r="DY113">
        <f t="shared" ca="1" si="130"/>
        <v>1</v>
      </c>
      <c r="DZ113">
        <f t="shared" ca="1" si="131"/>
        <v>6687</v>
      </c>
      <c r="EA113">
        <f t="shared" ca="1" si="132"/>
        <v>9070</v>
      </c>
      <c r="EB113">
        <f t="shared" ca="1" si="133"/>
        <v>3414</v>
      </c>
      <c r="EC113">
        <f t="shared" ca="1" si="134"/>
        <v>0</v>
      </c>
      <c r="ED113">
        <f t="shared" ca="1" si="135"/>
        <v>0</v>
      </c>
      <c r="EE113">
        <f t="shared" ca="1" si="136"/>
        <v>0</v>
      </c>
      <c r="EK113" cm="1">
        <f t="array" aca="1" ref="EK113" ca="1">IF(ISNA(E113),0,OFFSET(INDIRECT("'"&amp;EK$67&amp;"'!g1"),E113-1,)*CL113)</f>
        <v>1</v>
      </c>
      <c r="EL113" cm="1">
        <f t="array" aca="1" ref="EL113" ca="1">IF(ISNA(F113),0,OFFSET(INDIRECT("'"&amp;EL$67&amp;"'!g1"),F113-1,)*CM113)</f>
        <v>1</v>
      </c>
      <c r="EM113" cm="1">
        <f t="array" aca="1" ref="EM113" ca="1">IF(ISNA(G113),0,OFFSET(INDIRECT("'"&amp;EM$67&amp;"'!g1"),G113-1,)*CN113)</f>
        <v>1</v>
      </c>
      <c r="EN113" cm="1">
        <f t="array" aca="1" ref="EN113" ca="1">IF(ISNA(H113),0,OFFSET(INDIRECT("'"&amp;EN$67&amp;"'!g1"),H113-1,)*CO113)</f>
        <v>1</v>
      </c>
      <c r="EO113" cm="1">
        <f t="array" aca="1" ref="EO113" ca="1">IF(ISNA(I113),0,OFFSET(INDIRECT("'"&amp;EO$67&amp;"'!g1"),I113-1,)*CP113)</f>
        <v>1</v>
      </c>
      <c r="EP113" cm="1">
        <f t="array" aca="1" ref="EP113" ca="1">IF(ISNA(J113),0,OFFSET(INDIRECT("'"&amp;EP$67&amp;"'!g1"),J113-1,)*CQ113)</f>
        <v>1</v>
      </c>
      <c r="EQ113" cm="1">
        <f t="array" aca="1" ref="EQ113" ca="1">IF(ISNA(K113),0,OFFSET(INDIRECT("'"&amp;EQ$67&amp;"'!g1"),K113-1,)*CR113)</f>
        <v>6687</v>
      </c>
      <c r="ER113" cm="1">
        <f t="array" aca="1" ref="ER113" ca="1">IF(ISNA(L113),0,OFFSET(INDIRECT("'"&amp;ER$67&amp;"'!g1"),L113-1,)*CS113)</f>
        <v>9070</v>
      </c>
      <c r="ES113" cm="1">
        <f t="array" aca="1" ref="ES113" ca="1">IF(ISNA(M113),0,OFFSET(INDIRECT("'"&amp;ES$67&amp;"'!g1"),M113-1,)*CT113)</f>
        <v>3414</v>
      </c>
      <c r="ET113" cm="1">
        <f t="array" aca="1" ref="ET113" ca="1">IF(ISNA(N113),0,OFFSET(INDIRECT("'"&amp;ET$67&amp;"'!g1"),N113-1,)*CU113)</f>
        <v>0</v>
      </c>
      <c r="EU113" cm="1">
        <f t="array" aca="1" ref="EU113" ca="1">IF(ISNA(O113),0,OFFSET(INDIRECT("'"&amp;EU$67&amp;"'!g1"),O113-1,)*CV113)</f>
        <v>0</v>
      </c>
      <c r="EV113" cm="1">
        <f t="array" aca="1" ref="EV113" ca="1">IF(ISNA(P113),0,OFFSET(INDIRECT("'"&amp;EV$67&amp;"'!g1"),P113-1,)*CW113)</f>
        <v>0</v>
      </c>
      <c r="FB113" s="10" cm="1">
        <f t="array" aca="1" ref="FB113" ca="1">IF(ISNA(E113),0,OFFSET(INDIRECT("'"&amp;EK$67&amp;"'!h1"),E113-1,))</f>
        <v>1</v>
      </c>
      <c r="FC113" s="10" cm="1">
        <f t="array" aca="1" ref="FC113" ca="1">IF(ISNA(F113),0,OFFSET(INDIRECT("'"&amp;EL$67&amp;"'!h1"),F113-1,))</f>
        <v>1</v>
      </c>
      <c r="FD113" s="10" cm="1">
        <f t="array" aca="1" ref="FD113" ca="1">IF(ISNA(G113),0,OFFSET(INDIRECT("'"&amp;EM$67&amp;"'!h1"),G113-1,))</f>
        <v>1</v>
      </c>
      <c r="FE113" s="10" cm="1">
        <f t="array" aca="1" ref="FE113" ca="1">IF(ISNA(H113),0,OFFSET(INDIRECT("'"&amp;EN$67&amp;"'!h1"),H113-1,))</f>
        <v>1</v>
      </c>
      <c r="FF113" s="10" cm="1">
        <f t="array" aca="1" ref="FF113" ca="1">IF(ISNA(I113),0,OFFSET(INDIRECT("'"&amp;EO$67&amp;"'!h1"),I113-1,))</f>
        <v>1</v>
      </c>
      <c r="FG113" s="10" cm="1">
        <f t="array" aca="1" ref="FG113" ca="1">IF(ISNA(J113),0,OFFSET(INDIRECT("'"&amp;EP$67&amp;"'!h1"),J113-1,))</f>
        <v>1</v>
      </c>
      <c r="FH113" s="10" cm="1">
        <f t="array" aca="1" ref="FH113" ca="1">IF(ISNA(K113),0,OFFSET(INDIRECT("'"&amp;EQ$67&amp;"'!h1"),K113-1,))</f>
        <v>10000</v>
      </c>
      <c r="FI113" s="10" cm="1">
        <f t="array" aca="1" ref="FI113" ca="1">IF(ISNA(L113),0,OFFSET(INDIRECT("'"&amp;ER$67&amp;"'!h1"),L113-1,))</f>
        <v>10000</v>
      </c>
      <c r="FJ113" s="10" cm="1">
        <f t="array" aca="1" ref="FJ113" ca="1">IF(ISNA(M113),0,OFFSET(INDIRECT("'"&amp;ES$67&amp;"'!h1"),M113-1,))</f>
        <v>10000</v>
      </c>
      <c r="FK113" s="10" cm="1">
        <f t="array" aca="1" ref="FK113" ca="1">IF(ISNA(N113),0,OFFSET(INDIRECT("'"&amp;ET$67&amp;"'!h1"),N113-1,))</f>
        <v>1</v>
      </c>
      <c r="FL113" s="10" cm="1">
        <f t="array" aca="1" ref="FL113" ca="1">IF(ISNA(O113),0,OFFSET(INDIRECT("'"&amp;EU$67&amp;"'!h1"),O113-1,))</f>
        <v>1</v>
      </c>
      <c r="FM113" s="10" cm="1">
        <f t="array" aca="1" ref="FM113" ca="1">IF(ISNA(P113),0,OFFSET(INDIRECT("'"&amp;EV$67&amp;"'!h1"),P113-1,))</f>
        <v>9</v>
      </c>
      <c r="FN113" s="10"/>
      <c r="FO113" s="10"/>
      <c r="FP113" s="10"/>
      <c r="FQ113" s="10"/>
      <c r="FS113">
        <f t="shared" ca="1" si="137"/>
        <v>53</v>
      </c>
      <c r="FT113">
        <f t="shared" ca="1" si="62"/>
        <v>1.90011703781783</v>
      </c>
      <c r="FU113">
        <f t="shared" ca="1" si="63"/>
        <v>6687</v>
      </c>
      <c r="FV113">
        <f t="shared" ca="1" si="64"/>
        <v>10000</v>
      </c>
      <c r="FW113" s="4">
        <f t="shared" ca="1" si="138"/>
        <v>0.66869999999999996</v>
      </c>
      <c r="FX113" s="5">
        <f t="shared" ca="1" si="139"/>
        <v>2.8415089544157771E-4</v>
      </c>
      <c r="FZ113" s="13">
        <f t="shared" ca="1" si="140"/>
        <v>53</v>
      </c>
      <c r="GA113" s="23">
        <f t="shared" ca="1" si="141"/>
        <v>0</v>
      </c>
      <c r="GB113" s="23">
        <f t="shared" ca="1" si="142"/>
        <v>0</v>
      </c>
      <c r="GC113" s="23">
        <f t="shared" ca="1" si="143"/>
        <v>0</v>
      </c>
      <c r="GD113" s="23">
        <f t="shared" ca="1" si="144"/>
        <v>0</v>
      </c>
      <c r="GE113" s="23">
        <f t="shared" ca="1" si="145"/>
        <v>0</v>
      </c>
      <c r="GF113" s="23">
        <f t="shared" ca="1" si="146"/>
        <v>0</v>
      </c>
      <c r="GG113" s="23">
        <f t="shared" ca="1" si="147"/>
        <v>0</v>
      </c>
      <c r="GH113" s="23">
        <f t="shared" ca="1" si="148"/>
        <v>0</v>
      </c>
      <c r="GI113" s="23">
        <f t="shared" ca="1" si="149"/>
        <v>0</v>
      </c>
      <c r="GJ113" s="23" t="e">
        <f t="shared" ca="1" si="150"/>
        <v>#N/A</v>
      </c>
      <c r="GK113" s="23" t="e">
        <f t="shared" ca="1" si="151"/>
        <v>#N/A</v>
      </c>
      <c r="GL113" s="23" t="e">
        <f t="shared" ca="1" si="152"/>
        <v>#N/A</v>
      </c>
      <c r="GM113" s="23"/>
      <c r="GN113">
        <f t="shared" ca="1" si="153"/>
        <v>53</v>
      </c>
      <c r="GO113" s="5">
        <f t="shared" ca="1" si="154"/>
        <v>23.3871824789999</v>
      </c>
      <c r="GP113" s="5">
        <f t="shared" ca="1" si="155"/>
        <v>86.759684759999999</v>
      </c>
      <c r="GQ113" s="5">
        <f t="shared" ca="1" si="156"/>
        <v>36.552906497999999</v>
      </c>
      <c r="GR113" s="5">
        <f t="shared" ca="1" si="157"/>
        <v>14434.9070341959</v>
      </c>
      <c r="GS113" s="5">
        <f t="shared" ca="1" si="158"/>
        <v>5.6270458000653799E-2</v>
      </c>
      <c r="GT113" s="5">
        <f t="shared" ca="1" si="159"/>
        <v>0.122091226279735</v>
      </c>
      <c r="GU113" s="5">
        <f t="shared" ca="1" si="160"/>
        <v>2.8415089544157771E-4</v>
      </c>
      <c r="GV113" s="5">
        <f t="shared" ca="1" si="161"/>
        <v>2.7099529644751601E-4</v>
      </c>
      <c r="GW113" s="5">
        <f t="shared" ca="1" si="162"/>
        <v>6.1578737126088169E-3</v>
      </c>
      <c r="GX113" s="5" t="e">
        <f t="shared" ca="1" si="163"/>
        <v>#N/A</v>
      </c>
      <c r="GY113" s="5" t="e">
        <f t="shared" ca="1" si="164"/>
        <v>#N/A</v>
      </c>
      <c r="GZ113" s="5" t="e">
        <f t="shared" ca="1" si="165"/>
        <v>#N/A</v>
      </c>
      <c r="HB113" s="13">
        <f t="shared" ca="1" si="166"/>
        <v>53</v>
      </c>
      <c r="HC113" s="4">
        <f t="shared" ca="1" si="167"/>
        <v>1</v>
      </c>
      <c r="HD113" s="4">
        <f t="shared" ca="1" si="168"/>
        <v>1</v>
      </c>
      <c r="HE113" s="4">
        <f t="shared" ca="1" si="169"/>
        <v>1</v>
      </c>
      <c r="HF113" s="4">
        <f t="shared" ca="1" si="170"/>
        <v>1</v>
      </c>
      <c r="HG113" s="4">
        <f t="shared" ca="1" si="171"/>
        <v>1</v>
      </c>
      <c r="HH113" s="4">
        <f t="shared" ca="1" si="172"/>
        <v>1</v>
      </c>
      <c r="HI113" s="4">
        <f t="shared" ca="1" si="173"/>
        <v>0.66869999999999996</v>
      </c>
      <c r="HJ113" s="4">
        <f t="shared" ca="1" si="174"/>
        <v>0.90700000000000003</v>
      </c>
      <c r="HK113" s="4">
        <f t="shared" ca="1" si="175"/>
        <v>0.34139999999999998</v>
      </c>
      <c r="HL113" s="4">
        <f t="shared" ca="1" si="176"/>
        <v>0</v>
      </c>
      <c r="HM113" s="4">
        <f t="shared" ca="1" si="177"/>
        <v>0</v>
      </c>
      <c r="HN113" s="4">
        <f t="shared" ca="1" si="178"/>
        <v>0</v>
      </c>
    </row>
    <row r="114" spans="1:222" x14ac:dyDescent="0.2">
      <c r="A114" t="str" cm="1">
        <f t="array" aca="1" ref="A114" ca="1">INDIRECT($A$67&amp;"!A"&amp;ROW(C47)+$B$64)</f>
        <v>[[54,31,9]]</v>
      </c>
      <c r="B114" cm="1">
        <f t="array" aca="1" ref="B114" ca="1">INDIRECT($A$67&amp;"!b"&amp;ROW(D47)+$B$64)</f>
        <v>54</v>
      </c>
      <c r="C114">
        <f t="shared" ca="1" si="78"/>
        <v>9</v>
      </c>
      <c r="E114">
        <f t="shared" ca="1" si="180"/>
        <v>71</v>
      </c>
      <c r="F114">
        <f t="shared" ca="1" si="180"/>
        <v>72</v>
      </c>
      <c r="G114">
        <f t="shared" ca="1" si="180"/>
        <v>71</v>
      </c>
      <c r="H114">
        <f t="shared" ca="1" si="180"/>
        <v>71</v>
      </c>
      <c r="I114">
        <f t="shared" ca="1" si="180"/>
        <v>74</v>
      </c>
      <c r="J114">
        <f t="shared" ca="1" si="180"/>
        <v>71</v>
      </c>
      <c r="K114">
        <f t="shared" ca="1" si="180"/>
        <v>78</v>
      </c>
      <c r="L114">
        <f t="shared" ca="1" si="180"/>
        <v>80</v>
      </c>
      <c r="M114">
        <f t="shared" ca="1" si="180"/>
        <v>77</v>
      </c>
      <c r="N114">
        <f t="shared" ca="1" si="180"/>
        <v>75</v>
      </c>
      <c r="O114">
        <f t="shared" ca="1" si="180"/>
        <v>75</v>
      </c>
      <c r="P114">
        <f t="shared" ca="1" si="180"/>
        <v>75</v>
      </c>
      <c r="V114" cm="1">
        <f t="array" aca="1" ref="V114" ca="1">IF(ISNA(E114),,OFFSET(INDIRECT("'"&amp;V$67&amp;"'!d1"),E114-1,))</f>
        <v>9</v>
      </c>
      <c r="W114" cm="1">
        <f t="array" aca="1" ref="W114" ca="1">IF(ISNA(F114),,OFFSET(INDIRECT("'"&amp;W$67&amp;"'!d1"),F114-1,))</f>
        <v>9</v>
      </c>
      <c r="X114" cm="1">
        <f t="array" aca="1" ref="X114" ca="1">IF(ISNA(G114),,OFFSET(INDIRECT("'"&amp;X$67&amp;"'!d1"),G114-1,))</f>
        <v>9</v>
      </c>
      <c r="Y114" cm="1">
        <f t="array" aca="1" ref="Y114" ca="1">IF(ISNA(H114),,OFFSET(INDIRECT("'"&amp;Y$67&amp;"'!d1"),H114-1,))</f>
        <v>9</v>
      </c>
      <c r="Z114" cm="1">
        <f t="array" aca="1" ref="Z114" ca="1">IF(ISNA(I114),,OFFSET(INDIRECT("'"&amp;Z$67&amp;"'!d1"),I114-1,))</f>
        <v>9</v>
      </c>
      <c r="AA114" cm="1">
        <f t="array" aca="1" ref="AA114" ca="1">IF(ISNA(J114),,OFFSET(INDIRECT("'"&amp;AA$67&amp;"'!d1"),J114-1,))</f>
        <v>9</v>
      </c>
      <c r="AB114" cm="1">
        <f t="array" aca="1" ref="AB114" ca="1">IF(ISNA(K114),,OFFSET(INDIRECT("'"&amp;AB$67&amp;"'!d1"),K114-1,))</f>
        <v>9</v>
      </c>
      <c r="AC114" cm="1">
        <f t="array" aca="1" ref="AC114" ca="1">IF(ISNA(L114),,OFFSET(INDIRECT("'"&amp;AC$67&amp;"'!d1"),L114-1,))</f>
        <v>9</v>
      </c>
      <c r="AD114" cm="1">
        <f t="array" aca="1" ref="AD114" ca="1">IF(ISNA(M114),,OFFSET(INDIRECT("'"&amp;AD$67&amp;"'!d1"),M114-1,))</f>
        <v>9</v>
      </c>
      <c r="AE114" cm="1">
        <f t="array" aca="1" ref="AE114" ca="1">IF(ISNA(N114),,OFFSET(INDIRECT("'"&amp;AE$67&amp;"'!d1"),N114-1,))</f>
        <v>0</v>
      </c>
      <c r="AF114" cm="1">
        <f t="array" aca="1" ref="AF114" ca="1">IF(ISNA(O114),,OFFSET(INDIRECT("'"&amp;AF$67&amp;"'!d1"),O114-1,))</f>
        <v>0</v>
      </c>
      <c r="AG114" cm="1">
        <f t="array" aca="1" ref="AG114" ca="1">IF(ISNA(P114),,OFFSET(INDIRECT("'"&amp;AG$67&amp;"'!d1"),P114-1,))</f>
        <v>9</v>
      </c>
      <c r="AM114">
        <f t="shared" ca="1" si="79"/>
        <v>1</v>
      </c>
      <c r="AN114">
        <f t="shared" ca="1" si="80"/>
        <v>1</v>
      </c>
      <c r="AO114">
        <f t="shared" ca="1" si="81"/>
        <v>1</v>
      </c>
      <c r="AP114">
        <f t="shared" ca="1" si="82"/>
        <v>1</v>
      </c>
      <c r="AQ114">
        <f t="shared" ca="1" si="83"/>
        <v>1</v>
      </c>
      <c r="AV114" t="b">
        <f t="shared" ca="1" si="84"/>
        <v>1</v>
      </c>
      <c r="AW114" t="b">
        <f t="shared" ca="1" si="85"/>
        <v>1</v>
      </c>
      <c r="AX114" t="b">
        <f t="shared" ca="1" si="86"/>
        <v>1</v>
      </c>
      <c r="AY114" t="b">
        <f t="shared" ca="1" si="87"/>
        <v>1</v>
      </c>
      <c r="AZ114" t="b">
        <f t="shared" ca="1" si="88"/>
        <v>1</v>
      </c>
      <c r="BD114">
        <f t="shared" ca="1" si="89"/>
        <v>1</v>
      </c>
      <c r="BE114">
        <f t="shared" ca="1" si="90"/>
        <v>1</v>
      </c>
      <c r="BF114">
        <f t="shared" ca="1" si="91"/>
        <v>1</v>
      </c>
      <c r="BG114">
        <f t="shared" ca="1" si="92"/>
        <v>1</v>
      </c>
      <c r="BH114">
        <f t="shared" ca="1" si="93"/>
        <v>1</v>
      </c>
      <c r="BI114">
        <f t="shared" ca="1" si="94"/>
        <v>1</v>
      </c>
      <c r="BJ114">
        <f t="shared" ca="1" si="95"/>
        <v>1</v>
      </c>
      <c r="BK114">
        <f t="shared" ca="1" si="96"/>
        <v>1</v>
      </c>
      <c r="BL114">
        <f t="shared" ca="1" si="97"/>
        <v>1</v>
      </c>
      <c r="BM114">
        <f t="shared" ca="1" si="98"/>
        <v>0</v>
      </c>
      <c r="BN114">
        <f t="shared" ca="1" si="99"/>
        <v>0</v>
      </c>
      <c r="BO114">
        <f t="shared" ca="1" si="100"/>
        <v>1</v>
      </c>
      <c r="BU114">
        <f t="shared" ca="1" si="101"/>
        <v>9</v>
      </c>
      <c r="BV114">
        <f t="shared" ca="1" si="102"/>
        <v>9</v>
      </c>
      <c r="BW114">
        <f t="shared" ca="1" si="103"/>
        <v>9</v>
      </c>
      <c r="BX114">
        <f t="shared" ca="1" si="104"/>
        <v>9</v>
      </c>
      <c r="BY114">
        <f t="shared" ca="1" si="105"/>
        <v>9</v>
      </c>
      <c r="BZ114">
        <f t="shared" ca="1" si="106"/>
        <v>9</v>
      </c>
      <c r="CA114">
        <f t="shared" ca="1" si="107"/>
        <v>9</v>
      </c>
      <c r="CB114">
        <f t="shared" ca="1" si="108"/>
        <v>9</v>
      </c>
      <c r="CC114">
        <f t="shared" ca="1" si="109"/>
        <v>9</v>
      </c>
      <c r="CD114">
        <f t="shared" ca="1" si="110"/>
        <v>54</v>
      </c>
      <c r="CE114">
        <f t="shared" ca="1" si="111"/>
        <v>54</v>
      </c>
      <c r="CF114">
        <f t="shared" ca="1" si="112"/>
        <v>9</v>
      </c>
      <c r="CL114">
        <f t="shared" ca="1" si="113"/>
        <v>1</v>
      </c>
      <c r="CM114">
        <f t="shared" ca="1" si="114"/>
        <v>1</v>
      </c>
      <c r="CN114">
        <f t="shared" ca="1" si="115"/>
        <v>1</v>
      </c>
      <c r="CO114">
        <f t="shared" ca="1" si="116"/>
        <v>1</v>
      </c>
      <c r="CP114">
        <f t="shared" ca="1" si="117"/>
        <v>1</v>
      </c>
      <c r="CQ114">
        <f t="shared" ca="1" si="118"/>
        <v>1</v>
      </c>
      <c r="CR114">
        <f t="shared" ca="1" si="119"/>
        <v>1</v>
      </c>
      <c r="CS114">
        <f t="shared" ca="1" si="120"/>
        <v>1</v>
      </c>
      <c r="CT114">
        <f t="shared" ca="1" si="121"/>
        <v>1</v>
      </c>
      <c r="CU114">
        <f t="shared" ca="1" si="122"/>
        <v>0</v>
      </c>
      <c r="CV114">
        <f t="shared" ca="1" si="123"/>
        <v>0</v>
      </c>
      <c r="CW114">
        <f t="shared" ca="1" si="124"/>
        <v>1</v>
      </c>
      <c r="DC114" cm="1">
        <f t="array" aca="1" ref="DC114" ca="1">IF(ISNA(E114),,OFFSET(INDIRECT("'"&amp;DT$67&amp;"'!f1"),E114-1,))*1</f>
        <v>40.125280463000003</v>
      </c>
      <c r="DD114" cm="1">
        <f t="array" aca="1" ref="DD114" ca="1">IF(ISNA(F114),,OFFSET(INDIRECT("'"&amp;DU$67&amp;"'!f1"),F114-1,))*1</f>
        <v>76.062365305999904</v>
      </c>
      <c r="DE114" cm="1">
        <f t="array" aca="1" ref="DE114" ca="1">IF(ISNA(G114),,OFFSET(INDIRECT("'"&amp;DV$67&amp;"'!f1"),G114-1,))*1</f>
        <v>72.889192879999996</v>
      </c>
      <c r="DF114" cm="1">
        <f t="array" aca="1" ref="DF114" ca="1">IF(ISNA(H114),,OFFSET(INDIRECT("'"&amp;DW$67&amp;"'!f1"),H114-1,))*1</f>
        <v>114.424848116999</v>
      </c>
      <c r="DG114" cm="1">
        <f t="array" aca="1" ref="DG114" ca="1">IF(ISNA(I114),,OFFSET(INDIRECT("'"&amp;DX$67&amp;"'!f1"),I114-1,))*1</f>
        <v>0.109378332999767</v>
      </c>
      <c r="DH114" cm="1">
        <f t="array" aca="1" ref="DH114" ca="1">IF(ISNA(J114),,OFFSET(INDIRECT("'"&amp;DY$67&amp;"'!f1"),J114-1,))*1</f>
        <v>8.2348877098411294E-2</v>
      </c>
      <c r="DI114" cm="1">
        <f t="array" aca="1" ref="DI114" ca="1">IF(ISNA(K114),,OFFSET(INDIRECT("'"&amp;DZ$67&amp;"'!f1"),K114-1,))*1</f>
        <v>1.62230683397501</v>
      </c>
      <c r="DJ114" cm="1">
        <f t="array" aca="1" ref="DJ114" ca="1">IF(ISNA(L114),,OFFSET(INDIRECT("'"&amp;EA$67&amp;"'!f1"),L114-1,))*1</f>
        <v>2.28305309452116</v>
      </c>
      <c r="DK114" cm="1">
        <f t="array" aca="1" ref="DK114" ca="1">IF(ISNA(M114),,OFFSET(INDIRECT("'"&amp;EB$67&amp;"'!f1"),M114-1,))*1</f>
        <v>61.808180402964297</v>
      </c>
      <c r="DL114" cm="1">
        <f t="array" aca="1" ref="DL114" ca="1">IF(ISNA(N114),,OFFSET(INDIRECT("'"&amp;EC$67&amp;"'!f1"),N114-1,))*1</f>
        <v>7.1510160341858803E-3</v>
      </c>
      <c r="DM114" cm="1">
        <f t="array" aca="1" ref="DM114" ca="1">IF(ISNA(O114),,OFFSET(INDIRECT("'"&amp;ED$67&amp;"'!f1"),O114-1,))*1</f>
        <v>8.8011855259537697E-3</v>
      </c>
      <c r="DN114" cm="1">
        <f t="array" aca="1" ref="DN114" ca="1">IF(ISNA(P114),,OFFSET(INDIRECT("'"&amp;EE$67&amp;"'!f1"),P114-1,))*1</f>
        <v>9.9193476140499101E-2</v>
      </c>
      <c r="DT114">
        <f t="shared" ca="1" si="125"/>
        <v>1</v>
      </c>
      <c r="DU114">
        <f t="shared" ca="1" si="126"/>
        <v>1</v>
      </c>
      <c r="DV114">
        <f t="shared" ca="1" si="127"/>
        <v>1</v>
      </c>
      <c r="DW114">
        <f t="shared" ca="1" si="128"/>
        <v>1</v>
      </c>
      <c r="DX114">
        <f t="shared" ca="1" si="129"/>
        <v>1</v>
      </c>
      <c r="DY114">
        <f t="shared" ca="1" si="130"/>
        <v>1</v>
      </c>
      <c r="DZ114">
        <f t="shared" ca="1" si="131"/>
        <v>8223</v>
      </c>
      <c r="EA114">
        <f t="shared" ca="1" si="132"/>
        <v>8985</v>
      </c>
      <c r="EB114">
        <f t="shared" ca="1" si="133"/>
        <v>7435</v>
      </c>
      <c r="EC114">
        <f t="shared" ca="1" si="134"/>
        <v>0</v>
      </c>
      <c r="ED114">
        <f t="shared" ca="1" si="135"/>
        <v>0</v>
      </c>
      <c r="EE114">
        <f t="shared" ca="1" si="136"/>
        <v>2</v>
      </c>
      <c r="EK114" cm="1">
        <f t="array" aca="1" ref="EK114" ca="1">IF(ISNA(E114),0,OFFSET(INDIRECT("'"&amp;EK$67&amp;"'!g1"),E114-1,)*CL114)</f>
        <v>1</v>
      </c>
      <c r="EL114" cm="1">
        <f t="array" aca="1" ref="EL114" ca="1">IF(ISNA(F114),0,OFFSET(INDIRECT("'"&amp;EL$67&amp;"'!g1"),F114-1,)*CM114)</f>
        <v>1</v>
      </c>
      <c r="EM114" cm="1">
        <f t="array" aca="1" ref="EM114" ca="1">IF(ISNA(G114),0,OFFSET(INDIRECT("'"&amp;EM$67&amp;"'!g1"),G114-1,)*CN114)</f>
        <v>1</v>
      </c>
      <c r="EN114" cm="1">
        <f t="array" aca="1" ref="EN114" ca="1">IF(ISNA(H114),0,OFFSET(INDIRECT("'"&amp;EN$67&amp;"'!g1"),H114-1,)*CO114)</f>
        <v>1</v>
      </c>
      <c r="EO114" cm="1">
        <f t="array" aca="1" ref="EO114" ca="1">IF(ISNA(I114),0,OFFSET(INDIRECT("'"&amp;EO$67&amp;"'!g1"),I114-1,)*CP114)</f>
        <v>1</v>
      </c>
      <c r="EP114" cm="1">
        <f t="array" aca="1" ref="EP114" ca="1">IF(ISNA(J114),0,OFFSET(INDIRECT("'"&amp;EP$67&amp;"'!g1"),J114-1,)*CQ114)</f>
        <v>1</v>
      </c>
      <c r="EQ114" cm="1">
        <f t="array" aca="1" ref="EQ114" ca="1">IF(ISNA(K114),0,OFFSET(INDIRECT("'"&amp;EQ$67&amp;"'!g1"),K114-1,)*CR114)</f>
        <v>8223</v>
      </c>
      <c r="ER114" cm="1">
        <f t="array" aca="1" ref="ER114" ca="1">IF(ISNA(L114),0,OFFSET(INDIRECT("'"&amp;ER$67&amp;"'!g1"),L114-1,)*CS114)</f>
        <v>8985</v>
      </c>
      <c r="ES114" cm="1">
        <f t="array" aca="1" ref="ES114" ca="1">IF(ISNA(M114),0,OFFSET(INDIRECT("'"&amp;ES$67&amp;"'!g1"),M114-1,)*CT114)</f>
        <v>7435</v>
      </c>
      <c r="ET114" cm="1">
        <f t="array" aca="1" ref="ET114" ca="1">IF(ISNA(N114),0,OFFSET(INDIRECT("'"&amp;ET$67&amp;"'!g1"),N114-1,)*CU114)</f>
        <v>0</v>
      </c>
      <c r="EU114" cm="1">
        <f t="array" aca="1" ref="EU114" ca="1">IF(ISNA(O114),0,OFFSET(INDIRECT("'"&amp;EU$67&amp;"'!g1"),O114-1,)*CV114)</f>
        <v>0</v>
      </c>
      <c r="EV114" cm="1">
        <f t="array" aca="1" ref="EV114" ca="1">IF(ISNA(P114),0,OFFSET(INDIRECT("'"&amp;EV$67&amp;"'!g1"),P114-1,)*CW114)</f>
        <v>2</v>
      </c>
      <c r="FB114" s="10" cm="1">
        <f t="array" aca="1" ref="FB114" ca="1">IF(ISNA(E114),0,OFFSET(INDIRECT("'"&amp;EK$67&amp;"'!h1"),E114-1,))</f>
        <v>1</v>
      </c>
      <c r="FC114" s="10" cm="1">
        <f t="array" aca="1" ref="FC114" ca="1">IF(ISNA(F114),0,OFFSET(INDIRECT("'"&amp;EL$67&amp;"'!h1"),F114-1,))</f>
        <v>1</v>
      </c>
      <c r="FD114" s="10" cm="1">
        <f t="array" aca="1" ref="FD114" ca="1">IF(ISNA(G114),0,OFFSET(INDIRECT("'"&amp;EM$67&amp;"'!h1"),G114-1,))</f>
        <v>1</v>
      </c>
      <c r="FE114" s="10" cm="1">
        <f t="array" aca="1" ref="FE114" ca="1">IF(ISNA(H114),0,OFFSET(INDIRECT("'"&amp;EN$67&amp;"'!h1"),H114-1,))</f>
        <v>1</v>
      </c>
      <c r="FF114" s="10" cm="1">
        <f t="array" aca="1" ref="FF114" ca="1">IF(ISNA(I114),0,OFFSET(INDIRECT("'"&amp;EO$67&amp;"'!h1"),I114-1,))</f>
        <v>1</v>
      </c>
      <c r="FG114" s="10" cm="1">
        <f t="array" aca="1" ref="FG114" ca="1">IF(ISNA(J114),0,OFFSET(INDIRECT("'"&amp;EP$67&amp;"'!h1"),J114-1,))</f>
        <v>1</v>
      </c>
      <c r="FH114" s="10" cm="1">
        <f t="array" aca="1" ref="FH114" ca="1">IF(ISNA(K114),0,OFFSET(INDIRECT("'"&amp;EQ$67&amp;"'!h1"),K114-1,))</f>
        <v>10000</v>
      </c>
      <c r="FI114" s="10" cm="1">
        <f t="array" aca="1" ref="FI114" ca="1">IF(ISNA(L114),0,OFFSET(INDIRECT("'"&amp;ER$67&amp;"'!h1"),L114-1,))</f>
        <v>10000</v>
      </c>
      <c r="FJ114" s="10" cm="1">
        <f t="array" aca="1" ref="FJ114" ca="1">IF(ISNA(M114),0,OFFSET(INDIRECT("'"&amp;ES$67&amp;"'!h1"),M114-1,))</f>
        <v>10000</v>
      </c>
      <c r="FK114" s="10" cm="1">
        <f t="array" aca="1" ref="FK114" ca="1">IF(ISNA(N114),0,OFFSET(INDIRECT("'"&amp;ET$67&amp;"'!h1"),N114-1,))</f>
        <v>1</v>
      </c>
      <c r="FL114" s="10" cm="1">
        <f t="array" aca="1" ref="FL114" ca="1">IF(ISNA(O114),0,OFFSET(INDIRECT("'"&amp;EU$67&amp;"'!h1"),O114-1,))</f>
        <v>1</v>
      </c>
      <c r="FM114" s="10" cm="1">
        <f t="array" aca="1" ref="FM114" ca="1">IF(ISNA(P114),0,OFFSET(INDIRECT("'"&amp;EV$67&amp;"'!h1"),P114-1,))</f>
        <v>7</v>
      </c>
      <c r="FN114" s="10"/>
      <c r="FO114" s="10"/>
      <c r="FP114" s="10"/>
      <c r="FQ114" s="10"/>
      <c r="FS114">
        <f t="shared" ca="1" si="137"/>
        <v>54</v>
      </c>
      <c r="FT114">
        <f t="shared" ca="1" si="62"/>
        <v>1.62230683397501</v>
      </c>
      <c r="FU114">
        <f t="shared" ca="1" si="63"/>
        <v>8223</v>
      </c>
      <c r="FV114">
        <f t="shared" ca="1" si="64"/>
        <v>10000</v>
      </c>
      <c r="FW114" s="4">
        <f t="shared" ca="1" si="138"/>
        <v>0.82230000000000003</v>
      </c>
      <c r="FX114" s="5">
        <f t="shared" ca="1" si="139"/>
        <v>1.9728892544995864E-4</v>
      </c>
      <c r="FZ114" s="13">
        <f t="shared" ca="1" si="140"/>
        <v>54</v>
      </c>
      <c r="GA114" s="23">
        <f t="shared" ca="1" si="141"/>
        <v>0</v>
      </c>
      <c r="GB114" s="23">
        <f t="shared" ca="1" si="142"/>
        <v>0</v>
      </c>
      <c r="GC114" s="23">
        <f t="shared" ca="1" si="143"/>
        <v>0</v>
      </c>
      <c r="GD114" s="23">
        <f t="shared" ca="1" si="144"/>
        <v>0</v>
      </c>
      <c r="GE114" s="23">
        <f t="shared" ca="1" si="145"/>
        <v>0</v>
      </c>
      <c r="GF114" s="23">
        <f t="shared" ca="1" si="146"/>
        <v>0</v>
      </c>
      <c r="GG114" s="23">
        <f t="shared" ca="1" si="147"/>
        <v>0</v>
      </c>
      <c r="GH114" s="23">
        <f t="shared" ca="1" si="148"/>
        <v>0</v>
      </c>
      <c r="GI114" s="23">
        <f t="shared" ca="1" si="149"/>
        <v>0</v>
      </c>
      <c r="GJ114" s="23" t="e">
        <f t="shared" ca="1" si="150"/>
        <v>#N/A</v>
      </c>
      <c r="GK114" s="23" t="e">
        <f t="shared" ca="1" si="151"/>
        <v>#N/A</v>
      </c>
      <c r="GL114" s="23">
        <f t="shared" ca="1" si="152"/>
        <v>0</v>
      </c>
      <c r="GM114" s="23"/>
      <c r="GN114">
        <f t="shared" ca="1" si="153"/>
        <v>54</v>
      </c>
      <c r="GO114" s="5">
        <f t="shared" ca="1" si="154"/>
        <v>40.125280463000003</v>
      </c>
      <c r="GP114" s="5">
        <f t="shared" ca="1" si="155"/>
        <v>76.062365305999904</v>
      </c>
      <c r="GQ114" s="5">
        <f t="shared" ca="1" si="156"/>
        <v>72.889192879999996</v>
      </c>
      <c r="GR114" s="5">
        <f t="shared" ca="1" si="157"/>
        <v>114.424848116999</v>
      </c>
      <c r="GS114" s="5">
        <f t="shared" ca="1" si="158"/>
        <v>0.109378332999767</v>
      </c>
      <c r="GT114" s="5">
        <f t="shared" ca="1" si="159"/>
        <v>8.2348877098411294E-2</v>
      </c>
      <c r="GU114" s="5">
        <f t="shared" ca="1" si="160"/>
        <v>1.9728892544995864E-4</v>
      </c>
      <c r="GV114" s="5">
        <f t="shared" ca="1" si="161"/>
        <v>2.5409605949039063E-4</v>
      </c>
      <c r="GW114" s="5">
        <f t="shared" ca="1" si="162"/>
        <v>8.3131379156643308E-3</v>
      </c>
      <c r="GX114" s="5" t="e">
        <f t="shared" ca="1" si="163"/>
        <v>#N/A</v>
      </c>
      <c r="GY114" s="5" t="e">
        <f t="shared" ca="1" si="164"/>
        <v>#N/A</v>
      </c>
      <c r="GZ114" s="5">
        <f t="shared" ca="1" si="165"/>
        <v>4.9596738070249551E-2</v>
      </c>
      <c r="HB114" s="13">
        <f t="shared" ca="1" si="166"/>
        <v>54</v>
      </c>
      <c r="HC114" s="4">
        <f t="shared" ca="1" si="167"/>
        <v>1</v>
      </c>
      <c r="HD114" s="4">
        <f t="shared" ca="1" si="168"/>
        <v>1</v>
      </c>
      <c r="HE114" s="4">
        <f t="shared" ca="1" si="169"/>
        <v>1</v>
      </c>
      <c r="HF114" s="4">
        <f t="shared" ca="1" si="170"/>
        <v>1</v>
      </c>
      <c r="HG114" s="4">
        <f t="shared" ca="1" si="171"/>
        <v>1</v>
      </c>
      <c r="HH114" s="4">
        <f t="shared" ca="1" si="172"/>
        <v>1</v>
      </c>
      <c r="HI114" s="4">
        <f t="shared" ca="1" si="173"/>
        <v>0.82230000000000003</v>
      </c>
      <c r="HJ114" s="4">
        <f t="shared" ca="1" si="174"/>
        <v>0.89849999999999997</v>
      </c>
      <c r="HK114" s="4">
        <f t="shared" ca="1" si="175"/>
        <v>0.74350000000000005</v>
      </c>
      <c r="HL114" s="4">
        <f t="shared" ca="1" si="176"/>
        <v>0</v>
      </c>
      <c r="HM114" s="4">
        <f t="shared" ca="1" si="177"/>
        <v>0</v>
      </c>
      <c r="HN114" s="4">
        <f t="shared" ca="1" si="178"/>
        <v>0.2857142857142857</v>
      </c>
    </row>
    <row r="115" spans="1:222" x14ac:dyDescent="0.2">
      <c r="A115" t="str" cm="1">
        <f t="array" aca="1" ref="A115" ca="1">INDIRECT($A$67&amp;"!A"&amp;ROW(C48)+$B$64)</f>
        <v>[[55,23,13]]</v>
      </c>
      <c r="B115" cm="1">
        <f t="array" aca="1" ref="B115" ca="1">INDIRECT($A$67&amp;"!b"&amp;ROW(D48)+$B$64)</f>
        <v>55</v>
      </c>
      <c r="C115">
        <f t="shared" ca="1" si="78"/>
        <v>13</v>
      </c>
      <c r="E115">
        <f t="shared" ca="1" si="180"/>
        <v>72</v>
      </c>
      <c r="F115">
        <f t="shared" ca="1" si="180"/>
        <v>73</v>
      </c>
      <c r="G115">
        <f t="shared" ca="1" si="180"/>
        <v>72</v>
      </c>
      <c r="H115">
        <f t="shared" ca="1" si="180"/>
        <v>72</v>
      </c>
      <c r="I115">
        <f t="shared" ca="1" si="180"/>
        <v>75</v>
      </c>
      <c r="J115">
        <f t="shared" ca="1" si="180"/>
        <v>72</v>
      </c>
      <c r="K115">
        <f t="shared" ca="1" si="180"/>
        <v>79</v>
      </c>
      <c r="L115">
        <f t="shared" ca="1" si="180"/>
        <v>81</v>
      </c>
      <c r="M115">
        <f t="shared" ca="1" si="180"/>
        <v>78</v>
      </c>
      <c r="N115">
        <f t="shared" ca="1" si="180"/>
        <v>76</v>
      </c>
      <c r="O115">
        <f t="shared" ca="1" si="180"/>
        <v>76</v>
      </c>
      <c r="P115">
        <f t="shared" ca="1" si="180"/>
        <v>76</v>
      </c>
      <c r="V115" cm="1">
        <f t="array" aca="1" ref="V115" ca="1">IF(ISNA(E115),,OFFSET(INDIRECT("'"&amp;V$67&amp;"'!d1"),E115-1,))</f>
        <v>13</v>
      </c>
      <c r="W115" cm="1">
        <f t="array" aca="1" ref="W115" ca="1">IF(ISNA(F115),,OFFSET(INDIRECT("'"&amp;W$67&amp;"'!d1"),F115-1,))</f>
        <v>13</v>
      </c>
      <c r="X115" cm="1">
        <f t="array" aca="1" ref="X115" ca="1">IF(ISNA(G115),,OFFSET(INDIRECT("'"&amp;X$67&amp;"'!d1"),G115-1,))</f>
        <v>13</v>
      </c>
      <c r="Y115" cm="1">
        <f t="array" aca="1" ref="Y115" ca="1">IF(ISNA(H115),,OFFSET(INDIRECT("'"&amp;Y$67&amp;"'!d1"),H115-1,))</f>
        <v>13</v>
      </c>
      <c r="Z115" cm="1">
        <f t="array" aca="1" ref="Z115" ca="1">IF(ISNA(I115),,OFFSET(INDIRECT("'"&amp;Z$67&amp;"'!d1"),I115-1,))</f>
        <v>13</v>
      </c>
      <c r="AA115" cm="1">
        <f t="array" aca="1" ref="AA115" ca="1">IF(ISNA(J115),,OFFSET(INDIRECT("'"&amp;AA$67&amp;"'!d1"),J115-1,))</f>
        <v>13</v>
      </c>
      <c r="AB115" cm="1">
        <f t="array" aca="1" ref="AB115" ca="1">IF(ISNA(K115),,OFFSET(INDIRECT("'"&amp;AB$67&amp;"'!d1"),K115-1,))</f>
        <v>13</v>
      </c>
      <c r="AC115" cm="1">
        <f t="array" aca="1" ref="AC115" ca="1">IF(ISNA(L115),,OFFSET(INDIRECT("'"&amp;AC$67&amp;"'!d1"),L115-1,))</f>
        <v>13</v>
      </c>
      <c r="AD115" cm="1">
        <f t="array" aca="1" ref="AD115" ca="1">IF(ISNA(M115),,OFFSET(INDIRECT("'"&amp;AD$67&amp;"'!d1"),M115-1,))</f>
        <v>13</v>
      </c>
      <c r="AE115" cm="1">
        <f t="array" aca="1" ref="AE115" ca="1">IF(ISNA(N115),,OFFSET(INDIRECT("'"&amp;AE$67&amp;"'!d1"),N115-1,))</f>
        <v>0</v>
      </c>
      <c r="AF115" cm="1">
        <f t="array" aca="1" ref="AF115" ca="1">IF(ISNA(O115),,OFFSET(INDIRECT("'"&amp;AF$67&amp;"'!d1"),O115-1,))</f>
        <v>0</v>
      </c>
      <c r="AG115" cm="1">
        <f t="array" aca="1" ref="AG115" ca="1">IF(ISNA(P115),,OFFSET(INDIRECT("'"&amp;AG$67&amp;"'!d1"),P115-1,))</f>
        <v>0</v>
      </c>
      <c r="AM115">
        <f t="shared" ca="1" si="79"/>
        <v>1</v>
      </c>
      <c r="AN115">
        <f t="shared" ca="1" si="80"/>
        <v>1</v>
      </c>
      <c r="AO115">
        <f t="shared" ca="1" si="81"/>
        <v>1</v>
      </c>
      <c r="AP115">
        <f t="shared" ca="1" si="82"/>
        <v>1</v>
      </c>
      <c r="AQ115">
        <f t="shared" ca="1" si="83"/>
        <v>1</v>
      </c>
      <c r="AV115" t="b">
        <f t="shared" ca="1" si="84"/>
        <v>1</v>
      </c>
      <c r="AW115" t="b">
        <f t="shared" ca="1" si="85"/>
        <v>1</v>
      </c>
      <c r="AX115" t="b">
        <f t="shared" ca="1" si="86"/>
        <v>1</v>
      </c>
      <c r="AY115" t="b">
        <f t="shared" ca="1" si="87"/>
        <v>1</v>
      </c>
      <c r="AZ115" t="b">
        <f t="shared" ca="1" si="88"/>
        <v>1</v>
      </c>
      <c r="BD115">
        <f t="shared" ca="1" si="89"/>
        <v>1</v>
      </c>
      <c r="BE115">
        <f t="shared" ca="1" si="90"/>
        <v>1</v>
      </c>
      <c r="BF115">
        <f t="shared" ca="1" si="91"/>
        <v>1</v>
      </c>
      <c r="BG115">
        <f t="shared" ca="1" si="92"/>
        <v>1</v>
      </c>
      <c r="BH115">
        <f t="shared" ca="1" si="93"/>
        <v>1</v>
      </c>
      <c r="BI115">
        <f t="shared" ca="1" si="94"/>
        <v>1</v>
      </c>
      <c r="BJ115">
        <f t="shared" ca="1" si="95"/>
        <v>1</v>
      </c>
      <c r="BK115">
        <f t="shared" ca="1" si="96"/>
        <v>1</v>
      </c>
      <c r="BL115">
        <f t="shared" ca="1" si="97"/>
        <v>1</v>
      </c>
      <c r="BM115">
        <f t="shared" ca="1" si="98"/>
        <v>0</v>
      </c>
      <c r="BN115">
        <f t="shared" ca="1" si="99"/>
        <v>0</v>
      </c>
      <c r="BO115">
        <f t="shared" ca="1" si="100"/>
        <v>0</v>
      </c>
      <c r="BU115">
        <f t="shared" ca="1" si="101"/>
        <v>13</v>
      </c>
      <c r="BV115">
        <f t="shared" ca="1" si="102"/>
        <v>13</v>
      </c>
      <c r="BW115">
        <f t="shared" ca="1" si="103"/>
        <v>13</v>
      </c>
      <c r="BX115">
        <f t="shared" ca="1" si="104"/>
        <v>13</v>
      </c>
      <c r="BY115">
        <f t="shared" ca="1" si="105"/>
        <v>13</v>
      </c>
      <c r="BZ115">
        <f t="shared" ca="1" si="106"/>
        <v>13</v>
      </c>
      <c r="CA115">
        <f t="shared" ca="1" si="107"/>
        <v>13</v>
      </c>
      <c r="CB115">
        <f t="shared" ca="1" si="108"/>
        <v>13</v>
      </c>
      <c r="CC115">
        <f t="shared" ca="1" si="109"/>
        <v>13</v>
      </c>
      <c r="CD115">
        <f t="shared" ca="1" si="110"/>
        <v>55</v>
      </c>
      <c r="CE115">
        <f t="shared" ca="1" si="111"/>
        <v>55</v>
      </c>
      <c r="CF115">
        <f t="shared" ca="1" si="112"/>
        <v>55</v>
      </c>
      <c r="CL115">
        <f t="shared" ca="1" si="113"/>
        <v>1</v>
      </c>
      <c r="CM115">
        <f t="shared" ca="1" si="114"/>
        <v>1</v>
      </c>
      <c r="CN115">
        <f t="shared" ca="1" si="115"/>
        <v>1</v>
      </c>
      <c r="CO115">
        <f t="shared" ca="1" si="116"/>
        <v>1</v>
      </c>
      <c r="CP115">
        <f t="shared" ca="1" si="117"/>
        <v>1</v>
      </c>
      <c r="CQ115">
        <f t="shared" ca="1" si="118"/>
        <v>1</v>
      </c>
      <c r="CR115">
        <f t="shared" ca="1" si="119"/>
        <v>1</v>
      </c>
      <c r="CS115">
        <f t="shared" ca="1" si="120"/>
        <v>1</v>
      </c>
      <c r="CT115">
        <f t="shared" ca="1" si="121"/>
        <v>1</v>
      </c>
      <c r="CU115">
        <f t="shared" ca="1" si="122"/>
        <v>0</v>
      </c>
      <c r="CV115">
        <f t="shared" ca="1" si="123"/>
        <v>0</v>
      </c>
      <c r="CW115">
        <f t="shared" ca="1" si="124"/>
        <v>0</v>
      </c>
      <c r="DC115" cm="1">
        <f t="array" aca="1" ref="DC115" ca="1">IF(ISNA(E115),,OFFSET(INDIRECT("'"&amp;DT$67&amp;"'!f1"),E115-1,))*1</f>
        <v>110.369698566</v>
      </c>
      <c r="DD115" cm="1">
        <f t="array" aca="1" ref="DD115" ca="1">IF(ISNA(F115),,OFFSET(INDIRECT("'"&amp;DU$67&amp;"'!f1"),F115-1,))*1</f>
        <v>411.50003692799999</v>
      </c>
      <c r="DE115" cm="1">
        <f t="array" aca="1" ref="DE115" ca="1">IF(ISNA(G115),,OFFSET(INDIRECT("'"&amp;DV$67&amp;"'!f1"),G115-1,))*1</f>
        <v>144.06590394499901</v>
      </c>
      <c r="DF115" cm="1">
        <f t="array" aca="1" ref="DF115" ca="1">IF(ISNA(H115),,OFFSET(INDIRECT("'"&amp;DW$67&amp;"'!f1"),H115-1,))*1</f>
        <v>11758.407830782</v>
      </c>
      <c r="DG115" cm="1">
        <f t="array" aca="1" ref="DG115" ca="1">IF(ISNA(I115),,OFFSET(INDIRECT("'"&amp;DX$67&amp;"'!f1"),I115-1,))*1</f>
        <v>5.7370875001652097E-2</v>
      </c>
      <c r="DH115" cm="1">
        <f t="array" aca="1" ref="DH115" ca="1">IF(ISNA(J115),,OFFSET(INDIRECT("'"&amp;DY$67&amp;"'!f1"),J115-1,))*1</f>
        <v>0.11011728271842</v>
      </c>
      <c r="DI115" cm="1">
        <f t="array" aca="1" ref="DI115" ca="1">IF(ISNA(K115),,OFFSET(INDIRECT("'"&amp;DZ$67&amp;"'!f1"),K115-1,))*1</f>
        <v>1.85029657464474</v>
      </c>
      <c r="DJ115" cm="1">
        <f t="array" aca="1" ref="DJ115" ca="1">IF(ISNA(L115),,OFFSET(INDIRECT("'"&amp;EA$67&amp;"'!f1"),L115-1,))*1</f>
        <v>2.68159877229481</v>
      </c>
      <c r="DK115" cm="1">
        <f t="array" aca="1" ref="DK115" ca="1">IF(ISNA(M115),,OFFSET(INDIRECT("'"&amp;EB$67&amp;"'!f1"),M115-1,))*1</f>
        <v>33.964890719857003</v>
      </c>
      <c r="DL115" cm="1">
        <f t="array" aca="1" ref="DL115" ca="1">IF(ISNA(N115),,OFFSET(INDIRECT("'"&amp;EC$67&amp;"'!f1"),N115-1,))*1</f>
        <v>6.7677870392799299E-3</v>
      </c>
      <c r="DM115" cm="1">
        <f t="array" aca="1" ref="DM115" ca="1">IF(ISNA(O115),,OFFSET(INDIRECT("'"&amp;ED$67&amp;"'!f1"),O115-1,))*1</f>
        <v>8.2107800990343094E-3</v>
      </c>
      <c r="DN115" cm="1">
        <f t="array" aca="1" ref="DN115" ca="1">IF(ISNA(P115),,OFFSET(INDIRECT("'"&amp;EE$67&amp;"'!f1"),P115-1,))*1</f>
        <v>1.28740314394235E-2</v>
      </c>
      <c r="DT115">
        <f t="shared" ca="1" si="125"/>
        <v>1</v>
      </c>
      <c r="DU115">
        <f t="shared" ca="1" si="126"/>
        <v>1</v>
      </c>
      <c r="DV115">
        <f t="shared" ca="1" si="127"/>
        <v>1</v>
      </c>
      <c r="DW115">
        <f t="shared" ca="1" si="128"/>
        <v>1</v>
      </c>
      <c r="DX115">
        <f t="shared" ca="1" si="129"/>
        <v>1</v>
      </c>
      <c r="DY115">
        <f t="shared" ca="1" si="130"/>
        <v>1</v>
      </c>
      <c r="DZ115">
        <f t="shared" ca="1" si="131"/>
        <v>8910</v>
      </c>
      <c r="EA115">
        <f t="shared" ca="1" si="132"/>
        <v>9952</v>
      </c>
      <c r="EB115">
        <f t="shared" ca="1" si="133"/>
        <v>8257</v>
      </c>
      <c r="EC115">
        <f t="shared" ca="1" si="134"/>
        <v>0</v>
      </c>
      <c r="ED115">
        <f t="shared" ca="1" si="135"/>
        <v>0</v>
      </c>
      <c r="EE115">
        <f t="shared" ca="1" si="136"/>
        <v>0</v>
      </c>
      <c r="EK115" cm="1">
        <f t="array" aca="1" ref="EK115" ca="1">IF(ISNA(E115),0,OFFSET(INDIRECT("'"&amp;EK$67&amp;"'!g1"),E115-1,)*CL115)</f>
        <v>1</v>
      </c>
      <c r="EL115" cm="1">
        <f t="array" aca="1" ref="EL115" ca="1">IF(ISNA(F115),0,OFFSET(INDIRECT("'"&amp;EL$67&amp;"'!g1"),F115-1,)*CM115)</f>
        <v>1</v>
      </c>
      <c r="EM115" cm="1">
        <f t="array" aca="1" ref="EM115" ca="1">IF(ISNA(G115),0,OFFSET(INDIRECT("'"&amp;EM$67&amp;"'!g1"),G115-1,)*CN115)</f>
        <v>1</v>
      </c>
      <c r="EN115" cm="1">
        <f t="array" aca="1" ref="EN115" ca="1">IF(ISNA(H115),0,OFFSET(INDIRECT("'"&amp;EN$67&amp;"'!g1"),H115-1,)*CO115)</f>
        <v>1</v>
      </c>
      <c r="EO115" cm="1">
        <f t="array" aca="1" ref="EO115" ca="1">IF(ISNA(I115),0,OFFSET(INDIRECT("'"&amp;EO$67&amp;"'!g1"),I115-1,)*CP115)</f>
        <v>1</v>
      </c>
      <c r="EP115" cm="1">
        <f t="array" aca="1" ref="EP115" ca="1">IF(ISNA(J115),0,OFFSET(INDIRECT("'"&amp;EP$67&amp;"'!g1"),J115-1,)*CQ115)</f>
        <v>1</v>
      </c>
      <c r="EQ115" cm="1">
        <f t="array" aca="1" ref="EQ115" ca="1">IF(ISNA(K115),0,OFFSET(INDIRECT("'"&amp;EQ$67&amp;"'!g1"),K115-1,)*CR115)</f>
        <v>8910</v>
      </c>
      <c r="ER115" cm="1">
        <f t="array" aca="1" ref="ER115" ca="1">IF(ISNA(L115),0,OFFSET(INDIRECT("'"&amp;ER$67&amp;"'!g1"),L115-1,)*CS115)</f>
        <v>9952</v>
      </c>
      <c r="ES115" cm="1">
        <f t="array" aca="1" ref="ES115" ca="1">IF(ISNA(M115),0,OFFSET(INDIRECT("'"&amp;ES$67&amp;"'!g1"),M115-1,)*CT115)</f>
        <v>8257</v>
      </c>
      <c r="ET115" cm="1">
        <f t="array" aca="1" ref="ET115" ca="1">IF(ISNA(N115),0,OFFSET(INDIRECT("'"&amp;ET$67&amp;"'!g1"),N115-1,)*CU115)</f>
        <v>0</v>
      </c>
      <c r="EU115" cm="1">
        <f t="array" aca="1" ref="EU115" ca="1">IF(ISNA(O115),0,OFFSET(INDIRECT("'"&amp;EU$67&amp;"'!g1"),O115-1,)*CV115)</f>
        <v>0</v>
      </c>
      <c r="EV115" cm="1">
        <f t="array" aca="1" ref="EV115" ca="1">IF(ISNA(P115),0,OFFSET(INDIRECT("'"&amp;EV$67&amp;"'!g1"),P115-1,)*CW115)</f>
        <v>0</v>
      </c>
      <c r="FB115" s="10" cm="1">
        <f t="array" aca="1" ref="FB115" ca="1">IF(ISNA(E115),0,OFFSET(INDIRECT("'"&amp;EK$67&amp;"'!h1"),E115-1,))</f>
        <v>1</v>
      </c>
      <c r="FC115" s="10" cm="1">
        <f t="array" aca="1" ref="FC115" ca="1">IF(ISNA(F115),0,OFFSET(INDIRECT("'"&amp;EL$67&amp;"'!h1"),F115-1,))</f>
        <v>1</v>
      </c>
      <c r="FD115" s="10" cm="1">
        <f t="array" aca="1" ref="FD115" ca="1">IF(ISNA(G115),0,OFFSET(INDIRECT("'"&amp;EM$67&amp;"'!h1"),G115-1,))</f>
        <v>1</v>
      </c>
      <c r="FE115" s="10" cm="1">
        <f t="array" aca="1" ref="FE115" ca="1">IF(ISNA(H115),0,OFFSET(INDIRECT("'"&amp;EN$67&amp;"'!h1"),H115-1,))</f>
        <v>1</v>
      </c>
      <c r="FF115" s="10" cm="1">
        <f t="array" aca="1" ref="FF115" ca="1">IF(ISNA(I115),0,OFFSET(INDIRECT("'"&amp;EO$67&amp;"'!h1"),I115-1,))</f>
        <v>1</v>
      </c>
      <c r="FG115" s="10" cm="1">
        <f t="array" aca="1" ref="FG115" ca="1">IF(ISNA(J115),0,OFFSET(INDIRECT("'"&amp;EP$67&amp;"'!h1"),J115-1,))</f>
        <v>1</v>
      </c>
      <c r="FH115" s="10" cm="1">
        <f t="array" aca="1" ref="FH115" ca="1">IF(ISNA(K115),0,OFFSET(INDIRECT("'"&amp;EQ$67&amp;"'!h1"),K115-1,))</f>
        <v>10000</v>
      </c>
      <c r="FI115" s="10" cm="1">
        <f t="array" aca="1" ref="FI115" ca="1">IF(ISNA(L115),0,OFFSET(INDIRECT("'"&amp;ER$67&amp;"'!h1"),L115-1,))</f>
        <v>10000</v>
      </c>
      <c r="FJ115" s="10" cm="1">
        <f t="array" aca="1" ref="FJ115" ca="1">IF(ISNA(M115),0,OFFSET(INDIRECT("'"&amp;ES$67&amp;"'!h1"),M115-1,))</f>
        <v>10000</v>
      </c>
      <c r="FK115" s="10" cm="1">
        <f t="array" aca="1" ref="FK115" ca="1">IF(ISNA(N115),0,OFFSET(INDIRECT("'"&amp;ET$67&amp;"'!h1"),N115-1,))</f>
        <v>1</v>
      </c>
      <c r="FL115" s="10" cm="1">
        <f t="array" aca="1" ref="FL115" ca="1">IF(ISNA(O115),0,OFFSET(INDIRECT("'"&amp;EU$67&amp;"'!h1"),O115-1,))</f>
        <v>1</v>
      </c>
      <c r="FM115" s="10" cm="1">
        <f t="array" aca="1" ref="FM115" ca="1">IF(ISNA(P115),0,OFFSET(INDIRECT("'"&amp;EV$67&amp;"'!h1"),P115-1,))</f>
        <v>9</v>
      </c>
      <c r="FN115" s="10"/>
      <c r="FO115" s="10"/>
      <c r="FP115" s="10"/>
      <c r="FQ115" s="10"/>
      <c r="FS115">
        <f t="shared" ca="1" si="137"/>
        <v>55</v>
      </c>
      <c r="FT115">
        <f t="shared" ca="1" si="62"/>
        <v>1.85029657464474</v>
      </c>
      <c r="FU115">
        <f t="shared" ca="1" si="63"/>
        <v>8910</v>
      </c>
      <c r="FV115">
        <f t="shared" ca="1" si="64"/>
        <v>10000</v>
      </c>
      <c r="FW115" s="4">
        <f t="shared" ca="1" si="138"/>
        <v>0.89100000000000001</v>
      </c>
      <c r="FX115" s="5">
        <f t="shared" ca="1" si="139"/>
        <v>2.0766515989278786E-4</v>
      </c>
      <c r="FZ115" s="13">
        <f t="shared" ca="1" si="140"/>
        <v>55</v>
      </c>
      <c r="GA115" s="23">
        <f t="shared" ca="1" si="141"/>
        <v>0</v>
      </c>
      <c r="GB115" s="23">
        <f t="shared" ca="1" si="142"/>
        <v>0</v>
      </c>
      <c r="GC115" s="23">
        <f t="shared" ca="1" si="143"/>
        <v>0</v>
      </c>
      <c r="GD115" s="23">
        <f t="shared" ca="1" si="144"/>
        <v>0</v>
      </c>
      <c r="GE115" s="23">
        <f t="shared" ca="1" si="145"/>
        <v>0</v>
      </c>
      <c r="GF115" s="23">
        <f t="shared" ca="1" si="146"/>
        <v>0</v>
      </c>
      <c r="GG115" s="23">
        <f t="shared" ca="1" si="147"/>
        <v>0</v>
      </c>
      <c r="GH115" s="23">
        <f t="shared" ca="1" si="148"/>
        <v>0</v>
      </c>
      <c r="GI115" s="23">
        <f t="shared" ca="1" si="149"/>
        <v>0</v>
      </c>
      <c r="GJ115" s="23" t="e">
        <f t="shared" ca="1" si="150"/>
        <v>#N/A</v>
      </c>
      <c r="GK115" s="23" t="e">
        <f t="shared" ca="1" si="151"/>
        <v>#N/A</v>
      </c>
      <c r="GL115" s="23" t="e">
        <f t="shared" ca="1" si="152"/>
        <v>#N/A</v>
      </c>
      <c r="GM115" s="23"/>
      <c r="GN115">
        <f t="shared" ca="1" si="153"/>
        <v>55</v>
      </c>
      <c r="GO115" s="5">
        <f t="shared" ca="1" si="154"/>
        <v>110.369698566</v>
      </c>
      <c r="GP115" s="5">
        <f t="shared" ca="1" si="155"/>
        <v>411.50003692799999</v>
      </c>
      <c r="GQ115" s="5">
        <f t="shared" ca="1" si="156"/>
        <v>144.06590394499901</v>
      </c>
      <c r="GR115" s="5">
        <f t="shared" ca="1" si="157"/>
        <v>11758.407830782</v>
      </c>
      <c r="GS115" s="5">
        <f t="shared" ca="1" si="158"/>
        <v>5.7370875001652097E-2</v>
      </c>
      <c r="GT115" s="5">
        <f t="shared" ca="1" si="159"/>
        <v>0.11011728271842</v>
      </c>
      <c r="GU115" s="5">
        <f t="shared" ca="1" si="160"/>
        <v>2.0766515989278786E-4</v>
      </c>
      <c r="GV115" s="5">
        <f t="shared" ca="1" si="161"/>
        <v>2.6945325284312801E-4</v>
      </c>
      <c r="GW115" s="5">
        <f t="shared" ca="1" si="162"/>
        <v>4.1134662371148118E-3</v>
      </c>
      <c r="GX115" s="5" t="e">
        <f t="shared" ca="1" si="163"/>
        <v>#N/A</v>
      </c>
      <c r="GY115" s="5" t="e">
        <f t="shared" ca="1" si="164"/>
        <v>#N/A</v>
      </c>
      <c r="GZ115" s="5" t="e">
        <f t="shared" ca="1" si="165"/>
        <v>#N/A</v>
      </c>
      <c r="HB115" s="13">
        <f t="shared" ca="1" si="166"/>
        <v>55</v>
      </c>
      <c r="HC115" s="4">
        <f t="shared" ca="1" si="167"/>
        <v>1</v>
      </c>
      <c r="HD115" s="4">
        <f t="shared" ca="1" si="168"/>
        <v>1</v>
      </c>
      <c r="HE115" s="4">
        <f t="shared" ca="1" si="169"/>
        <v>1</v>
      </c>
      <c r="HF115" s="4">
        <f t="shared" ca="1" si="170"/>
        <v>1</v>
      </c>
      <c r="HG115" s="4">
        <f t="shared" ca="1" si="171"/>
        <v>1</v>
      </c>
      <c r="HH115" s="4">
        <f t="shared" ca="1" si="172"/>
        <v>1</v>
      </c>
      <c r="HI115" s="4">
        <f t="shared" ca="1" si="173"/>
        <v>0.89100000000000001</v>
      </c>
      <c r="HJ115" s="4">
        <f t="shared" ca="1" si="174"/>
        <v>0.99519999999999997</v>
      </c>
      <c r="HK115" s="4">
        <f t="shared" ca="1" si="175"/>
        <v>0.82569999999999999</v>
      </c>
      <c r="HL115" s="4">
        <f t="shared" ca="1" si="176"/>
        <v>0</v>
      </c>
      <c r="HM115" s="4">
        <f t="shared" ca="1" si="177"/>
        <v>0</v>
      </c>
      <c r="HN115" s="4">
        <f t="shared" ca="1" si="178"/>
        <v>0</v>
      </c>
    </row>
    <row r="116" spans="1:222" x14ac:dyDescent="0.2">
      <c r="A116" t="str" cm="1">
        <f t="array" aca="1" ref="A116" ca="1">INDIRECT($A$67&amp;"!A"&amp;ROW(C49)+$B$64)</f>
        <v>[[56,17,17]]</v>
      </c>
      <c r="B116" cm="1">
        <f t="array" aca="1" ref="B116" ca="1">INDIRECT($A$67&amp;"!b"&amp;ROW(D49)+$B$64)</f>
        <v>56</v>
      </c>
      <c r="C116">
        <f t="shared" ca="1" si="78"/>
        <v>17</v>
      </c>
      <c r="E116">
        <f t="shared" ca="1" si="180"/>
        <v>73</v>
      </c>
      <c r="F116">
        <f t="shared" ca="1" si="180"/>
        <v>74</v>
      </c>
      <c r="G116">
        <f t="shared" ca="1" si="180"/>
        <v>73</v>
      </c>
      <c r="H116">
        <f t="shared" ca="1" si="180"/>
        <v>73</v>
      </c>
      <c r="I116">
        <f t="shared" ca="1" si="180"/>
        <v>76</v>
      </c>
      <c r="J116">
        <f t="shared" ca="1" si="180"/>
        <v>73</v>
      </c>
      <c r="K116">
        <f t="shared" ca="1" si="180"/>
        <v>80</v>
      </c>
      <c r="L116">
        <f t="shared" ca="1" si="180"/>
        <v>82</v>
      </c>
      <c r="M116">
        <f t="shared" ca="1" si="180"/>
        <v>79</v>
      </c>
      <c r="N116">
        <f t="shared" ca="1" si="180"/>
        <v>77</v>
      </c>
      <c r="O116">
        <f t="shared" ca="1" si="180"/>
        <v>77</v>
      </c>
      <c r="P116">
        <f t="shared" ca="1" si="180"/>
        <v>77</v>
      </c>
      <c r="V116" cm="1">
        <f t="array" aca="1" ref="V116" ca="1">IF(ISNA(E116),,OFFSET(INDIRECT("'"&amp;V$67&amp;"'!d1"),E116-1,))</f>
        <v>17</v>
      </c>
      <c r="W116" cm="1">
        <f t="array" aca="1" ref="W116" ca="1">IF(ISNA(F116),,OFFSET(INDIRECT("'"&amp;W$67&amp;"'!d1"),F116-1,))</f>
        <v>17</v>
      </c>
      <c r="X116" cm="1">
        <f t="array" aca="1" ref="X116" ca="1">IF(ISNA(G116),,OFFSET(INDIRECT("'"&amp;X$67&amp;"'!d1"),G116-1,))</f>
        <v>17</v>
      </c>
      <c r="Y116" cm="1">
        <f t="array" aca="1" ref="Y116" ca="1">IF(ISNA(H116),,OFFSET(INDIRECT("'"&amp;Y$67&amp;"'!d1"),H116-1,))</f>
        <v>0</v>
      </c>
      <c r="Z116" cm="1">
        <f t="array" aca="1" ref="Z116" ca="1">IF(ISNA(I116),,OFFSET(INDIRECT("'"&amp;Z$67&amp;"'!d1"),I116-1,))</f>
        <v>17</v>
      </c>
      <c r="AA116" cm="1">
        <f t="array" aca="1" ref="AA116" ca="1">IF(ISNA(J116),,OFFSET(INDIRECT("'"&amp;AA$67&amp;"'!d1"),J116-1,))</f>
        <v>17</v>
      </c>
      <c r="AB116" cm="1">
        <f t="array" aca="1" ref="AB116" ca="1">IF(ISNA(K116),,OFFSET(INDIRECT("'"&amp;AB$67&amp;"'!d1"),K116-1,))</f>
        <v>17</v>
      </c>
      <c r="AC116" cm="1">
        <f t="array" aca="1" ref="AC116" ca="1">IF(ISNA(L116),,OFFSET(INDIRECT("'"&amp;AC$67&amp;"'!d1"),L116-1,))</f>
        <v>17</v>
      </c>
      <c r="AD116" cm="1">
        <f t="array" aca="1" ref="AD116" ca="1">IF(ISNA(M116),,OFFSET(INDIRECT("'"&amp;AD$67&amp;"'!d1"),M116-1,))</f>
        <v>17</v>
      </c>
      <c r="AE116" cm="1">
        <f t="array" aca="1" ref="AE116" ca="1">IF(ISNA(N116),,OFFSET(INDIRECT("'"&amp;AE$67&amp;"'!d1"),N116-1,))</f>
        <v>0</v>
      </c>
      <c r="AF116" cm="1">
        <f t="array" aca="1" ref="AF116" ca="1">IF(ISNA(O116),,OFFSET(INDIRECT("'"&amp;AF$67&amp;"'!d1"),O116-1,))</f>
        <v>0</v>
      </c>
      <c r="AG116" cm="1">
        <f t="array" aca="1" ref="AG116" ca="1">IF(ISNA(P116),,OFFSET(INDIRECT("'"&amp;AG$67&amp;"'!d1"),P116-1,))</f>
        <v>0</v>
      </c>
      <c r="AM116">
        <f t="shared" ca="1" si="79"/>
        <v>1</v>
      </c>
      <c r="AN116">
        <f t="shared" ca="1" si="80"/>
        <v>1</v>
      </c>
      <c r="AO116">
        <f t="shared" ca="1" si="81"/>
        <v>1</v>
      </c>
      <c r="AP116">
        <f t="shared" ca="1" si="82"/>
        <v>0</v>
      </c>
      <c r="AQ116">
        <f t="shared" ca="1" si="83"/>
        <v>1</v>
      </c>
      <c r="AV116" t="b">
        <f t="shared" ca="1" si="84"/>
        <v>1</v>
      </c>
      <c r="AW116" t="b">
        <f t="shared" ca="1" si="85"/>
        <v>1</v>
      </c>
      <c r="AX116" t="b">
        <f t="shared" ca="1" si="86"/>
        <v>1</v>
      </c>
      <c r="AY116" t="str">
        <f t="shared" ca="1" si="87"/>
        <v/>
      </c>
      <c r="AZ116" t="b">
        <f t="shared" ca="1" si="88"/>
        <v>1</v>
      </c>
      <c r="BD116">
        <f t="shared" ca="1" si="89"/>
        <v>1</v>
      </c>
      <c r="BE116">
        <f t="shared" ca="1" si="90"/>
        <v>1</v>
      </c>
      <c r="BF116">
        <f t="shared" ca="1" si="91"/>
        <v>1</v>
      </c>
      <c r="BG116">
        <f t="shared" ca="1" si="92"/>
        <v>0</v>
      </c>
      <c r="BH116">
        <f t="shared" ca="1" si="93"/>
        <v>1</v>
      </c>
      <c r="BI116">
        <f t="shared" ca="1" si="94"/>
        <v>1</v>
      </c>
      <c r="BJ116">
        <f t="shared" ca="1" si="95"/>
        <v>1</v>
      </c>
      <c r="BK116">
        <f t="shared" ca="1" si="96"/>
        <v>1</v>
      </c>
      <c r="BL116">
        <f t="shared" ca="1" si="97"/>
        <v>1</v>
      </c>
      <c r="BM116">
        <f t="shared" ca="1" si="98"/>
        <v>0</v>
      </c>
      <c r="BN116">
        <f t="shared" ca="1" si="99"/>
        <v>0</v>
      </c>
      <c r="BO116">
        <f t="shared" ca="1" si="100"/>
        <v>0</v>
      </c>
      <c r="BU116">
        <f t="shared" ca="1" si="101"/>
        <v>17</v>
      </c>
      <c r="BV116">
        <f t="shared" ca="1" si="102"/>
        <v>17</v>
      </c>
      <c r="BW116">
        <f t="shared" ca="1" si="103"/>
        <v>17</v>
      </c>
      <c r="BX116">
        <f t="shared" ca="1" si="104"/>
        <v>56</v>
      </c>
      <c r="BY116">
        <f t="shared" ca="1" si="105"/>
        <v>17</v>
      </c>
      <c r="BZ116">
        <f t="shared" ca="1" si="106"/>
        <v>17</v>
      </c>
      <c r="CA116">
        <f t="shared" ca="1" si="107"/>
        <v>17</v>
      </c>
      <c r="CB116">
        <f t="shared" ca="1" si="108"/>
        <v>17</v>
      </c>
      <c r="CC116">
        <f t="shared" ca="1" si="109"/>
        <v>17</v>
      </c>
      <c r="CD116">
        <f t="shared" ca="1" si="110"/>
        <v>56</v>
      </c>
      <c r="CE116">
        <f t="shared" ca="1" si="111"/>
        <v>56</v>
      </c>
      <c r="CF116">
        <f t="shared" ca="1" si="112"/>
        <v>56</v>
      </c>
      <c r="CL116">
        <f t="shared" ca="1" si="113"/>
        <v>1</v>
      </c>
      <c r="CM116">
        <f t="shared" ca="1" si="114"/>
        <v>1</v>
      </c>
      <c r="CN116">
        <f t="shared" ca="1" si="115"/>
        <v>1</v>
      </c>
      <c r="CO116">
        <f t="shared" ca="1" si="116"/>
        <v>0</v>
      </c>
      <c r="CP116">
        <f t="shared" ca="1" si="117"/>
        <v>1</v>
      </c>
      <c r="CQ116">
        <f t="shared" ca="1" si="118"/>
        <v>1</v>
      </c>
      <c r="CR116">
        <f t="shared" ca="1" si="119"/>
        <v>1</v>
      </c>
      <c r="CS116">
        <f t="shared" ca="1" si="120"/>
        <v>1</v>
      </c>
      <c r="CT116">
        <f t="shared" ca="1" si="121"/>
        <v>1</v>
      </c>
      <c r="CU116">
        <f t="shared" ca="1" si="122"/>
        <v>0</v>
      </c>
      <c r="CV116">
        <f t="shared" ca="1" si="123"/>
        <v>0</v>
      </c>
      <c r="CW116">
        <f t="shared" ca="1" si="124"/>
        <v>0</v>
      </c>
      <c r="DC116" cm="1">
        <f t="array" aca="1" ref="DC116" ca="1">IF(ISNA(E116),,OFFSET(INDIRECT("'"&amp;DT$67&amp;"'!f1"),E116-1,))*1</f>
        <v>37.862207137999903</v>
      </c>
      <c r="DD116" cm="1">
        <f t="array" aca="1" ref="DD116" ca="1">IF(ISNA(F116),,OFFSET(INDIRECT("'"&amp;DU$67&amp;"'!f1"),F116-1,))*1</f>
        <v>89.839479001000001</v>
      </c>
      <c r="DE116" cm="1">
        <f t="array" aca="1" ref="DE116" ca="1">IF(ISNA(G116),,OFFSET(INDIRECT("'"&amp;DV$67&amp;"'!f1"),G116-1,))*1</f>
        <v>39.731894324999899</v>
      </c>
      <c r="DF116" cm="1">
        <f t="array" aca="1" ref="DF116" ca="1">IF(ISNA(H116),,OFFSET(INDIRECT("'"&amp;DW$67&amp;"'!f1"),H116-1,))*1</f>
        <v>28800.207714687</v>
      </c>
      <c r="DG116" cm="1">
        <f t="array" aca="1" ref="DG116" ca="1">IF(ISNA(I116),,OFFSET(INDIRECT("'"&amp;DX$67&amp;"'!f1"),I116-1,))*1</f>
        <v>5.48911669975495E-2</v>
      </c>
      <c r="DH116" cm="1">
        <f t="array" aca="1" ref="DH116" ca="1">IF(ISNA(J116),,OFFSET(INDIRECT("'"&amp;DY$67&amp;"'!f1"),J116-1,))*1</f>
        <v>0.129885681904852</v>
      </c>
      <c r="DI116" cm="1">
        <f t="array" aca="1" ref="DI116" ca="1">IF(ISNA(K116),,OFFSET(INDIRECT("'"&amp;DZ$67&amp;"'!f1"),K116-1,))*1</f>
        <v>1.95778650324791</v>
      </c>
      <c r="DJ116" cm="1">
        <f t="array" aca="1" ref="DJ116" ca="1">IF(ISNA(L116),,OFFSET(INDIRECT("'"&amp;EA$67&amp;"'!f1"),L116-1,))*1</f>
        <v>2.5301069617271401</v>
      </c>
      <c r="DK116" cm="1">
        <f t="array" aca="1" ref="DK116" ca="1">IF(ISNA(M116),,OFFSET(INDIRECT("'"&amp;EB$67&amp;"'!f1"),M116-1,))*1</f>
        <v>23.909037745092</v>
      </c>
      <c r="DL116" cm="1">
        <f t="array" aca="1" ref="DL116" ca="1">IF(ISNA(N116),,OFFSET(INDIRECT("'"&amp;EC$67&amp;"'!f1"),N116-1,))*1</f>
        <v>6.5843313932418797E-3</v>
      </c>
      <c r="DM116" cm="1">
        <f t="array" aca="1" ref="DM116" ca="1">IF(ISNA(O116),,OFFSET(INDIRECT("'"&amp;ED$67&amp;"'!f1"),O116-1,))*1</f>
        <v>7.7538611367344804E-3</v>
      </c>
      <c r="DN116" cm="1">
        <f t="array" aca="1" ref="DN116" ca="1">IF(ISNA(P116),,OFFSET(INDIRECT("'"&amp;EE$67&amp;"'!f1"),P116-1,))*1</f>
        <v>1.2288149446249E-2</v>
      </c>
      <c r="DT116">
        <f t="shared" ca="1" si="125"/>
        <v>1</v>
      </c>
      <c r="DU116">
        <f t="shared" ca="1" si="126"/>
        <v>1</v>
      </c>
      <c r="DV116">
        <f t="shared" ca="1" si="127"/>
        <v>1</v>
      </c>
      <c r="DW116">
        <f t="shared" ca="1" si="128"/>
        <v>0</v>
      </c>
      <c r="DX116">
        <f t="shared" ca="1" si="129"/>
        <v>1</v>
      </c>
      <c r="DY116">
        <f t="shared" ca="1" si="130"/>
        <v>1</v>
      </c>
      <c r="DZ116">
        <f t="shared" ca="1" si="131"/>
        <v>6677</v>
      </c>
      <c r="EA116">
        <f t="shared" ca="1" si="132"/>
        <v>9068</v>
      </c>
      <c r="EB116">
        <f t="shared" ca="1" si="133"/>
        <v>4792</v>
      </c>
      <c r="EC116">
        <f t="shared" ca="1" si="134"/>
        <v>0</v>
      </c>
      <c r="ED116">
        <f t="shared" ca="1" si="135"/>
        <v>0</v>
      </c>
      <c r="EE116">
        <f t="shared" ca="1" si="136"/>
        <v>0</v>
      </c>
      <c r="EK116" cm="1">
        <f t="array" aca="1" ref="EK116" ca="1">IF(ISNA(E116),0,OFFSET(INDIRECT("'"&amp;EK$67&amp;"'!g1"),E116-1,)*CL116)</f>
        <v>1</v>
      </c>
      <c r="EL116" cm="1">
        <f t="array" aca="1" ref="EL116" ca="1">IF(ISNA(F116),0,OFFSET(INDIRECT("'"&amp;EL$67&amp;"'!g1"),F116-1,)*CM116)</f>
        <v>1</v>
      </c>
      <c r="EM116" cm="1">
        <f t="array" aca="1" ref="EM116" ca="1">IF(ISNA(G116),0,OFFSET(INDIRECT("'"&amp;EM$67&amp;"'!g1"),G116-1,)*CN116)</f>
        <v>1</v>
      </c>
      <c r="EN116" cm="1">
        <f t="array" aca="1" ref="EN116" ca="1">IF(ISNA(H116),0,OFFSET(INDIRECT("'"&amp;EN$67&amp;"'!g1"),H116-1,)*CO116)</f>
        <v>0</v>
      </c>
      <c r="EO116" cm="1">
        <f t="array" aca="1" ref="EO116" ca="1">IF(ISNA(I116),0,OFFSET(INDIRECT("'"&amp;EO$67&amp;"'!g1"),I116-1,)*CP116)</f>
        <v>1</v>
      </c>
      <c r="EP116" cm="1">
        <f t="array" aca="1" ref="EP116" ca="1">IF(ISNA(J116),0,OFFSET(INDIRECT("'"&amp;EP$67&amp;"'!g1"),J116-1,)*CQ116)</f>
        <v>1</v>
      </c>
      <c r="EQ116" cm="1">
        <f t="array" aca="1" ref="EQ116" ca="1">IF(ISNA(K116),0,OFFSET(INDIRECT("'"&amp;EQ$67&amp;"'!g1"),K116-1,)*CR116)</f>
        <v>6677</v>
      </c>
      <c r="ER116" cm="1">
        <f t="array" aca="1" ref="ER116" ca="1">IF(ISNA(L116),0,OFFSET(INDIRECT("'"&amp;ER$67&amp;"'!g1"),L116-1,)*CS116)</f>
        <v>9068</v>
      </c>
      <c r="ES116" cm="1">
        <f t="array" aca="1" ref="ES116" ca="1">IF(ISNA(M116),0,OFFSET(INDIRECT("'"&amp;ES$67&amp;"'!g1"),M116-1,)*CT116)</f>
        <v>4792</v>
      </c>
      <c r="ET116" cm="1">
        <f t="array" aca="1" ref="ET116" ca="1">IF(ISNA(N116),0,OFFSET(INDIRECT("'"&amp;ET$67&amp;"'!g1"),N116-1,)*CU116)</f>
        <v>0</v>
      </c>
      <c r="EU116" cm="1">
        <f t="array" aca="1" ref="EU116" ca="1">IF(ISNA(O116),0,OFFSET(INDIRECT("'"&amp;EU$67&amp;"'!g1"),O116-1,)*CV116)</f>
        <v>0</v>
      </c>
      <c r="EV116" cm="1">
        <f t="array" aca="1" ref="EV116" ca="1">IF(ISNA(P116),0,OFFSET(INDIRECT("'"&amp;EV$67&amp;"'!g1"),P116-1,)*CW116)</f>
        <v>0</v>
      </c>
      <c r="FB116" s="10" cm="1">
        <f t="array" aca="1" ref="FB116" ca="1">IF(ISNA(E116),0,OFFSET(INDIRECT("'"&amp;EK$67&amp;"'!h1"),E116-1,))</f>
        <v>1</v>
      </c>
      <c r="FC116" s="10" cm="1">
        <f t="array" aca="1" ref="FC116" ca="1">IF(ISNA(F116),0,OFFSET(INDIRECT("'"&amp;EL$67&amp;"'!h1"),F116-1,))</f>
        <v>1</v>
      </c>
      <c r="FD116" s="10" cm="1">
        <f t="array" aca="1" ref="FD116" ca="1">IF(ISNA(G116),0,OFFSET(INDIRECT("'"&amp;EM$67&amp;"'!h1"),G116-1,))</f>
        <v>1</v>
      </c>
      <c r="FE116" s="10" cm="1">
        <f t="array" aca="1" ref="FE116" ca="1">IF(ISNA(H116),0,OFFSET(INDIRECT("'"&amp;EN$67&amp;"'!h1"),H116-1,))</f>
        <v>1</v>
      </c>
      <c r="FF116" s="10" cm="1">
        <f t="array" aca="1" ref="FF116" ca="1">IF(ISNA(I116),0,OFFSET(INDIRECT("'"&amp;EO$67&amp;"'!h1"),I116-1,))</f>
        <v>1</v>
      </c>
      <c r="FG116" s="10" cm="1">
        <f t="array" aca="1" ref="FG116" ca="1">IF(ISNA(J116),0,OFFSET(INDIRECT("'"&amp;EP$67&amp;"'!h1"),J116-1,))</f>
        <v>1</v>
      </c>
      <c r="FH116" s="10" cm="1">
        <f t="array" aca="1" ref="FH116" ca="1">IF(ISNA(K116),0,OFFSET(INDIRECT("'"&amp;EQ$67&amp;"'!h1"),K116-1,))</f>
        <v>10000</v>
      </c>
      <c r="FI116" s="10" cm="1">
        <f t="array" aca="1" ref="FI116" ca="1">IF(ISNA(L116),0,OFFSET(INDIRECT("'"&amp;ER$67&amp;"'!h1"),L116-1,))</f>
        <v>10000</v>
      </c>
      <c r="FJ116" s="10" cm="1">
        <f t="array" aca="1" ref="FJ116" ca="1">IF(ISNA(M116),0,OFFSET(INDIRECT("'"&amp;ES$67&amp;"'!h1"),M116-1,))</f>
        <v>10000</v>
      </c>
      <c r="FK116" s="10" cm="1">
        <f t="array" aca="1" ref="FK116" ca="1">IF(ISNA(N116),0,OFFSET(INDIRECT("'"&amp;ET$67&amp;"'!h1"),N116-1,))</f>
        <v>1</v>
      </c>
      <c r="FL116" s="10" cm="1">
        <f t="array" aca="1" ref="FL116" ca="1">IF(ISNA(O116),0,OFFSET(INDIRECT("'"&amp;EU$67&amp;"'!h1"),O116-1,))</f>
        <v>1</v>
      </c>
      <c r="FM116" s="10" cm="1">
        <f t="array" aca="1" ref="FM116" ca="1">IF(ISNA(P116),0,OFFSET(INDIRECT("'"&amp;EV$67&amp;"'!h1"),P116-1,))</f>
        <v>9</v>
      </c>
      <c r="FN116" s="10"/>
      <c r="FO116" s="10"/>
      <c r="FP116" s="10"/>
      <c r="FQ116" s="10"/>
      <c r="FS116">
        <f t="shared" ca="1" si="137"/>
        <v>56</v>
      </c>
      <c r="FT116">
        <f t="shared" ca="1" si="62"/>
        <v>1.95778650324791</v>
      </c>
      <c r="FU116">
        <f t="shared" ca="1" si="63"/>
        <v>6677</v>
      </c>
      <c r="FV116">
        <f t="shared" ca="1" si="64"/>
        <v>10000</v>
      </c>
      <c r="FW116" s="4">
        <f t="shared" ca="1" si="138"/>
        <v>0.66769999999999996</v>
      </c>
      <c r="FX116" s="5">
        <f t="shared" ca="1" si="139"/>
        <v>2.932134945706021E-4</v>
      </c>
      <c r="FZ116" s="13">
        <f t="shared" ca="1" si="140"/>
        <v>56</v>
      </c>
      <c r="GA116" s="23">
        <f t="shared" ca="1" si="141"/>
        <v>0</v>
      </c>
      <c r="GB116" s="23">
        <f t="shared" ca="1" si="142"/>
        <v>0</v>
      </c>
      <c r="GC116" s="23">
        <f t="shared" ca="1" si="143"/>
        <v>0</v>
      </c>
      <c r="GD116" s="23" t="e">
        <f t="shared" ca="1" si="144"/>
        <v>#N/A</v>
      </c>
      <c r="GE116" s="23">
        <f t="shared" ca="1" si="145"/>
        <v>0</v>
      </c>
      <c r="GF116" s="23">
        <f t="shared" ca="1" si="146"/>
        <v>0</v>
      </c>
      <c r="GG116" s="23">
        <f t="shared" ca="1" si="147"/>
        <v>0</v>
      </c>
      <c r="GH116" s="23">
        <f t="shared" ca="1" si="148"/>
        <v>0</v>
      </c>
      <c r="GI116" s="23">
        <f t="shared" ca="1" si="149"/>
        <v>0</v>
      </c>
      <c r="GJ116" s="23" t="e">
        <f t="shared" ca="1" si="150"/>
        <v>#N/A</v>
      </c>
      <c r="GK116" s="23" t="e">
        <f t="shared" ca="1" si="151"/>
        <v>#N/A</v>
      </c>
      <c r="GL116" s="23" t="e">
        <f t="shared" ca="1" si="152"/>
        <v>#N/A</v>
      </c>
      <c r="GM116" s="23"/>
      <c r="GN116">
        <f t="shared" ca="1" si="153"/>
        <v>56</v>
      </c>
      <c r="GO116" s="5">
        <f t="shared" ca="1" si="154"/>
        <v>37.862207137999903</v>
      </c>
      <c r="GP116" s="5">
        <f t="shared" ca="1" si="155"/>
        <v>89.839479001000001</v>
      </c>
      <c r="GQ116" s="5">
        <f t="shared" ca="1" si="156"/>
        <v>39.731894324999899</v>
      </c>
      <c r="GR116" s="5" t="e">
        <f t="shared" ca="1" si="157"/>
        <v>#N/A</v>
      </c>
      <c r="GS116" s="5">
        <f t="shared" ca="1" si="158"/>
        <v>5.48911669975495E-2</v>
      </c>
      <c r="GT116" s="5">
        <f t="shared" ca="1" si="159"/>
        <v>0.129885681904852</v>
      </c>
      <c r="GU116" s="5">
        <f t="shared" ca="1" si="160"/>
        <v>2.932134945706021E-4</v>
      </c>
      <c r="GV116" s="5">
        <f t="shared" ca="1" si="161"/>
        <v>2.7901488329589108E-4</v>
      </c>
      <c r="GW116" s="5">
        <f t="shared" ca="1" si="162"/>
        <v>4.9893651387921539E-3</v>
      </c>
      <c r="GX116" s="5" t="e">
        <f t="shared" ca="1" si="163"/>
        <v>#N/A</v>
      </c>
      <c r="GY116" s="5" t="e">
        <f t="shared" ca="1" si="164"/>
        <v>#N/A</v>
      </c>
      <c r="GZ116" s="5" t="e">
        <f t="shared" ca="1" si="165"/>
        <v>#N/A</v>
      </c>
      <c r="HB116" s="13">
        <f t="shared" ca="1" si="166"/>
        <v>56</v>
      </c>
      <c r="HC116" s="4">
        <f t="shared" ca="1" si="167"/>
        <v>1</v>
      </c>
      <c r="HD116" s="4">
        <f t="shared" ca="1" si="168"/>
        <v>1</v>
      </c>
      <c r="HE116" s="4">
        <f t="shared" ca="1" si="169"/>
        <v>1</v>
      </c>
      <c r="HF116" s="4">
        <f t="shared" ca="1" si="170"/>
        <v>0</v>
      </c>
      <c r="HG116" s="4">
        <f t="shared" ca="1" si="171"/>
        <v>1</v>
      </c>
      <c r="HH116" s="4">
        <f t="shared" ca="1" si="172"/>
        <v>1</v>
      </c>
      <c r="HI116" s="4">
        <f t="shared" ca="1" si="173"/>
        <v>0.66769999999999996</v>
      </c>
      <c r="HJ116" s="4">
        <f t="shared" ca="1" si="174"/>
        <v>0.90680000000000005</v>
      </c>
      <c r="HK116" s="4">
        <f t="shared" ca="1" si="175"/>
        <v>0.47920000000000001</v>
      </c>
      <c r="HL116" s="4">
        <f t="shared" ca="1" si="176"/>
        <v>0</v>
      </c>
      <c r="HM116" s="4">
        <f t="shared" ca="1" si="177"/>
        <v>0</v>
      </c>
      <c r="HN116" s="4">
        <f t="shared" ca="1" si="178"/>
        <v>0</v>
      </c>
    </row>
    <row r="117" spans="1:222" x14ac:dyDescent="0.2">
      <c r="A117" t="str" cm="1">
        <f t="array" aca="1" ref="A117" ca="1">INDIRECT($A$67&amp;"!A"&amp;ROW(C50)+$B$64)</f>
        <v>[[57,18,17]]</v>
      </c>
      <c r="B117" cm="1">
        <f t="array" aca="1" ref="B117" ca="1">INDIRECT($A$67&amp;"!b"&amp;ROW(D50)+$B$64)</f>
        <v>57</v>
      </c>
      <c r="C117">
        <f t="shared" ca="1" si="78"/>
        <v>17</v>
      </c>
      <c r="E117">
        <f t="shared" ca="1" si="180"/>
        <v>74</v>
      </c>
      <c r="F117">
        <f t="shared" ca="1" si="180"/>
        <v>75</v>
      </c>
      <c r="G117">
        <f t="shared" ca="1" si="180"/>
        <v>74</v>
      </c>
      <c r="H117">
        <f t="shared" ca="1" si="180"/>
        <v>74</v>
      </c>
      <c r="I117">
        <f t="shared" ca="1" si="180"/>
        <v>77</v>
      </c>
      <c r="J117">
        <f t="shared" ca="1" si="180"/>
        <v>74</v>
      </c>
      <c r="K117">
        <f t="shared" ca="1" si="180"/>
        <v>81</v>
      </c>
      <c r="L117">
        <f t="shared" ca="1" si="180"/>
        <v>83</v>
      </c>
      <c r="M117">
        <f t="shared" ca="1" si="180"/>
        <v>80</v>
      </c>
      <c r="N117">
        <f t="shared" ca="1" si="180"/>
        <v>78</v>
      </c>
      <c r="O117">
        <f t="shared" ca="1" si="180"/>
        <v>78</v>
      </c>
      <c r="P117">
        <f t="shared" ca="1" si="180"/>
        <v>78</v>
      </c>
      <c r="V117" cm="1">
        <f t="array" aca="1" ref="V117" ca="1">IF(ISNA(E117),,OFFSET(INDIRECT("'"&amp;V$67&amp;"'!d1"),E117-1,))</f>
        <v>17</v>
      </c>
      <c r="W117" cm="1">
        <f t="array" aca="1" ref="W117" ca="1">IF(ISNA(F117),,OFFSET(INDIRECT("'"&amp;W$67&amp;"'!d1"),F117-1,))</f>
        <v>17</v>
      </c>
      <c r="X117" cm="1">
        <f t="array" aca="1" ref="X117" ca="1">IF(ISNA(G117),,OFFSET(INDIRECT("'"&amp;X$67&amp;"'!d1"),G117-1,))</f>
        <v>17</v>
      </c>
      <c r="Y117" cm="1">
        <f t="array" aca="1" ref="Y117" ca="1">IF(ISNA(H117),,OFFSET(INDIRECT("'"&amp;Y$67&amp;"'!d1"),H117-1,))</f>
        <v>0</v>
      </c>
      <c r="Z117" cm="1">
        <f t="array" aca="1" ref="Z117" ca="1">IF(ISNA(I117),,OFFSET(INDIRECT("'"&amp;Z$67&amp;"'!d1"),I117-1,))</f>
        <v>17</v>
      </c>
      <c r="AA117" cm="1">
        <f t="array" aca="1" ref="AA117" ca="1">IF(ISNA(J117),,OFFSET(INDIRECT("'"&amp;AA$67&amp;"'!d1"),J117-1,))</f>
        <v>17</v>
      </c>
      <c r="AB117" cm="1">
        <f t="array" aca="1" ref="AB117" ca="1">IF(ISNA(K117),,OFFSET(INDIRECT("'"&amp;AB$67&amp;"'!d1"),K117-1,))</f>
        <v>17</v>
      </c>
      <c r="AC117" cm="1">
        <f t="array" aca="1" ref="AC117" ca="1">IF(ISNA(L117),,OFFSET(INDIRECT("'"&amp;AC$67&amp;"'!d1"),L117-1,))</f>
        <v>17</v>
      </c>
      <c r="AD117" cm="1">
        <f t="array" aca="1" ref="AD117" ca="1">IF(ISNA(M117),,OFFSET(INDIRECT("'"&amp;AD$67&amp;"'!d1"),M117-1,))</f>
        <v>17</v>
      </c>
      <c r="AE117" cm="1">
        <f t="array" aca="1" ref="AE117" ca="1">IF(ISNA(N117),,OFFSET(INDIRECT("'"&amp;AE$67&amp;"'!d1"),N117-1,))</f>
        <v>0</v>
      </c>
      <c r="AF117" cm="1">
        <f t="array" aca="1" ref="AF117" ca="1">IF(ISNA(O117),,OFFSET(INDIRECT("'"&amp;AF$67&amp;"'!d1"),O117-1,))</f>
        <v>0</v>
      </c>
      <c r="AG117" cm="1">
        <f t="array" aca="1" ref="AG117" ca="1">IF(ISNA(P117),,OFFSET(INDIRECT("'"&amp;AG$67&amp;"'!d1"),P117-1,))</f>
        <v>0</v>
      </c>
      <c r="AM117">
        <f t="shared" ca="1" si="79"/>
        <v>1</v>
      </c>
      <c r="AN117">
        <f t="shared" ca="1" si="80"/>
        <v>1</v>
      </c>
      <c r="AO117">
        <f t="shared" ca="1" si="81"/>
        <v>1</v>
      </c>
      <c r="AP117">
        <f t="shared" ca="1" si="82"/>
        <v>0</v>
      </c>
      <c r="AQ117">
        <f t="shared" ca="1" si="83"/>
        <v>1</v>
      </c>
      <c r="AV117" t="b">
        <f t="shared" ca="1" si="84"/>
        <v>1</v>
      </c>
      <c r="AW117" t="b">
        <f t="shared" ca="1" si="85"/>
        <v>1</v>
      </c>
      <c r="AX117" t="b">
        <f t="shared" ca="1" si="86"/>
        <v>1</v>
      </c>
      <c r="AY117" t="str">
        <f t="shared" ca="1" si="87"/>
        <v/>
      </c>
      <c r="AZ117" t="b">
        <f t="shared" ca="1" si="88"/>
        <v>1</v>
      </c>
      <c r="BD117">
        <f t="shared" ca="1" si="89"/>
        <v>1</v>
      </c>
      <c r="BE117">
        <f t="shared" ca="1" si="90"/>
        <v>1</v>
      </c>
      <c r="BF117">
        <f t="shared" ca="1" si="91"/>
        <v>1</v>
      </c>
      <c r="BG117">
        <f t="shared" ca="1" si="92"/>
        <v>0</v>
      </c>
      <c r="BH117">
        <f t="shared" ca="1" si="93"/>
        <v>1</v>
      </c>
      <c r="BI117">
        <f t="shared" ca="1" si="94"/>
        <v>1</v>
      </c>
      <c r="BJ117">
        <f t="shared" ca="1" si="95"/>
        <v>1</v>
      </c>
      <c r="BK117">
        <f t="shared" ca="1" si="96"/>
        <v>1</v>
      </c>
      <c r="BL117">
        <f t="shared" ca="1" si="97"/>
        <v>1</v>
      </c>
      <c r="BM117">
        <f t="shared" ca="1" si="98"/>
        <v>0</v>
      </c>
      <c r="BN117">
        <f t="shared" ca="1" si="99"/>
        <v>0</v>
      </c>
      <c r="BO117">
        <f t="shared" ca="1" si="100"/>
        <v>0</v>
      </c>
      <c r="BU117">
        <f t="shared" ca="1" si="101"/>
        <v>17</v>
      </c>
      <c r="BV117">
        <f t="shared" ca="1" si="102"/>
        <v>17</v>
      </c>
      <c r="BW117">
        <f t="shared" ca="1" si="103"/>
        <v>17</v>
      </c>
      <c r="BX117">
        <f t="shared" ca="1" si="104"/>
        <v>57</v>
      </c>
      <c r="BY117">
        <f t="shared" ca="1" si="105"/>
        <v>17</v>
      </c>
      <c r="BZ117">
        <f t="shared" ca="1" si="106"/>
        <v>17</v>
      </c>
      <c r="CA117">
        <f t="shared" ca="1" si="107"/>
        <v>17</v>
      </c>
      <c r="CB117">
        <f t="shared" ca="1" si="108"/>
        <v>17</v>
      </c>
      <c r="CC117">
        <f t="shared" ca="1" si="109"/>
        <v>17</v>
      </c>
      <c r="CD117">
        <f t="shared" ca="1" si="110"/>
        <v>57</v>
      </c>
      <c r="CE117">
        <f t="shared" ca="1" si="111"/>
        <v>57</v>
      </c>
      <c r="CF117">
        <f t="shared" ca="1" si="112"/>
        <v>57</v>
      </c>
      <c r="CL117">
        <f t="shared" ca="1" si="113"/>
        <v>1</v>
      </c>
      <c r="CM117">
        <f t="shared" ca="1" si="114"/>
        <v>1</v>
      </c>
      <c r="CN117">
        <f t="shared" ca="1" si="115"/>
        <v>1</v>
      </c>
      <c r="CO117">
        <f t="shared" ca="1" si="116"/>
        <v>0</v>
      </c>
      <c r="CP117">
        <f t="shared" ca="1" si="117"/>
        <v>1</v>
      </c>
      <c r="CQ117">
        <f t="shared" ca="1" si="118"/>
        <v>1</v>
      </c>
      <c r="CR117">
        <f t="shared" ca="1" si="119"/>
        <v>1</v>
      </c>
      <c r="CS117">
        <f t="shared" ca="1" si="120"/>
        <v>1</v>
      </c>
      <c r="CT117">
        <f t="shared" ca="1" si="121"/>
        <v>1</v>
      </c>
      <c r="CU117">
        <f t="shared" ca="1" si="122"/>
        <v>0</v>
      </c>
      <c r="CV117">
        <f t="shared" ca="1" si="123"/>
        <v>0</v>
      </c>
      <c r="CW117">
        <f t="shared" ca="1" si="124"/>
        <v>0</v>
      </c>
      <c r="DC117" cm="1">
        <f t="array" aca="1" ref="DC117" ca="1">IF(ISNA(E117),,OFFSET(INDIRECT("'"&amp;DT$67&amp;"'!f1"),E117-1,))*1</f>
        <v>66.096517974999898</v>
      </c>
      <c r="DD117" cm="1">
        <f t="array" aca="1" ref="DD117" ca="1">IF(ISNA(F117),,OFFSET(INDIRECT("'"&amp;DU$67&amp;"'!f1"),F117-1,))*1</f>
        <v>219.39458145200001</v>
      </c>
      <c r="DE117" cm="1">
        <f t="array" aca="1" ref="DE117" ca="1">IF(ISNA(G117),,OFFSET(INDIRECT("'"&amp;DV$67&amp;"'!f1"),G117-1,))*1</f>
        <v>57.634280695000001</v>
      </c>
      <c r="DF117" cm="1">
        <f t="array" aca="1" ref="DF117" ca="1">IF(ISNA(H117),,OFFSET(INDIRECT("'"&amp;DW$67&amp;"'!f1"),H117-1,))*1</f>
        <v>28800.433065114899</v>
      </c>
      <c r="DG117" cm="1">
        <f t="array" aca="1" ref="DG117" ca="1">IF(ISNA(I117),,OFFSET(INDIRECT("'"&amp;DX$67&amp;"'!f1"),I117-1,))*1</f>
        <v>5.5136082999524598E-2</v>
      </c>
      <c r="DH117" cm="1">
        <f t="array" aca="1" ref="DH117" ca="1">IF(ISNA(J117),,OFFSET(INDIRECT("'"&amp;DY$67&amp;"'!f1"),J117-1,))*1</f>
        <v>0.13277691509574599</v>
      </c>
      <c r="DI117" cm="1">
        <f t="array" aca="1" ref="DI117" ca="1">IF(ISNA(K117),,OFFSET(INDIRECT("'"&amp;DZ$67&amp;"'!f1"),K117-1,))*1</f>
        <v>1.9876541541889301</v>
      </c>
      <c r="DJ117" cm="1">
        <f t="array" aca="1" ref="DJ117" ca="1">IF(ISNA(L117),,OFFSET(INDIRECT("'"&amp;EA$67&amp;"'!f1"),L117-1,))*1</f>
        <v>2.7972889374941499</v>
      </c>
      <c r="DK117" cm="1">
        <f t="array" aca="1" ref="DK117" ca="1">IF(ISNA(M117),,OFFSET(INDIRECT("'"&amp;EB$67&amp;"'!f1"),M117-1,))*1</f>
        <v>24.783599605318098</v>
      </c>
      <c r="DL117" cm="1">
        <f t="array" aca="1" ref="DL117" ca="1">IF(ISNA(N117),,OFFSET(INDIRECT("'"&amp;EC$67&amp;"'!f1"),N117-1,))*1</f>
        <v>6.6514285281300501E-3</v>
      </c>
      <c r="DM117" cm="1">
        <f t="array" aca="1" ref="DM117" ca="1">IF(ISNA(O117),,OFFSET(INDIRECT("'"&amp;ED$67&amp;"'!f1"),O117-1,))*1</f>
        <v>7.88303278386592E-3</v>
      </c>
      <c r="DN117" cm="1">
        <f t="array" aca="1" ref="DN117" ca="1">IF(ISNA(P117),,OFFSET(INDIRECT("'"&amp;EE$67&amp;"'!f1"),P117-1,))*1</f>
        <v>1.22591666877269E-2</v>
      </c>
      <c r="DT117">
        <f t="shared" ca="1" si="125"/>
        <v>1</v>
      </c>
      <c r="DU117">
        <f t="shared" ca="1" si="126"/>
        <v>1</v>
      </c>
      <c r="DV117">
        <f t="shared" ca="1" si="127"/>
        <v>1</v>
      </c>
      <c r="DW117">
        <f t="shared" ca="1" si="128"/>
        <v>0</v>
      </c>
      <c r="DX117">
        <f t="shared" ca="1" si="129"/>
        <v>1</v>
      </c>
      <c r="DY117">
        <f t="shared" ca="1" si="130"/>
        <v>1</v>
      </c>
      <c r="DZ117">
        <f t="shared" ca="1" si="131"/>
        <v>6373</v>
      </c>
      <c r="EA117">
        <f t="shared" ca="1" si="132"/>
        <v>9867</v>
      </c>
      <c r="EB117">
        <f t="shared" ca="1" si="133"/>
        <v>4533</v>
      </c>
      <c r="EC117">
        <f t="shared" ca="1" si="134"/>
        <v>0</v>
      </c>
      <c r="ED117">
        <f t="shared" ca="1" si="135"/>
        <v>0</v>
      </c>
      <c r="EE117">
        <f t="shared" ca="1" si="136"/>
        <v>0</v>
      </c>
      <c r="EK117" cm="1">
        <f t="array" aca="1" ref="EK117" ca="1">IF(ISNA(E117),0,OFFSET(INDIRECT("'"&amp;EK$67&amp;"'!g1"),E117-1,)*CL117)</f>
        <v>1</v>
      </c>
      <c r="EL117" cm="1">
        <f t="array" aca="1" ref="EL117" ca="1">IF(ISNA(F117),0,OFFSET(INDIRECT("'"&amp;EL$67&amp;"'!g1"),F117-1,)*CM117)</f>
        <v>1</v>
      </c>
      <c r="EM117" cm="1">
        <f t="array" aca="1" ref="EM117" ca="1">IF(ISNA(G117),0,OFFSET(INDIRECT("'"&amp;EM$67&amp;"'!g1"),G117-1,)*CN117)</f>
        <v>1</v>
      </c>
      <c r="EN117" cm="1">
        <f t="array" aca="1" ref="EN117" ca="1">IF(ISNA(H117),0,OFFSET(INDIRECT("'"&amp;EN$67&amp;"'!g1"),H117-1,)*CO117)</f>
        <v>0</v>
      </c>
      <c r="EO117" cm="1">
        <f t="array" aca="1" ref="EO117" ca="1">IF(ISNA(I117),0,OFFSET(INDIRECT("'"&amp;EO$67&amp;"'!g1"),I117-1,)*CP117)</f>
        <v>1</v>
      </c>
      <c r="EP117" cm="1">
        <f t="array" aca="1" ref="EP117" ca="1">IF(ISNA(J117),0,OFFSET(INDIRECT("'"&amp;EP$67&amp;"'!g1"),J117-1,)*CQ117)</f>
        <v>1</v>
      </c>
      <c r="EQ117" cm="1">
        <f t="array" aca="1" ref="EQ117" ca="1">IF(ISNA(K117),0,OFFSET(INDIRECT("'"&amp;EQ$67&amp;"'!g1"),K117-1,)*CR117)</f>
        <v>6373</v>
      </c>
      <c r="ER117" cm="1">
        <f t="array" aca="1" ref="ER117" ca="1">IF(ISNA(L117),0,OFFSET(INDIRECT("'"&amp;ER$67&amp;"'!g1"),L117-1,)*CS117)</f>
        <v>9867</v>
      </c>
      <c r="ES117" cm="1">
        <f t="array" aca="1" ref="ES117" ca="1">IF(ISNA(M117),0,OFFSET(INDIRECT("'"&amp;ES$67&amp;"'!g1"),M117-1,)*CT117)</f>
        <v>4533</v>
      </c>
      <c r="ET117" cm="1">
        <f t="array" aca="1" ref="ET117" ca="1">IF(ISNA(N117),0,OFFSET(INDIRECT("'"&amp;ET$67&amp;"'!g1"),N117-1,)*CU117)</f>
        <v>0</v>
      </c>
      <c r="EU117" cm="1">
        <f t="array" aca="1" ref="EU117" ca="1">IF(ISNA(O117),0,OFFSET(INDIRECT("'"&amp;EU$67&amp;"'!g1"),O117-1,)*CV117)</f>
        <v>0</v>
      </c>
      <c r="EV117" cm="1">
        <f t="array" aca="1" ref="EV117" ca="1">IF(ISNA(P117),0,OFFSET(INDIRECT("'"&amp;EV$67&amp;"'!g1"),P117-1,)*CW117)</f>
        <v>0</v>
      </c>
      <c r="FB117" s="10" cm="1">
        <f t="array" aca="1" ref="FB117" ca="1">IF(ISNA(E117),0,OFFSET(INDIRECT("'"&amp;EK$67&amp;"'!h1"),E117-1,))</f>
        <v>1</v>
      </c>
      <c r="FC117" s="10" cm="1">
        <f t="array" aca="1" ref="FC117" ca="1">IF(ISNA(F117),0,OFFSET(INDIRECT("'"&amp;EL$67&amp;"'!h1"),F117-1,))</f>
        <v>1</v>
      </c>
      <c r="FD117" s="10" cm="1">
        <f t="array" aca="1" ref="FD117" ca="1">IF(ISNA(G117),0,OFFSET(INDIRECT("'"&amp;EM$67&amp;"'!h1"),G117-1,))</f>
        <v>1</v>
      </c>
      <c r="FE117" s="10" cm="1">
        <f t="array" aca="1" ref="FE117" ca="1">IF(ISNA(H117),0,OFFSET(INDIRECT("'"&amp;EN$67&amp;"'!h1"),H117-1,))</f>
        <v>1</v>
      </c>
      <c r="FF117" s="10" cm="1">
        <f t="array" aca="1" ref="FF117" ca="1">IF(ISNA(I117),0,OFFSET(INDIRECT("'"&amp;EO$67&amp;"'!h1"),I117-1,))</f>
        <v>1</v>
      </c>
      <c r="FG117" s="10" cm="1">
        <f t="array" aca="1" ref="FG117" ca="1">IF(ISNA(J117),0,OFFSET(INDIRECT("'"&amp;EP$67&amp;"'!h1"),J117-1,))</f>
        <v>1</v>
      </c>
      <c r="FH117" s="10" cm="1">
        <f t="array" aca="1" ref="FH117" ca="1">IF(ISNA(K117),0,OFFSET(INDIRECT("'"&amp;EQ$67&amp;"'!h1"),K117-1,))</f>
        <v>10000</v>
      </c>
      <c r="FI117" s="10" cm="1">
        <f t="array" aca="1" ref="FI117" ca="1">IF(ISNA(L117),0,OFFSET(INDIRECT("'"&amp;ER$67&amp;"'!h1"),L117-1,))</f>
        <v>10000</v>
      </c>
      <c r="FJ117" s="10" cm="1">
        <f t="array" aca="1" ref="FJ117" ca="1">IF(ISNA(M117),0,OFFSET(INDIRECT("'"&amp;ES$67&amp;"'!h1"),M117-1,))</f>
        <v>10000</v>
      </c>
      <c r="FK117" s="10" cm="1">
        <f t="array" aca="1" ref="FK117" ca="1">IF(ISNA(N117),0,OFFSET(INDIRECT("'"&amp;ET$67&amp;"'!h1"),N117-1,))</f>
        <v>1</v>
      </c>
      <c r="FL117" s="10" cm="1">
        <f t="array" aca="1" ref="FL117" ca="1">IF(ISNA(O117),0,OFFSET(INDIRECT("'"&amp;EU$67&amp;"'!h1"),O117-1,))</f>
        <v>1</v>
      </c>
      <c r="FM117" s="10" cm="1">
        <f t="array" aca="1" ref="FM117" ca="1">IF(ISNA(P117),0,OFFSET(INDIRECT("'"&amp;EV$67&amp;"'!h1"),P117-1,))</f>
        <v>9</v>
      </c>
      <c r="FN117" s="10"/>
      <c r="FO117" s="10"/>
      <c r="FP117" s="10"/>
      <c r="FQ117" s="10"/>
      <c r="FS117">
        <f t="shared" ca="1" si="137"/>
        <v>57</v>
      </c>
      <c r="FT117">
        <f t="shared" ca="1" si="62"/>
        <v>1.9876541541889301</v>
      </c>
      <c r="FU117">
        <f t="shared" ca="1" si="63"/>
        <v>6373</v>
      </c>
      <c r="FV117">
        <f t="shared" ca="1" si="64"/>
        <v>10000</v>
      </c>
      <c r="FW117" s="4">
        <f t="shared" ca="1" si="138"/>
        <v>0.63729999999999998</v>
      </c>
      <c r="FX117" s="5">
        <f t="shared" ca="1" si="139"/>
        <v>3.1188673375002828E-4</v>
      </c>
      <c r="FZ117" s="13">
        <f t="shared" ca="1" si="140"/>
        <v>57</v>
      </c>
      <c r="GA117" s="23">
        <f t="shared" ca="1" si="141"/>
        <v>0</v>
      </c>
      <c r="GB117" s="23">
        <f t="shared" ca="1" si="142"/>
        <v>0</v>
      </c>
      <c r="GC117" s="23">
        <f t="shared" ca="1" si="143"/>
        <v>0</v>
      </c>
      <c r="GD117" s="23" t="e">
        <f t="shared" ca="1" si="144"/>
        <v>#N/A</v>
      </c>
      <c r="GE117" s="23">
        <f t="shared" ca="1" si="145"/>
        <v>0</v>
      </c>
      <c r="GF117" s="23">
        <f t="shared" ca="1" si="146"/>
        <v>0</v>
      </c>
      <c r="GG117" s="23">
        <f t="shared" ca="1" si="147"/>
        <v>0</v>
      </c>
      <c r="GH117" s="23">
        <f t="shared" ca="1" si="148"/>
        <v>0</v>
      </c>
      <c r="GI117" s="23">
        <f t="shared" ca="1" si="149"/>
        <v>0</v>
      </c>
      <c r="GJ117" s="23" t="e">
        <f t="shared" ca="1" si="150"/>
        <v>#N/A</v>
      </c>
      <c r="GK117" s="23" t="e">
        <f t="shared" ca="1" si="151"/>
        <v>#N/A</v>
      </c>
      <c r="GL117" s="23" t="e">
        <f t="shared" ca="1" si="152"/>
        <v>#N/A</v>
      </c>
      <c r="GM117" s="23"/>
      <c r="GN117">
        <f t="shared" ca="1" si="153"/>
        <v>57</v>
      </c>
      <c r="GO117" s="5">
        <f t="shared" ca="1" si="154"/>
        <v>66.096517974999898</v>
      </c>
      <c r="GP117" s="5">
        <f t="shared" ca="1" si="155"/>
        <v>219.39458145200001</v>
      </c>
      <c r="GQ117" s="5">
        <f t="shared" ca="1" si="156"/>
        <v>57.634280695000001</v>
      </c>
      <c r="GR117" s="5" t="e">
        <f t="shared" ca="1" si="157"/>
        <v>#N/A</v>
      </c>
      <c r="GS117" s="5">
        <f t="shared" ca="1" si="158"/>
        <v>5.5136082999524598E-2</v>
      </c>
      <c r="GT117" s="5">
        <f t="shared" ca="1" si="159"/>
        <v>0.13277691509574599</v>
      </c>
      <c r="GU117" s="5">
        <f t="shared" ca="1" si="160"/>
        <v>3.1188673375002828E-4</v>
      </c>
      <c r="GV117" s="5">
        <f t="shared" ca="1" si="161"/>
        <v>2.8349943625156075E-4</v>
      </c>
      <c r="GW117" s="5">
        <f t="shared" ca="1" si="162"/>
        <v>5.4673725138579526E-3</v>
      </c>
      <c r="GX117" s="5" t="e">
        <f t="shared" ca="1" si="163"/>
        <v>#N/A</v>
      </c>
      <c r="GY117" s="5" t="e">
        <f t="shared" ca="1" si="164"/>
        <v>#N/A</v>
      </c>
      <c r="GZ117" s="5" t="e">
        <f t="shared" ca="1" si="165"/>
        <v>#N/A</v>
      </c>
      <c r="HB117" s="13">
        <f t="shared" ca="1" si="166"/>
        <v>57</v>
      </c>
      <c r="HC117" s="4">
        <f t="shared" ca="1" si="167"/>
        <v>1</v>
      </c>
      <c r="HD117" s="4">
        <f t="shared" ca="1" si="168"/>
        <v>1</v>
      </c>
      <c r="HE117" s="4">
        <f t="shared" ca="1" si="169"/>
        <v>1</v>
      </c>
      <c r="HF117" s="4">
        <f t="shared" ca="1" si="170"/>
        <v>0</v>
      </c>
      <c r="HG117" s="4">
        <f t="shared" ca="1" si="171"/>
        <v>1</v>
      </c>
      <c r="HH117" s="4">
        <f t="shared" ca="1" si="172"/>
        <v>1</v>
      </c>
      <c r="HI117" s="4">
        <f t="shared" ca="1" si="173"/>
        <v>0.63729999999999998</v>
      </c>
      <c r="HJ117" s="4">
        <f t="shared" ca="1" si="174"/>
        <v>0.98670000000000002</v>
      </c>
      <c r="HK117" s="4">
        <f t="shared" ca="1" si="175"/>
        <v>0.45329999999999998</v>
      </c>
      <c r="HL117" s="4">
        <f t="shared" ca="1" si="176"/>
        <v>0</v>
      </c>
      <c r="HM117" s="4">
        <f t="shared" ca="1" si="177"/>
        <v>0</v>
      </c>
      <c r="HN117" s="4">
        <f t="shared" ca="1" si="178"/>
        <v>0</v>
      </c>
    </row>
    <row r="118" spans="1:222" x14ac:dyDescent="0.2">
      <c r="A118" t="str" cm="1">
        <f t="array" aca="1" ref="A118" ca="1">INDIRECT($A$67&amp;"!A"&amp;ROW(C51)+$B$64)</f>
        <v>[[58,3,32]]</v>
      </c>
      <c r="B118" cm="1">
        <f t="array" aca="1" ref="B118" ca="1">INDIRECT($A$67&amp;"!b"&amp;ROW(D51)+$B$64)</f>
        <v>58</v>
      </c>
      <c r="C118">
        <f t="shared" ca="1" si="78"/>
        <v>32</v>
      </c>
      <c r="E118">
        <f t="shared" ca="1" si="180"/>
        <v>75</v>
      </c>
      <c r="F118">
        <f t="shared" ca="1" si="180"/>
        <v>76</v>
      </c>
      <c r="G118">
        <f t="shared" ca="1" si="180"/>
        <v>75</v>
      </c>
      <c r="H118">
        <f t="shared" ca="1" si="180"/>
        <v>75</v>
      </c>
      <c r="I118">
        <f t="shared" ca="1" si="180"/>
        <v>78</v>
      </c>
      <c r="J118">
        <f t="shared" ca="1" si="180"/>
        <v>75</v>
      </c>
      <c r="K118">
        <f t="shared" ca="1" si="180"/>
        <v>82</v>
      </c>
      <c r="L118">
        <f t="shared" ca="1" si="180"/>
        <v>84</v>
      </c>
      <c r="M118">
        <f t="shared" ca="1" si="180"/>
        <v>81</v>
      </c>
      <c r="N118">
        <f t="shared" ca="1" si="180"/>
        <v>79</v>
      </c>
      <c r="O118">
        <f t="shared" ca="1" si="180"/>
        <v>79</v>
      </c>
      <c r="P118">
        <f t="shared" ca="1" si="180"/>
        <v>79</v>
      </c>
      <c r="V118" cm="1">
        <f t="array" aca="1" ref="V118" ca="1">IF(ISNA(E118),,OFFSET(INDIRECT("'"&amp;V$67&amp;"'!d1"),E118-1,))</f>
        <v>32</v>
      </c>
      <c r="W118" cm="1">
        <f t="array" aca="1" ref="W118" ca="1">IF(ISNA(F118),,OFFSET(INDIRECT("'"&amp;W$67&amp;"'!d1"),F118-1,))</f>
        <v>32</v>
      </c>
      <c r="X118" cm="1">
        <f t="array" aca="1" ref="X118" ca="1">IF(ISNA(G118),,OFFSET(INDIRECT("'"&amp;X$67&amp;"'!d1"),G118-1,))</f>
        <v>32</v>
      </c>
      <c r="Y118" cm="1">
        <f t="array" aca="1" ref="Y118" ca="1">IF(ISNA(H118),,OFFSET(INDIRECT("'"&amp;Y$67&amp;"'!d1"),H118-1,))</f>
        <v>32</v>
      </c>
      <c r="Z118" cm="1">
        <f t="array" aca="1" ref="Z118" ca="1">IF(ISNA(I118),,OFFSET(INDIRECT("'"&amp;Z$67&amp;"'!d1"),I118-1,))</f>
        <v>32</v>
      </c>
      <c r="AA118" cm="1">
        <f t="array" aca="1" ref="AA118" ca="1">IF(ISNA(J118),,OFFSET(INDIRECT("'"&amp;AA$67&amp;"'!d1"),J118-1,))</f>
        <v>32</v>
      </c>
      <c r="AB118" cm="1">
        <f t="array" aca="1" ref="AB118" ca="1">IF(ISNA(K118),,OFFSET(INDIRECT("'"&amp;AB$67&amp;"'!d1"),K118-1,))</f>
        <v>32</v>
      </c>
      <c r="AC118" cm="1">
        <f t="array" aca="1" ref="AC118" ca="1">IF(ISNA(L118),,OFFSET(INDIRECT("'"&amp;AC$67&amp;"'!d1"),L118-1,))</f>
        <v>32</v>
      </c>
      <c r="AD118" cm="1">
        <f t="array" aca="1" ref="AD118" ca="1">IF(ISNA(M118),,OFFSET(INDIRECT("'"&amp;AD$67&amp;"'!d1"),M118-1,))</f>
        <v>32</v>
      </c>
      <c r="AE118" cm="1">
        <f t="array" aca="1" ref="AE118" ca="1">IF(ISNA(N118),,OFFSET(INDIRECT("'"&amp;AE$67&amp;"'!d1"),N118-1,))</f>
        <v>0</v>
      </c>
      <c r="AF118" cm="1">
        <f t="array" aca="1" ref="AF118" ca="1">IF(ISNA(O118),,OFFSET(INDIRECT("'"&amp;AF$67&amp;"'!d1"),O118-1,))</f>
        <v>0</v>
      </c>
      <c r="AG118" cm="1">
        <f t="array" aca="1" ref="AG118" ca="1">IF(ISNA(P118),,OFFSET(INDIRECT("'"&amp;AG$67&amp;"'!d1"),P118-1,))</f>
        <v>0</v>
      </c>
      <c r="AM118">
        <f t="shared" ca="1" si="79"/>
        <v>1</v>
      </c>
      <c r="AN118">
        <f t="shared" ca="1" si="80"/>
        <v>1</v>
      </c>
      <c r="AO118">
        <f t="shared" ca="1" si="81"/>
        <v>1</v>
      </c>
      <c r="AP118">
        <f t="shared" ca="1" si="82"/>
        <v>1</v>
      </c>
      <c r="AQ118">
        <f t="shared" ca="1" si="83"/>
        <v>1</v>
      </c>
      <c r="AV118" t="b">
        <f t="shared" ca="1" si="84"/>
        <v>1</v>
      </c>
      <c r="AW118" t="b">
        <f t="shared" ca="1" si="85"/>
        <v>1</v>
      </c>
      <c r="AX118" t="b">
        <f t="shared" ca="1" si="86"/>
        <v>1</v>
      </c>
      <c r="AY118" t="b">
        <f t="shared" ca="1" si="87"/>
        <v>1</v>
      </c>
      <c r="AZ118" t="b">
        <f t="shared" ca="1" si="88"/>
        <v>1</v>
      </c>
      <c r="BD118">
        <f t="shared" ca="1" si="89"/>
        <v>1</v>
      </c>
      <c r="BE118">
        <f t="shared" ca="1" si="90"/>
        <v>1</v>
      </c>
      <c r="BF118">
        <f t="shared" ca="1" si="91"/>
        <v>1</v>
      </c>
      <c r="BG118">
        <f t="shared" ca="1" si="92"/>
        <v>1</v>
      </c>
      <c r="BH118">
        <f t="shared" ca="1" si="93"/>
        <v>1</v>
      </c>
      <c r="BI118">
        <f t="shared" ca="1" si="94"/>
        <v>1</v>
      </c>
      <c r="BJ118">
        <f t="shared" ca="1" si="95"/>
        <v>1</v>
      </c>
      <c r="BK118">
        <f t="shared" ca="1" si="96"/>
        <v>1</v>
      </c>
      <c r="BL118">
        <f t="shared" ca="1" si="97"/>
        <v>1</v>
      </c>
      <c r="BM118">
        <f t="shared" ca="1" si="98"/>
        <v>0</v>
      </c>
      <c r="BN118">
        <f t="shared" ca="1" si="99"/>
        <v>0</v>
      </c>
      <c r="BO118">
        <f t="shared" ca="1" si="100"/>
        <v>0</v>
      </c>
      <c r="BU118">
        <f t="shared" ca="1" si="101"/>
        <v>32</v>
      </c>
      <c r="BV118">
        <f t="shared" ca="1" si="102"/>
        <v>32</v>
      </c>
      <c r="BW118">
        <f t="shared" ca="1" si="103"/>
        <v>32</v>
      </c>
      <c r="BX118">
        <f t="shared" ca="1" si="104"/>
        <v>32</v>
      </c>
      <c r="BY118">
        <f t="shared" ca="1" si="105"/>
        <v>32</v>
      </c>
      <c r="BZ118">
        <f t="shared" ca="1" si="106"/>
        <v>32</v>
      </c>
      <c r="CA118">
        <f t="shared" ca="1" si="107"/>
        <v>32</v>
      </c>
      <c r="CB118">
        <f t="shared" ca="1" si="108"/>
        <v>32</v>
      </c>
      <c r="CC118">
        <f t="shared" ca="1" si="109"/>
        <v>32</v>
      </c>
      <c r="CD118">
        <f t="shared" ca="1" si="110"/>
        <v>58</v>
      </c>
      <c r="CE118">
        <f t="shared" ca="1" si="111"/>
        <v>58</v>
      </c>
      <c r="CF118">
        <f t="shared" ca="1" si="112"/>
        <v>58</v>
      </c>
      <c r="CL118">
        <f t="shared" ca="1" si="113"/>
        <v>1</v>
      </c>
      <c r="CM118">
        <f t="shared" ca="1" si="114"/>
        <v>1</v>
      </c>
      <c r="CN118">
        <f t="shared" ca="1" si="115"/>
        <v>1</v>
      </c>
      <c r="CO118">
        <f t="shared" ca="1" si="116"/>
        <v>1</v>
      </c>
      <c r="CP118">
        <f t="shared" ca="1" si="117"/>
        <v>1</v>
      </c>
      <c r="CQ118">
        <f t="shared" ca="1" si="118"/>
        <v>1</v>
      </c>
      <c r="CR118">
        <f t="shared" ca="1" si="119"/>
        <v>1</v>
      </c>
      <c r="CS118">
        <f t="shared" ca="1" si="120"/>
        <v>1</v>
      </c>
      <c r="CT118">
        <f t="shared" ca="1" si="121"/>
        <v>1</v>
      </c>
      <c r="CU118">
        <f t="shared" ca="1" si="122"/>
        <v>0</v>
      </c>
      <c r="CV118">
        <f t="shared" ca="1" si="123"/>
        <v>0</v>
      </c>
      <c r="CW118">
        <f t="shared" ca="1" si="124"/>
        <v>0</v>
      </c>
      <c r="DC118" cm="1">
        <f t="array" aca="1" ref="DC118" ca="1">IF(ISNA(E118),,OFFSET(INDIRECT("'"&amp;DT$67&amp;"'!f1"),E118-1,))*1</f>
        <v>3.7155938000012101E-2</v>
      </c>
      <c r="DD118" cm="1">
        <f t="array" aca="1" ref="DD118" ca="1">IF(ISNA(F118),,OFFSET(INDIRECT("'"&amp;DU$67&amp;"'!f1"),F118-1,))*1</f>
        <v>8.3425056999885699E-2</v>
      </c>
      <c r="DE118" cm="1">
        <f t="array" aca="1" ref="DE118" ca="1">IF(ISNA(G118),,OFFSET(INDIRECT("'"&amp;DV$67&amp;"'!f1"),G118-1,))*1</f>
        <v>1.7955502000063399E-2</v>
      </c>
      <c r="DF118" cm="1">
        <f t="array" aca="1" ref="DF118" ca="1">IF(ISNA(H118),,OFFSET(INDIRECT("'"&amp;DW$67&amp;"'!f1"),H118-1,))*1</f>
        <v>0.81508472299901702</v>
      </c>
      <c r="DG118" cm="1">
        <f t="array" aca="1" ref="DG118" ca="1">IF(ISNA(I118),,OFFSET(INDIRECT("'"&amp;DX$67&amp;"'!f1"),I118-1,))*1</f>
        <v>5.5281749999267001E-2</v>
      </c>
      <c r="DH118" cm="1">
        <f t="array" aca="1" ref="DH118" ca="1">IF(ISNA(J118),,OFFSET(INDIRECT("'"&amp;DY$67&amp;"'!f1"),J118-1,))*1</f>
        <v>0.13266715221107001</v>
      </c>
      <c r="DI118" cm="1">
        <f t="array" aca="1" ref="DI118" ca="1">IF(ISNA(K118),,OFFSET(INDIRECT("'"&amp;DZ$67&amp;"'!f1"),K118-1,))*1</f>
        <v>1.91122625488787</v>
      </c>
      <c r="DJ118" cm="1">
        <f t="array" aca="1" ref="DJ118" ca="1">IF(ISNA(L118),,OFFSET(INDIRECT("'"&amp;EA$67&amp;"'!f1"),L118-1,))*1</f>
        <v>2.5064396886155</v>
      </c>
      <c r="DK118" cm="1">
        <f t="array" aca="1" ref="DK118" ca="1">IF(ISNA(M118),,OFFSET(INDIRECT("'"&amp;EB$67&amp;"'!f1"),M118-1,))*1</f>
        <v>19.527843243908102</v>
      </c>
      <c r="DL118" cm="1">
        <f t="array" aca="1" ref="DL118" ca="1">IF(ISNA(N118),,OFFSET(INDIRECT("'"&amp;EC$67&amp;"'!f1"),N118-1,))*1</f>
        <v>5.6093297898769301E-3</v>
      </c>
      <c r="DM118" cm="1">
        <f t="array" aca="1" ref="DM118" ca="1">IF(ISNA(O118),,OFFSET(INDIRECT("'"&amp;ED$67&amp;"'!f1"),O118-1,))*1</f>
        <v>6.7079467698931599E-3</v>
      </c>
      <c r="DN118" cm="1">
        <f t="array" aca="1" ref="DN118" ca="1">IF(ISNA(P118),,OFFSET(INDIRECT("'"&amp;EE$67&amp;"'!f1"),P118-1,))*1</f>
        <v>8.9770462363958307E-3</v>
      </c>
      <c r="DT118">
        <f t="shared" ca="1" si="125"/>
        <v>1</v>
      </c>
      <c r="DU118">
        <f t="shared" ca="1" si="126"/>
        <v>1</v>
      </c>
      <c r="DV118">
        <f t="shared" ca="1" si="127"/>
        <v>1</v>
      </c>
      <c r="DW118">
        <f t="shared" ca="1" si="128"/>
        <v>1</v>
      </c>
      <c r="DX118">
        <f t="shared" ca="1" si="129"/>
        <v>1</v>
      </c>
      <c r="DY118">
        <f t="shared" ca="1" si="130"/>
        <v>1</v>
      </c>
      <c r="DZ118">
        <f t="shared" ca="1" si="131"/>
        <v>7506</v>
      </c>
      <c r="EA118">
        <f t="shared" ca="1" si="132"/>
        <v>9708</v>
      </c>
      <c r="EB118">
        <f t="shared" ca="1" si="133"/>
        <v>6971</v>
      </c>
      <c r="EC118">
        <f t="shared" ca="1" si="134"/>
        <v>0</v>
      </c>
      <c r="ED118">
        <f t="shared" ca="1" si="135"/>
        <v>0</v>
      </c>
      <c r="EE118">
        <f t="shared" ca="1" si="136"/>
        <v>0</v>
      </c>
      <c r="EK118" cm="1">
        <f t="array" aca="1" ref="EK118" ca="1">IF(ISNA(E118),0,OFFSET(INDIRECT("'"&amp;EK$67&amp;"'!g1"),E118-1,)*CL118)</f>
        <v>1</v>
      </c>
      <c r="EL118" cm="1">
        <f t="array" aca="1" ref="EL118" ca="1">IF(ISNA(F118),0,OFFSET(INDIRECT("'"&amp;EL$67&amp;"'!g1"),F118-1,)*CM118)</f>
        <v>1</v>
      </c>
      <c r="EM118" cm="1">
        <f t="array" aca="1" ref="EM118" ca="1">IF(ISNA(G118),0,OFFSET(INDIRECT("'"&amp;EM$67&amp;"'!g1"),G118-1,)*CN118)</f>
        <v>1</v>
      </c>
      <c r="EN118" cm="1">
        <f t="array" aca="1" ref="EN118" ca="1">IF(ISNA(H118),0,OFFSET(INDIRECT("'"&amp;EN$67&amp;"'!g1"),H118-1,)*CO118)</f>
        <v>1</v>
      </c>
      <c r="EO118" cm="1">
        <f t="array" aca="1" ref="EO118" ca="1">IF(ISNA(I118),0,OFFSET(INDIRECT("'"&amp;EO$67&amp;"'!g1"),I118-1,)*CP118)</f>
        <v>1</v>
      </c>
      <c r="EP118" cm="1">
        <f t="array" aca="1" ref="EP118" ca="1">IF(ISNA(J118),0,OFFSET(INDIRECT("'"&amp;EP$67&amp;"'!g1"),J118-1,)*CQ118)</f>
        <v>1</v>
      </c>
      <c r="EQ118" cm="1">
        <f t="array" aca="1" ref="EQ118" ca="1">IF(ISNA(K118),0,OFFSET(INDIRECT("'"&amp;EQ$67&amp;"'!g1"),K118-1,)*CR118)</f>
        <v>7506</v>
      </c>
      <c r="ER118" cm="1">
        <f t="array" aca="1" ref="ER118" ca="1">IF(ISNA(L118),0,OFFSET(INDIRECT("'"&amp;ER$67&amp;"'!g1"),L118-1,)*CS118)</f>
        <v>9708</v>
      </c>
      <c r="ES118" cm="1">
        <f t="array" aca="1" ref="ES118" ca="1">IF(ISNA(M118),0,OFFSET(INDIRECT("'"&amp;ES$67&amp;"'!g1"),M118-1,)*CT118)</f>
        <v>6971</v>
      </c>
      <c r="ET118" cm="1">
        <f t="array" aca="1" ref="ET118" ca="1">IF(ISNA(N118),0,OFFSET(INDIRECT("'"&amp;ET$67&amp;"'!g1"),N118-1,)*CU118)</f>
        <v>0</v>
      </c>
      <c r="EU118" cm="1">
        <f t="array" aca="1" ref="EU118" ca="1">IF(ISNA(O118),0,OFFSET(INDIRECT("'"&amp;EU$67&amp;"'!g1"),O118-1,)*CV118)</f>
        <v>0</v>
      </c>
      <c r="EV118" cm="1">
        <f t="array" aca="1" ref="EV118" ca="1">IF(ISNA(P118),0,OFFSET(INDIRECT("'"&amp;EV$67&amp;"'!g1"),P118-1,)*CW118)</f>
        <v>0</v>
      </c>
      <c r="FB118" s="10" cm="1">
        <f t="array" aca="1" ref="FB118" ca="1">IF(ISNA(E118),0,OFFSET(INDIRECT("'"&amp;EK$67&amp;"'!h1"),E118-1,))</f>
        <v>1</v>
      </c>
      <c r="FC118" s="10" cm="1">
        <f t="array" aca="1" ref="FC118" ca="1">IF(ISNA(F118),0,OFFSET(INDIRECT("'"&amp;EL$67&amp;"'!h1"),F118-1,))</f>
        <v>1</v>
      </c>
      <c r="FD118" s="10" cm="1">
        <f t="array" aca="1" ref="FD118" ca="1">IF(ISNA(G118),0,OFFSET(INDIRECT("'"&amp;EM$67&amp;"'!h1"),G118-1,))</f>
        <v>1</v>
      </c>
      <c r="FE118" s="10" cm="1">
        <f t="array" aca="1" ref="FE118" ca="1">IF(ISNA(H118),0,OFFSET(INDIRECT("'"&amp;EN$67&amp;"'!h1"),H118-1,))</f>
        <v>1</v>
      </c>
      <c r="FF118" s="10" cm="1">
        <f t="array" aca="1" ref="FF118" ca="1">IF(ISNA(I118),0,OFFSET(INDIRECT("'"&amp;EO$67&amp;"'!h1"),I118-1,))</f>
        <v>1</v>
      </c>
      <c r="FG118" s="10" cm="1">
        <f t="array" aca="1" ref="FG118" ca="1">IF(ISNA(J118),0,OFFSET(INDIRECT("'"&amp;EP$67&amp;"'!h1"),J118-1,))</f>
        <v>1</v>
      </c>
      <c r="FH118" s="10" cm="1">
        <f t="array" aca="1" ref="FH118" ca="1">IF(ISNA(K118),0,OFFSET(INDIRECT("'"&amp;EQ$67&amp;"'!h1"),K118-1,))</f>
        <v>10000</v>
      </c>
      <c r="FI118" s="10" cm="1">
        <f t="array" aca="1" ref="FI118" ca="1">IF(ISNA(L118),0,OFFSET(INDIRECT("'"&amp;ER$67&amp;"'!h1"),L118-1,))</f>
        <v>10000</v>
      </c>
      <c r="FJ118" s="10" cm="1">
        <f t="array" aca="1" ref="FJ118" ca="1">IF(ISNA(M118),0,OFFSET(INDIRECT("'"&amp;ES$67&amp;"'!h1"),M118-1,))</f>
        <v>10000</v>
      </c>
      <c r="FK118" s="10" cm="1">
        <f t="array" aca="1" ref="FK118" ca="1">IF(ISNA(N118),0,OFFSET(INDIRECT("'"&amp;ET$67&amp;"'!h1"),N118-1,))</f>
        <v>1</v>
      </c>
      <c r="FL118" s="10" cm="1">
        <f t="array" aca="1" ref="FL118" ca="1">IF(ISNA(O118),0,OFFSET(INDIRECT("'"&amp;EU$67&amp;"'!h1"),O118-1,))</f>
        <v>1</v>
      </c>
      <c r="FM118" s="10" cm="1">
        <f t="array" aca="1" ref="FM118" ca="1">IF(ISNA(P118),0,OFFSET(INDIRECT("'"&amp;EV$67&amp;"'!h1"),P118-1,))</f>
        <v>9</v>
      </c>
      <c r="FN118" s="10"/>
      <c r="FO118" s="10"/>
      <c r="FP118" s="10"/>
      <c r="FQ118" s="10"/>
      <c r="FS118">
        <f t="shared" ca="1" si="137"/>
        <v>58</v>
      </c>
      <c r="FT118">
        <f t="shared" ca="1" si="62"/>
        <v>1.91122625488787</v>
      </c>
      <c r="FU118">
        <f t="shared" ca="1" si="63"/>
        <v>7506</v>
      </c>
      <c r="FV118">
        <f t="shared" ca="1" si="64"/>
        <v>10000</v>
      </c>
      <c r="FW118" s="4">
        <f t="shared" ca="1" si="138"/>
        <v>0.75060000000000004</v>
      </c>
      <c r="FX118" s="5">
        <f t="shared" ca="1" si="139"/>
        <v>2.5462646614546629E-4</v>
      </c>
      <c r="FZ118" s="13">
        <f t="shared" ca="1" si="140"/>
        <v>58</v>
      </c>
      <c r="GA118" s="23">
        <f t="shared" ca="1" si="141"/>
        <v>0</v>
      </c>
      <c r="GB118" s="23">
        <f t="shared" ca="1" si="142"/>
        <v>0</v>
      </c>
      <c r="GC118" s="23">
        <f t="shared" ca="1" si="143"/>
        <v>0</v>
      </c>
      <c r="GD118" s="23">
        <f t="shared" ca="1" si="144"/>
        <v>0</v>
      </c>
      <c r="GE118" s="23">
        <f t="shared" ca="1" si="145"/>
        <v>0</v>
      </c>
      <c r="GF118" s="23">
        <f t="shared" ca="1" si="146"/>
        <v>0</v>
      </c>
      <c r="GG118" s="23">
        <f t="shared" ca="1" si="147"/>
        <v>0</v>
      </c>
      <c r="GH118" s="23">
        <f t="shared" ca="1" si="148"/>
        <v>0</v>
      </c>
      <c r="GI118" s="23">
        <f t="shared" ca="1" si="149"/>
        <v>0</v>
      </c>
      <c r="GJ118" s="23" t="e">
        <f t="shared" ca="1" si="150"/>
        <v>#N/A</v>
      </c>
      <c r="GK118" s="23" t="e">
        <f t="shared" ca="1" si="151"/>
        <v>#N/A</v>
      </c>
      <c r="GL118" s="23" t="e">
        <f t="shared" ca="1" si="152"/>
        <v>#N/A</v>
      </c>
      <c r="GM118" s="23"/>
      <c r="GN118">
        <f t="shared" ca="1" si="153"/>
        <v>58</v>
      </c>
      <c r="GO118" s="5">
        <f t="shared" ca="1" si="154"/>
        <v>3.7155938000012101E-2</v>
      </c>
      <c r="GP118" s="5">
        <f t="shared" ca="1" si="155"/>
        <v>8.3425056999885699E-2</v>
      </c>
      <c r="GQ118" s="5">
        <f t="shared" ca="1" si="156"/>
        <v>1.7955502000063399E-2</v>
      </c>
      <c r="GR118" s="5">
        <f t="shared" ca="1" si="157"/>
        <v>0.81508472299901702</v>
      </c>
      <c r="GS118" s="5">
        <f t="shared" ca="1" si="158"/>
        <v>5.5281749999267001E-2</v>
      </c>
      <c r="GT118" s="5">
        <f t="shared" ca="1" si="159"/>
        <v>0.13266715221107001</v>
      </c>
      <c r="GU118" s="5">
        <f t="shared" ca="1" si="160"/>
        <v>2.5462646614546629E-4</v>
      </c>
      <c r="GV118" s="5">
        <f t="shared" ca="1" si="161"/>
        <v>2.5818290982854348E-4</v>
      </c>
      <c r="GW118" s="5">
        <f t="shared" ca="1" si="162"/>
        <v>2.8012972663761441E-3</v>
      </c>
      <c r="GX118" s="5" t="e">
        <f t="shared" ca="1" si="163"/>
        <v>#N/A</v>
      </c>
      <c r="GY118" s="5" t="e">
        <f t="shared" ca="1" si="164"/>
        <v>#N/A</v>
      </c>
      <c r="GZ118" s="5" t="e">
        <f t="shared" ca="1" si="165"/>
        <v>#N/A</v>
      </c>
      <c r="HB118" s="13">
        <f t="shared" ca="1" si="166"/>
        <v>58</v>
      </c>
      <c r="HC118" s="4">
        <f t="shared" ca="1" si="167"/>
        <v>1</v>
      </c>
      <c r="HD118" s="4">
        <f t="shared" ca="1" si="168"/>
        <v>1</v>
      </c>
      <c r="HE118" s="4">
        <f t="shared" ca="1" si="169"/>
        <v>1</v>
      </c>
      <c r="HF118" s="4">
        <f t="shared" ca="1" si="170"/>
        <v>1</v>
      </c>
      <c r="HG118" s="4">
        <f t="shared" ca="1" si="171"/>
        <v>1</v>
      </c>
      <c r="HH118" s="4">
        <f t="shared" ca="1" si="172"/>
        <v>1</v>
      </c>
      <c r="HI118" s="4">
        <f t="shared" ca="1" si="173"/>
        <v>0.75060000000000004</v>
      </c>
      <c r="HJ118" s="4">
        <f t="shared" ca="1" si="174"/>
        <v>0.9708</v>
      </c>
      <c r="HK118" s="4">
        <f t="shared" ca="1" si="175"/>
        <v>0.69710000000000005</v>
      </c>
      <c r="HL118" s="4">
        <f t="shared" ca="1" si="176"/>
        <v>0</v>
      </c>
      <c r="HM118" s="4">
        <f t="shared" ca="1" si="177"/>
        <v>0</v>
      </c>
      <c r="HN118" s="4">
        <f t="shared" ca="1" si="178"/>
        <v>0</v>
      </c>
    </row>
    <row r="119" spans="1:222" x14ac:dyDescent="0.2">
      <c r="A119" t="str" cm="1">
        <f t="array" aca="1" ref="A119" ca="1">INDIRECT($A$67&amp;"!A"&amp;ROW(C52)+$B$64)</f>
        <v>[[59,19,17]]</v>
      </c>
      <c r="B119" cm="1">
        <f t="array" aca="1" ref="B119" ca="1">INDIRECT($A$67&amp;"!b"&amp;ROW(D52)+$B$64)</f>
        <v>59</v>
      </c>
      <c r="C119">
        <f t="shared" ca="1" si="78"/>
        <v>17</v>
      </c>
      <c r="E119">
        <f t="shared" ca="1" si="180"/>
        <v>76</v>
      </c>
      <c r="F119">
        <f t="shared" ca="1" si="180"/>
        <v>77</v>
      </c>
      <c r="G119">
        <f t="shared" ca="1" si="180"/>
        <v>76</v>
      </c>
      <c r="H119">
        <f t="shared" ca="1" si="180"/>
        <v>76</v>
      </c>
      <c r="I119">
        <f t="shared" ca="1" si="180"/>
        <v>79</v>
      </c>
      <c r="J119">
        <f t="shared" ca="1" si="180"/>
        <v>76</v>
      </c>
      <c r="K119">
        <f t="shared" ca="1" si="180"/>
        <v>83</v>
      </c>
      <c r="L119">
        <f t="shared" ca="1" si="180"/>
        <v>85</v>
      </c>
      <c r="M119">
        <f t="shared" ca="1" si="180"/>
        <v>82</v>
      </c>
      <c r="N119">
        <f t="shared" ca="1" si="180"/>
        <v>80</v>
      </c>
      <c r="O119">
        <f t="shared" ca="1" si="180"/>
        <v>80</v>
      </c>
      <c r="P119">
        <f t="shared" ca="1" si="180"/>
        <v>80</v>
      </c>
      <c r="V119" cm="1">
        <f t="array" aca="1" ref="V119" ca="1">IF(ISNA(E119),,OFFSET(INDIRECT("'"&amp;V$67&amp;"'!d1"),E119-1,))</f>
        <v>17</v>
      </c>
      <c r="W119" cm="1">
        <f t="array" aca="1" ref="W119" ca="1">IF(ISNA(F119),,OFFSET(INDIRECT("'"&amp;W$67&amp;"'!d1"),F119-1,))</f>
        <v>17</v>
      </c>
      <c r="X119" cm="1">
        <f t="array" aca="1" ref="X119" ca="1">IF(ISNA(G119),,OFFSET(INDIRECT("'"&amp;X$67&amp;"'!d1"),G119-1,))</f>
        <v>17</v>
      </c>
      <c r="Y119" cm="1">
        <f t="array" aca="1" ref="Y119" ca="1">IF(ISNA(H119),,OFFSET(INDIRECT("'"&amp;Y$67&amp;"'!d1"),H119-1,))</f>
        <v>0</v>
      </c>
      <c r="Z119" cm="1">
        <f t="array" aca="1" ref="Z119" ca="1">IF(ISNA(I119),,OFFSET(INDIRECT("'"&amp;Z$67&amp;"'!d1"),I119-1,))</f>
        <v>17</v>
      </c>
      <c r="AA119" cm="1">
        <f t="array" aca="1" ref="AA119" ca="1">IF(ISNA(J119),,OFFSET(INDIRECT("'"&amp;AA$67&amp;"'!d1"),J119-1,))</f>
        <v>17</v>
      </c>
      <c r="AB119" cm="1">
        <f t="array" aca="1" ref="AB119" ca="1">IF(ISNA(K119),,OFFSET(INDIRECT("'"&amp;AB$67&amp;"'!d1"),K119-1,))</f>
        <v>17</v>
      </c>
      <c r="AC119" cm="1">
        <f t="array" aca="1" ref="AC119" ca="1">IF(ISNA(L119),,OFFSET(INDIRECT("'"&amp;AC$67&amp;"'!d1"),L119-1,))</f>
        <v>17</v>
      </c>
      <c r="AD119" cm="1">
        <f t="array" aca="1" ref="AD119" ca="1">IF(ISNA(M119),,OFFSET(INDIRECT("'"&amp;AD$67&amp;"'!d1"),M119-1,))</f>
        <v>17</v>
      </c>
      <c r="AE119" cm="1">
        <f t="array" aca="1" ref="AE119" ca="1">IF(ISNA(N119),,OFFSET(INDIRECT("'"&amp;AE$67&amp;"'!d1"),N119-1,))</f>
        <v>0</v>
      </c>
      <c r="AF119" cm="1">
        <f t="array" aca="1" ref="AF119" ca="1">IF(ISNA(O119),,OFFSET(INDIRECT("'"&amp;AF$67&amp;"'!d1"),O119-1,))</f>
        <v>0</v>
      </c>
      <c r="AG119" cm="1">
        <f t="array" aca="1" ref="AG119" ca="1">IF(ISNA(P119),,OFFSET(INDIRECT("'"&amp;AG$67&amp;"'!d1"),P119-1,))</f>
        <v>0</v>
      </c>
      <c r="AM119">
        <f t="shared" ca="1" si="79"/>
        <v>1</v>
      </c>
      <c r="AN119">
        <f t="shared" ca="1" si="80"/>
        <v>1</v>
      </c>
      <c r="AO119">
        <f t="shared" ca="1" si="81"/>
        <v>1</v>
      </c>
      <c r="AP119">
        <f t="shared" ca="1" si="82"/>
        <v>0</v>
      </c>
      <c r="AQ119">
        <f t="shared" ca="1" si="83"/>
        <v>1</v>
      </c>
      <c r="AV119" t="b">
        <f t="shared" ca="1" si="84"/>
        <v>1</v>
      </c>
      <c r="AW119" t="b">
        <f t="shared" ca="1" si="85"/>
        <v>1</v>
      </c>
      <c r="AX119" t="b">
        <f t="shared" ca="1" si="86"/>
        <v>1</v>
      </c>
      <c r="AY119" t="str">
        <f t="shared" ca="1" si="87"/>
        <v/>
      </c>
      <c r="AZ119" t="b">
        <f t="shared" ca="1" si="88"/>
        <v>1</v>
      </c>
      <c r="BD119">
        <f t="shared" ca="1" si="89"/>
        <v>1</v>
      </c>
      <c r="BE119">
        <f t="shared" ca="1" si="90"/>
        <v>1</v>
      </c>
      <c r="BF119">
        <f t="shared" ca="1" si="91"/>
        <v>1</v>
      </c>
      <c r="BG119">
        <f t="shared" ca="1" si="92"/>
        <v>0</v>
      </c>
      <c r="BH119">
        <f t="shared" ca="1" si="93"/>
        <v>1</v>
      </c>
      <c r="BI119">
        <f t="shared" ca="1" si="94"/>
        <v>1</v>
      </c>
      <c r="BJ119">
        <f t="shared" ca="1" si="95"/>
        <v>1</v>
      </c>
      <c r="BK119">
        <f t="shared" ca="1" si="96"/>
        <v>1</v>
      </c>
      <c r="BL119">
        <f t="shared" ca="1" si="97"/>
        <v>1</v>
      </c>
      <c r="BM119">
        <f t="shared" ca="1" si="98"/>
        <v>0</v>
      </c>
      <c r="BN119">
        <f t="shared" ca="1" si="99"/>
        <v>0</v>
      </c>
      <c r="BO119">
        <f t="shared" ca="1" si="100"/>
        <v>0</v>
      </c>
      <c r="BU119">
        <f t="shared" ca="1" si="101"/>
        <v>17</v>
      </c>
      <c r="BV119">
        <f t="shared" ca="1" si="102"/>
        <v>17</v>
      </c>
      <c r="BW119">
        <f t="shared" ca="1" si="103"/>
        <v>17</v>
      </c>
      <c r="BX119">
        <f t="shared" ca="1" si="104"/>
        <v>59</v>
      </c>
      <c r="BY119">
        <f t="shared" ca="1" si="105"/>
        <v>17</v>
      </c>
      <c r="BZ119">
        <f t="shared" ca="1" si="106"/>
        <v>17</v>
      </c>
      <c r="CA119">
        <f t="shared" ca="1" si="107"/>
        <v>17</v>
      </c>
      <c r="CB119">
        <f t="shared" ca="1" si="108"/>
        <v>17</v>
      </c>
      <c r="CC119">
        <f t="shared" ca="1" si="109"/>
        <v>17</v>
      </c>
      <c r="CD119">
        <f t="shared" ca="1" si="110"/>
        <v>59</v>
      </c>
      <c r="CE119">
        <f t="shared" ca="1" si="111"/>
        <v>59</v>
      </c>
      <c r="CF119">
        <f t="shared" ca="1" si="112"/>
        <v>59</v>
      </c>
      <c r="CL119">
        <f t="shared" ca="1" si="113"/>
        <v>1</v>
      </c>
      <c r="CM119">
        <f t="shared" ca="1" si="114"/>
        <v>1</v>
      </c>
      <c r="CN119">
        <f t="shared" ca="1" si="115"/>
        <v>1</v>
      </c>
      <c r="CO119">
        <f t="shared" ca="1" si="116"/>
        <v>0</v>
      </c>
      <c r="CP119">
        <f t="shared" ca="1" si="117"/>
        <v>1</v>
      </c>
      <c r="CQ119">
        <f t="shared" ca="1" si="118"/>
        <v>1</v>
      </c>
      <c r="CR119">
        <f t="shared" ca="1" si="119"/>
        <v>1</v>
      </c>
      <c r="CS119">
        <f t="shared" ca="1" si="120"/>
        <v>1</v>
      </c>
      <c r="CT119">
        <f t="shared" ca="1" si="121"/>
        <v>1</v>
      </c>
      <c r="CU119">
        <f t="shared" ca="1" si="122"/>
        <v>0</v>
      </c>
      <c r="CV119">
        <f t="shared" ca="1" si="123"/>
        <v>0</v>
      </c>
      <c r="CW119">
        <f t="shared" ca="1" si="124"/>
        <v>0</v>
      </c>
      <c r="DC119" cm="1">
        <f t="array" aca="1" ref="DC119" ca="1">IF(ISNA(E119),,OFFSET(INDIRECT("'"&amp;DT$67&amp;"'!f1"),E119-1,))*1</f>
        <v>111.174472851</v>
      </c>
      <c r="DD119" cm="1">
        <f t="array" aca="1" ref="DD119" ca="1">IF(ISNA(F119),,OFFSET(INDIRECT("'"&amp;DU$67&amp;"'!f1"),F119-1,))*1</f>
        <v>434.38555357299998</v>
      </c>
      <c r="DE119" cm="1">
        <f t="array" aca="1" ref="DE119" ca="1">IF(ISNA(G119),,OFFSET(INDIRECT("'"&amp;DV$67&amp;"'!f1"),G119-1,))*1</f>
        <v>102.99656243899901</v>
      </c>
      <c r="DF119" cm="1">
        <f t="array" aca="1" ref="DF119" ca="1">IF(ISNA(H119),,OFFSET(INDIRECT("'"&amp;DW$67&amp;"'!f1"),H119-1,))*1</f>
        <v>28800.150773729001</v>
      </c>
      <c r="DG119" cm="1">
        <f t="array" aca="1" ref="DG119" ca="1">IF(ISNA(I119),,OFFSET(INDIRECT("'"&amp;DX$67&amp;"'!f1"),I119-1,))*1</f>
        <v>5.6470625000656499E-2</v>
      </c>
      <c r="DH119" cm="1">
        <f t="array" aca="1" ref="DH119" ca="1">IF(ISNA(J119),,OFFSET(INDIRECT("'"&amp;DY$67&amp;"'!f1"),J119-1,))*1</f>
        <v>0.137758976779878</v>
      </c>
      <c r="DI119" cm="1">
        <f t="array" aca="1" ref="DI119" ca="1">IF(ISNA(K119),,OFFSET(INDIRECT("'"&amp;DZ$67&amp;"'!f1"),K119-1,))*1</f>
        <v>2.0677396655082698</v>
      </c>
      <c r="DJ119" cm="1">
        <f t="array" aca="1" ref="DJ119" ca="1">IF(ISNA(L119),,OFFSET(INDIRECT("'"&amp;EA$67&amp;"'!f1"),L119-1,))*1</f>
        <v>2.7567402282729701</v>
      </c>
      <c r="DK119" cm="1">
        <f t="array" aca="1" ref="DK119" ca="1">IF(ISNA(M119),,OFFSET(INDIRECT("'"&amp;EB$67&amp;"'!f1"),M119-1,))*1</f>
        <v>26.558774087112301</v>
      </c>
      <c r="DL119" cm="1">
        <f t="array" aca="1" ref="DL119" ca="1">IF(ISNA(N119),,OFFSET(INDIRECT("'"&amp;EC$67&amp;"'!f1"),N119-1,))*1</f>
        <v>6.9447495043277697E-3</v>
      </c>
      <c r="DM119" cm="1">
        <f t="array" aca="1" ref="DM119" ca="1">IF(ISNA(O119),,OFFSET(INDIRECT("'"&amp;ED$67&amp;"'!f1"),O119-1,))*1</f>
        <v>8.3375172689557006E-3</v>
      </c>
      <c r="DN119" cm="1">
        <f t="array" aca="1" ref="DN119" ca="1">IF(ISNA(P119),,OFFSET(INDIRECT("'"&amp;EE$67&amp;"'!f1"),P119-1,))*1</f>
        <v>1.3078583404421799E-2</v>
      </c>
      <c r="DT119">
        <f t="shared" ca="1" si="125"/>
        <v>1</v>
      </c>
      <c r="DU119">
        <f t="shared" ca="1" si="126"/>
        <v>1</v>
      </c>
      <c r="DV119">
        <f t="shared" ca="1" si="127"/>
        <v>1</v>
      </c>
      <c r="DW119">
        <f t="shared" ca="1" si="128"/>
        <v>0</v>
      </c>
      <c r="DX119">
        <f t="shared" ca="1" si="129"/>
        <v>1</v>
      </c>
      <c r="DY119">
        <f t="shared" ca="1" si="130"/>
        <v>1</v>
      </c>
      <c r="DZ119">
        <f t="shared" ca="1" si="131"/>
        <v>7783</v>
      </c>
      <c r="EA119">
        <f t="shared" ca="1" si="132"/>
        <v>9838</v>
      </c>
      <c r="EB119">
        <f t="shared" ca="1" si="133"/>
        <v>6880</v>
      </c>
      <c r="EC119">
        <f t="shared" ca="1" si="134"/>
        <v>0</v>
      </c>
      <c r="ED119">
        <f t="shared" ca="1" si="135"/>
        <v>0</v>
      </c>
      <c r="EE119">
        <f t="shared" ca="1" si="136"/>
        <v>0</v>
      </c>
      <c r="EK119" cm="1">
        <f t="array" aca="1" ref="EK119" ca="1">IF(ISNA(E119),0,OFFSET(INDIRECT("'"&amp;EK$67&amp;"'!g1"),E119-1,)*CL119)</f>
        <v>1</v>
      </c>
      <c r="EL119" cm="1">
        <f t="array" aca="1" ref="EL119" ca="1">IF(ISNA(F119),0,OFFSET(INDIRECT("'"&amp;EL$67&amp;"'!g1"),F119-1,)*CM119)</f>
        <v>1</v>
      </c>
      <c r="EM119" cm="1">
        <f t="array" aca="1" ref="EM119" ca="1">IF(ISNA(G119),0,OFFSET(INDIRECT("'"&amp;EM$67&amp;"'!g1"),G119-1,)*CN119)</f>
        <v>1</v>
      </c>
      <c r="EN119" cm="1">
        <f t="array" aca="1" ref="EN119" ca="1">IF(ISNA(H119),0,OFFSET(INDIRECT("'"&amp;EN$67&amp;"'!g1"),H119-1,)*CO119)</f>
        <v>0</v>
      </c>
      <c r="EO119" cm="1">
        <f t="array" aca="1" ref="EO119" ca="1">IF(ISNA(I119),0,OFFSET(INDIRECT("'"&amp;EO$67&amp;"'!g1"),I119-1,)*CP119)</f>
        <v>1</v>
      </c>
      <c r="EP119" cm="1">
        <f t="array" aca="1" ref="EP119" ca="1">IF(ISNA(J119),0,OFFSET(INDIRECT("'"&amp;EP$67&amp;"'!g1"),J119-1,)*CQ119)</f>
        <v>1</v>
      </c>
      <c r="EQ119" cm="1">
        <f t="array" aca="1" ref="EQ119" ca="1">IF(ISNA(K119),0,OFFSET(INDIRECT("'"&amp;EQ$67&amp;"'!g1"),K119-1,)*CR119)</f>
        <v>7783</v>
      </c>
      <c r="ER119" cm="1">
        <f t="array" aca="1" ref="ER119" ca="1">IF(ISNA(L119),0,OFFSET(INDIRECT("'"&amp;ER$67&amp;"'!g1"),L119-1,)*CS119)</f>
        <v>9838</v>
      </c>
      <c r="ES119" cm="1">
        <f t="array" aca="1" ref="ES119" ca="1">IF(ISNA(M119),0,OFFSET(INDIRECT("'"&amp;ES$67&amp;"'!g1"),M119-1,)*CT119)</f>
        <v>6880</v>
      </c>
      <c r="ET119" cm="1">
        <f t="array" aca="1" ref="ET119" ca="1">IF(ISNA(N119),0,OFFSET(INDIRECT("'"&amp;ET$67&amp;"'!g1"),N119-1,)*CU119)</f>
        <v>0</v>
      </c>
      <c r="EU119" cm="1">
        <f t="array" aca="1" ref="EU119" ca="1">IF(ISNA(O119),0,OFFSET(INDIRECT("'"&amp;EU$67&amp;"'!g1"),O119-1,)*CV119)</f>
        <v>0</v>
      </c>
      <c r="EV119" cm="1">
        <f t="array" aca="1" ref="EV119" ca="1">IF(ISNA(P119),0,OFFSET(INDIRECT("'"&amp;EV$67&amp;"'!g1"),P119-1,)*CW119)</f>
        <v>0</v>
      </c>
      <c r="FB119" s="10" cm="1">
        <f t="array" aca="1" ref="FB119" ca="1">IF(ISNA(E119),0,OFFSET(INDIRECT("'"&amp;EK$67&amp;"'!h1"),E119-1,))</f>
        <v>1</v>
      </c>
      <c r="FC119" s="10" cm="1">
        <f t="array" aca="1" ref="FC119" ca="1">IF(ISNA(F119),0,OFFSET(INDIRECT("'"&amp;EL$67&amp;"'!h1"),F119-1,))</f>
        <v>1</v>
      </c>
      <c r="FD119" s="10" cm="1">
        <f t="array" aca="1" ref="FD119" ca="1">IF(ISNA(G119),0,OFFSET(INDIRECT("'"&amp;EM$67&amp;"'!h1"),G119-1,))</f>
        <v>1</v>
      </c>
      <c r="FE119" s="10" cm="1">
        <f t="array" aca="1" ref="FE119" ca="1">IF(ISNA(H119),0,OFFSET(INDIRECT("'"&amp;EN$67&amp;"'!h1"),H119-1,))</f>
        <v>1</v>
      </c>
      <c r="FF119" s="10" cm="1">
        <f t="array" aca="1" ref="FF119" ca="1">IF(ISNA(I119),0,OFFSET(INDIRECT("'"&amp;EO$67&amp;"'!h1"),I119-1,))</f>
        <v>1</v>
      </c>
      <c r="FG119" s="10" cm="1">
        <f t="array" aca="1" ref="FG119" ca="1">IF(ISNA(J119),0,OFFSET(INDIRECT("'"&amp;EP$67&amp;"'!h1"),J119-1,))</f>
        <v>1</v>
      </c>
      <c r="FH119" s="10" cm="1">
        <f t="array" aca="1" ref="FH119" ca="1">IF(ISNA(K119),0,OFFSET(INDIRECT("'"&amp;EQ$67&amp;"'!h1"),K119-1,))</f>
        <v>10000</v>
      </c>
      <c r="FI119" s="10" cm="1">
        <f t="array" aca="1" ref="FI119" ca="1">IF(ISNA(L119),0,OFFSET(INDIRECT("'"&amp;ER$67&amp;"'!h1"),L119-1,))</f>
        <v>10000</v>
      </c>
      <c r="FJ119" s="10" cm="1">
        <f t="array" aca="1" ref="FJ119" ca="1">IF(ISNA(M119),0,OFFSET(INDIRECT("'"&amp;ES$67&amp;"'!h1"),M119-1,))</f>
        <v>10000</v>
      </c>
      <c r="FK119" s="10" cm="1">
        <f t="array" aca="1" ref="FK119" ca="1">IF(ISNA(N119),0,OFFSET(INDIRECT("'"&amp;ET$67&amp;"'!h1"),N119-1,))</f>
        <v>1</v>
      </c>
      <c r="FL119" s="10" cm="1">
        <f t="array" aca="1" ref="FL119" ca="1">IF(ISNA(O119),0,OFFSET(INDIRECT("'"&amp;EU$67&amp;"'!h1"),O119-1,))</f>
        <v>1</v>
      </c>
      <c r="FM119" s="10" cm="1">
        <f t="array" aca="1" ref="FM119" ca="1">IF(ISNA(P119),0,OFFSET(INDIRECT("'"&amp;EV$67&amp;"'!h1"),P119-1,))</f>
        <v>9</v>
      </c>
      <c r="FN119" s="10"/>
      <c r="FO119" s="10"/>
      <c r="FP119" s="10"/>
      <c r="FQ119" s="10"/>
      <c r="FS119">
        <f t="shared" ca="1" si="137"/>
        <v>59</v>
      </c>
      <c r="FT119">
        <f t="shared" ca="1" si="62"/>
        <v>2.0677396655082698</v>
      </c>
      <c r="FU119">
        <f t="shared" ca="1" si="63"/>
        <v>7783</v>
      </c>
      <c r="FV119">
        <f t="shared" ca="1" si="64"/>
        <v>10000</v>
      </c>
      <c r="FW119" s="4">
        <f t="shared" ca="1" si="138"/>
        <v>0.77829999999999999</v>
      </c>
      <c r="FX119" s="5">
        <f t="shared" ca="1" si="139"/>
        <v>2.6567386168678786E-4</v>
      </c>
      <c r="FZ119" s="13">
        <f t="shared" ca="1" si="140"/>
        <v>59</v>
      </c>
      <c r="GA119" s="23">
        <f t="shared" ca="1" si="141"/>
        <v>0</v>
      </c>
      <c r="GB119" s="23">
        <f t="shared" ca="1" si="142"/>
        <v>0</v>
      </c>
      <c r="GC119" s="23">
        <f t="shared" ca="1" si="143"/>
        <v>0</v>
      </c>
      <c r="GD119" s="23" t="e">
        <f t="shared" ca="1" si="144"/>
        <v>#N/A</v>
      </c>
      <c r="GE119" s="23">
        <f t="shared" ca="1" si="145"/>
        <v>0</v>
      </c>
      <c r="GF119" s="23">
        <f t="shared" ca="1" si="146"/>
        <v>0</v>
      </c>
      <c r="GG119" s="23">
        <f t="shared" ca="1" si="147"/>
        <v>0</v>
      </c>
      <c r="GH119" s="23">
        <f t="shared" ca="1" si="148"/>
        <v>0</v>
      </c>
      <c r="GI119" s="23">
        <f t="shared" ca="1" si="149"/>
        <v>0</v>
      </c>
      <c r="GJ119" s="23" t="e">
        <f t="shared" ca="1" si="150"/>
        <v>#N/A</v>
      </c>
      <c r="GK119" s="23" t="e">
        <f t="shared" ca="1" si="151"/>
        <v>#N/A</v>
      </c>
      <c r="GL119" s="23" t="e">
        <f t="shared" ca="1" si="152"/>
        <v>#N/A</v>
      </c>
      <c r="GM119" s="23"/>
      <c r="GN119">
        <f t="shared" ca="1" si="153"/>
        <v>59</v>
      </c>
      <c r="GO119" s="5">
        <f t="shared" ca="1" si="154"/>
        <v>111.174472851</v>
      </c>
      <c r="GP119" s="5">
        <f t="shared" ca="1" si="155"/>
        <v>434.38555357299998</v>
      </c>
      <c r="GQ119" s="5">
        <f t="shared" ca="1" si="156"/>
        <v>102.99656243899901</v>
      </c>
      <c r="GR119" s="5" t="e">
        <f t="shared" ca="1" si="157"/>
        <v>#N/A</v>
      </c>
      <c r="GS119" s="5">
        <f t="shared" ca="1" si="158"/>
        <v>5.6470625000656499E-2</v>
      </c>
      <c r="GT119" s="5">
        <f t="shared" ca="1" si="159"/>
        <v>0.137758976779878</v>
      </c>
      <c r="GU119" s="5">
        <f t="shared" ca="1" si="160"/>
        <v>2.6567386168678786E-4</v>
      </c>
      <c r="GV119" s="5">
        <f t="shared" ca="1" si="161"/>
        <v>2.802134812231114E-4</v>
      </c>
      <c r="GW119" s="5">
        <f t="shared" ca="1" si="162"/>
        <v>3.8602869312663228E-3</v>
      </c>
      <c r="GX119" s="5" t="e">
        <f t="shared" ca="1" si="163"/>
        <v>#N/A</v>
      </c>
      <c r="GY119" s="5" t="e">
        <f t="shared" ca="1" si="164"/>
        <v>#N/A</v>
      </c>
      <c r="GZ119" s="5" t="e">
        <f t="shared" ca="1" si="165"/>
        <v>#N/A</v>
      </c>
      <c r="HB119" s="13">
        <f t="shared" ca="1" si="166"/>
        <v>59</v>
      </c>
      <c r="HC119" s="4">
        <f t="shared" ca="1" si="167"/>
        <v>1</v>
      </c>
      <c r="HD119" s="4">
        <f t="shared" ca="1" si="168"/>
        <v>1</v>
      </c>
      <c r="HE119" s="4">
        <f t="shared" ca="1" si="169"/>
        <v>1</v>
      </c>
      <c r="HF119" s="4">
        <f t="shared" ca="1" si="170"/>
        <v>0</v>
      </c>
      <c r="HG119" s="4">
        <f t="shared" ca="1" si="171"/>
        <v>1</v>
      </c>
      <c r="HH119" s="4">
        <f t="shared" ca="1" si="172"/>
        <v>1</v>
      </c>
      <c r="HI119" s="4">
        <f t="shared" ca="1" si="173"/>
        <v>0.77829999999999999</v>
      </c>
      <c r="HJ119" s="4">
        <f t="shared" ca="1" si="174"/>
        <v>0.98380000000000001</v>
      </c>
      <c r="HK119" s="4">
        <f t="shared" ca="1" si="175"/>
        <v>0.68799999999999994</v>
      </c>
      <c r="HL119" s="4">
        <f t="shared" ca="1" si="176"/>
        <v>0</v>
      </c>
      <c r="HM119" s="4">
        <f t="shared" ca="1" si="177"/>
        <v>0</v>
      </c>
      <c r="HN119" s="4">
        <f t="shared" ca="1" si="178"/>
        <v>0</v>
      </c>
    </row>
    <row r="120" spans="1:222" x14ac:dyDescent="0.2">
      <c r="A120" t="str" cm="1">
        <f t="array" aca="1" ref="A120" ca="1">INDIRECT($A$67&amp;"!A"&amp;ROW(C53)+$B$64)</f>
        <v>[[60,20,17]]</v>
      </c>
      <c r="B120" cm="1">
        <f t="array" aca="1" ref="B120" ca="1">INDIRECT($A$67&amp;"!b"&amp;ROW(D53)+$B$64)</f>
        <v>60</v>
      </c>
      <c r="C120">
        <f t="shared" ca="1" si="78"/>
        <v>17</v>
      </c>
      <c r="E120">
        <f t="shared" ca="1" si="180"/>
        <v>77</v>
      </c>
      <c r="F120">
        <f t="shared" ca="1" si="180"/>
        <v>78</v>
      </c>
      <c r="G120">
        <f t="shared" ca="1" si="180"/>
        <v>77</v>
      </c>
      <c r="H120">
        <f t="shared" ca="1" si="180"/>
        <v>77</v>
      </c>
      <c r="I120">
        <f t="shared" ca="1" si="180"/>
        <v>80</v>
      </c>
      <c r="J120">
        <f t="shared" ca="1" si="180"/>
        <v>77</v>
      </c>
      <c r="K120">
        <f t="shared" ca="1" si="180"/>
        <v>84</v>
      </c>
      <c r="L120">
        <f t="shared" ca="1" si="180"/>
        <v>86</v>
      </c>
      <c r="M120">
        <f t="shared" ca="1" si="180"/>
        <v>83</v>
      </c>
      <c r="N120">
        <f t="shared" ca="1" si="180"/>
        <v>81</v>
      </c>
      <c r="O120">
        <f t="shared" ca="1" si="180"/>
        <v>81</v>
      </c>
      <c r="P120">
        <f t="shared" ca="1" si="180"/>
        <v>81</v>
      </c>
      <c r="V120" cm="1">
        <f t="array" aca="1" ref="V120" ca="1">IF(ISNA(E120),,OFFSET(INDIRECT("'"&amp;V$67&amp;"'!d1"),E120-1,))</f>
        <v>17</v>
      </c>
      <c r="W120" cm="1">
        <f t="array" aca="1" ref="W120" ca="1">IF(ISNA(F120),,OFFSET(INDIRECT("'"&amp;W$67&amp;"'!d1"),F120-1,))</f>
        <v>17</v>
      </c>
      <c r="X120" cm="1">
        <f t="array" aca="1" ref="X120" ca="1">IF(ISNA(G120),,OFFSET(INDIRECT("'"&amp;X$67&amp;"'!d1"),G120-1,))</f>
        <v>17</v>
      </c>
      <c r="Y120" cm="1">
        <f t="array" aca="1" ref="Y120" ca="1">IF(ISNA(H120),,OFFSET(INDIRECT("'"&amp;Y$67&amp;"'!d1"),H120-1,))</f>
        <v>0</v>
      </c>
      <c r="Z120" cm="1">
        <f t="array" aca="1" ref="Z120" ca="1">IF(ISNA(I120),,OFFSET(INDIRECT("'"&amp;Z$67&amp;"'!d1"),I120-1,))</f>
        <v>17</v>
      </c>
      <c r="AA120" cm="1">
        <f t="array" aca="1" ref="AA120" ca="1">IF(ISNA(J120),,OFFSET(INDIRECT("'"&amp;AA$67&amp;"'!d1"),J120-1,))</f>
        <v>17</v>
      </c>
      <c r="AB120" cm="1">
        <f t="array" aca="1" ref="AB120" ca="1">IF(ISNA(K120),,OFFSET(INDIRECT("'"&amp;AB$67&amp;"'!d1"),K120-1,))</f>
        <v>17</v>
      </c>
      <c r="AC120" cm="1">
        <f t="array" aca="1" ref="AC120" ca="1">IF(ISNA(L120),,OFFSET(INDIRECT("'"&amp;AC$67&amp;"'!d1"),L120-1,))</f>
        <v>17</v>
      </c>
      <c r="AD120" cm="1">
        <f t="array" aca="1" ref="AD120" ca="1">IF(ISNA(M120),,OFFSET(INDIRECT("'"&amp;AD$67&amp;"'!d1"),M120-1,))</f>
        <v>17</v>
      </c>
      <c r="AE120" cm="1">
        <f t="array" aca="1" ref="AE120" ca="1">IF(ISNA(N120),,OFFSET(INDIRECT("'"&amp;AE$67&amp;"'!d1"),N120-1,))</f>
        <v>0</v>
      </c>
      <c r="AF120" cm="1">
        <f t="array" aca="1" ref="AF120" ca="1">IF(ISNA(O120),,OFFSET(INDIRECT("'"&amp;AF$67&amp;"'!d1"),O120-1,))</f>
        <v>0</v>
      </c>
      <c r="AG120" cm="1">
        <f t="array" aca="1" ref="AG120" ca="1">IF(ISNA(P120),,OFFSET(INDIRECT("'"&amp;AG$67&amp;"'!d1"),P120-1,))</f>
        <v>0</v>
      </c>
      <c r="AM120">
        <f t="shared" ca="1" si="79"/>
        <v>1</v>
      </c>
      <c r="AN120">
        <f t="shared" ca="1" si="80"/>
        <v>1</v>
      </c>
      <c r="AO120">
        <f t="shared" ca="1" si="81"/>
        <v>1</v>
      </c>
      <c r="AP120">
        <f t="shared" ca="1" si="82"/>
        <v>0</v>
      </c>
      <c r="AQ120">
        <f t="shared" ca="1" si="83"/>
        <v>1</v>
      </c>
      <c r="AV120" t="b">
        <f t="shared" ca="1" si="84"/>
        <v>1</v>
      </c>
      <c r="AW120" t="b">
        <f t="shared" ca="1" si="85"/>
        <v>1</v>
      </c>
      <c r="AX120" t="b">
        <f t="shared" ca="1" si="86"/>
        <v>1</v>
      </c>
      <c r="AY120" t="str">
        <f t="shared" ca="1" si="87"/>
        <v/>
      </c>
      <c r="AZ120" t="b">
        <f t="shared" ca="1" si="88"/>
        <v>1</v>
      </c>
      <c r="BD120">
        <f t="shared" ca="1" si="89"/>
        <v>1</v>
      </c>
      <c r="BE120">
        <f t="shared" ca="1" si="90"/>
        <v>1</v>
      </c>
      <c r="BF120">
        <f t="shared" ca="1" si="91"/>
        <v>1</v>
      </c>
      <c r="BG120">
        <f t="shared" ca="1" si="92"/>
        <v>0</v>
      </c>
      <c r="BH120">
        <f t="shared" ca="1" si="93"/>
        <v>1</v>
      </c>
      <c r="BI120">
        <f t="shared" ca="1" si="94"/>
        <v>1</v>
      </c>
      <c r="BJ120">
        <f t="shared" ca="1" si="95"/>
        <v>1</v>
      </c>
      <c r="BK120">
        <f t="shared" ca="1" si="96"/>
        <v>1</v>
      </c>
      <c r="BL120">
        <f t="shared" ca="1" si="97"/>
        <v>1</v>
      </c>
      <c r="BM120">
        <f t="shared" ca="1" si="98"/>
        <v>0</v>
      </c>
      <c r="BN120">
        <f t="shared" ca="1" si="99"/>
        <v>0</v>
      </c>
      <c r="BO120">
        <f t="shared" ca="1" si="100"/>
        <v>0</v>
      </c>
      <c r="BU120">
        <f t="shared" ca="1" si="101"/>
        <v>17</v>
      </c>
      <c r="BV120">
        <f t="shared" ca="1" si="102"/>
        <v>17</v>
      </c>
      <c r="BW120">
        <f t="shared" ca="1" si="103"/>
        <v>17</v>
      </c>
      <c r="BX120">
        <f t="shared" ca="1" si="104"/>
        <v>60</v>
      </c>
      <c r="BY120">
        <f t="shared" ca="1" si="105"/>
        <v>17</v>
      </c>
      <c r="BZ120">
        <f t="shared" ca="1" si="106"/>
        <v>17</v>
      </c>
      <c r="CA120">
        <f t="shared" ca="1" si="107"/>
        <v>17</v>
      </c>
      <c r="CB120">
        <f t="shared" ca="1" si="108"/>
        <v>17</v>
      </c>
      <c r="CC120">
        <f t="shared" ca="1" si="109"/>
        <v>17</v>
      </c>
      <c r="CD120">
        <f t="shared" ca="1" si="110"/>
        <v>60</v>
      </c>
      <c r="CE120">
        <f t="shared" ca="1" si="111"/>
        <v>60</v>
      </c>
      <c r="CF120">
        <f t="shared" ca="1" si="112"/>
        <v>60</v>
      </c>
      <c r="CL120">
        <f t="shared" ca="1" si="113"/>
        <v>1</v>
      </c>
      <c r="CM120">
        <f t="shared" ca="1" si="114"/>
        <v>1</v>
      </c>
      <c r="CN120">
        <f t="shared" ca="1" si="115"/>
        <v>1</v>
      </c>
      <c r="CO120">
        <f t="shared" ca="1" si="116"/>
        <v>0</v>
      </c>
      <c r="CP120">
        <f t="shared" ca="1" si="117"/>
        <v>1</v>
      </c>
      <c r="CQ120">
        <f t="shared" ca="1" si="118"/>
        <v>1</v>
      </c>
      <c r="CR120">
        <f t="shared" ca="1" si="119"/>
        <v>1</v>
      </c>
      <c r="CS120">
        <f t="shared" ca="1" si="120"/>
        <v>1</v>
      </c>
      <c r="CT120">
        <f t="shared" ca="1" si="121"/>
        <v>1</v>
      </c>
      <c r="CU120">
        <f t="shared" ca="1" si="122"/>
        <v>0</v>
      </c>
      <c r="CV120">
        <f t="shared" ca="1" si="123"/>
        <v>0</v>
      </c>
      <c r="CW120">
        <f t="shared" ca="1" si="124"/>
        <v>0</v>
      </c>
      <c r="DC120" cm="1">
        <f t="array" aca="1" ref="DC120" ca="1">IF(ISNA(E120),,OFFSET(INDIRECT("'"&amp;DT$67&amp;"'!f1"),E120-1,))*1</f>
        <v>55.8427160459999</v>
      </c>
      <c r="DD120" cm="1">
        <f t="array" aca="1" ref="DD120" ca="1">IF(ISNA(F120),,OFFSET(INDIRECT("'"&amp;DU$67&amp;"'!f1"),F120-1,))*1</f>
        <v>983.13078872400001</v>
      </c>
      <c r="DE120" cm="1">
        <f t="array" aca="1" ref="DE120" ca="1">IF(ISNA(G120),,OFFSET(INDIRECT("'"&amp;DV$67&amp;"'!f1"),G120-1,))*1</f>
        <v>287.29937615999899</v>
      </c>
      <c r="DF120" cm="1">
        <f t="array" aca="1" ref="DF120" ca="1">IF(ISNA(H120),,OFFSET(INDIRECT("'"&amp;DW$67&amp;"'!f1"),H120-1,))*1</f>
        <v>28800.230329263901</v>
      </c>
      <c r="DG120" cm="1">
        <f t="array" aca="1" ref="DG120" ca="1">IF(ISNA(I120),,OFFSET(INDIRECT("'"&amp;DX$67&amp;"'!f1"),I120-1,))*1</f>
        <v>5.6529084002249798E-2</v>
      </c>
      <c r="DH120" cm="1">
        <f t="array" aca="1" ref="DH120" ca="1">IF(ISNA(J120),,OFFSET(INDIRECT("'"&amp;DY$67&amp;"'!f1"),J120-1,))*1</f>
        <v>0.14173495210707099</v>
      </c>
      <c r="DI120" cm="1">
        <f t="array" aca="1" ref="DI120" ca="1">IF(ISNA(K120),,OFFSET(INDIRECT("'"&amp;DZ$67&amp;"'!f1"),K120-1,))*1</f>
        <v>2.0751088894903602</v>
      </c>
      <c r="DJ120" cm="1">
        <f t="array" aca="1" ref="DJ120" ca="1">IF(ISNA(L120),,OFFSET(INDIRECT("'"&amp;EA$67&amp;"'!f1"),L120-1,))*1</f>
        <v>2.7357661426067299</v>
      </c>
      <c r="DK120" cm="1">
        <f t="array" aca="1" ref="DK120" ca="1">IF(ISNA(M120),,OFFSET(INDIRECT("'"&amp;EB$67&amp;"'!f1"),M120-1,))*1</f>
        <v>24.189119301736302</v>
      </c>
      <c r="DL120" cm="1">
        <f t="array" aca="1" ref="DL120" ca="1">IF(ISNA(N120),,OFFSET(INDIRECT("'"&amp;EC$67&amp;"'!f1"),N120-1,))*1</f>
        <v>6.9803986698389001E-3</v>
      </c>
      <c r="DM120" cm="1">
        <f t="array" aca="1" ref="DM120" ca="1">IF(ISNA(O120),,OFFSET(INDIRECT("'"&amp;ED$67&amp;"'!f1"),O120-1,))*1</f>
        <v>8.28797183930873E-3</v>
      </c>
      <c r="DN120" cm="1">
        <f t="array" aca="1" ref="DN120" ca="1">IF(ISNA(P120),,OFFSET(INDIRECT("'"&amp;EE$67&amp;"'!f1"),P120-1,))*1</f>
        <v>1.32807744666934E-2</v>
      </c>
      <c r="DT120">
        <f t="shared" ca="1" si="125"/>
        <v>1</v>
      </c>
      <c r="DU120">
        <f t="shared" ca="1" si="126"/>
        <v>1</v>
      </c>
      <c r="DV120">
        <f t="shared" ca="1" si="127"/>
        <v>1</v>
      </c>
      <c r="DW120">
        <f t="shared" ca="1" si="128"/>
        <v>0</v>
      </c>
      <c r="DX120">
        <f t="shared" ca="1" si="129"/>
        <v>1</v>
      </c>
      <c r="DY120">
        <f t="shared" ca="1" si="130"/>
        <v>1</v>
      </c>
      <c r="DZ120">
        <f t="shared" ca="1" si="131"/>
        <v>8019</v>
      </c>
      <c r="EA120">
        <f t="shared" ca="1" si="132"/>
        <v>9774</v>
      </c>
      <c r="EB120">
        <f t="shared" ca="1" si="133"/>
        <v>3494</v>
      </c>
      <c r="EC120">
        <f t="shared" ca="1" si="134"/>
        <v>0</v>
      </c>
      <c r="ED120">
        <f t="shared" ca="1" si="135"/>
        <v>0</v>
      </c>
      <c r="EE120">
        <f t="shared" ca="1" si="136"/>
        <v>0</v>
      </c>
      <c r="EK120" cm="1">
        <f t="array" aca="1" ref="EK120" ca="1">IF(ISNA(E120),0,OFFSET(INDIRECT("'"&amp;EK$67&amp;"'!g1"),E120-1,)*CL120)</f>
        <v>1</v>
      </c>
      <c r="EL120" cm="1">
        <f t="array" aca="1" ref="EL120" ca="1">IF(ISNA(F120),0,OFFSET(INDIRECT("'"&amp;EL$67&amp;"'!g1"),F120-1,)*CM120)</f>
        <v>1</v>
      </c>
      <c r="EM120" cm="1">
        <f t="array" aca="1" ref="EM120" ca="1">IF(ISNA(G120),0,OFFSET(INDIRECT("'"&amp;EM$67&amp;"'!g1"),G120-1,)*CN120)</f>
        <v>1</v>
      </c>
      <c r="EN120" cm="1">
        <f t="array" aca="1" ref="EN120" ca="1">IF(ISNA(H120),0,OFFSET(INDIRECT("'"&amp;EN$67&amp;"'!g1"),H120-1,)*CO120)</f>
        <v>0</v>
      </c>
      <c r="EO120" cm="1">
        <f t="array" aca="1" ref="EO120" ca="1">IF(ISNA(I120),0,OFFSET(INDIRECT("'"&amp;EO$67&amp;"'!g1"),I120-1,)*CP120)</f>
        <v>1</v>
      </c>
      <c r="EP120" cm="1">
        <f t="array" aca="1" ref="EP120" ca="1">IF(ISNA(J120),0,OFFSET(INDIRECT("'"&amp;EP$67&amp;"'!g1"),J120-1,)*CQ120)</f>
        <v>1</v>
      </c>
      <c r="EQ120" cm="1">
        <f t="array" aca="1" ref="EQ120" ca="1">IF(ISNA(K120),0,OFFSET(INDIRECT("'"&amp;EQ$67&amp;"'!g1"),K120-1,)*CR120)</f>
        <v>8019</v>
      </c>
      <c r="ER120" cm="1">
        <f t="array" aca="1" ref="ER120" ca="1">IF(ISNA(L120),0,OFFSET(INDIRECT("'"&amp;ER$67&amp;"'!g1"),L120-1,)*CS120)</f>
        <v>9774</v>
      </c>
      <c r="ES120" cm="1">
        <f t="array" aca="1" ref="ES120" ca="1">IF(ISNA(M120),0,OFFSET(INDIRECT("'"&amp;ES$67&amp;"'!g1"),M120-1,)*CT120)</f>
        <v>3494</v>
      </c>
      <c r="ET120" cm="1">
        <f t="array" aca="1" ref="ET120" ca="1">IF(ISNA(N120),0,OFFSET(INDIRECT("'"&amp;ET$67&amp;"'!g1"),N120-1,)*CU120)</f>
        <v>0</v>
      </c>
      <c r="EU120" cm="1">
        <f t="array" aca="1" ref="EU120" ca="1">IF(ISNA(O120),0,OFFSET(INDIRECT("'"&amp;EU$67&amp;"'!g1"),O120-1,)*CV120)</f>
        <v>0</v>
      </c>
      <c r="EV120" cm="1">
        <f t="array" aca="1" ref="EV120" ca="1">IF(ISNA(P120),0,OFFSET(INDIRECT("'"&amp;EV$67&amp;"'!g1"),P120-1,)*CW120)</f>
        <v>0</v>
      </c>
      <c r="FB120" s="10" cm="1">
        <f t="array" aca="1" ref="FB120" ca="1">IF(ISNA(E120),0,OFFSET(INDIRECT("'"&amp;EK$67&amp;"'!h1"),E120-1,))</f>
        <v>1</v>
      </c>
      <c r="FC120" s="10" cm="1">
        <f t="array" aca="1" ref="FC120" ca="1">IF(ISNA(F120),0,OFFSET(INDIRECT("'"&amp;EL$67&amp;"'!h1"),F120-1,))</f>
        <v>1</v>
      </c>
      <c r="FD120" s="10" cm="1">
        <f t="array" aca="1" ref="FD120" ca="1">IF(ISNA(G120),0,OFFSET(INDIRECT("'"&amp;EM$67&amp;"'!h1"),G120-1,))</f>
        <v>1</v>
      </c>
      <c r="FE120" s="10" cm="1">
        <f t="array" aca="1" ref="FE120" ca="1">IF(ISNA(H120),0,OFFSET(INDIRECT("'"&amp;EN$67&amp;"'!h1"),H120-1,))</f>
        <v>1</v>
      </c>
      <c r="FF120" s="10" cm="1">
        <f t="array" aca="1" ref="FF120" ca="1">IF(ISNA(I120),0,OFFSET(INDIRECT("'"&amp;EO$67&amp;"'!h1"),I120-1,))</f>
        <v>1</v>
      </c>
      <c r="FG120" s="10" cm="1">
        <f t="array" aca="1" ref="FG120" ca="1">IF(ISNA(J120),0,OFFSET(INDIRECT("'"&amp;EP$67&amp;"'!h1"),J120-1,))</f>
        <v>1</v>
      </c>
      <c r="FH120" s="10" cm="1">
        <f t="array" aca="1" ref="FH120" ca="1">IF(ISNA(K120),0,OFFSET(INDIRECT("'"&amp;EQ$67&amp;"'!h1"),K120-1,))</f>
        <v>10000</v>
      </c>
      <c r="FI120" s="10" cm="1">
        <f t="array" aca="1" ref="FI120" ca="1">IF(ISNA(L120),0,OFFSET(INDIRECT("'"&amp;ER$67&amp;"'!h1"),L120-1,))</f>
        <v>10000</v>
      </c>
      <c r="FJ120" s="10" cm="1">
        <f t="array" aca="1" ref="FJ120" ca="1">IF(ISNA(M120),0,OFFSET(INDIRECT("'"&amp;ES$67&amp;"'!h1"),M120-1,))</f>
        <v>10000</v>
      </c>
      <c r="FK120" s="10" cm="1">
        <f t="array" aca="1" ref="FK120" ca="1">IF(ISNA(N120),0,OFFSET(INDIRECT("'"&amp;ET$67&amp;"'!h1"),N120-1,))</f>
        <v>1</v>
      </c>
      <c r="FL120" s="10" cm="1">
        <f t="array" aca="1" ref="FL120" ca="1">IF(ISNA(O120),0,OFFSET(INDIRECT("'"&amp;EU$67&amp;"'!h1"),O120-1,))</f>
        <v>1</v>
      </c>
      <c r="FM120" s="10" cm="1">
        <f t="array" aca="1" ref="FM120" ca="1">IF(ISNA(P120),0,OFFSET(INDIRECT("'"&amp;EV$67&amp;"'!h1"),P120-1,))</f>
        <v>9</v>
      </c>
      <c r="FN120" s="10"/>
      <c r="FO120" s="10"/>
      <c r="FP120" s="10"/>
      <c r="FQ120" s="10"/>
      <c r="FS120">
        <f t="shared" ca="1" si="137"/>
        <v>60</v>
      </c>
      <c r="FT120">
        <f t="shared" ca="1" si="62"/>
        <v>2.0751088894903602</v>
      </c>
      <c r="FU120">
        <f t="shared" ca="1" si="63"/>
        <v>8019</v>
      </c>
      <c r="FV120">
        <f t="shared" ca="1" si="64"/>
        <v>10000</v>
      </c>
      <c r="FW120" s="4">
        <f t="shared" ca="1" si="138"/>
        <v>0.80189999999999995</v>
      </c>
      <c r="FX120" s="5">
        <f t="shared" ca="1" si="139"/>
        <v>2.5877402288195038E-4</v>
      </c>
      <c r="FZ120" s="13">
        <f t="shared" ca="1" si="140"/>
        <v>60</v>
      </c>
      <c r="GA120" s="23">
        <f t="shared" ca="1" si="141"/>
        <v>0</v>
      </c>
      <c r="GB120" s="23">
        <f t="shared" ca="1" si="142"/>
        <v>0</v>
      </c>
      <c r="GC120" s="23">
        <f t="shared" ca="1" si="143"/>
        <v>0</v>
      </c>
      <c r="GD120" s="23" t="e">
        <f t="shared" ca="1" si="144"/>
        <v>#N/A</v>
      </c>
      <c r="GE120" s="23">
        <f t="shared" ca="1" si="145"/>
        <v>0</v>
      </c>
      <c r="GF120" s="23">
        <f t="shared" ca="1" si="146"/>
        <v>0</v>
      </c>
      <c r="GG120" s="23">
        <f t="shared" ca="1" si="147"/>
        <v>0</v>
      </c>
      <c r="GH120" s="23">
        <f t="shared" ca="1" si="148"/>
        <v>0</v>
      </c>
      <c r="GI120" s="23">
        <f t="shared" ca="1" si="149"/>
        <v>0</v>
      </c>
      <c r="GJ120" s="23" t="e">
        <f t="shared" ca="1" si="150"/>
        <v>#N/A</v>
      </c>
      <c r="GK120" s="23" t="e">
        <f t="shared" ca="1" si="151"/>
        <v>#N/A</v>
      </c>
      <c r="GL120" s="23" t="e">
        <f t="shared" ca="1" si="152"/>
        <v>#N/A</v>
      </c>
      <c r="GM120" s="23"/>
      <c r="GN120">
        <f t="shared" ca="1" si="153"/>
        <v>60</v>
      </c>
      <c r="GO120" s="5">
        <f t="shared" ca="1" si="154"/>
        <v>55.8427160459999</v>
      </c>
      <c r="GP120" s="5">
        <f t="shared" ca="1" si="155"/>
        <v>983.13078872400001</v>
      </c>
      <c r="GQ120" s="5">
        <f t="shared" ca="1" si="156"/>
        <v>287.29937615999899</v>
      </c>
      <c r="GR120" s="5" t="e">
        <f t="shared" ca="1" si="157"/>
        <v>#N/A</v>
      </c>
      <c r="GS120" s="5">
        <f t="shared" ca="1" si="158"/>
        <v>5.6529084002249798E-2</v>
      </c>
      <c r="GT120" s="5">
        <f t="shared" ca="1" si="159"/>
        <v>0.14173495210707099</v>
      </c>
      <c r="GU120" s="5">
        <f t="shared" ca="1" si="160"/>
        <v>2.5877402288195038E-4</v>
      </c>
      <c r="GV120" s="5">
        <f t="shared" ca="1" si="161"/>
        <v>2.7990240869723041E-4</v>
      </c>
      <c r="GW120" s="5">
        <f t="shared" ca="1" si="162"/>
        <v>6.9230450205312825E-3</v>
      </c>
      <c r="GX120" s="5" t="e">
        <f t="shared" ca="1" si="163"/>
        <v>#N/A</v>
      </c>
      <c r="GY120" s="5" t="e">
        <f t="shared" ca="1" si="164"/>
        <v>#N/A</v>
      </c>
      <c r="GZ120" s="5" t="e">
        <f t="shared" ca="1" si="165"/>
        <v>#N/A</v>
      </c>
      <c r="HB120" s="13">
        <f t="shared" ca="1" si="166"/>
        <v>60</v>
      </c>
      <c r="HC120" s="4">
        <f t="shared" ca="1" si="167"/>
        <v>1</v>
      </c>
      <c r="HD120" s="4">
        <f t="shared" ca="1" si="168"/>
        <v>1</v>
      </c>
      <c r="HE120" s="4">
        <f t="shared" ca="1" si="169"/>
        <v>1</v>
      </c>
      <c r="HF120" s="4">
        <f t="shared" ca="1" si="170"/>
        <v>0</v>
      </c>
      <c r="HG120" s="4">
        <f t="shared" ca="1" si="171"/>
        <v>1</v>
      </c>
      <c r="HH120" s="4">
        <f t="shared" ca="1" si="172"/>
        <v>1</v>
      </c>
      <c r="HI120" s="4">
        <f t="shared" ca="1" si="173"/>
        <v>0.80189999999999995</v>
      </c>
      <c r="HJ120" s="4">
        <f t="shared" ca="1" si="174"/>
        <v>0.97740000000000005</v>
      </c>
      <c r="HK120" s="4">
        <f t="shared" ca="1" si="175"/>
        <v>0.34939999999999999</v>
      </c>
      <c r="HL120" s="4">
        <f t="shared" ca="1" si="176"/>
        <v>0</v>
      </c>
      <c r="HM120" s="4">
        <f t="shared" ca="1" si="177"/>
        <v>0</v>
      </c>
      <c r="HN120" s="4">
        <f t="shared" ca="1" si="178"/>
        <v>0</v>
      </c>
    </row>
    <row r="121" spans="1:222" x14ac:dyDescent="0.2">
      <c r="A121" t="str" cm="1">
        <f t="array" aca="1" ref="A121" ca="1">INDIRECT($A$67&amp;"!A"&amp;ROW(C54)+$B$64)</f>
        <v>[[61,18,19]]</v>
      </c>
      <c r="B121" cm="1">
        <f t="array" aca="1" ref="B121" ca="1">INDIRECT($A$67&amp;"!b"&amp;ROW(D54)+$B$64)</f>
        <v>61</v>
      </c>
      <c r="C121">
        <f t="shared" ca="1" si="78"/>
        <v>19</v>
      </c>
      <c r="E121">
        <f t="shared" ca="1" si="180"/>
        <v>78</v>
      </c>
      <c r="F121">
        <f t="shared" ca="1" si="180"/>
        <v>79</v>
      </c>
      <c r="G121">
        <f t="shared" ca="1" si="180"/>
        <v>78</v>
      </c>
      <c r="H121">
        <f t="shared" ca="1" si="180"/>
        <v>82</v>
      </c>
      <c r="I121">
        <f t="shared" ca="1" si="180"/>
        <v>81</v>
      </c>
      <c r="J121">
        <f t="shared" ca="1" si="180"/>
        <v>78</v>
      </c>
      <c r="K121">
        <f t="shared" ca="1" si="180"/>
        <v>85</v>
      </c>
      <c r="L121">
        <f t="shared" ca="1" si="180"/>
        <v>87</v>
      </c>
      <c r="M121">
        <f t="shared" ca="1" si="180"/>
        <v>84</v>
      </c>
      <c r="N121">
        <f t="shared" ca="1" si="180"/>
        <v>82</v>
      </c>
      <c r="O121">
        <f t="shared" ca="1" si="180"/>
        <v>82</v>
      </c>
      <c r="P121">
        <f t="shared" ca="1" si="180"/>
        <v>82</v>
      </c>
      <c r="V121" cm="1">
        <f t="array" aca="1" ref="V121" ca="1">IF(ISNA(E121),,OFFSET(INDIRECT("'"&amp;V$67&amp;"'!d1"),E121-1,))</f>
        <v>19</v>
      </c>
      <c r="W121" cm="1">
        <f t="array" aca="1" ref="W121" ca="1">IF(ISNA(F121),,OFFSET(INDIRECT("'"&amp;W$67&amp;"'!d1"),F121-1,))</f>
        <v>19</v>
      </c>
      <c r="X121" cm="1">
        <f t="array" aca="1" ref="X121" ca="1">IF(ISNA(G121),,OFFSET(INDIRECT("'"&amp;X$67&amp;"'!d1"),G121-1,))</f>
        <v>19</v>
      </c>
      <c r="Y121" cm="1">
        <f t="array" aca="1" ref="Y121" ca="1">IF(ISNA(H121),,OFFSET(INDIRECT("'"&amp;Y$67&amp;"'!d1"),H121-1,))</f>
        <v>0</v>
      </c>
      <c r="Z121" cm="1">
        <f t="array" aca="1" ref="Z121" ca="1">IF(ISNA(I121),,OFFSET(INDIRECT("'"&amp;Z$67&amp;"'!d1"),I121-1,))</f>
        <v>19</v>
      </c>
      <c r="AA121" cm="1">
        <f t="array" aca="1" ref="AA121" ca="1">IF(ISNA(J121),,OFFSET(INDIRECT("'"&amp;AA$67&amp;"'!d1"),J121-1,))</f>
        <v>19</v>
      </c>
      <c r="AB121" cm="1">
        <f t="array" aca="1" ref="AB121" ca="1">IF(ISNA(K121),,OFFSET(INDIRECT("'"&amp;AB$67&amp;"'!d1"),K121-1,))</f>
        <v>19</v>
      </c>
      <c r="AC121" cm="1">
        <f t="array" aca="1" ref="AC121" ca="1">IF(ISNA(L121),,OFFSET(INDIRECT("'"&amp;AC$67&amp;"'!d1"),L121-1,))</f>
        <v>19</v>
      </c>
      <c r="AD121" cm="1">
        <f t="array" aca="1" ref="AD121" ca="1">IF(ISNA(M121),,OFFSET(INDIRECT("'"&amp;AD$67&amp;"'!d1"),M121-1,))</f>
        <v>19</v>
      </c>
      <c r="AE121" cm="1">
        <f t="array" aca="1" ref="AE121" ca="1">IF(ISNA(N121),,OFFSET(INDIRECT("'"&amp;AE$67&amp;"'!d1"),N121-1,))</f>
        <v>0</v>
      </c>
      <c r="AF121" cm="1">
        <f t="array" aca="1" ref="AF121" ca="1">IF(ISNA(O121),,OFFSET(INDIRECT("'"&amp;AF$67&amp;"'!d1"),O121-1,))</f>
        <v>0</v>
      </c>
      <c r="AG121" cm="1">
        <f t="array" aca="1" ref="AG121" ca="1">IF(ISNA(P121),,OFFSET(INDIRECT("'"&amp;AG$67&amp;"'!d1"),P121-1,))</f>
        <v>0</v>
      </c>
      <c r="AM121">
        <f t="shared" ca="1" si="79"/>
        <v>1</v>
      </c>
      <c r="AN121">
        <f t="shared" ca="1" si="80"/>
        <v>1</v>
      </c>
      <c r="AO121">
        <f t="shared" ca="1" si="81"/>
        <v>1</v>
      </c>
      <c r="AP121">
        <f t="shared" ca="1" si="82"/>
        <v>0</v>
      </c>
      <c r="AQ121">
        <f t="shared" ca="1" si="83"/>
        <v>1</v>
      </c>
      <c r="AV121" t="b">
        <f t="shared" ca="1" si="84"/>
        <v>1</v>
      </c>
      <c r="AW121" t="b">
        <f t="shared" ca="1" si="85"/>
        <v>1</v>
      </c>
      <c r="AX121" t="b">
        <f t="shared" ca="1" si="86"/>
        <v>1</v>
      </c>
      <c r="AY121" t="str">
        <f t="shared" ca="1" si="87"/>
        <v/>
      </c>
      <c r="AZ121" t="b">
        <f t="shared" ca="1" si="88"/>
        <v>1</v>
      </c>
      <c r="BD121">
        <f t="shared" ca="1" si="89"/>
        <v>1</v>
      </c>
      <c r="BE121">
        <f t="shared" ca="1" si="90"/>
        <v>1</v>
      </c>
      <c r="BF121">
        <f t="shared" ca="1" si="91"/>
        <v>1</v>
      </c>
      <c r="BG121">
        <f t="shared" ca="1" si="92"/>
        <v>0</v>
      </c>
      <c r="BH121">
        <f t="shared" ca="1" si="93"/>
        <v>1</v>
      </c>
      <c r="BI121">
        <f t="shared" ca="1" si="94"/>
        <v>1</v>
      </c>
      <c r="BJ121">
        <f t="shared" ca="1" si="95"/>
        <v>1</v>
      </c>
      <c r="BK121">
        <f t="shared" ca="1" si="96"/>
        <v>1</v>
      </c>
      <c r="BL121">
        <f t="shared" ca="1" si="97"/>
        <v>1</v>
      </c>
      <c r="BM121">
        <f t="shared" ca="1" si="98"/>
        <v>0</v>
      </c>
      <c r="BN121">
        <f t="shared" ca="1" si="99"/>
        <v>0</v>
      </c>
      <c r="BO121">
        <f t="shared" ca="1" si="100"/>
        <v>0</v>
      </c>
      <c r="BU121">
        <f t="shared" ca="1" si="101"/>
        <v>19</v>
      </c>
      <c r="BV121">
        <f t="shared" ca="1" si="102"/>
        <v>19</v>
      </c>
      <c r="BW121">
        <f t="shared" ca="1" si="103"/>
        <v>19</v>
      </c>
      <c r="BX121">
        <f t="shared" ca="1" si="104"/>
        <v>61</v>
      </c>
      <c r="BY121">
        <f t="shared" ca="1" si="105"/>
        <v>19</v>
      </c>
      <c r="BZ121">
        <f t="shared" ca="1" si="106"/>
        <v>19</v>
      </c>
      <c r="CA121">
        <f t="shared" ca="1" si="107"/>
        <v>19</v>
      </c>
      <c r="CB121">
        <f t="shared" ca="1" si="108"/>
        <v>19</v>
      </c>
      <c r="CC121">
        <f t="shared" ca="1" si="109"/>
        <v>19</v>
      </c>
      <c r="CD121">
        <f t="shared" ca="1" si="110"/>
        <v>61</v>
      </c>
      <c r="CE121">
        <f t="shared" ca="1" si="111"/>
        <v>61</v>
      </c>
      <c r="CF121">
        <f t="shared" ca="1" si="112"/>
        <v>61</v>
      </c>
      <c r="CL121">
        <f t="shared" ca="1" si="113"/>
        <v>1</v>
      </c>
      <c r="CM121">
        <f t="shared" ca="1" si="114"/>
        <v>1</v>
      </c>
      <c r="CN121">
        <f t="shared" ca="1" si="115"/>
        <v>1</v>
      </c>
      <c r="CO121">
        <f t="shared" ca="1" si="116"/>
        <v>0</v>
      </c>
      <c r="CP121">
        <f t="shared" ca="1" si="117"/>
        <v>1</v>
      </c>
      <c r="CQ121">
        <f t="shared" ca="1" si="118"/>
        <v>1</v>
      </c>
      <c r="CR121">
        <f t="shared" ca="1" si="119"/>
        <v>1</v>
      </c>
      <c r="CS121">
        <f t="shared" ca="1" si="120"/>
        <v>1</v>
      </c>
      <c r="CT121">
        <f t="shared" ca="1" si="121"/>
        <v>1</v>
      </c>
      <c r="CU121">
        <f t="shared" ca="1" si="122"/>
        <v>0</v>
      </c>
      <c r="CV121">
        <f t="shared" ca="1" si="123"/>
        <v>0</v>
      </c>
      <c r="CW121">
        <f t="shared" ca="1" si="124"/>
        <v>0</v>
      </c>
      <c r="DC121" cm="1">
        <f t="array" aca="1" ref="DC121" ca="1">IF(ISNA(E121),,OFFSET(INDIRECT("'"&amp;DT$67&amp;"'!f1"),E121-1,))*1</f>
        <v>150.14066758800001</v>
      </c>
      <c r="DD121" cm="1">
        <f t="array" aca="1" ref="DD121" ca="1">IF(ISNA(F121),,OFFSET(INDIRECT("'"&amp;DU$67&amp;"'!f1"),F121-1,))*1</f>
        <v>614.00113995799904</v>
      </c>
      <c r="DE121" cm="1">
        <f t="array" aca="1" ref="DE121" ca="1">IF(ISNA(G121),,OFFSET(INDIRECT("'"&amp;DV$67&amp;"'!f1"),G121-1,))*1</f>
        <v>81.953455182999903</v>
      </c>
      <c r="DF121" cm="1">
        <f t="array" aca="1" ref="DF121" ca="1">IF(ISNA(H121),,OFFSET(INDIRECT("'"&amp;DW$67&amp;"'!f1"),H121-1,))*1</f>
        <v>28802.233686432199</v>
      </c>
      <c r="DG121" cm="1">
        <f t="array" aca="1" ref="DG121" ca="1">IF(ISNA(I121),,OFFSET(INDIRECT("'"&amp;DX$67&amp;"'!f1"),I121-1,))*1</f>
        <v>5.6562665995443198E-2</v>
      </c>
      <c r="DH121" cm="1">
        <f t="array" aca="1" ref="DH121" ca="1">IF(ISNA(J121),,OFFSET(INDIRECT("'"&amp;DY$67&amp;"'!f1"),J121-1,))*1</f>
        <v>0.150320958811789</v>
      </c>
      <c r="DI121" cm="1">
        <f t="array" aca="1" ref="DI121" ca="1">IF(ISNA(K121),,OFFSET(INDIRECT("'"&amp;DZ$67&amp;"'!f1"),K121-1,))*1</f>
        <v>2.18774504493922</v>
      </c>
      <c r="DJ121" cm="1">
        <f t="array" aca="1" ref="DJ121" ca="1">IF(ISNA(L121),,OFFSET(INDIRECT("'"&amp;EA$67&amp;"'!f1"),L121-1,))*1</f>
        <v>2.76612128783017</v>
      </c>
      <c r="DK121" cm="1">
        <f t="array" aca="1" ref="DK121" ca="1">IF(ISNA(M121),,OFFSET(INDIRECT("'"&amp;EB$67&amp;"'!f1"),M121-1,))*1</f>
        <v>26.482955918181599</v>
      </c>
      <c r="DL121" cm="1">
        <f t="array" aca="1" ref="DL121" ca="1">IF(ISNA(N121),,OFFSET(INDIRECT("'"&amp;EC$67&amp;"'!f1"),N121-1,))*1</f>
        <v>7.0038791745901099E-3</v>
      </c>
      <c r="DM121" cm="1">
        <f t="array" aca="1" ref="DM121" ca="1">IF(ISNA(O121),,OFFSET(INDIRECT("'"&amp;ED$67&amp;"'!f1"),O121-1,))*1</f>
        <v>8.3954241126775707E-3</v>
      </c>
      <c r="DN121" cm="1">
        <f t="array" aca="1" ref="DN121" ca="1">IF(ISNA(P121),,OFFSET(INDIRECT("'"&amp;EE$67&amp;"'!f1"),P121-1,))*1</f>
        <v>1.34729854762554E-2</v>
      </c>
      <c r="DT121">
        <f t="shared" ca="1" si="125"/>
        <v>1</v>
      </c>
      <c r="DU121">
        <f t="shared" ca="1" si="126"/>
        <v>1</v>
      </c>
      <c r="DV121">
        <f t="shared" ca="1" si="127"/>
        <v>1</v>
      </c>
      <c r="DW121">
        <f t="shared" ca="1" si="128"/>
        <v>0</v>
      </c>
      <c r="DX121">
        <f t="shared" ca="1" si="129"/>
        <v>1</v>
      </c>
      <c r="DY121">
        <f t="shared" ca="1" si="130"/>
        <v>1</v>
      </c>
      <c r="DZ121">
        <f t="shared" ca="1" si="131"/>
        <v>4825</v>
      </c>
      <c r="EA121">
        <f t="shared" ca="1" si="132"/>
        <v>8312</v>
      </c>
      <c r="EB121">
        <f t="shared" ca="1" si="133"/>
        <v>2768</v>
      </c>
      <c r="EC121">
        <f t="shared" ca="1" si="134"/>
        <v>0</v>
      </c>
      <c r="ED121">
        <f t="shared" ca="1" si="135"/>
        <v>0</v>
      </c>
      <c r="EE121">
        <f t="shared" ca="1" si="136"/>
        <v>0</v>
      </c>
      <c r="EK121" cm="1">
        <f t="array" aca="1" ref="EK121" ca="1">IF(ISNA(E121),0,OFFSET(INDIRECT("'"&amp;EK$67&amp;"'!g1"),E121-1,)*CL121)</f>
        <v>1</v>
      </c>
      <c r="EL121" cm="1">
        <f t="array" aca="1" ref="EL121" ca="1">IF(ISNA(F121),0,OFFSET(INDIRECT("'"&amp;EL$67&amp;"'!g1"),F121-1,)*CM121)</f>
        <v>1</v>
      </c>
      <c r="EM121" cm="1">
        <f t="array" aca="1" ref="EM121" ca="1">IF(ISNA(G121),0,OFFSET(INDIRECT("'"&amp;EM$67&amp;"'!g1"),G121-1,)*CN121)</f>
        <v>1</v>
      </c>
      <c r="EN121" cm="1">
        <f t="array" aca="1" ref="EN121" ca="1">IF(ISNA(H121),0,OFFSET(INDIRECT("'"&amp;EN$67&amp;"'!g1"),H121-1,)*CO121)</f>
        <v>0</v>
      </c>
      <c r="EO121" cm="1">
        <f t="array" aca="1" ref="EO121" ca="1">IF(ISNA(I121),0,OFFSET(INDIRECT("'"&amp;EO$67&amp;"'!g1"),I121-1,)*CP121)</f>
        <v>1</v>
      </c>
      <c r="EP121" cm="1">
        <f t="array" aca="1" ref="EP121" ca="1">IF(ISNA(J121),0,OFFSET(INDIRECT("'"&amp;EP$67&amp;"'!g1"),J121-1,)*CQ121)</f>
        <v>1</v>
      </c>
      <c r="EQ121" cm="1">
        <f t="array" aca="1" ref="EQ121" ca="1">IF(ISNA(K121),0,OFFSET(INDIRECT("'"&amp;EQ$67&amp;"'!g1"),K121-1,)*CR121)</f>
        <v>4825</v>
      </c>
      <c r="ER121" cm="1">
        <f t="array" aca="1" ref="ER121" ca="1">IF(ISNA(L121),0,OFFSET(INDIRECT("'"&amp;ER$67&amp;"'!g1"),L121-1,)*CS121)</f>
        <v>8312</v>
      </c>
      <c r="ES121" cm="1">
        <f t="array" aca="1" ref="ES121" ca="1">IF(ISNA(M121),0,OFFSET(INDIRECT("'"&amp;ES$67&amp;"'!g1"),M121-1,)*CT121)</f>
        <v>2768</v>
      </c>
      <c r="ET121" cm="1">
        <f t="array" aca="1" ref="ET121" ca="1">IF(ISNA(N121),0,OFFSET(INDIRECT("'"&amp;ET$67&amp;"'!g1"),N121-1,)*CU121)</f>
        <v>0</v>
      </c>
      <c r="EU121" cm="1">
        <f t="array" aca="1" ref="EU121" ca="1">IF(ISNA(O121),0,OFFSET(INDIRECT("'"&amp;EU$67&amp;"'!g1"),O121-1,)*CV121)</f>
        <v>0</v>
      </c>
      <c r="EV121" cm="1">
        <f t="array" aca="1" ref="EV121" ca="1">IF(ISNA(P121),0,OFFSET(INDIRECT("'"&amp;EV$67&amp;"'!g1"),P121-1,)*CW121)</f>
        <v>0</v>
      </c>
      <c r="FB121" s="10" cm="1">
        <f t="array" aca="1" ref="FB121" ca="1">IF(ISNA(E121),0,OFFSET(INDIRECT("'"&amp;EK$67&amp;"'!h1"),E121-1,))</f>
        <v>1</v>
      </c>
      <c r="FC121" s="10" cm="1">
        <f t="array" aca="1" ref="FC121" ca="1">IF(ISNA(F121),0,OFFSET(INDIRECT("'"&amp;EL$67&amp;"'!h1"),F121-1,))</f>
        <v>1</v>
      </c>
      <c r="FD121" s="10" cm="1">
        <f t="array" aca="1" ref="FD121" ca="1">IF(ISNA(G121),0,OFFSET(INDIRECT("'"&amp;EM$67&amp;"'!h1"),G121-1,))</f>
        <v>1</v>
      </c>
      <c r="FE121" s="10" cm="1">
        <f t="array" aca="1" ref="FE121" ca="1">IF(ISNA(H121),0,OFFSET(INDIRECT("'"&amp;EN$67&amp;"'!h1"),H121-1,))</f>
        <v>1</v>
      </c>
      <c r="FF121" s="10" cm="1">
        <f t="array" aca="1" ref="FF121" ca="1">IF(ISNA(I121),0,OFFSET(INDIRECT("'"&amp;EO$67&amp;"'!h1"),I121-1,))</f>
        <v>1</v>
      </c>
      <c r="FG121" s="10" cm="1">
        <f t="array" aca="1" ref="FG121" ca="1">IF(ISNA(J121),0,OFFSET(INDIRECT("'"&amp;EP$67&amp;"'!h1"),J121-1,))</f>
        <v>1</v>
      </c>
      <c r="FH121" s="10" cm="1">
        <f t="array" aca="1" ref="FH121" ca="1">IF(ISNA(K121),0,OFFSET(INDIRECT("'"&amp;EQ$67&amp;"'!h1"),K121-1,))</f>
        <v>10000</v>
      </c>
      <c r="FI121" s="10" cm="1">
        <f t="array" aca="1" ref="FI121" ca="1">IF(ISNA(L121),0,OFFSET(INDIRECT("'"&amp;ER$67&amp;"'!h1"),L121-1,))</f>
        <v>10000</v>
      </c>
      <c r="FJ121" s="10" cm="1">
        <f t="array" aca="1" ref="FJ121" ca="1">IF(ISNA(M121),0,OFFSET(INDIRECT("'"&amp;ES$67&amp;"'!h1"),M121-1,))</f>
        <v>10000</v>
      </c>
      <c r="FK121" s="10" cm="1">
        <f t="array" aca="1" ref="FK121" ca="1">IF(ISNA(N121),0,OFFSET(INDIRECT("'"&amp;ET$67&amp;"'!h1"),N121-1,))</f>
        <v>1</v>
      </c>
      <c r="FL121" s="10" cm="1">
        <f t="array" aca="1" ref="FL121" ca="1">IF(ISNA(O121),0,OFFSET(INDIRECT("'"&amp;EU$67&amp;"'!h1"),O121-1,))</f>
        <v>1</v>
      </c>
      <c r="FM121" s="10" cm="1">
        <f t="array" aca="1" ref="FM121" ca="1">IF(ISNA(P121),0,OFFSET(INDIRECT("'"&amp;EV$67&amp;"'!h1"),P121-1,))</f>
        <v>9</v>
      </c>
      <c r="FN121" s="10"/>
      <c r="FO121" s="10"/>
      <c r="FP121" s="10"/>
      <c r="FQ121" s="10"/>
      <c r="FS121">
        <f t="shared" ca="1" si="137"/>
        <v>61</v>
      </c>
      <c r="FT121">
        <f t="shared" ca="1" si="62"/>
        <v>2.18774504493922</v>
      </c>
      <c r="FU121">
        <f t="shared" ca="1" si="63"/>
        <v>4825</v>
      </c>
      <c r="FV121">
        <f t="shared" ca="1" si="64"/>
        <v>10000</v>
      </c>
      <c r="FW121" s="4">
        <f t="shared" ca="1" si="138"/>
        <v>0.48249999999999998</v>
      </c>
      <c r="FX121" s="5">
        <f t="shared" ca="1" si="139"/>
        <v>4.5341866216356891E-4</v>
      </c>
      <c r="FZ121" s="13">
        <f t="shared" ca="1" si="140"/>
        <v>61</v>
      </c>
      <c r="GA121" s="23">
        <f t="shared" ca="1" si="141"/>
        <v>0</v>
      </c>
      <c r="GB121" s="23">
        <f t="shared" ca="1" si="142"/>
        <v>0</v>
      </c>
      <c r="GC121" s="23">
        <f t="shared" ca="1" si="143"/>
        <v>0</v>
      </c>
      <c r="GD121" s="23" t="e">
        <f t="shared" ca="1" si="144"/>
        <v>#N/A</v>
      </c>
      <c r="GE121" s="23">
        <f t="shared" ca="1" si="145"/>
        <v>0</v>
      </c>
      <c r="GF121" s="23">
        <f t="shared" ca="1" si="146"/>
        <v>0</v>
      </c>
      <c r="GG121" s="23">
        <f t="shared" ca="1" si="147"/>
        <v>0</v>
      </c>
      <c r="GH121" s="23">
        <f t="shared" ca="1" si="148"/>
        <v>0</v>
      </c>
      <c r="GI121" s="23">
        <f t="shared" ca="1" si="149"/>
        <v>0</v>
      </c>
      <c r="GJ121" s="23" t="e">
        <f t="shared" ca="1" si="150"/>
        <v>#N/A</v>
      </c>
      <c r="GK121" s="23" t="e">
        <f t="shared" ca="1" si="151"/>
        <v>#N/A</v>
      </c>
      <c r="GL121" s="23" t="e">
        <f t="shared" ca="1" si="152"/>
        <v>#N/A</v>
      </c>
      <c r="GM121" s="23"/>
      <c r="GN121">
        <f t="shared" ca="1" si="153"/>
        <v>61</v>
      </c>
      <c r="GO121" s="5">
        <f t="shared" ca="1" si="154"/>
        <v>150.14066758800001</v>
      </c>
      <c r="GP121" s="5">
        <f t="shared" ca="1" si="155"/>
        <v>614.00113995799904</v>
      </c>
      <c r="GQ121" s="5">
        <f t="shared" ca="1" si="156"/>
        <v>81.953455182999903</v>
      </c>
      <c r="GR121" s="5" t="e">
        <f t="shared" ca="1" si="157"/>
        <v>#N/A</v>
      </c>
      <c r="GS121" s="5">
        <f t="shared" ca="1" si="158"/>
        <v>5.6562665995443198E-2</v>
      </c>
      <c r="GT121" s="5">
        <f t="shared" ca="1" si="159"/>
        <v>0.150320958811789</v>
      </c>
      <c r="GU121" s="5">
        <f t="shared" ca="1" si="160"/>
        <v>4.5341866216356891E-4</v>
      </c>
      <c r="GV121" s="5">
        <f t="shared" ca="1" si="161"/>
        <v>3.3278648794876923E-4</v>
      </c>
      <c r="GW121" s="5">
        <f t="shared" ca="1" si="162"/>
        <v>9.5675418779557798E-3</v>
      </c>
      <c r="GX121" s="5" t="e">
        <f t="shared" ca="1" si="163"/>
        <v>#N/A</v>
      </c>
      <c r="GY121" s="5" t="e">
        <f t="shared" ca="1" si="164"/>
        <v>#N/A</v>
      </c>
      <c r="GZ121" s="5" t="e">
        <f t="shared" ca="1" si="165"/>
        <v>#N/A</v>
      </c>
      <c r="HB121" s="13">
        <f t="shared" ca="1" si="166"/>
        <v>61</v>
      </c>
      <c r="HC121" s="4">
        <f t="shared" ca="1" si="167"/>
        <v>1</v>
      </c>
      <c r="HD121" s="4">
        <f t="shared" ca="1" si="168"/>
        <v>1</v>
      </c>
      <c r="HE121" s="4">
        <f t="shared" ca="1" si="169"/>
        <v>1</v>
      </c>
      <c r="HF121" s="4">
        <f t="shared" ca="1" si="170"/>
        <v>0</v>
      </c>
      <c r="HG121" s="4">
        <f t="shared" ca="1" si="171"/>
        <v>1</v>
      </c>
      <c r="HH121" s="4">
        <f t="shared" ca="1" si="172"/>
        <v>1</v>
      </c>
      <c r="HI121" s="4">
        <f t="shared" ca="1" si="173"/>
        <v>0.48249999999999998</v>
      </c>
      <c r="HJ121" s="4">
        <f t="shared" ca="1" si="174"/>
        <v>0.83120000000000005</v>
      </c>
      <c r="HK121" s="4">
        <f t="shared" ca="1" si="175"/>
        <v>0.27679999999999999</v>
      </c>
      <c r="HL121" s="4">
        <f t="shared" ca="1" si="176"/>
        <v>0</v>
      </c>
      <c r="HM121" s="4">
        <f t="shared" ca="1" si="177"/>
        <v>0</v>
      </c>
      <c r="HN121" s="4">
        <f t="shared" ca="1" si="178"/>
        <v>0</v>
      </c>
    </row>
    <row r="122" spans="1:222" x14ac:dyDescent="0.2">
      <c r="A122" t="str" cm="1">
        <f t="array" aca="1" ref="A122" ca="1">INDIRECT($A$67&amp;"!A"&amp;ROW(C55)+$B$64)</f>
        <v>[[62,21,17]]</v>
      </c>
      <c r="B122" cm="1">
        <f t="array" aca="1" ref="B122" ca="1">INDIRECT($A$67&amp;"!b"&amp;ROW(D55)+$B$64)</f>
        <v>62</v>
      </c>
      <c r="C122">
        <f t="shared" ca="1" si="78"/>
        <v>17</v>
      </c>
      <c r="E122">
        <f t="shared" ca="1" si="180"/>
        <v>79</v>
      </c>
      <c r="F122">
        <f t="shared" ca="1" si="180"/>
        <v>80</v>
      </c>
      <c r="G122">
        <f t="shared" ca="1" si="180"/>
        <v>79</v>
      </c>
      <c r="H122">
        <f t="shared" ca="1" si="180"/>
        <v>89</v>
      </c>
      <c r="I122">
        <f t="shared" ca="1" si="180"/>
        <v>82</v>
      </c>
      <c r="J122">
        <f t="shared" ca="1" si="180"/>
        <v>79</v>
      </c>
      <c r="K122">
        <f t="shared" ca="1" si="180"/>
        <v>86</v>
      </c>
      <c r="L122">
        <f t="shared" ca="1" si="180"/>
        <v>88</v>
      </c>
      <c r="M122">
        <f t="shared" ca="1" si="180"/>
        <v>85</v>
      </c>
      <c r="N122">
        <f t="shared" ca="1" si="180"/>
        <v>83</v>
      </c>
      <c r="O122">
        <f t="shared" ca="1" si="180"/>
        <v>83</v>
      </c>
      <c r="P122">
        <f t="shared" ca="1" si="180"/>
        <v>83</v>
      </c>
      <c r="V122" cm="1">
        <f t="array" aca="1" ref="V122" ca="1">IF(ISNA(E122),,OFFSET(INDIRECT("'"&amp;V$67&amp;"'!d1"),E122-1,))</f>
        <v>17</v>
      </c>
      <c r="W122" cm="1">
        <f t="array" aca="1" ref="W122" ca="1">IF(ISNA(F122),,OFFSET(INDIRECT("'"&amp;W$67&amp;"'!d1"),F122-1,))</f>
        <v>17</v>
      </c>
      <c r="X122" cm="1">
        <f t="array" aca="1" ref="X122" ca="1">IF(ISNA(G122),,OFFSET(INDIRECT("'"&amp;X$67&amp;"'!d1"),G122-1,))</f>
        <v>17</v>
      </c>
      <c r="Y122" cm="1">
        <f t="array" aca="1" ref="Y122" ca="1">IF(ISNA(H122),,OFFSET(INDIRECT("'"&amp;Y$67&amp;"'!d1"),H122-1,))</f>
        <v>0</v>
      </c>
      <c r="Z122" cm="1">
        <f t="array" aca="1" ref="Z122" ca="1">IF(ISNA(I122),,OFFSET(INDIRECT("'"&amp;Z$67&amp;"'!d1"),I122-1,))</f>
        <v>17</v>
      </c>
      <c r="AA122" cm="1">
        <f t="array" aca="1" ref="AA122" ca="1">IF(ISNA(J122),,OFFSET(INDIRECT("'"&amp;AA$67&amp;"'!d1"),J122-1,))</f>
        <v>17</v>
      </c>
      <c r="AB122" cm="1">
        <f t="array" aca="1" ref="AB122" ca="1">IF(ISNA(K122),,OFFSET(INDIRECT("'"&amp;AB$67&amp;"'!d1"),K122-1,))</f>
        <v>17</v>
      </c>
      <c r="AC122" cm="1">
        <f t="array" aca="1" ref="AC122" ca="1">IF(ISNA(L122),,OFFSET(INDIRECT("'"&amp;AC$67&amp;"'!d1"),L122-1,))</f>
        <v>17</v>
      </c>
      <c r="AD122" cm="1">
        <f t="array" aca="1" ref="AD122" ca="1">IF(ISNA(M122),,OFFSET(INDIRECT("'"&amp;AD$67&amp;"'!d1"),M122-1,))</f>
        <v>17</v>
      </c>
      <c r="AE122" cm="1">
        <f t="array" aca="1" ref="AE122" ca="1">IF(ISNA(N122),,OFFSET(INDIRECT("'"&amp;AE$67&amp;"'!d1"),N122-1,))</f>
        <v>0</v>
      </c>
      <c r="AF122" cm="1">
        <f t="array" aca="1" ref="AF122" ca="1">IF(ISNA(O122),,OFFSET(INDIRECT("'"&amp;AF$67&amp;"'!d1"),O122-1,))</f>
        <v>0</v>
      </c>
      <c r="AG122" cm="1">
        <f t="array" aca="1" ref="AG122" ca="1">IF(ISNA(P122),,OFFSET(INDIRECT("'"&amp;AG$67&amp;"'!d1"),P122-1,))</f>
        <v>0</v>
      </c>
      <c r="AM122">
        <f t="shared" ca="1" si="79"/>
        <v>1</v>
      </c>
      <c r="AN122">
        <f t="shared" ca="1" si="80"/>
        <v>1</v>
      </c>
      <c r="AO122">
        <f t="shared" ca="1" si="81"/>
        <v>1</v>
      </c>
      <c r="AP122">
        <f t="shared" ca="1" si="82"/>
        <v>0</v>
      </c>
      <c r="AQ122">
        <f t="shared" ca="1" si="83"/>
        <v>1</v>
      </c>
      <c r="AV122" t="b">
        <f t="shared" ca="1" si="84"/>
        <v>1</v>
      </c>
      <c r="AW122" t="b">
        <f t="shared" ca="1" si="85"/>
        <v>1</v>
      </c>
      <c r="AX122" t="b">
        <f t="shared" ca="1" si="86"/>
        <v>1</v>
      </c>
      <c r="AY122" t="str">
        <f t="shared" ca="1" si="87"/>
        <v/>
      </c>
      <c r="AZ122" t="b">
        <f t="shared" ca="1" si="88"/>
        <v>1</v>
      </c>
      <c r="BD122">
        <f t="shared" ca="1" si="89"/>
        <v>1</v>
      </c>
      <c r="BE122">
        <f t="shared" ca="1" si="90"/>
        <v>1</v>
      </c>
      <c r="BF122">
        <f t="shared" ca="1" si="91"/>
        <v>1</v>
      </c>
      <c r="BG122">
        <f t="shared" ca="1" si="92"/>
        <v>0</v>
      </c>
      <c r="BH122">
        <f t="shared" ca="1" si="93"/>
        <v>1</v>
      </c>
      <c r="BI122">
        <f t="shared" ca="1" si="94"/>
        <v>1</v>
      </c>
      <c r="BJ122">
        <f t="shared" ca="1" si="95"/>
        <v>1</v>
      </c>
      <c r="BK122">
        <f t="shared" ca="1" si="96"/>
        <v>1</v>
      </c>
      <c r="BL122">
        <f t="shared" ca="1" si="97"/>
        <v>1</v>
      </c>
      <c r="BM122">
        <f t="shared" ca="1" si="98"/>
        <v>0</v>
      </c>
      <c r="BN122">
        <f t="shared" ca="1" si="99"/>
        <v>0</v>
      </c>
      <c r="BO122">
        <f t="shared" ca="1" si="100"/>
        <v>0</v>
      </c>
      <c r="BU122">
        <f t="shared" ca="1" si="101"/>
        <v>17</v>
      </c>
      <c r="BV122">
        <f t="shared" ca="1" si="102"/>
        <v>17</v>
      </c>
      <c r="BW122">
        <f t="shared" ca="1" si="103"/>
        <v>17</v>
      </c>
      <c r="BX122">
        <f t="shared" ca="1" si="104"/>
        <v>62</v>
      </c>
      <c r="BY122">
        <f t="shared" ca="1" si="105"/>
        <v>17</v>
      </c>
      <c r="BZ122">
        <f t="shared" ca="1" si="106"/>
        <v>17</v>
      </c>
      <c r="CA122">
        <f t="shared" ca="1" si="107"/>
        <v>17</v>
      </c>
      <c r="CB122">
        <f t="shared" ca="1" si="108"/>
        <v>17</v>
      </c>
      <c r="CC122">
        <f t="shared" ca="1" si="109"/>
        <v>17</v>
      </c>
      <c r="CD122">
        <f t="shared" ca="1" si="110"/>
        <v>62</v>
      </c>
      <c r="CE122">
        <f t="shared" ca="1" si="111"/>
        <v>62</v>
      </c>
      <c r="CF122">
        <f t="shared" ca="1" si="112"/>
        <v>62</v>
      </c>
      <c r="CL122">
        <f t="shared" ca="1" si="113"/>
        <v>1</v>
      </c>
      <c r="CM122">
        <f t="shared" ca="1" si="114"/>
        <v>1</v>
      </c>
      <c r="CN122">
        <f t="shared" ca="1" si="115"/>
        <v>1</v>
      </c>
      <c r="CO122">
        <f t="shared" ca="1" si="116"/>
        <v>0</v>
      </c>
      <c r="CP122">
        <f t="shared" ca="1" si="117"/>
        <v>1</v>
      </c>
      <c r="CQ122">
        <f t="shared" ca="1" si="118"/>
        <v>1</v>
      </c>
      <c r="CR122">
        <f t="shared" ca="1" si="119"/>
        <v>1</v>
      </c>
      <c r="CS122">
        <f t="shared" ca="1" si="120"/>
        <v>1</v>
      </c>
      <c r="CT122">
        <f t="shared" ca="1" si="121"/>
        <v>1</v>
      </c>
      <c r="CU122">
        <f t="shared" ca="1" si="122"/>
        <v>0</v>
      </c>
      <c r="CV122">
        <f t="shared" ca="1" si="123"/>
        <v>0</v>
      </c>
      <c r="CW122">
        <f t="shared" ca="1" si="124"/>
        <v>0</v>
      </c>
      <c r="DC122" cm="1">
        <f t="array" aca="1" ref="DC122" ca="1">IF(ISNA(E122),,OFFSET(INDIRECT("'"&amp;DT$67&amp;"'!f1"),E122-1,))*1</f>
        <v>245.34418115699901</v>
      </c>
      <c r="DD122" cm="1">
        <f t="array" aca="1" ref="DD122" ca="1">IF(ISNA(F122),,OFFSET(INDIRECT("'"&amp;DU$67&amp;"'!f1"),F122-1,))*1</f>
        <v>2072.6879365929999</v>
      </c>
      <c r="DE122" cm="1">
        <f t="array" aca="1" ref="DE122" ca="1">IF(ISNA(G122),,OFFSET(INDIRECT("'"&amp;DV$67&amp;"'!f1"),G122-1,))*1</f>
        <v>272.78723286100001</v>
      </c>
      <c r="DF122" cm="1">
        <f t="array" aca="1" ref="DF122" ca="1">IF(ISNA(H122),,OFFSET(INDIRECT("'"&amp;DW$67&amp;"'!f1"),H122-1,))*1</f>
        <v>28800.126959562302</v>
      </c>
      <c r="DG122" cm="1">
        <f t="array" aca="1" ref="DG122" ca="1">IF(ISNA(I122),,OFFSET(INDIRECT("'"&amp;DX$67&amp;"'!f1"),I122-1,))*1</f>
        <v>5.8432875004655202E-2</v>
      </c>
      <c r="DH122" cm="1">
        <f t="array" aca="1" ref="DH122" ca="1">IF(ISNA(J122),,OFFSET(INDIRECT("'"&amp;DY$67&amp;"'!f1"),J122-1,))*1</f>
        <v>0.14640607032924799</v>
      </c>
      <c r="DI122" cm="1">
        <f t="array" aca="1" ref="DI122" ca="1">IF(ISNA(K122),,OFFSET(INDIRECT("'"&amp;DZ$67&amp;"'!f1"),K122-1,))*1</f>
        <v>2.1522152908146301</v>
      </c>
      <c r="DJ122" cm="1">
        <f t="array" aca="1" ref="DJ122" ca="1">IF(ISNA(L122),,OFFSET(INDIRECT("'"&amp;EA$67&amp;"'!f1"),L122-1,))*1</f>
        <v>2.7506240913644402</v>
      </c>
      <c r="DK122" cm="1">
        <f t="array" aca="1" ref="DK122" ca="1">IF(ISNA(M122),,OFFSET(INDIRECT("'"&amp;EB$67&amp;"'!f1"),M122-1,))*1</f>
        <v>33.292176631744901</v>
      </c>
      <c r="DL122" cm="1">
        <f t="array" aca="1" ref="DL122" ca="1">IF(ISNA(N122),,OFFSET(INDIRECT("'"&amp;EC$67&amp;"'!f1"),N122-1,))*1</f>
        <v>7.3717674240469898E-3</v>
      </c>
      <c r="DM122" cm="1">
        <f t="array" aca="1" ref="DM122" ca="1">IF(ISNA(O122),,OFFSET(INDIRECT("'"&amp;ED$67&amp;"'!f1"),O122-1,))*1</f>
        <v>8.8811786845326406E-3</v>
      </c>
      <c r="DN122" cm="1">
        <f t="array" aca="1" ref="DN122" ca="1">IF(ISNA(P122),,OFFSET(INDIRECT("'"&amp;EE$67&amp;"'!f1"),P122-1,))*1</f>
        <v>1.4205299317836701E-2</v>
      </c>
      <c r="DT122">
        <f t="shared" ca="1" si="125"/>
        <v>1</v>
      </c>
      <c r="DU122">
        <f t="shared" ca="1" si="126"/>
        <v>1</v>
      </c>
      <c r="DV122">
        <f t="shared" ca="1" si="127"/>
        <v>1</v>
      </c>
      <c r="DW122">
        <f t="shared" ca="1" si="128"/>
        <v>0</v>
      </c>
      <c r="DX122">
        <f t="shared" ca="1" si="129"/>
        <v>1</v>
      </c>
      <c r="DY122">
        <f t="shared" ca="1" si="130"/>
        <v>1</v>
      </c>
      <c r="DZ122">
        <f t="shared" ca="1" si="131"/>
        <v>7284</v>
      </c>
      <c r="EA122">
        <f t="shared" ca="1" si="132"/>
        <v>9331</v>
      </c>
      <c r="EB122">
        <f t="shared" ca="1" si="133"/>
        <v>6465</v>
      </c>
      <c r="EC122">
        <f t="shared" ca="1" si="134"/>
        <v>0</v>
      </c>
      <c r="ED122">
        <f t="shared" ca="1" si="135"/>
        <v>0</v>
      </c>
      <c r="EE122">
        <f t="shared" ca="1" si="136"/>
        <v>0</v>
      </c>
      <c r="EK122" cm="1">
        <f t="array" aca="1" ref="EK122" ca="1">IF(ISNA(E122),0,OFFSET(INDIRECT("'"&amp;EK$67&amp;"'!g1"),E122-1,)*CL122)</f>
        <v>1</v>
      </c>
      <c r="EL122" cm="1">
        <f t="array" aca="1" ref="EL122" ca="1">IF(ISNA(F122),0,OFFSET(INDIRECT("'"&amp;EL$67&amp;"'!g1"),F122-1,)*CM122)</f>
        <v>1</v>
      </c>
      <c r="EM122" cm="1">
        <f t="array" aca="1" ref="EM122" ca="1">IF(ISNA(G122),0,OFFSET(INDIRECT("'"&amp;EM$67&amp;"'!g1"),G122-1,)*CN122)</f>
        <v>1</v>
      </c>
      <c r="EN122" cm="1">
        <f t="array" aca="1" ref="EN122" ca="1">IF(ISNA(H122),0,OFFSET(INDIRECT("'"&amp;EN$67&amp;"'!g1"),H122-1,)*CO122)</f>
        <v>0</v>
      </c>
      <c r="EO122" cm="1">
        <f t="array" aca="1" ref="EO122" ca="1">IF(ISNA(I122),0,OFFSET(INDIRECT("'"&amp;EO$67&amp;"'!g1"),I122-1,)*CP122)</f>
        <v>1</v>
      </c>
      <c r="EP122" cm="1">
        <f t="array" aca="1" ref="EP122" ca="1">IF(ISNA(J122),0,OFFSET(INDIRECT("'"&amp;EP$67&amp;"'!g1"),J122-1,)*CQ122)</f>
        <v>1</v>
      </c>
      <c r="EQ122" cm="1">
        <f t="array" aca="1" ref="EQ122" ca="1">IF(ISNA(K122),0,OFFSET(INDIRECT("'"&amp;EQ$67&amp;"'!g1"),K122-1,)*CR122)</f>
        <v>7284</v>
      </c>
      <c r="ER122" cm="1">
        <f t="array" aca="1" ref="ER122" ca="1">IF(ISNA(L122),0,OFFSET(INDIRECT("'"&amp;ER$67&amp;"'!g1"),L122-1,)*CS122)</f>
        <v>9331</v>
      </c>
      <c r="ES122" cm="1">
        <f t="array" aca="1" ref="ES122" ca="1">IF(ISNA(M122),0,OFFSET(INDIRECT("'"&amp;ES$67&amp;"'!g1"),M122-1,)*CT122)</f>
        <v>6465</v>
      </c>
      <c r="ET122" cm="1">
        <f t="array" aca="1" ref="ET122" ca="1">IF(ISNA(N122),0,OFFSET(INDIRECT("'"&amp;ET$67&amp;"'!g1"),N122-1,)*CU122)</f>
        <v>0</v>
      </c>
      <c r="EU122" cm="1">
        <f t="array" aca="1" ref="EU122" ca="1">IF(ISNA(O122),0,OFFSET(INDIRECT("'"&amp;EU$67&amp;"'!g1"),O122-1,)*CV122)</f>
        <v>0</v>
      </c>
      <c r="EV122" cm="1">
        <f t="array" aca="1" ref="EV122" ca="1">IF(ISNA(P122),0,OFFSET(INDIRECT("'"&amp;EV$67&amp;"'!g1"),P122-1,)*CW122)</f>
        <v>0</v>
      </c>
      <c r="FB122" s="10" cm="1">
        <f t="array" aca="1" ref="FB122" ca="1">IF(ISNA(E122),0,OFFSET(INDIRECT("'"&amp;EK$67&amp;"'!h1"),E122-1,))</f>
        <v>1</v>
      </c>
      <c r="FC122" s="10" cm="1">
        <f t="array" aca="1" ref="FC122" ca="1">IF(ISNA(F122),0,OFFSET(INDIRECT("'"&amp;EL$67&amp;"'!h1"),F122-1,))</f>
        <v>1</v>
      </c>
      <c r="FD122" s="10" cm="1">
        <f t="array" aca="1" ref="FD122" ca="1">IF(ISNA(G122),0,OFFSET(INDIRECT("'"&amp;EM$67&amp;"'!h1"),G122-1,))</f>
        <v>1</v>
      </c>
      <c r="FE122" s="10" cm="1">
        <f t="array" aca="1" ref="FE122" ca="1">IF(ISNA(H122),0,OFFSET(INDIRECT("'"&amp;EN$67&amp;"'!h1"),H122-1,))</f>
        <v>1</v>
      </c>
      <c r="FF122" s="10" cm="1">
        <f t="array" aca="1" ref="FF122" ca="1">IF(ISNA(I122),0,OFFSET(INDIRECT("'"&amp;EO$67&amp;"'!h1"),I122-1,))</f>
        <v>1</v>
      </c>
      <c r="FG122" s="10" cm="1">
        <f t="array" aca="1" ref="FG122" ca="1">IF(ISNA(J122),0,OFFSET(INDIRECT("'"&amp;EP$67&amp;"'!h1"),J122-1,))</f>
        <v>1</v>
      </c>
      <c r="FH122" s="10" cm="1">
        <f t="array" aca="1" ref="FH122" ca="1">IF(ISNA(K122),0,OFFSET(INDIRECT("'"&amp;EQ$67&amp;"'!h1"),K122-1,))</f>
        <v>10000</v>
      </c>
      <c r="FI122" s="10" cm="1">
        <f t="array" aca="1" ref="FI122" ca="1">IF(ISNA(L122),0,OFFSET(INDIRECT("'"&amp;ER$67&amp;"'!h1"),L122-1,))</f>
        <v>10000</v>
      </c>
      <c r="FJ122" s="10" cm="1">
        <f t="array" aca="1" ref="FJ122" ca="1">IF(ISNA(M122),0,OFFSET(INDIRECT("'"&amp;ES$67&amp;"'!h1"),M122-1,))</f>
        <v>10000</v>
      </c>
      <c r="FK122" s="10" cm="1">
        <f t="array" aca="1" ref="FK122" ca="1">IF(ISNA(N122),0,OFFSET(INDIRECT("'"&amp;ET$67&amp;"'!h1"),N122-1,))</f>
        <v>1</v>
      </c>
      <c r="FL122" s="10" cm="1">
        <f t="array" aca="1" ref="FL122" ca="1">IF(ISNA(O122),0,OFFSET(INDIRECT("'"&amp;EU$67&amp;"'!h1"),O122-1,))</f>
        <v>1</v>
      </c>
      <c r="FM122" s="10" cm="1">
        <f t="array" aca="1" ref="FM122" ca="1">IF(ISNA(P122),0,OFFSET(INDIRECT("'"&amp;EV$67&amp;"'!h1"),P122-1,))</f>
        <v>9</v>
      </c>
      <c r="FN122" s="10"/>
      <c r="FO122" s="10"/>
      <c r="FP122" s="10"/>
      <c r="FQ122" s="10"/>
      <c r="FS122">
        <f t="shared" ca="1" si="137"/>
        <v>62</v>
      </c>
      <c r="FT122">
        <f t="shared" ca="1" si="62"/>
        <v>2.1522152908146301</v>
      </c>
      <c r="FU122">
        <f t="shared" ca="1" si="63"/>
        <v>7284</v>
      </c>
      <c r="FV122">
        <f t="shared" ca="1" si="64"/>
        <v>10000</v>
      </c>
      <c r="FW122" s="4">
        <f t="shared" ca="1" si="138"/>
        <v>0.72840000000000005</v>
      </c>
      <c r="FX122" s="5">
        <f t="shared" ca="1" si="139"/>
        <v>2.9547162147372736E-4</v>
      </c>
      <c r="FZ122" s="13">
        <f t="shared" ca="1" si="140"/>
        <v>62</v>
      </c>
      <c r="GA122" s="23">
        <f t="shared" ca="1" si="141"/>
        <v>0</v>
      </c>
      <c r="GB122" s="23">
        <f t="shared" ca="1" si="142"/>
        <v>0</v>
      </c>
      <c r="GC122" s="23">
        <f t="shared" ca="1" si="143"/>
        <v>0</v>
      </c>
      <c r="GD122" s="23" t="e">
        <f t="shared" ca="1" si="144"/>
        <v>#N/A</v>
      </c>
      <c r="GE122" s="23">
        <f t="shared" ca="1" si="145"/>
        <v>0</v>
      </c>
      <c r="GF122" s="23">
        <f t="shared" ca="1" si="146"/>
        <v>0</v>
      </c>
      <c r="GG122" s="23">
        <f t="shared" ca="1" si="147"/>
        <v>0</v>
      </c>
      <c r="GH122" s="23">
        <f t="shared" ca="1" si="148"/>
        <v>0</v>
      </c>
      <c r="GI122" s="23">
        <f t="shared" ca="1" si="149"/>
        <v>0</v>
      </c>
      <c r="GJ122" s="23" t="e">
        <f t="shared" ca="1" si="150"/>
        <v>#N/A</v>
      </c>
      <c r="GK122" s="23" t="e">
        <f t="shared" ca="1" si="151"/>
        <v>#N/A</v>
      </c>
      <c r="GL122" s="23" t="e">
        <f t="shared" ca="1" si="152"/>
        <v>#N/A</v>
      </c>
      <c r="GM122" s="23"/>
      <c r="GN122">
        <f t="shared" ca="1" si="153"/>
        <v>62</v>
      </c>
      <c r="GO122" s="5">
        <f t="shared" ca="1" si="154"/>
        <v>245.34418115699901</v>
      </c>
      <c r="GP122" s="5">
        <f t="shared" ca="1" si="155"/>
        <v>2072.6879365929999</v>
      </c>
      <c r="GQ122" s="5">
        <f t="shared" ca="1" si="156"/>
        <v>272.78723286100001</v>
      </c>
      <c r="GR122" s="5" t="e">
        <f t="shared" ca="1" si="157"/>
        <v>#N/A</v>
      </c>
      <c r="GS122" s="5">
        <f t="shared" ca="1" si="158"/>
        <v>5.8432875004655202E-2</v>
      </c>
      <c r="GT122" s="5">
        <f t="shared" ca="1" si="159"/>
        <v>0.14640607032924799</v>
      </c>
      <c r="GU122" s="5">
        <f t="shared" ca="1" si="160"/>
        <v>2.9547162147372736E-4</v>
      </c>
      <c r="GV122" s="5">
        <f t="shared" ca="1" si="161"/>
        <v>2.9478341992974388E-4</v>
      </c>
      <c r="GW122" s="5">
        <f t="shared" ca="1" si="162"/>
        <v>5.1496019538661876E-3</v>
      </c>
      <c r="GX122" s="5" t="e">
        <f t="shared" ca="1" si="163"/>
        <v>#N/A</v>
      </c>
      <c r="GY122" s="5" t="e">
        <f t="shared" ca="1" si="164"/>
        <v>#N/A</v>
      </c>
      <c r="GZ122" s="5" t="e">
        <f t="shared" ca="1" si="165"/>
        <v>#N/A</v>
      </c>
      <c r="HB122" s="13">
        <f t="shared" ca="1" si="166"/>
        <v>62</v>
      </c>
      <c r="HC122" s="4">
        <f t="shared" ca="1" si="167"/>
        <v>1</v>
      </c>
      <c r="HD122" s="4">
        <f t="shared" ca="1" si="168"/>
        <v>1</v>
      </c>
      <c r="HE122" s="4">
        <f t="shared" ca="1" si="169"/>
        <v>1</v>
      </c>
      <c r="HF122" s="4">
        <f t="shared" ca="1" si="170"/>
        <v>0</v>
      </c>
      <c r="HG122" s="4">
        <f t="shared" ca="1" si="171"/>
        <v>1</v>
      </c>
      <c r="HH122" s="4">
        <f t="shared" ca="1" si="172"/>
        <v>1</v>
      </c>
      <c r="HI122" s="4">
        <f t="shared" ca="1" si="173"/>
        <v>0.72840000000000005</v>
      </c>
      <c r="HJ122" s="4">
        <f t="shared" ca="1" si="174"/>
        <v>0.93310000000000004</v>
      </c>
      <c r="HK122" s="4">
        <f t="shared" ca="1" si="175"/>
        <v>0.64649999999999996</v>
      </c>
      <c r="HL122" s="4">
        <f t="shared" ca="1" si="176"/>
        <v>0</v>
      </c>
      <c r="HM122" s="4">
        <f t="shared" ca="1" si="177"/>
        <v>0</v>
      </c>
      <c r="HN122" s="4">
        <f t="shared" ca="1" si="178"/>
        <v>0</v>
      </c>
    </row>
    <row r="123" spans="1:222" x14ac:dyDescent="0.2">
      <c r="A123" t="str" cm="1">
        <f t="array" aca="1" ref="A123" ca="1">INDIRECT($A$67&amp;"!A"&amp;ROW(C56)+$B$64)</f>
        <v>[[63,23,16]]</v>
      </c>
      <c r="B123" cm="1">
        <f t="array" aca="1" ref="B123" ca="1">INDIRECT($A$67&amp;"!b"&amp;ROW(D56)+$B$64)</f>
        <v>63</v>
      </c>
      <c r="C123">
        <f t="shared" ca="1" si="78"/>
        <v>16</v>
      </c>
      <c r="E123">
        <f t="shared" ca="1" si="180"/>
        <v>80</v>
      </c>
      <c r="F123">
        <f t="shared" ca="1" si="180"/>
        <v>81</v>
      </c>
      <c r="G123">
        <f t="shared" ca="1" si="180"/>
        <v>80</v>
      </c>
      <c r="H123">
        <f t="shared" ca="1" si="180"/>
        <v>97</v>
      </c>
      <c r="I123">
        <f t="shared" ca="1" si="180"/>
        <v>83</v>
      </c>
      <c r="J123">
        <f t="shared" ca="1" si="180"/>
        <v>80</v>
      </c>
      <c r="K123">
        <f t="shared" ca="1" si="180"/>
        <v>87</v>
      </c>
      <c r="L123">
        <f t="shared" ca="1" si="180"/>
        <v>89</v>
      </c>
      <c r="M123">
        <f t="shared" ca="1" si="180"/>
        <v>86</v>
      </c>
      <c r="N123">
        <f t="shared" ca="1" si="180"/>
        <v>84</v>
      </c>
      <c r="O123">
        <f t="shared" ca="1" si="180"/>
        <v>84</v>
      </c>
      <c r="P123">
        <f t="shared" ca="1" si="180"/>
        <v>84</v>
      </c>
      <c r="V123" cm="1">
        <f t="array" aca="1" ref="V123" ca="1">IF(ISNA(E123),,OFFSET(INDIRECT("'"&amp;V$67&amp;"'!d1"),E123-1,))</f>
        <v>16</v>
      </c>
      <c r="W123" cm="1">
        <f t="array" aca="1" ref="W123" ca="1">IF(ISNA(F123),,OFFSET(INDIRECT("'"&amp;W$67&amp;"'!d1"),F123-1,))</f>
        <v>16</v>
      </c>
      <c r="X123" cm="1">
        <f t="array" aca="1" ref="X123" ca="1">IF(ISNA(G123),,OFFSET(INDIRECT("'"&amp;X$67&amp;"'!d1"),G123-1,))</f>
        <v>16</v>
      </c>
      <c r="Y123" cm="1">
        <f t="array" aca="1" ref="Y123" ca="1">IF(ISNA(H123),,OFFSET(INDIRECT("'"&amp;Y$67&amp;"'!d1"),H123-1,))</f>
        <v>0</v>
      </c>
      <c r="Z123" cm="1">
        <f t="array" aca="1" ref="Z123" ca="1">IF(ISNA(I123),,OFFSET(INDIRECT("'"&amp;Z$67&amp;"'!d1"),I123-1,))</f>
        <v>16</v>
      </c>
      <c r="AA123" cm="1">
        <f t="array" aca="1" ref="AA123" ca="1">IF(ISNA(J123),,OFFSET(INDIRECT("'"&amp;AA$67&amp;"'!d1"),J123-1,))</f>
        <v>16</v>
      </c>
      <c r="AB123" cm="1">
        <f t="array" aca="1" ref="AB123" ca="1">IF(ISNA(K123),,OFFSET(INDIRECT("'"&amp;AB$67&amp;"'!d1"),K123-1,))</f>
        <v>16</v>
      </c>
      <c r="AC123" cm="1">
        <f t="array" aca="1" ref="AC123" ca="1">IF(ISNA(L123),,OFFSET(INDIRECT("'"&amp;AC$67&amp;"'!d1"),L123-1,))</f>
        <v>16</v>
      </c>
      <c r="AD123" cm="1">
        <f t="array" aca="1" ref="AD123" ca="1">IF(ISNA(M123),,OFFSET(INDIRECT("'"&amp;AD$67&amp;"'!d1"),M123-1,))</f>
        <v>16</v>
      </c>
      <c r="AE123" cm="1">
        <f t="array" aca="1" ref="AE123" ca="1">IF(ISNA(N123),,OFFSET(INDIRECT("'"&amp;AE$67&amp;"'!d1"),N123-1,))</f>
        <v>0</v>
      </c>
      <c r="AF123" cm="1">
        <f t="array" aca="1" ref="AF123" ca="1">IF(ISNA(O123),,OFFSET(INDIRECT("'"&amp;AF$67&amp;"'!d1"),O123-1,))</f>
        <v>0</v>
      </c>
      <c r="AG123" cm="1">
        <f t="array" aca="1" ref="AG123" ca="1">IF(ISNA(P123),,OFFSET(INDIRECT("'"&amp;AG$67&amp;"'!d1"),P123-1,))</f>
        <v>0</v>
      </c>
      <c r="AM123">
        <f t="shared" ca="1" si="79"/>
        <v>1</v>
      </c>
      <c r="AN123">
        <f t="shared" ca="1" si="80"/>
        <v>1</v>
      </c>
      <c r="AO123">
        <f t="shared" ca="1" si="81"/>
        <v>1</v>
      </c>
      <c r="AP123">
        <f t="shared" ca="1" si="82"/>
        <v>0</v>
      </c>
      <c r="AQ123">
        <f t="shared" ca="1" si="83"/>
        <v>1</v>
      </c>
      <c r="AV123" t="b">
        <f t="shared" ca="1" si="84"/>
        <v>1</v>
      </c>
      <c r="AW123" t="b">
        <f t="shared" ca="1" si="85"/>
        <v>1</v>
      </c>
      <c r="AX123" t="b">
        <f t="shared" ca="1" si="86"/>
        <v>1</v>
      </c>
      <c r="AY123" t="str">
        <f t="shared" ca="1" si="87"/>
        <v/>
      </c>
      <c r="AZ123" t="b">
        <f t="shared" ca="1" si="88"/>
        <v>1</v>
      </c>
      <c r="BD123">
        <f t="shared" ca="1" si="89"/>
        <v>1</v>
      </c>
      <c r="BE123">
        <f t="shared" ca="1" si="90"/>
        <v>1</v>
      </c>
      <c r="BF123">
        <f t="shared" ca="1" si="91"/>
        <v>1</v>
      </c>
      <c r="BG123">
        <f t="shared" ca="1" si="92"/>
        <v>0</v>
      </c>
      <c r="BH123">
        <f t="shared" ca="1" si="93"/>
        <v>1</v>
      </c>
      <c r="BI123">
        <f t="shared" ca="1" si="94"/>
        <v>1</v>
      </c>
      <c r="BJ123">
        <f t="shared" ca="1" si="95"/>
        <v>1</v>
      </c>
      <c r="BK123">
        <f t="shared" ca="1" si="96"/>
        <v>1</v>
      </c>
      <c r="BL123">
        <f t="shared" ca="1" si="97"/>
        <v>1</v>
      </c>
      <c r="BM123">
        <f t="shared" ca="1" si="98"/>
        <v>0</v>
      </c>
      <c r="BN123">
        <f t="shared" ca="1" si="99"/>
        <v>0</v>
      </c>
      <c r="BO123">
        <f t="shared" ca="1" si="100"/>
        <v>0</v>
      </c>
      <c r="BU123">
        <f t="shared" ca="1" si="101"/>
        <v>16</v>
      </c>
      <c r="BV123">
        <f t="shared" ca="1" si="102"/>
        <v>16</v>
      </c>
      <c r="BW123">
        <f t="shared" ca="1" si="103"/>
        <v>16</v>
      </c>
      <c r="BX123">
        <f t="shared" ca="1" si="104"/>
        <v>63</v>
      </c>
      <c r="BY123">
        <f t="shared" ca="1" si="105"/>
        <v>16</v>
      </c>
      <c r="BZ123">
        <f t="shared" ca="1" si="106"/>
        <v>16</v>
      </c>
      <c r="CA123">
        <f t="shared" ca="1" si="107"/>
        <v>16</v>
      </c>
      <c r="CB123">
        <f t="shared" ca="1" si="108"/>
        <v>16</v>
      </c>
      <c r="CC123">
        <f t="shared" ca="1" si="109"/>
        <v>16</v>
      </c>
      <c r="CD123">
        <f t="shared" ca="1" si="110"/>
        <v>63</v>
      </c>
      <c r="CE123">
        <f t="shared" ca="1" si="111"/>
        <v>63</v>
      </c>
      <c r="CF123">
        <f t="shared" ca="1" si="112"/>
        <v>63</v>
      </c>
      <c r="CL123">
        <f t="shared" ca="1" si="113"/>
        <v>1</v>
      </c>
      <c r="CM123">
        <f t="shared" ca="1" si="114"/>
        <v>1</v>
      </c>
      <c r="CN123">
        <f t="shared" ca="1" si="115"/>
        <v>1</v>
      </c>
      <c r="CO123">
        <f t="shared" ca="1" si="116"/>
        <v>0</v>
      </c>
      <c r="CP123">
        <f t="shared" ca="1" si="117"/>
        <v>1</v>
      </c>
      <c r="CQ123">
        <f t="shared" ca="1" si="118"/>
        <v>1</v>
      </c>
      <c r="CR123">
        <f t="shared" ca="1" si="119"/>
        <v>1</v>
      </c>
      <c r="CS123">
        <f t="shared" ca="1" si="120"/>
        <v>1</v>
      </c>
      <c r="CT123">
        <f t="shared" ca="1" si="121"/>
        <v>1</v>
      </c>
      <c r="CU123">
        <f t="shared" ca="1" si="122"/>
        <v>0</v>
      </c>
      <c r="CV123">
        <f t="shared" ca="1" si="123"/>
        <v>0</v>
      </c>
      <c r="CW123">
        <f t="shared" ca="1" si="124"/>
        <v>0</v>
      </c>
      <c r="DC123" cm="1">
        <f t="array" aca="1" ref="DC123" ca="1">IF(ISNA(E123),,OFFSET(INDIRECT("'"&amp;DT$67&amp;"'!f1"),E123-1,))*1</f>
        <v>354.05574255499999</v>
      </c>
      <c r="DD123" cm="1">
        <f t="array" aca="1" ref="DD123" ca="1">IF(ISNA(F123),,OFFSET(INDIRECT("'"&amp;DU$67&amp;"'!f1"),F123-1,))*1</f>
        <v>2259.6344822789902</v>
      </c>
      <c r="DE123" cm="1">
        <f t="array" aca="1" ref="DE123" ca="1">IF(ISNA(G123),,OFFSET(INDIRECT("'"&amp;DV$67&amp;"'!f1"),G123-1,))*1</f>
        <v>728.44563808400005</v>
      </c>
      <c r="DF123" cm="1">
        <f t="array" aca="1" ref="DF123" ca="1">IF(ISNA(H123),,OFFSET(INDIRECT("'"&amp;DW$67&amp;"'!f1"),H123-1,))*1</f>
        <v>28800.1098261103</v>
      </c>
      <c r="DG123" cm="1">
        <f t="array" aca="1" ref="DG123" ca="1">IF(ISNA(I123),,OFFSET(INDIRECT("'"&amp;DX$67&amp;"'!f1"),I123-1,))*1</f>
        <v>5.7976124997367103E-2</v>
      </c>
      <c r="DH123" cm="1">
        <f t="array" aca="1" ref="DH123" ca="1">IF(ISNA(J123),,OFFSET(INDIRECT("'"&amp;DY$67&amp;"'!f1"),J123-1,))*1</f>
        <v>0.14414261607453199</v>
      </c>
      <c r="DI123" cm="1">
        <f t="array" aca="1" ref="DI123" ca="1">IF(ISNA(K123),,OFFSET(INDIRECT("'"&amp;DZ$67&amp;"'!f1"),K123-1,))*1</f>
        <v>2.15170919056981</v>
      </c>
      <c r="DJ123" cm="1">
        <f t="array" aca="1" ref="DJ123" ca="1">IF(ISNA(L123),,OFFSET(INDIRECT("'"&amp;EA$67&amp;"'!f1"),L123-1,))*1</f>
        <v>2.74361443053931</v>
      </c>
      <c r="DK123" cm="1">
        <f t="array" aca="1" ref="DK123" ca="1">IF(ISNA(M123),,OFFSET(INDIRECT("'"&amp;EB$67&amp;"'!f1"),M123-1,))*1</f>
        <v>30.148782642092499</v>
      </c>
      <c r="DL123" cm="1">
        <f t="array" aca="1" ref="DL123" ca="1">IF(ISNA(N123),,OFFSET(INDIRECT("'"&amp;EC$67&amp;"'!f1"),N123-1,))*1</f>
        <v>7.5700804591178799E-3</v>
      </c>
      <c r="DM123" cm="1">
        <f t="array" aca="1" ref="DM123" ca="1">IF(ISNA(O123),,OFFSET(INDIRECT("'"&amp;ED$67&amp;"'!f1"),O123-1,))*1</f>
        <v>9.0780835598707199E-3</v>
      </c>
      <c r="DN123" cm="1">
        <f t="array" aca="1" ref="DN123" ca="1">IF(ISNA(P123),,OFFSET(INDIRECT("'"&amp;EE$67&amp;"'!f1"),P123-1,))*1</f>
        <v>1.47208552807569E-2</v>
      </c>
      <c r="DT123">
        <f t="shared" ca="1" si="125"/>
        <v>1</v>
      </c>
      <c r="DU123">
        <f t="shared" ca="1" si="126"/>
        <v>1</v>
      </c>
      <c r="DV123">
        <f t="shared" ca="1" si="127"/>
        <v>1</v>
      </c>
      <c r="DW123">
        <f t="shared" ca="1" si="128"/>
        <v>0</v>
      </c>
      <c r="DX123">
        <f t="shared" ca="1" si="129"/>
        <v>1</v>
      </c>
      <c r="DY123">
        <f t="shared" ca="1" si="130"/>
        <v>1</v>
      </c>
      <c r="DZ123">
        <f t="shared" ca="1" si="131"/>
        <v>4967</v>
      </c>
      <c r="EA123">
        <f t="shared" ca="1" si="132"/>
        <v>8877</v>
      </c>
      <c r="EB123">
        <f t="shared" ca="1" si="133"/>
        <v>4202</v>
      </c>
      <c r="EC123">
        <f t="shared" ca="1" si="134"/>
        <v>0</v>
      </c>
      <c r="ED123">
        <f t="shared" ca="1" si="135"/>
        <v>0</v>
      </c>
      <c r="EE123">
        <f t="shared" ca="1" si="136"/>
        <v>0</v>
      </c>
      <c r="EK123" cm="1">
        <f t="array" aca="1" ref="EK123" ca="1">IF(ISNA(E123),0,OFFSET(INDIRECT("'"&amp;EK$67&amp;"'!g1"),E123-1,)*CL123)</f>
        <v>1</v>
      </c>
      <c r="EL123" cm="1">
        <f t="array" aca="1" ref="EL123" ca="1">IF(ISNA(F123),0,OFFSET(INDIRECT("'"&amp;EL$67&amp;"'!g1"),F123-1,)*CM123)</f>
        <v>1</v>
      </c>
      <c r="EM123" cm="1">
        <f t="array" aca="1" ref="EM123" ca="1">IF(ISNA(G123),0,OFFSET(INDIRECT("'"&amp;EM$67&amp;"'!g1"),G123-1,)*CN123)</f>
        <v>1</v>
      </c>
      <c r="EN123" cm="1">
        <f t="array" aca="1" ref="EN123" ca="1">IF(ISNA(H123),0,OFFSET(INDIRECT("'"&amp;EN$67&amp;"'!g1"),H123-1,)*CO123)</f>
        <v>0</v>
      </c>
      <c r="EO123" cm="1">
        <f t="array" aca="1" ref="EO123" ca="1">IF(ISNA(I123),0,OFFSET(INDIRECT("'"&amp;EO$67&amp;"'!g1"),I123-1,)*CP123)</f>
        <v>1</v>
      </c>
      <c r="EP123" cm="1">
        <f t="array" aca="1" ref="EP123" ca="1">IF(ISNA(J123),0,OFFSET(INDIRECT("'"&amp;EP$67&amp;"'!g1"),J123-1,)*CQ123)</f>
        <v>1</v>
      </c>
      <c r="EQ123" cm="1">
        <f t="array" aca="1" ref="EQ123" ca="1">IF(ISNA(K123),0,OFFSET(INDIRECT("'"&amp;EQ$67&amp;"'!g1"),K123-1,)*CR123)</f>
        <v>4967</v>
      </c>
      <c r="ER123" cm="1">
        <f t="array" aca="1" ref="ER123" ca="1">IF(ISNA(L123),0,OFFSET(INDIRECT("'"&amp;ER$67&amp;"'!g1"),L123-1,)*CS123)</f>
        <v>8877</v>
      </c>
      <c r="ES123" cm="1">
        <f t="array" aca="1" ref="ES123" ca="1">IF(ISNA(M123),0,OFFSET(INDIRECT("'"&amp;ES$67&amp;"'!g1"),M123-1,)*CT123)</f>
        <v>4202</v>
      </c>
      <c r="ET123" cm="1">
        <f t="array" aca="1" ref="ET123" ca="1">IF(ISNA(N123),0,OFFSET(INDIRECT("'"&amp;ET$67&amp;"'!g1"),N123-1,)*CU123)</f>
        <v>0</v>
      </c>
      <c r="EU123" cm="1">
        <f t="array" aca="1" ref="EU123" ca="1">IF(ISNA(O123),0,OFFSET(INDIRECT("'"&amp;EU$67&amp;"'!g1"),O123-1,)*CV123)</f>
        <v>0</v>
      </c>
      <c r="EV123" cm="1">
        <f t="array" aca="1" ref="EV123" ca="1">IF(ISNA(P123),0,OFFSET(INDIRECT("'"&amp;EV$67&amp;"'!g1"),P123-1,)*CW123)</f>
        <v>0</v>
      </c>
      <c r="FB123" s="10" cm="1">
        <f t="array" aca="1" ref="FB123" ca="1">IF(ISNA(E123),0,OFFSET(INDIRECT("'"&amp;EK$67&amp;"'!h1"),E123-1,))</f>
        <v>1</v>
      </c>
      <c r="FC123" s="10" cm="1">
        <f t="array" aca="1" ref="FC123" ca="1">IF(ISNA(F123),0,OFFSET(INDIRECT("'"&amp;EL$67&amp;"'!h1"),F123-1,))</f>
        <v>1</v>
      </c>
      <c r="FD123" s="10" cm="1">
        <f t="array" aca="1" ref="FD123" ca="1">IF(ISNA(G123),0,OFFSET(INDIRECT("'"&amp;EM$67&amp;"'!h1"),G123-1,))</f>
        <v>1</v>
      </c>
      <c r="FE123" s="10" cm="1">
        <f t="array" aca="1" ref="FE123" ca="1">IF(ISNA(H123),0,OFFSET(INDIRECT("'"&amp;EN$67&amp;"'!h1"),H123-1,))</f>
        <v>1</v>
      </c>
      <c r="FF123" s="10" cm="1">
        <f t="array" aca="1" ref="FF123" ca="1">IF(ISNA(I123),0,OFFSET(INDIRECT("'"&amp;EO$67&amp;"'!h1"),I123-1,))</f>
        <v>1</v>
      </c>
      <c r="FG123" s="10" cm="1">
        <f t="array" aca="1" ref="FG123" ca="1">IF(ISNA(J123),0,OFFSET(INDIRECT("'"&amp;EP$67&amp;"'!h1"),J123-1,))</f>
        <v>1</v>
      </c>
      <c r="FH123" s="10" cm="1">
        <f t="array" aca="1" ref="FH123" ca="1">IF(ISNA(K123),0,OFFSET(INDIRECT("'"&amp;EQ$67&amp;"'!h1"),K123-1,))</f>
        <v>10000</v>
      </c>
      <c r="FI123" s="10" cm="1">
        <f t="array" aca="1" ref="FI123" ca="1">IF(ISNA(L123),0,OFFSET(INDIRECT("'"&amp;ER$67&amp;"'!h1"),L123-1,))</f>
        <v>10000</v>
      </c>
      <c r="FJ123" s="10" cm="1">
        <f t="array" aca="1" ref="FJ123" ca="1">IF(ISNA(M123),0,OFFSET(INDIRECT("'"&amp;ES$67&amp;"'!h1"),M123-1,))</f>
        <v>10000</v>
      </c>
      <c r="FK123" s="10" cm="1">
        <f t="array" aca="1" ref="FK123" ca="1">IF(ISNA(N123),0,OFFSET(INDIRECT("'"&amp;ET$67&amp;"'!h1"),N123-1,))</f>
        <v>1</v>
      </c>
      <c r="FL123" s="10" cm="1">
        <f t="array" aca="1" ref="FL123" ca="1">IF(ISNA(O123),0,OFFSET(INDIRECT("'"&amp;EU$67&amp;"'!h1"),O123-1,))</f>
        <v>1</v>
      </c>
      <c r="FM123" s="10" cm="1">
        <f t="array" aca="1" ref="FM123" ca="1">IF(ISNA(P123),0,OFFSET(INDIRECT("'"&amp;EV$67&amp;"'!h1"),P123-1,))</f>
        <v>9</v>
      </c>
      <c r="FN123" s="10"/>
      <c r="FO123" s="10"/>
      <c r="FP123" s="10"/>
      <c r="FQ123" s="10"/>
      <c r="FS123">
        <f t="shared" ca="1" si="137"/>
        <v>63</v>
      </c>
      <c r="FT123">
        <f t="shared" ca="1" si="62"/>
        <v>2.15170919056981</v>
      </c>
      <c r="FU123">
        <f t="shared" ca="1" si="63"/>
        <v>4967</v>
      </c>
      <c r="FV123">
        <f t="shared" ca="1" si="64"/>
        <v>10000</v>
      </c>
      <c r="FW123" s="4">
        <f t="shared" ca="1" si="138"/>
        <v>0.49669999999999997</v>
      </c>
      <c r="FX123" s="5">
        <f t="shared" ca="1" si="139"/>
        <v>4.3320096447952686E-4</v>
      </c>
      <c r="FZ123" s="13">
        <f t="shared" ca="1" si="140"/>
        <v>63</v>
      </c>
      <c r="GA123" s="23">
        <f t="shared" ca="1" si="141"/>
        <v>0</v>
      </c>
      <c r="GB123" s="23">
        <f t="shared" ca="1" si="142"/>
        <v>0</v>
      </c>
      <c r="GC123" s="23">
        <f t="shared" ca="1" si="143"/>
        <v>0</v>
      </c>
      <c r="GD123" s="23" t="e">
        <f t="shared" ca="1" si="144"/>
        <v>#N/A</v>
      </c>
      <c r="GE123" s="23">
        <f t="shared" ca="1" si="145"/>
        <v>0</v>
      </c>
      <c r="GF123" s="23">
        <f t="shared" ca="1" si="146"/>
        <v>0</v>
      </c>
      <c r="GG123" s="23">
        <f t="shared" ca="1" si="147"/>
        <v>0</v>
      </c>
      <c r="GH123" s="23">
        <f t="shared" ca="1" si="148"/>
        <v>0</v>
      </c>
      <c r="GI123" s="23">
        <f t="shared" ca="1" si="149"/>
        <v>0</v>
      </c>
      <c r="GJ123" s="23" t="e">
        <f t="shared" ca="1" si="150"/>
        <v>#N/A</v>
      </c>
      <c r="GK123" s="23" t="e">
        <f t="shared" ca="1" si="151"/>
        <v>#N/A</v>
      </c>
      <c r="GL123" s="23" t="e">
        <f t="shared" ca="1" si="152"/>
        <v>#N/A</v>
      </c>
      <c r="GM123" s="23"/>
      <c r="GN123">
        <f t="shared" ca="1" si="153"/>
        <v>63</v>
      </c>
      <c r="GO123" s="5">
        <f t="shared" ca="1" si="154"/>
        <v>354.05574255499999</v>
      </c>
      <c r="GP123" s="5">
        <f t="shared" ca="1" si="155"/>
        <v>2259.6344822789902</v>
      </c>
      <c r="GQ123" s="5">
        <f t="shared" ca="1" si="156"/>
        <v>728.44563808400005</v>
      </c>
      <c r="GR123" s="5" t="e">
        <f t="shared" ca="1" si="157"/>
        <v>#N/A</v>
      </c>
      <c r="GS123" s="5">
        <f t="shared" ca="1" si="158"/>
        <v>5.7976124997367103E-2</v>
      </c>
      <c r="GT123" s="5">
        <f t="shared" ca="1" si="159"/>
        <v>0.14414261607453199</v>
      </c>
      <c r="GU123" s="5">
        <f t="shared" ca="1" si="160"/>
        <v>4.3320096447952686E-4</v>
      </c>
      <c r="GV123" s="5">
        <f t="shared" ca="1" si="161"/>
        <v>3.0907000456678043E-4</v>
      </c>
      <c r="GW123" s="5">
        <f t="shared" ca="1" si="162"/>
        <v>7.1748649790796043E-3</v>
      </c>
      <c r="GX123" s="5" t="e">
        <f t="shared" ca="1" si="163"/>
        <v>#N/A</v>
      </c>
      <c r="GY123" s="5" t="e">
        <f t="shared" ca="1" si="164"/>
        <v>#N/A</v>
      </c>
      <c r="GZ123" s="5" t="e">
        <f t="shared" ca="1" si="165"/>
        <v>#N/A</v>
      </c>
      <c r="HB123" s="13">
        <f t="shared" ca="1" si="166"/>
        <v>63</v>
      </c>
      <c r="HC123" s="4">
        <f t="shared" ca="1" si="167"/>
        <v>1</v>
      </c>
      <c r="HD123" s="4">
        <f t="shared" ca="1" si="168"/>
        <v>1</v>
      </c>
      <c r="HE123" s="4">
        <f t="shared" ca="1" si="169"/>
        <v>1</v>
      </c>
      <c r="HF123" s="4">
        <f t="shared" ca="1" si="170"/>
        <v>0</v>
      </c>
      <c r="HG123" s="4">
        <f t="shared" ca="1" si="171"/>
        <v>1</v>
      </c>
      <c r="HH123" s="4">
        <f t="shared" ca="1" si="172"/>
        <v>1</v>
      </c>
      <c r="HI123" s="4">
        <f t="shared" ca="1" si="173"/>
        <v>0.49669999999999997</v>
      </c>
      <c r="HJ123" s="4">
        <f t="shared" ca="1" si="174"/>
        <v>0.88770000000000004</v>
      </c>
      <c r="HK123" s="4">
        <f t="shared" ca="1" si="175"/>
        <v>0.42020000000000002</v>
      </c>
      <c r="HL123" s="4">
        <f t="shared" ca="1" si="176"/>
        <v>0</v>
      </c>
      <c r="HM123" s="4">
        <f t="shared" ca="1" si="177"/>
        <v>0</v>
      </c>
      <c r="HN123" s="4">
        <f t="shared" ca="1" si="178"/>
        <v>0</v>
      </c>
    </row>
    <row r="124" spans="1:222" x14ac:dyDescent="0.2">
      <c r="A124" t="str" cm="1">
        <f t="array" aca="1" ref="A124" ca="1">INDIRECT($A$67&amp;"!A"&amp;ROW(C57)+$B$64)</f>
        <v>[[64,24,16]]</v>
      </c>
      <c r="B124" cm="1">
        <f t="array" aca="1" ref="B124" ca="1">INDIRECT($A$67&amp;"!b"&amp;ROW(D57)+$B$64)</f>
        <v>64</v>
      </c>
      <c r="C124">
        <f t="shared" ca="1" si="78"/>
        <v>16</v>
      </c>
      <c r="E124">
        <f t="shared" ca="1" si="180"/>
        <v>81</v>
      </c>
      <c r="F124">
        <f t="shared" ca="1" si="180"/>
        <v>82</v>
      </c>
      <c r="G124">
        <f t="shared" ca="1" si="180"/>
        <v>81</v>
      </c>
      <c r="H124">
        <f t="shared" ca="1" si="180"/>
        <v>104</v>
      </c>
      <c r="I124">
        <f t="shared" ca="1" si="180"/>
        <v>84</v>
      </c>
      <c r="J124">
        <f t="shared" ca="1" si="180"/>
        <v>81</v>
      </c>
      <c r="K124">
        <f t="shared" ca="1" si="180"/>
        <v>88</v>
      </c>
      <c r="L124">
        <f t="shared" ca="1" si="180"/>
        <v>90</v>
      </c>
      <c r="M124">
        <f t="shared" ca="1" si="180"/>
        <v>87</v>
      </c>
      <c r="N124">
        <f t="shared" ca="1" si="180"/>
        <v>85</v>
      </c>
      <c r="O124">
        <f t="shared" ca="1" si="180"/>
        <v>85</v>
      </c>
      <c r="P124">
        <f t="shared" ca="1" si="180"/>
        <v>85</v>
      </c>
      <c r="V124" cm="1">
        <f t="array" aca="1" ref="V124" ca="1">IF(ISNA(E124),,OFFSET(INDIRECT("'"&amp;V$67&amp;"'!d1"),E124-1,))</f>
        <v>16</v>
      </c>
      <c r="W124" cm="1">
        <f t="array" aca="1" ref="W124" ca="1">IF(ISNA(F124),,OFFSET(INDIRECT("'"&amp;W$67&amp;"'!d1"),F124-1,))</f>
        <v>16</v>
      </c>
      <c r="X124" cm="1">
        <f t="array" aca="1" ref="X124" ca="1">IF(ISNA(G124),,OFFSET(INDIRECT("'"&amp;X$67&amp;"'!d1"),G124-1,))</f>
        <v>16</v>
      </c>
      <c r="Y124" cm="1">
        <f t="array" aca="1" ref="Y124" ca="1">IF(ISNA(H124),,OFFSET(INDIRECT("'"&amp;Y$67&amp;"'!d1"),H124-1,))</f>
        <v>0</v>
      </c>
      <c r="Z124" cm="1">
        <f t="array" aca="1" ref="Z124" ca="1">IF(ISNA(I124),,OFFSET(INDIRECT("'"&amp;Z$67&amp;"'!d1"),I124-1,))</f>
        <v>16</v>
      </c>
      <c r="AA124" cm="1">
        <f t="array" aca="1" ref="AA124" ca="1">IF(ISNA(J124),,OFFSET(INDIRECT("'"&amp;AA$67&amp;"'!d1"),J124-1,))</f>
        <v>16</v>
      </c>
      <c r="AB124" cm="1">
        <f t="array" aca="1" ref="AB124" ca="1">IF(ISNA(K124),,OFFSET(INDIRECT("'"&amp;AB$67&amp;"'!d1"),K124-1,))</f>
        <v>16</v>
      </c>
      <c r="AC124" cm="1">
        <f t="array" aca="1" ref="AC124" ca="1">IF(ISNA(L124),,OFFSET(INDIRECT("'"&amp;AC$67&amp;"'!d1"),L124-1,))</f>
        <v>16</v>
      </c>
      <c r="AD124" cm="1">
        <f t="array" aca="1" ref="AD124" ca="1">IF(ISNA(M124),,OFFSET(INDIRECT("'"&amp;AD$67&amp;"'!d1"),M124-1,))</f>
        <v>16</v>
      </c>
      <c r="AE124" cm="1">
        <f t="array" aca="1" ref="AE124" ca="1">IF(ISNA(N124),,OFFSET(INDIRECT("'"&amp;AE$67&amp;"'!d1"),N124-1,))</f>
        <v>0</v>
      </c>
      <c r="AF124" cm="1">
        <f t="array" aca="1" ref="AF124" ca="1">IF(ISNA(O124),,OFFSET(INDIRECT("'"&amp;AF$67&amp;"'!d1"),O124-1,))</f>
        <v>0</v>
      </c>
      <c r="AG124" cm="1">
        <f t="array" aca="1" ref="AG124" ca="1">IF(ISNA(P124),,OFFSET(INDIRECT("'"&amp;AG$67&amp;"'!d1"),P124-1,))</f>
        <v>0</v>
      </c>
      <c r="AM124">
        <f t="shared" ca="1" si="79"/>
        <v>1</v>
      </c>
      <c r="AN124">
        <f t="shared" ca="1" si="80"/>
        <v>1</v>
      </c>
      <c r="AO124">
        <f t="shared" ca="1" si="81"/>
        <v>1</v>
      </c>
      <c r="AP124">
        <f t="shared" ca="1" si="82"/>
        <v>0</v>
      </c>
      <c r="AQ124">
        <f t="shared" ca="1" si="83"/>
        <v>1</v>
      </c>
      <c r="AV124" t="b">
        <f t="shared" ca="1" si="84"/>
        <v>1</v>
      </c>
      <c r="AW124" t="b">
        <f t="shared" ca="1" si="85"/>
        <v>1</v>
      </c>
      <c r="AX124" t="b">
        <f t="shared" ca="1" si="86"/>
        <v>1</v>
      </c>
      <c r="AY124" t="str">
        <f t="shared" ca="1" si="87"/>
        <v/>
      </c>
      <c r="AZ124" t="b">
        <f t="shared" ca="1" si="88"/>
        <v>1</v>
      </c>
      <c r="BD124">
        <f t="shared" ca="1" si="89"/>
        <v>1</v>
      </c>
      <c r="BE124">
        <f t="shared" ca="1" si="90"/>
        <v>1</v>
      </c>
      <c r="BF124">
        <f t="shared" ca="1" si="91"/>
        <v>1</v>
      </c>
      <c r="BG124">
        <f t="shared" ca="1" si="92"/>
        <v>0</v>
      </c>
      <c r="BH124">
        <f t="shared" ca="1" si="93"/>
        <v>1</v>
      </c>
      <c r="BI124">
        <f t="shared" ca="1" si="94"/>
        <v>1</v>
      </c>
      <c r="BJ124">
        <f t="shared" ca="1" si="95"/>
        <v>1</v>
      </c>
      <c r="BK124">
        <f t="shared" ca="1" si="96"/>
        <v>1</v>
      </c>
      <c r="BL124">
        <f t="shared" ca="1" si="97"/>
        <v>1</v>
      </c>
      <c r="BM124">
        <f t="shared" ca="1" si="98"/>
        <v>0</v>
      </c>
      <c r="BN124">
        <f t="shared" ca="1" si="99"/>
        <v>0</v>
      </c>
      <c r="BO124">
        <f t="shared" ca="1" si="100"/>
        <v>0</v>
      </c>
      <c r="BU124">
        <f t="shared" ca="1" si="101"/>
        <v>16</v>
      </c>
      <c r="BV124">
        <f t="shared" ca="1" si="102"/>
        <v>16</v>
      </c>
      <c r="BW124">
        <f t="shared" ca="1" si="103"/>
        <v>16</v>
      </c>
      <c r="BX124">
        <f t="shared" ca="1" si="104"/>
        <v>64</v>
      </c>
      <c r="BY124">
        <f t="shared" ca="1" si="105"/>
        <v>16</v>
      </c>
      <c r="BZ124">
        <f t="shared" ca="1" si="106"/>
        <v>16</v>
      </c>
      <c r="CA124">
        <f t="shared" ca="1" si="107"/>
        <v>16</v>
      </c>
      <c r="CB124">
        <f t="shared" ca="1" si="108"/>
        <v>16</v>
      </c>
      <c r="CC124">
        <f t="shared" ca="1" si="109"/>
        <v>16</v>
      </c>
      <c r="CD124">
        <f t="shared" ca="1" si="110"/>
        <v>64</v>
      </c>
      <c r="CE124">
        <f t="shared" ca="1" si="111"/>
        <v>64</v>
      </c>
      <c r="CF124">
        <f t="shared" ca="1" si="112"/>
        <v>64</v>
      </c>
      <c r="CL124">
        <f t="shared" ca="1" si="113"/>
        <v>1</v>
      </c>
      <c r="CM124">
        <f t="shared" ca="1" si="114"/>
        <v>1</v>
      </c>
      <c r="CN124">
        <f t="shared" ca="1" si="115"/>
        <v>1</v>
      </c>
      <c r="CO124">
        <f t="shared" ca="1" si="116"/>
        <v>0</v>
      </c>
      <c r="CP124">
        <f t="shared" ca="1" si="117"/>
        <v>1</v>
      </c>
      <c r="CQ124">
        <f t="shared" ca="1" si="118"/>
        <v>1</v>
      </c>
      <c r="CR124">
        <f t="shared" ca="1" si="119"/>
        <v>1</v>
      </c>
      <c r="CS124">
        <f t="shared" ca="1" si="120"/>
        <v>1</v>
      </c>
      <c r="CT124">
        <f t="shared" ca="1" si="121"/>
        <v>1</v>
      </c>
      <c r="CU124">
        <f t="shared" ca="1" si="122"/>
        <v>0</v>
      </c>
      <c r="CV124">
        <f t="shared" ca="1" si="123"/>
        <v>0</v>
      </c>
      <c r="CW124">
        <f t="shared" ca="1" si="124"/>
        <v>0</v>
      </c>
      <c r="DC124" cm="1">
        <f t="array" aca="1" ref="DC124" ca="1">IF(ISNA(E124),,OFFSET(INDIRECT("'"&amp;DT$67&amp;"'!f1"),E124-1,))*1</f>
        <v>610.85780330299895</v>
      </c>
      <c r="DD124" cm="1">
        <f t="array" aca="1" ref="DD124" ca="1">IF(ISNA(F124),,OFFSET(INDIRECT("'"&amp;DU$67&amp;"'!f1"),F124-1,))*1</f>
        <v>3941.0216531880001</v>
      </c>
      <c r="DE124" cm="1">
        <f t="array" aca="1" ref="DE124" ca="1">IF(ISNA(G124),,OFFSET(INDIRECT("'"&amp;DV$67&amp;"'!f1"),G124-1,))*1</f>
        <v>1311.1362980259901</v>
      </c>
      <c r="DF124" cm="1">
        <f t="array" aca="1" ref="DF124" ca="1">IF(ISNA(H124),,OFFSET(INDIRECT("'"&amp;DW$67&amp;"'!f1"),H124-1,))*1</f>
        <v>28800.1120898425</v>
      </c>
      <c r="DG124" cm="1">
        <f t="array" aca="1" ref="DG124" ca="1">IF(ISNA(I124),,OFFSET(INDIRECT("'"&amp;DX$67&amp;"'!f1"),I124-1,))*1</f>
        <v>5.9271500002068898E-2</v>
      </c>
      <c r="DH124" cm="1">
        <f t="array" aca="1" ref="DH124" ca="1">IF(ISNA(J124),,OFFSET(INDIRECT("'"&amp;DY$67&amp;"'!f1"),J124-1,))*1</f>
        <v>0.145333146676421</v>
      </c>
      <c r="DI124" cm="1">
        <f t="array" aca="1" ref="DI124" ca="1">IF(ISNA(K124),,OFFSET(INDIRECT("'"&amp;DZ$67&amp;"'!f1"),K124-1,))*1</f>
        <v>2.1056247716769501</v>
      </c>
      <c r="DJ124" cm="1">
        <f t="array" aca="1" ref="DJ124" ca="1">IF(ISNA(L124),,OFFSET(INDIRECT("'"&amp;EA$67&amp;"'!f1"),L124-1,))*1</f>
        <v>2.7325310045853199</v>
      </c>
      <c r="DK124" cm="1">
        <f t="array" aca="1" ref="DK124" ca="1">IF(ISNA(M124),,OFFSET(INDIRECT("'"&amp;EB$67&amp;"'!f1"),M124-1,))*1</f>
        <v>27.695158262271399</v>
      </c>
      <c r="DL124" cm="1">
        <f t="array" aca="1" ref="DL124" ca="1">IF(ISNA(N124),,OFFSET(INDIRECT("'"&amp;EC$67&amp;"'!f1"),N124-1,))*1</f>
        <v>9.0668145567178692E-3</v>
      </c>
      <c r="DM124" cm="1">
        <f t="array" aca="1" ref="DM124" ca="1">IF(ISNA(O124),,OFFSET(INDIRECT("'"&amp;ED$67&amp;"'!f1"),O124-1,))*1</f>
        <v>9.3776499852538091E-3</v>
      </c>
      <c r="DN124" cm="1">
        <f t="array" aca="1" ref="DN124" ca="1">IF(ISNA(P124),,OFFSET(INDIRECT("'"&amp;EE$67&amp;"'!f1"),P124-1,))*1</f>
        <v>1.50051629170775E-2</v>
      </c>
      <c r="DT124">
        <f t="shared" ca="1" si="125"/>
        <v>1</v>
      </c>
      <c r="DU124">
        <f t="shared" ca="1" si="126"/>
        <v>1</v>
      </c>
      <c r="DV124">
        <f t="shared" ca="1" si="127"/>
        <v>1</v>
      </c>
      <c r="DW124">
        <f t="shared" ca="1" si="128"/>
        <v>0</v>
      </c>
      <c r="DX124">
        <f t="shared" ca="1" si="129"/>
        <v>1</v>
      </c>
      <c r="DY124">
        <f t="shared" ca="1" si="130"/>
        <v>1</v>
      </c>
      <c r="DZ124">
        <f t="shared" ca="1" si="131"/>
        <v>6554</v>
      </c>
      <c r="EA124">
        <f t="shared" ca="1" si="132"/>
        <v>9264</v>
      </c>
      <c r="EB124">
        <f t="shared" ca="1" si="133"/>
        <v>3200</v>
      </c>
      <c r="EC124">
        <f t="shared" ca="1" si="134"/>
        <v>0</v>
      </c>
      <c r="ED124">
        <f t="shared" ca="1" si="135"/>
        <v>0</v>
      </c>
      <c r="EE124">
        <f t="shared" ca="1" si="136"/>
        <v>0</v>
      </c>
      <c r="EK124" cm="1">
        <f t="array" aca="1" ref="EK124" ca="1">IF(ISNA(E124),0,OFFSET(INDIRECT("'"&amp;EK$67&amp;"'!g1"),E124-1,)*CL124)</f>
        <v>1</v>
      </c>
      <c r="EL124" cm="1">
        <f t="array" aca="1" ref="EL124" ca="1">IF(ISNA(F124),0,OFFSET(INDIRECT("'"&amp;EL$67&amp;"'!g1"),F124-1,)*CM124)</f>
        <v>1</v>
      </c>
      <c r="EM124" cm="1">
        <f t="array" aca="1" ref="EM124" ca="1">IF(ISNA(G124),0,OFFSET(INDIRECT("'"&amp;EM$67&amp;"'!g1"),G124-1,)*CN124)</f>
        <v>1</v>
      </c>
      <c r="EN124" cm="1">
        <f t="array" aca="1" ref="EN124" ca="1">IF(ISNA(H124),0,OFFSET(INDIRECT("'"&amp;EN$67&amp;"'!g1"),H124-1,)*CO124)</f>
        <v>0</v>
      </c>
      <c r="EO124" cm="1">
        <f t="array" aca="1" ref="EO124" ca="1">IF(ISNA(I124),0,OFFSET(INDIRECT("'"&amp;EO$67&amp;"'!g1"),I124-1,)*CP124)</f>
        <v>1</v>
      </c>
      <c r="EP124" cm="1">
        <f t="array" aca="1" ref="EP124" ca="1">IF(ISNA(J124),0,OFFSET(INDIRECT("'"&amp;EP$67&amp;"'!g1"),J124-1,)*CQ124)</f>
        <v>1</v>
      </c>
      <c r="EQ124" cm="1">
        <f t="array" aca="1" ref="EQ124" ca="1">IF(ISNA(K124),0,OFFSET(INDIRECT("'"&amp;EQ$67&amp;"'!g1"),K124-1,)*CR124)</f>
        <v>6554</v>
      </c>
      <c r="ER124" cm="1">
        <f t="array" aca="1" ref="ER124" ca="1">IF(ISNA(L124),0,OFFSET(INDIRECT("'"&amp;ER$67&amp;"'!g1"),L124-1,)*CS124)</f>
        <v>9264</v>
      </c>
      <c r="ES124" cm="1">
        <f t="array" aca="1" ref="ES124" ca="1">IF(ISNA(M124),0,OFFSET(INDIRECT("'"&amp;ES$67&amp;"'!g1"),M124-1,)*CT124)</f>
        <v>3200</v>
      </c>
      <c r="ET124" cm="1">
        <f t="array" aca="1" ref="ET124" ca="1">IF(ISNA(N124),0,OFFSET(INDIRECT("'"&amp;ET$67&amp;"'!g1"),N124-1,)*CU124)</f>
        <v>0</v>
      </c>
      <c r="EU124" cm="1">
        <f t="array" aca="1" ref="EU124" ca="1">IF(ISNA(O124),0,OFFSET(INDIRECT("'"&amp;EU$67&amp;"'!g1"),O124-1,)*CV124)</f>
        <v>0</v>
      </c>
      <c r="EV124" cm="1">
        <f t="array" aca="1" ref="EV124" ca="1">IF(ISNA(P124),0,OFFSET(INDIRECT("'"&amp;EV$67&amp;"'!g1"),P124-1,)*CW124)</f>
        <v>0</v>
      </c>
      <c r="FB124" s="10" cm="1">
        <f t="array" aca="1" ref="FB124" ca="1">IF(ISNA(E124),0,OFFSET(INDIRECT("'"&amp;EK$67&amp;"'!h1"),E124-1,))</f>
        <v>1</v>
      </c>
      <c r="FC124" s="10" cm="1">
        <f t="array" aca="1" ref="FC124" ca="1">IF(ISNA(F124),0,OFFSET(INDIRECT("'"&amp;EL$67&amp;"'!h1"),F124-1,))</f>
        <v>1</v>
      </c>
      <c r="FD124" s="10" cm="1">
        <f t="array" aca="1" ref="FD124" ca="1">IF(ISNA(G124),0,OFFSET(INDIRECT("'"&amp;EM$67&amp;"'!h1"),G124-1,))</f>
        <v>1</v>
      </c>
      <c r="FE124" s="10" cm="1">
        <f t="array" aca="1" ref="FE124" ca="1">IF(ISNA(H124),0,OFFSET(INDIRECT("'"&amp;EN$67&amp;"'!h1"),H124-1,))</f>
        <v>1</v>
      </c>
      <c r="FF124" s="10" cm="1">
        <f t="array" aca="1" ref="FF124" ca="1">IF(ISNA(I124),0,OFFSET(INDIRECT("'"&amp;EO$67&amp;"'!h1"),I124-1,))</f>
        <v>1</v>
      </c>
      <c r="FG124" s="10" cm="1">
        <f t="array" aca="1" ref="FG124" ca="1">IF(ISNA(J124),0,OFFSET(INDIRECT("'"&amp;EP$67&amp;"'!h1"),J124-1,))</f>
        <v>1</v>
      </c>
      <c r="FH124" s="10" cm="1">
        <f t="array" aca="1" ref="FH124" ca="1">IF(ISNA(K124),0,OFFSET(INDIRECT("'"&amp;EQ$67&amp;"'!h1"),K124-1,))</f>
        <v>10000</v>
      </c>
      <c r="FI124" s="10" cm="1">
        <f t="array" aca="1" ref="FI124" ca="1">IF(ISNA(L124),0,OFFSET(INDIRECT("'"&amp;ER$67&amp;"'!h1"),L124-1,))</f>
        <v>10000</v>
      </c>
      <c r="FJ124" s="10" cm="1">
        <f t="array" aca="1" ref="FJ124" ca="1">IF(ISNA(M124),0,OFFSET(INDIRECT("'"&amp;ES$67&amp;"'!h1"),M124-1,))</f>
        <v>10000</v>
      </c>
      <c r="FK124" s="10" cm="1">
        <f t="array" aca="1" ref="FK124" ca="1">IF(ISNA(N124),0,OFFSET(INDIRECT("'"&amp;ET$67&amp;"'!h1"),N124-1,))</f>
        <v>1</v>
      </c>
      <c r="FL124" s="10" cm="1">
        <f t="array" aca="1" ref="FL124" ca="1">IF(ISNA(O124),0,OFFSET(INDIRECT("'"&amp;EU$67&amp;"'!h1"),O124-1,))</f>
        <v>1</v>
      </c>
      <c r="FM124" s="10" cm="1">
        <f t="array" aca="1" ref="FM124" ca="1">IF(ISNA(P124),0,OFFSET(INDIRECT("'"&amp;EV$67&amp;"'!h1"),P124-1,))</f>
        <v>9</v>
      </c>
      <c r="FN124" s="10"/>
      <c r="FO124" s="10"/>
      <c r="FP124" s="10"/>
      <c r="FQ124" s="10"/>
      <c r="FS124">
        <f t="shared" ca="1" si="137"/>
        <v>64</v>
      </c>
      <c r="FT124">
        <f t="shared" ca="1" si="62"/>
        <v>2.1056247716769501</v>
      </c>
      <c r="FU124">
        <f t="shared" ca="1" si="63"/>
        <v>6554</v>
      </c>
      <c r="FV124">
        <f t="shared" ca="1" si="64"/>
        <v>10000</v>
      </c>
      <c r="FW124" s="4">
        <f t="shared" ca="1" si="138"/>
        <v>0.65539999999999998</v>
      </c>
      <c r="FX124" s="5">
        <f t="shared" ca="1" si="139"/>
        <v>3.2127323339593378E-4</v>
      </c>
      <c r="FZ124" s="13">
        <f t="shared" ca="1" si="140"/>
        <v>64</v>
      </c>
      <c r="GA124" s="23">
        <f t="shared" ca="1" si="141"/>
        <v>0</v>
      </c>
      <c r="GB124" s="23">
        <f t="shared" ca="1" si="142"/>
        <v>0</v>
      </c>
      <c r="GC124" s="23">
        <f t="shared" ca="1" si="143"/>
        <v>0</v>
      </c>
      <c r="GD124" s="23" t="e">
        <f t="shared" ca="1" si="144"/>
        <v>#N/A</v>
      </c>
      <c r="GE124" s="23">
        <f t="shared" ca="1" si="145"/>
        <v>0</v>
      </c>
      <c r="GF124" s="23">
        <f t="shared" ca="1" si="146"/>
        <v>0</v>
      </c>
      <c r="GG124" s="23">
        <f t="shared" ca="1" si="147"/>
        <v>0</v>
      </c>
      <c r="GH124" s="23">
        <f t="shared" ca="1" si="148"/>
        <v>0</v>
      </c>
      <c r="GI124" s="23">
        <f t="shared" ca="1" si="149"/>
        <v>0</v>
      </c>
      <c r="GJ124" s="23" t="e">
        <f t="shared" ca="1" si="150"/>
        <v>#N/A</v>
      </c>
      <c r="GK124" s="23" t="e">
        <f t="shared" ca="1" si="151"/>
        <v>#N/A</v>
      </c>
      <c r="GL124" s="23" t="e">
        <f t="shared" ca="1" si="152"/>
        <v>#N/A</v>
      </c>
      <c r="GM124" s="23"/>
      <c r="GN124">
        <f t="shared" ca="1" si="153"/>
        <v>64</v>
      </c>
      <c r="GO124" s="5">
        <f t="shared" ca="1" si="154"/>
        <v>610.85780330299895</v>
      </c>
      <c r="GP124" s="5">
        <f t="shared" ca="1" si="155"/>
        <v>3941.0216531880001</v>
      </c>
      <c r="GQ124" s="5">
        <f t="shared" ca="1" si="156"/>
        <v>1311.1362980259901</v>
      </c>
      <c r="GR124" s="5" t="e">
        <f t="shared" ca="1" si="157"/>
        <v>#N/A</v>
      </c>
      <c r="GS124" s="5">
        <f t="shared" ca="1" si="158"/>
        <v>5.9271500002068898E-2</v>
      </c>
      <c r="GT124" s="5">
        <f t="shared" ca="1" si="159"/>
        <v>0.145333146676421</v>
      </c>
      <c r="GU124" s="5">
        <f t="shared" ca="1" si="160"/>
        <v>3.2127323339593378E-4</v>
      </c>
      <c r="GV124" s="5">
        <f t="shared" ca="1" si="161"/>
        <v>2.9496232778338947E-4</v>
      </c>
      <c r="GW124" s="5">
        <f t="shared" ca="1" si="162"/>
        <v>8.6547369569598114E-3</v>
      </c>
      <c r="GX124" s="5" t="e">
        <f t="shared" ca="1" si="163"/>
        <v>#N/A</v>
      </c>
      <c r="GY124" s="5" t="e">
        <f t="shared" ca="1" si="164"/>
        <v>#N/A</v>
      </c>
      <c r="GZ124" s="5" t="e">
        <f t="shared" ca="1" si="165"/>
        <v>#N/A</v>
      </c>
      <c r="HB124" s="13">
        <f t="shared" ca="1" si="166"/>
        <v>64</v>
      </c>
      <c r="HC124" s="4">
        <f t="shared" ca="1" si="167"/>
        <v>1</v>
      </c>
      <c r="HD124" s="4">
        <f t="shared" ca="1" si="168"/>
        <v>1</v>
      </c>
      <c r="HE124" s="4">
        <f t="shared" ca="1" si="169"/>
        <v>1</v>
      </c>
      <c r="HF124" s="4">
        <f t="shared" ca="1" si="170"/>
        <v>0</v>
      </c>
      <c r="HG124" s="4">
        <f t="shared" ca="1" si="171"/>
        <v>1</v>
      </c>
      <c r="HH124" s="4">
        <f t="shared" ca="1" si="172"/>
        <v>1</v>
      </c>
      <c r="HI124" s="4">
        <f t="shared" ca="1" si="173"/>
        <v>0.65539999999999998</v>
      </c>
      <c r="HJ124" s="4">
        <f t="shared" ca="1" si="174"/>
        <v>0.9264</v>
      </c>
      <c r="HK124" s="4">
        <f t="shared" ca="1" si="175"/>
        <v>0.32</v>
      </c>
      <c r="HL124" s="4">
        <f t="shared" ca="1" si="176"/>
        <v>0</v>
      </c>
      <c r="HM124" s="4">
        <f t="shared" ca="1" si="177"/>
        <v>0</v>
      </c>
      <c r="HN124" s="4">
        <f t="shared" ca="1" si="178"/>
        <v>0</v>
      </c>
    </row>
    <row r="125" spans="1:222" x14ac:dyDescent="0.2">
      <c r="A125" t="str" cm="1">
        <f t="array" aca="1" ref="A125" ca="1">INDIRECT($A$67&amp;"!A"&amp;ROW(C58)+$B$64)</f>
        <v>[[65,31,13]]</v>
      </c>
      <c r="B125" cm="1">
        <f t="array" aca="1" ref="B125" ca="1">INDIRECT($A$67&amp;"!b"&amp;ROW(D58)+$B$64)</f>
        <v>65</v>
      </c>
      <c r="C125">
        <f t="shared" ca="1" si="78"/>
        <v>13</v>
      </c>
      <c r="E125">
        <f t="shared" ca="1" si="180"/>
        <v>82</v>
      </c>
      <c r="F125">
        <f t="shared" ca="1" si="180"/>
        <v>83</v>
      </c>
      <c r="G125">
        <f t="shared" ca="1" si="180"/>
        <v>82</v>
      </c>
      <c r="H125">
        <f t="shared" ca="1" si="180"/>
        <v>110</v>
      </c>
      <c r="I125">
        <f t="shared" ca="1" si="180"/>
        <v>85</v>
      </c>
      <c r="J125">
        <f t="shared" ca="1" si="180"/>
        <v>82</v>
      </c>
      <c r="K125">
        <f t="shared" ca="1" si="180"/>
        <v>89</v>
      </c>
      <c r="L125">
        <f t="shared" ca="1" si="180"/>
        <v>91</v>
      </c>
      <c r="M125">
        <f t="shared" ca="1" si="180"/>
        <v>88</v>
      </c>
      <c r="N125">
        <f t="shared" ca="1" si="180"/>
        <v>86</v>
      </c>
      <c r="O125">
        <f t="shared" ca="1" si="180"/>
        <v>86</v>
      </c>
      <c r="P125">
        <f t="shared" ca="1" si="180"/>
        <v>86</v>
      </c>
      <c r="V125" cm="1">
        <f t="array" aca="1" ref="V125" ca="1">IF(ISNA(E125),,OFFSET(INDIRECT("'"&amp;V$67&amp;"'!d1"),E125-1,))</f>
        <v>13</v>
      </c>
      <c r="W125" cm="1">
        <f t="array" aca="1" ref="W125" ca="1">IF(ISNA(F125),,OFFSET(INDIRECT("'"&amp;W$67&amp;"'!d1"),F125-1,))</f>
        <v>13</v>
      </c>
      <c r="X125" cm="1">
        <f t="array" aca="1" ref="X125" ca="1">IF(ISNA(G125),,OFFSET(INDIRECT("'"&amp;X$67&amp;"'!d1"),G125-1,))</f>
        <v>13</v>
      </c>
      <c r="Y125" cm="1">
        <f t="array" aca="1" ref="Y125" ca="1">IF(ISNA(H125),,OFFSET(INDIRECT("'"&amp;Y$67&amp;"'!d1"),H125-1,))</f>
        <v>0</v>
      </c>
      <c r="Z125" cm="1">
        <f t="array" aca="1" ref="Z125" ca="1">IF(ISNA(I125),,OFFSET(INDIRECT("'"&amp;Z$67&amp;"'!d1"),I125-1,))</f>
        <v>13</v>
      </c>
      <c r="AA125" cm="1">
        <f t="array" aca="1" ref="AA125" ca="1">IF(ISNA(J125),,OFFSET(INDIRECT("'"&amp;AA$67&amp;"'!d1"),J125-1,))</f>
        <v>13</v>
      </c>
      <c r="AB125" cm="1">
        <f t="array" aca="1" ref="AB125" ca="1">IF(ISNA(K125),,OFFSET(INDIRECT("'"&amp;AB$67&amp;"'!d1"),K125-1,))</f>
        <v>13</v>
      </c>
      <c r="AC125" cm="1">
        <f t="array" aca="1" ref="AC125" ca="1">IF(ISNA(L125),,OFFSET(INDIRECT("'"&amp;AC$67&amp;"'!d1"),L125-1,))</f>
        <v>13</v>
      </c>
      <c r="AD125" cm="1">
        <f t="array" aca="1" ref="AD125" ca="1">IF(ISNA(M125),,OFFSET(INDIRECT("'"&amp;AD$67&amp;"'!d1"),M125-1,))</f>
        <v>13</v>
      </c>
      <c r="AE125" cm="1">
        <f t="array" aca="1" ref="AE125" ca="1">IF(ISNA(N125),,OFFSET(INDIRECT("'"&amp;AE$67&amp;"'!d1"),N125-1,))</f>
        <v>0</v>
      </c>
      <c r="AF125" cm="1">
        <f t="array" aca="1" ref="AF125" ca="1">IF(ISNA(O125),,OFFSET(INDIRECT("'"&amp;AF$67&amp;"'!d1"),O125-1,))</f>
        <v>0</v>
      </c>
      <c r="AG125" cm="1">
        <f t="array" aca="1" ref="AG125" ca="1">IF(ISNA(P125),,OFFSET(INDIRECT("'"&amp;AG$67&amp;"'!d1"),P125-1,))</f>
        <v>0</v>
      </c>
      <c r="AM125">
        <f t="shared" ca="1" si="79"/>
        <v>1</v>
      </c>
      <c r="AN125">
        <f t="shared" ca="1" si="80"/>
        <v>1</v>
      </c>
      <c r="AO125">
        <f t="shared" ca="1" si="81"/>
        <v>1</v>
      </c>
      <c r="AP125">
        <f t="shared" ca="1" si="82"/>
        <v>0</v>
      </c>
      <c r="AQ125">
        <f t="shared" ca="1" si="83"/>
        <v>1</v>
      </c>
      <c r="AV125" t="b">
        <f t="shared" ca="1" si="84"/>
        <v>1</v>
      </c>
      <c r="AW125" t="b">
        <f t="shared" ca="1" si="85"/>
        <v>1</v>
      </c>
      <c r="AX125" t="b">
        <f t="shared" ca="1" si="86"/>
        <v>1</v>
      </c>
      <c r="AY125" t="str">
        <f t="shared" ca="1" si="87"/>
        <v/>
      </c>
      <c r="AZ125" t="b">
        <f t="shared" ca="1" si="88"/>
        <v>1</v>
      </c>
      <c r="BD125">
        <f t="shared" ca="1" si="89"/>
        <v>1</v>
      </c>
      <c r="BE125">
        <f t="shared" ca="1" si="90"/>
        <v>1</v>
      </c>
      <c r="BF125">
        <f t="shared" ca="1" si="91"/>
        <v>1</v>
      </c>
      <c r="BG125">
        <f t="shared" ca="1" si="92"/>
        <v>0</v>
      </c>
      <c r="BH125">
        <f t="shared" ca="1" si="93"/>
        <v>1</v>
      </c>
      <c r="BI125">
        <f t="shared" ca="1" si="94"/>
        <v>1</v>
      </c>
      <c r="BJ125">
        <f t="shared" ca="1" si="95"/>
        <v>1</v>
      </c>
      <c r="BK125">
        <f t="shared" ca="1" si="96"/>
        <v>1</v>
      </c>
      <c r="BL125">
        <f t="shared" ca="1" si="97"/>
        <v>1</v>
      </c>
      <c r="BM125">
        <f t="shared" ca="1" si="98"/>
        <v>0</v>
      </c>
      <c r="BN125">
        <f t="shared" ca="1" si="99"/>
        <v>0</v>
      </c>
      <c r="BO125">
        <f t="shared" ca="1" si="100"/>
        <v>0</v>
      </c>
      <c r="BU125">
        <f t="shared" ca="1" si="101"/>
        <v>13</v>
      </c>
      <c r="BV125">
        <f t="shared" ca="1" si="102"/>
        <v>13</v>
      </c>
      <c r="BW125">
        <f t="shared" ca="1" si="103"/>
        <v>13</v>
      </c>
      <c r="BX125">
        <f t="shared" ca="1" si="104"/>
        <v>65</v>
      </c>
      <c r="BY125">
        <f t="shared" ca="1" si="105"/>
        <v>13</v>
      </c>
      <c r="BZ125">
        <f t="shared" ca="1" si="106"/>
        <v>13</v>
      </c>
      <c r="CA125">
        <f t="shared" ca="1" si="107"/>
        <v>13</v>
      </c>
      <c r="CB125">
        <f t="shared" ca="1" si="108"/>
        <v>13</v>
      </c>
      <c r="CC125">
        <f t="shared" ca="1" si="109"/>
        <v>13</v>
      </c>
      <c r="CD125">
        <f t="shared" ca="1" si="110"/>
        <v>65</v>
      </c>
      <c r="CE125">
        <f t="shared" ca="1" si="111"/>
        <v>65</v>
      </c>
      <c r="CF125">
        <f t="shared" ca="1" si="112"/>
        <v>65</v>
      </c>
      <c r="CL125">
        <f t="shared" ca="1" si="113"/>
        <v>1</v>
      </c>
      <c r="CM125">
        <f t="shared" ca="1" si="114"/>
        <v>1</v>
      </c>
      <c r="CN125">
        <f t="shared" ca="1" si="115"/>
        <v>1</v>
      </c>
      <c r="CO125">
        <f t="shared" ca="1" si="116"/>
        <v>0</v>
      </c>
      <c r="CP125">
        <f t="shared" ca="1" si="117"/>
        <v>1</v>
      </c>
      <c r="CQ125">
        <f t="shared" ca="1" si="118"/>
        <v>1</v>
      </c>
      <c r="CR125">
        <f t="shared" ca="1" si="119"/>
        <v>1</v>
      </c>
      <c r="CS125">
        <f t="shared" ca="1" si="120"/>
        <v>1</v>
      </c>
      <c r="CT125">
        <f t="shared" ca="1" si="121"/>
        <v>1</v>
      </c>
      <c r="CU125">
        <f t="shared" ca="1" si="122"/>
        <v>0</v>
      </c>
      <c r="CV125">
        <f t="shared" ca="1" si="123"/>
        <v>0</v>
      </c>
      <c r="CW125">
        <f t="shared" ca="1" si="124"/>
        <v>0</v>
      </c>
      <c r="DC125" cm="1">
        <f t="array" aca="1" ref="DC125" ca="1">IF(ISNA(E125),,OFFSET(INDIRECT("'"&amp;DT$67&amp;"'!f1"),E125-1,))*1</f>
        <v>868.91470208400006</v>
      </c>
      <c r="DD125" cm="1">
        <f t="array" aca="1" ref="DD125" ca="1">IF(ISNA(F125),,OFFSET(INDIRECT("'"&amp;DU$67&amp;"'!f1"),F125-1,))*1</f>
        <v>3049.0530629519999</v>
      </c>
      <c r="DE125" cm="1">
        <f t="array" aca="1" ref="DE125" ca="1">IF(ISNA(G125),,OFFSET(INDIRECT("'"&amp;DV$67&amp;"'!f1"),G125-1,))*1</f>
        <v>3292.1899070069999</v>
      </c>
      <c r="DF125" cm="1">
        <f t="array" aca="1" ref="DF125" ca="1">IF(ISNA(H125),,OFFSET(INDIRECT("'"&amp;DW$67&amp;"'!f1"),H125-1,))*1</f>
        <v>28800.111009351898</v>
      </c>
      <c r="DG125" cm="1">
        <f t="array" aca="1" ref="DG125" ca="1">IF(ISNA(I125),,OFFSET(INDIRECT("'"&amp;DX$67&amp;"'!f1"),I125-1,))*1</f>
        <v>6.4059208998514805E-2</v>
      </c>
      <c r="DH125" cm="1">
        <f t="array" aca="1" ref="DH125" ca="1">IF(ISNA(J125),,OFFSET(INDIRECT("'"&amp;DY$67&amp;"'!f1"),J125-1,))*1</f>
        <v>0.13738567335531099</v>
      </c>
      <c r="DI125" cm="1">
        <f t="array" aca="1" ref="DI125" ca="1">IF(ISNA(K125),,OFFSET(INDIRECT("'"&amp;DZ$67&amp;"'!f1"),K125-1,))*1</f>
        <v>2.0234725084155798</v>
      </c>
      <c r="DJ125" cm="1">
        <f t="array" aca="1" ref="DJ125" ca="1">IF(ISNA(L125),,OFFSET(INDIRECT("'"&amp;EA$67&amp;"'!f1"),L125-1,))*1</f>
        <v>2.6566396029666</v>
      </c>
      <c r="DK125" cm="1">
        <f t="array" aca="1" ref="DK125" ca="1">IF(ISNA(M125),,OFFSET(INDIRECT("'"&amp;EB$67&amp;"'!f1"),M125-1,))*1</f>
        <v>38.2210223269648</v>
      </c>
      <c r="DL125" cm="1">
        <f t="array" aca="1" ref="DL125" ca="1">IF(ISNA(N125),,OFFSET(INDIRECT("'"&amp;EC$67&amp;"'!f1"),N125-1,))*1</f>
        <v>9.9702477455139108E-3</v>
      </c>
      <c r="DM125" cm="1">
        <f t="array" aca="1" ref="DM125" ca="1">IF(ISNA(O125),,OFFSET(INDIRECT("'"&amp;ED$67&amp;"'!f1"),O125-1,))*1</f>
        <v>1.0014148429036101E-2</v>
      </c>
      <c r="DN125" cm="1">
        <f t="array" aca="1" ref="DN125" ca="1">IF(ISNA(P125),,OFFSET(INDIRECT("'"&amp;EE$67&amp;"'!f1"),P125-1,))*1</f>
        <v>1.5831920318305399E-2</v>
      </c>
      <c r="DT125">
        <f t="shared" ca="1" si="125"/>
        <v>1</v>
      </c>
      <c r="DU125">
        <f t="shared" ca="1" si="126"/>
        <v>1</v>
      </c>
      <c r="DV125">
        <f t="shared" ca="1" si="127"/>
        <v>1</v>
      </c>
      <c r="DW125">
        <f t="shared" ca="1" si="128"/>
        <v>0</v>
      </c>
      <c r="DX125">
        <f t="shared" ca="1" si="129"/>
        <v>1</v>
      </c>
      <c r="DY125">
        <f t="shared" ca="1" si="130"/>
        <v>1</v>
      </c>
      <c r="DZ125">
        <f t="shared" ca="1" si="131"/>
        <v>4508</v>
      </c>
      <c r="EA125">
        <f t="shared" ca="1" si="132"/>
        <v>8758</v>
      </c>
      <c r="EB125">
        <f t="shared" ca="1" si="133"/>
        <v>3787</v>
      </c>
      <c r="EC125">
        <f t="shared" ca="1" si="134"/>
        <v>0</v>
      </c>
      <c r="ED125">
        <f t="shared" ca="1" si="135"/>
        <v>0</v>
      </c>
      <c r="EE125">
        <f t="shared" ca="1" si="136"/>
        <v>0</v>
      </c>
      <c r="EK125" cm="1">
        <f t="array" aca="1" ref="EK125" ca="1">IF(ISNA(E125),0,OFFSET(INDIRECT("'"&amp;EK$67&amp;"'!g1"),E125-1,)*CL125)</f>
        <v>1</v>
      </c>
      <c r="EL125" cm="1">
        <f t="array" aca="1" ref="EL125" ca="1">IF(ISNA(F125),0,OFFSET(INDIRECT("'"&amp;EL$67&amp;"'!g1"),F125-1,)*CM125)</f>
        <v>1</v>
      </c>
      <c r="EM125" cm="1">
        <f t="array" aca="1" ref="EM125" ca="1">IF(ISNA(G125),0,OFFSET(INDIRECT("'"&amp;EM$67&amp;"'!g1"),G125-1,)*CN125)</f>
        <v>1</v>
      </c>
      <c r="EN125" cm="1">
        <f t="array" aca="1" ref="EN125" ca="1">IF(ISNA(H125),0,OFFSET(INDIRECT("'"&amp;EN$67&amp;"'!g1"),H125-1,)*CO125)</f>
        <v>0</v>
      </c>
      <c r="EO125" cm="1">
        <f t="array" aca="1" ref="EO125" ca="1">IF(ISNA(I125),0,OFFSET(INDIRECT("'"&amp;EO$67&amp;"'!g1"),I125-1,)*CP125)</f>
        <v>1</v>
      </c>
      <c r="EP125" cm="1">
        <f t="array" aca="1" ref="EP125" ca="1">IF(ISNA(J125),0,OFFSET(INDIRECT("'"&amp;EP$67&amp;"'!g1"),J125-1,)*CQ125)</f>
        <v>1</v>
      </c>
      <c r="EQ125" cm="1">
        <f t="array" aca="1" ref="EQ125" ca="1">IF(ISNA(K125),0,OFFSET(INDIRECT("'"&amp;EQ$67&amp;"'!g1"),K125-1,)*CR125)</f>
        <v>4508</v>
      </c>
      <c r="ER125" cm="1">
        <f t="array" aca="1" ref="ER125" ca="1">IF(ISNA(L125),0,OFFSET(INDIRECT("'"&amp;ER$67&amp;"'!g1"),L125-1,)*CS125)</f>
        <v>8758</v>
      </c>
      <c r="ES125" cm="1">
        <f t="array" aca="1" ref="ES125" ca="1">IF(ISNA(M125),0,OFFSET(INDIRECT("'"&amp;ES$67&amp;"'!g1"),M125-1,)*CT125)</f>
        <v>3787</v>
      </c>
      <c r="ET125" cm="1">
        <f t="array" aca="1" ref="ET125" ca="1">IF(ISNA(N125),0,OFFSET(INDIRECT("'"&amp;ET$67&amp;"'!g1"),N125-1,)*CU125)</f>
        <v>0</v>
      </c>
      <c r="EU125" cm="1">
        <f t="array" aca="1" ref="EU125" ca="1">IF(ISNA(O125),0,OFFSET(INDIRECT("'"&amp;EU$67&amp;"'!g1"),O125-1,)*CV125)</f>
        <v>0</v>
      </c>
      <c r="EV125" cm="1">
        <f t="array" aca="1" ref="EV125" ca="1">IF(ISNA(P125),0,OFFSET(INDIRECT("'"&amp;EV$67&amp;"'!g1"),P125-1,)*CW125)</f>
        <v>0</v>
      </c>
      <c r="FB125" s="10" cm="1">
        <f t="array" aca="1" ref="FB125" ca="1">IF(ISNA(E125),0,OFFSET(INDIRECT("'"&amp;EK$67&amp;"'!h1"),E125-1,))</f>
        <v>1</v>
      </c>
      <c r="FC125" s="10" cm="1">
        <f t="array" aca="1" ref="FC125" ca="1">IF(ISNA(F125),0,OFFSET(INDIRECT("'"&amp;EL$67&amp;"'!h1"),F125-1,))</f>
        <v>1</v>
      </c>
      <c r="FD125" s="10" cm="1">
        <f t="array" aca="1" ref="FD125" ca="1">IF(ISNA(G125),0,OFFSET(INDIRECT("'"&amp;EM$67&amp;"'!h1"),G125-1,))</f>
        <v>1</v>
      </c>
      <c r="FE125" s="10" cm="1">
        <f t="array" aca="1" ref="FE125" ca="1">IF(ISNA(H125),0,OFFSET(INDIRECT("'"&amp;EN$67&amp;"'!h1"),H125-1,))</f>
        <v>1</v>
      </c>
      <c r="FF125" s="10" cm="1">
        <f t="array" aca="1" ref="FF125" ca="1">IF(ISNA(I125),0,OFFSET(INDIRECT("'"&amp;EO$67&amp;"'!h1"),I125-1,))</f>
        <v>1</v>
      </c>
      <c r="FG125" s="10" cm="1">
        <f t="array" aca="1" ref="FG125" ca="1">IF(ISNA(J125),0,OFFSET(INDIRECT("'"&amp;EP$67&amp;"'!h1"),J125-1,))</f>
        <v>1</v>
      </c>
      <c r="FH125" s="10" cm="1">
        <f t="array" aca="1" ref="FH125" ca="1">IF(ISNA(K125),0,OFFSET(INDIRECT("'"&amp;EQ$67&amp;"'!h1"),K125-1,))</f>
        <v>10000</v>
      </c>
      <c r="FI125" s="10" cm="1">
        <f t="array" aca="1" ref="FI125" ca="1">IF(ISNA(L125),0,OFFSET(INDIRECT("'"&amp;ER$67&amp;"'!h1"),L125-1,))</f>
        <v>10000</v>
      </c>
      <c r="FJ125" s="10" cm="1">
        <f t="array" aca="1" ref="FJ125" ca="1">IF(ISNA(M125),0,OFFSET(INDIRECT("'"&amp;ES$67&amp;"'!h1"),M125-1,))</f>
        <v>10000</v>
      </c>
      <c r="FK125" s="10" cm="1">
        <f t="array" aca="1" ref="FK125" ca="1">IF(ISNA(N125),0,OFFSET(INDIRECT("'"&amp;ET$67&amp;"'!h1"),N125-1,))</f>
        <v>1</v>
      </c>
      <c r="FL125" s="10" cm="1">
        <f t="array" aca="1" ref="FL125" ca="1">IF(ISNA(O125),0,OFFSET(INDIRECT("'"&amp;EU$67&amp;"'!h1"),O125-1,))</f>
        <v>1</v>
      </c>
      <c r="FM125" s="10" cm="1">
        <f t="array" aca="1" ref="FM125" ca="1">IF(ISNA(P125),0,OFFSET(INDIRECT("'"&amp;EV$67&amp;"'!h1"),P125-1,))</f>
        <v>9</v>
      </c>
      <c r="FN125" s="10"/>
      <c r="FO125" s="10"/>
      <c r="FP125" s="10"/>
      <c r="FQ125" s="10"/>
      <c r="FS125">
        <f t="shared" ca="1" si="137"/>
        <v>65</v>
      </c>
      <c r="FT125">
        <f t="shared" ca="1" si="62"/>
        <v>2.0234725084155798</v>
      </c>
      <c r="FU125">
        <f t="shared" ca="1" si="63"/>
        <v>4508</v>
      </c>
      <c r="FV125">
        <f t="shared" ca="1" si="64"/>
        <v>10000</v>
      </c>
      <c r="FW125" s="4">
        <f t="shared" ca="1" si="138"/>
        <v>0.45079999999999998</v>
      </c>
      <c r="FX125" s="5">
        <f t="shared" ca="1" si="139"/>
        <v>4.4886257950656162E-4</v>
      </c>
      <c r="FZ125" s="13">
        <f t="shared" ca="1" si="140"/>
        <v>65</v>
      </c>
      <c r="GA125" s="23">
        <f t="shared" ca="1" si="141"/>
        <v>0</v>
      </c>
      <c r="GB125" s="23">
        <f t="shared" ca="1" si="142"/>
        <v>0</v>
      </c>
      <c r="GC125" s="23">
        <f t="shared" ca="1" si="143"/>
        <v>0</v>
      </c>
      <c r="GD125" s="23" t="e">
        <f t="shared" ca="1" si="144"/>
        <v>#N/A</v>
      </c>
      <c r="GE125" s="23">
        <f t="shared" ca="1" si="145"/>
        <v>0</v>
      </c>
      <c r="GF125" s="23">
        <f t="shared" ca="1" si="146"/>
        <v>0</v>
      </c>
      <c r="GG125" s="23">
        <f t="shared" ca="1" si="147"/>
        <v>0</v>
      </c>
      <c r="GH125" s="23">
        <f t="shared" ca="1" si="148"/>
        <v>0</v>
      </c>
      <c r="GI125" s="23">
        <f t="shared" ca="1" si="149"/>
        <v>0</v>
      </c>
      <c r="GJ125" s="23" t="e">
        <f t="shared" ca="1" si="150"/>
        <v>#N/A</v>
      </c>
      <c r="GK125" s="23" t="e">
        <f t="shared" ca="1" si="151"/>
        <v>#N/A</v>
      </c>
      <c r="GL125" s="23" t="e">
        <f t="shared" ca="1" si="152"/>
        <v>#N/A</v>
      </c>
      <c r="GM125" s="23"/>
      <c r="GN125">
        <f t="shared" ca="1" si="153"/>
        <v>65</v>
      </c>
      <c r="GO125" s="5">
        <f t="shared" ca="1" si="154"/>
        <v>868.91470208400006</v>
      </c>
      <c r="GP125" s="5">
        <f t="shared" ca="1" si="155"/>
        <v>3049.0530629519999</v>
      </c>
      <c r="GQ125" s="5">
        <f t="shared" ca="1" si="156"/>
        <v>3292.1899070069999</v>
      </c>
      <c r="GR125" s="5" t="e">
        <f t="shared" ca="1" si="157"/>
        <v>#N/A</v>
      </c>
      <c r="GS125" s="5">
        <f t="shared" ca="1" si="158"/>
        <v>6.4059208998514805E-2</v>
      </c>
      <c r="GT125" s="5">
        <f t="shared" ca="1" si="159"/>
        <v>0.13738567335531099</v>
      </c>
      <c r="GU125" s="5">
        <f t="shared" ca="1" si="160"/>
        <v>4.4886257950656162E-4</v>
      </c>
      <c r="GV125" s="5">
        <f t="shared" ca="1" si="161"/>
        <v>3.0333861646113269E-4</v>
      </c>
      <c r="GW125" s="5">
        <f t="shared" ca="1" si="162"/>
        <v>1.0092691398723212E-2</v>
      </c>
      <c r="GX125" s="5" t="e">
        <f t="shared" ca="1" si="163"/>
        <v>#N/A</v>
      </c>
      <c r="GY125" s="5" t="e">
        <f t="shared" ca="1" si="164"/>
        <v>#N/A</v>
      </c>
      <c r="GZ125" s="5" t="e">
        <f t="shared" ca="1" si="165"/>
        <v>#N/A</v>
      </c>
      <c r="HB125" s="13">
        <f t="shared" ca="1" si="166"/>
        <v>65</v>
      </c>
      <c r="HC125" s="4">
        <f t="shared" ca="1" si="167"/>
        <v>1</v>
      </c>
      <c r="HD125" s="4">
        <f t="shared" ca="1" si="168"/>
        <v>1</v>
      </c>
      <c r="HE125" s="4">
        <f t="shared" ca="1" si="169"/>
        <v>1</v>
      </c>
      <c r="HF125" s="4">
        <f t="shared" ca="1" si="170"/>
        <v>0</v>
      </c>
      <c r="HG125" s="4">
        <f t="shared" ca="1" si="171"/>
        <v>1</v>
      </c>
      <c r="HH125" s="4">
        <f t="shared" ca="1" si="172"/>
        <v>1</v>
      </c>
      <c r="HI125" s="4">
        <f t="shared" ca="1" si="173"/>
        <v>0.45079999999999998</v>
      </c>
      <c r="HJ125" s="4">
        <f t="shared" ca="1" si="174"/>
        <v>0.87580000000000002</v>
      </c>
      <c r="HK125" s="4">
        <f t="shared" ca="1" si="175"/>
        <v>0.37869999999999998</v>
      </c>
      <c r="HL125" s="4">
        <f t="shared" ca="1" si="176"/>
        <v>0</v>
      </c>
      <c r="HM125" s="4">
        <f t="shared" ca="1" si="177"/>
        <v>0</v>
      </c>
      <c r="HN125" s="4">
        <f t="shared" ca="1" si="178"/>
        <v>0</v>
      </c>
    </row>
    <row r="126" spans="1:222" x14ac:dyDescent="0.2">
      <c r="A126" t="str" cm="1">
        <f t="array" aca="1" ref="A126" ca="1">INDIRECT($A$67&amp;"!A"&amp;ROW(C59)+$B$64)</f>
        <v>[[66,32,13]]</v>
      </c>
      <c r="B126" cm="1">
        <f t="array" aca="1" ref="B126" ca="1">INDIRECT($A$67&amp;"!b"&amp;ROW(D59)+$B$64)</f>
        <v>66</v>
      </c>
      <c r="C126">
        <f t="shared" ca="1" si="78"/>
        <v>13</v>
      </c>
      <c r="E126">
        <f t="shared" ca="1" si="180"/>
        <v>83</v>
      </c>
      <c r="F126">
        <f t="shared" ca="1" si="180"/>
        <v>84</v>
      </c>
      <c r="G126">
        <f t="shared" ca="1" si="180"/>
        <v>83</v>
      </c>
      <c r="H126">
        <f t="shared" ca="1" si="180"/>
        <v>81</v>
      </c>
      <c r="I126">
        <f t="shared" ca="1" si="180"/>
        <v>86</v>
      </c>
      <c r="J126">
        <f t="shared" ca="1" si="180"/>
        <v>83</v>
      </c>
      <c r="K126">
        <f t="shared" ca="1" si="180"/>
        <v>90</v>
      </c>
      <c r="L126">
        <f t="shared" ca="1" si="180"/>
        <v>92</v>
      </c>
      <c r="M126">
        <f t="shared" ca="1" si="180"/>
        <v>89</v>
      </c>
      <c r="N126">
        <f t="shared" ca="1" si="180"/>
        <v>87</v>
      </c>
      <c r="O126">
        <f t="shared" ca="1" si="180"/>
        <v>87</v>
      </c>
      <c r="P126">
        <f t="shared" ca="1" si="180"/>
        <v>87</v>
      </c>
      <c r="V126" cm="1">
        <f t="array" aca="1" ref="V126" ca="1">IF(ISNA(E126),,OFFSET(INDIRECT("'"&amp;V$67&amp;"'!d1"),E126-1,))</f>
        <v>13</v>
      </c>
      <c r="W126" cm="1">
        <f t="array" aca="1" ref="W126" ca="1">IF(ISNA(F126),,OFFSET(INDIRECT("'"&amp;W$67&amp;"'!d1"),F126-1,))</f>
        <v>13</v>
      </c>
      <c r="X126" cm="1">
        <f t="array" aca="1" ref="X126" ca="1">IF(ISNA(G126),,OFFSET(INDIRECT("'"&amp;X$67&amp;"'!d1"),G126-1,))</f>
        <v>13</v>
      </c>
      <c r="Y126" cm="1">
        <f t="array" aca="1" ref="Y126" ca="1">IF(ISNA(H126),,OFFSET(INDIRECT("'"&amp;Y$67&amp;"'!d1"),H126-1,))</f>
        <v>0</v>
      </c>
      <c r="Z126" cm="1">
        <f t="array" aca="1" ref="Z126" ca="1">IF(ISNA(I126),,OFFSET(INDIRECT("'"&amp;Z$67&amp;"'!d1"),I126-1,))</f>
        <v>13</v>
      </c>
      <c r="AA126" cm="1">
        <f t="array" aca="1" ref="AA126" ca="1">IF(ISNA(J126),,OFFSET(INDIRECT("'"&amp;AA$67&amp;"'!d1"),J126-1,))</f>
        <v>13</v>
      </c>
      <c r="AB126" cm="1">
        <f t="array" aca="1" ref="AB126" ca="1">IF(ISNA(K126),,OFFSET(INDIRECT("'"&amp;AB$67&amp;"'!d1"),K126-1,))</f>
        <v>13</v>
      </c>
      <c r="AC126" cm="1">
        <f t="array" aca="1" ref="AC126" ca="1">IF(ISNA(L126),,OFFSET(INDIRECT("'"&amp;AC$67&amp;"'!d1"),L126-1,))</f>
        <v>13</v>
      </c>
      <c r="AD126" cm="1">
        <f t="array" aca="1" ref="AD126" ca="1">IF(ISNA(M126),,OFFSET(INDIRECT("'"&amp;AD$67&amp;"'!d1"),M126-1,))</f>
        <v>13</v>
      </c>
      <c r="AE126" cm="1">
        <f t="array" aca="1" ref="AE126" ca="1">IF(ISNA(N126),,OFFSET(INDIRECT("'"&amp;AE$67&amp;"'!d1"),N126-1,))</f>
        <v>0</v>
      </c>
      <c r="AF126" cm="1">
        <f t="array" aca="1" ref="AF126" ca="1">IF(ISNA(O126),,OFFSET(INDIRECT("'"&amp;AF$67&amp;"'!d1"),O126-1,))</f>
        <v>0</v>
      </c>
      <c r="AG126" cm="1">
        <f t="array" aca="1" ref="AG126" ca="1">IF(ISNA(P126),,OFFSET(INDIRECT("'"&amp;AG$67&amp;"'!d1"),P126-1,))</f>
        <v>0</v>
      </c>
      <c r="AM126">
        <f t="shared" ca="1" si="79"/>
        <v>1</v>
      </c>
      <c r="AN126">
        <f t="shared" ca="1" si="80"/>
        <v>1</v>
      </c>
      <c r="AO126">
        <f t="shared" ca="1" si="81"/>
        <v>1</v>
      </c>
      <c r="AP126">
        <f t="shared" ca="1" si="82"/>
        <v>0</v>
      </c>
      <c r="AQ126">
        <f t="shared" ca="1" si="83"/>
        <v>1</v>
      </c>
      <c r="AV126" t="b">
        <f t="shared" ca="1" si="84"/>
        <v>1</v>
      </c>
      <c r="AW126" t="b">
        <f t="shared" ca="1" si="85"/>
        <v>1</v>
      </c>
      <c r="AX126" t="b">
        <f t="shared" ca="1" si="86"/>
        <v>1</v>
      </c>
      <c r="AY126" t="str">
        <f t="shared" ca="1" si="87"/>
        <v/>
      </c>
      <c r="AZ126" t="b">
        <f t="shared" ca="1" si="88"/>
        <v>1</v>
      </c>
      <c r="BD126">
        <f t="shared" ca="1" si="89"/>
        <v>1</v>
      </c>
      <c r="BE126">
        <f t="shared" ca="1" si="90"/>
        <v>1</v>
      </c>
      <c r="BF126">
        <f t="shared" ca="1" si="91"/>
        <v>1</v>
      </c>
      <c r="BG126">
        <f t="shared" ca="1" si="92"/>
        <v>0</v>
      </c>
      <c r="BH126">
        <f t="shared" ca="1" si="93"/>
        <v>1</v>
      </c>
      <c r="BI126">
        <f t="shared" ca="1" si="94"/>
        <v>1</v>
      </c>
      <c r="BJ126">
        <f t="shared" ca="1" si="95"/>
        <v>1</v>
      </c>
      <c r="BK126">
        <f t="shared" ca="1" si="96"/>
        <v>1</v>
      </c>
      <c r="BL126">
        <f t="shared" ca="1" si="97"/>
        <v>1</v>
      </c>
      <c r="BM126">
        <f t="shared" ca="1" si="98"/>
        <v>0</v>
      </c>
      <c r="BN126">
        <f t="shared" ca="1" si="99"/>
        <v>0</v>
      </c>
      <c r="BO126">
        <f t="shared" ca="1" si="100"/>
        <v>0</v>
      </c>
      <c r="BU126">
        <f t="shared" ca="1" si="101"/>
        <v>13</v>
      </c>
      <c r="BV126">
        <f t="shared" ca="1" si="102"/>
        <v>13</v>
      </c>
      <c r="BW126">
        <f t="shared" ca="1" si="103"/>
        <v>13</v>
      </c>
      <c r="BX126">
        <f t="shared" ca="1" si="104"/>
        <v>66</v>
      </c>
      <c r="BY126">
        <f t="shared" ca="1" si="105"/>
        <v>13</v>
      </c>
      <c r="BZ126">
        <f t="shared" ca="1" si="106"/>
        <v>13</v>
      </c>
      <c r="CA126">
        <f t="shared" ca="1" si="107"/>
        <v>13</v>
      </c>
      <c r="CB126">
        <f t="shared" ca="1" si="108"/>
        <v>13</v>
      </c>
      <c r="CC126">
        <f t="shared" ca="1" si="109"/>
        <v>13</v>
      </c>
      <c r="CD126">
        <f t="shared" ca="1" si="110"/>
        <v>66</v>
      </c>
      <c r="CE126">
        <f t="shared" ca="1" si="111"/>
        <v>66</v>
      </c>
      <c r="CF126">
        <f t="shared" ca="1" si="112"/>
        <v>66</v>
      </c>
      <c r="CL126">
        <f t="shared" ca="1" si="113"/>
        <v>1</v>
      </c>
      <c r="CM126">
        <f t="shared" ca="1" si="114"/>
        <v>1</v>
      </c>
      <c r="CN126">
        <f t="shared" ca="1" si="115"/>
        <v>1</v>
      </c>
      <c r="CO126">
        <f t="shared" ca="1" si="116"/>
        <v>0</v>
      </c>
      <c r="CP126">
        <f t="shared" ca="1" si="117"/>
        <v>1</v>
      </c>
      <c r="CQ126">
        <f t="shared" ca="1" si="118"/>
        <v>1</v>
      </c>
      <c r="CR126">
        <f t="shared" ca="1" si="119"/>
        <v>1</v>
      </c>
      <c r="CS126">
        <f t="shared" ca="1" si="120"/>
        <v>1</v>
      </c>
      <c r="CT126">
        <f t="shared" ca="1" si="121"/>
        <v>1</v>
      </c>
      <c r="CU126">
        <f t="shared" ca="1" si="122"/>
        <v>0</v>
      </c>
      <c r="CV126">
        <f t="shared" ca="1" si="123"/>
        <v>0</v>
      </c>
      <c r="CW126">
        <f t="shared" ca="1" si="124"/>
        <v>0</v>
      </c>
      <c r="DC126" cm="1">
        <f t="array" aca="1" ref="DC126" ca="1">IF(ISNA(E126),,OFFSET(INDIRECT("'"&amp;DT$67&amp;"'!f1"),E126-1,))*1</f>
        <v>1026.7491033609999</v>
      </c>
      <c r="DD126" cm="1">
        <f t="array" aca="1" ref="DD126" ca="1">IF(ISNA(F126),,OFFSET(INDIRECT("'"&amp;DU$67&amp;"'!f1"),F126-1,))*1</f>
        <v>5917.1166403129901</v>
      </c>
      <c r="DE126" cm="1">
        <f t="array" aca="1" ref="DE126" ca="1">IF(ISNA(G126),,OFFSET(INDIRECT("'"&amp;DV$67&amp;"'!f1"),G126-1,))*1</f>
        <v>5404.3555790769997</v>
      </c>
      <c r="DF126" cm="1">
        <f t="array" aca="1" ref="DF126" ca="1">IF(ISNA(H126),,OFFSET(INDIRECT("'"&amp;DW$67&amp;"'!f1"),H126-1,))*1</f>
        <v>28801.603433206601</v>
      </c>
      <c r="DG126" cm="1">
        <f t="array" aca="1" ref="DG126" ca="1">IF(ISNA(I126),,OFFSET(INDIRECT("'"&amp;DX$67&amp;"'!f1"),I126-1,))*1</f>
        <v>6.0850916001072598E-2</v>
      </c>
      <c r="DH126" cm="1">
        <f t="array" aca="1" ref="DH126" ca="1">IF(ISNA(J126),,OFFSET(INDIRECT("'"&amp;DY$67&amp;"'!f1"),J126-1,))*1</f>
        <v>0.13804181758314299</v>
      </c>
      <c r="DI126" cm="1">
        <f t="array" aca="1" ref="DI126" ca="1">IF(ISNA(K126),,OFFSET(INDIRECT("'"&amp;DZ$67&amp;"'!f1"),K126-1,))*1</f>
        <v>2.0551175521686602</v>
      </c>
      <c r="DJ126" cm="1">
        <f t="array" aca="1" ref="DJ126" ca="1">IF(ISNA(L126),,OFFSET(INDIRECT("'"&amp;EA$67&amp;"'!f1"),L126-1,))*1</f>
        <v>2.6408768985420399</v>
      </c>
      <c r="DK126" cm="1">
        <f t="array" aca="1" ref="DK126" ca="1">IF(ISNA(M126),,OFFSET(INDIRECT("'"&amp;EB$67&amp;"'!f1"),M126-1,))*1</f>
        <v>38.273063011001703</v>
      </c>
      <c r="DL126" cm="1">
        <f t="array" aca="1" ref="DL126" ca="1">IF(ISNA(N126),,OFFSET(INDIRECT("'"&amp;EC$67&amp;"'!f1"),N126-1,))*1</f>
        <v>1.02760875597596E-2</v>
      </c>
      <c r="DM126" cm="1">
        <f t="array" aca="1" ref="DM126" ca="1">IF(ISNA(O126),,OFFSET(INDIRECT("'"&amp;ED$67&amp;"'!f1"),O126-1,))*1</f>
        <v>1.02552622556686E-2</v>
      </c>
      <c r="DN126" cm="1">
        <f t="array" aca="1" ref="DN126" ca="1">IF(ISNA(P126),,OFFSET(INDIRECT("'"&amp;EE$67&amp;"'!f1"),P126-1,))*1</f>
        <v>1.5987695194780799E-2</v>
      </c>
      <c r="DT126">
        <f t="shared" ca="1" si="125"/>
        <v>1</v>
      </c>
      <c r="DU126">
        <f t="shared" ca="1" si="126"/>
        <v>1</v>
      </c>
      <c r="DV126">
        <f t="shared" ca="1" si="127"/>
        <v>1</v>
      </c>
      <c r="DW126">
        <f t="shared" ca="1" si="128"/>
        <v>0</v>
      </c>
      <c r="DX126">
        <f t="shared" ca="1" si="129"/>
        <v>1</v>
      </c>
      <c r="DY126">
        <f t="shared" ca="1" si="130"/>
        <v>1</v>
      </c>
      <c r="DZ126">
        <f t="shared" ca="1" si="131"/>
        <v>4583</v>
      </c>
      <c r="EA126">
        <f t="shared" ca="1" si="132"/>
        <v>8414</v>
      </c>
      <c r="EB126">
        <f t="shared" ca="1" si="133"/>
        <v>3904</v>
      </c>
      <c r="EC126">
        <f t="shared" ca="1" si="134"/>
        <v>0</v>
      </c>
      <c r="ED126">
        <f t="shared" ca="1" si="135"/>
        <v>0</v>
      </c>
      <c r="EE126">
        <f t="shared" ca="1" si="136"/>
        <v>0</v>
      </c>
      <c r="EK126" cm="1">
        <f t="array" aca="1" ref="EK126" ca="1">IF(ISNA(E126),0,OFFSET(INDIRECT("'"&amp;EK$67&amp;"'!g1"),E126-1,)*CL126)</f>
        <v>1</v>
      </c>
      <c r="EL126" cm="1">
        <f t="array" aca="1" ref="EL126" ca="1">IF(ISNA(F126),0,OFFSET(INDIRECT("'"&amp;EL$67&amp;"'!g1"),F126-1,)*CM126)</f>
        <v>1</v>
      </c>
      <c r="EM126" cm="1">
        <f t="array" aca="1" ref="EM126" ca="1">IF(ISNA(G126),0,OFFSET(INDIRECT("'"&amp;EM$67&amp;"'!g1"),G126-1,)*CN126)</f>
        <v>1</v>
      </c>
      <c r="EN126" cm="1">
        <f t="array" aca="1" ref="EN126" ca="1">IF(ISNA(H126),0,OFFSET(INDIRECT("'"&amp;EN$67&amp;"'!g1"),H126-1,)*CO126)</f>
        <v>0</v>
      </c>
      <c r="EO126" cm="1">
        <f t="array" aca="1" ref="EO126" ca="1">IF(ISNA(I126),0,OFFSET(INDIRECT("'"&amp;EO$67&amp;"'!g1"),I126-1,)*CP126)</f>
        <v>1</v>
      </c>
      <c r="EP126" cm="1">
        <f t="array" aca="1" ref="EP126" ca="1">IF(ISNA(J126),0,OFFSET(INDIRECT("'"&amp;EP$67&amp;"'!g1"),J126-1,)*CQ126)</f>
        <v>1</v>
      </c>
      <c r="EQ126" cm="1">
        <f t="array" aca="1" ref="EQ126" ca="1">IF(ISNA(K126),0,OFFSET(INDIRECT("'"&amp;EQ$67&amp;"'!g1"),K126-1,)*CR126)</f>
        <v>4583</v>
      </c>
      <c r="ER126" cm="1">
        <f t="array" aca="1" ref="ER126" ca="1">IF(ISNA(L126),0,OFFSET(INDIRECT("'"&amp;ER$67&amp;"'!g1"),L126-1,)*CS126)</f>
        <v>8414</v>
      </c>
      <c r="ES126" cm="1">
        <f t="array" aca="1" ref="ES126" ca="1">IF(ISNA(M126),0,OFFSET(INDIRECT("'"&amp;ES$67&amp;"'!g1"),M126-1,)*CT126)</f>
        <v>3904</v>
      </c>
      <c r="ET126" cm="1">
        <f t="array" aca="1" ref="ET126" ca="1">IF(ISNA(N126),0,OFFSET(INDIRECT("'"&amp;ET$67&amp;"'!g1"),N126-1,)*CU126)</f>
        <v>0</v>
      </c>
      <c r="EU126" cm="1">
        <f t="array" aca="1" ref="EU126" ca="1">IF(ISNA(O126),0,OFFSET(INDIRECT("'"&amp;EU$67&amp;"'!g1"),O126-1,)*CV126)</f>
        <v>0</v>
      </c>
      <c r="EV126" cm="1">
        <f t="array" aca="1" ref="EV126" ca="1">IF(ISNA(P126),0,OFFSET(INDIRECT("'"&amp;EV$67&amp;"'!g1"),P126-1,)*CW126)</f>
        <v>0</v>
      </c>
      <c r="FB126" s="10" cm="1">
        <f t="array" aca="1" ref="FB126" ca="1">IF(ISNA(E126),0,OFFSET(INDIRECT("'"&amp;EK$67&amp;"'!h1"),E126-1,))</f>
        <v>1</v>
      </c>
      <c r="FC126" s="10" cm="1">
        <f t="array" aca="1" ref="FC126" ca="1">IF(ISNA(F126),0,OFFSET(INDIRECT("'"&amp;EL$67&amp;"'!h1"),F126-1,))</f>
        <v>1</v>
      </c>
      <c r="FD126" s="10" cm="1">
        <f t="array" aca="1" ref="FD126" ca="1">IF(ISNA(G126),0,OFFSET(INDIRECT("'"&amp;EM$67&amp;"'!h1"),G126-1,))</f>
        <v>1</v>
      </c>
      <c r="FE126" s="10" cm="1">
        <f t="array" aca="1" ref="FE126" ca="1">IF(ISNA(H126),0,OFFSET(INDIRECT("'"&amp;EN$67&amp;"'!h1"),H126-1,))</f>
        <v>1</v>
      </c>
      <c r="FF126" s="10" cm="1">
        <f t="array" aca="1" ref="FF126" ca="1">IF(ISNA(I126),0,OFFSET(INDIRECT("'"&amp;EO$67&amp;"'!h1"),I126-1,))</f>
        <v>1</v>
      </c>
      <c r="FG126" s="10" cm="1">
        <f t="array" aca="1" ref="FG126" ca="1">IF(ISNA(J126),0,OFFSET(INDIRECT("'"&amp;EP$67&amp;"'!h1"),J126-1,))</f>
        <v>1</v>
      </c>
      <c r="FH126" s="10" cm="1">
        <f t="array" aca="1" ref="FH126" ca="1">IF(ISNA(K126),0,OFFSET(INDIRECT("'"&amp;EQ$67&amp;"'!h1"),K126-1,))</f>
        <v>10000</v>
      </c>
      <c r="FI126" s="10" cm="1">
        <f t="array" aca="1" ref="FI126" ca="1">IF(ISNA(L126),0,OFFSET(INDIRECT("'"&amp;ER$67&amp;"'!h1"),L126-1,))</f>
        <v>10000</v>
      </c>
      <c r="FJ126" s="10" cm="1">
        <f t="array" aca="1" ref="FJ126" ca="1">IF(ISNA(M126),0,OFFSET(INDIRECT("'"&amp;ES$67&amp;"'!h1"),M126-1,))</f>
        <v>10000</v>
      </c>
      <c r="FK126" s="10" cm="1">
        <f t="array" aca="1" ref="FK126" ca="1">IF(ISNA(N126),0,OFFSET(INDIRECT("'"&amp;ET$67&amp;"'!h1"),N126-1,))</f>
        <v>1</v>
      </c>
      <c r="FL126" s="10" cm="1">
        <f t="array" aca="1" ref="FL126" ca="1">IF(ISNA(O126),0,OFFSET(INDIRECT("'"&amp;EU$67&amp;"'!h1"),O126-1,))</f>
        <v>1</v>
      </c>
      <c r="FM126" s="10" cm="1">
        <f t="array" aca="1" ref="FM126" ca="1">IF(ISNA(P126),0,OFFSET(INDIRECT("'"&amp;EV$67&amp;"'!h1"),P126-1,))</f>
        <v>9</v>
      </c>
      <c r="FN126" s="10"/>
      <c r="FO126" s="10"/>
      <c r="FP126" s="10"/>
      <c r="FQ126" s="10"/>
      <c r="FS126">
        <f t="shared" ca="1" si="137"/>
        <v>66</v>
      </c>
      <c r="FT126">
        <f t="shared" ca="1" si="62"/>
        <v>2.0551175521686602</v>
      </c>
      <c r="FU126">
        <f t="shared" ca="1" si="63"/>
        <v>4583</v>
      </c>
      <c r="FV126">
        <f t="shared" ca="1" si="64"/>
        <v>10000</v>
      </c>
      <c r="FW126" s="4">
        <f t="shared" ca="1" si="138"/>
        <v>0.45829999999999999</v>
      </c>
      <c r="FX126" s="5">
        <f t="shared" ca="1" si="139"/>
        <v>4.484218966110976E-4</v>
      </c>
      <c r="FZ126" s="13">
        <f t="shared" ca="1" si="140"/>
        <v>66</v>
      </c>
      <c r="GA126" s="23">
        <f t="shared" ca="1" si="141"/>
        <v>0</v>
      </c>
      <c r="GB126" s="23">
        <f t="shared" ca="1" si="142"/>
        <v>0</v>
      </c>
      <c r="GC126" s="23">
        <f t="shared" ca="1" si="143"/>
        <v>0</v>
      </c>
      <c r="GD126" s="23" t="e">
        <f t="shared" ca="1" si="144"/>
        <v>#N/A</v>
      </c>
      <c r="GE126" s="23">
        <f t="shared" ca="1" si="145"/>
        <v>0</v>
      </c>
      <c r="GF126" s="23">
        <f t="shared" ca="1" si="146"/>
        <v>0</v>
      </c>
      <c r="GG126" s="23">
        <f t="shared" ca="1" si="147"/>
        <v>0</v>
      </c>
      <c r="GH126" s="23">
        <f t="shared" ca="1" si="148"/>
        <v>0</v>
      </c>
      <c r="GI126" s="23">
        <f t="shared" ca="1" si="149"/>
        <v>0</v>
      </c>
      <c r="GJ126" s="23" t="e">
        <f t="shared" ca="1" si="150"/>
        <v>#N/A</v>
      </c>
      <c r="GK126" s="23" t="e">
        <f t="shared" ca="1" si="151"/>
        <v>#N/A</v>
      </c>
      <c r="GL126" s="23" t="e">
        <f t="shared" ca="1" si="152"/>
        <v>#N/A</v>
      </c>
      <c r="GM126" s="23"/>
      <c r="GN126">
        <f t="shared" ca="1" si="153"/>
        <v>66</v>
      </c>
      <c r="GO126" s="5">
        <f t="shared" ca="1" si="154"/>
        <v>1026.7491033609999</v>
      </c>
      <c r="GP126" s="5">
        <f t="shared" ca="1" si="155"/>
        <v>5917.1166403129901</v>
      </c>
      <c r="GQ126" s="5">
        <f t="shared" ca="1" si="156"/>
        <v>5404.3555790769997</v>
      </c>
      <c r="GR126" s="5" t="e">
        <f t="shared" ca="1" si="157"/>
        <v>#N/A</v>
      </c>
      <c r="GS126" s="5">
        <f t="shared" ca="1" si="158"/>
        <v>6.0850916001072598E-2</v>
      </c>
      <c r="GT126" s="5">
        <f t="shared" ca="1" si="159"/>
        <v>0.13804181758314299</v>
      </c>
      <c r="GU126" s="5">
        <f t="shared" ca="1" si="160"/>
        <v>4.484218966110976E-4</v>
      </c>
      <c r="GV126" s="5">
        <f t="shared" ca="1" si="161"/>
        <v>3.1386699531043975E-4</v>
      </c>
      <c r="GW126" s="5">
        <f t="shared" ca="1" si="162"/>
        <v>9.8035509761787154E-3</v>
      </c>
      <c r="GX126" s="5" t="e">
        <f t="shared" ca="1" si="163"/>
        <v>#N/A</v>
      </c>
      <c r="GY126" s="5" t="e">
        <f t="shared" ca="1" si="164"/>
        <v>#N/A</v>
      </c>
      <c r="GZ126" s="5" t="e">
        <f t="shared" ca="1" si="165"/>
        <v>#N/A</v>
      </c>
      <c r="HB126" s="13">
        <f t="shared" ca="1" si="166"/>
        <v>66</v>
      </c>
      <c r="HC126" s="4">
        <f t="shared" ca="1" si="167"/>
        <v>1</v>
      </c>
      <c r="HD126" s="4">
        <f t="shared" ca="1" si="168"/>
        <v>1</v>
      </c>
      <c r="HE126" s="4">
        <f t="shared" ca="1" si="169"/>
        <v>1</v>
      </c>
      <c r="HF126" s="4">
        <f t="shared" ca="1" si="170"/>
        <v>0</v>
      </c>
      <c r="HG126" s="4">
        <f t="shared" ca="1" si="171"/>
        <v>1</v>
      </c>
      <c r="HH126" s="4">
        <f t="shared" ca="1" si="172"/>
        <v>1</v>
      </c>
      <c r="HI126" s="4">
        <f t="shared" ca="1" si="173"/>
        <v>0.45829999999999999</v>
      </c>
      <c r="HJ126" s="4">
        <f t="shared" ca="1" si="174"/>
        <v>0.84140000000000004</v>
      </c>
      <c r="HK126" s="4">
        <f t="shared" ca="1" si="175"/>
        <v>0.39040000000000002</v>
      </c>
      <c r="HL126" s="4">
        <f t="shared" ca="1" si="176"/>
        <v>0</v>
      </c>
      <c r="HM126" s="4">
        <f t="shared" ca="1" si="177"/>
        <v>0</v>
      </c>
      <c r="HN126" s="4">
        <f t="shared" ca="1" si="178"/>
        <v>0</v>
      </c>
    </row>
    <row r="127" spans="1:222" x14ac:dyDescent="0.2">
      <c r="A127" t="str" cm="1">
        <f t="array" aca="1" ref="A127" ca="1">INDIRECT($A$67&amp;"!A"&amp;ROW(C60)+$B$64)</f>
        <v>[[67,33,13]]</v>
      </c>
      <c r="B127" cm="1">
        <f t="array" aca="1" ref="B127" ca="1">INDIRECT($A$67&amp;"!b"&amp;ROW(D60)+$B$64)</f>
        <v>67</v>
      </c>
      <c r="C127">
        <f t="shared" ca="1" si="78"/>
        <v>13</v>
      </c>
      <c r="E127">
        <f t="shared" ca="1" si="180"/>
        <v>84</v>
      </c>
      <c r="F127">
        <f t="shared" ca="1" si="180"/>
        <v>85</v>
      </c>
      <c r="G127">
        <f t="shared" ca="1" si="180"/>
        <v>84</v>
      </c>
      <c r="H127">
        <f t="shared" ref="H127:P127" ca="1" si="181">MATCH($A127,INDIRECT("'"&amp;H$67&amp;"'!A:A"),)</f>
        <v>88</v>
      </c>
      <c r="I127">
        <f t="shared" ca="1" si="181"/>
        <v>87</v>
      </c>
      <c r="J127">
        <f t="shared" ca="1" si="181"/>
        <v>84</v>
      </c>
      <c r="K127">
        <f t="shared" ca="1" si="181"/>
        <v>91</v>
      </c>
      <c r="L127">
        <f t="shared" ca="1" si="181"/>
        <v>93</v>
      </c>
      <c r="M127">
        <f t="shared" ca="1" si="181"/>
        <v>90</v>
      </c>
      <c r="N127">
        <f t="shared" ca="1" si="181"/>
        <v>88</v>
      </c>
      <c r="O127">
        <f t="shared" ca="1" si="181"/>
        <v>88</v>
      </c>
      <c r="P127">
        <f t="shared" ca="1" si="181"/>
        <v>88</v>
      </c>
      <c r="V127" cm="1">
        <f t="array" aca="1" ref="V127" ca="1">IF(ISNA(E127),,OFFSET(INDIRECT("'"&amp;V$67&amp;"'!d1"),E127-1,))</f>
        <v>13</v>
      </c>
      <c r="W127" cm="1">
        <f t="array" aca="1" ref="W127" ca="1">IF(ISNA(F127),,OFFSET(INDIRECT("'"&amp;W$67&amp;"'!d1"),F127-1,))</f>
        <v>13</v>
      </c>
      <c r="X127" cm="1">
        <f t="array" aca="1" ref="X127" ca="1">IF(ISNA(G127),,OFFSET(INDIRECT("'"&amp;X$67&amp;"'!d1"),G127-1,))</f>
        <v>13</v>
      </c>
      <c r="Y127" cm="1">
        <f t="array" aca="1" ref="Y127" ca="1">IF(ISNA(H127),,OFFSET(INDIRECT("'"&amp;Y$67&amp;"'!d1"),H127-1,))</f>
        <v>0</v>
      </c>
      <c r="Z127" cm="1">
        <f t="array" aca="1" ref="Z127" ca="1">IF(ISNA(I127),,OFFSET(INDIRECT("'"&amp;Z$67&amp;"'!d1"),I127-1,))</f>
        <v>13</v>
      </c>
      <c r="AA127" cm="1">
        <f t="array" aca="1" ref="AA127" ca="1">IF(ISNA(J127),,OFFSET(INDIRECT("'"&amp;AA$67&amp;"'!d1"),J127-1,))</f>
        <v>13</v>
      </c>
      <c r="AB127" cm="1">
        <f t="array" aca="1" ref="AB127" ca="1">IF(ISNA(K127),,OFFSET(INDIRECT("'"&amp;AB$67&amp;"'!d1"),K127-1,))</f>
        <v>13</v>
      </c>
      <c r="AC127" cm="1">
        <f t="array" aca="1" ref="AC127" ca="1">IF(ISNA(L127),,OFFSET(INDIRECT("'"&amp;AC$67&amp;"'!d1"),L127-1,))</f>
        <v>13</v>
      </c>
      <c r="AD127" cm="1">
        <f t="array" aca="1" ref="AD127" ca="1">IF(ISNA(M127),,OFFSET(INDIRECT("'"&amp;AD$67&amp;"'!d1"),M127-1,))</f>
        <v>13</v>
      </c>
      <c r="AE127" cm="1">
        <f t="array" aca="1" ref="AE127" ca="1">IF(ISNA(N127),,OFFSET(INDIRECT("'"&amp;AE$67&amp;"'!d1"),N127-1,))</f>
        <v>0</v>
      </c>
      <c r="AF127" cm="1">
        <f t="array" aca="1" ref="AF127" ca="1">IF(ISNA(O127),,OFFSET(INDIRECT("'"&amp;AF$67&amp;"'!d1"),O127-1,))</f>
        <v>0</v>
      </c>
      <c r="AG127" cm="1">
        <f t="array" aca="1" ref="AG127" ca="1">IF(ISNA(P127),,OFFSET(INDIRECT("'"&amp;AG$67&amp;"'!d1"),P127-1,))</f>
        <v>0</v>
      </c>
      <c r="AM127">
        <f t="shared" ca="1" si="79"/>
        <v>1</v>
      </c>
      <c r="AN127">
        <f t="shared" ca="1" si="80"/>
        <v>1</v>
      </c>
      <c r="AO127">
        <f t="shared" ca="1" si="81"/>
        <v>1</v>
      </c>
      <c r="AP127">
        <f t="shared" ca="1" si="82"/>
        <v>0</v>
      </c>
      <c r="AQ127">
        <f t="shared" ca="1" si="83"/>
        <v>1</v>
      </c>
      <c r="AV127" t="b">
        <f t="shared" ca="1" si="84"/>
        <v>1</v>
      </c>
      <c r="AW127" t="b">
        <f t="shared" ca="1" si="85"/>
        <v>1</v>
      </c>
      <c r="AX127" t="b">
        <f t="shared" ca="1" si="86"/>
        <v>1</v>
      </c>
      <c r="AY127" t="str">
        <f t="shared" ca="1" si="87"/>
        <v/>
      </c>
      <c r="AZ127" t="b">
        <f t="shared" ca="1" si="88"/>
        <v>1</v>
      </c>
      <c r="BD127">
        <f t="shared" ca="1" si="89"/>
        <v>1</v>
      </c>
      <c r="BE127">
        <f t="shared" ca="1" si="90"/>
        <v>1</v>
      </c>
      <c r="BF127">
        <f t="shared" ca="1" si="91"/>
        <v>1</v>
      </c>
      <c r="BG127">
        <f t="shared" ca="1" si="92"/>
        <v>0</v>
      </c>
      <c r="BH127">
        <f t="shared" ca="1" si="93"/>
        <v>1</v>
      </c>
      <c r="BI127">
        <f t="shared" ca="1" si="94"/>
        <v>1</v>
      </c>
      <c r="BJ127">
        <f t="shared" ca="1" si="95"/>
        <v>1</v>
      </c>
      <c r="BK127">
        <f t="shared" ca="1" si="96"/>
        <v>1</v>
      </c>
      <c r="BL127">
        <f t="shared" ca="1" si="97"/>
        <v>1</v>
      </c>
      <c r="BM127">
        <f t="shared" ca="1" si="98"/>
        <v>0</v>
      </c>
      <c r="BN127">
        <f t="shared" ca="1" si="99"/>
        <v>0</v>
      </c>
      <c r="BO127">
        <f t="shared" ca="1" si="100"/>
        <v>0</v>
      </c>
      <c r="BU127">
        <f t="shared" ca="1" si="101"/>
        <v>13</v>
      </c>
      <c r="BV127">
        <f t="shared" ca="1" si="102"/>
        <v>13</v>
      </c>
      <c r="BW127">
        <f t="shared" ca="1" si="103"/>
        <v>13</v>
      </c>
      <c r="BX127">
        <f t="shared" ca="1" si="104"/>
        <v>67</v>
      </c>
      <c r="BY127">
        <f t="shared" ca="1" si="105"/>
        <v>13</v>
      </c>
      <c r="BZ127">
        <f t="shared" ca="1" si="106"/>
        <v>13</v>
      </c>
      <c r="CA127">
        <f t="shared" ca="1" si="107"/>
        <v>13</v>
      </c>
      <c r="CB127">
        <f t="shared" ca="1" si="108"/>
        <v>13</v>
      </c>
      <c r="CC127">
        <f t="shared" ca="1" si="109"/>
        <v>13</v>
      </c>
      <c r="CD127">
        <f t="shared" ca="1" si="110"/>
        <v>67</v>
      </c>
      <c r="CE127">
        <f t="shared" ca="1" si="111"/>
        <v>67</v>
      </c>
      <c r="CF127">
        <f t="shared" ca="1" si="112"/>
        <v>67</v>
      </c>
      <c r="CL127">
        <f t="shared" ca="1" si="113"/>
        <v>1</v>
      </c>
      <c r="CM127">
        <f t="shared" ca="1" si="114"/>
        <v>1</v>
      </c>
      <c r="CN127">
        <f t="shared" ca="1" si="115"/>
        <v>1</v>
      </c>
      <c r="CO127">
        <f t="shared" ca="1" si="116"/>
        <v>0</v>
      </c>
      <c r="CP127">
        <f t="shared" ca="1" si="117"/>
        <v>1</v>
      </c>
      <c r="CQ127">
        <f t="shared" ca="1" si="118"/>
        <v>1</v>
      </c>
      <c r="CR127">
        <f t="shared" ca="1" si="119"/>
        <v>1</v>
      </c>
      <c r="CS127">
        <f t="shared" ca="1" si="120"/>
        <v>1</v>
      </c>
      <c r="CT127">
        <f t="shared" ca="1" si="121"/>
        <v>1</v>
      </c>
      <c r="CU127">
        <f t="shared" ca="1" si="122"/>
        <v>0</v>
      </c>
      <c r="CV127">
        <f t="shared" ca="1" si="123"/>
        <v>0</v>
      </c>
      <c r="CW127">
        <f t="shared" ca="1" si="124"/>
        <v>0</v>
      </c>
      <c r="DC127" cm="1">
        <f t="array" aca="1" ref="DC127" ca="1">IF(ISNA(E127),,OFFSET(INDIRECT("'"&amp;DT$67&amp;"'!f1"),E127-1,))*1</f>
        <v>1345.7162154079999</v>
      </c>
      <c r="DD127" cm="1">
        <f t="array" aca="1" ref="DD127" ca="1">IF(ISNA(F127),,OFFSET(INDIRECT("'"&amp;DU$67&amp;"'!f1"),F127-1,))*1</f>
        <v>7134.193378379</v>
      </c>
      <c r="DE127" cm="1">
        <f t="array" aca="1" ref="DE127" ca="1">IF(ISNA(G127),,OFFSET(INDIRECT("'"&amp;DV$67&amp;"'!f1"),G127-1,))*1</f>
        <v>14539.959327922999</v>
      </c>
      <c r="DF127" cm="1">
        <f t="array" aca="1" ref="DF127" ca="1">IF(ISNA(H127),,OFFSET(INDIRECT("'"&amp;DW$67&amp;"'!f1"),H127-1,))*1</f>
        <v>28800.108548380402</v>
      </c>
      <c r="DG127" cm="1">
        <f t="array" aca="1" ref="DG127" ca="1">IF(ISNA(I127),,OFFSET(INDIRECT("'"&amp;DX$67&amp;"'!f1"),I127-1,))*1</f>
        <v>6.1133249997510498E-2</v>
      </c>
      <c r="DH127" cm="1">
        <f t="array" aca="1" ref="DH127" ca="1">IF(ISNA(J127),,OFFSET(INDIRECT("'"&amp;DY$67&amp;"'!f1"),J127-1,))*1</f>
        <v>0.13869283907115401</v>
      </c>
      <c r="DI127" cm="1">
        <f t="array" aca="1" ref="DI127" ca="1">IF(ISNA(K127),,OFFSET(INDIRECT("'"&amp;DZ$67&amp;"'!f1"),K127-1,))*1</f>
        <v>2.07984027918428</v>
      </c>
      <c r="DJ127" cm="1">
        <f t="array" aca="1" ref="DJ127" ca="1">IF(ISNA(L127),,OFFSET(INDIRECT("'"&amp;EA$67&amp;"'!f1"),L127-1,))*1</f>
        <v>2.6815870795398902</v>
      </c>
      <c r="DK127" cm="1">
        <f t="array" aca="1" ref="DK127" ca="1">IF(ISNA(M127),,OFFSET(INDIRECT("'"&amp;EB$67&amp;"'!f1"),M127-1,))*1</f>
        <v>38.441008714958997</v>
      </c>
      <c r="DL127" cm="1">
        <f t="array" aca="1" ref="DL127" ca="1">IF(ISNA(N127),,OFFSET(INDIRECT("'"&amp;EC$67&amp;"'!f1"),N127-1,))*1</f>
        <v>1.05212889611721E-2</v>
      </c>
      <c r="DM127" cm="1">
        <f t="array" aca="1" ref="DM127" ca="1">IF(ISNA(O127),,OFFSET(INDIRECT("'"&amp;ED$67&amp;"'!f1"),O127-1,))*1</f>
        <v>1.0499001480638899E-2</v>
      </c>
      <c r="DN127" cm="1">
        <f t="array" aca="1" ref="DN127" ca="1">IF(ISNA(P127),,OFFSET(INDIRECT("'"&amp;EE$67&amp;"'!f1"),P127-1,))*1</f>
        <v>1.6900085844099501E-2</v>
      </c>
      <c r="DT127">
        <f t="shared" ca="1" si="125"/>
        <v>1</v>
      </c>
      <c r="DU127">
        <f t="shared" ca="1" si="126"/>
        <v>1</v>
      </c>
      <c r="DV127">
        <f t="shared" ca="1" si="127"/>
        <v>1</v>
      </c>
      <c r="DW127">
        <f t="shared" ca="1" si="128"/>
        <v>0</v>
      </c>
      <c r="DX127">
        <f t="shared" ca="1" si="129"/>
        <v>1</v>
      </c>
      <c r="DY127">
        <f t="shared" ca="1" si="130"/>
        <v>1</v>
      </c>
      <c r="DZ127">
        <f t="shared" ca="1" si="131"/>
        <v>4691</v>
      </c>
      <c r="EA127">
        <f t="shared" ca="1" si="132"/>
        <v>7966</v>
      </c>
      <c r="EB127">
        <f t="shared" ca="1" si="133"/>
        <v>3936</v>
      </c>
      <c r="EC127">
        <f t="shared" ca="1" si="134"/>
        <v>0</v>
      </c>
      <c r="ED127">
        <f t="shared" ca="1" si="135"/>
        <v>0</v>
      </c>
      <c r="EE127">
        <f t="shared" ca="1" si="136"/>
        <v>0</v>
      </c>
      <c r="EK127" cm="1">
        <f t="array" aca="1" ref="EK127" ca="1">IF(ISNA(E127),0,OFFSET(INDIRECT("'"&amp;EK$67&amp;"'!g1"),E127-1,)*CL127)</f>
        <v>1</v>
      </c>
      <c r="EL127" cm="1">
        <f t="array" aca="1" ref="EL127" ca="1">IF(ISNA(F127),0,OFFSET(INDIRECT("'"&amp;EL$67&amp;"'!g1"),F127-1,)*CM127)</f>
        <v>1</v>
      </c>
      <c r="EM127" cm="1">
        <f t="array" aca="1" ref="EM127" ca="1">IF(ISNA(G127),0,OFFSET(INDIRECT("'"&amp;EM$67&amp;"'!g1"),G127-1,)*CN127)</f>
        <v>1</v>
      </c>
      <c r="EN127" cm="1">
        <f t="array" aca="1" ref="EN127" ca="1">IF(ISNA(H127),0,OFFSET(INDIRECT("'"&amp;EN$67&amp;"'!g1"),H127-1,)*CO127)</f>
        <v>0</v>
      </c>
      <c r="EO127" cm="1">
        <f t="array" aca="1" ref="EO127" ca="1">IF(ISNA(I127),0,OFFSET(INDIRECT("'"&amp;EO$67&amp;"'!g1"),I127-1,)*CP127)</f>
        <v>1</v>
      </c>
      <c r="EP127" cm="1">
        <f t="array" aca="1" ref="EP127" ca="1">IF(ISNA(J127),0,OFFSET(INDIRECT("'"&amp;EP$67&amp;"'!g1"),J127-1,)*CQ127)</f>
        <v>1</v>
      </c>
      <c r="EQ127" cm="1">
        <f t="array" aca="1" ref="EQ127" ca="1">IF(ISNA(K127),0,OFFSET(INDIRECT("'"&amp;EQ$67&amp;"'!g1"),K127-1,)*CR127)</f>
        <v>4691</v>
      </c>
      <c r="ER127" cm="1">
        <f t="array" aca="1" ref="ER127" ca="1">IF(ISNA(L127),0,OFFSET(INDIRECT("'"&amp;ER$67&amp;"'!g1"),L127-1,)*CS127)</f>
        <v>7966</v>
      </c>
      <c r="ES127" cm="1">
        <f t="array" aca="1" ref="ES127" ca="1">IF(ISNA(M127),0,OFFSET(INDIRECT("'"&amp;ES$67&amp;"'!g1"),M127-1,)*CT127)</f>
        <v>3936</v>
      </c>
      <c r="ET127" cm="1">
        <f t="array" aca="1" ref="ET127" ca="1">IF(ISNA(N127),0,OFFSET(INDIRECT("'"&amp;ET$67&amp;"'!g1"),N127-1,)*CU127)</f>
        <v>0</v>
      </c>
      <c r="EU127" cm="1">
        <f t="array" aca="1" ref="EU127" ca="1">IF(ISNA(O127),0,OFFSET(INDIRECT("'"&amp;EU$67&amp;"'!g1"),O127-1,)*CV127)</f>
        <v>0</v>
      </c>
      <c r="EV127" cm="1">
        <f t="array" aca="1" ref="EV127" ca="1">IF(ISNA(P127),0,OFFSET(INDIRECT("'"&amp;EV$67&amp;"'!g1"),P127-1,)*CW127)</f>
        <v>0</v>
      </c>
      <c r="FB127" s="10" cm="1">
        <f t="array" aca="1" ref="FB127" ca="1">IF(ISNA(E127),0,OFFSET(INDIRECT("'"&amp;EK$67&amp;"'!h1"),E127-1,))</f>
        <v>1</v>
      </c>
      <c r="FC127" s="10" cm="1">
        <f t="array" aca="1" ref="FC127" ca="1">IF(ISNA(F127),0,OFFSET(INDIRECT("'"&amp;EL$67&amp;"'!h1"),F127-1,))</f>
        <v>1</v>
      </c>
      <c r="FD127" s="10" cm="1">
        <f t="array" aca="1" ref="FD127" ca="1">IF(ISNA(G127),0,OFFSET(INDIRECT("'"&amp;EM$67&amp;"'!h1"),G127-1,))</f>
        <v>1</v>
      </c>
      <c r="FE127" s="10" cm="1">
        <f t="array" aca="1" ref="FE127" ca="1">IF(ISNA(H127),0,OFFSET(INDIRECT("'"&amp;EN$67&amp;"'!h1"),H127-1,))</f>
        <v>1</v>
      </c>
      <c r="FF127" s="10" cm="1">
        <f t="array" aca="1" ref="FF127" ca="1">IF(ISNA(I127),0,OFFSET(INDIRECT("'"&amp;EO$67&amp;"'!h1"),I127-1,))</f>
        <v>1</v>
      </c>
      <c r="FG127" s="10" cm="1">
        <f t="array" aca="1" ref="FG127" ca="1">IF(ISNA(J127),0,OFFSET(INDIRECT("'"&amp;EP$67&amp;"'!h1"),J127-1,))</f>
        <v>1</v>
      </c>
      <c r="FH127" s="10" cm="1">
        <f t="array" aca="1" ref="FH127" ca="1">IF(ISNA(K127),0,OFFSET(INDIRECT("'"&amp;EQ$67&amp;"'!h1"),K127-1,))</f>
        <v>10000</v>
      </c>
      <c r="FI127" s="10" cm="1">
        <f t="array" aca="1" ref="FI127" ca="1">IF(ISNA(L127),0,OFFSET(INDIRECT("'"&amp;ER$67&amp;"'!h1"),L127-1,))</f>
        <v>10000</v>
      </c>
      <c r="FJ127" s="10" cm="1">
        <f t="array" aca="1" ref="FJ127" ca="1">IF(ISNA(M127),0,OFFSET(INDIRECT("'"&amp;ES$67&amp;"'!h1"),M127-1,))</f>
        <v>10000</v>
      </c>
      <c r="FK127" s="10" cm="1">
        <f t="array" aca="1" ref="FK127" ca="1">IF(ISNA(N127),0,OFFSET(INDIRECT("'"&amp;ET$67&amp;"'!h1"),N127-1,))</f>
        <v>1</v>
      </c>
      <c r="FL127" s="10" cm="1">
        <f t="array" aca="1" ref="FL127" ca="1">IF(ISNA(O127),0,OFFSET(INDIRECT("'"&amp;EU$67&amp;"'!h1"),O127-1,))</f>
        <v>1</v>
      </c>
      <c r="FM127" s="10" cm="1">
        <f t="array" aca="1" ref="FM127" ca="1">IF(ISNA(P127),0,OFFSET(INDIRECT("'"&amp;EV$67&amp;"'!h1"),P127-1,))</f>
        <v>9</v>
      </c>
      <c r="FN127" s="10"/>
      <c r="FO127" s="10"/>
      <c r="FP127" s="10"/>
      <c r="FQ127" s="10"/>
      <c r="FS127">
        <f t="shared" ca="1" si="137"/>
        <v>67</v>
      </c>
      <c r="FT127">
        <f t="shared" ca="1" si="62"/>
        <v>2.07984027918428</v>
      </c>
      <c r="FU127">
        <f t="shared" ca="1" si="63"/>
        <v>4691</v>
      </c>
      <c r="FV127">
        <f t="shared" ca="1" si="64"/>
        <v>10000</v>
      </c>
      <c r="FW127" s="4">
        <f t="shared" ca="1" si="138"/>
        <v>0.46910000000000002</v>
      </c>
      <c r="FX127" s="5">
        <f t="shared" ca="1" si="139"/>
        <v>4.4336821129487957E-4</v>
      </c>
      <c r="FZ127" s="13">
        <f t="shared" ca="1" si="140"/>
        <v>67</v>
      </c>
      <c r="GA127" s="23">
        <f t="shared" ca="1" si="141"/>
        <v>0</v>
      </c>
      <c r="GB127" s="23">
        <f t="shared" ca="1" si="142"/>
        <v>0</v>
      </c>
      <c r="GC127" s="23">
        <f t="shared" ca="1" si="143"/>
        <v>0</v>
      </c>
      <c r="GD127" s="23" t="e">
        <f t="shared" ca="1" si="144"/>
        <v>#N/A</v>
      </c>
      <c r="GE127" s="23">
        <f t="shared" ca="1" si="145"/>
        <v>0</v>
      </c>
      <c r="GF127" s="23">
        <f t="shared" ca="1" si="146"/>
        <v>0</v>
      </c>
      <c r="GG127" s="23">
        <f t="shared" ca="1" si="147"/>
        <v>0</v>
      </c>
      <c r="GH127" s="23">
        <f t="shared" ca="1" si="148"/>
        <v>0</v>
      </c>
      <c r="GI127" s="23">
        <f t="shared" ca="1" si="149"/>
        <v>0</v>
      </c>
      <c r="GJ127" s="23" t="e">
        <f t="shared" ca="1" si="150"/>
        <v>#N/A</v>
      </c>
      <c r="GK127" s="23" t="e">
        <f t="shared" ca="1" si="151"/>
        <v>#N/A</v>
      </c>
      <c r="GL127" s="23" t="e">
        <f t="shared" ca="1" si="152"/>
        <v>#N/A</v>
      </c>
      <c r="GM127" s="23"/>
      <c r="GN127">
        <f t="shared" ca="1" si="153"/>
        <v>67</v>
      </c>
      <c r="GO127" s="5">
        <f t="shared" ca="1" si="154"/>
        <v>1345.7162154079999</v>
      </c>
      <c r="GP127" s="5">
        <f t="shared" ca="1" si="155"/>
        <v>7134.193378379</v>
      </c>
      <c r="GQ127" s="5">
        <f t="shared" ca="1" si="156"/>
        <v>14539.959327922999</v>
      </c>
      <c r="GR127" s="5" t="e">
        <f t="shared" ca="1" si="157"/>
        <v>#N/A</v>
      </c>
      <c r="GS127" s="5">
        <f t="shared" ca="1" si="158"/>
        <v>6.1133249997510498E-2</v>
      </c>
      <c r="GT127" s="5">
        <f t="shared" ca="1" si="159"/>
        <v>0.13869283907115401</v>
      </c>
      <c r="GU127" s="5">
        <f t="shared" ca="1" si="160"/>
        <v>4.4336821129487957E-4</v>
      </c>
      <c r="GV127" s="5">
        <f t="shared" ca="1" si="161"/>
        <v>3.3662905844085992E-4</v>
      </c>
      <c r="GW127" s="5">
        <f t="shared" ca="1" si="162"/>
        <v>9.766516441808688E-3</v>
      </c>
      <c r="GX127" s="5" t="e">
        <f t="shared" ca="1" si="163"/>
        <v>#N/A</v>
      </c>
      <c r="GY127" s="5" t="e">
        <f t="shared" ca="1" si="164"/>
        <v>#N/A</v>
      </c>
      <c r="GZ127" s="5" t="e">
        <f t="shared" ca="1" si="165"/>
        <v>#N/A</v>
      </c>
      <c r="HB127" s="13">
        <f t="shared" ca="1" si="166"/>
        <v>67</v>
      </c>
      <c r="HC127" s="4">
        <f t="shared" ca="1" si="167"/>
        <v>1</v>
      </c>
      <c r="HD127" s="4">
        <f t="shared" ca="1" si="168"/>
        <v>1</v>
      </c>
      <c r="HE127" s="4">
        <f t="shared" ca="1" si="169"/>
        <v>1</v>
      </c>
      <c r="HF127" s="4">
        <f t="shared" ca="1" si="170"/>
        <v>0</v>
      </c>
      <c r="HG127" s="4">
        <f t="shared" ca="1" si="171"/>
        <v>1</v>
      </c>
      <c r="HH127" s="4">
        <f t="shared" ca="1" si="172"/>
        <v>1</v>
      </c>
      <c r="HI127" s="4">
        <f t="shared" ca="1" si="173"/>
        <v>0.46910000000000002</v>
      </c>
      <c r="HJ127" s="4">
        <f t="shared" ca="1" si="174"/>
        <v>0.79659999999999997</v>
      </c>
      <c r="HK127" s="4">
        <f t="shared" ca="1" si="175"/>
        <v>0.39360000000000001</v>
      </c>
      <c r="HL127" s="4">
        <f t="shared" ca="1" si="176"/>
        <v>0</v>
      </c>
      <c r="HM127" s="4">
        <f t="shared" ca="1" si="177"/>
        <v>0</v>
      </c>
      <c r="HN127" s="4">
        <f t="shared" ca="1" si="178"/>
        <v>0</v>
      </c>
    </row>
    <row r="128" spans="1:222" x14ac:dyDescent="0.2">
      <c r="A128" t="str" cm="1">
        <f t="array" aca="1" ref="A128" ca="1">INDIRECT($A$67&amp;"!A"&amp;ROW(C61)+$B$64)</f>
        <v>[[68,34,13]]</v>
      </c>
      <c r="B128" cm="1">
        <f t="array" aca="1" ref="B128" ca="1">INDIRECT($A$67&amp;"!b"&amp;ROW(D61)+$B$64)</f>
        <v>68</v>
      </c>
      <c r="C128">
        <f t="shared" ca="1" si="78"/>
        <v>13</v>
      </c>
      <c r="E128">
        <f t="shared" ref="E128:P149" ca="1" si="182">MATCH($A128,INDIRECT("'"&amp;E$67&amp;"'!A:A"),)</f>
        <v>85</v>
      </c>
      <c r="F128">
        <f t="shared" ca="1" si="182"/>
        <v>86</v>
      </c>
      <c r="G128">
        <f t="shared" ca="1" si="182"/>
        <v>85</v>
      </c>
      <c r="H128">
        <f t="shared" ca="1" si="182"/>
        <v>96</v>
      </c>
      <c r="I128">
        <f t="shared" ca="1" si="182"/>
        <v>88</v>
      </c>
      <c r="J128">
        <f t="shared" ca="1" si="182"/>
        <v>85</v>
      </c>
      <c r="K128">
        <f t="shared" ca="1" si="182"/>
        <v>92</v>
      </c>
      <c r="L128">
        <f t="shared" ca="1" si="182"/>
        <v>94</v>
      </c>
      <c r="M128">
        <f t="shared" ca="1" si="182"/>
        <v>91</v>
      </c>
      <c r="N128">
        <f t="shared" ca="1" si="182"/>
        <v>89</v>
      </c>
      <c r="O128">
        <f t="shared" ca="1" si="182"/>
        <v>89</v>
      </c>
      <c r="P128">
        <f t="shared" ca="1" si="182"/>
        <v>89</v>
      </c>
      <c r="V128" cm="1">
        <f t="array" aca="1" ref="V128" ca="1">IF(ISNA(E128),,OFFSET(INDIRECT("'"&amp;V$67&amp;"'!d1"),E128-1,))</f>
        <v>13</v>
      </c>
      <c r="W128" cm="1">
        <f t="array" aca="1" ref="W128" ca="1">IF(ISNA(F128),,OFFSET(INDIRECT("'"&amp;W$67&amp;"'!d1"),F128-1,))</f>
        <v>13</v>
      </c>
      <c r="X128" cm="1">
        <f t="array" aca="1" ref="X128" ca="1">IF(ISNA(G128),,OFFSET(INDIRECT("'"&amp;X$67&amp;"'!d1"),G128-1,))</f>
        <v>13</v>
      </c>
      <c r="Y128" cm="1">
        <f t="array" aca="1" ref="Y128" ca="1">IF(ISNA(H128),,OFFSET(INDIRECT("'"&amp;Y$67&amp;"'!d1"),H128-1,))</f>
        <v>0</v>
      </c>
      <c r="Z128" cm="1">
        <f t="array" aca="1" ref="Z128" ca="1">IF(ISNA(I128),,OFFSET(INDIRECT("'"&amp;Z$67&amp;"'!d1"),I128-1,))</f>
        <v>13</v>
      </c>
      <c r="AA128" cm="1">
        <f t="array" aca="1" ref="AA128" ca="1">IF(ISNA(J128),,OFFSET(INDIRECT("'"&amp;AA$67&amp;"'!d1"),J128-1,))</f>
        <v>13</v>
      </c>
      <c r="AB128" cm="1">
        <f t="array" aca="1" ref="AB128" ca="1">IF(ISNA(K128),,OFFSET(INDIRECT("'"&amp;AB$67&amp;"'!d1"),K128-1,))</f>
        <v>13</v>
      </c>
      <c r="AC128" cm="1">
        <f t="array" aca="1" ref="AC128" ca="1">IF(ISNA(L128),,OFFSET(INDIRECT("'"&amp;AC$67&amp;"'!d1"),L128-1,))</f>
        <v>13</v>
      </c>
      <c r="AD128" cm="1">
        <f t="array" aca="1" ref="AD128" ca="1">IF(ISNA(M128),,OFFSET(INDIRECT("'"&amp;AD$67&amp;"'!d1"),M128-1,))</f>
        <v>13</v>
      </c>
      <c r="AE128" cm="1">
        <f t="array" aca="1" ref="AE128" ca="1">IF(ISNA(N128),,OFFSET(INDIRECT("'"&amp;AE$67&amp;"'!d1"),N128-1,))</f>
        <v>0</v>
      </c>
      <c r="AF128" cm="1">
        <f t="array" aca="1" ref="AF128" ca="1">IF(ISNA(O128),,OFFSET(INDIRECT("'"&amp;AF$67&amp;"'!d1"),O128-1,))</f>
        <v>0</v>
      </c>
      <c r="AG128" cm="1">
        <f t="array" aca="1" ref="AG128" ca="1">IF(ISNA(P128),,OFFSET(INDIRECT("'"&amp;AG$67&amp;"'!d1"),P128-1,))</f>
        <v>0</v>
      </c>
      <c r="AM128">
        <f t="shared" ca="1" si="79"/>
        <v>1</v>
      </c>
      <c r="AN128">
        <f t="shared" ca="1" si="80"/>
        <v>1</v>
      </c>
      <c r="AO128">
        <f t="shared" ca="1" si="81"/>
        <v>1</v>
      </c>
      <c r="AP128">
        <f t="shared" ca="1" si="82"/>
        <v>0</v>
      </c>
      <c r="AQ128">
        <f t="shared" ca="1" si="83"/>
        <v>1</v>
      </c>
      <c r="AV128" t="b">
        <f t="shared" ca="1" si="84"/>
        <v>1</v>
      </c>
      <c r="AW128" t="b">
        <f t="shared" ca="1" si="85"/>
        <v>1</v>
      </c>
      <c r="AX128" t="b">
        <f t="shared" ca="1" si="86"/>
        <v>1</v>
      </c>
      <c r="AY128" t="str">
        <f t="shared" ca="1" si="87"/>
        <v/>
      </c>
      <c r="AZ128" t="b">
        <f t="shared" ca="1" si="88"/>
        <v>1</v>
      </c>
      <c r="BD128">
        <f t="shared" ca="1" si="89"/>
        <v>1</v>
      </c>
      <c r="BE128">
        <f t="shared" ca="1" si="90"/>
        <v>1</v>
      </c>
      <c r="BF128">
        <f t="shared" ca="1" si="91"/>
        <v>1</v>
      </c>
      <c r="BG128">
        <f t="shared" ca="1" si="92"/>
        <v>0</v>
      </c>
      <c r="BH128">
        <f t="shared" ca="1" si="93"/>
        <v>1</v>
      </c>
      <c r="BI128">
        <f t="shared" ca="1" si="94"/>
        <v>1</v>
      </c>
      <c r="BJ128">
        <f t="shared" ca="1" si="95"/>
        <v>1</v>
      </c>
      <c r="BK128">
        <f t="shared" ca="1" si="96"/>
        <v>1</v>
      </c>
      <c r="BL128">
        <f t="shared" ca="1" si="97"/>
        <v>1</v>
      </c>
      <c r="BM128">
        <f t="shared" ca="1" si="98"/>
        <v>0</v>
      </c>
      <c r="BN128">
        <f t="shared" ca="1" si="99"/>
        <v>0</v>
      </c>
      <c r="BO128">
        <f t="shared" ca="1" si="100"/>
        <v>0</v>
      </c>
      <c r="BU128">
        <f t="shared" ca="1" si="101"/>
        <v>13</v>
      </c>
      <c r="BV128">
        <f t="shared" ca="1" si="102"/>
        <v>13</v>
      </c>
      <c r="BW128">
        <f t="shared" ca="1" si="103"/>
        <v>13</v>
      </c>
      <c r="BX128">
        <f t="shared" ca="1" si="104"/>
        <v>68</v>
      </c>
      <c r="BY128">
        <f t="shared" ca="1" si="105"/>
        <v>13</v>
      </c>
      <c r="BZ128">
        <f t="shared" ca="1" si="106"/>
        <v>13</v>
      </c>
      <c r="CA128">
        <f t="shared" ca="1" si="107"/>
        <v>13</v>
      </c>
      <c r="CB128">
        <f t="shared" ca="1" si="108"/>
        <v>13</v>
      </c>
      <c r="CC128">
        <f t="shared" ca="1" si="109"/>
        <v>13</v>
      </c>
      <c r="CD128">
        <f t="shared" ca="1" si="110"/>
        <v>68</v>
      </c>
      <c r="CE128">
        <f t="shared" ca="1" si="111"/>
        <v>68</v>
      </c>
      <c r="CF128">
        <f t="shared" ca="1" si="112"/>
        <v>68</v>
      </c>
      <c r="CL128">
        <f t="shared" ca="1" si="113"/>
        <v>1</v>
      </c>
      <c r="CM128">
        <f t="shared" ca="1" si="114"/>
        <v>1</v>
      </c>
      <c r="CN128">
        <f t="shared" ca="1" si="115"/>
        <v>1</v>
      </c>
      <c r="CO128">
        <f t="shared" ca="1" si="116"/>
        <v>0</v>
      </c>
      <c r="CP128">
        <f t="shared" ca="1" si="117"/>
        <v>1</v>
      </c>
      <c r="CQ128">
        <f t="shared" ca="1" si="118"/>
        <v>1</v>
      </c>
      <c r="CR128">
        <f t="shared" ca="1" si="119"/>
        <v>1</v>
      </c>
      <c r="CS128">
        <f t="shared" ca="1" si="120"/>
        <v>1</v>
      </c>
      <c r="CT128">
        <f t="shared" ca="1" si="121"/>
        <v>1</v>
      </c>
      <c r="CU128">
        <f t="shared" ca="1" si="122"/>
        <v>0</v>
      </c>
      <c r="CV128">
        <f t="shared" ca="1" si="123"/>
        <v>0</v>
      </c>
      <c r="CW128">
        <f t="shared" ca="1" si="124"/>
        <v>0</v>
      </c>
      <c r="DC128" cm="1">
        <f t="array" aca="1" ref="DC128" ca="1">IF(ISNA(E128),,OFFSET(INDIRECT("'"&amp;DT$67&amp;"'!f1"),E128-1,))*1</f>
        <v>2994.636917372</v>
      </c>
      <c r="DD128" cm="1">
        <f t="array" aca="1" ref="DD128" ca="1">IF(ISNA(F128),,OFFSET(INDIRECT("'"&amp;DU$67&amp;"'!f1"),F128-1,))*1</f>
        <v>9960.3739932959998</v>
      </c>
      <c r="DE128" cm="1">
        <f t="array" aca="1" ref="DE128" ca="1">IF(ISNA(G128),,OFFSET(INDIRECT("'"&amp;DV$67&amp;"'!f1"),G128-1,))*1</f>
        <v>13154.143782593001</v>
      </c>
      <c r="DF128" cm="1">
        <f t="array" aca="1" ref="DF128" ca="1">IF(ISNA(H128),,OFFSET(INDIRECT("'"&amp;DW$67&amp;"'!f1"),H128-1,))*1</f>
        <v>28800.109700247602</v>
      </c>
      <c r="DG128" cm="1">
        <f t="array" aca="1" ref="DG128" ca="1">IF(ISNA(I128),,OFFSET(INDIRECT("'"&amp;DX$67&amp;"'!f1"),I128-1,))*1</f>
        <v>6.1296500003663802E-2</v>
      </c>
      <c r="DH128" cm="1">
        <f t="array" aca="1" ref="DH128" ca="1">IF(ISNA(J128),,OFFSET(INDIRECT("'"&amp;DY$67&amp;"'!f1"),J128-1,))*1</f>
        <v>0.14051986997947</v>
      </c>
      <c r="DI128" cm="1">
        <f t="array" aca="1" ref="DI128" ca="1">IF(ISNA(K128),,OFFSET(INDIRECT("'"&amp;DZ$67&amp;"'!f1"),K128-1,))*1</f>
        <v>2.0958527941256699</v>
      </c>
      <c r="DJ128" cm="1">
        <f t="array" aca="1" ref="DJ128" ca="1">IF(ISNA(L128),,OFFSET(INDIRECT("'"&amp;EA$67&amp;"'!f1"),L128-1,))*1</f>
        <v>2.6916811512783099</v>
      </c>
      <c r="DK128" cm="1">
        <f t="array" aca="1" ref="DK128" ca="1">IF(ISNA(M128),,OFFSET(INDIRECT("'"&amp;EB$67&amp;"'!f1"),M128-1,))*1</f>
        <v>38.793061722069901</v>
      </c>
      <c r="DL128" cm="1">
        <f t="array" aca="1" ref="DL128" ca="1">IF(ISNA(N128),,OFFSET(INDIRECT("'"&amp;EC$67&amp;"'!f1"),N128-1,))*1</f>
        <v>1.0822040028870101E-2</v>
      </c>
      <c r="DM128" cm="1">
        <f t="array" aca="1" ref="DM128" ca="1">IF(ISNA(O128),,OFFSET(INDIRECT("'"&amp;ED$67&amp;"'!f1"),O128-1,))*1</f>
        <v>1.0850988328456801E-2</v>
      </c>
      <c r="DN128" cm="1">
        <f t="array" aca="1" ref="DN128" ca="1">IF(ISNA(P128),,OFFSET(INDIRECT("'"&amp;EE$67&amp;"'!f1"),P128-1,))*1</f>
        <v>1.7333247698843399E-2</v>
      </c>
      <c r="DT128">
        <f t="shared" ca="1" si="125"/>
        <v>1</v>
      </c>
      <c r="DU128">
        <f t="shared" ca="1" si="126"/>
        <v>1</v>
      </c>
      <c r="DV128">
        <f t="shared" ca="1" si="127"/>
        <v>1</v>
      </c>
      <c r="DW128">
        <f t="shared" ca="1" si="128"/>
        <v>0</v>
      </c>
      <c r="DX128">
        <f t="shared" ca="1" si="129"/>
        <v>1</v>
      </c>
      <c r="DY128">
        <f t="shared" ca="1" si="130"/>
        <v>1</v>
      </c>
      <c r="DZ128">
        <f t="shared" ca="1" si="131"/>
        <v>4636</v>
      </c>
      <c r="EA128">
        <f t="shared" ca="1" si="132"/>
        <v>8813</v>
      </c>
      <c r="EB128">
        <f t="shared" ca="1" si="133"/>
        <v>3832</v>
      </c>
      <c r="EC128">
        <f t="shared" ca="1" si="134"/>
        <v>0</v>
      </c>
      <c r="ED128">
        <f t="shared" ca="1" si="135"/>
        <v>0</v>
      </c>
      <c r="EE128">
        <f t="shared" ca="1" si="136"/>
        <v>0</v>
      </c>
      <c r="EK128" cm="1">
        <f t="array" aca="1" ref="EK128" ca="1">IF(ISNA(E128),0,OFFSET(INDIRECT("'"&amp;EK$67&amp;"'!g1"),E128-1,)*CL128)</f>
        <v>1</v>
      </c>
      <c r="EL128" cm="1">
        <f t="array" aca="1" ref="EL128" ca="1">IF(ISNA(F128),0,OFFSET(INDIRECT("'"&amp;EL$67&amp;"'!g1"),F128-1,)*CM128)</f>
        <v>1</v>
      </c>
      <c r="EM128" cm="1">
        <f t="array" aca="1" ref="EM128" ca="1">IF(ISNA(G128),0,OFFSET(INDIRECT("'"&amp;EM$67&amp;"'!g1"),G128-1,)*CN128)</f>
        <v>1</v>
      </c>
      <c r="EN128" cm="1">
        <f t="array" aca="1" ref="EN128" ca="1">IF(ISNA(H128),0,OFFSET(INDIRECT("'"&amp;EN$67&amp;"'!g1"),H128-1,)*CO128)</f>
        <v>0</v>
      </c>
      <c r="EO128" cm="1">
        <f t="array" aca="1" ref="EO128" ca="1">IF(ISNA(I128),0,OFFSET(INDIRECT("'"&amp;EO$67&amp;"'!g1"),I128-1,)*CP128)</f>
        <v>1</v>
      </c>
      <c r="EP128" cm="1">
        <f t="array" aca="1" ref="EP128" ca="1">IF(ISNA(J128),0,OFFSET(INDIRECT("'"&amp;EP$67&amp;"'!g1"),J128-1,)*CQ128)</f>
        <v>1</v>
      </c>
      <c r="EQ128" cm="1">
        <f t="array" aca="1" ref="EQ128" ca="1">IF(ISNA(K128),0,OFFSET(INDIRECT("'"&amp;EQ$67&amp;"'!g1"),K128-1,)*CR128)</f>
        <v>4636</v>
      </c>
      <c r="ER128" cm="1">
        <f t="array" aca="1" ref="ER128" ca="1">IF(ISNA(L128),0,OFFSET(INDIRECT("'"&amp;ER$67&amp;"'!g1"),L128-1,)*CS128)</f>
        <v>8813</v>
      </c>
      <c r="ES128" cm="1">
        <f t="array" aca="1" ref="ES128" ca="1">IF(ISNA(M128),0,OFFSET(INDIRECT("'"&amp;ES$67&amp;"'!g1"),M128-1,)*CT128)</f>
        <v>3832</v>
      </c>
      <c r="ET128" cm="1">
        <f t="array" aca="1" ref="ET128" ca="1">IF(ISNA(N128),0,OFFSET(INDIRECT("'"&amp;ET$67&amp;"'!g1"),N128-1,)*CU128)</f>
        <v>0</v>
      </c>
      <c r="EU128" cm="1">
        <f t="array" aca="1" ref="EU128" ca="1">IF(ISNA(O128),0,OFFSET(INDIRECT("'"&amp;EU$67&amp;"'!g1"),O128-1,)*CV128)</f>
        <v>0</v>
      </c>
      <c r="EV128" cm="1">
        <f t="array" aca="1" ref="EV128" ca="1">IF(ISNA(P128),0,OFFSET(INDIRECT("'"&amp;EV$67&amp;"'!g1"),P128-1,)*CW128)</f>
        <v>0</v>
      </c>
      <c r="FB128" s="10" cm="1">
        <f t="array" aca="1" ref="FB128" ca="1">IF(ISNA(E128),0,OFFSET(INDIRECT("'"&amp;EK$67&amp;"'!h1"),E128-1,))</f>
        <v>1</v>
      </c>
      <c r="FC128" s="10" cm="1">
        <f t="array" aca="1" ref="FC128" ca="1">IF(ISNA(F128),0,OFFSET(INDIRECT("'"&amp;EL$67&amp;"'!h1"),F128-1,))</f>
        <v>1</v>
      </c>
      <c r="FD128" s="10" cm="1">
        <f t="array" aca="1" ref="FD128" ca="1">IF(ISNA(G128),0,OFFSET(INDIRECT("'"&amp;EM$67&amp;"'!h1"),G128-1,))</f>
        <v>1</v>
      </c>
      <c r="FE128" s="10" cm="1">
        <f t="array" aca="1" ref="FE128" ca="1">IF(ISNA(H128),0,OFFSET(INDIRECT("'"&amp;EN$67&amp;"'!h1"),H128-1,))</f>
        <v>1</v>
      </c>
      <c r="FF128" s="10" cm="1">
        <f t="array" aca="1" ref="FF128" ca="1">IF(ISNA(I128),0,OFFSET(INDIRECT("'"&amp;EO$67&amp;"'!h1"),I128-1,))</f>
        <v>1</v>
      </c>
      <c r="FG128" s="10" cm="1">
        <f t="array" aca="1" ref="FG128" ca="1">IF(ISNA(J128),0,OFFSET(INDIRECT("'"&amp;EP$67&amp;"'!h1"),J128-1,))</f>
        <v>1</v>
      </c>
      <c r="FH128" s="10" cm="1">
        <f t="array" aca="1" ref="FH128" ca="1">IF(ISNA(K128),0,OFFSET(INDIRECT("'"&amp;EQ$67&amp;"'!h1"),K128-1,))</f>
        <v>10000</v>
      </c>
      <c r="FI128" s="10" cm="1">
        <f t="array" aca="1" ref="FI128" ca="1">IF(ISNA(L128),0,OFFSET(INDIRECT("'"&amp;ER$67&amp;"'!h1"),L128-1,))</f>
        <v>10000</v>
      </c>
      <c r="FJ128" s="10" cm="1">
        <f t="array" aca="1" ref="FJ128" ca="1">IF(ISNA(M128),0,OFFSET(INDIRECT("'"&amp;ES$67&amp;"'!h1"),M128-1,))</f>
        <v>10000</v>
      </c>
      <c r="FK128" s="10" cm="1">
        <f t="array" aca="1" ref="FK128" ca="1">IF(ISNA(N128),0,OFFSET(INDIRECT("'"&amp;ET$67&amp;"'!h1"),N128-1,))</f>
        <v>1</v>
      </c>
      <c r="FL128" s="10" cm="1">
        <f t="array" aca="1" ref="FL128" ca="1">IF(ISNA(O128),0,OFFSET(INDIRECT("'"&amp;EU$67&amp;"'!h1"),O128-1,))</f>
        <v>1</v>
      </c>
      <c r="FM128" s="10" cm="1">
        <f t="array" aca="1" ref="FM128" ca="1">IF(ISNA(P128),0,OFFSET(INDIRECT("'"&amp;EV$67&amp;"'!h1"),P128-1,))</f>
        <v>9</v>
      </c>
      <c r="FN128" s="10"/>
      <c r="FO128" s="10"/>
      <c r="FP128" s="10"/>
      <c r="FQ128" s="10"/>
      <c r="FS128">
        <f t="shared" ca="1" si="137"/>
        <v>68</v>
      </c>
      <c r="FT128">
        <f t="shared" ca="1" si="62"/>
        <v>2.0958527941256699</v>
      </c>
      <c r="FU128">
        <f t="shared" ca="1" si="63"/>
        <v>4636</v>
      </c>
      <c r="FV128">
        <f t="shared" ca="1" si="64"/>
        <v>10000</v>
      </c>
      <c r="FW128" s="4">
        <f t="shared" ca="1" si="138"/>
        <v>0.46360000000000001</v>
      </c>
      <c r="FX128" s="5">
        <f t="shared" ca="1" si="139"/>
        <v>4.5208213850855692E-4</v>
      </c>
      <c r="FZ128" s="13">
        <f t="shared" ca="1" si="140"/>
        <v>68</v>
      </c>
      <c r="GA128" s="23">
        <f t="shared" ca="1" si="141"/>
        <v>0</v>
      </c>
      <c r="GB128" s="23">
        <f t="shared" ca="1" si="142"/>
        <v>0</v>
      </c>
      <c r="GC128" s="23">
        <f t="shared" ca="1" si="143"/>
        <v>0</v>
      </c>
      <c r="GD128" s="23" t="e">
        <f t="shared" ca="1" si="144"/>
        <v>#N/A</v>
      </c>
      <c r="GE128" s="23">
        <f t="shared" ca="1" si="145"/>
        <v>0</v>
      </c>
      <c r="GF128" s="23">
        <f t="shared" ca="1" si="146"/>
        <v>0</v>
      </c>
      <c r="GG128" s="23">
        <f t="shared" ca="1" si="147"/>
        <v>0</v>
      </c>
      <c r="GH128" s="23">
        <f t="shared" ca="1" si="148"/>
        <v>0</v>
      </c>
      <c r="GI128" s="23">
        <f t="shared" ca="1" si="149"/>
        <v>0</v>
      </c>
      <c r="GJ128" s="23" t="e">
        <f t="shared" ca="1" si="150"/>
        <v>#N/A</v>
      </c>
      <c r="GK128" s="23" t="e">
        <f t="shared" ca="1" si="151"/>
        <v>#N/A</v>
      </c>
      <c r="GL128" s="23" t="e">
        <f t="shared" ca="1" si="152"/>
        <v>#N/A</v>
      </c>
      <c r="GM128" s="23"/>
      <c r="GN128">
        <f t="shared" ca="1" si="153"/>
        <v>68</v>
      </c>
      <c r="GO128" s="5">
        <f t="shared" ca="1" si="154"/>
        <v>2994.636917372</v>
      </c>
      <c r="GP128" s="5">
        <f t="shared" ca="1" si="155"/>
        <v>9960.3739932959998</v>
      </c>
      <c r="GQ128" s="5">
        <f t="shared" ca="1" si="156"/>
        <v>13154.143782593001</v>
      </c>
      <c r="GR128" s="5" t="e">
        <f t="shared" ca="1" si="157"/>
        <v>#N/A</v>
      </c>
      <c r="GS128" s="5">
        <f t="shared" ca="1" si="158"/>
        <v>6.1296500003663802E-2</v>
      </c>
      <c r="GT128" s="5">
        <f t="shared" ca="1" si="159"/>
        <v>0.14051986997947</v>
      </c>
      <c r="GU128" s="5">
        <f t="shared" ca="1" si="160"/>
        <v>4.5208213850855692E-4</v>
      </c>
      <c r="GV128" s="5">
        <f t="shared" ca="1" si="161"/>
        <v>3.0542166700082946E-4</v>
      </c>
      <c r="GW128" s="5">
        <f t="shared" ca="1" si="162"/>
        <v>1.0123450345007803E-2</v>
      </c>
      <c r="GX128" s="5" t="e">
        <f t="shared" ca="1" si="163"/>
        <v>#N/A</v>
      </c>
      <c r="GY128" s="5" t="e">
        <f t="shared" ca="1" si="164"/>
        <v>#N/A</v>
      </c>
      <c r="GZ128" s="5" t="e">
        <f t="shared" ca="1" si="165"/>
        <v>#N/A</v>
      </c>
      <c r="HB128" s="13">
        <f t="shared" ca="1" si="166"/>
        <v>68</v>
      </c>
      <c r="HC128" s="4">
        <f t="shared" ca="1" si="167"/>
        <v>1</v>
      </c>
      <c r="HD128" s="4">
        <f t="shared" ca="1" si="168"/>
        <v>1</v>
      </c>
      <c r="HE128" s="4">
        <f t="shared" ca="1" si="169"/>
        <v>1</v>
      </c>
      <c r="HF128" s="4">
        <f t="shared" ca="1" si="170"/>
        <v>0</v>
      </c>
      <c r="HG128" s="4">
        <f t="shared" ca="1" si="171"/>
        <v>1</v>
      </c>
      <c r="HH128" s="4">
        <f t="shared" ca="1" si="172"/>
        <v>1</v>
      </c>
      <c r="HI128" s="4">
        <f t="shared" ca="1" si="173"/>
        <v>0.46360000000000001</v>
      </c>
      <c r="HJ128" s="4">
        <f t="shared" ca="1" si="174"/>
        <v>0.88129999999999997</v>
      </c>
      <c r="HK128" s="4">
        <f t="shared" ca="1" si="175"/>
        <v>0.38319999999999999</v>
      </c>
      <c r="HL128" s="4">
        <f t="shared" ca="1" si="176"/>
        <v>0</v>
      </c>
      <c r="HM128" s="4">
        <f t="shared" ca="1" si="177"/>
        <v>0</v>
      </c>
      <c r="HN128" s="4">
        <f t="shared" ca="1" si="178"/>
        <v>0</v>
      </c>
    </row>
    <row r="129" spans="1:222" x14ac:dyDescent="0.2">
      <c r="A129" t="str" cm="1">
        <f t="array" aca="1" ref="A129" ca="1">INDIRECT($A$67&amp;"!A"&amp;ROW(C62)+$B$64)</f>
        <v>[[69,35,13]]</v>
      </c>
      <c r="B129" cm="1">
        <f t="array" aca="1" ref="B129" ca="1">INDIRECT($A$67&amp;"!b"&amp;ROW(D62)+$B$64)</f>
        <v>69</v>
      </c>
      <c r="C129">
        <f t="shared" ca="1" si="78"/>
        <v>13</v>
      </c>
      <c r="E129">
        <f t="shared" ca="1" si="182"/>
        <v>86</v>
      </c>
      <c r="F129">
        <f t="shared" ca="1" si="182"/>
        <v>87</v>
      </c>
      <c r="G129">
        <f t="shared" ca="1" si="182"/>
        <v>86</v>
      </c>
      <c r="H129">
        <f t="shared" ca="1" si="182"/>
        <v>101</v>
      </c>
      <c r="I129">
        <f t="shared" ca="1" si="182"/>
        <v>89</v>
      </c>
      <c r="J129">
        <f t="shared" ca="1" si="182"/>
        <v>86</v>
      </c>
      <c r="K129">
        <f t="shared" ca="1" si="182"/>
        <v>93</v>
      </c>
      <c r="L129">
        <f t="shared" ca="1" si="182"/>
        <v>95</v>
      </c>
      <c r="M129">
        <f t="shared" ca="1" si="182"/>
        <v>92</v>
      </c>
      <c r="N129">
        <f t="shared" ca="1" si="182"/>
        <v>90</v>
      </c>
      <c r="O129">
        <f t="shared" ca="1" si="182"/>
        <v>90</v>
      </c>
      <c r="P129">
        <f t="shared" ca="1" si="182"/>
        <v>90</v>
      </c>
      <c r="V129" cm="1">
        <f t="array" aca="1" ref="V129" ca="1">IF(ISNA(E129),,OFFSET(INDIRECT("'"&amp;V$67&amp;"'!d1"),E129-1,))</f>
        <v>13</v>
      </c>
      <c r="W129" cm="1">
        <f t="array" aca="1" ref="W129" ca="1">IF(ISNA(F129),,OFFSET(INDIRECT("'"&amp;W$67&amp;"'!d1"),F129-1,))</f>
        <v>13</v>
      </c>
      <c r="X129" cm="1">
        <f t="array" aca="1" ref="X129" ca="1">IF(ISNA(G129),,OFFSET(INDIRECT("'"&amp;X$67&amp;"'!d1"),G129-1,))</f>
        <v>13</v>
      </c>
      <c r="Y129" cm="1">
        <f t="array" aca="1" ref="Y129" ca="1">IF(ISNA(H129),,OFFSET(INDIRECT("'"&amp;Y$67&amp;"'!d1"),H129-1,))</f>
        <v>0</v>
      </c>
      <c r="Z129" cm="1">
        <f t="array" aca="1" ref="Z129" ca="1">IF(ISNA(I129),,OFFSET(INDIRECT("'"&amp;Z$67&amp;"'!d1"),I129-1,))</f>
        <v>13</v>
      </c>
      <c r="AA129" cm="1">
        <f t="array" aca="1" ref="AA129" ca="1">IF(ISNA(J129),,OFFSET(INDIRECT("'"&amp;AA$67&amp;"'!d1"),J129-1,))</f>
        <v>13</v>
      </c>
      <c r="AB129" cm="1">
        <f t="array" aca="1" ref="AB129" ca="1">IF(ISNA(K129),,OFFSET(INDIRECT("'"&amp;AB$67&amp;"'!d1"),K129-1,))</f>
        <v>13</v>
      </c>
      <c r="AC129" cm="1">
        <f t="array" aca="1" ref="AC129" ca="1">IF(ISNA(L129),,OFFSET(INDIRECT("'"&amp;AC$67&amp;"'!d1"),L129-1,))</f>
        <v>13</v>
      </c>
      <c r="AD129" cm="1">
        <f t="array" aca="1" ref="AD129" ca="1">IF(ISNA(M129),,OFFSET(INDIRECT("'"&amp;AD$67&amp;"'!d1"),M129-1,))</f>
        <v>13</v>
      </c>
      <c r="AE129" cm="1">
        <f t="array" aca="1" ref="AE129" ca="1">IF(ISNA(N129),,OFFSET(INDIRECT("'"&amp;AE$67&amp;"'!d1"),N129-1,))</f>
        <v>0</v>
      </c>
      <c r="AF129" cm="1">
        <f t="array" aca="1" ref="AF129" ca="1">IF(ISNA(O129),,OFFSET(INDIRECT("'"&amp;AF$67&amp;"'!d1"),O129-1,))</f>
        <v>0</v>
      </c>
      <c r="AG129" cm="1">
        <f t="array" aca="1" ref="AG129" ca="1">IF(ISNA(P129),,OFFSET(INDIRECT("'"&amp;AG$67&amp;"'!d1"),P129-1,))</f>
        <v>0</v>
      </c>
      <c r="AM129">
        <f t="shared" ca="1" si="79"/>
        <v>1</v>
      </c>
      <c r="AN129">
        <f t="shared" ca="1" si="80"/>
        <v>1</v>
      </c>
      <c r="AO129">
        <f t="shared" ca="1" si="81"/>
        <v>0</v>
      </c>
      <c r="AP129">
        <f t="shared" ca="1" si="82"/>
        <v>0</v>
      </c>
      <c r="AQ129">
        <f t="shared" ca="1" si="83"/>
        <v>1</v>
      </c>
      <c r="AV129" t="b">
        <f t="shared" ca="1" si="84"/>
        <v>1</v>
      </c>
      <c r="AW129" t="b">
        <f t="shared" ca="1" si="85"/>
        <v>1</v>
      </c>
      <c r="AX129" t="str">
        <f t="shared" ca="1" si="86"/>
        <v/>
      </c>
      <c r="AY129" t="str">
        <f t="shared" ca="1" si="87"/>
        <v/>
      </c>
      <c r="AZ129" t="b">
        <f t="shared" ca="1" si="88"/>
        <v>1</v>
      </c>
      <c r="BD129">
        <f t="shared" ca="1" si="89"/>
        <v>1</v>
      </c>
      <c r="BE129">
        <f t="shared" ca="1" si="90"/>
        <v>1</v>
      </c>
      <c r="BF129">
        <f t="shared" ca="1" si="91"/>
        <v>1</v>
      </c>
      <c r="BG129">
        <f t="shared" ca="1" si="92"/>
        <v>0</v>
      </c>
      <c r="BH129">
        <f t="shared" ca="1" si="93"/>
        <v>1</v>
      </c>
      <c r="BI129">
        <f t="shared" ca="1" si="94"/>
        <v>1</v>
      </c>
      <c r="BJ129">
        <f t="shared" ca="1" si="95"/>
        <v>1</v>
      </c>
      <c r="BK129">
        <f t="shared" ca="1" si="96"/>
        <v>1</v>
      </c>
      <c r="BL129">
        <f t="shared" ca="1" si="97"/>
        <v>1</v>
      </c>
      <c r="BM129">
        <f t="shared" ca="1" si="98"/>
        <v>0</v>
      </c>
      <c r="BN129">
        <f t="shared" ca="1" si="99"/>
        <v>0</v>
      </c>
      <c r="BO129">
        <f t="shared" ca="1" si="100"/>
        <v>0</v>
      </c>
      <c r="BU129">
        <f t="shared" ca="1" si="101"/>
        <v>13</v>
      </c>
      <c r="BV129">
        <f t="shared" ca="1" si="102"/>
        <v>13</v>
      </c>
      <c r="BW129">
        <f t="shared" ca="1" si="103"/>
        <v>13</v>
      </c>
      <c r="BX129">
        <f t="shared" ca="1" si="104"/>
        <v>69</v>
      </c>
      <c r="BY129">
        <f t="shared" ca="1" si="105"/>
        <v>13</v>
      </c>
      <c r="BZ129">
        <f t="shared" ca="1" si="106"/>
        <v>13</v>
      </c>
      <c r="CA129">
        <f t="shared" ca="1" si="107"/>
        <v>13</v>
      </c>
      <c r="CB129">
        <f t="shared" ca="1" si="108"/>
        <v>13</v>
      </c>
      <c r="CC129">
        <f t="shared" ca="1" si="109"/>
        <v>13</v>
      </c>
      <c r="CD129">
        <f t="shared" ca="1" si="110"/>
        <v>69</v>
      </c>
      <c r="CE129">
        <f t="shared" ca="1" si="111"/>
        <v>69</v>
      </c>
      <c r="CF129">
        <f t="shared" ca="1" si="112"/>
        <v>69</v>
      </c>
      <c r="CL129">
        <f t="shared" ca="1" si="113"/>
        <v>1</v>
      </c>
      <c r="CM129">
        <f t="shared" ca="1" si="114"/>
        <v>1</v>
      </c>
      <c r="CN129">
        <f t="shared" ca="1" si="115"/>
        <v>1</v>
      </c>
      <c r="CO129">
        <f t="shared" ca="1" si="116"/>
        <v>0</v>
      </c>
      <c r="CP129">
        <f t="shared" ca="1" si="117"/>
        <v>1</v>
      </c>
      <c r="CQ129">
        <f t="shared" ca="1" si="118"/>
        <v>1</v>
      </c>
      <c r="CR129">
        <f t="shared" ca="1" si="119"/>
        <v>1</v>
      </c>
      <c r="CS129">
        <f t="shared" ca="1" si="120"/>
        <v>1</v>
      </c>
      <c r="CT129">
        <f t="shared" ca="1" si="121"/>
        <v>1</v>
      </c>
      <c r="CU129">
        <f t="shared" ca="1" si="122"/>
        <v>0</v>
      </c>
      <c r="CV129">
        <f t="shared" ca="1" si="123"/>
        <v>0</v>
      </c>
      <c r="CW129">
        <f t="shared" ca="1" si="124"/>
        <v>0</v>
      </c>
      <c r="DC129" cm="1">
        <f t="array" aca="1" ref="DC129" ca="1">IF(ISNA(E129),,OFFSET(INDIRECT("'"&amp;DT$67&amp;"'!f1"),E129-1,))*1</f>
        <v>3925.5830660759898</v>
      </c>
      <c r="DD129" cm="1">
        <f t="array" aca="1" ref="DD129" ca="1">IF(ISNA(F129),,OFFSET(INDIRECT("'"&amp;DU$67&amp;"'!f1"),F129-1,))*1</f>
        <v>22760.018945541899</v>
      </c>
      <c r="DE129" cm="1">
        <f t="array" aca="1" ref="DE129" ca="1">IF(ISNA(G129),,OFFSET(INDIRECT("'"&amp;DV$67&amp;"'!f1"),G129-1,))*1</f>
        <v>28800.114496508999</v>
      </c>
      <c r="DF129" cm="1">
        <f t="array" aca="1" ref="DF129" ca="1">IF(ISNA(H129),,OFFSET(INDIRECT("'"&amp;DW$67&amp;"'!f1"),H129-1,))*1</f>
        <v>28800.2258050739</v>
      </c>
      <c r="DG129" cm="1">
        <f t="array" aca="1" ref="DG129" ca="1">IF(ISNA(I129),,OFFSET(INDIRECT("'"&amp;DX$67&amp;"'!f1"),I129-1,))*1</f>
        <v>6.6025624997564494E-2</v>
      </c>
      <c r="DH129" cm="1">
        <f t="array" aca="1" ref="DH129" ca="1">IF(ISNA(J129),,OFFSET(INDIRECT("'"&amp;DY$67&amp;"'!f1"),J129-1,))*1</f>
        <v>0.14133094996213899</v>
      </c>
      <c r="DI129" cm="1">
        <f t="array" aca="1" ref="DI129" ca="1">IF(ISNA(K129),,OFFSET(INDIRECT("'"&amp;DZ$67&amp;"'!f1"),K129-1,))*1</f>
        <v>2.12236450985074</v>
      </c>
      <c r="DJ129" cm="1">
        <f t="array" aca="1" ref="DJ129" ca="1">IF(ISNA(L129),,OFFSET(INDIRECT("'"&amp;EA$67&amp;"'!f1"),L129-1,))*1</f>
        <v>2.6925266478210599</v>
      </c>
      <c r="DK129" cm="1">
        <f t="array" aca="1" ref="DK129" ca="1">IF(ISNA(M129),,OFFSET(INDIRECT("'"&amp;EB$67&amp;"'!f1"),M129-1,))*1</f>
        <v>40.487728858832199</v>
      </c>
      <c r="DL129" cm="1">
        <f t="array" aca="1" ref="DL129" ca="1">IF(ISNA(N129),,OFFSET(INDIRECT("'"&amp;EC$67&amp;"'!f1"),N129-1,))*1</f>
        <v>1.09068742021918E-2</v>
      </c>
      <c r="DM129" cm="1">
        <f t="array" aca="1" ref="DM129" ca="1">IF(ISNA(O129),,OFFSET(INDIRECT("'"&amp;ED$67&amp;"'!f1"),O129-1,))*1</f>
        <v>1.1128706857561999E-2</v>
      </c>
      <c r="DN129" cm="1">
        <f t="array" aca="1" ref="DN129" ca="1">IF(ISNA(P129),,OFFSET(INDIRECT("'"&amp;EE$67&amp;"'!f1"),P129-1,))*1</f>
        <v>1.70629117637872E-2</v>
      </c>
      <c r="DT129">
        <f t="shared" ca="1" si="125"/>
        <v>1</v>
      </c>
      <c r="DU129">
        <f t="shared" ca="1" si="126"/>
        <v>1</v>
      </c>
      <c r="DV129">
        <f t="shared" ca="1" si="127"/>
        <v>1</v>
      </c>
      <c r="DW129">
        <f t="shared" ca="1" si="128"/>
        <v>0</v>
      </c>
      <c r="DX129">
        <f t="shared" ca="1" si="129"/>
        <v>1</v>
      </c>
      <c r="DY129">
        <f t="shared" ca="1" si="130"/>
        <v>1</v>
      </c>
      <c r="DZ129">
        <f t="shared" ca="1" si="131"/>
        <v>4842</v>
      </c>
      <c r="EA129">
        <f t="shared" ca="1" si="132"/>
        <v>8209</v>
      </c>
      <c r="EB129">
        <f t="shared" ca="1" si="133"/>
        <v>3974</v>
      </c>
      <c r="EC129">
        <f t="shared" ca="1" si="134"/>
        <v>0</v>
      </c>
      <c r="ED129">
        <f t="shared" ca="1" si="135"/>
        <v>0</v>
      </c>
      <c r="EE129">
        <f t="shared" ca="1" si="136"/>
        <v>0</v>
      </c>
      <c r="EK129" cm="1">
        <f t="array" aca="1" ref="EK129" ca="1">IF(ISNA(E129),0,OFFSET(INDIRECT("'"&amp;EK$67&amp;"'!g1"),E129-1,)*CL129)</f>
        <v>1</v>
      </c>
      <c r="EL129" cm="1">
        <f t="array" aca="1" ref="EL129" ca="1">IF(ISNA(F129),0,OFFSET(INDIRECT("'"&amp;EL$67&amp;"'!g1"),F129-1,)*CM129)</f>
        <v>1</v>
      </c>
      <c r="EM129" cm="1">
        <f t="array" aca="1" ref="EM129" ca="1">IF(ISNA(G129),0,OFFSET(INDIRECT("'"&amp;EM$67&amp;"'!g1"),G129-1,)*CN129)</f>
        <v>1</v>
      </c>
      <c r="EN129" cm="1">
        <f t="array" aca="1" ref="EN129" ca="1">IF(ISNA(H129),0,OFFSET(INDIRECT("'"&amp;EN$67&amp;"'!g1"),H129-1,)*CO129)</f>
        <v>0</v>
      </c>
      <c r="EO129" cm="1">
        <f t="array" aca="1" ref="EO129" ca="1">IF(ISNA(I129),0,OFFSET(INDIRECT("'"&amp;EO$67&amp;"'!g1"),I129-1,)*CP129)</f>
        <v>1</v>
      </c>
      <c r="EP129" cm="1">
        <f t="array" aca="1" ref="EP129" ca="1">IF(ISNA(J129),0,OFFSET(INDIRECT("'"&amp;EP$67&amp;"'!g1"),J129-1,)*CQ129)</f>
        <v>1</v>
      </c>
      <c r="EQ129" cm="1">
        <f t="array" aca="1" ref="EQ129" ca="1">IF(ISNA(K129),0,OFFSET(INDIRECT("'"&amp;EQ$67&amp;"'!g1"),K129-1,)*CR129)</f>
        <v>4842</v>
      </c>
      <c r="ER129" cm="1">
        <f t="array" aca="1" ref="ER129" ca="1">IF(ISNA(L129),0,OFFSET(INDIRECT("'"&amp;ER$67&amp;"'!g1"),L129-1,)*CS129)</f>
        <v>8209</v>
      </c>
      <c r="ES129" cm="1">
        <f t="array" aca="1" ref="ES129" ca="1">IF(ISNA(M129),0,OFFSET(INDIRECT("'"&amp;ES$67&amp;"'!g1"),M129-1,)*CT129)</f>
        <v>3974</v>
      </c>
      <c r="ET129" cm="1">
        <f t="array" aca="1" ref="ET129" ca="1">IF(ISNA(N129),0,OFFSET(INDIRECT("'"&amp;ET$67&amp;"'!g1"),N129-1,)*CU129)</f>
        <v>0</v>
      </c>
      <c r="EU129" cm="1">
        <f t="array" aca="1" ref="EU129" ca="1">IF(ISNA(O129),0,OFFSET(INDIRECT("'"&amp;EU$67&amp;"'!g1"),O129-1,)*CV129)</f>
        <v>0</v>
      </c>
      <c r="EV129" cm="1">
        <f t="array" aca="1" ref="EV129" ca="1">IF(ISNA(P129),0,OFFSET(INDIRECT("'"&amp;EV$67&amp;"'!g1"),P129-1,)*CW129)</f>
        <v>0</v>
      </c>
      <c r="FB129" s="10" cm="1">
        <f t="array" aca="1" ref="FB129" ca="1">IF(ISNA(E129),0,OFFSET(INDIRECT("'"&amp;EK$67&amp;"'!h1"),E129-1,))</f>
        <v>1</v>
      </c>
      <c r="FC129" s="10" cm="1">
        <f t="array" aca="1" ref="FC129" ca="1">IF(ISNA(F129),0,OFFSET(INDIRECT("'"&amp;EL$67&amp;"'!h1"),F129-1,))</f>
        <v>1</v>
      </c>
      <c r="FD129" s="10" cm="1">
        <f t="array" aca="1" ref="FD129" ca="1">IF(ISNA(G129),0,OFFSET(INDIRECT("'"&amp;EM$67&amp;"'!h1"),G129-1,))</f>
        <v>1</v>
      </c>
      <c r="FE129" s="10" cm="1">
        <f t="array" aca="1" ref="FE129" ca="1">IF(ISNA(H129),0,OFFSET(INDIRECT("'"&amp;EN$67&amp;"'!h1"),H129-1,))</f>
        <v>1</v>
      </c>
      <c r="FF129" s="10" cm="1">
        <f t="array" aca="1" ref="FF129" ca="1">IF(ISNA(I129),0,OFFSET(INDIRECT("'"&amp;EO$67&amp;"'!h1"),I129-1,))</f>
        <v>1</v>
      </c>
      <c r="FG129" s="10" cm="1">
        <f t="array" aca="1" ref="FG129" ca="1">IF(ISNA(J129),0,OFFSET(INDIRECT("'"&amp;EP$67&amp;"'!h1"),J129-1,))</f>
        <v>1</v>
      </c>
      <c r="FH129" s="10" cm="1">
        <f t="array" aca="1" ref="FH129" ca="1">IF(ISNA(K129),0,OFFSET(INDIRECT("'"&amp;EQ$67&amp;"'!h1"),K129-1,))</f>
        <v>10000</v>
      </c>
      <c r="FI129" s="10" cm="1">
        <f t="array" aca="1" ref="FI129" ca="1">IF(ISNA(L129),0,OFFSET(INDIRECT("'"&amp;ER$67&amp;"'!h1"),L129-1,))</f>
        <v>10000</v>
      </c>
      <c r="FJ129" s="10" cm="1">
        <f t="array" aca="1" ref="FJ129" ca="1">IF(ISNA(M129),0,OFFSET(INDIRECT("'"&amp;ES$67&amp;"'!h1"),M129-1,))</f>
        <v>10000</v>
      </c>
      <c r="FK129" s="10" cm="1">
        <f t="array" aca="1" ref="FK129" ca="1">IF(ISNA(N129),0,OFFSET(INDIRECT("'"&amp;ET$67&amp;"'!h1"),N129-1,))</f>
        <v>1</v>
      </c>
      <c r="FL129" s="10" cm="1">
        <f t="array" aca="1" ref="FL129" ca="1">IF(ISNA(O129),0,OFFSET(INDIRECT("'"&amp;EU$67&amp;"'!h1"),O129-1,))</f>
        <v>1</v>
      </c>
      <c r="FM129" s="10" cm="1">
        <f t="array" aca="1" ref="FM129" ca="1">IF(ISNA(P129),0,OFFSET(INDIRECT("'"&amp;EV$67&amp;"'!h1"),P129-1,))</f>
        <v>9</v>
      </c>
      <c r="FN129" s="10"/>
      <c r="FO129" s="10"/>
      <c r="FP129" s="10"/>
      <c r="FQ129" s="10"/>
      <c r="FS129">
        <f t="shared" ca="1" si="137"/>
        <v>69</v>
      </c>
      <c r="FT129">
        <f t="shared" ca="1" si="62"/>
        <v>2.12236450985074</v>
      </c>
      <c r="FU129">
        <f t="shared" ca="1" si="63"/>
        <v>4842</v>
      </c>
      <c r="FV129">
        <f t="shared" ca="1" si="64"/>
        <v>10000</v>
      </c>
      <c r="FW129" s="4">
        <f t="shared" ca="1" si="138"/>
        <v>0.48420000000000002</v>
      </c>
      <c r="FX129" s="5">
        <f t="shared" ca="1" si="139"/>
        <v>4.3832393842435771E-4</v>
      </c>
      <c r="FZ129" s="13">
        <f t="shared" ca="1" si="140"/>
        <v>69</v>
      </c>
      <c r="GA129" s="23">
        <f t="shared" ca="1" si="141"/>
        <v>0</v>
      </c>
      <c r="GB129" s="23">
        <f t="shared" ca="1" si="142"/>
        <v>0</v>
      </c>
      <c r="GC129" s="23">
        <f t="shared" ca="1" si="143"/>
        <v>0</v>
      </c>
      <c r="GD129" s="23" t="e">
        <f t="shared" ca="1" si="144"/>
        <v>#N/A</v>
      </c>
      <c r="GE129" s="23">
        <f t="shared" ca="1" si="145"/>
        <v>0</v>
      </c>
      <c r="GF129" s="23">
        <f t="shared" ca="1" si="146"/>
        <v>0</v>
      </c>
      <c r="GG129" s="23">
        <f t="shared" ca="1" si="147"/>
        <v>0</v>
      </c>
      <c r="GH129" s="23">
        <f t="shared" ca="1" si="148"/>
        <v>0</v>
      </c>
      <c r="GI129" s="23">
        <f t="shared" ca="1" si="149"/>
        <v>0</v>
      </c>
      <c r="GJ129" s="23" t="e">
        <f t="shared" ca="1" si="150"/>
        <v>#N/A</v>
      </c>
      <c r="GK129" s="23" t="e">
        <f t="shared" ca="1" si="151"/>
        <v>#N/A</v>
      </c>
      <c r="GL129" s="23" t="e">
        <f t="shared" ca="1" si="152"/>
        <v>#N/A</v>
      </c>
      <c r="GM129" s="23"/>
      <c r="GN129">
        <f t="shared" ca="1" si="153"/>
        <v>69</v>
      </c>
      <c r="GO129" s="5">
        <f t="shared" ca="1" si="154"/>
        <v>3925.5830660759898</v>
      </c>
      <c r="GP129" s="5">
        <f t="shared" ca="1" si="155"/>
        <v>22760.018945541899</v>
      </c>
      <c r="GQ129" s="5" t="e">
        <f t="shared" ca="1" si="156"/>
        <v>#N/A</v>
      </c>
      <c r="GR129" s="5" t="e">
        <f t="shared" ca="1" si="157"/>
        <v>#N/A</v>
      </c>
      <c r="GS129" s="5">
        <f t="shared" ca="1" si="158"/>
        <v>6.6025624997564494E-2</v>
      </c>
      <c r="GT129" s="5">
        <f t="shared" ca="1" si="159"/>
        <v>0.14133094996213899</v>
      </c>
      <c r="GU129" s="5">
        <f t="shared" ca="1" si="160"/>
        <v>4.3832393842435771E-4</v>
      </c>
      <c r="GV129" s="5">
        <f t="shared" ca="1" si="161"/>
        <v>3.2799691166050186E-4</v>
      </c>
      <c r="GW129" s="5">
        <f t="shared" ca="1" si="162"/>
        <v>1.0188155223661852E-2</v>
      </c>
      <c r="GX129" s="5" t="e">
        <f t="shared" ca="1" si="163"/>
        <v>#N/A</v>
      </c>
      <c r="GY129" s="5" t="e">
        <f t="shared" ca="1" si="164"/>
        <v>#N/A</v>
      </c>
      <c r="GZ129" s="5" t="e">
        <f t="shared" ca="1" si="165"/>
        <v>#N/A</v>
      </c>
      <c r="HB129" s="13">
        <f t="shared" ca="1" si="166"/>
        <v>69</v>
      </c>
      <c r="HC129" s="4">
        <f t="shared" ca="1" si="167"/>
        <v>1</v>
      </c>
      <c r="HD129" s="4">
        <f t="shared" ca="1" si="168"/>
        <v>1</v>
      </c>
      <c r="HE129" s="4">
        <f t="shared" ca="1" si="169"/>
        <v>1</v>
      </c>
      <c r="HF129" s="4">
        <f t="shared" ca="1" si="170"/>
        <v>0</v>
      </c>
      <c r="HG129" s="4">
        <f t="shared" ca="1" si="171"/>
        <v>1</v>
      </c>
      <c r="HH129" s="4">
        <f t="shared" ca="1" si="172"/>
        <v>1</v>
      </c>
      <c r="HI129" s="4">
        <f t="shared" ca="1" si="173"/>
        <v>0.48420000000000002</v>
      </c>
      <c r="HJ129" s="4">
        <f t="shared" ca="1" si="174"/>
        <v>0.82089999999999996</v>
      </c>
      <c r="HK129" s="4">
        <f t="shared" ca="1" si="175"/>
        <v>0.39739999999999998</v>
      </c>
      <c r="HL129" s="4">
        <f t="shared" ca="1" si="176"/>
        <v>0</v>
      </c>
      <c r="HM129" s="4">
        <f t="shared" ca="1" si="177"/>
        <v>0</v>
      </c>
      <c r="HN129" s="4">
        <f t="shared" ca="1" si="178"/>
        <v>0</v>
      </c>
    </row>
    <row r="130" spans="1:222" x14ac:dyDescent="0.2">
      <c r="A130" t="str" cm="1">
        <f t="array" aca="1" ref="A130" ca="1">INDIRECT($A$67&amp;"!A"&amp;ROW(C63)+$B$64)</f>
        <v>[[70,36,13]]</v>
      </c>
      <c r="B130" cm="1">
        <f t="array" aca="1" ref="B130" ca="1">INDIRECT($A$67&amp;"!b"&amp;ROW(D63)+$B$64)</f>
        <v>70</v>
      </c>
      <c r="C130">
        <f t="shared" ca="1" si="78"/>
        <v>13</v>
      </c>
      <c r="E130">
        <f t="shared" ca="1" si="182"/>
        <v>87</v>
      </c>
      <c r="F130">
        <f t="shared" ca="1" si="182"/>
        <v>88</v>
      </c>
      <c r="G130">
        <f t="shared" ca="1" si="182"/>
        <v>87</v>
      </c>
      <c r="H130">
        <f t="shared" ca="1" si="182"/>
        <v>109</v>
      </c>
      <c r="I130">
        <f t="shared" ca="1" si="182"/>
        <v>90</v>
      </c>
      <c r="J130">
        <f t="shared" ca="1" si="182"/>
        <v>87</v>
      </c>
      <c r="K130">
        <f t="shared" ca="1" si="182"/>
        <v>94</v>
      </c>
      <c r="L130">
        <f t="shared" ca="1" si="182"/>
        <v>96</v>
      </c>
      <c r="M130">
        <f t="shared" ca="1" si="182"/>
        <v>93</v>
      </c>
      <c r="N130">
        <f t="shared" ca="1" si="182"/>
        <v>91</v>
      </c>
      <c r="O130">
        <f t="shared" ca="1" si="182"/>
        <v>91</v>
      </c>
      <c r="P130">
        <f t="shared" ca="1" si="182"/>
        <v>91</v>
      </c>
      <c r="V130" cm="1">
        <f t="array" aca="1" ref="V130" ca="1">IF(ISNA(E130),,OFFSET(INDIRECT("'"&amp;V$67&amp;"'!d1"),E130-1,))</f>
        <v>13</v>
      </c>
      <c r="W130" cm="1">
        <f t="array" aca="1" ref="W130" ca="1">IF(ISNA(F130),,OFFSET(INDIRECT("'"&amp;W$67&amp;"'!d1"),F130-1,))</f>
        <v>13</v>
      </c>
      <c r="X130" cm="1">
        <f t="array" aca="1" ref="X130" ca="1">IF(ISNA(G130),,OFFSET(INDIRECT("'"&amp;X$67&amp;"'!d1"),G130-1,))</f>
        <v>13</v>
      </c>
      <c r="Y130" cm="1">
        <f t="array" aca="1" ref="Y130" ca="1">IF(ISNA(H130),,OFFSET(INDIRECT("'"&amp;Y$67&amp;"'!d1"),H130-1,))</f>
        <v>0</v>
      </c>
      <c r="Z130" cm="1">
        <f t="array" aca="1" ref="Z130" ca="1">IF(ISNA(I130),,OFFSET(INDIRECT("'"&amp;Z$67&amp;"'!d1"),I130-1,))</f>
        <v>13</v>
      </c>
      <c r="AA130" cm="1">
        <f t="array" aca="1" ref="AA130" ca="1">IF(ISNA(J130),,OFFSET(INDIRECT("'"&amp;AA$67&amp;"'!d1"),J130-1,))</f>
        <v>13</v>
      </c>
      <c r="AB130" cm="1">
        <f t="array" aca="1" ref="AB130" ca="1">IF(ISNA(K130),,OFFSET(INDIRECT("'"&amp;AB$67&amp;"'!d1"),K130-1,))</f>
        <v>13</v>
      </c>
      <c r="AC130" cm="1">
        <f t="array" aca="1" ref="AC130" ca="1">IF(ISNA(L130),,OFFSET(INDIRECT("'"&amp;AC$67&amp;"'!d1"),L130-1,))</f>
        <v>13</v>
      </c>
      <c r="AD130" cm="1">
        <f t="array" aca="1" ref="AD130" ca="1">IF(ISNA(M130),,OFFSET(INDIRECT("'"&amp;AD$67&amp;"'!d1"),M130-1,))</f>
        <v>13</v>
      </c>
      <c r="AE130" cm="1">
        <f t="array" aca="1" ref="AE130" ca="1">IF(ISNA(N130),,OFFSET(INDIRECT("'"&amp;AE$67&amp;"'!d1"),N130-1,))</f>
        <v>0</v>
      </c>
      <c r="AF130" cm="1">
        <f t="array" aca="1" ref="AF130" ca="1">IF(ISNA(O130),,OFFSET(INDIRECT("'"&amp;AF$67&amp;"'!d1"),O130-1,))</f>
        <v>0</v>
      </c>
      <c r="AG130" cm="1">
        <f t="array" aca="1" ref="AG130" ca="1">IF(ISNA(P130),,OFFSET(INDIRECT("'"&amp;AG$67&amp;"'!d1"),P130-1,))</f>
        <v>0</v>
      </c>
      <c r="AM130">
        <f t="shared" ca="1" si="79"/>
        <v>1</v>
      </c>
      <c r="AN130">
        <f t="shared" ca="1" si="80"/>
        <v>1</v>
      </c>
      <c r="AO130">
        <f t="shared" ca="1" si="81"/>
        <v>0</v>
      </c>
      <c r="AP130">
        <f t="shared" ca="1" si="82"/>
        <v>0</v>
      </c>
      <c r="AQ130">
        <f t="shared" ca="1" si="83"/>
        <v>1</v>
      </c>
      <c r="AV130" t="b">
        <f t="shared" ca="1" si="84"/>
        <v>1</v>
      </c>
      <c r="AW130" t="b">
        <f t="shared" ca="1" si="85"/>
        <v>1</v>
      </c>
      <c r="AX130" t="str">
        <f t="shared" ca="1" si="86"/>
        <v/>
      </c>
      <c r="AY130" t="str">
        <f t="shared" ca="1" si="87"/>
        <v/>
      </c>
      <c r="AZ130" t="b">
        <f t="shared" ca="1" si="88"/>
        <v>1</v>
      </c>
      <c r="BD130">
        <f t="shared" ca="1" si="89"/>
        <v>1</v>
      </c>
      <c r="BE130">
        <f t="shared" ca="1" si="90"/>
        <v>1</v>
      </c>
      <c r="BF130">
        <f t="shared" ca="1" si="91"/>
        <v>1</v>
      </c>
      <c r="BG130">
        <f t="shared" ca="1" si="92"/>
        <v>0</v>
      </c>
      <c r="BH130">
        <f t="shared" ca="1" si="93"/>
        <v>1</v>
      </c>
      <c r="BI130">
        <f t="shared" ca="1" si="94"/>
        <v>1</v>
      </c>
      <c r="BJ130">
        <f t="shared" ca="1" si="95"/>
        <v>1</v>
      </c>
      <c r="BK130">
        <f t="shared" ca="1" si="96"/>
        <v>1</v>
      </c>
      <c r="BL130">
        <f t="shared" ca="1" si="97"/>
        <v>1</v>
      </c>
      <c r="BM130">
        <f t="shared" ca="1" si="98"/>
        <v>0</v>
      </c>
      <c r="BN130">
        <f t="shared" ca="1" si="99"/>
        <v>0</v>
      </c>
      <c r="BO130">
        <f t="shared" ca="1" si="100"/>
        <v>0</v>
      </c>
      <c r="BU130">
        <f t="shared" ca="1" si="101"/>
        <v>13</v>
      </c>
      <c r="BV130">
        <f t="shared" ca="1" si="102"/>
        <v>13</v>
      </c>
      <c r="BW130">
        <f t="shared" ca="1" si="103"/>
        <v>13</v>
      </c>
      <c r="BX130">
        <f t="shared" ca="1" si="104"/>
        <v>70</v>
      </c>
      <c r="BY130">
        <f t="shared" ca="1" si="105"/>
        <v>13</v>
      </c>
      <c r="BZ130">
        <f t="shared" ca="1" si="106"/>
        <v>13</v>
      </c>
      <c r="CA130">
        <f t="shared" ca="1" si="107"/>
        <v>13</v>
      </c>
      <c r="CB130">
        <f t="shared" ca="1" si="108"/>
        <v>13</v>
      </c>
      <c r="CC130">
        <f t="shared" ca="1" si="109"/>
        <v>13</v>
      </c>
      <c r="CD130">
        <f t="shared" ca="1" si="110"/>
        <v>70</v>
      </c>
      <c r="CE130">
        <f t="shared" ca="1" si="111"/>
        <v>70</v>
      </c>
      <c r="CF130">
        <f t="shared" ca="1" si="112"/>
        <v>70</v>
      </c>
      <c r="CL130">
        <f t="shared" ca="1" si="113"/>
        <v>1</v>
      </c>
      <c r="CM130">
        <f t="shared" ca="1" si="114"/>
        <v>1</v>
      </c>
      <c r="CN130">
        <f t="shared" ca="1" si="115"/>
        <v>1</v>
      </c>
      <c r="CO130">
        <f t="shared" ca="1" si="116"/>
        <v>0</v>
      </c>
      <c r="CP130">
        <f t="shared" ca="1" si="117"/>
        <v>1</v>
      </c>
      <c r="CQ130">
        <f t="shared" ca="1" si="118"/>
        <v>1</v>
      </c>
      <c r="CR130">
        <f t="shared" ca="1" si="119"/>
        <v>1</v>
      </c>
      <c r="CS130">
        <f t="shared" ca="1" si="120"/>
        <v>1</v>
      </c>
      <c r="CT130">
        <f t="shared" ca="1" si="121"/>
        <v>1</v>
      </c>
      <c r="CU130">
        <f t="shared" ca="1" si="122"/>
        <v>0</v>
      </c>
      <c r="CV130">
        <f t="shared" ca="1" si="123"/>
        <v>0</v>
      </c>
      <c r="CW130">
        <f t="shared" ca="1" si="124"/>
        <v>0</v>
      </c>
      <c r="DC130" cm="1">
        <f t="array" aca="1" ref="DC130" ca="1">IF(ISNA(E130),,OFFSET(INDIRECT("'"&amp;DT$67&amp;"'!f1"),E130-1,))*1</f>
        <v>3919.194732082</v>
      </c>
      <c r="DD130" cm="1">
        <f t="array" aca="1" ref="DD130" ca="1">IF(ISNA(F130),,OFFSET(INDIRECT("'"&amp;DU$67&amp;"'!f1"),F130-1,))*1</f>
        <v>22065.4265554579</v>
      </c>
      <c r="DE130" cm="1">
        <f t="array" aca="1" ref="DE130" ca="1">IF(ISNA(G130),,OFFSET(INDIRECT("'"&amp;DV$67&amp;"'!f1"),G130-1,))*1</f>
        <v>28800.151199841999</v>
      </c>
      <c r="DF130" cm="1">
        <f t="array" aca="1" ref="DF130" ca="1">IF(ISNA(H130),,OFFSET(INDIRECT("'"&amp;DW$67&amp;"'!f1"),H130-1,))*1</f>
        <v>28800.129130192101</v>
      </c>
      <c r="DG130" cm="1">
        <f t="array" aca="1" ref="DG130" ca="1">IF(ISNA(I130),,OFFSET(INDIRECT("'"&amp;DX$67&amp;"'!f1"),I130-1,))*1</f>
        <v>8.5915417002979597E-2</v>
      </c>
      <c r="DH130" cm="1">
        <f t="array" aca="1" ref="DH130" ca="1">IF(ISNA(J130),,OFFSET(INDIRECT("'"&amp;DY$67&amp;"'!f1"),J130-1,))*1</f>
        <v>0.14214133098721499</v>
      </c>
      <c r="DI130" cm="1">
        <f t="array" aca="1" ref="DI130" ca="1">IF(ISNA(K130),,OFFSET(INDIRECT("'"&amp;DZ$67&amp;"'!f1"),K130-1,))*1</f>
        <v>2.1339829200878699</v>
      </c>
      <c r="DJ130" cm="1">
        <f t="array" aca="1" ref="DJ130" ca="1">IF(ISNA(L130),,OFFSET(INDIRECT("'"&amp;EA$67&amp;"'!f1"),L130-1,))*1</f>
        <v>2.7627187967300402</v>
      </c>
      <c r="DK130" cm="1">
        <f t="array" aca="1" ref="DK130" ca="1">IF(ISNA(M130),,OFFSET(INDIRECT("'"&amp;EB$67&amp;"'!f1"),M130-1,))*1</f>
        <v>41.896211531013201</v>
      </c>
      <c r="DL130" cm="1">
        <f t="array" aca="1" ref="DL130" ca="1">IF(ISNA(N130),,OFFSET(INDIRECT("'"&amp;EC$67&amp;"'!f1"),N130-1,))*1</f>
        <v>1.11232530325651E-2</v>
      </c>
      <c r="DM130" cm="1">
        <f t="array" aca="1" ref="DM130" ca="1">IF(ISNA(O130),,OFFSET(INDIRECT("'"&amp;ED$67&amp;"'!f1"),O130-1,))*1</f>
        <v>1.1244174093008E-2</v>
      </c>
      <c r="DN130" cm="1">
        <f t="array" aca="1" ref="DN130" ca="1">IF(ISNA(P130),,OFFSET(INDIRECT("'"&amp;EE$67&amp;"'!f1"),P130-1,))*1</f>
        <v>1.7202991060912599E-2</v>
      </c>
      <c r="DT130">
        <f t="shared" ca="1" si="125"/>
        <v>1</v>
      </c>
      <c r="DU130">
        <f t="shared" ca="1" si="126"/>
        <v>1</v>
      </c>
      <c r="DV130">
        <f t="shared" ca="1" si="127"/>
        <v>1</v>
      </c>
      <c r="DW130">
        <f t="shared" ca="1" si="128"/>
        <v>0</v>
      </c>
      <c r="DX130">
        <f t="shared" ca="1" si="129"/>
        <v>1</v>
      </c>
      <c r="DY130">
        <f t="shared" ca="1" si="130"/>
        <v>1</v>
      </c>
      <c r="DZ130">
        <f t="shared" ca="1" si="131"/>
        <v>5023</v>
      </c>
      <c r="EA130">
        <f t="shared" ca="1" si="132"/>
        <v>8064</v>
      </c>
      <c r="EB130">
        <f t="shared" ca="1" si="133"/>
        <v>4013</v>
      </c>
      <c r="EC130">
        <f t="shared" ca="1" si="134"/>
        <v>0</v>
      </c>
      <c r="ED130">
        <f t="shared" ca="1" si="135"/>
        <v>0</v>
      </c>
      <c r="EE130">
        <f t="shared" ca="1" si="136"/>
        <v>0</v>
      </c>
      <c r="EK130" cm="1">
        <f t="array" aca="1" ref="EK130" ca="1">IF(ISNA(E130),0,OFFSET(INDIRECT("'"&amp;EK$67&amp;"'!g1"),E130-1,)*CL130)</f>
        <v>1</v>
      </c>
      <c r="EL130" cm="1">
        <f t="array" aca="1" ref="EL130" ca="1">IF(ISNA(F130),0,OFFSET(INDIRECT("'"&amp;EL$67&amp;"'!g1"),F130-1,)*CM130)</f>
        <v>1</v>
      </c>
      <c r="EM130" cm="1">
        <f t="array" aca="1" ref="EM130" ca="1">IF(ISNA(G130),0,OFFSET(INDIRECT("'"&amp;EM$67&amp;"'!g1"),G130-1,)*CN130)</f>
        <v>1</v>
      </c>
      <c r="EN130" cm="1">
        <f t="array" aca="1" ref="EN130" ca="1">IF(ISNA(H130),0,OFFSET(INDIRECT("'"&amp;EN$67&amp;"'!g1"),H130-1,)*CO130)</f>
        <v>0</v>
      </c>
      <c r="EO130" cm="1">
        <f t="array" aca="1" ref="EO130" ca="1">IF(ISNA(I130),0,OFFSET(INDIRECT("'"&amp;EO$67&amp;"'!g1"),I130-1,)*CP130)</f>
        <v>1</v>
      </c>
      <c r="EP130" cm="1">
        <f t="array" aca="1" ref="EP130" ca="1">IF(ISNA(J130),0,OFFSET(INDIRECT("'"&amp;EP$67&amp;"'!g1"),J130-1,)*CQ130)</f>
        <v>1</v>
      </c>
      <c r="EQ130" cm="1">
        <f t="array" aca="1" ref="EQ130" ca="1">IF(ISNA(K130),0,OFFSET(INDIRECT("'"&amp;EQ$67&amp;"'!g1"),K130-1,)*CR130)</f>
        <v>5023</v>
      </c>
      <c r="ER130" cm="1">
        <f t="array" aca="1" ref="ER130" ca="1">IF(ISNA(L130),0,OFFSET(INDIRECT("'"&amp;ER$67&amp;"'!g1"),L130-1,)*CS130)</f>
        <v>8064</v>
      </c>
      <c r="ES130" cm="1">
        <f t="array" aca="1" ref="ES130" ca="1">IF(ISNA(M130),0,OFFSET(INDIRECT("'"&amp;ES$67&amp;"'!g1"),M130-1,)*CT130)</f>
        <v>4013</v>
      </c>
      <c r="ET130" cm="1">
        <f t="array" aca="1" ref="ET130" ca="1">IF(ISNA(N130),0,OFFSET(INDIRECT("'"&amp;ET$67&amp;"'!g1"),N130-1,)*CU130)</f>
        <v>0</v>
      </c>
      <c r="EU130" cm="1">
        <f t="array" aca="1" ref="EU130" ca="1">IF(ISNA(O130),0,OFFSET(INDIRECT("'"&amp;EU$67&amp;"'!g1"),O130-1,)*CV130)</f>
        <v>0</v>
      </c>
      <c r="EV130" cm="1">
        <f t="array" aca="1" ref="EV130" ca="1">IF(ISNA(P130),0,OFFSET(INDIRECT("'"&amp;EV$67&amp;"'!g1"),P130-1,)*CW130)</f>
        <v>0</v>
      </c>
      <c r="FB130" s="10" cm="1">
        <f t="array" aca="1" ref="FB130" ca="1">IF(ISNA(E130),0,OFFSET(INDIRECT("'"&amp;EK$67&amp;"'!h1"),E130-1,))</f>
        <v>1</v>
      </c>
      <c r="FC130" s="10" cm="1">
        <f t="array" aca="1" ref="FC130" ca="1">IF(ISNA(F130),0,OFFSET(INDIRECT("'"&amp;EL$67&amp;"'!h1"),F130-1,))</f>
        <v>1</v>
      </c>
      <c r="FD130" s="10" cm="1">
        <f t="array" aca="1" ref="FD130" ca="1">IF(ISNA(G130),0,OFFSET(INDIRECT("'"&amp;EM$67&amp;"'!h1"),G130-1,))</f>
        <v>1</v>
      </c>
      <c r="FE130" s="10" cm="1">
        <f t="array" aca="1" ref="FE130" ca="1">IF(ISNA(H130),0,OFFSET(INDIRECT("'"&amp;EN$67&amp;"'!h1"),H130-1,))</f>
        <v>1</v>
      </c>
      <c r="FF130" s="10" cm="1">
        <f t="array" aca="1" ref="FF130" ca="1">IF(ISNA(I130),0,OFFSET(INDIRECT("'"&amp;EO$67&amp;"'!h1"),I130-1,))</f>
        <v>1</v>
      </c>
      <c r="FG130" s="10" cm="1">
        <f t="array" aca="1" ref="FG130" ca="1">IF(ISNA(J130),0,OFFSET(INDIRECT("'"&amp;EP$67&amp;"'!h1"),J130-1,))</f>
        <v>1</v>
      </c>
      <c r="FH130" s="10" cm="1">
        <f t="array" aca="1" ref="FH130" ca="1">IF(ISNA(K130),0,OFFSET(INDIRECT("'"&amp;EQ$67&amp;"'!h1"),K130-1,))</f>
        <v>10000</v>
      </c>
      <c r="FI130" s="10" cm="1">
        <f t="array" aca="1" ref="FI130" ca="1">IF(ISNA(L130),0,OFFSET(INDIRECT("'"&amp;ER$67&amp;"'!h1"),L130-1,))</f>
        <v>10000</v>
      </c>
      <c r="FJ130" s="10" cm="1">
        <f t="array" aca="1" ref="FJ130" ca="1">IF(ISNA(M130),0,OFFSET(INDIRECT("'"&amp;ES$67&amp;"'!h1"),M130-1,))</f>
        <v>10000</v>
      </c>
      <c r="FK130" s="10" cm="1">
        <f t="array" aca="1" ref="FK130" ca="1">IF(ISNA(N130),0,OFFSET(INDIRECT("'"&amp;ET$67&amp;"'!h1"),N130-1,))</f>
        <v>1</v>
      </c>
      <c r="FL130" s="10" cm="1">
        <f t="array" aca="1" ref="FL130" ca="1">IF(ISNA(O130),0,OFFSET(INDIRECT("'"&amp;EU$67&amp;"'!h1"),O130-1,))</f>
        <v>1</v>
      </c>
      <c r="FM130" s="10" cm="1">
        <f t="array" aca="1" ref="FM130" ca="1">IF(ISNA(P130),0,OFFSET(INDIRECT("'"&amp;EV$67&amp;"'!h1"),P130-1,))</f>
        <v>9</v>
      </c>
      <c r="FN130" s="10"/>
      <c r="FO130" s="10"/>
      <c r="FP130" s="10"/>
      <c r="FQ130" s="10"/>
      <c r="FS130">
        <f t="shared" ca="1" si="137"/>
        <v>70</v>
      </c>
      <c r="FT130">
        <f t="shared" ca="1" si="62"/>
        <v>2.1339829200878699</v>
      </c>
      <c r="FU130">
        <f t="shared" ca="1" si="63"/>
        <v>5023</v>
      </c>
      <c r="FV130">
        <f t="shared" ca="1" si="64"/>
        <v>10000</v>
      </c>
      <c r="FW130" s="4">
        <f t="shared" ca="1" si="138"/>
        <v>0.50229999999999997</v>
      </c>
      <c r="FX130" s="5">
        <f t="shared" ca="1" si="139"/>
        <v>4.2484230939435994E-4</v>
      </c>
      <c r="FZ130" s="13">
        <f t="shared" ca="1" si="140"/>
        <v>70</v>
      </c>
      <c r="GA130" s="23">
        <f t="shared" ca="1" si="141"/>
        <v>0</v>
      </c>
      <c r="GB130" s="23">
        <f t="shared" ca="1" si="142"/>
        <v>0</v>
      </c>
      <c r="GC130" s="23">
        <f t="shared" ca="1" si="143"/>
        <v>0</v>
      </c>
      <c r="GD130" s="23" t="e">
        <f t="shared" ca="1" si="144"/>
        <v>#N/A</v>
      </c>
      <c r="GE130" s="23">
        <f t="shared" ca="1" si="145"/>
        <v>0</v>
      </c>
      <c r="GF130" s="23">
        <f t="shared" ca="1" si="146"/>
        <v>0</v>
      </c>
      <c r="GG130" s="23">
        <f t="shared" ca="1" si="147"/>
        <v>0</v>
      </c>
      <c r="GH130" s="23">
        <f t="shared" ca="1" si="148"/>
        <v>0</v>
      </c>
      <c r="GI130" s="23">
        <f t="shared" ca="1" si="149"/>
        <v>0</v>
      </c>
      <c r="GJ130" s="23" t="e">
        <f t="shared" ca="1" si="150"/>
        <v>#N/A</v>
      </c>
      <c r="GK130" s="23" t="e">
        <f t="shared" ca="1" si="151"/>
        <v>#N/A</v>
      </c>
      <c r="GL130" s="23" t="e">
        <f t="shared" ca="1" si="152"/>
        <v>#N/A</v>
      </c>
      <c r="GM130" s="23"/>
      <c r="GN130">
        <f t="shared" ca="1" si="153"/>
        <v>70</v>
      </c>
      <c r="GO130" s="5">
        <f t="shared" ca="1" si="154"/>
        <v>3919.194732082</v>
      </c>
      <c r="GP130" s="5">
        <f t="shared" ca="1" si="155"/>
        <v>22065.4265554579</v>
      </c>
      <c r="GQ130" s="5" t="e">
        <f t="shared" ca="1" si="156"/>
        <v>#N/A</v>
      </c>
      <c r="GR130" s="5" t="e">
        <f t="shared" ca="1" si="157"/>
        <v>#N/A</v>
      </c>
      <c r="GS130" s="5">
        <f t="shared" ca="1" si="158"/>
        <v>8.5915417002979597E-2</v>
      </c>
      <c r="GT130" s="5">
        <f t="shared" ca="1" si="159"/>
        <v>0.14214133098721499</v>
      </c>
      <c r="GU130" s="5">
        <f t="shared" ca="1" si="160"/>
        <v>4.2484230939435994E-4</v>
      </c>
      <c r="GV130" s="5">
        <f t="shared" ca="1" si="161"/>
        <v>3.4259905713418157E-4</v>
      </c>
      <c r="GW130" s="5">
        <f t="shared" ca="1" si="162"/>
        <v>1.0440122484678096E-2</v>
      </c>
      <c r="GX130" s="5" t="e">
        <f t="shared" ca="1" si="163"/>
        <v>#N/A</v>
      </c>
      <c r="GY130" s="5" t="e">
        <f t="shared" ca="1" si="164"/>
        <v>#N/A</v>
      </c>
      <c r="GZ130" s="5" t="e">
        <f t="shared" ca="1" si="165"/>
        <v>#N/A</v>
      </c>
      <c r="HB130" s="13">
        <f t="shared" ca="1" si="166"/>
        <v>70</v>
      </c>
      <c r="HC130" s="4">
        <f t="shared" ca="1" si="167"/>
        <v>1</v>
      </c>
      <c r="HD130" s="4">
        <f t="shared" ca="1" si="168"/>
        <v>1</v>
      </c>
      <c r="HE130" s="4">
        <f t="shared" ca="1" si="169"/>
        <v>1</v>
      </c>
      <c r="HF130" s="4">
        <f t="shared" ca="1" si="170"/>
        <v>0</v>
      </c>
      <c r="HG130" s="4">
        <f t="shared" ca="1" si="171"/>
        <v>1</v>
      </c>
      <c r="HH130" s="4">
        <f t="shared" ca="1" si="172"/>
        <v>1</v>
      </c>
      <c r="HI130" s="4">
        <f t="shared" ca="1" si="173"/>
        <v>0.50229999999999997</v>
      </c>
      <c r="HJ130" s="4">
        <f t="shared" ca="1" si="174"/>
        <v>0.80640000000000001</v>
      </c>
      <c r="HK130" s="4">
        <f t="shared" ca="1" si="175"/>
        <v>0.40129999999999999</v>
      </c>
      <c r="HL130" s="4">
        <f t="shared" ca="1" si="176"/>
        <v>0</v>
      </c>
      <c r="HM130" s="4">
        <f t="shared" ca="1" si="177"/>
        <v>0</v>
      </c>
      <c r="HN130" s="4">
        <f t="shared" ca="1" si="178"/>
        <v>0</v>
      </c>
    </row>
    <row r="131" spans="1:222" x14ac:dyDescent="0.2">
      <c r="A131" t="str" cm="1">
        <f t="array" aca="1" ref="A131" ca="1">INDIRECT($A$67&amp;"!A"&amp;ROW(C64)+$B$64)</f>
        <v>[[71,12,29]]</v>
      </c>
      <c r="B131" cm="1">
        <f t="array" aca="1" ref="B131" ca="1">INDIRECT($A$67&amp;"!b"&amp;ROW(D64)+$B$64)</f>
        <v>71</v>
      </c>
      <c r="C131">
        <f t="shared" ca="1" si="78"/>
        <v>29</v>
      </c>
      <c r="E131">
        <f t="shared" ca="1" si="182"/>
        <v>88</v>
      </c>
      <c r="F131">
        <f t="shared" ca="1" si="182"/>
        <v>89</v>
      </c>
      <c r="G131">
        <f t="shared" ca="1" si="182"/>
        <v>88</v>
      </c>
      <c r="H131">
        <f t="shared" ca="1" si="182"/>
        <v>78</v>
      </c>
      <c r="I131">
        <f t="shared" ca="1" si="182"/>
        <v>91</v>
      </c>
      <c r="J131">
        <f t="shared" ca="1" si="182"/>
        <v>88</v>
      </c>
      <c r="K131">
        <f t="shared" ca="1" si="182"/>
        <v>95</v>
      </c>
      <c r="L131">
        <f t="shared" ca="1" si="182"/>
        <v>97</v>
      </c>
      <c r="M131">
        <f t="shared" ca="1" si="182"/>
        <v>94</v>
      </c>
      <c r="N131">
        <f t="shared" ca="1" si="182"/>
        <v>92</v>
      </c>
      <c r="O131">
        <f t="shared" ca="1" si="182"/>
        <v>92</v>
      </c>
      <c r="P131">
        <f t="shared" ca="1" si="182"/>
        <v>92</v>
      </c>
      <c r="V131" cm="1">
        <f t="array" aca="1" ref="V131" ca="1">IF(ISNA(E131),,OFFSET(INDIRECT("'"&amp;V$67&amp;"'!d1"),E131-1,))</f>
        <v>29</v>
      </c>
      <c r="W131" cm="1">
        <f t="array" aca="1" ref="W131" ca="1">IF(ISNA(F131),,OFFSET(INDIRECT("'"&amp;W$67&amp;"'!d1"),F131-1,))</f>
        <v>29</v>
      </c>
      <c r="X131" cm="1">
        <f t="array" aca="1" ref="X131" ca="1">IF(ISNA(G131),,OFFSET(INDIRECT("'"&amp;X$67&amp;"'!d1"),G131-1,))</f>
        <v>29</v>
      </c>
      <c r="Y131" cm="1">
        <f t="array" aca="1" ref="Y131" ca="1">IF(ISNA(H131),,OFFSET(INDIRECT("'"&amp;Y$67&amp;"'!d1"),H131-1,))</f>
        <v>29</v>
      </c>
      <c r="Z131" cm="1">
        <f t="array" aca="1" ref="Z131" ca="1">IF(ISNA(I131),,OFFSET(INDIRECT("'"&amp;Z$67&amp;"'!d1"),I131-1,))</f>
        <v>29</v>
      </c>
      <c r="AA131" cm="1">
        <f t="array" aca="1" ref="AA131" ca="1">IF(ISNA(J131),,OFFSET(INDIRECT("'"&amp;AA$67&amp;"'!d1"),J131-1,))</f>
        <v>29</v>
      </c>
      <c r="AB131" cm="1">
        <f t="array" aca="1" ref="AB131" ca="1">IF(ISNA(K131),,OFFSET(INDIRECT("'"&amp;AB$67&amp;"'!d1"),K131-1,))</f>
        <v>29</v>
      </c>
      <c r="AC131" cm="1">
        <f t="array" aca="1" ref="AC131" ca="1">IF(ISNA(L131),,OFFSET(INDIRECT("'"&amp;AC$67&amp;"'!d1"),L131-1,))</f>
        <v>29</v>
      </c>
      <c r="AD131" cm="1">
        <f t="array" aca="1" ref="AD131" ca="1">IF(ISNA(M131),,OFFSET(INDIRECT("'"&amp;AD$67&amp;"'!d1"),M131-1,))</f>
        <v>29</v>
      </c>
      <c r="AE131" cm="1">
        <f t="array" aca="1" ref="AE131" ca="1">IF(ISNA(N131),,OFFSET(INDIRECT("'"&amp;AE$67&amp;"'!d1"),N131-1,))</f>
        <v>0</v>
      </c>
      <c r="AF131" cm="1">
        <f t="array" aca="1" ref="AF131" ca="1">IF(ISNA(O131),,OFFSET(INDIRECT("'"&amp;AF$67&amp;"'!d1"),O131-1,))</f>
        <v>0</v>
      </c>
      <c r="AG131" cm="1">
        <f t="array" aca="1" ref="AG131" ca="1">IF(ISNA(P131),,OFFSET(INDIRECT("'"&amp;AG$67&amp;"'!d1"),P131-1,))</f>
        <v>0</v>
      </c>
      <c r="AM131">
        <f t="shared" ca="1" si="79"/>
        <v>1</v>
      </c>
      <c r="AN131">
        <f t="shared" ca="1" si="80"/>
        <v>1</v>
      </c>
      <c r="AO131">
        <f t="shared" ca="1" si="81"/>
        <v>1</v>
      </c>
      <c r="AP131">
        <f t="shared" ca="1" si="82"/>
        <v>1</v>
      </c>
      <c r="AQ131">
        <f t="shared" ca="1" si="83"/>
        <v>1</v>
      </c>
      <c r="AV131" t="b">
        <f t="shared" ca="1" si="84"/>
        <v>1</v>
      </c>
      <c r="AW131" t="b">
        <f t="shared" ca="1" si="85"/>
        <v>1</v>
      </c>
      <c r="AX131" t="b">
        <f t="shared" ca="1" si="86"/>
        <v>1</v>
      </c>
      <c r="AY131" t="b">
        <f t="shared" ca="1" si="87"/>
        <v>1</v>
      </c>
      <c r="AZ131" t="b">
        <f t="shared" ca="1" si="88"/>
        <v>1</v>
      </c>
      <c r="BD131">
        <f t="shared" ca="1" si="89"/>
        <v>1</v>
      </c>
      <c r="BE131">
        <f t="shared" ca="1" si="90"/>
        <v>1</v>
      </c>
      <c r="BF131">
        <f t="shared" ca="1" si="91"/>
        <v>1</v>
      </c>
      <c r="BG131">
        <f t="shared" ca="1" si="92"/>
        <v>1</v>
      </c>
      <c r="BH131">
        <f t="shared" ca="1" si="93"/>
        <v>1</v>
      </c>
      <c r="BI131">
        <f t="shared" ca="1" si="94"/>
        <v>1</v>
      </c>
      <c r="BJ131">
        <f t="shared" ca="1" si="95"/>
        <v>1</v>
      </c>
      <c r="BK131">
        <f t="shared" ca="1" si="96"/>
        <v>1</v>
      </c>
      <c r="BL131">
        <f t="shared" ca="1" si="97"/>
        <v>1</v>
      </c>
      <c r="BM131">
        <f t="shared" ca="1" si="98"/>
        <v>0</v>
      </c>
      <c r="BN131">
        <f t="shared" ca="1" si="99"/>
        <v>0</v>
      </c>
      <c r="BO131">
        <f t="shared" ca="1" si="100"/>
        <v>0</v>
      </c>
      <c r="BU131">
        <f t="shared" ca="1" si="101"/>
        <v>29</v>
      </c>
      <c r="BV131">
        <f t="shared" ca="1" si="102"/>
        <v>29</v>
      </c>
      <c r="BW131">
        <f t="shared" ca="1" si="103"/>
        <v>29</v>
      </c>
      <c r="BX131">
        <f t="shared" ca="1" si="104"/>
        <v>29</v>
      </c>
      <c r="BY131">
        <f t="shared" ca="1" si="105"/>
        <v>29</v>
      </c>
      <c r="BZ131">
        <f t="shared" ca="1" si="106"/>
        <v>29</v>
      </c>
      <c r="CA131">
        <f t="shared" ca="1" si="107"/>
        <v>29</v>
      </c>
      <c r="CB131">
        <f t="shared" ca="1" si="108"/>
        <v>29</v>
      </c>
      <c r="CC131">
        <f t="shared" ca="1" si="109"/>
        <v>29</v>
      </c>
      <c r="CD131">
        <f t="shared" ca="1" si="110"/>
        <v>71</v>
      </c>
      <c r="CE131">
        <f t="shared" ca="1" si="111"/>
        <v>71</v>
      </c>
      <c r="CF131">
        <f t="shared" ca="1" si="112"/>
        <v>71</v>
      </c>
      <c r="CL131">
        <f t="shared" ca="1" si="113"/>
        <v>1</v>
      </c>
      <c r="CM131">
        <f t="shared" ca="1" si="114"/>
        <v>1</v>
      </c>
      <c r="CN131">
        <f t="shared" ca="1" si="115"/>
        <v>1</v>
      </c>
      <c r="CO131">
        <f t="shared" ca="1" si="116"/>
        <v>1</v>
      </c>
      <c r="CP131">
        <f t="shared" ca="1" si="117"/>
        <v>1</v>
      </c>
      <c r="CQ131">
        <f t="shared" ca="1" si="118"/>
        <v>1</v>
      </c>
      <c r="CR131">
        <f t="shared" ca="1" si="119"/>
        <v>1</v>
      </c>
      <c r="CS131">
        <f t="shared" ca="1" si="120"/>
        <v>1</v>
      </c>
      <c r="CT131">
        <f t="shared" ca="1" si="121"/>
        <v>1</v>
      </c>
      <c r="CU131">
        <f t="shared" ca="1" si="122"/>
        <v>0</v>
      </c>
      <c r="CV131">
        <f t="shared" ca="1" si="123"/>
        <v>0</v>
      </c>
      <c r="CW131">
        <f t="shared" ca="1" si="124"/>
        <v>0</v>
      </c>
      <c r="DC131" cm="1">
        <f t="array" aca="1" ref="DC131" ca="1">IF(ISNA(E131),,OFFSET(INDIRECT("'"&amp;DT$67&amp;"'!f1"),E131-1,))*1</f>
        <v>5.0985279140004396</v>
      </c>
      <c r="DD131" cm="1">
        <f t="array" aca="1" ref="DD131" ca="1">IF(ISNA(F131),,OFFSET(INDIRECT("'"&amp;DU$67&amp;"'!f1"),F131-1,))*1</f>
        <v>15.5075021160009</v>
      </c>
      <c r="DE131" cm="1">
        <f t="array" aca="1" ref="DE131" ca="1">IF(ISNA(G131),,OFFSET(INDIRECT("'"&amp;DV$67&amp;"'!f1"),G131-1,))*1</f>
        <v>7.3110158280032902</v>
      </c>
      <c r="DF131" cm="1">
        <f t="array" aca="1" ref="DF131" ca="1">IF(ISNA(H131),,OFFSET(INDIRECT("'"&amp;DW$67&amp;"'!f1"),H131-1,))*1</f>
        <v>4620.8486473634803</v>
      </c>
      <c r="DG131" cm="1">
        <f t="array" aca="1" ref="DG131" ca="1">IF(ISNA(I131),,OFFSET(INDIRECT("'"&amp;DX$67&amp;"'!f1"),I131-1,))*1</f>
        <v>5.8065166995220303E-2</v>
      </c>
      <c r="DH131" cm="1">
        <f t="array" aca="1" ref="DH131" ca="1">IF(ISNA(J131),,OFFSET(INDIRECT("'"&amp;DY$67&amp;"'!f1"),J131-1,))*1</f>
        <v>0.21237687719985801</v>
      </c>
      <c r="DI131" cm="1">
        <f t="array" aca="1" ref="DI131" ca="1">IF(ISNA(K131),,OFFSET(INDIRECT("'"&amp;DZ$67&amp;"'!f1"),K131-1,))*1</f>
        <v>2.73673174995929</v>
      </c>
      <c r="DJ131" cm="1">
        <f t="array" aca="1" ref="DJ131" ca="1">IF(ISNA(L131),,OFFSET(INDIRECT("'"&amp;EA$67&amp;"'!f1"),L131-1,))*1</f>
        <v>3.4067022129893298</v>
      </c>
      <c r="DK131" cm="1">
        <f t="array" aca="1" ref="DK131" ca="1">IF(ISNA(M131),,OFFSET(INDIRECT("'"&amp;EB$67&amp;"'!f1"),M131-1,))*1</f>
        <v>29.227533990982899</v>
      </c>
      <c r="DL131" cm="1">
        <f t="array" aca="1" ref="DL131" ca="1">IF(ISNA(N131),,OFFSET(INDIRECT("'"&amp;EC$67&amp;"'!f1"),N131-1,))*1</f>
        <v>9.0318368747830304E-3</v>
      </c>
      <c r="DM131" cm="1">
        <f t="array" aca="1" ref="DM131" ca="1">IF(ISNA(O131),,OFFSET(INDIRECT("'"&amp;ED$67&amp;"'!f1"),O131-1,))*1</f>
        <v>8.9479312300681998E-3</v>
      </c>
      <c r="DN131" cm="1">
        <f t="array" aca="1" ref="DN131" ca="1">IF(ISNA(P131),,OFFSET(INDIRECT("'"&amp;EE$67&amp;"'!f1"),P131-1,))*1</f>
        <v>1.37551100924611E-2</v>
      </c>
      <c r="DT131">
        <f t="shared" ca="1" si="125"/>
        <v>1</v>
      </c>
      <c r="DU131">
        <f t="shared" ca="1" si="126"/>
        <v>1</v>
      </c>
      <c r="DV131">
        <f t="shared" ca="1" si="127"/>
        <v>1</v>
      </c>
      <c r="DW131">
        <f t="shared" ca="1" si="128"/>
        <v>1</v>
      </c>
      <c r="DX131">
        <f t="shared" ca="1" si="129"/>
        <v>1</v>
      </c>
      <c r="DY131">
        <f t="shared" ca="1" si="130"/>
        <v>1</v>
      </c>
      <c r="DZ131">
        <f t="shared" ca="1" si="131"/>
        <v>5508</v>
      </c>
      <c r="EA131">
        <f t="shared" ca="1" si="132"/>
        <v>8668</v>
      </c>
      <c r="EB131">
        <f t="shared" ca="1" si="133"/>
        <v>5101</v>
      </c>
      <c r="EC131">
        <f t="shared" ca="1" si="134"/>
        <v>0</v>
      </c>
      <c r="ED131">
        <f t="shared" ca="1" si="135"/>
        <v>0</v>
      </c>
      <c r="EE131">
        <f t="shared" ca="1" si="136"/>
        <v>0</v>
      </c>
      <c r="EK131" cm="1">
        <f t="array" aca="1" ref="EK131" ca="1">IF(ISNA(E131),0,OFFSET(INDIRECT("'"&amp;EK$67&amp;"'!g1"),E131-1,)*CL131)</f>
        <v>1</v>
      </c>
      <c r="EL131" cm="1">
        <f t="array" aca="1" ref="EL131" ca="1">IF(ISNA(F131),0,OFFSET(INDIRECT("'"&amp;EL$67&amp;"'!g1"),F131-1,)*CM131)</f>
        <v>1</v>
      </c>
      <c r="EM131" cm="1">
        <f t="array" aca="1" ref="EM131" ca="1">IF(ISNA(G131),0,OFFSET(INDIRECT("'"&amp;EM$67&amp;"'!g1"),G131-1,)*CN131)</f>
        <v>1</v>
      </c>
      <c r="EN131" cm="1">
        <f t="array" aca="1" ref="EN131" ca="1">IF(ISNA(H131),0,OFFSET(INDIRECT("'"&amp;EN$67&amp;"'!g1"),H131-1,)*CO131)</f>
        <v>1</v>
      </c>
      <c r="EO131" cm="1">
        <f t="array" aca="1" ref="EO131" ca="1">IF(ISNA(I131),0,OFFSET(INDIRECT("'"&amp;EO$67&amp;"'!g1"),I131-1,)*CP131)</f>
        <v>1</v>
      </c>
      <c r="EP131" cm="1">
        <f t="array" aca="1" ref="EP131" ca="1">IF(ISNA(J131),0,OFFSET(INDIRECT("'"&amp;EP$67&amp;"'!g1"),J131-1,)*CQ131)</f>
        <v>1</v>
      </c>
      <c r="EQ131" cm="1">
        <f t="array" aca="1" ref="EQ131" ca="1">IF(ISNA(K131),0,OFFSET(INDIRECT("'"&amp;EQ$67&amp;"'!g1"),K131-1,)*CR131)</f>
        <v>5508</v>
      </c>
      <c r="ER131" cm="1">
        <f t="array" aca="1" ref="ER131" ca="1">IF(ISNA(L131),0,OFFSET(INDIRECT("'"&amp;ER$67&amp;"'!g1"),L131-1,)*CS131)</f>
        <v>8668</v>
      </c>
      <c r="ES131" cm="1">
        <f t="array" aca="1" ref="ES131" ca="1">IF(ISNA(M131),0,OFFSET(INDIRECT("'"&amp;ES$67&amp;"'!g1"),M131-1,)*CT131)</f>
        <v>5101</v>
      </c>
      <c r="ET131" cm="1">
        <f t="array" aca="1" ref="ET131" ca="1">IF(ISNA(N131),0,OFFSET(INDIRECT("'"&amp;ET$67&amp;"'!g1"),N131-1,)*CU131)</f>
        <v>0</v>
      </c>
      <c r="EU131" cm="1">
        <f t="array" aca="1" ref="EU131" ca="1">IF(ISNA(O131),0,OFFSET(INDIRECT("'"&amp;EU$67&amp;"'!g1"),O131-1,)*CV131)</f>
        <v>0</v>
      </c>
      <c r="EV131" cm="1">
        <f t="array" aca="1" ref="EV131" ca="1">IF(ISNA(P131),0,OFFSET(INDIRECT("'"&amp;EV$67&amp;"'!g1"),P131-1,)*CW131)</f>
        <v>0</v>
      </c>
      <c r="FB131" s="10" cm="1">
        <f t="array" aca="1" ref="FB131" ca="1">IF(ISNA(E131),0,OFFSET(INDIRECT("'"&amp;EK$67&amp;"'!h1"),E131-1,))</f>
        <v>1</v>
      </c>
      <c r="FC131" s="10" cm="1">
        <f t="array" aca="1" ref="FC131" ca="1">IF(ISNA(F131),0,OFFSET(INDIRECT("'"&amp;EL$67&amp;"'!h1"),F131-1,))</f>
        <v>1</v>
      </c>
      <c r="FD131" s="10" cm="1">
        <f t="array" aca="1" ref="FD131" ca="1">IF(ISNA(G131),0,OFFSET(INDIRECT("'"&amp;EM$67&amp;"'!h1"),G131-1,))</f>
        <v>1</v>
      </c>
      <c r="FE131" s="10" cm="1">
        <f t="array" aca="1" ref="FE131" ca="1">IF(ISNA(H131),0,OFFSET(INDIRECT("'"&amp;EN$67&amp;"'!h1"),H131-1,))</f>
        <v>1</v>
      </c>
      <c r="FF131" s="10" cm="1">
        <f t="array" aca="1" ref="FF131" ca="1">IF(ISNA(I131),0,OFFSET(INDIRECT("'"&amp;EO$67&amp;"'!h1"),I131-1,))</f>
        <v>1</v>
      </c>
      <c r="FG131" s="10" cm="1">
        <f t="array" aca="1" ref="FG131" ca="1">IF(ISNA(J131),0,OFFSET(INDIRECT("'"&amp;EP$67&amp;"'!h1"),J131-1,))</f>
        <v>1</v>
      </c>
      <c r="FH131" s="10" cm="1">
        <f t="array" aca="1" ref="FH131" ca="1">IF(ISNA(K131),0,OFFSET(INDIRECT("'"&amp;EQ$67&amp;"'!h1"),K131-1,))</f>
        <v>10000</v>
      </c>
      <c r="FI131" s="10" cm="1">
        <f t="array" aca="1" ref="FI131" ca="1">IF(ISNA(L131),0,OFFSET(INDIRECT("'"&amp;ER$67&amp;"'!h1"),L131-1,))</f>
        <v>10000</v>
      </c>
      <c r="FJ131" s="10" cm="1">
        <f t="array" aca="1" ref="FJ131" ca="1">IF(ISNA(M131),0,OFFSET(INDIRECT("'"&amp;ES$67&amp;"'!h1"),M131-1,))</f>
        <v>10000</v>
      </c>
      <c r="FK131" s="10" cm="1">
        <f t="array" aca="1" ref="FK131" ca="1">IF(ISNA(N131),0,OFFSET(INDIRECT("'"&amp;ET$67&amp;"'!h1"),N131-1,))</f>
        <v>1</v>
      </c>
      <c r="FL131" s="10" cm="1">
        <f t="array" aca="1" ref="FL131" ca="1">IF(ISNA(O131),0,OFFSET(INDIRECT("'"&amp;EU$67&amp;"'!h1"),O131-1,))</f>
        <v>1</v>
      </c>
      <c r="FM131" s="10" cm="1">
        <f t="array" aca="1" ref="FM131" ca="1">IF(ISNA(P131),0,OFFSET(INDIRECT("'"&amp;EV$67&amp;"'!h1"),P131-1,))</f>
        <v>9</v>
      </c>
      <c r="FN131" s="10"/>
      <c r="FO131" s="10"/>
      <c r="FP131" s="10"/>
      <c r="FQ131" s="10"/>
      <c r="FS131">
        <f t="shared" ca="1" si="137"/>
        <v>71</v>
      </c>
      <c r="FT131">
        <f t="shared" ca="1" si="62"/>
        <v>2.73673174995929</v>
      </c>
      <c r="FU131">
        <f t="shared" ca="1" si="63"/>
        <v>5508</v>
      </c>
      <c r="FV131">
        <f t="shared" ca="1" si="64"/>
        <v>10000</v>
      </c>
      <c r="FW131" s="4">
        <f t="shared" ca="1" si="138"/>
        <v>0.55079999999999996</v>
      </c>
      <c r="FX131" s="5">
        <f t="shared" ca="1" si="139"/>
        <v>4.9686487835135982E-4</v>
      </c>
      <c r="FZ131" s="13">
        <f t="shared" ca="1" si="140"/>
        <v>71</v>
      </c>
      <c r="GA131" s="23">
        <f t="shared" ca="1" si="141"/>
        <v>0</v>
      </c>
      <c r="GB131" s="23">
        <f t="shared" ca="1" si="142"/>
        <v>0</v>
      </c>
      <c r="GC131" s="23">
        <f t="shared" ca="1" si="143"/>
        <v>0</v>
      </c>
      <c r="GD131" s="23">
        <f t="shared" ca="1" si="144"/>
        <v>0</v>
      </c>
      <c r="GE131" s="23">
        <f t="shared" ca="1" si="145"/>
        <v>0</v>
      </c>
      <c r="GF131" s="23">
        <f t="shared" ca="1" si="146"/>
        <v>0</v>
      </c>
      <c r="GG131" s="23">
        <f t="shared" ca="1" si="147"/>
        <v>0</v>
      </c>
      <c r="GH131" s="23">
        <f t="shared" ca="1" si="148"/>
        <v>0</v>
      </c>
      <c r="GI131" s="23">
        <f t="shared" ca="1" si="149"/>
        <v>0</v>
      </c>
      <c r="GJ131" s="23" t="e">
        <f t="shared" ca="1" si="150"/>
        <v>#N/A</v>
      </c>
      <c r="GK131" s="23" t="e">
        <f t="shared" ca="1" si="151"/>
        <v>#N/A</v>
      </c>
      <c r="GL131" s="23" t="e">
        <f t="shared" ca="1" si="152"/>
        <v>#N/A</v>
      </c>
      <c r="GM131" s="23"/>
      <c r="GN131">
        <f t="shared" ca="1" si="153"/>
        <v>71</v>
      </c>
      <c r="GO131" s="5">
        <f t="shared" ca="1" si="154"/>
        <v>5.0985279140004396</v>
      </c>
      <c r="GP131" s="5">
        <f t="shared" ca="1" si="155"/>
        <v>15.5075021160009</v>
      </c>
      <c r="GQ131" s="5">
        <f t="shared" ca="1" si="156"/>
        <v>7.3110158280032902</v>
      </c>
      <c r="GR131" s="5">
        <f t="shared" ca="1" si="157"/>
        <v>4620.8486473634803</v>
      </c>
      <c r="GS131" s="5">
        <f t="shared" ca="1" si="158"/>
        <v>5.8065166995220303E-2</v>
      </c>
      <c r="GT131" s="5">
        <f t="shared" ca="1" si="159"/>
        <v>0.21237687719985801</v>
      </c>
      <c r="GU131" s="5">
        <f t="shared" ca="1" si="160"/>
        <v>4.9686487835135982E-4</v>
      </c>
      <c r="GV131" s="5">
        <f t="shared" ca="1" si="161"/>
        <v>3.9302055987417279E-4</v>
      </c>
      <c r="GW131" s="5">
        <f t="shared" ca="1" si="162"/>
        <v>5.7297655344016657E-3</v>
      </c>
      <c r="GX131" s="5" t="e">
        <f t="shared" ca="1" si="163"/>
        <v>#N/A</v>
      </c>
      <c r="GY131" s="5" t="e">
        <f t="shared" ca="1" si="164"/>
        <v>#N/A</v>
      </c>
      <c r="GZ131" s="5" t="e">
        <f t="shared" ca="1" si="165"/>
        <v>#N/A</v>
      </c>
      <c r="HB131" s="13">
        <f t="shared" ca="1" si="166"/>
        <v>71</v>
      </c>
      <c r="HC131" s="4">
        <f t="shared" ca="1" si="167"/>
        <v>1</v>
      </c>
      <c r="HD131" s="4">
        <f t="shared" ca="1" si="168"/>
        <v>1</v>
      </c>
      <c r="HE131" s="4">
        <f t="shared" ca="1" si="169"/>
        <v>1</v>
      </c>
      <c r="HF131" s="4">
        <f t="shared" ca="1" si="170"/>
        <v>1</v>
      </c>
      <c r="HG131" s="4">
        <f t="shared" ca="1" si="171"/>
        <v>1</v>
      </c>
      <c r="HH131" s="4">
        <f t="shared" ca="1" si="172"/>
        <v>1</v>
      </c>
      <c r="HI131" s="4">
        <f t="shared" ca="1" si="173"/>
        <v>0.55079999999999996</v>
      </c>
      <c r="HJ131" s="4">
        <f t="shared" ca="1" si="174"/>
        <v>0.86680000000000001</v>
      </c>
      <c r="HK131" s="4">
        <f t="shared" ca="1" si="175"/>
        <v>0.5101</v>
      </c>
      <c r="HL131" s="4">
        <f t="shared" ca="1" si="176"/>
        <v>0</v>
      </c>
      <c r="HM131" s="4">
        <f t="shared" ca="1" si="177"/>
        <v>0</v>
      </c>
      <c r="HN131" s="4">
        <f t="shared" ca="1" si="178"/>
        <v>0</v>
      </c>
    </row>
    <row r="132" spans="1:222" x14ac:dyDescent="0.2">
      <c r="A132" t="str" cm="1">
        <f t="array" aca="1" ref="A132" ca="1">INDIRECT($A$67&amp;"!A"&amp;ROW(C65)+$B$64)</f>
        <v>[[72,37,13]]</v>
      </c>
      <c r="B132" cm="1">
        <f t="array" aca="1" ref="B132" ca="1">INDIRECT($A$67&amp;"!b"&amp;ROW(D65)+$B$64)</f>
        <v>72</v>
      </c>
      <c r="C132">
        <f t="shared" ca="1" si="78"/>
        <v>13</v>
      </c>
      <c r="E132">
        <f t="shared" ca="1" si="182"/>
        <v>89</v>
      </c>
      <c r="F132">
        <f t="shared" ca="1" si="182"/>
        <v>90</v>
      </c>
      <c r="G132">
        <f t="shared" ca="1" si="182"/>
        <v>89</v>
      </c>
      <c r="H132">
        <f t="shared" ca="1" si="182"/>
        <v>85</v>
      </c>
      <c r="I132">
        <f t="shared" ca="1" si="182"/>
        <v>92</v>
      </c>
      <c r="J132">
        <f t="shared" ca="1" si="182"/>
        <v>89</v>
      </c>
      <c r="K132">
        <f t="shared" ca="1" si="182"/>
        <v>96</v>
      </c>
      <c r="L132">
        <f t="shared" ca="1" si="182"/>
        <v>98</v>
      </c>
      <c r="M132">
        <f t="shared" ca="1" si="182"/>
        <v>95</v>
      </c>
      <c r="N132">
        <f t="shared" ca="1" si="182"/>
        <v>93</v>
      </c>
      <c r="O132">
        <f t="shared" ca="1" si="182"/>
        <v>93</v>
      </c>
      <c r="P132">
        <f t="shared" ca="1" si="182"/>
        <v>93</v>
      </c>
      <c r="V132" cm="1">
        <f t="array" aca="1" ref="V132" ca="1">IF(ISNA(E132),,OFFSET(INDIRECT("'"&amp;V$67&amp;"'!d1"),E132-1,))</f>
        <v>13</v>
      </c>
      <c r="W132" cm="1">
        <f t="array" aca="1" ref="W132" ca="1">IF(ISNA(F132),,OFFSET(INDIRECT("'"&amp;W$67&amp;"'!d1"),F132-1,))</f>
        <v>13</v>
      </c>
      <c r="X132" cm="1">
        <f t="array" aca="1" ref="X132" ca="1">IF(ISNA(G132),,OFFSET(INDIRECT("'"&amp;X$67&amp;"'!d1"),G132-1,))</f>
        <v>13</v>
      </c>
      <c r="Y132" cm="1">
        <f t="array" aca="1" ref="Y132" ca="1">IF(ISNA(H132),,OFFSET(INDIRECT("'"&amp;Y$67&amp;"'!d1"),H132-1,))</f>
        <v>0</v>
      </c>
      <c r="Z132" cm="1">
        <f t="array" aca="1" ref="Z132" ca="1">IF(ISNA(I132),,OFFSET(INDIRECT("'"&amp;Z$67&amp;"'!d1"),I132-1,))</f>
        <v>13</v>
      </c>
      <c r="AA132" cm="1">
        <f t="array" aca="1" ref="AA132" ca="1">IF(ISNA(J132),,OFFSET(INDIRECT("'"&amp;AA$67&amp;"'!d1"),J132-1,))</f>
        <v>13</v>
      </c>
      <c r="AB132" cm="1">
        <f t="array" aca="1" ref="AB132" ca="1">IF(ISNA(K132),,OFFSET(INDIRECT("'"&amp;AB$67&amp;"'!d1"),K132-1,))</f>
        <v>13</v>
      </c>
      <c r="AC132" cm="1">
        <f t="array" aca="1" ref="AC132" ca="1">IF(ISNA(L132),,OFFSET(INDIRECT("'"&amp;AC$67&amp;"'!d1"),L132-1,))</f>
        <v>13</v>
      </c>
      <c r="AD132" cm="1">
        <f t="array" aca="1" ref="AD132" ca="1">IF(ISNA(M132),,OFFSET(INDIRECT("'"&amp;AD$67&amp;"'!d1"),M132-1,))</f>
        <v>13</v>
      </c>
      <c r="AE132" cm="1">
        <f t="array" aca="1" ref="AE132" ca="1">IF(ISNA(N132),,OFFSET(INDIRECT("'"&amp;AE$67&amp;"'!d1"),N132-1,))</f>
        <v>0</v>
      </c>
      <c r="AF132" cm="1">
        <f t="array" aca="1" ref="AF132" ca="1">IF(ISNA(O132),,OFFSET(INDIRECT("'"&amp;AF$67&amp;"'!d1"),O132-1,))</f>
        <v>0</v>
      </c>
      <c r="AG132" cm="1">
        <f t="array" aca="1" ref="AG132" ca="1">IF(ISNA(P132),,OFFSET(INDIRECT("'"&amp;AG$67&amp;"'!d1"),P132-1,))</f>
        <v>0</v>
      </c>
      <c r="AM132">
        <f t="shared" ca="1" si="79"/>
        <v>1</v>
      </c>
      <c r="AN132">
        <f t="shared" ca="1" si="80"/>
        <v>0</v>
      </c>
      <c r="AO132">
        <f t="shared" ca="1" si="81"/>
        <v>0</v>
      </c>
      <c r="AP132">
        <f t="shared" ca="1" si="82"/>
        <v>0</v>
      </c>
      <c r="AQ132">
        <f t="shared" ca="1" si="83"/>
        <v>1</v>
      </c>
      <c r="AV132" t="b">
        <f t="shared" ca="1" si="84"/>
        <v>1</v>
      </c>
      <c r="AW132" t="str">
        <f t="shared" ca="1" si="85"/>
        <v/>
      </c>
      <c r="AX132" t="str">
        <f t="shared" ca="1" si="86"/>
        <v/>
      </c>
      <c r="AY132" t="str">
        <f t="shared" ca="1" si="87"/>
        <v/>
      </c>
      <c r="AZ132" t="b">
        <f t="shared" ca="1" si="88"/>
        <v>1</v>
      </c>
      <c r="BD132">
        <f t="shared" ca="1" si="89"/>
        <v>1</v>
      </c>
      <c r="BE132">
        <f t="shared" ca="1" si="90"/>
        <v>1</v>
      </c>
      <c r="BF132">
        <f t="shared" ca="1" si="91"/>
        <v>1</v>
      </c>
      <c r="BG132">
        <f t="shared" ca="1" si="92"/>
        <v>0</v>
      </c>
      <c r="BH132">
        <f t="shared" ca="1" si="93"/>
        <v>1</v>
      </c>
      <c r="BI132">
        <f t="shared" ca="1" si="94"/>
        <v>1</v>
      </c>
      <c r="BJ132">
        <f t="shared" ca="1" si="95"/>
        <v>1</v>
      </c>
      <c r="BK132">
        <f t="shared" ca="1" si="96"/>
        <v>1</v>
      </c>
      <c r="BL132">
        <f t="shared" ca="1" si="97"/>
        <v>1</v>
      </c>
      <c r="BM132">
        <f t="shared" ca="1" si="98"/>
        <v>0</v>
      </c>
      <c r="BN132">
        <f t="shared" ca="1" si="99"/>
        <v>0</v>
      </c>
      <c r="BO132">
        <f t="shared" ca="1" si="100"/>
        <v>0</v>
      </c>
      <c r="BU132">
        <f t="shared" ca="1" si="101"/>
        <v>13</v>
      </c>
      <c r="BV132">
        <f t="shared" ca="1" si="102"/>
        <v>13</v>
      </c>
      <c r="BW132">
        <f t="shared" ca="1" si="103"/>
        <v>13</v>
      </c>
      <c r="BX132">
        <f t="shared" ca="1" si="104"/>
        <v>72</v>
      </c>
      <c r="BY132">
        <f t="shared" ca="1" si="105"/>
        <v>13</v>
      </c>
      <c r="BZ132">
        <f t="shared" ca="1" si="106"/>
        <v>13</v>
      </c>
      <c r="CA132">
        <f t="shared" ca="1" si="107"/>
        <v>13</v>
      </c>
      <c r="CB132">
        <f t="shared" ca="1" si="108"/>
        <v>13</v>
      </c>
      <c r="CC132">
        <f t="shared" ca="1" si="109"/>
        <v>13</v>
      </c>
      <c r="CD132">
        <f t="shared" ca="1" si="110"/>
        <v>72</v>
      </c>
      <c r="CE132">
        <f t="shared" ca="1" si="111"/>
        <v>72</v>
      </c>
      <c r="CF132">
        <f t="shared" ca="1" si="112"/>
        <v>72</v>
      </c>
      <c r="CL132">
        <f t="shared" ca="1" si="113"/>
        <v>1</v>
      </c>
      <c r="CM132">
        <f t="shared" ca="1" si="114"/>
        <v>1</v>
      </c>
      <c r="CN132">
        <f t="shared" ca="1" si="115"/>
        <v>1</v>
      </c>
      <c r="CO132">
        <f t="shared" ca="1" si="116"/>
        <v>0</v>
      </c>
      <c r="CP132">
        <f t="shared" ca="1" si="117"/>
        <v>1</v>
      </c>
      <c r="CQ132">
        <f t="shared" ca="1" si="118"/>
        <v>1</v>
      </c>
      <c r="CR132">
        <f t="shared" ca="1" si="119"/>
        <v>1</v>
      </c>
      <c r="CS132">
        <f t="shared" ca="1" si="120"/>
        <v>1</v>
      </c>
      <c r="CT132">
        <f t="shared" ca="1" si="121"/>
        <v>1</v>
      </c>
      <c r="CU132">
        <f t="shared" ca="1" si="122"/>
        <v>0</v>
      </c>
      <c r="CV132">
        <f t="shared" ca="1" si="123"/>
        <v>0</v>
      </c>
      <c r="CW132">
        <f t="shared" ca="1" si="124"/>
        <v>0</v>
      </c>
      <c r="DC132" cm="1">
        <f t="array" aca="1" ref="DC132" ca="1">IF(ISNA(E132),,OFFSET(INDIRECT("'"&amp;DT$67&amp;"'!f1"),E132-1,))*1</f>
        <v>8271.1062536459995</v>
      </c>
      <c r="DD132" cm="1">
        <f t="array" aca="1" ref="DD132" ca="1">IF(ISNA(F132),,OFFSET(INDIRECT("'"&amp;DU$67&amp;"'!f1"),F132-1,))*1</f>
        <v>28826.069682504</v>
      </c>
      <c r="DE132" cm="1">
        <f t="array" aca="1" ref="DE132" ca="1">IF(ISNA(G132),,OFFSET(INDIRECT("'"&amp;DV$67&amp;"'!f1"),G132-1,))*1</f>
        <v>28800.111967260898</v>
      </c>
      <c r="DF132" cm="1">
        <f t="array" aca="1" ref="DF132" ca="1">IF(ISNA(H132),,OFFSET(INDIRECT("'"&amp;DW$67&amp;"'!f1"),H132-1,))*1</f>
        <v>28801.6247002407</v>
      </c>
      <c r="DG132" cm="1">
        <f t="array" aca="1" ref="DG132" ca="1">IF(ISNA(I132),,OFFSET(INDIRECT("'"&amp;DX$67&amp;"'!f1"),I132-1,))*1</f>
        <v>9.0562249999493305E-2</v>
      </c>
      <c r="DH132" cm="1">
        <f t="array" aca="1" ref="DH132" ca="1">IF(ISNA(J132),,OFFSET(INDIRECT("'"&amp;DY$67&amp;"'!f1"),J132-1,))*1</f>
        <v>0.14958579512313</v>
      </c>
      <c r="DI132" cm="1">
        <f t="array" aca="1" ref="DI132" ca="1">IF(ISNA(K132),,OFFSET(INDIRECT("'"&amp;DZ$67&amp;"'!f1"),K132-1,))*1</f>
        <v>2.1284595979377601</v>
      </c>
      <c r="DJ132" cm="1">
        <f t="array" aca="1" ref="DJ132" ca="1">IF(ISNA(L132),,OFFSET(INDIRECT("'"&amp;EA$67&amp;"'!f1"),L132-1,))*1</f>
        <v>2.8049633232876601</v>
      </c>
      <c r="DK132" cm="1">
        <f t="array" aca="1" ref="DK132" ca="1">IF(ISNA(M132),,OFFSET(INDIRECT("'"&amp;EB$67&amp;"'!f1"),M132-1,))*1</f>
        <v>52.794432276859801</v>
      </c>
      <c r="DL132" cm="1">
        <f t="array" aca="1" ref="DL132" ca="1">IF(ISNA(N132),,OFFSET(INDIRECT("'"&amp;EC$67&amp;"'!f1"),N132-1,))*1</f>
        <v>1.1510498821735301E-2</v>
      </c>
      <c r="DM132" cm="1">
        <f t="array" aca="1" ref="DM132" ca="1">IF(ISNA(O132),,OFFSET(INDIRECT("'"&amp;ED$67&amp;"'!f1"),O132-1,))*1</f>
        <v>1.18528380990028E-2</v>
      </c>
      <c r="DN132" cm="1">
        <f t="array" aca="1" ref="DN132" ca="1">IF(ISNA(P132),,OFFSET(INDIRECT("'"&amp;EE$67&amp;"'!f1"),P132-1,))*1</f>
        <v>1.8434856086969299E-2</v>
      </c>
      <c r="DT132">
        <f t="shared" ca="1" si="125"/>
        <v>1</v>
      </c>
      <c r="DU132">
        <f t="shared" ca="1" si="126"/>
        <v>1</v>
      </c>
      <c r="DV132">
        <f t="shared" ca="1" si="127"/>
        <v>1</v>
      </c>
      <c r="DW132">
        <f t="shared" ca="1" si="128"/>
        <v>0</v>
      </c>
      <c r="DX132">
        <f t="shared" ca="1" si="129"/>
        <v>1</v>
      </c>
      <c r="DY132">
        <f t="shared" ca="1" si="130"/>
        <v>1</v>
      </c>
      <c r="DZ132">
        <f t="shared" ca="1" si="131"/>
        <v>5606</v>
      </c>
      <c r="EA132">
        <f t="shared" ca="1" si="132"/>
        <v>9067</v>
      </c>
      <c r="EB132">
        <f t="shared" ca="1" si="133"/>
        <v>4303</v>
      </c>
      <c r="EC132">
        <f t="shared" ca="1" si="134"/>
        <v>0</v>
      </c>
      <c r="ED132">
        <f t="shared" ca="1" si="135"/>
        <v>0</v>
      </c>
      <c r="EE132">
        <f t="shared" ca="1" si="136"/>
        <v>0</v>
      </c>
      <c r="EK132" cm="1">
        <f t="array" aca="1" ref="EK132" ca="1">IF(ISNA(E132),0,OFFSET(INDIRECT("'"&amp;EK$67&amp;"'!g1"),E132-1,)*CL132)</f>
        <v>1</v>
      </c>
      <c r="EL132" cm="1">
        <f t="array" aca="1" ref="EL132" ca="1">IF(ISNA(F132),0,OFFSET(INDIRECT("'"&amp;EL$67&amp;"'!g1"),F132-1,)*CM132)</f>
        <v>1</v>
      </c>
      <c r="EM132" cm="1">
        <f t="array" aca="1" ref="EM132" ca="1">IF(ISNA(G132),0,OFFSET(INDIRECT("'"&amp;EM$67&amp;"'!g1"),G132-1,)*CN132)</f>
        <v>1</v>
      </c>
      <c r="EN132" cm="1">
        <f t="array" aca="1" ref="EN132" ca="1">IF(ISNA(H132),0,OFFSET(INDIRECT("'"&amp;EN$67&amp;"'!g1"),H132-1,)*CO132)</f>
        <v>0</v>
      </c>
      <c r="EO132" cm="1">
        <f t="array" aca="1" ref="EO132" ca="1">IF(ISNA(I132),0,OFFSET(INDIRECT("'"&amp;EO$67&amp;"'!g1"),I132-1,)*CP132)</f>
        <v>1</v>
      </c>
      <c r="EP132" cm="1">
        <f t="array" aca="1" ref="EP132" ca="1">IF(ISNA(J132),0,OFFSET(INDIRECT("'"&amp;EP$67&amp;"'!g1"),J132-1,)*CQ132)</f>
        <v>1</v>
      </c>
      <c r="EQ132" cm="1">
        <f t="array" aca="1" ref="EQ132" ca="1">IF(ISNA(K132),0,OFFSET(INDIRECT("'"&amp;EQ$67&amp;"'!g1"),K132-1,)*CR132)</f>
        <v>5606</v>
      </c>
      <c r="ER132" cm="1">
        <f t="array" aca="1" ref="ER132" ca="1">IF(ISNA(L132),0,OFFSET(INDIRECT("'"&amp;ER$67&amp;"'!g1"),L132-1,)*CS132)</f>
        <v>9067</v>
      </c>
      <c r="ES132" cm="1">
        <f t="array" aca="1" ref="ES132" ca="1">IF(ISNA(M132),0,OFFSET(INDIRECT("'"&amp;ES$67&amp;"'!g1"),M132-1,)*CT132)</f>
        <v>4303</v>
      </c>
      <c r="ET132" cm="1">
        <f t="array" aca="1" ref="ET132" ca="1">IF(ISNA(N132),0,OFFSET(INDIRECT("'"&amp;ET$67&amp;"'!g1"),N132-1,)*CU132)</f>
        <v>0</v>
      </c>
      <c r="EU132" cm="1">
        <f t="array" aca="1" ref="EU132" ca="1">IF(ISNA(O132),0,OFFSET(INDIRECT("'"&amp;EU$67&amp;"'!g1"),O132-1,)*CV132)</f>
        <v>0</v>
      </c>
      <c r="EV132" cm="1">
        <f t="array" aca="1" ref="EV132" ca="1">IF(ISNA(P132),0,OFFSET(INDIRECT("'"&amp;EV$67&amp;"'!g1"),P132-1,)*CW132)</f>
        <v>0</v>
      </c>
      <c r="FB132" s="10" cm="1">
        <f t="array" aca="1" ref="FB132" ca="1">IF(ISNA(E132),0,OFFSET(INDIRECT("'"&amp;EK$67&amp;"'!h1"),E132-1,))</f>
        <v>1</v>
      </c>
      <c r="FC132" s="10" cm="1">
        <f t="array" aca="1" ref="FC132" ca="1">IF(ISNA(F132),0,OFFSET(INDIRECT("'"&amp;EL$67&amp;"'!h1"),F132-1,))</f>
        <v>1</v>
      </c>
      <c r="FD132" s="10" cm="1">
        <f t="array" aca="1" ref="FD132" ca="1">IF(ISNA(G132),0,OFFSET(INDIRECT("'"&amp;EM$67&amp;"'!h1"),G132-1,))</f>
        <v>1</v>
      </c>
      <c r="FE132" s="10" cm="1">
        <f t="array" aca="1" ref="FE132" ca="1">IF(ISNA(H132),0,OFFSET(INDIRECT("'"&amp;EN$67&amp;"'!h1"),H132-1,))</f>
        <v>1</v>
      </c>
      <c r="FF132" s="10" cm="1">
        <f t="array" aca="1" ref="FF132" ca="1">IF(ISNA(I132),0,OFFSET(INDIRECT("'"&amp;EO$67&amp;"'!h1"),I132-1,))</f>
        <v>1</v>
      </c>
      <c r="FG132" s="10" cm="1">
        <f t="array" aca="1" ref="FG132" ca="1">IF(ISNA(J132),0,OFFSET(INDIRECT("'"&amp;EP$67&amp;"'!h1"),J132-1,))</f>
        <v>1</v>
      </c>
      <c r="FH132" s="10" cm="1">
        <f t="array" aca="1" ref="FH132" ca="1">IF(ISNA(K132),0,OFFSET(INDIRECT("'"&amp;EQ$67&amp;"'!h1"),K132-1,))</f>
        <v>10000</v>
      </c>
      <c r="FI132" s="10" cm="1">
        <f t="array" aca="1" ref="FI132" ca="1">IF(ISNA(L132),0,OFFSET(INDIRECT("'"&amp;ER$67&amp;"'!h1"),L132-1,))</f>
        <v>10000</v>
      </c>
      <c r="FJ132" s="10" cm="1">
        <f t="array" aca="1" ref="FJ132" ca="1">IF(ISNA(M132),0,OFFSET(INDIRECT("'"&amp;ES$67&amp;"'!h1"),M132-1,))</f>
        <v>10000</v>
      </c>
      <c r="FK132" s="10" cm="1">
        <f t="array" aca="1" ref="FK132" ca="1">IF(ISNA(N132),0,OFFSET(INDIRECT("'"&amp;ET$67&amp;"'!h1"),N132-1,))</f>
        <v>1</v>
      </c>
      <c r="FL132" s="10" cm="1">
        <f t="array" aca="1" ref="FL132" ca="1">IF(ISNA(O132),0,OFFSET(INDIRECT("'"&amp;EU$67&amp;"'!h1"),O132-1,))</f>
        <v>1</v>
      </c>
      <c r="FM132" s="10" cm="1">
        <f t="array" aca="1" ref="FM132" ca="1">IF(ISNA(P132),0,OFFSET(INDIRECT("'"&amp;EV$67&amp;"'!h1"),P132-1,))</f>
        <v>9</v>
      </c>
      <c r="FN132" s="10"/>
      <c r="FO132" s="10"/>
      <c r="FP132" s="10"/>
      <c r="FQ132" s="10"/>
      <c r="FS132">
        <f t="shared" ca="1" si="137"/>
        <v>72</v>
      </c>
      <c r="FT132">
        <f t="shared" ca="1" si="62"/>
        <v>2.1284595979377601</v>
      </c>
      <c r="FU132">
        <f t="shared" ca="1" si="63"/>
        <v>5606</v>
      </c>
      <c r="FV132">
        <f t="shared" ca="1" si="64"/>
        <v>10000</v>
      </c>
      <c r="FW132" s="4">
        <f t="shared" ca="1" si="138"/>
        <v>0.56059999999999999</v>
      </c>
      <c r="FX132" s="5">
        <f t="shared" ca="1" si="139"/>
        <v>3.7967527612161255E-4</v>
      </c>
      <c r="FZ132" s="13">
        <f t="shared" ca="1" si="140"/>
        <v>72</v>
      </c>
      <c r="GA132" s="23">
        <f t="shared" ca="1" si="141"/>
        <v>0</v>
      </c>
      <c r="GB132" s="23">
        <f t="shared" ca="1" si="142"/>
        <v>0</v>
      </c>
      <c r="GC132" s="23">
        <f t="shared" ca="1" si="143"/>
        <v>0</v>
      </c>
      <c r="GD132" s="23" t="e">
        <f t="shared" ca="1" si="144"/>
        <v>#N/A</v>
      </c>
      <c r="GE132" s="23">
        <f t="shared" ca="1" si="145"/>
        <v>0</v>
      </c>
      <c r="GF132" s="23">
        <f t="shared" ca="1" si="146"/>
        <v>0</v>
      </c>
      <c r="GG132" s="23">
        <f t="shared" ca="1" si="147"/>
        <v>0</v>
      </c>
      <c r="GH132" s="23">
        <f t="shared" ca="1" si="148"/>
        <v>0</v>
      </c>
      <c r="GI132" s="23">
        <f t="shared" ca="1" si="149"/>
        <v>0</v>
      </c>
      <c r="GJ132" s="23" t="e">
        <f t="shared" ca="1" si="150"/>
        <v>#N/A</v>
      </c>
      <c r="GK132" s="23" t="e">
        <f t="shared" ca="1" si="151"/>
        <v>#N/A</v>
      </c>
      <c r="GL132" s="23" t="e">
        <f t="shared" ca="1" si="152"/>
        <v>#N/A</v>
      </c>
      <c r="GM132" s="23"/>
      <c r="GN132">
        <f t="shared" ca="1" si="153"/>
        <v>72</v>
      </c>
      <c r="GO132" s="5">
        <f t="shared" ca="1" si="154"/>
        <v>8271.1062536459995</v>
      </c>
      <c r="GP132" s="5" t="e">
        <f t="shared" ca="1" si="155"/>
        <v>#N/A</v>
      </c>
      <c r="GQ132" s="5" t="e">
        <f t="shared" ca="1" si="156"/>
        <v>#N/A</v>
      </c>
      <c r="GR132" s="5" t="e">
        <f t="shared" ca="1" si="157"/>
        <v>#N/A</v>
      </c>
      <c r="GS132" s="5">
        <f t="shared" ca="1" si="158"/>
        <v>9.0562249999493305E-2</v>
      </c>
      <c r="GT132" s="5">
        <f t="shared" ca="1" si="159"/>
        <v>0.14958579512313</v>
      </c>
      <c r="GU132" s="5">
        <f t="shared" ca="1" si="160"/>
        <v>3.7967527612161255E-4</v>
      </c>
      <c r="GV132" s="5">
        <f t="shared" ca="1" si="161"/>
        <v>3.0935958126035733E-4</v>
      </c>
      <c r="GW132" s="5">
        <f t="shared" ca="1" si="162"/>
        <v>1.2269215030643691E-2</v>
      </c>
      <c r="GX132" s="5" t="e">
        <f t="shared" ca="1" si="163"/>
        <v>#N/A</v>
      </c>
      <c r="GY132" s="5" t="e">
        <f t="shared" ca="1" si="164"/>
        <v>#N/A</v>
      </c>
      <c r="GZ132" s="5" t="e">
        <f t="shared" ca="1" si="165"/>
        <v>#N/A</v>
      </c>
      <c r="HB132" s="13">
        <f t="shared" ca="1" si="166"/>
        <v>72</v>
      </c>
      <c r="HC132" s="4">
        <f t="shared" ca="1" si="167"/>
        <v>1</v>
      </c>
      <c r="HD132" s="4">
        <f t="shared" ca="1" si="168"/>
        <v>1</v>
      </c>
      <c r="HE132" s="4">
        <f t="shared" ca="1" si="169"/>
        <v>1</v>
      </c>
      <c r="HF132" s="4">
        <f t="shared" ca="1" si="170"/>
        <v>0</v>
      </c>
      <c r="HG132" s="4">
        <f t="shared" ca="1" si="171"/>
        <v>1</v>
      </c>
      <c r="HH132" s="4">
        <f t="shared" ca="1" si="172"/>
        <v>1</v>
      </c>
      <c r="HI132" s="4">
        <f t="shared" ca="1" si="173"/>
        <v>0.56059999999999999</v>
      </c>
      <c r="HJ132" s="4">
        <f t="shared" ca="1" si="174"/>
        <v>0.90669999999999995</v>
      </c>
      <c r="HK132" s="4">
        <f t="shared" ca="1" si="175"/>
        <v>0.43030000000000002</v>
      </c>
      <c r="HL132" s="4">
        <f t="shared" ca="1" si="176"/>
        <v>0</v>
      </c>
      <c r="HM132" s="4">
        <f t="shared" ca="1" si="177"/>
        <v>0</v>
      </c>
      <c r="HN132" s="4">
        <f t="shared" ca="1" si="178"/>
        <v>0</v>
      </c>
    </row>
    <row r="133" spans="1:222" x14ac:dyDescent="0.2">
      <c r="A133" t="str" cm="1">
        <f t="array" aca="1" ref="A133" ca="1">INDIRECT($A$67&amp;"!A"&amp;ROW(C66)+$B$64)</f>
        <v>[[73,38,13]]</v>
      </c>
      <c r="B133" cm="1">
        <f t="array" aca="1" ref="B133" ca="1">INDIRECT($A$67&amp;"!b"&amp;ROW(D66)+$B$64)</f>
        <v>73</v>
      </c>
      <c r="C133">
        <f t="shared" ca="1" si="78"/>
        <v>13</v>
      </c>
      <c r="E133">
        <f t="shared" ca="1" si="182"/>
        <v>90</v>
      </c>
      <c r="F133">
        <f t="shared" ca="1" si="182"/>
        <v>91</v>
      </c>
      <c r="G133">
        <f t="shared" ca="1" si="182"/>
        <v>90</v>
      </c>
      <c r="H133">
        <f t="shared" ca="1" si="182"/>
        <v>92</v>
      </c>
      <c r="I133">
        <f t="shared" ca="1" si="182"/>
        <v>93</v>
      </c>
      <c r="J133">
        <f t="shared" ca="1" si="182"/>
        <v>90</v>
      </c>
      <c r="K133">
        <f t="shared" ca="1" si="182"/>
        <v>97</v>
      </c>
      <c r="L133">
        <f t="shared" ca="1" si="182"/>
        <v>99</v>
      </c>
      <c r="M133">
        <f t="shared" ca="1" si="182"/>
        <v>96</v>
      </c>
      <c r="N133">
        <f t="shared" ca="1" si="182"/>
        <v>94</v>
      </c>
      <c r="O133">
        <f t="shared" ca="1" si="182"/>
        <v>94</v>
      </c>
      <c r="P133">
        <f t="shared" ca="1" si="182"/>
        <v>94</v>
      </c>
      <c r="V133" cm="1">
        <f t="array" aca="1" ref="V133" ca="1">IF(ISNA(E133),,OFFSET(INDIRECT("'"&amp;V$67&amp;"'!d1"),E133-1,))</f>
        <v>13</v>
      </c>
      <c r="W133" cm="1">
        <f t="array" aca="1" ref="W133" ca="1">IF(ISNA(F133),,OFFSET(INDIRECT("'"&amp;W$67&amp;"'!d1"),F133-1,))</f>
        <v>13</v>
      </c>
      <c r="X133" cm="1">
        <f t="array" aca="1" ref="X133" ca="1">IF(ISNA(G133),,OFFSET(INDIRECT("'"&amp;X$67&amp;"'!d1"),G133-1,))</f>
        <v>13</v>
      </c>
      <c r="Y133" cm="1">
        <f t="array" aca="1" ref="Y133" ca="1">IF(ISNA(H133),,OFFSET(INDIRECT("'"&amp;Y$67&amp;"'!d1"),H133-1,))</f>
        <v>0</v>
      </c>
      <c r="Z133" cm="1">
        <f t="array" aca="1" ref="Z133" ca="1">IF(ISNA(I133),,OFFSET(INDIRECT("'"&amp;Z$67&amp;"'!d1"),I133-1,))</f>
        <v>13</v>
      </c>
      <c r="AA133" cm="1">
        <f t="array" aca="1" ref="AA133" ca="1">IF(ISNA(J133),,OFFSET(INDIRECT("'"&amp;AA$67&amp;"'!d1"),J133-1,))</f>
        <v>13</v>
      </c>
      <c r="AB133" cm="1">
        <f t="array" aca="1" ref="AB133" ca="1">IF(ISNA(K133),,OFFSET(INDIRECT("'"&amp;AB$67&amp;"'!d1"),K133-1,))</f>
        <v>13</v>
      </c>
      <c r="AC133" cm="1">
        <f t="array" aca="1" ref="AC133" ca="1">IF(ISNA(L133),,OFFSET(INDIRECT("'"&amp;AC$67&amp;"'!d1"),L133-1,))</f>
        <v>13</v>
      </c>
      <c r="AD133" cm="1">
        <f t="array" aca="1" ref="AD133" ca="1">IF(ISNA(M133),,OFFSET(INDIRECT("'"&amp;AD$67&amp;"'!d1"),M133-1,))</f>
        <v>13</v>
      </c>
      <c r="AE133" cm="1">
        <f t="array" aca="1" ref="AE133" ca="1">IF(ISNA(N133),,OFFSET(INDIRECT("'"&amp;AE$67&amp;"'!d1"),N133-1,))</f>
        <v>0</v>
      </c>
      <c r="AF133" cm="1">
        <f t="array" aca="1" ref="AF133" ca="1">IF(ISNA(O133),,OFFSET(INDIRECT("'"&amp;AF$67&amp;"'!d1"),O133-1,))</f>
        <v>0</v>
      </c>
      <c r="AG133" cm="1">
        <f t="array" aca="1" ref="AG133" ca="1">IF(ISNA(P133),,OFFSET(INDIRECT("'"&amp;AG$67&amp;"'!d1"),P133-1,))</f>
        <v>0</v>
      </c>
      <c r="AM133">
        <f t="shared" ca="1" si="79"/>
        <v>1</v>
      </c>
      <c r="AN133">
        <f t="shared" ca="1" si="80"/>
        <v>0</v>
      </c>
      <c r="AO133">
        <f t="shared" ca="1" si="81"/>
        <v>0</v>
      </c>
      <c r="AP133">
        <f t="shared" ca="1" si="82"/>
        <v>0</v>
      </c>
      <c r="AQ133">
        <f t="shared" ca="1" si="83"/>
        <v>1</v>
      </c>
      <c r="AV133" t="b">
        <f t="shared" ca="1" si="84"/>
        <v>1</v>
      </c>
      <c r="AW133" t="str">
        <f t="shared" ca="1" si="85"/>
        <v/>
      </c>
      <c r="AX133" t="str">
        <f t="shared" ca="1" si="86"/>
        <v/>
      </c>
      <c r="AY133" t="str">
        <f t="shared" ca="1" si="87"/>
        <v/>
      </c>
      <c r="AZ133" t="b">
        <f t="shared" ca="1" si="88"/>
        <v>1</v>
      </c>
      <c r="BD133">
        <f t="shared" ca="1" si="89"/>
        <v>1</v>
      </c>
      <c r="BE133">
        <f t="shared" ca="1" si="90"/>
        <v>1</v>
      </c>
      <c r="BF133">
        <f t="shared" ca="1" si="91"/>
        <v>1</v>
      </c>
      <c r="BG133">
        <f t="shared" ca="1" si="92"/>
        <v>0</v>
      </c>
      <c r="BH133">
        <f t="shared" ca="1" si="93"/>
        <v>1</v>
      </c>
      <c r="BI133">
        <f t="shared" ca="1" si="94"/>
        <v>1</v>
      </c>
      <c r="BJ133">
        <f t="shared" ca="1" si="95"/>
        <v>1</v>
      </c>
      <c r="BK133">
        <f t="shared" ca="1" si="96"/>
        <v>1</v>
      </c>
      <c r="BL133">
        <f t="shared" ca="1" si="97"/>
        <v>1</v>
      </c>
      <c r="BM133">
        <f t="shared" ca="1" si="98"/>
        <v>0</v>
      </c>
      <c r="BN133">
        <f t="shared" ca="1" si="99"/>
        <v>0</v>
      </c>
      <c r="BO133">
        <f t="shared" ca="1" si="100"/>
        <v>0</v>
      </c>
      <c r="BU133">
        <f t="shared" ca="1" si="101"/>
        <v>13</v>
      </c>
      <c r="BV133">
        <f t="shared" ca="1" si="102"/>
        <v>13</v>
      </c>
      <c r="BW133">
        <f t="shared" ca="1" si="103"/>
        <v>13</v>
      </c>
      <c r="BX133">
        <f t="shared" ca="1" si="104"/>
        <v>73</v>
      </c>
      <c r="BY133">
        <f t="shared" ca="1" si="105"/>
        <v>13</v>
      </c>
      <c r="BZ133">
        <f t="shared" ca="1" si="106"/>
        <v>13</v>
      </c>
      <c r="CA133">
        <f t="shared" ca="1" si="107"/>
        <v>13</v>
      </c>
      <c r="CB133">
        <f t="shared" ca="1" si="108"/>
        <v>13</v>
      </c>
      <c r="CC133">
        <f t="shared" ca="1" si="109"/>
        <v>13</v>
      </c>
      <c r="CD133">
        <f t="shared" ca="1" si="110"/>
        <v>73</v>
      </c>
      <c r="CE133">
        <f t="shared" ca="1" si="111"/>
        <v>73</v>
      </c>
      <c r="CF133">
        <f t="shared" ca="1" si="112"/>
        <v>73</v>
      </c>
      <c r="CL133">
        <f t="shared" ca="1" si="113"/>
        <v>1</v>
      </c>
      <c r="CM133">
        <f t="shared" ca="1" si="114"/>
        <v>1</v>
      </c>
      <c r="CN133">
        <f t="shared" ca="1" si="115"/>
        <v>1</v>
      </c>
      <c r="CO133">
        <f t="shared" ca="1" si="116"/>
        <v>0</v>
      </c>
      <c r="CP133">
        <f t="shared" ca="1" si="117"/>
        <v>1</v>
      </c>
      <c r="CQ133">
        <f t="shared" ca="1" si="118"/>
        <v>1</v>
      </c>
      <c r="CR133">
        <f t="shared" ca="1" si="119"/>
        <v>1</v>
      </c>
      <c r="CS133">
        <f t="shared" ca="1" si="120"/>
        <v>1</v>
      </c>
      <c r="CT133">
        <f t="shared" ca="1" si="121"/>
        <v>1</v>
      </c>
      <c r="CU133">
        <f t="shared" ca="1" si="122"/>
        <v>0</v>
      </c>
      <c r="CV133">
        <f t="shared" ca="1" si="123"/>
        <v>0</v>
      </c>
      <c r="CW133">
        <f t="shared" ca="1" si="124"/>
        <v>0</v>
      </c>
      <c r="DC133" cm="1">
        <f t="array" aca="1" ref="DC133" ca="1">IF(ISNA(E133),,OFFSET(INDIRECT("'"&amp;DT$67&amp;"'!f1"),E133-1,))*1</f>
        <v>16237.0491383509</v>
      </c>
      <c r="DD133" cm="1">
        <f t="array" aca="1" ref="DD133" ca="1">IF(ISNA(F133),,OFFSET(INDIRECT("'"&amp;DU$67&amp;"'!f1"),F133-1,))*1</f>
        <v>28815.336437580001</v>
      </c>
      <c r="DE133" cm="1">
        <f t="array" aca="1" ref="DE133" ca="1">IF(ISNA(G133),,OFFSET(INDIRECT("'"&amp;DV$67&amp;"'!f1"),G133-1,))*1</f>
        <v>28800.155304569998</v>
      </c>
      <c r="DF133" cm="1">
        <f t="array" aca="1" ref="DF133" ca="1">IF(ISNA(H133),,OFFSET(INDIRECT("'"&amp;DW$67&amp;"'!f1"),H133-1,))*1</f>
        <v>28800.1711526289</v>
      </c>
      <c r="DG133" cm="1">
        <f t="array" aca="1" ref="DG133" ca="1">IF(ISNA(I133),,OFFSET(INDIRECT("'"&amp;DX$67&amp;"'!f1"),I133-1,))*1</f>
        <v>0.124677750005503</v>
      </c>
      <c r="DH133" cm="1">
        <f t="array" aca="1" ref="DH133" ca="1">IF(ISNA(J133),,OFFSET(INDIRECT("'"&amp;DY$67&amp;"'!f1"),J133-1,))*1</f>
        <v>0.14891204889863699</v>
      </c>
      <c r="DI133" cm="1">
        <f t="array" aca="1" ref="DI133" ca="1">IF(ISNA(K133),,OFFSET(INDIRECT("'"&amp;DZ$67&amp;"'!f1"),K133-1,))*1</f>
        <v>2.1516770934685998</v>
      </c>
      <c r="DJ133" cm="1">
        <f t="array" aca="1" ref="DJ133" ca="1">IF(ISNA(L133),,OFFSET(INDIRECT("'"&amp;EA$67&amp;"'!f1"),L133-1,))*1</f>
        <v>2.8219969794154101</v>
      </c>
      <c r="DK133" cm="1">
        <f t="array" aca="1" ref="DK133" ca="1">IF(ISNA(M133),,OFFSET(INDIRECT("'"&amp;EB$67&amp;"'!f1"),M133-1,))*1</f>
        <v>67.202204063069004</v>
      </c>
      <c r="DL133" cm="1">
        <f t="array" aca="1" ref="DL133" ca="1">IF(ISNA(N133),,OFFSET(INDIRECT("'"&amp;EC$67&amp;"'!f1"),N133-1,))*1</f>
        <v>1.16357021033763E-2</v>
      </c>
      <c r="DM133" cm="1">
        <f t="array" aca="1" ref="DM133" ca="1">IF(ISNA(O133),,OFFSET(INDIRECT("'"&amp;ED$67&amp;"'!f1"),O133-1,))*1</f>
        <v>1.1961211450397901E-2</v>
      </c>
      <c r="DN133" cm="1">
        <f t="array" aca="1" ref="DN133" ca="1">IF(ISNA(P133),,OFFSET(INDIRECT("'"&amp;EE$67&amp;"'!f1"),P133-1,))*1</f>
        <v>1.8653704784810501E-2</v>
      </c>
      <c r="DT133">
        <f t="shared" ca="1" si="125"/>
        <v>1</v>
      </c>
      <c r="DU133">
        <f t="shared" ca="1" si="126"/>
        <v>1</v>
      </c>
      <c r="DV133">
        <f t="shared" ca="1" si="127"/>
        <v>1</v>
      </c>
      <c r="DW133">
        <f t="shared" ca="1" si="128"/>
        <v>0</v>
      </c>
      <c r="DX133">
        <f t="shared" ca="1" si="129"/>
        <v>1</v>
      </c>
      <c r="DY133">
        <f t="shared" ca="1" si="130"/>
        <v>1</v>
      </c>
      <c r="DZ133">
        <f t="shared" ca="1" si="131"/>
        <v>5555</v>
      </c>
      <c r="EA133">
        <f t="shared" ca="1" si="132"/>
        <v>9010</v>
      </c>
      <c r="EB133">
        <f t="shared" ca="1" si="133"/>
        <v>4840</v>
      </c>
      <c r="EC133">
        <f t="shared" ca="1" si="134"/>
        <v>0</v>
      </c>
      <c r="ED133">
        <f t="shared" ca="1" si="135"/>
        <v>0</v>
      </c>
      <c r="EE133">
        <f t="shared" ca="1" si="136"/>
        <v>0</v>
      </c>
      <c r="EK133" cm="1">
        <f t="array" aca="1" ref="EK133" ca="1">IF(ISNA(E133),0,OFFSET(INDIRECT("'"&amp;EK$67&amp;"'!g1"),E133-1,)*CL133)</f>
        <v>1</v>
      </c>
      <c r="EL133" cm="1">
        <f t="array" aca="1" ref="EL133" ca="1">IF(ISNA(F133),0,OFFSET(INDIRECT("'"&amp;EL$67&amp;"'!g1"),F133-1,)*CM133)</f>
        <v>1</v>
      </c>
      <c r="EM133" cm="1">
        <f t="array" aca="1" ref="EM133" ca="1">IF(ISNA(G133),0,OFFSET(INDIRECT("'"&amp;EM$67&amp;"'!g1"),G133-1,)*CN133)</f>
        <v>1</v>
      </c>
      <c r="EN133" cm="1">
        <f t="array" aca="1" ref="EN133" ca="1">IF(ISNA(H133),0,OFFSET(INDIRECT("'"&amp;EN$67&amp;"'!g1"),H133-1,)*CO133)</f>
        <v>0</v>
      </c>
      <c r="EO133" cm="1">
        <f t="array" aca="1" ref="EO133" ca="1">IF(ISNA(I133),0,OFFSET(INDIRECT("'"&amp;EO$67&amp;"'!g1"),I133-1,)*CP133)</f>
        <v>1</v>
      </c>
      <c r="EP133" cm="1">
        <f t="array" aca="1" ref="EP133" ca="1">IF(ISNA(J133),0,OFFSET(INDIRECT("'"&amp;EP$67&amp;"'!g1"),J133-1,)*CQ133)</f>
        <v>1</v>
      </c>
      <c r="EQ133" cm="1">
        <f t="array" aca="1" ref="EQ133" ca="1">IF(ISNA(K133),0,OFFSET(INDIRECT("'"&amp;EQ$67&amp;"'!g1"),K133-1,)*CR133)</f>
        <v>5555</v>
      </c>
      <c r="ER133" cm="1">
        <f t="array" aca="1" ref="ER133" ca="1">IF(ISNA(L133),0,OFFSET(INDIRECT("'"&amp;ER$67&amp;"'!g1"),L133-1,)*CS133)</f>
        <v>9010</v>
      </c>
      <c r="ES133" cm="1">
        <f t="array" aca="1" ref="ES133" ca="1">IF(ISNA(M133),0,OFFSET(INDIRECT("'"&amp;ES$67&amp;"'!g1"),M133-1,)*CT133)</f>
        <v>4840</v>
      </c>
      <c r="ET133" cm="1">
        <f t="array" aca="1" ref="ET133" ca="1">IF(ISNA(N133),0,OFFSET(INDIRECT("'"&amp;ET$67&amp;"'!g1"),N133-1,)*CU133)</f>
        <v>0</v>
      </c>
      <c r="EU133" cm="1">
        <f t="array" aca="1" ref="EU133" ca="1">IF(ISNA(O133),0,OFFSET(INDIRECT("'"&amp;EU$67&amp;"'!g1"),O133-1,)*CV133)</f>
        <v>0</v>
      </c>
      <c r="EV133" cm="1">
        <f t="array" aca="1" ref="EV133" ca="1">IF(ISNA(P133),0,OFFSET(INDIRECT("'"&amp;EV$67&amp;"'!g1"),P133-1,)*CW133)</f>
        <v>0</v>
      </c>
      <c r="FB133" s="10" cm="1">
        <f t="array" aca="1" ref="FB133" ca="1">IF(ISNA(E133),0,OFFSET(INDIRECT("'"&amp;EK$67&amp;"'!h1"),E133-1,))</f>
        <v>1</v>
      </c>
      <c r="FC133" s="10" cm="1">
        <f t="array" aca="1" ref="FC133" ca="1">IF(ISNA(F133),0,OFFSET(INDIRECT("'"&amp;EL$67&amp;"'!h1"),F133-1,))</f>
        <v>1</v>
      </c>
      <c r="FD133" s="10" cm="1">
        <f t="array" aca="1" ref="FD133" ca="1">IF(ISNA(G133),0,OFFSET(INDIRECT("'"&amp;EM$67&amp;"'!h1"),G133-1,))</f>
        <v>1</v>
      </c>
      <c r="FE133" s="10" cm="1">
        <f t="array" aca="1" ref="FE133" ca="1">IF(ISNA(H133),0,OFFSET(INDIRECT("'"&amp;EN$67&amp;"'!h1"),H133-1,))</f>
        <v>1</v>
      </c>
      <c r="FF133" s="10" cm="1">
        <f t="array" aca="1" ref="FF133" ca="1">IF(ISNA(I133),0,OFFSET(INDIRECT("'"&amp;EO$67&amp;"'!h1"),I133-1,))</f>
        <v>1</v>
      </c>
      <c r="FG133" s="10" cm="1">
        <f t="array" aca="1" ref="FG133" ca="1">IF(ISNA(J133),0,OFFSET(INDIRECT("'"&amp;EP$67&amp;"'!h1"),J133-1,))</f>
        <v>1</v>
      </c>
      <c r="FH133" s="10" cm="1">
        <f t="array" aca="1" ref="FH133" ca="1">IF(ISNA(K133),0,OFFSET(INDIRECT("'"&amp;EQ$67&amp;"'!h1"),K133-1,))</f>
        <v>10000</v>
      </c>
      <c r="FI133" s="10" cm="1">
        <f t="array" aca="1" ref="FI133" ca="1">IF(ISNA(L133),0,OFFSET(INDIRECT("'"&amp;ER$67&amp;"'!h1"),L133-1,))</f>
        <v>10000</v>
      </c>
      <c r="FJ133" s="10" cm="1">
        <f t="array" aca="1" ref="FJ133" ca="1">IF(ISNA(M133),0,OFFSET(INDIRECT("'"&amp;ES$67&amp;"'!h1"),M133-1,))</f>
        <v>10000</v>
      </c>
      <c r="FK133" s="10" cm="1">
        <f t="array" aca="1" ref="FK133" ca="1">IF(ISNA(N133),0,OFFSET(INDIRECT("'"&amp;ET$67&amp;"'!h1"),N133-1,))</f>
        <v>1</v>
      </c>
      <c r="FL133" s="10" cm="1">
        <f t="array" aca="1" ref="FL133" ca="1">IF(ISNA(O133),0,OFFSET(INDIRECT("'"&amp;EU$67&amp;"'!h1"),O133-1,))</f>
        <v>1</v>
      </c>
      <c r="FM133" s="10" cm="1">
        <f t="array" aca="1" ref="FM133" ca="1">IF(ISNA(P133),0,OFFSET(INDIRECT("'"&amp;EV$67&amp;"'!h1"),P133-1,))</f>
        <v>9</v>
      </c>
      <c r="FN133" s="10"/>
      <c r="FO133" s="10"/>
      <c r="FP133" s="10"/>
      <c r="FQ133" s="10"/>
      <c r="FS133">
        <f t="shared" ca="1" si="137"/>
        <v>73</v>
      </c>
      <c r="FT133">
        <f t="shared" ca="1" si="62"/>
        <v>2.1516770934685998</v>
      </c>
      <c r="FU133">
        <f t="shared" ca="1" si="63"/>
        <v>5555</v>
      </c>
      <c r="FV133">
        <f t="shared" ca="1" si="64"/>
        <v>10000</v>
      </c>
      <c r="FW133" s="4">
        <f t="shared" ca="1" si="138"/>
        <v>0.55549999999999999</v>
      </c>
      <c r="FX133" s="5">
        <f t="shared" ca="1" si="139"/>
        <v>3.8734061088543649E-4</v>
      </c>
      <c r="FZ133" s="13">
        <f t="shared" ca="1" si="140"/>
        <v>73</v>
      </c>
      <c r="GA133" s="23">
        <f t="shared" ca="1" si="141"/>
        <v>0</v>
      </c>
      <c r="GB133" s="23">
        <f t="shared" ca="1" si="142"/>
        <v>0</v>
      </c>
      <c r="GC133" s="23">
        <f t="shared" ca="1" si="143"/>
        <v>0</v>
      </c>
      <c r="GD133" s="23" t="e">
        <f t="shared" ca="1" si="144"/>
        <v>#N/A</v>
      </c>
      <c r="GE133" s="23">
        <f t="shared" ca="1" si="145"/>
        <v>0</v>
      </c>
      <c r="GF133" s="23">
        <f t="shared" ca="1" si="146"/>
        <v>0</v>
      </c>
      <c r="GG133" s="23">
        <f t="shared" ca="1" si="147"/>
        <v>0</v>
      </c>
      <c r="GH133" s="23">
        <f t="shared" ca="1" si="148"/>
        <v>0</v>
      </c>
      <c r="GI133" s="23">
        <f t="shared" ca="1" si="149"/>
        <v>0</v>
      </c>
      <c r="GJ133" s="23" t="e">
        <f t="shared" ca="1" si="150"/>
        <v>#N/A</v>
      </c>
      <c r="GK133" s="23" t="e">
        <f t="shared" ca="1" si="151"/>
        <v>#N/A</v>
      </c>
      <c r="GL133" s="23" t="e">
        <f t="shared" ca="1" si="152"/>
        <v>#N/A</v>
      </c>
      <c r="GM133" s="23"/>
      <c r="GN133">
        <f t="shared" ca="1" si="153"/>
        <v>73</v>
      </c>
      <c r="GO133" s="5">
        <f t="shared" ca="1" si="154"/>
        <v>16237.0491383509</v>
      </c>
      <c r="GP133" s="5" t="e">
        <f t="shared" ca="1" si="155"/>
        <v>#N/A</v>
      </c>
      <c r="GQ133" s="5" t="e">
        <f t="shared" ca="1" si="156"/>
        <v>#N/A</v>
      </c>
      <c r="GR133" s="5" t="e">
        <f t="shared" ca="1" si="157"/>
        <v>#N/A</v>
      </c>
      <c r="GS133" s="5">
        <f t="shared" ca="1" si="158"/>
        <v>0.124677750005503</v>
      </c>
      <c r="GT133" s="5">
        <f t="shared" ca="1" si="159"/>
        <v>0.14891204889863699</v>
      </c>
      <c r="GU133" s="5">
        <f t="shared" ca="1" si="160"/>
        <v>3.8734061088543649E-4</v>
      </c>
      <c r="GV133" s="5">
        <f t="shared" ca="1" si="161"/>
        <v>3.1320721192179914E-4</v>
      </c>
      <c r="GW133" s="5">
        <f t="shared" ca="1" si="162"/>
        <v>1.3884752905592769E-2</v>
      </c>
      <c r="GX133" s="5" t="e">
        <f t="shared" ca="1" si="163"/>
        <v>#N/A</v>
      </c>
      <c r="GY133" s="5" t="e">
        <f t="shared" ca="1" si="164"/>
        <v>#N/A</v>
      </c>
      <c r="GZ133" s="5" t="e">
        <f t="shared" ca="1" si="165"/>
        <v>#N/A</v>
      </c>
      <c r="HB133" s="13">
        <f t="shared" ca="1" si="166"/>
        <v>73</v>
      </c>
      <c r="HC133" s="4">
        <f t="shared" ca="1" si="167"/>
        <v>1</v>
      </c>
      <c r="HD133" s="4">
        <f t="shared" ca="1" si="168"/>
        <v>1</v>
      </c>
      <c r="HE133" s="4">
        <f t="shared" ca="1" si="169"/>
        <v>1</v>
      </c>
      <c r="HF133" s="4">
        <f t="shared" ca="1" si="170"/>
        <v>0</v>
      </c>
      <c r="HG133" s="4">
        <f t="shared" ca="1" si="171"/>
        <v>1</v>
      </c>
      <c r="HH133" s="4">
        <f t="shared" ca="1" si="172"/>
        <v>1</v>
      </c>
      <c r="HI133" s="4">
        <f t="shared" ca="1" si="173"/>
        <v>0.55549999999999999</v>
      </c>
      <c r="HJ133" s="4">
        <f t="shared" ca="1" si="174"/>
        <v>0.90100000000000002</v>
      </c>
      <c r="HK133" s="4">
        <f t="shared" ca="1" si="175"/>
        <v>0.48399999999999999</v>
      </c>
      <c r="HL133" s="4">
        <f t="shared" ca="1" si="176"/>
        <v>0</v>
      </c>
      <c r="HM133" s="4">
        <f t="shared" ca="1" si="177"/>
        <v>0</v>
      </c>
      <c r="HN133" s="4">
        <f t="shared" ca="1" si="178"/>
        <v>0</v>
      </c>
    </row>
    <row r="134" spans="1:222" x14ac:dyDescent="0.2">
      <c r="A134" t="str" cm="1">
        <f t="array" aca="1" ref="A134" ca="1">INDIRECT($A$67&amp;"!A"&amp;ROW(C67)+$B$64)</f>
        <v>[[74,9,32]]</v>
      </c>
      <c r="B134" cm="1">
        <f t="array" aca="1" ref="B134" ca="1">INDIRECT($A$67&amp;"!b"&amp;ROW(D67)+$B$64)</f>
        <v>74</v>
      </c>
      <c r="C134">
        <f t="shared" ca="1" si="78"/>
        <v>32</v>
      </c>
      <c r="E134">
        <f t="shared" ca="1" si="182"/>
        <v>91</v>
      </c>
      <c r="F134">
        <f t="shared" ca="1" si="182"/>
        <v>92</v>
      </c>
      <c r="G134">
        <f t="shared" ca="1" si="182"/>
        <v>91</v>
      </c>
      <c r="H134">
        <f t="shared" ca="1" si="182"/>
        <v>93</v>
      </c>
      <c r="I134">
        <f t="shared" ca="1" si="182"/>
        <v>94</v>
      </c>
      <c r="J134">
        <f t="shared" ca="1" si="182"/>
        <v>91</v>
      </c>
      <c r="K134">
        <f t="shared" ca="1" si="182"/>
        <v>98</v>
      </c>
      <c r="L134">
        <f t="shared" ca="1" si="182"/>
        <v>100</v>
      </c>
      <c r="M134">
        <f t="shared" ca="1" si="182"/>
        <v>97</v>
      </c>
      <c r="N134">
        <f t="shared" ca="1" si="182"/>
        <v>95</v>
      </c>
      <c r="O134">
        <f t="shared" ca="1" si="182"/>
        <v>95</v>
      </c>
      <c r="P134">
        <f t="shared" ca="1" si="182"/>
        <v>95</v>
      </c>
      <c r="V134" cm="1">
        <f t="array" aca="1" ref="V134" ca="1">IF(ISNA(E134),,OFFSET(INDIRECT("'"&amp;V$67&amp;"'!d1"),E134-1,))</f>
        <v>32</v>
      </c>
      <c r="W134" cm="1">
        <f t="array" aca="1" ref="W134" ca="1">IF(ISNA(F134),,OFFSET(INDIRECT("'"&amp;W$67&amp;"'!d1"),F134-1,))</f>
        <v>32</v>
      </c>
      <c r="X134" cm="1">
        <f t="array" aca="1" ref="X134" ca="1">IF(ISNA(G134),,OFFSET(INDIRECT("'"&amp;X$67&amp;"'!d1"),G134-1,))</f>
        <v>32</v>
      </c>
      <c r="Y134" cm="1">
        <f t="array" aca="1" ref="Y134" ca="1">IF(ISNA(H134),,OFFSET(INDIRECT("'"&amp;Y$67&amp;"'!d1"),H134-1,))</f>
        <v>32</v>
      </c>
      <c r="Z134" cm="1">
        <f t="array" aca="1" ref="Z134" ca="1">IF(ISNA(I134),,OFFSET(INDIRECT("'"&amp;Z$67&amp;"'!d1"),I134-1,))</f>
        <v>32</v>
      </c>
      <c r="AA134" cm="1">
        <f t="array" aca="1" ref="AA134" ca="1">IF(ISNA(J134),,OFFSET(INDIRECT("'"&amp;AA$67&amp;"'!d1"),J134-1,))</f>
        <v>32</v>
      </c>
      <c r="AB134" cm="1">
        <f t="array" aca="1" ref="AB134" ca="1">IF(ISNA(K134),,OFFSET(INDIRECT("'"&amp;AB$67&amp;"'!d1"),K134-1,))</f>
        <v>32</v>
      </c>
      <c r="AC134" cm="1">
        <f t="array" aca="1" ref="AC134" ca="1">IF(ISNA(L134),,OFFSET(INDIRECT("'"&amp;AC$67&amp;"'!d1"),L134-1,))</f>
        <v>32</v>
      </c>
      <c r="AD134" cm="1">
        <f t="array" aca="1" ref="AD134" ca="1">IF(ISNA(M134),,OFFSET(INDIRECT("'"&amp;AD$67&amp;"'!d1"),M134-1,))</f>
        <v>32</v>
      </c>
      <c r="AE134" cm="1">
        <f t="array" aca="1" ref="AE134" ca="1">IF(ISNA(N134),,OFFSET(INDIRECT("'"&amp;AE$67&amp;"'!d1"),N134-1,))</f>
        <v>0</v>
      </c>
      <c r="AF134" cm="1">
        <f t="array" aca="1" ref="AF134" ca="1">IF(ISNA(O134),,OFFSET(INDIRECT("'"&amp;AF$67&amp;"'!d1"),O134-1,))</f>
        <v>0</v>
      </c>
      <c r="AG134" cm="1">
        <f t="array" aca="1" ref="AG134" ca="1">IF(ISNA(P134),,OFFSET(INDIRECT("'"&amp;AG$67&amp;"'!d1"),P134-1,))</f>
        <v>0</v>
      </c>
      <c r="AM134">
        <f t="shared" ca="1" si="79"/>
        <v>1</v>
      </c>
      <c r="AN134">
        <f t="shared" ca="1" si="80"/>
        <v>1</v>
      </c>
      <c r="AO134">
        <f t="shared" ca="1" si="81"/>
        <v>1</v>
      </c>
      <c r="AP134">
        <f t="shared" ca="1" si="82"/>
        <v>1</v>
      </c>
      <c r="AQ134">
        <f t="shared" ca="1" si="83"/>
        <v>1</v>
      </c>
      <c r="AV134" t="b">
        <f t="shared" ca="1" si="84"/>
        <v>1</v>
      </c>
      <c r="AW134" t="b">
        <f t="shared" ca="1" si="85"/>
        <v>1</v>
      </c>
      <c r="AX134" t="b">
        <f t="shared" ca="1" si="86"/>
        <v>1</v>
      </c>
      <c r="AY134" t="b">
        <f t="shared" ca="1" si="87"/>
        <v>1</v>
      </c>
      <c r="AZ134" t="b">
        <f t="shared" ca="1" si="88"/>
        <v>1</v>
      </c>
      <c r="BD134">
        <f t="shared" ca="1" si="89"/>
        <v>1</v>
      </c>
      <c r="BE134">
        <f t="shared" ca="1" si="90"/>
        <v>1</v>
      </c>
      <c r="BF134">
        <f t="shared" ca="1" si="91"/>
        <v>1</v>
      </c>
      <c r="BG134">
        <f t="shared" ca="1" si="92"/>
        <v>1</v>
      </c>
      <c r="BH134">
        <f t="shared" ca="1" si="93"/>
        <v>1</v>
      </c>
      <c r="BI134">
        <f t="shared" ca="1" si="94"/>
        <v>1</v>
      </c>
      <c r="BJ134">
        <f t="shared" ca="1" si="95"/>
        <v>1</v>
      </c>
      <c r="BK134">
        <f t="shared" ca="1" si="96"/>
        <v>1</v>
      </c>
      <c r="BL134">
        <f t="shared" ca="1" si="97"/>
        <v>1</v>
      </c>
      <c r="BM134">
        <f t="shared" ca="1" si="98"/>
        <v>0</v>
      </c>
      <c r="BN134">
        <f t="shared" ca="1" si="99"/>
        <v>0</v>
      </c>
      <c r="BO134">
        <f t="shared" ca="1" si="100"/>
        <v>0</v>
      </c>
      <c r="BU134">
        <f t="shared" ca="1" si="101"/>
        <v>32</v>
      </c>
      <c r="BV134">
        <f t="shared" ca="1" si="102"/>
        <v>32</v>
      </c>
      <c r="BW134">
        <f t="shared" ca="1" si="103"/>
        <v>32</v>
      </c>
      <c r="BX134">
        <f t="shared" ca="1" si="104"/>
        <v>32</v>
      </c>
      <c r="BY134">
        <f t="shared" ca="1" si="105"/>
        <v>32</v>
      </c>
      <c r="BZ134">
        <f t="shared" ca="1" si="106"/>
        <v>32</v>
      </c>
      <c r="CA134">
        <f t="shared" ca="1" si="107"/>
        <v>32</v>
      </c>
      <c r="CB134">
        <f t="shared" ca="1" si="108"/>
        <v>32</v>
      </c>
      <c r="CC134">
        <f t="shared" ca="1" si="109"/>
        <v>32</v>
      </c>
      <c r="CD134">
        <f t="shared" ca="1" si="110"/>
        <v>74</v>
      </c>
      <c r="CE134">
        <f t="shared" ca="1" si="111"/>
        <v>74</v>
      </c>
      <c r="CF134">
        <f t="shared" ca="1" si="112"/>
        <v>74</v>
      </c>
      <c r="CL134">
        <f t="shared" ca="1" si="113"/>
        <v>1</v>
      </c>
      <c r="CM134">
        <f t="shared" ca="1" si="114"/>
        <v>1</v>
      </c>
      <c r="CN134">
        <f t="shared" ca="1" si="115"/>
        <v>1</v>
      </c>
      <c r="CO134">
        <f t="shared" ca="1" si="116"/>
        <v>1</v>
      </c>
      <c r="CP134">
        <f t="shared" ca="1" si="117"/>
        <v>1</v>
      </c>
      <c r="CQ134">
        <f t="shared" ca="1" si="118"/>
        <v>1</v>
      </c>
      <c r="CR134">
        <f t="shared" ca="1" si="119"/>
        <v>1</v>
      </c>
      <c r="CS134">
        <f t="shared" ca="1" si="120"/>
        <v>1</v>
      </c>
      <c r="CT134">
        <f t="shared" ca="1" si="121"/>
        <v>1</v>
      </c>
      <c r="CU134">
        <f t="shared" ca="1" si="122"/>
        <v>0</v>
      </c>
      <c r="CV134">
        <f t="shared" ca="1" si="123"/>
        <v>0</v>
      </c>
      <c r="CW134">
        <f t="shared" ca="1" si="124"/>
        <v>0</v>
      </c>
      <c r="DC134" cm="1">
        <f t="array" aca="1" ref="DC134" ca="1">IF(ISNA(E134),,OFFSET(INDIRECT("'"&amp;DT$67&amp;"'!f1"),E134-1,))*1</f>
        <v>0.53943949600216001</v>
      </c>
      <c r="DD134" cm="1">
        <f t="array" aca="1" ref="DD134" ca="1">IF(ISNA(F134),,OFFSET(INDIRECT("'"&amp;DU$67&amp;"'!f1"),F134-1,))*1</f>
        <v>1.8813370589923499</v>
      </c>
      <c r="DE134" cm="1">
        <f t="array" aca="1" ref="DE134" ca="1">IF(ISNA(G134),,OFFSET(INDIRECT("'"&amp;DV$67&amp;"'!f1"),G134-1,))*1</f>
        <v>0.83448499298538004</v>
      </c>
      <c r="DF134" cm="1">
        <f t="array" aca="1" ref="DF134" ca="1">IF(ISNA(H134),,OFFSET(INDIRECT("'"&amp;DW$67&amp;"'!f1"),H134-1,))*1</f>
        <v>15.899908624589401</v>
      </c>
      <c r="DG134" cm="1">
        <f t="array" aca="1" ref="DG134" ca="1">IF(ISNA(I134),,OFFSET(INDIRECT("'"&amp;DX$67&amp;"'!f1"),I134-1,))*1</f>
        <v>5.5626540997763999E-2</v>
      </c>
      <c r="DH134" cm="1">
        <f t="array" aca="1" ref="DH134" ca="1">IF(ISNA(J134),,OFFSET(INDIRECT("'"&amp;DY$67&amp;"'!f1"),J134-1,))*1</f>
        <v>0.21998002706095501</v>
      </c>
      <c r="DI134" cm="1">
        <f t="array" aca="1" ref="DI134" ca="1">IF(ISNA(K134),,OFFSET(INDIRECT("'"&amp;DZ$67&amp;"'!f1"),K134-1,))*1</f>
        <v>2.7508162455633198</v>
      </c>
      <c r="DJ134" cm="1">
        <f t="array" aca="1" ref="DJ134" ca="1">IF(ISNA(L134),,OFFSET(INDIRECT("'"&amp;EA$67&amp;"'!f1"),L134-1,))*1</f>
        <v>3.3060481818392802</v>
      </c>
      <c r="DK134" cm="1">
        <f t="array" aca="1" ref="DK134" ca="1">IF(ISNA(M134),,OFFSET(INDIRECT("'"&amp;EB$67&amp;"'!f1"),M134-1,))*1</f>
        <v>31.130766844842501</v>
      </c>
      <c r="DL134" cm="1">
        <f t="array" aca="1" ref="DL134" ca="1">IF(ISNA(N134),,OFFSET(INDIRECT("'"&amp;EC$67&amp;"'!f1"),N134-1,))*1</f>
        <v>8.8243857026100107E-3</v>
      </c>
      <c r="DM134" cm="1">
        <f t="array" aca="1" ref="DM134" ca="1">IF(ISNA(O134),,OFFSET(INDIRECT("'"&amp;ED$67&amp;"'!f1"),O134-1,))*1</f>
        <v>9.2123718932271004E-3</v>
      </c>
      <c r="DN134" cm="1">
        <f t="array" aca="1" ref="DN134" ca="1">IF(ISNA(P134),,OFFSET(INDIRECT("'"&amp;EE$67&amp;"'!f1"),P134-1,))*1</f>
        <v>1.34263262152671E-2</v>
      </c>
      <c r="DT134">
        <f t="shared" ca="1" si="125"/>
        <v>1</v>
      </c>
      <c r="DU134">
        <f t="shared" ca="1" si="126"/>
        <v>1</v>
      </c>
      <c r="DV134">
        <f t="shared" ca="1" si="127"/>
        <v>1</v>
      </c>
      <c r="DW134">
        <f t="shared" ca="1" si="128"/>
        <v>1</v>
      </c>
      <c r="DX134">
        <f t="shared" ca="1" si="129"/>
        <v>1</v>
      </c>
      <c r="DY134">
        <f t="shared" ca="1" si="130"/>
        <v>1</v>
      </c>
      <c r="DZ134">
        <f t="shared" ca="1" si="131"/>
        <v>4302</v>
      </c>
      <c r="EA134">
        <f t="shared" ca="1" si="132"/>
        <v>8645</v>
      </c>
      <c r="EB134">
        <f t="shared" ca="1" si="133"/>
        <v>3920</v>
      </c>
      <c r="EC134">
        <f t="shared" ca="1" si="134"/>
        <v>0</v>
      </c>
      <c r="ED134">
        <f t="shared" ca="1" si="135"/>
        <v>0</v>
      </c>
      <c r="EE134">
        <f t="shared" ca="1" si="136"/>
        <v>0</v>
      </c>
      <c r="EK134" cm="1">
        <f t="array" aca="1" ref="EK134" ca="1">IF(ISNA(E134),0,OFFSET(INDIRECT("'"&amp;EK$67&amp;"'!g1"),E134-1,)*CL134)</f>
        <v>1</v>
      </c>
      <c r="EL134" cm="1">
        <f t="array" aca="1" ref="EL134" ca="1">IF(ISNA(F134),0,OFFSET(INDIRECT("'"&amp;EL$67&amp;"'!g1"),F134-1,)*CM134)</f>
        <v>1</v>
      </c>
      <c r="EM134" cm="1">
        <f t="array" aca="1" ref="EM134" ca="1">IF(ISNA(G134),0,OFFSET(INDIRECT("'"&amp;EM$67&amp;"'!g1"),G134-1,)*CN134)</f>
        <v>1</v>
      </c>
      <c r="EN134" cm="1">
        <f t="array" aca="1" ref="EN134" ca="1">IF(ISNA(H134),0,OFFSET(INDIRECT("'"&amp;EN$67&amp;"'!g1"),H134-1,)*CO134)</f>
        <v>1</v>
      </c>
      <c r="EO134" cm="1">
        <f t="array" aca="1" ref="EO134" ca="1">IF(ISNA(I134),0,OFFSET(INDIRECT("'"&amp;EO$67&amp;"'!g1"),I134-1,)*CP134)</f>
        <v>1</v>
      </c>
      <c r="EP134" cm="1">
        <f t="array" aca="1" ref="EP134" ca="1">IF(ISNA(J134),0,OFFSET(INDIRECT("'"&amp;EP$67&amp;"'!g1"),J134-1,)*CQ134)</f>
        <v>1</v>
      </c>
      <c r="EQ134" cm="1">
        <f t="array" aca="1" ref="EQ134" ca="1">IF(ISNA(K134),0,OFFSET(INDIRECT("'"&amp;EQ$67&amp;"'!g1"),K134-1,)*CR134)</f>
        <v>4302</v>
      </c>
      <c r="ER134" cm="1">
        <f t="array" aca="1" ref="ER134" ca="1">IF(ISNA(L134),0,OFFSET(INDIRECT("'"&amp;ER$67&amp;"'!g1"),L134-1,)*CS134)</f>
        <v>8645</v>
      </c>
      <c r="ES134" cm="1">
        <f t="array" aca="1" ref="ES134" ca="1">IF(ISNA(M134),0,OFFSET(INDIRECT("'"&amp;ES$67&amp;"'!g1"),M134-1,)*CT134)</f>
        <v>3920</v>
      </c>
      <c r="ET134" cm="1">
        <f t="array" aca="1" ref="ET134" ca="1">IF(ISNA(N134),0,OFFSET(INDIRECT("'"&amp;ET$67&amp;"'!g1"),N134-1,)*CU134)</f>
        <v>0</v>
      </c>
      <c r="EU134" cm="1">
        <f t="array" aca="1" ref="EU134" ca="1">IF(ISNA(O134),0,OFFSET(INDIRECT("'"&amp;EU$67&amp;"'!g1"),O134-1,)*CV134)</f>
        <v>0</v>
      </c>
      <c r="EV134" cm="1">
        <f t="array" aca="1" ref="EV134" ca="1">IF(ISNA(P134),0,OFFSET(INDIRECT("'"&amp;EV$67&amp;"'!g1"),P134-1,)*CW134)</f>
        <v>0</v>
      </c>
      <c r="FB134" s="10" cm="1">
        <f t="array" aca="1" ref="FB134" ca="1">IF(ISNA(E134),0,OFFSET(INDIRECT("'"&amp;EK$67&amp;"'!h1"),E134-1,))</f>
        <v>1</v>
      </c>
      <c r="FC134" s="10" cm="1">
        <f t="array" aca="1" ref="FC134" ca="1">IF(ISNA(F134),0,OFFSET(INDIRECT("'"&amp;EL$67&amp;"'!h1"),F134-1,))</f>
        <v>1</v>
      </c>
      <c r="FD134" s="10" cm="1">
        <f t="array" aca="1" ref="FD134" ca="1">IF(ISNA(G134),0,OFFSET(INDIRECT("'"&amp;EM$67&amp;"'!h1"),G134-1,))</f>
        <v>1</v>
      </c>
      <c r="FE134" s="10" cm="1">
        <f t="array" aca="1" ref="FE134" ca="1">IF(ISNA(H134),0,OFFSET(INDIRECT("'"&amp;EN$67&amp;"'!h1"),H134-1,))</f>
        <v>1</v>
      </c>
      <c r="FF134" s="10" cm="1">
        <f t="array" aca="1" ref="FF134" ca="1">IF(ISNA(I134),0,OFFSET(INDIRECT("'"&amp;EO$67&amp;"'!h1"),I134-1,))</f>
        <v>1</v>
      </c>
      <c r="FG134" s="10" cm="1">
        <f t="array" aca="1" ref="FG134" ca="1">IF(ISNA(J134),0,OFFSET(INDIRECT("'"&amp;EP$67&amp;"'!h1"),J134-1,))</f>
        <v>1</v>
      </c>
      <c r="FH134" s="10" cm="1">
        <f t="array" aca="1" ref="FH134" ca="1">IF(ISNA(K134),0,OFFSET(INDIRECT("'"&amp;EQ$67&amp;"'!h1"),K134-1,))</f>
        <v>10000</v>
      </c>
      <c r="FI134" s="10" cm="1">
        <f t="array" aca="1" ref="FI134" ca="1">IF(ISNA(L134),0,OFFSET(INDIRECT("'"&amp;ER$67&amp;"'!h1"),L134-1,))</f>
        <v>10000</v>
      </c>
      <c r="FJ134" s="10" cm="1">
        <f t="array" aca="1" ref="FJ134" ca="1">IF(ISNA(M134),0,OFFSET(INDIRECT("'"&amp;ES$67&amp;"'!h1"),M134-1,))</f>
        <v>10000</v>
      </c>
      <c r="FK134" s="10" cm="1">
        <f t="array" aca="1" ref="FK134" ca="1">IF(ISNA(N134),0,OFFSET(INDIRECT("'"&amp;ET$67&amp;"'!h1"),N134-1,))</f>
        <v>1</v>
      </c>
      <c r="FL134" s="10" cm="1">
        <f t="array" aca="1" ref="FL134" ca="1">IF(ISNA(O134),0,OFFSET(INDIRECT("'"&amp;EU$67&amp;"'!h1"),O134-1,))</f>
        <v>1</v>
      </c>
      <c r="FM134" s="10" cm="1">
        <f t="array" aca="1" ref="FM134" ca="1">IF(ISNA(P134),0,OFFSET(INDIRECT("'"&amp;EV$67&amp;"'!h1"),P134-1,))</f>
        <v>9</v>
      </c>
      <c r="FN134" s="10"/>
      <c r="FO134" s="10"/>
      <c r="FP134" s="10"/>
      <c r="FQ134" s="10"/>
      <c r="FS134">
        <f t="shared" ca="1" si="137"/>
        <v>74</v>
      </c>
      <c r="FT134">
        <f t="shared" ca="1" si="62"/>
        <v>2.7508162455633198</v>
      </c>
      <c r="FU134">
        <f t="shared" ca="1" si="63"/>
        <v>4302</v>
      </c>
      <c r="FV134">
        <f t="shared" ca="1" si="64"/>
        <v>10000</v>
      </c>
      <c r="FW134" s="4">
        <f t="shared" ca="1" si="138"/>
        <v>0.43020000000000003</v>
      </c>
      <c r="FX134" s="5">
        <f t="shared" ca="1" si="139"/>
        <v>6.3942730022392377E-4</v>
      </c>
      <c r="FZ134" s="13">
        <f t="shared" ca="1" si="140"/>
        <v>74</v>
      </c>
      <c r="GA134" s="23">
        <f t="shared" ca="1" si="141"/>
        <v>0</v>
      </c>
      <c r="GB134" s="23">
        <f t="shared" ca="1" si="142"/>
        <v>0</v>
      </c>
      <c r="GC134" s="23">
        <f t="shared" ca="1" si="143"/>
        <v>0</v>
      </c>
      <c r="GD134" s="23">
        <f t="shared" ca="1" si="144"/>
        <v>0</v>
      </c>
      <c r="GE134" s="23">
        <f t="shared" ca="1" si="145"/>
        <v>0</v>
      </c>
      <c r="GF134" s="23">
        <f t="shared" ca="1" si="146"/>
        <v>0</v>
      </c>
      <c r="GG134" s="23">
        <f t="shared" ca="1" si="147"/>
        <v>0</v>
      </c>
      <c r="GH134" s="23">
        <f t="shared" ca="1" si="148"/>
        <v>0</v>
      </c>
      <c r="GI134" s="23">
        <f t="shared" ca="1" si="149"/>
        <v>0</v>
      </c>
      <c r="GJ134" s="23" t="e">
        <f t="shared" ca="1" si="150"/>
        <v>#N/A</v>
      </c>
      <c r="GK134" s="23" t="e">
        <f t="shared" ca="1" si="151"/>
        <v>#N/A</v>
      </c>
      <c r="GL134" s="23" t="e">
        <f t="shared" ca="1" si="152"/>
        <v>#N/A</v>
      </c>
      <c r="GM134" s="23"/>
      <c r="GN134">
        <f t="shared" ca="1" si="153"/>
        <v>74</v>
      </c>
      <c r="GO134" s="5">
        <f t="shared" ca="1" si="154"/>
        <v>0.53943949600216001</v>
      </c>
      <c r="GP134" s="5">
        <f t="shared" ca="1" si="155"/>
        <v>1.8813370589923499</v>
      </c>
      <c r="GQ134" s="5">
        <f t="shared" ca="1" si="156"/>
        <v>0.83448499298538004</v>
      </c>
      <c r="GR134" s="5">
        <f t="shared" ca="1" si="157"/>
        <v>15.899908624589401</v>
      </c>
      <c r="GS134" s="5">
        <f t="shared" ca="1" si="158"/>
        <v>5.5626540997763999E-2</v>
      </c>
      <c r="GT134" s="5">
        <f t="shared" ca="1" si="159"/>
        <v>0.21998002706095501</v>
      </c>
      <c r="GU134" s="5">
        <f t="shared" ca="1" si="160"/>
        <v>6.3942730022392377E-4</v>
      </c>
      <c r="GV134" s="5">
        <f t="shared" ca="1" si="161"/>
        <v>3.824231557940174E-4</v>
      </c>
      <c r="GW134" s="5">
        <f t="shared" ca="1" si="162"/>
        <v>7.9415221542965559E-3</v>
      </c>
      <c r="GX134" s="5" t="e">
        <f t="shared" ca="1" si="163"/>
        <v>#N/A</v>
      </c>
      <c r="GY134" s="5" t="e">
        <f t="shared" ca="1" si="164"/>
        <v>#N/A</v>
      </c>
      <c r="GZ134" s="5" t="e">
        <f t="shared" ca="1" si="165"/>
        <v>#N/A</v>
      </c>
      <c r="HB134" s="13">
        <f t="shared" ca="1" si="166"/>
        <v>74</v>
      </c>
      <c r="HC134" s="4">
        <f t="shared" ca="1" si="167"/>
        <v>1</v>
      </c>
      <c r="HD134" s="4">
        <f t="shared" ca="1" si="168"/>
        <v>1</v>
      </c>
      <c r="HE134" s="4">
        <f t="shared" ca="1" si="169"/>
        <v>1</v>
      </c>
      <c r="HF134" s="4">
        <f t="shared" ca="1" si="170"/>
        <v>1</v>
      </c>
      <c r="HG134" s="4">
        <f t="shared" ca="1" si="171"/>
        <v>1</v>
      </c>
      <c r="HH134" s="4">
        <f t="shared" ca="1" si="172"/>
        <v>1</v>
      </c>
      <c r="HI134" s="4">
        <f t="shared" ca="1" si="173"/>
        <v>0.43020000000000003</v>
      </c>
      <c r="HJ134" s="4">
        <f t="shared" ca="1" si="174"/>
        <v>0.86450000000000005</v>
      </c>
      <c r="HK134" s="4">
        <f t="shared" ca="1" si="175"/>
        <v>0.39200000000000002</v>
      </c>
      <c r="HL134" s="4">
        <f t="shared" ca="1" si="176"/>
        <v>0</v>
      </c>
      <c r="HM134" s="4">
        <f t="shared" ca="1" si="177"/>
        <v>0</v>
      </c>
      <c r="HN134" s="4">
        <f t="shared" ca="1" si="178"/>
        <v>0</v>
      </c>
    </row>
    <row r="135" spans="1:222" x14ac:dyDescent="0.2">
      <c r="A135" t="str" cm="1">
        <f t="array" aca="1" ref="A135" ca="1">INDIRECT($A$67&amp;"!A"&amp;ROW(C68)+$B$64)</f>
        <v>[[75,28,19]]</v>
      </c>
      <c r="B135" cm="1">
        <f t="array" aca="1" ref="B135" ca="1">INDIRECT($A$67&amp;"!b"&amp;ROW(D68)+$B$64)</f>
        <v>75</v>
      </c>
      <c r="C135">
        <f t="shared" ca="1" si="78"/>
        <v>19</v>
      </c>
      <c r="E135">
        <f t="shared" ca="1" si="182"/>
        <v>92</v>
      </c>
      <c r="F135">
        <f t="shared" ca="1" si="182"/>
        <v>93</v>
      </c>
      <c r="G135">
        <f t="shared" ca="1" si="182"/>
        <v>92</v>
      </c>
      <c r="H135">
        <f t="shared" ca="1" si="182"/>
        <v>100</v>
      </c>
      <c r="I135">
        <f t="shared" ca="1" si="182"/>
        <v>95</v>
      </c>
      <c r="J135">
        <f t="shared" ca="1" si="182"/>
        <v>92</v>
      </c>
      <c r="K135">
        <f t="shared" ca="1" si="182"/>
        <v>99</v>
      </c>
      <c r="L135">
        <f t="shared" ca="1" si="182"/>
        <v>101</v>
      </c>
      <c r="M135">
        <f t="shared" ca="1" si="182"/>
        <v>98</v>
      </c>
      <c r="N135">
        <f t="shared" ca="1" si="182"/>
        <v>96</v>
      </c>
      <c r="O135">
        <f t="shared" ca="1" si="182"/>
        <v>96</v>
      </c>
      <c r="P135">
        <f t="shared" ca="1" si="182"/>
        <v>96</v>
      </c>
      <c r="V135" cm="1">
        <f t="array" aca="1" ref="V135" ca="1">IF(ISNA(E135),,OFFSET(INDIRECT("'"&amp;V$67&amp;"'!d1"),E135-1,))</f>
        <v>19</v>
      </c>
      <c r="W135" cm="1">
        <f t="array" aca="1" ref="W135" ca="1">IF(ISNA(F135),,OFFSET(INDIRECT("'"&amp;W$67&amp;"'!d1"),F135-1,))</f>
        <v>19</v>
      </c>
      <c r="X135" cm="1">
        <f t="array" aca="1" ref="X135" ca="1">IF(ISNA(G135),,OFFSET(INDIRECT("'"&amp;X$67&amp;"'!d1"),G135-1,))</f>
        <v>19</v>
      </c>
      <c r="Y135" cm="1">
        <f t="array" aca="1" ref="Y135" ca="1">IF(ISNA(H135),,OFFSET(INDIRECT("'"&amp;Y$67&amp;"'!d1"),H135-1,))</f>
        <v>0</v>
      </c>
      <c r="Z135" cm="1">
        <f t="array" aca="1" ref="Z135" ca="1">IF(ISNA(I135),,OFFSET(INDIRECT("'"&amp;Z$67&amp;"'!d1"),I135-1,))</f>
        <v>19</v>
      </c>
      <c r="AA135" cm="1">
        <f t="array" aca="1" ref="AA135" ca="1">IF(ISNA(J135),,OFFSET(INDIRECT("'"&amp;AA$67&amp;"'!d1"),J135-1,))</f>
        <v>19</v>
      </c>
      <c r="AB135" cm="1">
        <f t="array" aca="1" ref="AB135" ca="1">IF(ISNA(K135),,OFFSET(INDIRECT("'"&amp;AB$67&amp;"'!d1"),K135-1,))</f>
        <v>19</v>
      </c>
      <c r="AC135" cm="1">
        <f t="array" aca="1" ref="AC135" ca="1">IF(ISNA(L135),,OFFSET(INDIRECT("'"&amp;AC$67&amp;"'!d1"),L135-1,))</f>
        <v>19</v>
      </c>
      <c r="AD135" cm="1">
        <f t="array" aca="1" ref="AD135" ca="1">IF(ISNA(M135),,OFFSET(INDIRECT("'"&amp;AD$67&amp;"'!d1"),M135-1,))</f>
        <v>19</v>
      </c>
      <c r="AE135" cm="1">
        <f t="array" aca="1" ref="AE135" ca="1">IF(ISNA(N135),,OFFSET(INDIRECT("'"&amp;AE$67&amp;"'!d1"),N135-1,))</f>
        <v>0</v>
      </c>
      <c r="AF135" cm="1">
        <f t="array" aca="1" ref="AF135" ca="1">IF(ISNA(O135),,OFFSET(INDIRECT("'"&amp;AF$67&amp;"'!d1"),O135-1,))</f>
        <v>0</v>
      </c>
      <c r="AG135" cm="1">
        <f t="array" aca="1" ref="AG135" ca="1">IF(ISNA(P135),,OFFSET(INDIRECT("'"&amp;AG$67&amp;"'!d1"),P135-1,))</f>
        <v>0</v>
      </c>
      <c r="AM135">
        <f t="shared" ca="1" si="79"/>
        <v>1</v>
      </c>
      <c r="AN135">
        <f t="shared" ca="1" si="80"/>
        <v>0</v>
      </c>
      <c r="AO135">
        <f t="shared" ca="1" si="81"/>
        <v>0</v>
      </c>
      <c r="AP135">
        <f t="shared" ca="1" si="82"/>
        <v>0</v>
      </c>
      <c r="AQ135">
        <f t="shared" ca="1" si="83"/>
        <v>1</v>
      </c>
      <c r="AV135" t="b">
        <f t="shared" ca="1" si="84"/>
        <v>1</v>
      </c>
      <c r="AW135" t="str">
        <f t="shared" ca="1" si="85"/>
        <v/>
      </c>
      <c r="AX135" t="str">
        <f t="shared" ca="1" si="86"/>
        <v/>
      </c>
      <c r="AY135" t="str">
        <f t="shared" ca="1" si="87"/>
        <v/>
      </c>
      <c r="AZ135" t="b">
        <f t="shared" ca="1" si="88"/>
        <v>1</v>
      </c>
      <c r="BD135">
        <f t="shared" ca="1" si="89"/>
        <v>1</v>
      </c>
      <c r="BE135">
        <f t="shared" ca="1" si="90"/>
        <v>1</v>
      </c>
      <c r="BF135">
        <f t="shared" ca="1" si="91"/>
        <v>1</v>
      </c>
      <c r="BG135">
        <f t="shared" ca="1" si="92"/>
        <v>0</v>
      </c>
      <c r="BH135">
        <f t="shared" ca="1" si="93"/>
        <v>1</v>
      </c>
      <c r="BI135">
        <f t="shared" ca="1" si="94"/>
        <v>1</v>
      </c>
      <c r="BJ135">
        <f t="shared" ca="1" si="95"/>
        <v>1</v>
      </c>
      <c r="BK135">
        <f t="shared" ca="1" si="96"/>
        <v>1</v>
      </c>
      <c r="BL135">
        <f t="shared" ca="1" si="97"/>
        <v>1</v>
      </c>
      <c r="BM135">
        <f t="shared" ca="1" si="98"/>
        <v>0</v>
      </c>
      <c r="BN135">
        <f t="shared" ca="1" si="99"/>
        <v>0</v>
      </c>
      <c r="BO135">
        <f t="shared" ca="1" si="100"/>
        <v>0</v>
      </c>
      <c r="BU135">
        <f t="shared" ca="1" si="101"/>
        <v>19</v>
      </c>
      <c r="BV135">
        <f t="shared" ca="1" si="102"/>
        <v>19</v>
      </c>
      <c r="BW135">
        <f t="shared" ca="1" si="103"/>
        <v>19</v>
      </c>
      <c r="BX135">
        <f t="shared" ca="1" si="104"/>
        <v>75</v>
      </c>
      <c r="BY135">
        <f t="shared" ca="1" si="105"/>
        <v>19</v>
      </c>
      <c r="BZ135">
        <f t="shared" ca="1" si="106"/>
        <v>19</v>
      </c>
      <c r="CA135">
        <f t="shared" ca="1" si="107"/>
        <v>19</v>
      </c>
      <c r="CB135">
        <f t="shared" ca="1" si="108"/>
        <v>19</v>
      </c>
      <c r="CC135">
        <f t="shared" ca="1" si="109"/>
        <v>19</v>
      </c>
      <c r="CD135">
        <f t="shared" ca="1" si="110"/>
        <v>75</v>
      </c>
      <c r="CE135">
        <f t="shared" ca="1" si="111"/>
        <v>75</v>
      </c>
      <c r="CF135">
        <f t="shared" ca="1" si="112"/>
        <v>75</v>
      </c>
      <c r="CL135">
        <f t="shared" ca="1" si="113"/>
        <v>1</v>
      </c>
      <c r="CM135">
        <f t="shared" ca="1" si="114"/>
        <v>1</v>
      </c>
      <c r="CN135">
        <f t="shared" ca="1" si="115"/>
        <v>1</v>
      </c>
      <c r="CO135">
        <f t="shared" ca="1" si="116"/>
        <v>0</v>
      </c>
      <c r="CP135">
        <f t="shared" ca="1" si="117"/>
        <v>1</v>
      </c>
      <c r="CQ135">
        <f t="shared" ca="1" si="118"/>
        <v>1</v>
      </c>
      <c r="CR135">
        <f t="shared" ca="1" si="119"/>
        <v>1</v>
      </c>
      <c r="CS135">
        <f t="shared" ca="1" si="120"/>
        <v>1</v>
      </c>
      <c r="CT135">
        <f t="shared" ca="1" si="121"/>
        <v>1</v>
      </c>
      <c r="CU135">
        <f t="shared" ca="1" si="122"/>
        <v>0</v>
      </c>
      <c r="CV135">
        <f t="shared" ca="1" si="123"/>
        <v>0</v>
      </c>
      <c r="CW135">
        <f t="shared" ca="1" si="124"/>
        <v>0</v>
      </c>
      <c r="DC135" cm="1">
        <f t="array" aca="1" ref="DC135" ca="1">IF(ISNA(E135),,OFFSET(INDIRECT("'"&amp;DT$67&amp;"'!f1"),E135-1,))*1</f>
        <v>15410.416043705</v>
      </c>
      <c r="DD135" cm="1">
        <f t="array" aca="1" ref="DD135" ca="1">IF(ISNA(F135),,OFFSET(INDIRECT("'"&amp;DU$67&amp;"'!f1"),F135-1,))*1</f>
        <v>28816.518483004002</v>
      </c>
      <c r="DE135" cm="1">
        <f t="array" aca="1" ref="DE135" ca="1">IF(ISNA(G135),,OFFSET(INDIRECT("'"&amp;DV$67&amp;"'!f1"),G135-1,))*1</f>
        <v>28800.110843629998</v>
      </c>
      <c r="DF135" cm="1">
        <f t="array" aca="1" ref="DF135" ca="1">IF(ISNA(H135),,OFFSET(INDIRECT("'"&amp;DW$67&amp;"'!f1"),H135-1,))*1</f>
        <v>28800.1101217791</v>
      </c>
      <c r="DG135" cm="1">
        <f t="array" aca="1" ref="DG135" ca="1">IF(ISNA(I135),,OFFSET(INDIRECT("'"&amp;DX$67&amp;"'!f1"),I135-1,))*1</f>
        <v>9.9921084001834901E-2</v>
      </c>
      <c r="DH135" cm="1">
        <f t="array" aca="1" ref="DH135" ca="1">IF(ISNA(J135),,OFFSET(INDIRECT("'"&amp;DY$67&amp;"'!f1"),J135-1,))*1</f>
        <v>0.19865609100088399</v>
      </c>
      <c r="DI135" cm="1">
        <f t="array" aca="1" ref="DI135" ca="1">IF(ISNA(K135),,OFFSET(INDIRECT("'"&amp;DZ$67&amp;"'!f1"),K135-1,))*1</f>
        <v>2.9364733686670599</v>
      </c>
      <c r="DJ135" cm="1">
        <f t="array" aca="1" ref="DJ135" ca="1">IF(ISNA(L135),,OFFSET(INDIRECT("'"&amp;EA$67&amp;"'!f1"),L135-1,))*1</f>
        <v>3.4130425220355298</v>
      </c>
      <c r="DK135" cm="1">
        <f t="array" aca="1" ref="DK135" ca="1">IF(ISNA(M135),,OFFSET(INDIRECT("'"&amp;EB$67&amp;"'!f1"),M135-1,))*1</f>
        <v>35.375498756300601</v>
      </c>
      <c r="DL135" cm="1">
        <f t="array" aca="1" ref="DL135" ca="1">IF(ISNA(N135),,OFFSET(INDIRECT("'"&amp;EC$67&amp;"'!f1"),N135-1,))*1</f>
        <v>1.10727371647953E-2</v>
      </c>
      <c r="DM135" cm="1">
        <f t="array" aca="1" ref="DM135" ca="1">IF(ISNA(O135),,OFFSET(INDIRECT("'"&amp;ED$67&amp;"'!f1"),O135-1,))*1</f>
        <v>1.12154902890324E-2</v>
      </c>
      <c r="DN135" cm="1">
        <f t="array" aca="1" ref="DN135" ca="1">IF(ISNA(P135),,OFFSET(INDIRECT("'"&amp;EE$67&amp;"'!f1"),P135-1,))*1</f>
        <v>1.8821706064045401E-2</v>
      </c>
      <c r="DT135">
        <f t="shared" ca="1" si="125"/>
        <v>1</v>
      </c>
      <c r="DU135">
        <f t="shared" ca="1" si="126"/>
        <v>1</v>
      </c>
      <c r="DV135">
        <f t="shared" ca="1" si="127"/>
        <v>1</v>
      </c>
      <c r="DW135">
        <f t="shared" ca="1" si="128"/>
        <v>0</v>
      </c>
      <c r="DX135">
        <f t="shared" ca="1" si="129"/>
        <v>1</v>
      </c>
      <c r="DY135">
        <f t="shared" ca="1" si="130"/>
        <v>1</v>
      </c>
      <c r="DZ135">
        <f t="shared" ca="1" si="131"/>
        <v>2405</v>
      </c>
      <c r="EA135">
        <f t="shared" ca="1" si="132"/>
        <v>5626</v>
      </c>
      <c r="EB135">
        <f t="shared" ca="1" si="133"/>
        <v>903</v>
      </c>
      <c r="EC135">
        <f t="shared" ca="1" si="134"/>
        <v>0</v>
      </c>
      <c r="ED135">
        <f t="shared" ca="1" si="135"/>
        <v>0</v>
      </c>
      <c r="EE135">
        <f t="shared" ca="1" si="136"/>
        <v>0</v>
      </c>
      <c r="EK135" cm="1">
        <f t="array" aca="1" ref="EK135" ca="1">IF(ISNA(E135),0,OFFSET(INDIRECT("'"&amp;EK$67&amp;"'!g1"),E135-1,)*CL135)</f>
        <v>1</v>
      </c>
      <c r="EL135" cm="1">
        <f t="array" aca="1" ref="EL135" ca="1">IF(ISNA(F135),0,OFFSET(INDIRECT("'"&amp;EL$67&amp;"'!g1"),F135-1,)*CM135)</f>
        <v>1</v>
      </c>
      <c r="EM135" cm="1">
        <f t="array" aca="1" ref="EM135" ca="1">IF(ISNA(G135),0,OFFSET(INDIRECT("'"&amp;EM$67&amp;"'!g1"),G135-1,)*CN135)</f>
        <v>1</v>
      </c>
      <c r="EN135" cm="1">
        <f t="array" aca="1" ref="EN135" ca="1">IF(ISNA(H135),0,OFFSET(INDIRECT("'"&amp;EN$67&amp;"'!g1"),H135-1,)*CO135)</f>
        <v>0</v>
      </c>
      <c r="EO135" cm="1">
        <f t="array" aca="1" ref="EO135" ca="1">IF(ISNA(I135),0,OFFSET(INDIRECT("'"&amp;EO$67&amp;"'!g1"),I135-1,)*CP135)</f>
        <v>1</v>
      </c>
      <c r="EP135" cm="1">
        <f t="array" aca="1" ref="EP135" ca="1">IF(ISNA(J135),0,OFFSET(INDIRECT("'"&amp;EP$67&amp;"'!g1"),J135-1,)*CQ135)</f>
        <v>1</v>
      </c>
      <c r="EQ135" cm="1">
        <f t="array" aca="1" ref="EQ135" ca="1">IF(ISNA(K135),0,OFFSET(INDIRECT("'"&amp;EQ$67&amp;"'!g1"),K135-1,)*CR135)</f>
        <v>2405</v>
      </c>
      <c r="ER135" cm="1">
        <f t="array" aca="1" ref="ER135" ca="1">IF(ISNA(L135),0,OFFSET(INDIRECT("'"&amp;ER$67&amp;"'!g1"),L135-1,)*CS135)</f>
        <v>5626</v>
      </c>
      <c r="ES135" cm="1">
        <f t="array" aca="1" ref="ES135" ca="1">IF(ISNA(M135),0,OFFSET(INDIRECT("'"&amp;ES$67&amp;"'!g1"),M135-1,)*CT135)</f>
        <v>903</v>
      </c>
      <c r="ET135" cm="1">
        <f t="array" aca="1" ref="ET135" ca="1">IF(ISNA(N135),0,OFFSET(INDIRECT("'"&amp;ET$67&amp;"'!g1"),N135-1,)*CU135)</f>
        <v>0</v>
      </c>
      <c r="EU135" cm="1">
        <f t="array" aca="1" ref="EU135" ca="1">IF(ISNA(O135),0,OFFSET(INDIRECT("'"&amp;EU$67&amp;"'!g1"),O135-1,)*CV135)</f>
        <v>0</v>
      </c>
      <c r="EV135" cm="1">
        <f t="array" aca="1" ref="EV135" ca="1">IF(ISNA(P135),0,OFFSET(INDIRECT("'"&amp;EV$67&amp;"'!g1"),P135-1,)*CW135)</f>
        <v>0</v>
      </c>
      <c r="FB135" s="10" cm="1">
        <f t="array" aca="1" ref="FB135" ca="1">IF(ISNA(E135),0,OFFSET(INDIRECT("'"&amp;EK$67&amp;"'!h1"),E135-1,))</f>
        <v>1</v>
      </c>
      <c r="FC135" s="10" cm="1">
        <f t="array" aca="1" ref="FC135" ca="1">IF(ISNA(F135),0,OFFSET(INDIRECT("'"&amp;EL$67&amp;"'!h1"),F135-1,))</f>
        <v>1</v>
      </c>
      <c r="FD135" s="10" cm="1">
        <f t="array" aca="1" ref="FD135" ca="1">IF(ISNA(G135),0,OFFSET(INDIRECT("'"&amp;EM$67&amp;"'!h1"),G135-1,))</f>
        <v>1</v>
      </c>
      <c r="FE135" s="10" cm="1">
        <f t="array" aca="1" ref="FE135" ca="1">IF(ISNA(H135),0,OFFSET(INDIRECT("'"&amp;EN$67&amp;"'!h1"),H135-1,))</f>
        <v>1</v>
      </c>
      <c r="FF135" s="10" cm="1">
        <f t="array" aca="1" ref="FF135" ca="1">IF(ISNA(I135),0,OFFSET(INDIRECT("'"&amp;EO$67&amp;"'!h1"),I135-1,))</f>
        <v>1</v>
      </c>
      <c r="FG135" s="10" cm="1">
        <f t="array" aca="1" ref="FG135" ca="1">IF(ISNA(J135),0,OFFSET(INDIRECT("'"&amp;EP$67&amp;"'!h1"),J135-1,))</f>
        <v>1</v>
      </c>
      <c r="FH135" s="10" cm="1">
        <f t="array" aca="1" ref="FH135" ca="1">IF(ISNA(K135),0,OFFSET(INDIRECT("'"&amp;EQ$67&amp;"'!h1"),K135-1,))</f>
        <v>10000</v>
      </c>
      <c r="FI135" s="10" cm="1">
        <f t="array" aca="1" ref="FI135" ca="1">IF(ISNA(L135),0,OFFSET(INDIRECT("'"&amp;ER$67&amp;"'!h1"),L135-1,))</f>
        <v>10000</v>
      </c>
      <c r="FJ135" s="10" cm="1">
        <f t="array" aca="1" ref="FJ135" ca="1">IF(ISNA(M135),0,OFFSET(INDIRECT("'"&amp;ES$67&amp;"'!h1"),M135-1,))</f>
        <v>10000</v>
      </c>
      <c r="FK135" s="10" cm="1">
        <f t="array" aca="1" ref="FK135" ca="1">IF(ISNA(N135),0,OFFSET(INDIRECT("'"&amp;ET$67&amp;"'!h1"),N135-1,))</f>
        <v>1</v>
      </c>
      <c r="FL135" s="10" cm="1">
        <f t="array" aca="1" ref="FL135" ca="1">IF(ISNA(O135),0,OFFSET(INDIRECT("'"&amp;EU$67&amp;"'!h1"),O135-1,))</f>
        <v>1</v>
      </c>
      <c r="FM135" s="10" cm="1">
        <f t="array" aca="1" ref="FM135" ca="1">IF(ISNA(P135),0,OFFSET(INDIRECT("'"&amp;EV$67&amp;"'!h1"),P135-1,))</f>
        <v>9</v>
      </c>
      <c r="FN135" s="10"/>
      <c r="FO135" s="10"/>
      <c r="FP135" s="10"/>
      <c r="FQ135" s="10"/>
      <c r="FS135">
        <f t="shared" ca="1" si="137"/>
        <v>75</v>
      </c>
      <c r="FT135">
        <f t="shared" ca="1" si="62"/>
        <v>2.9364733686670599</v>
      </c>
      <c r="FU135">
        <f t="shared" ca="1" si="63"/>
        <v>2405</v>
      </c>
      <c r="FV135">
        <f t="shared" ca="1" si="64"/>
        <v>10000</v>
      </c>
      <c r="FW135" s="4">
        <f t="shared" ca="1" si="138"/>
        <v>0.24049999999999999</v>
      </c>
      <c r="FX135" s="5">
        <f t="shared" ca="1" si="139"/>
        <v>1.2209868476786112E-3</v>
      </c>
      <c r="FZ135" s="13">
        <f t="shared" ca="1" si="140"/>
        <v>75</v>
      </c>
      <c r="GA135" s="23">
        <f t="shared" ca="1" si="141"/>
        <v>0</v>
      </c>
      <c r="GB135" s="23">
        <f t="shared" ca="1" si="142"/>
        <v>0</v>
      </c>
      <c r="GC135" s="23">
        <f t="shared" ca="1" si="143"/>
        <v>0</v>
      </c>
      <c r="GD135" s="23" t="e">
        <f t="shared" ca="1" si="144"/>
        <v>#N/A</v>
      </c>
      <c r="GE135" s="23">
        <f t="shared" ca="1" si="145"/>
        <v>0</v>
      </c>
      <c r="GF135" s="23">
        <f t="shared" ca="1" si="146"/>
        <v>0</v>
      </c>
      <c r="GG135" s="23">
        <f t="shared" ca="1" si="147"/>
        <v>0</v>
      </c>
      <c r="GH135" s="23">
        <f t="shared" ca="1" si="148"/>
        <v>0</v>
      </c>
      <c r="GI135" s="23">
        <f t="shared" ca="1" si="149"/>
        <v>0</v>
      </c>
      <c r="GJ135" s="23" t="e">
        <f t="shared" ca="1" si="150"/>
        <v>#N/A</v>
      </c>
      <c r="GK135" s="23" t="e">
        <f t="shared" ca="1" si="151"/>
        <v>#N/A</v>
      </c>
      <c r="GL135" s="23" t="e">
        <f t="shared" ca="1" si="152"/>
        <v>#N/A</v>
      </c>
      <c r="GM135" s="23"/>
      <c r="GN135">
        <f t="shared" ca="1" si="153"/>
        <v>75</v>
      </c>
      <c r="GO135" s="5">
        <f t="shared" ca="1" si="154"/>
        <v>15410.416043705</v>
      </c>
      <c r="GP135" s="5" t="e">
        <f t="shared" ca="1" si="155"/>
        <v>#N/A</v>
      </c>
      <c r="GQ135" s="5" t="e">
        <f t="shared" ca="1" si="156"/>
        <v>#N/A</v>
      </c>
      <c r="GR135" s="5" t="e">
        <f t="shared" ca="1" si="157"/>
        <v>#N/A</v>
      </c>
      <c r="GS135" s="5">
        <f t="shared" ca="1" si="158"/>
        <v>9.9921084001834901E-2</v>
      </c>
      <c r="GT135" s="5">
        <f t="shared" ca="1" si="159"/>
        <v>0.19865609100088399</v>
      </c>
      <c r="GU135" s="5">
        <f t="shared" ca="1" si="160"/>
        <v>1.2209868476786112E-3</v>
      </c>
      <c r="GV135" s="5">
        <f t="shared" ca="1" si="161"/>
        <v>6.0665526520361352E-4</v>
      </c>
      <c r="GW135" s="5">
        <f t="shared" ca="1" si="162"/>
        <v>3.9175524647066001E-2</v>
      </c>
      <c r="GX135" s="5" t="e">
        <f t="shared" ca="1" si="163"/>
        <v>#N/A</v>
      </c>
      <c r="GY135" s="5" t="e">
        <f t="shared" ca="1" si="164"/>
        <v>#N/A</v>
      </c>
      <c r="GZ135" s="5" t="e">
        <f t="shared" ca="1" si="165"/>
        <v>#N/A</v>
      </c>
      <c r="HB135" s="13">
        <f t="shared" ca="1" si="166"/>
        <v>75</v>
      </c>
      <c r="HC135" s="4">
        <f t="shared" ca="1" si="167"/>
        <v>1</v>
      </c>
      <c r="HD135" s="4">
        <f t="shared" ca="1" si="168"/>
        <v>1</v>
      </c>
      <c r="HE135" s="4">
        <f t="shared" ca="1" si="169"/>
        <v>1</v>
      </c>
      <c r="HF135" s="4">
        <f t="shared" ca="1" si="170"/>
        <v>0</v>
      </c>
      <c r="HG135" s="4">
        <f t="shared" ca="1" si="171"/>
        <v>1</v>
      </c>
      <c r="HH135" s="4">
        <f t="shared" ca="1" si="172"/>
        <v>1</v>
      </c>
      <c r="HI135" s="4">
        <f t="shared" ca="1" si="173"/>
        <v>0.24049999999999999</v>
      </c>
      <c r="HJ135" s="4">
        <f t="shared" ca="1" si="174"/>
        <v>0.56259999999999999</v>
      </c>
      <c r="HK135" s="4">
        <f t="shared" ca="1" si="175"/>
        <v>9.0300000000000005E-2</v>
      </c>
      <c r="HL135" s="4">
        <f t="shared" ca="1" si="176"/>
        <v>0</v>
      </c>
      <c r="HM135" s="4">
        <f t="shared" ca="1" si="177"/>
        <v>0</v>
      </c>
      <c r="HN135" s="4">
        <f t="shared" ca="1" si="178"/>
        <v>0</v>
      </c>
    </row>
    <row r="136" spans="1:222" x14ac:dyDescent="0.2">
      <c r="A136" t="str" cm="1">
        <f t="array" aca="1" ref="A136" ca="1">INDIRECT($A$67&amp;"!A"&amp;ROW(C69)+$B$64)</f>
        <v>[[76,40,12]]</v>
      </c>
      <c r="B136" cm="1">
        <f t="array" aca="1" ref="B136" ca="1">INDIRECT($A$67&amp;"!b"&amp;ROW(D69)+$B$64)</f>
        <v>76</v>
      </c>
      <c r="C136">
        <f t="shared" ca="1" si="78"/>
        <v>12</v>
      </c>
      <c r="E136">
        <f t="shared" ca="1" si="182"/>
        <v>93</v>
      </c>
      <c r="F136">
        <f t="shared" ca="1" si="182"/>
        <v>94</v>
      </c>
      <c r="G136">
        <f t="shared" ca="1" si="182"/>
        <v>93</v>
      </c>
      <c r="H136">
        <f t="shared" ca="1" si="182"/>
        <v>84</v>
      </c>
      <c r="I136">
        <f t="shared" ca="1" si="182"/>
        <v>96</v>
      </c>
      <c r="J136">
        <f t="shared" ca="1" si="182"/>
        <v>93</v>
      </c>
      <c r="K136">
        <f t="shared" ca="1" si="182"/>
        <v>100</v>
      </c>
      <c r="L136">
        <f t="shared" ca="1" si="182"/>
        <v>102</v>
      </c>
      <c r="M136">
        <f t="shared" ca="1" si="182"/>
        <v>99</v>
      </c>
      <c r="N136">
        <f t="shared" ca="1" si="182"/>
        <v>97</v>
      </c>
      <c r="O136">
        <f t="shared" ca="1" si="182"/>
        <v>97</v>
      </c>
      <c r="P136">
        <f t="shared" ca="1" si="182"/>
        <v>97</v>
      </c>
      <c r="V136" cm="1">
        <f t="array" aca="1" ref="V136" ca="1">IF(ISNA(E136),,OFFSET(INDIRECT("'"&amp;V$67&amp;"'!d1"),E136-1,))</f>
        <v>12</v>
      </c>
      <c r="W136" cm="1">
        <f t="array" aca="1" ref="W136" ca="1">IF(ISNA(F136),,OFFSET(INDIRECT("'"&amp;W$67&amp;"'!d1"),F136-1,))</f>
        <v>12</v>
      </c>
      <c r="X136" cm="1">
        <f t="array" aca="1" ref="X136" ca="1">IF(ISNA(G136),,OFFSET(INDIRECT("'"&amp;X$67&amp;"'!d1"),G136-1,))</f>
        <v>12</v>
      </c>
      <c r="Y136" cm="1">
        <f t="array" aca="1" ref="Y136" ca="1">IF(ISNA(H136),,OFFSET(INDIRECT("'"&amp;Y$67&amp;"'!d1"),H136-1,))</f>
        <v>0</v>
      </c>
      <c r="Z136" cm="1">
        <f t="array" aca="1" ref="Z136" ca="1">IF(ISNA(I136),,OFFSET(INDIRECT("'"&amp;Z$67&amp;"'!d1"),I136-1,))</f>
        <v>12</v>
      </c>
      <c r="AA136" cm="1">
        <f t="array" aca="1" ref="AA136" ca="1">IF(ISNA(J136),,OFFSET(INDIRECT("'"&amp;AA$67&amp;"'!d1"),J136-1,))</f>
        <v>12</v>
      </c>
      <c r="AB136" cm="1">
        <f t="array" aca="1" ref="AB136" ca="1">IF(ISNA(K136),,OFFSET(INDIRECT("'"&amp;AB$67&amp;"'!d1"),K136-1,))</f>
        <v>12</v>
      </c>
      <c r="AC136" cm="1">
        <f t="array" aca="1" ref="AC136" ca="1">IF(ISNA(L136),,OFFSET(INDIRECT("'"&amp;AC$67&amp;"'!d1"),L136-1,))</f>
        <v>12</v>
      </c>
      <c r="AD136" cm="1">
        <f t="array" aca="1" ref="AD136" ca="1">IF(ISNA(M136),,OFFSET(INDIRECT("'"&amp;AD$67&amp;"'!d1"),M136-1,))</f>
        <v>12</v>
      </c>
      <c r="AE136" cm="1">
        <f t="array" aca="1" ref="AE136" ca="1">IF(ISNA(N136),,OFFSET(INDIRECT("'"&amp;AE$67&amp;"'!d1"),N136-1,))</f>
        <v>0</v>
      </c>
      <c r="AF136" cm="1">
        <f t="array" aca="1" ref="AF136" ca="1">IF(ISNA(O136),,OFFSET(INDIRECT("'"&amp;AF$67&amp;"'!d1"),O136-1,))</f>
        <v>0</v>
      </c>
      <c r="AG136" cm="1">
        <f t="array" aca="1" ref="AG136" ca="1">IF(ISNA(P136),,OFFSET(INDIRECT("'"&amp;AG$67&amp;"'!d1"),P136-1,))</f>
        <v>12</v>
      </c>
      <c r="AM136">
        <f t="shared" ca="1" si="79"/>
        <v>1</v>
      </c>
      <c r="AN136">
        <f t="shared" ca="1" si="80"/>
        <v>1</v>
      </c>
      <c r="AO136">
        <f t="shared" ca="1" si="81"/>
        <v>0</v>
      </c>
      <c r="AP136">
        <f t="shared" ca="1" si="82"/>
        <v>0</v>
      </c>
      <c r="AQ136">
        <f t="shared" ca="1" si="83"/>
        <v>1</v>
      </c>
      <c r="AV136" t="b">
        <f t="shared" ca="1" si="84"/>
        <v>1</v>
      </c>
      <c r="AW136" t="b">
        <f t="shared" ca="1" si="85"/>
        <v>1</v>
      </c>
      <c r="AX136" t="str">
        <f t="shared" ca="1" si="86"/>
        <v/>
      </c>
      <c r="AY136" t="str">
        <f t="shared" ca="1" si="87"/>
        <v/>
      </c>
      <c r="AZ136" t="b">
        <f t="shared" ca="1" si="88"/>
        <v>1</v>
      </c>
      <c r="BD136">
        <f t="shared" ca="1" si="89"/>
        <v>1</v>
      </c>
      <c r="BE136">
        <f t="shared" ca="1" si="90"/>
        <v>1</v>
      </c>
      <c r="BF136">
        <f t="shared" ca="1" si="91"/>
        <v>1</v>
      </c>
      <c r="BG136">
        <f t="shared" ca="1" si="92"/>
        <v>0</v>
      </c>
      <c r="BH136">
        <f t="shared" ca="1" si="93"/>
        <v>1</v>
      </c>
      <c r="BI136">
        <f t="shared" ca="1" si="94"/>
        <v>1</v>
      </c>
      <c r="BJ136">
        <f t="shared" ca="1" si="95"/>
        <v>1</v>
      </c>
      <c r="BK136">
        <f t="shared" ca="1" si="96"/>
        <v>1</v>
      </c>
      <c r="BL136">
        <f t="shared" ca="1" si="97"/>
        <v>1</v>
      </c>
      <c r="BM136">
        <f t="shared" ca="1" si="98"/>
        <v>0</v>
      </c>
      <c r="BN136">
        <f t="shared" ca="1" si="99"/>
        <v>0</v>
      </c>
      <c r="BO136">
        <f t="shared" ca="1" si="100"/>
        <v>1</v>
      </c>
      <c r="BU136">
        <f t="shared" ca="1" si="101"/>
        <v>12</v>
      </c>
      <c r="BV136">
        <f t="shared" ca="1" si="102"/>
        <v>12</v>
      </c>
      <c r="BW136">
        <f t="shared" ca="1" si="103"/>
        <v>12</v>
      </c>
      <c r="BX136">
        <f t="shared" ca="1" si="104"/>
        <v>76</v>
      </c>
      <c r="BY136">
        <f t="shared" ca="1" si="105"/>
        <v>12</v>
      </c>
      <c r="BZ136">
        <f t="shared" ca="1" si="106"/>
        <v>12</v>
      </c>
      <c r="CA136">
        <f t="shared" ca="1" si="107"/>
        <v>12</v>
      </c>
      <c r="CB136">
        <f t="shared" ca="1" si="108"/>
        <v>12</v>
      </c>
      <c r="CC136">
        <f t="shared" ca="1" si="109"/>
        <v>12</v>
      </c>
      <c r="CD136">
        <f t="shared" ca="1" si="110"/>
        <v>76</v>
      </c>
      <c r="CE136">
        <f t="shared" ca="1" si="111"/>
        <v>76</v>
      </c>
      <c r="CF136">
        <f t="shared" ca="1" si="112"/>
        <v>12</v>
      </c>
      <c r="CL136">
        <f t="shared" ca="1" si="113"/>
        <v>1</v>
      </c>
      <c r="CM136">
        <f t="shared" ca="1" si="114"/>
        <v>1</v>
      </c>
      <c r="CN136">
        <f t="shared" ca="1" si="115"/>
        <v>1</v>
      </c>
      <c r="CO136">
        <f t="shared" ca="1" si="116"/>
        <v>0</v>
      </c>
      <c r="CP136">
        <f t="shared" ca="1" si="117"/>
        <v>1</v>
      </c>
      <c r="CQ136">
        <f t="shared" ca="1" si="118"/>
        <v>1</v>
      </c>
      <c r="CR136">
        <f t="shared" ca="1" si="119"/>
        <v>1</v>
      </c>
      <c r="CS136">
        <f t="shared" ca="1" si="120"/>
        <v>1</v>
      </c>
      <c r="CT136">
        <f t="shared" ca="1" si="121"/>
        <v>1</v>
      </c>
      <c r="CU136">
        <f t="shared" ca="1" si="122"/>
        <v>0</v>
      </c>
      <c r="CV136">
        <f t="shared" ca="1" si="123"/>
        <v>0</v>
      </c>
      <c r="CW136">
        <f t="shared" ca="1" si="124"/>
        <v>1</v>
      </c>
      <c r="DC136" cm="1">
        <f t="array" aca="1" ref="DC136" ca="1">IF(ISNA(E136),,OFFSET(INDIRECT("'"&amp;DT$67&amp;"'!f1"),E136-1,))*1</f>
        <v>4784.5909319849898</v>
      </c>
      <c r="DD136" cm="1">
        <f t="array" aca="1" ref="DD136" ca="1">IF(ISNA(F136),,OFFSET(INDIRECT("'"&amp;DU$67&amp;"'!f1"),F136-1,))*1</f>
        <v>22673.835022968698</v>
      </c>
      <c r="DE136" cm="1">
        <f t="array" aca="1" ref="DE136" ca="1">IF(ISNA(G136),,OFFSET(INDIRECT("'"&amp;DV$67&amp;"'!f1"),G136-1,))*1</f>
        <v>28800.128040479001</v>
      </c>
      <c r="DF136" cm="1">
        <f t="array" aca="1" ref="DF136" ca="1">IF(ISNA(H136),,OFFSET(INDIRECT("'"&amp;DW$67&amp;"'!f1"),H136-1,))*1</f>
        <v>28802.5989924594</v>
      </c>
      <c r="DG136" cm="1">
        <f t="array" aca="1" ref="DG136" ca="1">IF(ISNA(I136),,OFFSET(INDIRECT("'"&amp;DX$67&amp;"'!f1"),I136-1,))*1</f>
        <v>0.116167499996663</v>
      </c>
      <c r="DH136" cm="1">
        <f t="array" aca="1" ref="DH136" ca="1">IF(ISNA(J136),,OFFSET(INDIRECT("'"&amp;DY$67&amp;"'!f1"),J136-1,))*1</f>
        <v>0.15374048193916601</v>
      </c>
      <c r="DI136" cm="1">
        <f t="array" aca="1" ref="DI136" ca="1">IF(ISNA(K136),,OFFSET(INDIRECT("'"&amp;DZ$67&amp;"'!f1"),K136-1,))*1</f>
        <v>2.2545405114069501</v>
      </c>
      <c r="DJ136" cm="1">
        <f t="array" aca="1" ref="DJ136" ca="1">IF(ISNA(L136),,OFFSET(INDIRECT("'"&amp;EA$67&amp;"'!f1"),L136-1,))*1</f>
        <v>2.9102308787405402</v>
      </c>
      <c r="DK136" cm="1">
        <f t="array" aca="1" ref="DK136" ca="1">IF(ISNA(M136),,OFFSET(INDIRECT("'"&amp;EB$67&amp;"'!f1"),M136-1,))*1</f>
        <v>47.933616853784699</v>
      </c>
      <c r="DL136" cm="1">
        <f t="array" aca="1" ref="DL136" ca="1">IF(ISNA(N136),,OFFSET(INDIRECT("'"&amp;EC$67&amp;"'!f1"),N136-1,))*1</f>
        <v>1.2258871458470801E-2</v>
      </c>
      <c r="DM136" cm="1">
        <f t="array" aca="1" ref="DM136" ca="1">IF(ISNA(O136),,OFFSET(INDIRECT("'"&amp;ED$67&amp;"'!f1"),O136-1,))*1</f>
        <v>1.2614966370165299E-2</v>
      </c>
      <c r="DN136" cm="1">
        <f t="array" aca="1" ref="DN136" ca="1">IF(ISNA(P136),,OFFSET(INDIRECT("'"&amp;EE$67&amp;"'!f1"),P136-1,))*1</f>
        <v>2.44812415912747E-2</v>
      </c>
      <c r="DT136">
        <f t="shared" ca="1" si="125"/>
        <v>1</v>
      </c>
      <c r="DU136">
        <f t="shared" ca="1" si="126"/>
        <v>1</v>
      </c>
      <c r="DV136">
        <f t="shared" ca="1" si="127"/>
        <v>1</v>
      </c>
      <c r="DW136">
        <f t="shared" ca="1" si="128"/>
        <v>0</v>
      </c>
      <c r="DX136">
        <f t="shared" ca="1" si="129"/>
        <v>1</v>
      </c>
      <c r="DY136">
        <f t="shared" ca="1" si="130"/>
        <v>1</v>
      </c>
      <c r="DZ136">
        <f t="shared" ca="1" si="131"/>
        <v>5243</v>
      </c>
      <c r="EA136">
        <f t="shared" ca="1" si="132"/>
        <v>9225</v>
      </c>
      <c r="EB136">
        <f t="shared" ca="1" si="133"/>
        <v>4137</v>
      </c>
      <c r="EC136">
        <f t="shared" ca="1" si="134"/>
        <v>0</v>
      </c>
      <c r="ED136">
        <f t="shared" ca="1" si="135"/>
        <v>0</v>
      </c>
      <c r="EE136">
        <f t="shared" ca="1" si="136"/>
        <v>1</v>
      </c>
      <c r="EK136" cm="1">
        <f t="array" aca="1" ref="EK136" ca="1">IF(ISNA(E136),0,OFFSET(INDIRECT("'"&amp;EK$67&amp;"'!g1"),E136-1,)*CL136)</f>
        <v>1</v>
      </c>
      <c r="EL136" cm="1">
        <f t="array" aca="1" ref="EL136" ca="1">IF(ISNA(F136),0,OFFSET(INDIRECT("'"&amp;EL$67&amp;"'!g1"),F136-1,)*CM136)</f>
        <v>1</v>
      </c>
      <c r="EM136" cm="1">
        <f t="array" aca="1" ref="EM136" ca="1">IF(ISNA(G136),0,OFFSET(INDIRECT("'"&amp;EM$67&amp;"'!g1"),G136-1,)*CN136)</f>
        <v>1</v>
      </c>
      <c r="EN136" cm="1">
        <f t="array" aca="1" ref="EN136" ca="1">IF(ISNA(H136),0,OFFSET(INDIRECT("'"&amp;EN$67&amp;"'!g1"),H136-1,)*CO136)</f>
        <v>0</v>
      </c>
      <c r="EO136" cm="1">
        <f t="array" aca="1" ref="EO136" ca="1">IF(ISNA(I136),0,OFFSET(INDIRECT("'"&amp;EO$67&amp;"'!g1"),I136-1,)*CP136)</f>
        <v>1</v>
      </c>
      <c r="EP136" cm="1">
        <f t="array" aca="1" ref="EP136" ca="1">IF(ISNA(J136),0,OFFSET(INDIRECT("'"&amp;EP$67&amp;"'!g1"),J136-1,)*CQ136)</f>
        <v>1</v>
      </c>
      <c r="EQ136" cm="1">
        <f t="array" aca="1" ref="EQ136" ca="1">IF(ISNA(K136),0,OFFSET(INDIRECT("'"&amp;EQ$67&amp;"'!g1"),K136-1,)*CR136)</f>
        <v>5243</v>
      </c>
      <c r="ER136" cm="1">
        <f t="array" aca="1" ref="ER136" ca="1">IF(ISNA(L136),0,OFFSET(INDIRECT("'"&amp;ER$67&amp;"'!g1"),L136-1,)*CS136)</f>
        <v>9225</v>
      </c>
      <c r="ES136" cm="1">
        <f t="array" aca="1" ref="ES136" ca="1">IF(ISNA(M136),0,OFFSET(INDIRECT("'"&amp;ES$67&amp;"'!g1"),M136-1,)*CT136)</f>
        <v>4137</v>
      </c>
      <c r="ET136" cm="1">
        <f t="array" aca="1" ref="ET136" ca="1">IF(ISNA(N136),0,OFFSET(INDIRECT("'"&amp;ET$67&amp;"'!g1"),N136-1,)*CU136)</f>
        <v>0</v>
      </c>
      <c r="EU136" cm="1">
        <f t="array" aca="1" ref="EU136" ca="1">IF(ISNA(O136),0,OFFSET(INDIRECT("'"&amp;EU$67&amp;"'!g1"),O136-1,)*CV136)</f>
        <v>0</v>
      </c>
      <c r="EV136" cm="1">
        <f t="array" aca="1" ref="EV136" ca="1">IF(ISNA(P136),0,OFFSET(INDIRECT("'"&amp;EV$67&amp;"'!g1"),P136-1,)*CW136)</f>
        <v>1</v>
      </c>
      <c r="FB136" s="10" cm="1">
        <f t="array" aca="1" ref="FB136" ca="1">IF(ISNA(E136),0,OFFSET(INDIRECT("'"&amp;EK$67&amp;"'!h1"),E136-1,))</f>
        <v>1</v>
      </c>
      <c r="FC136" s="10" cm="1">
        <f t="array" aca="1" ref="FC136" ca="1">IF(ISNA(F136),0,OFFSET(INDIRECT("'"&amp;EL$67&amp;"'!h1"),F136-1,))</f>
        <v>1</v>
      </c>
      <c r="FD136" s="10" cm="1">
        <f t="array" aca="1" ref="FD136" ca="1">IF(ISNA(G136),0,OFFSET(INDIRECT("'"&amp;EM$67&amp;"'!h1"),G136-1,))</f>
        <v>1</v>
      </c>
      <c r="FE136" s="10" cm="1">
        <f t="array" aca="1" ref="FE136" ca="1">IF(ISNA(H136),0,OFFSET(INDIRECT("'"&amp;EN$67&amp;"'!h1"),H136-1,))</f>
        <v>1</v>
      </c>
      <c r="FF136" s="10" cm="1">
        <f t="array" aca="1" ref="FF136" ca="1">IF(ISNA(I136),0,OFFSET(INDIRECT("'"&amp;EO$67&amp;"'!h1"),I136-1,))</f>
        <v>1</v>
      </c>
      <c r="FG136" s="10" cm="1">
        <f t="array" aca="1" ref="FG136" ca="1">IF(ISNA(J136),0,OFFSET(INDIRECT("'"&amp;EP$67&amp;"'!h1"),J136-1,))</f>
        <v>1</v>
      </c>
      <c r="FH136" s="10" cm="1">
        <f t="array" aca="1" ref="FH136" ca="1">IF(ISNA(K136),0,OFFSET(INDIRECT("'"&amp;EQ$67&amp;"'!h1"),K136-1,))</f>
        <v>10000</v>
      </c>
      <c r="FI136" s="10" cm="1">
        <f t="array" aca="1" ref="FI136" ca="1">IF(ISNA(L136),0,OFFSET(INDIRECT("'"&amp;ER$67&amp;"'!h1"),L136-1,))</f>
        <v>10000</v>
      </c>
      <c r="FJ136" s="10" cm="1">
        <f t="array" aca="1" ref="FJ136" ca="1">IF(ISNA(M136),0,OFFSET(INDIRECT("'"&amp;ES$67&amp;"'!h1"),M136-1,))</f>
        <v>10000</v>
      </c>
      <c r="FK136" s="10" cm="1">
        <f t="array" aca="1" ref="FK136" ca="1">IF(ISNA(N136),0,OFFSET(INDIRECT("'"&amp;ET$67&amp;"'!h1"),N136-1,))</f>
        <v>1</v>
      </c>
      <c r="FL136" s="10" cm="1">
        <f t="array" aca="1" ref="FL136" ca="1">IF(ISNA(O136),0,OFFSET(INDIRECT("'"&amp;EU$67&amp;"'!h1"),O136-1,))</f>
        <v>1</v>
      </c>
      <c r="FM136" s="10" cm="1">
        <f t="array" aca="1" ref="FM136" ca="1">IF(ISNA(P136),0,OFFSET(INDIRECT("'"&amp;EV$67&amp;"'!h1"),P136-1,))</f>
        <v>9</v>
      </c>
      <c r="FN136" s="10"/>
      <c r="FO136" s="10"/>
      <c r="FP136" s="10"/>
      <c r="FQ136" s="10"/>
      <c r="FS136">
        <f t="shared" ca="1" si="137"/>
        <v>76</v>
      </c>
      <c r="FT136">
        <f t="shared" ca="1" si="62"/>
        <v>2.2545405114069501</v>
      </c>
      <c r="FU136">
        <f t="shared" ca="1" si="63"/>
        <v>5243</v>
      </c>
      <c r="FV136">
        <f t="shared" ca="1" si="64"/>
        <v>10000</v>
      </c>
      <c r="FW136" s="4">
        <f t="shared" ca="1" si="138"/>
        <v>0.52429999999999999</v>
      </c>
      <c r="FX136" s="5">
        <f t="shared" ca="1" si="139"/>
        <v>4.3000963406579252E-4</v>
      </c>
      <c r="FZ136" s="13">
        <f t="shared" ca="1" si="140"/>
        <v>76</v>
      </c>
      <c r="GA136" s="23">
        <f t="shared" ca="1" si="141"/>
        <v>0</v>
      </c>
      <c r="GB136" s="23">
        <f t="shared" ca="1" si="142"/>
        <v>0</v>
      </c>
      <c r="GC136" s="23">
        <f t="shared" ca="1" si="143"/>
        <v>0</v>
      </c>
      <c r="GD136" s="23" t="e">
        <f t="shared" ca="1" si="144"/>
        <v>#N/A</v>
      </c>
      <c r="GE136" s="23">
        <f t="shared" ca="1" si="145"/>
        <v>0</v>
      </c>
      <c r="GF136" s="23">
        <f t="shared" ca="1" si="146"/>
        <v>0</v>
      </c>
      <c r="GG136" s="23">
        <f t="shared" ca="1" si="147"/>
        <v>0</v>
      </c>
      <c r="GH136" s="23">
        <f t="shared" ca="1" si="148"/>
        <v>0</v>
      </c>
      <c r="GI136" s="23">
        <f t="shared" ca="1" si="149"/>
        <v>0</v>
      </c>
      <c r="GJ136" s="23" t="e">
        <f t="shared" ca="1" si="150"/>
        <v>#N/A</v>
      </c>
      <c r="GK136" s="23" t="e">
        <f t="shared" ca="1" si="151"/>
        <v>#N/A</v>
      </c>
      <c r="GL136" s="23">
        <f t="shared" ca="1" si="152"/>
        <v>0</v>
      </c>
      <c r="GM136" s="23"/>
      <c r="GN136">
        <f t="shared" ca="1" si="153"/>
        <v>76</v>
      </c>
      <c r="GO136" s="5">
        <f t="shared" ca="1" si="154"/>
        <v>4784.5909319849898</v>
      </c>
      <c r="GP136" s="5">
        <f t="shared" ca="1" si="155"/>
        <v>22673.835022968698</v>
      </c>
      <c r="GQ136" s="5" t="e">
        <f t="shared" ca="1" si="156"/>
        <v>#N/A</v>
      </c>
      <c r="GR136" s="5" t="e">
        <f t="shared" ca="1" si="157"/>
        <v>#N/A</v>
      </c>
      <c r="GS136" s="5">
        <f t="shared" ca="1" si="158"/>
        <v>0.116167499996663</v>
      </c>
      <c r="GT136" s="5">
        <f t="shared" ca="1" si="159"/>
        <v>0.15374048193916601</v>
      </c>
      <c r="GU136" s="5">
        <f t="shared" ca="1" si="160"/>
        <v>4.3000963406579252E-4</v>
      </c>
      <c r="GV136" s="5">
        <f t="shared" ca="1" si="161"/>
        <v>3.1547218197729431E-4</v>
      </c>
      <c r="GW136" s="5">
        <f t="shared" ca="1" si="162"/>
        <v>1.1586564383317548E-2</v>
      </c>
      <c r="GX136" s="5" t="e">
        <f t="shared" ca="1" si="163"/>
        <v>#N/A</v>
      </c>
      <c r="GY136" s="5" t="e">
        <f t="shared" ca="1" si="164"/>
        <v>#N/A</v>
      </c>
      <c r="GZ136" s="5">
        <f t="shared" ca="1" si="165"/>
        <v>2.44812415912747E-2</v>
      </c>
      <c r="HB136" s="13">
        <f t="shared" ca="1" si="166"/>
        <v>76</v>
      </c>
      <c r="HC136" s="4">
        <f t="shared" ca="1" si="167"/>
        <v>1</v>
      </c>
      <c r="HD136" s="4">
        <f t="shared" ca="1" si="168"/>
        <v>1</v>
      </c>
      <c r="HE136" s="4">
        <f t="shared" ca="1" si="169"/>
        <v>1</v>
      </c>
      <c r="HF136" s="4">
        <f t="shared" ca="1" si="170"/>
        <v>0</v>
      </c>
      <c r="HG136" s="4">
        <f t="shared" ca="1" si="171"/>
        <v>1</v>
      </c>
      <c r="HH136" s="4">
        <f t="shared" ca="1" si="172"/>
        <v>1</v>
      </c>
      <c r="HI136" s="4">
        <f t="shared" ca="1" si="173"/>
        <v>0.52429999999999999</v>
      </c>
      <c r="HJ136" s="4">
        <f t="shared" ca="1" si="174"/>
        <v>0.92249999999999999</v>
      </c>
      <c r="HK136" s="4">
        <f t="shared" ca="1" si="175"/>
        <v>0.41370000000000001</v>
      </c>
      <c r="HL136" s="4">
        <f t="shared" ca="1" si="176"/>
        <v>0</v>
      </c>
      <c r="HM136" s="4">
        <f t="shared" ca="1" si="177"/>
        <v>0</v>
      </c>
      <c r="HN136" s="4">
        <f t="shared" ca="1" si="178"/>
        <v>0.1111111111111111</v>
      </c>
    </row>
    <row r="137" spans="1:222" x14ac:dyDescent="0.2">
      <c r="A137" t="str" cm="1">
        <f t="array" aca="1" ref="A137" ca="1">INDIRECT($A$67&amp;"!A"&amp;ROW(C70)+$B$64)</f>
        <v>[[77,40,13]]</v>
      </c>
      <c r="B137" cm="1">
        <f t="array" aca="1" ref="B137" ca="1">INDIRECT($A$67&amp;"!b"&amp;ROW(D70)+$B$64)</f>
        <v>77</v>
      </c>
      <c r="C137">
        <f t="shared" ca="1" si="78"/>
        <v>13</v>
      </c>
      <c r="E137">
        <f t="shared" ca="1" si="182"/>
        <v>94</v>
      </c>
      <c r="F137">
        <f t="shared" ca="1" si="182"/>
        <v>95</v>
      </c>
      <c r="G137">
        <f t="shared" ca="1" si="182"/>
        <v>94</v>
      </c>
      <c r="H137">
        <f t="shared" ca="1" si="182"/>
        <v>91</v>
      </c>
      <c r="I137">
        <f t="shared" ca="1" si="182"/>
        <v>97</v>
      </c>
      <c r="J137">
        <f t="shared" ca="1" si="182"/>
        <v>94</v>
      </c>
      <c r="K137">
        <f t="shared" ca="1" si="182"/>
        <v>101</v>
      </c>
      <c r="L137">
        <f t="shared" ca="1" si="182"/>
        <v>103</v>
      </c>
      <c r="M137">
        <f t="shared" ca="1" si="182"/>
        <v>100</v>
      </c>
      <c r="N137">
        <f t="shared" ca="1" si="182"/>
        <v>98</v>
      </c>
      <c r="O137">
        <f t="shared" ca="1" si="182"/>
        <v>98</v>
      </c>
      <c r="P137">
        <f t="shared" ca="1" si="182"/>
        <v>98</v>
      </c>
      <c r="V137" cm="1">
        <f t="array" aca="1" ref="V137" ca="1">IF(ISNA(E137),,OFFSET(INDIRECT("'"&amp;V$67&amp;"'!d1"),E137-1,))</f>
        <v>13</v>
      </c>
      <c r="W137" cm="1">
        <f t="array" aca="1" ref="W137" ca="1">IF(ISNA(F137),,OFFSET(INDIRECT("'"&amp;W$67&amp;"'!d1"),F137-1,))</f>
        <v>13</v>
      </c>
      <c r="X137" cm="1">
        <f t="array" aca="1" ref="X137" ca="1">IF(ISNA(G137),,OFFSET(INDIRECT("'"&amp;X$67&amp;"'!d1"),G137-1,))</f>
        <v>14</v>
      </c>
      <c r="Y137" cm="1">
        <f t="array" aca="1" ref="Y137" ca="1">IF(ISNA(H137),,OFFSET(INDIRECT("'"&amp;Y$67&amp;"'!d1"),H137-1,))</f>
        <v>0</v>
      </c>
      <c r="Z137" cm="1">
        <f t="array" aca="1" ref="Z137" ca="1">IF(ISNA(I137),,OFFSET(INDIRECT("'"&amp;Z$67&amp;"'!d1"),I137-1,))</f>
        <v>13</v>
      </c>
      <c r="AA137" cm="1">
        <f t="array" aca="1" ref="AA137" ca="1">IF(ISNA(J137),,OFFSET(INDIRECT("'"&amp;AA$67&amp;"'!d1"),J137-1,))</f>
        <v>13</v>
      </c>
      <c r="AB137" cm="1">
        <f t="array" aca="1" ref="AB137" ca="1">IF(ISNA(K137),,OFFSET(INDIRECT("'"&amp;AB$67&amp;"'!d1"),K137-1,))</f>
        <v>13</v>
      </c>
      <c r="AC137" cm="1">
        <f t="array" aca="1" ref="AC137" ca="1">IF(ISNA(L137),,OFFSET(INDIRECT("'"&amp;AC$67&amp;"'!d1"),L137-1,))</f>
        <v>13</v>
      </c>
      <c r="AD137" cm="1">
        <f t="array" aca="1" ref="AD137" ca="1">IF(ISNA(M137),,OFFSET(INDIRECT("'"&amp;AD$67&amp;"'!d1"),M137-1,))</f>
        <v>13</v>
      </c>
      <c r="AE137" cm="1">
        <f t="array" aca="1" ref="AE137" ca="1">IF(ISNA(N137),,OFFSET(INDIRECT("'"&amp;AE$67&amp;"'!d1"),N137-1,))</f>
        <v>0</v>
      </c>
      <c r="AF137" cm="1">
        <f t="array" aca="1" ref="AF137" ca="1">IF(ISNA(O137),,OFFSET(INDIRECT("'"&amp;AF$67&amp;"'!d1"),O137-1,))</f>
        <v>0</v>
      </c>
      <c r="AG137" cm="1">
        <f t="array" aca="1" ref="AG137" ca="1">IF(ISNA(P137),,OFFSET(INDIRECT("'"&amp;AG$67&amp;"'!d1"),P137-1,))</f>
        <v>0</v>
      </c>
      <c r="AM137">
        <f t="shared" ca="1" si="79"/>
        <v>1</v>
      </c>
      <c r="AN137">
        <f t="shared" ca="1" si="80"/>
        <v>0</v>
      </c>
      <c r="AO137">
        <f t="shared" ca="1" si="81"/>
        <v>0</v>
      </c>
      <c r="AP137">
        <f t="shared" ca="1" si="82"/>
        <v>0</v>
      </c>
      <c r="AQ137">
        <f t="shared" ca="1" si="83"/>
        <v>1</v>
      </c>
      <c r="AV137" t="b">
        <f t="shared" ca="1" si="84"/>
        <v>1</v>
      </c>
      <c r="AW137" t="str">
        <f t="shared" ca="1" si="85"/>
        <v/>
      </c>
      <c r="AX137" t="str">
        <f t="shared" ca="1" si="86"/>
        <v/>
      </c>
      <c r="AY137" t="str">
        <f t="shared" ca="1" si="87"/>
        <v/>
      </c>
      <c r="AZ137" t="b">
        <f t="shared" ca="1" si="88"/>
        <v>1</v>
      </c>
      <c r="BD137">
        <f t="shared" ca="1" si="89"/>
        <v>1</v>
      </c>
      <c r="BE137">
        <f t="shared" ca="1" si="90"/>
        <v>1</v>
      </c>
      <c r="BF137">
        <f t="shared" ca="1" si="91"/>
        <v>1</v>
      </c>
      <c r="BG137">
        <f t="shared" ca="1" si="92"/>
        <v>0</v>
      </c>
      <c r="BH137">
        <f t="shared" ca="1" si="93"/>
        <v>1</v>
      </c>
      <c r="BI137">
        <f t="shared" ca="1" si="94"/>
        <v>1</v>
      </c>
      <c r="BJ137">
        <f t="shared" ca="1" si="95"/>
        <v>1</v>
      </c>
      <c r="BK137">
        <f t="shared" ca="1" si="96"/>
        <v>1</v>
      </c>
      <c r="BL137">
        <f t="shared" ca="1" si="97"/>
        <v>1</v>
      </c>
      <c r="BM137">
        <f t="shared" ca="1" si="98"/>
        <v>0</v>
      </c>
      <c r="BN137">
        <f t="shared" ca="1" si="99"/>
        <v>0</v>
      </c>
      <c r="BO137">
        <f t="shared" ca="1" si="100"/>
        <v>0</v>
      </c>
      <c r="BU137">
        <f t="shared" ca="1" si="101"/>
        <v>13</v>
      </c>
      <c r="BV137">
        <f t="shared" ca="1" si="102"/>
        <v>13</v>
      </c>
      <c r="BW137">
        <f t="shared" ca="1" si="103"/>
        <v>14</v>
      </c>
      <c r="BX137">
        <f t="shared" ca="1" si="104"/>
        <v>77</v>
      </c>
      <c r="BY137">
        <f t="shared" ca="1" si="105"/>
        <v>13</v>
      </c>
      <c r="BZ137">
        <f t="shared" ca="1" si="106"/>
        <v>13</v>
      </c>
      <c r="CA137">
        <f t="shared" ca="1" si="107"/>
        <v>13</v>
      </c>
      <c r="CB137">
        <f t="shared" ca="1" si="108"/>
        <v>13</v>
      </c>
      <c r="CC137">
        <f t="shared" ca="1" si="109"/>
        <v>13</v>
      </c>
      <c r="CD137">
        <f t="shared" ca="1" si="110"/>
        <v>77</v>
      </c>
      <c r="CE137">
        <f t="shared" ca="1" si="111"/>
        <v>77</v>
      </c>
      <c r="CF137">
        <f t="shared" ca="1" si="112"/>
        <v>77</v>
      </c>
      <c r="CL137">
        <f t="shared" ca="1" si="113"/>
        <v>1</v>
      </c>
      <c r="CM137">
        <f t="shared" ca="1" si="114"/>
        <v>1</v>
      </c>
      <c r="CN137">
        <f t="shared" ca="1" si="115"/>
        <v>0</v>
      </c>
      <c r="CO137">
        <f t="shared" ca="1" si="116"/>
        <v>0</v>
      </c>
      <c r="CP137">
        <f t="shared" ca="1" si="117"/>
        <v>1</v>
      </c>
      <c r="CQ137">
        <f t="shared" ca="1" si="118"/>
        <v>1</v>
      </c>
      <c r="CR137">
        <f t="shared" ca="1" si="119"/>
        <v>1</v>
      </c>
      <c r="CS137">
        <f t="shared" ca="1" si="120"/>
        <v>1</v>
      </c>
      <c r="CT137">
        <f t="shared" ca="1" si="121"/>
        <v>1</v>
      </c>
      <c r="CU137">
        <f t="shared" ca="1" si="122"/>
        <v>0</v>
      </c>
      <c r="CV137">
        <f t="shared" ca="1" si="123"/>
        <v>0</v>
      </c>
      <c r="CW137">
        <f t="shared" ca="1" si="124"/>
        <v>0</v>
      </c>
      <c r="DC137" cm="1">
        <f t="array" aca="1" ref="DC137" ca="1">IF(ISNA(E137),,OFFSET(INDIRECT("'"&amp;DT$67&amp;"'!f1"),E137-1,))*1</f>
        <v>23703.070268923999</v>
      </c>
      <c r="DD137" cm="1">
        <f t="array" aca="1" ref="DD137" ca="1">IF(ISNA(F137),,OFFSET(INDIRECT("'"&amp;DU$67&amp;"'!f1"),F137-1,))*1</f>
        <v>28828.1355330222</v>
      </c>
      <c r="DE137" cm="1">
        <f t="array" aca="1" ref="DE137" ca="1">IF(ISNA(G137),,OFFSET(INDIRECT("'"&amp;DV$67&amp;"'!f1"),G137-1,))*1</f>
        <v>28800.1280649867</v>
      </c>
      <c r="DF137" cm="1">
        <f t="array" aca="1" ref="DF137" ca="1">IF(ISNA(H137),,OFFSET(INDIRECT("'"&amp;DW$67&amp;"'!f1"),H137-1,))*1</f>
        <v>28800.108965992898</v>
      </c>
      <c r="DG137" cm="1">
        <f t="array" aca="1" ref="DG137" ca="1">IF(ISNA(I137),,OFFSET(INDIRECT("'"&amp;DX$67&amp;"'!f1"),I137-1,))*1</f>
        <v>0.15310762500303099</v>
      </c>
      <c r="DH137" cm="1">
        <f t="array" aca="1" ref="DH137" ca="1">IF(ISNA(J137),,OFFSET(INDIRECT("'"&amp;DY$67&amp;"'!f1"),J137-1,))*1</f>
        <v>0.15988981677219199</v>
      </c>
      <c r="DI137" cm="1">
        <f t="array" aca="1" ref="DI137" ca="1">IF(ISNA(K137),,OFFSET(INDIRECT("'"&amp;DZ$67&amp;"'!f1"),K137-1,))*1</f>
        <v>2.3129581296816402</v>
      </c>
      <c r="DJ137" cm="1">
        <f t="array" aca="1" ref="DJ137" ca="1">IF(ISNA(L137),,OFFSET(INDIRECT("'"&amp;EA$67&amp;"'!f1"),L137-1,))*1</f>
        <v>2.8836934166028998</v>
      </c>
      <c r="DK137" cm="1">
        <f t="array" aca="1" ref="DK137" ca="1">IF(ISNA(M137),,OFFSET(INDIRECT("'"&amp;EB$67&amp;"'!f1"),M137-1,))*1</f>
        <v>44.275925002992103</v>
      </c>
      <c r="DL137" cm="1">
        <f t="array" aca="1" ref="DL137" ca="1">IF(ISNA(N137),,OFFSET(INDIRECT("'"&amp;EC$67&amp;"'!f1"),N137-1,))*1</f>
        <v>1.25539014115929E-2</v>
      </c>
      <c r="DM137" cm="1">
        <f t="array" aca="1" ref="DM137" ca="1">IF(ISNA(O137),,OFFSET(INDIRECT("'"&amp;ED$67&amp;"'!f1"),O137-1,))*1</f>
        <v>1.27786546945571E-2</v>
      </c>
      <c r="DN137" cm="1">
        <f t="array" aca="1" ref="DN137" ca="1">IF(ISNA(P137),,OFFSET(INDIRECT("'"&amp;EE$67&amp;"'!f1"),P137-1,))*1</f>
        <v>2.0788979716598901E-2</v>
      </c>
      <c r="DT137">
        <f t="shared" ca="1" si="125"/>
        <v>1</v>
      </c>
      <c r="DU137">
        <f t="shared" ca="1" si="126"/>
        <v>1</v>
      </c>
      <c r="DV137">
        <f t="shared" ca="1" si="127"/>
        <v>0</v>
      </c>
      <c r="DW137">
        <f t="shared" ca="1" si="128"/>
        <v>0</v>
      </c>
      <c r="DX137">
        <f t="shared" ca="1" si="129"/>
        <v>1</v>
      </c>
      <c r="DY137">
        <f t="shared" ca="1" si="130"/>
        <v>1</v>
      </c>
      <c r="DZ137">
        <f t="shared" ca="1" si="131"/>
        <v>2431</v>
      </c>
      <c r="EA137">
        <f t="shared" ca="1" si="132"/>
        <v>6958</v>
      </c>
      <c r="EB137">
        <f t="shared" ca="1" si="133"/>
        <v>1367</v>
      </c>
      <c r="EC137">
        <f t="shared" ca="1" si="134"/>
        <v>0</v>
      </c>
      <c r="ED137">
        <f t="shared" ca="1" si="135"/>
        <v>0</v>
      </c>
      <c r="EE137">
        <f t="shared" ca="1" si="136"/>
        <v>0</v>
      </c>
      <c r="EK137" cm="1">
        <f t="array" aca="1" ref="EK137" ca="1">IF(ISNA(E137),0,OFFSET(INDIRECT("'"&amp;EK$67&amp;"'!g1"),E137-1,)*CL137)</f>
        <v>1</v>
      </c>
      <c r="EL137" cm="1">
        <f t="array" aca="1" ref="EL137" ca="1">IF(ISNA(F137),0,OFFSET(INDIRECT("'"&amp;EL$67&amp;"'!g1"),F137-1,)*CM137)</f>
        <v>1</v>
      </c>
      <c r="EM137" cm="1">
        <f t="array" aca="1" ref="EM137" ca="1">IF(ISNA(G137),0,OFFSET(INDIRECT("'"&amp;EM$67&amp;"'!g1"),G137-1,)*CN137)</f>
        <v>0</v>
      </c>
      <c r="EN137" cm="1">
        <f t="array" aca="1" ref="EN137" ca="1">IF(ISNA(H137),0,OFFSET(INDIRECT("'"&amp;EN$67&amp;"'!g1"),H137-1,)*CO137)</f>
        <v>0</v>
      </c>
      <c r="EO137" cm="1">
        <f t="array" aca="1" ref="EO137" ca="1">IF(ISNA(I137),0,OFFSET(INDIRECT("'"&amp;EO$67&amp;"'!g1"),I137-1,)*CP137)</f>
        <v>1</v>
      </c>
      <c r="EP137" cm="1">
        <f t="array" aca="1" ref="EP137" ca="1">IF(ISNA(J137),0,OFFSET(INDIRECT("'"&amp;EP$67&amp;"'!g1"),J137-1,)*CQ137)</f>
        <v>1</v>
      </c>
      <c r="EQ137" cm="1">
        <f t="array" aca="1" ref="EQ137" ca="1">IF(ISNA(K137),0,OFFSET(INDIRECT("'"&amp;EQ$67&amp;"'!g1"),K137-1,)*CR137)</f>
        <v>2431</v>
      </c>
      <c r="ER137" cm="1">
        <f t="array" aca="1" ref="ER137" ca="1">IF(ISNA(L137),0,OFFSET(INDIRECT("'"&amp;ER$67&amp;"'!g1"),L137-1,)*CS137)</f>
        <v>6958</v>
      </c>
      <c r="ES137" cm="1">
        <f t="array" aca="1" ref="ES137" ca="1">IF(ISNA(M137),0,OFFSET(INDIRECT("'"&amp;ES$67&amp;"'!g1"),M137-1,)*CT137)</f>
        <v>1367</v>
      </c>
      <c r="ET137" cm="1">
        <f t="array" aca="1" ref="ET137" ca="1">IF(ISNA(N137),0,OFFSET(INDIRECT("'"&amp;ET$67&amp;"'!g1"),N137-1,)*CU137)</f>
        <v>0</v>
      </c>
      <c r="EU137" cm="1">
        <f t="array" aca="1" ref="EU137" ca="1">IF(ISNA(O137),0,OFFSET(INDIRECT("'"&amp;EU$67&amp;"'!g1"),O137-1,)*CV137)</f>
        <v>0</v>
      </c>
      <c r="EV137" cm="1">
        <f t="array" aca="1" ref="EV137" ca="1">IF(ISNA(P137),0,OFFSET(INDIRECT("'"&amp;EV$67&amp;"'!g1"),P137-1,)*CW137)</f>
        <v>0</v>
      </c>
      <c r="FB137" s="10" cm="1">
        <f t="array" aca="1" ref="FB137" ca="1">IF(ISNA(E137),0,OFFSET(INDIRECT("'"&amp;EK$67&amp;"'!h1"),E137-1,))</f>
        <v>1</v>
      </c>
      <c r="FC137" s="10" cm="1">
        <f t="array" aca="1" ref="FC137" ca="1">IF(ISNA(F137),0,OFFSET(INDIRECT("'"&amp;EL$67&amp;"'!h1"),F137-1,))</f>
        <v>1</v>
      </c>
      <c r="FD137" s="10" cm="1">
        <f t="array" aca="1" ref="FD137" ca="1">IF(ISNA(G137),0,OFFSET(INDIRECT("'"&amp;EM$67&amp;"'!h1"),G137-1,))</f>
        <v>1</v>
      </c>
      <c r="FE137" s="10" cm="1">
        <f t="array" aca="1" ref="FE137" ca="1">IF(ISNA(H137),0,OFFSET(INDIRECT("'"&amp;EN$67&amp;"'!h1"),H137-1,))</f>
        <v>1</v>
      </c>
      <c r="FF137" s="10" cm="1">
        <f t="array" aca="1" ref="FF137" ca="1">IF(ISNA(I137),0,OFFSET(INDIRECT("'"&amp;EO$67&amp;"'!h1"),I137-1,))</f>
        <v>1</v>
      </c>
      <c r="FG137" s="10" cm="1">
        <f t="array" aca="1" ref="FG137" ca="1">IF(ISNA(J137),0,OFFSET(INDIRECT("'"&amp;EP$67&amp;"'!h1"),J137-1,))</f>
        <v>1</v>
      </c>
      <c r="FH137" s="10" cm="1">
        <f t="array" aca="1" ref="FH137" ca="1">IF(ISNA(K137),0,OFFSET(INDIRECT("'"&amp;EQ$67&amp;"'!h1"),K137-1,))</f>
        <v>10000</v>
      </c>
      <c r="FI137" s="10" cm="1">
        <f t="array" aca="1" ref="FI137" ca="1">IF(ISNA(L137),0,OFFSET(INDIRECT("'"&amp;ER$67&amp;"'!h1"),L137-1,))</f>
        <v>10000</v>
      </c>
      <c r="FJ137" s="10" cm="1">
        <f t="array" aca="1" ref="FJ137" ca="1">IF(ISNA(M137),0,OFFSET(INDIRECT("'"&amp;ES$67&amp;"'!h1"),M137-1,))</f>
        <v>10000</v>
      </c>
      <c r="FK137" s="10" cm="1">
        <f t="array" aca="1" ref="FK137" ca="1">IF(ISNA(N137),0,OFFSET(INDIRECT("'"&amp;ET$67&amp;"'!h1"),N137-1,))</f>
        <v>1</v>
      </c>
      <c r="FL137" s="10" cm="1">
        <f t="array" aca="1" ref="FL137" ca="1">IF(ISNA(O137),0,OFFSET(INDIRECT("'"&amp;EU$67&amp;"'!h1"),O137-1,))</f>
        <v>1</v>
      </c>
      <c r="FM137" s="10" cm="1">
        <f t="array" aca="1" ref="FM137" ca="1">IF(ISNA(P137),0,OFFSET(INDIRECT("'"&amp;EV$67&amp;"'!h1"),P137-1,))</f>
        <v>9</v>
      </c>
      <c r="FN137" s="10"/>
      <c r="FO137" s="10"/>
      <c r="FP137" s="10"/>
      <c r="FQ137" s="10"/>
      <c r="FS137">
        <f t="shared" ca="1" si="137"/>
        <v>77</v>
      </c>
      <c r="FT137">
        <f t="shared" ca="1" si="62"/>
        <v>2.3129581296816402</v>
      </c>
      <c r="FU137">
        <f t="shared" ca="1" si="63"/>
        <v>2431</v>
      </c>
      <c r="FV137">
        <f t="shared" ca="1" si="64"/>
        <v>10000</v>
      </c>
      <c r="FW137" s="4">
        <f t="shared" ca="1" si="138"/>
        <v>0.24310000000000001</v>
      </c>
      <c r="FX137" s="5">
        <f t="shared" ca="1" si="139"/>
        <v>9.5144308090565203E-4</v>
      </c>
      <c r="FZ137" s="13">
        <f t="shared" ca="1" si="140"/>
        <v>77</v>
      </c>
      <c r="GA137" s="23">
        <f t="shared" ca="1" si="141"/>
        <v>0</v>
      </c>
      <c r="GB137" s="23">
        <f t="shared" ca="1" si="142"/>
        <v>0</v>
      </c>
      <c r="GC137" s="23">
        <f t="shared" ca="1" si="143"/>
        <v>7.6923076923076927E-2</v>
      </c>
      <c r="GD137" s="23" t="e">
        <f t="shared" ca="1" si="144"/>
        <v>#N/A</v>
      </c>
      <c r="GE137" s="23">
        <f t="shared" ca="1" si="145"/>
        <v>0</v>
      </c>
      <c r="GF137" s="23">
        <f t="shared" ca="1" si="146"/>
        <v>0</v>
      </c>
      <c r="GG137" s="23">
        <f t="shared" ca="1" si="147"/>
        <v>0</v>
      </c>
      <c r="GH137" s="23">
        <f t="shared" ca="1" si="148"/>
        <v>0</v>
      </c>
      <c r="GI137" s="23">
        <f t="shared" ca="1" si="149"/>
        <v>0</v>
      </c>
      <c r="GJ137" s="23" t="e">
        <f t="shared" ca="1" si="150"/>
        <v>#N/A</v>
      </c>
      <c r="GK137" s="23" t="e">
        <f t="shared" ca="1" si="151"/>
        <v>#N/A</v>
      </c>
      <c r="GL137" s="23" t="e">
        <f t="shared" ca="1" si="152"/>
        <v>#N/A</v>
      </c>
      <c r="GM137" s="23"/>
      <c r="GN137">
        <f t="shared" ca="1" si="153"/>
        <v>77</v>
      </c>
      <c r="GO137" s="5">
        <f t="shared" ca="1" si="154"/>
        <v>23703.070268923999</v>
      </c>
      <c r="GP137" s="5" t="e">
        <f t="shared" ca="1" si="155"/>
        <v>#N/A</v>
      </c>
      <c r="GQ137" s="5" t="e">
        <f t="shared" ca="1" si="156"/>
        <v>#N/A</v>
      </c>
      <c r="GR137" s="5" t="e">
        <f t="shared" ca="1" si="157"/>
        <v>#N/A</v>
      </c>
      <c r="GS137" s="5">
        <f t="shared" ca="1" si="158"/>
        <v>0.15310762500303099</v>
      </c>
      <c r="GT137" s="5">
        <f t="shared" ca="1" si="159"/>
        <v>0.15988981677219199</v>
      </c>
      <c r="GU137" s="5">
        <f t="shared" ca="1" si="160"/>
        <v>9.5144308090565203E-4</v>
      </c>
      <c r="GV137" s="5">
        <f t="shared" ca="1" si="161"/>
        <v>4.1444285952901692E-4</v>
      </c>
      <c r="GW137" s="5">
        <f t="shared" ca="1" si="162"/>
        <v>3.2389118509869863E-2</v>
      </c>
      <c r="GX137" s="5" t="e">
        <f t="shared" ca="1" si="163"/>
        <v>#N/A</v>
      </c>
      <c r="GY137" s="5" t="e">
        <f t="shared" ca="1" si="164"/>
        <v>#N/A</v>
      </c>
      <c r="GZ137" s="5" t="e">
        <f t="shared" ca="1" si="165"/>
        <v>#N/A</v>
      </c>
      <c r="HB137" s="13">
        <f t="shared" ca="1" si="166"/>
        <v>77</v>
      </c>
      <c r="HC137" s="4">
        <f t="shared" ca="1" si="167"/>
        <v>1</v>
      </c>
      <c r="HD137" s="4">
        <f t="shared" ca="1" si="168"/>
        <v>1</v>
      </c>
      <c r="HE137" s="4">
        <f t="shared" ca="1" si="169"/>
        <v>0</v>
      </c>
      <c r="HF137" s="4">
        <f t="shared" ca="1" si="170"/>
        <v>0</v>
      </c>
      <c r="HG137" s="4">
        <f t="shared" ca="1" si="171"/>
        <v>1</v>
      </c>
      <c r="HH137" s="4">
        <f t="shared" ca="1" si="172"/>
        <v>1</v>
      </c>
      <c r="HI137" s="4">
        <f t="shared" ca="1" si="173"/>
        <v>0.24310000000000001</v>
      </c>
      <c r="HJ137" s="4">
        <f t="shared" ca="1" si="174"/>
        <v>0.69579999999999997</v>
      </c>
      <c r="HK137" s="4">
        <f t="shared" ca="1" si="175"/>
        <v>0.13669999999999999</v>
      </c>
      <c r="HL137" s="4">
        <f t="shared" ca="1" si="176"/>
        <v>0</v>
      </c>
      <c r="HM137" s="4">
        <f t="shared" ca="1" si="177"/>
        <v>0</v>
      </c>
      <c r="HN137" s="4">
        <f t="shared" ca="1" si="178"/>
        <v>0</v>
      </c>
    </row>
    <row r="138" spans="1:222" x14ac:dyDescent="0.2">
      <c r="A138" t="str" cm="1">
        <f t="array" aca="1" ref="A138" ca="1">INDIRECT($A$67&amp;"!A"&amp;ROW(C71)+$B$64)</f>
        <v>[[78,29,19]]</v>
      </c>
      <c r="B138" cm="1">
        <f t="array" aca="1" ref="B138" ca="1">INDIRECT($A$67&amp;"!b"&amp;ROW(D71)+$B$64)</f>
        <v>78</v>
      </c>
      <c r="C138">
        <f t="shared" ca="1" si="78"/>
        <v>19</v>
      </c>
      <c r="E138">
        <f t="shared" ca="1" si="182"/>
        <v>95</v>
      </c>
      <c r="F138">
        <f t="shared" ca="1" si="182"/>
        <v>96</v>
      </c>
      <c r="G138">
        <f t="shared" ca="1" si="182"/>
        <v>95</v>
      </c>
      <c r="H138">
        <f t="shared" ca="1" si="182"/>
        <v>99</v>
      </c>
      <c r="I138">
        <f t="shared" ca="1" si="182"/>
        <v>98</v>
      </c>
      <c r="J138">
        <f t="shared" ca="1" si="182"/>
        <v>95</v>
      </c>
      <c r="K138">
        <f t="shared" ca="1" si="182"/>
        <v>102</v>
      </c>
      <c r="L138">
        <f t="shared" ca="1" si="182"/>
        <v>104</v>
      </c>
      <c r="M138">
        <f t="shared" ca="1" si="182"/>
        <v>101</v>
      </c>
      <c r="N138">
        <f t="shared" ca="1" si="182"/>
        <v>99</v>
      </c>
      <c r="O138">
        <f t="shared" ca="1" si="182"/>
        <v>99</v>
      </c>
      <c r="P138">
        <f t="shared" ca="1" si="182"/>
        <v>99</v>
      </c>
      <c r="V138" cm="1">
        <f t="array" aca="1" ref="V138" ca="1">IF(ISNA(E138),,OFFSET(INDIRECT("'"&amp;V$67&amp;"'!d1"),E138-1,))</f>
        <v>19</v>
      </c>
      <c r="W138" cm="1">
        <f t="array" aca="1" ref="W138" ca="1">IF(ISNA(F138),,OFFSET(INDIRECT("'"&amp;W$67&amp;"'!d1"),F138-1,))</f>
        <v>19</v>
      </c>
      <c r="X138" cm="1">
        <f t="array" aca="1" ref="X138" ca="1">IF(ISNA(G138),,OFFSET(INDIRECT("'"&amp;X$67&amp;"'!d1"),G138-1,))</f>
        <v>19</v>
      </c>
      <c r="Y138" cm="1">
        <f t="array" aca="1" ref="Y138" ca="1">IF(ISNA(H138),,OFFSET(INDIRECT("'"&amp;Y$67&amp;"'!d1"),H138-1,))</f>
        <v>0</v>
      </c>
      <c r="Z138" cm="1">
        <f t="array" aca="1" ref="Z138" ca="1">IF(ISNA(I138),,OFFSET(INDIRECT("'"&amp;Z$67&amp;"'!d1"),I138-1,))</f>
        <v>19</v>
      </c>
      <c r="AA138" cm="1">
        <f t="array" aca="1" ref="AA138" ca="1">IF(ISNA(J138),,OFFSET(INDIRECT("'"&amp;AA$67&amp;"'!d1"),J138-1,))</f>
        <v>19</v>
      </c>
      <c r="AB138" cm="1">
        <f t="array" aca="1" ref="AB138" ca="1">IF(ISNA(K138),,OFFSET(INDIRECT("'"&amp;AB$67&amp;"'!d1"),K138-1,))</f>
        <v>19</v>
      </c>
      <c r="AC138" cm="1">
        <f t="array" aca="1" ref="AC138" ca="1">IF(ISNA(L138),,OFFSET(INDIRECT("'"&amp;AC$67&amp;"'!d1"),L138-1,))</f>
        <v>19</v>
      </c>
      <c r="AD138" cm="1">
        <f t="array" aca="1" ref="AD138" ca="1">IF(ISNA(M138),,OFFSET(INDIRECT("'"&amp;AD$67&amp;"'!d1"),M138-1,))</f>
        <v>19</v>
      </c>
      <c r="AE138" cm="1">
        <f t="array" aca="1" ref="AE138" ca="1">IF(ISNA(N138),,OFFSET(INDIRECT("'"&amp;AE$67&amp;"'!d1"),N138-1,))</f>
        <v>0</v>
      </c>
      <c r="AF138" cm="1">
        <f t="array" aca="1" ref="AF138" ca="1">IF(ISNA(O138),,OFFSET(INDIRECT("'"&amp;AF$67&amp;"'!d1"),O138-1,))</f>
        <v>0</v>
      </c>
      <c r="AG138" cm="1">
        <f t="array" aca="1" ref="AG138" ca="1">IF(ISNA(P138),,OFFSET(INDIRECT("'"&amp;AG$67&amp;"'!d1"),P138-1,))</f>
        <v>0</v>
      </c>
      <c r="AM138">
        <f t="shared" ca="1" si="79"/>
        <v>0</v>
      </c>
      <c r="AN138">
        <f t="shared" ca="1" si="80"/>
        <v>0</v>
      </c>
      <c r="AO138">
        <f t="shared" ca="1" si="81"/>
        <v>0</v>
      </c>
      <c r="AP138">
        <f t="shared" ca="1" si="82"/>
        <v>0</v>
      </c>
      <c r="AQ138">
        <f t="shared" ca="1" si="83"/>
        <v>1</v>
      </c>
      <c r="AV138" t="str">
        <f t="shared" ca="1" si="84"/>
        <v/>
      </c>
      <c r="AW138" t="str">
        <f t="shared" ca="1" si="85"/>
        <v/>
      </c>
      <c r="AX138" t="str">
        <f t="shared" ca="1" si="86"/>
        <v/>
      </c>
      <c r="AY138" t="str">
        <f t="shared" ca="1" si="87"/>
        <v/>
      </c>
      <c r="AZ138" t="b">
        <f t="shared" ca="1" si="88"/>
        <v>1</v>
      </c>
      <c r="BD138">
        <f t="shared" ca="1" si="89"/>
        <v>1</v>
      </c>
      <c r="BE138">
        <f t="shared" ca="1" si="90"/>
        <v>1</v>
      </c>
      <c r="BF138">
        <f t="shared" ca="1" si="91"/>
        <v>1</v>
      </c>
      <c r="BG138">
        <f t="shared" ca="1" si="92"/>
        <v>0</v>
      </c>
      <c r="BH138">
        <f t="shared" ca="1" si="93"/>
        <v>1</v>
      </c>
      <c r="BI138">
        <f t="shared" ca="1" si="94"/>
        <v>1</v>
      </c>
      <c r="BJ138">
        <f t="shared" ca="1" si="95"/>
        <v>1</v>
      </c>
      <c r="BK138">
        <f t="shared" ca="1" si="96"/>
        <v>1</v>
      </c>
      <c r="BL138">
        <f t="shared" ca="1" si="97"/>
        <v>1</v>
      </c>
      <c r="BM138">
        <f t="shared" ca="1" si="98"/>
        <v>0</v>
      </c>
      <c r="BN138">
        <f t="shared" ca="1" si="99"/>
        <v>0</v>
      </c>
      <c r="BO138">
        <f t="shared" ca="1" si="100"/>
        <v>0</v>
      </c>
      <c r="BU138">
        <f t="shared" ca="1" si="101"/>
        <v>19</v>
      </c>
      <c r="BV138">
        <f t="shared" ca="1" si="102"/>
        <v>19</v>
      </c>
      <c r="BW138">
        <f t="shared" ca="1" si="103"/>
        <v>19</v>
      </c>
      <c r="BX138">
        <f t="shared" ca="1" si="104"/>
        <v>78</v>
      </c>
      <c r="BY138">
        <f t="shared" ca="1" si="105"/>
        <v>19</v>
      </c>
      <c r="BZ138">
        <f t="shared" ca="1" si="106"/>
        <v>19</v>
      </c>
      <c r="CA138">
        <f t="shared" ca="1" si="107"/>
        <v>19</v>
      </c>
      <c r="CB138">
        <f t="shared" ca="1" si="108"/>
        <v>19</v>
      </c>
      <c r="CC138">
        <f t="shared" ca="1" si="109"/>
        <v>19</v>
      </c>
      <c r="CD138">
        <f t="shared" ca="1" si="110"/>
        <v>78</v>
      </c>
      <c r="CE138">
        <f t="shared" ca="1" si="111"/>
        <v>78</v>
      </c>
      <c r="CF138">
        <f t="shared" ca="1" si="112"/>
        <v>78</v>
      </c>
      <c r="CL138">
        <f t="shared" ca="1" si="113"/>
        <v>1</v>
      </c>
      <c r="CM138">
        <f t="shared" ca="1" si="114"/>
        <v>1</v>
      </c>
      <c r="CN138">
        <f t="shared" ca="1" si="115"/>
        <v>1</v>
      </c>
      <c r="CO138">
        <f t="shared" ca="1" si="116"/>
        <v>0</v>
      </c>
      <c r="CP138">
        <f t="shared" ca="1" si="117"/>
        <v>1</v>
      </c>
      <c r="CQ138">
        <f t="shared" ca="1" si="118"/>
        <v>1</v>
      </c>
      <c r="CR138">
        <f t="shared" ca="1" si="119"/>
        <v>1</v>
      </c>
      <c r="CS138">
        <f t="shared" ca="1" si="120"/>
        <v>1</v>
      </c>
      <c r="CT138">
        <f t="shared" ca="1" si="121"/>
        <v>1</v>
      </c>
      <c r="CU138">
        <f t="shared" ca="1" si="122"/>
        <v>0</v>
      </c>
      <c r="CV138">
        <f t="shared" ca="1" si="123"/>
        <v>0</v>
      </c>
      <c r="CW138">
        <f t="shared" ca="1" si="124"/>
        <v>0</v>
      </c>
      <c r="DC138" cm="1">
        <f t="array" aca="1" ref="DC138" ca="1">IF(ISNA(E138),,OFFSET(INDIRECT("'"&amp;DT$67&amp;"'!f1"),E138-1,))*1</f>
        <v>28822.660385587002</v>
      </c>
      <c r="DD138" cm="1">
        <f t="array" aca="1" ref="DD138" ca="1">IF(ISNA(F138),,OFFSET(INDIRECT("'"&amp;DU$67&amp;"'!f1"),F138-1,))*1</f>
        <v>28821.075144475701</v>
      </c>
      <c r="DE138" cm="1">
        <f t="array" aca="1" ref="DE138" ca="1">IF(ISNA(G138),,OFFSET(INDIRECT("'"&amp;DV$67&amp;"'!f1"),G138-1,))*1</f>
        <v>28800.172741422801</v>
      </c>
      <c r="DF138" cm="1">
        <f t="array" aca="1" ref="DF138" ca="1">IF(ISNA(H138),,OFFSET(INDIRECT("'"&amp;DW$67&amp;"'!f1"),H138-1,))*1</f>
        <v>28800.109935939301</v>
      </c>
      <c r="DG138" cm="1">
        <f t="array" aca="1" ref="DG138" ca="1">IF(ISNA(I138),,OFFSET(INDIRECT("'"&amp;DX$67&amp;"'!f1"),I138-1,))*1</f>
        <v>0.116533041000366</v>
      </c>
      <c r="DH138" cm="1">
        <f t="array" aca="1" ref="DH138" ca="1">IF(ISNA(J138),,OFFSET(INDIRECT("'"&amp;DY$67&amp;"'!f1"),J138-1,))*1</f>
        <v>0.21010131202638099</v>
      </c>
      <c r="DI138" cm="1">
        <f t="array" aca="1" ref="DI138" ca="1">IF(ISNA(K138),,OFFSET(INDIRECT("'"&amp;DZ$67&amp;"'!f1"),K138-1,))*1</f>
        <v>3.0853186668828099</v>
      </c>
      <c r="DJ138" cm="1">
        <f t="array" aca="1" ref="DJ138" ca="1">IF(ISNA(L138),,OFFSET(INDIRECT("'"&amp;EA$67&amp;"'!f1"),L138-1,))*1</f>
        <v>3.7143194200470999</v>
      </c>
      <c r="DK138" cm="1">
        <f t="array" aca="1" ref="DK138" ca="1">IF(ISNA(M138),,OFFSET(INDIRECT("'"&amp;EB$67&amp;"'!f1"),M138-1,))*1</f>
        <v>43.919121136888798</v>
      </c>
      <c r="DL138" cm="1">
        <f t="array" aca="1" ref="DL138" ca="1">IF(ISNA(N138),,OFFSET(INDIRECT("'"&amp;EC$67&amp;"'!f1"),N138-1,))*1</f>
        <v>1.19883315637707E-2</v>
      </c>
      <c r="DM138" cm="1">
        <f t="array" aca="1" ref="DM138" ca="1">IF(ISNA(O138),,OFFSET(INDIRECT("'"&amp;ED$67&amp;"'!f1"),O138-1,))*1</f>
        <v>1.17723084986209E-2</v>
      </c>
      <c r="DN138" cm="1">
        <f t="array" aca="1" ref="DN138" ca="1">IF(ISNA(P138),,OFFSET(INDIRECT("'"&amp;EE$67&amp;"'!f1"),P138-1,))*1</f>
        <v>2.02885270118713E-2</v>
      </c>
      <c r="DT138">
        <f t="shared" ca="1" si="125"/>
        <v>1</v>
      </c>
      <c r="DU138">
        <f t="shared" ca="1" si="126"/>
        <v>1</v>
      </c>
      <c r="DV138">
        <f t="shared" ca="1" si="127"/>
        <v>1</v>
      </c>
      <c r="DW138">
        <f t="shared" ca="1" si="128"/>
        <v>0</v>
      </c>
      <c r="DX138">
        <f t="shared" ca="1" si="129"/>
        <v>1</v>
      </c>
      <c r="DY138">
        <f t="shared" ca="1" si="130"/>
        <v>1</v>
      </c>
      <c r="DZ138">
        <f t="shared" ca="1" si="131"/>
        <v>2635</v>
      </c>
      <c r="EA138">
        <f t="shared" ca="1" si="132"/>
        <v>5383</v>
      </c>
      <c r="EB138">
        <f t="shared" ca="1" si="133"/>
        <v>2116</v>
      </c>
      <c r="EC138">
        <f t="shared" ca="1" si="134"/>
        <v>0</v>
      </c>
      <c r="ED138">
        <f t="shared" ca="1" si="135"/>
        <v>0</v>
      </c>
      <c r="EE138">
        <f t="shared" ca="1" si="136"/>
        <v>0</v>
      </c>
      <c r="EK138" cm="1">
        <f t="array" aca="1" ref="EK138" ca="1">IF(ISNA(E138),0,OFFSET(INDIRECT("'"&amp;EK$67&amp;"'!g1"),E138-1,)*CL138)</f>
        <v>1</v>
      </c>
      <c r="EL138" cm="1">
        <f t="array" aca="1" ref="EL138" ca="1">IF(ISNA(F138),0,OFFSET(INDIRECT("'"&amp;EL$67&amp;"'!g1"),F138-1,)*CM138)</f>
        <v>1</v>
      </c>
      <c r="EM138" cm="1">
        <f t="array" aca="1" ref="EM138" ca="1">IF(ISNA(G138),0,OFFSET(INDIRECT("'"&amp;EM$67&amp;"'!g1"),G138-1,)*CN138)</f>
        <v>1</v>
      </c>
      <c r="EN138" cm="1">
        <f t="array" aca="1" ref="EN138" ca="1">IF(ISNA(H138),0,OFFSET(INDIRECT("'"&amp;EN$67&amp;"'!g1"),H138-1,)*CO138)</f>
        <v>0</v>
      </c>
      <c r="EO138" cm="1">
        <f t="array" aca="1" ref="EO138" ca="1">IF(ISNA(I138),0,OFFSET(INDIRECT("'"&amp;EO$67&amp;"'!g1"),I138-1,)*CP138)</f>
        <v>1</v>
      </c>
      <c r="EP138" cm="1">
        <f t="array" aca="1" ref="EP138" ca="1">IF(ISNA(J138),0,OFFSET(INDIRECT("'"&amp;EP$67&amp;"'!g1"),J138-1,)*CQ138)</f>
        <v>1</v>
      </c>
      <c r="EQ138" cm="1">
        <f t="array" aca="1" ref="EQ138" ca="1">IF(ISNA(K138),0,OFFSET(INDIRECT("'"&amp;EQ$67&amp;"'!g1"),K138-1,)*CR138)</f>
        <v>2635</v>
      </c>
      <c r="ER138" cm="1">
        <f t="array" aca="1" ref="ER138" ca="1">IF(ISNA(L138),0,OFFSET(INDIRECT("'"&amp;ER$67&amp;"'!g1"),L138-1,)*CS138)</f>
        <v>5383</v>
      </c>
      <c r="ES138" cm="1">
        <f t="array" aca="1" ref="ES138" ca="1">IF(ISNA(M138),0,OFFSET(INDIRECT("'"&amp;ES$67&amp;"'!g1"),M138-1,)*CT138)</f>
        <v>2116</v>
      </c>
      <c r="ET138" cm="1">
        <f t="array" aca="1" ref="ET138" ca="1">IF(ISNA(N138),0,OFFSET(INDIRECT("'"&amp;ET$67&amp;"'!g1"),N138-1,)*CU138)</f>
        <v>0</v>
      </c>
      <c r="EU138" cm="1">
        <f t="array" aca="1" ref="EU138" ca="1">IF(ISNA(O138),0,OFFSET(INDIRECT("'"&amp;EU$67&amp;"'!g1"),O138-1,)*CV138)</f>
        <v>0</v>
      </c>
      <c r="EV138" cm="1">
        <f t="array" aca="1" ref="EV138" ca="1">IF(ISNA(P138),0,OFFSET(INDIRECT("'"&amp;EV$67&amp;"'!g1"),P138-1,)*CW138)</f>
        <v>0</v>
      </c>
      <c r="FB138" s="10" cm="1">
        <f t="array" aca="1" ref="FB138" ca="1">IF(ISNA(E138),0,OFFSET(INDIRECT("'"&amp;EK$67&amp;"'!h1"),E138-1,))</f>
        <v>1</v>
      </c>
      <c r="FC138" s="10" cm="1">
        <f t="array" aca="1" ref="FC138" ca="1">IF(ISNA(F138),0,OFFSET(INDIRECT("'"&amp;EL$67&amp;"'!h1"),F138-1,))</f>
        <v>1</v>
      </c>
      <c r="FD138" s="10" cm="1">
        <f t="array" aca="1" ref="FD138" ca="1">IF(ISNA(G138),0,OFFSET(INDIRECT("'"&amp;EM$67&amp;"'!h1"),G138-1,))</f>
        <v>1</v>
      </c>
      <c r="FE138" s="10" cm="1">
        <f t="array" aca="1" ref="FE138" ca="1">IF(ISNA(H138),0,OFFSET(INDIRECT("'"&amp;EN$67&amp;"'!h1"),H138-1,))</f>
        <v>1</v>
      </c>
      <c r="FF138" s="10" cm="1">
        <f t="array" aca="1" ref="FF138" ca="1">IF(ISNA(I138),0,OFFSET(INDIRECT("'"&amp;EO$67&amp;"'!h1"),I138-1,))</f>
        <v>1</v>
      </c>
      <c r="FG138" s="10" cm="1">
        <f t="array" aca="1" ref="FG138" ca="1">IF(ISNA(J138),0,OFFSET(INDIRECT("'"&amp;EP$67&amp;"'!h1"),J138-1,))</f>
        <v>1</v>
      </c>
      <c r="FH138" s="10" cm="1">
        <f t="array" aca="1" ref="FH138" ca="1">IF(ISNA(K138),0,OFFSET(INDIRECT("'"&amp;EQ$67&amp;"'!h1"),K138-1,))</f>
        <v>10000</v>
      </c>
      <c r="FI138" s="10" cm="1">
        <f t="array" aca="1" ref="FI138" ca="1">IF(ISNA(L138),0,OFFSET(INDIRECT("'"&amp;ER$67&amp;"'!h1"),L138-1,))</f>
        <v>10000</v>
      </c>
      <c r="FJ138" s="10" cm="1">
        <f t="array" aca="1" ref="FJ138" ca="1">IF(ISNA(M138),0,OFFSET(INDIRECT("'"&amp;ES$67&amp;"'!h1"),M138-1,))</f>
        <v>10000</v>
      </c>
      <c r="FK138" s="10" cm="1">
        <f t="array" aca="1" ref="FK138" ca="1">IF(ISNA(N138),0,OFFSET(INDIRECT("'"&amp;ET$67&amp;"'!h1"),N138-1,))</f>
        <v>1</v>
      </c>
      <c r="FL138" s="10" cm="1">
        <f t="array" aca="1" ref="FL138" ca="1">IF(ISNA(O138),0,OFFSET(INDIRECT("'"&amp;EU$67&amp;"'!h1"),O138-1,))</f>
        <v>1</v>
      </c>
      <c r="FM138" s="10" cm="1">
        <f t="array" aca="1" ref="FM138" ca="1">IF(ISNA(P138),0,OFFSET(INDIRECT("'"&amp;EV$67&amp;"'!h1"),P138-1,))</f>
        <v>9</v>
      </c>
      <c r="FN138" s="10"/>
      <c r="FO138" s="10"/>
      <c r="FP138" s="10"/>
      <c r="FQ138" s="10"/>
      <c r="FS138">
        <f t="shared" ca="1" si="137"/>
        <v>78</v>
      </c>
      <c r="FT138">
        <f t="shared" ca="1" si="62"/>
        <v>3.0853186668828099</v>
      </c>
      <c r="FU138">
        <f t="shared" ca="1" si="63"/>
        <v>2635</v>
      </c>
      <c r="FV138">
        <f t="shared" ca="1" si="64"/>
        <v>10000</v>
      </c>
      <c r="FW138" s="4">
        <f t="shared" ca="1" si="138"/>
        <v>0.26350000000000001</v>
      </c>
      <c r="FX138" s="5">
        <f t="shared" ca="1" si="139"/>
        <v>1.1708989248132107E-3</v>
      </c>
      <c r="FZ138" s="13">
        <f t="shared" ca="1" si="140"/>
        <v>78</v>
      </c>
      <c r="GA138" s="23">
        <f t="shared" ca="1" si="141"/>
        <v>0</v>
      </c>
      <c r="GB138" s="23">
        <f t="shared" ca="1" si="142"/>
        <v>0</v>
      </c>
      <c r="GC138" s="23">
        <f t="shared" ca="1" si="143"/>
        <v>0</v>
      </c>
      <c r="GD138" s="23" t="e">
        <f t="shared" ca="1" si="144"/>
        <v>#N/A</v>
      </c>
      <c r="GE138" s="23">
        <f t="shared" ca="1" si="145"/>
        <v>0</v>
      </c>
      <c r="GF138" s="23">
        <f t="shared" ca="1" si="146"/>
        <v>0</v>
      </c>
      <c r="GG138" s="23">
        <f t="shared" ca="1" si="147"/>
        <v>0</v>
      </c>
      <c r="GH138" s="23">
        <f t="shared" ca="1" si="148"/>
        <v>0</v>
      </c>
      <c r="GI138" s="23">
        <f t="shared" ca="1" si="149"/>
        <v>0</v>
      </c>
      <c r="GJ138" s="23" t="e">
        <f t="shared" ca="1" si="150"/>
        <v>#N/A</v>
      </c>
      <c r="GK138" s="23" t="e">
        <f t="shared" ca="1" si="151"/>
        <v>#N/A</v>
      </c>
      <c r="GL138" s="23" t="e">
        <f t="shared" ca="1" si="152"/>
        <v>#N/A</v>
      </c>
      <c r="GM138" s="23"/>
      <c r="GN138">
        <f t="shared" ca="1" si="153"/>
        <v>78</v>
      </c>
      <c r="GO138" s="5" t="e">
        <f t="shared" ca="1" si="154"/>
        <v>#N/A</v>
      </c>
      <c r="GP138" s="5" t="e">
        <f t="shared" ca="1" si="155"/>
        <v>#N/A</v>
      </c>
      <c r="GQ138" s="5" t="e">
        <f t="shared" ca="1" si="156"/>
        <v>#N/A</v>
      </c>
      <c r="GR138" s="5" t="e">
        <f t="shared" ca="1" si="157"/>
        <v>#N/A</v>
      </c>
      <c r="GS138" s="5">
        <f t="shared" ca="1" si="158"/>
        <v>0.116533041000366</v>
      </c>
      <c r="GT138" s="5">
        <f t="shared" ca="1" si="159"/>
        <v>0.21010131202638099</v>
      </c>
      <c r="GU138" s="5">
        <f t="shared" ca="1" si="160"/>
        <v>1.1708989248132107E-3</v>
      </c>
      <c r="GV138" s="5">
        <f t="shared" ca="1" si="161"/>
        <v>6.9000918076297599E-4</v>
      </c>
      <c r="GW138" s="5">
        <f t="shared" ca="1" si="162"/>
        <v>2.0755728325561815E-2</v>
      </c>
      <c r="GX138" s="5" t="e">
        <f t="shared" ca="1" si="163"/>
        <v>#N/A</v>
      </c>
      <c r="GY138" s="5" t="e">
        <f t="shared" ca="1" si="164"/>
        <v>#N/A</v>
      </c>
      <c r="GZ138" s="5" t="e">
        <f t="shared" ca="1" si="165"/>
        <v>#N/A</v>
      </c>
      <c r="HB138" s="13">
        <f t="shared" ca="1" si="166"/>
        <v>78</v>
      </c>
      <c r="HC138" s="4">
        <f t="shared" ca="1" si="167"/>
        <v>1</v>
      </c>
      <c r="HD138" s="4">
        <f t="shared" ca="1" si="168"/>
        <v>1</v>
      </c>
      <c r="HE138" s="4">
        <f t="shared" ca="1" si="169"/>
        <v>1</v>
      </c>
      <c r="HF138" s="4">
        <f t="shared" ca="1" si="170"/>
        <v>0</v>
      </c>
      <c r="HG138" s="4">
        <f t="shared" ca="1" si="171"/>
        <v>1</v>
      </c>
      <c r="HH138" s="4">
        <f t="shared" ca="1" si="172"/>
        <v>1</v>
      </c>
      <c r="HI138" s="4">
        <f t="shared" ca="1" si="173"/>
        <v>0.26350000000000001</v>
      </c>
      <c r="HJ138" s="4">
        <f t="shared" ca="1" si="174"/>
        <v>0.5383</v>
      </c>
      <c r="HK138" s="4">
        <f t="shared" ca="1" si="175"/>
        <v>0.21160000000000001</v>
      </c>
      <c r="HL138" s="4">
        <f t="shared" ca="1" si="176"/>
        <v>0</v>
      </c>
      <c r="HM138" s="4">
        <f t="shared" ca="1" si="177"/>
        <v>0</v>
      </c>
      <c r="HN138" s="4">
        <f t="shared" ca="1" si="178"/>
        <v>0</v>
      </c>
    </row>
    <row r="139" spans="1:222" x14ac:dyDescent="0.2">
      <c r="A139" t="str" cm="1">
        <f t="array" aca="1" ref="A139" ca="1">INDIRECT($A$67&amp;"!A"&amp;ROW(C72)+$B$64)</f>
        <v>[[79,20,24]]</v>
      </c>
      <c r="B139" cm="1">
        <f t="array" aca="1" ref="B139" ca="1">INDIRECT($A$67&amp;"!b"&amp;ROW(D72)+$B$64)</f>
        <v>79</v>
      </c>
      <c r="C139">
        <f t="shared" ca="1" si="78"/>
        <v>24</v>
      </c>
      <c r="E139">
        <f t="shared" ca="1" si="182"/>
        <v>96</v>
      </c>
      <c r="F139">
        <f t="shared" ca="1" si="182"/>
        <v>97</v>
      </c>
      <c r="G139">
        <f t="shared" ca="1" si="182"/>
        <v>96</v>
      </c>
      <c r="H139">
        <f t="shared" ca="1" si="182"/>
        <v>106</v>
      </c>
      <c r="I139">
        <f t="shared" ca="1" si="182"/>
        <v>99</v>
      </c>
      <c r="J139">
        <f t="shared" ca="1" si="182"/>
        <v>96</v>
      </c>
      <c r="K139">
        <f t="shared" ca="1" si="182"/>
        <v>103</v>
      </c>
      <c r="L139">
        <f t="shared" ca="1" si="182"/>
        <v>105</v>
      </c>
      <c r="M139">
        <f t="shared" ca="1" si="182"/>
        <v>102</v>
      </c>
      <c r="N139">
        <f t="shared" ca="1" si="182"/>
        <v>100</v>
      </c>
      <c r="O139">
        <f t="shared" ca="1" si="182"/>
        <v>100</v>
      </c>
      <c r="P139">
        <f t="shared" ca="1" si="182"/>
        <v>100</v>
      </c>
      <c r="V139" cm="1">
        <f t="array" aca="1" ref="V139" ca="1">IF(ISNA(E139),,OFFSET(INDIRECT("'"&amp;V$67&amp;"'!d1"),E139-1,))</f>
        <v>24</v>
      </c>
      <c r="W139" cm="1">
        <f t="array" aca="1" ref="W139" ca="1">IF(ISNA(F139),,OFFSET(INDIRECT("'"&amp;W$67&amp;"'!d1"),F139-1,))</f>
        <v>24</v>
      </c>
      <c r="X139" cm="1">
        <f t="array" aca="1" ref="X139" ca="1">IF(ISNA(G139),,OFFSET(INDIRECT("'"&amp;X$67&amp;"'!d1"),G139-1,))</f>
        <v>24</v>
      </c>
      <c r="Y139" cm="1">
        <f t="array" aca="1" ref="Y139" ca="1">IF(ISNA(H139),,OFFSET(INDIRECT("'"&amp;Y$67&amp;"'!d1"),H139-1,))</f>
        <v>0</v>
      </c>
      <c r="Z139" cm="1">
        <f t="array" aca="1" ref="Z139" ca="1">IF(ISNA(I139),,OFFSET(INDIRECT("'"&amp;Z$67&amp;"'!d1"),I139-1,))</f>
        <v>24</v>
      </c>
      <c r="AA139" cm="1">
        <f t="array" aca="1" ref="AA139" ca="1">IF(ISNA(J139),,OFFSET(INDIRECT("'"&amp;AA$67&amp;"'!d1"),J139-1,))</f>
        <v>24</v>
      </c>
      <c r="AB139" cm="1">
        <f t="array" aca="1" ref="AB139" ca="1">IF(ISNA(K139),,OFFSET(INDIRECT("'"&amp;AB$67&amp;"'!d1"),K139-1,))</f>
        <v>24</v>
      </c>
      <c r="AC139" cm="1">
        <f t="array" aca="1" ref="AC139" ca="1">IF(ISNA(L139),,OFFSET(INDIRECT("'"&amp;AC$67&amp;"'!d1"),L139-1,))</f>
        <v>24</v>
      </c>
      <c r="AD139" cm="1">
        <f t="array" aca="1" ref="AD139" ca="1">IF(ISNA(M139),,OFFSET(INDIRECT("'"&amp;AD$67&amp;"'!d1"),M139-1,))</f>
        <v>24</v>
      </c>
      <c r="AE139" cm="1">
        <f t="array" aca="1" ref="AE139" ca="1">IF(ISNA(N139),,OFFSET(INDIRECT("'"&amp;AE$67&amp;"'!d1"),N139-1,))</f>
        <v>0</v>
      </c>
      <c r="AF139" cm="1">
        <f t="array" aca="1" ref="AF139" ca="1">IF(ISNA(O139),,OFFSET(INDIRECT("'"&amp;AF$67&amp;"'!d1"),O139-1,))</f>
        <v>0</v>
      </c>
      <c r="AG139" cm="1">
        <f t="array" aca="1" ref="AG139" ca="1">IF(ISNA(P139),,OFFSET(INDIRECT("'"&amp;AG$67&amp;"'!d1"),P139-1,))</f>
        <v>0</v>
      </c>
      <c r="AM139">
        <f t="shared" ca="1" si="79"/>
        <v>1</v>
      </c>
      <c r="AN139">
        <f t="shared" ca="1" si="80"/>
        <v>0</v>
      </c>
      <c r="AO139">
        <f t="shared" ca="1" si="81"/>
        <v>1</v>
      </c>
      <c r="AP139">
        <f t="shared" ca="1" si="82"/>
        <v>0</v>
      </c>
      <c r="AQ139">
        <f t="shared" ca="1" si="83"/>
        <v>1</v>
      </c>
      <c r="AV139" t="b">
        <f t="shared" ca="1" si="84"/>
        <v>1</v>
      </c>
      <c r="AW139" t="str">
        <f t="shared" ca="1" si="85"/>
        <v/>
      </c>
      <c r="AX139" t="b">
        <f t="shared" ca="1" si="86"/>
        <v>1</v>
      </c>
      <c r="AY139" t="str">
        <f t="shared" ca="1" si="87"/>
        <v/>
      </c>
      <c r="AZ139" t="b">
        <f t="shared" ca="1" si="88"/>
        <v>1</v>
      </c>
      <c r="BD139">
        <f t="shared" ca="1" si="89"/>
        <v>1</v>
      </c>
      <c r="BE139">
        <f t="shared" ca="1" si="90"/>
        <v>1</v>
      </c>
      <c r="BF139">
        <f t="shared" ca="1" si="91"/>
        <v>1</v>
      </c>
      <c r="BG139">
        <f t="shared" ca="1" si="92"/>
        <v>0</v>
      </c>
      <c r="BH139">
        <f t="shared" ca="1" si="93"/>
        <v>1</v>
      </c>
      <c r="BI139">
        <f t="shared" ca="1" si="94"/>
        <v>1</v>
      </c>
      <c r="BJ139">
        <f t="shared" ca="1" si="95"/>
        <v>1</v>
      </c>
      <c r="BK139">
        <f t="shared" ca="1" si="96"/>
        <v>1</v>
      </c>
      <c r="BL139">
        <f t="shared" ca="1" si="97"/>
        <v>1</v>
      </c>
      <c r="BM139">
        <f t="shared" ca="1" si="98"/>
        <v>0</v>
      </c>
      <c r="BN139">
        <f t="shared" ca="1" si="99"/>
        <v>0</v>
      </c>
      <c r="BO139">
        <f t="shared" ca="1" si="100"/>
        <v>0</v>
      </c>
      <c r="BU139">
        <f t="shared" ca="1" si="101"/>
        <v>24</v>
      </c>
      <c r="BV139">
        <f t="shared" ca="1" si="102"/>
        <v>24</v>
      </c>
      <c r="BW139">
        <f t="shared" ca="1" si="103"/>
        <v>24</v>
      </c>
      <c r="BX139">
        <f t="shared" ca="1" si="104"/>
        <v>79</v>
      </c>
      <c r="BY139">
        <f t="shared" ca="1" si="105"/>
        <v>24</v>
      </c>
      <c r="BZ139">
        <f t="shared" ca="1" si="106"/>
        <v>24</v>
      </c>
      <c r="CA139">
        <f t="shared" ca="1" si="107"/>
        <v>24</v>
      </c>
      <c r="CB139">
        <f t="shared" ca="1" si="108"/>
        <v>24</v>
      </c>
      <c r="CC139">
        <f t="shared" ca="1" si="109"/>
        <v>24</v>
      </c>
      <c r="CD139">
        <f t="shared" ca="1" si="110"/>
        <v>79</v>
      </c>
      <c r="CE139">
        <f t="shared" ca="1" si="111"/>
        <v>79</v>
      </c>
      <c r="CF139">
        <f t="shared" ca="1" si="112"/>
        <v>79</v>
      </c>
      <c r="CL139">
        <f t="shared" ca="1" si="113"/>
        <v>1</v>
      </c>
      <c r="CM139">
        <f t="shared" ca="1" si="114"/>
        <v>1</v>
      </c>
      <c r="CN139">
        <f t="shared" ca="1" si="115"/>
        <v>1</v>
      </c>
      <c r="CO139">
        <f t="shared" ca="1" si="116"/>
        <v>0</v>
      </c>
      <c r="CP139">
        <f t="shared" ca="1" si="117"/>
        <v>1</v>
      </c>
      <c r="CQ139">
        <f t="shared" ca="1" si="118"/>
        <v>1</v>
      </c>
      <c r="CR139">
        <f t="shared" ca="1" si="119"/>
        <v>1</v>
      </c>
      <c r="CS139">
        <f t="shared" ca="1" si="120"/>
        <v>1</v>
      </c>
      <c r="CT139">
        <f t="shared" ca="1" si="121"/>
        <v>1</v>
      </c>
      <c r="CU139">
        <f t="shared" ca="1" si="122"/>
        <v>0</v>
      </c>
      <c r="CV139">
        <f t="shared" ca="1" si="123"/>
        <v>0</v>
      </c>
      <c r="CW139">
        <f t="shared" ca="1" si="124"/>
        <v>0</v>
      </c>
      <c r="DC139" cm="1">
        <f t="array" aca="1" ref="DC139" ca="1">IF(ISNA(E139),,OFFSET(INDIRECT("'"&amp;DT$67&amp;"'!f1"),E139-1,))*1</f>
        <v>1418.2379013049899</v>
      </c>
      <c r="DD139" cm="1">
        <f t="array" aca="1" ref="DD139" ca="1">IF(ISNA(F139),,OFFSET(INDIRECT("'"&amp;DU$67&amp;"'!f1"),F139-1,))*1</f>
        <v>28802.386514535101</v>
      </c>
      <c r="DE139" cm="1">
        <f t="array" aca="1" ref="DE139" ca="1">IF(ISNA(G139),,OFFSET(INDIRECT("'"&amp;DV$67&amp;"'!f1"),G139-1,))*1</f>
        <v>713.81447147298604</v>
      </c>
      <c r="DF139" cm="1">
        <f t="array" aca="1" ref="DF139" ca="1">IF(ISNA(H139),,OFFSET(INDIRECT("'"&amp;DW$67&amp;"'!f1"),H139-1,))*1</f>
        <v>28800.1118292063</v>
      </c>
      <c r="DG139" cm="1">
        <f t="array" aca="1" ref="DG139" ca="1">IF(ISNA(I139),,OFFSET(INDIRECT("'"&amp;DX$67&amp;"'!f1"),I139-1,))*1</f>
        <v>5.7779791997745598E-2</v>
      </c>
      <c r="DH139" cm="1">
        <f t="array" aca="1" ref="DH139" ca="1">IF(ISNA(J139),,OFFSET(INDIRECT("'"&amp;DY$67&amp;"'!f1"),J139-1,))*1</f>
        <v>0.242972841951996</v>
      </c>
      <c r="DI139" cm="1">
        <f t="array" aca="1" ref="DI139" ca="1">IF(ISNA(K139),,OFFSET(INDIRECT("'"&amp;DZ$67&amp;"'!f1"),K139-1,))*1</f>
        <v>3.0235110325738699</v>
      </c>
      <c r="DJ139" cm="1">
        <f t="array" aca="1" ref="DJ139" ca="1">IF(ISNA(L139),,OFFSET(INDIRECT("'"&amp;EA$67&amp;"'!f1"),L139-1,))*1</f>
        <v>3.6226105904206598</v>
      </c>
      <c r="DK139" cm="1">
        <f t="array" aca="1" ref="DK139" ca="1">IF(ISNA(M139),,OFFSET(INDIRECT("'"&amp;EB$67&amp;"'!f1"),M139-1,))*1</f>
        <v>42.267499078996401</v>
      </c>
      <c r="DL139" cm="1">
        <f t="array" aca="1" ref="DL139" ca="1">IF(ISNA(N139),,OFFSET(INDIRECT("'"&amp;EC$67&amp;"'!f1"),N139-1,))*1</f>
        <v>1.1046420782804401E-2</v>
      </c>
      <c r="DM139" cm="1">
        <f t="array" aca="1" ref="DM139" ca="1">IF(ISNA(O139),,OFFSET(INDIRECT("'"&amp;ED$67&amp;"'!f1"),O139-1,))*1</f>
        <v>1.0853745043277701E-2</v>
      </c>
      <c r="DN139" cm="1">
        <f t="array" aca="1" ref="DN139" ca="1">IF(ISNA(P139),,OFFSET(INDIRECT("'"&amp;EE$67&amp;"'!f1"),P139-1,))*1</f>
        <v>1.7350950278341701E-2</v>
      </c>
      <c r="DT139">
        <f t="shared" ca="1" si="125"/>
        <v>1</v>
      </c>
      <c r="DU139">
        <f t="shared" ca="1" si="126"/>
        <v>1</v>
      </c>
      <c r="DV139">
        <f t="shared" ca="1" si="127"/>
        <v>1</v>
      </c>
      <c r="DW139">
        <f t="shared" ca="1" si="128"/>
        <v>0</v>
      </c>
      <c r="DX139">
        <f t="shared" ca="1" si="129"/>
        <v>1</v>
      </c>
      <c r="DY139">
        <f t="shared" ca="1" si="130"/>
        <v>1</v>
      </c>
      <c r="DZ139">
        <f t="shared" ca="1" si="131"/>
        <v>2805</v>
      </c>
      <c r="EA139">
        <f t="shared" ca="1" si="132"/>
        <v>6949</v>
      </c>
      <c r="EB139">
        <f t="shared" ca="1" si="133"/>
        <v>2245</v>
      </c>
      <c r="EC139">
        <f t="shared" ca="1" si="134"/>
        <v>0</v>
      </c>
      <c r="ED139">
        <f t="shared" ca="1" si="135"/>
        <v>0</v>
      </c>
      <c r="EE139">
        <f t="shared" ca="1" si="136"/>
        <v>0</v>
      </c>
      <c r="EK139" cm="1">
        <f t="array" aca="1" ref="EK139" ca="1">IF(ISNA(E139),0,OFFSET(INDIRECT("'"&amp;EK$67&amp;"'!g1"),E139-1,)*CL139)</f>
        <v>1</v>
      </c>
      <c r="EL139" cm="1">
        <f t="array" aca="1" ref="EL139" ca="1">IF(ISNA(F139),0,OFFSET(INDIRECT("'"&amp;EL$67&amp;"'!g1"),F139-1,)*CM139)</f>
        <v>1</v>
      </c>
      <c r="EM139" cm="1">
        <f t="array" aca="1" ref="EM139" ca="1">IF(ISNA(G139),0,OFFSET(INDIRECT("'"&amp;EM$67&amp;"'!g1"),G139-1,)*CN139)</f>
        <v>1</v>
      </c>
      <c r="EN139" cm="1">
        <f t="array" aca="1" ref="EN139" ca="1">IF(ISNA(H139),0,OFFSET(INDIRECT("'"&amp;EN$67&amp;"'!g1"),H139-1,)*CO139)</f>
        <v>0</v>
      </c>
      <c r="EO139" cm="1">
        <f t="array" aca="1" ref="EO139" ca="1">IF(ISNA(I139),0,OFFSET(INDIRECT("'"&amp;EO$67&amp;"'!g1"),I139-1,)*CP139)</f>
        <v>1</v>
      </c>
      <c r="EP139" cm="1">
        <f t="array" aca="1" ref="EP139" ca="1">IF(ISNA(J139),0,OFFSET(INDIRECT("'"&amp;EP$67&amp;"'!g1"),J139-1,)*CQ139)</f>
        <v>1</v>
      </c>
      <c r="EQ139" cm="1">
        <f t="array" aca="1" ref="EQ139" ca="1">IF(ISNA(K139),0,OFFSET(INDIRECT("'"&amp;EQ$67&amp;"'!g1"),K139-1,)*CR139)</f>
        <v>2805</v>
      </c>
      <c r="ER139" cm="1">
        <f t="array" aca="1" ref="ER139" ca="1">IF(ISNA(L139),0,OFFSET(INDIRECT("'"&amp;ER$67&amp;"'!g1"),L139-1,)*CS139)</f>
        <v>6949</v>
      </c>
      <c r="ES139" cm="1">
        <f t="array" aca="1" ref="ES139" ca="1">IF(ISNA(M139),0,OFFSET(INDIRECT("'"&amp;ES$67&amp;"'!g1"),M139-1,)*CT139)</f>
        <v>2245</v>
      </c>
      <c r="ET139" cm="1">
        <f t="array" aca="1" ref="ET139" ca="1">IF(ISNA(N139),0,OFFSET(INDIRECT("'"&amp;ET$67&amp;"'!g1"),N139-1,)*CU139)</f>
        <v>0</v>
      </c>
      <c r="EU139" cm="1">
        <f t="array" aca="1" ref="EU139" ca="1">IF(ISNA(O139),0,OFFSET(INDIRECT("'"&amp;EU$67&amp;"'!g1"),O139-1,)*CV139)</f>
        <v>0</v>
      </c>
      <c r="EV139" cm="1">
        <f t="array" aca="1" ref="EV139" ca="1">IF(ISNA(P139),0,OFFSET(INDIRECT("'"&amp;EV$67&amp;"'!g1"),P139-1,)*CW139)</f>
        <v>0</v>
      </c>
      <c r="FB139" s="10" cm="1">
        <f t="array" aca="1" ref="FB139" ca="1">IF(ISNA(E139),0,OFFSET(INDIRECT("'"&amp;EK$67&amp;"'!h1"),E139-1,))</f>
        <v>1</v>
      </c>
      <c r="FC139" s="10" cm="1">
        <f t="array" aca="1" ref="FC139" ca="1">IF(ISNA(F139),0,OFFSET(INDIRECT("'"&amp;EL$67&amp;"'!h1"),F139-1,))</f>
        <v>1</v>
      </c>
      <c r="FD139" s="10" cm="1">
        <f t="array" aca="1" ref="FD139" ca="1">IF(ISNA(G139),0,OFFSET(INDIRECT("'"&amp;EM$67&amp;"'!h1"),G139-1,))</f>
        <v>1</v>
      </c>
      <c r="FE139" s="10" cm="1">
        <f t="array" aca="1" ref="FE139" ca="1">IF(ISNA(H139),0,OFFSET(INDIRECT("'"&amp;EN$67&amp;"'!h1"),H139-1,))</f>
        <v>1</v>
      </c>
      <c r="FF139" s="10" cm="1">
        <f t="array" aca="1" ref="FF139" ca="1">IF(ISNA(I139),0,OFFSET(INDIRECT("'"&amp;EO$67&amp;"'!h1"),I139-1,))</f>
        <v>1</v>
      </c>
      <c r="FG139" s="10" cm="1">
        <f t="array" aca="1" ref="FG139" ca="1">IF(ISNA(J139),0,OFFSET(INDIRECT("'"&amp;EP$67&amp;"'!h1"),J139-1,))</f>
        <v>1</v>
      </c>
      <c r="FH139" s="10" cm="1">
        <f t="array" aca="1" ref="FH139" ca="1">IF(ISNA(K139),0,OFFSET(INDIRECT("'"&amp;EQ$67&amp;"'!h1"),K139-1,))</f>
        <v>10000</v>
      </c>
      <c r="FI139" s="10" cm="1">
        <f t="array" aca="1" ref="FI139" ca="1">IF(ISNA(L139),0,OFFSET(INDIRECT("'"&amp;ER$67&amp;"'!h1"),L139-1,))</f>
        <v>10000</v>
      </c>
      <c r="FJ139" s="10" cm="1">
        <f t="array" aca="1" ref="FJ139" ca="1">IF(ISNA(M139),0,OFFSET(INDIRECT("'"&amp;ES$67&amp;"'!h1"),M139-1,))</f>
        <v>10000</v>
      </c>
      <c r="FK139" s="10" cm="1">
        <f t="array" aca="1" ref="FK139" ca="1">IF(ISNA(N139),0,OFFSET(INDIRECT("'"&amp;ET$67&amp;"'!h1"),N139-1,))</f>
        <v>1</v>
      </c>
      <c r="FL139" s="10" cm="1">
        <f t="array" aca="1" ref="FL139" ca="1">IF(ISNA(O139),0,OFFSET(INDIRECT("'"&amp;EU$67&amp;"'!h1"),O139-1,))</f>
        <v>1</v>
      </c>
      <c r="FM139" s="10" cm="1">
        <f t="array" aca="1" ref="FM139" ca="1">IF(ISNA(P139),0,OFFSET(INDIRECT("'"&amp;EV$67&amp;"'!h1"),P139-1,))</f>
        <v>9</v>
      </c>
      <c r="FN139" s="10"/>
      <c r="FO139" s="10"/>
      <c r="FP139" s="10"/>
      <c r="FQ139" s="10"/>
      <c r="FS139">
        <f t="shared" ca="1" si="137"/>
        <v>79</v>
      </c>
      <c r="FT139">
        <f t="shared" ca="1" si="62"/>
        <v>3.0235110325738699</v>
      </c>
      <c r="FU139">
        <f t="shared" ca="1" si="63"/>
        <v>2805</v>
      </c>
      <c r="FV139">
        <f t="shared" ca="1" si="64"/>
        <v>10000</v>
      </c>
      <c r="FW139" s="4">
        <f t="shared" ca="1" si="138"/>
        <v>0.28050000000000003</v>
      </c>
      <c r="FX139" s="5">
        <f t="shared" ca="1" si="139"/>
        <v>1.0779005463721462E-3</v>
      </c>
      <c r="FZ139" s="13">
        <f t="shared" ca="1" si="140"/>
        <v>79</v>
      </c>
      <c r="GA139" s="23">
        <f t="shared" ca="1" si="141"/>
        <v>0</v>
      </c>
      <c r="GB139" s="23">
        <f t="shared" ca="1" si="142"/>
        <v>0</v>
      </c>
      <c r="GC139" s="23">
        <f t="shared" ca="1" si="143"/>
        <v>0</v>
      </c>
      <c r="GD139" s="23" t="e">
        <f t="shared" ca="1" si="144"/>
        <v>#N/A</v>
      </c>
      <c r="GE139" s="23">
        <f t="shared" ca="1" si="145"/>
        <v>0</v>
      </c>
      <c r="GF139" s="23">
        <f t="shared" ca="1" si="146"/>
        <v>0</v>
      </c>
      <c r="GG139" s="23">
        <f t="shared" ca="1" si="147"/>
        <v>0</v>
      </c>
      <c r="GH139" s="23">
        <f t="shared" ca="1" si="148"/>
        <v>0</v>
      </c>
      <c r="GI139" s="23">
        <f t="shared" ca="1" si="149"/>
        <v>0</v>
      </c>
      <c r="GJ139" s="23" t="e">
        <f t="shared" ca="1" si="150"/>
        <v>#N/A</v>
      </c>
      <c r="GK139" s="23" t="e">
        <f t="shared" ca="1" si="151"/>
        <v>#N/A</v>
      </c>
      <c r="GL139" s="23" t="e">
        <f t="shared" ca="1" si="152"/>
        <v>#N/A</v>
      </c>
      <c r="GM139" s="23"/>
      <c r="GN139">
        <f t="shared" ca="1" si="153"/>
        <v>79</v>
      </c>
      <c r="GO139" s="5">
        <f t="shared" ca="1" si="154"/>
        <v>1418.2379013049899</v>
      </c>
      <c r="GP139" s="5" t="e">
        <f t="shared" ca="1" si="155"/>
        <v>#N/A</v>
      </c>
      <c r="GQ139" s="5">
        <f t="shared" ca="1" si="156"/>
        <v>713.81447147298604</v>
      </c>
      <c r="GR139" s="5" t="e">
        <f t="shared" ca="1" si="157"/>
        <v>#N/A</v>
      </c>
      <c r="GS139" s="5">
        <f t="shared" ca="1" si="158"/>
        <v>5.7779791997745598E-2</v>
      </c>
      <c r="GT139" s="5">
        <f t="shared" ca="1" si="159"/>
        <v>0.242972841951996</v>
      </c>
      <c r="GU139" s="5">
        <f t="shared" ca="1" si="160"/>
        <v>1.0779005463721462E-3</v>
      </c>
      <c r="GV139" s="5">
        <f t="shared" ca="1" si="161"/>
        <v>5.2131394307391857E-4</v>
      </c>
      <c r="GW139" s="5">
        <f t="shared" ca="1" si="162"/>
        <v>1.8827393799107528E-2</v>
      </c>
      <c r="GX139" s="5" t="e">
        <f t="shared" ca="1" si="163"/>
        <v>#N/A</v>
      </c>
      <c r="GY139" s="5" t="e">
        <f t="shared" ca="1" si="164"/>
        <v>#N/A</v>
      </c>
      <c r="GZ139" s="5" t="e">
        <f t="shared" ca="1" si="165"/>
        <v>#N/A</v>
      </c>
      <c r="HB139" s="13">
        <f t="shared" ca="1" si="166"/>
        <v>79</v>
      </c>
      <c r="HC139" s="4">
        <f t="shared" ca="1" si="167"/>
        <v>1</v>
      </c>
      <c r="HD139" s="4">
        <f t="shared" ca="1" si="168"/>
        <v>1</v>
      </c>
      <c r="HE139" s="4">
        <f t="shared" ca="1" si="169"/>
        <v>1</v>
      </c>
      <c r="HF139" s="4">
        <f t="shared" ca="1" si="170"/>
        <v>0</v>
      </c>
      <c r="HG139" s="4">
        <f t="shared" ca="1" si="171"/>
        <v>1</v>
      </c>
      <c r="HH139" s="4">
        <f t="shared" ca="1" si="172"/>
        <v>1</v>
      </c>
      <c r="HI139" s="4">
        <f t="shared" ca="1" si="173"/>
        <v>0.28050000000000003</v>
      </c>
      <c r="HJ139" s="4">
        <f t="shared" ca="1" si="174"/>
        <v>0.69489999999999996</v>
      </c>
      <c r="HK139" s="4">
        <f t="shared" ca="1" si="175"/>
        <v>0.22450000000000001</v>
      </c>
      <c r="HL139" s="4">
        <f t="shared" ca="1" si="176"/>
        <v>0</v>
      </c>
      <c r="HM139" s="4">
        <f t="shared" ca="1" si="177"/>
        <v>0</v>
      </c>
      <c r="HN139" s="4">
        <f t="shared" ca="1" si="178"/>
        <v>0</v>
      </c>
    </row>
    <row r="140" spans="1:222" x14ac:dyDescent="0.2">
      <c r="A140" t="str" cm="1">
        <f t="array" aca="1" ref="A140" ca="1">INDIRECT($A$67&amp;"!A"&amp;ROW(C73)+$B$64)</f>
        <v>[[80,47,11]]</v>
      </c>
      <c r="B140" cm="1">
        <f t="array" aca="1" ref="B140" ca="1">INDIRECT($A$67&amp;"!b"&amp;ROW(D73)+$B$64)</f>
        <v>80</v>
      </c>
      <c r="C140">
        <f t="shared" ca="1" si="78"/>
        <v>11</v>
      </c>
      <c r="E140">
        <f t="shared" ca="1" si="182"/>
        <v>97</v>
      </c>
      <c r="F140">
        <f t="shared" ca="1" si="182"/>
        <v>98</v>
      </c>
      <c r="G140">
        <f t="shared" ca="1" si="182"/>
        <v>97</v>
      </c>
      <c r="H140">
        <f t="shared" ca="1" si="182"/>
        <v>112</v>
      </c>
      <c r="I140">
        <f t="shared" ca="1" si="182"/>
        <v>100</v>
      </c>
      <c r="J140">
        <f t="shared" ca="1" si="182"/>
        <v>97</v>
      </c>
      <c r="K140">
        <f t="shared" ca="1" si="182"/>
        <v>104</v>
      </c>
      <c r="L140">
        <f t="shared" ca="1" si="182"/>
        <v>106</v>
      </c>
      <c r="M140">
        <f t="shared" ca="1" si="182"/>
        <v>103</v>
      </c>
      <c r="N140">
        <f t="shared" ca="1" si="182"/>
        <v>101</v>
      </c>
      <c r="O140">
        <f t="shared" ca="1" si="182"/>
        <v>101</v>
      </c>
      <c r="P140">
        <f t="shared" ca="1" si="182"/>
        <v>101</v>
      </c>
      <c r="V140" cm="1">
        <f t="array" aca="1" ref="V140" ca="1">IF(ISNA(E140),,OFFSET(INDIRECT("'"&amp;V$67&amp;"'!d1"),E140-1,))</f>
        <v>11</v>
      </c>
      <c r="W140" cm="1">
        <f t="array" aca="1" ref="W140" ca="1">IF(ISNA(F140),,OFFSET(INDIRECT("'"&amp;W$67&amp;"'!d1"),F140-1,))</f>
        <v>11</v>
      </c>
      <c r="X140" cm="1">
        <f t="array" aca="1" ref="X140" ca="1">IF(ISNA(G140),,OFFSET(INDIRECT("'"&amp;X$67&amp;"'!d1"),G140-1,))</f>
        <v>11</v>
      </c>
      <c r="Y140" cm="1">
        <f t="array" aca="1" ref="Y140" ca="1">IF(ISNA(H140),,OFFSET(INDIRECT("'"&amp;Y$67&amp;"'!d1"),H140-1,))</f>
        <v>0</v>
      </c>
      <c r="Z140" cm="1">
        <f t="array" aca="1" ref="Z140" ca="1">IF(ISNA(I140),,OFFSET(INDIRECT("'"&amp;Z$67&amp;"'!d1"),I140-1,))</f>
        <v>11</v>
      </c>
      <c r="AA140" cm="1">
        <f t="array" aca="1" ref="AA140" ca="1">IF(ISNA(J140),,OFFSET(INDIRECT("'"&amp;AA$67&amp;"'!d1"),J140-1,))</f>
        <v>11</v>
      </c>
      <c r="AB140" cm="1">
        <f t="array" aca="1" ref="AB140" ca="1">IF(ISNA(K140),,OFFSET(INDIRECT("'"&amp;AB$67&amp;"'!d1"),K140-1,))</f>
        <v>11</v>
      </c>
      <c r="AC140" cm="1">
        <f t="array" aca="1" ref="AC140" ca="1">IF(ISNA(L140),,OFFSET(INDIRECT("'"&amp;AC$67&amp;"'!d1"),L140-1,))</f>
        <v>11</v>
      </c>
      <c r="AD140" cm="1">
        <f t="array" aca="1" ref="AD140" ca="1">IF(ISNA(M140),,OFFSET(INDIRECT("'"&amp;AD$67&amp;"'!d1"),M140-1,))</f>
        <v>11</v>
      </c>
      <c r="AE140" cm="1">
        <f t="array" aca="1" ref="AE140" ca="1">IF(ISNA(N140),,OFFSET(INDIRECT("'"&amp;AE$67&amp;"'!d1"),N140-1,))</f>
        <v>0</v>
      </c>
      <c r="AF140" cm="1">
        <f t="array" aca="1" ref="AF140" ca="1">IF(ISNA(O140),,OFFSET(INDIRECT("'"&amp;AF$67&amp;"'!d1"),O140-1,))</f>
        <v>0</v>
      </c>
      <c r="AG140" cm="1">
        <f t="array" aca="1" ref="AG140" ca="1">IF(ISNA(P140),,OFFSET(INDIRECT("'"&amp;AG$67&amp;"'!d1"),P140-1,))</f>
        <v>11</v>
      </c>
      <c r="AM140">
        <f t="shared" ca="1" si="79"/>
        <v>1</v>
      </c>
      <c r="AN140">
        <f t="shared" ca="1" si="80"/>
        <v>1</v>
      </c>
      <c r="AO140">
        <f t="shared" ca="1" si="81"/>
        <v>0</v>
      </c>
      <c r="AP140">
        <f t="shared" ca="1" si="82"/>
        <v>0</v>
      </c>
      <c r="AQ140">
        <f t="shared" ca="1" si="83"/>
        <v>1</v>
      </c>
      <c r="AV140" t="b">
        <f t="shared" ca="1" si="84"/>
        <v>1</v>
      </c>
      <c r="AW140" t="b">
        <f t="shared" ca="1" si="85"/>
        <v>1</v>
      </c>
      <c r="AX140" t="str">
        <f t="shared" ca="1" si="86"/>
        <v/>
      </c>
      <c r="AY140" t="str">
        <f t="shared" ca="1" si="87"/>
        <v/>
      </c>
      <c r="AZ140" t="b">
        <f t="shared" ca="1" si="88"/>
        <v>1</v>
      </c>
      <c r="BD140">
        <f t="shared" ca="1" si="89"/>
        <v>1</v>
      </c>
      <c r="BE140">
        <f t="shared" ca="1" si="90"/>
        <v>1</v>
      </c>
      <c r="BF140">
        <f t="shared" ca="1" si="91"/>
        <v>1</v>
      </c>
      <c r="BG140">
        <f t="shared" ca="1" si="92"/>
        <v>0</v>
      </c>
      <c r="BH140">
        <f t="shared" ca="1" si="93"/>
        <v>1</v>
      </c>
      <c r="BI140">
        <f t="shared" ca="1" si="94"/>
        <v>1</v>
      </c>
      <c r="BJ140">
        <f t="shared" ca="1" si="95"/>
        <v>1</v>
      </c>
      <c r="BK140">
        <f t="shared" ca="1" si="96"/>
        <v>1</v>
      </c>
      <c r="BL140">
        <f t="shared" ca="1" si="97"/>
        <v>1</v>
      </c>
      <c r="BM140">
        <f t="shared" ca="1" si="98"/>
        <v>0</v>
      </c>
      <c r="BN140">
        <f t="shared" ca="1" si="99"/>
        <v>0</v>
      </c>
      <c r="BO140">
        <f t="shared" ca="1" si="100"/>
        <v>1</v>
      </c>
      <c r="BU140">
        <f t="shared" ca="1" si="101"/>
        <v>11</v>
      </c>
      <c r="BV140">
        <f t="shared" ca="1" si="102"/>
        <v>11</v>
      </c>
      <c r="BW140">
        <f t="shared" ca="1" si="103"/>
        <v>11</v>
      </c>
      <c r="BX140">
        <f t="shared" ca="1" si="104"/>
        <v>80</v>
      </c>
      <c r="BY140">
        <f t="shared" ca="1" si="105"/>
        <v>11</v>
      </c>
      <c r="BZ140">
        <f t="shared" ca="1" si="106"/>
        <v>11</v>
      </c>
      <c r="CA140">
        <f t="shared" ca="1" si="107"/>
        <v>11</v>
      </c>
      <c r="CB140">
        <f t="shared" ca="1" si="108"/>
        <v>11</v>
      </c>
      <c r="CC140">
        <f t="shared" ca="1" si="109"/>
        <v>11</v>
      </c>
      <c r="CD140">
        <f t="shared" ca="1" si="110"/>
        <v>80</v>
      </c>
      <c r="CE140">
        <f t="shared" ca="1" si="111"/>
        <v>80</v>
      </c>
      <c r="CF140">
        <f t="shared" ca="1" si="112"/>
        <v>11</v>
      </c>
      <c r="CL140">
        <f t="shared" ca="1" si="113"/>
        <v>1</v>
      </c>
      <c r="CM140">
        <f t="shared" ca="1" si="114"/>
        <v>1</v>
      </c>
      <c r="CN140">
        <f t="shared" ca="1" si="115"/>
        <v>1</v>
      </c>
      <c r="CO140">
        <f t="shared" ca="1" si="116"/>
        <v>0</v>
      </c>
      <c r="CP140">
        <f t="shared" ca="1" si="117"/>
        <v>1</v>
      </c>
      <c r="CQ140">
        <f t="shared" ca="1" si="118"/>
        <v>1</v>
      </c>
      <c r="CR140">
        <f t="shared" ca="1" si="119"/>
        <v>1</v>
      </c>
      <c r="CS140">
        <f t="shared" ca="1" si="120"/>
        <v>1</v>
      </c>
      <c r="CT140">
        <f t="shared" ca="1" si="121"/>
        <v>1</v>
      </c>
      <c r="CU140">
        <f t="shared" ca="1" si="122"/>
        <v>0</v>
      </c>
      <c r="CV140">
        <f t="shared" ca="1" si="123"/>
        <v>0</v>
      </c>
      <c r="CW140">
        <f t="shared" ca="1" si="124"/>
        <v>1</v>
      </c>
      <c r="DC140" cm="1">
        <f t="array" aca="1" ref="DC140" ca="1">IF(ISNA(E140),,OFFSET(INDIRECT("'"&amp;DT$67&amp;"'!f1"),E140-1,))*1</f>
        <v>6117.5773403909898</v>
      </c>
      <c r="DD140" cm="1">
        <f t="array" aca="1" ref="DD140" ca="1">IF(ISNA(F140),,OFFSET(INDIRECT("'"&amp;DU$67&amp;"'!f1"),F140-1,))*1</f>
        <v>24570.8367157666</v>
      </c>
      <c r="DE140" cm="1">
        <f t="array" aca="1" ref="DE140" ca="1">IF(ISNA(G140),,OFFSET(INDIRECT("'"&amp;DV$67&amp;"'!f1"),G140-1,))*1</f>
        <v>28800.114718852099</v>
      </c>
      <c r="DF140" cm="1">
        <f t="array" aca="1" ref="DF140" ca="1">IF(ISNA(H140),,OFFSET(INDIRECT("'"&amp;DW$67&amp;"'!f1"),H140-1,))*1</f>
        <v>28800.1112104803</v>
      </c>
      <c r="DG140" cm="1">
        <f t="array" aca="1" ref="DG140" ca="1">IF(ISNA(I140),,OFFSET(INDIRECT("'"&amp;DX$67&amp;"'!f1"),I140-1,))*1</f>
        <v>15.6760042500027</v>
      </c>
      <c r="DH140" cm="1">
        <f t="array" aca="1" ref="DH140" ca="1">IF(ISNA(J140),,OFFSET(INDIRECT("'"&amp;DY$67&amp;"'!f1"),J140-1,))*1</f>
        <v>0.14417303539812501</v>
      </c>
      <c r="DI140" cm="1">
        <f t="array" aca="1" ref="DI140" ca="1">IF(ISNA(K140),,OFFSET(INDIRECT("'"&amp;DZ$67&amp;"'!f1"),K140-1,))*1</f>
        <v>2.1205947427079002</v>
      </c>
      <c r="DJ140" cm="1">
        <f t="array" aca="1" ref="DJ140" ca="1">IF(ISNA(L140),,OFFSET(INDIRECT("'"&amp;EA$67&amp;"'!f1"),L140-1,))*1</f>
        <v>2.7176798721775399</v>
      </c>
      <c r="DK140" cm="1">
        <f t="array" aca="1" ref="DK140" ca="1">IF(ISNA(M140),,OFFSET(INDIRECT("'"&amp;EB$67&amp;"'!f1"),M140-1,))*1</f>
        <v>88.504710376262594</v>
      </c>
      <c r="DL140" cm="1">
        <f t="array" aca="1" ref="DL140" ca="1">IF(ISNA(N140),,OFFSET(INDIRECT("'"&amp;EC$67&amp;"'!f1"),N140-1,))*1</f>
        <v>1.3911425136029699E-2</v>
      </c>
      <c r="DM140" cm="1">
        <f t="array" aca="1" ref="DM140" ca="1">IF(ISNA(O140),,OFFSET(INDIRECT("'"&amp;ED$67&amp;"'!f1"),O140-1,))*1</f>
        <v>1.39006543904542E-2</v>
      </c>
      <c r="DN140" cm="1">
        <f t="array" aca="1" ref="DN140" ca="1">IF(ISNA(P140),,OFFSET(INDIRECT("'"&amp;EE$67&amp;"'!f1"),P140-1,))*1</f>
        <v>7.2210431098937905E-2</v>
      </c>
      <c r="DT140">
        <f t="shared" ca="1" si="125"/>
        <v>1</v>
      </c>
      <c r="DU140">
        <f t="shared" ca="1" si="126"/>
        <v>1</v>
      </c>
      <c r="DV140">
        <f t="shared" ca="1" si="127"/>
        <v>1</v>
      </c>
      <c r="DW140">
        <f t="shared" ca="1" si="128"/>
        <v>0</v>
      </c>
      <c r="DX140">
        <f t="shared" ca="1" si="129"/>
        <v>1</v>
      </c>
      <c r="DY140">
        <f t="shared" ca="1" si="130"/>
        <v>1</v>
      </c>
      <c r="DZ140">
        <f t="shared" ca="1" si="131"/>
        <v>4532</v>
      </c>
      <c r="EA140">
        <f t="shared" ca="1" si="132"/>
        <v>8413</v>
      </c>
      <c r="EB140">
        <f t="shared" ca="1" si="133"/>
        <v>4788</v>
      </c>
      <c r="EC140">
        <f t="shared" ca="1" si="134"/>
        <v>0</v>
      </c>
      <c r="ED140">
        <f t="shared" ca="1" si="135"/>
        <v>0</v>
      </c>
      <c r="EE140">
        <f t="shared" ca="1" si="136"/>
        <v>2</v>
      </c>
      <c r="EK140" cm="1">
        <f t="array" aca="1" ref="EK140" ca="1">IF(ISNA(E140),0,OFFSET(INDIRECT("'"&amp;EK$67&amp;"'!g1"),E140-1,)*CL140)</f>
        <v>1</v>
      </c>
      <c r="EL140" cm="1">
        <f t="array" aca="1" ref="EL140" ca="1">IF(ISNA(F140),0,OFFSET(INDIRECT("'"&amp;EL$67&amp;"'!g1"),F140-1,)*CM140)</f>
        <v>1</v>
      </c>
      <c r="EM140" cm="1">
        <f t="array" aca="1" ref="EM140" ca="1">IF(ISNA(G140),0,OFFSET(INDIRECT("'"&amp;EM$67&amp;"'!g1"),G140-1,)*CN140)</f>
        <v>1</v>
      </c>
      <c r="EN140" cm="1">
        <f t="array" aca="1" ref="EN140" ca="1">IF(ISNA(H140),0,OFFSET(INDIRECT("'"&amp;EN$67&amp;"'!g1"),H140-1,)*CO140)</f>
        <v>0</v>
      </c>
      <c r="EO140" cm="1">
        <f t="array" aca="1" ref="EO140" ca="1">IF(ISNA(I140),0,OFFSET(INDIRECT("'"&amp;EO$67&amp;"'!g1"),I140-1,)*CP140)</f>
        <v>1</v>
      </c>
      <c r="EP140" cm="1">
        <f t="array" aca="1" ref="EP140" ca="1">IF(ISNA(J140),0,OFFSET(INDIRECT("'"&amp;EP$67&amp;"'!g1"),J140-1,)*CQ140)</f>
        <v>1</v>
      </c>
      <c r="EQ140" cm="1">
        <f t="array" aca="1" ref="EQ140" ca="1">IF(ISNA(K140),0,OFFSET(INDIRECT("'"&amp;EQ$67&amp;"'!g1"),K140-1,)*CR140)</f>
        <v>4532</v>
      </c>
      <c r="ER140" cm="1">
        <f t="array" aca="1" ref="ER140" ca="1">IF(ISNA(L140),0,OFFSET(INDIRECT("'"&amp;ER$67&amp;"'!g1"),L140-1,)*CS140)</f>
        <v>8413</v>
      </c>
      <c r="ES140" cm="1">
        <f t="array" aca="1" ref="ES140" ca="1">IF(ISNA(M140),0,OFFSET(INDIRECT("'"&amp;ES$67&amp;"'!g1"),M140-1,)*CT140)</f>
        <v>4788</v>
      </c>
      <c r="ET140" cm="1">
        <f t="array" aca="1" ref="ET140" ca="1">IF(ISNA(N140),0,OFFSET(INDIRECT("'"&amp;ET$67&amp;"'!g1"),N140-1,)*CU140)</f>
        <v>0</v>
      </c>
      <c r="EU140" cm="1">
        <f t="array" aca="1" ref="EU140" ca="1">IF(ISNA(O140),0,OFFSET(INDIRECT("'"&amp;EU$67&amp;"'!g1"),O140-1,)*CV140)</f>
        <v>0</v>
      </c>
      <c r="EV140" cm="1">
        <f t="array" aca="1" ref="EV140" ca="1">IF(ISNA(P140),0,OFFSET(INDIRECT("'"&amp;EV$67&amp;"'!g1"),P140-1,)*CW140)</f>
        <v>2</v>
      </c>
      <c r="FB140" s="10" cm="1">
        <f t="array" aca="1" ref="FB140" ca="1">IF(ISNA(E140),0,OFFSET(INDIRECT("'"&amp;EK$67&amp;"'!h1"),E140-1,))</f>
        <v>1</v>
      </c>
      <c r="FC140" s="10" cm="1">
        <f t="array" aca="1" ref="FC140" ca="1">IF(ISNA(F140),0,OFFSET(INDIRECT("'"&amp;EL$67&amp;"'!h1"),F140-1,))</f>
        <v>1</v>
      </c>
      <c r="FD140" s="10" cm="1">
        <f t="array" aca="1" ref="FD140" ca="1">IF(ISNA(G140),0,OFFSET(INDIRECT("'"&amp;EM$67&amp;"'!h1"),G140-1,))</f>
        <v>1</v>
      </c>
      <c r="FE140" s="10" cm="1">
        <f t="array" aca="1" ref="FE140" ca="1">IF(ISNA(H140),0,OFFSET(INDIRECT("'"&amp;EN$67&amp;"'!h1"),H140-1,))</f>
        <v>1</v>
      </c>
      <c r="FF140" s="10" cm="1">
        <f t="array" aca="1" ref="FF140" ca="1">IF(ISNA(I140),0,OFFSET(INDIRECT("'"&amp;EO$67&amp;"'!h1"),I140-1,))</f>
        <v>1</v>
      </c>
      <c r="FG140" s="10" cm="1">
        <f t="array" aca="1" ref="FG140" ca="1">IF(ISNA(J140),0,OFFSET(INDIRECT("'"&amp;EP$67&amp;"'!h1"),J140-1,))</f>
        <v>1</v>
      </c>
      <c r="FH140" s="10" cm="1">
        <f t="array" aca="1" ref="FH140" ca="1">IF(ISNA(K140),0,OFFSET(INDIRECT("'"&amp;EQ$67&amp;"'!h1"),K140-1,))</f>
        <v>10000</v>
      </c>
      <c r="FI140" s="10" cm="1">
        <f t="array" aca="1" ref="FI140" ca="1">IF(ISNA(L140),0,OFFSET(INDIRECT("'"&amp;ER$67&amp;"'!h1"),L140-1,))</f>
        <v>10000</v>
      </c>
      <c r="FJ140" s="10" cm="1">
        <f t="array" aca="1" ref="FJ140" ca="1">IF(ISNA(M140),0,OFFSET(INDIRECT("'"&amp;ES$67&amp;"'!h1"),M140-1,))</f>
        <v>10000</v>
      </c>
      <c r="FK140" s="10" cm="1">
        <f t="array" aca="1" ref="FK140" ca="1">IF(ISNA(N140),0,OFFSET(INDIRECT("'"&amp;ET$67&amp;"'!h1"),N140-1,))</f>
        <v>1</v>
      </c>
      <c r="FL140" s="10" cm="1">
        <f t="array" aca="1" ref="FL140" ca="1">IF(ISNA(O140),0,OFFSET(INDIRECT("'"&amp;EU$67&amp;"'!h1"),O140-1,))</f>
        <v>1</v>
      </c>
      <c r="FM140" s="10" cm="1">
        <f t="array" aca="1" ref="FM140" ca="1">IF(ISNA(P140),0,OFFSET(INDIRECT("'"&amp;EV$67&amp;"'!h1"),P140-1,))</f>
        <v>9</v>
      </c>
      <c r="FN140" s="10"/>
      <c r="FO140" s="10"/>
      <c r="FP140" s="10"/>
      <c r="FQ140" s="10"/>
      <c r="FS140">
        <f t="shared" ca="1" si="137"/>
        <v>80</v>
      </c>
      <c r="FT140">
        <f t="shared" ca="1" si="62"/>
        <v>2.1205947427079002</v>
      </c>
      <c r="FU140">
        <f t="shared" ca="1" si="63"/>
        <v>4532</v>
      </c>
      <c r="FV140">
        <f t="shared" ca="1" si="64"/>
        <v>10000</v>
      </c>
      <c r="FW140" s="4">
        <f t="shared" ca="1" si="138"/>
        <v>0.45319999999999999</v>
      </c>
      <c r="FX140" s="5">
        <f t="shared" ca="1" si="139"/>
        <v>4.679158743839144E-4</v>
      </c>
      <c r="FZ140" s="13">
        <f t="shared" ca="1" si="140"/>
        <v>80</v>
      </c>
      <c r="GA140" s="23">
        <f t="shared" ca="1" si="141"/>
        <v>0</v>
      </c>
      <c r="GB140" s="23">
        <f t="shared" ca="1" si="142"/>
        <v>0</v>
      </c>
      <c r="GC140" s="23">
        <f t="shared" ca="1" si="143"/>
        <v>0</v>
      </c>
      <c r="GD140" s="23" t="e">
        <f t="shared" ca="1" si="144"/>
        <v>#N/A</v>
      </c>
      <c r="GE140" s="23">
        <f t="shared" ca="1" si="145"/>
        <v>0</v>
      </c>
      <c r="GF140" s="23">
        <f t="shared" ca="1" si="146"/>
        <v>0</v>
      </c>
      <c r="GG140" s="23">
        <f t="shared" ca="1" si="147"/>
        <v>0</v>
      </c>
      <c r="GH140" s="23">
        <f t="shared" ca="1" si="148"/>
        <v>0</v>
      </c>
      <c r="GI140" s="23">
        <f t="shared" ca="1" si="149"/>
        <v>0</v>
      </c>
      <c r="GJ140" s="23" t="e">
        <f t="shared" ca="1" si="150"/>
        <v>#N/A</v>
      </c>
      <c r="GK140" s="23" t="e">
        <f t="shared" ca="1" si="151"/>
        <v>#N/A</v>
      </c>
      <c r="GL140" s="23">
        <f t="shared" ca="1" si="152"/>
        <v>0</v>
      </c>
      <c r="GM140" s="23"/>
      <c r="GN140">
        <f t="shared" ca="1" si="153"/>
        <v>80</v>
      </c>
      <c r="GO140" s="5">
        <f t="shared" ca="1" si="154"/>
        <v>6117.5773403909898</v>
      </c>
      <c r="GP140" s="5">
        <f t="shared" ca="1" si="155"/>
        <v>24570.8367157666</v>
      </c>
      <c r="GQ140" s="5" t="e">
        <f t="shared" ca="1" si="156"/>
        <v>#N/A</v>
      </c>
      <c r="GR140" s="5" t="e">
        <f t="shared" ca="1" si="157"/>
        <v>#N/A</v>
      </c>
      <c r="GS140" s="5">
        <f t="shared" ca="1" si="158"/>
        <v>15.6760042500027</v>
      </c>
      <c r="GT140" s="5">
        <f t="shared" ca="1" si="159"/>
        <v>0.14417303539812501</v>
      </c>
      <c r="GU140" s="5">
        <f t="shared" ca="1" si="160"/>
        <v>4.679158743839144E-4</v>
      </c>
      <c r="GV140" s="5">
        <f t="shared" ca="1" si="161"/>
        <v>3.2303338549596341E-4</v>
      </c>
      <c r="GW140" s="5">
        <f t="shared" ca="1" si="162"/>
        <v>1.8484693061040641E-2</v>
      </c>
      <c r="GX140" s="5" t="e">
        <f t="shared" ca="1" si="163"/>
        <v>#N/A</v>
      </c>
      <c r="GY140" s="5" t="e">
        <f t="shared" ca="1" si="164"/>
        <v>#N/A</v>
      </c>
      <c r="GZ140" s="5">
        <f t="shared" ca="1" si="165"/>
        <v>3.6105215549468953E-2</v>
      </c>
      <c r="HB140" s="13">
        <f t="shared" ca="1" si="166"/>
        <v>80</v>
      </c>
      <c r="HC140" s="4">
        <f t="shared" ca="1" si="167"/>
        <v>1</v>
      </c>
      <c r="HD140" s="4">
        <f t="shared" ca="1" si="168"/>
        <v>1</v>
      </c>
      <c r="HE140" s="4">
        <f t="shared" ca="1" si="169"/>
        <v>1</v>
      </c>
      <c r="HF140" s="4">
        <f t="shared" ca="1" si="170"/>
        <v>0</v>
      </c>
      <c r="HG140" s="4">
        <f t="shared" ca="1" si="171"/>
        <v>1</v>
      </c>
      <c r="HH140" s="4">
        <f t="shared" ca="1" si="172"/>
        <v>1</v>
      </c>
      <c r="HI140" s="4">
        <f t="shared" ca="1" si="173"/>
        <v>0.45319999999999999</v>
      </c>
      <c r="HJ140" s="4">
        <f t="shared" ca="1" si="174"/>
        <v>0.84130000000000005</v>
      </c>
      <c r="HK140" s="4">
        <f t="shared" ca="1" si="175"/>
        <v>0.4788</v>
      </c>
      <c r="HL140" s="4">
        <f t="shared" ca="1" si="176"/>
        <v>0</v>
      </c>
      <c r="HM140" s="4">
        <f t="shared" ca="1" si="177"/>
        <v>0</v>
      </c>
      <c r="HN140" s="4">
        <f t="shared" ca="1" si="178"/>
        <v>0.22222222222222221</v>
      </c>
    </row>
    <row r="141" spans="1:222" x14ac:dyDescent="0.2">
      <c r="A141" t="str" cm="1">
        <f t="array" aca="1" ref="A141" ca="1">INDIRECT($A$67&amp;"!A"&amp;ROW(C74)+$B$64)</f>
        <v>[[81,48,11]]</v>
      </c>
      <c r="B141" cm="1">
        <f t="array" aca="1" ref="B141" ca="1">INDIRECT($A$67&amp;"!b"&amp;ROW(D74)+$B$64)</f>
        <v>81</v>
      </c>
      <c r="C141">
        <f t="shared" ca="1" si="78"/>
        <v>11</v>
      </c>
      <c r="E141">
        <f t="shared" ca="1" si="182"/>
        <v>98</v>
      </c>
      <c r="F141">
        <f t="shared" ca="1" si="182"/>
        <v>99</v>
      </c>
      <c r="G141">
        <f t="shared" ca="1" si="182"/>
        <v>98</v>
      </c>
      <c r="H141">
        <f t="shared" ca="1" si="182"/>
        <v>83</v>
      </c>
      <c r="I141">
        <f t="shared" ca="1" si="182"/>
        <v>101</v>
      </c>
      <c r="J141">
        <f t="shared" ca="1" si="182"/>
        <v>98</v>
      </c>
      <c r="K141">
        <f t="shared" ca="1" si="182"/>
        <v>105</v>
      </c>
      <c r="L141">
        <f t="shared" ca="1" si="182"/>
        <v>107</v>
      </c>
      <c r="M141">
        <f t="shared" ca="1" si="182"/>
        <v>104</v>
      </c>
      <c r="N141">
        <f t="shared" ca="1" si="182"/>
        <v>102</v>
      </c>
      <c r="O141">
        <f t="shared" ca="1" si="182"/>
        <v>102</v>
      </c>
      <c r="P141">
        <f t="shared" ca="1" si="182"/>
        <v>102</v>
      </c>
      <c r="V141" cm="1">
        <f t="array" aca="1" ref="V141" ca="1">IF(ISNA(E141),,OFFSET(INDIRECT("'"&amp;V$67&amp;"'!d1"),E141-1,))</f>
        <v>11</v>
      </c>
      <c r="W141" cm="1">
        <f t="array" aca="1" ref="W141" ca="1">IF(ISNA(F141),,OFFSET(INDIRECT("'"&amp;W$67&amp;"'!d1"),F141-1,))</f>
        <v>11</v>
      </c>
      <c r="X141" cm="1">
        <f t="array" aca="1" ref="X141" ca="1">IF(ISNA(G141),,OFFSET(INDIRECT("'"&amp;X$67&amp;"'!d1"),G141-1,))</f>
        <v>11</v>
      </c>
      <c r="Y141" cm="1">
        <f t="array" aca="1" ref="Y141" ca="1">IF(ISNA(H141),,OFFSET(INDIRECT("'"&amp;Y$67&amp;"'!d1"),H141-1,))</f>
        <v>0</v>
      </c>
      <c r="Z141" cm="1">
        <f t="array" aca="1" ref="Z141" ca="1">IF(ISNA(I141),,OFFSET(INDIRECT("'"&amp;Z$67&amp;"'!d1"),I141-1,))</f>
        <v>11</v>
      </c>
      <c r="AA141" cm="1">
        <f t="array" aca="1" ref="AA141" ca="1">IF(ISNA(J141),,OFFSET(INDIRECT("'"&amp;AA$67&amp;"'!d1"),J141-1,))</f>
        <v>11</v>
      </c>
      <c r="AB141" cm="1">
        <f t="array" aca="1" ref="AB141" ca="1">IF(ISNA(K141),,OFFSET(INDIRECT("'"&amp;AB$67&amp;"'!d1"),K141-1,))</f>
        <v>11</v>
      </c>
      <c r="AC141" cm="1">
        <f t="array" aca="1" ref="AC141" ca="1">IF(ISNA(L141),,OFFSET(INDIRECT("'"&amp;AC$67&amp;"'!d1"),L141-1,))</f>
        <v>11</v>
      </c>
      <c r="AD141" cm="1">
        <f t="array" aca="1" ref="AD141" ca="1">IF(ISNA(M141),,OFFSET(INDIRECT("'"&amp;AD$67&amp;"'!d1"),M141-1,))</f>
        <v>11</v>
      </c>
      <c r="AE141" cm="1">
        <f t="array" aca="1" ref="AE141" ca="1">IF(ISNA(N141),,OFFSET(INDIRECT("'"&amp;AE$67&amp;"'!d1"),N141-1,))</f>
        <v>0</v>
      </c>
      <c r="AF141" cm="1">
        <f t="array" aca="1" ref="AF141" ca="1">IF(ISNA(O141),,OFFSET(INDIRECT("'"&amp;AF$67&amp;"'!d1"),O141-1,))</f>
        <v>0</v>
      </c>
      <c r="AG141" cm="1">
        <f t="array" aca="1" ref="AG141" ca="1">IF(ISNA(P141),,OFFSET(INDIRECT("'"&amp;AG$67&amp;"'!d1"),P141-1,))</f>
        <v>11</v>
      </c>
      <c r="AM141">
        <f t="shared" ca="1" si="79"/>
        <v>1</v>
      </c>
      <c r="AN141">
        <f t="shared" ca="1" si="80"/>
        <v>0</v>
      </c>
      <c r="AO141">
        <f t="shared" ca="1" si="81"/>
        <v>0</v>
      </c>
      <c r="AP141">
        <f t="shared" ca="1" si="82"/>
        <v>0</v>
      </c>
      <c r="AQ141">
        <f t="shared" ca="1" si="83"/>
        <v>1</v>
      </c>
      <c r="AV141" t="b">
        <f t="shared" ca="1" si="84"/>
        <v>1</v>
      </c>
      <c r="AW141" t="str">
        <f t="shared" ca="1" si="85"/>
        <v/>
      </c>
      <c r="AX141" t="str">
        <f t="shared" ca="1" si="86"/>
        <v/>
      </c>
      <c r="AY141" t="str">
        <f t="shared" ca="1" si="87"/>
        <v/>
      </c>
      <c r="AZ141" t="b">
        <f t="shared" ca="1" si="88"/>
        <v>1</v>
      </c>
      <c r="BD141">
        <f t="shared" ca="1" si="89"/>
        <v>1</v>
      </c>
      <c r="BE141">
        <f t="shared" ca="1" si="90"/>
        <v>1</v>
      </c>
      <c r="BF141">
        <f t="shared" ca="1" si="91"/>
        <v>1</v>
      </c>
      <c r="BG141">
        <f t="shared" ca="1" si="92"/>
        <v>0</v>
      </c>
      <c r="BH141">
        <f t="shared" ca="1" si="93"/>
        <v>1</v>
      </c>
      <c r="BI141">
        <f t="shared" ca="1" si="94"/>
        <v>1</v>
      </c>
      <c r="BJ141">
        <f t="shared" ca="1" si="95"/>
        <v>1</v>
      </c>
      <c r="BK141">
        <f t="shared" ca="1" si="96"/>
        <v>1</v>
      </c>
      <c r="BL141">
        <f t="shared" ca="1" si="97"/>
        <v>1</v>
      </c>
      <c r="BM141">
        <f t="shared" ca="1" si="98"/>
        <v>0</v>
      </c>
      <c r="BN141">
        <f t="shared" ca="1" si="99"/>
        <v>0</v>
      </c>
      <c r="BO141">
        <f t="shared" ca="1" si="100"/>
        <v>1</v>
      </c>
      <c r="BU141">
        <f t="shared" ca="1" si="101"/>
        <v>11</v>
      </c>
      <c r="BV141">
        <f t="shared" ca="1" si="102"/>
        <v>11</v>
      </c>
      <c r="BW141">
        <f t="shared" ca="1" si="103"/>
        <v>11</v>
      </c>
      <c r="BX141">
        <f t="shared" ca="1" si="104"/>
        <v>81</v>
      </c>
      <c r="BY141">
        <f t="shared" ca="1" si="105"/>
        <v>11</v>
      </c>
      <c r="BZ141">
        <f t="shared" ca="1" si="106"/>
        <v>11</v>
      </c>
      <c r="CA141">
        <f t="shared" ca="1" si="107"/>
        <v>11</v>
      </c>
      <c r="CB141">
        <f t="shared" ca="1" si="108"/>
        <v>11</v>
      </c>
      <c r="CC141">
        <f t="shared" ca="1" si="109"/>
        <v>11</v>
      </c>
      <c r="CD141">
        <f t="shared" ca="1" si="110"/>
        <v>81</v>
      </c>
      <c r="CE141">
        <f t="shared" ca="1" si="111"/>
        <v>81</v>
      </c>
      <c r="CF141">
        <f t="shared" ca="1" si="112"/>
        <v>11</v>
      </c>
      <c r="CL141">
        <f t="shared" ca="1" si="113"/>
        <v>1</v>
      </c>
      <c r="CM141">
        <f t="shared" ca="1" si="114"/>
        <v>1</v>
      </c>
      <c r="CN141">
        <f t="shared" ca="1" si="115"/>
        <v>1</v>
      </c>
      <c r="CO141">
        <f t="shared" ca="1" si="116"/>
        <v>0</v>
      </c>
      <c r="CP141">
        <f t="shared" ca="1" si="117"/>
        <v>1</v>
      </c>
      <c r="CQ141">
        <f t="shared" ca="1" si="118"/>
        <v>1</v>
      </c>
      <c r="CR141">
        <f t="shared" ca="1" si="119"/>
        <v>1</v>
      </c>
      <c r="CS141">
        <f t="shared" ca="1" si="120"/>
        <v>1</v>
      </c>
      <c r="CT141">
        <f t="shared" ca="1" si="121"/>
        <v>1</v>
      </c>
      <c r="CU141">
        <f t="shared" ca="1" si="122"/>
        <v>0</v>
      </c>
      <c r="CV141">
        <f t="shared" ca="1" si="123"/>
        <v>0</v>
      </c>
      <c r="CW141">
        <f t="shared" ca="1" si="124"/>
        <v>1</v>
      </c>
      <c r="DC141" cm="1">
        <f t="array" aca="1" ref="DC141" ca="1">IF(ISNA(E141),,OFFSET(INDIRECT("'"&amp;DT$67&amp;"'!f1"),E141-1,))*1</f>
        <v>6792.5744380680098</v>
      </c>
      <c r="DD141" cm="1">
        <f t="array" aca="1" ref="DD141" ca="1">IF(ISNA(F141),,OFFSET(INDIRECT("'"&amp;DU$67&amp;"'!f1"),F141-1,))*1</f>
        <v>28818.461626759199</v>
      </c>
      <c r="DE141" cm="1">
        <f t="array" aca="1" ref="DE141" ca="1">IF(ISNA(G141),,OFFSET(INDIRECT("'"&amp;DV$67&amp;"'!f1"),G141-1,))*1</f>
        <v>28800.253527127199</v>
      </c>
      <c r="DF141" cm="1">
        <f t="array" aca="1" ref="DF141" ca="1">IF(ISNA(H141),,OFFSET(INDIRECT("'"&amp;DW$67&amp;"'!f1"),H141-1,))*1</f>
        <v>28802.269561543999</v>
      </c>
      <c r="DG141" cm="1">
        <f t="array" aca="1" ref="DG141" ca="1">IF(ISNA(I141),,OFFSET(INDIRECT("'"&amp;DX$67&amp;"'!f1"),I141-1,))*1</f>
        <v>19.7291003749996</v>
      </c>
      <c r="DH141" cm="1">
        <f t="array" aca="1" ref="DH141" ca="1">IF(ISNA(J141),,OFFSET(INDIRECT("'"&amp;DY$67&amp;"'!f1"),J141-1,))*1</f>
        <v>0.144515010993927</v>
      </c>
      <c r="DI141" cm="1">
        <f t="array" aca="1" ref="DI141" ca="1">IF(ISNA(K141),,OFFSET(INDIRECT("'"&amp;DZ$67&amp;"'!f1"),K141-1,))*1</f>
        <v>2.1416911203414202</v>
      </c>
      <c r="DJ141" cm="1">
        <f t="array" aca="1" ref="DJ141" ca="1">IF(ISNA(L141),,OFFSET(INDIRECT("'"&amp;EA$67&amp;"'!f1"),L141-1,))*1</f>
        <v>2.8268416775390501</v>
      </c>
      <c r="DK141" cm="1">
        <f t="array" aca="1" ref="DK141" ca="1">IF(ISNA(M141),,OFFSET(INDIRECT("'"&amp;EB$67&amp;"'!f1"),M141-1,))*1</f>
        <v>89.554419892840002</v>
      </c>
      <c r="DL141" cm="1">
        <f t="array" aca="1" ref="DL141" ca="1">IF(ISNA(N141),,OFFSET(INDIRECT("'"&amp;EC$67&amp;"'!f1"),N141-1,))*1</f>
        <v>1.40695525333285E-2</v>
      </c>
      <c r="DM141" cm="1">
        <f t="array" aca="1" ref="DM141" ca="1">IF(ISNA(O141),,OFFSET(INDIRECT("'"&amp;ED$67&amp;"'!f1"),O141-1,))*1</f>
        <v>1.4183938503265299E-2</v>
      </c>
      <c r="DN141" cm="1">
        <f t="array" aca="1" ref="DN141" ca="1">IF(ISNA(P141),,OFFSET(INDIRECT("'"&amp;EE$67&amp;"'!f1"),P141-1,))*1</f>
        <v>7.4710420332848998E-2</v>
      </c>
      <c r="DT141">
        <f t="shared" ca="1" si="125"/>
        <v>1</v>
      </c>
      <c r="DU141">
        <f t="shared" ca="1" si="126"/>
        <v>1</v>
      </c>
      <c r="DV141">
        <f t="shared" ca="1" si="127"/>
        <v>1</v>
      </c>
      <c r="DW141">
        <f t="shared" ca="1" si="128"/>
        <v>0</v>
      </c>
      <c r="DX141">
        <f t="shared" ca="1" si="129"/>
        <v>1</v>
      </c>
      <c r="DY141">
        <f t="shared" ca="1" si="130"/>
        <v>1</v>
      </c>
      <c r="DZ141">
        <f t="shared" ca="1" si="131"/>
        <v>4560</v>
      </c>
      <c r="EA141">
        <f t="shared" ca="1" si="132"/>
        <v>8668</v>
      </c>
      <c r="EB141">
        <f t="shared" ca="1" si="133"/>
        <v>4896</v>
      </c>
      <c r="EC141">
        <f t="shared" ca="1" si="134"/>
        <v>0</v>
      </c>
      <c r="ED141">
        <f t="shared" ca="1" si="135"/>
        <v>0</v>
      </c>
      <c r="EE141">
        <f t="shared" ca="1" si="136"/>
        <v>2</v>
      </c>
      <c r="EK141" cm="1">
        <f t="array" aca="1" ref="EK141" ca="1">IF(ISNA(E141),0,OFFSET(INDIRECT("'"&amp;EK$67&amp;"'!g1"),E141-1,)*CL141)</f>
        <v>1</v>
      </c>
      <c r="EL141" cm="1">
        <f t="array" aca="1" ref="EL141" ca="1">IF(ISNA(F141),0,OFFSET(INDIRECT("'"&amp;EL$67&amp;"'!g1"),F141-1,)*CM141)</f>
        <v>1</v>
      </c>
      <c r="EM141" cm="1">
        <f t="array" aca="1" ref="EM141" ca="1">IF(ISNA(G141),0,OFFSET(INDIRECT("'"&amp;EM$67&amp;"'!g1"),G141-1,)*CN141)</f>
        <v>1</v>
      </c>
      <c r="EN141" cm="1">
        <f t="array" aca="1" ref="EN141" ca="1">IF(ISNA(H141),0,OFFSET(INDIRECT("'"&amp;EN$67&amp;"'!g1"),H141-1,)*CO141)</f>
        <v>0</v>
      </c>
      <c r="EO141" cm="1">
        <f t="array" aca="1" ref="EO141" ca="1">IF(ISNA(I141),0,OFFSET(INDIRECT("'"&amp;EO$67&amp;"'!g1"),I141-1,)*CP141)</f>
        <v>1</v>
      </c>
      <c r="EP141" cm="1">
        <f t="array" aca="1" ref="EP141" ca="1">IF(ISNA(J141),0,OFFSET(INDIRECT("'"&amp;EP$67&amp;"'!g1"),J141-1,)*CQ141)</f>
        <v>1</v>
      </c>
      <c r="EQ141" cm="1">
        <f t="array" aca="1" ref="EQ141" ca="1">IF(ISNA(K141),0,OFFSET(INDIRECT("'"&amp;EQ$67&amp;"'!g1"),K141-1,)*CR141)</f>
        <v>4560</v>
      </c>
      <c r="ER141" cm="1">
        <f t="array" aca="1" ref="ER141" ca="1">IF(ISNA(L141),0,OFFSET(INDIRECT("'"&amp;ER$67&amp;"'!g1"),L141-1,)*CS141)</f>
        <v>8668</v>
      </c>
      <c r="ES141" cm="1">
        <f t="array" aca="1" ref="ES141" ca="1">IF(ISNA(M141),0,OFFSET(INDIRECT("'"&amp;ES$67&amp;"'!g1"),M141-1,)*CT141)</f>
        <v>4896</v>
      </c>
      <c r="ET141" cm="1">
        <f t="array" aca="1" ref="ET141" ca="1">IF(ISNA(N141),0,OFFSET(INDIRECT("'"&amp;ET$67&amp;"'!g1"),N141-1,)*CU141)</f>
        <v>0</v>
      </c>
      <c r="EU141" cm="1">
        <f t="array" aca="1" ref="EU141" ca="1">IF(ISNA(O141),0,OFFSET(INDIRECT("'"&amp;EU$67&amp;"'!g1"),O141-1,)*CV141)</f>
        <v>0</v>
      </c>
      <c r="EV141" cm="1">
        <f t="array" aca="1" ref="EV141" ca="1">IF(ISNA(P141),0,OFFSET(INDIRECT("'"&amp;EV$67&amp;"'!g1"),P141-1,)*CW141)</f>
        <v>2</v>
      </c>
      <c r="FB141" s="10" cm="1">
        <f t="array" aca="1" ref="FB141" ca="1">IF(ISNA(E141),0,OFFSET(INDIRECT("'"&amp;EK$67&amp;"'!h1"),E141-1,))</f>
        <v>1</v>
      </c>
      <c r="FC141" s="10" cm="1">
        <f t="array" aca="1" ref="FC141" ca="1">IF(ISNA(F141),0,OFFSET(INDIRECT("'"&amp;EL$67&amp;"'!h1"),F141-1,))</f>
        <v>1</v>
      </c>
      <c r="FD141" s="10" cm="1">
        <f t="array" aca="1" ref="FD141" ca="1">IF(ISNA(G141),0,OFFSET(INDIRECT("'"&amp;EM$67&amp;"'!h1"),G141-1,))</f>
        <v>1</v>
      </c>
      <c r="FE141" s="10" cm="1">
        <f t="array" aca="1" ref="FE141" ca="1">IF(ISNA(H141),0,OFFSET(INDIRECT("'"&amp;EN$67&amp;"'!h1"),H141-1,))</f>
        <v>1</v>
      </c>
      <c r="FF141" s="10" cm="1">
        <f t="array" aca="1" ref="FF141" ca="1">IF(ISNA(I141),0,OFFSET(INDIRECT("'"&amp;EO$67&amp;"'!h1"),I141-1,))</f>
        <v>1</v>
      </c>
      <c r="FG141" s="10" cm="1">
        <f t="array" aca="1" ref="FG141" ca="1">IF(ISNA(J141),0,OFFSET(INDIRECT("'"&amp;EP$67&amp;"'!h1"),J141-1,))</f>
        <v>1</v>
      </c>
      <c r="FH141" s="10" cm="1">
        <f t="array" aca="1" ref="FH141" ca="1">IF(ISNA(K141),0,OFFSET(INDIRECT("'"&amp;EQ$67&amp;"'!h1"),K141-1,))</f>
        <v>10000</v>
      </c>
      <c r="FI141" s="10" cm="1">
        <f t="array" aca="1" ref="FI141" ca="1">IF(ISNA(L141),0,OFFSET(INDIRECT("'"&amp;ER$67&amp;"'!h1"),L141-1,))</f>
        <v>10000</v>
      </c>
      <c r="FJ141" s="10" cm="1">
        <f t="array" aca="1" ref="FJ141" ca="1">IF(ISNA(M141),0,OFFSET(INDIRECT("'"&amp;ES$67&amp;"'!h1"),M141-1,))</f>
        <v>10000</v>
      </c>
      <c r="FK141" s="10" cm="1">
        <f t="array" aca="1" ref="FK141" ca="1">IF(ISNA(N141),0,OFFSET(INDIRECT("'"&amp;ET$67&amp;"'!h1"),N141-1,))</f>
        <v>1</v>
      </c>
      <c r="FL141" s="10" cm="1">
        <f t="array" aca="1" ref="FL141" ca="1">IF(ISNA(O141),0,OFFSET(INDIRECT("'"&amp;EU$67&amp;"'!h1"),O141-1,))</f>
        <v>1</v>
      </c>
      <c r="FM141" s="10" cm="1">
        <f t="array" aca="1" ref="FM141" ca="1">IF(ISNA(P141),0,OFFSET(INDIRECT("'"&amp;EV$67&amp;"'!h1"),P141-1,))</f>
        <v>9</v>
      </c>
      <c r="FN141" s="10"/>
      <c r="FO141" s="10"/>
      <c r="FP141" s="10"/>
      <c r="FQ141" s="10"/>
      <c r="FS141">
        <f t="shared" ca="1" si="137"/>
        <v>81</v>
      </c>
      <c r="FT141">
        <f t="shared" ca="1" si="62"/>
        <v>2.1416911203414202</v>
      </c>
      <c r="FU141">
        <f t="shared" ca="1" si="63"/>
        <v>4560</v>
      </c>
      <c r="FV141">
        <f t="shared" ca="1" si="64"/>
        <v>10000</v>
      </c>
      <c r="FW141" s="4">
        <f t="shared" ca="1" si="138"/>
        <v>0.45600000000000002</v>
      </c>
      <c r="FX141" s="5">
        <f t="shared" ca="1" si="139"/>
        <v>4.6966910533803076E-4</v>
      </c>
      <c r="FZ141" s="13">
        <f t="shared" ca="1" si="140"/>
        <v>81</v>
      </c>
      <c r="GA141" s="23">
        <f t="shared" ca="1" si="141"/>
        <v>0</v>
      </c>
      <c r="GB141" s="23">
        <f t="shared" ca="1" si="142"/>
        <v>0</v>
      </c>
      <c r="GC141" s="23">
        <f t="shared" ca="1" si="143"/>
        <v>0</v>
      </c>
      <c r="GD141" s="23" t="e">
        <f t="shared" ca="1" si="144"/>
        <v>#N/A</v>
      </c>
      <c r="GE141" s="23">
        <f t="shared" ca="1" si="145"/>
        <v>0</v>
      </c>
      <c r="GF141" s="23">
        <f t="shared" ca="1" si="146"/>
        <v>0</v>
      </c>
      <c r="GG141" s="23">
        <f t="shared" ca="1" si="147"/>
        <v>0</v>
      </c>
      <c r="GH141" s="23">
        <f t="shared" ca="1" si="148"/>
        <v>0</v>
      </c>
      <c r="GI141" s="23">
        <f t="shared" ca="1" si="149"/>
        <v>0</v>
      </c>
      <c r="GJ141" s="23" t="e">
        <f t="shared" ca="1" si="150"/>
        <v>#N/A</v>
      </c>
      <c r="GK141" s="23" t="e">
        <f t="shared" ca="1" si="151"/>
        <v>#N/A</v>
      </c>
      <c r="GL141" s="23">
        <f t="shared" ca="1" si="152"/>
        <v>0</v>
      </c>
      <c r="GM141" s="23"/>
      <c r="GN141">
        <f t="shared" ca="1" si="153"/>
        <v>81</v>
      </c>
      <c r="GO141" s="5">
        <f t="shared" ca="1" si="154"/>
        <v>6792.5744380680098</v>
      </c>
      <c r="GP141" s="5" t="e">
        <f t="shared" ca="1" si="155"/>
        <v>#N/A</v>
      </c>
      <c r="GQ141" s="5" t="e">
        <f t="shared" ca="1" si="156"/>
        <v>#N/A</v>
      </c>
      <c r="GR141" s="5" t="e">
        <f t="shared" ca="1" si="157"/>
        <v>#N/A</v>
      </c>
      <c r="GS141" s="5">
        <f t="shared" ca="1" si="158"/>
        <v>19.7291003749996</v>
      </c>
      <c r="GT141" s="5">
        <f t="shared" ca="1" si="159"/>
        <v>0.144515010993927</v>
      </c>
      <c r="GU141" s="5">
        <f t="shared" ca="1" si="160"/>
        <v>4.6966910533803076E-4</v>
      </c>
      <c r="GV141" s="5">
        <f t="shared" ca="1" si="161"/>
        <v>3.2612386681345754E-4</v>
      </c>
      <c r="GW141" s="5">
        <f t="shared" ca="1" si="162"/>
        <v>1.829134393236111E-2</v>
      </c>
      <c r="GX141" s="5" t="e">
        <f t="shared" ca="1" si="163"/>
        <v>#N/A</v>
      </c>
      <c r="GY141" s="5" t="e">
        <f t="shared" ca="1" si="164"/>
        <v>#N/A</v>
      </c>
      <c r="GZ141" s="5">
        <f t="shared" ca="1" si="165"/>
        <v>3.7355210166424499E-2</v>
      </c>
      <c r="HB141" s="13">
        <f t="shared" ca="1" si="166"/>
        <v>81</v>
      </c>
      <c r="HC141" s="4">
        <f t="shared" ca="1" si="167"/>
        <v>1</v>
      </c>
      <c r="HD141" s="4">
        <f t="shared" ca="1" si="168"/>
        <v>1</v>
      </c>
      <c r="HE141" s="4">
        <f t="shared" ca="1" si="169"/>
        <v>1</v>
      </c>
      <c r="HF141" s="4">
        <f t="shared" ca="1" si="170"/>
        <v>0</v>
      </c>
      <c r="HG141" s="4">
        <f t="shared" ca="1" si="171"/>
        <v>1</v>
      </c>
      <c r="HH141" s="4">
        <f t="shared" ca="1" si="172"/>
        <v>1</v>
      </c>
      <c r="HI141" s="4">
        <f t="shared" ca="1" si="173"/>
        <v>0.45600000000000002</v>
      </c>
      <c r="HJ141" s="4">
        <f t="shared" ca="1" si="174"/>
        <v>0.86680000000000001</v>
      </c>
      <c r="HK141" s="4">
        <f t="shared" ca="1" si="175"/>
        <v>0.48959999999999998</v>
      </c>
      <c r="HL141" s="4">
        <f t="shared" ca="1" si="176"/>
        <v>0</v>
      </c>
      <c r="HM141" s="4">
        <f t="shared" ca="1" si="177"/>
        <v>0</v>
      </c>
      <c r="HN141" s="4">
        <f t="shared" ca="1" si="178"/>
        <v>0.22222222222222221</v>
      </c>
    </row>
    <row r="142" spans="1:222" x14ac:dyDescent="0.2">
      <c r="A142" t="str" cm="1">
        <f t="array" aca="1" ref="A142" ca="1">INDIRECT($A$67&amp;"!A"&amp;ROW(C75)+$B$64)</f>
        <v>[[82,43,13]]</v>
      </c>
      <c r="B142" cm="1">
        <f t="array" aca="1" ref="B142" ca="1">INDIRECT($A$67&amp;"!b"&amp;ROW(D75)+$B$64)</f>
        <v>82</v>
      </c>
      <c r="C142">
        <f t="shared" ca="1" si="78"/>
        <v>13</v>
      </c>
      <c r="E142">
        <f t="shared" ca="1" si="182"/>
        <v>99</v>
      </c>
      <c r="F142">
        <f t="shared" ca="1" si="182"/>
        <v>100</v>
      </c>
      <c r="G142">
        <f t="shared" ca="1" si="182"/>
        <v>99</v>
      </c>
      <c r="H142">
        <f t="shared" ca="1" si="182"/>
        <v>90</v>
      </c>
      <c r="I142">
        <f t="shared" ca="1" si="182"/>
        <v>102</v>
      </c>
      <c r="J142">
        <f t="shared" ca="1" si="182"/>
        <v>99</v>
      </c>
      <c r="K142">
        <f t="shared" ca="1" si="182"/>
        <v>106</v>
      </c>
      <c r="L142">
        <f t="shared" ca="1" si="182"/>
        <v>108</v>
      </c>
      <c r="M142">
        <f t="shared" ca="1" si="182"/>
        <v>105</v>
      </c>
      <c r="N142">
        <f t="shared" ca="1" si="182"/>
        <v>103</v>
      </c>
      <c r="O142">
        <f t="shared" ca="1" si="182"/>
        <v>103</v>
      </c>
      <c r="P142">
        <f t="shared" ca="1" si="182"/>
        <v>103</v>
      </c>
      <c r="V142" cm="1">
        <f t="array" aca="1" ref="V142" ca="1">IF(ISNA(E142),,OFFSET(INDIRECT("'"&amp;V$67&amp;"'!d1"),E142-1,))</f>
        <v>13</v>
      </c>
      <c r="W142" cm="1">
        <f t="array" aca="1" ref="W142" ca="1">IF(ISNA(F142),,OFFSET(INDIRECT("'"&amp;W$67&amp;"'!d1"),F142-1,))</f>
        <v>13</v>
      </c>
      <c r="X142" cm="1">
        <f t="array" aca="1" ref="X142" ca="1">IF(ISNA(G142),,OFFSET(INDIRECT("'"&amp;X$67&amp;"'!d1"),G142-1,))</f>
        <v>19</v>
      </c>
      <c r="Y142" cm="1">
        <f t="array" aca="1" ref="Y142" ca="1">IF(ISNA(H142),,OFFSET(INDIRECT("'"&amp;Y$67&amp;"'!d1"),H142-1,))</f>
        <v>0</v>
      </c>
      <c r="Z142" cm="1">
        <f t="array" aca="1" ref="Z142" ca="1">IF(ISNA(I142),,OFFSET(INDIRECT("'"&amp;Z$67&amp;"'!d1"),I142-1,))</f>
        <v>13</v>
      </c>
      <c r="AA142" cm="1">
        <f t="array" aca="1" ref="AA142" ca="1">IF(ISNA(J142),,OFFSET(INDIRECT("'"&amp;AA$67&amp;"'!d1"),J142-1,))</f>
        <v>13</v>
      </c>
      <c r="AB142" cm="1">
        <f t="array" aca="1" ref="AB142" ca="1">IF(ISNA(K142),,OFFSET(INDIRECT("'"&amp;AB$67&amp;"'!d1"),K142-1,))</f>
        <v>13</v>
      </c>
      <c r="AC142" cm="1">
        <f t="array" aca="1" ref="AC142" ca="1">IF(ISNA(L142),,OFFSET(INDIRECT("'"&amp;AC$67&amp;"'!d1"),L142-1,))</f>
        <v>13</v>
      </c>
      <c r="AD142" cm="1">
        <f t="array" aca="1" ref="AD142" ca="1">IF(ISNA(M142),,OFFSET(INDIRECT("'"&amp;AD$67&amp;"'!d1"),M142-1,))</f>
        <v>13</v>
      </c>
      <c r="AE142" cm="1">
        <f t="array" aca="1" ref="AE142" ca="1">IF(ISNA(N142),,OFFSET(INDIRECT("'"&amp;AE$67&amp;"'!d1"),N142-1,))</f>
        <v>0</v>
      </c>
      <c r="AF142" cm="1">
        <f t="array" aca="1" ref="AF142" ca="1">IF(ISNA(O142),,OFFSET(INDIRECT("'"&amp;AF$67&amp;"'!d1"),O142-1,))</f>
        <v>0</v>
      </c>
      <c r="AG142" cm="1">
        <f t="array" aca="1" ref="AG142" ca="1">IF(ISNA(P142),,OFFSET(INDIRECT("'"&amp;AG$67&amp;"'!d1"),P142-1,))</f>
        <v>0</v>
      </c>
      <c r="AM142">
        <f t="shared" ca="1" si="79"/>
        <v>0</v>
      </c>
      <c r="AN142">
        <f t="shared" ca="1" si="80"/>
        <v>0</v>
      </c>
      <c r="AO142">
        <f t="shared" ca="1" si="81"/>
        <v>0</v>
      </c>
      <c r="AP142">
        <f t="shared" ca="1" si="82"/>
        <v>0</v>
      </c>
      <c r="AQ142">
        <f t="shared" ca="1" si="83"/>
        <v>1</v>
      </c>
      <c r="AV142" t="str">
        <f t="shared" ca="1" si="84"/>
        <v/>
      </c>
      <c r="AW142" t="str">
        <f t="shared" ca="1" si="85"/>
        <v/>
      </c>
      <c r="AX142" t="str">
        <f t="shared" ca="1" si="86"/>
        <v/>
      </c>
      <c r="AY142" t="str">
        <f t="shared" ca="1" si="87"/>
        <v/>
      </c>
      <c r="AZ142" t="b">
        <f t="shared" ca="1" si="88"/>
        <v>1</v>
      </c>
      <c r="BD142">
        <f t="shared" ca="1" si="89"/>
        <v>1</v>
      </c>
      <c r="BE142">
        <f t="shared" ca="1" si="90"/>
        <v>1</v>
      </c>
      <c r="BF142">
        <f t="shared" ca="1" si="91"/>
        <v>1</v>
      </c>
      <c r="BG142">
        <f t="shared" ca="1" si="92"/>
        <v>0</v>
      </c>
      <c r="BH142">
        <f t="shared" ca="1" si="93"/>
        <v>1</v>
      </c>
      <c r="BI142">
        <f t="shared" ca="1" si="94"/>
        <v>1</v>
      </c>
      <c r="BJ142">
        <f t="shared" ca="1" si="95"/>
        <v>1</v>
      </c>
      <c r="BK142">
        <f t="shared" ca="1" si="96"/>
        <v>1</v>
      </c>
      <c r="BL142">
        <f t="shared" ca="1" si="97"/>
        <v>1</v>
      </c>
      <c r="BM142">
        <f t="shared" ca="1" si="98"/>
        <v>0</v>
      </c>
      <c r="BN142">
        <f t="shared" ca="1" si="99"/>
        <v>0</v>
      </c>
      <c r="BO142">
        <f t="shared" ca="1" si="100"/>
        <v>0</v>
      </c>
      <c r="BU142">
        <f t="shared" ca="1" si="101"/>
        <v>13</v>
      </c>
      <c r="BV142">
        <f t="shared" ca="1" si="102"/>
        <v>13</v>
      </c>
      <c r="BW142">
        <f t="shared" ca="1" si="103"/>
        <v>19</v>
      </c>
      <c r="BX142">
        <f t="shared" ca="1" si="104"/>
        <v>82</v>
      </c>
      <c r="BY142">
        <f t="shared" ca="1" si="105"/>
        <v>13</v>
      </c>
      <c r="BZ142">
        <f t="shared" ca="1" si="106"/>
        <v>13</v>
      </c>
      <c r="CA142">
        <f t="shared" ca="1" si="107"/>
        <v>13</v>
      </c>
      <c r="CB142">
        <f t="shared" ca="1" si="108"/>
        <v>13</v>
      </c>
      <c r="CC142">
        <f t="shared" ca="1" si="109"/>
        <v>13</v>
      </c>
      <c r="CD142">
        <f t="shared" ca="1" si="110"/>
        <v>82</v>
      </c>
      <c r="CE142">
        <f t="shared" ca="1" si="111"/>
        <v>82</v>
      </c>
      <c r="CF142">
        <f t="shared" ca="1" si="112"/>
        <v>82</v>
      </c>
      <c r="CL142">
        <f t="shared" ca="1" si="113"/>
        <v>1</v>
      </c>
      <c r="CM142">
        <f t="shared" ca="1" si="114"/>
        <v>1</v>
      </c>
      <c r="CN142">
        <f t="shared" ca="1" si="115"/>
        <v>0</v>
      </c>
      <c r="CO142">
        <f t="shared" ca="1" si="116"/>
        <v>0</v>
      </c>
      <c r="CP142">
        <f t="shared" ca="1" si="117"/>
        <v>1</v>
      </c>
      <c r="CQ142">
        <f t="shared" ca="1" si="118"/>
        <v>1</v>
      </c>
      <c r="CR142">
        <f t="shared" ca="1" si="119"/>
        <v>1</v>
      </c>
      <c r="CS142">
        <f t="shared" ca="1" si="120"/>
        <v>1</v>
      </c>
      <c r="CT142">
        <f t="shared" ca="1" si="121"/>
        <v>1</v>
      </c>
      <c r="CU142">
        <f t="shared" ca="1" si="122"/>
        <v>0</v>
      </c>
      <c r="CV142">
        <f t="shared" ca="1" si="123"/>
        <v>0</v>
      </c>
      <c r="CW142">
        <f t="shared" ca="1" si="124"/>
        <v>0</v>
      </c>
      <c r="DC142" cm="1">
        <f t="array" aca="1" ref="DC142" ca="1">IF(ISNA(E142),,OFFSET(INDIRECT("'"&amp;DT$67&amp;"'!f1"),E142-1,))*1</f>
        <v>28823.207549696901</v>
      </c>
      <c r="DD142" cm="1">
        <f t="array" aca="1" ref="DD142" ca="1">IF(ISNA(F142),,OFFSET(INDIRECT("'"&amp;DU$67&amp;"'!f1"),F142-1,))*1</f>
        <v>28824.732220128099</v>
      </c>
      <c r="DE142" cm="1">
        <f t="array" aca="1" ref="DE142" ca="1">IF(ISNA(G142),,OFFSET(INDIRECT("'"&amp;DV$67&amp;"'!f1"),G142-1,))*1</f>
        <v>28800.322331845698</v>
      </c>
      <c r="DF142" cm="1">
        <f t="array" aca="1" ref="DF142" ca="1">IF(ISNA(H142),,OFFSET(INDIRECT("'"&amp;DW$67&amp;"'!f1"),H142-1,))*1</f>
        <v>28800.110943809101</v>
      </c>
      <c r="DG142" cm="1">
        <f t="array" aca="1" ref="DG142" ca="1">IF(ISNA(I142),,OFFSET(INDIRECT("'"&amp;DX$67&amp;"'!f1"),I142-1,))*1</f>
        <v>0.5442101669978</v>
      </c>
      <c r="DH142" cm="1">
        <f t="array" aca="1" ref="DH142" ca="1">IF(ISNA(J142),,OFFSET(INDIRECT("'"&amp;DY$67&amp;"'!f1"),J142-1,))*1</f>
        <v>0.17296909866854501</v>
      </c>
      <c r="DI142" cm="1">
        <f t="array" aca="1" ref="DI142" ca="1">IF(ISNA(K142),,OFFSET(INDIRECT("'"&amp;DZ$67&amp;"'!f1"),K142-1,))*1</f>
        <v>2.37379047553986</v>
      </c>
      <c r="DJ142" cm="1">
        <f t="array" aca="1" ref="DJ142" ca="1">IF(ISNA(L142),,OFFSET(INDIRECT("'"&amp;EA$67&amp;"'!f1"),L142-1,))*1</f>
        <v>3.0539791584014799</v>
      </c>
      <c r="DK142" cm="1">
        <f t="array" aca="1" ref="DK142" ca="1">IF(ISNA(M142),,OFFSET(INDIRECT("'"&amp;EB$67&amp;"'!f1"),M142-1,))*1</f>
        <v>53.0733225513249</v>
      </c>
      <c r="DL142" cm="1">
        <f t="array" aca="1" ref="DL142" ca="1">IF(ISNA(N142),,OFFSET(INDIRECT("'"&amp;EC$67&amp;"'!f1"),N142-1,))*1</f>
        <v>1.37560712173581E-2</v>
      </c>
      <c r="DM142" cm="1">
        <f t="array" aca="1" ref="DM142" ca="1">IF(ISNA(O142),,OFFSET(INDIRECT("'"&amp;ED$67&amp;"'!f1"),O142-1,))*1</f>
        <v>1.3908765278756599E-2</v>
      </c>
      <c r="DN142" cm="1">
        <f t="array" aca="1" ref="DN142" ca="1">IF(ISNA(P142),,OFFSET(INDIRECT("'"&amp;EE$67&amp;"'!f1"),P142-1,))*1</f>
        <v>2.2646688856184399E-2</v>
      </c>
      <c r="DT142">
        <f t="shared" ca="1" si="125"/>
        <v>1</v>
      </c>
      <c r="DU142">
        <f t="shared" ca="1" si="126"/>
        <v>1</v>
      </c>
      <c r="DV142">
        <f t="shared" ca="1" si="127"/>
        <v>0</v>
      </c>
      <c r="DW142">
        <f t="shared" ca="1" si="128"/>
        <v>0</v>
      </c>
      <c r="DX142">
        <f t="shared" ca="1" si="129"/>
        <v>1</v>
      </c>
      <c r="DY142">
        <f t="shared" ca="1" si="130"/>
        <v>1</v>
      </c>
      <c r="DZ142">
        <f t="shared" ca="1" si="131"/>
        <v>2905</v>
      </c>
      <c r="EA142">
        <f t="shared" ca="1" si="132"/>
        <v>7854</v>
      </c>
      <c r="EB142">
        <f t="shared" ca="1" si="133"/>
        <v>2131</v>
      </c>
      <c r="EC142">
        <f t="shared" ca="1" si="134"/>
        <v>0</v>
      </c>
      <c r="ED142">
        <f t="shared" ca="1" si="135"/>
        <v>0</v>
      </c>
      <c r="EE142">
        <f t="shared" ca="1" si="136"/>
        <v>0</v>
      </c>
      <c r="EK142" cm="1">
        <f t="array" aca="1" ref="EK142" ca="1">IF(ISNA(E142),0,OFFSET(INDIRECT("'"&amp;EK$67&amp;"'!g1"),E142-1,)*CL142)</f>
        <v>1</v>
      </c>
      <c r="EL142" cm="1">
        <f t="array" aca="1" ref="EL142" ca="1">IF(ISNA(F142),0,OFFSET(INDIRECT("'"&amp;EL$67&amp;"'!g1"),F142-1,)*CM142)</f>
        <v>1</v>
      </c>
      <c r="EM142" cm="1">
        <f t="array" aca="1" ref="EM142" ca="1">IF(ISNA(G142),0,OFFSET(INDIRECT("'"&amp;EM$67&amp;"'!g1"),G142-1,)*CN142)</f>
        <v>0</v>
      </c>
      <c r="EN142" cm="1">
        <f t="array" aca="1" ref="EN142" ca="1">IF(ISNA(H142),0,OFFSET(INDIRECT("'"&amp;EN$67&amp;"'!g1"),H142-1,)*CO142)</f>
        <v>0</v>
      </c>
      <c r="EO142" cm="1">
        <f t="array" aca="1" ref="EO142" ca="1">IF(ISNA(I142),0,OFFSET(INDIRECT("'"&amp;EO$67&amp;"'!g1"),I142-1,)*CP142)</f>
        <v>1</v>
      </c>
      <c r="EP142" cm="1">
        <f t="array" aca="1" ref="EP142" ca="1">IF(ISNA(J142),0,OFFSET(INDIRECT("'"&amp;EP$67&amp;"'!g1"),J142-1,)*CQ142)</f>
        <v>1</v>
      </c>
      <c r="EQ142" cm="1">
        <f t="array" aca="1" ref="EQ142" ca="1">IF(ISNA(K142),0,OFFSET(INDIRECT("'"&amp;EQ$67&amp;"'!g1"),K142-1,)*CR142)</f>
        <v>2905</v>
      </c>
      <c r="ER142" cm="1">
        <f t="array" aca="1" ref="ER142" ca="1">IF(ISNA(L142),0,OFFSET(INDIRECT("'"&amp;ER$67&amp;"'!g1"),L142-1,)*CS142)</f>
        <v>7854</v>
      </c>
      <c r="ES142" cm="1">
        <f t="array" aca="1" ref="ES142" ca="1">IF(ISNA(M142),0,OFFSET(INDIRECT("'"&amp;ES$67&amp;"'!g1"),M142-1,)*CT142)</f>
        <v>2131</v>
      </c>
      <c r="ET142" cm="1">
        <f t="array" aca="1" ref="ET142" ca="1">IF(ISNA(N142),0,OFFSET(INDIRECT("'"&amp;ET$67&amp;"'!g1"),N142-1,)*CU142)</f>
        <v>0</v>
      </c>
      <c r="EU142" cm="1">
        <f t="array" aca="1" ref="EU142" ca="1">IF(ISNA(O142),0,OFFSET(INDIRECT("'"&amp;EU$67&amp;"'!g1"),O142-1,)*CV142)</f>
        <v>0</v>
      </c>
      <c r="EV142" cm="1">
        <f t="array" aca="1" ref="EV142" ca="1">IF(ISNA(P142),0,OFFSET(INDIRECT("'"&amp;EV$67&amp;"'!g1"),P142-1,)*CW142)</f>
        <v>0</v>
      </c>
      <c r="FB142" s="10" cm="1">
        <f t="array" aca="1" ref="FB142" ca="1">IF(ISNA(E142),0,OFFSET(INDIRECT("'"&amp;EK$67&amp;"'!h1"),E142-1,))</f>
        <v>1</v>
      </c>
      <c r="FC142" s="10" cm="1">
        <f t="array" aca="1" ref="FC142" ca="1">IF(ISNA(F142),0,OFFSET(INDIRECT("'"&amp;EL$67&amp;"'!h1"),F142-1,))</f>
        <v>1</v>
      </c>
      <c r="FD142" s="10" cm="1">
        <f t="array" aca="1" ref="FD142" ca="1">IF(ISNA(G142),0,OFFSET(INDIRECT("'"&amp;EM$67&amp;"'!h1"),G142-1,))</f>
        <v>1</v>
      </c>
      <c r="FE142" s="10" cm="1">
        <f t="array" aca="1" ref="FE142" ca="1">IF(ISNA(H142),0,OFFSET(INDIRECT("'"&amp;EN$67&amp;"'!h1"),H142-1,))</f>
        <v>1</v>
      </c>
      <c r="FF142" s="10" cm="1">
        <f t="array" aca="1" ref="FF142" ca="1">IF(ISNA(I142),0,OFFSET(INDIRECT("'"&amp;EO$67&amp;"'!h1"),I142-1,))</f>
        <v>1</v>
      </c>
      <c r="FG142" s="10" cm="1">
        <f t="array" aca="1" ref="FG142" ca="1">IF(ISNA(J142),0,OFFSET(INDIRECT("'"&amp;EP$67&amp;"'!h1"),J142-1,))</f>
        <v>1</v>
      </c>
      <c r="FH142" s="10" cm="1">
        <f t="array" aca="1" ref="FH142" ca="1">IF(ISNA(K142),0,OFFSET(INDIRECT("'"&amp;EQ$67&amp;"'!h1"),K142-1,))</f>
        <v>10000</v>
      </c>
      <c r="FI142" s="10" cm="1">
        <f t="array" aca="1" ref="FI142" ca="1">IF(ISNA(L142),0,OFFSET(INDIRECT("'"&amp;ER$67&amp;"'!h1"),L142-1,))</f>
        <v>10000</v>
      </c>
      <c r="FJ142" s="10" cm="1">
        <f t="array" aca="1" ref="FJ142" ca="1">IF(ISNA(M142),0,OFFSET(INDIRECT("'"&amp;ES$67&amp;"'!h1"),M142-1,))</f>
        <v>10000</v>
      </c>
      <c r="FK142" s="10" cm="1">
        <f t="array" aca="1" ref="FK142" ca="1">IF(ISNA(N142),0,OFFSET(INDIRECT("'"&amp;ET$67&amp;"'!h1"),N142-1,))</f>
        <v>1</v>
      </c>
      <c r="FL142" s="10" cm="1">
        <f t="array" aca="1" ref="FL142" ca="1">IF(ISNA(O142),0,OFFSET(INDIRECT("'"&amp;EU$67&amp;"'!h1"),O142-1,))</f>
        <v>1</v>
      </c>
      <c r="FM142" s="10" cm="1">
        <f t="array" aca="1" ref="FM142" ca="1">IF(ISNA(P142),0,OFFSET(INDIRECT("'"&amp;EV$67&amp;"'!h1"),P142-1,))</f>
        <v>9</v>
      </c>
      <c r="FN142" s="10"/>
      <c r="FO142" s="10"/>
      <c r="FP142" s="10"/>
      <c r="FQ142" s="10"/>
      <c r="FS142">
        <f t="shared" ca="1" si="137"/>
        <v>82</v>
      </c>
      <c r="FT142">
        <f t="shared" ca="1" si="62"/>
        <v>2.37379047553986</v>
      </c>
      <c r="FU142">
        <f t="shared" ca="1" si="63"/>
        <v>2905</v>
      </c>
      <c r="FV142">
        <f t="shared" ca="1" si="64"/>
        <v>10000</v>
      </c>
      <c r="FW142" s="4">
        <f t="shared" ca="1" si="138"/>
        <v>0.29049999999999998</v>
      </c>
      <c r="FX142" s="5">
        <f t="shared" ca="1" si="139"/>
        <v>8.1713957849909123E-4</v>
      </c>
      <c r="FZ142" s="13">
        <f t="shared" ca="1" si="140"/>
        <v>82</v>
      </c>
      <c r="GA142" s="23">
        <f t="shared" ca="1" si="141"/>
        <v>0</v>
      </c>
      <c r="GB142" s="23">
        <f t="shared" ca="1" si="142"/>
        <v>0</v>
      </c>
      <c r="GC142" s="23">
        <f t="shared" ca="1" si="143"/>
        <v>0.46153846153846156</v>
      </c>
      <c r="GD142" s="23" t="e">
        <f t="shared" ca="1" si="144"/>
        <v>#N/A</v>
      </c>
      <c r="GE142" s="23">
        <f t="shared" ca="1" si="145"/>
        <v>0</v>
      </c>
      <c r="GF142" s="23">
        <f t="shared" ca="1" si="146"/>
        <v>0</v>
      </c>
      <c r="GG142" s="23">
        <f t="shared" ca="1" si="147"/>
        <v>0</v>
      </c>
      <c r="GH142" s="23">
        <f t="shared" ca="1" si="148"/>
        <v>0</v>
      </c>
      <c r="GI142" s="23">
        <f t="shared" ca="1" si="149"/>
        <v>0</v>
      </c>
      <c r="GJ142" s="23" t="e">
        <f t="shared" ca="1" si="150"/>
        <v>#N/A</v>
      </c>
      <c r="GK142" s="23" t="e">
        <f t="shared" ca="1" si="151"/>
        <v>#N/A</v>
      </c>
      <c r="GL142" s="23" t="e">
        <f t="shared" ca="1" si="152"/>
        <v>#N/A</v>
      </c>
      <c r="GM142" s="23"/>
      <c r="GN142">
        <f t="shared" ca="1" si="153"/>
        <v>82</v>
      </c>
      <c r="GO142" s="5" t="e">
        <f t="shared" ca="1" si="154"/>
        <v>#N/A</v>
      </c>
      <c r="GP142" s="5" t="e">
        <f t="shared" ca="1" si="155"/>
        <v>#N/A</v>
      </c>
      <c r="GQ142" s="5" t="e">
        <f t="shared" ca="1" si="156"/>
        <v>#N/A</v>
      </c>
      <c r="GR142" s="5" t="e">
        <f t="shared" ca="1" si="157"/>
        <v>#N/A</v>
      </c>
      <c r="GS142" s="5">
        <f t="shared" ca="1" si="158"/>
        <v>0.5442101669978</v>
      </c>
      <c r="GT142" s="5">
        <f t="shared" ca="1" si="159"/>
        <v>0.17296909866854501</v>
      </c>
      <c r="GU142" s="5">
        <f t="shared" ca="1" si="160"/>
        <v>8.1713957849909123E-4</v>
      </c>
      <c r="GV142" s="5">
        <f t="shared" ca="1" si="161"/>
        <v>3.8884379404144131E-4</v>
      </c>
      <c r="GW142" s="5">
        <f t="shared" ca="1" si="162"/>
        <v>2.4905360183634397E-2</v>
      </c>
      <c r="GX142" s="5" t="e">
        <f t="shared" ca="1" si="163"/>
        <v>#N/A</v>
      </c>
      <c r="GY142" s="5" t="e">
        <f t="shared" ca="1" si="164"/>
        <v>#N/A</v>
      </c>
      <c r="GZ142" s="5" t="e">
        <f t="shared" ca="1" si="165"/>
        <v>#N/A</v>
      </c>
      <c r="HB142" s="13">
        <f t="shared" ca="1" si="166"/>
        <v>82</v>
      </c>
      <c r="HC142" s="4">
        <f t="shared" ca="1" si="167"/>
        <v>1</v>
      </c>
      <c r="HD142" s="4">
        <f t="shared" ca="1" si="168"/>
        <v>1</v>
      </c>
      <c r="HE142" s="4">
        <f t="shared" ca="1" si="169"/>
        <v>0</v>
      </c>
      <c r="HF142" s="4">
        <f t="shared" ca="1" si="170"/>
        <v>0</v>
      </c>
      <c r="HG142" s="4">
        <f t="shared" ca="1" si="171"/>
        <v>1</v>
      </c>
      <c r="HH142" s="4">
        <f t="shared" ca="1" si="172"/>
        <v>1</v>
      </c>
      <c r="HI142" s="4">
        <f t="shared" ca="1" si="173"/>
        <v>0.29049999999999998</v>
      </c>
      <c r="HJ142" s="4">
        <f t="shared" ca="1" si="174"/>
        <v>0.78539999999999999</v>
      </c>
      <c r="HK142" s="4">
        <f t="shared" ca="1" si="175"/>
        <v>0.21310000000000001</v>
      </c>
      <c r="HL142" s="4">
        <f t="shared" ca="1" si="176"/>
        <v>0</v>
      </c>
      <c r="HM142" s="4">
        <f t="shared" ca="1" si="177"/>
        <v>0</v>
      </c>
      <c r="HN142" s="4">
        <f t="shared" ca="1" si="178"/>
        <v>0</v>
      </c>
    </row>
    <row r="143" spans="1:222" x14ac:dyDescent="0.2">
      <c r="A143" t="str" cm="1">
        <f t="array" aca="1" ref="A143" ca="1">INDIRECT($A$67&amp;"!A"&amp;ROW(C76)+$B$64)</f>
        <v>[[83,41,15]]</v>
      </c>
      <c r="B143" cm="1">
        <f t="array" aca="1" ref="B143" ca="1">INDIRECT($A$67&amp;"!b"&amp;ROW(D76)+$B$64)</f>
        <v>83</v>
      </c>
      <c r="C143">
        <f t="shared" ca="1" si="78"/>
        <v>15</v>
      </c>
      <c r="E143">
        <f t="shared" ca="1" si="182"/>
        <v>100</v>
      </c>
      <c r="F143">
        <f t="shared" ca="1" si="182"/>
        <v>101</v>
      </c>
      <c r="G143">
        <f t="shared" ca="1" si="182"/>
        <v>100</v>
      </c>
      <c r="H143">
        <f t="shared" ca="1" si="182"/>
        <v>98</v>
      </c>
      <c r="I143">
        <f t="shared" ca="1" si="182"/>
        <v>103</v>
      </c>
      <c r="J143">
        <f t="shared" ca="1" si="182"/>
        <v>100</v>
      </c>
      <c r="K143">
        <f t="shared" ca="1" si="182"/>
        <v>107</v>
      </c>
      <c r="L143">
        <f t="shared" ca="1" si="182"/>
        <v>109</v>
      </c>
      <c r="M143">
        <f t="shared" ca="1" si="182"/>
        <v>106</v>
      </c>
      <c r="N143">
        <f t="shared" ca="1" si="182"/>
        <v>104</v>
      </c>
      <c r="O143">
        <f t="shared" ca="1" si="182"/>
        <v>104</v>
      </c>
      <c r="P143">
        <f t="shared" ca="1" si="182"/>
        <v>104</v>
      </c>
      <c r="V143" cm="1">
        <f t="array" aca="1" ref="V143" ca="1">IF(ISNA(E143),,OFFSET(INDIRECT("'"&amp;V$67&amp;"'!d1"),E143-1,))</f>
        <v>15</v>
      </c>
      <c r="W143" cm="1">
        <f t="array" aca="1" ref="W143" ca="1">IF(ISNA(F143),,OFFSET(INDIRECT("'"&amp;W$67&amp;"'!d1"),F143-1,))</f>
        <v>15</v>
      </c>
      <c r="X143" cm="1">
        <f t="array" aca="1" ref="X143" ca="1">IF(ISNA(G143),,OFFSET(INDIRECT("'"&amp;X$67&amp;"'!d1"),G143-1,))</f>
        <v>15</v>
      </c>
      <c r="Y143" cm="1">
        <f t="array" aca="1" ref="Y143" ca="1">IF(ISNA(H143),,OFFSET(INDIRECT("'"&amp;Y$67&amp;"'!d1"),H143-1,))</f>
        <v>0</v>
      </c>
      <c r="Z143" cm="1">
        <f t="array" aca="1" ref="Z143" ca="1">IF(ISNA(I143),,OFFSET(INDIRECT("'"&amp;Z$67&amp;"'!d1"),I143-1,))</f>
        <v>15</v>
      </c>
      <c r="AA143" cm="1">
        <f t="array" aca="1" ref="AA143" ca="1">IF(ISNA(J143),,OFFSET(INDIRECT("'"&amp;AA$67&amp;"'!d1"),J143-1,))</f>
        <v>15</v>
      </c>
      <c r="AB143" cm="1">
        <f t="array" aca="1" ref="AB143" ca="1">IF(ISNA(K143),,OFFSET(INDIRECT("'"&amp;AB$67&amp;"'!d1"),K143-1,))</f>
        <v>15</v>
      </c>
      <c r="AC143" cm="1">
        <f t="array" aca="1" ref="AC143" ca="1">IF(ISNA(L143),,OFFSET(INDIRECT("'"&amp;AC$67&amp;"'!d1"),L143-1,))</f>
        <v>15</v>
      </c>
      <c r="AD143" cm="1">
        <f t="array" aca="1" ref="AD143" ca="1">IF(ISNA(M143),,OFFSET(INDIRECT("'"&amp;AD$67&amp;"'!d1"),M143-1,))</f>
        <v>15</v>
      </c>
      <c r="AE143" cm="1">
        <f t="array" aca="1" ref="AE143" ca="1">IF(ISNA(N143),,OFFSET(INDIRECT("'"&amp;AE$67&amp;"'!d1"),N143-1,))</f>
        <v>0</v>
      </c>
      <c r="AF143" cm="1">
        <f t="array" aca="1" ref="AF143" ca="1">IF(ISNA(O143),,OFFSET(INDIRECT("'"&amp;AF$67&amp;"'!d1"),O143-1,))</f>
        <v>0</v>
      </c>
      <c r="AG143" cm="1">
        <f t="array" aca="1" ref="AG143" ca="1">IF(ISNA(P143),,OFFSET(INDIRECT("'"&amp;AG$67&amp;"'!d1"),P143-1,))</f>
        <v>0</v>
      </c>
      <c r="AM143">
        <f t="shared" ca="1" si="79"/>
        <v>0</v>
      </c>
      <c r="AN143">
        <f t="shared" ca="1" si="80"/>
        <v>0</v>
      </c>
      <c r="AO143">
        <f t="shared" ca="1" si="81"/>
        <v>0</v>
      </c>
      <c r="AP143">
        <f t="shared" ca="1" si="82"/>
        <v>0</v>
      </c>
      <c r="AQ143">
        <f t="shared" ca="1" si="83"/>
        <v>1</v>
      </c>
      <c r="AV143" t="str">
        <f t="shared" ca="1" si="84"/>
        <v/>
      </c>
      <c r="AW143" t="str">
        <f t="shared" ca="1" si="85"/>
        <v/>
      </c>
      <c r="AX143" t="str">
        <f t="shared" ca="1" si="86"/>
        <v/>
      </c>
      <c r="AY143" t="str">
        <f t="shared" ca="1" si="87"/>
        <v/>
      </c>
      <c r="AZ143" t="b">
        <f t="shared" ca="1" si="88"/>
        <v>1</v>
      </c>
      <c r="BD143">
        <f t="shared" ca="1" si="89"/>
        <v>1</v>
      </c>
      <c r="BE143">
        <f t="shared" ca="1" si="90"/>
        <v>1</v>
      </c>
      <c r="BF143">
        <f t="shared" ca="1" si="91"/>
        <v>1</v>
      </c>
      <c r="BG143">
        <f t="shared" ca="1" si="92"/>
        <v>0</v>
      </c>
      <c r="BH143">
        <f t="shared" ca="1" si="93"/>
        <v>1</v>
      </c>
      <c r="BI143">
        <f t="shared" ca="1" si="94"/>
        <v>1</v>
      </c>
      <c r="BJ143">
        <f t="shared" ca="1" si="95"/>
        <v>1</v>
      </c>
      <c r="BK143">
        <f t="shared" ca="1" si="96"/>
        <v>1</v>
      </c>
      <c r="BL143">
        <f t="shared" ca="1" si="97"/>
        <v>1</v>
      </c>
      <c r="BM143">
        <f t="shared" ca="1" si="98"/>
        <v>0</v>
      </c>
      <c r="BN143">
        <f t="shared" ca="1" si="99"/>
        <v>0</v>
      </c>
      <c r="BO143">
        <f t="shared" ca="1" si="100"/>
        <v>0</v>
      </c>
      <c r="BU143">
        <f t="shared" ca="1" si="101"/>
        <v>15</v>
      </c>
      <c r="BV143">
        <f t="shared" ca="1" si="102"/>
        <v>15</v>
      </c>
      <c r="BW143">
        <f t="shared" ca="1" si="103"/>
        <v>15</v>
      </c>
      <c r="BX143">
        <f t="shared" ca="1" si="104"/>
        <v>83</v>
      </c>
      <c r="BY143">
        <f t="shared" ca="1" si="105"/>
        <v>15</v>
      </c>
      <c r="BZ143">
        <f t="shared" ca="1" si="106"/>
        <v>15</v>
      </c>
      <c r="CA143">
        <f t="shared" ca="1" si="107"/>
        <v>15</v>
      </c>
      <c r="CB143">
        <f t="shared" ca="1" si="108"/>
        <v>15</v>
      </c>
      <c r="CC143">
        <f t="shared" ca="1" si="109"/>
        <v>15</v>
      </c>
      <c r="CD143">
        <f t="shared" ca="1" si="110"/>
        <v>83</v>
      </c>
      <c r="CE143">
        <f t="shared" ca="1" si="111"/>
        <v>83</v>
      </c>
      <c r="CF143">
        <f t="shared" ca="1" si="112"/>
        <v>83</v>
      </c>
      <c r="CL143">
        <f t="shared" ca="1" si="113"/>
        <v>1</v>
      </c>
      <c r="CM143">
        <f t="shared" ca="1" si="114"/>
        <v>1</v>
      </c>
      <c r="CN143">
        <f t="shared" ca="1" si="115"/>
        <v>1</v>
      </c>
      <c r="CO143">
        <f t="shared" ca="1" si="116"/>
        <v>0</v>
      </c>
      <c r="CP143">
        <f t="shared" ca="1" si="117"/>
        <v>1</v>
      </c>
      <c r="CQ143">
        <f t="shared" ca="1" si="118"/>
        <v>1</v>
      </c>
      <c r="CR143">
        <f t="shared" ca="1" si="119"/>
        <v>1</v>
      </c>
      <c r="CS143">
        <f t="shared" ca="1" si="120"/>
        <v>1</v>
      </c>
      <c r="CT143">
        <f t="shared" ca="1" si="121"/>
        <v>1</v>
      </c>
      <c r="CU143">
        <f t="shared" ca="1" si="122"/>
        <v>0</v>
      </c>
      <c r="CV143">
        <f t="shared" ca="1" si="123"/>
        <v>0</v>
      </c>
      <c r="CW143">
        <f t="shared" ca="1" si="124"/>
        <v>0</v>
      </c>
      <c r="DC143" cm="1">
        <f t="array" aca="1" ref="DC143" ca="1">IF(ISNA(E143),,OFFSET(INDIRECT("'"&amp;DT$67&amp;"'!f1"),E143-1,))*1</f>
        <v>28875.419264220101</v>
      </c>
      <c r="DD143" cm="1">
        <f t="array" aca="1" ref="DD143" ca="1">IF(ISNA(F143),,OFFSET(INDIRECT("'"&amp;DU$67&amp;"'!f1"),F143-1,))*1</f>
        <v>28814.6434307247</v>
      </c>
      <c r="DE143" cm="1">
        <f t="array" aca="1" ref="DE143" ca="1">IF(ISNA(G143),,OFFSET(INDIRECT("'"&amp;DV$67&amp;"'!f1"),G143-1,))*1</f>
        <v>28800.517427667899</v>
      </c>
      <c r="DF143" cm="1">
        <f t="array" aca="1" ref="DF143" ca="1">IF(ISNA(H143),,OFFSET(INDIRECT("'"&amp;DW$67&amp;"'!f1"),H143-1,))*1</f>
        <v>28800.133788972998</v>
      </c>
      <c r="DG143" cm="1">
        <f t="array" aca="1" ref="DG143" ca="1">IF(ISNA(I143),,OFFSET(INDIRECT("'"&amp;DX$67&amp;"'!f1"),I143-1,))*1</f>
        <v>0.12802087500313</v>
      </c>
      <c r="DH143" cm="1">
        <f t="array" aca="1" ref="DH143" ca="1">IF(ISNA(J143),,OFFSET(INDIRECT("'"&amp;DY$67&amp;"'!f1"),J143-1,))*1</f>
        <v>0.191238983999937</v>
      </c>
      <c r="DI143" cm="1">
        <f t="array" aca="1" ref="DI143" ca="1">IF(ISNA(K143),,OFFSET(INDIRECT("'"&amp;DZ$67&amp;"'!f1"),K143-1,))*1</f>
        <v>2.5438732421025598</v>
      </c>
      <c r="DJ143" cm="1">
        <f t="array" aca="1" ref="DJ143" ca="1">IF(ISNA(L143),,OFFSET(INDIRECT("'"&amp;EA$67&amp;"'!f1"),L143-1,))*1</f>
        <v>3.1142780175432501</v>
      </c>
      <c r="DK143" cm="1">
        <f t="array" aca="1" ref="DK143" ca="1">IF(ISNA(M143),,OFFSET(INDIRECT("'"&amp;EB$67&amp;"'!f1"),M143-1,))*1</f>
        <v>51.265527898911301</v>
      </c>
      <c r="DL143" cm="1">
        <f t="array" aca="1" ref="DL143" ca="1">IF(ISNA(N143),,OFFSET(INDIRECT("'"&amp;EC$67&amp;"'!f1"),N143-1,))*1</f>
        <v>1.35960690677165E-2</v>
      </c>
      <c r="DM143" cm="1">
        <f t="array" aca="1" ref="DM143" ca="1">IF(ISNA(O143),,OFFSET(INDIRECT("'"&amp;ED$67&amp;"'!f1"),O143-1,))*1</f>
        <v>1.36281568557024E-2</v>
      </c>
      <c r="DN143" cm="1">
        <f t="array" aca="1" ref="DN143" ca="1">IF(ISNA(P143),,OFFSET(INDIRECT("'"&amp;EE$67&amp;"'!f1"),P143-1,))*1</f>
        <v>2.28203805163502E-2</v>
      </c>
      <c r="DT143">
        <f t="shared" ca="1" si="125"/>
        <v>1</v>
      </c>
      <c r="DU143">
        <f t="shared" ca="1" si="126"/>
        <v>1</v>
      </c>
      <c r="DV143">
        <f t="shared" ca="1" si="127"/>
        <v>1</v>
      </c>
      <c r="DW143">
        <f t="shared" ca="1" si="128"/>
        <v>0</v>
      </c>
      <c r="DX143">
        <f t="shared" ca="1" si="129"/>
        <v>1</v>
      </c>
      <c r="DY143">
        <f t="shared" ca="1" si="130"/>
        <v>1</v>
      </c>
      <c r="DZ143">
        <f t="shared" ca="1" si="131"/>
        <v>1513</v>
      </c>
      <c r="EA143">
        <f t="shared" ca="1" si="132"/>
        <v>6829</v>
      </c>
      <c r="EB143">
        <f t="shared" ca="1" si="133"/>
        <v>1169</v>
      </c>
      <c r="EC143">
        <f t="shared" ca="1" si="134"/>
        <v>0</v>
      </c>
      <c r="ED143">
        <f t="shared" ca="1" si="135"/>
        <v>0</v>
      </c>
      <c r="EE143">
        <f t="shared" ca="1" si="136"/>
        <v>0</v>
      </c>
      <c r="EK143" cm="1">
        <f t="array" aca="1" ref="EK143" ca="1">IF(ISNA(E143),0,OFFSET(INDIRECT("'"&amp;EK$67&amp;"'!g1"),E143-1,)*CL143)</f>
        <v>1</v>
      </c>
      <c r="EL143" cm="1">
        <f t="array" aca="1" ref="EL143" ca="1">IF(ISNA(F143),0,OFFSET(INDIRECT("'"&amp;EL$67&amp;"'!g1"),F143-1,)*CM143)</f>
        <v>1</v>
      </c>
      <c r="EM143" cm="1">
        <f t="array" aca="1" ref="EM143" ca="1">IF(ISNA(G143),0,OFFSET(INDIRECT("'"&amp;EM$67&amp;"'!g1"),G143-1,)*CN143)</f>
        <v>1</v>
      </c>
      <c r="EN143" cm="1">
        <f t="array" aca="1" ref="EN143" ca="1">IF(ISNA(H143),0,OFFSET(INDIRECT("'"&amp;EN$67&amp;"'!g1"),H143-1,)*CO143)</f>
        <v>0</v>
      </c>
      <c r="EO143" cm="1">
        <f t="array" aca="1" ref="EO143" ca="1">IF(ISNA(I143),0,OFFSET(INDIRECT("'"&amp;EO$67&amp;"'!g1"),I143-1,)*CP143)</f>
        <v>1</v>
      </c>
      <c r="EP143" cm="1">
        <f t="array" aca="1" ref="EP143" ca="1">IF(ISNA(J143),0,OFFSET(INDIRECT("'"&amp;EP$67&amp;"'!g1"),J143-1,)*CQ143)</f>
        <v>1</v>
      </c>
      <c r="EQ143" cm="1">
        <f t="array" aca="1" ref="EQ143" ca="1">IF(ISNA(K143),0,OFFSET(INDIRECT("'"&amp;EQ$67&amp;"'!g1"),K143-1,)*CR143)</f>
        <v>1513</v>
      </c>
      <c r="ER143" cm="1">
        <f t="array" aca="1" ref="ER143" ca="1">IF(ISNA(L143),0,OFFSET(INDIRECT("'"&amp;ER$67&amp;"'!g1"),L143-1,)*CS143)</f>
        <v>6829</v>
      </c>
      <c r="ES143" cm="1">
        <f t="array" aca="1" ref="ES143" ca="1">IF(ISNA(M143),0,OFFSET(INDIRECT("'"&amp;ES$67&amp;"'!g1"),M143-1,)*CT143)</f>
        <v>1169</v>
      </c>
      <c r="ET143" cm="1">
        <f t="array" aca="1" ref="ET143" ca="1">IF(ISNA(N143),0,OFFSET(INDIRECT("'"&amp;ET$67&amp;"'!g1"),N143-1,)*CU143)</f>
        <v>0</v>
      </c>
      <c r="EU143" cm="1">
        <f t="array" aca="1" ref="EU143" ca="1">IF(ISNA(O143),0,OFFSET(INDIRECT("'"&amp;EU$67&amp;"'!g1"),O143-1,)*CV143)</f>
        <v>0</v>
      </c>
      <c r="EV143" cm="1">
        <f t="array" aca="1" ref="EV143" ca="1">IF(ISNA(P143),0,OFFSET(INDIRECT("'"&amp;EV$67&amp;"'!g1"),P143-1,)*CW143)</f>
        <v>0</v>
      </c>
      <c r="FB143" s="10" cm="1">
        <f t="array" aca="1" ref="FB143" ca="1">IF(ISNA(E143),0,OFFSET(INDIRECT("'"&amp;EK$67&amp;"'!h1"),E143-1,))</f>
        <v>1</v>
      </c>
      <c r="FC143" s="10" cm="1">
        <f t="array" aca="1" ref="FC143" ca="1">IF(ISNA(F143),0,OFFSET(INDIRECT("'"&amp;EL$67&amp;"'!h1"),F143-1,))</f>
        <v>1</v>
      </c>
      <c r="FD143" s="10" cm="1">
        <f t="array" aca="1" ref="FD143" ca="1">IF(ISNA(G143),0,OFFSET(INDIRECT("'"&amp;EM$67&amp;"'!h1"),G143-1,))</f>
        <v>1</v>
      </c>
      <c r="FE143" s="10" cm="1">
        <f t="array" aca="1" ref="FE143" ca="1">IF(ISNA(H143),0,OFFSET(INDIRECT("'"&amp;EN$67&amp;"'!h1"),H143-1,))</f>
        <v>1</v>
      </c>
      <c r="FF143" s="10" cm="1">
        <f t="array" aca="1" ref="FF143" ca="1">IF(ISNA(I143),0,OFFSET(INDIRECT("'"&amp;EO$67&amp;"'!h1"),I143-1,))</f>
        <v>1</v>
      </c>
      <c r="FG143" s="10" cm="1">
        <f t="array" aca="1" ref="FG143" ca="1">IF(ISNA(J143),0,OFFSET(INDIRECT("'"&amp;EP$67&amp;"'!h1"),J143-1,))</f>
        <v>1</v>
      </c>
      <c r="FH143" s="10" cm="1">
        <f t="array" aca="1" ref="FH143" ca="1">IF(ISNA(K143),0,OFFSET(INDIRECT("'"&amp;EQ$67&amp;"'!h1"),K143-1,))</f>
        <v>10000</v>
      </c>
      <c r="FI143" s="10" cm="1">
        <f t="array" aca="1" ref="FI143" ca="1">IF(ISNA(L143),0,OFFSET(INDIRECT("'"&amp;ER$67&amp;"'!h1"),L143-1,))</f>
        <v>10000</v>
      </c>
      <c r="FJ143" s="10" cm="1">
        <f t="array" aca="1" ref="FJ143" ca="1">IF(ISNA(M143),0,OFFSET(INDIRECT("'"&amp;ES$67&amp;"'!h1"),M143-1,))</f>
        <v>10000</v>
      </c>
      <c r="FK143" s="10" cm="1">
        <f t="array" aca="1" ref="FK143" ca="1">IF(ISNA(N143),0,OFFSET(INDIRECT("'"&amp;ET$67&amp;"'!h1"),N143-1,))</f>
        <v>1</v>
      </c>
      <c r="FL143" s="10" cm="1">
        <f t="array" aca="1" ref="FL143" ca="1">IF(ISNA(O143),0,OFFSET(INDIRECT("'"&amp;EU$67&amp;"'!h1"),O143-1,))</f>
        <v>1</v>
      </c>
      <c r="FM143" s="10" cm="1">
        <f t="array" aca="1" ref="FM143" ca="1">IF(ISNA(P143),0,OFFSET(INDIRECT("'"&amp;EV$67&amp;"'!h1"),P143-1,))</f>
        <v>9</v>
      </c>
      <c r="FN143" s="10"/>
      <c r="FO143" s="10"/>
      <c r="FP143" s="10"/>
      <c r="FQ143" s="10"/>
      <c r="FS143">
        <f t="shared" ca="1" si="137"/>
        <v>83</v>
      </c>
      <c r="FT143">
        <f t="shared" ca="1" si="62"/>
        <v>2.5438732421025598</v>
      </c>
      <c r="FU143">
        <f t="shared" ca="1" si="63"/>
        <v>1513</v>
      </c>
      <c r="FV143">
        <f t="shared" ca="1" si="64"/>
        <v>10000</v>
      </c>
      <c r="FW143" s="4">
        <f t="shared" ca="1" si="138"/>
        <v>0.15129999999999999</v>
      </c>
      <c r="FX143" s="5">
        <f t="shared" ca="1" si="139"/>
        <v>1.6813438480519232E-3</v>
      </c>
      <c r="FZ143" s="13">
        <f t="shared" ca="1" si="140"/>
        <v>83</v>
      </c>
      <c r="GA143" s="23">
        <f t="shared" ca="1" si="141"/>
        <v>0</v>
      </c>
      <c r="GB143" s="23">
        <f t="shared" ca="1" si="142"/>
        <v>0</v>
      </c>
      <c r="GC143" s="23">
        <f t="shared" ca="1" si="143"/>
        <v>0</v>
      </c>
      <c r="GD143" s="23" t="e">
        <f t="shared" ca="1" si="144"/>
        <v>#N/A</v>
      </c>
      <c r="GE143" s="23">
        <f t="shared" ca="1" si="145"/>
        <v>0</v>
      </c>
      <c r="GF143" s="23">
        <f t="shared" ca="1" si="146"/>
        <v>0</v>
      </c>
      <c r="GG143" s="23">
        <f t="shared" ca="1" si="147"/>
        <v>0</v>
      </c>
      <c r="GH143" s="23">
        <f t="shared" ca="1" si="148"/>
        <v>0</v>
      </c>
      <c r="GI143" s="23">
        <f t="shared" ca="1" si="149"/>
        <v>0</v>
      </c>
      <c r="GJ143" s="23" t="e">
        <f t="shared" ca="1" si="150"/>
        <v>#N/A</v>
      </c>
      <c r="GK143" s="23" t="e">
        <f t="shared" ca="1" si="151"/>
        <v>#N/A</v>
      </c>
      <c r="GL143" s="23" t="e">
        <f t="shared" ca="1" si="152"/>
        <v>#N/A</v>
      </c>
      <c r="GM143" s="23"/>
      <c r="GN143">
        <f t="shared" ca="1" si="153"/>
        <v>83</v>
      </c>
      <c r="GO143" s="5" t="e">
        <f t="shared" ca="1" si="154"/>
        <v>#N/A</v>
      </c>
      <c r="GP143" s="5" t="e">
        <f t="shared" ca="1" si="155"/>
        <v>#N/A</v>
      </c>
      <c r="GQ143" s="5" t="e">
        <f t="shared" ca="1" si="156"/>
        <v>#N/A</v>
      </c>
      <c r="GR143" s="5" t="e">
        <f t="shared" ca="1" si="157"/>
        <v>#N/A</v>
      </c>
      <c r="GS143" s="5">
        <f t="shared" ca="1" si="158"/>
        <v>0.12802087500313</v>
      </c>
      <c r="GT143" s="5">
        <f t="shared" ca="1" si="159"/>
        <v>0.191238983999937</v>
      </c>
      <c r="GU143" s="5">
        <f t="shared" ca="1" si="160"/>
        <v>1.6813438480519232E-3</v>
      </c>
      <c r="GV143" s="5">
        <f t="shared" ca="1" si="161"/>
        <v>4.5603719688728221E-4</v>
      </c>
      <c r="GW143" s="5">
        <f t="shared" ca="1" si="162"/>
        <v>4.3854172710788113E-2</v>
      </c>
      <c r="GX143" s="5" t="e">
        <f t="shared" ca="1" si="163"/>
        <v>#N/A</v>
      </c>
      <c r="GY143" s="5" t="e">
        <f t="shared" ca="1" si="164"/>
        <v>#N/A</v>
      </c>
      <c r="GZ143" s="5" t="e">
        <f t="shared" ca="1" si="165"/>
        <v>#N/A</v>
      </c>
      <c r="HB143" s="13">
        <f t="shared" ca="1" si="166"/>
        <v>83</v>
      </c>
      <c r="HC143" s="4">
        <f t="shared" ca="1" si="167"/>
        <v>1</v>
      </c>
      <c r="HD143" s="4">
        <f t="shared" ca="1" si="168"/>
        <v>1</v>
      </c>
      <c r="HE143" s="4">
        <f t="shared" ca="1" si="169"/>
        <v>1</v>
      </c>
      <c r="HF143" s="4">
        <f t="shared" ca="1" si="170"/>
        <v>0</v>
      </c>
      <c r="HG143" s="4">
        <f t="shared" ca="1" si="171"/>
        <v>1</v>
      </c>
      <c r="HH143" s="4">
        <f t="shared" ca="1" si="172"/>
        <v>1</v>
      </c>
      <c r="HI143" s="4">
        <f t="shared" ca="1" si="173"/>
        <v>0.15129999999999999</v>
      </c>
      <c r="HJ143" s="4">
        <f t="shared" ca="1" si="174"/>
        <v>0.68289999999999995</v>
      </c>
      <c r="HK143" s="4">
        <f t="shared" ca="1" si="175"/>
        <v>0.1169</v>
      </c>
      <c r="HL143" s="4">
        <f t="shared" ca="1" si="176"/>
        <v>0</v>
      </c>
      <c r="HM143" s="4">
        <f t="shared" ca="1" si="177"/>
        <v>0</v>
      </c>
      <c r="HN143" s="4">
        <f t="shared" ca="1" si="178"/>
        <v>0</v>
      </c>
    </row>
    <row r="144" spans="1:222" x14ac:dyDescent="0.2">
      <c r="A144" t="str" cm="1">
        <f t="array" aca="1" ref="A144" ca="1">INDIRECT($A$67&amp;"!A"&amp;ROW(C77)+$B$64)</f>
        <v>[[84,42,15]]</v>
      </c>
      <c r="B144" cm="1">
        <f t="array" aca="1" ref="B144" ca="1">INDIRECT($A$67&amp;"!b"&amp;ROW(D77)+$B$64)</f>
        <v>84</v>
      </c>
      <c r="C144">
        <f t="shared" ca="1" si="78"/>
        <v>15</v>
      </c>
      <c r="E144">
        <f t="shared" ca="1" si="182"/>
        <v>101</v>
      </c>
      <c r="F144">
        <f t="shared" ca="1" si="182"/>
        <v>102</v>
      </c>
      <c r="G144">
        <f t="shared" ca="1" si="182"/>
        <v>101</v>
      </c>
      <c r="H144">
        <f t="shared" ca="1" si="182"/>
        <v>105</v>
      </c>
      <c r="I144">
        <f t="shared" ca="1" si="182"/>
        <v>104</v>
      </c>
      <c r="J144">
        <f t="shared" ca="1" si="182"/>
        <v>101</v>
      </c>
      <c r="K144">
        <f t="shared" ca="1" si="182"/>
        <v>108</v>
      </c>
      <c r="L144">
        <f t="shared" ca="1" si="182"/>
        <v>110</v>
      </c>
      <c r="M144">
        <f t="shared" ca="1" si="182"/>
        <v>107</v>
      </c>
      <c r="N144">
        <f t="shared" ca="1" si="182"/>
        <v>105</v>
      </c>
      <c r="O144">
        <f t="shared" ca="1" si="182"/>
        <v>105</v>
      </c>
      <c r="P144">
        <f t="shared" ca="1" si="182"/>
        <v>105</v>
      </c>
      <c r="V144" cm="1">
        <f t="array" aca="1" ref="V144" ca="1">IF(ISNA(E144),,OFFSET(INDIRECT("'"&amp;V$67&amp;"'!d1"),E144-1,))</f>
        <v>15</v>
      </c>
      <c r="W144" cm="1">
        <f t="array" aca="1" ref="W144" ca="1">IF(ISNA(F144),,OFFSET(INDIRECT("'"&amp;W$67&amp;"'!d1"),F144-1,))</f>
        <v>15</v>
      </c>
      <c r="X144" cm="1">
        <f t="array" aca="1" ref="X144" ca="1">IF(ISNA(G144),,OFFSET(INDIRECT("'"&amp;X$67&amp;"'!d1"),G144-1,))</f>
        <v>19</v>
      </c>
      <c r="Y144" cm="1">
        <f t="array" aca="1" ref="Y144" ca="1">IF(ISNA(H144),,OFFSET(INDIRECT("'"&amp;Y$67&amp;"'!d1"),H144-1,))</f>
        <v>0</v>
      </c>
      <c r="Z144" cm="1">
        <f t="array" aca="1" ref="Z144" ca="1">IF(ISNA(I144),,OFFSET(INDIRECT("'"&amp;Z$67&amp;"'!d1"),I144-1,))</f>
        <v>15</v>
      </c>
      <c r="AA144" cm="1">
        <f t="array" aca="1" ref="AA144" ca="1">IF(ISNA(J144),,OFFSET(INDIRECT("'"&amp;AA$67&amp;"'!d1"),J144-1,))</f>
        <v>15</v>
      </c>
      <c r="AB144" cm="1">
        <f t="array" aca="1" ref="AB144" ca="1">IF(ISNA(K144),,OFFSET(INDIRECT("'"&amp;AB$67&amp;"'!d1"),K144-1,))</f>
        <v>15</v>
      </c>
      <c r="AC144" cm="1">
        <f t="array" aca="1" ref="AC144" ca="1">IF(ISNA(L144),,OFFSET(INDIRECT("'"&amp;AC$67&amp;"'!d1"),L144-1,))</f>
        <v>15</v>
      </c>
      <c r="AD144" cm="1">
        <f t="array" aca="1" ref="AD144" ca="1">IF(ISNA(M144),,OFFSET(INDIRECT("'"&amp;AD$67&amp;"'!d1"),M144-1,))</f>
        <v>15</v>
      </c>
      <c r="AE144" cm="1">
        <f t="array" aca="1" ref="AE144" ca="1">IF(ISNA(N144),,OFFSET(INDIRECT("'"&amp;AE$67&amp;"'!d1"),N144-1,))</f>
        <v>0</v>
      </c>
      <c r="AF144" cm="1">
        <f t="array" aca="1" ref="AF144" ca="1">IF(ISNA(O144),,OFFSET(INDIRECT("'"&amp;AF$67&amp;"'!d1"),O144-1,))</f>
        <v>0</v>
      </c>
      <c r="AG144" cm="1">
        <f t="array" aca="1" ref="AG144" ca="1">IF(ISNA(P144),,OFFSET(INDIRECT("'"&amp;AG$67&amp;"'!d1"),P144-1,))</f>
        <v>0</v>
      </c>
      <c r="AM144">
        <f t="shared" ca="1" si="79"/>
        <v>0</v>
      </c>
      <c r="AN144">
        <f t="shared" ca="1" si="80"/>
        <v>0</v>
      </c>
      <c r="AO144">
        <f t="shared" ca="1" si="81"/>
        <v>0</v>
      </c>
      <c r="AP144">
        <f t="shared" ca="1" si="82"/>
        <v>0</v>
      </c>
      <c r="AQ144">
        <f t="shared" ca="1" si="83"/>
        <v>1</v>
      </c>
      <c r="AV144" t="str">
        <f t="shared" ca="1" si="84"/>
        <v/>
      </c>
      <c r="AW144" t="str">
        <f t="shared" ca="1" si="85"/>
        <v/>
      </c>
      <c r="AX144" t="str">
        <f t="shared" ca="1" si="86"/>
        <v/>
      </c>
      <c r="AY144" t="str">
        <f t="shared" ca="1" si="87"/>
        <v/>
      </c>
      <c r="AZ144" t="b">
        <f t="shared" ca="1" si="88"/>
        <v>1</v>
      </c>
      <c r="BD144">
        <f t="shared" ca="1" si="89"/>
        <v>1</v>
      </c>
      <c r="BE144">
        <f t="shared" ca="1" si="90"/>
        <v>1</v>
      </c>
      <c r="BF144">
        <f t="shared" ca="1" si="91"/>
        <v>1</v>
      </c>
      <c r="BG144">
        <f t="shared" ca="1" si="92"/>
        <v>0</v>
      </c>
      <c r="BH144">
        <f t="shared" ca="1" si="93"/>
        <v>1</v>
      </c>
      <c r="BI144">
        <f t="shared" ca="1" si="94"/>
        <v>1</v>
      </c>
      <c r="BJ144">
        <f t="shared" ca="1" si="95"/>
        <v>1</v>
      </c>
      <c r="BK144">
        <f t="shared" ca="1" si="96"/>
        <v>1</v>
      </c>
      <c r="BL144">
        <f t="shared" ca="1" si="97"/>
        <v>1</v>
      </c>
      <c r="BM144">
        <f t="shared" ca="1" si="98"/>
        <v>0</v>
      </c>
      <c r="BN144">
        <f t="shared" ca="1" si="99"/>
        <v>0</v>
      </c>
      <c r="BO144">
        <f t="shared" ca="1" si="100"/>
        <v>0</v>
      </c>
      <c r="BU144">
        <f t="shared" ca="1" si="101"/>
        <v>15</v>
      </c>
      <c r="BV144">
        <f t="shared" ca="1" si="102"/>
        <v>15</v>
      </c>
      <c r="BW144">
        <f t="shared" ca="1" si="103"/>
        <v>19</v>
      </c>
      <c r="BX144">
        <f t="shared" ca="1" si="104"/>
        <v>84</v>
      </c>
      <c r="BY144">
        <f t="shared" ca="1" si="105"/>
        <v>15</v>
      </c>
      <c r="BZ144">
        <f t="shared" ca="1" si="106"/>
        <v>15</v>
      </c>
      <c r="CA144">
        <f t="shared" ca="1" si="107"/>
        <v>15</v>
      </c>
      <c r="CB144">
        <f t="shared" ca="1" si="108"/>
        <v>15</v>
      </c>
      <c r="CC144">
        <f t="shared" ca="1" si="109"/>
        <v>15</v>
      </c>
      <c r="CD144">
        <f t="shared" ca="1" si="110"/>
        <v>84</v>
      </c>
      <c r="CE144">
        <f t="shared" ca="1" si="111"/>
        <v>84</v>
      </c>
      <c r="CF144">
        <f t="shared" ca="1" si="112"/>
        <v>84</v>
      </c>
      <c r="CL144">
        <f t="shared" ca="1" si="113"/>
        <v>1</v>
      </c>
      <c r="CM144">
        <f t="shared" ca="1" si="114"/>
        <v>1</v>
      </c>
      <c r="CN144">
        <f t="shared" ca="1" si="115"/>
        <v>0</v>
      </c>
      <c r="CO144">
        <f t="shared" ca="1" si="116"/>
        <v>0</v>
      </c>
      <c r="CP144">
        <f t="shared" ca="1" si="117"/>
        <v>1</v>
      </c>
      <c r="CQ144">
        <f t="shared" ca="1" si="118"/>
        <v>1</v>
      </c>
      <c r="CR144">
        <f t="shared" ca="1" si="119"/>
        <v>1</v>
      </c>
      <c r="CS144">
        <f t="shared" ca="1" si="120"/>
        <v>1</v>
      </c>
      <c r="CT144">
        <f t="shared" ca="1" si="121"/>
        <v>1</v>
      </c>
      <c r="CU144">
        <f t="shared" ca="1" si="122"/>
        <v>0</v>
      </c>
      <c r="CV144">
        <f t="shared" ca="1" si="123"/>
        <v>0</v>
      </c>
      <c r="CW144">
        <f t="shared" ca="1" si="124"/>
        <v>0</v>
      </c>
      <c r="DC144" cm="1">
        <f t="array" aca="1" ref="DC144" ca="1">IF(ISNA(E144),,OFFSET(INDIRECT("'"&amp;DT$67&amp;"'!f1"),E144-1,))*1</f>
        <v>28883.922912824899</v>
      </c>
      <c r="DD144" cm="1">
        <f t="array" aca="1" ref="DD144" ca="1">IF(ISNA(F144),,OFFSET(INDIRECT("'"&amp;DU$67&amp;"'!f1"),F144-1,))*1</f>
        <v>28817.5965781062</v>
      </c>
      <c r="DE144" cm="1">
        <f t="array" aca="1" ref="DE144" ca="1">IF(ISNA(G144),,OFFSET(INDIRECT("'"&amp;DV$67&amp;"'!f1"),G144-1,))*1</f>
        <v>28800.3051474243</v>
      </c>
      <c r="DF144" cm="1">
        <f t="array" aca="1" ref="DF144" ca="1">IF(ISNA(H144),,OFFSET(INDIRECT("'"&amp;DW$67&amp;"'!f1"),H144-1,))*1</f>
        <v>28800.114238314301</v>
      </c>
      <c r="DG144" cm="1">
        <f t="array" aca="1" ref="DG144" ca="1">IF(ISNA(I144),,OFFSET(INDIRECT("'"&amp;DX$67&amp;"'!f1"),I144-1,))*1</f>
        <v>0.145614540997485</v>
      </c>
      <c r="DH144" cm="1">
        <f t="array" aca="1" ref="DH144" ca="1">IF(ISNA(J144),,OFFSET(INDIRECT("'"&amp;DY$67&amp;"'!f1"),J144-1,))*1</f>
        <v>0.19453261420130699</v>
      </c>
      <c r="DI144" cm="1">
        <f t="array" aca="1" ref="DI144" ca="1">IF(ISNA(K144),,OFFSET(INDIRECT("'"&amp;DZ$67&amp;"'!f1"),K144-1,))*1</f>
        <v>2.5431750649586302</v>
      </c>
      <c r="DJ144" cm="1">
        <f t="array" aca="1" ref="DJ144" ca="1">IF(ISNA(L144),,OFFSET(INDIRECT("'"&amp;EA$67&amp;"'!f1"),L144-1,))*1</f>
        <v>3.1798346228897501</v>
      </c>
      <c r="DK144" cm="1">
        <f t="array" aca="1" ref="DK144" ca="1">IF(ISNA(M144),,OFFSET(INDIRECT("'"&amp;EB$67&amp;"'!f1"),M144-1,))*1</f>
        <v>52.782015797682099</v>
      </c>
      <c r="DL144" cm="1">
        <f t="array" aca="1" ref="DL144" ca="1">IF(ISNA(N144),,OFFSET(INDIRECT("'"&amp;EC$67&amp;"'!f1"),N144-1,))*1</f>
        <v>1.38922333717346E-2</v>
      </c>
      <c r="DM144" cm="1">
        <f t="array" aca="1" ref="DM144" ca="1">IF(ISNA(O144),,OFFSET(INDIRECT("'"&amp;ED$67&amp;"'!f1"),O144-1,))*1</f>
        <v>1.39266084879636E-2</v>
      </c>
      <c r="DN144" cm="1">
        <f t="array" aca="1" ref="DN144" ca="1">IF(ISNA(P144),,OFFSET(INDIRECT("'"&amp;EE$67&amp;"'!f1"),P144-1,))*1</f>
        <v>2.3414174094796101E-2</v>
      </c>
      <c r="DT144">
        <f t="shared" ca="1" si="125"/>
        <v>1</v>
      </c>
      <c r="DU144">
        <f t="shared" ca="1" si="126"/>
        <v>1</v>
      </c>
      <c r="DV144">
        <f t="shared" ca="1" si="127"/>
        <v>0</v>
      </c>
      <c r="DW144">
        <f t="shared" ca="1" si="128"/>
        <v>0</v>
      </c>
      <c r="DX144">
        <f t="shared" ca="1" si="129"/>
        <v>1</v>
      </c>
      <c r="DY144">
        <f t="shared" ca="1" si="130"/>
        <v>1</v>
      </c>
      <c r="DZ144">
        <f t="shared" ca="1" si="131"/>
        <v>1553</v>
      </c>
      <c r="EA144">
        <f t="shared" ca="1" si="132"/>
        <v>6465</v>
      </c>
      <c r="EB144">
        <f t="shared" ca="1" si="133"/>
        <v>1100</v>
      </c>
      <c r="EC144">
        <f t="shared" ca="1" si="134"/>
        <v>0</v>
      </c>
      <c r="ED144">
        <f t="shared" ca="1" si="135"/>
        <v>0</v>
      </c>
      <c r="EE144">
        <f t="shared" ca="1" si="136"/>
        <v>0</v>
      </c>
      <c r="EK144" cm="1">
        <f t="array" aca="1" ref="EK144" ca="1">IF(ISNA(E144),0,OFFSET(INDIRECT("'"&amp;EK$67&amp;"'!g1"),E144-1,)*CL144)</f>
        <v>1</v>
      </c>
      <c r="EL144" cm="1">
        <f t="array" aca="1" ref="EL144" ca="1">IF(ISNA(F144),0,OFFSET(INDIRECT("'"&amp;EL$67&amp;"'!g1"),F144-1,)*CM144)</f>
        <v>1</v>
      </c>
      <c r="EM144" cm="1">
        <f t="array" aca="1" ref="EM144" ca="1">IF(ISNA(G144),0,OFFSET(INDIRECT("'"&amp;EM$67&amp;"'!g1"),G144-1,)*CN144)</f>
        <v>0</v>
      </c>
      <c r="EN144" cm="1">
        <f t="array" aca="1" ref="EN144" ca="1">IF(ISNA(H144),0,OFFSET(INDIRECT("'"&amp;EN$67&amp;"'!g1"),H144-1,)*CO144)</f>
        <v>0</v>
      </c>
      <c r="EO144" cm="1">
        <f t="array" aca="1" ref="EO144" ca="1">IF(ISNA(I144),0,OFFSET(INDIRECT("'"&amp;EO$67&amp;"'!g1"),I144-1,)*CP144)</f>
        <v>1</v>
      </c>
      <c r="EP144" cm="1">
        <f t="array" aca="1" ref="EP144" ca="1">IF(ISNA(J144),0,OFFSET(INDIRECT("'"&amp;EP$67&amp;"'!g1"),J144-1,)*CQ144)</f>
        <v>1</v>
      </c>
      <c r="EQ144" cm="1">
        <f t="array" aca="1" ref="EQ144" ca="1">IF(ISNA(K144),0,OFFSET(INDIRECT("'"&amp;EQ$67&amp;"'!g1"),K144-1,)*CR144)</f>
        <v>1553</v>
      </c>
      <c r="ER144" cm="1">
        <f t="array" aca="1" ref="ER144" ca="1">IF(ISNA(L144),0,OFFSET(INDIRECT("'"&amp;ER$67&amp;"'!g1"),L144-1,)*CS144)</f>
        <v>6465</v>
      </c>
      <c r="ES144" cm="1">
        <f t="array" aca="1" ref="ES144" ca="1">IF(ISNA(M144),0,OFFSET(INDIRECT("'"&amp;ES$67&amp;"'!g1"),M144-1,)*CT144)</f>
        <v>1100</v>
      </c>
      <c r="ET144" cm="1">
        <f t="array" aca="1" ref="ET144" ca="1">IF(ISNA(N144),0,OFFSET(INDIRECT("'"&amp;ET$67&amp;"'!g1"),N144-1,)*CU144)</f>
        <v>0</v>
      </c>
      <c r="EU144" cm="1">
        <f t="array" aca="1" ref="EU144" ca="1">IF(ISNA(O144),0,OFFSET(INDIRECT("'"&amp;EU$67&amp;"'!g1"),O144-1,)*CV144)</f>
        <v>0</v>
      </c>
      <c r="EV144" cm="1">
        <f t="array" aca="1" ref="EV144" ca="1">IF(ISNA(P144),0,OFFSET(INDIRECT("'"&amp;EV$67&amp;"'!g1"),P144-1,)*CW144)</f>
        <v>0</v>
      </c>
      <c r="FB144" s="10" cm="1">
        <f t="array" aca="1" ref="FB144" ca="1">IF(ISNA(E144),0,OFFSET(INDIRECT("'"&amp;EK$67&amp;"'!h1"),E144-1,))</f>
        <v>1</v>
      </c>
      <c r="FC144" s="10" cm="1">
        <f t="array" aca="1" ref="FC144" ca="1">IF(ISNA(F144),0,OFFSET(INDIRECT("'"&amp;EL$67&amp;"'!h1"),F144-1,))</f>
        <v>1</v>
      </c>
      <c r="FD144" s="10" cm="1">
        <f t="array" aca="1" ref="FD144" ca="1">IF(ISNA(G144),0,OFFSET(INDIRECT("'"&amp;EM$67&amp;"'!h1"),G144-1,))</f>
        <v>1</v>
      </c>
      <c r="FE144" s="10" cm="1">
        <f t="array" aca="1" ref="FE144" ca="1">IF(ISNA(H144),0,OFFSET(INDIRECT("'"&amp;EN$67&amp;"'!h1"),H144-1,))</f>
        <v>1</v>
      </c>
      <c r="FF144" s="10" cm="1">
        <f t="array" aca="1" ref="FF144" ca="1">IF(ISNA(I144),0,OFFSET(INDIRECT("'"&amp;EO$67&amp;"'!h1"),I144-1,))</f>
        <v>1</v>
      </c>
      <c r="FG144" s="10" cm="1">
        <f t="array" aca="1" ref="FG144" ca="1">IF(ISNA(J144),0,OFFSET(INDIRECT("'"&amp;EP$67&amp;"'!h1"),J144-1,))</f>
        <v>1</v>
      </c>
      <c r="FH144" s="10" cm="1">
        <f t="array" aca="1" ref="FH144" ca="1">IF(ISNA(K144),0,OFFSET(INDIRECT("'"&amp;EQ$67&amp;"'!h1"),K144-1,))</f>
        <v>10000</v>
      </c>
      <c r="FI144" s="10" cm="1">
        <f t="array" aca="1" ref="FI144" ca="1">IF(ISNA(L144),0,OFFSET(INDIRECT("'"&amp;ER$67&amp;"'!h1"),L144-1,))</f>
        <v>10000</v>
      </c>
      <c r="FJ144" s="10" cm="1">
        <f t="array" aca="1" ref="FJ144" ca="1">IF(ISNA(M144),0,OFFSET(INDIRECT("'"&amp;ES$67&amp;"'!h1"),M144-1,))</f>
        <v>10000</v>
      </c>
      <c r="FK144" s="10" cm="1">
        <f t="array" aca="1" ref="FK144" ca="1">IF(ISNA(N144),0,OFFSET(INDIRECT("'"&amp;ET$67&amp;"'!h1"),N144-1,))</f>
        <v>1</v>
      </c>
      <c r="FL144" s="10" cm="1">
        <f t="array" aca="1" ref="FL144" ca="1">IF(ISNA(O144),0,OFFSET(INDIRECT("'"&amp;EU$67&amp;"'!h1"),O144-1,))</f>
        <v>1</v>
      </c>
      <c r="FM144" s="10" cm="1">
        <f t="array" aca="1" ref="FM144" ca="1">IF(ISNA(P144),0,OFFSET(INDIRECT("'"&amp;EV$67&amp;"'!h1"),P144-1,))</f>
        <v>9</v>
      </c>
      <c r="FN144" s="10"/>
      <c r="FO144" s="10"/>
      <c r="FP144" s="10"/>
      <c r="FQ144" s="10"/>
      <c r="FS144">
        <f t="shared" ca="1" si="137"/>
        <v>84</v>
      </c>
      <c r="FT144">
        <f t="shared" ca="1" si="62"/>
        <v>2.5431750649586302</v>
      </c>
      <c r="FU144">
        <f t="shared" ca="1" si="63"/>
        <v>1553</v>
      </c>
      <c r="FV144">
        <f t="shared" ca="1" si="64"/>
        <v>10000</v>
      </c>
      <c r="FW144" s="4">
        <f t="shared" ca="1" si="138"/>
        <v>0.15529999999999999</v>
      </c>
      <c r="FX144" s="5">
        <f t="shared" ca="1" si="139"/>
        <v>1.6375885801407793E-3</v>
      </c>
      <c r="FZ144" s="13">
        <f t="shared" ca="1" si="140"/>
        <v>84</v>
      </c>
      <c r="GA144" s="23">
        <f t="shared" ca="1" si="141"/>
        <v>0</v>
      </c>
      <c r="GB144" s="23">
        <f t="shared" ca="1" si="142"/>
        <v>0</v>
      </c>
      <c r="GC144" s="23">
        <f t="shared" ca="1" si="143"/>
        <v>0.26666666666666666</v>
      </c>
      <c r="GD144" s="23" t="e">
        <f t="shared" ca="1" si="144"/>
        <v>#N/A</v>
      </c>
      <c r="GE144" s="23">
        <f t="shared" ca="1" si="145"/>
        <v>0</v>
      </c>
      <c r="GF144" s="23">
        <f t="shared" ca="1" si="146"/>
        <v>0</v>
      </c>
      <c r="GG144" s="23">
        <f t="shared" ca="1" si="147"/>
        <v>0</v>
      </c>
      <c r="GH144" s="23">
        <f t="shared" ca="1" si="148"/>
        <v>0</v>
      </c>
      <c r="GI144" s="23">
        <f t="shared" ca="1" si="149"/>
        <v>0</v>
      </c>
      <c r="GJ144" s="23" t="e">
        <f t="shared" ca="1" si="150"/>
        <v>#N/A</v>
      </c>
      <c r="GK144" s="23" t="e">
        <f t="shared" ca="1" si="151"/>
        <v>#N/A</v>
      </c>
      <c r="GL144" s="23" t="e">
        <f t="shared" ca="1" si="152"/>
        <v>#N/A</v>
      </c>
      <c r="GM144" s="23"/>
      <c r="GN144">
        <f t="shared" ca="1" si="153"/>
        <v>84</v>
      </c>
      <c r="GO144" s="5" t="e">
        <f t="shared" ca="1" si="154"/>
        <v>#N/A</v>
      </c>
      <c r="GP144" s="5" t="e">
        <f t="shared" ca="1" si="155"/>
        <v>#N/A</v>
      </c>
      <c r="GQ144" s="5" t="e">
        <f t="shared" ca="1" si="156"/>
        <v>#N/A</v>
      </c>
      <c r="GR144" s="5" t="e">
        <f t="shared" ca="1" si="157"/>
        <v>#N/A</v>
      </c>
      <c r="GS144" s="5">
        <f t="shared" ca="1" si="158"/>
        <v>0.145614540997485</v>
      </c>
      <c r="GT144" s="5">
        <f t="shared" ca="1" si="159"/>
        <v>0.19453261420130699</v>
      </c>
      <c r="GU144" s="5">
        <f t="shared" ca="1" si="160"/>
        <v>1.6375885801407793E-3</v>
      </c>
      <c r="GV144" s="5">
        <f t="shared" ca="1" si="161"/>
        <v>4.9185376997521271E-4</v>
      </c>
      <c r="GW144" s="5">
        <f t="shared" ca="1" si="162"/>
        <v>4.7983650725165548E-2</v>
      </c>
      <c r="GX144" s="5" t="e">
        <f t="shared" ca="1" si="163"/>
        <v>#N/A</v>
      </c>
      <c r="GY144" s="5" t="e">
        <f t="shared" ca="1" si="164"/>
        <v>#N/A</v>
      </c>
      <c r="GZ144" s="5" t="e">
        <f t="shared" ca="1" si="165"/>
        <v>#N/A</v>
      </c>
      <c r="HB144" s="13">
        <f t="shared" ca="1" si="166"/>
        <v>84</v>
      </c>
      <c r="HC144" s="4">
        <f t="shared" ca="1" si="167"/>
        <v>1</v>
      </c>
      <c r="HD144" s="4">
        <f t="shared" ca="1" si="168"/>
        <v>1</v>
      </c>
      <c r="HE144" s="4">
        <f t="shared" ca="1" si="169"/>
        <v>0</v>
      </c>
      <c r="HF144" s="4">
        <f t="shared" ca="1" si="170"/>
        <v>0</v>
      </c>
      <c r="HG144" s="4">
        <f t="shared" ca="1" si="171"/>
        <v>1</v>
      </c>
      <c r="HH144" s="4">
        <f t="shared" ca="1" si="172"/>
        <v>1</v>
      </c>
      <c r="HI144" s="4">
        <f t="shared" ca="1" si="173"/>
        <v>0.15529999999999999</v>
      </c>
      <c r="HJ144" s="4">
        <f t="shared" ca="1" si="174"/>
        <v>0.64649999999999996</v>
      </c>
      <c r="HK144" s="4">
        <f t="shared" ca="1" si="175"/>
        <v>0.11</v>
      </c>
      <c r="HL144" s="4">
        <f t="shared" ca="1" si="176"/>
        <v>0</v>
      </c>
      <c r="HM144" s="4">
        <f t="shared" ca="1" si="177"/>
        <v>0</v>
      </c>
      <c r="HN144" s="4">
        <f t="shared" ca="1" si="178"/>
        <v>0</v>
      </c>
    </row>
    <row r="145" spans="1:222" x14ac:dyDescent="0.2">
      <c r="A145" t="str" cm="1">
        <f t="array" aca="1" ref="A145" ca="1">INDIRECT($A$67&amp;"!A"&amp;ROW(C78)+$B$64)</f>
        <v>[[85,23,24]]</v>
      </c>
      <c r="B145" cm="1">
        <f t="array" aca="1" ref="B145" ca="1">INDIRECT($A$67&amp;"!b"&amp;ROW(D78)+$B$64)</f>
        <v>85</v>
      </c>
      <c r="C145">
        <f t="shared" ca="1" si="78"/>
        <v>24</v>
      </c>
      <c r="E145">
        <f t="shared" ca="1" si="182"/>
        <v>102</v>
      </c>
      <c r="F145">
        <f t="shared" ca="1" si="182"/>
        <v>103</v>
      </c>
      <c r="G145">
        <f t="shared" ca="1" si="182"/>
        <v>102</v>
      </c>
      <c r="H145">
        <f t="shared" ca="1" si="182"/>
        <v>111</v>
      </c>
      <c r="I145">
        <f t="shared" ca="1" si="182"/>
        <v>105</v>
      </c>
      <c r="J145">
        <f t="shared" ca="1" si="182"/>
        <v>102</v>
      </c>
      <c r="K145">
        <f t="shared" ca="1" si="182"/>
        <v>109</v>
      </c>
      <c r="L145">
        <f t="shared" ca="1" si="182"/>
        <v>111</v>
      </c>
      <c r="M145">
        <f t="shared" ca="1" si="182"/>
        <v>108</v>
      </c>
      <c r="N145">
        <f t="shared" ca="1" si="182"/>
        <v>106</v>
      </c>
      <c r="O145">
        <f t="shared" ca="1" si="182"/>
        <v>106</v>
      </c>
      <c r="P145">
        <f t="shared" ca="1" si="182"/>
        <v>106</v>
      </c>
      <c r="V145" cm="1">
        <f t="array" aca="1" ref="V145" ca="1">IF(ISNA(E145),,OFFSET(INDIRECT("'"&amp;V$67&amp;"'!d1"),E145-1,))</f>
        <v>24</v>
      </c>
      <c r="W145" cm="1">
        <f t="array" aca="1" ref="W145" ca="1">IF(ISNA(F145),,OFFSET(INDIRECT("'"&amp;W$67&amp;"'!d1"),F145-1,))</f>
        <v>24</v>
      </c>
      <c r="X145" cm="1">
        <f t="array" aca="1" ref="X145" ca="1">IF(ISNA(G145),,OFFSET(INDIRECT("'"&amp;X$67&amp;"'!d1"),G145-1,))</f>
        <v>24</v>
      </c>
      <c r="Y145" cm="1">
        <f t="array" aca="1" ref="Y145" ca="1">IF(ISNA(H145),,OFFSET(INDIRECT("'"&amp;Y$67&amp;"'!d1"),H145-1,))</f>
        <v>0</v>
      </c>
      <c r="Z145" cm="1">
        <f t="array" aca="1" ref="Z145" ca="1">IF(ISNA(I145),,OFFSET(INDIRECT("'"&amp;Z$67&amp;"'!d1"),I145-1,))</f>
        <v>24</v>
      </c>
      <c r="AA145" cm="1">
        <f t="array" aca="1" ref="AA145" ca="1">IF(ISNA(J145),,OFFSET(INDIRECT("'"&amp;AA$67&amp;"'!d1"),J145-1,))</f>
        <v>24</v>
      </c>
      <c r="AB145" cm="1">
        <f t="array" aca="1" ref="AB145" ca="1">IF(ISNA(K145),,OFFSET(INDIRECT("'"&amp;AB$67&amp;"'!d1"),K145-1,))</f>
        <v>24</v>
      </c>
      <c r="AC145" cm="1">
        <f t="array" aca="1" ref="AC145" ca="1">IF(ISNA(L145),,OFFSET(INDIRECT("'"&amp;AC$67&amp;"'!d1"),L145-1,))</f>
        <v>24</v>
      </c>
      <c r="AD145" cm="1">
        <f t="array" aca="1" ref="AD145" ca="1">IF(ISNA(M145),,OFFSET(INDIRECT("'"&amp;AD$67&amp;"'!d1"),M145-1,))</f>
        <v>24</v>
      </c>
      <c r="AE145" cm="1">
        <f t="array" aca="1" ref="AE145" ca="1">IF(ISNA(N145),,OFFSET(INDIRECT("'"&amp;AE$67&amp;"'!d1"),N145-1,))</f>
        <v>0</v>
      </c>
      <c r="AF145" cm="1">
        <f t="array" aca="1" ref="AF145" ca="1">IF(ISNA(O145),,OFFSET(INDIRECT("'"&amp;AF$67&amp;"'!d1"),O145-1,))</f>
        <v>0</v>
      </c>
      <c r="AG145" cm="1">
        <f t="array" aca="1" ref="AG145" ca="1">IF(ISNA(P145),,OFFSET(INDIRECT("'"&amp;AG$67&amp;"'!d1"),P145-1,))</f>
        <v>0</v>
      </c>
      <c r="AM145">
        <f t="shared" ca="1" si="79"/>
        <v>1</v>
      </c>
      <c r="AN145">
        <f t="shared" ca="1" si="80"/>
        <v>0</v>
      </c>
      <c r="AO145">
        <f t="shared" ca="1" si="81"/>
        <v>1</v>
      </c>
      <c r="AP145">
        <f t="shared" ca="1" si="82"/>
        <v>0</v>
      </c>
      <c r="AQ145">
        <f t="shared" ca="1" si="83"/>
        <v>1</v>
      </c>
      <c r="AV145" t="b">
        <f t="shared" ca="1" si="84"/>
        <v>1</v>
      </c>
      <c r="AW145" t="str">
        <f t="shared" ca="1" si="85"/>
        <v/>
      </c>
      <c r="AX145" t="b">
        <f t="shared" ca="1" si="86"/>
        <v>1</v>
      </c>
      <c r="AY145" t="str">
        <f t="shared" ca="1" si="87"/>
        <v/>
      </c>
      <c r="AZ145" t="b">
        <f t="shared" ca="1" si="88"/>
        <v>1</v>
      </c>
      <c r="BD145">
        <f t="shared" ca="1" si="89"/>
        <v>1</v>
      </c>
      <c r="BE145">
        <f t="shared" ca="1" si="90"/>
        <v>1</v>
      </c>
      <c r="BF145">
        <f t="shared" ca="1" si="91"/>
        <v>1</v>
      </c>
      <c r="BG145">
        <f t="shared" ca="1" si="92"/>
        <v>0</v>
      </c>
      <c r="BH145">
        <f t="shared" ca="1" si="93"/>
        <v>1</v>
      </c>
      <c r="BI145">
        <f t="shared" ca="1" si="94"/>
        <v>1</v>
      </c>
      <c r="BJ145">
        <f t="shared" ca="1" si="95"/>
        <v>1</v>
      </c>
      <c r="BK145">
        <f t="shared" ca="1" si="96"/>
        <v>1</v>
      </c>
      <c r="BL145">
        <f t="shared" ca="1" si="97"/>
        <v>1</v>
      </c>
      <c r="BM145">
        <f t="shared" ca="1" si="98"/>
        <v>0</v>
      </c>
      <c r="BN145">
        <f t="shared" ca="1" si="99"/>
        <v>0</v>
      </c>
      <c r="BO145">
        <f t="shared" ca="1" si="100"/>
        <v>0</v>
      </c>
      <c r="BU145">
        <f t="shared" ca="1" si="101"/>
        <v>24</v>
      </c>
      <c r="BV145">
        <f t="shared" ca="1" si="102"/>
        <v>24</v>
      </c>
      <c r="BW145">
        <f t="shared" ca="1" si="103"/>
        <v>24</v>
      </c>
      <c r="BX145">
        <f t="shared" ca="1" si="104"/>
        <v>85</v>
      </c>
      <c r="BY145">
        <f t="shared" ca="1" si="105"/>
        <v>24</v>
      </c>
      <c r="BZ145">
        <f t="shared" ca="1" si="106"/>
        <v>24</v>
      </c>
      <c r="CA145">
        <f t="shared" ca="1" si="107"/>
        <v>24</v>
      </c>
      <c r="CB145">
        <f t="shared" ca="1" si="108"/>
        <v>24</v>
      </c>
      <c r="CC145">
        <f t="shared" ca="1" si="109"/>
        <v>24</v>
      </c>
      <c r="CD145">
        <f t="shared" ca="1" si="110"/>
        <v>85</v>
      </c>
      <c r="CE145">
        <f t="shared" ca="1" si="111"/>
        <v>85</v>
      </c>
      <c r="CF145">
        <f t="shared" ca="1" si="112"/>
        <v>85</v>
      </c>
      <c r="CL145">
        <f t="shared" ca="1" si="113"/>
        <v>1</v>
      </c>
      <c r="CM145">
        <f t="shared" ca="1" si="114"/>
        <v>1</v>
      </c>
      <c r="CN145">
        <f t="shared" ca="1" si="115"/>
        <v>1</v>
      </c>
      <c r="CO145">
        <f t="shared" ca="1" si="116"/>
        <v>0</v>
      </c>
      <c r="CP145">
        <f t="shared" ca="1" si="117"/>
        <v>1</v>
      </c>
      <c r="CQ145">
        <f t="shared" ca="1" si="118"/>
        <v>1</v>
      </c>
      <c r="CR145">
        <f t="shared" ca="1" si="119"/>
        <v>1</v>
      </c>
      <c r="CS145">
        <f t="shared" ca="1" si="120"/>
        <v>1</v>
      </c>
      <c r="CT145">
        <f t="shared" ca="1" si="121"/>
        <v>1</v>
      </c>
      <c r="CU145">
        <f t="shared" ca="1" si="122"/>
        <v>0</v>
      </c>
      <c r="CV145">
        <f t="shared" ca="1" si="123"/>
        <v>0</v>
      </c>
      <c r="CW145">
        <f t="shared" ca="1" si="124"/>
        <v>0</v>
      </c>
      <c r="DC145" cm="1">
        <f t="array" aca="1" ref="DC145" ca="1">IF(ISNA(E145),,OFFSET(INDIRECT("'"&amp;DT$67&amp;"'!f1"),E145-1,))*1</f>
        <v>3050.9262208719701</v>
      </c>
      <c r="DD145" cm="1">
        <f t="array" aca="1" ref="DD145" ca="1">IF(ISNA(F145),,OFFSET(INDIRECT("'"&amp;DU$67&amp;"'!f1"),F145-1,))*1</f>
        <v>28819.8682390004</v>
      </c>
      <c r="DE145" cm="1">
        <f t="array" aca="1" ref="DE145" ca="1">IF(ISNA(G145),,OFFSET(INDIRECT("'"&amp;DV$67&amp;"'!f1"),G145-1,))*1</f>
        <v>3858.0103362724099</v>
      </c>
      <c r="DF145" cm="1">
        <f t="array" aca="1" ref="DF145" ca="1">IF(ISNA(H145),,OFFSET(INDIRECT("'"&amp;DW$67&amp;"'!f1"),H145-1,))*1</f>
        <v>28800.111108034798</v>
      </c>
      <c r="DG145" cm="1">
        <f t="array" aca="1" ref="DG145" ca="1">IF(ISNA(I145),,OFFSET(INDIRECT("'"&amp;DX$67&amp;"'!f1"),I145-1,))*1</f>
        <v>6.4146374999836497E-2</v>
      </c>
      <c r="DH145" cm="1">
        <f t="array" aca="1" ref="DH145" ca="1">IF(ISNA(J145),,OFFSET(INDIRECT("'"&amp;DY$67&amp;"'!f1"),J145-1,))*1</f>
        <v>0.268583929166197</v>
      </c>
      <c r="DI145" cm="1">
        <f t="array" aca="1" ref="DI145" ca="1">IF(ISNA(K145),,OFFSET(INDIRECT("'"&amp;DZ$67&amp;"'!f1"),K145-1,))*1</f>
        <v>3.2598702153190899</v>
      </c>
      <c r="DJ145" cm="1">
        <f t="array" aca="1" ref="DJ145" ca="1">IF(ISNA(L145),,OFFSET(INDIRECT("'"&amp;EA$67&amp;"'!f1"),L145-1,))*1</f>
        <v>3.7064480250701299</v>
      </c>
      <c r="DK145" cm="1">
        <f t="array" aca="1" ref="DK145" ca="1">IF(ISNA(M145),,OFFSET(INDIRECT("'"&amp;EB$67&amp;"'!f1"),M145-1,))*1</f>
        <v>41.776412482373402</v>
      </c>
      <c r="DL145" cm="1">
        <f t="array" aca="1" ref="DL145" ca="1">IF(ISNA(N145),,OFFSET(INDIRECT("'"&amp;EC$67&amp;"'!f1"),N145-1,))*1</f>
        <v>1.19489347562193E-2</v>
      </c>
      <c r="DM145" cm="1">
        <f t="array" aca="1" ref="DM145" ca="1">IF(ISNA(O145),,OFFSET(INDIRECT("'"&amp;ED$67&amp;"'!f1"),O145-1,))*1</f>
        <v>1.2058386579155899E-2</v>
      </c>
      <c r="DN145" cm="1">
        <f t="array" aca="1" ref="DN145" ca="1">IF(ISNA(P145),,OFFSET(INDIRECT("'"&amp;EE$67&amp;"'!f1"),P145-1,))*1</f>
        <v>1.9130593165755199E-2</v>
      </c>
      <c r="DT145">
        <f t="shared" ca="1" si="125"/>
        <v>1</v>
      </c>
      <c r="DU145">
        <f t="shared" ca="1" si="126"/>
        <v>1</v>
      </c>
      <c r="DV145">
        <f t="shared" ca="1" si="127"/>
        <v>1</v>
      </c>
      <c r="DW145">
        <f t="shared" ca="1" si="128"/>
        <v>0</v>
      </c>
      <c r="DX145">
        <f t="shared" ca="1" si="129"/>
        <v>1</v>
      </c>
      <c r="DY145">
        <f t="shared" ca="1" si="130"/>
        <v>1</v>
      </c>
      <c r="DZ145">
        <f t="shared" ca="1" si="131"/>
        <v>382</v>
      </c>
      <c r="EA145">
        <f t="shared" ca="1" si="132"/>
        <v>5372</v>
      </c>
      <c r="EB145">
        <f t="shared" ca="1" si="133"/>
        <v>171</v>
      </c>
      <c r="EC145">
        <f t="shared" ca="1" si="134"/>
        <v>0</v>
      </c>
      <c r="ED145">
        <f t="shared" ca="1" si="135"/>
        <v>0</v>
      </c>
      <c r="EE145">
        <f t="shared" ca="1" si="136"/>
        <v>0</v>
      </c>
      <c r="EK145" cm="1">
        <f t="array" aca="1" ref="EK145" ca="1">IF(ISNA(E145),0,OFFSET(INDIRECT("'"&amp;EK$67&amp;"'!g1"),E145-1,)*CL145)</f>
        <v>1</v>
      </c>
      <c r="EL145" cm="1">
        <f t="array" aca="1" ref="EL145" ca="1">IF(ISNA(F145),0,OFFSET(INDIRECT("'"&amp;EL$67&amp;"'!g1"),F145-1,)*CM145)</f>
        <v>1</v>
      </c>
      <c r="EM145" cm="1">
        <f t="array" aca="1" ref="EM145" ca="1">IF(ISNA(G145),0,OFFSET(INDIRECT("'"&amp;EM$67&amp;"'!g1"),G145-1,)*CN145)</f>
        <v>1</v>
      </c>
      <c r="EN145" cm="1">
        <f t="array" aca="1" ref="EN145" ca="1">IF(ISNA(H145),0,OFFSET(INDIRECT("'"&amp;EN$67&amp;"'!g1"),H145-1,)*CO145)</f>
        <v>0</v>
      </c>
      <c r="EO145" cm="1">
        <f t="array" aca="1" ref="EO145" ca="1">IF(ISNA(I145),0,OFFSET(INDIRECT("'"&amp;EO$67&amp;"'!g1"),I145-1,)*CP145)</f>
        <v>1</v>
      </c>
      <c r="EP145" cm="1">
        <f t="array" aca="1" ref="EP145" ca="1">IF(ISNA(J145),0,OFFSET(INDIRECT("'"&amp;EP$67&amp;"'!g1"),J145-1,)*CQ145)</f>
        <v>1</v>
      </c>
      <c r="EQ145" cm="1">
        <f t="array" aca="1" ref="EQ145" ca="1">IF(ISNA(K145),0,OFFSET(INDIRECT("'"&amp;EQ$67&amp;"'!g1"),K145-1,)*CR145)</f>
        <v>382</v>
      </c>
      <c r="ER145" cm="1">
        <f t="array" aca="1" ref="ER145" ca="1">IF(ISNA(L145),0,OFFSET(INDIRECT("'"&amp;ER$67&amp;"'!g1"),L145-1,)*CS145)</f>
        <v>5372</v>
      </c>
      <c r="ES145" cm="1">
        <f t="array" aca="1" ref="ES145" ca="1">IF(ISNA(M145),0,OFFSET(INDIRECT("'"&amp;ES$67&amp;"'!g1"),M145-1,)*CT145)</f>
        <v>171</v>
      </c>
      <c r="ET145" cm="1">
        <f t="array" aca="1" ref="ET145" ca="1">IF(ISNA(N145),0,OFFSET(INDIRECT("'"&amp;ET$67&amp;"'!g1"),N145-1,)*CU145)</f>
        <v>0</v>
      </c>
      <c r="EU145" cm="1">
        <f t="array" aca="1" ref="EU145" ca="1">IF(ISNA(O145),0,OFFSET(INDIRECT("'"&amp;EU$67&amp;"'!g1"),O145-1,)*CV145)</f>
        <v>0</v>
      </c>
      <c r="EV145" cm="1">
        <f t="array" aca="1" ref="EV145" ca="1">IF(ISNA(P145),0,OFFSET(INDIRECT("'"&amp;EV$67&amp;"'!g1"),P145-1,)*CW145)</f>
        <v>0</v>
      </c>
      <c r="FB145" s="10" cm="1">
        <f t="array" aca="1" ref="FB145" ca="1">IF(ISNA(E145),0,OFFSET(INDIRECT("'"&amp;EK$67&amp;"'!h1"),E145-1,))</f>
        <v>1</v>
      </c>
      <c r="FC145" s="10" cm="1">
        <f t="array" aca="1" ref="FC145" ca="1">IF(ISNA(F145),0,OFFSET(INDIRECT("'"&amp;EL$67&amp;"'!h1"),F145-1,))</f>
        <v>1</v>
      </c>
      <c r="FD145" s="10" cm="1">
        <f t="array" aca="1" ref="FD145" ca="1">IF(ISNA(G145),0,OFFSET(INDIRECT("'"&amp;EM$67&amp;"'!h1"),G145-1,))</f>
        <v>1</v>
      </c>
      <c r="FE145" s="10" cm="1">
        <f t="array" aca="1" ref="FE145" ca="1">IF(ISNA(H145),0,OFFSET(INDIRECT("'"&amp;EN$67&amp;"'!h1"),H145-1,))</f>
        <v>1</v>
      </c>
      <c r="FF145" s="10" cm="1">
        <f t="array" aca="1" ref="FF145" ca="1">IF(ISNA(I145),0,OFFSET(INDIRECT("'"&amp;EO$67&amp;"'!h1"),I145-1,))</f>
        <v>1</v>
      </c>
      <c r="FG145" s="10" cm="1">
        <f t="array" aca="1" ref="FG145" ca="1">IF(ISNA(J145),0,OFFSET(INDIRECT("'"&amp;EP$67&amp;"'!h1"),J145-1,))</f>
        <v>1</v>
      </c>
      <c r="FH145" s="10" cm="1">
        <f t="array" aca="1" ref="FH145" ca="1">IF(ISNA(K145),0,OFFSET(INDIRECT("'"&amp;EQ$67&amp;"'!h1"),K145-1,))</f>
        <v>10000</v>
      </c>
      <c r="FI145" s="10" cm="1">
        <f t="array" aca="1" ref="FI145" ca="1">IF(ISNA(L145),0,OFFSET(INDIRECT("'"&amp;ER$67&amp;"'!h1"),L145-1,))</f>
        <v>10000</v>
      </c>
      <c r="FJ145" s="10" cm="1">
        <f t="array" aca="1" ref="FJ145" ca="1">IF(ISNA(M145),0,OFFSET(INDIRECT("'"&amp;ES$67&amp;"'!h1"),M145-1,))</f>
        <v>10000</v>
      </c>
      <c r="FK145" s="10" cm="1">
        <f t="array" aca="1" ref="FK145" ca="1">IF(ISNA(N145),0,OFFSET(INDIRECT("'"&amp;ET$67&amp;"'!h1"),N145-1,))</f>
        <v>1</v>
      </c>
      <c r="FL145" s="10" cm="1">
        <f t="array" aca="1" ref="FL145" ca="1">IF(ISNA(O145),0,OFFSET(INDIRECT("'"&amp;EU$67&amp;"'!h1"),O145-1,))</f>
        <v>1</v>
      </c>
      <c r="FM145" s="10" cm="1">
        <f t="array" aca="1" ref="FM145" ca="1">IF(ISNA(P145),0,OFFSET(INDIRECT("'"&amp;EV$67&amp;"'!h1"),P145-1,))</f>
        <v>9</v>
      </c>
      <c r="FN145" s="10"/>
      <c r="FO145" s="10"/>
      <c r="FP145" s="10"/>
      <c r="FQ145" s="10"/>
      <c r="FS145">
        <f t="shared" ca="1" si="137"/>
        <v>85</v>
      </c>
      <c r="FT145">
        <f t="shared" ca="1" si="62"/>
        <v>3.2598702153190899</v>
      </c>
      <c r="FU145">
        <f t="shared" ca="1" si="63"/>
        <v>382</v>
      </c>
      <c r="FV145">
        <f t="shared" ca="1" si="64"/>
        <v>10000</v>
      </c>
      <c r="FW145" s="4">
        <f t="shared" ca="1" si="138"/>
        <v>3.8199999999999998E-2</v>
      </c>
      <c r="FX145" s="5">
        <f t="shared" ca="1" si="139"/>
        <v>8.533691663138979E-3</v>
      </c>
      <c r="FZ145" s="13">
        <f t="shared" ca="1" si="140"/>
        <v>85</v>
      </c>
      <c r="GA145" s="23">
        <f t="shared" ca="1" si="141"/>
        <v>0</v>
      </c>
      <c r="GB145" s="23">
        <f t="shared" ca="1" si="142"/>
        <v>0</v>
      </c>
      <c r="GC145" s="23">
        <f t="shared" ca="1" si="143"/>
        <v>0</v>
      </c>
      <c r="GD145" s="23" t="e">
        <f t="shared" ca="1" si="144"/>
        <v>#N/A</v>
      </c>
      <c r="GE145" s="23">
        <f t="shared" ca="1" si="145"/>
        <v>0</v>
      </c>
      <c r="GF145" s="23">
        <f t="shared" ca="1" si="146"/>
        <v>0</v>
      </c>
      <c r="GG145" s="23">
        <f t="shared" ca="1" si="147"/>
        <v>0</v>
      </c>
      <c r="GH145" s="23">
        <f t="shared" ca="1" si="148"/>
        <v>0</v>
      </c>
      <c r="GI145" s="23">
        <f t="shared" ca="1" si="149"/>
        <v>0</v>
      </c>
      <c r="GJ145" s="23" t="e">
        <f t="shared" ca="1" si="150"/>
        <v>#N/A</v>
      </c>
      <c r="GK145" s="23" t="e">
        <f t="shared" ca="1" si="151"/>
        <v>#N/A</v>
      </c>
      <c r="GL145" s="23" t="e">
        <f t="shared" ca="1" si="152"/>
        <v>#N/A</v>
      </c>
      <c r="GM145" s="23"/>
      <c r="GN145">
        <f t="shared" ca="1" si="153"/>
        <v>85</v>
      </c>
      <c r="GO145" s="5">
        <f t="shared" ca="1" si="154"/>
        <v>3050.9262208719701</v>
      </c>
      <c r="GP145" s="5" t="e">
        <f t="shared" ca="1" si="155"/>
        <v>#N/A</v>
      </c>
      <c r="GQ145" s="5">
        <f t="shared" ca="1" si="156"/>
        <v>3858.0103362724099</v>
      </c>
      <c r="GR145" s="5" t="e">
        <f t="shared" ca="1" si="157"/>
        <v>#N/A</v>
      </c>
      <c r="GS145" s="5">
        <f t="shared" ca="1" si="158"/>
        <v>6.4146374999836497E-2</v>
      </c>
      <c r="GT145" s="5">
        <f t="shared" ca="1" si="159"/>
        <v>0.268583929166197</v>
      </c>
      <c r="GU145" s="5">
        <f t="shared" ca="1" si="160"/>
        <v>8.533691663138979E-3</v>
      </c>
      <c r="GV145" s="5">
        <f t="shared" ca="1" si="161"/>
        <v>6.8995681777180376E-4</v>
      </c>
      <c r="GW145" s="5">
        <f t="shared" ca="1" si="162"/>
        <v>0.2443065057448737</v>
      </c>
      <c r="GX145" s="5" t="e">
        <f t="shared" ca="1" si="163"/>
        <v>#N/A</v>
      </c>
      <c r="GY145" s="5" t="e">
        <f t="shared" ca="1" si="164"/>
        <v>#N/A</v>
      </c>
      <c r="GZ145" s="5" t="e">
        <f t="shared" ca="1" si="165"/>
        <v>#N/A</v>
      </c>
      <c r="HB145" s="13">
        <f t="shared" ca="1" si="166"/>
        <v>85</v>
      </c>
      <c r="HC145" s="4">
        <f t="shared" ca="1" si="167"/>
        <v>1</v>
      </c>
      <c r="HD145" s="4">
        <f t="shared" ca="1" si="168"/>
        <v>1</v>
      </c>
      <c r="HE145" s="4">
        <f t="shared" ca="1" si="169"/>
        <v>1</v>
      </c>
      <c r="HF145" s="4">
        <f t="shared" ca="1" si="170"/>
        <v>0</v>
      </c>
      <c r="HG145" s="4">
        <f t="shared" ca="1" si="171"/>
        <v>1</v>
      </c>
      <c r="HH145" s="4">
        <f t="shared" ca="1" si="172"/>
        <v>1</v>
      </c>
      <c r="HI145" s="4">
        <f t="shared" ca="1" si="173"/>
        <v>3.8199999999999998E-2</v>
      </c>
      <c r="HJ145" s="4">
        <f t="shared" ca="1" si="174"/>
        <v>0.53720000000000001</v>
      </c>
      <c r="HK145" s="4">
        <f t="shared" ca="1" si="175"/>
        <v>1.7100000000000001E-2</v>
      </c>
      <c r="HL145" s="4">
        <f t="shared" ca="1" si="176"/>
        <v>0</v>
      </c>
      <c r="HM145" s="4">
        <f t="shared" ca="1" si="177"/>
        <v>0</v>
      </c>
      <c r="HN145" s="4">
        <f t="shared" ca="1" si="178"/>
        <v>0</v>
      </c>
    </row>
    <row r="146" spans="1:222" x14ac:dyDescent="0.2">
      <c r="A146" t="str" cm="1">
        <f t="array" aca="1" ref="A146" ca="1">INDIRECT($A$67&amp;"!A"&amp;ROW(C79)+$B$64)</f>
        <v>[[86,23,25]]</v>
      </c>
      <c r="B146" cm="1">
        <f t="array" aca="1" ref="B146" ca="1">INDIRECT($A$67&amp;"!b"&amp;ROW(D79)+$B$64)</f>
        <v>86</v>
      </c>
      <c r="C146">
        <f t="shared" ca="1" si="78"/>
        <v>25</v>
      </c>
      <c r="E146">
        <f t="shared" ca="1" si="182"/>
        <v>103</v>
      </c>
      <c r="F146">
        <f t="shared" ca="1" si="182"/>
        <v>104</v>
      </c>
      <c r="G146">
        <f t="shared" ca="1" si="182"/>
        <v>103</v>
      </c>
      <c r="H146">
        <f t="shared" ca="1" si="182"/>
        <v>79</v>
      </c>
      <c r="I146">
        <f t="shared" ca="1" si="182"/>
        <v>106</v>
      </c>
      <c r="J146">
        <f t="shared" ca="1" si="182"/>
        <v>103</v>
      </c>
      <c r="K146">
        <f t="shared" ca="1" si="182"/>
        <v>110</v>
      </c>
      <c r="L146">
        <f t="shared" ca="1" si="182"/>
        <v>112</v>
      </c>
      <c r="M146">
        <f t="shared" ca="1" si="182"/>
        <v>109</v>
      </c>
      <c r="N146">
        <f t="shared" ca="1" si="182"/>
        <v>107</v>
      </c>
      <c r="O146">
        <f t="shared" ca="1" si="182"/>
        <v>107</v>
      </c>
      <c r="P146">
        <f t="shared" ca="1" si="182"/>
        <v>107</v>
      </c>
      <c r="V146" cm="1">
        <f t="array" aca="1" ref="V146" ca="1">IF(ISNA(E146),,OFFSET(INDIRECT("'"&amp;V$67&amp;"'!d1"),E146-1,))</f>
        <v>25</v>
      </c>
      <c r="W146" cm="1">
        <f t="array" aca="1" ref="W146" ca="1">IF(ISNA(F146),,OFFSET(INDIRECT("'"&amp;W$67&amp;"'!d1"),F146-1,))</f>
        <v>25</v>
      </c>
      <c r="X146" cm="1">
        <f t="array" aca="1" ref="X146" ca="1">IF(ISNA(G146),,OFFSET(INDIRECT("'"&amp;X$67&amp;"'!d1"),G146-1,))</f>
        <v>25</v>
      </c>
      <c r="Y146" cm="1">
        <f t="array" aca="1" ref="Y146" ca="1">IF(ISNA(H146),,OFFSET(INDIRECT("'"&amp;Y$67&amp;"'!d1"),H146-1,))</f>
        <v>0</v>
      </c>
      <c r="Z146" cm="1">
        <f t="array" aca="1" ref="Z146" ca="1">IF(ISNA(I146),,OFFSET(INDIRECT("'"&amp;Z$67&amp;"'!d1"),I146-1,))</f>
        <v>25</v>
      </c>
      <c r="AA146" cm="1">
        <f t="array" aca="1" ref="AA146" ca="1">IF(ISNA(J146),,OFFSET(INDIRECT("'"&amp;AA$67&amp;"'!d1"),J146-1,))</f>
        <v>25</v>
      </c>
      <c r="AB146" cm="1">
        <f t="array" aca="1" ref="AB146" ca="1">IF(ISNA(K146),,OFFSET(INDIRECT("'"&amp;AB$67&amp;"'!d1"),K146-1,))</f>
        <v>25</v>
      </c>
      <c r="AC146" cm="1">
        <f t="array" aca="1" ref="AC146" ca="1">IF(ISNA(L146),,OFFSET(INDIRECT("'"&amp;AC$67&amp;"'!d1"),L146-1,))</f>
        <v>25</v>
      </c>
      <c r="AD146" cm="1">
        <f t="array" aca="1" ref="AD146" ca="1">IF(ISNA(M146),,OFFSET(INDIRECT("'"&amp;AD$67&amp;"'!d1"),M146-1,))</f>
        <v>25</v>
      </c>
      <c r="AE146" cm="1">
        <f t="array" aca="1" ref="AE146" ca="1">IF(ISNA(N146),,OFFSET(INDIRECT("'"&amp;AE$67&amp;"'!d1"),N146-1,))</f>
        <v>0</v>
      </c>
      <c r="AF146" cm="1">
        <f t="array" aca="1" ref="AF146" ca="1">IF(ISNA(O146),,OFFSET(INDIRECT("'"&amp;AF$67&amp;"'!d1"),O146-1,))</f>
        <v>0</v>
      </c>
      <c r="AG146" cm="1">
        <f t="array" aca="1" ref="AG146" ca="1">IF(ISNA(P146),,OFFSET(INDIRECT("'"&amp;AG$67&amp;"'!d1"),P146-1,))</f>
        <v>0</v>
      </c>
      <c r="AM146">
        <f t="shared" ca="1" si="79"/>
        <v>1</v>
      </c>
      <c r="AN146">
        <f t="shared" ca="1" si="80"/>
        <v>0</v>
      </c>
      <c r="AO146">
        <f t="shared" ca="1" si="81"/>
        <v>1</v>
      </c>
      <c r="AP146">
        <f t="shared" ca="1" si="82"/>
        <v>0</v>
      </c>
      <c r="AQ146">
        <f t="shared" ca="1" si="83"/>
        <v>1</v>
      </c>
      <c r="AV146" t="b">
        <f t="shared" ca="1" si="84"/>
        <v>1</v>
      </c>
      <c r="AW146" t="str">
        <f t="shared" ca="1" si="85"/>
        <v/>
      </c>
      <c r="AX146" t="b">
        <f t="shared" ca="1" si="86"/>
        <v>1</v>
      </c>
      <c r="AY146" t="str">
        <f t="shared" ca="1" si="87"/>
        <v/>
      </c>
      <c r="AZ146" t="b">
        <f t="shared" ca="1" si="88"/>
        <v>1</v>
      </c>
      <c r="BD146">
        <f t="shared" ca="1" si="89"/>
        <v>1</v>
      </c>
      <c r="BE146">
        <f t="shared" ca="1" si="90"/>
        <v>1</v>
      </c>
      <c r="BF146">
        <f t="shared" ca="1" si="91"/>
        <v>1</v>
      </c>
      <c r="BG146">
        <f t="shared" ca="1" si="92"/>
        <v>0</v>
      </c>
      <c r="BH146">
        <f t="shared" ca="1" si="93"/>
        <v>1</v>
      </c>
      <c r="BI146">
        <f t="shared" ca="1" si="94"/>
        <v>1</v>
      </c>
      <c r="BJ146">
        <f t="shared" ca="1" si="95"/>
        <v>1</v>
      </c>
      <c r="BK146">
        <f t="shared" ca="1" si="96"/>
        <v>1</v>
      </c>
      <c r="BL146">
        <f t="shared" ca="1" si="97"/>
        <v>1</v>
      </c>
      <c r="BM146">
        <f t="shared" ca="1" si="98"/>
        <v>0</v>
      </c>
      <c r="BN146">
        <f t="shared" ca="1" si="99"/>
        <v>0</v>
      </c>
      <c r="BO146">
        <f t="shared" ca="1" si="100"/>
        <v>0</v>
      </c>
      <c r="BU146">
        <f t="shared" ca="1" si="101"/>
        <v>25</v>
      </c>
      <c r="BV146">
        <f t="shared" ca="1" si="102"/>
        <v>25</v>
      </c>
      <c r="BW146">
        <f t="shared" ca="1" si="103"/>
        <v>25</v>
      </c>
      <c r="BX146">
        <f t="shared" ca="1" si="104"/>
        <v>86</v>
      </c>
      <c r="BY146">
        <f t="shared" ca="1" si="105"/>
        <v>25</v>
      </c>
      <c r="BZ146">
        <f t="shared" ca="1" si="106"/>
        <v>25</v>
      </c>
      <c r="CA146">
        <f t="shared" ca="1" si="107"/>
        <v>25</v>
      </c>
      <c r="CB146">
        <f t="shared" ca="1" si="108"/>
        <v>25</v>
      </c>
      <c r="CC146">
        <f t="shared" ca="1" si="109"/>
        <v>25</v>
      </c>
      <c r="CD146">
        <f t="shared" ca="1" si="110"/>
        <v>86</v>
      </c>
      <c r="CE146">
        <f t="shared" ca="1" si="111"/>
        <v>86</v>
      </c>
      <c r="CF146">
        <f t="shared" ca="1" si="112"/>
        <v>86</v>
      </c>
      <c r="CL146">
        <f t="shared" ca="1" si="113"/>
        <v>1</v>
      </c>
      <c r="CM146">
        <f t="shared" ca="1" si="114"/>
        <v>1</v>
      </c>
      <c r="CN146">
        <f t="shared" ca="1" si="115"/>
        <v>1</v>
      </c>
      <c r="CO146">
        <f t="shared" ca="1" si="116"/>
        <v>0</v>
      </c>
      <c r="CP146">
        <f t="shared" ca="1" si="117"/>
        <v>1</v>
      </c>
      <c r="CQ146">
        <f t="shared" ca="1" si="118"/>
        <v>1</v>
      </c>
      <c r="CR146">
        <f t="shared" ca="1" si="119"/>
        <v>1</v>
      </c>
      <c r="CS146">
        <f t="shared" ca="1" si="120"/>
        <v>1</v>
      </c>
      <c r="CT146">
        <f t="shared" ca="1" si="121"/>
        <v>1</v>
      </c>
      <c r="CU146">
        <f t="shared" ca="1" si="122"/>
        <v>0</v>
      </c>
      <c r="CV146">
        <f t="shared" ca="1" si="123"/>
        <v>0</v>
      </c>
      <c r="CW146">
        <f t="shared" ca="1" si="124"/>
        <v>0</v>
      </c>
      <c r="DC146" cm="1">
        <f t="array" aca="1" ref="DC146" ca="1">IF(ISNA(E146),,OFFSET(INDIRECT("'"&amp;DT$67&amp;"'!f1"),E146-1,))*1</f>
        <v>2330.6861149799001</v>
      </c>
      <c r="DD146" cm="1">
        <f t="array" aca="1" ref="DD146" ca="1">IF(ISNA(F146),,OFFSET(INDIRECT("'"&amp;DU$67&amp;"'!f1"),F146-1,))*1</f>
        <v>28817.328226670601</v>
      </c>
      <c r="DE146" cm="1">
        <f t="array" aca="1" ref="DE146" ca="1">IF(ISNA(G146),,OFFSET(INDIRECT("'"&amp;DV$67&amp;"'!f1"),G146-1,))*1</f>
        <v>8596.2521592453104</v>
      </c>
      <c r="DF146" cm="1">
        <f t="array" aca="1" ref="DF146" ca="1">IF(ISNA(H146),,OFFSET(INDIRECT("'"&amp;DW$67&amp;"'!f1"),H146-1,))*1</f>
        <v>28801.372365645999</v>
      </c>
      <c r="DG146" cm="1">
        <f t="array" aca="1" ref="DG146" ca="1">IF(ISNA(I146),,OFFSET(INDIRECT("'"&amp;DX$67&amp;"'!f1"),I146-1,))*1</f>
        <v>5.88789999965229E-2</v>
      </c>
      <c r="DH146" cm="1">
        <f t="array" aca="1" ref="DH146" ca="1">IF(ISNA(J146),,OFFSET(INDIRECT("'"&amp;DY$67&amp;"'!f1"),J146-1,))*1</f>
        <v>0.27452398976310999</v>
      </c>
      <c r="DI146" cm="1">
        <f t="array" aca="1" ref="DI146" ca="1">IF(ISNA(K146),,OFFSET(INDIRECT("'"&amp;DZ$67&amp;"'!f1"),K146-1,))*1</f>
        <v>3.34530739858746</v>
      </c>
      <c r="DJ146" cm="1">
        <f t="array" aca="1" ref="DJ146" ca="1">IF(ISNA(L146),,OFFSET(INDIRECT("'"&amp;EA$67&amp;"'!f1"),L146-1,))*1</f>
        <v>3.8932320866733701</v>
      </c>
      <c r="DK146" cm="1">
        <f t="array" aca="1" ref="DK146" ca="1">IF(ISNA(M146),,OFFSET(INDIRECT("'"&amp;EB$67&amp;"'!f1"),M146-1,))*1</f>
        <v>42.696996983606297</v>
      </c>
      <c r="DL146" cm="1">
        <f t="array" aca="1" ref="DL146" ca="1">IF(ISNA(N146),,OFFSET(INDIRECT("'"&amp;EC$67&amp;"'!f1"),N146-1,))*1</f>
        <v>1.18911061435937E-2</v>
      </c>
      <c r="DM146" cm="1">
        <f t="array" aca="1" ref="DM146" ca="1">IF(ISNA(O146),,OFFSET(INDIRECT("'"&amp;ED$67&amp;"'!f1"),O146-1,))*1</f>
        <v>1.22456829994916E-2</v>
      </c>
      <c r="DN146" cm="1">
        <f t="array" aca="1" ref="DN146" ca="1">IF(ISNA(P146),,OFFSET(INDIRECT("'"&amp;EE$67&amp;"'!f1"),P146-1,))*1</f>
        <v>1.9358798861503601E-2</v>
      </c>
      <c r="DT146">
        <f t="shared" ca="1" si="125"/>
        <v>1</v>
      </c>
      <c r="DU146">
        <f t="shared" ca="1" si="126"/>
        <v>1</v>
      </c>
      <c r="DV146">
        <f t="shared" ca="1" si="127"/>
        <v>1</v>
      </c>
      <c r="DW146">
        <f t="shared" ca="1" si="128"/>
        <v>0</v>
      </c>
      <c r="DX146">
        <f t="shared" ca="1" si="129"/>
        <v>1</v>
      </c>
      <c r="DY146">
        <f t="shared" ca="1" si="130"/>
        <v>1</v>
      </c>
      <c r="DZ146">
        <f t="shared" ca="1" si="131"/>
        <v>970</v>
      </c>
      <c r="EA146">
        <f t="shared" ca="1" si="132"/>
        <v>5405</v>
      </c>
      <c r="EB146">
        <f t="shared" ca="1" si="133"/>
        <v>422</v>
      </c>
      <c r="EC146">
        <f t="shared" ca="1" si="134"/>
        <v>0</v>
      </c>
      <c r="ED146">
        <f t="shared" ca="1" si="135"/>
        <v>0</v>
      </c>
      <c r="EE146">
        <f t="shared" ca="1" si="136"/>
        <v>0</v>
      </c>
      <c r="EK146" cm="1">
        <f t="array" aca="1" ref="EK146" ca="1">IF(ISNA(E146),0,OFFSET(INDIRECT("'"&amp;EK$67&amp;"'!g1"),E146-1,)*CL146)</f>
        <v>1</v>
      </c>
      <c r="EL146" cm="1">
        <f t="array" aca="1" ref="EL146" ca="1">IF(ISNA(F146),0,OFFSET(INDIRECT("'"&amp;EL$67&amp;"'!g1"),F146-1,)*CM146)</f>
        <v>1</v>
      </c>
      <c r="EM146" cm="1">
        <f t="array" aca="1" ref="EM146" ca="1">IF(ISNA(G146),0,OFFSET(INDIRECT("'"&amp;EM$67&amp;"'!g1"),G146-1,)*CN146)</f>
        <v>1</v>
      </c>
      <c r="EN146" cm="1">
        <f t="array" aca="1" ref="EN146" ca="1">IF(ISNA(H146),0,OFFSET(INDIRECT("'"&amp;EN$67&amp;"'!g1"),H146-1,)*CO146)</f>
        <v>0</v>
      </c>
      <c r="EO146" cm="1">
        <f t="array" aca="1" ref="EO146" ca="1">IF(ISNA(I146),0,OFFSET(INDIRECT("'"&amp;EO$67&amp;"'!g1"),I146-1,)*CP146)</f>
        <v>1</v>
      </c>
      <c r="EP146" cm="1">
        <f t="array" aca="1" ref="EP146" ca="1">IF(ISNA(J146),0,OFFSET(INDIRECT("'"&amp;EP$67&amp;"'!g1"),J146-1,)*CQ146)</f>
        <v>1</v>
      </c>
      <c r="EQ146" cm="1">
        <f t="array" aca="1" ref="EQ146" ca="1">IF(ISNA(K146),0,OFFSET(INDIRECT("'"&amp;EQ$67&amp;"'!g1"),K146-1,)*CR146)</f>
        <v>970</v>
      </c>
      <c r="ER146" cm="1">
        <f t="array" aca="1" ref="ER146" ca="1">IF(ISNA(L146),0,OFFSET(INDIRECT("'"&amp;ER$67&amp;"'!g1"),L146-1,)*CS146)</f>
        <v>5405</v>
      </c>
      <c r="ES146" cm="1">
        <f t="array" aca="1" ref="ES146" ca="1">IF(ISNA(M146),0,OFFSET(INDIRECT("'"&amp;ES$67&amp;"'!g1"),M146-1,)*CT146)</f>
        <v>422</v>
      </c>
      <c r="ET146" cm="1">
        <f t="array" aca="1" ref="ET146" ca="1">IF(ISNA(N146),0,OFFSET(INDIRECT("'"&amp;ET$67&amp;"'!g1"),N146-1,)*CU146)</f>
        <v>0</v>
      </c>
      <c r="EU146" cm="1">
        <f t="array" aca="1" ref="EU146" ca="1">IF(ISNA(O146),0,OFFSET(INDIRECT("'"&amp;EU$67&amp;"'!g1"),O146-1,)*CV146)</f>
        <v>0</v>
      </c>
      <c r="EV146" cm="1">
        <f t="array" aca="1" ref="EV146" ca="1">IF(ISNA(P146),0,OFFSET(INDIRECT("'"&amp;EV$67&amp;"'!g1"),P146-1,)*CW146)</f>
        <v>0</v>
      </c>
      <c r="FB146" s="10" cm="1">
        <f t="array" aca="1" ref="FB146" ca="1">IF(ISNA(E146),0,OFFSET(INDIRECT("'"&amp;EK$67&amp;"'!h1"),E146-1,))</f>
        <v>1</v>
      </c>
      <c r="FC146" s="10" cm="1">
        <f t="array" aca="1" ref="FC146" ca="1">IF(ISNA(F146),0,OFFSET(INDIRECT("'"&amp;EL$67&amp;"'!h1"),F146-1,))</f>
        <v>1</v>
      </c>
      <c r="FD146" s="10" cm="1">
        <f t="array" aca="1" ref="FD146" ca="1">IF(ISNA(G146),0,OFFSET(INDIRECT("'"&amp;EM$67&amp;"'!h1"),G146-1,))</f>
        <v>1</v>
      </c>
      <c r="FE146" s="10" cm="1">
        <f t="array" aca="1" ref="FE146" ca="1">IF(ISNA(H146),0,OFFSET(INDIRECT("'"&amp;EN$67&amp;"'!h1"),H146-1,))</f>
        <v>1</v>
      </c>
      <c r="FF146" s="10" cm="1">
        <f t="array" aca="1" ref="FF146" ca="1">IF(ISNA(I146),0,OFFSET(INDIRECT("'"&amp;EO$67&amp;"'!h1"),I146-1,))</f>
        <v>1</v>
      </c>
      <c r="FG146" s="10" cm="1">
        <f t="array" aca="1" ref="FG146" ca="1">IF(ISNA(J146),0,OFFSET(INDIRECT("'"&amp;EP$67&amp;"'!h1"),J146-1,))</f>
        <v>1</v>
      </c>
      <c r="FH146" s="10" cm="1">
        <f t="array" aca="1" ref="FH146" ca="1">IF(ISNA(K146),0,OFFSET(INDIRECT("'"&amp;EQ$67&amp;"'!h1"),K146-1,))</f>
        <v>10000</v>
      </c>
      <c r="FI146" s="10" cm="1">
        <f t="array" aca="1" ref="FI146" ca="1">IF(ISNA(L146),0,OFFSET(INDIRECT("'"&amp;ER$67&amp;"'!h1"),L146-1,))</f>
        <v>10000</v>
      </c>
      <c r="FJ146" s="10" cm="1">
        <f t="array" aca="1" ref="FJ146" ca="1">IF(ISNA(M146),0,OFFSET(INDIRECT("'"&amp;ES$67&amp;"'!h1"),M146-1,))</f>
        <v>10000</v>
      </c>
      <c r="FK146" s="10" cm="1">
        <f t="array" aca="1" ref="FK146" ca="1">IF(ISNA(N146),0,OFFSET(INDIRECT("'"&amp;ET$67&amp;"'!h1"),N146-1,))</f>
        <v>1</v>
      </c>
      <c r="FL146" s="10" cm="1">
        <f t="array" aca="1" ref="FL146" ca="1">IF(ISNA(O146),0,OFFSET(INDIRECT("'"&amp;EU$67&amp;"'!h1"),O146-1,))</f>
        <v>1</v>
      </c>
      <c r="FM146" s="10" cm="1">
        <f t="array" aca="1" ref="FM146" ca="1">IF(ISNA(P146),0,OFFSET(INDIRECT("'"&amp;EV$67&amp;"'!h1"),P146-1,))</f>
        <v>9</v>
      </c>
      <c r="FN146" s="10"/>
      <c r="FO146" s="10"/>
      <c r="FP146" s="10"/>
      <c r="FQ146" s="10"/>
      <c r="FS146">
        <f t="shared" ca="1" si="137"/>
        <v>86</v>
      </c>
      <c r="FT146">
        <f t="shared" ca="1" si="62"/>
        <v>3.34530739858746</v>
      </c>
      <c r="FU146">
        <f t="shared" ca="1" si="63"/>
        <v>970</v>
      </c>
      <c r="FV146">
        <f t="shared" ca="1" si="64"/>
        <v>10000</v>
      </c>
      <c r="FW146" s="4">
        <f t="shared" ca="1" si="138"/>
        <v>9.7000000000000003E-2</v>
      </c>
      <c r="FX146" s="5">
        <f t="shared" ca="1" si="139"/>
        <v>3.4487705140076909E-3</v>
      </c>
      <c r="FZ146" s="13">
        <f t="shared" ca="1" si="140"/>
        <v>86</v>
      </c>
      <c r="GA146" s="23">
        <f t="shared" ca="1" si="141"/>
        <v>0</v>
      </c>
      <c r="GB146" s="23">
        <f t="shared" ca="1" si="142"/>
        <v>0</v>
      </c>
      <c r="GC146" s="23">
        <f t="shared" ca="1" si="143"/>
        <v>0</v>
      </c>
      <c r="GD146" s="23" t="e">
        <f t="shared" ca="1" si="144"/>
        <v>#N/A</v>
      </c>
      <c r="GE146" s="23">
        <f t="shared" ca="1" si="145"/>
        <v>0</v>
      </c>
      <c r="GF146" s="23">
        <f t="shared" ca="1" si="146"/>
        <v>0</v>
      </c>
      <c r="GG146" s="23">
        <f t="shared" ca="1" si="147"/>
        <v>0</v>
      </c>
      <c r="GH146" s="23">
        <f t="shared" ca="1" si="148"/>
        <v>0</v>
      </c>
      <c r="GI146" s="23">
        <f t="shared" ca="1" si="149"/>
        <v>0</v>
      </c>
      <c r="GJ146" s="23" t="e">
        <f t="shared" ca="1" si="150"/>
        <v>#N/A</v>
      </c>
      <c r="GK146" s="23" t="e">
        <f t="shared" ca="1" si="151"/>
        <v>#N/A</v>
      </c>
      <c r="GL146" s="23" t="e">
        <f t="shared" ca="1" si="152"/>
        <v>#N/A</v>
      </c>
      <c r="GM146" s="23"/>
      <c r="GN146">
        <f t="shared" ca="1" si="153"/>
        <v>86</v>
      </c>
      <c r="GO146" s="5">
        <f t="shared" ca="1" si="154"/>
        <v>2330.6861149799001</v>
      </c>
      <c r="GP146" s="5" t="e">
        <f t="shared" ca="1" si="155"/>
        <v>#N/A</v>
      </c>
      <c r="GQ146" s="5">
        <f t="shared" ca="1" si="156"/>
        <v>8596.2521592453104</v>
      </c>
      <c r="GR146" s="5" t="e">
        <f t="shared" ca="1" si="157"/>
        <v>#N/A</v>
      </c>
      <c r="GS146" s="5">
        <f t="shared" ca="1" si="158"/>
        <v>5.88789999965229E-2</v>
      </c>
      <c r="GT146" s="5">
        <f t="shared" ca="1" si="159"/>
        <v>0.27452398976310999</v>
      </c>
      <c r="GU146" s="5">
        <f t="shared" ca="1" si="160"/>
        <v>3.4487705140076909E-3</v>
      </c>
      <c r="GV146" s="5">
        <f t="shared" ca="1" si="161"/>
        <v>7.2030195868147461E-4</v>
      </c>
      <c r="GW146" s="5">
        <f t="shared" ca="1" si="162"/>
        <v>0.10117771797063103</v>
      </c>
      <c r="GX146" s="5" t="e">
        <f t="shared" ca="1" si="163"/>
        <v>#N/A</v>
      </c>
      <c r="GY146" s="5" t="e">
        <f t="shared" ca="1" si="164"/>
        <v>#N/A</v>
      </c>
      <c r="GZ146" s="5" t="e">
        <f t="shared" ca="1" si="165"/>
        <v>#N/A</v>
      </c>
      <c r="HB146" s="13">
        <f t="shared" ca="1" si="166"/>
        <v>86</v>
      </c>
      <c r="HC146" s="4">
        <f t="shared" ca="1" si="167"/>
        <v>1</v>
      </c>
      <c r="HD146" s="4">
        <f t="shared" ca="1" si="168"/>
        <v>1</v>
      </c>
      <c r="HE146" s="4">
        <f t="shared" ca="1" si="169"/>
        <v>1</v>
      </c>
      <c r="HF146" s="4">
        <f t="shared" ca="1" si="170"/>
        <v>0</v>
      </c>
      <c r="HG146" s="4">
        <f t="shared" ca="1" si="171"/>
        <v>1</v>
      </c>
      <c r="HH146" s="4">
        <f t="shared" ca="1" si="172"/>
        <v>1</v>
      </c>
      <c r="HI146" s="4">
        <f t="shared" ca="1" si="173"/>
        <v>9.7000000000000003E-2</v>
      </c>
      <c r="HJ146" s="4">
        <f t="shared" ca="1" si="174"/>
        <v>0.54049999999999998</v>
      </c>
      <c r="HK146" s="4">
        <f t="shared" ca="1" si="175"/>
        <v>4.2200000000000001E-2</v>
      </c>
      <c r="HL146" s="4">
        <f t="shared" ca="1" si="176"/>
        <v>0</v>
      </c>
      <c r="HM146" s="4">
        <f t="shared" ca="1" si="177"/>
        <v>0</v>
      </c>
      <c r="HN146" s="4">
        <f t="shared" ca="1" si="178"/>
        <v>0</v>
      </c>
    </row>
    <row r="147" spans="1:222" x14ac:dyDescent="0.2">
      <c r="A147" t="str" cm="1">
        <f t="array" aca="1" ref="A147" ca="1">INDIRECT($A$67&amp;"!A"&amp;ROW(C80)+$B$64)</f>
        <v>[[87,45,15]]</v>
      </c>
      <c r="B147" cm="1">
        <f t="array" aca="1" ref="B147" ca="1">INDIRECT($A$67&amp;"!b"&amp;ROW(D80)+$B$64)</f>
        <v>87</v>
      </c>
      <c r="C147">
        <f t="shared" ca="1" si="78"/>
        <v>15</v>
      </c>
      <c r="E147">
        <f t="shared" ca="1" si="182"/>
        <v>104</v>
      </c>
      <c r="F147">
        <f t="shared" ca="1" si="182"/>
        <v>105</v>
      </c>
      <c r="G147">
        <f t="shared" ca="1" si="182"/>
        <v>104</v>
      </c>
      <c r="H147">
        <f t="shared" ca="1" si="182"/>
        <v>86</v>
      </c>
      <c r="I147">
        <f t="shared" ca="1" si="182"/>
        <v>107</v>
      </c>
      <c r="J147">
        <f t="shared" ca="1" si="182"/>
        <v>104</v>
      </c>
      <c r="K147">
        <f t="shared" ca="1" si="182"/>
        <v>111</v>
      </c>
      <c r="L147">
        <f t="shared" ca="1" si="182"/>
        <v>113</v>
      </c>
      <c r="M147">
        <f t="shared" ca="1" si="182"/>
        <v>110</v>
      </c>
      <c r="N147">
        <f t="shared" ca="1" si="182"/>
        <v>108</v>
      </c>
      <c r="O147">
        <f t="shared" ca="1" si="182"/>
        <v>108</v>
      </c>
      <c r="P147">
        <f t="shared" ca="1" si="182"/>
        <v>108</v>
      </c>
      <c r="V147" cm="1">
        <f t="array" aca="1" ref="V147" ca="1">IF(ISNA(E147),,OFFSET(INDIRECT("'"&amp;V$67&amp;"'!d1"),E147-1,))</f>
        <v>15</v>
      </c>
      <c r="W147" cm="1">
        <f t="array" aca="1" ref="W147" ca="1">IF(ISNA(F147),,OFFSET(INDIRECT("'"&amp;W$67&amp;"'!d1"),F147-1,))</f>
        <v>15</v>
      </c>
      <c r="X147" cm="1">
        <f t="array" aca="1" ref="X147" ca="1">IF(ISNA(G147),,OFFSET(INDIRECT("'"&amp;X$67&amp;"'!d1"),G147-1,))</f>
        <v>15</v>
      </c>
      <c r="Y147" cm="1">
        <f t="array" aca="1" ref="Y147" ca="1">IF(ISNA(H147),,OFFSET(INDIRECT("'"&amp;Y$67&amp;"'!d1"),H147-1,))</f>
        <v>0</v>
      </c>
      <c r="Z147" cm="1">
        <f t="array" aca="1" ref="Z147" ca="1">IF(ISNA(I147),,OFFSET(INDIRECT("'"&amp;Z$67&amp;"'!d1"),I147-1,))</f>
        <v>15</v>
      </c>
      <c r="AA147" cm="1">
        <f t="array" aca="1" ref="AA147" ca="1">IF(ISNA(J147),,OFFSET(INDIRECT("'"&amp;AA$67&amp;"'!d1"),J147-1,))</f>
        <v>15</v>
      </c>
      <c r="AB147" cm="1">
        <f t="array" aca="1" ref="AB147" ca="1">IF(ISNA(K147),,OFFSET(INDIRECT("'"&amp;AB$67&amp;"'!d1"),K147-1,))</f>
        <v>15</v>
      </c>
      <c r="AC147" cm="1">
        <f t="array" aca="1" ref="AC147" ca="1">IF(ISNA(L147),,OFFSET(INDIRECT("'"&amp;AC$67&amp;"'!d1"),L147-1,))</f>
        <v>15</v>
      </c>
      <c r="AD147" cm="1">
        <f t="array" aca="1" ref="AD147" ca="1">IF(ISNA(M147),,OFFSET(INDIRECT("'"&amp;AD$67&amp;"'!d1"),M147-1,))</f>
        <v>15</v>
      </c>
      <c r="AE147" cm="1">
        <f t="array" aca="1" ref="AE147" ca="1">IF(ISNA(N147),,OFFSET(INDIRECT("'"&amp;AE$67&amp;"'!d1"),N147-1,))</f>
        <v>0</v>
      </c>
      <c r="AF147" cm="1">
        <f t="array" aca="1" ref="AF147" ca="1">IF(ISNA(O147),,OFFSET(INDIRECT("'"&amp;AF$67&amp;"'!d1"),O147-1,))</f>
        <v>0</v>
      </c>
      <c r="AG147" cm="1">
        <f t="array" aca="1" ref="AG147" ca="1">IF(ISNA(P147),,OFFSET(INDIRECT("'"&amp;AG$67&amp;"'!d1"),P147-1,))</f>
        <v>0</v>
      </c>
      <c r="AM147">
        <f t="shared" ca="1" si="79"/>
        <v>0</v>
      </c>
      <c r="AN147">
        <f t="shared" ca="1" si="80"/>
        <v>0</v>
      </c>
      <c r="AO147">
        <f t="shared" ca="1" si="81"/>
        <v>0</v>
      </c>
      <c r="AP147">
        <f t="shared" ca="1" si="82"/>
        <v>0</v>
      </c>
      <c r="AQ147">
        <f t="shared" ca="1" si="83"/>
        <v>1</v>
      </c>
      <c r="AV147" t="str">
        <f t="shared" ca="1" si="84"/>
        <v/>
      </c>
      <c r="AW147" t="str">
        <f t="shared" ca="1" si="85"/>
        <v/>
      </c>
      <c r="AX147" t="str">
        <f t="shared" ca="1" si="86"/>
        <v/>
      </c>
      <c r="AY147" t="str">
        <f t="shared" ca="1" si="87"/>
        <v/>
      </c>
      <c r="AZ147" t="b">
        <f t="shared" ca="1" si="88"/>
        <v>1</v>
      </c>
      <c r="BD147">
        <f t="shared" ca="1" si="89"/>
        <v>1</v>
      </c>
      <c r="BE147">
        <f t="shared" ca="1" si="90"/>
        <v>1</v>
      </c>
      <c r="BF147">
        <f t="shared" ca="1" si="91"/>
        <v>1</v>
      </c>
      <c r="BG147">
        <f t="shared" ca="1" si="92"/>
        <v>0</v>
      </c>
      <c r="BH147">
        <f t="shared" ca="1" si="93"/>
        <v>1</v>
      </c>
      <c r="BI147">
        <f t="shared" ca="1" si="94"/>
        <v>1</v>
      </c>
      <c r="BJ147">
        <f t="shared" ca="1" si="95"/>
        <v>1</v>
      </c>
      <c r="BK147">
        <f t="shared" ca="1" si="96"/>
        <v>1</v>
      </c>
      <c r="BL147">
        <f t="shared" ca="1" si="97"/>
        <v>1</v>
      </c>
      <c r="BM147">
        <f t="shared" ca="1" si="98"/>
        <v>0</v>
      </c>
      <c r="BN147">
        <f t="shared" ca="1" si="99"/>
        <v>0</v>
      </c>
      <c r="BO147">
        <f t="shared" ca="1" si="100"/>
        <v>0</v>
      </c>
      <c r="BU147">
        <f t="shared" ca="1" si="101"/>
        <v>15</v>
      </c>
      <c r="BV147">
        <f t="shared" ca="1" si="102"/>
        <v>15</v>
      </c>
      <c r="BW147">
        <f t="shared" ca="1" si="103"/>
        <v>15</v>
      </c>
      <c r="BX147">
        <f t="shared" ca="1" si="104"/>
        <v>87</v>
      </c>
      <c r="BY147">
        <f t="shared" ca="1" si="105"/>
        <v>15</v>
      </c>
      <c r="BZ147">
        <f t="shared" ca="1" si="106"/>
        <v>15</v>
      </c>
      <c r="CA147">
        <f t="shared" ca="1" si="107"/>
        <v>15</v>
      </c>
      <c r="CB147">
        <f t="shared" ca="1" si="108"/>
        <v>15</v>
      </c>
      <c r="CC147">
        <f t="shared" ca="1" si="109"/>
        <v>15</v>
      </c>
      <c r="CD147">
        <f t="shared" ca="1" si="110"/>
        <v>87</v>
      </c>
      <c r="CE147">
        <f t="shared" ca="1" si="111"/>
        <v>87</v>
      </c>
      <c r="CF147">
        <f t="shared" ca="1" si="112"/>
        <v>87</v>
      </c>
      <c r="CL147">
        <f t="shared" ca="1" si="113"/>
        <v>1</v>
      </c>
      <c r="CM147">
        <f t="shared" ca="1" si="114"/>
        <v>1</v>
      </c>
      <c r="CN147">
        <f t="shared" ca="1" si="115"/>
        <v>1</v>
      </c>
      <c r="CO147">
        <f t="shared" ca="1" si="116"/>
        <v>0</v>
      </c>
      <c r="CP147">
        <f t="shared" ca="1" si="117"/>
        <v>1</v>
      </c>
      <c r="CQ147">
        <f t="shared" ca="1" si="118"/>
        <v>1</v>
      </c>
      <c r="CR147">
        <f t="shared" ca="1" si="119"/>
        <v>1</v>
      </c>
      <c r="CS147">
        <f t="shared" ca="1" si="120"/>
        <v>1</v>
      </c>
      <c r="CT147">
        <f t="shared" ca="1" si="121"/>
        <v>1</v>
      </c>
      <c r="CU147">
        <f t="shared" ca="1" si="122"/>
        <v>0</v>
      </c>
      <c r="CV147">
        <f t="shared" ca="1" si="123"/>
        <v>0</v>
      </c>
      <c r="CW147">
        <f t="shared" ca="1" si="124"/>
        <v>0</v>
      </c>
      <c r="DC147" cm="1">
        <f t="array" aca="1" ref="DC147" ca="1">IF(ISNA(E147),,OFFSET(INDIRECT("'"&amp;DT$67&amp;"'!f1"),E147-1,))*1</f>
        <v>28908.270549119901</v>
      </c>
      <c r="DD147" cm="1">
        <f t="array" aca="1" ref="DD147" ca="1">IF(ISNA(F147),,OFFSET(INDIRECT("'"&amp;DU$67&amp;"'!f1"),F147-1,))*1</f>
        <v>28817.704166196199</v>
      </c>
      <c r="DE147" cm="1">
        <f t="array" aca="1" ref="DE147" ca="1">IF(ISNA(G147),,OFFSET(INDIRECT("'"&amp;DV$67&amp;"'!f1"),G147-1,))*1</f>
        <v>28800.179885834401</v>
      </c>
      <c r="DF147" cm="1">
        <f t="array" aca="1" ref="DF147" ca="1">IF(ISNA(H147),,OFFSET(INDIRECT("'"&amp;DW$67&amp;"'!f1"),H147-1,))*1</f>
        <v>28800.138258106999</v>
      </c>
      <c r="DG147" cm="1">
        <f t="array" aca="1" ref="DG147" ca="1">IF(ISNA(I147),,OFFSET(INDIRECT("'"&amp;DX$67&amp;"'!f1"),I147-1,))*1</f>
        <v>1.2414520840029499</v>
      </c>
      <c r="DH147" cm="1">
        <f t="array" aca="1" ref="DH147" ca="1">IF(ISNA(J147),,OFFSET(INDIRECT("'"&amp;DY$67&amp;"'!f1"),J147-1,))*1</f>
        <v>0.19676200579851799</v>
      </c>
      <c r="DI147" cm="1">
        <f t="array" aca="1" ref="DI147" ca="1">IF(ISNA(K147),,OFFSET(INDIRECT("'"&amp;DZ$67&amp;"'!f1"),K147-1,))*1</f>
        <v>2.6435915799811398</v>
      </c>
      <c r="DJ147" cm="1">
        <f t="array" aca="1" ref="DJ147" ca="1">IF(ISNA(L147),,OFFSET(INDIRECT("'"&amp;EA$67&amp;"'!f1"),L147-1,))*1</f>
        <v>3.28613169025629</v>
      </c>
      <c r="DK147" cm="1">
        <f t="array" aca="1" ref="DK147" ca="1">IF(ISNA(M147),,OFFSET(INDIRECT("'"&amp;EB$67&amp;"'!f1"),M147-1,))*1</f>
        <v>56.096341401338499</v>
      </c>
      <c r="DL147" cm="1">
        <f t="array" aca="1" ref="DL147" ca="1">IF(ISNA(N147),,OFFSET(INDIRECT("'"&amp;EC$67&amp;"'!f1"),N147-1,))*1</f>
        <v>1.45996389910578E-2</v>
      </c>
      <c r="DM147" cm="1">
        <f t="array" aca="1" ref="DM147" ca="1">IF(ISNA(O147),,OFFSET(INDIRECT("'"&amp;ED$67&amp;"'!f1"),O147-1,))*1</f>
        <v>1.4944581314921299E-2</v>
      </c>
      <c r="DN147" cm="1">
        <f t="array" aca="1" ref="DN147" ca="1">IF(ISNA(P147),,OFFSET(INDIRECT("'"&amp;EE$67&amp;"'!f1"),P147-1,))*1</f>
        <v>2.5435240939259501E-2</v>
      </c>
      <c r="DT147">
        <f t="shared" ca="1" si="125"/>
        <v>1</v>
      </c>
      <c r="DU147">
        <f t="shared" ca="1" si="126"/>
        <v>1</v>
      </c>
      <c r="DV147">
        <f t="shared" ca="1" si="127"/>
        <v>1</v>
      </c>
      <c r="DW147">
        <f t="shared" ca="1" si="128"/>
        <v>0</v>
      </c>
      <c r="DX147">
        <f t="shared" ca="1" si="129"/>
        <v>1</v>
      </c>
      <c r="DY147">
        <f t="shared" ca="1" si="130"/>
        <v>1</v>
      </c>
      <c r="DZ147">
        <f t="shared" ca="1" si="131"/>
        <v>1616</v>
      </c>
      <c r="EA147">
        <f t="shared" ca="1" si="132"/>
        <v>6240</v>
      </c>
      <c r="EB147">
        <f t="shared" ca="1" si="133"/>
        <v>945</v>
      </c>
      <c r="EC147">
        <f t="shared" ca="1" si="134"/>
        <v>0</v>
      </c>
      <c r="ED147">
        <f t="shared" ca="1" si="135"/>
        <v>0</v>
      </c>
      <c r="EE147">
        <f t="shared" ca="1" si="136"/>
        <v>0</v>
      </c>
      <c r="EK147" cm="1">
        <f t="array" aca="1" ref="EK147" ca="1">IF(ISNA(E147),0,OFFSET(INDIRECT("'"&amp;EK$67&amp;"'!g1"),E147-1,)*CL147)</f>
        <v>1</v>
      </c>
      <c r="EL147" cm="1">
        <f t="array" aca="1" ref="EL147" ca="1">IF(ISNA(F147),0,OFFSET(INDIRECT("'"&amp;EL$67&amp;"'!g1"),F147-1,)*CM147)</f>
        <v>1</v>
      </c>
      <c r="EM147" cm="1">
        <f t="array" aca="1" ref="EM147" ca="1">IF(ISNA(G147),0,OFFSET(INDIRECT("'"&amp;EM$67&amp;"'!g1"),G147-1,)*CN147)</f>
        <v>1</v>
      </c>
      <c r="EN147" cm="1">
        <f t="array" aca="1" ref="EN147" ca="1">IF(ISNA(H147),0,OFFSET(INDIRECT("'"&amp;EN$67&amp;"'!g1"),H147-1,)*CO147)</f>
        <v>0</v>
      </c>
      <c r="EO147" cm="1">
        <f t="array" aca="1" ref="EO147" ca="1">IF(ISNA(I147),0,OFFSET(INDIRECT("'"&amp;EO$67&amp;"'!g1"),I147-1,)*CP147)</f>
        <v>1</v>
      </c>
      <c r="EP147" cm="1">
        <f t="array" aca="1" ref="EP147" ca="1">IF(ISNA(J147),0,OFFSET(INDIRECT("'"&amp;EP$67&amp;"'!g1"),J147-1,)*CQ147)</f>
        <v>1</v>
      </c>
      <c r="EQ147" cm="1">
        <f t="array" aca="1" ref="EQ147" ca="1">IF(ISNA(K147),0,OFFSET(INDIRECT("'"&amp;EQ$67&amp;"'!g1"),K147-1,)*CR147)</f>
        <v>1616</v>
      </c>
      <c r="ER147" cm="1">
        <f t="array" aca="1" ref="ER147" ca="1">IF(ISNA(L147),0,OFFSET(INDIRECT("'"&amp;ER$67&amp;"'!g1"),L147-1,)*CS147)</f>
        <v>6240</v>
      </c>
      <c r="ES147" cm="1">
        <f t="array" aca="1" ref="ES147" ca="1">IF(ISNA(M147),0,OFFSET(INDIRECT("'"&amp;ES$67&amp;"'!g1"),M147-1,)*CT147)</f>
        <v>945</v>
      </c>
      <c r="ET147" cm="1">
        <f t="array" aca="1" ref="ET147" ca="1">IF(ISNA(N147),0,OFFSET(INDIRECT("'"&amp;ET$67&amp;"'!g1"),N147-1,)*CU147)</f>
        <v>0</v>
      </c>
      <c r="EU147" cm="1">
        <f t="array" aca="1" ref="EU147" ca="1">IF(ISNA(O147),0,OFFSET(INDIRECT("'"&amp;EU$67&amp;"'!g1"),O147-1,)*CV147)</f>
        <v>0</v>
      </c>
      <c r="EV147" cm="1">
        <f t="array" aca="1" ref="EV147" ca="1">IF(ISNA(P147),0,OFFSET(INDIRECT("'"&amp;EV$67&amp;"'!g1"),P147-1,)*CW147)</f>
        <v>0</v>
      </c>
      <c r="FB147" s="10" cm="1">
        <f t="array" aca="1" ref="FB147" ca="1">IF(ISNA(E147),0,OFFSET(INDIRECT("'"&amp;EK$67&amp;"'!h1"),E147-1,))</f>
        <v>1</v>
      </c>
      <c r="FC147" s="10" cm="1">
        <f t="array" aca="1" ref="FC147" ca="1">IF(ISNA(F147),0,OFFSET(INDIRECT("'"&amp;EL$67&amp;"'!h1"),F147-1,))</f>
        <v>1</v>
      </c>
      <c r="FD147" s="10" cm="1">
        <f t="array" aca="1" ref="FD147" ca="1">IF(ISNA(G147),0,OFFSET(INDIRECT("'"&amp;EM$67&amp;"'!h1"),G147-1,))</f>
        <v>1</v>
      </c>
      <c r="FE147" s="10" cm="1">
        <f t="array" aca="1" ref="FE147" ca="1">IF(ISNA(H147),0,OFFSET(INDIRECT("'"&amp;EN$67&amp;"'!h1"),H147-1,))</f>
        <v>1</v>
      </c>
      <c r="FF147" s="10" cm="1">
        <f t="array" aca="1" ref="FF147" ca="1">IF(ISNA(I147),0,OFFSET(INDIRECT("'"&amp;EO$67&amp;"'!h1"),I147-1,))</f>
        <v>1</v>
      </c>
      <c r="FG147" s="10" cm="1">
        <f t="array" aca="1" ref="FG147" ca="1">IF(ISNA(J147),0,OFFSET(INDIRECT("'"&amp;EP$67&amp;"'!h1"),J147-1,))</f>
        <v>1</v>
      </c>
      <c r="FH147" s="10" cm="1">
        <f t="array" aca="1" ref="FH147" ca="1">IF(ISNA(K147),0,OFFSET(INDIRECT("'"&amp;EQ$67&amp;"'!h1"),K147-1,))</f>
        <v>10000</v>
      </c>
      <c r="FI147" s="10" cm="1">
        <f t="array" aca="1" ref="FI147" ca="1">IF(ISNA(L147),0,OFFSET(INDIRECT("'"&amp;ER$67&amp;"'!h1"),L147-1,))</f>
        <v>10000</v>
      </c>
      <c r="FJ147" s="10" cm="1">
        <f t="array" aca="1" ref="FJ147" ca="1">IF(ISNA(M147),0,OFFSET(INDIRECT("'"&amp;ES$67&amp;"'!h1"),M147-1,))</f>
        <v>10000</v>
      </c>
      <c r="FK147" s="10" cm="1">
        <f t="array" aca="1" ref="FK147" ca="1">IF(ISNA(N147),0,OFFSET(INDIRECT("'"&amp;ET$67&amp;"'!h1"),N147-1,))</f>
        <v>1</v>
      </c>
      <c r="FL147" s="10" cm="1">
        <f t="array" aca="1" ref="FL147" ca="1">IF(ISNA(O147),0,OFFSET(INDIRECT("'"&amp;EU$67&amp;"'!h1"),O147-1,))</f>
        <v>1</v>
      </c>
      <c r="FM147" s="10" cm="1">
        <f t="array" aca="1" ref="FM147" ca="1">IF(ISNA(P147),0,OFFSET(INDIRECT("'"&amp;EV$67&amp;"'!h1"),P147-1,))</f>
        <v>9</v>
      </c>
      <c r="FN147" s="10"/>
      <c r="FO147" s="10"/>
      <c r="FP147" s="10"/>
      <c r="FQ147" s="10"/>
      <c r="FS147">
        <f t="shared" ca="1" si="137"/>
        <v>87</v>
      </c>
      <c r="FT147">
        <f t="shared" ca="1" si="62"/>
        <v>2.6435915799811398</v>
      </c>
      <c r="FU147">
        <f t="shared" ca="1" si="63"/>
        <v>1616</v>
      </c>
      <c r="FV147">
        <f t="shared" ca="1" si="64"/>
        <v>10000</v>
      </c>
      <c r="FW147" s="4">
        <f t="shared" ca="1" si="138"/>
        <v>0.16159999999999999</v>
      </c>
      <c r="FX147" s="5">
        <f t="shared" ca="1" si="139"/>
        <v>1.6358858787012005E-3</v>
      </c>
      <c r="FZ147" s="13">
        <f t="shared" ca="1" si="140"/>
        <v>87</v>
      </c>
      <c r="GA147" s="23">
        <f t="shared" ca="1" si="141"/>
        <v>0</v>
      </c>
      <c r="GB147" s="23">
        <f t="shared" ca="1" si="142"/>
        <v>0</v>
      </c>
      <c r="GC147" s="23">
        <f t="shared" ca="1" si="143"/>
        <v>0</v>
      </c>
      <c r="GD147" s="23" t="e">
        <f t="shared" ca="1" si="144"/>
        <v>#N/A</v>
      </c>
      <c r="GE147" s="23">
        <f t="shared" ca="1" si="145"/>
        <v>0</v>
      </c>
      <c r="GF147" s="23">
        <f t="shared" ca="1" si="146"/>
        <v>0</v>
      </c>
      <c r="GG147" s="23">
        <f t="shared" ca="1" si="147"/>
        <v>0</v>
      </c>
      <c r="GH147" s="23">
        <f t="shared" ca="1" si="148"/>
        <v>0</v>
      </c>
      <c r="GI147" s="23">
        <f t="shared" ca="1" si="149"/>
        <v>0</v>
      </c>
      <c r="GJ147" s="23" t="e">
        <f t="shared" ca="1" si="150"/>
        <v>#N/A</v>
      </c>
      <c r="GK147" s="23" t="e">
        <f t="shared" ca="1" si="151"/>
        <v>#N/A</v>
      </c>
      <c r="GL147" s="23" t="e">
        <f t="shared" ca="1" si="152"/>
        <v>#N/A</v>
      </c>
      <c r="GM147" s="23"/>
      <c r="GN147">
        <f t="shared" ca="1" si="153"/>
        <v>87</v>
      </c>
      <c r="GO147" s="5" t="e">
        <f t="shared" ca="1" si="154"/>
        <v>#N/A</v>
      </c>
      <c r="GP147" s="5" t="e">
        <f t="shared" ca="1" si="155"/>
        <v>#N/A</v>
      </c>
      <c r="GQ147" s="5" t="e">
        <f t="shared" ca="1" si="156"/>
        <v>#N/A</v>
      </c>
      <c r="GR147" s="5" t="e">
        <f t="shared" ca="1" si="157"/>
        <v>#N/A</v>
      </c>
      <c r="GS147" s="5">
        <f t="shared" ca="1" si="158"/>
        <v>1.2414520840029499</v>
      </c>
      <c r="GT147" s="5">
        <f t="shared" ca="1" si="159"/>
        <v>0.19676200579851799</v>
      </c>
      <c r="GU147" s="5">
        <f t="shared" ca="1" si="160"/>
        <v>1.6358858787012005E-3</v>
      </c>
      <c r="GV147" s="5">
        <f t="shared" ca="1" si="161"/>
        <v>5.2662366831030287E-4</v>
      </c>
      <c r="GW147" s="5">
        <f t="shared" ca="1" si="162"/>
        <v>5.9361207832104232E-2</v>
      </c>
      <c r="GX147" s="5" t="e">
        <f t="shared" ca="1" si="163"/>
        <v>#N/A</v>
      </c>
      <c r="GY147" s="5" t="e">
        <f t="shared" ca="1" si="164"/>
        <v>#N/A</v>
      </c>
      <c r="GZ147" s="5" t="e">
        <f t="shared" ca="1" si="165"/>
        <v>#N/A</v>
      </c>
      <c r="HB147" s="13">
        <f t="shared" ca="1" si="166"/>
        <v>87</v>
      </c>
      <c r="HC147" s="4">
        <f t="shared" ca="1" si="167"/>
        <v>1</v>
      </c>
      <c r="HD147" s="4">
        <f t="shared" ca="1" si="168"/>
        <v>1</v>
      </c>
      <c r="HE147" s="4">
        <f t="shared" ca="1" si="169"/>
        <v>1</v>
      </c>
      <c r="HF147" s="4">
        <f t="shared" ca="1" si="170"/>
        <v>0</v>
      </c>
      <c r="HG147" s="4">
        <f t="shared" ca="1" si="171"/>
        <v>1</v>
      </c>
      <c r="HH147" s="4">
        <f t="shared" ca="1" si="172"/>
        <v>1</v>
      </c>
      <c r="HI147" s="4">
        <f t="shared" ca="1" si="173"/>
        <v>0.16159999999999999</v>
      </c>
      <c r="HJ147" s="4">
        <f t="shared" ca="1" si="174"/>
        <v>0.624</v>
      </c>
      <c r="HK147" s="4">
        <f t="shared" ca="1" si="175"/>
        <v>9.4500000000000001E-2</v>
      </c>
      <c r="HL147" s="4">
        <f t="shared" ca="1" si="176"/>
        <v>0</v>
      </c>
      <c r="HM147" s="4">
        <f t="shared" ca="1" si="177"/>
        <v>0</v>
      </c>
      <c r="HN147" s="4">
        <f t="shared" ca="1" si="178"/>
        <v>0</v>
      </c>
    </row>
    <row r="148" spans="1:222" x14ac:dyDescent="0.2">
      <c r="A148" t="str" cm="1">
        <f t="array" aca="1" ref="A148" ca="1">INDIRECT($A$67&amp;"!A"&amp;ROW(C81)+$B$64)</f>
        <v>[[88,49,13]]</v>
      </c>
      <c r="B148" cm="1">
        <f t="array" aca="1" ref="B148" ca="1">INDIRECT($A$67&amp;"!b"&amp;ROW(D81)+$B$64)</f>
        <v>88</v>
      </c>
      <c r="C148">
        <f t="shared" ca="1" si="78"/>
        <v>13</v>
      </c>
      <c r="E148">
        <f t="shared" ca="1" si="182"/>
        <v>105</v>
      </c>
      <c r="F148">
        <f t="shared" ca="1" si="182"/>
        <v>106</v>
      </c>
      <c r="G148">
        <f t="shared" ca="1" si="182"/>
        <v>105</v>
      </c>
      <c r="H148">
        <f t="shared" ca="1" si="182"/>
        <v>94</v>
      </c>
      <c r="I148">
        <f t="shared" ca="1" si="182"/>
        <v>108</v>
      </c>
      <c r="J148">
        <f t="shared" ca="1" si="182"/>
        <v>105</v>
      </c>
      <c r="K148">
        <f t="shared" ca="1" si="182"/>
        <v>112</v>
      </c>
      <c r="L148">
        <f t="shared" ca="1" si="182"/>
        <v>114</v>
      </c>
      <c r="M148">
        <f t="shared" ca="1" si="182"/>
        <v>111</v>
      </c>
      <c r="N148">
        <f t="shared" ca="1" si="182"/>
        <v>109</v>
      </c>
      <c r="O148">
        <f t="shared" ca="1" si="182"/>
        <v>109</v>
      </c>
      <c r="P148">
        <f t="shared" ca="1" si="182"/>
        <v>109</v>
      </c>
      <c r="V148" cm="1">
        <f t="array" aca="1" ref="V148" ca="1">IF(ISNA(E148),,OFFSET(INDIRECT("'"&amp;V$67&amp;"'!d1"),E148-1,))</f>
        <v>13</v>
      </c>
      <c r="W148" cm="1">
        <f t="array" aca="1" ref="W148" ca="1">IF(ISNA(F148),,OFFSET(INDIRECT("'"&amp;W$67&amp;"'!d1"),F148-1,))</f>
        <v>13</v>
      </c>
      <c r="X148" cm="1">
        <f t="array" aca="1" ref="X148" ca="1">IF(ISNA(G148),,OFFSET(INDIRECT("'"&amp;X$67&amp;"'!d1"),G148-1,))</f>
        <v>14</v>
      </c>
      <c r="Y148" cm="1">
        <f t="array" aca="1" ref="Y148" ca="1">IF(ISNA(H148),,OFFSET(INDIRECT("'"&amp;Y$67&amp;"'!d1"),H148-1,))</f>
        <v>0</v>
      </c>
      <c r="Z148" cm="1">
        <f t="array" aca="1" ref="Z148" ca="1">IF(ISNA(I148),,OFFSET(INDIRECT("'"&amp;Z$67&amp;"'!d1"),I148-1,))</f>
        <v>13</v>
      </c>
      <c r="AA148" cm="1">
        <f t="array" aca="1" ref="AA148" ca="1">IF(ISNA(J148),,OFFSET(INDIRECT("'"&amp;AA$67&amp;"'!d1"),J148-1,))</f>
        <v>13</v>
      </c>
      <c r="AB148" cm="1">
        <f t="array" aca="1" ref="AB148" ca="1">IF(ISNA(K148),,OFFSET(INDIRECT("'"&amp;AB$67&amp;"'!d1"),K148-1,))</f>
        <v>13</v>
      </c>
      <c r="AC148" cm="1">
        <f t="array" aca="1" ref="AC148" ca="1">IF(ISNA(L148),,OFFSET(INDIRECT("'"&amp;AC$67&amp;"'!d1"),L148-1,))</f>
        <v>13</v>
      </c>
      <c r="AD148" cm="1">
        <f t="array" aca="1" ref="AD148" ca="1">IF(ISNA(M148),,OFFSET(INDIRECT("'"&amp;AD$67&amp;"'!d1"),M148-1,))</f>
        <v>13</v>
      </c>
      <c r="AE148" cm="1">
        <f t="array" aca="1" ref="AE148" ca="1">IF(ISNA(N148),,OFFSET(INDIRECT("'"&amp;AE$67&amp;"'!d1"),N148-1,))</f>
        <v>0</v>
      </c>
      <c r="AF148" cm="1">
        <f t="array" aca="1" ref="AF148" ca="1">IF(ISNA(O148),,OFFSET(INDIRECT("'"&amp;AF$67&amp;"'!d1"),O148-1,))</f>
        <v>0</v>
      </c>
      <c r="AG148" cm="1">
        <f t="array" aca="1" ref="AG148" ca="1">IF(ISNA(P148),,OFFSET(INDIRECT("'"&amp;AG$67&amp;"'!d1"),P148-1,))</f>
        <v>0</v>
      </c>
      <c r="AM148">
        <f t="shared" ca="1" si="79"/>
        <v>0</v>
      </c>
      <c r="AN148">
        <f t="shared" ca="1" si="80"/>
        <v>0</v>
      </c>
      <c r="AO148">
        <f t="shared" ca="1" si="81"/>
        <v>0</v>
      </c>
      <c r="AP148">
        <f t="shared" ca="1" si="82"/>
        <v>0</v>
      </c>
      <c r="AQ148">
        <f t="shared" ca="1" si="83"/>
        <v>1</v>
      </c>
      <c r="AV148" t="str">
        <f t="shared" ca="1" si="84"/>
        <v/>
      </c>
      <c r="AW148" t="str">
        <f t="shared" ca="1" si="85"/>
        <v/>
      </c>
      <c r="AX148" t="str">
        <f t="shared" ca="1" si="86"/>
        <v/>
      </c>
      <c r="AY148" t="str">
        <f t="shared" ca="1" si="87"/>
        <v/>
      </c>
      <c r="AZ148" t="b">
        <f t="shared" ca="1" si="88"/>
        <v>1</v>
      </c>
      <c r="BD148">
        <f t="shared" ca="1" si="89"/>
        <v>1</v>
      </c>
      <c r="BE148">
        <f t="shared" ca="1" si="90"/>
        <v>1</v>
      </c>
      <c r="BF148">
        <f t="shared" ca="1" si="91"/>
        <v>1</v>
      </c>
      <c r="BG148">
        <f t="shared" ca="1" si="92"/>
        <v>0</v>
      </c>
      <c r="BH148">
        <f t="shared" ca="1" si="93"/>
        <v>1</v>
      </c>
      <c r="BI148">
        <f t="shared" ca="1" si="94"/>
        <v>1</v>
      </c>
      <c r="BJ148">
        <f t="shared" ca="1" si="95"/>
        <v>1</v>
      </c>
      <c r="BK148">
        <f t="shared" ca="1" si="96"/>
        <v>1</v>
      </c>
      <c r="BL148">
        <f t="shared" ca="1" si="97"/>
        <v>1</v>
      </c>
      <c r="BM148">
        <f t="shared" ca="1" si="98"/>
        <v>0</v>
      </c>
      <c r="BN148">
        <f t="shared" ca="1" si="99"/>
        <v>0</v>
      </c>
      <c r="BO148">
        <f t="shared" ca="1" si="100"/>
        <v>0</v>
      </c>
      <c r="BU148">
        <f t="shared" ca="1" si="101"/>
        <v>13</v>
      </c>
      <c r="BV148">
        <f t="shared" ca="1" si="102"/>
        <v>13</v>
      </c>
      <c r="BW148">
        <f t="shared" ca="1" si="103"/>
        <v>14</v>
      </c>
      <c r="BX148">
        <f t="shared" ca="1" si="104"/>
        <v>88</v>
      </c>
      <c r="BY148">
        <f t="shared" ca="1" si="105"/>
        <v>13</v>
      </c>
      <c r="BZ148">
        <f t="shared" ca="1" si="106"/>
        <v>13</v>
      </c>
      <c r="CA148">
        <f t="shared" ca="1" si="107"/>
        <v>13</v>
      </c>
      <c r="CB148">
        <f t="shared" ca="1" si="108"/>
        <v>13</v>
      </c>
      <c r="CC148">
        <f t="shared" ca="1" si="109"/>
        <v>13</v>
      </c>
      <c r="CD148">
        <f t="shared" ca="1" si="110"/>
        <v>88</v>
      </c>
      <c r="CE148">
        <f t="shared" ca="1" si="111"/>
        <v>88</v>
      </c>
      <c r="CF148">
        <f t="shared" ca="1" si="112"/>
        <v>88</v>
      </c>
      <c r="CL148">
        <f t="shared" ca="1" si="113"/>
        <v>1</v>
      </c>
      <c r="CM148">
        <f t="shared" ca="1" si="114"/>
        <v>1</v>
      </c>
      <c r="CN148">
        <f t="shared" ca="1" si="115"/>
        <v>0</v>
      </c>
      <c r="CO148">
        <f t="shared" ca="1" si="116"/>
        <v>0</v>
      </c>
      <c r="CP148">
        <f t="shared" ca="1" si="117"/>
        <v>1</v>
      </c>
      <c r="CQ148">
        <f t="shared" ca="1" si="118"/>
        <v>1</v>
      </c>
      <c r="CR148">
        <f t="shared" ca="1" si="119"/>
        <v>1</v>
      </c>
      <c r="CS148">
        <f t="shared" ca="1" si="120"/>
        <v>1</v>
      </c>
      <c r="CT148">
        <f t="shared" ca="1" si="121"/>
        <v>1</v>
      </c>
      <c r="CU148">
        <f t="shared" ca="1" si="122"/>
        <v>0</v>
      </c>
      <c r="CV148">
        <f t="shared" ca="1" si="123"/>
        <v>0</v>
      </c>
      <c r="CW148">
        <f t="shared" ca="1" si="124"/>
        <v>0</v>
      </c>
      <c r="DC148" cm="1">
        <f t="array" aca="1" ref="DC148" ca="1">IF(ISNA(E148),,OFFSET(INDIRECT("'"&amp;DT$67&amp;"'!f1"),E148-1,))*1</f>
        <v>28884.283814435301</v>
      </c>
      <c r="DD148" cm="1">
        <f t="array" aca="1" ref="DD148" ca="1">IF(ISNA(F148),,OFFSET(INDIRECT("'"&amp;DU$67&amp;"'!f1"),F148-1,))*1</f>
        <v>28824.454012751499</v>
      </c>
      <c r="DE148" cm="1">
        <f t="array" aca="1" ref="DE148" ca="1">IF(ISNA(G148),,OFFSET(INDIRECT("'"&amp;DV$67&amp;"'!f1"),G148-1,))*1</f>
        <v>28800.117787286599</v>
      </c>
      <c r="DF148" cm="1">
        <f t="array" aca="1" ref="DF148" ca="1">IF(ISNA(H148),,OFFSET(INDIRECT("'"&amp;DW$67&amp;"'!f1"),H148-1,))*1</f>
        <v>28800.143234819101</v>
      </c>
      <c r="DG148" cm="1">
        <f t="array" aca="1" ref="DG148" ca="1">IF(ISNA(I148),,OFFSET(INDIRECT("'"&amp;DX$67&amp;"'!f1"),I148-1,))*1</f>
        <v>116.846370375002</v>
      </c>
      <c r="DH148" cm="1">
        <f t="array" aca="1" ref="DH148" ca="1">IF(ISNA(J148),,OFFSET(INDIRECT("'"&amp;DY$67&amp;"'!f1"),J148-1,))*1</f>
        <v>0.179144191090017</v>
      </c>
      <c r="DI148" cm="1">
        <f t="array" aca="1" ref="DI148" ca="1">IF(ISNA(K148),,OFFSET(INDIRECT("'"&amp;DZ$67&amp;"'!f1"),K148-1,))*1</f>
        <v>2.4421197101473799</v>
      </c>
      <c r="DJ148" cm="1">
        <f t="array" aca="1" ref="DJ148" ca="1">IF(ISNA(L148),,OFFSET(INDIRECT("'"&amp;EA$67&amp;"'!f1"),L148-1,))*1</f>
        <v>3.0615687575191202</v>
      </c>
      <c r="DK148" cm="1">
        <f t="array" aca="1" ref="DK148" ca="1">IF(ISNA(M148),,OFFSET(INDIRECT("'"&amp;EB$67&amp;"'!f1"),M148-1,))*1</f>
        <v>60.147982209920798</v>
      </c>
      <c r="DL148" cm="1">
        <f t="array" aca="1" ref="DL148" ca="1">IF(ISNA(N148),,OFFSET(INDIRECT("'"&amp;EC$67&amp;"'!f1"),N148-1,))*1</f>
        <v>1.49364415556192E-2</v>
      </c>
      <c r="DM148" cm="1">
        <f t="array" aca="1" ref="DM148" ca="1">IF(ISNA(O148),,OFFSET(INDIRECT("'"&amp;ED$67&amp;"'!f1"),O148-1,))*1</f>
        <v>1.5346685424447001E-2</v>
      </c>
      <c r="DN148" cm="1">
        <f t="array" aca="1" ref="DN148" ca="1">IF(ISNA(P148),,OFFSET(INDIRECT("'"&amp;EE$67&amp;"'!f1"),P148-1,))*1</f>
        <v>2.48117698356509E-2</v>
      </c>
      <c r="DT148">
        <f t="shared" ca="1" si="125"/>
        <v>1</v>
      </c>
      <c r="DU148">
        <f t="shared" ca="1" si="126"/>
        <v>1</v>
      </c>
      <c r="DV148">
        <f t="shared" ca="1" si="127"/>
        <v>0</v>
      </c>
      <c r="DW148">
        <f t="shared" ca="1" si="128"/>
        <v>0</v>
      </c>
      <c r="DX148">
        <f t="shared" ca="1" si="129"/>
        <v>1</v>
      </c>
      <c r="DY148">
        <f t="shared" ca="1" si="130"/>
        <v>1</v>
      </c>
      <c r="DZ148">
        <f t="shared" ca="1" si="131"/>
        <v>3180</v>
      </c>
      <c r="EA148">
        <f t="shared" ca="1" si="132"/>
        <v>6773</v>
      </c>
      <c r="EB148">
        <f t="shared" ca="1" si="133"/>
        <v>2331</v>
      </c>
      <c r="EC148">
        <f t="shared" ca="1" si="134"/>
        <v>0</v>
      </c>
      <c r="ED148">
        <f t="shared" ca="1" si="135"/>
        <v>0</v>
      </c>
      <c r="EE148">
        <f t="shared" ca="1" si="136"/>
        <v>0</v>
      </c>
      <c r="EK148" cm="1">
        <f t="array" aca="1" ref="EK148" ca="1">IF(ISNA(E148),0,OFFSET(INDIRECT("'"&amp;EK$67&amp;"'!g1"),E148-1,)*CL148)</f>
        <v>1</v>
      </c>
      <c r="EL148" cm="1">
        <f t="array" aca="1" ref="EL148" ca="1">IF(ISNA(F148),0,OFFSET(INDIRECT("'"&amp;EL$67&amp;"'!g1"),F148-1,)*CM148)</f>
        <v>1</v>
      </c>
      <c r="EM148" cm="1">
        <f t="array" aca="1" ref="EM148" ca="1">IF(ISNA(G148),0,OFFSET(INDIRECT("'"&amp;EM$67&amp;"'!g1"),G148-1,)*CN148)</f>
        <v>0</v>
      </c>
      <c r="EN148" cm="1">
        <f t="array" aca="1" ref="EN148" ca="1">IF(ISNA(H148),0,OFFSET(INDIRECT("'"&amp;EN$67&amp;"'!g1"),H148-1,)*CO148)</f>
        <v>0</v>
      </c>
      <c r="EO148" cm="1">
        <f t="array" aca="1" ref="EO148" ca="1">IF(ISNA(I148),0,OFFSET(INDIRECT("'"&amp;EO$67&amp;"'!g1"),I148-1,)*CP148)</f>
        <v>1</v>
      </c>
      <c r="EP148" cm="1">
        <f t="array" aca="1" ref="EP148" ca="1">IF(ISNA(J148),0,OFFSET(INDIRECT("'"&amp;EP$67&amp;"'!g1"),J148-1,)*CQ148)</f>
        <v>1</v>
      </c>
      <c r="EQ148" cm="1">
        <f t="array" aca="1" ref="EQ148" ca="1">IF(ISNA(K148),0,OFFSET(INDIRECT("'"&amp;EQ$67&amp;"'!g1"),K148-1,)*CR148)</f>
        <v>3180</v>
      </c>
      <c r="ER148" cm="1">
        <f t="array" aca="1" ref="ER148" ca="1">IF(ISNA(L148),0,OFFSET(INDIRECT("'"&amp;ER$67&amp;"'!g1"),L148-1,)*CS148)</f>
        <v>6773</v>
      </c>
      <c r="ES148" cm="1">
        <f t="array" aca="1" ref="ES148" ca="1">IF(ISNA(M148),0,OFFSET(INDIRECT("'"&amp;ES$67&amp;"'!g1"),M148-1,)*CT148)</f>
        <v>2331</v>
      </c>
      <c r="ET148" cm="1">
        <f t="array" aca="1" ref="ET148" ca="1">IF(ISNA(N148),0,OFFSET(INDIRECT("'"&amp;ET$67&amp;"'!g1"),N148-1,)*CU148)</f>
        <v>0</v>
      </c>
      <c r="EU148" cm="1">
        <f t="array" aca="1" ref="EU148" ca="1">IF(ISNA(O148),0,OFFSET(INDIRECT("'"&amp;EU$67&amp;"'!g1"),O148-1,)*CV148)</f>
        <v>0</v>
      </c>
      <c r="EV148" cm="1">
        <f t="array" aca="1" ref="EV148" ca="1">IF(ISNA(P148),0,OFFSET(INDIRECT("'"&amp;EV$67&amp;"'!g1"),P148-1,)*CW148)</f>
        <v>0</v>
      </c>
      <c r="FB148" s="10" cm="1">
        <f t="array" aca="1" ref="FB148" ca="1">IF(ISNA(E148),0,OFFSET(INDIRECT("'"&amp;EK$67&amp;"'!h1"),E148-1,))</f>
        <v>1</v>
      </c>
      <c r="FC148" s="10" cm="1">
        <f t="array" aca="1" ref="FC148" ca="1">IF(ISNA(F148),0,OFFSET(INDIRECT("'"&amp;EL$67&amp;"'!h1"),F148-1,))</f>
        <v>1</v>
      </c>
      <c r="FD148" s="10" cm="1">
        <f t="array" aca="1" ref="FD148" ca="1">IF(ISNA(G148),0,OFFSET(INDIRECT("'"&amp;EM$67&amp;"'!h1"),G148-1,))</f>
        <v>1</v>
      </c>
      <c r="FE148" s="10" cm="1">
        <f t="array" aca="1" ref="FE148" ca="1">IF(ISNA(H148),0,OFFSET(INDIRECT("'"&amp;EN$67&amp;"'!h1"),H148-1,))</f>
        <v>1</v>
      </c>
      <c r="FF148" s="10" cm="1">
        <f t="array" aca="1" ref="FF148" ca="1">IF(ISNA(I148),0,OFFSET(INDIRECT("'"&amp;EO$67&amp;"'!h1"),I148-1,))</f>
        <v>1</v>
      </c>
      <c r="FG148" s="10" cm="1">
        <f t="array" aca="1" ref="FG148" ca="1">IF(ISNA(J148),0,OFFSET(INDIRECT("'"&amp;EP$67&amp;"'!h1"),J148-1,))</f>
        <v>1</v>
      </c>
      <c r="FH148" s="10" cm="1">
        <f t="array" aca="1" ref="FH148" ca="1">IF(ISNA(K148),0,OFFSET(INDIRECT("'"&amp;EQ$67&amp;"'!h1"),K148-1,))</f>
        <v>10000</v>
      </c>
      <c r="FI148" s="10" cm="1">
        <f t="array" aca="1" ref="FI148" ca="1">IF(ISNA(L148),0,OFFSET(INDIRECT("'"&amp;ER$67&amp;"'!h1"),L148-1,))</f>
        <v>10000</v>
      </c>
      <c r="FJ148" s="10" cm="1">
        <f t="array" aca="1" ref="FJ148" ca="1">IF(ISNA(M148),0,OFFSET(INDIRECT("'"&amp;ES$67&amp;"'!h1"),M148-1,))</f>
        <v>10000</v>
      </c>
      <c r="FK148" s="10" cm="1">
        <f t="array" aca="1" ref="FK148" ca="1">IF(ISNA(N148),0,OFFSET(INDIRECT("'"&amp;ET$67&amp;"'!h1"),N148-1,))</f>
        <v>1</v>
      </c>
      <c r="FL148" s="10" cm="1">
        <f t="array" aca="1" ref="FL148" ca="1">IF(ISNA(O148),0,OFFSET(INDIRECT("'"&amp;EU$67&amp;"'!h1"),O148-1,))</f>
        <v>1</v>
      </c>
      <c r="FM148" s="10" cm="1">
        <f t="array" aca="1" ref="FM148" ca="1">IF(ISNA(P148),0,OFFSET(INDIRECT("'"&amp;EV$67&amp;"'!h1"),P148-1,))</f>
        <v>9</v>
      </c>
      <c r="FN148" s="10"/>
      <c r="FO148" s="10"/>
      <c r="FP148" s="10"/>
      <c r="FQ148" s="10"/>
      <c r="FS148">
        <f t="shared" ca="1" si="137"/>
        <v>88</v>
      </c>
      <c r="FT148">
        <f t="shared" ca="1" si="62"/>
        <v>2.4421197101473799</v>
      </c>
      <c r="FU148">
        <f t="shared" ca="1" si="63"/>
        <v>3180</v>
      </c>
      <c r="FV148">
        <f t="shared" ca="1" si="64"/>
        <v>10000</v>
      </c>
      <c r="FW148" s="4">
        <f t="shared" ca="1" si="138"/>
        <v>0.318</v>
      </c>
      <c r="FX148" s="5">
        <f t="shared" ca="1" si="139"/>
        <v>7.6796217300232077E-4</v>
      </c>
      <c r="FZ148" s="13">
        <f t="shared" ca="1" si="140"/>
        <v>88</v>
      </c>
      <c r="GA148" s="23">
        <f t="shared" ca="1" si="141"/>
        <v>0</v>
      </c>
      <c r="GB148" s="23">
        <f t="shared" ca="1" si="142"/>
        <v>0</v>
      </c>
      <c r="GC148" s="23">
        <f t="shared" ca="1" si="143"/>
        <v>7.6923076923076927E-2</v>
      </c>
      <c r="GD148" s="23" t="e">
        <f t="shared" ca="1" si="144"/>
        <v>#N/A</v>
      </c>
      <c r="GE148" s="23">
        <f t="shared" ca="1" si="145"/>
        <v>0</v>
      </c>
      <c r="GF148" s="23">
        <f t="shared" ca="1" si="146"/>
        <v>0</v>
      </c>
      <c r="GG148" s="23">
        <f t="shared" ca="1" si="147"/>
        <v>0</v>
      </c>
      <c r="GH148" s="23">
        <f t="shared" ca="1" si="148"/>
        <v>0</v>
      </c>
      <c r="GI148" s="23">
        <f t="shared" ca="1" si="149"/>
        <v>0</v>
      </c>
      <c r="GJ148" s="23" t="e">
        <f t="shared" ca="1" si="150"/>
        <v>#N/A</v>
      </c>
      <c r="GK148" s="23" t="e">
        <f t="shared" ca="1" si="151"/>
        <v>#N/A</v>
      </c>
      <c r="GL148" s="23" t="e">
        <f t="shared" ca="1" si="152"/>
        <v>#N/A</v>
      </c>
      <c r="GM148" s="23"/>
      <c r="GN148">
        <f t="shared" ca="1" si="153"/>
        <v>88</v>
      </c>
      <c r="GO148" s="5" t="e">
        <f t="shared" ca="1" si="154"/>
        <v>#N/A</v>
      </c>
      <c r="GP148" s="5" t="e">
        <f t="shared" ca="1" si="155"/>
        <v>#N/A</v>
      </c>
      <c r="GQ148" s="5" t="e">
        <f t="shared" ca="1" si="156"/>
        <v>#N/A</v>
      </c>
      <c r="GR148" s="5" t="e">
        <f t="shared" ca="1" si="157"/>
        <v>#N/A</v>
      </c>
      <c r="GS148" s="5">
        <f t="shared" ca="1" si="158"/>
        <v>116.846370375002</v>
      </c>
      <c r="GT148" s="5">
        <f t="shared" ca="1" si="159"/>
        <v>0.179144191090017</v>
      </c>
      <c r="GU148" s="5">
        <f t="shared" ca="1" si="160"/>
        <v>7.6796217300232077E-4</v>
      </c>
      <c r="GV148" s="5">
        <f t="shared" ca="1" si="161"/>
        <v>4.520255067944958E-4</v>
      </c>
      <c r="GW148" s="5">
        <f t="shared" ca="1" si="162"/>
        <v>2.5803510171566194E-2</v>
      </c>
      <c r="GX148" s="5" t="e">
        <f t="shared" ca="1" si="163"/>
        <v>#N/A</v>
      </c>
      <c r="GY148" s="5" t="e">
        <f t="shared" ca="1" si="164"/>
        <v>#N/A</v>
      </c>
      <c r="GZ148" s="5" t="e">
        <f t="shared" ca="1" si="165"/>
        <v>#N/A</v>
      </c>
      <c r="HB148" s="13">
        <f t="shared" ca="1" si="166"/>
        <v>88</v>
      </c>
      <c r="HC148" s="4">
        <f t="shared" ca="1" si="167"/>
        <v>1</v>
      </c>
      <c r="HD148" s="4">
        <f t="shared" ca="1" si="168"/>
        <v>1</v>
      </c>
      <c r="HE148" s="4">
        <f t="shared" ca="1" si="169"/>
        <v>0</v>
      </c>
      <c r="HF148" s="4">
        <f t="shared" ca="1" si="170"/>
        <v>0</v>
      </c>
      <c r="HG148" s="4">
        <f t="shared" ca="1" si="171"/>
        <v>1</v>
      </c>
      <c r="HH148" s="4">
        <f t="shared" ca="1" si="172"/>
        <v>1</v>
      </c>
      <c r="HI148" s="4">
        <f t="shared" ca="1" si="173"/>
        <v>0.318</v>
      </c>
      <c r="HJ148" s="4">
        <f t="shared" ca="1" si="174"/>
        <v>0.67730000000000001</v>
      </c>
      <c r="HK148" s="4">
        <f t="shared" ca="1" si="175"/>
        <v>0.2331</v>
      </c>
      <c r="HL148" s="4">
        <f t="shared" ca="1" si="176"/>
        <v>0</v>
      </c>
      <c r="HM148" s="4">
        <f t="shared" ca="1" si="177"/>
        <v>0</v>
      </c>
      <c r="HN148" s="4">
        <f t="shared" ca="1" si="178"/>
        <v>0</v>
      </c>
    </row>
    <row r="149" spans="1:222" x14ac:dyDescent="0.2">
      <c r="A149" t="str" cm="1">
        <f t="array" aca="1" ref="A149" ca="1">INDIRECT($A$67&amp;"!A"&amp;ROW(C82)+$B$64)</f>
        <v>[[89,32,21]]</v>
      </c>
      <c r="B149" cm="1">
        <f t="array" aca="1" ref="B149" ca="1">INDIRECT($A$67&amp;"!b"&amp;ROW(D82)+$B$64)</f>
        <v>89</v>
      </c>
      <c r="C149">
        <f t="shared" ca="1" si="78"/>
        <v>21</v>
      </c>
      <c r="E149">
        <f t="shared" ca="1" si="182"/>
        <v>106</v>
      </c>
      <c r="F149">
        <f t="shared" ca="1" si="182"/>
        <v>107</v>
      </c>
      <c r="G149">
        <f t="shared" ca="1" si="182"/>
        <v>106</v>
      </c>
      <c r="H149">
        <f t="shared" ref="H149:P149" ca="1" si="183">MATCH($A149,INDIRECT("'"&amp;H$67&amp;"'!A:A"),)</f>
        <v>103</v>
      </c>
      <c r="I149">
        <f t="shared" ca="1" si="183"/>
        <v>109</v>
      </c>
      <c r="J149">
        <f t="shared" ca="1" si="183"/>
        <v>106</v>
      </c>
      <c r="K149">
        <f t="shared" ca="1" si="183"/>
        <v>113</v>
      </c>
      <c r="L149">
        <f t="shared" ca="1" si="183"/>
        <v>115</v>
      </c>
      <c r="M149">
        <f t="shared" ca="1" si="183"/>
        <v>112</v>
      </c>
      <c r="N149">
        <f t="shared" ca="1" si="183"/>
        <v>110</v>
      </c>
      <c r="O149">
        <f t="shared" ca="1" si="183"/>
        <v>110</v>
      </c>
      <c r="P149">
        <f t="shared" ca="1" si="183"/>
        <v>110</v>
      </c>
      <c r="V149" cm="1">
        <f t="array" aca="1" ref="V149" ca="1">IF(ISNA(E149),,OFFSET(INDIRECT("'"&amp;V$67&amp;"'!d1"),E149-1,))</f>
        <v>21</v>
      </c>
      <c r="W149" cm="1">
        <f t="array" aca="1" ref="W149" ca="1">IF(ISNA(F149),,OFFSET(INDIRECT("'"&amp;W$67&amp;"'!d1"),F149-1,))</f>
        <v>21</v>
      </c>
      <c r="X149" cm="1">
        <f t="array" aca="1" ref="X149" ca="1">IF(ISNA(G149),,OFFSET(INDIRECT("'"&amp;X$67&amp;"'!d1"),G149-1,))</f>
        <v>30</v>
      </c>
      <c r="Y149" cm="1">
        <f t="array" aca="1" ref="Y149" ca="1">IF(ISNA(H149),,OFFSET(INDIRECT("'"&amp;Y$67&amp;"'!d1"),H149-1,))</f>
        <v>0</v>
      </c>
      <c r="Z149" cm="1">
        <f t="array" aca="1" ref="Z149" ca="1">IF(ISNA(I149),,OFFSET(INDIRECT("'"&amp;Z$67&amp;"'!d1"),I149-1,))</f>
        <v>21</v>
      </c>
      <c r="AA149" cm="1">
        <f t="array" aca="1" ref="AA149" ca="1">IF(ISNA(J149),,OFFSET(INDIRECT("'"&amp;AA$67&amp;"'!d1"),J149-1,))</f>
        <v>21</v>
      </c>
      <c r="AB149" cm="1">
        <f t="array" aca="1" ref="AB149" ca="1">IF(ISNA(K149),,OFFSET(INDIRECT("'"&amp;AB$67&amp;"'!d1"),K149-1,))</f>
        <v>21</v>
      </c>
      <c r="AC149" cm="1">
        <f t="array" aca="1" ref="AC149" ca="1">IF(ISNA(L149),,OFFSET(INDIRECT("'"&amp;AC$67&amp;"'!d1"),L149-1,))</f>
        <v>21</v>
      </c>
      <c r="AD149" cm="1">
        <f t="array" aca="1" ref="AD149" ca="1">IF(ISNA(M149),,OFFSET(INDIRECT("'"&amp;AD$67&amp;"'!d1"),M149-1,))</f>
        <v>21</v>
      </c>
      <c r="AE149" cm="1">
        <f t="array" aca="1" ref="AE149" ca="1">IF(ISNA(N149),,OFFSET(INDIRECT("'"&amp;AE$67&amp;"'!d1"),N149-1,))</f>
        <v>0</v>
      </c>
      <c r="AF149" cm="1">
        <f t="array" aca="1" ref="AF149" ca="1">IF(ISNA(O149),,OFFSET(INDIRECT("'"&amp;AF$67&amp;"'!d1"),O149-1,))</f>
        <v>0</v>
      </c>
      <c r="AG149" cm="1">
        <f t="array" aca="1" ref="AG149" ca="1">IF(ISNA(P149),,OFFSET(INDIRECT("'"&amp;AG$67&amp;"'!d1"),P149-1,))</f>
        <v>0</v>
      </c>
      <c r="AM149">
        <f t="shared" ca="1" si="79"/>
        <v>0</v>
      </c>
      <c r="AN149">
        <f t="shared" ca="1" si="80"/>
        <v>0</v>
      </c>
      <c r="AO149">
        <f t="shared" ca="1" si="81"/>
        <v>0</v>
      </c>
      <c r="AP149">
        <f t="shared" ca="1" si="82"/>
        <v>0</v>
      </c>
      <c r="AQ149">
        <f t="shared" ca="1" si="83"/>
        <v>1</v>
      </c>
      <c r="AV149" t="str">
        <f t="shared" ca="1" si="84"/>
        <v/>
      </c>
      <c r="AW149" t="str">
        <f t="shared" ca="1" si="85"/>
        <v/>
      </c>
      <c r="AX149" t="str">
        <f t="shared" ca="1" si="86"/>
        <v/>
      </c>
      <c r="AY149" t="str">
        <f t="shared" ca="1" si="87"/>
        <v/>
      </c>
      <c r="AZ149" t="b">
        <f t="shared" ca="1" si="88"/>
        <v>1</v>
      </c>
      <c r="BD149">
        <f t="shared" ca="1" si="89"/>
        <v>1</v>
      </c>
      <c r="BE149">
        <f t="shared" ca="1" si="90"/>
        <v>1</v>
      </c>
      <c r="BF149">
        <f t="shared" ca="1" si="91"/>
        <v>1</v>
      </c>
      <c r="BG149">
        <f t="shared" ca="1" si="92"/>
        <v>0</v>
      </c>
      <c r="BH149">
        <f t="shared" ca="1" si="93"/>
        <v>1</v>
      </c>
      <c r="BI149">
        <f t="shared" ca="1" si="94"/>
        <v>1</v>
      </c>
      <c r="BJ149">
        <f t="shared" ca="1" si="95"/>
        <v>1</v>
      </c>
      <c r="BK149">
        <f t="shared" ca="1" si="96"/>
        <v>1</v>
      </c>
      <c r="BL149">
        <f t="shared" ca="1" si="97"/>
        <v>1</v>
      </c>
      <c r="BM149">
        <f t="shared" ca="1" si="98"/>
        <v>0</v>
      </c>
      <c r="BN149">
        <f t="shared" ca="1" si="99"/>
        <v>0</v>
      </c>
      <c r="BO149">
        <f t="shared" ca="1" si="100"/>
        <v>0</v>
      </c>
      <c r="BU149">
        <f t="shared" ca="1" si="101"/>
        <v>21</v>
      </c>
      <c r="BV149">
        <f t="shared" ca="1" si="102"/>
        <v>21</v>
      </c>
      <c r="BW149">
        <f t="shared" ca="1" si="103"/>
        <v>30</v>
      </c>
      <c r="BX149">
        <f t="shared" ca="1" si="104"/>
        <v>89</v>
      </c>
      <c r="BY149">
        <f t="shared" ca="1" si="105"/>
        <v>21</v>
      </c>
      <c r="BZ149">
        <f t="shared" ca="1" si="106"/>
        <v>21</v>
      </c>
      <c r="CA149">
        <f t="shared" ca="1" si="107"/>
        <v>21</v>
      </c>
      <c r="CB149">
        <f t="shared" ca="1" si="108"/>
        <v>21</v>
      </c>
      <c r="CC149">
        <f t="shared" ca="1" si="109"/>
        <v>21</v>
      </c>
      <c r="CD149">
        <f t="shared" ca="1" si="110"/>
        <v>89</v>
      </c>
      <c r="CE149">
        <f t="shared" ca="1" si="111"/>
        <v>89</v>
      </c>
      <c r="CF149">
        <f t="shared" ca="1" si="112"/>
        <v>89</v>
      </c>
      <c r="CL149">
        <f t="shared" ca="1" si="113"/>
        <v>1</v>
      </c>
      <c r="CM149">
        <f t="shared" ca="1" si="114"/>
        <v>1</v>
      </c>
      <c r="CN149">
        <f t="shared" ca="1" si="115"/>
        <v>0</v>
      </c>
      <c r="CO149">
        <f t="shared" ca="1" si="116"/>
        <v>0</v>
      </c>
      <c r="CP149">
        <f t="shared" ca="1" si="117"/>
        <v>1</v>
      </c>
      <c r="CQ149">
        <f t="shared" ca="1" si="118"/>
        <v>1</v>
      </c>
      <c r="CR149">
        <f t="shared" ca="1" si="119"/>
        <v>1</v>
      </c>
      <c r="CS149">
        <f t="shared" ca="1" si="120"/>
        <v>1</v>
      </c>
      <c r="CT149">
        <f t="shared" ca="1" si="121"/>
        <v>1</v>
      </c>
      <c r="CU149">
        <f t="shared" ca="1" si="122"/>
        <v>0</v>
      </c>
      <c r="CV149">
        <f t="shared" ca="1" si="123"/>
        <v>0</v>
      </c>
      <c r="CW149">
        <f t="shared" ca="1" si="124"/>
        <v>0</v>
      </c>
      <c r="DC149" cm="1">
        <f t="array" aca="1" ref="DC149" ca="1">IF(ISNA(E149),,OFFSET(INDIRECT("'"&amp;DT$67&amp;"'!f1"),E149-1,))*1</f>
        <v>28892.2211597147</v>
      </c>
      <c r="DD149" cm="1">
        <f t="array" aca="1" ref="DD149" ca="1">IF(ISNA(F149),,OFFSET(INDIRECT("'"&amp;DU$67&amp;"'!f1"),F149-1,))*1</f>
        <v>28812.779710352399</v>
      </c>
      <c r="DE149" cm="1">
        <f t="array" aca="1" ref="DE149" ca="1">IF(ISNA(G149),,OFFSET(INDIRECT("'"&amp;DV$67&amp;"'!f1"),G149-1,))*1</f>
        <v>28800.165068775401</v>
      </c>
      <c r="DF149" cm="1">
        <f t="array" aca="1" ref="DF149" ca="1">IF(ISNA(H149),,OFFSET(INDIRECT("'"&amp;DW$67&amp;"'!f1"),H149-1,))*1</f>
        <v>28800.393846251001</v>
      </c>
      <c r="DG149" cm="1">
        <f t="array" aca="1" ref="DG149" ca="1">IF(ISNA(I149),,OFFSET(INDIRECT("'"&amp;DX$67&amp;"'!f1"),I149-1,))*1</f>
        <v>0.25013508299889498</v>
      </c>
      <c r="DH149" cm="1">
        <f t="array" aca="1" ref="DH149" ca="1">IF(ISNA(J149),,OFFSET(INDIRECT("'"&amp;DY$67&amp;"'!f1"),J149-1,))*1</f>
        <v>0.26347989216446799</v>
      </c>
      <c r="DI149" cm="1">
        <f t="array" aca="1" ref="DI149" ca="1">IF(ISNA(K149),,OFFSET(INDIRECT("'"&amp;DZ$67&amp;"'!f1"),K149-1,))*1</f>
        <v>3.1628933884203398</v>
      </c>
      <c r="DJ149" cm="1">
        <f t="array" aca="1" ref="DJ149" ca="1">IF(ISNA(L149),,OFFSET(INDIRECT("'"&amp;EA$67&amp;"'!f1"),L149-1,))*1</f>
        <v>3.8135551139712298</v>
      </c>
      <c r="DK149" cm="1">
        <f t="array" aca="1" ref="DK149" ca="1">IF(ISNA(M149),,OFFSET(INDIRECT("'"&amp;EB$67&amp;"'!f1"),M149-1,))*1</f>
        <v>56.029541239142397</v>
      </c>
      <c r="DL149" cm="1">
        <f t="array" aca="1" ref="DL149" ca="1">IF(ISNA(N149),,OFFSET(INDIRECT("'"&amp;EC$67&amp;"'!f1"),N149-1,))*1</f>
        <v>1.3465623371303E-2</v>
      </c>
      <c r="DM149" cm="1">
        <f t="array" aca="1" ref="DM149" ca="1">IF(ISNA(O149),,OFFSET(INDIRECT("'"&amp;ED$67&amp;"'!f1"),O149-1,))*1</f>
        <v>1.35788498446345E-2</v>
      </c>
      <c r="DN149" cm="1">
        <f t="array" aca="1" ref="DN149" ca="1">IF(ISNA(P149),,OFFSET(INDIRECT("'"&amp;EE$67&amp;"'!f1"),P149-1,))*1</f>
        <v>2.2389640100300302E-2</v>
      </c>
      <c r="DT149">
        <f t="shared" ca="1" si="125"/>
        <v>1</v>
      </c>
      <c r="DU149">
        <f t="shared" ca="1" si="126"/>
        <v>1</v>
      </c>
      <c r="DV149">
        <f t="shared" ca="1" si="127"/>
        <v>0</v>
      </c>
      <c r="DW149">
        <f t="shared" ca="1" si="128"/>
        <v>0</v>
      </c>
      <c r="DX149">
        <f t="shared" ca="1" si="129"/>
        <v>1</v>
      </c>
      <c r="DY149">
        <f t="shared" ca="1" si="130"/>
        <v>1</v>
      </c>
      <c r="DZ149">
        <f t="shared" ca="1" si="131"/>
        <v>2755</v>
      </c>
      <c r="EA149">
        <f t="shared" ca="1" si="132"/>
        <v>6727</v>
      </c>
      <c r="EB149">
        <f t="shared" ca="1" si="133"/>
        <v>2184</v>
      </c>
      <c r="EC149">
        <f t="shared" ca="1" si="134"/>
        <v>0</v>
      </c>
      <c r="ED149">
        <f t="shared" ca="1" si="135"/>
        <v>0</v>
      </c>
      <c r="EE149">
        <f t="shared" ca="1" si="136"/>
        <v>0</v>
      </c>
      <c r="EK149" cm="1">
        <f t="array" aca="1" ref="EK149" ca="1">IF(ISNA(E149),0,OFFSET(INDIRECT("'"&amp;EK$67&amp;"'!g1"),E149-1,)*CL149)</f>
        <v>1</v>
      </c>
      <c r="EL149" cm="1">
        <f t="array" aca="1" ref="EL149" ca="1">IF(ISNA(F149),0,OFFSET(INDIRECT("'"&amp;EL$67&amp;"'!g1"),F149-1,)*CM149)</f>
        <v>1</v>
      </c>
      <c r="EM149" cm="1">
        <f t="array" aca="1" ref="EM149" ca="1">IF(ISNA(G149),0,OFFSET(INDIRECT("'"&amp;EM$67&amp;"'!g1"),G149-1,)*CN149)</f>
        <v>0</v>
      </c>
      <c r="EN149" cm="1">
        <f t="array" aca="1" ref="EN149" ca="1">IF(ISNA(H149),0,OFFSET(INDIRECT("'"&amp;EN$67&amp;"'!g1"),H149-1,)*CO149)</f>
        <v>0</v>
      </c>
      <c r="EO149" cm="1">
        <f t="array" aca="1" ref="EO149" ca="1">IF(ISNA(I149),0,OFFSET(INDIRECT("'"&amp;EO$67&amp;"'!g1"),I149-1,)*CP149)</f>
        <v>1</v>
      </c>
      <c r="EP149" cm="1">
        <f t="array" aca="1" ref="EP149" ca="1">IF(ISNA(J149),0,OFFSET(INDIRECT("'"&amp;EP$67&amp;"'!g1"),J149-1,)*CQ149)</f>
        <v>1</v>
      </c>
      <c r="EQ149" cm="1">
        <f t="array" aca="1" ref="EQ149" ca="1">IF(ISNA(K149),0,OFFSET(INDIRECT("'"&amp;EQ$67&amp;"'!g1"),K149-1,)*CR149)</f>
        <v>2755</v>
      </c>
      <c r="ER149" cm="1">
        <f t="array" aca="1" ref="ER149" ca="1">IF(ISNA(L149),0,OFFSET(INDIRECT("'"&amp;ER$67&amp;"'!g1"),L149-1,)*CS149)</f>
        <v>6727</v>
      </c>
      <c r="ES149" cm="1">
        <f t="array" aca="1" ref="ES149" ca="1">IF(ISNA(M149),0,OFFSET(INDIRECT("'"&amp;ES$67&amp;"'!g1"),M149-1,)*CT149)</f>
        <v>2184</v>
      </c>
      <c r="ET149" cm="1">
        <f t="array" aca="1" ref="ET149" ca="1">IF(ISNA(N149),0,OFFSET(INDIRECT("'"&amp;ET$67&amp;"'!g1"),N149-1,)*CU149)</f>
        <v>0</v>
      </c>
      <c r="EU149" cm="1">
        <f t="array" aca="1" ref="EU149" ca="1">IF(ISNA(O149),0,OFFSET(INDIRECT("'"&amp;EU$67&amp;"'!g1"),O149-1,)*CV149)</f>
        <v>0</v>
      </c>
      <c r="EV149" cm="1">
        <f t="array" aca="1" ref="EV149" ca="1">IF(ISNA(P149),0,OFFSET(INDIRECT("'"&amp;EV$67&amp;"'!g1"),P149-1,)*CW149)</f>
        <v>0</v>
      </c>
      <c r="FB149" s="10" cm="1">
        <f t="array" aca="1" ref="FB149" ca="1">IF(ISNA(E149),0,OFFSET(INDIRECT("'"&amp;EK$67&amp;"'!h1"),E149-1,))</f>
        <v>1</v>
      </c>
      <c r="FC149" s="10" cm="1">
        <f t="array" aca="1" ref="FC149" ca="1">IF(ISNA(F149),0,OFFSET(INDIRECT("'"&amp;EL$67&amp;"'!h1"),F149-1,))</f>
        <v>1</v>
      </c>
      <c r="FD149" s="10" cm="1">
        <f t="array" aca="1" ref="FD149" ca="1">IF(ISNA(G149),0,OFFSET(INDIRECT("'"&amp;EM$67&amp;"'!h1"),G149-1,))</f>
        <v>1</v>
      </c>
      <c r="FE149" s="10" cm="1">
        <f t="array" aca="1" ref="FE149" ca="1">IF(ISNA(H149),0,OFFSET(INDIRECT("'"&amp;EN$67&amp;"'!h1"),H149-1,))</f>
        <v>1</v>
      </c>
      <c r="FF149" s="10" cm="1">
        <f t="array" aca="1" ref="FF149" ca="1">IF(ISNA(I149),0,OFFSET(INDIRECT("'"&amp;EO$67&amp;"'!h1"),I149-1,))</f>
        <v>1</v>
      </c>
      <c r="FG149" s="10" cm="1">
        <f t="array" aca="1" ref="FG149" ca="1">IF(ISNA(J149),0,OFFSET(INDIRECT("'"&amp;EP$67&amp;"'!h1"),J149-1,))</f>
        <v>1</v>
      </c>
      <c r="FH149" s="10" cm="1">
        <f t="array" aca="1" ref="FH149" ca="1">IF(ISNA(K149),0,OFFSET(INDIRECT("'"&amp;EQ$67&amp;"'!h1"),K149-1,))</f>
        <v>10000</v>
      </c>
      <c r="FI149" s="10" cm="1">
        <f t="array" aca="1" ref="FI149" ca="1">IF(ISNA(L149),0,OFFSET(INDIRECT("'"&amp;ER$67&amp;"'!h1"),L149-1,))</f>
        <v>10000</v>
      </c>
      <c r="FJ149" s="10" cm="1">
        <f t="array" aca="1" ref="FJ149" ca="1">IF(ISNA(M149),0,OFFSET(INDIRECT("'"&amp;ES$67&amp;"'!h1"),M149-1,))</f>
        <v>10000</v>
      </c>
      <c r="FK149" s="10" cm="1">
        <f t="array" aca="1" ref="FK149" ca="1">IF(ISNA(N149),0,OFFSET(INDIRECT("'"&amp;ET$67&amp;"'!h1"),N149-1,))</f>
        <v>1</v>
      </c>
      <c r="FL149" s="10" cm="1">
        <f t="array" aca="1" ref="FL149" ca="1">IF(ISNA(O149),0,OFFSET(INDIRECT("'"&amp;EU$67&amp;"'!h1"),O149-1,))</f>
        <v>1</v>
      </c>
      <c r="FM149" s="10" cm="1">
        <f t="array" aca="1" ref="FM149" ca="1">IF(ISNA(P149),0,OFFSET(INDIRECT("'"&amp;EV$67&amp;"'!h1"),P149-1,))</f>
        <v>9</v>
      </c>
      <c r="FN149" s="10"/>
      <c r="FO149" s="10"/>
      <c r="FP149" s="10"/>
      <c r="FQ149" s="10"/>
      <c r="FS149">
        <f t="shared" ca="1" si="137"/>
        <v>89</v>
      </c>
      <c r="FT149">
        <f t="shared" ca="1" si="62"/>
        <v>3.1628933884203398</v>
      </c>
      <c r="FU149">
        <f t="shared" ca="1" si="63"/>
        <v>2755</v>
      </c>
      <c r="FV149">
        <f t="shared" ca="1" si="64"/>
        <v>10000</v>
      </c>
      <c r="FW149" s="4">
        <f t="shared" ca="1" si="138"/>
        <v>0.27550000000000002</v>
      </c>
      <c r="FX149" s="5">
        <f t="shared" ca="1" si="139"/>
        <v>1.1480556763776189E-3</v>
      </c>
      <c r="FZ149" s="13">
        <f t="shared" ca="1" si="140"/>
        <v>89</v>
      </c>
      <c r="GA149" s="23">
        <f t="shared" ca="1" si="141"/>
        <v>0</v>
      </c>
      <c r="GB149" s="23">
        <f t="shared" ca="1" si="142"/>
        <v>0</v>
      </c>
      <c r="GC149" s="23">
        <f t="shared" ca="1" si="143"/>
        <v>0.42857142857142855</v>
      </c>
      <c r="GD149" s="23" t="e">
        <f t="shared" ca="1" si="144"/>
        <v>#N/A</v>
      </c>
      <c r="GE149" s="23">
        <f t="shared" ca="1" si="145"/>
        <v>0</v>
      </c>
      <c r="GF149" s="23">
        <f t="shared" ca="1" si="146"/>
        <v>0</v>
      </c>
      <c r="GG149" s="23">
        <f t="shared" ca="1" si="147"/>
        <v>0</v>
      </c>
      <c r="GH149" s="23">
        <f t="shared" ca="1" si="148"/>
        <v>0</v>
      </c>
      <c r="GI149" s="23">
        <f t="shared" ca="1" si="149"/>
        <v>0</v>
      </c>
      <c r="GJ149" s="23" t="e">
        <f t="shared" ca="1" si="150"/>
        <v>#N/A</v>
      </c>
      <c r="GK149" s="23" t="e">
        <f t="shared" ca="1" si="151"/>
        <v>#N/A</v>
      </c>
      <c r="GL149" s="23" t="e">
        <f t="shared" ca="1" si="152"/>
        <v>#N/A</v>
      </c>
      <c r="GM149" s="23"/>
      <c r="GN149">
        <f t="shared" ca="1" si="153"/>
        <v>89</v>
      </c>
      <c r="GO149" s="5" t="e">
        <f t="shared" ca="1" si="154"/>
        <v>#N/A</v>
      </c>
      <c r="GP149" s="5" t="e">
        <f t="shared" ca="1" si="155"/>
        <v>#N/A</v>
      </c>
      <c r="GQ149" s="5" t="e">
        <f t="shared" ca="1" si="156"/>
        <v>#N/A</v>
      </c>
      <c r="GR149" s="5" t="e">
        <f t="shared" ca="1" si="157"/>
        <v>#N/A</v>
      </c>
      <c r="GS149" s="5">
        <f t="shared" ca="1" si="158"/>
        <v>0.25013508299889498</v>
      </c>
      <c r="GT149" s="5">
        <f t="shared" ca="1" si="159"/>
        <v>0.26347989216446799</v>
      </c>
      <c r="GU149" s="5">
        <f t="shared" ca="1" si="160"/>
        <v>1.1480556763776189E-3</v>
      </c>
      <c r="GV149" s="5">
        <f t="shared" ca="1" si="161"/>
        <v>5.6690279678478224E-4</v>
      </c>
      <c r="GW149" s="5">
        <f t="shared" ca="1" si="162"/>
        <v>2.5654551849424174E-2</v>
      </c>
      <c r="GX149" s="5" t="e">
        <f t="shared" ca="1" si="163"/>
        <v>#N/A</v>
      </c>
      <c r="GY149" s="5" t="e">
        <f t="shared" ca="1" si="164"/>
        <v>#N/A</v>
      </c>
      <c r="GZ149" s="5" t="e">
        <f t="shared" ca="1" si="165"/>
        <v>#N/A</v>
      </c>
      <c r="HB149" s="13">
        <f t="shared" ca="1" si="166"/>
        <v>89</v>
      </c>
      <c r="HC149" s="4">
        <f t="shared" ca="1" si="167"/>
        <v>1</v>
      </c>
      <c r="HD149" s="4">
        <f t="shared" ca="1" si="168"/>
        <v>1</v>
      </c>
      <c r="HE149" s="4">
        <f t="shared" ca="1" si="169"/>
        <v>0</v>
      </c>
      <c r="HF149" s="4">
        <f t="shared" ca="1" si="170"/>
        <v>0</v>
      </c>
      <c r="HG149" s="4">
        <f t="shared" ca="1" si="171"/>
        <v>1</v>
      </c>
      <c r="HH149" s="4">
        <f t="shared" ca="1" si="172"/>
        <v>1</v>
      </c>
      <c r="HI149" s="4">
        <f t="shared" ca="1" si="173"/>
        <v>0.27550000000000002</v>
      </c>
      <c r="HJ149" s="4">
        <f t="shared" ca="1" si="174"/>
        <v>0.67269999999999996</v>
      </c>
      <c r="HK149" s="4">
        <f t="shared" ca="1" si="175"/>
        <v>0.21840000000000001</v>
      </c>
      <c r="HL149" s="4">
        <f t="shared" ca="1" si="176"/>
        <v>0</v>
      </c>
      <c r="HM149" s="4">
        <f t="shared" ca="1" si="177"/>
        <v>0</v>
      </c>
      <c r="HN149" s="4">
        <f t="shared" ca="1" si="178"/>
        <v>0</v>
      </c>
    </row>
    <row r="150" spans="1:222" x14ac:dyDescent="0.2">
      <c r="A150" t="str" cm="1">
        <f t="array" aca="1" ref="A150" ca="1">INDIRECT($A$67&amp;"!A"&amp;ROW(C83)+$B$64)</f>
        <v>[[90,33,21]]</v>
      </c>
      <c r="B150" cm="1">
        <f t="array" aca="1" ref="B150" ca="1">INDIRECT($A$67&amp;"!b"&amp;ROW(D83)+$B$64)</f>
        <v>90</v>
      </c>
      <c r="C150">
        <f t="shared" ca="1" si="78"/>
        <v>21</v>
      </c>
      <c r="E150">
        <f t="shared" ref="E150:P171" ca="1" si="184">MATCH($A150,INDIRECT("'"&amp;E$67&amp;"'!A:A"),)</f>
        <v>107</v>
      </c>
      <c r="F150">
        <f t="shared" ca="1" si="184"/>
        <v>108</v>
      </c>
      <c r="G150">
        <f t="shared" ca="1" si="184"/>
        <v>107</v>
      </c>
      <c r="H150">
        <f t="shared" ca="1" si="184"/>
        <v>108</v>
      </c>
      <c r="I150">
        <f t="shared" ca="1" si="184"/>
        <v>110</v>
      </c>
      <c r="J150">
        <f t="shared" ca="1" si="184"/>
        <v>107</v>
      </c>
      <c r="K150">
        <f t="shared" ca="1" si="184"/>
        <v>114</v>
      </c>
      <c r="L150">
        <f t="shared" ca="1" si="184"/>
        <v>116</v>
      </c>
      <c r="M150">
        <f t="shared" ca="1" si="184"/>
        <v>113</v>
      </c>
      <c r="N150">
        <f t="shared" ca="1" si="184"/>
        <v>111</v>
      </c>
      <c r="O150">
        <f t="shared" ca="1" si="184"/>
        <v>111</v>
      </c>
      <c r="P150">
        <f t="shared" ca="1" si="184"/>
        <v>111</v>
      </c>
      <c r="V150" cm="1">
        <f t="array" aca="1" ref="V150" ca="1">IF(ISNA(E150),,OFFSET(INDIRECT("'"&amp;V$67&amp;"'!d1"),E150-1,))</f>
        <v>21</v>
      </c>
      <c r="W150" cm="1">
        <f t="array" aca="1" ref="W150" ca="1">IF(ISNA(F150),,OFFSET(INDIRECT("'"&amp;W$67&amp;"'!d1"),F150-1,))</f>
        <v>21</v>
      </c>
      <c r="X150" cm="1">
        <f t="array" aca="1" ref="X150" ca="1">IF(ISNA(G150),,OFFSET(INDIRECT("'"&amp;X$67&amp;"'!d1"),G150-1,))</f>
        <v>25</v>
      </c>
      <c r="Y150" cm="1">
        <f t="array" aca="1" ref="Y150" ca="1">IF(ISNA(H150),,OFFSET(INDIRECT("'"&amp;Y$67&amp;"'!d1"),H150-1,))</f>
        <v>0</v>
      </c>
      <c r="Z150" cm="1">
        <f t="array" aca="1" ref="Z150" ca="1">IF(ISNA(I150),,OFFSET(INDIRECT("'"&amp;Z$67&amp;"'!d1"),I150-1,))</f>
        <v>21</v>
      </c>
      <c r="AA150" cm="1">
        <f t="array" aca="1" ref="AA150" ca="1">IF(ISNA(J150),,OFFSET(INDIRECT("'"&amp;AA$67&amp;"'!d1"),J150-1,))</f>
        <v>21</v>
      </c>
      <c r="AB150" cm="1">
        <f t="array" aca="1" ref="AB150" ca="1">IF(ISNA(K150),,OFFSET(INDIRECT("'"&amp;AB$67&amp;"'!d1"),K150-1,))</f>
        <v>21</v>
      </c>
      <c r="AC150" cm="1">
        <f t="array" aca="1" ref="AC150" ca="1">IF(ISNA(L150),,OFFSET(INDIRECT("'"&amp;AC$67&amp;"'!d1"),L150-1,))</f>
        <v>21</v>
      </c>
      <c r="AD150" cm="1">
        <f t="array" aca="1" ref="AD150" ca="1">IF(ISNA(M150),,OFFSET(INDIRECT("'"&amp;AD$67&amp;"'!d1"),M150-1,))</f>
        <v>21</v>
      </c>
      <c r="AE150" cm="1">
        <f t="array" aca="1" ref="AE150" ca="1">IF(ISNA(N150),,OFFSET(INDIRECT("'"&amp;AE$67&amp;"'!d1"),N150-1,))</f>
        <v>0</v>
      </c>
      <c r="AF150" cm="1">
        <f t="array" aca="1" ref="AF150" ca="1">IF(ISNA(O150),,OFFSET(INDIRECT("'"&amp;AF$67&amp;"'!d1"),O150-1,))</f>
        <v>0</v>
      </c>
      <c r="AG150" cm="1">
        <f t="array" aca="1" ref="AG150" ca="1">IF(ISNA(P150),,OFFSET(INDIRECT("'"&amp;AG$67&amp;"'!d1"),P150-1,))</f>
        <v>0</v>
      </c>
      <c r="AM150">
        <f t="shared" ca="1" si="79"/>
        <v>0</v>
      </c>
      <c r="AN150">
        <f t="shared" ca="1" si="80"/>
        <v>0</v>
      </c>
      <c r="AO150">
        <f t="shared" ca="1" si="81"/>
        <v>0</v>
      </c>
      <c r="AP150">
        <f t="shared" ca="1" si="82"/>
        <v>0</v>
      </c>
      <c r="AQ150">
        <f t="shared" ca="1" si="83"/>
        <v>1</v>
      </c>
      <c r="AV150" t="str">
        <f t="shared" ca="1" si="84"/>
        <v/>
      </c>
      <c r="AW150" t="str">
        <f t="shared" ca="1" si="85"/>
        <v/>
      </c>
      <c r="AX150" t="str">
        <f t="shared" ca="1" si="86"/>
        <v/>
      </c>
      <c r="AY150" t="str">
        <f t="shared" ca="1" si="87"/>
        <v/>
      </c>
      <c r="AZ150" t="b">
        <f t="shared" ca="1" si="88"/>
        <v>1</v>
      </c>
      <c r="BD150">
        <f t="shared" ca="1" si="89"/>
        <v>1</v>
      </c>
      <c r="BE150">
        <f t="shared" ca="1" si="90"/>
        <v>1</v>
      </c>
      <c r="BF150">
        <f t="shared" ca="1" si="91"/>
        <v>1</v>
      </c>
      <c r="BG150">
        <f t="shared" ca="1" si="92"/>
        <v>0</v>
      </c>
      <c r="BH150">
        <f t="shared" ca="1" si="93"/>
        <v>1</v>
      </c>
      <c r="BI150">
        <f t="shared" ca="1" si="94"/>
        <v>1</v>
      </c>
      <c r="BJ150">
        <f t="shared" ca="1" si="95"/>
        <v>1</v>
      </c>
      <c r="BK150">
        <f t="shared" ca="1" si="96"/>
        <v>1</v>
      </c>
      <c r="BL150">
        <f t="shared" ca="1" si="97"/>
        <v>1</v>
      </c>
      <c r="BM150">
        <f t="shared" ca="1" si="98"/>
        <v>0</v>
      </c>
      <c r="BN150">
        <f t="shared" ca="1" si="99"/>
        <v>0</v>
      </c>
      <c r="BO150">
        <f t="shared" ca="1" si="100"/>
        <v>0</v>
      </c>
      <c r="BU150">
        <f t="shared" ca="1" si="101"/>
        <v>21</v>
      </c>
      <c r="BV150">
        <f t="shared" ca="1" si="102"/>
        <v>21</v>
      </c>
      <c r="BW150">
        <f t="shared" ca="1" si="103"/>
        <v>25</v>
      </c>
      <c r="BX150">
        <f t="shared" ca="1" si="104"/>
        <v>90</v>
      </c>
      <c r="BY150">
        <f t="shared" ca="1" si="105"/>
        <v>21</v>
      </c>
      <c r="BZ150">
        <f t="shared" ca="1" si="106"/>
        <v>21</v>
      </c>
      <c r="CA150">
        <f t="shared" ca="1" si="107"/>
        <v>21</v>
      </c>
      <c r="CB150">
        <f t="shared" ca="1" si="108"/>
        <v>21</v>
      </c>
      <c r="CC150">
        <f t="shared" ca="1" si="109"/>
        <v>21</v>
      </c>
      <c r="CD150">
        <f t="shared" ca="1" si="110"/>
        <v>90</v>
      </c>
      <c r="CE150">
        <f t="shared" ca="1" si="111"/>
        <v>90</v>
      </c>
      <c r="CF150">
        <f t="shared" ca="1" si="112"/>
        <v>90</v>
      </c>
      <c r="CL150">
        <f t="shared" ca="1" si="113"/>
        <v>1</v>
      </c>
      <c r="CM150">
        <f t="shared" ca="1" si="114"/>
        <v>1</v>
      </c>
      <c r="CN150">
        <f t="shared" ca="1" si="115"/>
        <v>0</v>
      </c>
      <c r="CO150">
        <f t="shared" ca="1" si="116"/>
        <v>0</v>
      </c>
      <c r="CP150">
        <f t="shared" ca="1" si="117"/>
        <v>1</v>
      </c>
      <c r="CQ150">
        <f t="shared" ca="1" si="118"/>
        <v>1</v>
      </c>
      <c r="CR150">
        <f t="shared" ca="1" si="119"/>
        <v>1</v>
      </c>
      <c r="CS150">
        <f t="shared" ca="1" si="120"/>
        <v>1</v>
      </c>
      <c r="CT150">
        <f t="shared" ca="1" si="121"/>
        <v>1</v>
      </c>
      <c r="CU150">
        <f t="shared" ca="1" si="122"/>
        <v>0</v>
      </c>
      <c r="CV150">
        <f t="shared" ca="1" si="123"/>
        <v>0</v>
      </c>
      <c r="CW150">
        <f t="shared" ca="1" si="124"/>
        <v>0</v>
      </c>
      <c r="DC150" cm="1">
        <f t="array" aca="1" ref="DC150" ca="1">IF(ISNA(E150),,OFFSET(INDIRECT("'"&amp;DT$67&amp;"'!f1"),E150-1,))*1</f>
        <v>28927.714732781002</v>
      </c>
      <c r="DD150" cm="1">
        <f t="array" aca="1" ref="DD150" ca="1">IF(ISNA(F150),,OFFSET(INDIRECT("'"&amp;DU$67&amp;"'!f1"),F150-1,))*1</f>
        <v>28812.710071831902</v>
      </c>
      <c r="DE150" cm="1">
        <f t="array" aca="1" ref="DE150" ca="1">IF(ISNA(G150),,OFFSET(INDIRECT("'"&amp;DV$67&amp;"'!f1"),G150-1,))*1</f>
        <v>28800.1607358455</v>
      </c>
      <c r="DF150" cm="1">
        <f t="array" aca="1" ref="DF150" ca="1">IF(ISNA(H150),,OFFSET(INDIRECT("'"&amp;DW$67&amp;"'!f1"),H150-1,))*1</f>
        <v>28800.128381192601</v>
      </c>
      <c r="DG150" cm="1">
        <f t="array" aca="1" ref="DG150" ca="1">IF(ISNA(I150),,OFFSET(INDIRECT("'"&amp;DX$67&amp;"'!f1"),I150-1,))*1</f>
        <v>0.50218012499681197</v>
      </c>
      <c r="DH150" cm="1">
        <f t="array" aca="1" ref="DH150" ca="1">IF(ISNA(J150),,OFFSET(INDIRECT("'"&amp;DY$67&amp;"'!f1"),J150-1,))*1</f>
        <v>0.26764570688828798</v>
      </c>
      <c r="DI150" cm="1">
        <f t="array" aca="1" ref="DI150" ca="1">IF(ISNA(K150),,OFFSET(INDIRECT("'"&amp;DZ$67&amp;"'!f1"),K150-1,))*1</f>
        <v>3.2120686760172199</v>
      </c>
      <c r="DJ150" cm="1">
        <f t="array" aca="1" ref="DJ150" ca="1">IF(ISNA(L150),,OFFSET(INDIRECT("'"&amp;EA$67&amp;"'!f1"),L150-1,))*1</f>
        <v>3.8373561445623601</v>
      </c>
      <c r="DK150" cm="1">
        <f t="array" aca="1" ref="DK150" ca="1">IF(ISNA(M150),,OFFSET(INDIRECT("'"&amp;EB$67&amp;"'!f1"),M150-1,))*1</f>
        <v>66.845416124910102</v>
      </c>
      <c r="DL150" cm="1">
        <f t="array" aca="1" ref="DL150" ca="1">IF(ISNA(N150),,OFFSET(INDIRECT("'"&amp;EC$67&amp;"'!f1"),N150-1,))*1</f>
        <v>1.3583795167505699E-2</v>
      </c>
      <c r="DM150" cm="1">
        <f t="array" aca="1" ref="DM150" ca="1">IF(ISNA(O150),,OFFSET(INDIRECT("'"&amp;ED$67&amp;"'!f1"),O150-1,))*1</f>
        <v>1.37026328593492E-2</v>
      </c>
      <c r="DN150" cm="1">
        <f t="array" aca="1" ref="DN150" ca="1">IF(ISNA(P150),,OFFSET(INDIRECT("'"&amp;EE$67&amp;"'!f1"),P150-1,))*1</f>
        <v>2.2574227303266501E-2</v>
      </c>
      <c r="DT150">
        <f t="shared" ca="1" si="125"/>
        <v>1</v>
      </c>
      <c r="DU150">
        <f t="shared" ca="1" si="126"/>
        <v>1</v>
      </c>
      <c r="DV150">
        <f t="shared" ca="1" si="127"/>
        <v>0</v>
      </c>
      <c r="DW150">
        <f t="shared" ca="1" si="128"/>
        <v>0</v>
      </c>
      <c r="DX150">
        <f t="shared" ca="1" si="129"/>
        <v>1</v>
      </c>
      <c r="DY150">
        <f t="shared" ca="1" si="130"/>
        <v>1</v>
      </c>
      <c r="DZ150">
        <f t="shared" ca="1" si="131"/>
        <v>2791</v>
      </c>
      <c r="EA150">
        <f t="shared" ca="1" si="132"/>
        <v>7065</v>
      </c>
      <c r="EB150">
        <f t="shared" ca="1" si="133"/>
        <v>2190</v>
      </c>
      <c r="EC150">
        <f t="shared" ca="1" si="134"/>
        <v>0</v>
      </c>
      <c r="ED150">
        <f t="shared" ca="1" si="135"/>
        <v>0</v>
      </c>
      <c r="EE150">
        <f t="shared" ca="1" si="136"/>
        <v>0</v>
      </c>
      <c r="EK150" cm="1">
        <f t="array" aca="1" ref="EK150" ca="1">IF(ISNA(E150),0,OFFSET(INDIRECT("'"&amp;EK$67&amp;"'!g1"),E150-1,)*CL150)</f>
        <v>1</v>
      </c>
      <c r="EL150" cm="1">
        <f t="array" aca="1" ref="EL150" ca="1">IF(ISNA(F150),0,OFFSET(INDIRECT("'"&amp;EL$67&amp;"'!g1"),F150-1,)*CM150)</f>
        <v>1</v>
      </c>
      <c r="EM150" cm="1">
        <f t="array" aca="1" ref="EM150" ca="1">IF(ISNA(G150),0,OFFSET(INDIRECT("'"&amp;EM$67&amp;"'!g1"),G150-1,)*CN150)</f>
        <v>0</v>
      </c>
      <c r="EN150" cm="1">
        <f t="array" aca="1" ref="EN150" ca="1">IF(ISNA(H150),0,OFFSET(INDIRECT("'"&amp;EN$67&amp;"'!g1"),H150-1,)*CO150)</f>
        <v>0</v>
      </c>
      <c r="EO150" cm="1">
        <f t="array" aca="1" ref="EO150" ca="1">IF(ISNA(I150),0,OFFSET(INDIRECT("'"&amp;EO$67&amp;"'!g1"),I150-1,)*CP150)</f>
        <v>1</v>
      </c>
      <c r="EP150" cm="1">
        <f t="array" aca="1" ref="EP150" ca="1">IF(ISNA(J150),0,OFFSET(INDIRECT("'"&amp;EP$67&amp;"'!g1"),J150-1,)*CQ150)</f>
        <v>1</v>
      </c>
      <c r="EQ150" cm="1">
        <f t="array" aca="1" ref="EQ150" ca="1">IF(ISNA(K150),0,OFFSET(INDIRECT("'"&amp;EQ$67&amp;"'!g1"),K150-1,)*CR150)</f>
        <v>2791</v>
      </c>
      <c r="ER150" cm="1">
        <f t="array" aca="1" ref="ER150" ca="1">IF(ISNA(L150),0,OFFSET(INDIRECT("'"&amp;ER$67&amp;"'!g1"),L150-1,)*CS150)</f>
        <v>7065</v>
      </c>
      <c r="ES150" cm="1">
        <f t="array" aca="1" ref="ES150" ca="1">IF(ISNA(M150),0,OFFSET(INDIRECT("'"&amp;ES$67&amp;"'!g1"),M150-1,)*CT150)</f>
        <v>2190</v>
      </c>
      <c r="ET150" cm="1">
        <f t="array" aca="1" ref="ET150" ca="1">IF(ISNA(N150),0,OFFSET(INDIRECT("'"&amp;ET$67&amp;"'!g1"),N150-1,)*CU150)</f>
        <v>0</v>
      </c>
      <c r="EU150" cm="1">
        <f t="array" aca="1" ref="EU150" ca="1">IF(ISNA(O150),0,OFFSET(INDIRECT("'"&amp;EU$67&amp;"'!g1"),O150-1,)*CV150)</f>
        <v>0</v>
      </c>
      <c r="EV150" cm="1">
        <f t="array" aca="1" ref="EV150" ca="1">IF(ISNA(P150),0,OFFSET(INDIRECT("'"&amp;EV$67&amp;"'!g1"),P150-1,)*CW150)</f>
        <v>0</v>
      </c>
      <c r="FB150" s="10" cm="1">
        <f t="array" aca="1" ref="FB150" ca="1">IF(ISNA(E150),0,OFFSET(INDIRECT("'"&amp;EK$67&amp;"'!h1"),E150-1,))</f>
        <v>1</v>
      </c>
      <c r="FC150" s="10" cm="1">
        <f t="array" aca="1" ref="FC150" ca="1">IF(ISNA(F150),0,OFFSET(INDIRECT("'"&amp;EL$67&amp;"'!h1"),F150-1,))</f>
        <v>1</v>
      </c>
      <c r="FD150" s="10" cm="1">
        <f t="array" aca="1" ref="FD150" ca="1">IF(ISNA(G150),0,OFFSET(INDIRECT("'"&amp;EM$67&amp;"'!h1"),G150-1,))</f>
        <v>1</v>
      </c>
      <c r="FE150" s="10" cm="1">
        <f t="array" aca="1" ref="FE150" ca="1">IF(ISNA(H150),0,OFFSET(INDIRECT("'"&amp;EN$67&amp;"'!h1"),H150-1,))</f>
        <v>1</v>
      </c>
      <c r="FF150" s="10" cm="1">
        <f t="array" aca="1" ref="FF150" ca="1">IF(ISNA(I150),0,OFFSET(INDIRECT("'"&amp;EO$67&amp;"'!h1"),I150-1,))</f>
        <v>1</v>
      </c>
      <c r="FG150" s="10" cm="1">
        <f t="array" aca="1" ref="FG150" ca="1">IF(ISNA(J150),0,OFFSET(INDIRECT("'"&amp;EP$67&amp;"'!h1"),J150-1,))</f>
        <v>1</v>
      </c>
      <c r="FH150" s="10" cm="1">
        <f t="array" aca="1" ref="FH150" ca="1">IF(ISNA(K150),0,OFFSET(INDIRECT("'"&amp;EQ$67&amp;"'!h1"),K150-1,))</f>
        <v>10000</v>
      </c>
      <c r="FI150" s="10" cm="1">
        <f t="array" aca="1" ref="FI150" ca="1">IF(ISNA(L150),0,OFFSET(INDIRECT("'"&amp;ER$67&amp;"'!h1"),L150-1,))</f>
        <v>10000</v>
      </c>
      <c r="FJ150" s="10" cm="1">
        <f t="array" aca="1" ref="FJ150" ca="1">IF(ISNA(M150),0,OFFSET(INDIRECT("'"&amp;ES$67&amp;"'!h1"),M150-1,))</f>
        <v>10000</v>
      </c>
      <c r="FK150" s="10" cm="1">
        <f t="array" aca="1" ref="FK150" ca="1">IF(ISNA(N150),0,OFFSET(INDIRECT("'"&amp;ET$67&amp;"'!h1"),N150-1,))</f>
        <v>1</v>
      </c>
      <c r="FL150" s="10" cm="1">
        <f t="array" aca="1" ref="FL150" ca="1">IF(ISNA(O150),0,OFFSET(INDIRECT("'"&amp;EU$67&amp;"'!h1"),O150-1,))</f>
        <v>1</v>
      </c>
      <c r="FM150" s="10" cm="1">
        <f t="array" aca="1" ref="FM150" ca="1">IF(ISNA(P150),0,OFFSET(INDIRECT("'"&amp;EV$67&amp;"'!h1"),P150-1,))</f>
        <v>9</v>
      </c>
      <c r="FN150" s="10"/>
      <c r="FO150" s="10"/>
      <c r="FP150" s="10"/>
      <c r="FQ150" s="10"/>
      <c r="FS150">
        <f t="shared" ca="1" si="137"/>
        <v>90</v>
      </c>
      <c r="FT150">
        <f t="shared" ca="1" si="62"/>
        <v>3.2120686760172199</v>
      </c>
      <c r="FU150">
        <f t="shared" ca="1" si="63"/>
        <v>2791</v>
      </c>
      <c r="FV150">
        <f t="shared" ca="1" si="64"/>
        <v>10000</v>
      </c>
      <c r="FW150" s="4">
        <f t="shared" ca="1" si="138"/>
        <v>0.27910000000000001</v>
      </c>
      <c r="FX150" s="5">
        <f t="shared" ca="1" si="139"/>
        <v>1.150866598358015E-3</v>
      </c>
      <c r="FZ150" s="13">
        <f t="shared" ca="1" si="140"/>
        <v>90</v>
      </c>
      <c r="GA150" s="23">
        <f t="shared" ca="1" si="141"/>
        <v>0</v>
      </c>
      <c r="GB150" s="23">
        <f t="shared" ca="1" si="142"/>
        <v>0</v>
      </c>
      <c r="GC150" s="23">
        <f t="shared" ca="1" si="143"/>
        <v>0.19047619047619047</v>
      </c>
      <c r="GD150" s="23" t="e">
        <f t="shared" ca="1" si="144"/>
        <v>#N/A</v>
      </c>
      <c r="GE150" s="23">
        <f t="shared" ca="1" si="145"/>
        <v>0</v>
      </c>
      <c r="GF150" s="23">
        <f t="shared" ca="1" si="146"/>
        <v>0</v>
      </c>
      <c r="GG150" s="23">
        <f t="shared" ca="1" si="147"/>
        <v>0</v>
      </c>
      <c r="GH150" s="23">
        <f t="shared" ca="1" si="148"/>
        <v>0</v>
      </c>
      <c r="GI150" s="23">
        <f t="shared" ca="1" si="149"/>
        <v>0</v>
      </c>
      <c r="GJ150" s="23" t="e">
        <f t="shared" ca="1" si="150"/>
        <v>#N/A</v>
      </c>
      <c r="GK150" s="23" t="e">
        <f t="shared" ca="1" si="151"/>
        <v>#N/A</v>
      </c>
      <c r="GL150" s="23" t="e">
        <f t="shared" ca="1" si="152"/>
        <v>#N/A</v>
      </c>
      <c r="GM150" s="23"/>
      <c r="GN150">
        <f t="shared" ca="1" si="153"/>
        <v>90</v>
      </c>
      <c r="GO150" s="5" t="e">
        <f t="shared" ca="1" si="154"/>
        <v>#N/A</v>
      </c>
      <c r="GP150" s="5" t="e">
        <f t="shared" ca="1" si="155"/>
        <v>#N/A</v>
      </c>
      <c r="GQ150" s="5" t="e">
        <f t="shared" ca="1" si="156"/>
        <v>#N/A</v>
      </c>
      <c r="GR150" s="5" t="e">
        <f t="shared" ca="1" si="157"/>
        <v>#N/A</v>
      </c>
      <c r="GS150" s="5">
        <f t="shared" ca="1" si="158"/>
        <v>0.50218012499681197</v>
      </c>
      <c r="GT150" s="5">
        <f t="shared" ca="1" si="159"/>
        <v>0.26764570688828798</v>
      </c>
      <c r="GU150" s="5">
        <f t="shared" ca="1" si="160"/>
        <v>1.150866598358015E-3</v>
      </c>
      <c r="GV150" s="5">
        <f t="shared" ca="1" si="161"/>
        <v>5.4315019739028451E-4</v>
      </c>
      <c r="GW150" s="5">
        <f t="shared" ca="1" si="162"/>
        <v>3.0523021061602786E-2</v>
      </c>
      <c r="GX150" s="5" t="e">
        <f t="shared" ca="1" si="163"/>
        <v>#N/A</v>
      </c>
      <c r="GY150" s="5" t="e">
        <f t="shared" ca="1" si="164"/>
        <v>#N/A</v>
      </c>
      <c r="GZ150" s="5" t="e">
        <f t="shared" ca="1" si="165"/>
        <v>#N/A</v>
      </c>
      <c r="HB150" s="13">
        <f t="shared" ca="1" si="166"/>
        <v>90</v>
      </c>
      <c r="HC150" s="4">
        <f t="shared" ca="1" si="167"/>
        <v>1</v>
      </c>
      <c r="HD150" s="4">
        <f t="shared" ca="1" si="168"/>
        <v>1</v>
      </c>
      <c r="HE150" s="4">
        <f t="shared" ca="1" si="169"/>
        <v>0</v>
      </c>
      <c r="HF150" s="4">
        <f t="shared" ca="1" si="170"/>
        <v>0</v>
      </c>
      <c r="HG150" s="4">
        <f t="shared" ca="1" si="171"/>
        <v>1</v>
      </c>
      <c r="HH150" s="4">
        <f t="shared" ca="1" si="172"/>
        <v>1</v>
      </c>
      <c r="HI150" s="4">
        <f t="shared" ca="1" si="173"/>
        <v>0.27910000000000001</v>
      </c>
      <c r="HJ150" s="4">
        <f t="shared" ca="1" si="174"/>
        <v>0.70650000000000002</v>
      </c>
      <c r="HK150" s="4">
        <f t="shared" ca="1" si="175"/>
        <v>0.219</v>
      </c>
      <c r="HL150" s="4">
        <f t="shared" ca="1" si="176"/>
        <v>0</v>
      </c>
      <c r="HM150" s="4">
        <f t="shared" ca="1" si="177"/>
        <v>0</v>
      </c>
      <c r="HN150" s="4">
        <f t="shared" ca="1" si="178"/>
        <v>0</v>
      </c>
    </row>
    <row r="151" spans="1:222" x14ac:dyDescent="0.2">
      <c r="A151" t="str" cm="1">
        <f t="array" aca="1" ref="A151" ca="1">INDIRECT($A$67&amp;"!A"&amp;ROW(C84)+$B$64)</f>
        <v>[[91,26,25]]</v>
      </c>
      <c r="B151" cm="1">
        <f t="array" aca="1" ref="B151" ca="1">INDIRECT($A$67&amp;"!b"&amp;ROW(D84)+$B$64)</f>
        <v>91</v>
      </c>
      <c r="C151">
        <f t="shared" ca="1" si="78"/>
        <v>25</v>
      </c>
      <c r="E151">
        <f t="shared" ca="1" si="184"/>
        <v>108</v>
      </c>
      <c r="F151">
        <f t="shared" ca="1" si="184"/>
        <v>109</v>
      </c>
      <c r="G151">
        <f t="shared" ca="1" si="184"/>
        <v>108</v>
      </c>
      <c r="H151">
        <f t="shared" ca="1" si="184"/>
        <v>113</v>
      </c>
      <c r="I151">
        <f t="shared" ca="1" si="184"/>
        <v>111</v>
      </c>
      <c r="J151">
        <f t="shared" ca="1" si="184"/>
        <v>108</v>
      </c>
      <c r="K151">
        <f t="shared" ca="1" si="184"/>
        <v>115</v>
      </c>
      <c r="L151">
        <f t="shared" ca="1" si="184"/>
        <v>117</v>
      </c>
      <c r="M151">
        <f t="shared" ca="1" si="184"/>
        <v>114</v>
      </c>
      <c r="N151">
        <f t="shared" ca="1" si="184"/>
        <v>112</v>
      </c>
      <c r="O151">
        <f t="shared" ca="1" si="184"/>
        <v>112</v>
      </c>
      <c r="P151">
        <f t="shared" ca="1" si="184"/>
        <v>112</v>
      </c>
      <c r="V151" cm="1">
        <f t="array" aca="1" ref="V151" ca="1">IF(ISNA(E151),,OFFSET(INDIRECT("'"&amp;V$67&amp;"'!d1"),E151-1,))</f>
        <v>25</v>
      </c>
      <c r="W151" cm="1">
        <f t="array" aca="1" ref="W151" ca="1">IF(ISNA(F151),,OFFSET(INDIRECT("'"&amp;W$67&amp;"'!d1"),F151-1,))</f>
        <v>25</v>
      </c>
      <c r="X151" cm="1">
        <f t="array" aca="1" ref="X151" ca="1">IF(ISNA(G151),,OFFSET(INDIRECT("'"&amp;X$67&amp;"'!d1"),G151-1,))</f>
        <v>25</v>
      </c>
      <c r="Y151" cm="1">
        <f t="array" aca="1" ref="Y151" ca="1">IF(ISNA(H151),,OFFSET(INDIRECT("'"&amp;Y$67&amp;"'!d1"),H151-1,))</f>
        <v>0</v>
      </c>
      <c r="Z151" cm="1">
        <f t="array" aca="1" ref="Z151" ca="1">IF(ISNA(I151),,OFFSET(INDIRECT("'"&amp;Z$67&amp;"'!d1"),I151-1,))</f>
        <v>25</v>
      </c>
      <c r="AA151" cm="1">
        <f t="array" aca="1" ref="AA151" ca="1">IF(ISNA(J151),,OFFSET(INDIRECT("'"&amp;AA$67&amp;"'!d1"),J151-1,))</f>
        <v>25</v>
      </c>
      <c r="AB151" cm="1">
        <f t="array" aca="1" ref="AB151" ca="1">IF(ISNA(K151),,OFFSET(INDIRECT("'"&amp;AB$67&amp;"'!d1"),K151-1,))</f>
        <v>25</v>
      </c>
      <c r="AC151" cm="1">
        <f t="array" aca="1" ref="AC151" ca="1">IF(ISNA(L151),,OFFSET(INDIRECT("'"&amp;AC$67&amp;"'!d1"),L151-1,))</f>
        <v>25</v>
      </c>
      <c r="AD151" cm="1">
        <f t="array" aca="1" ref="AD151" ca="1">IF(ISNA(M151),,OFFSET(INDIRECT("'"&amp;AD$67&amp;"'!d1"),M151-1,))</f>
        <v>25</v>
      </c>
      <c r="AE151" cm="1">
        <f t="array" aca="1" ref="AE151" ca="1">IF(ISNA(N151),,OFFSET(INDIRECT("'"&amp;AE$67&amp;"'!d1"),N151-1,))</f>
        <v>0</v>
      </c>
      <c r="AF151" cm="1">
        <f t="array" aca="1" ref="AF151" ca="1">IF(ISNA(O151),,OFFSET(INDIRECT("'"&amp;AF$67&amp;"'!d1"),O151-1,))</f>
        <v>0</v>
      </c>
      <c r="AG151" cm="1">
        <f t="array" aca="1" ref="AG151" ca="1">IF(ISNA(P151),,OFFSET(INDIRECT("'"&amp;AG$67&amp;"'!d1"),P151-1,))</f>
        <v>0</v>
      </c>
      <c r="AM151">
        <f t="shared" ca="1" si="79"/>
        <v>0</v>
      </c>
      <c r="AN151">
        <f t="shared" ca="1" si="80"/>
        <v>0</v>
      </c>
      <c r="AO151">
        <f t="shared" ca="1" si="81"/>
        <v>0</v>
      </c>
      <c r="AP151">
        <f t="shared" ca="1" si="82"/>
        <v>0</v>
      </c>
      <c r="AQ151">
        <f t="shared" ca="1" si="83"/>
        <v>1</v>
      </c>
      <c r="AV151" t="str">
        <f t="shared" ca="1" si="84"/>
        <v/>
      </c>
      <c r="AW151" t="str">
        <f t="shared" ca="1" si="85"/>
        <v/>
      </c>
      <c r="AX151" t="str">
        <f t="shared" ca="1" si="86"/>
        <v/>
      </c>
      <c r="AY151" t="str">
        <f t="shared" ca="1" si="87"/>
        <v/>
      </c>
      <c r="AZ151" t="b">
        <f t="shared" ca="1" si="88"/>
        <v>1</v>
      </c>
      <c r="BD151">
        <f t="shared" ca="1" si="89"/>
        <v>1</v>
      </c>
      <c r="BE151">
        <f t="shared" ca="1" si="90"/>
        <v>1</v>
      </c>
      <c r="BF151">
        <f t="shared" ca="1" si="91"/>
        <v>1</v>
      </c>
      <c r="BG151">
        <f t="shared" ca="1" si="92"/>
        <v>0</v>
      </c>
      <c r="BH151">
        <f t="shared" ca="1" si="93"/>
        <v>1</v>
      </c>
      <c r="BI151">
        <f t="shared" ca="1" si="94"/>
        <v>1</v>
      </c>
      <c r="BJ151">
        <f t="shared" ca="1" si="95"/>
        <v>1</v>
      </c>
      <c r="BK151">
        <f t="shared" ca="1" si="96"/>
        <v>1</v>
      </c>
      <c r="BL151">
        <f t="shared" ca="1" si="97"/>
        <v>1</v>
      </c>
      <c r="BM151">
        <f t="shared" ca="1" si="98"/>
        <v>0</v>
      </c>
      <c r="BN151">
        <f t="shared" ca="1" si="99"/>
        <v>0</v>
      </c>
      <c r="BO151">
        <f t="shared" ca="1" si="100"/>
        <v>0</v>
      </c>
      <c r="BU151">
        <f t="shared" ca="1" si="101"/>
        <v>25</v>
      </c>
      <c r="BV151">
        <f t="shared" ca="1" si="102"/>
        <v>25</v>
      </c>
      <c r="BW151">
        <f t="shared" ca="1" si="103"/>
        <v>25</v>
      </c>
      <c r="BX151">
        <f t="shared" ca="1" si="104"/>
        <v>91</v>
      </c>
      <c r="BY151">
        <f t="shared" ca="1" si="105"/>
        <v>25</v>
      </c>
      <c r="BZ151">
        <f t="shared" ca="1" si="106"/>
        <v>25</v>
      </c>
      <c r="CA151">
        <f t="shared" ca="1" si="107"/>
        <v>25</v>
      </c>
      <c r="CB151">
        <f t="shared" ca="1" si="108"/>
        <v>25</v>
      </c>
      <c r="CC151">
        <f t="shared" ca="1" si="109"/>
        <v>25</v>
      </c>
      <c r="CD151">
        <f t="shared" ca="1" si="110"/>
        <v>91</v>
      </c>
      <c r="CE151">
        <f t="shared" ca="1" si="111"/>
        <v>91</v>
      </c>
      <c r="CF151">
        <f t="shared" ca="1" si="112"/>
        <v>91</v>
      </c>
      <c r="CL151">
        <f t="shared" ca="1" si="113"/>
        <v>1</v>
      </c>
      <c r="CM151">
        <f t="shared" ca="1" si="114"/>
        <v>1</v>
      </c>
      <c r="CN151">
        <f t="shared" ca="1" si="115"/>
        <v>1</v>
      </c>
      <c r="CO151">
        <f t="shared" ca="1" si="116"/>
        <v>0</v>
      </c>
      <c r="CP151">
        <f t="shared" ca="1" si="117"/>
        <v>1</v>
      </c>
      <c r="CQ151">
        <f t="shared" ca="1" si="118"/>
        <v>1</v>
      </c>
      <c r="CR151">
        <f t="shared" ca="1" si="119"/>
        <v>1</v>
      </c>
      <c r="CS151">
        <f t="shared" ca="1" si="120"/>
        <v>1</v>
      </c>
      <c r="CT151">
        <f t="shared" ca="1" si="121"/>
        <v>1</v>
      </c>
      <c r="CU151">
        <f t="shared" ca="1" si="122"/>
        <v>0</v>
      </c>
      <c r="CV151">
        <f t="shared" ca="1" si="123"/>
        <v>0</v>
      </c>
      <c r="CW151">
        <f t="shared" ca="1" si="124"/>
        <v>0</v>
      </c>
      <c r="DC151" cm="1">
        <f t="array" aca="1" ref="DC151" ca="1">IF(ISNA(E151),,OFFSET(INDIRECT("'"&amp;DT$67&amp;"'!f1"),E151-1,))*1</f>
        <v>28846.163336277001</v>
      </c>
      <c r="DD151" cm="1">
        <f t="array" aca="1" ref="DD151" ca="1">IF(ISNA(F151),,OFFSET(INDIRECT("'"&amp;DU$67&amp;"'!f1"),F151-1,))*1</f>
        <v>28815.112289920398</v>
      </c>
      <c r="DE151" cm="1">
        <f t="array" aca="1" ref="DE151" ca="1">IF(ISNA(G151),,OFFSET(INDIRECT("'"&amp;DV$67&amp;"'!f1"),G151-1,))*1</f>
        <v>28800.161998443298</v>
      </c>
      <c r="DF151" cm="1">
        <f t="array" aca="1" ref="DF151" ca="1">IF(ISNA(H151),,OFFSET(INDIRECT("'"&amp;DW$67&amp;"'!f1"),H151-1,))*1</f>
        <v>28800.189199499699</v>
      </c>
      <c r="DG151" cm="1">
        <f t="array" aca="1" ref="DG151" ca="1">IF(ISNA(I151),,OFFSET(INDIRECT("'"&amp;DX$67&amp;"'!f1"),I151-1,))*1</f>
        <v>7.3289208005007794E-2</v>
      </c>
      <c r="DH151" cm="1">
        <f t="array" aca="1" ref="DH151" ca="1">IF(ISNA(J151),,OFFSET(INDIRECT("'"&amp;DY$67&amp;"'!f1"),J151-1,))*1</f>
        <v>0.29812502209097103</v>
      </c>
      <c r="DI151" cm="1">
        <f t="array" aca="1" ref="DI151" ca="1">IF(ISNA(K151),,OFFSET(INDIRECT("'"&amp;DZ$67&amp;"'!f1"),K151-1,))*1</f>
        <v>3.5290865851566098</v>
      </c>
      <c r="DJ151" cm="1">
        <f t="array" aca="1" ref="DJ151" ca="1">IF(ISNA(L151),,OFFSET(INDIRECT("'"&amp;EA$67&amp;"'!f1"),L151-1,))*1</f>
        <v>4.0884237661957696</v>
      </c>
      <c r="DK151" cm="1">
        <f t="array" aca="1" ref="DK151" ca="1">IF(ISNA(M151),,OFFSET(INDIRECT("'"&amp;EB$67&amp;"'!f1"),M151-1,))*1</f>
        <v>56.546633495017801</v>
      </c>
      <c r="DL151" cm="1">
        <f t="array" aca="1" ref="DL151" ca="1">IF(ISNA(N151),,OFFSET(INDIRECT("'"&amp;EC$67&amp;"'!f1"),N151-1,))*1</f>
        <v>1.29183316603302E-2</v>
      </c>
      <c r="DM151" cm="1">
        <f t="array" aca="1" ref="DM151" ca="1">IF(ISNA(O151),,OFFSET(INDIRECT("'"&amp;ED$67&amp;"'!f1"),O151-1,))*1</f>
        <v>1.3202752918004899E-2</v>
      </c>
      <c r="DN151" cm="1">
        <f t="array" aca="1" ref="DN151" ca="1">IF(ISNA(P151),,OFFSET(INDIRECT("'"&amp;EE$67&amp;"'!f1"),P151-1,))*1</f>
        <v>2.1792066283524002E-2</v>
      </c>
      <c r="DT151">
        <f t="shared" ca="1" si="125"/>
        <v>1</v>
      </c>
      <c r="DU151">
        <f t="shared" ca="1" si="126"/>
        <v>1</v>
      </c>
      <c r="DV151">
        <f t="shared" ca="1" si="127"/>
        <v>1</v>
      </c>
      <c r="DW151">
        <f t="shared" ca="1" si="128"/>
        <v>0</v>
      </c>
      <c r="DX151">
        <f t="shared" ca="1" si="129"/>
        <v>1</v>
      </c>
      <c r="DY151">
        <f t="shared" ca="1" si="130"/>
        <v>1</v>
      </c>
      <c r="DZ151">
        <f t="shared" ca="1" si="131"/>
        <v>1182</v>
      </c>
      <c r="EA151">
        <f t="shared" ca="1" si="132"/>
        <v>6075</v>
      </c>
      <c r="EB151">
        <f t="shared" ca="1" si="133"/>
        <v>930</v>
      </c>
      <c r="EC151">
        <f t="shared" ca="1" si="134"/>
        <v>0</v>
      </c>
      <c r="ED151">
        <f t="shared" ca="1" si="135"/>
        <v>0</v>
      </c>
      <c r="EE151">
        <f t="shared" ca="1" si="136"/>
        <v>0</v>
      </c>
      <c r="EK151" cm="1">
        <f t="array" aca="1" ref="EK151" ca="1">IF(ISNA(E151),0,OFFSET(INDIRECT("'"&amp;EK$67&amp;"'!g1"),E151-1,)*CL151)</f>
        <v>1</v>
      </c>
      <c r="EL151" cm="1">
        <f t="array" aca="1" ref="EL151" ca="1">IF(ISNA(F151),0,OFFSET(INDIRECT("'"&amp;EL$67&amp;"'!g1"),F151-1,)*CM151)</f>
        <v>1</v>
      </c>
      <c r="EM151" cm="1">
        <f t="array" aca="1" ref="EM151" ca="1">IF(ISNA(G151),0,OFFSET(INDIRECT("'"&amp;EM$67&amp;"'!g1"),G151-1,)*CN151)</f>
        <v>1</v>
      </c>
      <c r="EN151" cm="1">
        <f t="array" aca="1" ref="EN151" ca="1">IF(ISNA(H151),0,OFFSET(INDIRECT("'"&amp;EN$67&amp;"'!g1"),H151-1,)*CO151)</f>
        <v>0</v>
      </c>
      <c r="EO151" cm="1">
        <f t="array" aca="1" ref="EO151" ca="1">IF(ISNA(I151),0,OFFSET(INDIRECT("'"&amp;EO$67&amp;"'!g1"),I151-1,)*CP151)</f>
        <v>1</v>
      </c>
      <c r="EP151" cm="1">
        <f t="array" aca="1" ref="EP151" ca="1">IF(ISNA(J151),0,OFFSET(INDIRECT("'"&amp;EP$67&amp;"'!g1"),J151-1,)*CQ151)</f>
        <v>1</v>
      </c>
      <c r="EQ151" cm="1">
        <f t="array" aca="1" ref="EQ151" ca="1">IF(ISNA(K151),0,OFFSET(INDIRECT("'"&amp;EQ$67&amp;"'!g1"),K151-1,)*CR151)</f>
        <v>1182</v>
      </c>
      <c r="ER151" cm="1">
        <f t="array" aca="1" ref="ER151" ca="1">IF(ISNA(L151),0,OFFSET(INDIRECT("'"&amp;ER$67&amp;"'!g1"),L151-1,)*CS151)</f>
        <v>6075</v>
      </c>
      <c r="ES151" cm="1">
        <f t="array" aca="1" ref="ES151" ca="1">IF(ISNA(M151),0,OFFSET(INDIRECT("'"&amp;ES$67&amp;"'!g1"),M151-1,)*CT151)</f>
        <v>930</v>
      </c>
      <c r="ET151" cm="1">
        <f t="array" aca="1" ref="ET151" ca="1">IF(ISNA(N151),0,OFFSET(INDIRECT("'"&amp;ET$67&amp;"'!g1"),N151-1,)*CU151)</f>
        <v>0</v>
      </c>
      <c r="EU151" cm="1">
        <f t="array" aca="1" ref="EU151" ca="1">IF(ISNA(O151),0,OFFSET(INDIRECT("'"&amp;EU$67&amp;"'!g1"),O151-1,)*CV151)</f>
        <v>0</v>
      </c>
      <c r="EV151" cm="1">
        <f t="array" aca="1" ref="EV151" ca="1">IF(ISNA(P151),0,OFFSET(INDIRECT("'"&amp;EV$67&amp;"'!g1"),P151-1,)*CW151)</f>
        <v>0</v>
      </c>
      <c r="FB151" s="10" cm="1">
        <f t="array" aca="1" ref="FB151" ca="1">IF(ISNA(E151),0,OFFSET(INDIRECT("'"&amp;EK$67&amp;"'!h1"),E151-1,))</f>
        <v>1</v>
      </c>
      <c r="FC151" s="10" cm="1">
        <f t="array" aca="1" ref="FC151" ca="1">IF(ISNA(F151),0,OFFSET(INDIRECT("'"&amp;EL$67&amp;"'!h1"),F151-1,))</f>
        <v>1</v>
      </c>
      <c r="FD151" s="10" cm="1">
        <f t="array" aca="1" ref="FD151" ca="1">IF(ISNA(G151),0,OFFSET(INDIRECT("'"&amp;EM$67&amp;"'!h1"),G151-1,))</f>
        <v>1</v>
      </c>
      <c r="FE151" s="10" cm="1">
        <f t="array" aca="1" ref="FE151" ca="1">IF(ISNA(H151),0,OFFSET(INDIRECT("'"&amp;EN$67&amp;"'!h1"),H151-1,))</f>
        <v>1</v>
      </c>
      <c r="FF151" s="10" cm="1">
        <f t="array" aca="1" ref="FF151" ca="1">IF(ISNA(I151),0,OFFSET(INDIRECT("'"&amp;EO$67&amp;"'!h1"),I151-1,))</f>
        <v>1</v>
      </c>
      <c r="FG151" s="10" cm="1">
        <f t="array" aca="1" ref="FG151" ca="1">IF(ISNA(J151),0,OFFSET(INDIRECT("'"&amp;EP$67&amp;"'!h1"),J151-1,))</f>
        <v>1</v>
      </c>
      <c r="FH151" s="10" cm="1">
        <f t="array" aca="1" ref="FH151" ca="1">IF(ISNA(K151),0,OFFSET(INDIRECT("'"&amp;EQ$67&amp;"'!h1"),K151-1,))</f>
        <v>10000</v>
      </c>
      <c r="FI151" s="10" cm="1">
        <f t="array" aca="1" ref="FI151" ca="1">IF(ISNA(L151),0,OFFSET(INDIRECT("'"&amp;ER$67&amp;"'!h1"),L151-1,))</f>
        <v>10000</v>
      </c>
      <c r="FJ151" s="10" cm="1">
        <f t="array" aca="1" ref="FJ151" ca="1">IF(ISNA(M151),0,OFFSET(INDIRECT("'"&amp;ES$67&amp;"'!h1"),M151-1,))</f>
        <v>10000</v>
      </c>
      <c r="FK151" s="10" cm="1">
        <f t="array" aca="1" ref="FK151" ca="1">IF(ISNA(N151),0,OFFSET(INDIRECT("'"&amp;ET$67&amp;"'!h1"),N151-1,))</f>
        <v>1</v>
      </c>
      <c r="FL151" s="10" cm="1">
        <f t="array" aca="1" ref="FL151" ca="1">IF(ISNA(O151),0,OFFSET(INDIRECT("'"&amp;EU$67&amp;"'!h1"),O151-1,))</f>
        <v>1</v>
      </c>
      <c r="FM151" s="10" cm="1">
        <f t="array" aca="1" ref="FM151" ca="1">IF(ISNA(P151),0,OFFSET(INDIRECT("'"&amp;EV$67&amp;"'!h1"),P151-1,))</f>
        <v>9</v>
      </c>
      <c r="FN151" s="10"/>
      <c r="FO151" s="10"/>
      <c r="FP151" s="10"/>
      <c r="FQ151" s="10"/>
      <c r="FS151">
        <f t="shared" ca="1" si="137"/>
        <v>91</v>
      </c>
      <c r="FT151">
        <f t="shared" ca="1" si="62"/>
        <v>3.5290865851566098</v>
      </c>
      <c r="FU151">
        <f t="shared" ca="1" si="63"/>
        <v>1182</v>
      </c>
      <c r="FV151">
        <f t="shared" ca="1" si="64"/>
        <v>10000</v>
      </c>
      <c r="FW151" s="4">
        <f t="shared" ca="1" si="138"/>
        <v>0.1182</v>
      </c>
      <c r="FX151" s="5">
        <f t="shared" ca="1" si="139"/>
        <v>2.9856908503863027E-3</v>
      </c>
      <c r="FZ151" s="13">
        <f t="shared" ca="1" si="140"/>
        <v>91</v>
      </c>
      <c r="GA151" s="23">
        <f t="shared" ca="1" si="141"/>
        <v>0</v>
      </c>
      <c r="GB151" s="23">
        <f t="shared" ca="1" si="142"/>
        <v>0</v>
      </c>
      <c r="GC151" s="23">
        <f t="shared" ca="1" si="143"/>
        <v>0</v>
      </c>
      <c r="GD151" s="23" t="e">
        <f t="shared" ca="1" si="144"/>
        <v>#N/A</v>
      </c>
      <c r="GE151" s="23">
        <f t="shared" ca="1" si="145"/>
        <v>0</v>
      </c>
      <c r="GF151" s="23">
        <f t="shared" ca="1" si="146"/>
        <v>0</v>
      </c>
      <c r="GG151" s="23">
        <f t="shared" ca="1" si="147"/>
        <v>0</v>
      </c>
      <c r="GH151" s="23">
        <f t="shared" ca="1" si="148"/>
        <v>0</v>
      </c>
      <c r="GI151" s="23">
        <f t="shared" ca="1" si="149"/>
        <v>0</v>
      </c>
      <c r="GJ151" s="23" t="e">
        <f t="shared" ca="1" si="150"/>
        <v>#N/A</v>
      </c>
      <c r="GK151" s="23" t="e">
        <f t="shared" ca="1" si="151"/>
        <v>#N/A</v>
      </c>
      <c r="GL151" s="23" t="e">
        <f t="shared" ca="1" si="152"/>
        <v>#N/A</v>
      </c>
      <c r="GM151" s="23"/>
      <c r="GN151">
        <f t="shared" ca="1" si="153"/>
        <v>91</v>
      </c>
      <c r="GO151" s="5" t="e">
        <f t="shared" ca="1" si="154"/>
        <v>#N/A</v>
      </c>
      <c r="GP151" s="5" t="e">
        <f t="shared" ca="1" si="155"/>
        <v>#N/A</v>
      </c>
      <c r="GQ151" s="5" t="e">
        <f t="shared" ca="1" si="156"/>
        <v>#N/A</v>
      </c>
      <c r="GR151" s="5" t="e">
        <f t="shared" ca="1" si="157"/>
        <v>#N/A</v>
      </c>
      <c r="GS151" s="5">
        <f t="shared" ca="1" si="158"/>
        <v>7.3289208005007794E-2</v>
      </c>
      <c r="GT151" s="5">
        <f t="shared" ca="1" si="159"/>
        <v>0.29812502209097103</v>
      </c>
      <c r="GU151" s="5">
        <f t="shared" ca="1" si="160"/>
        <v>2.9856908503863027E-3</v>
      </c>
      <c r="GV151" s="5">
        <f t="shared" ca="1" si="161"/>
        <v>6.7299156645197859E-4</v>
      </c>
      <c r="GW151" s="5">
        <f t="shared" ca="1" si="162"/>
        <v>6.0802831715072905E-2</v>
      </c>
      <c r="GX151" s="5" t="e">
        <f t="shared" ca="1" si="163"/>
        <v>#N/A</v>
      </c>
      <c r="GY151" s="5" t="e">
        <f t="shared" ca="1" si="164"/>
        <v>#N/A</v>
      </c>
      <c r="GZ151" s="5" t="e">
        <f t="shared" ca="1" si="165"/>
        <v>#N/A</v>
      </c>
      <c r="HB151" s="13">
        <f t="shared" ca="1" si="166"/>
        <v>91</v>
      </c>
      <c r="HC151" s="4">
        <f t="shared" ca="1" si="167"/>
        <v>1</v>
      </c>
      <c r="HD151" s="4">
        <f t="shared" ca="1" si="168"/>
        <v>1</v>
      </c>
      <c r="HE151" s="4">
        <f t="shared" ca="1" si="169"/>
        <v>1</v>
      </c>
      <c r="HF151" s="4">
        <f t="shared" ca="1" si="170"/>
        <v>0</v>
      </c>
      <c r="HG151" s="4">
        <f t="shared" ca="1" si="171"/>
        <v>1</v>
      </c>
      <c r="HH151" s="4">
        <f t="shared" ca="1" si="172"/>
        <v>1</v>
      </c>
      <c r="HI151" s="4">
        <f t="shared" ca="1" si="173"/>
        <v>0.1182</v>
      </c>
      <c r="HJ151" s="4">
        <f t="shared" ca="1" si="174"/>
        <v>0.60750000000000004</v>
      </c>
      <c r="HK151" s="4">
        <f t="shared" ca="1" si="175"/>
        <v>9.2999999999999999E-2</v>
      </c>
      <c r="HL151" s="4">
        <f t="shared" ca="1" si="176"/>
        <v>0</v>
      </c>
      <c r="HM151" s="4">
        <f t="shared" ca="1" si="177"/>
        <v>0</v>
      </c>
      <c r="HN151" s="4">
        <f t="shared" ca="1" si="178"/>
        <v>0</v>
      </c>
    </row>
    <row r="152" spans="1:222" x14ac:dyDescent="0.2">
      <c r="A152" t="str" cm="1">
        <f t="array" aca="1" ref="A152" ca="1">INDIRECT($A$67&amp;"!A"&amp;ROW(C85)+$B$64)</f>
        <v>[[92,52,13]]</v>
      </c>
      <c r="B152" cm="1">
        <f t="array" aca="1" ref="B152" ca="1">INDIRECT($A$67&amp;"!b"&amp;ROW(D85)+$B$64)</f>
        <v>92</v>
      </c>
      <c r="C152">
        <f t="shared" ca="1" si="78"/>
        <v>13</v>
      </c>
      <c r="E152">
        <f t="shared" ca="1" si="184"/>
        <v>109</v>
      </c>
      <c r="F152">
        <f t="shared" ca="1" si="184"/>
        <v>110</v>
      </c>
      <c r="G152">
        <f t="shared" ca="1" si="184"/>
        <v>109</v>
      </c>
      <c r="H152">
        <f t="shared" ca="1" si="184"/>
        <v>114</v>
      </c>
      <c r="I152">
        <f t="shared" ca="1" si="184"/>
        <v>112</v>
      </c>
      <c r="J152">
        <f t="shared" ca="1" si="184"/>
        <v>109</v>
      </c>
      <c r="K152">
        <f t="shared" ca="1" si="184"/>
        <v>116</v>
      </c>
      <c r="L152">
        <f t="shared" ca="1" si="184"/>
        <v>118</v>
      </c>
      <c r="M152">
        <f t="shared" ca="1" si="184"/>
        <v>115</v>
      </c>
      <c r="N152">
        <f t="shared" ca="1" si="184"/>
        <v>113</v>
      </c>
      <c r="O152">
        <f t="shared" ca="1" si="184"/>
        <v>113</v>
      </c>
      <c r="P152">
        <f t="shared" ca="1" si="184"/>
        <v>113</v>
      </c>
      <c r="V152" cm="1">
        <f t="array" aca="1" ref="V152" ca="1">IF(ISNA(E152),,OFFSET(INDIRECT("'"&amp;V$67&amp;"'!d1"),E152-1,))</f>
        <v>13</v>
      </c>
      <c r="W152" cm="1">
        <f t="array" aca="1" ref="W152" ca="1">IF(ISNA(F152),,OFFSET(INDIRECT("'"&amp;W$67&amp;"'!d1"),F152-1,))</f>
        <v>13</v>
      </c>
      <c r="X152" cm="1">
        <f t="array" aca="1" ref="X152" ca="1">IF(ISNA(G152),,OFFSET(INDIRECT("'"&amp;X$67&amp;"'!d1"),G152-1,))</f>
        <v>14</v>
      </c>
      <c r="Y152" cm="1">
        <f t="array" aca="1" ref="Y152" ca="1">IF(ISNA(H152),,OFFSET(INDIRECT("'"&amp;Y$67&amp;"'!d1"),H152-1,))</f>
        <v>0</v>
      </c>
      <c r="Z152" cm="1">
        <f t="array" aca="1" ref="Z152" ca="1">IF(ISNA(I152),,OFFSET(INDIRECT("'"&amp;Z$67&amp;"'!d1"),I152-1,))</f>
        <v>13</v>
      </c>
      <c r="AA152" cm="1">
        <f t="array" aca="1" ref="AA152" ca="1">IF(ISNA(J152),,OFFSET(INDIRECT("'"&amp;AA$67&amp;"'!d1"),J152-1,))</f>
        <v>13</v>
      </c>
      <c r="AB152" cm="1">
        <f t="array" aca="1" ref="AB152" ca="1">IF(ISNA(K152),,OFFSET(INDIRECT("'"&amp;AB$67&amp;"'!d1"),K152-1,))</f>
        <v>13</v>
      </c>
      <c r="AC152" cm="1">
        <f t="array" aca="1" ref="AC152" ca="1">IF(ISNA(L152),,OFFSET(INDIRECT("'"&amp;AC$67&amp;"'!d1"),L152-1,))</f>
        <v>13</v>
      </c>
      <c r="AD152" cm="1">
        <f t="array" aca="1" ref="AD152" ca="1">IF(ISNA(M152),,OFFSET(INDIRECT("'"&amp;AD$67&amp;"'!d1"),M152-1,))</f>
        <v>13</v>
      </c>
      <c r="AE152" cm="1">
        <f t="array" aca="1" ref="AE152" ca="1">IF(ISNA(N152),,OFFSET(INDIRECT("'"&amp;AE$67&amp;"'!d1"),N152-1,))</f>
        <v>0</v>
      </c>
      <c r="AF152" cm="1">
        <f t="array" aca="1" ref="AF152" ca="1">IF(ISNA(O152),,OFFSET(INDIRECT("'"&amp;AF$67&amp;"'!d1"),O152-1,))</f>
        <v>0</v>
      </c>
      <c r="AG152" cm="1">
        <f t="array" aca="1" ref="AG152" ca="1">IF(ISNA(P152),,OFFSET(INDIRECT("'"&amp;AG$67&amp;"'!d1"),P152-1,))</f>
        <v>0</v>
      </c>
      <c r="AM152">
        <f t="shared" ca="1" si="79"/>
        <v>0</v>
      </c>
      <c r="AN152">
        <f t="shared" ca="1" si="80"/>
        <v>0</v>
      </c>
      <c r="AO152">
        <f t="shared" ca="1" si="81"/>
        <v>0</v>
      </c>
      <c r="AP152">
        <f t="shared" ca="1" si="82"/>
        <v>0</v>
      </c>
      <c r="AQ152">
        <f t="shared" ca="1" si="83"/>
        <v>1</v>
      </c>
      <c r="AV152" t="str">
        <f t="shared" ca="1" si="84"/>
        <v/>
      </c>
      <c r="AW152" t="str">
        <f t="shared" ca="1" si="85"/>
        <v/>
      </c>
      <c r="AX152" t="str">
        <f t="shared" ca="1" si="86"/>
        <v/>
      </c>
      <c r="AY152" t="str">
        <f t="shared" ca="1" si="87"/>
        <v/>
      </c>
      <c r="AZ152" t="b">
        <f t="shared" ca="1" si="88"/>
        <v>1</v>
      </c>
      <c r="BD152">
        <f t="shared" ca="1" si="89"/>
        <v>1</v>
      </c>
      <c r="BE152">
        <f t="shared" ca="1" si="90"/>
        <v>1</v>
      </c>
      <c r="BF152">
        <f t="shared" ca="1" si="91"/>
        <v>1</v>
      </c>
      <c r="BG152">
        <f t="shared" ca="1" si="92"/>
        <v>0</v>
      </c>
      <c r="BH152">
        <f t="shared" ca="1" si="93"/>
        <v>1</v>
      </c>
      <c r="BI152">
        <f t="shared" ca="1" si="94"/>
        <v>1</v>
      </c>
      <c r="BJ152">
        <f t="shared" ca="1" si="95"/>
        <v>1</v>
      </c>
      <c r="BK152">
        <f t="shared" ca="1" si="96"/>
        <v>1</v>
      </c>
      <c r="BL152">
        <f t="shared" ca="1" si="97"/>
        <v>1</v>
      </c>
      <c r="BM152">
        <f t="shared" ca="1" si="98"/>
        <v>0</v>
      </c>
      <c r="BN152">
        <f t="shared" ca="1" si="99"/>
        <v>0</v>
      </c>
      <c r="BO152">
        <f t="shared" ca="1" si="100"/>
        <v>0</v>
      </c>
      <c r="BU152">
        <f t="shared" ca="1" si="101"/>
        <v>13</v>
      </c>
      <c r="BV152">
        <f t="shared" ca="1" si="102"/>
        <v>13</v>
      </c>
      <c r="BW152">
        <f t="shared" ca="1" si="103"/>
        <v>14</v>
      </c>
      <c r="BX152">
        <f t="shared" ca="1" si="104"/>
        <v>92</v>
      </c>
      <c r="BY152">
        <f t="shared" ca="1" si="105"/>
        <v>13</v>
      </c>
      <c r="BZ152">
        <f t="shared" ca="1" si="106"/>
        <v>13</v>
      </c>
      <c r="CA152">
        <f t="shared" ca="1" si="107"/>
        <v>13</v>
      </c>
      <c r="CB152">
        <f t="shared" ca="1" si="108"/>
        <v>13</v>
      </c>
      <c r="CC152">
        <f t="shared" ca="1" si="109"/>
        <v>13</v>
      </c>
      <c r="CD152">
        <f t="shared" ca="1" si="110"/>
        <v>92</v>
      </c>
      <c r="CE152">
        <f t="shared" ca="1" si="111"/>
        <v>92</v>
      </c>
      <c r="CF152">
        <f t="shared" ca="1" si="112"/>
        <v>92</v>
      </c>
      <c r="CL152">
        <f t="shared" ca="1" si="113"/>
        <v>1</v>
      </c>
      <c r="CM152">
        <f t="shared" ca="1" si="114"/>
        <v>1</v>
      </c>
      <c r="CN152">
        <f t="shared" ca="1" si="115"/>
        <v>0</v>
      </c>
      <c r="CO152">
        <f t="shared" ca="1" si="116"/>
        <v>0</v>
      </c>
      <c r="CP152">
        <f t="shared" ca="1" si="117"/>
        <v>1</v>
      </c>
      <c r="CQ152">
        <f t="shared" ca="1" si="118"/>
        <v>1</v>
      </c>
      <c r="CR152">
        <f t="shared" ca="1" si="119"/>
        <v>1</v>
      </c>
      <c r="CS152">
        <f t="shared" ca="1" si="120"/>
        <v>1</v>
      </c>
      <c r="CT152">
        <f t="shared" ca="1" si="121"/>
        <v>1</v>
      </c>
      <c r="CU152">
        <f t="shared" ca="1" si="122"/>
        <v>0</v>
      </c>
      <c r="CV152">
        <f t="shared" ca="1" si="123"/>
        <v>0</v>
      </c>
      <c r="CW152">
        <f t="shared" ca="1" si="124"/>
        <v>0</v>
      </c>
      <c r="DC152" cm="1">
        <f t="array" aca="1" ref="DC152" ca="1">IF(ISNA(E152),,OFFSET(INDIRECT("'"&amp;DT$67&amp;"'!f1"),E152-1,))*1</f>
        <v>28893.601485371499</v>
      </c>
      <c r="DD152" cm="1">
        <f t="array" aca="1" ref="DD152" ca="1">IF(ISNA(F152),,OFFSET(INDIRECT("'"&amp;DU$67&amp;"'!f1"),F152-1,))*1</f>
        <v>28815.851118210001</v>
      </c>
      <c r="DE152" cm="1">
        <f t="array" aca="1" ref="DE152" ca="1">IF(ISNA(G152),,OFFSET(INDIRECT("'"&amp;DV$67&amp;"'!f1"),G152-1,))*1</f>
        <v>28800.164162680499</v>
      </c>
      <c r="DF152" cm="1">
        <f t="array" aca="1" ref="DF152" ca="1">IF(ISNA(H152),,OFFSET(INDIRECT("'"&amp;DW$67&amp;"'!f1"),H152-1,))*1</f>
        <v>28800.944650103302</v>
      </c>
      <c r="DG152" cm="1">
        <f t="array" aca="1" ref="DG152" ca="1">IF(ISNA(I152),,OFFSET(INDIRECT("'"&amp;DX$67&amp;"'!f1"),I152-1,))*1</f>
        <v>676.84917833399902</v>
      </c>
      <c r="DH152" cm="1">
        <f t="array" aca="1" ref="DH152" ca="1">IF(ISNA(J152),,OFFSET(INDIRECT("'"&amp;DY$67&amp;"'!f1"),J152-1,))*1</f>
        <v>0.187361952848732</v>
      </c>
      <c r="DI152" cm="1">
        <f t="array" aca="1" ref="DI152" ca="1">IF(ISNA(K152),,OFFSET(INDIRECT("'"&amp;DZ$67&amp;"'!f1"),K152-1,))*1</f>
        <v>2.63153023831546</v>
      </c>
      <c r="DJ152" cm="1">
        <f t="array" aca="1" ref="DJ152" ca="1">IF(ISNA(L152),,OFFSET(INDIRECT("'"&amp;EA$67&amp;"'!f1"),L152-1,))*1</f>
        <v>3.1266151964664401</v>
      </c>
      <c r="DK152" cm="1">
        <f t="array" aca="1" ref="DK152" ca="1">IF(ISNA(M152),,OFFSET(INDIRECT("'"&amp;EB$67&amp;"'!f1"),M152-1,))*1</f>
        <v>66.326239995658398</v>
      </c>
      <c r="DL152" cm="1">
        <f t="array" aca="1" ref="DL152" ca="1">IF(ISNA(N152),,OFFSET(INDIRECT("'"&amp;EC$67&amp;"'!f1"),N152-1,))*1</f>
        <v>1.6069364733994E-2</v>
      </c>
      <c r="DM152" cm="1">
        <f t="array" aca="1" ref="DM152" ca="1">IF(ISNA(O152),,OFFSET(INDIRECT("'"&amp;ED$67&amp;"'!f1"),O152-1,))*1</f>
        <v>1.6261436976492401E-2</v>
      </c>
      <c r="DN152" cm="1">
        <f t="array" aca="1" ref="DN152" ca="1">IF(ISNA(P152),,OFFSET(INDIRECT("'"&amp;EE$67&amp;"'!f1"),P152-1,))*1</f>
        <v>2.69667906686663E-2</v>
      </c>
      <c r="DT152">
        <f t="shared" ca="1" si="125"/>
        <v>1</v>
      </c>
      <c r="DU152">
        <f t="shared" ca="1" si="126"/>
        <v>1</v>
      </c>
      <c r="DV152">
        <f t="shared" ca="1" si="127"/>
        <v>0</v>
      </c>
      <c r="DW152">
        <f t="shared" ca="1" si="128"/>
        <v>0</v>
      </c>
      <c r="DX152">
        <f t="shared" ca="1" si="129"/>
        <v>1</v>
      </c>
      <c r="DY152">
        <f t="shared" ca="1" si="130"/>
        <v>1</v>
      </c>
      <c r="DZ152">
        <f t="shared" ca="1" si="131"/>
        <v>126</v>
      </c>
      <c r="EA152">
        <f t="shared" ca="1" si="132"/>
        <v>5507</v>
      </c>
      <c r="EB152">
        <f t="shared" ca="1" si="133"/>
        <v>72</v>
      </c>
      <c r="EC152">
        <f t="shared" ca="1" si="134"/>
        <v>0</v>
      </c>
      <c r="ED152">
        <f t="shared" ca="1" si="135"/>
        <v>0</v>
      </c>
      <c r="EE152">
        <f t="shared" ca="1" si="136"/>
        <v>0</v>
      </c>
      <c r="EK152" cm="1">
        <f t="array" aca="1" ref="EK152" ca="1">IF(ISNA(E152),0,OFFSET(INDIRECT("'"&amp;EK$67&amp;"'!g1"),E152-1,)*CL152)</f>
        <v>1</v>
      </c>
      <c r="EL152" cm="1">
        <f t="array" aca="1" ref="EL152" ca="1">IF(ISNA(F152),0,OFFSET(INDIRECT("'"&amp;EL$67&amp;"'!g1"),F152-1,)*CM152)</f>
        <v>1</v>
      </c>
      <c r="EM152" cm="1">
        <f t="array" aca="1" ref="EM152" ca="1">IF(ISNA(G152),0,OFFSET(INDIRECT("'"&amp;EM$67&amp;"'!g1"),G152-1,)*CN152)</f>
        <v>0</v>
      </c>
      <c r="EN152" cm="1">
        <f t="array" aca="1" ref="EN152" ca="1">IF(ISNA(H152),0,OFFSET(INDIRECT("'"&amp;EN$67&amp;"'!g1"),H152-1,)*CO152)</f>
        <v>0</v>
      </c>
      <c r="EO152" cm="1">
        <f t="array" aca="1" ref="EO152" ca="1">IF(ISNA(I152),0,OFFSET(INDIRECT("'"&amp;EO$67&amp;"'!g1"),I152-1,)*CP152)</f>
        <v>1</v>
      </c>
      <c r="EP152" cm="1">
        <f t="array" aca="1" ref="EP152" ca="1">IF(ISNA(J152),0,OFFSET(INDIRECT("'"&amp;EP$67&amp;"'!g1"),J152-1,)*CQ152)</f>
        <v>1</v>
      </c>
      <c r="EQ152" cm="1">
        <f t="array" aca="1" ref="EQ152" ca="1">IF(ISNA(K152),0,OFFSET(INDIRECT("'"&amp;EQ$67&amp;"'!g1"),K152-1,)*CR152)</f>
        <v>126</v>
      </c>
      <c r="ER152" cm="1">
        <f t="array" aca="1" ref="ER152" ca="1">IF(ISNA(L152),0,OFFSET(INDIRECT("'"&amp;ER$67&amp;"'!g1"),L152-1,)*CS152)</f>
        <v>5507</v>
      </c>
      <c r="ES152" cm="1">
        <f t="array" aca="1" ref="ES152" ca="1">IF(ISNA(M152),0,OFFSET(INDIRECT("'"&amp;ES$67&amp;"'!g1"),M152-1,)*CT152)</f>
        <v>72</v>
      </c>
      <c r="ET152" cm="1">
        <f t="array" aca="1" ref="ET152" ca="1">IF(ISNA(N152),0,OFFSET(INDIRECT("'"&amp;ET$67&amp;"'!g1"),N152-1,)*CU152)</f>
        <v>0</v>
      </c>
      <c r="EU152" cm="1">
        <f t="array" aca="1" ref="EU152" ca="1">IF(ISNA(O152),0,OFFSET(INDIRECT("'"&amp;EU$67&amp;"'!g1"),O152-1,)*CV152)</f>
        <v>0</v>
      </c>
      <c r="EV152" cm="1">
        <f t="array" aca="1" ref="EV152" ca="1">IF(ISNA(P152),0,OFFSET(INDIRECT("'"&amp;EV$67&amp;"'!g1"),P152-1,)*CW152)</f>
        <v>0</v>
      </c>
      <c r="FB152" s="10" cm="1">
        <f t="array" aca="1" ref="FB152" ca="1">IF(ISNA(E152),0,OFFSET(INDIRECT("'"&amp;EK$67&amp;"'!h1"),E152-1,))</f>
        <v>1</v>
      </c>
      <c r="FC152" s="10" cm="1">
        <f t="array" aca="1" ref="FC152" ca="1">IF(ISNA(F152),0,OFFSET(INDIRECT("'"&amp;EL$67&amp;"'!h1"),F152-1,))</f>
        <v>1</v>
      </c>
      <c r="FD152" s="10" cm="1">
        <f t="array" aca="1" ref="FD152" ca="1">IF(ISNA(G152),0,OFFSET(INDIRECT("'"&amp;EM$67&amp;"'!h1"),G152-1,))</f>
        <v>1</v>
      </c>
      <c r="FE152" s="10" cm="1">
        <f t="array" aca="1" ref="FE152" ca="1">IF(ISNA(H152),0,OFFSET(INDIRECT("'"&amp;EN$67&amp;"'!h1"),H152-1,))</f>
        <v>1</v>
      </c>
      <c r="FF152" s="10" cm="1">
        <f t="array" aca="1" ref="FF152" ca="1">IF(ISNA(I152),0,OFFSET(INDIRECT("'"&amp;EO$67&amp;"'!h1"),I152-1,))</f>
        <v>1</v>
      </c>
      <c r="FG152" s="10" cm="1">
        <f t="array" aca="1" ref="FG152" ca="1">IF(ISNA(J152),0,OFFSET(INDIRECT("'"&amp;EP$67&amp;"'!h1"),J152-1,))</f>
        <v>1</v>
      </c>
      <c r="FH152" s="10" cm="1">
        <f t="array" aca="1" ref="FH152" ca="1">IF(ISNA(K152),0,OFFSET(INDIRECT("'"&amp;EQ$67&amp;"'!h1"),K152-1,))</f>
        <v>10000</v>
      </c>
      <c r="FI152" s="10" cm="1">
        <f t="array" aca="1" ref="FI152" ca="1">IF(ISNA(L152),0,OFFSET(INDIRECT("'"&amp;ER$67&amp;"'!h1"),L152-1,))</f>
        <v>10000</v>
      </c>
      <c r="FJ152" s="10" cm="1">
        <f t="array" aca="1" ref="FJ152" ca="1">IF(ISNA(M152),0,OFFSET(INDIRECT("'"&amp;ES$67&amp;"'!h1"),M152-1,))</f>
        <v>10000</v>
      </c>
      <c r="FK152" s="10" cm="1">
        <f t="array" aca="1" ref="FK152" ca="1">IF(ISNA(N152),0,OFFSET(INDIRECT("'"&amp;ET$67&amp;"'!h1"),N152-1,))</f>
        <v>1</v>
      </c>
      <c r="FL152" s="10" cm="1">
        <f t="array" aca="1" ref="FL152" ca="1">IF(ISNA(O152),0,OFFSET(INDIRECT("'"&amp;EU$67&amp;"'!h1"),O152-1,))</f>
        <v>1</v>
      </c>
      <c r="FM152" s="10" cm="1">
        <f t="array" aca="1" ref="FM152" ca="1">IF(ISNA(P152),0,OFFSET(INDIRECT("'"&amp;EV$67&amp;"'!h1"),P152-1,))</f>
        <v>9</v>
      </c>
      <c r="FN152" s="10"/>
      <c r="FO152" s="10"/>
      <c r="FP152" s="10"/>
      <c r="FQ152" s="10"/>
      <c r="FS152">
        <f t="shared" ca="1" si="137"/>
        <v>92</v>
      </c>
      <c r="FT152">
        <f t="shared" ca="1" si="62"/>
        <v>2.63153023831546</v>
      </c>
      <c r="FU152">
        <f t="shared" ca="1" si="63"/>
        <v>126</v>
      </c>
      <c r="FV152">
        <f t="shared" ca="1" si="64"/>
        <v>10000</v>
      </c>
      <c r="FW152" s="4">
        <f t="shared" ca="1" si="138"/>
        <v>1.26E-2</v>
      </c>
      <c r="FX152" s="5">
        <f t="shared" ca="1" si="139"/>
        <v>2.0885160621551269E-2</v>
      </c>
      <c r="FZ152" s="13">
        <f t="shared" ca="1" si="140"/>
        <v>92</v>
      </c>
      <c r="GA152" s="23">
        <f t="shared" ca="1" si="141"/>
        <v>0</v>
      </c>
      <c r="GB152" s="23">
        <f t="shared" ca="1" si="142"/>
        <v>0</v>
      </c>
      <c r="GC152" s="23">
        <f t="shared" ca="1" si="143"/>
        <v>7.6923076923076927E-2</v>
      </c>
      <c r="GD152" s="23" t="e">
        <f t="shared" ca="1" si="144"/>
        <v>#N/A</v>
      </c>
      <c r="GE152" s="23">
        <f t="shared" ca="1" si="145"/>
        <v>0</v>
      </c>
      <c r="GF152" s="23">
        <f t="shared" ca="1" si="146"/>
        <v>0</v>
      </c>
      <c r="GG152" s="23">
        <f t="shared" ca="1" si="147"/>
        <v>0</v>
      </c>
      <c r="GH152" s="23">
        <f t="shared" ca="1" si="148"/>
        <v>0</v>
      </c>
      <c r="GI152" s="23">
        <f t="shared" ca="1" si="149"/>
        <v>0</v>
      </c>
      <c r="GJ152" s="23" t="e">
        <f t="shared" ca="1" si="150"/>
        <v>#N/A</v>
      </c>
      <c r="GK152" s="23" t="e">
        <f t="shared" ca="1" si="151"/>
        <v>#N/A</v>
      </c>
      <c r="GL152" s="23" t="e">
        <f t="shared" ca="1" si="152"/>
        <v>#N/A</v>
      </c>
      <c r="GM152" s="23"/>
      <c r="GN152">
        <f t="shared" ca="1" si="153"/>
        <v>92</v>
      </c>
      <c r="GO152" s="5" t="e">
        <f t="shared" ca="1" si="154"/>
        <v>#N/A</v>
      </c>
      <c r="GP152" s="5" t="e">
        <f t="shared" ca="1" si="155"/>
        <v>#N/A</v>
      </c>
      <c r="GQ152" s="5" t="e">
        <f t="shared" ca="1" si="156"/>
        <v>#N/A</v>
      </c>
      <c r="GR152" s="5" t="e">
        <f t="shared" ca="1" si="157"/>
        <v>#N/A</v>
      </c>
      <c r="GS152" s="5">
        <f t="shared" ca="1" si="158"/>
        <v>676.84917833399902</v>
      </c>
      <c r="GT152" s="5">
        <f t="shared" ca="1" si="159"/>
        <v>0.187361952848732</v>
      </c>
      <c r="GU152" s="5">
        <f t="shared" ca="1" si="160"/>
        <v>2.0885160621551269E-2</v>
      </c>
      <c r="GV152" s="5">
        <f t="shared" ca="1" si="161"/>
        <v>5.6775289567213372E-4</v>
      </c>
      <c r="GW152" s="5">
        <f t="shared" ca="1" si="162"/>
        <v>0.92119777771747779</v>
      </c>
      <c r="GX152" s="5" t="e">
        <f t="shared" ca="1" si="163"/>
        <v>#N/A</v>
      </c>
      <c r="GY152" s="5" t="e">
        <f t="shared" ca="1" si="164"/>
        <v>#N/A</v>
      </c>
      <c r="GZ152" s="5" t="e">
        <f t="shared" ca="1" si="165"/>
        <v>#N/A</v>
      </c>
      <c r="HB152" s="13">
        <f t="shared" ca="1" si="166"/>
        <v>92</v>
      </c>
      <c r="HC152" s="4">
        <f t="shared" ca="1" si="167"/>
        <v>1</v>
      </c>
      <c r="HD152" s="4">
        <f t="shared" ca="1" si="168"/>
        <v>1</v>
      </c>
      <c r="HE152" s="4">
        <f t="shared" ca="1" si="169"/>
        <v>0</v>
      </c>
      <c r="HF152" s="4">
        <f t="shared" ca="1" si="170"/>
        <v>0</v>
      </c>
      <c r="HG152" s="4">
        <f t="shared" ca="1" si="171"/>
        <v>1</v>
      </c>
      <c r="HH152" s="4">
        <f t="shared" ca="1" si="172"/>
        <v>1</v>
      </c>
      <c r="HI152" s="4">
        <f t="shared" ca="1" si="173"/>
        <v>1.26E-2</v>
      </c>
      <c r="HJ152" s="4">
        <f t="shared" ca="1" si="174"/>
        <v>0.55069999999999997</v>
      </c>
      <c r="HK152" s="4">
        <f t="shared" ca="1" si="175"/>
        <v>7.1999999999999998E-3</v>
      </c>
      <c r="HL152" s="4">
        <f t="shared" ca="1" si="176"/>
        <v>0</v>
      </c>
      <c r="HM152" s="4">
        <f t="shared" ca="1" si="177"/>
        <v>0</v>
      </c>
      <c r="HN152" s="4">
        <f t="shared" ca="1" si="178"/>
        <v>0</v>
      </c>
    </row>
    <row r="153" spans="1:222" x14ac:dyDescent="0.2">
      <c r="A153" t="str" cm="1">
        <f t="array" aca="1" ref="A153" ca="1">INDIRECT($A$67&amp;"!A"&amp;ROW(C86)+$B$64)</f>
        <v>[[93,53,13]]</v>
      </c>
      <c r="B153" cm="1">
        <f t="array" aca="1" ref="B153" ca="1">INDIRECT($A$67&amp;"!b"&amp;ROW(D86)+$B$64)</f>
        <v>93</v>
      </c>
      <c r="C153">
        <f t="shared" ca="1" si="78"/>
        <v>13</v>
      </c>
      <c r="E153">
        <f t="shared" ca="1" si="184"/>
        <v>110</v>
      </c>
      <c r="F153">
        <f t="shared" ca="1" si="184"/>
        <v>111</v>
      </c>
      <c r="G153">
        <f t="shared" ca="1" si="184"/>
        <v>110</v>
      </c>
      <c r="H153">
        <f t="shared" ca="1" si="184"/>
        <v>115</v>
      </c>
      <c r="I153">
        <f t="shared" ca="1" si="184"/>
        <v>113</v>
      </c>
      <c r="J153">
        <f t="shared" ca="1" si="184"/>
        <v>110</v>
      </c>
      <c r="K153">
        <f t="shared" ca="1" si="184"/>
        <v>117</v>
      </c>
      <c r="L153">
        <f t="shared" ca="1" si="184"/>
        <v>119</v>
      </c>
      <c r="M153">
        <f t="shared" ca="1" si="184"/>
        <v>116</v>
      </c>
      <c r="N153">
        <f t="shared" ca="1" si="184"/>
        <v>114</v>
      </c>
      <c r="O153">
        <f t="shared" ca="1" si="184"/>
        <v>114</v>
      </c>
      <c r="P153">
        <f t="shared" ca="1" si="184"/>
        <v>114</v>
      </c>
      <c r="V153" cm="1">
        <f t="array" aca="1" ref="V153" ca="1">IF(ISNA(E153),,OFFSET(INDIRECT("'"&amp;V$67&amp;"'!d1"),E153-1,))</f>
        <v>13</v>
      </c>
      <c r="W153" cm="1">
        <f t="array" aca="1" ref="W153" ca="1">IF(ISNA(F153),,OFFSET(INDIRECT("'"&amp;W$67&amp;"'!d1"),F153-1,))</f>
        <v>13</v>
      </c>
      <c r="X153" cm="1">
        <f t="array" aca="1" ref="X153" ca="1">IF(ISNA(G153),,OFFSET(INDIRECT("'"&amp;X$67&amp;"'!d1"),G153-1,))</f>
        <v>15</v>
      </c>
      <c r="Y153" cm="1">
        <f t="array" aca="1" ref="Y153" ca="1">IF(ISNA(H153),,OFFSET(INDIRECT("'"&amp;Y$67&amp;"'!d1"),H153-1,))</f>
        <v>0</v>
      </c>
      <c r="Z153" cm="1">
        <f t="array" aca="1" ref="Z153" ca="1">IF(ISNA(I153),,OFFSET(INDIRECT("'"&amp;Z$67&amp;"'!d1"),I153-1,))</f>
        <v>13</v>
      </c>
      <c r="AA153" cm="1">
        <f t="array" aca="1" ref="AA153" ca="1">IF(ISNA(J153),,OFFSET(INDIRECT("'"&amp;AA$67&amp;"'!d1"),J153-1,))</f>
        <v>13</v>
      </c>
      <c r="AB153" cm="1">
        <f t="array" aca="1" ref="AB153" ca="1">IF(ISNA(K153),,OFFSET(INDIRECT("'"&amp;AB$67&amp;"'!d1"),K153-1,))</f>
        <v>13</v>
      </c>
      <c r="AC153" cm="1">
        <f t="array" aca="1" ref="AC153" ca="1">IF(ISNA(L153),,OFFSET(INDIRECT("'"&amp;AC$67&amp;"'!d1"),L153-1,))</f>
        <v>13</v>
      </c>
      <c r="AD153" cm="1">
        <f t="array" aca="1" ref="AD153" ca="1">IF(ISNA(M153),,OFFSET(INDIRECT("'"&amp;AD$67&amp;"'!d1"),M153-1,))</f>
        <v>13</v>
      </c>
      <c r="AE153" cm="1">
        <f t="array" aca="1" ref="AE153" ca="1">IF(ISNA(N153),,OFFSET(INDIRECT("'"&amp;AE$67&amp;"'!d1"),N153-1,))</f>
        <v>0</v>
      </c>
      <c r="AF153" cm="1">
        <f t="array" aca="1" ref="AF153" ca="1">IF(ISNA(O153),,OFFSET(INDIRECT("'"&amp;AF$67&amp;"'!d1"),O153-1,))</f>
        <v>0</v>
      </c>
      <c r="AG153" cm="1">
        <f t="array" aca="1" ref="AG153" ca="1">IF(ISNA(P153),,OFFSET(INDIRECT("'"&amp;AG$67&amp;"'!d1"),P153-1,))</f>
        <v>0</v>
      </c>
      <c r="AM153">
        <f t="shared" ca="1" si="79"/>
        <v>0</v>
      </c>
      <c r="AN153">
        <f t="shared" ca="1" si="80"/>
        <v>0</v>
      </c>
      <c r="AO153">
        <f t="shared" ca="1" si="81"/>
        <v>0</v>
      </c>
      <c r="AP153">
        <f t="shared" ca="1" si="82"/>
        <v>0</v>
      </c>
      <c r="AQ153">
        <f t="shared" ca="1" si="83"/>
        <v>1</v>
      </c>
      <c r="AV153" t="str">
        <f t="shared" ca="1" si="84"/>
        <v/>
      </c>
      <c r="AW153" t="str">
        <f t="shared" ca="1" si="85"/>
        <v/>
      </c>
      <c r="AX153" t="str">
        <f t="shared" ca="1" si="86"/>
        <v/>
      </c>
      <c r="AY153" t="str">
        <f t="shared" ca="1" si="87"/>
        <v/>
      </c>
      <c r="AZ153" t="b">
        <f t="shared" ca="1" si="88"/>
        <v>1</v>
      </c>
      <c r="BD153">
        <f t="shared" ca="1" si="89"/>
        <v>1</v>
      </c>
      <c r="BE153">
        <f t="shared" ca="1" si="90"/>
        <v>1</v>
      </c>
      <c r="BF153">
        <f t="shared" ca="1" si="91"/>
        <v>1</v>
      </c>
      <c r="BG153">
        <f t="shared" ca="1" si="92"/>
        <v>0</v>
      </c>
      <c r="BH153">
        <f t="shared" ca="1" si="93"/>
        <v>1</v>
      </c>
      <c r="BI153">
        <f t="shared" ca="1" si="94"/>
        <v>1</v>
      </c>
      <c r="BJ153">
        <f t="shared" ca="1" si="95"/>
        <v>1</v>
      </c>
      <c r="BK153">
        <f t="shared" ca="1" si="96"/>
        <v>1</v>
      </c>
      <c r="BL153">
        <f t="shared" ca="1" si="97"/>
        <v>1</v>
      </c>
      <c r="BM153">
        <f t="shared" ca="1" si="98"/>
        <v>0</v>
      </c>
      <c r="BN153">
        <f t="shared" ca="1" si="99"/>
        <v>0</v>
      </c>
      <c r="BO153">
        <f t="shared" ca="1" si="100"/>
        <v>0</v>
      </c>
      <c r="BU153">
        <f t="shared" ca="1" si="101"/>
        <v>13</v>
      </c>
      <c r="BV153">
        <f t="shared" ca="1" si="102"/>
        <v>13</v>
      </c>
      <c r="BW153">
        <f t="shared" ca="1" si="103"/>
        <v>15</v>
      </c>
      <c r="BX153">
        <f t="shared" ca="1" si="104"/>
        <v>93</v>
      </c>
      <c r="BY153">
        <f t="shared" ca="1" si="105"/>
        <v>13</v>
      </c>
      <c r="BZ153">
        <f t="shared" ca="1" si="106"/>
        <v>13</v>
      </c>
      <c r="CA153">
        <f t="shared" ca="1" si="107"/>
        <v>13</v>
      </c>
      <c r="CB153">
        <f t="shared" ca="1" si="108"/>
        <v>13</v>
      </c>
      <c r="CC153">
        <f t="shared" ca="1" si="109"/>
        <v>13</v>
      </c>
      <c r="CD153">
        <f t="shared" ca="1" si="110"/>
        <v>93</v>
      </c>
      <c r="CE153">
        <f t="shared" ca="1" si="111"/>
        <v>93</v>
      </c>
      <c r="CF153">
        <f t="shared" ca="1" si="112"/>
        <v>93</v>
      </c>
      <c r="CL153">
        <f t="shared" ca="1" si="113"/>
        <v>1</v>
      </c>
      <c r="CM153">
        <f t="shared" ca="1" si="114"/>
        <v>1</v>
      </c>
      <c r="CN153">
        <f t="shared" ca="1" si="115"/>
        <v>0</v>
      </c>
      <c r="CO153">
        <f t="shared" ca="1" si="116"/>
        <v>0</v>
      </c>
      <c r="CP153">
        <f t="shared" ca="1" si="117"/>
        <v>1</v>
      </c>
      <c r="CQ153">
        <f t="shared" ca="1" si="118"/>
        <v>1</v>
      </c>
      <c r="CR153">
        <f t="shared" ca="1" si="119"/>
        <v>1</v>
      </c>
      <c r="CS153">
        <f t="shared" ca="1" si="120"/>
        <v>1</v>
      </c>
      <c r="CT153">
        <f t="shared" ca="1" si="121"/>
        <v>1</v>
      </c>
      <c r="CU153">
        <f t="shared" ca="1" si="122"/>
        <v>0</v>
      </c>
      <c r="CV153">
        <f t="shared" ca="1" si="123"/>
        <v>0</v>
      </c>
      <c r="CW153">
        <f t="shared" ca="1" si="124"/>
        <v>0</v>
      </c>
      <c r="DC153" cm="1">
        <f t="array" aca="1" ref="DC153" ca="1">IF(ISNA(E153),,OFFSET(INDIRECT("'"&amp;DT$67&amp;"'!f1"),E153-1,))*1</f>
        <v>28892.718680799</v>
      </c>
      <c r="DD153" cm="1">
        <f t="array" aca="1" ref="DD153" ca="1">IF(ISNA(F153),,OFFSET(INDIRECT("'"&amp;DU$67&amp;"'!f1"),F153-1,))*1</f>
        <v>28813.977631521</v>
      </c>
      <c r="DE153" cm="1">
        <f t="array" aca="1" ref="DE153" ca="1">IF(ISNA(G153),,OFFSET(INDIRECT("'"&amp;DV$67&amp;"'!f1"),G153-1,))*1</f>
        <v>28801.5301094309</v>
      </c>
      <c r="DF153" cm="1">
        <f t="array" aca="1" ref="DF153" ca="1">IF(ISNA(H153),,OFFSET(INDIRECT("'"&amp;DW$67&amp;"'!f1"),H153-1,))*1</f>
        <v>28800.264389337</v>
      </c>
      <c r="DG153" cm="1">
        <f t="array" aca="1" ref="DG153" ca="1">IF(ISNA(I153),,OFFSET(INDIRECT("'"&amp;DX$67&amp;"'!f1"),I153-1,))*1</f>
        <v>860.68276929100102</v>
      </c>
      <c r="DH153" cm="1">
        <f t="array" aca="1" ref="DH153" ca="1">IF(ISNA(J153),,OFFSET(INDIRECT("'"&amp;DY$67&amp;"'!f1"),J153-1,))*1</f>
        <v>0.18816459504887401</v>
      </c>
      <c r="DI153" cm="1">
        <f t="array" aca="1" ref="DI153" ca="1">IF(ISNA(K153),,OFFSET(INDIRECT("'"&amp;DZ$67&amp;"'!f1"),K153-1,))*1</f>
        <v>2.6421226020902302</v>
      </c>
      <c r="DJ153" cm="1">
        <f t="array" aca="1" ref="DJ153" ca="1">IF(ISNA(L153),,OFFSET(INDIRECT("'"&amp;EA$67&amp;"'!f1"),L153-1,))*1</f>
        <v>3.1702031074091699</v>
      </c>
      <c r="DK153" cm="1">
        <f t="array" aca="1" ref="DK153" ca="1">IF(ISNA(M153),,OFFSET(INDIRECT("'"&amp;EB$67&amp;"'!f1"),M153-1,))*1</f>
        <v>69.584664973430307</v>
      </c>
      <c r="DL153" cm="1">
        <f t="array" aca="1" ref="DL153" ca="1">IF(ISNA(N153),,OFFSET(INDIRECT("'"&amp;EC$67&amp;"'!f1"),N153-1,))*1</f>
        <v>1.6474111005663799E-2</v>
      </c>
      <c r="DM153" cm="1">
        <f t="array" aca="1" ref="DM153" ca="1">IF(ISNA(O153),,OFFSET(INDIRECT("'"&amp;ED$67&amp;"'!f1"),O153-1,))*1</f>
        <v>1.6788003034889601E-2</v>
      </c>
      <c r="DN153" cm="1">
        <f t="array" aca="1" ref="DN153" ca="1">IF(ISNA(P153),,OFFSET(INDIRECT("'"&amp;EE$67&amp;"'!f1"),P153-1,))*1</f>
        <v>2.7124621905386399E-2</v>
      </c>
      <c r="DT153">
        <f t="shared" ca="1" si="125"/>
        <v>1</v>
      </c>
      <c r="DU153">
        <f t="shared" ca="1" si="126"/>
        <v>1</v>
      </c>
      <c r="DV153">
        <f t="shared" ca="1" si="127"/>
        <v>0</v>
      </c>
      <c r="DW153">
        <f t="shared" ca="1" si="128"/>
        <v>0</v>
      </c>
      <c r="DX153">
        <f t="shared" ca="1" si="129"/>
        <v>1</v>
      </c>
      <c r="DY153">
        <f t="shared" ca="1" si="130"/>
        <v>1</v>
      </c>
      <c r="DZ153">
        <f t="shared" ca="1" si="131"/>
        <v>189</v>
      </c>
      <c r="EA153">
        <f t="shared" ca="1" si="132"/>
        <v>5483</v>
      </c>
      <c r="EB153">
        <f t="shared" ca="1" si="133"/>
        <v>154</v>
      </c>
      <c r="EC153">
        <f t="shared" ca="1" si="134"/>
        <v>0</v>
      </c>
      <c r="ED153">
        <f t="shared" ca="1" si="135"/>
        <v>0</v>
      </c>
      <c r="EE153">
        <f t="shared" ca="1" si="136"/>
        <v>0</v>
      </c>
      <c r="EK153" cm="1">
        <f t="array" aca="1" ref="EK153" ca="1">IF(ISNA(E153),0,OFFSET(INDIRECT("'"&amp;EK$67&amp;"'!g1"),E153-1,)*CL153)</f>
        <v>1</v>
      </c>
      <c r="EL153" cm="1">
        <f t="array" aca="1" ref="EL153" ca="1">IF(ISNA(F153),0,OFFSET(INDIRECT("'"&amp;EL$67&amp;"'!g1"),F153-1,)*CM153)</f>
        <v>1</v>
      </c>
      <c r="EM153" cm="1">
        <f t="array" aca="1" ref="EM153" ca="1">IF(ISNA(G153),0,OFFSET(INDIRECT("'"&amp;EM$67&amp;"'!g1"),G153-1,)*CN153)</f>
        <v>0</v>
      </c>
      <c r="EN153" cm="1">
        <f t="array" aca="1" ref="EN153" ca="1">IF(ISNA(H153),0,OFFSET(INDIRECT("'"&amp;EN$67&amp;"'!g1"),H153-1,)*CO153)</f>
        <v>0</v>
      </c>
      <c r="EO153" cm="1">
        <f t="array" aca="1" ref="EO153" ca="1">IF(ISNA(I153),0,OFFSET(INDIRECT("'"&amp;EO$67&amp;"'!g1"),I153-1,)*CP153)</f>
        <v>1</v>
      </c>
      <c r="EP153" cm="1">
        <f t="array" aca="1" ref="EP153" ca="1">IF(ISNA(J153),0,OFFSET(INDIRECT("'"&amp;EP$67&amp;"'!g1"),J153-1,)*CQ153)</f>
        <v>1</v>
      </c>
      <c r="EQ153" cm="1">
        <f t="array" aca="1" ref="EQ153" ca="1">IF(ISNA(K153),0,OFFSET(INDIRECT("'"&amp;EQ$67&amp;"'!g1"),K153-1,)*CR153)</f>
        <v>189</v>
      </c>
      <c r="ER153" cm="1">
        <f t="array" aca="1" ref="ER153" ca="1">IF(ISNA(L153),0,OFFSET(INDIRECT("'"&amp;ER$67&amp;"'!g1"),L153-1,)*CS153)</f>
        <v>5483</v>
      </c>
      <c r="ES153" cm="1">
        <f t="array" aca="1" ref="ES153" ca="1">IF(ISNA(M153),0,OFFSET(INDIRECT("'"&amp;ES$67&amp;"'!g1"),M153-1,)*CT153)</f>
        <v>154</v>
      </c>
      <c r="ET153" cm="1">
        <f t="array" aca="1" ref="ET153" ca="1">IF(ISNA(N153),0,OFFSET(INDIRECT("'"&amp;ET$67&amp;"'!g1"),N153-1,)*CU153)</f>
        <v>0</v>
      </c>
      <c r="EU153" cm="1">
        <f t="array" aca="1" ref="EU153" ca="1">IF(ISNA(O153),0,OFFSET(INDIRECT("'"&amp;EU$67&amp;"'!g1"),O153-1,)*CV153)</f>
        <v>0</v>
      </c>
      <c r="EV153" cm="1">
        <f t="array" aca="1" ref="EV153" ca="1">IF(ISNA(P153),0,OFFSET(INDIRECT("'"&amp;EV$67&amp;"'!g1"),P153-1,)*CW153)</f>
        <v>0</v>
      </c>
      <c r="FB153" s="10" cm="1">
        <f t="array" aca="1" ref="FB153" ca="1">IF(ISNA(E153),0,OFFSET(INDIRECT("'"&amp;EK$67&amp;"'!h1"),E153-1,))</f>
        <v>1</v>
      </c>
      <c r="FC153" s="10" cm="1">
        <f t="array" aca="1" ref="FC153" ca="1">IF(ISNA(F153),0,OFFSET(INDIRECT("'"&amp;EL$67&amp;"'!h1"),F153-1,))</f>
        <v>1</v>
      </c>
      <c r="FD153" s="10" cm="1">
        <f t="array" aca="1" ref="FD153" ca="1">IF(ISNA(G153),0,OFFSET(INDIRECT("'"&amp;EM$67&amp;"'!h1"),G153-1,))</f>
        <v>1</v>
      </c>
      <c r="FE153" s="10" cm="1">
        <f t="array" aca="1" ref="FE153" ca="1">IF(ISNA(H153),0,OFFSET(INDIRECT("'"&amp;EN$67&amp;"'!h1"),H153-1,))</f>
        <v>1</v>
      </c>
      <c r="FF153" s="10" cm="1">
        <f t="array" aca="1" ref="FF153" ca="1">IF(ISNA(I153),0,OFFSET(INDIRECT("'"&amp;EO$67&amp;"'!h1"),I153-1,))</f>
        <v>1</v>
      </c>
      <c r="FG153" s="10" cm="1">
        <f t="array" aca="1" ref="FG153" ca="1">IF(ISNA(J153),0,OFFSET(INDIRECT("'"&amp;EP$67&amp;"'!h1"),J153-1,))</f>
        <v>1</v>
      </c>
      <c r="FH153" s="10" cm="1">
        <f t="array" aca="1" ref="FH153" ca="1">IF(ISNA(K153),0,OFFSET(INDIRECT("'"&amp;EQ$67&amp;"'!h1"),K153-1,))</f>
        <v>10000</v>
      </c>
      <c r="FI153" s="10" cm="1">
        <f t="array" aca="1" ref="FI153" ca="1">IF(ISNA(L153),0,OFFSET(INDIRECT("'"&amp;ER$67&amp;"'!h1"),L153-1,))</f>
        <v>10000</v>
      </c>
      <c r="FJ153" s="10" cm="1">
        <f t="array" aca="1" ref="FJ153" ca="1">IF(ISNA(M153),0,OFFSET(INDIRECT("'"&amp;ES$67&amp;"'!h1"),M153-1,))</f>
        <v>10000</v>
      </c>
      <c r="FK153" s="10" cm="1">
        <f t="array" aca="1" ref="FK153" ca="1">IF(ISNA(N153),0,OFFSET(INDIRECT("'"&amp;ET$67&amp;"'!h1"),N153-1,))</f>
        <v>1</v>
      </c>
      <c r="FL153" s="10" cm="1">
        <f t="array" aca="1" ref="FL153" ca="1">IF(ISNA(O153),0,OFFSET(INDIRECT("'"&amp;EU$67&amp;"'!h1"),O153-1,))</f>
        <v>1</v>
      </c>
      <c r="FM153" s="10" cm="1">
        <f t="array" aca="1" ref="FM153" ca="1">IF(ISNA(P153),0,OFFSET(INDIRECT("'"&amp;EV$67&amp;"'!h1"),P153-1,))</f>
        <v>9</v>
      </c>
      <c r="FN153" s="10"/>
      <c r="FO153" s="10"/>
      <c r="FP153" s="10"/>
      <c r="FQ153" s="10"/>
      <c r="FS153">
        <f t="shared" ca="1" si="137"/>
        <v>93</v>
      </c>
      <c r="FT153">
        <f t="shared" ca="1" si="62"/>
        <v>2.6421226020902302</v>
      </c>
      <c r="FU153">
        <f t="shared" ca="1" si="63"/>
        <v>189</v>
      </c>
      <c r="FV153">
        <f t="shared" ca="1" si="64"/>
        <v>10000</v>
      </c>
      <c r="FW153" s="4">
        <f t="shared" ca="1" si="138"/>
        <v>1.89E-2</v>
      </c>
      <c r="FX153" s="5">
        <f t="shared" ca="1" si="139"/>
        <v>1.3979484667144075E-2</v>
      </c>
      <c r="FZ153" s="13">
        <f t="shared" ca="1" si="140"/>
        <v>93</v>
      </c>
      <c r="GA153" s="23">
        <f t="shared" ca="1" si="141"/>
        <v>0</v>
      </c>
      <c r="GB153" s="23">
        <f t="shared" ca="1" si="142"/>
        <v>0</v>
      </c>
      <c r="GC153" s="23">
        <f t="shared" ca="1" si="143"/>
        <v>0.15384615384615385</v>
      </c>
      <c r="GD153" s="23" t="e">
        <f t="shared" ca="1" si="144"/>
        <v>#N/A</v>
      </c>
      <c r="GE153" s="23">
        <f t="shared" ca="1" si="145"/>
        <v>0</v>
      </c>
      <c r="GF153" s="23">
        <f t="shared" ca="1" si="146"/>
        <v>0</v>
      </c>
      <c r="GG153" s="23">
        <f t="shared" ca="1" si="147"/>
        <v>0</v>
      </c>
      <c r="GH153" s="23">
        <f t="shared" ca="1" si="148"/>
        <v>0</v>
      </c>
      <c r="GI153" s="23">
        <f t="shared" ca="1" si="149"/>
        <v>0</v>
      </c>
      <c r="GJ153" s="23" t="e">
        <f t="shared" ca="1" si="150"/>
        <v>#N/A</v>
      </c>
      <c r="GK153" s="23" t="e">
        <f t="shared" ca="1" si="151"/>
        <v>#N/A</v>
      </c>
      <c r="GL153" s="23" t="e">
        <f t="shared" ca="1" si="152"/>
        <v>#N/A</v>
      </c>
      <c r="GM153" s="23"/>
      <c r="GN153">
        <f t="shared" ca="1" si="153"/>
        <v>93</v>
      </c>
      <c r="GO153" s="5" t="e">
        <f t="shared" ca="1" si="154"/>
        <v>#N/A</v>
      </c>
      <c r="GP153" s="5" t="e">
        <f t="shared" ca="1" si="155"/>
        <v>#N/A</v>
      </c>
      <c r="GQ153" s="5" t="e">
        <f t="shared" ca="1" si="156"/>
        <v>#N/A</v>
      </c>
      <c r="GR153" s="5" t="e">
        <f t="shared" ca="1" si="157"/>
        <v>#N/A</v>
      </c>
      <c r="GS153" s="5">
        <f t="shared" ca="1" si="158"/>
        <v>860.68276929100102</v>
      </c>
      <c r="GT153" s="5">
        <f t="shared" ca="1" si="159"/>
        <v>0.18816459504887401</v>
      </c>
      <c r="GU153" s="5">
        <f t="shared" ca="1" si="160"/>
        <v>1.3979484667144075E-2</v>
      </c>
      <c r="GV153" s="5">
        <f t="shared" ca="1" si="161"/>
        <v>5.7818769057252784E-4</v>
      </c>
      <c r="GW153" s="5">
        <f t="shared" ca="1" si="162"/>
        <v>0.45184847385344357</v>
      </c>
      <c r="GX153" s="5" t="e">
        <f t="shared" ca="1" si="163"/>
        <v>#N/A</v>
      </c>
      <c r="GY153" s="5" t="e">
        <f t="shared" ca="1" si="164"/>
        <v>#N/A</v>
      </c>
      <c r="GZ153" s="5" t="e">
        <f t="shared" ca="1" si="165"/>
        <v>#N/A</v>
      </c>
      <c r="HB153" s="13">
        <f t="shared" ca="1" si="166"/>
        <v>93</v>
      </c>
      <c r="HC153" s="4">
        <f t="shared" ca="1" si="167"/>
        <v>1</v>
      </c>
      <c r="HD153" s="4">
        <f t="shared" ca="1" si="168"/>
        <v>1</v>
      </c>
      <c r="HE153" s="4">
        <f t="shared" ca="1" si="169"/>
        <v>0</v>
      </c>
      <c r="HF153" s="4">
        <f t="shared" ca="1" si="170"/>
        <v>0</v>
      </c>
      <c r="HG153" s="4">
        <f t="shared" ca="1" si="171"/>
        <v>1</v>
      </c>
      <c r="HH153" s="4">
        <f t="shared" ca="1" si="172"/>
        <v>1</v>
      </c>
      <c r="HI153" s="4">
        <f t="shared" ca="1" si="173"/>
        <v>1.89E-2</v>
      </c>
      <c r="HJ153" s="4">
        <f t="shared" ca="1" si="174"/>
        <v>0.54830000000000001</v>
      </c>
      <c r="HK153" s="4">
        <f t="shared" ca="1" si="175"/>
        <v>1.54E-2</v>
      </c>
      <c r="HL153" s="4">
        <f t="shared" ca="1" si="176"/>
        <v>0</v>
      </c>
      <c r="HM153" s="4">
        <f t="shared" ca="1" si="177"/>
        <v>0</v>
      </c>
      <c r="HN153" s="4">
        <f t="shared" ca="1" si="178"/>
        <v>0</v>
      </c>
    </row>
    <row r="154" spans="1:222" x14ac:dyDescent="0.2">
      <c r="A154" t="str" cm="1">
        <f t="array" aca="1" ref="A154" ca="1">INDIRECT($A$67&amp;"!A"&amp;ROW(C87)+$B$64)</f>
        <v>[[94,54,13]]</v>
      </c>
      <c r="B154" cm="1">
        <f t="array" aca="1" ref="B154" ca="1">INDIRECT($A$67&amp;"!b"&amp;ROW(D87)+$B$64)</f>
        <v>94</v>
      </c>
      <c r="C154">
        <f t="shared" ref="C154:C171" ca="1" si="185">MIN(INDIRECT($A$67&amp;"!d"&amp;ROW(E87)+$B$64),BU154:CG154)</f>
        <v>13</v>
      </c>
      <c r="E154">
        <f t="shared" ca="1" si="184"/>
        <v>111</v>
      </c>
      <c r="F154">
        <f t="shared" ca="1" si="184"/>
        <v>112</v>
      </c>
      <c r="G154">
        <f t="shared" ca="1" si="184"/>
        <v>111</v>
      </c>
      <c r="H154">
        <f t="shared" ca="1" si="184"/>
        <v>116</v>
      </c>
      <c r="I154">
        <f t="shared" ca="1" si="184"/>
        <v>114</v>
      </c>
      <c r="J154">
        <f t="shared" ca="1" si="184"/>
        <v>111</v>
      </c>
      <c r="K154">
        <f t="shared" ca="1" si="184"/>
        <v>118</v>
      </c>
      <c r="L154">
        <f t="shared" ca="1" si="184"/>
        <v>120</v>
      </c>
      <c r="M154">
        <f t="shared" ca="1" si="184"/>
        <v>117</v>
      </c>
      <c r="N154">
        <f t="shared" ca="1" si="184"/>
        <v>115</v>
      </c>
      <c r="O154">
        <f t="shared" ca="1" si="184"/>
        <v>115</v>
      </c>
      <c r="P154">
        <f t="shared" ca="1" si="184"/>
        <v>115</v>
      </c>
      <c r="V154" cm="1">
        <f t="array" aca="1" ref="V154" ca="1">IF(ISNA(E154),,OFFSET(INDIRECT("'"&amp;V$67&amp;"'!d1"),E154-1,))</f>
        <v>13</v>
      </c>
      <c r="W154" cm="1">
        <f t="array" aca="1" ref="W154" ca="1">IF(ISNA(F154),,OFFSET(INDIRECT("'"&amp;W$67&amp;"'!d1"),F154-1,))</f>
        <v>13</v>
      </c>
      <c r="X154" cm="1">
        <f t="array" aca="1" ref="X154" ca="1">IF(ISNA(G154),,OFFSET(INDIRECT("'"&amp;X$67&amp;"'!d1"),G154-1,))</f>
        <v>14</v>
      </c>
      <c r="Y154" cm="1">
        <f t="array" aca="1" ref="Y154" ca="1">IF(ISNA(H154),,OFFSET(INDIRECT("'"&amp;Y$67&amp;"'!d1"),H154-1,))</f>
        <v>0</v>
      </c>
      <c r="Z154" cm="1">
        <f t="array" aca="1" ref="Z154" ca="1">IF(ISNA(I154),,OFFSET(INDIRECT("'"&amp;Z$67&amp;"'!d1"),I154-1,))</f>
        <v>13</v>
      </c>
      <c r="AA154" cm="1">
        <f t="array" aca="1" ref="AA154" ca="1">IF(ISNA(J154),,OFFSET(INDIRECT("'"&amp;AA$67&amp;"'!d1"),J154-1,))</f>
        <v>13</v>
      </c>
      <c r="AB154" cm="1">
        <f t="array" aca="1" ref="AB154" ca="1">IF(ISNA(K154),,OFFSET(INDIRECT("'"&amp;AB$67&amp;"'!d1"),K154-1,))</f>
        <v>13</v>
      </c>
      <c r="AC154" cm="1">
        <f t="array" aca="1" ref="AC154" ca="1">IF(ISNA(L154),,OFFSET(INDIRECT("'"&amp;AC$67&amp;"'!d1"),L154-1,))</f>
        <v>13</v>
      </c>
      <c r="AD154" cm="1">
        <f t="array" aca="1" ref="AD154" ca="1">IF(ISNA(M154),,OFFSET(INDIRECT("'"&amp;AD$67&amp;"'!d1"),M154-1,))</f>
        <v>13</v>
      </c>
      <c r="AE154" cm="1">
        <f t="array" aca="1" ref="AE154" ca="1">IF(ISNA(N154),,OFFSET(INDIRECT("'"&amp;AE$67&amp;"'!d1"),N154-1,))</f>
        <v>0</v>
      </c>
      <c r="AF154" cm="1">
        <f t="array" aca="1" ref="AF154" ca="1">IF(ISNA(O154),,OFFSET(INDIRECT("'"&amp;AF$67&amp;"'!d1"),O154-1,))</f>
        <v>0</v>
      </c>
      <c r="AG154" cm="1">
        <f t="array" aca="1" ref="AG154" ca="1">IF(ISNA(P154),,OFFSET(INDIRECT("'"&amp;AG$67&amp;"'!d1"),P154-1,))</f>
        <v>0</v>
      </c>
      <c r="AM154">
        <f t="shared" ref="AM154:AM171" ca="1" si="186">IF(DC154&gt;= $N$3,0,BD154)</f>
        <v>0</v>
      </c>
      <c r="AN154">
        <f t="shared" ref="AN154:AN171" ca="1" si="187">IF(DD154&gt;= $N$3,0,BE154)</f>
        <v>0</v>
      </c>
      <c r="AO154">
        <f t="shared" ref="AO154:AO171" ca="1" si="188">IF(DE154&gt;= $N$3,0,BF154)</f>
        <v>0</v>
      </c>
      <c r="AP154">
        <f t="shared" ref="AP154:AP171" ca="1" si="189">IF(DF154&gt;= $N$3,0,BG154)</f>
        <v>0</v>
      </c>
      <c r="AQ154">
        <f t="shared" ref="AQ154:AQ171" ca="1" si="190">IF(DG154*1&gt;= $N$3,0,BH154)</f>
        <v>1</v>
      </c>
      <c r="AV154" t="str">
        <f t="shared" ref="AV154:AV171" ca="1" si="191">IF(AM154=1,CL154=1,"")</f>
        <v/>
      </c>
      <c r="AW154" t="str">
        <f t="shared" ref="AW154:AW171" ca="1" si="192">IF(AN154=1,CM154=1,"")</f>
        <v/>
      </c>
      <c r="AX154" t="str">
        <f t="shared" ref="AX154:AX171" ca="1" si="193">IF(AO154=1,CN154=1,"")</f>
        <v/>
      </c>
      <c r="AY154" t="str">
        <f t="shared" ref="AY154:AY171" ca="1" si="194">IF(AP154=1,CO154=1,"")</f>
        <v/>
      </c>
      <c r="AZ154" t="b">
        <f t="shared" ref="AZ154:AZ171" ca="1" si="195">IF(AQ154=1,CP154=1,"")</f>
        <v>1</v>
      </c>
      <c r="BD154">
        <f t="shared" ref="BD154:BD171" ca="1" si="196">IF(AND(V154&gt;0,V154&lt;$B154),1,0)</f>
        <v>1</v>
      </c>
      <c r="BE154">
        <f t="shared" ref="BE154:BE171" ca="1" si="197">IF(AND(W154&gt;0,W154&lt;$B154),1,0)</f>
        <v>1</v>
      </c>
      <c r="BF154">
        <f t="shared" ref="BF154:BF171" ca="1" si="198">IF(AND(X154&gt;0,X154&lt;$B154),1,0)</f>
        <v>1</v>
      </c>
      <c r="BG154">
        <f t="shared" ref="BG154:BG171" ca="1" si="199">IF(AND(Y154&gt;0,Y154&lt;$B154),1,0)</f>
        <v>0</v>
      </c>
      <c r="BH154">
        <f t="shared" ref="BH154:BH171" ca="1" si="200">IF(AND(Z154&gt;0,Z154&lt;$B154),1,0)</f>
        <v>1</v>
      </c>
      <c r="BI154">
        <f t="shared" ref="BI154:BI171" ca="1" si="201">IF(AND(AA154&gt;0,AA154&lt;$B154),1,0)</f>
        <v>1</v>
      </c>
      <c r="BJ154">
        <f t="shared" ref="BJ154:BJ171" ca="1" si="202">IF(AND(AB154&gt;0,AB154&lt;$B154),1,0)</f>
        <v>1</v>
      </c>
      <c r="BK154">
        <f t="shared" ref="BK154:BK171" ca="1" si="203">IF(AND(AC154&gt;0,AC154&lt;$B154),1,0)</f>
        <v>1</v>
      </c>
      <c r="BL154">
        <f t="shared" ref="BL154:BL171" ca="1" si="204">IF(AND(AD154&gt;0,AD154&lt;$B154),1,0)</f>
        <v>1</v>
      </c>
      <c r="BM154">
        <f t="shared" ref="BM154:BM171" ca="1" si="205">IF(AND(AE154&gt;0,AE154&lt;$B154),1,0)</f>
        <v>0</v>
      </c>
      <c r="BN154">
        <f t="shared" ref="BN154:BN171" ca="1" si="206">IF(AND(AF154&gt;0,AF154&lt;$B154),1,0)</f>
        <v>0</v>
      </c>
      <c r="BO154">
        <f t="shared" ref="BO154:BO171" ca="1" si="207">IF(AND(AG154&gt;0,AG154&lt;$B154),1,0)</f>
        <v>0</v>
      </c>
      <c r="BU154">
        <f t="shared" ref="BU154:BU171" ca="1" si="208">IF(BD154,V154,$B154)</f>
        <v>13</v>
      </c>
      <c r="BV154">
        <f t="shared" ref="BV154:BV171" ca="1" si="209">IF(BE154,W154,$B154)</f>
        <v>13</v>
      </c>
      <c r="BW154">
        <f t="shared" ref="BW154:BW171" ca="1" si="210">IF(BF154,X154,$B154)</f>
        <v>14</v>
      </c>
      <c r="BX154">
        <f t="shared" ref="BX154:BX171" ca="1" si="211">IF(BG154,Y154,$B154)</f>
        <v>94</v>
      </c>
      <c r="BY154">
        <f t="shared" ref="BY154:BY171" ca="1" si="212">IF(BH154,Z154,$B154)</f>
        <v>13</v>
      </c>
      <c r="BZ154">
        <f t="shared" ref="BZ154:BZ171" ca="1" si="213">IF(BI154,AA154,$B154)</f>
        <v>13</v>
      </c>
      <c r="CA154">
        <f t="shared" ref="CA154:CA171" ca="1" si="214">IF(BJ154,AB154,$B154)</f>
        <v>13</v>
      </c>
      <c r="CB154">
        <f t="shared" ref="CB154:CB171" ca="1" si="215">IF(BK154,AC154,$B154)</f>
        <v>13</v>
      </c>
      <c r="CC154">
        <f t="shared" ref="CC154:CC171" ca="1" si="216">IF(BL154,AD154,$B154)</f>
        <v>13</v>
      </c>
      <c r="CD154">
        <f t="shared" ref="CD154:CD171" ca="1" si="217">IF(BM154,AE154,$B154)</f>
        <v>94</v>
      </c>
      <c r="CE154">
        <f t="shared" ref="CE154:CE171" ca="1" si="218">IF(BN154,AF154,$B154)</f>
        <v>94</v>
      </c>
      <c r="CF154">
        <f t="shared" ref="CF154:CF171" ca="1" si="219">IF(BO154,AG154,$B154)</f>
        <v>94</v>
      </c>
      <c r="CL154">
        <f t="shared" ref="CL154:CL171" ca="1" si="220">IF(BU154=$C154,1,0)</f>
        <v>1</v>
      </c>
      <c r="CM154">
        <f t="shared" ref="CM154:CM171" ca="1" si="221">IF(BV154=$C154,1,0)</f>
        <v>1</v>
      </c>
      <c r="CN154">
        <f t="shared" ref="CN154:CN171" ca="1" si="222">IF(BW154=$C154,1,0)</f>
        <v>0</v>
      </c>
      <c r="CO154">
        <f t="shared" ref="CO154:CO171" ca="1" si="223">IF(BX154=$C154,1,0)</f>
        <v>0</v>
      </c>
      <c r="CP154">
        <f t="shared" ref="CP154:CP171" ca="1" si="224">IF(BY154=$C154,1,0)</f>
        <v>1</v>
      </c>
      <c r="CQ154">
        <f t="shared" ref="CQ154:CQ171" ca="1" si="225">IF(BZ154=$C154,1,0)</f>
        <v>1</v>
      </c>
      <c r="CR154">
        <f t="shared" ref="CR154:CR171" ca="1" si="226">IF(CA154=$C154,1,0)</f>
        <v>1</v>
      </c>
      <c r="CS154">
        <f t="shared" ref="CS154:CS171" ca="1" si="227">IF(CB154=$C154,1,0)</f>
        <v>1</v>
      </c>
      <c r="CT154">
        <f t="shared" ref="CT154:CT171" ca="1" si="228">IF(CC154=$C154,1,0)</f>
        <v>1</v>
      </c>
      <c r="CU154">
        <f t="shared" ref="CU154:CU171" ca="1" si="229">IF(CD154=$C154,1,0)</f>
        <v>0</v>
      </c>
      <c r="CV154">
        <f t="shared" ref="CV154:CV171" ca="1" si="230">IF(CE154=$C154,1,0)</f>
        <v>0</v>
      </c>
      <c r="CW154">
        <f t="shared" ref="CW154:CW171" ca="1" si="231">IF(CF154=$C154,1,0)</f>
        <v>0</v>
      </c>
      <c r="DC154" cm="1">
        <f t="array" aca="1" ref="DC154" ca="1">IF(ISNA(E154),,OFFSET(INDIRECT("'"&amp;DT$67&amp;"'!f1"),E154-1,))*1</f>
        <v>28891.357033096199</v>
      </c>
      <c r="DD154" cm="1">
        <f t="array" aca="1" ref="DD154" ca="1">IF(ISNA(F154),,OFFSET(INDIRECT("'"&amp;DU$67&amp;"'!f1"),F154-1,))*1</f>
        <v>28809.917966458001</v>
      </c>
      <c r="DE154" cm="1">
        <f t="array" aca="1" ref="DE154" ca="1">IF(ISNA(G154),,OFFSET(INDIRECT("'"&amp;DV$67&amp;"'!f1"),G154-1,))*1</f>
        <v>28801.1807527329</v>
      </c>
      <c r="DF154" cm="1">
        <f t="array" aca="1" ref="DF154" ca="1">IF(ISNA(H154),,OFFSET(INDIRECT("'"&amp;DW$67&amp;"'!f1"),H154-1,))*1</f>
        <v>28800.1999256247</v>
      </c>
      <c r="DG154" cm="1">
        <f t="array" aca="1" ref="DG154" ca="1">IF(ISNA(I154),,OFFSET(INDIRECT("'"&amp;DX$67&amp;"'!f1"),I154-1,))*1</f>
        <v>1092.68203474999</v>
      </c>
      <c r="DH154" cm="1">
        <f t="array" aca="1" ref="DH154" ca="1">IF(ISNA(J154),,OFFSET(INDIRECT("'"&amp;DY$67&amp;"'!f1"),J154-1,))*1</f>
        <v>0.18899031123146401</v>
      </c>
      <c r="DI154" cm="1">
        <f t="array" aca="1" ref="DI154" ca="1">IF(ISNA(K154),,OFFSET(INDIRECT("'"&amp;DZ$67&amp;"'!f1"),K154-1,))*1</f>
        <v>2.6669071996584499</v>
      </c>
      <c r="DJ154" cm="1">
        <f t="array" aca="1" ref="DJ154" ca="1">IF(ISNA(L154),,OFFSET(INDIRECT("'"&amp;EA$67&amp;"'!f1"),L154-1,))*1</f>
        <v>3.2714650621637702</v>
      </c>
      <c r="DK154" cm="1">
        <f t="array" aca="1" ref="DK154" ca="1">IF(ISNA(M154),,OFFSET(INDIRECT("'"&amp;EB$67&amp;"'!f1"),M154-1,))*1</f>
        <v>72.188663306646006</v>
      </c>
      <c r="DL154" cm="1">
        <f t="array" aca="1" ref="DL154" ca="1">IF(ISNA(N154),,OFFSET(INDIRECT("'"&amp;EC$67&amp;"'!f1"),N154-1,))*1</f>
        <v>1.6689092852175201E-2</v>
      </c>
      <c r="DM154" cm="1">
        <f t="array" aca="1" ref="DM154" ca="1">IF(ISNA(O154),,OFFSET(INDIRECT("'"&amp;ED$67&amp;"'!f1"),O154-1,))*1</f>
        <v>1.6953586600720799E-2</v>
      </c>
      <c r="DN154" cm="1">
        <f t="array" aca="1" ref="DN154" ca="1">IF(ISNA(P154),,OFFSET(INDIRECT("'"&amp;EE$67&amp;"'!f1"),P154-1,))*1</f>
        <v>2.7254845015704601E-2</v>
      </c>
      <c r="DT154">
        <f t="shared" ref="DT154:DT171" ca="1" si="232">IF(CL154,EK154,)</f>
        <v>1</v>
      </c>
      <c r="DU154">
        <f t="shared" ref="DU154:DU171" ca="1" si="233">IF(CM154,EL154,)</f>
        <v>1</v>
      </c>
      <c r="DV154">
        <f t="shared" ref="DV154:DV171" ca="1" si="234">IF(CN154,EM154,)</f>
        <v>0</v>
      </c>
      <c r="DW154">
        <f t="shared" ref="DW154:DW171" ca="1" si="235">IF(CO154,EN154,)</f>
        <v>0</v>
      </c>
      <c r="DX154">
        <f t="shared" ref="DX154:DX171" ca="1" si="236">IF(CP154,EO154,)</f>
        <v>1</v>
      </c>
      <c r="DY154">
        <f t="shared" ref="DY154:DY171" ca="1" si="237">IF(CQ154,EP154,)</f>
        <v>1</v>
      </c>
      <c r="DZ154">
        <f t="shared" ref="DZ154:DZ171" ca="1" si="238">IF(CR154,EQ154,)</f>
        <v>264</v>
      </c>
      <c r="EA154">
        <f t="shared" ref="EA154:EA171" ca="1" si="239">IF(CS154,ER154,)</f>
        <v>6003</v>
      </c>
      <c r="EB154">
        <f t="shared" ref="EB154:EB171" ca="1" si="240">IF(CT154,ES154,)</f>
        <v>176</v>
      </c>
      <c r="EC154">
        <f t="shared" ref="EC154:EC171" ca="1" si="241">IF(CU154,ET154,)</f>
        <v>0</v>
      </c>
      <c r="ED154">
        <f t="shared" ref="ED154:ED171" ca="1" si="242">IF(CV154,EU154,)</f>
        <v>0</v>
      </c>
      <c r="EE154">
        <f t="shared" ref="EE154:EE171" ca="1" si="243">IF(CW154,EV154,)</f>
        <v>0</v>
      </c>
      <c r="EK154" cm="1">
        <f t="array" aca="1" ref="EK154" ca="1">IF(ISNA(E154),0,OFFSET(INDIRECT("'"&amp;EK$67&amp;"'!g1"),E154-1,)*CL154)</f>
        <v>1</v>
      </c>
      <c r="EL154" cm="1">
        <f t="array" aca="1" ref="EL154" ca="1">IF(ISNA(F154),0,OFFSET(INDIRECT("'"&amp;EL$67&amp;"'!g1"),F154-1,)*CM154)</f>
        <v>1</v>
      </c>
      <c r="EM154" cm="1">
        <f t="array" aca="1" ref="EM154" ca="1">IF(ISNA(G154),0,OFFSET(INDIRECT("'"&amp;EM$67&amp;"'!g1"),G154-1,)*CN154)</f>
        <v>0</v>
      </c>
      <c r="EN154" cm="1">
        <f t="array" aca="1" ref="EN154" ca="1">IF(ISNA(H154),0,OFFSET(INDIRECT("'"&amp;EN$67&amp;"'!g1"),H154-1,)*CO154)</f>
        <v>0</v>
      </c>
      <c r="EO154" cm="1">
        <f t="array" aca="1" ref="EO154" ca="1">IF(ISNA(I154),0,OFFSET(INDIRECT("'"&amp;EO$67&amp;"'!g1"),I154-1,)*CP154)</f>
        <v>1</v>
      </c>
      <c r="EP154" cm="1">
        <f t="array" aca="1" ref="EP154" ca="1">IF(ISNA(J154),0,OFFSET(INDIRECT("'"&amp;EP$67&amp;"'!g1"),J154-1,)*CQ154)</f>
        <v>1</v>
      </c>
      <c r="EQ154" cm="1">
        <f t="array" aca="1" ref="EQ154" ca="1">IF(ISNA(K154),0,OFFSET(INDIRECT("'"&amp;EQ$67&amp;"'!g1"),K154-1,)*CR154)</f>
        <v>264</v>
      </c>
      <c r="ER154" cm="1">
        <f t="array" aca="1" ref="ER154" ca="1">IF(ISNA(L154),0,OFFSET(INDIRECT("'"&amp;ER$67&amp;"'!g1"),L154-1,)*CS154)</f>
        <v>6003</v>
      </c>
      <c r="ES154" cm="1">
        <f t="array" aca="1" ref="ES154" ca="1">IF(ISNA(M154),0,OFFSET(INDIRECT("'"&amp;ES$67&amp;"'!g1"),M154-1,)*CT154)</f>
        <v>176</v>
      </c>
      <c r="ET154" cm="1">
        <f t="array" aca="1" ref="ET154" ca="1">IF(ISNA(N154),0,OFFSET(INDIRECT("'"&amp;ET$67&amp;"'!g1"),N154-1,)*CU154)</f>
        <v>0</v>
      </c>
      <c r="EU154" cm="1">
        <f t="array" aca="1" ref="EU154" ca="1">IF(ISNA(O154),0,OFFSET(INDIRECT("'"&amp;EU$67&amp;"'!g1"),O154-1,)*CV154)</f>
        <v>0</v>
      </c>
      <c r="EV154" cm="1">
        <f t="array" aca="1" ref="EV154" ca="1">IF(ISNA(P154),0,OFFSET(INDIRECT("'"&amp;EV$67&amp;"'!g1"),P154-1,)*CW154)</f>
        <v>0</v>
      </c>
      <c r="FB154" s="10" cm="1">
        <f t="array" aca="1" ref="FB154" ca="1">IF(ISNA(E154),0,OFFSET(INDIRECT("'"&amp;EK$67&amp;"'!h1"),E154-1,))</f>
        <v>1</v>
      </c>
      <c r="FC154" s="10" cm="1">
        <f t="array" aca="1" ref="FC154" ca="1">IF(ISNA(F154),0,OFFSET(INDIRECT("'"&amp;EL$67&amp;"'!h1"),F154-1,))</f>
        <v>1</v>
      </c>
      <c r="FD154" s="10" cm="1">
        <f t="array" aca="1" ref="FD154" ca="1">IF(ISNA(G154),0,OFFSET(INDIRECT("'"&amp;EM$67&amp;"'!h1"),G154-1,))</f>
        <v>1</v>
      </c>
      <c r="FE154" s="10" cm="1">
        <f t="array" aca="1" ref="FE154" ca="1">IF(ISNA(H154),0,OFFSET(INDIRECT("'"&amp;EN$67&amp;"'!h1"),H154-1,))</f>
        <v>1</v>
      </c>
      <c r="FF154" s="10" cm="1">
        <f t="array" aca="1" ref="FF154" ca="1">IF(ISNA(I154),0,OFFSET(INDIRECT("'"&amp;EO$67&amp;"'!h1"),I154-1,))</f>
        <v>1</v>
      </c>
      <c r="FG154" s="10" cm="1">
        <f t="array" aca="1" ref="FG154" ca="1">IF(ISNA(J154),0,OFFSET(INDIRECT("'"&amp;EP$67&amp;"'!h1"),J154-1,))</f>
        <v>1</v>
      </c>
      <c r="FH154" s="10" cm="1">
        <f t="array" aca="1" ref="FH154" ca="1">IF(ISNA(K154),0,OFFSET(INDIRECT("'"&amp;EQ$67&amp;"'!h1"),K154-1,))</f>
        <v>10000</v>
      </c>
      <c r="FI154" s="10" cm="1">
        <f t="array" aca="1" ref="FI154" ca="1">IF(ISNA(L154),0,OFFSET(INDIRECT("'"&amp;ER$67&amp;"'!h1"),L154-1,))</f>
        <v>10000</v>
      </c>
      <c r="FJ154" s="10" cm="1">
        <f t="array" aca="1" ref="FJ154" ca="1">IF(ISNA(M154),0,OFFSET(INDIRECT("'"&amp;ES$67&amp;"'!h1"),M154-1,))</f>
        <v>10000</v>
      </c>
      <c r="FK154" s="10" cm="1">
        <f t="array" aca="1" ref="FK154" ca="1">IF(ISNA(N154),0,OFFSET(INDIRECT("'"&amp;ET$67&amp;"'!h1"),N154-1,))</f>
        <v>1</v>
      </c>
      <c r="FL154" s="10" cm="1">
        <f t="array" aca="1" ref="FL154" ca="1">IF(ISNA(O154),0,OFFSET(INDIRECT("'"&amp;EU$67&amp;"'!h1"),O154-1,))</f>
        <v>1</v>
      </c>
      <c r="FM154" s="10" cm="1">
        <f t="array" aca="1" ref="FM154" ca="1">IF(ISNA(P154),0,OFFSET(INDIRECT("'"&amp;EV$67&amp;"'!h1"),P154-1,))</f>
        <v>9</v>
      </c>
      <c r="FN154" s="10"/>
      <c r="FO154" s="10"/>
      <c r="FP154" s="10"/>
      <c r="FQ154" s="10"/>
      <c r="FS154">
        <f t="shared" ref="FS154:FS171" ca="1" si="244">B154</f>
        <v>94</v>
      </c>
      <c r="FT154">
        <f t="shared" ca="1" si="62"/>
        <v>2.6669071996584499</v>
      </c>
      <c r="FU154">
        <f t="shared" ca="1" si="63"/>
        <v>264</v>
      </c>
      <c r="FV154">
        <f t="shared" ca="1" si="64"/>
        <v>10000</v>
      </c>
      <c r="FW154" s="4">
        <f t="shared" ref="FW154:FW171" ca="1" si="245">IF(FV154,FU154/FV154,NA())</f>
        <v>2.64E-2</v>
      </c>
      <c r="FX154" s="5">
        <f t="shared" ref="FX154:FX171" ca="1" si="246">IF(FU154,FT154/FU154,NA())</f>
        <v>1.0101921210827461E-2</v>
      </c>
      <c r="FZ154" s="13">
        <f t="shared" ref="FZ154:FZ171" ca="1" si="247">GN154</f>
        <v>94</v>
      </c>
      <c r="GA154" s="23">
        <f t="shared" ref="GA154:GA171" ca="1" si="248">IF(BD154,(BU154-$C154)/$C154,NA())</f>
        <v>0</v>
      </c>
      <c r="GB154" s="23">
        <f t="shared" ref="GB154:GB171" ca="1" si="249">IF(BE154,(BV154-$C154)/$C154,NA())</f>
        <v>0</v>
      </c>
      <c r="GC154" s="23">
        <f t="shared" ref="GC154:GC171" ca="1" si="250">IF(BF154,(BW154-$C154)/$C154,NA())</f>
        <v>7.6923076923076927E-2</v>
      </c>
      <c r="GD154" s="23" t="e">
        <f t="shared" ref="GD154:GD171" ca="1" si="251">IF(BG154,(BX154-$C154)/$C154,NA())</f>
        <v>#N/A</v>
      </c>
      <c r="GE154" s="23">
        <f t="shared" ref="GE154:GE171" ca="1" si="252">IF(BH154,(BY154-$C154)/$C154,NA())</f>
        <v>0</v>
      </c>
      <c r="GF154" s="23">
        <f t="shared" ref="GF154:GF171" ca="1" si="253">IF(BI154,(BZ154-$C154)/$C154,NA())</f>
        <v>0</v>
      </c>
      <c r="GG154" s="23">
        <f t="shared" ref="GG154:GG171" ca="1" si="254">IF(BJ154,(CA154-$C154)/$C154,NA())</f>
        <v>0</v>
      </c>
      <c r="GH154" s="23">
        <f t="shared" ref="GH154:GH171" ca="1" si="255">IF(BK154,(CB154-$C154)/$C154,NA())</f>
        <v>0</v>
      </c>
      <c r="GI154" s="23">
        <f t="shared" ref="GI154:GI171" ca="1" si="256">IF(BL154,(CC154-$C154)/$C154,NA())</f>
        <v>0</v>
      </c>
      <c r="GJ154" s="23" t="e">
        <f t="shared" ref="GJ154:GJ171" ca="1" si="257">IF(BM154,(CD154-$C154)/$C154,NA())</f>
        <v>#N/A</v>
      </c>
      <c r="GK154" s="23" t="e">
        <f t="shared" ref="GK154:GK171" ca="1" si="258">IF(BN154,(CE154-$C154)/$C154,NA())</f>
        <v>#N/A</v>
      </c>
      <c r="GL154" s="23" t="e">
        <f t="shared" ref="GL154:GL171" ca="1" si="259">IF(BO154,(CF154-$C154)/$C154,NA())</f>
        <v>#N/A</v>
      </c>
      <c r="GM154" s="23"/>
      <c r="GN154">
        <f t="shared" ref="GN154:GN171" ca="1" si="260">B154</f>
        <v>94</v>
      </c>
      <c r="GO154" s="5" t="e">
        <f t="shared" ref="GO154:GO171" ca="1" si="261">IF(AND(AM154&gt;0,DT154&gt;0),DC154/DT154,NA())</f>
        <v>#N/A</v>
      </c>
      <c r="GP154" s="5" t="e">
        <f t="shared" ref="GP154:GP171" ca="1" si="262">IF(AND(AN154&gt;0,DU154&gt;0),DD154/DU154,NA())</f>
        <v>#N/A</v>
      </c>
      <c r="GQ154" s="5" t="e">
        <f t="shared" ref="GQ154:GQ171" ca="1" si="263">IF(AND(AO154&gt;0,DV154&gt;0),DE154/DV154,NA())</f>
        <v>#N/A</v>
      </c>
      <c r="GR154" s="5" t="e">
        <f t="shared" ref="GR154:GR171" ca="1" si="264">IF(AND(AP154&gt;0,DW154&gt;0),DF154/DW154,NA())</f>
        <v>#N/A</v>
      </c>
      <c r="GS154" s="5">
        <f t="shared" ref="GS154:GS171" ca="1" si="265">IF(AND(AQ154&gt;0,DX154&gt;0),DG154/DX154,NA())</f>
        <v>1092.68203474999</v>
      </c>
      <c r="GT154" s="5">
        <f t="shared" ref="GT154:GT171" ca="1" si="266">IF(DY154&gt;0,DH154/DY154,NA())</f>
        <v>0.18899031123146401</v>
      </c>
      <c r="GU154" s="5">
        <f t="shared" ref="GU154:GU171" ca="1" si="267">IF(DZ154&gt;0,DI154/DZ154,NA())</f>
        <v>1.0101921210827461E-2</v>
      </c>
      <c r="GV154" s="5">
        <f t="shared" ref="GV154:GV171" ca="1" si="268">IF(EA154&gt;0,DJ154/EA154,NA())</f>
        <v>5.4497169118170421E-4</v>
      </c>
      <c r="GW154" s="5">
        <f t="shared" ref="GW154:GW171" ca="1" si="269">IF(EB154&gt;0,DK154/EB154,NA())</f>
        <v>0.41016285969685229</v>
      </c>
      <c r="GX154" s="5" t="e">
        <f t="shared" ref="GX154:GX171" ca="1" si="270">IF(EC154&gt;0,DL154/EC154,NA())</f>
        <v>#N/A</v>
      </c>
      <c r="GY154" s="5" t="e">
        <f t="shared" ref="GY154:GY171" ca="1" si="271">IF(ED154&gt;0,DM154/ED154,NA())</f>
        <v>#N/A</v>
      </c>
      <c r="GZ154" s="5" t="e">
        <f t="shared" ref="GZ154:GZ171" ca="1" si="272">IF(EE154&gt;0,DN154/EE154,NA())</f>
        <v>#N/A</v>
      </c>
      <c r="HB154" s="13">
        <f t="shared" ref="HB154:HB171" ca="1" si="273">GN154</f>
        <v>94</v>
      </c>
      <c r="HC154" s="4">
        <f t="shared" ref="HC154:HC171" ca="1" si="274">IF(FB154,DT154/FB154,)</f>
        <v>1</v>
      </c>
      <c r="HD154" s="4">
        <f t="shared" ref="HD154:HD171" ca="1" si="275">IF(FC154,DU154/FC154,)</f>
        <v>1</v>
      </c>
      <c r="HE154" s="4">
        <f t="shared" ref="HE154:HE171" ca="1" si="276">IF(FD154,DV154/FD154,)</f>
        <v>0</v>
      </c>
      <c r="HF154" s="4">
        <f t="shared" ref="HF154:HF171" ca="1" si="277">IF(FE154,DW154/FE154,)</f>
        <v>0</v>
      </c>
      <c r="HG154" s="4">
        <f t="shared" ref="HG154:HG171" ca="1" si="278">IF(FF154,DX154/FF154,)</f>
        <v>1</v>
      </c>
      <c r="HH154" s="4">
        <f t="shared" ref="HH154:HH171" ca="1" si="279">IF(FG154,DY154/FG154,)</f>
        <v>1</v>
      </c>
      <c r="HI154" s="4">
        <f t="shared" ref="HI154:HI171" ca="1" si="280">IF(FH154,DZ154/FH154,)</f>
        <v>2.64E-2</v>
      </c>
      <c r="HJ154" s="4">
        <f t="shared" ref="HJ154:HJ171" ca="1" si="281">IF(FI154,EA154/FI154,)</f>
        <v>0.60029999999999994</v>
      </c>
      <c r="HK154" s="4">
        <f t="shared" ref="HK154:HK171" ca="1" si="282">IF(FJ154,EB154/FJ154,)</f>
        <v>1.7600000000000001E-2</v>
      </c>
      <c r="HL154" s="4">
        <f t="shared" ref="HL154:HL171" ca="1" si="283">IF(FK154,EC154/FK154,)</f>
        <v>0</v>
      </c>
      <c r="HM154" s="4">
        <f t="shared" ref="HM154:HM171" ca="1" si="284">IF(FL154,ED154/FL154,)</f>
        <v>0</v>
      </c>
      <c r="HN154" s="4">
        <f t="shared" ref="HN154:HN171" ca="1" si="285">IF(FM154,EE154/FM154,)</f>
        <v>0</v>
      </c>
    </row>
    <row r="155" spans="1:222" x14ac:dyDescent="0.2">
      <c r="A155" t="str" cm="1">
        <f t="array" aca="1" ref="A155" ca="1">INDIRECT($A$67&amp;"!A"&amp;ROW(C88)+$B$64)</f>
        <v>[[95,46,17]]</v>
      </c>
      <c r="B155" cm="1">
        <f t="array" aca="1" ref="B155" ca="1">INDIRECT($A$67&amp;"!b"&amp;ROW(D88)+$B$64)</f>
        <v>95</v>
      </c>
      <c r="C155">
        <f t="shared" ca="1" si="185"/>
        <v>17</v>
      </c>
      <c r="E155">
        <f t="shared" ca="1" si="184"/>
        <v>112</v>
      </c>
      <c r="F155">
        <f t="shared" ca="1" si="184"/>
        <v>113</v>
      </c>
      <c r="G155">
        <f t="shared" ca="1" si="184"/>
        <v>112</v>
      </c>
      <c r="H155">
        <f t="shared" ca="1" si="184"/>
        <v>117</v>
      </c>
      <c r="I155">
        <f t="shared" ca="1" si="184"/>
        <v>115</v>
      </c>
      <c r="J155">
        <f t="shared" ca="1" si="184"/>
        <v>112</v>
      </c>
      <c r="K155">
        <f t="shared" ca="1" si="184"/>
        <v>119</v>
      </c>
      <c r="L155">
        <f t="shared" ca="1" si="184"/>
        <v>121</v>
      </c>
      <c r="M155">
        <f t="shared" ca="1" si="184"/>
        <v>118</v>
      </c>
      <c r="N155">
        <f t="shared" ca="1" si="184"/>
        <v>116</v>
      </c>
      <c r="O155">
        <f t="shared" ca="1" si="184"/>
        <v>116</v>
      </c>
      <c r="P155">
        <f t="shared" ca="1" si="184"/>
        <v>116</v>
      </c>
      <c r="V155" cm="1">
        <f t="array" aca="1" ref="V155" ca="1">IF(ISNA(E155),,OFFSET(INDIRECT("'"&amp;V$67&amp;"'!d1"),E155-1,))</f>
        <v>17</v>
      </c>
      <c r="W155" cm="1">
        <f t="array" aca="1" ref="W155" ca="1">IF(ISNA(F155),,OFFSET(INDIRECT("'"&amp;W$67&amp;"'!d1"),F155-1,))</f>
        <v>17</v>
      </c>
      <c r="X155" cm="1">
        <f t="array" aca="1" ref="X155" ca="1">IF(ISNA(G155),,OFFSET(INDIRECT("'"&amp;X$67&amp;"'!d1"),G155-1,))</f>
        <v>44</v>
      </c>
      <c r="Y155" cm="1">
        <f t="array" aca="1" ref="Y155" ca="1">IF(ISNA(H155),,OFFSET(INDIRECT("'"&amp;Y$67&amp;"'!d1"),H155-1,))</f>
        <v>0</v>
      </c>
      <c r="Z155" cm="1">
        <f t="array" aca="1" ref="Z155" ca="1">IF(ISNA(I155),,OFFSET(INDIRECT("'"&amp;Z$67&amp;"'!d1"),I155-1,))</f>
        <v>17</v>
      </c>
      <c r="AA155" cm="1">
        <f t="array" aca="1" ref="AA155" ca="1">IF(ISNA(J155),,OFFSET(INDIRECT("'"&amp;AA$67&amp;"'!d1"),J155-1,))</f>
        <v>17</v>
      </c>
      <c r="AB155" cm="1">
        <f t="array" aca="1" ref="AB155" ca="1">IF(ISNA(K155),,OFFSET(INDIRECT("'"&amp;AB$67&amp;"'!d1"),K155-1,))</f>
        <v>17</v>
      </c>
      <c r="AC155" cm="1">
        <f t="array" aca="1" ref="AC155" ca="1">IF(ISNA(L155),,OFFSET(INDIRECT("'"&amp;AC$67&amp;"'!d1"),L155-1,))</f>
        <v>17</v>
      </c>
      <c r="AD155" cm="1">
        <f t="array" aca="1" ref="AD155" ca="1">IF(ISNA(M155),,OFFSET(INDIRECT("'"&amp;AD$67&amp;"'!d1"),M155-1,))</f>
        <v>17</v>
      </c>
      <c r="AE155" cm="1">
        <f t="array" aca="1" ref="AE155" ca="1">IF(ISNA(N155),,OFFSET(INDIRECT("'"&amp;AE$67&amp;"'!d1"),N155-1,))</f>
        <v>0</v>
      </c>
      <c r="AF155" cm="1">
        <f t="array" aca="1" ref="AF155" ca="1">IF(ISNA(O155),,OFFSET(INDIRECT("'"&amp;AF$67&amp;"'!d1"),O155-1,))</f>
        <v>0</v>
      </c>
      <c r="AG155" cm="1">
        <f t="array" aca="1" ref="AG155" ca="1">IF(ISNA(P155),,OFFSET(INDIRECT("'"&amp;AG$67&amp;"'!d1"),P155-1,))</f>
        <v>0</v>
      </c>
      <c r="AM155">
        <f t="shared" ca="1" si="186"/>
        <v>0</v>
      </c>
      <c r="AN155">
        <f t="shared" ca="1" si="187"/>
        <v>0</v>
      </c>
      <c r="AO155">
        <f t="shared" ca="1" si="188"/>
        <v>0</v>
      </c>
      <c r="AP155">
        <f t="shared" ca="1" si="189"/>
        <v>0</v>
      </c>
      <c r="AQ155">
        <f t="shared" ca="1" si="190"/>
        <v>1</v>
      </c>
      <c r="AV155" t="str">
        <f t="shared" ca="1" si="191"/>
        <v/>
      </c>
      <c r="AW155" t="str">
        <f t="shared" ca="1" si="192"/>
        <v/>
      </c>
      <c r="AX155" t="str">
        <f t="shared" ca="1" si="193"/>
        <v/>
      </c>
      <c r="AY155" t="str">
        <f t="shared" ca="1" si="194"/>
        <v/>
      </c>
      <c r="AZ155" t="b">
        <f t="shared" ca="1" si="195"/>
        <v>1</v>
      </c>
      <c r="BD155">
        <f t="shared" ca="1" si="196"/>
        <v>1</v>
      </c>
      <c r="BE155">
        <f t="shared" ca="1" si="197"/>
        <v>1</v>
      </c>
      <c r="BF155">
        <f t="shared" ca="1" si="198"/>
        <v>1</v>
      </c>
      <c r="BG155">
        <f t="shared" ca="1" si="199"/>
        <v>0</v>
      </c>
      <c r="BH155">
        <f t="shared" ca="1" si="200"/>
        <v>1</v>
      </c>
      <c r="BI155">
        <f t="shared" ca="1" si="201"/>
        <v>1</v>
      </c>
      <c r="BJ155">
        <f t="shared" ca="1" si="202"/>
        <v>1</v>
      </c>
      <c r="BK155">
        <f t="shared" ca="1" si="203"/>
        <v>1</v>
      </c>
      <c r="BL155">
        <f t="shared" ca="1" si="204"/>
        <v>1</v>
      </c>
      <c r="BM155">
        <f t="shared" ca="1" si="205"/>
        <v>0</v>
      </c>
      <c r="BN155">
        <f t="shared" ca="1" si="206"/>
        <v>0</v>
      </c>
      <c r="BO155">
        <f t="shared" ca="1" si="207"/>
        <v>0</v>
      </c>
      <c r="BU155">
        <f t="shared" ca="1" si="208"/>
        <v>17</v>
      </c>
      <c r="BV155">
        <f t="shared" ca="1" si="209"/>
        <v>17</v>
      </c>
      <c r="BW155">
        <f t="shared" ca="1" si="210"/>
        <v>44</v>
      </c>
      <c r="BX155">
        <f t="shared" ca="1" si="211"/>
        <v>95</v>
      </c>
      <c r="BY155">
        <f t="shared" ca="1" si="212"/>
        <v>17</v>
      </c>
      <c r="BZ155">
        <f t="shared" ca="1" si="213"/>
        <v>17</v>
      </c>
      <c r="CA155">
        <f t="shared" ca="1" si="214"/>
        <v>17</v>
      </c>
      <c r="CB155">
        <f t="shared" ca="1" si="215"/>
        <v>17</v>
      </c>
      <c r="CC155">
        <f t="shared" ca="1" si="216"/>
        <v>17</v>
      </c>
      <c r="CD155">
        <f t="shared" ca="1" si="217"/>
        <v>95</v>
      </c>
      <c r="CE155">
        <f t="shared" ca="1" si="218"/>
        <v>95</v>
      </c>
      <c r="CF155">
        <f t="shared" ca="1" si="219"/>
        <v>95</v>
      </c>
      <c r="CL155">
        <f t="shared" ca="1" si="220"/>
        <v>1</v>
      </c>
      <c r="CM155">
        <f t="shared" ca="1" si="221"/>
        <v>1</v>
      </c>
      <c r="CN155">
        <f t="shared" ca="1" si="222"/>
        <v>0</v>
      </c>
      <c r="CO155">
        <f t="shared" ca="1" si="223"/>
        <v>0</v>
      </c>
      <c r="CP155">
        <f t="shared" ca="1" si="224"/>
        <v>1</v>
      </c>
      <c r="CQ155">
        <f t="shared" ca="1" si="225"/>
        <v>1</v>
      </c>
      <c r="CR155">
        <f t="shared" ca="1" si="226"/>
        <v>1</v>
      </c>
      <c r="CS155">
        <f t="shared" ca="1" si="227"/>
        <v>1</v>
      </c>
      <c r="CT155">
        <f t="shared" ca="1" si="228"/>
        <v>1</v>
      </c>
      <c r="CU155">
        <f t="shared" ca="1" si="229"/>
        <v>0</v>
      </c>
      <c r="CV155">
        <f t="shared" ca="1" si="230"/>
        <v>0</v>
      </c>
      <c r="CW155">
        <f t="shared" ca="1" si="231"/>
        <v>0</v>
      </c>
      <c r="DC155" cm="1">
        <f t="array" aca="1" ref="DC155" ca="1">IF(ISNA(E155),,OFFSET(INDIRECT("'"&amp;DT$67&amp;"'!f1"),E155-1,))*1</f>
        <v>28907.7467968612</v>
      </c>
      <c r="DD155" cm="1">
        <f t="array" aca="1" ref="DD155" ca="1">IF(ISNA(F155),,OFFSET(INDIRECT("'"&amp;DU$67&amp;"'!f1"),F155-1,))*1</f>
        <v>28808.576118772002</v>
      </c>
      <c r="DE155" cm="1">
        <f t="array" aca="1" ref="DE155" ca="1">IF(ISNA(G155),,OFFSET(INDIRECT("'"&amp;DV$67&amp;"'!f1"),G155-1,))*1</f>
        <v>28800.6771369179</v>
      </c>
      <c r="DF155" cm="1">
        <f t="array" aca="1" ref="DF155" ca="1">IF(ISNA(H155),,OFFSET(INDIRECT("'"&amp;DW$67&amp;"'!f1"),H155-1,))*1</f>
        <v>28801.842795360801</v>
      </c>
      <c r="DG155" cm="1">
        <f t="array" aca="1" ref="DG155" ca="1">IF(ISNA(I155),,OFFSET(INDIRECT("'"&amp;DX$67&amp;"'!f1"),I155-1,))*1</f>
        <v>0.95396887500101002</v>
      </c>
      <c r="DH155" cm="1">
        <f t="array" aca="1" ref="DH155" ca="1">IF(ISNA(J155),,OFFSET(INDIRECT("'"&amp;DY$67&amp;"'!f1"),J155-1,))*1</f>
        <v>0.23793588578701</v>
      </c>
      <c r="DI155" cm="1">
        <f t="array" aca="1" ref="DI155" ca="1">IF(ISNA(K155),,OFFSET(INDIRECT("'"&amp;DZ$67&amp;"'!f1"),K155-1,))*1</f>
        <v>3.0960950059816201</v>
      </c>
      <c r="DJ155" cm="1">
        <f t="array" aca="1" ref="DJ155" ca="1">IF(ISNA(L155),,OFFSET(INDIRECT("'"&amp;EA$67&amp;"'!f1"),L155-1,))*1</f>
        <v>3.6539229284971899</v>
      </c>
      <c r="DK155" cm="1">
        <f t="array" aca="1" ref="DK155" ca="1">IF(ISNA(M155),,OFFSET(INDIRECT("'"&amp;EB$67&amp;"'!f1"),M155-1,))*1</f>
        <v>66.873815263155805</v>
      </c>
      <c r="DL155" cm="1">
        <f t="array" aca="1" ref="DL155" ca="1">IF(ISNA(N155),,OFFSET(INDIRECT("'"&amp;EC$67&amp;"'!f1"),N155-1,))*1</f>
        <v>1.6505638137459699E-2</v>
      </c>
      <c r="DM155" cm="1">
        <f t="array" aca="1" ref="DM155" ca="1">IF(ISNA(O155),,OFFSET(INDIRECT("'"&amp;ED$67&amp;"'!f1"),O155-1,))*1</f>
        <v>1.6325363889336499E-2</v>
      </c>
      <c r="DN155" cm="1">
        <f t="array" aca="1" ref="DN155" ca="1">IF(ISNA(P155),,OFFSET(INDIRECT("'"&amp;EE$67&amp;"'!f1"),P155-1,))*1</f>
        <v>2.7487412095069799E-2</v>
      </c>
      <c r="DT155">
        <f t="shared" ca="1" si="232"/>
        <v>1</v>
      </c>
      <c r="DU155">
        <f t="shared" ca="1" si="233"/>
        <v>1</v>
      </c>
      <c r="DV155">
        <f t="shared" ca="1" si="234"/>
        <v>0</v>
      </c>
      <c r="DW155">
        <f t="shared" ca="1" si="235"/>
        <v>0</v>
      </c>
      <c r="DX155">
        <f t="shared" ca="1" si="236"/>
        <v>1</v>
      </c>
      <c r="DY155">
        <f t="shared" ca="1" si="237"/>
        <v>1</v>
      </c>
      <c r="DZ155">
        <f t="shared" ca="1" si="238"/>
        <v>1316</v>
      </c>
      <c r="EA155">
        <f t="shared" ca="1" si="239"/>
        <v>5827</v>
      </c>
      <c r="EB155">
        <f t="shared" ca="1" si="240"/>
        <v>963</v>
      </c>
      <c r="EC155">
        <f t="shared" ca="1" si="241"/>
        <v>0</v>
      </c>
      <c r="ED155">
        <f t="shared" ca="1" si="242"/>
        <v>0</v>
      </c>
      <c r="EE155">
        <f t="shared" ca="1" si="243"/>
        <v>0</v>
      </c>
      <c r="EK155" cm="1">
        <f t="array" aca="1" ref="EK155" ca="1">IF(ISNA(E155),0,OFFSET(INDIRECT("'"&amp;EK$67&amp;"'!g1"),E155-1,)*CL155)</f>
        <v>1</v>
      </c>
      <c r="EL155" cm="1">
        <f t="array" aca="1" ref="EL155" ca="1">IF(ISNA(F155),0,OFFSET(INDIRECT("'"&amp;EL$67&amp;"'!g1"),F155-1,)*CM155)</f>
        <v>1</v>
      </c>
      <c r="EM155" cm="1">
        <f t="array" aca="1" ref="EM155" ca="1">IF(ISNA(G155),0,OFFSET(INDIRECT("'"&amp;EM$67&amp;"'!g1"),G155-1,)*CN155)</f>
        <v>0</v>
      </c>
      <c r="EN155" cm="1">
        <f t="array" aca="1" ref="EN155" ca="1">IF(ISNA(H155),0,OFFSET(INDIRECT("'"&amp;EN$67&amp;"'!g1"),H155-1,)*CO155)</f>
        <v>0</v>
      </c>
      <c r="EO155" cm="1">
        <f t="array" aca="1" ref="EO155" ca="1">IF(ISNA(I155),0,OFFSET(INDIRECT("'"&amp;EO$67&amp;"'!g1"),I155-1,)*CP155)</f>
        <v>1</v>
      </c>
      <c r="EP155" cm="1">
        <f t="array" aca="1" ref="EP155" ca="1">IF(ISNA(J155),0,OFFSET(INDIRECT("'"&amp;EP$67&amp;"'!g1"),J155-1,)*CQ155)</f>
        <v>1</v>
      </c>
      <c r="EQ155" cm="1">
        <f t="array" aca="1" ref="EQ155" ca="1">IF(ISNA(K155),0,OFFSET(INDIRECT("'"&amp;EQ$67&amp;"'!g1"),K155-1,)*CR155)</f>
        <v>1316</v>
      </c>
      <c r="ER155" cm="1">
        <f t="array" aca="1" ref="ER155" ca="1">IF(ISNA(L155),0,OFFSET(INDIRECT("'"&amp;ER$67&amp;"'!g1"),L155-1,)*CS155)</f>
        <v>5827</v>
      </c>
      <c r="ES155" cm="1">
        <f t="array" aca="1" ref="ES155" ca="1">IF(ISNA(M155),0,OFFSET(INDIRECT("'"&amp;ES$67&amp;"'!g1"),M155-1,)*CT155)</f>
        <v>963</v>
      </c>
      <c r="ET155" cm="1">
        <f t="array" aca="1" ref="ET155" ca="1">IF(ISNA(N155),0,OFFSET(INDIRECT("'"&amp;ET$67&amp;"'!g1"),N155-1,)*CU155)</f>
        <v>0</v>
      </c>
      <c r="EU155" cm="1">
        <f t="array" aca="1" ref="EU155" ca="1">IF(ISNA(O155),0,OFFSET(INDIRECT("'"&amp;EU$67&amp;"'!g1"),O155-1,)*CV155)</f>
        <v>0</v>
      </c>
      <c r="EV155" cm="1">
        <f t="array" aca="1" ref="EV155" ca="1">IF(ISNA(P155),0,OFFSET(INDIRECT("'"&amp;EV$67&amp;"'!g1"),P155-1,)*CW155)</f>
        <v>0</v>
      </c>
      <c r="FB155" s="10" cm="1">
        <f t="array" aca="1" ref="FB155" ca="1">IF(ISNA(E155),0,OFFSET(INDIRECT("'"&amp;EK$67&amp;"'!h1"),E155-1,))</f>
        <v>1</v>
      </c>
      <c r="FC155" s="10" cm="1">
        <f t="array" aca="1" ref="FC155" ca="1">IF(ISNA(F155),0,OFFSET(INDIRECT("'"&amp;EL$67&amp;"'!h1"),F155-1,))</f>
        <v>1</v>
      </c>
      <c r="FD155" s="10" cm="1">
        <f t="array" aca="1" ref="FD155" ca="1">IF(ISNA(G155),0,OFFSET(INDIRECT("'"&amp;EM$67&amp;"'!h1"),G155-1,))</f>
        <v>1</v>
      </c>
      <c r="FE155" s="10" cm="1">
        <f t="array" aca="1" ref="FE155" ca="1">IF(ISNA(H155),0,OFFSET(INDIRECT("'"&amp;EN$67&amp;"'!h1"),H155-1,))</f>
        <v>1</v>
      </c>
      <c r="FF155" s="10" cm="1">
        <f t="array" aca="1" ref="FF155" ca="1">IF(ISNA(I155),0,OFFSET(INDIRECT("'"&amp;EO$67&amp;"'!h1"),I155-1,))</f>
        <v>1</v>
      </c>
      <c r="FG155" s="10" cm="1">
        <f t="array" aca="1" ref="FG155" ca="1">IF(ISNA(J155),0,OFFSET(INDIRECT("'"&amp;EP$67&amp;"'!h1"),J155-1,))</f>
        <v>1</v>
      </c>
      <c r="FH155" s="10" cm="1">
        <f t="array" aca="1" ref="FH155" ca="1">IF(ISNA(K155),0,OFFSET(INDIRECT("'"&amp;EQ$67&amp;"'!h1"),K155-1,))</f>
        <v>10000</v>
      </c>
      <c r="FI155" s="10" cm="1">
        <f t="array" aca="1" ref="FI155" ca="1">IF(ISNA(L155),0,OFFSET(INDIRECT("'"&amp;ER$67&amp;"'!h1"),L155-1,))</f>
        <v>10000</v>
      </c>
      <c r="FJ155" s="10" cm="1">
        <f t="array" aca="1" ref="FJ155" ca="1">IF(ISNA(M155),0,OFFSET(INDIRECT("'"&amp;ES$67&amp;"'!h1"),M155-1,))</f>
        <v>10000</v>
      </c>
      <c r="FK155" s="10" cm="1">
        <f t="array" aca="1" ref="FK155" ca="1">IF(ISNA(N155),0,OFFSET(INDIRECT("'"&amp;ET$67&amp;"'!h1"),N155-1,))</f>
        <v>1</v>
      </c>
      <c r="FL155" s="10" cm="1">
        <f t="array" aca="1" ref="FL155" ca="1">IF(ISNA(O155),0,OFFSET(INDIRECT("'"&amp;EU$67&amp;"'!h1"),O155-1,))</f>
        <v>1</v>
      </c>
      <c r="FM155" s="10" cm="1">
        <f t="array" aca="1" ref="FM155" ca="1">IF(ISNA(P155),0,OFFSET(INDIRECT("'"&amp;EV$67&amp;"'!h1"),P155-1,))</f>
        <v>9</v>
      </c>
      <c r="FN155" s="10"/>
      <c r="FO155" s="10"/>
      <c r="FP155" s="10"/>
      <c r="FQ155" s="10"/>
      <c r="FS155">
        <f t="shared" ca="1" si="244"/>
        <v>95</v>
      </c>
      <c r="FT155">
        <f t="shared" ca="1" si="62"/>
        <v>3.0960950059816201</v>
      </c>
      <c r="FU155">
        <f t="shared" ca="1" si="63"/>
        <v>1316</v>
      </c>
      <c r="FV155">
        <f t="shared" ca="1" si="64"/>
        <v>10000</v>
      </c>
      <c r="FW155" s="4">
        <f t="shared" ca="1" si="245"/>
        <v>0.13159999999999999</v>
      </c>
      <c r="FX155" s="5">
        <f t="shared" ca="1" si="246"/>
        <v>2.3526557796212919E-3</v>
      </c>
      <c r="FZ155" s="13">
        <f t="shared" ca="1" si="247"/>
        <v>95</v>
      </c>
      <c r="GA155" s="23">
        <f t="shared" ca="1" si="248"/>
        <v>0</v>
      </c>
      <c r="GB155" s="23">
        <f t="shared" ca="1" si="249"/>
        <v>0</v>
      </c>
      <c r="GC155" s="23">
        <f t="shared" ca="1" si="250"/>
        <v>1.588235294117647</v>
      </c>
      <c r="GD155" s="23" t="e">
        <f t="shared" ca="1" si="251"/>
        <v>#N/A</v>
      </c>
      <c r="GE155" s="23">
        <f t="shared" ca="1" si="252"/>
        <v>0</v>
      </c>
      <c r="GF155" s="23">
        <f t="shared" ca="1" si="253"/>
        <v>0</v>
      </c>
      <c r="GG155" s="23">
        <f t="shared" ca="1" si="254"/>
        <v>0</v>
      </c>
      <c r="GH155" s="23">
        <f t="shared" ca="1" si="255"/>
        <v>0</v>
      </c>
      <c r="GI155" s="23">
        <f t="shared" ca="1" si="256"/>
        <v>0</v>
      </c>
      <c r="GJ155" s="23" t="e">
        <f t="shared" ca="1" si="257"/>
        <v>#N/A</v>
      </c>
      <c r="GK155" s="23" t="e">
        <f t="shared" ca="1" si="258"/>
        <v>#N/A</v>
      </c>
      <c r="GL155" s="23" t="e">
        <f t="shared" ca="1" si="259"/>
        <v>#N/A</v>
      </c>
      <c r="GM155" s="23"/>
      <c r="GN155">
        <f t="shared" ca="1" si="260"/>
        <v>95</v>
      </c>
      <c r="GO155" s="5" t="e">
        <f t="shared" ca="1" si="261"/>
        <v>#N/A</v>
      </c>
      <c r="GP155" s="5" t="e">
        <f t="shared" ca="1" si="262"/>
        <v>#N/A</v>
      </c>
      <c r="GQ155" s="5" t="e">
        <f t="shared" ca="1" si="263"/>
        <v>#N/A</v>
      </c>
      <c r="GR155" s="5" t="e">
        <f t="shared" ca="1" si="264"/>
        <v>#N/A</v>
      </c>
      <c r="GS155" s="5">
        <f t="shared" ca="1" si="265"/>
        <v>0.95396887500101002</v>
      </c>
      <c r="GT155" s="5">
        <f t="shared" ca="1" si="266"/>
        <v>0.23793588578701</v>
      </c>
      <c r="GU155" s="5">
        <f t="shared" ca="1" si="267"/>
        <v>2.3526557796212919E-3</v>
      </c>
      <c r="GV155" s="5">
        <f t="shared" ca="1" si="268"/>
        <v>6.2706760399814483E-4</v>
      </c>
      <c r="GW155" s="5">
        <f t="shared" ca="1" si="269"/>
        <v>6.9443214188116095E-2</v>
      </c>
      <c r="GX155" s="5" t="e">
        <f t="shared" ca="1" si="270"/>
        <v>#N/A</v>
      </c>
      <c r="GY155" s="5" t="e">
        <f t="shared" ca="1" si="271"/>
        <v>#N/A</v>
      </c>
      <c r="GZ155" s="5" t="e">
        <f t="shared" ca="1" si="272"/>
        <v>#N/A</v>
      </c>
      <c r="HB155" s="13">
        <f t="shared" ca="1" si="273"/>
        <v>95</v>
      </c>
      <c r="HC155" s="4">
        <f t="shared" ca="1" si="274"/>
        <v>1</v>
      </c>
      <c r="HD155" s="4">
        <f t="shared" ca="1" si="275"/>
        <v>1</v>
      </c>
      <c r="HE155" s="4">
        <f t="shared" ca="1" si="276"/>
        <v>0</v>
      </c>
      <c r="HF155" s="4">
        <f t="shared" ca="1" si="277"/>
        <v>0</v>
      </c>
      <c r="HG155" s="4">
        <f t="shared" ca="1" si="278"/>
        <v>1</v>
      </c>
      <c r="HH155" s="4">
        <f t="shared" ca="1" si="279"/>
        <v>1</v>
      </c>
      <c r="HI155" s="4">
        <f t="shared" ca="1" si="280"/>
        <v>0.13159999999999999</v>
      </c>
      <c r="HJ155" s="4">
        <f t="shared" ca="1" si="281"/>
        <v>0.5827</v>
      </c>
      <c r="HK155" s="4">
        <f t="shared" ca="1" si="282"/>
        <v>9.6299999999999997E-2</v>
      </c>
      <c r="HL155" s="4">
        <f t="shared" ca="1" si="283"/>
        <v>0</v>
      </c>
      <c r="HM155" s="4">
        <f t="shared" ca="1" si="284"/>
        <v>0</v>
      </c>
      <c r="HN155" s="4">
        <f t="shared" ca="1" si="285"/>
        <v>0</v>
      </c>
    </row>
    <row r="156" spans="1:222" x14ac:dyDescent="0.2">
      <c r="A156" t="str" cm="1">
        <f t="array" aca="1" ref="A156" ca="1">INDIRECT($A$67&amp;"!A"&amp;ROW(C89)+$B$64)</f>
        <v>[[96,48,16]]</v>
      </c>
      <c r="B156" cm="1">
        <f t="array" aca="1" ref="B156" ca="1">INDIRECT($A$67&amp;"!b"&amp;ROW(D89)+$B$64)</f>
        <v>96</v>
      </c>
      <c r="C156">
        <f t="shared" ca="1" si="185"/>
        <v>16</v>
      </c>
      <c r="E156">
        <f t="shared" ca="1" si="184"/>
        <v>113</v>
      </c>
      <c r="F156">
        <f t="shared" ca="1" si="184"/>
        <v>114</v>
      </c>
      <c r="G156">
        <f t="shared" ca="1" si="184"/>
        <v>113</v>
      </c>
      <c r="H156">
        <f t="shared" ca="1" si="184"/>
        <v>80</v>
      </c>
      <c r="I156">
        <f t="shared" ca="1" si="184"/>
        <v>116</v>
      </c>
      <c r="J156">
        <f t="shared" ca="1" si="184"/>
        <v>113</v>
      </c>
      <c r="K156">
        <f t="shared" ca="1" si="184"/>
        <v>120</v>
      </c>
      <c r="L156">
        <f t="shared" ca="1" si="184"/>
        <v>122</v>
      </c>
      <c r="M156">
        <f t="shared" ca="1" si="184"/>
        <v>119</v>
      </c>
      <c r="N156">
        <f t="shared" ca="1" si="184"/>
        <v>117</v>
      </c>
      <c r="O156">
        <f t="shared" ca="1" si="184"/>
        <v>117</v>
      </c>
      <c r="P156">
        <f t="shared" ca="1" si="184"/>
        <v>117</v>
      </c>
      <c r="V156" cm="1">
        <f t="array" aca="1" ref="V156" ca="1">IF(ISNA(E156),,OFFSET(INDIRECT("'"&amp;V$67&amp;"'!d1"),E156-1,))</f>
        <v>16</v>
      </c>
      <c r="W156" cm="1">
        <f t="array" aca="1" ref="W156" ca="1">IF(ISNA(F156),,OFFSET(INDIRECT("'"&amp;W$67&amp;"'!d1"),F156-1,))</f>
        <v>16</v>
      </c>
      <c r="X156" cm="1">
        <f t="array" aca="1" ref="X156" ca="1">IF(ISNA(G156),,OFFSET(INDIRECT("'"&amp;X$67&amp;"'!d1"),G156-1,))</f>
        <v>43</v>
      </c>
      <c r="Y156" cm="1">
        <f t="array" aca="1" ref="Y156" ca="1">IF(ISNA(H156),,OFFSET(INDIRECT("'"&amp;Y$67&amp;"'!d1"),H156-1,))</f>
        <v>0</v>
      </c>
      <c r="Z156" cm="1">
        <f t="array" aca="1" ref="Z156" ca="1">IF(ISNA(I156),,OFFSET(INDIRECT("'"&amp;Z$67&amp;"'!d1"),I156-1,))</f>
        <v>16</v>
      </c>
      <c r="AA156" cm="1">
        <f t="array" aca="1" ref="AA156" ca="1">IF(ISNA(J156),,OFFSET(INDIRECT("'"&amp;AA$67&amp;"'!d1"),J156-1,))</f>
        <v>16</v>
      </c>
      <c r="AB156" cm="1">
        <f t="array" aca="1" ref="AB156" ca="1">IF(ISNA(K156),,OFFSET(INDIRECT("'"&amp;AB$67&amp;"'!d1"),K156-1,))</f>
        <v>16</v>
      </c>
      <c r="AC156" cm="1">
        <f t="array" aca="1" ref="AC156" ca="1">IF(ISNA(L156),,OFFSET(INDIRECT("'"&amp;AC$67&amp;"'!d1"),L156-1,))</f>
        <v>16</v>
      </c>
      <c r="AD156" cm="1">
        <f t="array" aca="1" ref="AD156" ca="1">IF(ISNA(M156),,OFFSET(INDIRECT("'"&amp;AD$67&amp;"'!d1"),M156-1,))</f>
        <v>16</v>
      </c>
      <c r="AE156" cm="1">
        <f t="array" aca="1" ref="AE156" ca="1">IF(ISNA(N156),,OFFSET(INDIRECT("'"&amp;AE$67&amp;"'!d1"),N156-1,))</f>
        <v>0</v>
      </c>
      <c r="AF156" cm="1">
        <f t="array" aca="1" ref="AF156" ca="1">IF(ISNA(O156),,OFFSET(INDIRECT("'"&amp;AF$67&amp;"'!d1"),O156-1,))</f>
        <v>0</v>
      </c>
      <c r="AG156" cm="1">
        <f t="array" aca="1" ref="AG156" ca="1">IF(ISNA(P156),,OFFSET(INDIRECT("'"&amp;AG$67&amp;"'!d1"),P156-1,))</f>
        <v>0</v>
      </c>
      <c r="AM156">
        <f t="shared" ca="1" si="186"/>
        <v>0</v>
      </c>
      <c r="AN156">
        <f t="shared" ca="1" si="187"/>
        <v>0</v>
      </c>
      <c r="AO156">
        <f t="shared" ca="1" si="188"/>
        <v>0</v>
      </c>
      <c r="AP156">
        <f t="shared" ca="1" si="189"/>
        <v>0</v>
      </c>
      <c r="AQ156">
        <f t="shared" ca="1" si="190"/>
        <v>1</v>
      </c>
      <c r="AV156" t="str">
        <f t="shared" ca="1" si="191"/>
        <v/>
      </c>
      <c r="AW156" t="str">
        <f t="shared" ca="1" si="192"/>
        <v/>
      </c>
      <c r="AX156" t="str">
        <f t="shared" ca="1" si="193"/>
        <v/>
      </c>
      <c r="AY156" t="str">
        <f t="shared" ca="1" si="194"/>
        <v/>
      </c>
      <c r="AZ156" t="b">
        <f t="shared" ca="1" si="195"/>
        <v>1</v>
      </c>
      <c r="BD156">
        <f t="shared" ca="1" si="196"/>
        <v>1</v>
      </c>
      <c r="BE156">
        <f t="shared" ca="1" si="197"/>
        <v>1</v>
      </c>
      <c r="BF156">
        <f t="shared" ca="1" si="198"/>
        <v>1</v>
      </c>
      <c r="BG156">
        <f t="shared" ca="1" si="199"/>
        <v>0</v>
      </c>
      <c r="BH156">
        <f t="shared" ca="1" si="200"/>
        <v>1</v>
      </c>
      <c r="BI156">
        <f t="shared" ca="1" si="201"/>
        <v>1</v>
      </c>
      <c r="BJ156">
        <f t="shared" ca="1" si="202"/>
        <v>1</v>
      </c>
      <c r="BK156">
        <f t="shared" ca="1" si="203"/>
        <v>1</v>
      </c>
      <c r="BL156">
        <f t="shared" ca="1" si="204"/>
        <v>1</v>
      </c>
      <c r="BM156">
        <f t="shared" ca="1" si="205"/>
        <v>0</v>
      </c>
      <c r="BN156">
        <f t="shared" ca="1" si="206"/>
        <v>0</v>
      </c>
      <c r="BO156">
        <f t="shared" ca="1" si="207"/>
        <v>0</v>
      </c>
      <c r="BU156">
        <f t="shared" ca="1" si="208"/>
        <v>16</v>
      </c>
      <c r="BV156">
        <f t="shared" ca="1" si="209"/>
        <v>16</v>
      </c>
      <c r="BW156">
        <f t="shared" ca="1" si="210"/>
        <v>43</v>
      </c>
      <c r="BX156">
        <f t="shared" ca="1" si="211"/>
        <v>96</v>
      </c>
      <c r="BY156">
        <f t="shared" ca="1" si="212"/>
        <v>16</v>
      </c>
      <c r="BZ156">
        <f t="shared" ca="1" si="213"/>
        <v>16</v>
      </c>
      <c r="CA156">
        <f t="shared" ca="1" si="214"/>
        <v>16</v>
      </c>
      <c r="CB156">
        <f t="shared" ca="1" si="215"/>
        <v>16</v>
      </c>
      <c r="CC156">
        <f t="shared" ca="1" si="216"/>
        <v>16</v>
      </c>
      <c r="CD156">
        <f t="shared" ca="1" si="217"/>
        <v>96</v>
      </c>
      <c r="CE156">
        <f t="shared" ca="1" si="218"/>
        <v>96</v>
      </c>
      <c r="CF156">
        <f t="shared" ca="1" si="219"/>
        <v>96</v>
      </c>
      <c r="CL156">
        <f t="shared" ca="1" si="220"/>
        <v>1</v>
      </c>
      <c r="CM156">
        <f t="shared" ca="1" si="221"/>
        <v>1</v>
      </c>
      <c r="CN156">
        <f t="shared" ca="1" si="222"/>
        <v>0</v>
      </c>
      <c r="CO156">
        <f t="shared" ca="1" si="223"/>
        <v>0</v>
      </c>
      <c r="CP156">
        <f t="shared" ca="1" si="224"/>
        <v>1</v>
      </c>
      <c r="CQ156">
        <f t="shared" ca="1" si="225"/>
        <v>1</v>
      </c>
      <c r="CR156">
        <f t="shared" ca="1" si="226"/>
        <v>1</v>
      </c>
      <c r="CS156">
        <f t="shared" ca="1" si="227"/>
        <v>1</v>
      </c>
      <c r="CT156">
        <f t="shared" ca="1" si="228"/>
        <v>1</v>
      </c>
      <c r="CU156">
        <f t="shared" ca="1" si="229"/>
        <v>0</v>
      </c>
      <c r="CV156">
        <f t="shared" ca="1" si="230"/>
        <v>0</v>
      </c>
      <c r="CW156">
        <f t="shared" ca="1" si="231"/>
        <v>0</v>
      </c>
      <c r="DC156" cm="1">
        <f t="array" aca="1" ref="DC156" ca="1">IF(ISNA(E156),,OFFSET(INDIRECT("'"&amp;DT$67&amp;"'!f1"),E156-1,))*1</f>
        <v>28874.521128445798</v>
      </c>
      <c r="DD156" cm="1">
        <f t="array" aca="1" ref="DD156" ca="1">IF(ISNA(F156),,OFFSET(INDIRECT("'"&amp;DU$67&amp;"'!f1"),F156-1,))*1</f>
        <v>28814.234375625001</v>
      </c>
      <c r="DE156" cm="1">
        <f t="array" aca="1" ref="DE156" ca="1">IF(ISNA(G156),,OFFSET(INDIRECT("'"&amp;DV$67&amp;"'!f1"),G156-1,))*1</f>
        <v>28800.262670280899</v>
      </c>
      <c r="DF156" cm="1">
        <f t="array" aca="1" ref="DF156" ca="1">IF(ISNA(H156),,OFFSET(INDIRECT("'"&amp;DW$67&amp;"'!f1"),H156-1,))*1</f>
        <v>28801.459414675799</v>
      </c>
      <c r="DG156" cm="1">
        <f t="array" aca="1" ref="DG156" ca="1">IF(ISNA(I156),,OFFSET(INDIRECT("'"&amp;DX$67&amp;"'!f1"),I156-1,))*1</f>
        <v>0.44240575000003401</v>
      </c>
      <c r="DH156" cm="1">
        <f t="array" aca="1" ref="DH156" ca="1">IF(ISNA(J156),,OFFSET(INDIRECT("'"&amp;DY$67&amp;"'!f1"),J156-1,))*1</f>
        <v>0.23428170010447499</v>
      </c>
      <c r="DI156" cm="1">
        <f t="array" aca="1" ref="DI156" ca="1">IF(ISNA(K156),,OFFSET(INDIRECT("'"&amp;DZ$67&amp;"'!f1"),K156-1,))*1</f>
        <v>2.9199475152418</v>
      </c>
      <c r="DJ156" cm="1">
        <f t="array" aca="1" ref="DJ156" ca="1">IF(ISNA(L156),,OFFSET(INDIRECT("'"&amp;EA$67&amp;"'!f1"),L156-1,))*1</f>
        <v>3.4415840394794901</v>
      </c>
      <c r="DK156" cm="1">
        <f t="array" aca="1" ref="DK156" ca="1">IF(ISNA(M156),,OFFSET(INDIRECT("'"&amp;EB$67&amp;"'!f1"),M156-1,))*1</f>
        <v>69.782758017070506</v>
      </c>
      <c r="DL156" cm="1">
        <f t="array" aca="1" ref="DL156" ca="1">IF(ISNA(N156),,OFFSET(INDIRECT("'"&amp;EC$67&amp;"'!f1"),N156-1,))*1</f>
        <v>1.65797183290123E-2</v>
      </c>
      <c r="DM156" cm="1">
        <f t="array" aca="1" ref="DM156" ca="1">IF(ISNA(O156),,OFFSET(INDIRECT("'"&amp;ED$67&amp;"'!f1"),O156-1,))*1</f>
        <v>1.68272834271192E-2</v>
      </c>
      <c r="DN156" cm="1">
        <f t="array" aca="1" ref="DN156" ca="1">IF(ISNA(P156),,OFFSET(INDIRECT("'"&amp;EE$67&amp;"'!f1"),P156-1,))*1</f>
        <v>2.8546096757054301E-2</v>
      </c>
      <c r="DT156">
        <f t="shared" ca="1" si="232"/>
        <v>1</v>
      </c>
      <c r="DU156">
        <f t="shared" ca="1" si="233"/>
        <v>1</v>
      </c>
      <c r="DV156">
        <f t="shared" ca="1" si="234"/>
        <v>0</v>
      </c>
      <c r="DW156">
        <f t="shared" ca="1" si="235"/>
        <v>0</v>
      </c>
      <c r="DX156">
        <f t="shared" ca="1" si="236"/>
        <v>1</v>
      </c>
      <c r="DY156">
        <f t="shared" ca="1" si="237"/>
        <v>1</v>
      </c>
      <c r="DZ156">
        <f t="shared" ca="1" si="238"/>
        <v>493</v>
      </c>
      <c r="EA156">
        <f t="shared" ca="1" si="239"/>
        <v>5359</v>
      </c>
      <c r="EB156">
        <f t="shared" ca="1" si="240"/>
        <v>338</v>
      </c>
      <c r="EC156">
        <f t="shared" ca="1" si="241"/>
        <v>0</v>
      </c>
      <c r="ED156">
        <f t="shared" ca="1" si="242"/>
        <v>0</v>
      </c>
      <c r="EE156">
        <f t="shared" ca="1" si="243"/>
        <v>0</v>
      </c>
      <c r="EK156" cm="1">
        <f t="array" aca="1" ref="EK156" ca="1">IF(ISNA(E156),0,OFFSET(INDIRECT("'"&amp;EK$67&amp;"'!g1"),E156-1,)*CL156)</f>
        <v>1</v>
      </c>
      <c r="EL156" cm="1">
        <f t="array" aca="1" ref="EL156" ca="1">IF(ISNA(F156),0,OFFSET(INDIRECT("'"&amp;EL$67&amp;"'!g1"),F156-1,)*CM156)</f>
        <v>1</v>
      </c>
      <c r="EM156" cm="1">
        <f t="array" aca="1" ref="EM156" ca="1">IF(ISNA(G156),0,OFFSET(INDIRECT("'"&amp;EM$67&amp;"'!g1"),G156-1,)*CN156)</f>
        <v>0</v>
      </c>
      <c r="EN156" cm="1">
        <f t="array" aca="1" ref="EN156" ca="1">IF(ISNA(H156),0,OFFSET(INDIRECT("'"&amp;EN$67&amp;"'!g1"),H156-1,)*CO156)</f>
        <v>0</v>
      </c>
      <c r="EO156" cm="1">
        <f t="array" aca="1" ref="EO156" ca="1">IF(ISNA(I156),0,OFFSET(INDIRECT("'"&amp;EO$67&amp;"'!g1"),I156-1,)*CP156)</f>
        <v>1</v>
      </c>
      <c r="EP156" cm="1">
        <f t="array" aca="1" ref="EP156" ca="1">IF(ISNA(J156),0,OFFSET(INDIRECT("'"&amp;EP$67&amp;"'!g1"),J156-1,)*CQ156)</f>
        <v>1</v>
      </c>
      <c r="EQ156" cm="1">
        <f t="array" aca="1" ref="EQ156" ca="1">IF(ISNA(K156),0,OFFSET(INDIRECT("'"&amp;EQ$67&amp;"'!g1"),K156-1,)*CR156)</f>
        <v>493</v>
      </c>
      <c r="ER156" cm="1">
        <f t="array" aca="1" ref="ER156" ca="1">IF(ISNA(L156),0,OFFSET(INDIRECT("'"&amp;ER$67&amp;"'!g1"),L156-1,)*CS156)</f>
        <v>5359</v>
      </c>
      <c r="ES156" cm="1">
        <f t="array" aca="1" ref="ES156" ca="1">IF(ISNA(M156),0,OFFSET(INDIRECT("'"&amp;ES$67&amp;"'!g1"),M156-1,)*CT156)</f>
        <v>338</v>
      </c>
      <c r="ET156" cm="1">
        <f t="array" aca="1" ref="ET156" ca="1">IF(ISNA(N156),0,OFFSET(INDIRECT("'"&amp;ET$67&amp;"'!g1"),N156-1,)*CU156)</f>
        <v>0</v>
      </c>
      <c r="EU156" cm="1">
        <f t="array" aca="1" ref="EU156" ca="1">IF(ISNA(O156),0,OFFSET(INDIRECT("'"&amp;EU$67&amp;"'!g1"),O156-1,)*CV156)</f>
        <v>0</v>
      </c>
      <c r="EV156" cm="1">
        <f t="array" aca="1" ref="EV156" ca="1">IF(ISNA(P156),0,OFFSET(INDIRECT("'"&amp;EV$67&amp;"'!g1"),P156-1,)*CW156)</f>
        <v>0</v>
      </c>
      <c r="FB156" s="10" cm="1">
        <f t="array" aca="1" ref="FB156" ca="1">IF(ISNA(E156),0,OFFSET(INDIRECT("'"&amp;EK$67&amp;"'!h1"),E156-1,))</f>
        <v>1</v>
      </c>
      <c r="FC156" s="10" cm="1">
        <f t="array" aca="1" ref="FC156" ca="1">IF(ISNA(F156),0,OFFSET(INDIRECT("'"&amp;EL$67&amp;"'!h1"),F156-1,))</f>
        <v>1</v>
      </c>
      <c r="FD156" s="10" cm="1">
        <f t="array" aca="1" ref="FD156" ca="1">IF(ISNA(G156),0,OFFSET(INDIRECT("'"&amp;EM$67&amp;"'!h1"),G156-1,))</f>
        <v>1</v>
      </c>
      <c r="FE156" s="10" cm="1">
        <f t="array" aca="1" ref="FE156" ca="1">IF(ISNA(H156),0,OFFSET(INDIRECT("'"&amp;EN$67&amp;"'!h1"),H156-1,))</f>
        <v>1</v>
      </c>
      <c r="FF156" s="10" cm="1">
        <f t="array" aca="1" ref="FF156" ca="1">IF(ISNA(I156),0,OFFSET(INDIRECT("'"&amp;EO$67&amp;"'!h1"),I156-1,))</f>
        <v>1</v>
      </c>
      <c r="FG156" s="10" cm="1">
        <f t="array" aca="1" ref="FG156" ca="1">IF(ISNA(J156),0,OFFSET(INDIRECT("'"&amp;EP$67&amp;"'!h1"),J156-1,))</f>
        <v>1</v>
      </c>
      <c r="FH156" s="10" cm="1">
        <f t="array" aca="1" ref="FH156" ca="1">IF(ISNA(K156),0,OFFSET(INDIRECT("'"&amp;EQ$67&amp;"'!h1"),K156-1,))</f>
        <v>10000</v>
      </c>
      <c r="FI156" s="10" cm="1">
        <f t="array" aca="1" ref="FI156" ca="1">IF(ISNA(L156),0,OFFSET(INDIRECT("'"&amp;ER$67&amp;"'!h1"),L156-1,))</f>
        <v>10000</v>
      </c>
      <c r="FJ156" s="10" cm="1">
        <f t="array" aca="1" ref="FJ156" ca="1">IF(ISNA(M156),0,OFFSET(INDIRECT("'"&amp;ES$67&amp;"'!h1"),M156-1,))</f>
        <v>10000</v>
      </c>
      <c r="FK156" s="10" cm="1">
        <f t="array" aca="1" ref="FK156" ca="1">IF(ISNA(N156),0,OFFSET(INDIRECT("'"&amp;ET$67&amp;"'!h1"),N156-1,))</f>
        <v>1</v>
      </c>
      <c r="FL156" s="10" cm="1">
        <f t="array" aca="1" ref="FL156" ca="1">IF(ISNA(O156),0,OFFSET(INDIRECT("'"&amp;EU$67&amp;"'!h1"),O156-1,))</f>
        <v>1</v>
      </c>
      <c r="FM156" s="10" cm="1">
        <f t="array" aca="1" ref="FM156" ca="1">IF(ISNA(P156),0,OFFSET(INDIRECT("'"&amp;EV$67&amp;"'!h1"),P156-1,))</f>
        <v>9</v>
      </c>
      <c r="FN156" s="10"/>
      <c r="FO156" s="10"/>
      <c r="FP156" s="10"/>
      <c r="FQ156" s="10"/>
      <c r="FS156">
        <f t="shared" ca="1" si="244"/>
        <v>96</v>
      </c>
      <c r="FT156">
        <f t="shared" ca="1" si="62"/>
        <v>2.9199475152418</v>
      </c>
      <c r="FU156">
        <f t="shared" ca="1" si="63"/>
        <v>493</v>
      </c>
      <c r="FV156">
        <f t="shared" ca="1" si="64"/>
        <v>10000</v>
      </c>
      <c r="FW156" s="4">
        <f t="shared" ca="1" si="245"/>
        <v>4.9299999999999997E-2</v>
      </c>
      <c r="FX156" s="5">
        <f t="shared" ca="1" si="246"/>
        <v>5.9228144325391479E-3</v>
      </c>
      <c r="FZ156" s="13">
        <f t="shared" ca="1" si="247"/>
        <v>96</v>
      </c>
      <c r="GA156" s="23">
        <f t="shared" ca="1" si="248"/>
        <v>0</v>
      </c>
      <c r="GB156" s="23">
        <f t="shared" ca="1" si="249"/>
        <v>0</v>
      </c>
      <c r="GC156" s="23">
        <f t="shared" ca="1" si="250"/>
        <v>1.6875</v>
      </c>
      <c r="GD156" s="23" t="e">
        <f t="shared" ca="1" si="251"/>
        <v>#N/A</v>
      </c>
      <c r="GE156" s="23">
        <f t="shared" ca="1" si="252"/>
        <v>0</v>
      </c>
      <c r="GF156" s="23">
        <f t="shared" ca="1" si="253"/>
        <v>0</v>
      </c>
      <c r="GG156" s="23">
        <f t="shared" ca="1" si="254"/>
        <v>0</v>
      </c>
      <c r="GH156" s="23">
        <f t="shared" ca="1" si="255"/>
        <v>0</v>
      </c>
      <c r="GI156" s="23">
        <f t="shared" ca="1" si="256"/>
        <v>0</v>
      </c>
      <c r="GJ156" s="23" t="e">
        <f t="shared" ca="1" si="257"/>
        <v>#N/A</v>
      </c>
      <c r="GK156" s="23" t="e">
        <f t="shared" ca="1" si="258"/>
        <v>#N/A</v>
      </c>
      <c r="GL156" s="23" t="e">
        <f t="shared" ca="1" si="259"/>
        <v>#N/A</v>
      </c>
      <c r="GM156" s="23"/>
      <c r="GN156">
        <f t="shared" ca="1" si="260"/>
        <v>96</v>
      </c>
      <c r="GO156" s="5" t="e">
        <f t="shared" ca="1" si="261"/>
        <v>#N/A</v>
      </c>
      <c r="GP156" s="5" t="e">
        <f t="shared" ca="1" si="262"/>
        <v>#N/A</v>
      </c>
      <c r="GQ156" s="5" t="e">
        <f t="shared" ca="1" si="263"/>
        <v>#N/A</v>
      </c>
      <c r="GR156" s="5" t="e">
        <f t="shared" ca="1" si="264"/>
        <v>#N/A</v>
      </c>
      <c r="GS156" s="5">
        <f t="shared" ca="1" si="265"/>
        <v>0.44240575000003401</v>
      </c>
      <c r="GT156" s="5">
        <f t="shared" ca="1" si="266"/>
        <v>0.23428170010447499</v>
      </c>
      <c r="GU156" s="5">
        <f t="shared" ca="1" si="267"/>
        <v>5.9228144325391479E-3</v>
      </c>
      <c r="GV156" s="5">
        <f t="shared" ca="1" si="268"/>
        <v>6.4220638915459785E-4</v>
      </c>
      <c r="GW156" s="5">
        <f t="shared" ca="1" si="269"/>
        <v>0.20645786395582991</v>
      </c>
      <c r="GX156" s="5" t="e">
        <f t="shared" ca="1" si="270"/>
        <v>#N/A</v>
      </c>
      <c r="GY156" s="5" t="e">
        <f t="shared" ca="1" si="271"/>
        <v>#N/A</v>
      </c>
      <c r="GZ156" s="5" t="e">
        <f t="shared" ca="1" si="272"/>
        <v>#N/A</v>
      </c>
      <c r="HB156" s="13">
        <f t="shared" ca="1" si="273"/>
        <v>96</v>
      </c>
      <c r="HC156" s="4">
        <f t="shared" ca="1" si="274"/>
        <v>1</v>
      </c>
      <c r="HD156" s="4">
        <f t="shared" ca="1" si="275"/>
        <v>1</v>
      </c>
      <c r="HE156" s="4">
        <f t="shared" ca="1" si="276"/>
        <v>0</v>
      </c>
      <c r="HF156" s="4">
        <f t="shared" ca="1" si="277"/>
        <v>0</v>
      </c>
      <c r="HG156" s="4">
        <f t="shared" ca="1" si="278"/>
        <v>1</v>
      </c>
      <c r="HH156" s="4">
        <f t="shared" ca="1" si="279"/>
        <v>1</v>
      </c>
      <c r="HI156" s="4">
        <f t="shared" ca="1" si="280"/>
        <v>4.9299999999999997E-2</v>
      </c>
      <c r="HJ156" s="4">
        <f t="shared" ca="1" si="281"/>
        <v>0.53590000000000004</v>
      </c>
      <c r="HK156" s="4">
        <f t="shared" ca="1" si="282"/>
        <v>3.3799999999999997E-2</v>
      </c>
      <c r="HL156" s="4">
        <f t="shared" ca="1" si="283"/>
        <v>0</v>
      </c>
      <c r="HM156" s="4">
        <f t="shared" ca="1" si="284"/>
        <v>0</v>
      </c>
      <c r="HN156" s="4">
        <f t="shared" ca="1" si="285"/>
        <v>0</v>
      </c>
    </row>
    <row r="157" spans="1:222" x14ac:dyDescent="0.2">
      <c r="A157" t="str" cm="1">
        <f t="array" aca="1" ref="A157" ca="1">INDIRECT($A$67&amp;"!A"&amp;ROW(C90)+$B$64)</f>
        <v>[[97,50,15]]</v>
      </c>
      <c r="B157" cm="1">
        <f t="array" aca="1" ref="B157" ca="1">INDIRECT($A$67&amp;"!b"&amp;ROW(D90)+$B$64)</f>
        <v>97</v>
      </c>
      <c r="C157">
        <f t="shared" ca="1" si="185"/>
        <v>15</v>
      </c>
      <c r="E157">
        <f t="shared" ca="1" si="184"/>
        <v>114</v>
      </c>
      <c r="F157">
        <f t="shared" ca="1" si="184"/>
        <v>115</v>
      </c>
      <c r="G157">
        <f t="shared" ca="1" si="184"/>
        <v>114</v>
      </c>
      <c r="H157">
        <f t="shared" ca="1" si="184"/>
        <v>87</v>
      </c>
      <c r="I157">
        <f t="shared" ca="1" si="184"/>
        <v>117</v>
      </c>
      <c r="J157">
        <f t="shared" ca="1" si="184"/>
        <v>114</v>
      </c>
      <c r="K157">
        <f t="shared" ca="1" si="184"/>
        <v>121</v>
      </c>
      <c r="L157">
        <f t="shared" ca="1" si="184"/>
        <v>123</v>
      </c>
      <c r="M157">
        <f t="shared" ca="1" si="184"/>
        <v>120</v>
      </c>
      <c r="N157">
        <f t="shared" ca="1" si="184"/>
        <v>118</v>
      </c>
      <c r="O157">
        <f t="shared" ca="1" si="184"/>
        <v>118</v>
      </c>
      <c r="P157">
        <f t="shared" ca="1" si="184"/>
        <v>118</v>
      </c>
      <c r="V157" cm="1">
        <f t="array" aca="1" ref="V157" ca="1">IF(ISNA(E157),,OFFSET(INDIRECT("'"&amp;V$67&amp;"'!d1"),E157-1,))</f>
        <v>15</v>
      </c>
      <c r="W157" cm="1">
        <f t="array" aca="1" ref="W157" ca="1">IF(ISNA(F157),,OFFSET(INDIRECT("'"&amp;W$67&amp;"'!d1"),F157-1,))</f>
        <v>15</v>
      </c>
      <c r="X157" cm="1">
        <f t="array" aca="1" ref="X157" ca="1">IF(ISNA(G157),,OFFSET(INDIRECT("'"&amp;X$67&amp;"'!d1"),G157-1,))</f>
        <v>16</v>
      </c>
      <c r="Y157" cm="1">
        <f t="array" aca="1" ref="Y157" ca="1">IF(ISNA(H157),,OFFSET(INDIRECT("'"&amp;Y$67&amp;"'!d1"),H157-1,))</f>
        <v>0</v>
      </c>
      <c r="Z157" cm="1">
        <f t="array" aca="1" ref="Z157" ca="1">IF(ISNA(I157),,OFFSET(INDIRECT("'"&amp;Z$67&amp;"'!d1"),I157-1,))</f>
        <v>15</v>
      </c>
      <c r="AA157" cm="1">
        <f t="array" aca="1" ref="AA157" ca="1">IF(ISNA(J157),,OFFSET(INDIRECT("'"&amp;AA$67&amp;"'!d1"),J157-1,))</f>
        <v>15</v>
      </c>
      <c r="AB157" cm="1">
        <f t="array" aca="1" ref="AB157" ca="1">IF(ISNA(K157),,OFFSET(INDIRECT("'"&amp;AB$67&amp;"'!d1"),K157-1,))</f>
        <v>15</v>
      </c>
      <c r="AC157" cm="1">
        <f t="array" aca="1" ref="AC157" ca="1">IF(ISNA(L157),,OFFSET(INDIRECT("'"&amp;AC$67&amp;"'!d1"),L157-1,))</f>
        <v>15</v>
      </c>
      <c r="AD157" cm="1">
        <f t="array" aca="1" ref="AD157" ca="1">IF(ISNA(M157),,OFFSET(INDIRECT("'"&amp;AD$67&amp;"'!d1"),M157-1,))</f>
        <v>15</v>
      </c>
      <c r="AE157" cm="1">
        <f t="array" aca="1" ref="AE157" ca="1">IF(ISNA(N157),,OFFSET(INDIRECT("'"&amp;AE$67&amp;"'!d1"),N157-1,))</f>
        <v>0</v>
      </c>
      <c r="AF157" cm="1">
        <f t="array" aca="1" ref="AF157" ca="1">IF(ISNA(O157),,OFFSET(INDIRECT("'"&amp;AF$67&amp;"'!d1"),O157-1,))</f>
        <v>0</v>
      </c>
      <c r="AG157" cm="1">
        <f t="array" aca="1" ref="AG157" ca="1">IF(ISNA(P157),,OFFSET(INDIRECT("'"&amp;AG$67&amp;"'!d1"),P157-1,))</f>
        <v>0</v>
      </c>
      <c r="AM157">
        <f t="shared" ca="1" si="186"/>
        <v>0</v>
      </c>
      <c r="AN157">
        <f t="shared" ca="1" si="187"/>
        <v>0</v>
      </c>
      <c r="AO157">
        <f t="shared" ca="1" si="188"/>
        <v>0</v>
      </c>
      <c r="AP157">
        <f t="shared" ca="1" si="189"/>
        <v>0</v>
      </c>
      <c r="AQ157">
        <f t="shared" ca="1" si="190"/>
        <v>1</v>
      </c>
      <c r="AV157" t="str">
        <f t="shared" ca="1" si="191"/>
        <v/>
      </c>
      <c r="AW157" t="str">
        <f t="shared" ca="1" si="192"/>
        <v/>
      </c>
      <c r="AX157" t="str">
        <f t="shared" ca="1" si="193"/>
        <v/>
      </c>
      <c r="AY157" t="str">
        <f t="shared" ca="1" si="194"/>
        <v/>
      </c>
      <c r="AZ157" t="b">
        <f t="shared" ca="1" si="195"/>
        <v>1</v>
      </c>
      <c r="BD157">
        <f t="shared" ca="1" si="196"/>
        <v>1</v>
      </c>
      <c r="BE157">
        <f t="shared" ca="1" si="197"/>
        <v>1</v>
      </c>
      <c r="BF157">
        <f t="shared" ca="1" si="198"/>
        <v>1</v>
      </c>
      <c r="BG157">
        <f t="shared" ca="1" si="199"/>
        <v>0</v>
      </c>
      <c r="BH157">
        <f t="shared" ca="1" si="200"/>
        <v>1</v>
      </c>
      <c r="BI157">
        <f t="shared" ca="1" si="201"/>
        <v>1</v>
      </c>
      <c r="BJ157">
        <f t="shared" ca="1" si="202"/>
        <v>1</v>
      </c>
      <c r="BK157">
        <f t="shared" ca="1" si="203"/>
        <v>1</v>
      </c>
      <c r="BL157">
        <f t="shared" ca="1" si="204"/>
        <v>1</v>
      </c>
      <c r="BM157">
        <f t="shared" ca="1" si="205"/>
        <v>0</v>
      </c>
      <c r="BN157">
        <f t="shared" ca="1" si="206"/>
        <v>0</v>
      </c>
      <c r="BO157">
        <f t="shared" ca="1" si="207"/>
        <v>0</v>
      </c>
      <c r="BU157">
        <f t="shared" ca="1" si="208"/>
        <v>15</v>
      </c>
      <c r="BV157">
        <f t="shared" ca="1" si="209"/>
        <v>15</v>
      </c>
      <c r="BW157">
        <f t="shared" ca="1" si="210"/>
        <v>16</v>
      </c>
      <c r="BX157">
        <f t="shared" ca="1" si="211"/>
        <v>97</v>
      </c>
      <c r="BY157">
        <f t="shared" ca="1" si="212"/>
        <v>15</v>
      </c>
      <c r="BZ157">
        <f t="shared" ca="1" si="213"/>
        <v>15</v>
      </c>
      <c r="CA157">
        <f t="shared" ca="1" si="214"/>
        <v>15</v>
      </c>
      <c r="CB157">
        <f t="shared" ca="1" si="215"/>
        <v>15</v>
      </c>
      <c r="CC157">
        <f t="shared" ca="1" si="216"/>
        <v>15</v>
      </c>
      <c r="CD157">
        <f t="shared" ca="1" si="217"/>
        <v>97</v>
      </c>
      <c r="CE157">
        <f t="shared" ca="1" si="218"/>
        <v>97</v>
      </c>
      <c r="CF157">
        <f t="shared" ca="1" si="219"/>
        <v>97</v>
      </c>
      <c r="CL157">
        <f t="shared" ca="1" si="220"/>
        <v>1</v>
      </c>
      <c r="CM157">
        <f t="shared" ca="1" si="221"/>
        <v>1</v>
      </c>
      <c r="CN157">
        <f t="shared" ca="1" si="222"/>
        <v>0</v>
      </c>
      <c r="CO157">
        <f t="shared" ca="1" si="223"/>
        <v>0</v>
      </c>
      <c r="CP157">
        <f t="shared" ca="1" si="224"/>
        <v>1</v>
      </c>
      <c r="CQ157">
        <f t="shared" ca="1" si="225"/>
        <v>1</v>
      </c>
      <c r="CR157">
        <f t="shared" ca="1" si="226"/>
        <v>1</v>
      </c>
      <c r="CS157">
        <f t="shared" ca="1" si="227"/>
        <v>1</v>
      </c>
      <c r="CT157">
        <f t="shared" ca="1" si="228"/>
        <v>1</v>
      </c>
      <c r="CU157">
        <f t="shared" ca="1" si="229"/>
        <v>0</v>
      </c>
      <c r="CV157">
        <f t="shared" ca="1" si="230"/>
        <v>0</v>
      </c>
      <c r="CW157">
        <f t="shared" ca="1" si="231"/>
        <v>0</v>
      </c>
      <c r="DC157" cm="1">
        <f t="array" aca="1" ref="DC157" ca="1">IF(ISNA(E157),,OFFSET(INDIRECT("'"&amp;DT$67&amp;"'!f1"),E157-1,))*1</f>
        <v>28873.819852948101</v>
      </c>
      <c r="DD157" cm="1">
        <f t="array" aca="1" ref="DD157" ca="1">IF(ISNA(F157),,OFFSET(INDIRECT("'"&amp;DU$67&amp;"'!f1"),F157-1,))*1</f>
        <v>28811.650343998899</v>
      </c>
      <c r="DE157" cm="1">
        <f t="array" aca="1" ref="DE157" ca="1">IF(ISNA(G157),,OFFSET(INDIRECT("'"&amp;DV$67&amp;"'!f1"),G157-1,))*1</f>
        <v>28800.176137832001</v>
      </c>
      <c r="DF157" cm="1">
        <f t="array" aca="1" ref="DF157" ca="1">IF(ISNA(H157),,OFFSET(INDIRECT("'"&amp;DW$67&amp;"'!f1"),H157-1,))*1</f>
        <v>28800.1188765689</v>
      </c>
      <c r="DG157" cm="1">
        <f t="array" aca="1" ref="DG157" ca="1">IF(ISNA(I157),,OFFSET(INDIRECT("'"&amp;DX$67&amp;"'!f1"),I157-1,))*1</f>
        <v>2.7820707499995398</v>
      </c>
      <c r="DH157" cm="1">
        <f t="array" aca="1" ref="DH157" ca="1">IF(ISNA(J157),,OFFSET(INDIRECT("'"&amp;DY$67&amp;"'!f1"),J157-1,))*1</f>
        <v>0.22999478084966499</v>
      </c>
      <c r="DI157" cm="1">
        <f t="array" aca="1" ref="DI157" ca="1">IF(ISNA(K157),,OFFSET(INDIRECT("'"&amp;DZ$67&amp;"'!f1"),K157-1,))*1</f>
        <v>2.9350005611777301</v>
      </c>
      <c r="DJ157" cm="1">
        <f t="array" aca="1" ref="DJ157" ca="1">IF(ISNA(L157),,OFFSET(INDIRECT("'"&amp;EA$67&amp;"'!f1"),L157-1,))*1</f>
        <v>3.5377956647425801</v>
      </c>
      <c r="DK157" cm="1">
        <f t="array" aca="1" ref="DK157" ca="1">IF(ISNA(M157),,OFFSET(INDIRECT("'"&amp;EB$67&amp;"'!f1"),M157-1,))*1</f>
        <v>70.233733216766197</v>
      </c>
      <c r="DL157" cm="1">
        <f t="array" aca="1" ref="DL157" ca="1">IF(ISNA(N157),,OFFSET(INDIRECT("'"&amp;EC$67&amp;"'!f1"),N157-1,))*1</f>
        <v>1.67753491550683E-2</v>
      </c>
      <c r="DM157" cm="1">
        <f t="array" aca="1" ref="DM157" ca="1">IF(ISNA(O157),,OFFSET(INDIRECT("'"&amp;ED$67&amp;"'!f1"),O157-1,))*1</f>
        <v>1.7170897684991301E-2</v>
      </c>
      <c r="DN157" cm="1">
        <f t="array" aca="1" ref="DN157" ca="1">IF(ISNA(P157),,OFFSET(INDIRECT("'"&amp;EE$67&amp;"'!f1"),P157-1,))*1</f>
        <v>2.87251016125082E-2</v>
      </c>
      <c r="DT157">
        <f t="shared" ca="1" si="232"/>
        <v>1</v>
      </c>
      <c r="DU157">
        <f t="shared" ca="1" si="233"/>
        <v>1</v>
      </c>
      <c r="DV157">
        <f t="shared" ca="1" si="234"/>
        <v>0</v>
      </c>
      <c r="DW157">
        <f t="shared" ca="1" si="235"/>
        <v>0</v>
      </c>
      <c r="DX157">
        <f t="shared" ca="1" si="236"/>
        <v>1</v>
      </c>
      <c r="DY157">
        <f t="shared" ca="1" si="237"/>
        <v>1</v>
      </c>
      <c r="DZ157">
        <f t="shared" ca="1" si="238"/>
        <v>152</v>
      </c>
      <c r="EA157">
        <f t="shared" ca="1" si="239"/>
        <v>6084</v>
      </c>
      <c r="EB157">
        <f t="shared" ca="1" si="240"/>
        <v>116</v>
      </c>
      <c r="EC157">
        <f t="shared" ca="1" si="241"/>
        <v>0</v>
      </c>
      <c r="ED157">
        <f t="shared" ca="1" si="242"/>
        <v>0</v>
      </c>
      <c r="EE157">
        <f t="shared" ca="1" si="243"/>
        <v>0</v>
      </c>
      <c r="EK157" cm="1">
        <f t="array" aca="1" ref="EK157" ca="1">IF(ISNA(E157),0,OFFSET(INDIRECT("'"&amp;EK$67&amp;"'!g1"),E157-1,)*CL157)</f>
        <v>1</v>
      </c>
      <c r="EL157" cm="1">
        <f t="array" aca="1" ref="EL157" ca="1">IF(ISNA(F157),0,OFFSET(INDIRECT("'"&amp;EL$67&amp;"'!g1"),F157-1,)*CM157)</f>
        <v>1</v>
      </c>
      <c r="EM157" cm="1">
        <f t="array" aca="1" ref="EM157" ca="1">IF(ISNA(G157),0,OFFSET(INDIRECT("'"&amp;EM$67&amp;"'!g1"),G157-1,)*CN157)</f>
        <v>0</v>
      </c>
      <c r="EN157" cm="1">
        <f t="array" aca="1" ref="EN157" ca="1">IF(ISNA(H157),0,OFFSET(INDIRECT("'"&amp;EN$67&amp;"'!g1"),H157-1,)*CO157)</f>
        <v>0</v>
      </c>
      <c r="EO157" cm="1">
        <f t="array" aca="1" ref="EO157" ca="1">IF(ISNA(I157),0,OFFSET(INDIRECT("'"&amp;EO$67&amp;"'!g1"),I157-1,)*CP157)</f>
        <v>1</v>
      </c>
      <c r="EP157" cm="1">
        <f t="array" aca="1" ref="EP157" ca="1">IF(ISNA(J157),0,OFFSET(INDIRECT("'"&amp;EP$67&amp;"'!g1"),J157-1,)*CQ157)</f>
        <v>1</v>
      </c>
      <c r="EQ157" cm="1">
        <f t="array" aca="1" ref="EQ157" ca="1">IF(ISNA(K157),0,OFFSET(INDIRECT("'"&amp;EQ$67&amp;"'!g1"),K157-1,)*CR157)</f>
        <v>152</v>
      </c>
      <c r="ER157" cm="1">
        <f t="array" aca="1" ref="ER157" ca="1">IF(ISNA(L157),0,OFFSET(INDIRECT("'"&amp;ER$67&amp;"'!g1"),L157-1,)*CS157)</f>
        <v>6084</v>
      </c>
      <c r="ES157" cm="1">
        <f t="array" aca="1" ref="ES157" ca="1">IF(ISNA(M157),0,OFFSET(INDIRECT("'"&amp;ES$67&amp;"'!g1"),M157-1,)*CT157)</f>
        <v>116</v>
      </c>
      <c r="ET157" cm="1">
        <f t="array" aca="1" ref="ET157" ca="1">IF(ISNA(N157),0,OFFSET(INDIRECT("'"&amp;ET$67&amp;"'!g1"),N157-1,)*CU157)</f>
        <v>0</v>
      </c>
      <c r="EU157" cm="1">
        <f t="array" aca="1" ref="EU157" ca="1">IF(ISNA(O157),0,OFFSET(INDIRECT("'"&amp;EU$67&amp;"'!g1"),O157-1,)*CV157)</f>
        <v>0</v>
      </c>
      <c r="EV157" cm="1">
        <f t="array" aca="1" ref="EV157" ca="1">IF(ISNA(P157),0,OFFSET(INDIRECT("'"&amp;EV$67&amp;"'!g1"),P157-1,)*CW157)</f>
        <v>0</v>
      </c>
      <c r="FB157" s="10" cm="1">
        <f t="array" aca="1" ref="FB157" ca="1">IF(ISNA(E157),0,OFFSET(INDIRECT("'"&amp;EK$67&amp;"'!h1"),E157-1,))</f>
        <v>1</v>
      </c>
      <c r="FC157" s="10" cm="1">
        <f t="array" aca="1" ref="FC157" ca="1">IF(ISNA(F157),0,OFFSET(INDIRECT("'"&amp;EL$67&amp;"'!h1"),F157-1,))</f>
        <v>1</v>
      </c>
      <c r="FD157" s="10" cm="1">
        <f t="array" aca="1" ref="FD157" ca="1">IF(ISNA(G157),0,OFFSET(INDIRECT("'"&amp;EM$67&amp;"'!h1"),G157-1,))</f>
        <v>1</v>
      </c>
      <c r="FE157" s="10" cm="1">
        <f t="array" aca="1" ref="FE157" ca="1">IF(ISNA(H157),0,OFFSET(INDIRECT("'"&amp;EN$67&amp;"'!h1"),H157-1,))</f>
        <v>1</v>
      </c>
      <c r="FF157" s="10" cm="1">
        <f t="array" aca="1" ref="FF157" ca="1">IF(ISNA(I157),0,OFFSET(INDIRECT("'"&amp;EO$67&amp;"'!h1"),I157-1,))</f>
        <v>1</v>
      </c>
      <c r="FG157" s="10" cm="1">
        <f t="array" aca="1" ref="FG157" ca="1">IF(ISNA(J157),0,OFFSET(INDIRECT("'"&amp;EP$67&amp;"'!h1"),J157-1,))</f>
        <v>1</v>
      </c>
      <c r="FH157" s="10" cm="1">
        <f t="array" aca="1" ref="FH157" ca="1">IF(ISNA(K157),0,OFFSET(INDIRECT("'"&amp;EQ$67&amp;"'!h1"),K157-1,))</f>
        <v>10000</v>
      </c>
      <c r="FI157" s="10" cm="1">
        <f t="array" aca="1" ref="FI157" ca="1">IF(ISNA(L157),0,OFFSET(INDIRECT("'"&amp;ER$67&amp;"'!h1"),L157-1,))</f>
        <v>10000</v>
      </c>
      <c r="FJ157" s="10" cm="1">
        <f t="array" aca="1" ref="FJ157" ca="1">IF(ISNA(M157),0,OFFSET(INDIRECT("'"&amp;ES$67&amp;"'!h1"),M157-1,))</f>
        <v>10000</v>
      </c>
      <c r="FK157" s="10" cm="1">
        <f t="array" aca="1" ref="FK157" ca="1">IF(ISNA(N157),0,OFFSET(INDIRECT("'"&amp;ET$67&amp;"'!h1"),N157-1,))</f>
        <v>1</v>
      </c>
      <c r="FL157" s="10" cm="1">
        <f t="array" aca="1" ref="FL157" ca="1">IF(ISNA(O157),0,OFFSET(INDIRECT("'"&amp;EU$67&amp;"'!h1"),O157-1,))</f>
        <v>1</v>
      </c>
      <c r="FM157" s="10" cm="1">
        <f t="array" aca="1" ref="FM157" ca="1">IF(ISNA(P157),0,OFFSET(INDIRECT("'"&amp;EV$67&amp;"'!h1"),P157-1,))</f>
        <v>9</v>
      </c>
      <c r="FN157" s="10"/>
      <c r="FO157" s="10"/>
      <c r="FP157" s="10"/>
      <c r="FQ157" s="10"/>
      <c r="FS157">
        <f t="shared" ca="1" si="244"/>
        <v>97</v>
      </c>
      <c r="FT157">
        <f t="shared" ca="1" si="62"/>
        <v>2.9350005611777301</v>
      </c>
      <c r="FU157">
        <f t="shared" ca="1" si="63"/>
        <v>152</v>
      </c>
      <c r="FV157">
        <f t="shared" ca="1" si="64"/>
        <v>10000</v>
      </c>
      <c r="FW157" s="4">
        <f t="shared" ca="1" si="245"/>
        <v>1.52E-2</v>
      </c>
      <c r="FX157" s="5">
        <f t="shared" ca="1" si="246"/>
        <v>1.9309214218274539E-2</v>
      </c>
      <c r="FZ157" s="13">
        <f t="shared" ca="1" si="247"/>
        <v>97</v>
      </c>
      <c r="GA157" s="23">
        <f t="shared" ca="1" si="248"/>
        <v>0</v>
      </c>
      <c r="GB157" s="23">
        <f t="shared" ca="1" si="249"/>
        <v>0</v>
      </c>
      <c r="GC157" s="23">
        <f t="shared" ca="1" si="250"/>
        <v>6.6666666666666666E-2</v>
      </c>
      <c r="GD157" s="23" t="e">
        <f t="shared" ca="1" si="251"/>
        <v>#N/A</v>
      </c>
      <c r="GE157" s="23">
        <f t="shared" ca="1" si="252"/>
        <v>0</v>
      </c>
      <c r="GF157" s="23">
        <f t="shared" ca="1" si="253"/>
        <v>0</v>
      </c>
      <c r="GG157" s="23">
        <f t="shared" ca="1" si="254"/>
        <v>0</v>
      </c>
      <c r="GH157" s="23">
        <f t="shared" ca="1" si="255"/>
        <v>0</v>
      </c>
      <c r="GI157" s="23">
        <f t="shared" ca="1" si="256"/>
        <v>0</v>
      </c>
      <c r="GJ157" s="23" t="e">
        <f t="shared" ca="1" si="257"/>
        <v>#N/A</v>
      </c>
      <c r="GK157" s="23" t="e">
        <f t="shared" ca="1" si="258"/>
        <v>#N/A</v>
      </c>
      <c r="GL157" s="23" t="e">
        <f t="shared" ca="1" si="259"/>
        <v>#N/A</v>
      </c>
      <c r="GM157" s="23"/>
      <c r="GN157">
        <f t="shared" ca="1" si="260"/>
        <v>97</v>
      </c>
      <c r="GO157" s="5" t="e">
        <f t="shared" ca="1" si="261"/>
        <v>#N/A</v>
      </c>
      <c r="GP157" s="5" t="e">
        <f t="shared" ca="1" si="262"/>
        <v>#N/A</v>
      </c>
      <c r="GQ157" s="5" t="e">
        <f t="shared" ca="1" si="263"/>
        <v>#N/A</v>
      </c>
      <c r="GR157" s="5" t="e">
        <f t="shared" ca="1" si="264"/>
        <v>#N/A</v>
      </c>
      <c r="GS157" s="5">
        <f t="shared" ca="1" si="265"/>
        <v>2.7820707499995398</v>
      </c>
      <c r="GT157" s="5">
        <f t="shared" ca="1" si="266"/>
        <v>0.22999478084966499</v>
      </c>
      <c r="GU157" s="5">
        <f t="shared" ca="1" si="267"/>
        <v>1.9309214218274539E-2</v>
      </c>
      <c r="GV157" s="5">
        <f t="shared" ca="1" si="268"/>
        <v>5.8149172661778109E-4</v>
      </c>
      <c r="GW157" s="5">
        <f t="shared" ca="1" si="269"/>
        <v>0.60546321738591546</v>
      </c>
      <c r="GX157" s="5" t="e">
        <f t="shared" ca="1" si="270"/>
        <v>#N/A</v>
      </c>
      <c r="GY157" s="5" t="e">
        <f t="shared" ca="1" si="271"/>
        <v>#N/A</v>
      </c>
      <c r="GZ157" s="5" t="e">
        <f t="shared" ca="1" si="272"/>
        <v>#N/A</v>
      </c>
      <c r="HB157" s="13">
        <f t="shared" ca="1" si="273"/>
        <v>97</v>
      </c>
      <c r="HC157" s="4">
        <f t="shared" ca="1" si="274"/>
        <v>1</v>
      </c>
      <c r="HD157" s="4">
        <f t="shared" ca="1" si="275"/>
        <v>1</v>
      </c>
      <c r="HE157" s="4">
        <f t="shared" ca="1" si="276"/>
        <v>0</v>
      </c>
      <c r="HF157" s="4">
        <f t="shared" ca="1" si="277"/>
        <v>0</v>
      </c>
      <c r="HG157" s="4">
        <f t="shared" ca="1" si="278"/>
        <v>1</v>
      </c>
      <c r="HH157" s="4">
        <f t="shared" ca="1" si="279"/>
        <v>1</v>
      </c>
      <c r="HI157" s="4">
        <f t="shared" ca="1" si="280"/>
        <v>1.52E-2</v>
      </c>
      <c r="HJ157" s="4">
        <f t="shared" ca="1" si="281"/>
        <v>0.60840000000000005</v>
      </c>
      <c r="HK157" s="4">
        <f t="shared" ca="1" si="282"/>
        <v>1.1599999999999999E-2</v>
      </c>
      <c r="HL157" s="4">
        <f t="shared" ca="1" si="283"/>
        <v>0</v>
      </c>
      <c r="HM157" s="4">
        <f t="shared" ca="1" si="284"/>
        <v>0</v>
      </c>
      <c r="HN157" s="4">
        <f t="shared" ca="1" si="285"/>
        <v>0</v>
      </c>
    </row>
    <row r="158" spans="1:222" x14ac:dyDescent="0.2">
      <c r="A158" t="str" cm="1">
        <f t="array" aca="1" ref="A158" ca="1">INDIRECT($A$67&amp;"!A"&amp;ROW(C91)+$B$64)</f>
        <v>[[98,51,15]]</v>
      </c>
      <c r="B158" cm="1">
        <f t="array" aca="1" ref="B158" ca="1">INDIRECT($A$67&amp;"!b"&amp;ROW(D91)+$B$64)</f>
        <v>98</v>
      </c>
      <c r="C158">
        <f t="shared" ca="1" si="185"/>
        <v>15</v>
      </c>
      <c r="E158">
        <f t="shared" ca="1" si="184"/>
        <v>115</v>
      </c>
      <c r="F158">
        <f t="shared" ca="1" si="184"/>
        <v>116</v>
      </c>
      <c r="G158">
        <f t="shared" ca="1" si="184"/>
        <v>115</v>
      </c>
      <c r="H158">
        <f t="shared" ca="1" si="184"/>
        <v>95</v>
      </c>
      <c r="I158">
        <f t="shared" ca="1" si="184"/>
        <v>118</v>
      </c>
      <c r="J158">
        <f t="shared" ca="1" si="184"/>
        <v>115</v>
      </c>
      <c r="K158">
        <f t="shared" ca="1" si="184"/>
        <v>122</v>
      </c>
      <c r="L158">
        <f t="shared" ca="1" si="184"/>
        <v>124</v>
      </c>
      <c r="M158">
        <f t="shared" ca="1" si="184"/>
        <v>121</v>
      </c>
      <c r="N158">
        <f t="shared" ca="1" si="184"/>
        <v>119</v>
      </c>
      <c r="O158">
        <f t="shared" ca="1" si="184"/>
        <v>119</v>
      </c>
      <c r="P158">
        <f t="shared" ca="1" si="184"/>
        <v>119</v>
      </c>
      <c r="V158" cm="1">
        <f t="array" aca="1" ref="V158" ca="1">IF(ISNA(E158),,OFFSET(INDIRECT("'"&amp;V$67&amp;"'!d1"),E158-1,))</f>
        <v>15</v>
      </c>
      <c r="W158" cm="1">
        <f t="array" aca="1" ref="W158" ca="1">IF(ISNA(F158),,OFFSET(INDIRECT("'"&amp;W$67&amp;"'!d1"),F158-1,))</f>
        <v>15</v>
      </c>
      <c r="X158" cm="1">
        <f t="array" aca="1" ref="X158" ca="1">IF(ISNA(G158),,OFFSET(INDIRECT("'"&amp;X$67&amp;"'!d1"),G158-1,))</f>
        <v>23</v>
      </c>
      <c r="Y158" cm="1">
        <f t="array" aca="1" ref="Y158" ca="1">IF(ISNA(H158),,OFFSET(INDIRECT("'"&amp;Y$67&amp;"'!d1"),H158-1,))</f>
        <v>0</v>
      </c>
      <c r="Z158" cm="1">
        <f t="array" aca="1" ref="Z158" ca="1">IF(ISNA(I158),,OFFSET(INDIRECT("'"&amp;Z$67&amp;"'!d1"),I158-1,))</f>
        <v>15</v>
      </c>
      <c r="AA158" cm="1">
        <f t="array" aca="1" ref="AA158" ca="1">IF(ISNA(J158),,OFFSET(INDIRECT("'"&amp;AA$67&amp;"'!d1"),J158-1,))</f>
        <v>15</v>
      </c>
      <c r="AB158" cm="1">
        <f t="array" aca="1" ref="AB158" ca="1">IF(ISNA(K158),,OFFSET(INDIRECT("'"&amp;AB$67&amp;"'!d1"),K158-1,))</f>
        <v>15</v>
      </c>
      <c r="AC158" cm="1">
        <f t="array" aca="1" ref="AC158" ca="1">IF(ISNA(L158),,OFFSET(INDIRECT("'"&amp;AC$67&amp;"'!d1"),L158-1,))</f>
        <v>15</v>
      </c>
      <c r="AD158" cm="1">
        <f t="array" aca="1" ref="AD158" ca="1">IF(ISNA(M158),,OFFSET(INDIRECT("'"&amp;AD$67&amp;"'!d1"),M158-1,))</f>
        <v>15</v>
      </c>
      <c r="AE158" cm="1">
        <f t="array" aca="1" ref="AE158" ca="1">IF(ISNA(N158),,OFFSET(INDIRECT("'"&amp;AE$67&amp;"'!d1"),N158-1,))</f>
        <v>0</v>
      </c>
      <c r="AF158" cm="1">
        <f t="array" aca="1" ref="AF158" ca="1">IF(ISNA(O158),,OFFSET(INDIRECT("'"&amp;AF$67&amp;"'!d1"),O158-1,))</f>
        <v>0</v>
      </c>
      <c r="AG158" cm="1">
        <f t="array" aca="1" ref="AG158" ca="1">IF(ISNA(P158),,OFFSET(INDIRECT("'"&amp;AG$67&amp;"'!d1"),P158-1,))</f>
        <v>0</v>
      </c>
      <c r="AM158">
        <f t="shared" ca="1" si="186"/>
        <v>0</v>
      </c>
      <c r="AN158">
        <f t="shared" ca="1" si="187"/>
        <v>0</v>
      </c>
      <c r="AO158">
        <f t="shared" ca="1" si="188"/>
        <v>0</v>
      </c>
      <c r="AP158">
        <f t="shared" ca="1" si="189"/>
        <v>0</v>
      </c>
      <c r="AQ158">
        <f t="shared" ca="1" si="190"/>
        <v>1</v>
      </c>
      <c r="AV158" t="str">
        <f t="shared" ca="1" si="191"/>
        <v/>
      </c>
      <c r="AW158" t="str">
        <f t="shared" ca="1" si="192"/>
        <v/>
      </c>
      <c r="AX158" t="str">
        <f t="shared" ca="1" si="193"/>
        <v/>
      </c>
      <c r="AY158" t="str">
        <f t="shared" ca="1" si="194"/>
        <v/>
      </c>
      <c r="AZ158" t="b">
        <f t="shared" ca="1" si="195"/>
        <v>1</v>
      </c>
      <c r="BD158">
        <f t="shared" ca="1" si="196"/>
        <v>1</v>
      </c>
      <c r="BE158">
        <f t="shared" ca="1" si="197"/>
        <v>1</v>
      </c>
      <c r="BF158">
        <f t="shared" ca="1" si="198"/>
        <v>1</v>
      </c>
      <c r="BG158">
        <f t="shared" ca="1" si="199"/>
        <v>0</v>
      </c>
      <c r="BH158">
        <f t="shared" ca="1" si="200"/>
        <v>1</v>
      </c>
      <c r="BI158">
        <f t="shared" ca="1" si="201"/>
        <v>1</v>
      </c>
      <c r="BJ158">
        <f t="shared" ca="1" si="202"/>
        <v>1</v>
      </c>
      <c r="BK158">
        <f t="shared" ca="1" si="203"/>
        <v>1</v>
      </c>
      <c r="BL158">
        <f t="shared" ca="1" si="204"/>
        <v>1</v>
      </c>
      <c r="BM158">
        <f t="shared" ca="1" si="205"/>
        <v>0</v>
      </c>
      <c r="BN158">
        <f t="shared" ca="1" si="206"/>
        <v>0</v>
      </c>
      <c r="BO158">
        <f t="shared" ca="1" si="207"/>
        <v>0</v>
      </c>
      <c r="BU158">
        <f t="shared" ca="1" si="208"/>
        <v>15</v>
      </c>
      <c r="BV158">
        <f t="shared" ca="1" si="209"/>
        <v>15</v>
      </c>
      <c r="BW158">
        <f t="shared" ca="1" si="210"/>
        <v>23</v>
      </c>
      <c r="BX158">
        <f t="shared" ca="1" si="211"/>
        <v>98</v>
      </c>
      <c r="BY158">
        <f t="shared" ca="1" si="212"/>
        <v>15</v>
      </c>
      <c r="BZ158">
        <f t="shared" ca="1" si="213"/>
        <v>15</v>
      </c>
      <c r="CA158">
        <f t="shared" ca="1" si="214"/>
        <v>15</v>
      </c>
      <c r="CB158">
        <f t="shared" ca="1" si="215"/>
        <v>15</v>
      </c>
      <c r="CC158">
        <f t="shared" ca="1" si="216"/>
        <v>15</v>
      </c>
      <c r="CD158">
        <f t="shared" ca="1" si="217"/>
        <v>98</v>
      </c>
      <c r="CE158">
        <f t="shared" ca="1" si="218"/>
        <v>98</v>
      </c>
      <c r="CF158">
        <f t="shared" ca="1" si="219"/>
        <v>98</v>
      </c>
      <c r="CL158">
        <f t="shared" ca="1" si="220"/>
        <v>1</v>
      </c>
      <c r="CM158">
        <f t="shared" ca="1" si="221"/>
        <v>1</v>
      </c>
      <c r="CN158">
        <f t="shared" ca="1" si="222"/>
        <v>0</v>
      </c>
      <c r="CO158">
        <f t="shared" ca="1" si="223"/>
        <v>0</v>
      </c>
      <c r="CP158">
        <f t="shared" ca="1" si="224"/>
        <v>1</v>
      </c>
      <c r="CQ158">
        <f t="shared" ca="1" si="225"/>
        <v>1</v>
      </c>
      <c r="CR158">
        <f t="shared" ca="1" si="226"/>
        <v>1</v>
      </c>
      <c r="CS158">
        <f t="shared" ca="1" si="227"/>
        <v>1</v>
      </c>
      <c r="CT158">
        <f t="shared" ca="1" si="228"/>
        <v>1</v>
      </c>
      <c r="CU158">
        <f t="shared" ca="1" si="229"/>
        <v>0</v>
      </c>
      <c r="CV158">
        <f t="shared" ca="1" si="230"/>
        <v>0</v>
      </c>
      <c r="CW158">
        <f t="shared" ca="1" si="231"/>
        <v>0</v>
      </c>
      <c r="DC158" cm="1">
        <f t="array" aca="1" ref="DC158" ca="1">IF(ISNA(E158),,OFFSET(INDIRECT("'"&amp;DT$67&amp;"'!f1"),E158-1,))*1</f>
        <v>28878.584303379001</v>
      </c>
      <c r="DD158" cm="1">
        <f t="array" aca="1" ref="DD158" ca="1">IF(ISNA(F158),,OFFSET(INDIRECT("'"&amp;DU$67&amp;"'!f1"),F158-1,))*1</f>
        <v>28808.9755260239</v>
      </c>
      <c r="DE158" cm="1">
        <f t="array" aca="1" ref="DE158" ca="1">IF(ISNA(G158),,OFFSET(INDIRECT("'"&amp;DV$67&amp;"'!f1"),G158-1,))*1</f>
        <v>28800.302931884002</v>
      </c>
      <c r="DF158" cm="1">
        <f t="array" aca="1" ref="DF158" ca="1">IF(ISNA(H158),,OFFSET(INDIRECT("'"&amp;DW$67&amp;"'!f1"),H158-1,))*1</f>
        <v>28800.1099049076</v>
      </c>
      <c r="DG158" cm="1">
        <f t="array" aca="1" ref="DG158" ca="1">IF(ISNA(I158),,OFFSET(INDIRECT("'"&amp;DX$67&amp;"'!f1"),I158-1,))*1</f>
        <v>9.7526237499987403</v>
      </c>
      <c r="DH158" cm="1">
        <f t="array" aca="1" ref="DH158" ca="1">IF(ISNA(J158),,OFFSET(INDIRECT("'"&amp;DY$67&amp;"'!f1"),J158-1,))*1</f>
        <v>0.231336367316544</v>
      </c>
      <c r="DI158" cm="1">
        <f t="array" aca="1" ref="DI158" ca="1">IF(ISNA(K158),,OFFSET(INDIRECT("'"&amp;DZ$67&amp;"'!f1"),K158-1,))*1</f>
        <v>2.9960854444652698</v>
      </c>
      <c r="DJ158" cm="1">
        <f t="array" aca="1" ref="DJ158" ca="1">IF(ISNA(L158),,OFFSET(INDIRECT("'"&amp;EA$67&amp;"'!f1"),L158-1,))*1</f>
        <v>3.5540177579969101</v>
      </c>
      <c r="DK158" cm="1">
        <f t="array" aca="1" ref="DK158" ca="1">IF(ISNA(M158),,OFFSET(INDIRECT("'"&amp;EB$67&amp;"'!f1"),M158-1,))*1</f>
        <v>72.488706027157605</v>
      </c>
      <c r="DL158" cm="1">
        <f t="array" aca="1" ref="DL158" ca="1">IF(ISNA(N158),,OFFSET(INDIRECT("'"&amp;EC$67&amp;"'!f1"),N158-1,))*1</f>
        <v>1.7139410600066102E-2</v>
      </c>
      <c r="DM158" cm="1">
        <f t="array" aca="1" ref="DM158" ca="1">IF(ISNA(O158),,OFFSET(INDIRECT("'"&amp;ED$67&amp;"'!f1"),O158-1,))*1</f>
        <v>1.7538861371576699E-2</v>
      </c>
      <c r="DN158" cm="1">
        <f t="array" aca="1" ref="DN158" ca="1">IF(ISNA(P158),,OFFSET(INDIRECT("'"&amp;EE$67&amp;"'!f1"),P158-1,))*1</f>
        <v>2.9286187142133699E-2</v>
      </c>
      <c r="DT158">
        <f t="shared" ca="1" si="232"/>
        <v>1</v>
      </c>
      <c r="DU158">
        <f t="shared" ca="1" si="233"/>
        <v>1</v>
      </c>
      <c r="DV158">
        <f t="shared" ca="1" si="234"/>
        <v>0</v>
      </c>
      <c r="DW158">
        <f t="shared" ca="1" si="235"/>
        <v>0</v>
      </c>
      <c r="DX158">
        <f t="shared" ca="1" si="236"/>
        <v>1</v>
      </c>
      <c r="DY158">
        <f t="shared" ca="1" si="237"/>
        <v>1</v>
      </c>
      <c r="DZ158">
        <f t="shared" ca="1" si="238"/>
        <v>138</v>
      </c>
      <c r="EA158">
        <f t="shared" ca="1" si="239"/>
        <v>5233</v>
      </c>
      <c r="EB158">
        <f t="shared" ca="1" si="240"/>
        <v>124</v>
      </c>
      <c r="EC158">
        <f t="shared" ca="1" si="241"/>
        <v>0</v>
      </c>
      <c r="ED158">
        <f t="shared" ca="1" si="242"/>
        <v>0</v>
      </c>
      <c r="EE158">
        <f t="shared" ca="1" si="243"/>
        <v>0</v>
      </c>
      <c r="EK158" cm="1">
        <f t="array" aca="1" ref="EK158" ca="1">IF(ISNA(E158),0,OFFSET(INDIRECT("'"&amp;EK$67&amp;"'!g1"),E158-1,)*CL158)</f>
        <v>1</v>
      </c>
      <c r="EL158" cm="1">
        <f t="array" aca="1" ref="EL158" ca="1">IF(ISNA(F158),0,OFFSET(INDIRECT("'"&amp;EL$67&amp;"'!g1"),F158-1,)*CM158)</f>
        <v>1</v>
      </c>
      <c r="EM158" cm="1">
        <f t="array" aca="1" ref="EM158" ca="1">IF(ISNA(G158),0,OFFSET(INDIRECT("'"&amp;EM$67&amp;"'!g1"),G158-1,)*CN158)</f>
        <v>0</v>
      </c>
      <c r="EN158" cm="1">
        <f t="array" aca="1" ref="EN158" ca="1">IF(ISNA(H158),0,OFFSET(INDIRECT("'"&amp;EN$67&amp;"'!g1"),H158-1,)*CO158)</f>
        <v>0</v>
      </c>
      <c r="EO158" cm="1">
        <f t="array" aca="1" ref="EO158" ca="1">IF(ISNA(I158),0,OFFSET(INDIRECT("'"&amp;EO$67&amp;"'!g1"),I158-1,)*CP158)</f>
        <v>1</v>
      </c>
      <c r="EP158" cm="1">
        <f t="array" aca="1" ref="EP158" ca="1">IF(ISNA(J158),0,OFFSET(INDIRECT("'"&amp;EP$67&amp;"'!g1"),J158-1,)*CQ158)</f>
        <v>1</v>
      </c>
      <c r="EQ158" cm="1">
        <f t="array" aca="1" ref="EQ158" ca="1">IF(ISNA(K158),0,OFFSET(INDIRECT("'"&amp;EQ$67&amp;"'!g1"),K158-1,)*CR158)</f>
        <v>138</v>
      </c>
      <c r="ER158" cm="1">
        <f t="array" aca="1" ref="ER158" ca="1">IF(ISNA(L158),0,OFFSET(INDIRECT("'"&amp;ER$67&amp;"'!g1"),L158-1,)*CS158)</f>
        <v>5233</v>
      </c>
      <c r="ES158" cm="1">
        <f t="array" aca="1" ref="ES158" ca="1">IF(ISNA(M158),0,OFFSET(INDIRECT("'"&amp;ES$67&amp;"'!g1"),M158-1,)*CT158)</f>
        <v>124</v>
      </c>
      <c r="ET158" cm="1">
        <f t="array" aca="1" ref="ET158" ca="1">IF(ISNA(N158),0,OFFSET(INDIRECT("'"&amp;ET$67&amp;"'!g1"),N158-1,)*CU158)</f>
        <v>0</v>
      </c>
      <c r="EU158" cm="1">
        <f t="array" aca="1" ref="EU158" ca="1">IF(ISNA(O158),0,OFFSET(INDIRECT("'"&amp;EU$67&amp;"'!g1"),O158-1,)*CV158)</f>
        <v>0</v>
      </c>
      <c r="EV158" cm="1">
        <f t="array" aca="1" ref="EV158" ca="1">IF(ISNA(P158),0,OFFSET(INDIRECT("'"&amp;EV$67&amp;"'!g1"),P158-1,)*CW158)</f>
        <v>0</v>
      </c>
      <c r="FB158" s="10" cm="1">
        <f t="array" aca="1" ref="FB158" ca="1">IF(ISNA(E158),0,OFFSET(INDIRECT("'"&amp;EK$67&amp;"'!h1"),E158-1,))</f>
        <v>1</v>
      </c>
      <c r="FC158" s="10" cm="1">
        <f t="array" aca="1" ref="FC158" ca="1">IF(ISNA(F158),0,OFFSET(INDIRECT("'"&amp;EL$67&amp;"'!h1"),F158-1,))</f>
        <v>1</v>
      </c>
      <c r="FD158" s="10" cm="1">
        <f t="array" aca="1" ref="FD158" ca="1">IF(ISNA(G158),0,OFFSET(INDIRECT("'"&amp;EM$67&amp;"'!h1"),G158-1,))</f>
        <v>1</v>
      </c>
      <c r="FE158" s="10" cm="1">
        <f t="array" aca="1" ref="FE158" ca="1">IF(ISNA(H158),0,OFFSET(INDIRECT("'"&amp;EN$67&amp;"'!h1"),H158-1,))</f>
        <v>1</v>
      </c>
      <c r="FF158" s="10" cm="1">
        <f t="array" aca="1" ref="FF158" ca="1">IF(ISNA(I158),0,OFFSET(INDIRECT("'"&amp;EO$67&amp;"'!h1"),I158-1,))</f>
        <v>1</v>
      </c>
      <c r="FG158" s="10" cm="1">
        <f t="array" aca="1" ref="FG158" ca="1">IF(ISNA(J158),0,OFFSET(INDIRECT("'"&amp;EP$67&amp;"'!h1"),J158-1,))</f>
        <v>1</v>
      </c>
      <c r="FH158" s="10" cm="1">
        <f t="array" aca="1" ref="FH158" ca="1">IF(ISNA(K158),0,OFFSET(INDIRECT("'"&amp;EQ$67&amp;"'!h1"),K158-1,))</f>
        <v>10000</v>
      </c>
      <c r="FI158" s="10" cm="1">
        <f t="array" aca="1" ref="FI158" ca="1">IF(ISNA(L158),0,OFFSET(INDIRECT("'"&amp;ER$67&amp;"'!h1"),L158-1,))</f>
        <v>10000</v>
      </c>
      <c r="FJ158" s="10" cm="1">
        <f t="array" aca="1" ref="FJ158" ca="1">IF(ISNA(M158),0,OFFSET(INDIRECT("'"&amp;ES$67&amp;"'!h1"),M158-1,))</f>
        <v>10000</v>
      </c>
      <c r="FK158" s="10" cm="1">
        <f t="array" aca="1" ref="FK158" ca="1">IF(ISNA(N158),0,OFFSET(INDIRECT("'"&amp;ET$67&amp;"'!h1"),N158-1,))</f>
        <v>1</v>
      </c>
      <c r="FL158" s="10" cm="1">
        <f t="array" aca="1" ref="FL158" ca="1">IF(ISNA(O158),0,OFFSET(INDIRECT("'"&amp;EU$67&amp;"'!h1"),O158-1,))</f>
        <v>1</v>
      </c>
      <c r="FM158" s="10" cm="1">
        <f t="array" aca="1" ref="FM158" ca="1">IF(ISNA(P158),0,OFFSET(INDIRECT("'"&amp;EV$67&amp;"'!h1"),P158-1,))</f>
        <v>9</v>
      </c>
      <c r="FN158" s="10"/>
      <c r="FO158" s="10"/>
      <c r="FP158" s="10"/>
      <c r="FQ158" s="10"/>
      <c r="FS158">
        <f t="shared" ca="1" si="244"/>
        <v>98</v>
      </c>
      <c r="FT158">
        <f t="shared" ca="1" si="62"/>
        <v>2.9960854444652698</v>
      </c>
      <c r="FU158">
        <f t="shared" ca="1" si="63"/>
        <v>138</v>
      </c>
      <c r="FV158">
        <f t="shared" ca="1" si="64"/>
        <v>10000</v>
      </c>
      <c r="FW158" s="4">
        <f t="shared" ca="1" si="245"/>
        <v>1.38E-2</v>
      </c>
      <c r="FX158" s="5">
        <f t="shared" ca="1" si="246"/>
        <v>2.1710764090328041E-2</v>
      </c>
      <c r="FZ158" s="13">
        <f t="shared" ca="1" si="247"/>
        <v>98</v>
      </c>
      <c r="GA158" s="23">
        <f t="shared" ca="1" si="248"/>
        <v>0</v>
      </c>
      <c r="GB158" s="23">
        <f t="shared" ca="1" si="249"/>
        <v>0</v>
      </c>
      <c r="GC158" s="23">
        <f t="shared" ca="1" si="250"/>
        <v>0.53333333333333333</v>
      </c>
      <c r="GD158" s="23" t="e">
        <f t="shared" ca="1" si="251"/>
        <v>#N/A</v>
      </c>
      <c r="GE158" s="23">
        <f t="shared" ca="1" si="252"/>
        <v>0</v>
      </c>
      <c r="GF158" s="23">
        <f t="shared" ca="1" si="253"/>
        <v>0</v>
      </c>
      <c r="GG158" s="23">
        <f t="shared" ca="1" si="254"/>
        <v>0</v>
      </c>
      <c r="GH158" s="23">
        <f t="shared" ca="1" si="255"/>
        <v>0</v>
      </c>
      <c r="GI158" s="23">
        <f t="shared" ca="1" si="256"/>
        <v>0</v>
      </c>
      <c r="GJ158" s="23" t="e">
        <f t="shared" ca="1" si="257"/>
        <v>#N/A</v>
      </c>
      <c r="GK158" s="23" t="e">
        <f t="shared" ca="1" si="258"/>
        <v>#N/A</v>
      </c>
      <c r="GL158" s="23" t="e">
        <f t="shared" ca="1" si="259"/>
        <v>#N/A</v>
      </c>
      <c r="GM158" s="23"/>
      <c r="GN158">
        <f t="shared" ca="1" si="260"/>
        <v>98</v>
      </c>
      <c r="GO158" s="5" t="e">
        <f t="shared" ca="1" si="261"/>
        <v>#N/A</v>
      </c>
      <c r="GP158" s="5" t="e">
        <f t="shared" ca="1" si="262"/>
        <v>#N/A</v>
      </c>
      <c r="GQ158" s="5" t="e">
        <f t="shared" ca="1" si="263"/>
        <v>#N/A</v>
      </c>
      <c r="GR158" s="5" t="e">
        <f t="shared" ca="1" si="264"/>
        <v>#N/A</v>
      </c>
      <c r="GS158" s="5">
        <f t="shared" ca="1" si="265"/>
        <v>9.7526237499987403</v>
      </c>
      <c r="GT158" s="5">
        <f t="shared" ca="1" si="266"/>
        <v>0.231336367316544</v>
      </c>
      <c r="GU158" s="5">
        <f t="shared" ca="1" si="267"/>
        <v>2.1710764090328041E-2</v>
      </c>
      <c r="GV158" s="5">
        <f t="shared" ca="1" si="268"/>
        <v>6.791549317785037E-4</v>
      </c>
      <c r="GW158" s="5">
        <f t="shared" ca="1" si="269"/>
        <v>0.58458633892869039</v>
      </c>
      <c r="GX158" s="5" t="e">
        <f t="shared" ca="1" si="270"/>
        <v>#N/A</v>
      </c>
      <c r="GY158" s="5" t="e">
        <f t="shared" ca="1" si="271"/>
        <v>#N/A</v>
      </c>
      <c r="GZ158" s="5" t="e">
        <f t="shared" ca="1" si="272"/>
        <v>#N/A</v>
      </c>
      <c r="HB158" s="13">
        <f t="shared" ca="1" si="273"/>
        <v>98</v>
      </c>
      <c r="HC158" s="4">
        <f t="shared" ca="1" si="274"/>
        <v>1</v>
      </c>
      <c r="HD158" s="4">
        <f t="shared" ca="1" si="275"/>
        <v>1</v>
      </c>
      <c r="HE158" s="4">
        <f t="shared" ca="1" si="276"/>
        <v>0</v>
      </c>
      <c r="HF158" s="4">
        <f t="shared" ca="1" si="277"/>
        <v>0</v>
      </c>
      <c r="HG158" s="4">
        <f t="shared" ca="1" si="278"/>
        <v>1</v>
      </c>
      <c r="HH158" s="4">
        <f t="shared" ca="1" si="279"/>
        <v>1</v>
      </c>
      <c r="HI158" s="4">
        <f t="shared" ca="1" si="280"/>
        <v>1.38E-2</v>
      </c>
      <c r="HJ158" s="4">
        <f t="shared" ca="1" si="281"/>
        <v>0.52329999999999999</v>
      </c>
      <c r="HK158" s="4">
        <f t="shared" ca="1" si="282"/>
        <v>1.24E-2</v>
      </c>
      <c r="HL158" s="4">
        <f t="shared" ca="1" si="283"/>
        <v>0</v>
      </c>
      <c r="HM158" s="4">
        <f t="shared" ca="1" si="284"/>
        <v>0</v>
      </c>
      <c r="HN158" s="4">
        <f t="shared" ca="1" si="285"/>
        <v>0</v>
      </c>
    </row>
    <row r="159" spans="1:222" x14ac:dyDescent="0.2">
      <c r="A159" t="str" cm="1">
        <f t="array" aca="1" ref="A159" ca="1">INDIRECT($A$67&amp;"!A"&amp;ROW(C92)+$B$64)</f>
        <v>[[99,52,15]]</v>
      </c>
      <c r="B159" cm="1">
        <f t="array" aca="1" ref="B159" ca="1">INDIRECT($A$67&amp;"!b"&amp;ROW(D92)+$B$64)</f>
        <v>99</v>
      </c>
      <c r="C159">
        <f t="shared" ca="1" si="185"/>
        <v>15</v>
      </c>
      <c r="E159">
        <f t="shared" ca="1" si="184"/>
        <v>116</v>
      </c>
      <c r="F159">
        <f t="shared" ca="1" si="184"/>
        <v>117</v>
      </c>
      <c r="G159">
        <f t="shared" ca="1" si="184"/>
        <v>116</v>
      </c>
      <c r="H159">
        <f t="shared" ca="1" si="184"/>
        <v>102</v>
      </c>
      <c r="I159">
        <f t="shared" ca="1" si="184"/>
        <v>119</v>
      </c>
      <c r="J159">
        <f t="shared" ca="1" si="184"/>
        <v>116</v>
      </c>
      <c r="K159">
        <f t="shared" ca="1" si="184"/>
        <v>123</v>
      </c>
      <c r="L159">
        <f t="shared" ca="1" si="184"/>
        <v>125</v>
      </c>
      <c r="M159">
        <f t="shared" ca="1" si="184"/>
        <v>122</v>
      </c>
      <c r="N159">
        <f t="shared" ca="1" si="184"/>
        <v>120</v>
      </c>
      <c r="O159">
        <f t="shared" ca="1" si="184"/>
        <v>120</v>
      </c>
      <c r="P159">
        <f t="shared" ca="1" si="184"/>
        <v>120</v>
      </c>
      <c r="V159" cm="1">
        <f t="array" aca="1" ref="V159" ca="1">IF(ISNA(E159),,OFFSET(INDIRECT("'"&amp;V$67&amp;"'!d1"),E159-1,))</f>
        <v>15</v>
      </c>
      <c r="W159" cm="1">
        <f t="array" aca="1" ref="W159" ca="1">IF(ISNA(F159),,OFFSET(INDIRECT("'"&amp;W$67&amp;"'!d1"),F159-1,))</f>
        <v>15</v>
      </c>
      <c r="X159" cm="1">
        <f t="array" aca="1" ref="X159" ca="1">IF(ISNA(G159),,OFFSET(INDIRECT("'"&amp;X$67&amp;"'!d1"),G159-1,))</f>
        <v>23</v>
      </c>
      <c r="Y159" cm="1">
        <f t="array" aca="1" ref="Y159" ca="1">IF(ISNA(H159),,OFFSET(INDIRECT("'"&amp;Y$67&amp;"'!d1"),H159-1,))</f>
        <v>0</v>
      </c>
      <c r="Z159" cm="1">
        <f t="array" aca="1" ref="Z159" ca="1">IF(ISNA(I159),,OFFSET(INDIRECT("'"&amp;Z$67&amp;"'!d1"),I159-1,))</f>
        <v>15</v>
      </c>
      <c r="AA159" cm="1">
        <f t="array" aca="1" ref="AA159" ca="1">IF(ISNA(J159),,OFFSET(INDIRECT("'"&amp;AA$67&amp;"'!d1"),J159-1,))</f>
        <v>15</v>
      </c>
      <c r="AB159" cm="1">
        <f t="array" aca="1" ref="AB159" ca="1">IF(ISNA(K159),,OFFSET(INDIRECT("'"&amp;AB$67&amp;"'!d1"),K159-1,))</f>
        <v>15</v>
      </c>
      <c r="AC159" cm="1">
        <f t="array" aca="1" ref="AC159" ca="1">IF(ISNA(L159),,OFFSET(INDIRECT("'"&amp;AC$67&amp;"'!d1"),L159-1,))</f>
        <v>15</v>
      </c>
      <c r="AD159" cm="1">
        <f t="array" aca="1" ref="AD159" ca="1">IF(ISNA(M159),,OFFSET(INDIRECT("'"&amp;AD$67&amp;"'!d1"),M159-1,))</f>
        <v>15</v>
      </c>
      <c r="AE159" cm="1">
        <f t="array" aca="1" ref="AE159" ca="1">IF(ISNA(N159),,OFFSET(INDIRECT("'"&amp;AE$67&amp;"'!d1"),N159-1,))</f>
        <v>0</v>
      </c>
      <c r="AF159" cm="1">
        <f t="array" aca="1" ref="AF159" ca="1">IF(ISNA(O159),,OFFSET(INDIRECT("'"&amp;AF$67&amp;"'!d1"),O159-1,))</f>
        <v>0</v>
      </c>
      <c r="AG159" cm="1">
        <f t="array" aca="1" ref="AG159" ca="1">IF(ISNA(P159),,OFFSET(INDIRECT("'"&amp;AG$67&amp;"'!d1"),P159-1,))</f>
        <v>0</v>
      </c>
      <c r="AM159">
        <f t="shared" ca="1" si="186"/>
        <v>0</v>
      </c>
      <c r="AN159">
        <f t="shared" ca="1" si="187"/>
        <v>0</v>
      </c>
      <c r="AO159">
        <f t="shared" ca="1" si="188"/>
        <v>0</v>
      </c>
      <c r="AP159">
        <f t="shared" ca="1" si="189"/>
        <v>0</v>
      </c>
      <c r="AQ159">
        <f t="shared" ca="1" si="190"/>
        <v>1</v>
      </c>
      <c r="AV159" t="str">
        <f t="shared" ca="1" si="191"/>
        <v/>
      </c>
      <c r="AW159" t="str">
        <f t="shared" ca="1" si="192"/>
        <v/>
      </c>
      <c r="AX159" t="str">
        <f t="shared" ca="1" si="193"/>
        <v/>
      </c>
      <c r="AY159" t="str">
        <f t="shared" ca="1" si="194"/>
        <v/>
      </c>
      <c r="AZ159" t="b">
        <f t="shared" ca="1" si="195"/>
        <v>1</v>
      </c>
      <c r="BD159">
        <f t="shared" ca="1" si="196"/>
        <v>1</v>
      </c>
      <c r="BE159">
        <f t="shared" ca="1" si="197"/>
        <v>1</v>
      </c>
      <c r="BF159">
        <f t="shared" ca="1" si="198"/>
        <v>1</v>
      </c>
      <c r="BG159">
        <f t="shared" ca="1" si="199"/>
        <v>0</v>
      </c>
      <c r="BH159">
        <f t="shared" ca="1" si="200"/>
        <v>1</v>
      </c>
      <c r="BI159">
        <f t="shared" ca="1" si="201"/>
        <v>1</v>
      </c>
      <c r="BJ159">
        <f t="shared" ca="1" si="202"/>
        <v>1</v>
      </c>
      <c r="BK159">
        <f t="shared" ca="1" si="203"/>
        <v>1</v>
      </c>
      <c r="BL159">
        <f t="shared" ca="1" si="204"/>
        <v>1</v>
      </c>
      <c r="BM159">
        <f t="shared" ca="1" si="205"/>
        <v>0</v>
      </c>
      <c r="BN159">
        <f t="shared" ca="1" si="206"/>
        <v>0</v>
      </c>
      <c r="BO159">
        <f t="shared" ca="1" si="207"/>
        <v>0</v>
      </c>
      <c r="BU159">
        <f t="shared" ca="1" si="208"/>
        <v>15</v>
      </c>
      <c r="BV159">
        <f t="shared" ca="1" si="209"/>
        <v>15</v>
      </c>
      <c r="BW159">
        <f t="shared" ca="1" si="210"/>
        <v>23</v>
      </c>
      <c r="BX159">
        <f t="shared" ca="1" si="211"/>
        <v>99</v>
      </c>
      <c r="BY159">
        <f t="shared" ca="1" si="212"/>
        <v>15</v>
      </c>
      <c r="BZ159">
        <f t="shared" ca="1" si="213"/>
        <v>15</v>
      </c>
      <c r="CA159">
        <f t="shared" ca="1" si="214"/>
        <v>15</v>
      </c>
      <c r="CB159">
        <f t="shared" ca="1" si="215"/>
        <v>15</v>
      </c>
      <c r="CC159">
        <f t="shared" ca="1" si="216"/>
        <v>15</v>
      </c>
      <c r="CD159">
        <f t="shared" ca="1" si="217"/>
        <v>99</v>
      </c>
      <c r="CE159">
        <f t="shared" ca="1" si="218"/>
        <v>99</v>
      </c>
      <c r="CF159">
        <f t="shared" ca="1" si="219"/>
        <v>99</v>
      </c>
      <c r="CL159">
        <f t="shared" ca="1" si="220"/>
        <v>1</v>
      </c>
      <c r="CM159">
        <f t="shared" ca="1" si="221"/>
        <v>1</v>
      </c>
      <c r="CN159">
        <f t="shared" ca="1" si="222"/>
        <v>0</v>
      </c>
      <c r="CO159">
        <f t="shared" ca="1" si="223"/>
        <v>0</v>
      </c>
      <c r="CP159">
        <f t="shared" ca="1" si="224"/>
        <v>1</v>
      </c>
      <c r="CQ159">
        <f t="shared" ca="1" si="225"/>
        <v>1</v>
      </c>
      <c r="CR159">
        <f t="shared" ca="1" si="226"/>
        <v>1</v>
      </c>
      <c r="CS159">
        <f t="shared" ca="1" si="227"/>
        <v>1</v>
      </c>
      <c r="CT159">
        <f t="shared" ca="1" si="228"/>
        <v>1</v>
      </c>
      <c r="CU159">
        <f t="shared" ca="1" si="229"/>
        <v>0</v>
      </c>
      <c r="CV159">
        <f t="shared" ca="1" si="230"/>
        <v>0</v>
      </c>
      <c r="CW159">
        <f t="shared" ca="1" si="231"/>
        <v>0</v>
      </c>
      <c r="DC159" cm="1">
        <f t="array" aca="1" ref="DC159" ca="1">IF(ISNA(E159),,OFFSET(INDIRECT("'"&amp;DT$67&amp;"'!f1"),E159-1,))*1</f>
        <v>28880.485087104102</v>
      </c>
      <c r="DD159" cm="1">
        <f t="array" aca="1" ref="DD159" ca="1">IF(ISNA(F159),,OFFSET(INDIRECT("'"&amp;DU$67&amp;"'!f1"),F159-1,))*1</f>
        <v>28811.282057088902</v>
      </c>
      <c r="DE159" cm="1">
        <f t="array" aca="1" ref="DE159" ca="1">IF(ISNA(G159),,OFFSET(INDIRECT("'"&amp;DV$67&amp;"'!f1"),G159-1,))*1</f>
        <v>28800.180848312</v>
      </c>
      <c r="DF159" cm="1">
        <f t="array" aca="1" ref="DF159" ca="1">IF(ISNA(H159),,OFFSET(INDIRECT("'"&amp;DW$67&amp;"'!f1"),H159-1,))*1</f>
        <v>28800.358973003898</v>
      </c>
      <c r="DG159" cm="1">
        <f t="array" aca="1" ref="DG159" ca="1">IF(ISNA(I159),,OFFSET(INDIRECT("'"&amp;DX$67&amp;"'!f1"),I159-1,))*1</f>
        <v>19.511674583998602</v>
      </c>
      <c r="DH159" cm="1">
        <f t="array" aca="1" ref="DH159" ca="1">IF(ISNA(J159),,OFFSET(INDIRECT("'"&amp;DY$67&amp;"'!f1"),J159-1,))*1</f>
        <v>0.232624450698494</v>
      </c>
      <c r="DI159" cm="1">
        <f t="array" aca="1" ref="DI159" ca="1">IF(ISNA(K159),,OFFSET(INDIRECT("'"&amp;DZ$67&amp;"'!f1"),K159-1,))*1</f>
        <v>3.0099147139117099</v>
      </c>
      <c r="DJ159" cm="1">
        <f t="array" aca="1" ref="DJ159" ca="1">IF(ISNA(L159),,OFFSET(INDIRECT("'"&amp;EA$67&amp;"'!f1"),L159-1,))*1</f>
        <v>3.5837877355515899</v>
      </c>
      <c r="DK159" cm="1">
        <f t="array" aca="1" ref="DK159" ca="1">IF(ISNA(M159),,OFFSET(INDIRECT("'"&amp;EB$67&amp;"'!f1"),M159-1,))*1</f>
        <v>75.332749691791804</v>
      </c>
      <c r="DL159" cm="1">
        <f t="array" aca="1" ref="DL159" ca="1">IF(ISNA(N159),,OFFSET(INDIRECT("'"&amp;EC$67&amp;"'!f1"),N159-1,))*1</f>
        <v>1.7521441914141098E-2</v>
      </c>
      <c r="DM159" cm="1">
        <f t="array" aca="1" ref="DM159" ca="1">IF(ISNA(O159),,OFFSET(INDIRECT("'"&amp;ED$67&amp;"'!f1"),O159-1,))*1</f>
        <v>1.7626495100557801E-2</v>
      </c>
      <c r="DN159" cm="1">
        <f t="array" aca="1" ref="DN159" ca="1">IF(ISNA(P159),,OFFSET(INDIRECT("'"&amp;EE$67&amp;"'!f1"),P159-1,))*1</f>
        <v>2.9266626574099001E-2</v>
      </c>
      <c r="DT159">
        <f t="shared" ca="1" si="232"/>
        <v>1</v>
      </c>
      <c r="DU159">
        <f t="shared" ca="1" si="233"/>
        <v>1</v>
      </c>
      <c r="DV159">
        <f t="shared" ca="1" si="234"/>
        <v>0</v>
      </c>
      <c r="DW159">
        <f t="shared" ca="1" si="235"/>
        <v>0</v>
      </c>
      <c r="DX159">
        <f t="shared" ca="1" si="236"/>
        <v>1</v>
      </c>
      <c r="DY159">
        <f t="shared" ca="1" si="237"/>
        <v>1</v>
      </c>
      <c r="DZ159">
        <f t="shared" ca="1" si="238"/>
        <v>165</v>
      </c>
      <c r="EA159">
        <f t="shared" ca="1" si="239"/>
        <v>5393</v>
      </c>
      <c r="EB159">
        <f t="shared" ca="1" si="240"/>
        <v>99</v>
      </c>
      <c r="EC159">
        <f t="shared" ca="1" si="241"/>
        <v>0</v>
      </c>
      <c r="ED159">
        <f t="shared" ca="1" si="242"/>
        <v>0</v>
      </c>
      <c r="EE159">
        <f t="shared" ca="1" si="243"/>
        <v>0</v>
      </c>
      <c r="EK159" cm="1">
        <f t="array" aca="1" ref="EK159" ca="1">IF(ISNA(E159),0,OFFSET(INDIRECT("'"&amp;EK$67&amp;"'!g1"),E159-1,)*CL159)</f>
        <v>1</v>
      </c>
      <c r="EL159" cm="1">
        <f t="array" aca="1" ref="EL159" ca="1">IF(ISNA(F159),0,OFFSET(INDIRECT("'"&amp;EL$67&amp;"'!g1"),F159-1,)*CM159)</f>
        <v>1</v>
      </c>
      <c r="EM159" cm="1">
        <f t="array" aca="1" ref="EM159" ca="1">IF(ISNA(G159),0,OFFSET(INDIRECT("'"&amp;EM$67&amp;"'!g1"),G159-1,)*CN159)</f>
        <v>0</v>
      </c>
      <c r="EN159" cm="1">
        <f t="array" aca="1" ref="EN159" ca="1">IF(ISNA(H159),0,OFFSET(INDIRECT("'"&amp;EN$67&amp;"'!g1"),H159-1,)*CO159)</f>
        <v>0</v>
      </c>
      <c r="EO159" cm="1">
        <f t="array" aca="1" ref="EO159" ca="1">IF(ISNA(I159),0,OFFSET(INDIRECT("'"&amp;EO$67&amp;"'!g1"),I159-1,)*CP159)</f>
        <v>1</v>
      </c>
      <c r="EP159" cm="1">
        <f t="array" aca="1" ref="EP159" ca="1">IF(ISNA(J159),0,OFFSET(INDIRECT("'"&amp;EP$67&amp;"'!g1"),J159-1,)*CQ159)</f>
        <v>1</v>
      </c>
      <c r="EQ159" cm="1">
        <f t="array" aca="1" ref="EQ159" ca="1">IF(ISNA(K159),0,OFFSET(INDIRECT("'"&amp;EQ$67&amp;"'!g1"),K159-1,)*CR159)</f>
        <v>165</v>
      </c>
      <c r="ER159" cm="1">
        <f t="array" aca="1" ref="ER159" ca="1">IF(ISNA(L159),0,OFFSET(INDIRECT("'"&amp;ER$67&amp;"'!g1"),L159-1,)*CS159)</f>
        <v>5393</v>
      </c>
      <c r="ES159" cm="1">
        <f t="array" aca="1" ref="ES159" ca="1">IF(ISNA(M159),0,OFFSET(INDIRECT("'"&amp;ES$67&amp;"'!g1"),M159-1,)*CT159)</f>
        <v>99</v>
      </c>
      <c r="ET159" cm="1">
        <f t="array" aca="1" ref="ET159" ca="1">IF(ISNA(N159),0,OFFSET(INDIRECT("'"&amp;ET$67&amp;"'!g1"),N159-1,)*CU159)</f>
        <v>0</v>
      </c>
      <c r="EU159" cm="1">
        <f t="array" aca="1" ref="EU159" ca="1">IF(ISNA(O159),0,OFFSET(INDIRECT("'"&amp;EU$67&amp;"'!g1"),O159-1,)*CV159)</f>
        <v>0</v>
      </c>
      <c r="EV159" cm="1">
        <f t="array" aca="1" ref="EV159" ca="1">IF(ISNA(P159),0,OFFSET(INDIRECT("'"&amp;EV$67&amp;"'!g1"),P159-1,)*CW159)</f>
        <v>0</v>
      </c>
      <c r="FB159" s="10" cm="1">
        <f t="array" aca="1" ref="FB159" ca="1">IF(ISNA(E159),0,OFFSET(INDIRECT("'"&amp;EK$67&amp;"'!h1"),E159-1,))</f>
        <v>1</v>
      </c>
      <c r="FC159" s="10" cm="1">
        <f t="array" aca="1" ref="FC159" ca="1">IF(ISNA(F159),0,OFFSET(INDIRECT("'"&amp;EL$67&amp;"'!h1"),F159-1,))</f>
        <v>1</v>
      </c>
      <c r="FD159" s="10" cm="1">
        <f t="array" aca="1" ref="FD159" ca="1">IF(ISNA(G159),0,OFFSET(INDIRECT("'"&amp;EM$67&amp;"'!h1"),G159-1,))</f>
        <v>1</v>
      </c>
      <c r="FE159" s="10" cm="1">
        <f t="array" aca="1" ref="FE159" ca="1">IF(ISNA(H159),0,OFFSET(INDIRECT("'"&amp;EN$67&amp;"'!h1"),H159-1,))</f>
        <v>1</v>
      </c>
      <c r="FF159" s="10" cm="1">
        <f t="array" aca="1" ref="FF159" ca="1">IF(ISNA(I159),0,OFFSET(INDIRECT("'"&amp;EO$67&amp;"'!h1"),I159-1,))</f>
        <v>1</v>
      </c>
      <c r="FG159" s="10" cm="1">
        <f t="array" aca="1" ref="FG159" ca="1">IF(ISNA(J159),0,OFFSET(INDIRECT("'"&amp;EP$67&amp;"'!h1"),J159-1,))</f>
        <v>1</v>
      </c>
      <c r="FH159" s="10" cm="1">
        <f t="array" aca="1" ref="FH159" ca="1">IF(ISNA(K159),0,OFFSET(INDIRECT("'"&amp;EQ$67&amp;"'!h1"),K159-1,))</f>
        <v>10000</v>
      </c>
      <c r="FI159" s="10" cm="1">
        <f t="array" aca="1" ref="FI159" ca="1">IF(ISNA(L159),0,OFFSET(INDIRECT("'"&amp;ER$67&amp;"'!h1"),L159-1,))</f>
        <v>10000</v>
      </c>
      <c r="FJ159" s="10" cm="1">
        <f t="array" aca="1" ref="FJ159" ca="1">IF(ISNA(M159),0,OFFSET(INDIRECT("'"&amp;ES$67&amp;"'!h1"),M159-1,))</f>
        <v>10000</v>
      </c>
      <c r="FK159" s="10" cm="1">
        <f t="array" aca="1" ref="FK159" ca="1">IF(ISNA(N159),0,OFFSET(INDIRECT("'"&amp;ET$67&amp;"'!h1"),N159-1,))</f>
        <v>1</v>
      </c>
      <c r="FL159" s="10" cm="1">
        <f t="array" aca="1" ref="FL159" ca="1">IF(ISNA(O159),0,OFFSET(INDIRECT("'"&amp;EU$67&amp;"'!h1"),O159-1,))</f>
        <v>1</v>
      </c>
      <c r="FM159" s="10" cm="1">
        <f t="array" aca="1" ref="FM159" ca="1">IF(ISNA(P159),0,OFFSET(INDIRECT("'"&amp;EV$67&amp;"'!h1"),P159-1,))</f>
        <v>9</v>
      </c>
      <c r="FN159" s="10"/>
      <c r="FO159" s="10"/>
      <c r="FP159" s="10"/>
      <c r="FQ159" s="10"/>
      <c r="FS159">
        <f t="shared" ca="1" si="244"/>
        <v>99</v>
      </c>
      <c r="FT159">
        <f t="shared" ca="1" si="62"/>
        <v>3.0099147139117099</v>
      </c>
      <c r="FU159">
        <f t="shared" ca="1" si="63"/>
        <v>165</v>
      </c>
      <c r="FV159">
        <f t="shared" ca="1" si="64"/>
        <v>10000</v>
      </c>
      <c r="FW159" s="4">
        <f t="shared" ca="1" si="245"/>
        <v>1.6500000000000001E-2</v>
      </c>
      <c r="FX159" s="5">
        <f t="shared" ca="1" si="246"/>
        <v>1.8241907357040666E-2</v>
      </c>
      <c r="FZ159" s="13">
        <f t="shared" ca="1" si="247"/>
        <v>99</v>
      </c>
      <c r="GA159" s="23">
        <f t="shared" ca="1" si="248"/>
        <v>0</v>
      </c>
      <c r="GB159" s="23">
        <f t="shared" ca="1" si="249"/>
        <v>0</v>
      </c>
      <c r="GC159" s="23">
        <f t="shared" ca="1" si="250"/>
        <v>0.53333333333333333</v>
      </c>
      <c r="GD159" s="23" t="e">
        <f t="shared" ca="1" si="251"/>
        <v>#N/A</v>
      </c>
      <c r="GE159" s="23">
        <f t="shared" ca="1" si="252"/>
        <v>0</v>
      </c>
      <c r="GF159" s="23">
        <f t="shared" ca="1" si="253"/>
        <v>0</v>
      </c>
      <c r="GG159" s="23">
        <f t="shared" ca="1" si="254"/>
        <v>0</v>
      </c>
      <c r="GH159" s="23">
        <f t="shared" ca="1" si="255"/>
        <v>0</v>
      </c>
      <c r="GI159" s="23">
        <f t="shared" ca="1" si="256"/>
        <v>0</v>
      </c>
      <c r="GJ159" s="23" t="e">
        <f t="shared" ca="1" si="257"/>
        <v>#N/A</v>
      </c>
      <c r="GK159" s="23" t="e">
        <f t="shared" ca="1" si="258"/>
        <v>#N/A</v>
      </c>
      <c r="GL159" s="23" t="e">
        <f t="shared" ca="1" si="259"/>
        <v>#N/A</v>
      </c>
      <c r="GM159" s="23"/>
      <c r="GN159">
        <f t="shared" ca="1" si="260"/>
        <v>99</v>
      </c>
      <c r="GO159" s="5" t="e">
        <f t="shared" ca="1" si="261"/>
        <v>#N/A</v>
      </c>
      <c r="GP159" s="5" t="e">
        <f t="shared" ca="1" si="262"/>
        <v>#N/A</v>
      </c>
      <c r="GQ159" s="5" t="e">
        <f t="shared" ca="1" si="263"/>
        <v>#N/A</v>
      </c>
      <c r="GR159" s="5" t="e">
        <f t="shared" ca="1" si="264"/>
        <v>#N/A</v>
      </c>
      <c r="GS159" s="5">
        <f t="shared" ca="1" si="265"/>
        <v>19.511674583998602</v>
      </c>
      <c r="GT159" s="5">
        <f t="shared" ca="1" si="266"/>
        <v>0.232624450698494</v>
      </c>
      <c r="GU159" s="5">
        <f t="shared" ca="1" si="267"/>
        <v>1.8241907357040666E-2</v>
      </c>
      <c r="GV159" s="5">
        <f t="shared" ca="1" si="268"/>
        <v>6.6452581782896157E-4</v>
      </c>
      <c r="GW159" s="5">
        <f t="shared" ca="1" si="269"/>
        <v>0.76093686557365459</v>
      </c>
      <c r="GX159" s="5" t="e">
        <f t="shared" ca="1" si="270"/>
        <v>#N/A</v>
      </c>
      <c r="GY159" s="5" t="e">
        <f t="shared" ca="1" si="271"/>
        <v>#N/A</v>
      </c>
      <c r="GZ159" s="5" t="e">
        <f t="shared" ca="1" si="272"/>
        <v>#N/A</v>
      </c>
      <c r="HB159" s="13">
        <f t="shared" ca="1" si="273"/>
        <v>99</v>
      </c>
      <c r="HC159" s="4">
        <f t="shared" ca="1" si="274"/>
        <v>1</v>
      </c>
      <c r="HD159" s="4">
        <f t="shared" ca="1" si="275"/>
        <v>1</v>
      </c>
      <c r="HE159" s="4">
        <f t="shared" ca="1" si="276"/>
        <v>0</v>
      </c>
      <c r="HF159" s="4">
        <f t="shared" ca="1" si="277"/>
        <v>0</v>
      </c>
      <c r="HG159" s="4">
        <f t="shared" ca="1" si="278"/>
        <v>1</v>
      </c>
      <c r="HH159" s="4">
        <f t="shared" ca="1" si="279"/>
        <v>1</v>
      </c>
      <c r="HI159" s="4">
        <f t="shared" ca="1" si="280"/>
        <v>1.6500000000000001E-2</v>
      </c>
      <c r="HJ159" s="4">
        <f t="shared" ca="1" si="281"/>
        <v>0.5393</v>
      </c>
      <c r="HK159" s="4">
        <f t="shared" ca="1" si="282"/>
        <v>9.9000000000000008E-3</v>
      </c>
      <c r="HL159" s="4">
        <f t="shared" ca="1" si="283"/>
        <v>0</v>
      </c>
      <c r="HM159" s="4">
        <f t="shared" ca="1" si="284"/>
        <v>0</v>
      </c>
      <c r="HN159" s="4">
        <f t="shared" ca="1" si="285"/>
        <v>0</v>
      </c>
    </row>
    <row r="160" spans="1:222" x14ac:dyDescent="0.2">
      <c r="A160" t="str" cm="1">
        <f t="array" aca="1" ref="A160" ca="1">INDIRECT($A$67&amp;"!A"&amp;ROW(C93)+$B$64)</f>
        <v>[[100,52,16]]</v>
      </c>
      <c r="B160" cm="1">
        <f t="array" aca="1" ref="B160" ca="1">INDIRECT($A$67&amp;"!b"&amp;ROW(D93)+$B$64)</f>
        <v>100</v>
      </c>
      <c r="C160">
        <f t="shared" ca="1" si="185"/>
        <v>16</v>
      </c>
      <c r="E160">
        <f t="shared" ca="1" si="184"/>
        <v>117</v>
      </c>
      <c r="F160">
        <f t="shared" ca="1" si="184"/>
        <v>118</v>
      </c>
      <c r="G160">
        <f t="shared" ca="1" si="184"/>
        <v>117</v>
      </c>
      <c r="H160">
        <f t="shared" ca="1" si="184"/>
        <v>107</v>
      </c>
      <c r="I160">
        <f t="shared" ca="1" si="184"/>
        <v>120</v>
      </c>
      <c r="J160">
        <f t="shared" ca="1" si="184"/>
        <v>117</v>
      </c>
      <c r="K160">
        <f t="shared" ca="1" si="184"/>
        <v>124</v>
      </c>
      <c r="L160">
        <f t="shared" ca="1" si="184"/>
        <v>126</v>
      </c>
      <c r="M160">
        <f t="shared" ca="1" si="184"/>
        <v>123</v>
      </c>
      <c r="N160">
        <f t="shared" ca="1" si="184"/>
        <v>121</v>
      </c>
      <c r="O160">
        <f t="shared" ca="1" si="184"/>
        <v>121</v>
      </c>
      <c r="P160">
        <f t="shared" ca="1" si="184"/>
        <v>121</v>
      </c>
      <c r="V160" cm="1">
        <f t="array" aca="1" ref="V160" ca="1">IF(ISNA(E160),,OFFSET(INDIRECT("'"&amp;V$67&amp;"'!d1"),E160-1,))</f>
        <v>16</v>
      </c>
      <c r="W160" cm="1">
        <f t="array" aca="1" ref="W160" ca="1">IF(ISNA(F160),,OFFSET(INDIRECT("'"&amp;W$67&amp;"'!d1"),F160-1,))</f>
        <v>16</v>
      </c>
      <c r="X160" cm="1">
        <f t="array" aca="1" ref="X160" ca="1">IF(ISNA(G160),,OFFSET(INDIRECT("'"&amp;X$67&amp;"'!d1"),G160-1,))</f>
        <v>23</v>
      </c>
      <c r="Y160" cm="1">
        <f t="array" aca="1" ref="Y160" ca="1">IF(ISNA(H160),,OFFSET(INDIRECT("'"&amp;Y$67&amp;"'!d1"),H160-1,))</f>
        <v>0</v>
      </c>
      <c r="Z160" cm="1">
        <f t="array" aca="1" ref="Z160" ca="1">IF(ISNA(I160),,OFFSET(INDIRECT("'"&amp;Z$67&amp;"'!d1"),I160-1,))</f>
        <v>16</v>
      </c>
      <c r="AA160" cm="1">
        <f t="array" aca="1" ref="AA160" ca="1">IF(ISNA(J160),,OFFSET(INDIRECT("'"&amp;AA$67&amp;"'!d1"),J160-1,))</f>
        <v>16</v>
      </c>
      <c r="AB160" cm="1">
        <f t="array" aca="1" ref="AB160" ca="1">IF(ISNA(K160),,OFFSET(INDIRECT("'"&amp;AB$67&amp;"'!d1"),K160-1,))</f>
        <v>16</v>
      </c>
      <c r="AC160" cm="1">
        <f t="array" aca="1" ref="AC160" ca="1">IF(ISNA(L160),,OFFSET(INDIRECT("'"&amp;AC$67&amp;"'!d1"),L160-1,))</f>
        <v>16</v>
      </c>
      <c r="AD160" cm="1">
        <f t="array" aca="1" ref="AD160" ca="1">IF(ISNA(M160),,OFFSET(INDIRECT("'"&amp;AD$67&amp;"'!d1"),M160-1,))</f>
        <v>16</v>
      </c>
      <c r="AE160" cm="1">
        <f t="array" aca="1" ref="AE160" ca="1">IF(ISNA(N160),,OFFSET(INDIRECT("'"&amp;AE$67&amp;"'!d1"),N160-1,))</f>
        <v>0</v>
      </c>
      <c r="AF160" cm="1">
        <f t="array" aca="1" ref="AF160" ca="1">IF(ISNA(O160),,OFFSET(INDIRECT("'"&amp;AF$67&amp;"'!d1"),O160-1,))</f>
        <v>0</v>
      </c>
      <c r="AG160" cm="1">
        <f t="array" aca="1" ref="AG160" ca="1">IF(ISNA(P160),,OFFSET(INDIRECT("'"&amp;AG$67&amp;"'!d1"),P160-1,))</f>
        <v>0</v>
      </c>
      <c r="AM160">
        <f t="shared" ca="1" si="186"/>
        <v>0</v>
      </c>
      <c r="AN160">
        <f t="shared" ca="1" si="187"/>
        <v>0</v>
      </c>
      <c r="AO160">
        <f t="shared" ca="1" si="188"/>
        <v>0</v>
      </c>
      <c r="AP160">
        <f t="shared" ca="1" si="189"/>
        <v>0</v>
      </c>
      <c r="AQ160">
        <f t="shared" ca="1" si="190"/>
        <v>1</v>
      </c>
      <c r="AV160" t="str">
        <f t="shared" ca="1" si="191"/>
        <v/>
      </c>
      <c r="AW160" t="str">
        <f t="shared" ca="1" si="192"/>
        <v/>
      </c>
      <c r="AX160" t="str">
        <f t="shared" ca="1" si="193"/>
        <v/>
      </c>
      <c r="AY160" t="str">
        <f t="shared" ca="1" si="194"/>
        <v/>
      </c>
      <c r="AZ160" t="b">
        <f t="shared" ca="1" si="195"/>
        <v>1</v>
      </c>
      <c r="BD160">
        <f t="shared" ca="1" si="196"/>
        <v>1</v>
      </c>
      <c r="BE160">
        <f t="shared" ca="1" si="197"/>
        <v>1</v>
      </c>
      <c r="BF160">
        <f t="shared" ca="1" si="198"/>
        <v>1</v>
      </c>
      <c r="BG160">
        <f t="shared" ca="1" si="199"/>
        <v>0</v>
      </c>
      <c r="BH160">
        <f t="shared" ca="1" si="200"/>
        <v>1</v>
      </c>
      <c r="BI160">
        <f t="shared" ca="1" si="201"/>
        <v>1</v>
      </c>
      <c r="BJ160">
        <f t="shared" ca="1" si="202"/>
        <v>1</v>
      </c>
      <c r="BK160">
        <f t="shared" ca="1" si="203"/>
        <v>1</v>
      </c>
      <c r="BL160">
        <f t="shared" ca="1" si="204"/>
        <v>1</v>
      </c>
      <c r="BM160">
        <f t="shared" ca="1" si="205"/>
        <v>0</v>
      </c>
      <c r="BN160">
        <f t="shared" ca="1" si="206"/>
        <v>0</v>
      </c>
      <c r="BO160">
        <f t="shared" ca="1" si="207"/>
        <v>0</v>
      </c>
      <c r="BU160">
        <f t="shared" ca="1" si="208"/>
        <v>16</v>
      </c>
      <c r="BV160">
        <f t="shared" ca="1" si="209"/>
        <v>16</v>
      </c>
      <c r="BW160">
        <f t="shared" ca="1" si="210"/>
        <v>23</v>
      </c>
      <c r="BX160">
        <f t="shared" ca="1" si="211"/>
        <v>100</v>
      </c>
      <c r="BY160">
        <f t="shared" ca="1" si="212"/>
        <v>16</v>
      </c>
      <c r="BZ160">
        <f t="shared" ca="1" si="213"/>
        <v>16</v>
      </c>
      <c r="CA160">
        <f t="shared" ca="1" si="214"/>
        <v>16</v>
      </c>
      <c r="CB160">
        <f t="shared" ca="1" si="215"/>
        <v>16</v>
      </c>
      <c r="CC160">
        <f t="shared" ca="1" si="216"/>
        <v>16</v>
      </c>
      <c r="CD160">
        <f t="shared" ca="1" si="217"/>
        <v>100</v>
      </c>
      <c r="CE160">
        <f t="shared" ca="1" si="218"/>
        <v>100</v>
      </c>
      <c r="CF160">
        <f t="shared" ca="1" si="219"/>
        <v>100</v>
      </c>
      <c r="CL160">
        <f t="shared" ca="1" si="220"/>
        <v>1</v>
      </c>
      <c r="CM160">
        <f t="shared" ca="1" si="221"/>
        <v>1</v>
      </c>
      <c r="CN160">
        <f t="shared" ca="1" si="222"/>
        <v>0</v>
      </c>
      <c r="CO160">
        <f t="shared" ca="1" si="223"/>
        <v>0</v>
      </c>
      <c r="CP160">
        <f t="shared" ca="1" si="224"/>
        <v>1</v>
      </c>
      <c r="CQ160">
        <f t="shared" ca="1" si="225"/>
        <v>1</v>
      </c>
      <c r="CR160">
        <f t="shared" ca="1" si="226"/>
        <v>1</v>
      </c>
      <c r="CS160">
        <f t="shared" ca="1" si="227"/>
        <v>1</v>
      </c>
      <c r="CT160">
        <f t="shared" ca="1" si="228"/>
        <v>1</v>
      </c>
      <c r="CU160">
        <f t="shared" ca="1" si="229"/>
        <v>0</v>
      </c>
      <c r="CV160">
        <f t="shared" ca="1" si="230"/>
        <v>0</v>
      </c>
      <c r="CW160">
        <f t="shared" ca="1" si="231"/>
        <v>0</v>
      </c>
      <c r="DC160" cm="1">
        <f t="array" aca="1" ref="DC160" ca="1">IF(ISNA(E160),,OFFSET(INDIRECT("'"&amp;DT$67&amp;"'!f1"),E160-1,))*1</f>
        <v>28911.2964423339</v>
      </c>
      <c r="DD160" cm="1">
        <f t="array" aca="1" ref="DD160" ca="1">IF(ISNA(F160),,OFFSET(INDIRECT("'"&amp;DU$67&amp;"'!f1"),F160-1,))*1</f>
        <v>28809.889142769</v>
      </c>
      <c r="DE160" cm="1">
        <f t="array" aca="1" ref="DE160" ca="1">IF(ISNA(G160),,OFFSET(INDIRECT("'"&amp;DV$67&amp;"'!f1"),G160-1,))*1</f>
        <v>28800.285197956</v>
      </c>
      <c r="DF160" cm="1">
        <f t="array" aca="1" ref="DF160" ca="1">IF(ISNA(H160),,OFFSET(INDIRECT("'"&amp;DW$67&amp;"'!f1"),H160-1,))*1</f>
        <v>28800.128460936201</v>
      </c>
      <c r="DG160" cm="1">
        <f t="array" aca="1" ref="DG160" ca="1">IF(ISNA(I160),,OFFSET(INDIRECT("'"&amp;DX$67&amp;"'!f1"),I160-1,))*1</f>
        <v>19.585598333003801</v>
      </c>
      <c r="DH160" cm="1">
        <f t="array" aca="1" ref="DH160" ca="1">IF(ISNA(J160),,OFFSET(INDIRECT("'"&amp;DY$67&amp;"'!f1"),J160-1,))*1</f>
        <v>0.23903039703145601</v>
      </c>
      <c r="DI160" cm="1">
        <f t="array" aca="1" ref="DI160" ca="1">IF(ISNA(K160),,OFFSET(INDIRECT("'"&amp;DZ$67&amp;"'!f1"),K160-1,))*1</f>
        <v>3.0624292679131</v>
      </c>
      <c r="DJ160" cm="1">
        <f t="array" aca="1" ref="DJ160" ca="1">IF(ISNA(L160),,OFFSET(INDIRECT("'"&amp;EA$67&amp;"'!f1"),L160-1,))*1</f>
        <v>3.6876384448259998</v>
      </c>
      <c r="DK160" cm="1">
        <f t="array" aca="1" ref="DK160" ca="1">IF(ISNA(M160),,OFFSET(INDIRECT("'"&amp;EB$67&amp;"'!f1"),M160-1,))*1</f>
        <v>77.714903579093502</v>
      </c>
      <c r="DL160" cm="1">
        <f t="array" aca="1" ref="DL160" ca="1">IF(ISNA(N160),,OFFSET(INDIRECT("'"&amp;EC$67&amp;"'!f1"),N160-1,))*1</f>
        <v>1.7563637346029198E-2</v>
      </c>
      <c r="DM160" cm="1">
        <f t="array" aca="1" ref="DM160" ca="1">IF(ISNA(O160),,OFFSET(INDIRECT("'"&amp;ED$67&amp;"'!f1"),O160-1,))*1</f>
        <v>1.77173810079693E-2</v>
      </c>
      <c r="DN160" cm="1">
        <f t="array" aca="1" ref="DN160" ca="1">IF(ISNA(P160),,OFFSET(INDIRECT("'"&amp;EE$67&amp;"'!f1"),P160-1,))*1</f>
        <v>2.9586694203317099E-2</v>
      </c>
      <c r="DT160">
        <f t="shared" ca="1" si="232"/>
        <v>1</v>
      </c>
      <c r="DU160">
        <f t="shared" ca="1" si="233"/>
        <v>1</v>
      </c>
      <c r="DV160">
        <f t="shared" ca="1" si="234"/>
        <v>0</v>
      </c>
      <c r="DW160">
        <f t="shared" ca="1" si="235"/>
        <v>0</v>
      </c>
      <c r="DX160">
        <f t="shared" ca="1" si="236"/>
        <v>1</v>
      </c>
      <c r="DY160">
        <f t="shared" ca="1" si="237"/>
        <v>1</v>
      </c>
      <c r="DZ160">
        <f t="shared" ca="1" si="238"/>
        <v>495</v>
      </c>
      <c r="EA160">
        <f t="shared" ca="1" si="239"/>
        <v>5290</v>
      </c>
      <c r="EB160">
        <f t="shared" ca="1" si="240"/>
        <v>397</v>
      </c>
      <c r="EC160">
        <f t="shared" ca="1" si="241"/>
        <v>0</v>
      </c>
      <c r="ED160">
        <f t="shared" ca="1" si="242"/>
        <v>0</v>
      </c>
      <c r="EE160">
        <f t="shared" ca="1" si="243"/>
        <v>0</v>
      </c>
      <c r="EK160" cm="1">
        <f t="array" aca="1" ref="EK160" ca="1">IF(ISNA(E160),0,OFFSET(INDIRECT("'"&amp;EK$67&amp;"'!g1"),E160-1,)*CL160)</f>
        <v>1</v>
      </c>
      <c r="EL160" cm="1">
        <f t="array" aca="1" ref="EL160" ca="1">IF(ISNA(F160),0,OFFSET(INDIRECT("'"&amp;EL$67&amp;"'!g1"),F160-1,)*CM160)</f>
        <v>1</v>
      </c>
      <c r="EM160" cm="1">
        <f t="array" aca="1" ref="EM160" ca="1">IF(ISNA(G160),0,OFFSET(INDIRECT("'"&amp;EM$67&amp;"'!g1"),G160-1,)*CN160)</f>
        <v>0</v>
      </c>
      <c r="EN160" cm="1">
        <f t="array" aca="1" ref="EN160" ca="1">IF(ISNA(H160),0,OFFSET(INDIRECT("'"&amp;EN$67&amp;"'!g1"),H160-1,)*CO160)</f>
        <v>0</v>
      </c>
      <c r="EO160" cm="1">
        <f t="array" aca="1" ref="EO160" ca="1">IF(ISNA(I160),0,OFFSET(INDIRECT("'"&amp;EO$67&amp;"'!g1"),I160-1,)*CP160)</f>
        <v>1</v>
      </c>
      <c r="EP160" cm="1">
        <f t="array" aca="1" ref="EP160" ca="1">IF(ISNA(J160),0,OFFSET(INDIRECT("'"&amp;EP$67&amp;"'!g1"),J160-1,)*CQ160)</f>
        <v>1</v>
      </c>
      <c r="EQ160" cm="1">
        <f t="array" aca="1" ref="EQ160" ca="1">IF(ISNA(K160),0,OFFSET(INDIRECT("'"&amp;EQ$67&amp;"'!g1"),K160-1,)*CR160)</f>
        <v>495</v>
      </c>
      <c r="ER160" cm="1">
        <f t="array" aca="1" ref="ER160" ca="1">IF(ISNA(L160),0,OFFSET(INDIRECT("'"&amp;ER$67&amp;"'!g1"),L160-1,)*CS160)</f>
        <v>5290</v>
      </c>
      <c r="ES160" cm="1">
        <f t="array" aca="1" ref="ES160" ca="1">IF(ISNA(M160),0,OFFSET(INDIRECT("'"&amp;ES$67&amp;"'!g1"),M160-1,)*CT160)</f>
        <v>397</v>
      </c>
      <c r="ET160" cm="1">
        <f t="array" aca="1" ref="ET160" ca="1">IF(ISNA(N160),0,OFFSET(INDIRECT("'"&amp;ET$67&amp;"'!g1"),N160-1,)*CU160)</f>
        <v>0</v>
      </c>
      <c r="EU160" cm="1">
        <f t="array" aca="1" ref="EU160" ca="1">IF(ISNA(O160),0,OFFSET(INDIRECT("'"&amp;EU$67&amp;"'!g1"),O160-1,)*CV160)</f>
        <v>0</v>
      </c>
      <c r="EV160" cm="1">
        <f t="array" aca="1" ref="EV160" ca="1">IF(ISNA(P160),0,OFFSET(INDIRECT("'"&amp;EV$67&amp;"'!g1"),P160-1,)*CW160)</f>
        <v>0</v>
      </c>
      <c r="FB160" s="10" cm="1">
        <f t="array" aca="1" ref="FB160" ca="1">IF(ISNA(E160),0,OFFSET(INDIRECT("'"&amp;EK$67&amp;"'!h1"),E160-1,))</f>
        <v>1</v>
      </c>
      <c r="FC160" s="10" cm="1">
        <f t="array" aca="1" ref="FC160" ca="1">IF(ISNA(F160),0,OFFSET(INDIRECT("'"&amp;EL$67&amp;"'!h1"),F160-1,))</f>
        <v>1</v>
      </c>
      <c r="FD160" s="10" cm="1">
        <f t="array" aca="1" ref="FD160" ca="1">IF(ISNA(G160),0,OFFSET(INDIRECT("'"&amp;EM$67&amp;"'!h1"),G160-1,))</f>
        <v>1</v>
      </c>
      <c r="FE160" s="10" cm="1">
        <f t="array" aca="1" ref="FE160" ca="1">IF(ISNA(H160),0,OFFSET(INDIRECT("'"&amp;EN$67&amp;"'!h1"),H160-1,))</f>
        <v>1</v>
      </c>
      <c r="FF160" s="10" cm="1">
        <f t="array" aca="1" ref="FF160" ca="1">IF(ISNA(I160),0,OFFSET(INDIRECT("'"&amp;EO$67&amp;"'!h1"),I160-1,))</f>
        <v>1</v>
      </c>
      <c r="FG160" s="10" cm="1">
        <f t="array" aca="1" ref="FG160" ca="1">IF(ISNA(J160),0,OFFSET(INDIRECT("'"&amp;EP$67&amp;"'!h1"),J160-1,))</f>
        <v>1</v>
      </c>
      <c r="FH160" s="10" cm="1">
        <f t="array" aca="1" ref="FH160" ca="1">IF(ISNA(K160),0,OFFSET(INDIRECT("'"&amp;EQ$67&amp;"'!h1"),K160-1,))</f>
        <v>10000</v>
      </c>
      <c r="FI160" s="10" cm="1">
        <f t="array" aca="1" ref="FI160" ca="1">IF(ISNA(L160),0,OFFSET(INDIRECT("'"&amp;ER$67&amp;"'!h1"),L160-1,))</f>
        <v>10000</v>
      </c>
      <c r="FJ160" s="10" cm="1">
        <f t="array" aca="1" ref="FJ160" ca="1">IF(ISNA(M160),0,OFFSET(INDIRECT("'"&amp;ES$67&amp;"'!h1"),M160-1,))</f>
        <v>10000</v>
      </c>
      <c r="FK160" s="10" cm="1">
        <f t="array" aca="1" ref="FK160" ca="1">IF(ISNA(N160),0,OFFSET(INDIRECT("'"&amp;ET$67&amp;"'!h1"),N160-1,))</f>
        <v>1</v>
      </c>
      <c r="FL160" s="10" cm="1">
        <f t="array" aca="1" ref="FL160" ca="1">IF(ISNA(O160),0,OFFSET(INDIRECT("'"&amp;EU$67&amp;"'!h1"),O160-1,))</f>
        <v>1</v>
      </c>
      <c r="FM160" s="10" cm="1">
        <f t="array" aca="1" ref="FM160" ca="1">IF(ISNA(P160),0,OFFSET(INDIRECT("'"&amp;EV$67&amp;"'!h1"),P160-1,))</f>
        <v>9</v>
      </c>
      <c r="FN160" s="10"/>
      <c r="FO160" s="10"/>
      <c r="FP160" s="10"/>
      <c r="FQ160" s="10"/>
      <c r="FS160">
        <f t="shared" ca="1" si="244"/>
        <v>100</v>
      </c>
      <c r="FT160">
        <f t="shared" ca="1" si="62"/>
        <v>3.0624292679131</v>
      </c>
      <c r="FU160">
        <f t="shared" ca="1" si="63"/>
        <v>495</v>
      </c>
      <c r="FV160">
        <f t="shared" ca="1" si="64"/>
        <v>10000</v>
      </c>
      <c r="FW160" s="4">
        <f t="shared" ca="1" si="245"/>
        <v>4.9500000000000002E-2</v>
      </c>
      <c r="FX160" s="5">
        <f t="shared" ca="1" si="246"/>
        <v>6.1867257937638382E-3</v>
      </c>
      <c r="FZ160" s="13">
        <f t="shared" ca="1" si="247"/>
        <v>100</v>
      </c>
      <c r="GA160" s="23">
        <f t="shared" ca="1" si="248"/>
        <v>0</v>
      </c>
      <c r="GB160" s="23">
        <f t="shared" ca="1" si="249"/>
        <v>0</v>
      </c>
      <c r="GC160" s="23">
        <f t="shared" ca="1" si="250"/>
        <v>0.4375</v>
      </c>
      <c r="GD160" s="23" t="e">
        <f t="shared" ca="1" si="251"/>
        <v>#N/A</v>
      </c>
      <c r="GE160" s="23">
        <f t="shared" ca="1" si="252"/>
        <v>0</v>
      </c>
      <c r="GF160" s="23">
        <f t="shared" ca="1" si="253"/>
        <v>0</v>
      </c>
      <c r="GG160" s="23">
        <f t="shared" ca="1" si="254"/>
        <v>0</v>
      </c>
      <c r="GH160" s="23">
        <f t="shared" ca="1" si="255"/>
        <v>0</v>
      </c>
      <c r="GI160" s="23">
        <f t="shared" ca="1" si="256"/>
        <v>0</v>
      </c>
      <c r="GJ160" s="23" t="e">
        <f t="shared" ca="1" si="257"/>
        <v>#N/A</v>
      </c>
      <c r="GK160" s="23" t="e">
        <f t="shared" ca="1" si="258"/>
        <v>#N/A</v>
      </c>
      <c r="GL160" s="23" t="e">
        <f t="shared" ca="1" si="259"/>
        <v>#N/A</v>
      </c>
      <c r="GM160" s="23"/>
      <c r="GN160">
        <f t="shared" ca="1" si="260"/>
        <v>100</v>
      </c>
      <c r="GO160" s="5" t="e">
        <f t="shared" ca="1" si="261"/>
        <v>#N/A</v>
      </c>
      <c r="GP160" s="5" t="e">
        <f t="shared" ca="1" si="262"/>
        <v>#N/A</v>
      </c>
      <c r="GQ160" s="5" t="e">
        <f t="shared" ca="1" si="263"/>
        <v>#N/A</v>
      </c>
      <c r="GR160" s="5" t="e">
        <f t="shared" ca="1" si="264"/>
        <v>#N/A</v>
      </c>
      <c r="GS160" s="5">
        <f t="shared" ca="1" si="265"/>
        <v>19.585598333003801</v>
      </c>
      <c r="GT160" s="5">
        <f t="shared" ca="1" si="266"/>
        <v>0.23903039703145601</v>
      </c>
      <c r="GU160" s="5">
        <f t="shared" ca="1" si="267"/>
        <v>6.1867257937638382E-3</v>
      </c>
      <c r="GV160" s="5">
        <f t="shared" ca="1" si="268"/>
        <v>6.9709611433383734E-4</v>
      </c>
      <c r="GW160" s="5">
        <f t="shared" ca="1" si="269"/>
        <v>0.19575542463247733</v>
      </c>
      <c r="GX160" s="5" t="e">
        <f t="shared" ca="1" si="270"/>
        <v>#N/A</v>
      </c>
      <c r="GY160" s="5" t="e">
        <f t="shared" ca="1" si="271"/>
        <v>#N/A</v>
      </c>
      <c r="GZ160" s="5" t="e">
        <f t="shared" ca="1" si="272"/>
        <v>#N/A</v>
      </c>
      <c r="HB160" s="13">
        <f t="shared" ca="1" si="273"/>
        <v>100</v>
      </c>
      <c r="HC160" s="4">
        <f t="shared" ca="1" si="274"/>
        <v>1</v>
      </c>
      <c r="HD160" s="4">
        <f t="shared" ca="1" si="275"/>
        <v>1</v>
      </c>
      <c r="HE160" s="4">
        <f t="shared" ca="1" si="276"/>
        <v>0</v>
      </c>
      <c r="HF160" s="4">
        <f t="shared" ca="1" si="277"/>
        <v>0</v>
      </c>
      <c r="HG160" s="4">
        <f t="shared" ca="1" si="278"/>
        <v>1</v>
      </c>
      <c r="HH160" s="4">
        <f t="shared" ca="1" si="279"/>
        <v>1</v>
      </c>
      <c r="HI160" s="4">
        <f t="shared" ca="1" si="280"/>
        <v>4.9500000000000002E-2</v>
      </c>
      <c r="HJ160" s="4">
        <f t="shared" ca="1" si="281"/>
        <v>0.52900000000000003</v>
      </c>
      <c r="HK160" s="4">
        <f t="shared" ca="1" si="282"/>
        <v>3.9699999999999999E-2</v>
      </c>
      <c r="HL160" s="4">
        <f t="shared" ca="1" si="283"/>
        <v>0</v>
      </c>
      <c r="HM160" s="4">
        <f t="shared" ca="1" si="284"/>
        <v>0</v>
      </c>
      <c r="HN160" s="4">
        <f t="shared" ca="1" si="285"/>
        <v>0</v>
      </c>
    </row>
    <row r="161" spans="1:222" x14ac:dyDescent="0.2">
      <c r="A161" t="str" cm="1">
        <f t="array" aca="1" ref="A161" ca="1">INDIRECT($A$67&amp;"!A"&amp;ROW(C94)+$B$64)</f>
        <v>[[101,53,15]]</v>
      </c>
      <c r="B161" cm="1">
        <f t="array" aca="1" ref="B161" ca="1">INDIRECT($A$67&amp;"!b"&amp;ROW(D94)+$B$64)</f>
        <v>101</v>
      </c>
      <c r="C161">
        <f t="shared" ca="1" si="185"/>
        <v>15</v>
      </c>
      <c r="E161">
        <f t="shared" ca="1" si="184"/>
        <v>118</v>
      </c>
      <c r="F161">
        <f t="shared" ca="1" si="184"/>
        <v>119</v>
      </c>
      <c r="G161">
        <f t="shared" ca="1" si="184"/>
        <v>118</v>
      </c>
      <c r="H161">
        <f t="shared" ca="1" si="184"/>
        <v>118</v>
      </c>
      <c r="I161">
        <f t="shared" ca="1" si="184"/>
        <v>121</v>
      </c>
      <c r="J161">
        <f t="shared" ca="1" si="184"/>
        <v>118</v>
      </c>
      <c r="K161">
        <f t="shared" ca="1" si="184"/>
        <v>125</v>
      </c>
      <c r="L161">
        <f t="shared" ca="1" si="184"/>
        <v>127</v>
      </c>
      <c r="M161">
        <f t="shared" ca="1" si="184"/>
        <v>124</v>
      </c>
      <c r="N161">
        <f t="shared" ca="1" si="184"/>
        <v>122</v>
      </c>
      <c r="O161">
        <f t="shared" ca="1" si="184"/>
        <v>122</v>
      </c>
      <c r="P161">
        <f t="shared" ca="1" si="184"/>
        <v>122</v>
      </c>
      <c r="V161" cm="1">
        <f t="array" aca="1" ref="V161" ca="1">IF(ISNA(E161),,OFFSET(INDIRECT("'"&amp;V$67&amp;"'!d1"),E161-1,))</f>
        <v>15</v>
      </c>
      <c r="W161" cm="1">
        <f t="array" aca="1" ref="W161" ca="1">IF(ISNA(F161),,OFFSET(INDIRECT("'"&amp;W$67&amp;"'!d1"),F161-1,))</f>
        <v>15</v>
      </c>
      <c r="X161" cm="1">
        <f t="array" aca="1" ref="X161" ca="1">IF(ISNA(G161),,OFFSET(INDIRECT("'"&amp;X$67&amp;"'!d1"),G161-1,))</f>
        <v>23</v>
      </c>
      <c r="Y161" cm="1">
        <f t="array" aca="1" ref="Y161" ca="1">IF(ISNA(H161),,OFFSET(INDIRECT("'"&amp;Y$67&amp;"'!d1"),H161-1,))</f>
        <v>0</v>
      </c>
      <c r="Z161" cm="1">
        <f t="array" aca="1" ref="Z161" ca="1">IF(ISNA(I161),,OFFSET(INDIRECT("'"&amp;Z$67&amp;"'!d1"),I161-1,))</f>
        <v>15</v>
      </c>
      <c r="AA161" cm="1">
        <f t="array" aca="1" ref="AA161" ca="1">IF(ISNA(J161),,OFFSET(INDIRECT("'"&amp;AA$67&amp;"'!d1"),J161-1,))</f>
        <v>15</v>
      </c>
      <c r="AB161" cm="1">
        <f t="array" aca="1" ref="AB161" ca="1">IF(ISNA(K161),,OFFSET(INDIRECT("'"&amp;AB$67&amp;"'!d1"),K161-1,))</f>
        <v>15</v>
      </c>
      <c r="AC161" cm="1">
        <f t="array" aca="1" ref="AC161" ca="1">IF(ISNA(L161),,OFFSET(INDIRECT("'"&amp;AC$67&amp;"'!d1"),L161-1,))</f>
        <v>15</v>
      </c>
      <c r="AD161" cm="1">
        <f t="array" aca="1" ref="AD161" ca="1">IF(ISNA(M161),,OFFSET(INDIRECT("'"&amp;AD$67&amp;"'!d1"),M161-1,))</f>
        <v>15</v>
      </c>
      <c r="AE161" cm="1">
        <f t="array" aca="1" ref="AE161" ca="1">IF(ISNA(N161),,OFFSET(INDIRECT("'"&amp;AE$67&amp;"'!d1"),N161-1,))</f>
        <v>0</v>
      </c>
      <c r="AF161" cm="1">
        <f t="array" aca="1" ref="AF161" ca="1">IF(ISNA(O161),,OFFSET(INDIRECT("'"&amp;AF$67&amp;"'!d1"),O161-1,))</f>
        <v>0</v>
      </c>
      <c r="AG161" cm="1">
        <f t="array" aca="1" ref="AG161" ca="1">IF(ISNA(P161),,OFFSET(INDIRECT("'"&amp;AG$67&amp;"'!d1"),P161-1,))</f>
        <v>0</v>
      </c>
      <c r="AM161">
        <f t="shared" ca="1" si="186"/>
        <v>0</v>
      </c>
      <c r="AN161">
        <f t="shared" ca="1" si="187"/>
        <v>0</v>
      </c>
      <c r="AO161">
        <f t="shared" ca="1" si="188"/>
        <v>0</v>
      </c>
      <c r="AP161">
        <f t="shared" ca="1" si="189"/>
        <v>0</v>
      </c>
      <c r="AQ161">
        <f t="shared" ca="1" si="190"/>
        <v>1</v>
      </c>
      <c r="AV161" t="str">
        <f t="shared" ca="1" si="191"/>
        <v/>
      </c>
      <c r="AW161" t="str">
        <f t="shared" ca="1" si="192"/>
        <v/>
      </c>
      <c r="AX161" t="str">
        <f t="shared" ca="1" si="193"/>
        <v/>
      </c>
      <c r="AY161" t="str">
        <f t="shared" ca="1" si="194"/>
        <v/>
      </c>
      <c r="AZ161" t="b">
        <f t="shared" ca="1" si="195"/>
        <v>1</v>
      </c>
      <c r="BD161">
        <f t="shared" ca="1" si="196"/>
        <v>1</v>
      </c>
      <c r="BE161">
        <f t="shared" ca="1" si="197"/>
        <v>1</v>
      </c>
      <c r="BF161">
        <f t="shared" ca="1" si="198"/>
        <v>1</v>
      </c>
      <c r="BG161">
        <f t="shared" ca="1" si="199"/>
        <v>0</v>
      </c>
      <c r="BH161">
        <f t="shared" ca="1" si="200"/>
        <v>1</v>
      </c>
      <c r="BI161">
        <f t="shared" ca="1" si="201"/>
        <v>1</v>
      </c>
      <c r="BJ161">
        <f t="shared" ca="1" si="202"/>
        <v>1</v>
      </c>
      <c r="BK161">
        <f t="shared" ca="1" si="203"/>
        <v>1</v>
      </c>
      <c r="BL161">
        <f t="shared" ca="1" si="204"/>
        <v>1</v>
      </c>
      <c r="BM161">
        <f t="shared" ca="1" si="205"/>
        <v>0</v>
      </c>
      <c r="BN161">
        <f t="shared" ca="1" si="206"/>
        <v>0</v>
      </c>
      <c r="BO161">
        <f t="shared" ca="1" si="207"/>
        <v>0</v>
      </c>
      <c r="BU161">
        <f t="shared" ca="1" si="208"/>
        <v>15</v>
      </c>
      <c r="BV161">
        <f t="shared" ca="1" si="209"/>
        <v>15</v>
      </c>
      <c r="BW161">
        <f t="shared" ca="1" si="210"/>
        <v>23</v>
      </c>
      <c r="BX161">
        <f t="shared" ca="1" si="211"/>
        <v>101</v>
      </c>
      <c r="BY161">
        <f t="shared" ca="1" si="212"/>
        <v>15</v>
      </c>
      <c r="BZ161">
        <f t="shared" ca="1" si="213"/>
        <v>15</v>
      </c>
      <c r="CA161">
        <f t="shared" ca="1" si="214"/>
        <v>15</v>
      </c>
      <c r="CB161">
        <f t="shared" ca="1" si="215"/>
        <v>15</v>
      </c>
      <c r="CC161">
        <f t="shared" ca="1" si="216"/>
        <v>15</v>
      </c>
      <c r="CD161">
        <f t="shared" ca="1" si="217"/>
        <v>101</v>
      </c>
      <c r="CE161">
        <f t="shared" ca="1" si="218"/>
        <v>101</v>
      </c>
      <c r="CF161">
        <f t="shared" ca="1" si="219"/>
        <v>101</v>
      </c>
      <c r="CL161">
        <f t="shared" ca="1" si="220"/>
        <v>1</v>
      </c>
      <c r="CM161">
        <f t="shared" ca="1" si="221"/>
        <v>1</v>
      </c>
      <c r="CN161">
        <f t="shared" ca="1" si="222"/>
        <v>0</v>
      </c>
      <c r="CO161">
        <f t="shared" ca="1" si="223"/>
        <v>0</v>
      </c>
      <c r="CP161">
        <f t="shared" ca="1" si="224"/>
        <v>1</v>
      </c>
      <c r="CQ161">
        <f t="shared" ca="1" si="225"/>
        <v>1</v>
      </c>
      <c r="CR161">
        <f t="shared" ca="1" si="226"/>
        <v>1</v>
      </c>
      <c r="CS161">
        <f t="shared" ca="1" si="227"/>
        <v>1</v>
      </c>
      <c r="CT161">
        <f t="shared" ca="1" si="228"/>
        <v>1</v>
      </c>
      <c r="CU161">
        <f t="shared" ca="1" si="229"/>
        <v>0</v>
      </c>
      <c r="CV161">
        <f t="shared" ca="1" si="230"/>
        <v>0</v>
      </c>
      <c r="CW161">
        <f t="shared" ca="1" si="231"/>
        <v>0</v>
      </c>
      <c r="DC161" cm="1">
        <f t="array" aca="1" ref="DC161" ca="1">IF(ISNA(E161),,OFFSET(INDIRECT("'"&amp;DT$67&amp;"'!f1"),E161-1,))*1</f>
        <v>28905.367173163999</v>
      </c>
      <c r="DD161" cm="1">
        <f t="array" aca="1" ref="DD161" ca="1">IF(ISNA(F161),,OFFSET(INDIRECT("'"&amp;DU$67&amp;"'!f1"),F161-1,))*1</f>
        <v>28811.789687146898</v>
      </c>
      <c r="DE161" cm="1">
        <f t="array" aca="1" ref="DE161" ca="1">IF(ISNA(G161),,OFFSET(INDIRECT("'"&amp;DV$67&amp;"'!f1"),G161-1,))*1</f>
        <v>28800.341485675901</v>
      </c>
      <c r="DF161" cm="1">
        <f t="array" aca="1" ref="DF161" ca="1">IF(ISNA(H161),,OFFSET(INDIRECT("'"&amp;DW$67&amp;"'!f1"),H161-1,))*1</f>
        <v>28800.450079323698</v>
      </c>
      <c r="DG161" cm="1">
        <f t="array" aca="1" ref="DG161" ca="1">IF(ISNA(I161),,OFFSET(INDIRECT("'"&amp;DX$67&amp;"'!f1"),I161-1,))*1</f>
        <v>23.259848791996699</v>
      </c>
      <c r="DH161" cm="1">
        <f t="array" aca="1" ref="DH161" ca="1">IF(ISNA(J161),,OFFSET(INDIRECT("'"&amp;DY$67&amp;"'!f1"),J161-1,))*1</f>
        <v>0.24021242419257699</v>
      </c>
      <c r="DI161" cm="1">
        <f t="array" aca="1" ref="DI161" ca="1">IF(ISNA(K161),,OFFSET(INDIRECT("'"&amp;DZ$67&amp;"'!f1"),K161-1,))*1</f>
        <v>3.0900672515854199</v>
      </c>
      <c r="DJ161" cm="1">
        <f t="array" aca="1" ref="DJ161" ca="1">IF(ISNA(L161),,OFFSET(INDIRECT("'"&amp;EA$67&amp;"'!f1"),L161-1,))*1</f>
        <v>3.7600974338129101</v>
      </c>
      <c r="DK161" cm="1">
        <f t="array" aca="1" ref="DK161" ca="1">IF(ISNA(M161),,OFFSET(INDIRECT("'"&amp;EB$67&amp;"'!f1"),M161-1,))*1</f>
        <v>79.736181713175</v>
      </c>
      <c r="DL161" cm="1">
        <f t="array" aca="1" ref="DL161" ca="1">IF(ISNA(N161),,OFFSET(INDIRECT("'"&amp;EC$67&amp;"'!f1"),N161-1,))*1</f>
        <v>1.7901222221553301E-2</v>
      </c>
      <c r="DM161" cm="1">
        <f t="array" aca="1" ref="DM161" ca="1">IF(ISNA(O161),,OFFSET(INDIRECT("'"&amp;ED$67&amp;"'!f1"),O161-1,))*1</f>
        <v>1.8302741460502099E-2</v>
      </c>
      <c r="DN161" cm="1">
        <f t="array" aca="1" ref="DN161" ca="1">IF(ISNA(P161),,OFFSET(INDIRECT("'"&amp;EE$67&amp;"'!f1"),P161-1,))*1</f>
        <v>3.1251741573214503E-2</v>
      </c>
      <c r="DT161">
        <f t="shared" ca="1" si="232"/>
        <v>1</v>
      </c>
      <c r="DU161">
        <f t="shared" ca="1" si="233"/>
        <v>1</v>
      </c>
      <c r="DV161">
        <f t="shared" ca="1" si="234"/>
        <v>0</v>
      </c>
      <c r="DW161">
        <f t="shared" ca="1" si="235"/>
        <v>0</v>
      </c>
      <c r="DX161">
        <f t="shared" ca="1" si="236"/>
        <v>1</v>
      </c>
      <c r="DY161">
        <f t="shared" ca="1" si="237"/>
        <v>1</v>
      </c>
      <c r="DZ161">
        <f t="shared" ca="1" si="238"/>
        <v>1004</v>
      </c>
      <c r="EA161">
        <f t="shared" ca="1" si="239"/>
        <v>5853</v>
      </c>
      <c r="EB161">
        <f t="shared" ca="1" si="240"/>
        <v>692</v>
      </c>
      <c r="EC161">
        <f t="shared" ca="1" si="241"/>
        <v>0</v>
      </c>
      <c r="ED161">
        <f t="shared" ca="1" si="242"/>
        <v>0</v>
      </c>
      <c r="EE161">
        <f t="shared" ca="1" si="243"/>
        <v>0</v>
      </c>
      <c r="EK161" cm="1">
        <f t="array" aca="1" ref="EK161" ca="1">IF(ISNA(E161),0,OFFSET(INDIRECT("'"&amp;EK$67&amp;"'!g1"),E161-1,)*CL161)</f>
        <v>1</v>
      </c>
      <c r="EL161" cm="1">
        <f t="array" aca="1" ref="EL161" ca="1">IF(ISNA(F161),0,OFFSET(INDIRECT("'"&amp;EL$67&amp;"'!g1"),F161-1,)*CM161)</f>
        <v>1</v>
      </c>
      <c r="EM161" cm="1">
        <f t="array" aca="1" ref="EM161" ca="1">IF(ISNA(G161),0,OFFSET(INDIRECT("'"&amp;EM$67&amp;"'!g1"),G161-1,)*CN161)</f>
        <v>0</v>
      </c>
      <c r="EN161" cm="1">
        <f t="array" aca="1" ref="EN161" ca="1">IF(ISNA(H161),0,OFFSET(INDIRECT("'"&amp;EN$67&amp;"'!g1"),H161-1,)*CO161)</f>
        <v>0</v>
      </c>
      <c r="EO161" cm="1">
        <f t="array" aca="1" ref="EO161" ca="1">IF(ISNA(I161),0,OFFSET(INDIRECT("'"&amp;EO$67&amp;"'!g1"),I161-1,)*CP161)</f>
        <v>1</v>
      </c>
      <c r="EP161" cm="1">
        <f t="array" aca="1" ref="EP161" ca="1">IF(ISNA(J161),0,OFFSET(INDIRECT("'"&amp;EP$67&amp;"'!g1"),J161-1,)*CQ161)</f>
        <v>1</v>
      </c>
      <c r="EQ161" cm="1">
        <f t="array" aca="1" ref="EQ161" ca="1">IF(ISNA(K161),0,OFFSET(INDIRECT("'"&amp;EQ$67&amp;"'!g1"),K161-1,)*CR161)</f>
        <v>1004</v>
      </c>
      <c r="ER161" cm="1">
        <f t="array" aca="1" ref="ER161" ca="1">IF(ISNA(L161),0,OFFSET(INDIRECT("'"&amp;ER$67&amp;"'!g1"),L161-1,)*CS161)</f>
        <v>5853</v>
      </c>
      <c r="ES161" cm="1">
        <f t="array" aca="1" ref="ES161" ca="1">IF(ISNA(M161),0,OFFSET(INDIRECT("'"&amp;ES$67&amp;"'!g1"),M161-1,)*CT161)</f>
        <v>692</v>
      </c>
      <c r="ET161" cm="1">
        <f t="array" aca="1" ref="ET161" ca="1">IF(ISNA(N161),0,OFFSET(INDIRECT("'"&amp;ET$67&amp;"'!g1"),N161-1,)*CU161)</f>
        <v>0</v>
      </c>
      <c r="EU161" cm="1">
        <f t="array" aca="1" ref="EU161" ca="1">IF(ISNA(O161),0,OFFSET(INDIRECT("'"&amp;EU$67&amp;"'!g1"),O161-1,)*CV161)</f>
        <v>0</v>
      </c>
      <c r="EV161" cm="1">
        <f t="array" aca="1" ref="EV161" ca="1">IF(ISNA(P161),0,OFFSET(INDIRECT("'"&amp;EV$67&amp;"'!g1"),P161-1,)*CW161)</f>
        <v>0</v>
      </c>
      <c r="FB161" s="10" cm="1">
        <f t="array" aca="1" ref="FB161" ca="1">IF(ISNA(E161),0,OFFSET(INDIRECT("'"&amp;EK$67&amp;"'!h1"),E161-1,))</f>
        <v>1</v>
      </c>
      <c r="FC161" s="10" cm="1">
        <f t="array" aca="1" ref="FC161" ca="1">IF(ISNA(F161),0,OFFSET(INDIRECT("'"&amp;EL$67&amp;"'!h1"),F161-1,))</f>
        <v>1</v>
      </c>
      <c r="FD161" s="10" cm="1">
        <f t="array" aca="1" ref="FD161" ca="1">IF(ISNA(G161),0,OFFSET(INDIRECT("'"&amp;EM$67&amp;"'!h1"),G161-1,))</f>
        <v>1</v>
      </c>
      <c r="FE161" s="10" cm="1">
        <f t="array" aca="1" ref="FE161" ca="1">IF(ISNA(H161),0,OFFSET(INDIRECT("'"&amp;EN$67&amp;"'!h1"),H161-1,))</f>
        <v>1</v>
      </c>
      <c r="FF161" s="10" cm="1">
        <f t="array" aca="1" ref="FF161" ca="1">IF(ISNA(I161),0,OFFSET(INDIRECT("'"&amp;EO$67&amp;"'!h1"),I161-1,))</f>
        <v>1</v>
      </c>
      <c r="FG161" s="10" cm="1">
        <f t="array" aca="1" ref="FG161" ca="1">IF(ISNA(J161),0,OFFSET(INDIRECT("'"&amp;EP$67&amp;"'!h1"),J161-1,))</f>
        <v>1</v>
      </c>
      <c r="FH161" s="10" cm="1">
        <f t="array" aca="1" ref="FH161" ca="1">IF(ISNA(K161),0,OFFSET(INDIRECT("'"&amp;EQ$67&amp;"'!h1"),K161-1,))</f>
        <v>10000</v>
      </c>
      <c r="FI161" s="10" cm="1">
        <f t="array" aca="1" ref="FI161" ca="1">IF(ISNA(L161),0,OFFSET(INDIRECT("'"&amp;ER$67&amp;"'!h1"),L161-1,))</f>
        <v>10000</v>
      </c>
      <c r="FJ161" s="10" cm="1">
        <f t="array" aca="1" ref="FJ161" ca="1">IF(ISNA(M161),0,OFFSET(INDIRECT("'"&amp;ES$67&amp;"'!h1"),M161-1,))</f>
        <v>10000</v>
      </c>
      <c r="FK161" s="10" cm="1">
        <f t="array" aca="1" ref="FK161" ca="1">IF(ISNA(N161),0,OFFSET(INDIRECT("'"&amp;ET$67&amp;"'!h1"),N161-1,))</f>
        <v>1</v>
      </c>
      <c r="FL161" s="10" cm="1">
        <f t="array" aca="1" ref="FL161" ca="1">IF(ISNA(O161),0,OFFSET(INDIRECT("'"&amp;EU$67&amp;"'!h1"),O161-1,))</f>
        <v>1</v>
      </c>
      <c r="FM161" s="10" cm="1">
        <f t="array" aca="1" ref="FM161" ca="1">IF(ISNA(P161),0,OFFSET(INDIRECT("'"&amp;EV$67&amp;"'!h1"),P161-1,))</f>
        <v>9</v>
      </c>
      <c r="FN161" s="10"/>
      <c r="FO161" s="10"/>
      <c r="FP161" s="10"/>
      <c r="FQ161" s="10"/>
      <c r="FS161">
        <f t="shared" ca="1" si="244"/>
        <v>101</v>
      </c>
      <c r="FT161">
        <f t="shared" ca="1" si="62"/>
        <v>3.0900672515854199</v>
      </c>
      <c r="FU161">
        <f t="shared" ca="1" si="63"/>
        <v>1004</v>
      </c>
      <c r="FV161">
        <f t="shared" ca="1" si="64"/>
        <v>10000</v>
      </c>
      <c r="FW161" s="4">
        <f t="shared" ca="1" si="245"/>
        <v>0.1004</v>
      </c>
      <c r="FX161" s="5">
        <f t="shared" ca="1" si="246"/>
        <v>3.077756226678705E-3</v>
      </c>
      <c r="FZ161" s="13">
        <f t="shared" ca="1" si="247"/>
        <v>101</v>
      </c>
      <c r="GA161" s="23">
        <f t="shared" ca="1" si="248"/>
        <v>0</v>
      </c>
      <c r="GB161" s="23">
        <f t="shared" ca="1" si="249"/>
        <v>0</v>
      </c>
      <c r="GC161" s="23">
        <f t="shared" ca="1" si="250"/>
        <v>0.53333333333333333</v>
      </c>
      <c r="GD161" s="23" t="e">
        <f t="shared" ca="1" si="251"/>
        <v>#N/A</v>
      </c>
      <c r="GE161" s="23">
        <f t="shared" ca="1" si="252"/>
        <v>0</v>
      </c>
      <c r="GF161" s="23">
        <f t="shared" ca="1" si="253"/>
        <v>0</v>
      </c>
      <c r="GG161" s="23">
        <f t="shared" ca="1" si="254"/>
        <v>0</v>
      </c>
      <c r="GH161" s="23">
        <f t="shared" ca="1" si="255"/>
        <v>0</v>
      </c>
      <c r="GI161" s="23">
        <f t="shared" ca="1" si="256"/>
        <v>0</v>
      </c>
      <c r="GJ161" s="23" t="e">
        <f t="shared" ca="1" si="257"/>
        <v>#N/A</v>
      </c>
      <c r="GK161" s="23" t="e">
        <f t="shared" ca="1" si="258"/>
        <v>#N/A</v>
      </c>
      <c r="GL161" s="23" t="e">
        <f t="shared" ca="1" si="259"/>
        <v>#N/A</v>
      </c>
      <c r="GM161" s="23"/>
      <c r="GN161">
        <f t="shared" ca="1" si="260"/>
        <v>101</v>
      </c>
      <c r="GO161" s="5" t="e">
        <f t="shared" ca="1" si="261"/>
        <v>#N/A</v>
      </c>
      <c r="GP161" s="5" t="e">
        <f t="shared" ca="1" si="262"/>
        <v>#N/A</v>
      </c>
      <c r="GQ161" s="5" t="e">
        <f t="shared" ca="1" si="263"/>
        <v>#N/A</v>
      </c>
      <c r="GR161" s="5" t="e">
        <f t="shared" ca="1" si="264"/>
        <v>#N/A</v>
      </c>
      <c r="GS161" s="5">
        <f t="shared" ca="1" si="265"/>
        <v>23.259848791996699</v>
      </c>
      <c r="GT161" s="5">
        <f t="shared" ca="1" si="266"/>
        <v>0.24021242419257699</v>
      </c>
      <c r="GU161" s="5">
        <f t="shared" ca="1" si="267"/>
        <v>3.077756226678705E-3</v>
      </c>
      <c r="GV161" s="5">
        <f t="shared" ca="1" si="268"/>
        <v>6.4242225077958484E-4</v>
      </c>
      <c r="GW161" s="5">
        <f t="shared" ca="1" si="269"/>
        <v>0.11522569611730492</v>
      </c>
      <c r="GX161" s="5" t="e">
        <f t="shared" ca="1" si="270"/>
        <v>#N/A</v>
      </c>
      <c r="GY161" s="5" t="e">
        <f t="shared" ca="1" si="271"/>
        <v>#N/A</v>
      </c>
      <c r="GZ161" s="5" t="e">
        <f t="shared" ca="1" si="272"/>
        <v>#N/A</v>
      </c>
      <c r="HB161" s="13">
        <f t="shared" ca="1" si="273"/>
        <v>101</v>
      </c>
      <c r="HC161" s="4">
        <f t="shared" ca="1" si="274"/>
        <v>1</v>
      </c>
      <c r="HD161" s="4">
        <f t="shared" ca="1" si="275"/>
        <v>1</v>
      </c>
      <c r="HE161" s="4">
        <f t="shared" ca="1" si="276"/>
        <v>0</v>
      </c>
      <c r="HF161" s="4">
        <f t="shared" ca="1" si="277"/>
        <v>0</v>
      </c>
      <c r="HG161" s="4">
        <f t="shared" ca="1" si="278"/>
        <v>1</v>
      </c>
      <c r="HH161" s="4">
        <f t="shared" ca="1" si="279"/>
        <v>1</v>
      </c>
      <c r="HI161" s="4">
        <f t="shared" ca="1" si="280"/>
        <v>0.1004</v>
      </c>
      <c r="HJ161" s="4">
        <f t="shared" ca="1" si="281"/>
        <v>0.58530000000000004</v>
      </c>
      <c r="HK161" s="4">
        <f t="shared" ca="1" si="282"/>
        <v>6.9199999999999998E-2</v>
      </c>
      <c r="HL161" s="4">
        <f t="shared" ca="1" si="283"/>
        <v>0</v>
      </c>
      <c r="HM161" s="4">
        <f t="shared" ca="1" si="284"/>
        <v>0</v>
      </c>
      <c r="HN161" s="4">
        <f t="shared" ca="1" si="285"/>
        <v>0</v>
      </c>
    </row>
    <row r="162" spans="1:222" x14ac:dyDescent="0.2">
      <c r="A162" t="str" cm="1">
        <f t="array" aca="1" ref="A162" ca="1">INDIRECT($A$67&amp;"!A"&amp;ROW(C95)+$B$64)</f>
        <v>[[102,54,15]]</v>
      </c>
      <c r="B162" cm="1">
        <f t="array" aca="1" ref="B162" ca="1">INDIRECT($A$67&amp;"!b"&amp;ROW(D95)+$B$64)</f>
        <v>102</v>
      </c>
      <c r="C162">
        <f t="shared" ca="1" si="185"/>
        <v>15</v>
      </c>
      <c r="E162">
        <f t="shared" ca="1" si="184"/>
        <v>119</v>
      </c>
      <c r="F162">
        <f t="shared" ca="1" si="184"/>
        <v>120</v>
      </c>
      <c r="G162">
        <f t="shared" ca="1" si="184"/>
        <v>119</v>
      </c>
      <c r="H162">
        <f t="shared" ca="1" si="184"/>
        <v>119</v>
      </c>
      <c r="I162">
        <f t="shared" ca="1" si="184"/>
        <v>122</v>
      </c>
      <c r="J162">
        <f t="shared" ca="1" si="184"/>
        <v>119</v>
      </c>
      <c r="K162">
        <f t="shared" ca="1" si="184"/>
        <v>126</v>
      </c>
      <c r="L162">
        <f t="shared" ca="1" si="184"/>
        <v>128</v>
      </c>
      <c r="M162">
        <f t="shared" ca="1" si="184"/>
        <v>125</v>
      </c>
      <c r="N162">
        <f t="shared" ca="1" si="184"/>
        <v>123</v>
      </c>
      <c r="O162">
        <f t="shared" ca="1" si="184"/>
        <v>123</v>
      </c>
      <c r="P162">
        <f t="shared" ca="1" si="184"/>
        <v>123</v>
      </c>
      <c r="V162" cm="1">
        <f t="array" aca="1" ref="V162" ca="1">IF(ISNA(E162),,OFFSET(INDIRECT("'"&amp;V$67&amp;"'!d1"),E162-1,))</f>
        <v>15</v>
      </c>
      <c r="W162" cm="1">
        <f t="array" aca="1" ref="W162" ca="1">IF(ISNA(F162),,OFFSET(INDIRECT("'"&amp;W$67&amp;"'!d1"),F162-1,))</f>
        <v>15</v>
      </c>
      <c r="X162" cm="1">
        <f t="array" aca="1" ref="X162" ca="1">IF(ISNA(G162),,OFFSET(INDIRECT("'"&amp;X$67&amp;"'!d1"),G162-1,))</f>
        <v>22</v>
      </c>
      <c r="Y162" cm="1">
        <f t="array" aca="1" ref="Y162" ca="1">IF(ISNA(H162),,OFFSET(INDIRECT("'"&amp;Y$67&amp;"'!d1"),H162-1,))</f>
        <v>0</v>
      </c>
      <c r="Z162" cm="1">
        <f t="array" aca="1" ref="Z162" ca="1">IF(ISNA(I162),,OFFSET(INDIRECT("'"&amp;Z$67&amp;"'!d1"),I162-1,))</f>
        <v>15</v>
      </c>
      <c r="AA162" cm="1">
        <f t="array" aca="1" ref="AA162" ca="1">IF(ISNA(J162),,OFFSET(INDIRECT("'"&amp;AA$67&amp;"'!d1"),J162-1,))</f>
        <v>15</v>
      </c>
      <c r="AB162" cm="1">
        <f t="array" aca="1" ref="AB162" ca="1">IF(ISNA(K162),,OFFSET(INDIRECT("'"&amp;AB$67&amp;"'!d1"),K162-1,))</f>
        <v>15</v>
      </c>
      <c r="AC162" cm="1">
        <f t="array" aca="1" ref="AC162" ca="1">IF(ISNA(L162),,OFFSET(INDIRECT("'"&amp;AC$67&amp;"'!d1"),L162-1,))</f>
        <v>15</v>
      </c>
      <c r="AD162" cm="1">
        <f t="array" aca="1" ref="AD162" ca="1">IF(ISNA(M162),,OFFSET(INDIRECT("'"&amp;AD$67&amp;"'!d1"),M162-1,))</f>
        <v>15</v>
      </c>
      <c r="AE162" cm="1">
        <f t="array" aca="1" ref="AE162" ca="1">IF(ISNA(N162),,OFFSET(INDIRECT("'"&amp;AE$67&amp;"'!d1"),N162-1,))</f>
        <v>0</v>
      </c>
      <c r="AF162" cm="1">
        <f t="array" aca="1" ref="AF162" ca="1">IF(ISNA(O162),,OFFSET(INDIRECT("'"&amp;AF$67&amp;"'!d1"),O162-1,))</f>
        <v>0</v>
      </c>
      <c r="AG162" cm="1">
        <f t="array" aca="1" ref="AG162" ca="1">IF(ISNA(P162),,OFFSET(INDIRECT("'"&amp;AG$67&amp;"'!d1"),P162-1,))</f>
        <v>0</v>
      </c>
      <c r="AM162">
        <f t="shared" ca="1" si="186"/>
        <v>0</v>
      </c>
      <c r="AN162">
        <f t="shared" ca="1" si="187"/>
        <v>0</v>
      </c>
      <c r="AO162">
        <f t="shared" ca="1" si="188"/>
        <v>0</v>
      </c>
      <c r="AP162">
        <f t="shared" ca="1" si="189"/>
        <v>0</v>
      </c>
      <c r="AQ162">
        <f t="shared" ca="1" si="190"/>
        <v>1</v>
      </c>
      <c r="AV162" t="str">
        <f t="shared" ca="1" si="191"/>
        <v/>
      </c>
      <c r="AW162" t="str">
        <f t="shared" ca="1" si="192"/>
        <v/>
      </c>
      <c r="AX162" t="str">
        <f t="shared" ca="1" si="193"/>
        <v/>
      </c>
      <c r="AY162" t="str">
        <f t="shared" ca="1" si="194"/>
        <v/>
      </c>
      <c r="AZ162" t="b">
        <f t="shared" ca="1" si="195"/>
        <v>1</v>
      </c>
      <c r="BD162">
        <f t="shared" ca="1" si="196"/>
        <v>1</v>
      </c>
      <c r="BE162">
        <f t="shared" ca="1" si="197"/>
        <v>1</v>
      </c>
      <c r="BF162">
        <f t="shared" ca="1" si="198"/>
        <v>1</v>
      </c>
      <c r="BG162">
        <f t="shared" ca="1" si="199"/>
        <v>0</v>
      </c>
      <c r="BH162">
        <f t="shared" ca="1" si="200"/>
        <v>1</v>
      </c>
      <c r="BI162">
        <f t="shared" ca="1" si="201"/>
        <v>1</v>
      </c>
      <c r="BJ162">
        <f t="shared" ca="1" si="202"/>
        <v>1</v>
      </c>
      <c r="BK162">
        <f t="shared" ca="1" si="203"/>
        <v>1</v>
      </c>
      <c r="BL162">
        <f t="shared" ca="1" si="204"/>
        <v>1</v>
      </c>
      <c r="BM162">
        <f t="shared" ca="1" si="205"/>
        <v>0</v>
      </c>
      <c r="BN162">
        <f t="shared" ca="1" si="206"/>
        <v>0</v>
      </c>
      <c r="BO162">
        <f t="shared" ca="1" si="207"/>
        <v>0</v>
      </c>
      <c r="BU162">
        <f t="shared" ca="1" si="208"/>
        <v>15</v>
      </c>
      <c r="BV162">
        <f t="shared" ca="1" si="209"/>
        <v>15</v>
      </c>
      <c r="BW162">
        <f t="shared" ca="1" si="210"/>
        <v>22</v>
      </c>
      <c r="BX162">
        <f t="shared" ca="1" si="211"/>
        <v>102</v>
      </c>
      <c r="BY162">
        <f t="shared" ca="1" si="212"/>
        <v>15</v>
      </c>
      <c r="BZ162">
        <f t="shared" ca="1" si="213"/>
        <v>15</v>
      </c>
      <c r="CA162">
        <f t="shared" ca="1" si="214"/>
        <v>15</v>
      </c>
      <c r="CB162">
        <f t="shared" ca="1" si="215"/>
        <v>15</v>
      </c>
      <c r="CC162">
        <f t="shared" ca="1" si="216"/>
        <v>15</v>
      </c>
      <c r="CD162">
        <f t="shared" ca="1" si="217"/>
        <v>102</v>
      </c>
      <c r="CE162">
        <f t="shared" ca="1" si="218"/>
        <v>102</v>
      </c>
      <c r="CF162">
        <f t="shared" ca="1" si="219"/>
        <v>102</v>
      </c>
      <c r="CL162">
        <f t="shared" ca="1" si="220"/>
        <v>1</v>
      </c>
      <c r="CM162">
        <f t="shared" ca="1" si="221"/>
        <v>1</v>
      </c>
      <c r="CN162">
        <f t="shared" ca="1" si="222"/>
        <v>0</v>
      </c>
      <c r="CO162">
        <f t="shared" ca="1" si="223"/>
        <v>0</v>
      </c>
      <c r="CP162">
        <f t="shared" ca="1" si="224"/>
        <v>1</v>
      </c>
      <c r="CQ162">
        <f t="shared" ca="1" si="225"/>
        <v>1</v>
      </c>
      <c r="CR162">
        <f t="shared" ca="1" si="226"/>
        <v>1</v>
      </c>
      <c r="CS162">
        <f t="shared" ca="1" si="227"/>
        <v>1</v>
      </c>
      <c r="CT162">
        <f t="shared" ca="1" si="228"/>
        <v>1</v>
      </c>
      <c r="CU162">
        <f t="shared" ca="1" si="229"/>
        <v>0</v>
      </c>
      <c r="CV162">
        <f t="shared" ca="1" si="230"/>
        <v>0</v>
      </c>
      <c r="CW162">
        <f t="shared" ca="1" si="231"/>
        <v>0</v>
      </c>
      <c r="DC162" cm="1">
        <f t="array" aca="1" ref="DC162" ca="1">IF(ISNA(E162),,OFFSET(INDIRECT("'"&amp;DT$67&amp;"'!f1"),E162-1,))*1</f>
        <v>28883.862584250001</v>
      </c>
      <c r="DD162" cm="1">
        <f t="array" aca="1" ref="DD162" ca="1">IF(ISNA(F162),,OFFSET(INDIRECT("'"&amp;DU$67&amp;"'!f1"),F162-1,))*1</f>
        <v>28809.8429442569</v>
      </c>
      <c r="DE162" cm="1">
        <f t="array" aca="1" ref="DE162" ca="1">IF(ISNA(G162),,OFFSET(INDIRECT("'"&amp;DV$67&amp;"'!f1"),G162-1,))*1</f>
        <v>28800.19606617</v>
      </c>
      <c r="DF162" cm="1">
        <f t="array" aca="1" ref="DF162" ca="1">IF(ISNA(H162),,OFFSET(INDIRECT("'"&amp;DW$67&amp;"'!f1"),H162-1,))*1</f>
        <v>28800.1121161831</v>
      </c>
      <c r="DG162" cm="1">
        <f t="array" aca="1" ref="DG162" ca="1">IF(ISNA(I162),,OFFSET(INDIRECT("'"&amp;DX$67&amp;"'!f1"),I162-1,))*1</f>
        <v>79.715552583002093</v>
      </c>
      <c r="DH162" cm="1">
        <f t="array" aca="1" ref="DH162" ca="1">IF(ISNA(J162),,OFFSET(INDIRECT("'"&amp;DY$67&amp;"'!f1"),J162-1,))*1</f>
        <v>0.28571649407967897</v>
      </c>
      <c r="DI162" cm="1">
        <f t="array" aca="1" ref="DI162" ca="1">IF(ISNA(K162),,OFFSET(INDIRECT("'"&amp;DZ$67&amp;"'!f1"),K162-1,))*1</f>
        <v>3.1221501585096099</v>
      </c>
      <c r="DJ162" cm="1">
        <f t="array" aca="1" ref="DJ162" ca="1">IF(ISNA(L162),,OFFSET(INDIRECT("'"&amp;EA$67&amp;"'!f1"),L162-1,))*1</f>
        <v>3.75729282293468</v>
      </c>
      <c r="DK162" cm="1">
        <f t="array" aca="1" ref="DK162" ca="1">IF(ISNA(M162),,OFFSET(INDIRECT("'"&amp;EB$67&amp;"'!f1"),M162-1,))*1</f>
        <v>80.523697445169006</v>
      </c>
      <c r="DL162" cm="1">
        <f t="array" aca="1" ref="DL162" ca="1">IF(ISNA(N162),,OFFSET(INDIRECT("'"&amp;EC$67&amp;"'!f1"),N162-1,))*1</f>
        <v>1.8203842453658501E-2</v>
      </c>
      <c r="DM162" cm="1">
        <f t="array" aca="1" ref="DM162" ca="1">IF(ISNA(O162),,OFFSET(INDIRECT("'"&amp;ED$67&amp;"'!f1"),O162-1,))*1</f>
        <v>1.85994878411293E-2</v>
      </c>
      <c r="DN162" cm="1">
        <f t="array" aca="1" ref="DN162" ca="1">IF(ISNA(P162),,OFFSET(INDIRECT("'"&amp;EE$67&amp;"'!f1"),P162-1,))*1</f>
        <v>3.1610080040991299E-2</v>
      </c>
      <c r="DT162">
        <f t="shared" ca="1" si="232"/>
        <v>1</v>
      </c>
      <c r="DU162">
        <f t="shared" ca="1" si="233"/>
        <v>1</v>
      </c>
      <c r="DV162">
        <f t="shared" ca="1" si="234"/>
        <v>0</v>
      </c>
      <c r="DW162">
        <f t="shared" ca="1" si="235"/>
        <v>0</v>
      </c>
      <c r="DX162">
        <f t="shared" ca="1" si="236"/>
        <v>1</v>
      </c>
      <c r="DY162">
        <f t="shared" ca="1" si="237"/>
        <v>1</v>
      </c>
      <c r="DZ162">
        <f t="shared" ca="1" si="238"/>
        <v>1036</v>
      </c>
      <c r="EA162">
        <f t="shared" ca="1" si="239"/>
        <v>6235</v>
      </c>
      <c r="EB162">
        <f t="shared" ca="1" si="240"/>
        <v>725</v>
      </c>
      <c r="EC162">
        <f t="shared" ca="1" si="241"/>
        <v>0</v>
      </c>
      <c r="ED162">
        <f t="shared" ca="1" si="242"/>
        <v>0</v>
      </c>
      <c r="EE162">
        <f t="shared" ca="1" si="243"/>
        <v>0</v>
      </c>
      <c r="EK162" cm="1">
        <f t="array" aca="1" ref="EK162" ca="1">IF(ISNA(E162),0,OFFSET(INDIRECT("'"&amp;EK$67&amp;"'!g1"),E162-1,)*CL162)</f>
        <v>1</v>
      </c>
      <c r="EL162" cm="1">
        <f t="array" aca="1" ref="EL162" ca="1">IF(ISNA(F162),0,OFFSET(INDIRECT("'"&amp;EL$67&amp;"'!g1"),F162-1,)*CM162)</f>
        <v>1</v>
      </c>
      <c r="EM162" cm="1">
        <f t="array" aca="1" ref="EM162" ca="1">IF(ISNA(G162),0,OFFSET(INDIRECT("'"&amp;EM$67&amp;"'!g1"),G162-1,)*CN162)</f>
        <v>0</v>
      </c>
      <c r="EN162" cm="1">
        <f t="array" aca="1" ref="EN162" ca="1">IF(ISNA(H162),0,OFFSET(INDIRECT("'"&amp;EN$67&amp;"'!g1"),H162-1,)*CO162)</f>
        <v>0</v>
      </c>
      <c r="EO162" cm="1">
        <f t="array" aca="1" ref="EO162" ca="1">IF(ISNA(I162),0,OFFSET(INDIRECT("'"&amp;EO$67&amp;"'!g1"),I162-1,)*CP162)</f>
        <v>1</v>
      </c>
      <c r="EP162" cm="1">
        <f t="array" aca="1" ref="EP162" ca="1">IF(ISNA(J162),0,OFFSET(INDIRECT("'"&amp;EP$67&amp;"'!g1"),J162-1,)*CQ162)</f>
        <v>1</v>
      </c>
      <c r="EQ162" cm="1">
        <f t="array" aca="1" ref="EQ162" ca="1">IF(ISNA(K162),0,OFFSET(INDIRECT("'"&amp;EQ$67&amp;"'!g1"),K162-1,)*CR162)</f>
        <v>1036</v>
      </c>
      <c r="ER162" cm="1">
        <f t="array" aca="1" ref="ER162" ca="1">IF(ISNA(L162),0,OFFSET(INDIRECT("'"&amp;ER$67&amp;"'!g1"),L162-1,)*CS162)</f>
        <v>6235</v>
      </c>
      <c r="ES162" cm="1">
        <f t="array" aca="1" ref="ES162" ca="1">IF(ISNA(M162),0,OFFSET(INDIRECT("'"&amp;ES$67&amp;"'!g1"),M162-1,)*CT162)</f>
        <v>725</v>
      </c>
      <c r="ET162" cm="1">
        <f t="array" aca="1" ref="ET162" ca="1">IF(ISNA(N162),0,OFFSET(INDIRECT("'"&amp;ET$67&amp;"'!g1"),N162-1,)*CU162)</f>
        <v>0</v>
      </c>
      <c r="EU162" cm="1">
        <f t="array" aca="1" ref="EU162" ca="1">IF(ISNA(O162),0,OFFSET(INDIRECT("'"&amp;EU$67&amp;"'!g1"),O162-1,)*CV162)</f>
        <v>0</v>
      </c>
      <c r="EV162" cm="1">
        <f t="array" aca="1" ref="EV162" ca="1">IF(ISNA(P162),0,OFFSET(INDIRECT("'"&amp;EV$67&amp;"'!g1"),P162-1,)*CW162)</f>
        <v>0</v>
      </c>
      <c r="FB162" s="10" cm="1">
        <f t="array" aca="1" ref="FB162" ca="1">IF(ISNA(E162),0,OFFSET(INDIRECT("'"&amp;EK$67&amp;"'!h1"),E162-1,))</f>
        <v>1</v>
      </c>
      <c r="FC162" s="10" cm="1">
        <f t="array" aca="1" ref="FC162" ca="1">IF(ISNA(F162),0,OFFSET(INDIRECT("'"&amp;EL$67&amp;"'!h1"),F162-1,))</f>
        <v>1</v>
      </c>
      <c r="FD162" s="10" cm="1">
        <f t="array" aca="1" ref="FD162" ca="1">IF(ISNA(G162),0,OFFSET(INDIRECT("'"&amp;EM$67&amp;"'!h1"),G162-1,))</f>
        <v>1</v>
      </c>
      <c r="FE162" s="10" cm="1">
        <f t="array" aca="1" ref="FE162" ca="1">IF(ISNA(H162),0,OFFSET(INDIRECT("'"&amp;EN$67&amp;"'!h1"),H162-1,))</f>
        <v>1</v>
      </c>
      <c r="FF162" s="10" cm="1">
        <f t="array" aca="1" ref="FF162" ca="1">IF(ISNA(I162),0,OFFSET(INDIRECT("'"&amp;EO$67&amp;"'!h1"),I162-1,))</f>
        <v>1</v>
      </c>
      <c r="FG162" s="10" cm="1">
        <f t="array" aca="1" ref="FG162" ca="1">IF(ISNA(J162),0,OFFSET(INDIRECT("'"&amp;EP$67&amp;"'!h1"),J162-1,))</f>
        <v>1</v>
      </c>
      <c r="FH162" s="10" cm="1">
        <f t="array" aca="1" ref="FH162" ca="1">IF(ISNA(K162),0,OFFSET(INDIRECT("'"&amp;EQ$67&amp;"'!h1"),K162-1,))</f>
        <v>10000</v>
      </c>
      <c r="FI162" s="10" cm="1">
        <f t="array" aca="1" ref="FI162" ca="1">IF(ISNA(L162),0,OFFSET(INDIRECT("'"&amp;ER$67&amp;"'!h1"),L162-1,))</f>
        <v>10000</v>
      </c>
      <c r="FJ162" s="10" cm="1">
        <f t="array" aca="1" ref="FJ162" ca="1">IF(ISNA(M162),0,OFFSET(INDIRECT("'"&amp;ES$67&amp;"'!h1"),M162-1,))</f>
        <v>10000</v>
      </c>
      <c r="FK162" s="10" cm="1">
        <f t="array" aca="1" ref="FK162" ca="1">IF(ISNA(N162),0,OFFSET(INDIRECT("'"&amp;ET$67&amp;"'!h1"),N162-1,))</f>
        <v>1</v>
      </c>
      <c r="FL162" s="10" cm="1">
        <f t="array" aca="1" ref="FL162" ca="1">IF(ISNA(O162),0,OFFSET(INDIRECT("'"&amp;EU$67&amp;"'!h1"),O162-1,))</f>
        <v>1</v>
      </c>
      <c r="FM162" s="10" cm="1">
        <f t="array" aca="1" ref="FM162" ca="1">IF(ISNA(P162),0,OFFSET(INDIRECT("'"&amp;EV$67&amp;"'!h1"),P162-1,))</f>
        <v>9</v>
      </c>
      <c r="FN162" s="10"/>
      <c r="FO162" s="10"/>
      <c r="FP162" s="10"/>
      <c r="FQ162" s="10"/>
      <c r="FS162">
        <f t="shared" ca="1" si="244"/>
        <v>102</v>
      </c>
      <c r="FT162">
        <f t="shared" ca="1" si="62"/>
        <v>3.1221501585096099</v>
      </c>
      <c r="FU162">
        <f t="shared" ca="1" si="63"/>
        <v>1036</v>
      </c>
      <c r="FV162">
        <f t="shared" ca="1" si="64"/>
        <v>10000</v>
      </c>
      <c r="FW162" s="4">
        <f t="shared" ca="1" si="245"/>
        <v>0.1036</v>
      </c>
      <c r="FX162" s="5">
        <f t="shared" ca="1" si="246"/>
        <v>3.0136584541598549E-3</v>
      </c>
      <c r="FZ162" s="13">
        <f t="shared" ca="1" si="247"/>
        <v>102</v>
      </c>
      <c r="GA162" s="23">
        <f t="shared" ca="1" si="248"/>
        <v>0</v>
      </c>
      <c r="GB162" s="23">
        <f t="shared" ca="1" si="249"/>
        <v>0</v>
      </c>
      <c r="GC162" s="23">
        <f t="shared" ca="1" si="250"/>
        <v>0.46666666666666667</v>
      </c>
      <c r="GD162" s="23" t="e">
        <f t="shared" ca="1" si="251"/>
        <v>#N/A</v>
      </c>
      <c r="GE162" s="23">
        <f t="shared" ca="1" si="252"/>
        <v>0</v>
      </c>
      <c r="GF162" s="23">
        <f t="shared" ca="1" si="253"/>
        <v>0</v>
      </c>
      <c r="GG162" s="23">
        <f t="shared" ca="1" si="254"/>
        <v>0</v>
      </c>
      <c r="GH162" s="23">
        <f t="shared" ca="1" si="255"/>
        <v>0</v>
      </c>
      <c r="GI162" s="23">
        <f t="shared" ca="1" si="256"/>
        <v>0</v>
      </c>
      <c r="GJ162" s="23" t="e">
        <f t="shared" ca="1" si="257"/>
        <v>#N/A</v>
      </c>
      <c r="GK162" s="23" t="e">
        <f t="shared" ca="1" si="258"/>
        <v>#N/A</v>
      </c>
      <c r="GL162" s="23" t="e">
        <f t="shared" ca="1" si="259"/>
        <v>#N/A</v>
      </c>
      <c r="GM162" s="23"/>
      <c r="GN162">
        <f t="shared" ca="1" si="260"/>
        <v>102</v>
      </c>
      <c r="GO162" s="5" t="e">
        <f t="shared" ca="1" si="261"/>
        <v>#N/A</v>
      </c>
      <c r="GP162" s="5" t="e">
        <f t="shared" ca="1" si="262"/>
        <v>#N/A</v>
      </c>
      <c r="GQ162" s="5" t="e">
        <f t="shared" ca="1" si="263"/>
        <v>#N/A</v>
      </c>
      <c r="GR162" s="5" t="e">
        <f t="shared" ca="1" si="264"/>
        <v>#N/A</v>
      </c>
      <c r="GS162" s="5">
        <f t="shared" ca="1" si="265"/>
        <v>79.715552583002093</v>
      </c>
      <c r="GT162" s="5">
        <f t="shared" ca="1" si="266"/>
        <v>0.28571649407967897</v>
      </c>
      <c r="GU162" s="5">
        <f t="shared" ca="1" si="267"/>
        <v>3.0136584541598549E-3</v>
      </c>
      <c r="GV162" s="5">
        <f t="shared" ca="1" si="268"/>
        <v>6.0261312316514518E-4</v>
      </c>
      <c r="GW162" s="5">
        <f t="shared" ca="1" si="269"/>
        <v>0.11106716888988828</v>
      </c>
      <c r="GX162" s="5" t="e">
        <f t="shared" ca="1" si="270"/>
        <v>#N/A</v>
      </c>
      <c r="GY162" s="5" t="e">
        <f t="shared" ca="1" si="271"/>
        <v>#N/A</v>
      </c>
      <c r="GZ162" s="5" t="e">
        <f t="shared" ca="1" si="272"/>
        <v>#N/A</v>
      </c>
      <c r="HB162" s="13">
        <f t="shared" ca="1" si="273"/>
        <v>102</v>
      </c>
      <c r="HC162" s="4">
        <f t="shared" ca="1" si="274"/>
        <v>1</v>
      </c>
      <c r="HD162" s="4">
        <f t="shared" ca="1" si="275"/>
        <v>1</v>
      </c>
      <c r="HE162" s="4">
        <f t="shared" ca="1" si="276"/>
        <v>0</v>
      </c>
      <c r="HF162" s="4">
        <f t="shared" ca="1" si="277"/>
        <v>0</v>
      </c>
      <c r="HG162" s="4">
        <f t="shared" ca="1" si="278"/>
        <v>1</v>
      </c>
      <c r="HH162" s="4">
        <f t="shared" ca="1" si="279"/>
        <v>1</v>
      </c>
      <c r="HI162" s="4">
        <f t="shared" ca="1" si="280"/>
        <v>0.1036</v>
      </c>
      <c r="HJ162" s="4">
        <f t="shared" ca="1" si="281"/>
        <v>0.62350000000000005</v>
      </c>
      <c r="HK162" s="4">
        <f t="shared" ca="1" si="282"/>
        <v>7.2499999999999995E-2</v>
      </c>
      <c r="HL162" s="4">
        <f t="shared" ca="1" si="283"/>
        <v>0</v>
      </c>
      <c r="HM162" s="4">
        <f t="shared" ca="1" si="284"/>
        <v>0</v>
      </c>
      <c r="HN162" s="4">
        <f t="shared" ca="1" si="285"/>
        <v>0</v>
      </c>
    </row>
    <row r="163" spans="1:222" x14ac:dyDescent="0.2">
      <c r="A163" t="str" cm="1">
        <f t="array" aca="1" ref="A163" ca="1">INDIRECT($A$67&amp;"!A"&amp;ROW(C96)+$B$64)</f>
        <v>[[103,34,25]]</v>
      </c>
      <c r="B163" cm="1">
        <f t="array" aca="1" ref="B163" ca="1">INDIRECT($A$67&amp;"!b"&amp;ROW(D96)+$B$64)</f>
        <v>103</v>
      </c>
      <c r="C163">
        <f t="shared" ca="1" si="185"/>
        <v>25</v>
      </c>
      <c r="E163">
        <f t="shared" ca="1" si="184"/>
        <v>120</v>
      </c>
      <c r="F163">
        <f t="shared" ca="1" si="184"/>
        <v>121</v>
      </c>
      <c r="G163">
        <f t="shared" ca="1" si="184"/>
        <v>120</v>
      </c>
      <c r="H163">
        <f t="shared" ca="1" si="184"/>
        <v>120</v>
      </c>
      <c r="I163">
        <f t="shared" ca="1" si="184"/>
        <v>123</v>
      </c>
      <c r="J163">
        <f t="shared" ca="1" si="184"/>
        <v>120</v>
      </c>
      <c r="K163">
        <f t="shared" ca="1" si="184"/>
        <v>127</v>
      </c>
      <c r="L163">
        <f t="shared" ca="1" si="184"/>
        <v>129</v>
      </c>
      <c r="M163">
        <f t="shared" ca="1" si="184"/>
        <v>126</v>
      </c>
      <c r="N163">
        <f t="shared" ca="1" si="184"/>
        <v>124</v>
      </c>
      <c r="O163">
        <f t="shared" ca="1" si="184"/>
        <v>124</v>
      </c>
      <c r="P163">
        <f t="shared" ca="1" si="184"/>
        <v>124</v>
      </c>
      <c r="V163" cm="1">
        <f t="array" aca="1" ref="V163" ca="1">IF(ISNA(E163),,OFFSET(INDIRECT("'"&amp;V$67&amp;"'!d1"),E163-1,))</f>
        <v>25</v>
      </c>
      <c r="W163" cm="1">
        <f t="array" aca="1" ref="W163" ca="1">IF(ISNA(F163),,OFFSET(INDIRECT("'"&amp;W$67&amp;"'!d1"),F163-1,))</f>
        <v>25</v>
      </c>
      <c r="X163" cm="1">
        <f t="array" aca="1" ref="X163" ca="1">IF(ISNA(G163),,OFFSET(INDIRECT("'"&amp;X$67&amp;"'!d1"),G163-1,))</f>
        <v>26</v>
      </c>
      <c r="Y163" cm="1">
        <f t="array" aca="1" ref="Y163" ca="1">IF(ISNA(H163),,OFFSET(INDIRECT("'"&amp;Y$67&amp;"'!d1"),H163-1,))</f>
        <v>0</v>
      </c>
      <c r="Z163" cm="1">
        <f t="array" aca="1" ref="Z163" ca="1">IF(ISNA(I163),,OFFSET(INDIRECT("'"&amp;Z$67&amp;"'!d1"),I163-1,))</f>
        <v>25</v>
      </c>
      <c r="AA163" cm="1">
        <f t="array" aca="1" ref="AA163" ca="1">IF(ISNA(J163),,OFFSET(INDIRECT("'"&amp;AA$67&amp;"'!d1"),J163-1,))</f>
        <v>25</v>
      </c>
      <c r="AB163" cm="1">
        <f t="array" aca="1" ref="AB163" ca="1">IF(ISNA(K163),,OFFSET(INDIRECT("'"&amp;AB$67&amp;"'!d1"),K163-1,))</f>
        <v>25</v>
      </c>
      <c r="AC163" cm="1">
        <f t="array" aca="1" ref="AC163" ca="1">IF(ISNA(L163),,OFFSET(INDIRECT("'"&amp;AC$67&amp;"'!d1"),L163-1,))</f>
        <v>25</v>
      </c>
      <c r="AD163" cm="1">
        <f t="array" aca="1" ref="AD163" ca="1">IF(ISNA(M163),,OFFSET(INDIRECT("'"&amp;AD$67&amp;"'!d1"),M163-1,))</f>
        <v>25</v>
      </c>
      <c r="AE163" cm="1">
        <f t="array" aca="1" ref="AE163" ca="1">IF(ISNA(N163),,OFFSET(INDIRECT("'"&amp;AE$67&amp;"'!d1"),N163-1,))</f>
        <v>0</v>
      </c>
      <c r="AF163" cm="1">
        <f t="array" aca="1" ref="AF163" ca="1">IF(ISNA(O163),,OFFSET(INDIRECT("'"&amp;AF$67&amp;"'!d1"),O163-1,))</f>
        <v>0</v>
      </c>
      <c r="AG163" cm="1">
        <f t="array" aca="1" ref="AG163" ca="1">IF(ISNA(P163),,OFFSET(INDIRECT("'"&amp;AG$67&amp;"'!d1"),P163-1,))</f>
        <v>0</v>
      </c>
      <c r="AM163">
        <f t="shared" ca="1" si="186"/>
        <v>0</v>
      </c>
      <c r="AN163">
        <f t="shared" ca="1" si="187"/>
        <v>0</v>
      </c>
      <c r="AO163">
        <f t="shared" ca="1" si="188"/>
        <v>0</v>
      </c>
      <c r="AP163">
        <f t="shared" ca="1" si="189"/>
        <v>0</v>
      </c>
      <c r="AQ163">
        <f t="shared" ca="1" si="190"/>
        <v>1</v>
      </c>
      <c r="AV163" t="str">
        <f t="shared" ca="1" si="191"/>
        <v/>
      </c>
      <c r="AW163" t="str">
        <f t="shared" ca="1" si="192"/>
        <v/>
      </c>
      <c r="AX163" t="str">
        <f t="shared" ca="1" si="193"/>
        <v/>
      </c>
      <c r="AY163" t="str">
        <f t="shared" ca="1" si="194"/>
        <v/>
      </c>
      <c r="AZ163" t="b">
        <f t="shared" ca="1" si="195"/>
        <v>1</v>
      </c>
      <c r="BD163">
        <f t="shared" ca="1" si="196"/>
        <v>1</v>
      </c>
      <c r="BE163">
        <f t="shared" ca="1" si="197"/>
        <v>1</v>
      </c>
      <c r="BF163">
        <f t="shared" ca="1" si="198"/>
        <v>1</v>
      </c>
      <c r="BG163">
        <f t="shared" ca="1" si="199"/>
        <v>0</v>
      </c>
      <c r="BH163">
        <f t="shared" ca="1" si="200"/>
        <v>1</v>
      </c>
      <c r="BI163">
        <f t="shared" ca="1" si="201"/>
        <v>1</v>
      </c>
      <c r="BJ163">
        <f t="shared" ca="1" si="202"/>
        <v>1</v>
      </c>
      <c r="BK163">
        <f t="shared" ca="1" si="203"/>
        <v>1</v>
      </c>
      <c r="BL163">
        <f t="shared" ca="1" si="204"/>
        <v>1</v>
      </c>
      <c r="BM163">
        <f t="shared" ca="1" si="205"/>
        <v>0</v>
      </c>
      <c r="BN163">
        <f t="shared" ca="1" si="206"/>
        <v>0</v>
      </c>
      <c r="BO163">
        <f t="shared" ca="1" si="207"/>
        <v>0</v>
      </c>
      <c r="BU163">
        <f t="shared" ca="1" si="208"/>
        <v>25</v>
      </c>
      <c r="BV163">
        <f t="shared" ca="1" si="209"/>
        <v>25</v>
      </c>
      <c r="BW163">
        <f t="shared" ca="1" si="210"/>
        <v>26</v>
      </c>
      <c r="BX163">
        <f t="shared" ca="1" si="211"/>
        <v>103</v>
      </c>
      <c r="BY163">
        <f t="shared" ca="1" si="212"/>
        <v>25</v>
      </c>
      <c r="BZ163">
        <f t="shared" ca="1" si="213"/>
        <v>25</v>
      </c>
      <c r="CA163">
        <f t="shared" ca="1" si="214"/>
        <v>25</v>
      </c>
      <c r="CB163">
        <f t="shared" ca="1" si="215"/>
        <v>25</v>
      </c>
      <c r="CC163">
        <f t="shared" ca="1" si="216"/>
        <v>25</v>
      </c>
      <c r="CD163">
        <f t="shared" ca="1" si="217"/>
        <v>103</v>
      </c>
      <c r="CE163">
        <f t="shared" ca="1" si="218"/>
        <v>103</v>
      </c>
      <c r="CF163">
        <f t="shared" ca="1" si="219"/>
        <v>103</v>
      </c>
      <c r="CL163">
        <f t="shared" ca="1" si="220"/>
        <v>1</v>
      </c>
      <c r="CM163">
        <f t="shared" ca="1" si="221"/>
        <v>1</v>
      </c>
      <c r="CN163">
        <f t="shared" ca="1" si="222"/>
        <v>0</v>
      </c>
      <c r="CO163">
        <f t="shared" ca="1" si="223"/>
        <v>0</v>
      </c>
      <c r="CP163">
        <f t="shared" ca="1" si="224"/>
        <v>1</v>
      </c>
      <c r="CQ163">
        <f t="shared" ca="1" si="225"/>
        <v>1</v>
      </c>
      <c r="CR163">
        <f t="shared" ca="1" si="226"/>
        <v>1</v>
      </c>
      <c r="CS163">
        <f t="shared" ca="1" si="227"/>
        <v>1</v>
      </c>
      <c r="CT163">
        <f t="shared" ca="1" si="228"/>
        <v>1</v>
      </c>
      <c r="CU163">
        <f t="shared" ca="1" si="229"/>
        <v>0</v>
      </c>
      <c r="CV163">
        <f t="shared" ca="1" si="230"/>
        <v>0</v>
      </c>
      <c r="CW163">
        <f t="shared" ca="1" si="231"/>
        <v>0</v>
      </c>
      <c r="DC163" cm="1">
        <f t="array" aca="1" ref="DC163" ca="1">IF(ISNA(E163),,OFFSET(INDIRECT("'"&amp;DT$67&amp;"'!f1"),E163-1,))*1</f>
        <v>28933.417087218</v>
      </c>
      <c r="DD163" cm="1">
        <f t="array" aca="1" ref="DD163" ca="1">IF(ISNA(F163),,OFFSET(INDIRECT("'"&amp;DU$67&amp;"'!f1"),F163-1,))*1</f>
        <v>28808.131019085598</v>
      </c>
      <c r="DE163" cm="1">
        <f t="array" aca="1" ref="DE163" ca="1">IF(ISNA(G163),,OFFSET(INDIRECT("'"&amp;DV$67&amp;"'!f1"),G163-1,))*1</f>
        <v>28800.798999428702</v>
      </c>
      <c r="DF163" cm="1">
        <f t="array" aca="1" ref="DF163" ca="1">IF(ISNA(H163),,OFFSET(INDIRECT("'"&amp;DW$67&amp;"'!f1"),H163-1,))*1</f>
        <v>28800.112434440201</v>
      </c>
      <c r="DG163" cm="1">
        <f t="array" aca="1" ref="DG163" ca="1">IF(ISNA(I163),,OFFSET(INDIRECT("'"&amp;DX$67&amp;"'!f1"),I163-1,))*1</f>
        <v>0.17037441700085701</v>
      </c>
      <c r="DH163" cm="1">
        <f t="array" aca="1" ref="DH163" ca="1">IF(ISNA(J163),,OFFSET(INDIRECT("'"&amp;DY$67&amp;"'!f1"),J163-1,))*1</f>
        <v>0.35566924884915302</v>
      </c>
      <c r="DI163" cm="1">
        <f t="array" aca="1" ref="DI163" ca="1">IF(ISNA(K163),,OFFSET(INDIRECT("'"&amp;DZ$67&amp;"'!f1"),K163-1,))*1</f>
        <v>4.1169797554612098</v>
      </c>
      <c r="DJ163" cm="1">
        <f t="array" aca="1" ref="DJ163" ca="1">IF(ISNA(L163),,OFFSET(INDIRECT("'"&amp;EA$67&amp;"'!f1"),L163-1,))*1</f>
        <v>4.64792793802917</v>
      </c>
      <c r="DK163" cm="1">
        <f t="array" aca="1" ref="DK163" ca="1">IF(ISNA(M163),,OFFSET(INDIRECT("'"&amp;EB$67&amp;"'!f1"),M163-1,))*1</f>
        <v>73.094796295743393</v>
      </c>
      <c r="DL163" cm="1">
        <f t="array" aca="1" ref="DL163" ca="1">IF(ISNA(N163),,OFFSET(INDIRECT("'"&amp;EC$67&amp;"'!f1"),N163-1,))*1</f>
        <v>1.57521814107894E-2</v>
      </c>
      <c r="DM163" cm="1">
        <f t="array" aca="1" ref="DM163" ca="1">IF(ISNA(O163),,OFFSET(INDIRECT("'"&amp;ED$67&amp;"'!f1"),O163-1,))*1</f>
        <v>1.6242790967226001E-2</v>
      </c>
      <c r="DN163" cm="1">
        <f t="array" aca="1" ref="DN163" ca="1">IF(ISNA(P163),,OFFSET(INDIRECT("'"&amp;EE$67&amp;"'!f1"),P163-1,))*1</f>
        <v>2.72696502506732E-2</v>
      </c>
      <c r="DT163">
        <f t="shared" ca="1" si="232"/>
        <v>1</v>
      </c>
      <c r="DU163">
        <f t="shared" ca="1" si="233"/>
        <v>1</v>
      </c>
      <c r="DV163">
        <f t="shared" ca="1" si="234"/>
        <v>0</v>
      </c>
      <c r="DW163">
        <f t="shared" ca="1" si="235"/>
        <v>0</v>
      </c>
      <c r="DX163">
        <f t="shared" ca="1" si="236"/>
        <v>1</v>
      </c>
      <c r="DY163">
        <f t="shared" ca="1" si="237"/>
        <v>1</v>
      </c>
      <c r="DZ163">
        <f t="shared" ca="1" si="238"/>
        <v>608</v>
      </c>
      <c r="EA163">
        <f t="shared" ca="1" si="239"/>
        <v>5526</v>
      </c>
      <c r="EB163">
        <f t="shared" ca="1" si="240"/>
        <v>367</v>
      </c>
      <c r="EC163">
        <f t="shared" ca="1" si="241"/>
        <v>0</v>
      </c>
      <c r="ED163">
        <f t="shared" ca="1" si="242"/>
        <v>0</v>
      </c>
      <c r="EE163">
        <f t="shared" ca="1" si="243"/>
        <v>0</v>
      </c>
      <c r="EK163" cm="1">
        <f t="array" aca="1" ref="EK163" ca="1">IF(ISNA(E163),0,OFFSET(INDIRECT("'"&amp;EK$67&amp;"'!g1"),E163-1,)*CL163)</f>
        <v>1</v>
      </c>
      <c r="EL163" cm="1">
        <f t="array" aca="1" ref="EL163" ca="1">IF(ISNA(F163),0,OFFSET(INDIRECT("'"&amp;EL$67&amp;"'!g1"),F163-1,)*CM163)</f>
        <v>1</v>
      </c>
      <c r="EM163" cm="1">
        <f t="array" aca="1" ref="EM163" ca="1">IF(ISNA(G163),0,OFFSET(INDIRECT("'"&amp;EM$67&amp;"'!g1"),G163-1,)*CN163)</f>
        <v>0</v>
      </c>
      <c r="EN163" cm="1">
        <f t="array" aca="1" ref="EN163" ca="1">IF(ISNA(H163),0,OFFSET(INDIRECT("'"&amp;EN$67&amp;"'!g1"),H163-1,)*CO163)</f>
        <v>0</v>
      </c>
      <c r="EO163" cm="1">
        <f t="array" aca="1" ref="EO163" ca="1">IF(ISNA(I163),0,OFFSET(INDIRECT("'"&amp;EO$67&amp;"'!g1"),I163-1,)*CP163)</f>
        <v>1</v>
      </c>
      <c r="EP163" cm="1">
        <f t="array" aca="1" ref="EP163" ca="1">IF(ISNA(J163),0,OFFSET(INDIRECT("'"&amp;EP$67&amp;"'!g1"),J163-1,)*CQ163)</f>
        <v>1</v>
      </c>
      <c r="EQ163" cm="1">
        <f t="array" aca="1" ref="EQ163" ca="1">IF(ISNA(K163),0,OFFSET(INDIRECT("'"&amp;EQ$67&amp;"'!g1"),K163-1,)*CR163)</f>
        <v>608</v>
      </c>
      <c r="ER163" cm="1">
        <f t="array" aca="1" ref="ER163" ca="1">IF(ISNA(L163),0,OFFSET(INDIRECT("'"&amp;ER$67&amp;"'!g1"),L163-1,)*CS163)</f>
        <v>5526</v>
      </c>
      <c r="ES163" cm="1">
        <f t="array" aca="1" ref="ES163" ca="1">IF(ISNA(M163),0,OFFSET(INDIRECT("'"&amp;ES$67&amp;"'!g1"),M163-1,)*CT163)</f>
        <v>367</v>
      </c>
      <c r="ET163" cm="1">
        <f t="array" aca="1" ref="ET163" ca="1">IF(ISNA(N163),0,OFFSET(INDIRECT("'"&amp;ET$67&amp;"'!g1"),N163-1,)*CU163)</f>
        <v>0</v>
      </c>
      <c r="EU163" cm="1">
        <f t="array" aca="1" ref="EU163" ca="1">IF(ISNA(O163),0,OFFSET(INDIRECT("'"&amp;EU$67&amp;"'!g1"),O163-1,)*CV163)</f>
        <v>0</v>
      </c>
      <c r="EV163" cm="1">
        <f t="array" aca="1" ref="EV163" ca="1">IF(ISNA(P163),0,OFFSET(INDIRECT("'"&amp;EV$67&amp;"'!g1"),P163-1,)*CW163)</f>
        <v>0</v>
      </c>
      <c r="FB163" s="10" cm="1">
        <f t="array" aca="1" ref="FB163" ca="1">IF(ISNA(E163),0,OFFSET(INDIRECT("'"&amp;EK$67&amp;"'!h1"),E163-1,))</f>
        <v>1</v>
      </c>
      <c r="FC163" s="10" cm="1">
        <f t="array" aca="1" ref="FC163" ca="1">IF(ISNA(F163),0,OFFSET(INDIRECT("'"&amp;EL$67&amp;"'!h1"),F163-1,))</f>
        <v>1</v>
      </c>
      <c r="FD163" s="10" cm="1">
        <f t="array" aca="1" ref="FD163" ca="1">IF(ISNA(G163),0,OFFSET(INDIRECT("'"&amp;EM$67&amp;"'!h1"),G163-1,))</f>
        <v>1</v>
      </c>
      <c r="FE163" s="10" cm="1">
        <f t="array" aca="1" ref="FE163" ca="1">IF(ISNA(H163),0,OFFSET(INDIRECT("'"&amp;EN$67&amp;"'!h1"),H163-1,))</f>
        <v>1</v>
      </c>
      <c r="FF163" s="10" cm="1">
        <f t="array" aca="1" ref="FF163" ca="1">IF(ISNA(I163),0,OFFSET(INDIRECT("'"&amp;EO$67&amp;"'!h1"),I163-1,))</f>
        <v>1</v>
      </c>
      <c r="FG163" s="10" cm="1">
        <f t="array" aca="1" ref="FG163" ca="1">IF(ISNA(J163),0,OFFSET(INDIRECT("'"&amp;EP$67&amp;"'!h1"),J163-1,))</f>
        <v>1</v>
      </c>
      <c r="FH163" s="10" cm="1">
        <f t="array" aca="1" ref="FH163" ca="1">IF(ISNA(K163),0,OFFSET(INDIRECT("'"&amp;EQ$67&amp;"'!h1"),K163-1,))</f>
        <v>10000</v>
      </c>
      <c r="FI163" s="10" cm="1">
        <f t="array" aca="1" ref="FI163" ca="1">IF(ISNA(L163),0,OFFSET(INDIRECT("'"&amp;ER$67&amp;"'!h1"),L163-1,))</f>
        <v>10000</v>
      </c>
      <c r="FJ163" s="10" cm="1">
        <f t="array" aca="1" ref="FJ163" ca="1">IF(ISNA(M163),0,OFFSET(INDIRECT("'"&amp;ES$67&amp;"'!h1"),M163-1,))</f>
        <v>10000</v>
      </c>
      <c r="FK163" s="10" cm="1">
        <f t="array" aca="1" ref="FK163" ca="1">IF(ISNA(N163),0,OFFSET(INDIRECT("'"&amp;ET$67&amp;"'!h1"),N163-1,))</f>
        <v>1</v>
      </c>
      <c r="FL163" s="10" cm="1">
        <f t="array" aca="1" ref="FL163" ca="1">IF(ISNA(O163),0,OFFSET(INDIRECT("'"&amp;EU$67&amp;"'!h1"),O163-1,))</f>
        <v>1</v>
      </c>
      <c r="FM163" s="10" cm="1">
        <f t="array" aca="1" ref="FM163" ca="1">IF(ISNA(P163),0,OFFSET(INDIRECT("'"&amp;EV$67&amp;"'!h1"),P163-1,))</f>
        <v>9</v>
      </c>
      <c r="FN163" s="10"/>
      <c r="FO163" s="10"/>
      <c r="FP163" s="10"/>
      <c r="FQ163" s="10"/>
      <c r="FS163">
        <f t="shared" ca="1" si="244"/>
        <v>103</v>
      </c>
      <c r="FT163">
        <f t="shared" ca="1" si="62"/>
        <v>4.1169797554612098</v>
      </c>
      <c r="FU163">
        <f t="shared" ca="1" si="63"/>
        <v>608</v>
      </c>
      <c r="FV163">
        <f t="shared" ca="1" si="64"/>
        <v>10000</v>
      </c>
      <c r="FW163" s="4">
        <f t="shared" ca="1" si="245"/>
        <v>6.08E-2</v>
      </c>
      <c r="FX163" s="5">
        <f t="shared" ca="1" si="246"/>
        <v>6.7713482820085684E-3</v>
      </c>
      <c r="FZ163" s="13">
        <f t="shared" ca="1" si="247"/>
        <v>103</v>
      </c>
      <c r="GA163" s="23">
        <f t="shared" ca="1" si="248"/>
        <v>0</v>
      </c>
      <c r="GB163" s="23">
        <f t="shared" ca="1" si="249"/>
        <v>0</v>
      </c>
      <c r="GC163" s="23">
        <f t="shared" ca="1" si="250"/>
        <v>0.04</v>
      </c>
      <c r="GD163" s="23" t="e">
        <f t="shared" ca="1" si="251"/>
        <v>#N/A</v>
      </c>
      <c r="GE163" s="23">
        <f t="shared" ca="1" si="252"/>
        <v>0</v>
      </c>
      <c r="GF163" s="23">
        <f t="shared" ca="1" si="253"/>
        <v>0</v>
      </c>
      <c r="GG163" s="23">
        <f t="shared" ca="1" si="254"/>
        <v>0</v>
      </c>
      <c r="GH163" s="23">
        <f t="shared" ca="1" si="255"/>
        <v>0</v>
      </c>
      <c r="GI163" s="23">
        <f t="shared" ca="1" si="256"/>
        <v>0</v>
      </c>
      <c r="GJ163" s="23" t="e">
        <f t="shared" ca="1" si="257"/>
        <v>#N/A</v>
      </c>
      <c r="GK163" s="23" t="e">
        <f t="shared" ca="1" si="258"/>
        <v>#N/A</v>
      </c>
      <c r="GL163" s="23" t="e">
        <f t="shared" ca="1" si="259"/>
        <v>#N/A</v>
      </c>
      <c r="GM163" s="23"/>
      <c r="GN163">
        <f t="shared" ca="1" si="260"/>
        <v>103</v>
      </c>
      <c r="GO163" s="5" t="e">
        <f t="shared" ca="1" si="261"/>
        <v>#N/A</v>
      </c>
      <c r="GP163" s="5" t="e">
        <f t="shared" ca="1" si="262"/>
        <v>#N/A</v>
      </c>
      <c r="GQ163" s="5" t="e">
        <f t="shared" ca="1" si="263"/>
        <v>#N/A</v>
      </c>
      <c r="GR163" s="5" t="e">
        <f t="shared" ca="1" si="264"/>
        <v>#N/A</v>
      </c>
      <c r="GS163" s="5">
        <f t="shared" ca="1" si="265"/>
        <v>0.17037441700085701</v>
      </c>
      <c r="GT163" s="5">
        <f t="shared" ca="1" si="266"/>
        <v>0.35566924884915302</v>
      </c>
      <c r="GU163" s="5">
        <f t="shared" ca="1" si="267"/>
        <v>6.7713482820085684E-3</v>
      </c>
      <c r="GV163" s="5">
        <f t="shared" ca="1" si="268"/>
        <v>8.4110168983517371E-4</v>
      </c>
      <c r="GW163" s="5">
        <f t="shared" ca="1" si="269"/>
        <v>0.19916838227722997</v>
      </c>
      <c r="GX163" s="5" t="e">
        <f t="shared" ca="1" si="270"/>
        <v>#N/A</v>
      </c>
      <c r="GY163" s="5" t="e">
        <f t="shared" ca="1" si="271"/>
        <v>#N/A</v>
      </c>
      <c r="GZ163" s="5" t="e">
        <f t="shared" ca="1" si="272"/>
        <v>#N/A</v>
      </c>
      <c r="HB163" s="13">
        <f t="shared" ca="1" si="273"/>
        <v>103</v>
      </c>
      <c r="HC163" s="4">
        <f t="shared" ca="1" si="274"/>
        <v>1</v>
      </c>
      <c r="HD163" s="4">
        <f t="shared" ca="1" si="275"/>
        <v>1</v>
      </c>
      <c r="HE163" s="4">
        <f t="shared" ca="1" si="276"/>
        <v>0</v>
      </c>
      <c r="HF163" s="4">
        <f t="shared" ca="1" si="277"/>
        <v>0</v>
      </c>
      <c r="HG163" s="4">
        <f t="shared" ca="1" si="278"/>
        <v>1</v>
      </c>
      <c r="HH163" s="4">
        <f t="shared" ca="1" si="279"/>
        <v>1</v>
      </c>
      <c r="HI163" s="4">
        <f t="shared" ca="1" si="280"/>
        <v>6.08E-2</v>
      </c>
      <c r="HJ163" s="4">
        <f t="shared" ca="1" si="281"/>
        <v>0.55259999999999998</v>
      </c>
      <c r="HK163" s="4">
        <f t="shared" ca="1" si="282"/>
        <v>3.6700000000000003E-2</v>
      </c>
      <c r="HL163" s="4">
        <f t="shared" ca="1" si="283"/>
        <v>0</v>
      </c>
      <c r="HM163" s="4">
        <f t="shared" ca="1" si="284"/>
        <v>0</v>
      </c>
      <c r="HN163" s="4">
        <f t="shared" ca="1" si="285"/>
        <v>0</v>
      </c>
    </row>
    <row r="164" spans="1:222" x14ac:dyDescent="0.2">
      <c r="A164" t="str" cm="1">
        <f t="array" aca="1" ref="A164" ca="1">INDIRECT($A$67&amp;"!A"&amp;ROW(C97)+$B$64)</f>
        <v>[[104,28,29]]</v>
      </c>
      <c r="B164" cm="1">
        <f t="array" aca="1" ref="B164" ca="1">INDIRECT($A$67&amp;"!b"&amp;ROW(D97)+$B$64)</f>
        <v>104</v>
      </c>
      <c r="C164">
        <f t="shared" ca="1" si="185"/>
        <v>29</v>
      </c>
      <c r="E164">
        <f t="shared" ca="1" si="184"/>
        <v>121</v>
      </c>
      <c r="F164">
        <f t="shared" ca="1" si="184"/>
        <v>122</v>
      </c>
      <c r="G164">
        <f t="shared" ca="1" si="184"/>
        <v>121</v>
      </c>
      <c r="H164" t="e">
        <f t="shared" ca="1" si="184"/>
        <v>#N/A</v>
      </c>
      <c r="I164">
        <f t="shared" ca="1" si="184"/>
        <v>124</v>
      </c>
      <c r="J164">
        <f t="shared" ca="1" si="184"/>
        <v>121</v>
      </c>
      <c r="K164">
        <f t="shared" ca="1" si="184"/>
        <v>128</v>
      </c>
      <c r="L164">
        <f t="shared" ca="1" si="184"/>
        <v>130</v>
      </c>
      <c r="M164">
        <f t="shared" ca="1" si="184"/>
        <v>127</v>
      </c>
      <c r="N164">
        <f t="shared" ca="1" si="184"/>
        <v>125</v>
      </c>
      <c r="O164">
        <f t="shared" ca="1" si="184"/>
        <v>125</v>
      </c>
      <c r="P164">
        <f t="shared" ca="1" si="184"/>
        <v>125</v>
      </c>
      <c r="V164" cm="1">
        <f t="array" aca="1" ref="V164" ca="1">IF(ISNA(E164),,OFFSET(INDIRECT("'"&amp;V$67&amp;"'!d1"),E164-1,))</f>
        <v>29</v>
      </c>
      <c r="W164" cm="1">
        <f t="array" aca="1" ref="W164" ca="1">IF(ISNA(F164),,OFFSET(INDIRECT("'"&amp;W$67&amp;"'!d1"),F164-1,))</f>
        <v>29</v>
      </c>
      <c r="X164" cm="1">
        <f t="array" aca="1" ref="X164" ca="1">IF(ISNA(G164),,OFFSET(INDIRECT("'"&amp;X$67&amp;"'!d1"),G164-1,))</f>
        <v>30</v>
      </c>
      <c r="Y164" cm="1">
        <f t="array" aca="1" ref="Y164" ca="1">IF(ISNA(H164),,OFFSET(INDIRECT("'"&amp;Y$67&amp;"'!d1"),H164-1,))</f>
        <v>0</v>
      </c>
      <c r="Z164" cm="1">
        <f t="array" aca="1" ref="Z164" ca="1">IF(ISNA(I164),,OFFSET(INDIRECT("'"&amp;Z$67&amp;"'!d1"),I164-1,))</f>
        <v>29</v>
      </c>
      <c r="AA164" cm="1">
        <f t="array" aca="1" ref="AA164" ca="1">IF(ISNA(J164),,OFFSET(INDIRECT("'"&amp;AA$67&amp;"'!d1"),J164-1,))</f>
        <v>29</v>
      </c>
      <c r="AB164" cm="1">
        <f t="array" aca="1" ref="AB164" ca="1">IF(ISNA(K164),,OFFSET(INDIRECT("'"&amp;AB$67&amp;"'!d1"),K164-1,))</f>
        <v>29</v>
      </c>
      <c r="AC164" cm="1">
        <f t="array" aca="1" ref="AC164" ca="1">IF(ISNA(L164),,OFFSET(INDIRECT("'"&amp;AC$67&amp;"'!d1"),L164-1,))</f>
        <v>29</v>
      </c>
      <c r="AD164" cm="1">
        <f t="array" aca="1" ref="AD164" ca="1">IF(ISNA(M164),,OFFSET(INDIRECT("'"&amp;AD$67&amp;"'!d1"),M164-1,))</f>
        <v>29</v>
      </c>
      <c r="AE164" cm="1">
        <f t="array" aca="1" ref="AE164" ca="1">IF(ISNA(N164),,OFFSET(INDIRECT("'"&amp;AE$67&amp;"'!d1"),N164-1,))</f>
        <v>0</v>
      </c>
      <c r="AF164" cm="1">
        <f t="array" aca="1" ref="AF164" ca="1">IF(ISNA(O164),,OFFSET(INDIRECT("'"&amp;AF$67&amp;"'!d1"),O164-1,))</f>
        <v>0</v>
      </c>
      <c r="AG164" cm="1">
        <f t="array" aca="1" ref="AG164" ca="1">IF(ISNA(P164),,OFFSET(INDIRECT("'"&amp;AG$67&amp;"'!d1"),P164-1,))</f>
        <v>0</v>
      </c>
      <c r="AM164">
        <f t="shared" ca="1" si="186"/>
        <v>0</v>
      </c>
      <c r="AN164">
        <f t="shared" ca="1" si="187"/>
        <v>0</v>
      </c>
      <c r="AO164">
        <f t="shared" ca="1" si="188"/>
        <v>0</v>
      </c>
      <c r="AP164">
        <f t="shared" ca="1" si="189"/>
        <v>0</v>
      </c>
      <c r="AQ164">
        <f t="shared" ca="1" si="190"/>
        <v>1</v>
      </c>
      <c r="AV164" t="str">
        <f t="shared" ca="1" si="191"/>
        <v/>
      </c>
      <c r="AW164" t="str">
        <f t="shared" ca="1" si="192"/>
        <v/>
      </c>
      <c r="AX164" t="str">
        <f t="shared" ca="1" si="193"/>
        <v/>
      </c>
      <c r="AY164" t="str">
        <f t="shared" ca="1" si="194"/>
        <v/>
      </c>
      <c r="AZ164" t="b">
        <f t="shared" ca="1" si="195"/>
        <v>1</v>
      </c>
      <c r="BD164">
        <f t="shared" ca="1" si="196"/>
        <v>1</v>
      </c>
      <c r="BE164">
        <f t="shared" ca="1" si="197"/>
        <v>1</v>
      </c>
      <c r="BF164">
        <f t="shared" ca="1" si="198"/>
        <v>1</v>
      </c>
      <c r="BG164">
        <f t="shared" ca="1" si="199"/>
        <v>0</v>
      </c>
      <c r="BH164">
        <f t="shared" ca="1" si="200"/>
        <v>1</v>
      </c>
      <c r="BI164">
        <f t="shared" ca="1" si="201"/>
        <v>1</v>
      </c>
      <c r="BJ164">
        <f t="shared" ca="1" si="202"/>
        <v>1</v>
      </c>
      <c r="BK164">
        <f t="shared" ca="1" si="203"/>
        <v>1</v>
      </c>
      <c r="BL164">
        <f t="shared" ca="1" si="204"/>
        <v>1</v>
      </c>
      <c r="BM164">
        <f t="shared" ca="1" si="205"/>
        <v>0</v>
      </c>
      <c r="BN164">
        <f t="shared" ca="1" si="206"/>
        <v>0</v>
      </c>
      <c r="BO164">
        <f t="shared" ca="1" si="207"/>
        <v>0</v>
      </c>
      <c r="BU164">
        <f t="shared" ca="1" si="208"/>
        <v>29</v>
      </c>
      <c r="BV164">
        <f t="shared" ca="1" si="209"/>
        <v>29</v>
      </c>
      <c r="BW164">
        <f t="shared" ca="1" si="210"/>
        <v>30</v>
      </c>
      <c r="BX164">
        <f t="shared" ca="1" si="211"/>
        <v>104</v>
      </c>
      <c r="BY164">
        <f t="shared" ca="1" si="212"/>
        <v>29</v>
      </c>
      <c r="BZ164">
        <f t="shared" ca="1" si="213"/>
        <v>29</v>
      </c>
      <c r="CA164">
        <f t="shared" ca="1" si="214"/>
        <v>29</v>
      </c>
      <c r="CB164">
        <f t="shared" ca="1" si="215"/>
        <v>29</v>
      </c>
      <c r="CC164">
        <f t="shared" ca="1" si="216"/>
        <v>29</v>
      </c>
      <c r="CD164">
        <f t="shared" ca="1" si="217"/>
        <v>104</v>
      </c>
      <c r="CE164">
        <f t="shared" ca="1" si="218"/>
        <v>104</v>
      </c>
      <c r="CF164">
        <f t="shared" ca="1" si="219"/>
        <v>104</v>
      </c>
      <c r="CL164">
        <f t="shared" ca="1" si="220"/>
        <v>1</v>
      </c>
      <c r="CM164">
        <f t="shared" ca="1" si="221"/>
        <v>1</v>
      </c>
      <c r="CN164">
        <f t="shared" ca="1" si="222"/>
        <v>0</v>
      </c>
      <c r="CO164">
        <f t="shared" ca="1" si="223"/>
        <v>0</v>
      </c>
      <c r="CP164">
        <f t="shared" ca="1" si="224"/>
        <v>1</v>
      </c>
      <c r="CQ164">
        <f t="shared" ca="1" si="225"/>
        <v>1</v>
      </c>
      <c r="CR164">
        <f t="shared" ca="1" si="226"/>
        <v>1</v>
      </c>
      <c r="CS164">
        <f t="shared" ca="1" si="227"/>
        <v>1</v>
      </c>
      <c r="CT164">
        <f t="shared" ca="1" si="228"/>
        <v>1</v>
      </c>
      <c r="CU164">
        <f t="shared" ca="1" si="229"/>
        <v>0</v>
      </c>
      <c r="CV164">
        <f t="shared" ca="1" si="230"/>
        <v>0</v>
      </c>
      <c r="CW164">
        <f t="shared" ca="1" si="231"/>
        <v>0</v>
      </c>
      <c r="DC164" cm="1">
        <f t="array" aca="1" ref="DC164" ca="1">IF(ISNA(E164),,OFFSET(INDIRECT("'"&amp;DT$67&amp;"'!f1"),E164-1,))*1</f>
        <v>28874.568781345999</v>
      </c>
      <c r="DD164" cm="1">
        <f t="array" aca="1" ref="DD164" ca="1">IF(ISNA(F164),,OFFSET(INDIRECT("'"&amp;DU$67&amp;"'!f1"),F164-1,))*1</f>
        <v>28811.862039625601</v>
      </c>
      <c r="DE164" cm="1">
        <f t="array" aca="1" ref="DE164" ca="1">IF(ISNA(G164),,OFFSET(INDIRECT("'"&amp;DV$67&amp;"'!f1"),G164-1,))*1</f>
        <v>28800.1991218775</v>
      </c>
      <c r="DF164" cm="1">
        <f t="array" aca="1" ref="DF164" ca="1">IF(ISNA(H164),,OFFSET(INDIRECT("'"&amp;DW$67&amp;"'!f1"),H164-1,))*1</f>
        <v>0</v>
      </c>
      <c r="DG164" cm="1">
        <f t="array" aca="1" ref="DG164" ca="1">IF(ISNA(I164),,OFFSET(INDIRECT("'"&amp;DX$67&amp;"'!f1"),I164-1,))*1</f>
        <v>0.138497583000571</v>
      </c>
      <c r="DH164" cm="1">
        <f t="array" aca="1" ref="DH164" ca="1">IF(ISNA(J164),,OFFSET(INDIRECT("'"&amp;DY$67&amp;"'!f1"),J164-1,))*1</f>
        <v>0.38214355614036299</v>
      </c>
      <c r="DI164" cm="1">
        <f t="array" aca="1" ref="DI164" ca="1">IF(ISNA(K164),,OFFSET(INDIRECT("'"&amp;DZ$67&amp;"'!f1"),K164-1,))*1</f>
        <v>4.2094037095084698</v>
      </c>
      <c r="DJ164" cm="1">
        <f t="array" aca="1" ref="DJ164" ca="1">IF(ISNA(L164),,OFFSET(INDIRECT("'"&amp;EA$67&amp;"'!f1"),L164-1,))*1</f>
        <v>4.77907897904515</v>
      </c>
      <c r="DK164" cm="1">
        <f t="array" aca="1" ref="DK164" ca="1">IF(ISNA(M164),,OFFSET(INDIRECT("'"&amp;EB$67&amp;"'!f1"),M164-1,))*1</f>
        <v>66.751213320065204</v>
      </c>
      <c r="DL164" cm="1">
        <f t="array" aca="1" ref="DL164" ca="1">IF(ISNA(N164),,OFFSET(INDIRECT("'"&amp;EC$67&amp;"'!f1"),N164-1,))*1</f>
        <v>1.51120023801922E-2</v>
      </c>
      <c r="DM164" cm="1">
        <f t="array" aca="1" ref="DM164" ca="1">IF(ISNA(O164),,OFFSET(INDIRECT("'"&amp;ED$67&amp;"'!f1"),O164-1,))*1</f>
        <v>1.5543721616268101E-2</v>
      </c>
      <c r="DN164" cm="1">
        <f t="array" aca="1" ref="DN164" ca="1">IF(ISNA(P164),,OFFSET(INDIRECT("'"&amp;EE$67&amp;"'!f1"),P164-1,))*1</f>
        <v>2.52371970564126E-2</v>
      </c>
      <c r="DT164">
        <f t="shared" ca="1" si="232"/>
        <v>1</v>
      </c>
      <c r="DU164">
        <f t="shared" ca="1" si="233"/>
        <v>1</v>
      </c>
      <c r="DV164">
        <f t="shared" ca="1" si="234"/>
        <v>0</v>
      </c>
      <c r="DW164">
        <f t="shared" ca="1" si="235"/>
        <v>0</v>
      </c>
      <c r="DX164">
        <f t="shared" ca="1" si="236"/>
        <v>1</v>
      </c>
      <c r="DY164">
        <f t="shared" ca="1" si="237"/>
        <v>1</v>
      </c>
      <c r="DZ164">
        <f t="shared" ca="1" si="238"/>
        <v>292</v>
      </c>
      <c r="EA164">
        <f t="shared" ca="1" si="239"/>
        <v>4423</v>
      </c>
      <c r="EB164">
        <f t="shared" ca="1" si="240"/>
        <v>190</v>
      </c>
      <c r="EC164">
        <f t="shared" ca="1" si="241"/>
        <v>0</v>
      </c>
      <c r="ED164">
        <f t="shared" ca="1" si="242"/>
        <v>0</v>
      </c>
      <c r="EE164">
        <f t="shared" ca="1" si="243"/>
        <v>0</v>
      </c>
      <c r="EK164" cm="1">
        <f t="array" aca="1" ref="EK164" ca="1">IF(ISNA(E164),0,OFFSET(INDIRECT("'"&amp;EK$67&amp;"'!g1"),E164-1,)*CL164)</f>
        <v>1</v>
      </c>
      <c r="EL164" cm="1">
        <f t="array" aca="1" ref="EL164" ca="1">IF(ISNA(F164),0,OFFSET(INDIRECT("'"&amp;EL$67&amp;"'!g1"),F164-1,)*CM164)</f>
        <v>1</v>
      </c>
      <c r="EM164" cm="1">
        <f t="array" aca="1" ref="EM164" ca="1">IF(ISNA(G164),0,OFFSET(INDIRECT("'"&amp;EM$67&amp;"'!g1"),G164-1,)*CN164)</f>
        <v>0</v>
      </c>
      <c r="EN164" cm="1">
        <f t="array" aca="1" ref="EN164" ca="1">IF(ISNA(H164),0,OFFSET(INDIRECT("'"&amp;EN$67&amp;"'!g1"),H164-1,)*CO164)</f>
        <v>0</v>
      </c>
      <c r="EO164" cm="1">
        <f t="array" aca="1" ref="EO164" ca="1">IF(ISNA(I164),0,OFFSET(INDIRECT("'"&amp;EO$67&amp;"'!g1"),I164-1,)*CP164)</f>
        <v>1</v>
      </c>
      <c r="EP164" cm="1">
        <f t="array" aca="1" ref="EP164" ca="1">IF(ISNA(J164),0,OFFSET(INDIRECT("'"&amp;EP$67&amp;"'!g1"),J164-1,)*CQ164)</f>
        <v>1</v>
      </c>
      <c r="EQ164" cm="1">
        <f t="array" aca="1" ref="EQ164" ca="1">IF(ISNA(K164),0,OFFSET(INDIRECT("'"&amp;EQ$67&amp;"'!g1"),K164-1,)*CR164)</f>
        <v>292</v>
      </c>
      <c r="ER164" cm="1">
        <f t="array" aca="1" ref="ER164" ca="1">IF(ISNA(L164),0,OFFSET(INDIRECT("'"&amp;ER$67&amp;"'!g1"),L164-1,)*CS164)</f>
        <v>4423</v>
      </c>
      <c r="ES164" cm="1">
        <f t="array" aca="1" ref="ES164" ca="1">IF(ISNA(M164),0,OFFSET(INDIRECT("'"&amp;ES$67&amp;"'!g1"),M164-1,)*CT164)</f>
        <v>190</v>
      </c>
      <c r="ET164" cm="1">
        <f t="array" aca="1" ref="ET164" ca="1">IF(ISNA(N164),0,OFFSET(INDIRECT("'"&amp;ET$67&amp;"'!g1"),N164-1,)*CU164)</f>
        <v>0</v>
      </c>
      <c r="EU164" cm="1">
        <f t="array" aca="1" ref="EU164" ca="1">IF(ISNA(O164),0,OFFSET(INDIRECT("'"&amp;EU$67&amp;"'!g1"),O164-1,)*CV164)</f>
        <v>0</v>
      </c>
      <c r="EV164" cm="1">
        <f t="array" aca="1" ref="EV164" ca="1">IF(ISNA(P164),0,OFFSET(INDIRECT("'"&amp;EV$67&amp;"'!g1"),P164-1,)*CW164)</f>
        <v>0</v>
      </c>
      <c r="FB164" s="10" cm="1">
        <f t="array" aca="1" ref="FB164" ca="1">IF(ISNA(E164),0,OFFSET(INDIRECT("'"&amp;EK$67&amp;"'!h1"),E164-1,))</f>
        <v>1</v>
      </c>
      <c r="FC164" s="10" cm="1">
        <f t="array" aca="1" ref="FC164" ca="1">IF(ISNA(F164),0,OFFSET(INDIRECT("'"&amp;EL$67&amp;"'!h1"),F164-1,))</f>
        <v>1</v>
      </c>
      <c r="FD164" s="10" cm="1">
        <f t="array" aca="1" ref="FD164" ca="1">IF(ISNA(G164),0,OFFSET(INDIRECT("'"&amp;EM$67&amp;"'!h1"),G164-1,))</f>
        <v>1</v>
      </c>
      <c r="FE164" s="10" cm="1">
        <f t="array" aca="1" ref="FE164" ca="1">IF(ISNA(H164),0,OFFSET(INDIRECT("'"&amp;EN$67&amp;"'!h1"),H164-1,))</f>
        <v>0</v>
      </c>
      <c r="FF164" s="10" cm="1">
        <f t="array" aca="1" ref="FF164" ca="1">IF(ISNA(I164),0,OFFSET(INDIRECT("'"&amp;EO$67&amp;"'!h1"),I164-1,))</f>
        <v>1</v>
      </c>
      <c r="FG164" s="10" cm="1">
        <f t="array" aca="1" ref="FG164" ca="1">IF(ISNA(J164),0,OFFSET(INDIRECT("'"&amp;EP$67&amp;"'!h1"),J164-1,))</f>
        <v>1</v>
      </c>
      <c r="FH164" s="10" cm="1">
        <f t="array" aca="1" ref="FH164" ca="1">IF(ISNA(K164),0,OFFSET(INDIRECT("'"&amp;EQ$67&amp;"'!h1"),K164-1,))</f>
        <v>10000</v>
      </c>
      <c r="FI164" s="10" cm="1">
        <f t="array" aca="1" ref="FI164" ca="1">IF(ISNA(L164),0,OFFSET(INDIRECT("'"&amp;ER$67&amp;"'!h1"),L164-1,))</f>
        <v>10000</v>
      </c>
      <c r="FJ164" s="10" cm="1">
        <f t="array" aca="1" ref="FJ164" ca="1">IF(ISNA(M164),0,OFFSET(INDIRECT("'"&amp;ES$67&amp;"'!h1"),M164-1,))</f>
        <v>10000</v>
      </c>
      <c r="FK164" s="10" cm="1">
        <f t="array" aca="1" ref="FK164" ca="1">IF(ISNA(N164),0,OFFSET(INDIRECT("'"&amp;ET$67&amp;"'!h1"),N164-1,))</f>
        <v>1</v>
      </c>
      <c r="FL164" s="10" cm="1">
        <f t="array" aca="1" ref="FL164" ca="1">IF(ISNA(O164),0,OFFSET(INDIRECT("'"&amp;EU$67&amp;"'!h1"),O164-1,))</f>
        <v>1</v>
      </c>
      <c r="FM164" s="10" cm="1">
        <f t="array" aca="1" ref="FM164" ca="1">IF(ISNA(P164),0,OFFSET(INDIRECT("'"&amp;EV$67&amp;"'!h1"),P164-1,))</f>
        <v>9</v>
      </c>
      <c r="FN164" s="10"/>
      <c r="FO164" s="10"/>
      <c r="FP164" s="10"/>
      <c r="FQ164" s="10"/>
      <c r="FS164">
        <f t="shared" ca="1" si="244"/>
        <v>104</v>
      </c>
      <c r="FT164">
        <f t="shared" ca="1" si="62"/>
        <v>4.2094037095084698</v>
      </c>
      <c r="FU164">
        <f t="shared" ca="1" si="63"/>
        <v>292</v>
      </c>
      <c r="FV164">
        <f t="shared" ca="1" si="64"/>
        <v>10000</v>
      </c>
      <c r="FW164" s="4">
        <f t="shared" ca="1" si="245"/>
        <v>2.92E-2</v>
      </c>
      <c r="FX164" s="5">
        <f t="shared" ca="1" si="246"/>
        <v>1.4415766128453664E-2</v>
      </c>
      <c r="FZ164" s="13">
        <f t="shared" ca="1" si="247"/>
        <v>104</v>
      </c>
      <c r="GA164" s="23">
        <f t="shared" ca="1" si="248"/>
        <v>0</v>
      </c>
      <c r="GB164" s="23">
        <f t="shared" ca="1" si="249"/>
        <v>0</v>
      </c>
      <c r="GC164" s="23">
        <f t="shared" ca="1" si="250"/>
        <v>3.4482758620689655E-2</v>
      </c>
      <c r="GD164" s="23" t="e">
        <f t="shared" ca="1" si="251"/>
        <v>#N/A</v>
      </c>
      <c r="GE164" s="23">
        <f t="shared" ca="1" si="252"/>
        <v>0</v>
      </c>
      <c r="GF164" s="23">
        <f t="shared" ca="1" si="253"/>
        <v>0</v>
      </c>
      <c r="GG164" s="23">
        <f t="shared" ca="1" si="254"/>
        <v>0</v>
      </c>
      <c r="GH164" s="23">
        <f t="shared" ca="1" si="255"/>
        <v>0</v>
      </c>
      <c r="GI164" s="23">
        <f t="shared" ca="1" si="256"/>
        <v>0</v>
      </c>
      <c r="GJ164" s="23" t="e">
        <f t="shared" ca="1" si="257"/>
        <v>#N/A</v>
      </c>
      <c r="GK164" s="23" t="e">
        <f t="shared" ca="1" si="258"/>
        <v>#N/A</v>
      </c>
      <c r="GL164" s="23" t="e">
        <f t="shared" ca="1" si="259"/>
        <v>#N/A</v>
      </c>
      <c r="GM164" s="23"/>
      <c r="GN164">
        <f t="shared" ca="1" si="260"/>
        <v>104</v>
      </c>
      <c r="GO164" s="5" t="e">
        <f t="shared" ca="1" si="261"/>
        <v>#N/A</v>
      </c>
      <c r="GP164" s="5" t="e">
        <f t="shared" ca="1" si="262"/>
        <v>#N/A</v>
      </c>
      <c r="GQ164" s="5" t="e">
        <f t="shared" ca="1" si="263"/>
        <v>#N/A</v>
      </c>
      <c r="GR164" s="5" t="e">
        <f t="shared" ca="1" si="264"/>
        <v>#N/A</v>
      </c>
      <c r="GS164" s="5">
        <f t="shared" ca="1" si="265"/>
        <v>0.138497583000571</v>
      </c>
      <c r="GT164" s="5">
        <f t="shared" ca="1" si="266"/>
        <v>0.38214355614036299</v>
      </c>
      <c r="GU164" s="5">
        <f t="shared" ca="1" si="267"/>
        <v>1.4415766128453664E-2</v>
      </c>
      <c r="GV164" s="5">
        <f t="shared" ca="1" si="268"/>
        <v>1.0805062127617342E-3</v>
      </c>
      <c r="GW164" s="5">
        <f t="shared" ca="1" si="269"/>
        <v>0.35132217536876426</v>
      </c>
      <c r="GX164" s="5" t="e">
        <f t="shared" ca="1" si="270"/>
        <v>#N/A</v>
      </c>
      <c r="GY164" s="5" t="e">
        <f t="shared" ca="1" si="271"/>
        <v>#N/A</v>
      </c>
      <c r="GZ164" s="5" t="e">
        <f t="shared" ca="1" si="272"/>
        <v>#N/A</v>
      </c>
      <c r="HB164" s="13">
        <f t="shared" ca="1" si="273"/>
        <v>104</v>
      </c>
      <c r="HC164" s="4">
        <f t="shared" ca="1" si="274"/>
        <v>1</v>
      </c>
      <c r="HD164" s="4">
        <f t="shared" ca="1" si="275"/>
        <v>1</v>
      </c>
      <c r="HE164" s="4">
        <f t="shared" ca="1" si="276"/>
        <v>0</v>
      </c>
      <c r="HF164" s="4">
        <f t="shared" ca="1" si="277"/>
        <v>0</v>
      </c>
      <c r="HG164" s="4">
        <f t="shared" ca="1" si="278"/>
        <v>1</v>
      </c>
      <c r="HH164" s="4">
        <f t="shared" ca="1" si="279"/>
        <v>1</v>
      </c>
      <c r="HI164" s="4">
        <f t="shared" ca="1" si="280"/>
        <v>2.92E-2</v>
      </c>
      <c r="HJ164" s="4">
        <f t="shared" ca="1" si="281"/>
        <v>0.44230000000000003</v>
      </c>
      <c r="HK164" s="4">
        <f t="shared" ca="1" si="282"/>
        <v>1.9E-2</v>
      </c>
      <c r="HL164" s="4">
        <f t="shared" ca="1" si="283"/>
        <v>0</v>
      </c>
      <c r="HM164" s="4">
        <f t="shared" ca="1" si="284"/>
        <v>0</v>
      </c>
      <c r="HN164" s="4">
        <f t="shared" ca="1" si="285"/>
        <v>0</v>
      </c>
    </row>
    <row r="165" spans="1:222" x14ac:dyDescent="0.2">
      <c r="A165" t="str" cm="1">
        <f t="array" aca="1" ref="A165" ca="1">INDIRECT($A$67&amp;"!A"&amp;ROW(C98)+$B$64)</f>
        <v>[[105,54,17]]</v>
      </c>
      <c r="B165" cm="1">
        <f t="array" aca="1" ref="B165" ca="1">INDIRECT($A$67&amp;"!b"&amp;ROW(D98)+$B$64)</f>
        <v>105</v>
      </c>
      <c r="C165">
        <f t="shared" ca="1" si="185"/>
        <v>17</v>
      </c>
      <c r="E165">
        <f t="shared" ca="1" si="184"/>
        <v>122</v>
      </c>
      <c r="F165">
        <f t="shared" ca="1" si="184"/>
        <v>123</v>
      </c>
      <c r="G165">
        <f t="shared" ca="1" si="184"/>
        <v>122</v>
      </c>
      <c r="H165" t="e">
        <f t="shared" ca="1" si="184"/>
        <v>#N/A</v>
      </c>
      <c r="I165">
        <f t="shared" ca="1" si="184"/>
        <v>125</v>
      </c>
      <c r="J165">
        <f t="shared" ca="1" si="184"/>
        <v>122</v>
      </c>
      <c r="K165">
        <f t="shared" ca="1" si="184"/>
        <v>129</v>
      </c>
      <c r="L165">
        <f t="shared" ca="1" si="184"/>
        <v>131</v>
      </c>
      <c r="M165">
        <f t="shared" ca="1" si="184"/>
        <v>128</v>
      </c>
      <c r="N165">
        <f t="shared" ca="1" si="184"/>
        <v>126</v>
      </c>
      <c r="O165">
        <f t="shared" ca="1" si="184"/>
        <v>126</v>
      </c>
      <c r="P165">
        <f t="shared" ca="1" si="184"/>
        <v>126</v>
      </c>
      <c r="V165" cm="1">
        <f t="array" aca="1" ref="V165" ca="1">IF(ISNA(E165),,OFFSET(INDIRECT("'"&amp;V$67&amp;"'!d1"),E165-1,))</f>
        <v>17</v>
      </c>
      <c r="W165" cm="1">
        <f t="array" aca="1" ref="W165" ca="1">IF(ISNA(F165),,OFFSET(INDIRECT("'"&amp;W$67&amp;"'!d1"),F165-1,))</f>
        <v>17</v>
      </c>
      <c r="X165" cm="1">
        <f t="array" aca="1" ref="X165" ca="1">IF(ISNA(G165),,OFFSET(INDIRECT("'"&amp;X$67&amp;"'!d1"),G165-1,))</f>
        <v>27</v>
      </c>
      <c r="Y165" cm="1">
        <f t="array" aca="1" ref="Y165" ca="1">IF(ISNA(H165),,OFFSET(INDIRECT("'"&amp;Y$67&amp;"'!d1"),H165-1,))</f>
        <v>0</v>
      </c>
      <c r="Z165" cm="1">
        <f t="array" aca="1" ref="Z165" ca="1">IF(ISNA(I165),,OFFSET(INDIRECT("'"&amp;Z$67&amp;"'!d1"),I165-1,))</f>
        <v>17</v>
      </c>
      <c r="AA165" cm="1">
        <f t="array" aca="1" ref="AA165" ca="1">IF(ISNA(J165),,OFFSET(INDIRECT("'"&amp;AA$67&amp;"'!d1"),J165-1,))</f>
        <v>17</v>
      </c>
      <c r="AB165" cm="1">
        <f t="array" aca="1" ref="AB165" ca="1">IF(ISNA(K165),,OFFSET(INDIRECT("'"&amp;AB$67&amp;"'!d1"),K165-1,))</f>
        <v>17</v>
      </c>
      <c r="AC165" cm="1">
        <f t="array" aca="1" ref="AC165" ca="1">IF(ISNA(L165),,OFFSET(INDIRECT("'"&amp;AC$67&amp;"'!d1"),L165-1,))</f>
        <v>17</v>
      </c>
      <c r="AD165" cm="1">
        <f t="array" aca="1" ref="AD165" ca="1">IF(ISNA(M165),,OFFSET(INDIRECT("'"&amp;AD$67&amp;"'!d1"),M165-1,))</f>
        <v>17</v>
      </c>
      <c r="AE165" cm="1">
        <f t="array" aca="1" ref="AE165" ca="1">IF(ISNA(N165),,OFFSET(INDIRECT("'"&amp;AE$67&amp;"'!d1"),N165-1,))</f>
        <v>0</v>
      </c>
      <c r="AF165" cm="1">
        <f t="array" aca="1" ref="AF165" ca="1">IF(ISNA(O165),,OFFSET(INDIRECT("'"&amp;AF$67&amp;"'!d1"),O165-1,))</f>
        <v>0</v>
      </c>
      <c r="AG165" cm="1">
        <f t="array" aca="1" ref="AG165" ca="1">IF(ISNA(P165),,OFFSET(INDIRECT("'"&amp;AG$67&amp;"'!d1"),P165-1,))</f>
        <v>0</v>
      </c>
      <c r="AM165">
        <f t="shared" ca="1" si="186"/>
        <v>0</v>
      </c>
      <c r="AN165">
        <f t="shared" ca="1" si="187"/>
        <v>0</v>
      </c>
      <c r="AO165">
        <f t="shared" ca="1" si="188"/>
        <v>0</v>
      </c>
      <c r="AP165">
        <f t="shared" ca="1" si="189"/>
        <v>0</v>
      </c>
      <c r="AQ165">
        <f t="shared" ca="1" si="190"/>
        <v>1</v>
      </c>
      <c r="AV165" t="str">
        <f t="shared" ca="1" si="191"/>
        <v/>
      </c>
      <c r="AW165" t="str">
        <f t="shared" ca="1" si="192"/>
        <v/>
      </c>
      <c r="AX165" t="str">
        <f t="shared" ca="1" si="193"/>
        <v/>
      </c>
      <c r="AY165" t="str">
        <f t="shared" ca="1" si="194"/>
        <v/>
      </c>
      <c r="AZ165" t="b">
        <f t="shared" ca="1" si="195"/>
        <v>1</v>
      </c>
      <c r="BD165">
        <f t="shared" ca="1" si="196"/>
        <v>1</v>
      </c>
      <c r="BE165">
        <f t="shared" ca="1" si="197"/>
        <v>1</v>
      </c>
      <c r="BF165">
        <f t="shared" ca="1" si="198"/>
        <v>1</v>
      </c>
      <c r="BG165">
        <f t="shared" ca="1" si="199"/>
        <v>0</v>
      </c>
      <c r="BH165">
        <f t="shared" ca="1" si="200"/>
        <v>1</v>
      </c>
      <c r="BI165">
        <f t="shared" ca="1" si="201"/>
        <v>1</v>
      </c>
      <c r="BJ165">
        <f t="shared" ca="1" si="202"/>
        <v>1</v>
      </c>
      <c r="BK165">
        <f t="shared" ca="1" si="203"/>
        <v>1</v>
      </c>
      <c r="BL165">
        <f t="shared" ca="1" si="204"/>
        <v>1</v>
      </c>
      <c r="BM165">
        <f t="shared" ca="1" si="205"/>
        <v>0</v>
      </c>
      <c r="BN165">
        <f t="shared" ca="1" si="206"/>
        <v>0</v>
      </c>
      <c r="BO165">
        <f t="shared" ca="1" si="207"/>
        <v>0</v>
      </c>
      <c r="BU165">
        <f t="shared" ca="1" si="208"/>
        <v>17</v>
      </c>
      <c r="BV165">
        <f t="shared" ca="1" si="209"/>
        <v>17</v>
      </c>
      <c r="BW165">
        <f t="shared" ca="1" si="210"/>
        <v>27</v>
      </c>
      <c r="BX165">
        <f t="shared" ca="1" si="211"/>
        <v>105</v>
      </c>
      <c r="BY165">
        <f t="shared" ca="1" si="212"/>
        <v>17</v>
      </c>
      <c r="BZ165">
        <f t="shared" ca="1" si="213"/>
        <v>17</v>
      </c>
      <c r="CA165">
        <f t="shared" ca="1" si="214"/>
        <v>17</v>
      </c>
      <c r="CB165">
        <f t="shared" ca="1" si="215"/>
        <v>17</v>
      </c>
      <c r="CC165">
        <f t="shared" ca="1" si="216"/>
        <v>17</v>
      </c>
      <c r="CD165">
        <f t="shared" ca="1" si="217"/>
        <v>105</v>
      </c>
      <c r="CE165">
        <f t="shared" ca="1" si="218"/>
        <v>105</v>
      </c>
      <c r="CF165">
        <f t="shared" ca="1" si="219"/>
        <v>105</v>
      </c>
      <c r="CL165">
        <f t="shared" ca="1" si="220"/>
        <v>1</v>
      </c>
      <c r="CM165">
        <f t="shared" ca="1" si="221"/>
        <v>1</v>
      </c>
      <c r="CN165">
        <f t="shared" ca="1" si="222"/>
        <v>0</v>
      </c>
      <c r="CO165">
        <f t="shared" ca="1" si="223"/>
        <v>0</v>
      </c>
      <c r="CP165">
        <f t="shared" ca="1" si="224"/>
        <v>1</v>
      </c>
      <c r="CQ165">
        <f t="shared" ca="1" si="225"/>
        <v>1</v>
      </c>
      <c r="CR165">
        <f t="shared" ca="1" si="226"/>
        <v>1</v>
      </c>
      <c r="CS165">
        <f t="shared" ca="1" si="227"/>
        <v>1</v>
      </c>
      <c r="CT165">
        <f t="shared" ca="1" si="228"/>
        <v>1</v>
      </c>
      <c r="CU165">
        <f t="shared" ca="1" si="229"/>
        <v>0</v>
      </c>
      <c r="CV165">
        <f t="shared" ca="1" si="230"/>
        <v>0</v>
      </c>
      <c r="CW165">
        <f t="shared" ca="1" si="231"/>
        <v>0</v>
      </c>
      <c r="DC165" cm="1">
        <f t="array" aca="1" ref="DC165" ca="1">IF(ISNA(E165),,OFFSET(INDIRECT("'"&amp;DT$67&amp;"'!f1"),E165-1,))*1</f>
        <v>28957.882298275999</v>
      </c>
      <c r="DD165" cm="1">
        <f t="array" aca="1" ref="DD165" ca="1">IF(ISNA(F165),,OFFSET(INDIRECT("'"&amp;DU$67&amp;"'!f1"),F165-1,))*1</f>
        <v>28810.914840690701</v>
      </c>
      <c r="DE165" cm="1">
        <f t="array" aca="1" ref="DE165" ca="1">IF(ISNA(G165),,OFFSET(INDIRECT("'"&amp;DV$67&amp;"'!f1"),G165-1,))*1</f>
        <v>28800.212917901499</v>
      </c>
      <c r="DF165" cm="1">
        <f t="array" aca="1" ref="DF165" ca="1">IF(ISNA(H165),,OFFSET(INDIRECT("'"&amp;DW$67&amp;"'!f1"),H165-1,))*1</f>
        <v>0</v>
      </c>
      <c r="DG165" cm="1">
        <f t="array" aca="1" ref="DG165" ca="1">IF(ISNA(I165),,OFFSET(INDIRECT("'"&amp;DX$67&amp;"'!f1"),I165-1,))*1</f>
        <v>27.590027917001802</v>
      </c>
      <c r="DH165" cm="1">
        <f t="array" aca="1" ref="DH165" ca="1">IF(ISNA(J165),,OFFSET(INDIRECT("'"&amp;DY$67&amp;"'!f1"),J165-1,))*1</f>
        <v>0.26328102266415898</v>
      </c>
      <c r="DI165" cm="1">
        <f t="array" aca="1" ref="DI165" ca="1">IF(ISNA(K165),,OFFSET(INDIRECT("'"&amp;DZ$67&amp;"'!f1"),K165-1,))*1</f>
        <v>3.2783024096861402</v>
      </c>
      <c r="DJ165" cm="1">
        <f t="array" aca="1" ref="DJ165" ca="1">IF(ISNA(L165),,OFFSET(INDIRECT("'"&amp;EA$67&amp;"'!f1"),L165-1,))*1</f>
        <v>3.8947116388007998</v>
      </c>
      <c r="DK165" cm="1">
        <f t="array" aca="1" ref="DK165" ca="1">IF(ISNA(M165),,OFFSET(INDIRECT("'"&amp;EB$67&amp;"'!f1"),M165-1,))*1</f>
        <v>94.732210821937699</v>
      </c>
      <c r="DL165" cm="1">
        <f t="array" aca="1" ref="DL165" ca="1">IF(ISNA(N165),,OFFSET(INDIRECT("'"&amp;EC$67&amp;"'!f1"),N165-1,))*1</f>
        <v>1.87500808387994E-2</v>
      </c>
      <c r="DM165" cm="1">
        <f t="array" aca="1" ref="DM165" ca="1">IF(ISNA(O165),,OFFSET(INDIRECT("'"&amp;ED$67&amp;"'!f1"),O165-1,))*1</f>
        <v>1.9354322925209999E-2</v>
      </c>
      <c r="DN165" cm="1">
        <f t="array" aca="1" ref="DN165" ca="1">IF(ISNA(P165),,OFFSET(INDIRECT("'"&amp;EE$67&amp;"'!f1"),P165-1,))*1</f>
        <v>3.3030775375664199E-2</v>
      </c>
      <c r="DT165">
        <f t="shared" ca="1" si="232"/>
        <v>1</v>
      </c>
      <c r="DU165">
        <f t="shared" ca="1" si="233"/>
        <v>1</v>
      </c>
      <c r="DV165">
        <f t="shared" ca="1" si="234"/>
        <v>0</v>
      </c>
      <c r="DW165">
        <f t="shared" ca="1" si="235"/>
        <v>0</v>
      </c>
      <c r="DX165">
        <f t="shared" ca="1" si="236"/>
        <v>1</v>
      </c>
      <c r="DY165">
        <f t="shared" ca="1" si="237"/>
        <v>1</v>
      </c>
      <c r="DZ165">
        <f t="shared" ca="1" si="238"/>
        <v>504</v>
      </c>
      <c r="EA165">
        <f t="shared" ca="1" si="239"/>
        <v>5305</v>
      </c>
      <c r="EB165">
        <f t="shared" ca="1" si="240"/>
        <v>313</v>
      </c>
      <c r="EC165">
        <f t="shared" ca="1" si="241"/>
        <v>0</v>
      </c>
      <c r="ED165">
        <f t="shared" ca="1" si="242"/>
        <v>0</v>
      </c>
      <c r="EE165">
        <f t="shared" ca="1" si="243"/>
        <v>0</v>
      </c>
      <c r="EK165" cm="1">
        <f t="array" aca="1" ref="EK165" ca="1">IF(ISNA(E165),0,OFFSET(INDIRECT("'"&amp;EK$67&amp;"'!g1"),E165-1,)*CL165)</f>
        <v>1</v>
      </c>
      <c r="EL165" cm="1">
        <f t="array" aca="1" ref="EL165" ca="1">IF(ISNA(F165),0,OFFSET(INDIRECT("'"&amp;EL$67&amp;"'!g1"),F165-1,)*CM165)</f>
        <v>1</v>
      </c>
      <c r="EM165" cm="1">
        <f t="array" aca="1" ref="EM165" ca="1">IF(ISNA(G165),0,OFFSET(INDIRECT("'"&amp;EM$67&amp;"'!g1"),G165-1,)*CN165)</f>
        <v>0</v>
      </c>
      <c r="EN165" cm="1">
        <f t="array" aca="1" ref="EN165" ca="1">IF(ISNA(H165),0,OFFSET(INDIRECT("'"&amp;EN$67&amp;"'!g1"),H165-1,)*CO165)</f>
        <v>0</v>
      </c>
      <c r="EO165" cm="1">
        <f t="array" aca="1" ref="EO165" ca="1">IF(ISNA(I165),0,OFFSET(INDIRECT("'"&amp;EO$67&amp;"'!g1"),I165-1,)*CP165)</f>
        <v>1</v>
      </c>
      <c r="EP165" cm="1">
        <f t="array" aca="1" ref="EP165" ca="1">IF(ISNA(J165),0,OFFSET(INDIRECT("'"&amp;EP$67&amp;"'!g1"),J165-1,)*CQ165)</f>
        <v>1</v>
      </c>
      <c r="EQ165" cm="1">
        <f t="array" aca="1" ref="EQ165" ca="1">IF(ISNA(K165),0,OFFSET(INDIRECT("'"&amp;EQ$67&amp;"'!g1"),K165-1,)*CR165)</f>
        <v>504</v>
      </c>
      <c r="ER165" cm="1">
        <f t="array" aca="1" ref="ER165" ca="1">IF(ISNA(L165),0,OFFSET(INDIRECT("'"&amp;ER$67&amp;"'!g1"),L165-1,)*CS165)</f>
        <v>5305</v>
      </c>
      <c r="ES165" cm="1">
        <f t="array" aca="1" ref="ES165" ca="1">IF(ISNA(M165),0,OFFSET(INDIRECT("'"&amp;ES$67&amp;"'!g1"),M165-1,)*CT165)</f>
        <v>313</v>
      </c>
      <c r="ET165" cm="1">
        <f t="array" aca="1" ref="ET165" ca="1">IF(ISNA(N165),0,OFFSET(INDIRECT("'"&amp;ET$67&amp;"'!g1"),N165-1,)*CU165)</f>
        <v>0</v>
      </c>
      <c r="EU165" cm="1">
        <f t="array" aca="1" ref="EU165" ca="1">IF(ISNA(O165),0,OFFSET(INDIRECT("'"&amp;EU$67&amp;"'!g1"),O165-1,)*CV165)</f>
        <v>0</v>
      </c>
      <c r="EV165" cm="1">
        <f t="array" aca="1" ref="EV165" ca="1">IF(ISNA(P165),0,OFFSET(INDIRECT("'"&amp;EV$67&amp;"'!g1"),P165-1,)*CW165)</f>
        <v>0</v>
      </c>
      <c r="FB165" s="10" cm="1">
        <f t="array" aca="1" ref="FB165" ca="1">IF(ISNA(E165),0,OFFSET(INDIRECT("'"&amp;EK$67&amp;"'!h1"),E165-1,))</f>
        <v>1</v>
      </c>
      <c r="FC165" s="10" cm="1">
        <f t="array" aca="1" ref="FC165" ca="1">IF(ISNA(F165),0,OFFSET(INDIRECT("'"&amp;EL$67&amp;"'!h1"),F165-1,))</f>
        <v>1</v>
      </c>
      <c r="FD165" s="10" cm="1">
        <f t="array" aca="1" ref="FD165" ca="1">IF(ISNA(G165),0,OFFSET(INDIRECT("'"&amp;EM$67&amp;"'!h1"),G165-1,))</f>
        <v>1</v>
      </c>
      <c r="FE165" s="10" cm="1">
        <f t="array" aca="1" ref="FE165" ca="1">IF(ISNA(H165),0,OFFSET(INDIRECT("'"&amp;EN$67&amp;"'!h1"),H165-1,))</f>
        <v>0</v>
      </c>
      <c r="FF165" s="10" cm="1">
        <f t="array" aca="1" ref="FF165" ca="1">IF(ISNA(I165),0,OFFSET(INDIRECT("'"&amp;EO$67&amp;"'!h1"),I165-1,))</f>
        <v>1</v>
      </c>
      <c r="FG165" s="10" cm="1">
        <f t="array" aca="1" ref="FG165" ca="1">IF(ISNA(J165),0,OFFSET(INDIRECT("'"&amp;EP$67&amp;"'!h1"),J165-1,))</f>
        <v>1</v>
      </c>
      <c r="FH165" s="10" cm="1">
        <f t="array" aca="1" ref="FH165" ca="1">IF(ISNA(K165),0,OFFSET(INDIRECT("'"&amp;EQ$67&amp;"'!h1"),K165-1,))</f>
        <v>10000</v>
      </c>
      <c r="FI165" s="10" cm="1">
        <f t="array" aca="1" ref="FI165" ca="1">IF(ISNA(L165),0,OFFSET(INDIRECT("'"&amp;ER$67&amp;"'!h1"),L165-1,))</f>
        <v>10000</v>
      </c>
      <c r="FJ165" s="10" cm="1">
        <f t="array" aca="1" ref="FJ165" ca="1">IF(ISNA(M165),0,OFFSET(INDIRECT("'"&amp;ES$67&amp;"'!h1"),M165-1,))</f>
        <v>10000</v>
      </c>
      <c r="FK165" s="10" cm="1">
        <f t="array" aca="1" ref="FK165" ca="1">IF(ISNA(N165),0,OFFSET(INDIRECT("'"&amp;ET$67&amp;"'!h1"),N165-1,))</f>
        <v>1</v>
      </c>
      <c r="FL165" s="10" cm="1">
        <f t="array" aca="1" ref="FL165" ca="1">IF(ISNA(O165),0,OFFSET(INDIRECT("'"&amp;EU$67&amp;"'!h1"),O165-1,))</f>
        <v>1</v>
      </c>
      <c r="FM165" s="10" cm="1">
        <f t="array" aca="1" ref="FM165" ca="1">IF(ISNA(P165),0,OFFSET(INDIRECT("'"&amp;EV$67&amp;"'!h1"),P165-1,))</f>
        <v>9</v>
      </c>
      <c r="FN165" s="10"/>
      <c r="FO165" s="10"/>
      <c r="FP165" s="10"/>
      <c r="FQ165" s="10"/>
      <c r="FS165">
        <f t="shared" ca="1" si="244"/>
        <v>105</v>
      </c>
      <c r="FT165">
        <f t="shared" ca="1" si="62"/>
        <v>3.2783024096861402</v>
      </c>
      <c r="FU165">
        <f t="shared" ca="1" si="63"/>
        <v>504</v>
      </c>
      <c r="FV165">
        <f t="shared" ca="1" si="64"/>
        <v>10000</v>
      </c>
      <c r="FW165" s="4">
        <f t="shared" ca="1" si="245"/>
        <v>5.04E-2</v>
      </c>
      <c r="FX165" s="5">
        <f t="shared" ca="1" si="246"/>
        <v>6.5045682731867862E-3</v>
      </c>
      <c r="FZ165" s="13">
        <f t="shared" ca="1" si="247"/>
        <v>105</v>
      </c>
      <c r="GA165" s="23">
        <f t="shared" ca="1" si="248"/>
        <v>0</v>
      </c>
      <c r="GB165" s="23">
        <f t="shared" ca="1" si="249"/>
        <v>0</v>
      </c>
      <c r="GC165" s="23">
        <f t="shared" ca="1" si="250"/>
        <v>0.58823529411764708</v>
      </c>
      <c r="GD165" s="23" t="e">
        <f t="shared" ca="1" si="251"/>
        <v>#N/A</v>
      </c>
      <c r="GE165" s="23">
        <f t="shared" ca="1" si="252"/>
        <v>0</v>
      </c>
      <c r="GF165" s="23">
        <f t="shared" ca="1" si="253"/>
        <v>0</v>
      </c>
      <c r="GG165" s="23">
        <f t="shared" ca="1" si="254"/>
        <v>0</v>
      </c>
      <c r="GH165" s="23">
        <f t="shared" ca="1" si="255"/>
        <v>0</v>
      </c>
      <c r="GI165" s="23">
        <f t="shared" ca="1" si="256"/>
        <v>0</v>
      </c>
      <c r="GJ165" s="23" t="e">
        <f t="shared" ca="1" si="257"/>
        <v>#N/A</v>
      </c>
      <c r="GK165" s="23" t="e">
        <f t="shared" ca="1" si="258"/>
        <v>#N/A</v>
      </c>
      <c r="GL165" s="23" t="e">
        <f t="shared" ca="1" si="259"/>
        <v>#N/A</v>
      </c>
      <c r="GM165" s="23"/>
      <c r="GN165">
        <f t="shared" ca="1" si="260"/>
        <v>105</v>
      </c>
      <c r="GO165" s="5" t="e">
        <f t="shared" ca="1" si="261"/>
        <v>#N/A</v>
      </c>
      <c r="GP165" s="5" t="e">
        <f t="shared" ca="1" si="262"/>
        <v>#N/A</v>
      </c>
      <c r="GQ165" s="5" t="e">
        <f t="shared" ca="1" si="263"/>
        <v>#N/A</v>
      </c>
      <c r="GR165" s="5" t="e">
        <f t="shared" ca="1" si="264"/>
        <v>#N/A</v>
      </c>
      <c r="GS165" s="5">
        <f t="shared" ca="1" si="265"/>
        <v>27.590027917001802</v>
      </c>
      <c r="GT165" s="5">
        <f t="shared" ca="1" si="266"/>
        <v>0.26328102266415898</v>
      </c>
      <c r="GU165" s="5">
        <f t="shared" ca="1" si="267"/>
        <v>6.5045682731867862E-3</v>
      </c>
      <c r="GV165" s="5">
        <f t="shared" ca="1" si="268"/>
        <v>7.3415865010382651E-4</v>
      </c>
      <c r="GW165" s="5">
        <f t="shared" ca="1" si="269"/>
        <v>0.30265882051737286</v>
      </c>
      <c r="GX165" s="5" t="e">
        <f t="shared" ca="1" si="270"/>
        <v>#N/A</v>
      </c>
      <c r="GY165" s="5" t="e">
        <f t="shared" ca="1" si="271"/>
        <v>#N/A</v>
      </c>
      <c r="GZ165" s="5" t="e">
        <f t="shared" ca="1" si="272"/>
        <v>#N/A</v>
      </c>
      <c r="HB165" s="13">
        <f t="shared" ca="1" si="273"/>
        <v>105</v>
      </c>
      <c r="HC165" s="4">
        <f t="shared" ca="1" si="274"/>
        <v>1</v>
      </c>
      <c r="HD165" s="4">
        <f t="shared" ca="1" si="275"/>
        <v>1</v>
      </c>
      <c r="HE165" s="4">
        <f t="shared" ca="1" si="276"/>
        <v>0</v>
      </c>
      <c r="HF165" s="4">
        <f t="shared" ca="1" si="277"/>
        <v>0</v>
      </c>
      <c r="HG165" s="4">
        <f t="shared" ca="1" si="278"/>
        <v>1</v>
      </c>
      <c r="HH165" s="4">
        <f t="shared" ca="1" si="279"/>
        <v>1</v>
      </c>
      <c r="HI165" s="4">
        <f t="shared" ca="1" si="280"/>
        <v>5.04E-2</v>
      </c>
      <c r="HJ165" s="4">
        <f t="shared" ca="1" si="281"/>
        <v>0.53049999999999997</v>
      </c>
      <c r="HK165" s="4">
        <f t="shared" ca="1" si="282"/>
        <v>3.1300000000000001E-2</v>
      </c>
      <c r="HL165" s="4">
        <f t="shared" ca="1" si="283"/>
        <v>0</v>
      </c>
      <c r="HM165" s="4">
        <f t="shared" ca="1" si="284"/>
        <v>0</v>
      </c>
      <c r="HN165" s="4">
        <f t="shared" ca="1" si="285"/>
        <v>0</v>
      </c>
    </row>
    <row r="166" spans="1:222" x14ac:dyDescent="0.2">
      <c r="A166" t="str" cm="1">
        <f t="array" aca="1" ref="A166" ca="1">INDIRECT($A$67&amp;"!A"&amp;ROW(C99)+$B$64)</f>
        <v>[[106,44,21]]</v>
      </c>
      <c r="B166" cm="1">
        <f t="array" aca="1" ref="B166" ca="1">INDIRECT($A$67&amp;"!b"&amp;ROW(D99)+$B$64)</f>
        <v>106</v>
      </c>
      <c r="C166">
        <f t="shared" ca="1" si="185"/>
        <v>21</v>
      </c>
      <c r="E166">
        <f t="shared" ca="1" si="184"/>
        <v>123</v>
      </c>
      <c r="F166">
        <f t="shared" ca="1" si="184"/>
        <v>124</v>
      </c>
      <c r="G166">
        <f t="shared" ca="1" si="184"/>
        <v>123</v>
      </c>
      <c r="H166" t="e">
        <f t="shared" ca="1" si="184"/>
        <v>#N/A</v>
      </c>
      <c r="I166">
        <f t="shared" ca="1" si="184"/>
        <v>126</v>
      </c>
      <c r="J166">
        <f t="shared" ca="1" si="184"/>
        <v>123</v>
      </c>
      <c r="K166">
        <f t="shared" ca="1" si="184"/>
        <v>130</v>
      </c>
      <c r="L166">
        <f t="shared" ca="1" si="184"/>
        <v>132</v>
      </c>
      <c r="M166">
        <f t="shared" ca="1" si="184"/>
        <v>129</v>
      </c>
      <c r="N166">
        <f t="shared" ca="1" si="184"/>
        <v>127</v>
      </c>
      <c r="O166">
        <f t="shared" ca="1" si="184"/>
        <v>127</v>
      </c>
      <c r="P166">
        <f t="shared" ca="1" si="184"/>
        <v>127</v>
      </c>
      <c r="V166" cm="1">
        <f t="array" aca="1" ref="V166" ca="1">IF(ISNA(E166),,OFFSET(INDIRECT("'"&amp;V$67&amp;"'!d1"),E166-1,))</f>
        <v>21</v>
      </c>
      <c r="W166" cm="1">
        <f t="array" aca="1" ref="W166" ca="1">IF(ISNA(F166),,OFFSET(INDIRECT("'"&amp;W$67&amp;"'!d1"),F166-1,))</f>
        <v>21</v>
      </c>
      <c r="X166" cm="1">
        <f t="array" aca="1" ref="X166" ca="1">IF(ISNA(G166),,OFFSET(INDIRECT("'"&amp;X$67&amp;"'!d1"),G166-1,))</f>
        <v>56</v>
      </c>
      <c r="Y166" cm="1">
        <f t="array" aca="1" ref="Y166" ca="1">IF(ISNA(H166),,OFFSET(INDIRECT("'"&amp;Y$67&amp;"'!d1"),H166-1,))</f>
        <v>0</v>
      </c>
      <c r="Z166" cm="1">
        <f t="array" aca="1" ref="Z166" ca="1">IF(ISNA(I166),,OFFSET(INDIRECT("'"&amp;Z$67&amp;"'!d1"),I166-1,))</f>
        <v>21</v>
      </c>
      <c r="AA166" cm="1">
        <f t="array" aca="1" ref="AA166" ca="1">IF(ISNA(J166),,OFFSET(INDIRECT("'"&amp;AA$67&amp;"'!d1"),J166-1,))</f>
        <v>21</v>
      </c>
      <c r="AB166" cm="1">
        <f t="array" aca="1" ref="AB166" ca="1">IF(ISNA(K166),,OFFSET(INDIRECT("'"&amp;AB$67&amp;"'!d1"),K166-1,))</f>
        <v>21</v>
      </c>
      <c r="AC166" cm="1">
        <f t="array" aca="1" ref="AC166" ca="1">IF(ISNA(L166),,OFFSET(INDIRECT("'"&amp;AC$67&amp;"'!d1"),L166-1,))</f>
        <v>21</v>
      </c>
      <c r="AD166" cm="1">
        <f t="array" aca="1" ref="AD166" ca="1">IF(ISNA(M166),,OFFSET(INDIRECT("'"&amp;AD$67&amp;"'!d1"),M166-1,))</f>
        <v>21</v>
      </c>
      <c r="AE166" cm="1">
        <f t="array" aca="1" ref="AE166" ca="1">IF(ISNA(N166),,OFFSET(INDIRECT("'"&amp;AE$67&amp;"'!d1"),N166-1,))</f>
        <v>0</v>
      </c>
      <c r="AF166" cm="1">
        <f t="array" aca="1" ref="AF166" ca="1">IF(ISNA(O166),,OFFSET(INDIRECT("'"&amp;AF$67&amp;"'!d1"),O166-1,))</f>
        <v>0</v>
      </c>
      <c r="AG166" cm="1">
        <f t="array" aca="1" ref="AG166" ca="1">IF(ISNA(P166),,OFFSET(INDIRECT("'"&amp;AG$67&amp;"'!d1"),P166-1,))</f>
        <v>0</v>
      </c>
      <c r="AM166">
        <f t="shared" ca="1" si="186"/>
        <v>0</v>
      </c>
      <c r="AN166">
        <f t="shared" ca="1" si="187"/>
        <v>0</v>
      </c>
      <c r="AO166">
        <f t="shared" ca="1" si="188"/>
        <v>0</v>
      </c>
      <c r="AP166">
        <f t="shared" ca="1" si="189"/>
        <v>0</v>
      </c>
      <c r="AQ166">
        <f t="shared" ca="1" si="190"/>
        <v>1</v>
      </c>
      <c r="AV166" t="str">
        <f t="shared" ca="1" si="191"/>
        <v/>
      </c>
      <c r="AW166" t="str">
        <f t="shared" ca="1" si="192"/>
        <v/>
      </c>
      <c r="AX166" t="str">
        <f t="shared" ca="1" si="193"/>
        <v/>
      </c>
      <c r="AY166" t="str">
        <f t="shared" ca="1" si="194"/>
        <v/>
      </c>
      <c r="AZ166" t="b">
        <f t="shared" ca="1" si="195"/>
        <v>1</v>
      </c>
      <c r="BD166">
        <f t="shared" ca="1" si="196"/>
        <v>1</v>
      </c>
      <c r="BE166">
        <f t="shared" ca="1" si="197"/>
        <v>1</v>
      </c>
      <c r="BF166">
        <f t="shared" ca="1" si="198"/>
        <v>1</v>
      </c>
      <c r="BG166">
        <f t="shared" ca="1" si="199"/>
        <v>0</v>
      </c>
      <c r="BH166">
        <f t="shared" ca="1" si="200"/>
        <v>1</v>
      </c>
      <c r="BI166">
        <f t="shared" ca="1" si="201"/>
        <v>1</v>
      </c>
      <c r="BJ166">
        <f t="shared" ca="1" si="202"/>
        <v>1</v>
      </c>
      <c r="BK166">
        <f t="shared" ca="1" si="203"/>
        <v>1</v>
      </c>
      <c r="BL166">
        <f t="shared" ca="1" si="204"/>
        <v>1</v>
      </c>
      <c r="BM166">
        <f t="shared" ca="1" si="205"/>
        <v>0</v>
      </c>
      <c r="BN166">
        <f t="shared" ca="1" si="206"/>
        <v>0</v>
      </c>
      <c r="BO166">
        <f t="shared" ca="1" si="207"/>
        <v>0</v>
      </c>
      <c r="BU166">
        <f t="shared" ca="1" si="208"/>
        <v>21</v>
      </c>
      <c r="BV166">
        <f t="shared" ca="1" si="209"/>
        <v>21</v>
      </c>
      <c r="BW166">
        <f t="shared" ca="1" si="210"/>
        <v>56</v>
      </c>
      <c r="BX166">
        <f t="shared" ca="1" si="211"/>
        <v>106</v>
      </c>
      <c r="BY166">
        <f t="shared" ca="1" si="212"/>
        <v>21</v>
      </c>
      <c r="BZ166">
        <f t="shared" ca="1" si="213"/>
        <v>21</v>
      </c>
      <c r="CA166">
        <f t="shared" ca="1" si="214"/>
        <v>21</v>
      </c>
      <c r="CB166">
        <f t="shared" ca="1" si="215"/>
        <v>21</v>
      </c>
      <c r="CC166">
        <f t="shared" ca="1" si="216"/>
        <v>21</v>
      </c>
      <c r="CD166">
        <f t="shared" ca="1" si="217"/>
        <v>106</v>
      </c>
      <c r="CE166">
        <f t="shared" ca="1" si="218"/>
        <v>106</v>
      </c>
      <c r="CF166">
        <f t="shared" ca="1" si="219"/>
        <v>106</v>
      </c>
      <c r="CL166">
        <f t="shared" ca="1" si="220"/>
        <v>1</v>
      </c>
      <c r="CM166">
        <f t="shared" ca="1" si="221"/>
        <v>1</v>
      </c>
      <c r="CN166">
        <f t="shared" ca="1" si="222"/>
        <v>0</v>
      </c>
      <c r="CO166">
        <f t="shared" ca="1" si="223"/>
        <v>0</v>
      </c>
      <c r="CP166">
        <f t="shared" ca="1" si="224"/>
        <v>1</v>
      </c>
      <c r="CQ166">
        <f t="shared" ca="1" si="225"/>
        <v>1</v>
      </c>
      <c r="CR166">
        <f t="shared" ca="1" si="226"/>
        <v>1</v>
      </c>
      <c r="CS166">
        <f t="shared" ca="1" si="227"/>
        <v>1</v>
      </c>
      <c r="CT166">
        <f t="shared" ca="1" si="228"/>
        <v>1</v>
      </c>
      <c r="CU166">
        <f t="shared" ca="1" si="229"/>
        <v>0</v>
      </c>
      <c r="CV166">
        <f t="shared" ca="1" si="230"/>
        <v>0</v>
      </c>
      <c r="CW166">
        <f t="shared" ca="1" si="231"/>
        <v>0</v>
      </c>
      <c r="DC166" cm="1">
        <f t="array" aca="1" ref="DC166" ca="1">IF(ISNA(E166),,OFFSET(INDIRECT("'"&amp;DT$67&amp;"'!f1"),E166-1,))*1</f>
        <v>28939.663593371999</v>
      </c>
      <c r="DD166" cm="1">
        <f t="array" aca="1" ref="DD166" ca="1">IF(ISNA(F166),,OFFSET(INDIRECT("'"&amp;DU$67&amp;"'!f1"),F166-1,))*1</f>
        <v>28809.1267814561</v>
      </c>
      <c r="DE166" cm="1">
        <f t="array" aca="1" ref="DE166" ca="1">IF(ISNA(G166),,OFFSET(INDIRECT("'"&amp;DV$67&amp;"'!f1"),G166-1,))*1</f>
        <v>28800.416262045499</v>
      </c>
      <c r="DF166" cm="1">
        <f t="array" aca="1" ref="DF166" ca="1">IF(ISNA(H166),,OFFSET(INDIRECT("'"&amp;DW$67&amp;"'!f1"),H166-1,))*1</f>
        <v>0</v>
      </c>
      <c r="DG166" cm="1">
        <f t="array" aca="1" ref="DG166" ca="1">IF(ISNA(I166),,OFFSET(INDIRECT("'"&amp;DX$67&amp;"'!f1"),I166-1,))*1</f>
        <v>10.107215582997</v>
      </c>
      <c r="DH166" cm="1">
        <f t="array" aca="1" ref="DH166" ca="1">IF(ISNA(J166),,OFFSET(INDIRECT("'"&amp;DY$67&amp;"'!f1"),J166-1,))*1</f>
        <v>0.3811832270585</v>
      </c>
      <c r="DI166" cm="1">
        <f t="array" aca="1" ref="DI166" ca="1">IF(ISNA(K166),,OFFSET(INDIRECT("'"&amp;DZ$67&amp;"'!f1"),K166-1,))*1</f>
        <v>3.81215770449489</v>
      </c>
      <c r="DJ166" cm="1">
        <f t="array" aca="1" ref="DJ166" ca="1">IF(ISNA(L166),,OFFSET(INDIRECT("'"&amp;EA$67&amp;"'!f1"),L166-1,))*1</f>
        <v>4.4656589338555897</v>
      </c>
      <c r="DK166" cm="1">
        <f t="array" aca="1" ref="DK166" ca="1">IF(ISNA(M166),,OFFSET(INDIRECT("'"&amp;EB$67&amp;"'!f1"),M166-1,))*1</f>
        <v>90.327504539862204</v>
      </c>
      <c r="DL166" cm="1">
        <f t="array" aca="1" ref="DL166" ca="1">IF(ISNA(N166),,OFFSET(INDIRECT("'"&amp;EC$67&amp;"'!f1"),N166-1,))*1</f>
        <v>1.78657053038477E-2</v>
      </c>
      <c r="DM166" cm="1">
        <f t="array" aca="1" ref="DM166" ca="1">IF(ISNA(O166),,OFFSET(INDIRECT("'"&amp;ED$67&amp;"'!f1"),O166-1,))*1</f>
        <v>1.8073662184178801E-2</v>
      </c>
      <c r="DN166" cm="1">
        <f t="array" aca="1" ref="DN166" ca="1">IF(ISNA(P166),,OFFSET(INDIRECT("'"&amp;EE$67&amp;"'!f1"),P166-1,))*1</f>
        <v>3.1322521157562698E-2</v>
      </c>
      <c r="DT166">
        <f t="shared" ca="1" si="232"/>
        <v>1</v>
      </c>
      <c r="DU166">
        <f t="shared" ca="1" si="233"/>
        <v>1</v>
      </c>
      <c r="DV166">
        <f t="shared" ca="1" si="234"/>
        <v>0</v>
      </c>
      <c r="DW166">
        <f t="shared" ca="1" si="235"/>
        <v>0</v>
      </c>
      <c r="DX166">
        <f t="shared" ca="1" si="236"/>
        <v>1</v>
      </c>
      <c r="DY166">
        <f t="shared" ca="1" si="237"/>
        <v>1</v>
      </c>
      <c r="DZ166">
        <f t="shared" ca="1" si="238"/>
        <v>957</v>
      </c>
      <c r="EA166">
        <f t="shared" ca="1" si="239"/>
        <v>5767</v>
      </c>
      <c r="EB166">
        <f t="shared" ca="1" si="240"/>
        <v>701</v>
      </c>
      <c r="EC166">
        <f t="shared" ca="1" si="241"/>
        <v>0</v>
      </c>
      <c r="ED166">
        <f t="shared" ca="1" si="242"/>
        <v>0</v>
      </c>
      <c r="EE166">
        <f t="shared" ca="1" si="243"/>
        <v>0</v>
      </c>
      <c r="EK166" cm="1">
        <f t="array" aca="1" ref="EK166" ca="1">IF(ISNA(E166),0,OFFSET(INDIRECT("'"&amp;EK$67&amp;"'!g1"),E166-1,)*CL166)</f>
        <v>1</v>
      </c>
      <c r="EL166" cm="1">
        <f t="array" aca="1" ref="EL166" ca="1">IF(ISNA(F166),0,OFFSET(INDIRECT("'"&amp;EL$67&amp;"'!g1"),F166-1,)*CM166)</f>
        <v>1</v>
      </c>
      <c r="EM166" cm="1">
        <f t="array" aca="1" ref="EM166" ca="1">IF(ISNA(G166),0,OFFSET(INDIRECT("'"&amp;EM$67&amp;"'!g1"),G166-1,)*CN166)</f>
        <v>0</v>
      </c>
      <c r="EN166" cm="1">
        <f t="array" aca="1" ref="EN166" ca="1">IF(ISNA(H166),0,OFFSET(INDIRECT("'"&amp;EN$67&amp;"'!g1"),H166-1,)*CO166)</f>
        <v>0</v>
      </c>
      <c r="EO166" cm="1">
        <f t="array" aca="1" ref="EO166" ca="1">IF(ISNA(I166),0,OFFSET(INDIRECT("'"&amp;EO$67&amp;"'!g1"),I166-1,)*CP166)</f>
        <v>1</v>
      </c>
      <c r="EP166" cm="1">
        <f t="array" aca="1" ref="EP166" ca="1">IF(ISNA(J166),0,OFFSET(INDIRECT("'"&amp;EP$67&amp;"'!g1"),J166-1,)*CQ166)</f>
        <v>1</v>
      </c>
      <c r="EQ166" cm="1">
        <f t="array" aca="1" ref="EQ166" ca="1">IF(ISNA(K166),0,OFFSET(INDIRECT("'"&amp;EQ$67&amp;"'!g1"),K166-1,)*CR166)</f>
        <v>957</v>
      </c>
      <c r="ER166" cm="1">
        <f t="array" aca="1" ref="ER166" ca="1">IF(ISNA(L166),0,OFFSET(INDIRECT("'"&amp;ER$67&amp;"'!g1"),L166-1,)*CS166)</f>
        <v>5767</v>
      </c>
      <c r="ES166" cm="1">
        <f t="array" aca="1" ref="ES166" ca="1">IF(ISNA(M166),0,OFFSET(INDIRECT("'"&amp;ES$67&amp;"'!g1"),M166-1,)*CT166)</f>
        <v>701</v>
      </c>
      <c r="ET166" cm="1">
        <f t="array" aca="1" ref="ET166" ca="1">IF(ISNA(N166),0,OFFSET(INDIRECT("'"&amp;ET$67&amp;"'!g1"),N166-1,)*CU166)</f>
        <v>0</v>
      </c>
      <c r="EU166" cm="1">
        <f t="array" aca="1" ref="EU166" ca="1">IF(ISNA(O166),0,OFFSET(INDIRECT("'"&amp;EU$67&amp;"'!g1"),O166-1,)*CV166)</f>
        <v>0</v>
      </c>
      <c r="EV166" cm="1">
        <f t="array" aca="1" ref="EV166" ca="1">IF(ISNA(P166),0,OFFSET(INDIRECT("'"&amp;EV$67&amp;"'!g1"),P166-1,)*CW166)</f>
        <v>0</v>
      </c>
      <c r="FB166" s="10" cm="1">
        <f t="array" aca="1" ref="FB166" ca="1">IF(ISNA(E166),0,OFFSET(INDIRECT("'"&amp;EK$67&amp;"'!h1"),E166-1,))</f>
        <v>1</v>
      </c>
      <c r="FC166" s="10" cm="1">
        <f t="array" aca="1" ref="FC166" ca="1">IF(ISNA(F166),0,OFFSET(INDIRECT("'"&amp;EL$67&amp;"'!h1"),F166-1,))</f>
        <v>1</v>
      </c>
      <c r="FD166" s="10" cm="1">
        <f t="array" aca="1" ref="FD166" ca="1">IF(ISNA(G166),0,OFFSET(INDIRECT("'"&amp;EM$67&amp;"'!h1"),G166-1,))</f>
        <v>1</v>
      </c>
      <c r="FE166" s="10" cm="1">
        <f t="array" aca="1" ref="FE166" ca="1">IF(ISNA(H166),0,OFFSET(INDIRECT("'"&amp;EN$67&amp;"'!h1"),H166-1,))</f>
        <v>0</v>
      </c>
      <c r="FF166" s="10" cm="1">
        <f t="array" aca="1" ref="FF166" ca="1">IF(ISNA(I166),0,OFFSET(INDIRECT("'"&amp;EO$67&amp;"'!h1"),I166-1,))</f>
        <v>1</v>
      </c>
      <c r="FG166" s="10" cm="1">
        <f t="array" aca="1" ref="FG166" ca="1">IF(ISNA(J166),0,OFFSET(INDIRECT("'"&amp;EP$67&amp;"'!h1"),J166-1,))</f>
        <v>1</v>
      </c>
      <c r="FH166" s="10" cm="1">
        <f t="array" aca="1" ref="FH166" ca="1">IF(ISNA(K166),0,OFFSET(INDIRECT("'"&amp;EQ$67&amp;"'!h1"),K166-1,))</f>
        <v>10000</v>
      </c>
      <c r="FI166" s="10" cm="1">
        <f t="array" aca="1" ref="FI166" ca="1">IF(ISNA(L166),0,OFFSET(INDIRECT("'"&amp;ER$67&amp;"'!h1"),L166-1,))</f>
        <v>10000</v>
      </c>
      <c r="FJ166" s="10" cm="1">
        <f t="array" aca="1" ref="FJ166" ca="1">IF(ISNA(M166),0,OFFSET(INDIRECT("'"&amp;ES$67&amp;"'!h1"),M166-1,))</f>
        <v>10000</v>
      </c>
      <c r="FK166" s="10" cm="1">
        <f t="array" aca="1" ref="FK166" ca="1">IF(ISNA(N166),0,OFFSET(INDIRECT("'"&amp;ET$67&amp;"'!h1"),N166-1,))</f>
        <v>1</v>
      </c>
      <c r="FL166" s="10" cm="1">
        <f t="array" aca="1" ref="FL166" ca="1">IF(ISNA(O166),0,OFFSET(INDIRECT("'"&amp;EU$67&amp;"'!h1"),O166-1,))</f>
        <v>1</v>
      </c>
      <c r="FM166" s="10" cm="1">
        <f t="array" aca="1" ref="FM166" ca="1">IF(ISNA(P166),0,OFFSET(INDIRECT("'"&amp;EV$67&amp;"'!h1"),P166-1,))</f>
        <v>9</v>
      </c>
      <c r="FN166" s="10"/>
      <c r="FO166" s="10"/>
      <c r="FP166" s="10"/>
      <c r="FQ166" s="10"/>
      <c r="FS166">
        <f t="shared" ca="1" si="244"/>
        <v>106</v>
      </c>
      <c r="FT166">
        <f t="shared" ca="1" si="62"/>
        <v>3.81215770449489</v>
      </c>
      <c r="FU166">
        <f t="shared" ca="1" si="63"/>
        <v>957</v>
      </c>
      <c r="FV166">
        <f t="shared" ca="1" si="64"/>
        <v>10000</v>
      </c>
      <c r="FW166" s="4">
        <f t="shared" ca="1" si="245"/>
        <v>9.5699999999999993E-2</v>
      </c>
      <c r="FX166" s="5">
        <f t="shared" ca="1" si="246"/>
        <v>3.9834458772151412E-3</v>
      </c>
      <c r="FZ166" s="13">
        <f t="shared" ca="1" si="247"/>
        <v>106</v>
      </c>
      <c r="GA166" s="23">
        <f t="shared" ca="1" si="248"/>
        <v>0</v>
      </c>
      <c r="GB166" s="23">
        <f t="shared" ca="1" si="249"/>
        <v>0</v>
      </c>
      <c r="GC166" s="23">
        <f t="shared" ca="1" si="250"/>
        <v>1.6666666666666667</v>
      </c>
      <c r="GD166" s="23" t="e">
        <f t="shared" ca="1" si="251"/>
        <v>#N/A</v>
      </c>
      <c r="GE166" s="23">
        <f t="shared" ca="1" si="252"/>
        <v>0</v>
      </c>
      <c r="GF166" s="23">
        <f t="shared" ca="1" si="253"/>
        <v>0</v>
      </c>
      <c r="GG166" s="23">
        <f t="shared" ca="1" si="254"/>
        <v>0</v>
      </c>
      <c r="GH166" s="23">
        <f t="shared" ca="1" si="255"/>
        <v>0</v>
      </c>
      <c r="GI166" s="23">
        <f t="shared" ca="1" si="256"/>
        <v>0</v>
      </c>
      <c r="GJ166" s="23" t="e">
        <f t="shared" ca="1" si="257"/>
        <v>#N/A</v>
      </c>
      <c r="GK166" s="23" t="e">
        <f t="shared" ca="1" si="258"/>
        <v>#N/A</v>
      </c>
      <c r="GL166" s="23" t="e">
        <f t="shared" ca="1" si="259"/>
        <v>#N/A</v>
      </c>
      <c r="GM166" s="23"/>
      <c r="GN166">
        <f t="shared" ca="1" si="260"/>
        <v>106</v>
      </c>
      <c r="GO166" s="5" t="e">
        <f t="shared" ca="1" si="261"/>
        <v>#N/A</v>
      </c>
      <c r="GP166" s="5" t="e">
        <f t="shared" ca="1" si="262"/>
        <v>#N/A</v>
      </c>
      <c r="GQ166" s="5" t="e">
        <f t="shared" ca="1" si="263"/>
        <v>#N/A</v>
      </c>
      <c r="GR166" s="5" t="e">
        <f t="shared" ca="1" si="264"/>
        <v>#N/A</v>
      </c>
      <c r="GS166" s="5">
        <f t="shared" ca="1" si="265"/>
        <v>10.107215582997</v>
      </c>
      <c r="GT166" s="5">
        <f t="shared" ca="1" si="266"/>
        <v>0.3811832270585</v>
      </c>
      <c r="GU166" s="5">
        <f t="shared" ca="1" si="267"/>
        <v>3.9834458772151412E-3</v>
      </c>
      <c r="GV166" s="5">
        <f t="shared" ca="1" si="268"/>
        <v>7.7434696269387717E-4</v>
      </c>
      <c r="GW166" s="5">
        <f t="shared" ca="1" si="269"/>
        <v>0.12885521332362654</v>
      </c>
      <c r="GX166" s="5" t="e">
        <f t="shared" ca="1" si="270"/>
        <v>#N/A</v>
      </c>
      <c r="GY166" s="5" t="e">
        <f t="shared" ca="1" si="271"/>
        <v>#N/A</v>
      </c>
      <c r="GZ166" s="5" t="e">
        <f t="shared" ca="1" si="272"/>
        <v>#N/A</v>
      </c>
      <c r="HB166" s="13">
        <f t="shared" ca="1" si="273"/>
        <v>106</v>
      </c>
      <c r="HC166" s="4">
        <f t="shared" ca="1" si="274"/>
        <v>1</v>
      </c>
      <c r="HD166" s="4">
        <f t="shared" ca="1" si="275"/>
        <v>1</v>
      </c>
      <c r="HE166" s="4">
        <f t="shared" ca="1" si="276"/>
        <v>0</v>
      </c>
      <c r="HF166" s="4">
        <f t="shared" ca="1" si="277"/>
        <v>0</v>
      </c>
      <c r="HG166" s="4">
        <f t="shared" ca="1" si="278"/>
        <v>1</v>
      </c>
      <c r="HH166" s="4">
        <f t="shared" ca="1" si="279"/>
        <v>1</v>
      </c>
      <c r="HI166" s="4">
        <f t="shared" ca="1" si="280"/>
        <v>9.5699999999999993E-2</v>
      </c>
      <c r="HJ166" s="4">
        <f t="shared" ca="1" si="281"/>
        <v>0.57669999999999999</v>
      </c>
      <c r="HK166" s="4">
        <f t="shared" ca="1" si="282"/>
        <v>7.0099999999999996E-2</v>
      </c>
      <c r="HL166" s="4">
        <f t="shared" ca="1" si="283"/>
        <v>0</v>
      </c>
      <c r="HM166" s="4">
        <f t="shared" ca="1" si="284"/>
        <v>0</v>
      </c>
      <c r="HN166" s="4">
        <f t="shared" ca="1" si="285"/>
        <v>0</v>
      </c>
    </row>
    <row r="167" spans="1:222" x14ac:dyDescent="0.2">
      <c r="A167" t="str" cm="1">
        <f t="array" aca="1" ref="A167" ca="1">INDIRECT($A$67&amp;"!A"&amp;ROW(C100)+$B$64)</f>
        <v>[[107,45,21]]</v>
      </c>
      <c r="B167" cm="1">
        <f t="array" aca="1" ref="B167" ca="1">INDIRECT($A$67&amp;"!b"&amp;ROW(D100)+$B$64)</f>
        <v>107</v>
      </c>
      <c r="C167">
        <f t="shared" ca="1" si="185"/>
        <v>21</v>
      </c>
      <c r="E167">
        <f t="shared" ca="1" si="184"/>
        <v>124</v>
      </c>
      <c r="F167" t="e">
        <f t="shared" ca="1" si="184"/>
        <v>#N/A</v>
      </c>
      <c r="G167">
        <f t="shared" ca="1" si="184"/>
        <v>124</v>
      </c>
      <c r="H167" t="e">
        <f t="shared" ca="1" si="184"/>
        <v>#N/A</v>
      </c>
      <c r="I167">
        <f t="shared" ca="1" si="184"/>
        <v>127</v>
      </c>
      <c r="J167">
        <f t="shared" ca="1" si="184"/>
        <v>124</v>
      </c>
      <c r="K167">
        <f t="shared" ca="1" si="184"/>
        <v>131</v>
      </c>
      <c r="L167">
        <f t="shared" ca="1" si="184"/>
        <v>133</v>
      </c>
      <c r="M167">
        <f t="shared" ca="1" si="184"/>
        <v>130</v>
      </c>
      <c r="N167">
        <f t="shared" ca="1" si="184"/>
        <v>128</v>
      </c>
      <c r="O167">
        <f t="shared" ca="1" si="184"/>
        <v>128</v>
      </c>
      <c r="P167">
        <f t="shared" ca="1" si="184"/>
        <v>128</v>
      </c>
      <c r="V167" cm="1">
        <f t="array" aca="1" ref="V167" ca="1">IF(ISNA(E167),,OFFSET(INDIRECT("'"&amp;V$67&amp;"'!d1"),E167-1,))</f>
        <v>21</v>
      </c>
      <c r="W167" cm="1">
        <f t="array" aca="1" ref="W167" ca="1">IF(ISNA(F167),,OFFSET(INDIRECT("'"&amp;W$67&amp;"'!d1"),F167-1,))</f>
        <v>0</v>
      </c>
      <c r="X167" cm="1">
        <f t="array" aca="1" ref="X167" ca="1">IF(ISNA(G167),,OFFSET(INDIRECT("'"&amp;X$67&amp;"'!d1"),G167-1,))</f>
        <v>38</v>
      </c>
      <c r="Y167" cm="1">
        <f t="array" aca="1" ref="Y167" ca="1">IF(ISNA(H167),,OFFSET(INDIRECT("'"&amp;Y$67&amp;"'!d1"),H167-1,))</f>
        <v>0</v>
      </c>
      <c r="Z167" cm="1">
        <f t="array" aca="1" ref="Z167" ca="1">IF(ISNA(I167),,OFFSET(INDIRECT("'"&amp;Z$67&amp;"'!d1"),I167-1,))</f>
        <v>21</v>
      </c>
      <c r="AA167" cm="1">
        <f t="array" aca="1" ref="AA167" ca="1">IF(ISNA(J167),,OFFSET(INDIRECT("'"&amp;AA$67&amp;"'!d1"),J167-1,))</f>
        <v>21</v>
      </c>
      <c r="AB167" cm="1">
        <f t="array" aca="1" ref="AB167" ca="1">IF(ISNA(K167),,OFFSET(INDIRECT("'"&amp;AB$67&amp;"'!d1"),K167-1,))</f>
        <v>21</v>
      </c>
      <c r="AC167" cm="1">
        <f t="array" aca="1" ref="AC167" ca="1">IF(ISNA(L167),,OFFSET(INDIRECT("'"&amp;AC$67&amp;"'!d1"),L167-1,))</f>
        <v>21</v>
      </c>
      <c r="AD167" cm="1">
        <f t="array" aca="1" ref="AD167" ca="1">IF(ISNA(M167),,OFFSET(INDIRECT("'"&amp;AD$67&amp;"'!d1"),M167-1,))</f>
        <v>21</v>
      </c>
      <c r="AE167" cm="1">
        <f t="array" aca="1" ref="AE167" ca="1">IF(ISNA(N167),,OFFSET(INDIRECT("'"&amp;AE$67&amp;"'!d1"),N167-1,))</f>
        <v>0</v>
      </c>
      <c r="AF167" cm="1">
        <f t="array" aca="1" ref="AF167" ca="1">IF(ISNA(O167),,OFFSET(INDIRECT("'"&amp;AF$67&amp;"'!d1"),O167-1,))</f>
        <v>0</v>
      </c>
      <c r="AG167" cm="1">
        <f t="array" aca="1" ref="AG167" ca="1">IF(ISNA(P167),,OFFSET(INDIRECT("'"&amp;AG$67&amp;"'!d1"),P167-1,))</f>
        <v>0</v>
      </c>
      <c r="AM167">
        <f t="shared" ca="1" si="186"/>
        <v>0</v>
      </c>
      <c r="AN167">
        <f t="shared" ca="1" si="187"/>
        <v>0</v>
      </c>
      <c r="AO167">
        <f t="shared" ca="1" si="188"/>
        <v>0</v>
      </c>
      <c r="AP167">
        <f t="shared" ca="1" si="189"/>
        <v>0</v>
      </c>
      <c r="AQ167">
        <f t="shared" ca="1" si="190"/>
        <v>1</v>
      </c>
      <c r="AV167" t="str">
        <f t="shared" ca="1" si="191"/>
        <v/>
      </c>
      <c r="AW167" t="str">
        <f t="shared" ca="1" si="192"/>
        <v/>
      </c>
      <c r="AX167" t="str">
        <f t="shared" ca="1" si="193"/>
        <v/>
      </c>
      <c r="AY167" t="str">
        <f t="shared" ca="1" si="194"/>
        <v/>
      </c>
      <c r="AZ167" t="b">
        <f t="shared" ca="1" si="195"/>
        <v>1</v>
      </c>
      <c r="BD167">
        <f t="shared" ca="1" si="196"/>
        <v>1</v>
      </c>
      <c r="BE167">
        <f t="shared" ca="1" si="197"/>
        <v>0</v>
      </c>
      <c r="BF167">
        <f t="shared" ca="1" si="198"/>
        <v>1</v>
      </c>
      <c r="BG167">
        <f t="shared" ca="1" si="199"/>
        <v>0</v>
      </c>
      <c r="BH167">
        <f t="shared" ca="1" si="200"/>
        <v>1</v>
      </c>
      <c r="BI167">
        <f t="shared" ca="1" si="201"/>
        <v>1</v>
      </c>
      <c r="BJ167">
        <f t="shared" ca="1" si="202"/>
        <v>1</v>
      </c>
      <c r="BK167">
        <f t="shared" ca="1" si="203"/>
        <v>1</v>
      </c>
      <c r="BL167">
        <f t="shared" ca="1" si="204"/>
        <v>1</v>
      </c>
      <c r="BM167">
        <f t="shared" ca="1" si="205"/>
        <v>0</v>
      </c>
      <c r="BN167">
        <f t="shared" ca="1" si="206"/>
        <v>0</v>
      </c>
      <c r="BO167">
        <f t="shared" ca="1" si="207"/>
        <v>0</v>
      </c>
      <c r="BU167">
        <f t="shared" ca="1" si="208"/>
        <v>21</v>
      </c>
      <c r="BV167">
        <f t="shared" ca="1" si="209"/>
        <v>107</v>
      </c>
      <c r="BW167">
        <f t="shared" ca="1" si="210"/>
        <v>38</v>
      </c>
      <c r="BX167">
        <f t="shared" ca="1" si="211"/>
        <v>107</v>
      </c>
      <c r="BY167">
        <f t="shared" ca="1" si="212"/>
        <v>21</v>
      </c>
      <c r="BZ167">
        <f t="shared" ca="1" si="213"/>
        <v>21</v>
      </c>
      <c r="CA167">
        <f t="shared" ca="1" si="214"/>
        <v>21</v>
      </c>
      <c r="CB167">
        <f t="shared" ca="1" si="215"/>
        <v>21</v>
      </c>
      <c r="CC167">
        <f t="shared" ca="1" si="216"/>
        <v>21</v>
      </c>
      <c r="CD167">
        <f t="shared" ca="1" si="217"/>
        <v>107</v>
      </c>
      <c r="CE167">
        <f t="shared" ca="1" si="218"/>
        <v>107</v>
      </c>
      <c r="CF167">
        <f t="shared" ca="1" si="219"/>
        <v>107</v>
      </c>
      <c r="CL167">
        <f t="shared" ca="1" si="220"/>
        <v>1</v>
      </c>
      <c r="CM167">
        <f t="shared" ca="1" si="221"/>
        <v>0</v>
      </c>
      <c r="CN167">
        <f t="shared" ca="1" si="222"/>
        <v>0</v>
      </c>
      <c r="CO167">
        <f t="shared" ca="1" si="223"/>
        <v>0</v>
      </c>
      <c r="CP167">
        <f t="shared" ca="1" si="224"/>
        <v>1</v>
      </c>
      <c r="CQ167">
        <f t="shared" ca="1" si="225"/>
        <v>1</v>
      </c>
      <c r="CR167">
        <f t="shared" ca="1" si="226"/>
        <v>1</v>
      </c>
      <c r="CS167">
        <f t="shared" ca="1" si="227"/>
        <v>1</v>
      </c>
      <c r="CT167">
        <f t="shared" ca="1" si="228"/>
        <v>1</v>
      </c>
      <c r="CU167">
        <f t="shared" ca="1" si="229"/>
        <v>0</v>
      </c>
      <c r="CV167">
        <f t="shared" ca="1" si="230"/>
        <v>0</v>
      </c>
      <c r="CW167">
        <f t="shared" ca="1" si="231"/>
        <v>0</v>
      </c>
      <c r="DC167" cm="1">
        <f t="array" aca="1" ref="DC167" ca="1">IF(ISNA(E167),,OFFSET(INDIRECT("'"&amp;DT$67&amp;"'!f1"),E167-1,))*1</f>
        <v>28924.150134643001</v>
      </c>
      <c r="DD167" cm="1">
        <f t="array" aca="1" ref="DD167" ca="1">IF(ISNA(F167),,OFFSET(INDIRECT("'"&amp;DU$67&amp;"'!f1"),F167-1,))*1</f>
        <v>0</v>
      </c>
      <c r="DE167" cm="1">
        <f t="array" aca="1" ref="DE167" ca="1">IF(ISNA(G167),,OFFSET(INDIRECT("'"&amp;DV$67&amp;"'!f1"),G167-1,))*1</f>
        <v>28800.147359088001</v>
      </c>
      <c r="DF167" cm="1">
        <f t="array" aca="1" ref="DF167" ca="1">IF(ISNA(H167),,OFFSET(INDIRECT("'"&amp;DW$67&amp;"'!f1"),H167-1,))*1</f>
        <v>0</v>
      </c>
      <c r="DG167" cm="1">
        <f t="array" aca="1" ref="DG167" ca="1">IF(ISNA(I167),,OFFSET(INDIRECT("'"&amp;DX$67&amp;"'!f1"),I167-1,))*1</f>
        <v>12.7122682499975</v>
      </c>
      <c r="DH167" cm="1">
        <f t="array" aca="1" ref="DH167" ca="1">IF(ISNA(J167),,OFFSET(INDIRECT("'"&amp;DY$67&amp;"'!f1"),J167-1,))*1</f>
        <v>0.32427522400393999</v>
      </c>
      <c r="DI167" cm="1">
        <f t="array" aca="1" ref="DI167" ca="1">IF(ISNA(K167),,OFFSET(INDIRECT("'"&amp;DZ$67&amp;"'!f1"),K167-1,))*1</f>
        <v>3.9079771218821402</v>
      </c>
      <c r="DJ167" cm="1">
        <f t="array" aca="1" ref="DJ167" ca="1">IF(ISNA(L167),,OFFSET(INDIRECT("'"&amp;EA$67&amp;"'!f1"),L167-1,))*1</f>
        <v>4.5300379879772601</v>
      </c>
      <c r="DK167" cm="1">
        <f t="array" aca="1" ref="DK167" ca="1">IF(ISNA(M167),,OFFSET(INDIRECT("'"&amp;EB$67&amp;"'!f1"),M167-1,))*1</f>
        <v>91.0580566492863</v>
      </c>
      <c r="DL167" cm="1">
        <f t="array" aca="1" ref="DL167" ca="1">IF(ISNA(N167),,OFFSET(INDIRECT("'"&amp;EC$67&amp;"'!f1"),N167-1,))*1</f>
        <v>1.8087736330926401E-2</v>
      </c>
      <c r="DM167" cm="1">
        <f t="array" aca="1" ref="DM167" ca="1">IF(ISNA(O167),,OFFSET(INDIRECT("'"&amp;ED$67&amp;"'!f1"),O167-1,))*1</f>
        <v>1.8365900032222202E-2</v>
      </c>
      <c r="DN167" cm="1">
        <f t="array" aca="1" ref="DN167" ca="1">IF(ISNA(P167),,OFFSET(INDIRECT("'"&amp;EE$67&amp;"'!f1"),P167-1,))*1</f>
        <v>3.1641180627048002E-2</v>
      </c>
      <c r="DT167">
        <f t="shared" ca="1" si="232"/>
        <v>1</v>
      </c>
      <c r="DU167">
        <f t="shared" ca="1" si="233"/>
        <v>0</v>
      </c>
      <c r="DV167">
        <f t="shared" ca="1" si="234"/>
        <v>0</v>
      </c>
      <c r="DW167">
        <f t="shared" ca="1" si="235"/>
        <v>0</v>
      </c>
      <c r="DX167">
        <f t="shared" ca="1" si="236"/>
        <v>1</v>
      </c>
      <c r="DY167">
        <f t="shared" ca="1" si="237"/>
        <v>1</v>
      </c>
      <c r="DZ167">
        <f t="shared" ca="1" si="238"/>
        <v>937</v>
      </c>
      <c r="EA167">
        <f t="shared" ca="1" si="239"/>
        <v>5467</v>
      </c>
      <c r="EB167">
        <f t="shared" ca="1" si="240"/>
        <v>676</v>
      </c>
      <c r="EC167">
        <f t="shared" ca="1" si="241"/>
        <v>0</v>
      </c>
      <c r="ED167">
        <f t="shared" ca="1" si="242"/>
        <v>0</v>
      </c>
      <c r="EE167">
        <f t="shared" ca="1" si="243"/>
        <v>0</v>
      </c>
      <c r="EK167" cm="1">
        <f t="array" aca="1" ref="EK167" ca="1">IF(ISNA(E167),0,OFFSET(INDIRECT("'"&amp;EK$67&amp;"'!g1"),E167-1,)*CL167)</f>
        <v>1</v>
      </c>
      <c r="EL167" cm="1">
        <f t="array" aca="1" ref="EL167" ca="1">IF(ISNA(F167),0,OFFSET(INDIRECT("'"&amp;EL$67&amp;"'!g1"),F167-1,)*CM167)</f>
        <v>0</v>
      </c>
      <c r="EM167" cm="1">
        <f t="array" aca="1" ref="EM167" ca="1">IF(ISNA(G167),0,OFFSET(INDIRECT("'"&amp;EM$67&amp;"'!g1"),G167-1,)*CN167)</f>
        <v>0</v>
      </c>
      <c r="EN167" cm="1">
        <f t="array" aca="1" ref="EN167" ca="1">IF(ISNA(H167),0,OFFSET(INDIRECT("'"&amp;EN$67&amp;"'!g1"),H167-1,)*CO167)</f>
        <v>0</v>
      </c>
      <c r="EO167" cm="1">
        <f t="array" aca="1" ref="EO167" ca="1">IF(ISNA(I167),0,OFFSET(INDIRECT("'"&amp;EO$67&amp;"'!g1"),I167-1,)*CP167)</f>
        <v>1</v>
      </c>
      <c r="EP167" cm="1">
        <f t="array" aca="1" ref="EP167" ca="1">IF(ISNA(J167),0,OFFSET(INDIRECT("'"&amp;EP$67&amp;"'!g1"),J167-1,)*CQ167)</f>
        <v>1</v>
      </c>
      <c r="EQ167" cm="1">
        <f t="array" aca="1" ref="EQ167" ca="1">IF(ISNA(K167),0,OFFSET(INDIRECT("'"&amp;EQ$67&amp;"'!g1"),K167-1,)*CR167)</f>
        <v>937</v>
      </c>
      <c r="ER167" cm="1">
        <f t="array" aca="1" ref="ER167" ca="1">IF(ISNA(L167),0,OFFSET(INDIRECT("'"&amp;ER$67&amp;"'!g1"),L167-1,)*CS167)</f>
        <v>5467</v>
      </c>
      <c r="ES167" cm="1">
        <f t="array" aca="1" ref="ES167" ca="1">IF(ISNA(M167),0,OFFSET(INDIRECT("'"&amp;ES$67&amp;"'!g1"),M167-1,)*CT167)</f>
        <v>676</v>
      </c>
      <c r="ET167" cm="1">
        <f t="array" aca="1" ref="ET167" ca="1">IF(ISNA(N167),0,OFFSET(INDIRECT("'"&amp;ET$67&amp;"'!g1"),N167-1,)*CU167)</f>
        <v>0</v>
      </c>
      <c r="EU167" cm="1">
        <f t="array" aca="1" ref="EU167" ca="1">IF(ISNA(O167),0,OFFSET(INDIRECT("'"&amp;EU$67&amp;"'!g1"),O167-1,)*CV167)</f>
        <v>0</v>
      </c>
      <c r="EV167" cm="1">
        <f t="array" aca="1" ref="EV167" ca="1">IF(ISNA(P167),0,OFFSET(INDIRECT("'"&amp;EV$67&amp;"'!g1"),P167-1,)*CW167)</f>
        <v>0</v>
      </c>
      <c r="FB167" s="10" cm="1">
        <f t="array" aca="1" ref="FB167" ca="1">IF(ISNA(E167),0,OFFSET(INDIRECT("'"&amp;EK$67&amp;"'!h1"),E167-1,))</f>
        <v>1</v>
      </c>
      <c r="FC167" s="10" cm="1">
        <f t="array" aca="1" ref="FC167" ca="1">IF(ISNA(F167),0,OFFSET(INDIRECT("'"&amp;EL$67&amp;"'!h1"),F167-1,))</f>
        <v>0</v>
      </c>
      <c r="FD167" s="10" cm="1">
        <f t="array" aca="1" ref="FD167" ca="1">IF(ISNA(G167),0,OFFSET(INDIRECT("'"&amp;EM$67&amp;"'!h1"),G167-1,))</f>
        <v>1</v>
      </c>
      <c r="FE167" s="10" cm="1">
        <f t="array" aca="1" ref="FE167" ca="1">IF(ISNA(H167),0,OFFSET(INDIRECT("'"&amp;EN$67&amp;"'!h1"),H167-1,))</f>
        <v>0</v>
      </c>
      <c r="FF167" s="10" cm="1">
        <f t="array" aca="1" ref="FF167" ca="1">IF(ISNA(I167),0,OFFSET(INDIRECT("'"&amp;EO$67&amp;"'!h1"),I167-1,))</f>
        <v>1</v>
      </c>
      <c r="FG167" s="10" cm="1">
        <f t="array" aca="1" ref="FG167" ca="1">IF(ISNA(J167),0,OFFSET(INDIRECT("'"&amp;EP$67&amp;"'!h1"),J167-1,))</f>
        <v>1</v>
      </c>
      <c r="FH167" s="10" cm="1">
        <f t="array" aca="1" ref="FH167" ca="1">IF(ISNA(K167),0,OFFSET(INDIRECT("'"&amp;EQ$67&amp;"'!h1"),K167-1,))</f>
        <v>10000</v>
      </c>
      <c r="FI167" s="10" cm="1">
        <f t="array" aca="1" ref="FI167" ca="1">IF(ISNA(L167),0,OFFSET(INDIRECT("'"&amp;ER$67&amp;"'!h1"),L167-1,))</f>
        <v>10000</v>
      </c>
      <c r="FJ167" s="10" cm="1">
        <f t="array" aca="1" ref="FJ167" ca="1">IF(ISNA(M167),0,OFFSET(INDIRECT("'"&amp;ES$67&amp;"'!h1"),M167-1,))</f>
        <v>10000</v>
      </c>
      <c r="FK167" s="10" cm="1">
        <f t="array" aca="1" ref="FK167" ca="1">IF(ISNA(N167),0,OFFSET(INDIRECT("'"&amp;ET$67&amp;"'!h1"),N167-1,))</f>
        <v>1</v>
      </c>
      <c r="FL167" s="10" cm="1">
        <f t="array" aca="1" ref="FL167" ca="1">IF(ISNA(O167),0,OFFSET(INDIRECT("'"&amp;EU$67&amp;"'!h1"),O167-1,))</f>
        <v>1</v>
      </c>
      <c r="FM167" s="10" cm="1">
        <f t="array" aca="1" ref="FM167" ca="1">IF(ISNA(P167),0,OFFSET(INDIRECT("'"&amp;EV$67&amp;"'!h1"),P167-1,))</f>
        <v>9</v>
      </c>
      <c r="FN167" s="10"/>
      <c r="FO167" s="10"/>
      <c r="FP167" s="10"/>
      <c r="FQ167" s="10"/>
      <c r="FS167">
        <f t="shared" ca="1" si="244"/>
        <v>107</v>
      </c>
      <c r="FT167">
        <f t="shared" ca="1" si="62"/>
        <v>3.9079771218821402</v>
      </c>
      <c r="FU167">
        <f t="shared" ca="1" si="63"/>
        <v>937</v>
      </c>
      <c r="FV167">
        <f t="shared" ca="1" si="64"/>
        <v>10000</v>
      </c>
      <c r="FW167" s="4">
        <f t="shared" ca="1" si="245"/>
        <v>9.3700000000000006E-2</v>
      </c>
      <c r="FX167" s="5">
        <f t="shared" ca="1" si="246"/>
        <v>4.1707333211122091E-3</v>
      </c>
      <c r="FZ167" s="13">
        <f t="shared" ca="1" si="247"/>
        <v>107</v>
      </c>
      <c r="GA167" s="23">
        <f t="shared" ca="1" si="248"/>
        <v>0</v>
      </c>
      <c r="GB167" s="23" t="e">
        <f t="shared" ca="1" si="249"/>
        <v>#N/A</v>
      </c>
      <c r="GC167" s="23">
        <f t="shared" ca="1" si="250"/>
        <v>0.80952380952380953</v>
      </c>
      <c r="GD167" s="23" t="e">
        <f t="shared" ca="1" si="251"/>
        <v>#N/A</v>
      </c>
      <c r="GE167" s="23">
        <f t="shared" ca="1" si="252"/>
        <v>0</v>
      </c>
      <c r="GF167" s="23">
        <f t="shared" ca="1" si="253"/>
        <v>0</v>
      </c>
      <c r="GG167" s="23">
        <f t="shared" ca="1" si="254"/>
        <v>0</v>
      </c>
      <c r="GH167" s="23">
        <f t="shared" ca="1" si="255"/>
        <v>0</v>
      </c>
      <c r="GI167" s="23">
        <f t="shared" ca="1" si="256"/>
        <v>0</v>
      </c>
      <c r="GJ167" s="23" t="e">
        <f t="shared" ca="1" si="257"/>
        <v>#N/A</v>
      </c>
      <c r="GK167" s="23" t="e">
        <f t="shared" ca="1" si="258"/>
        <v>#N/A</v>
      </c>
      <c r="GL167" s="23" t="e">
        <f t="shared" ca="1" si="259"/>
        <v>#N/A</v>
      </c>
      <c r="GM167" s="23"/>
      <c r="GN167">
        <f t="shared" ca="1" si="260"/>
        <v>107</v>
      </c>
      <c r="GO167" s="5" t="e">
        <f t="shared" ca="1" si="261"/>
        <v>#N/A</v>
      </c>
      <c r="GP167" s="5" t="e">
        <f t="shared" ca="1" si="262"/>
        <v>#N/A</v>
      </c>
      <c r="GQ167" s="5" t="e">
        <f t="shared" ca="1" si="263"/>
        <v>#N/A</v>
      </c>
      <c r="GR167" s="5" t="e">
        <f t="shared" ca="1" si="264"/>
        <v>#N/A</v>
      </c>
      <c r="GS167" s="5">
        <f t="shared" ca="1" si="265"/>
        <v>12.7122682499975</v>
      </c>
      <c r="GT167" s="5">
        <f t="shared" ca="1" si="266"/>
        <v>0.32427522400393999</v>
      </c>
      <c r="GU167" s="5">
        <f t="shared" ca="1" si="267"/>
        <v>4.1707333211122091E-3</v>
      </c>
      <c r="GV167" s="5">
        <f t="shared" ca="1" si="268"/>
        <v>8.2861496030313885E-4</v>
      </c>
      <c r="GW167" s="5">
        <f t="shared" ca="1" si="269"/>
        <v>0.13470126723267203</v>
      </c>
      <c r="GX167" s="5" t="e">
        <f t="shared" ca="1" si="270"/>
        <v>#N/A</v>
      </c>
      <c r="GY167" s="5" t="e">
        <f t="shared" ca="1" si="271"/>
        <v>#N/A</v>
      </c>
      <c r="GZ167" s="5" t="e">
        <f t="shared" ca="1" si="272"/>
        <v>#N/A</v>
      </c>
      <c r="HB167" s="13">
        <f t="shared" ca="1" si="273"/>
        <v>107</v>
      </c>
      <c r="HC167" s="4">
        <f t="shared" ca="1" si="274"/>
        <v>1</v>
      </c>
      <c r="HD167" s="4">
        <f t="shared" ca="1" si="275"/>
        <v>0</v>
      </c>
      <c r="HE167" s="4">
        <f t="shared" ca="1" si="276"/>
        <v>0</v>
      </c>
      <c r="HF167" s="4">
        <f t="shared" ca="1" si="277"/>
        <v>0</v>
      </c>
      <c r="HG167" s="4">
        <f t="shared" ca="1" si="278"/>
        <v>1</v>
      </c>
      <c r="HH167" s="4">
        <f t="shared" ca="1" si="279"/>
        <v>1</v>
      </c>
      <c r="HI167" s="4">
        <f t="shared" ca="1" si="280"/>
        <v>9.3700000000000006E-2</v>
      </c>
      <c r="HJ167" s="4">
        <f t="shared" ca="1" si="281"/>
        <v>0.54669999999999996</v>
      </c>
      <c r="HK167" s="4">
        <f t="shared" ca="1" si="282"/>
        <v>6.7599999999999993E-2</v>
      </c>
      <c r="HL167" s="4">
        <f t="shared" ca="1" si="283"/>
        <v>0</v>
      </c>
      <c r="HM167" s="4">
        <f t="shared" ca="1" si="284"/>
        <v>0</v>
      </c>
      <c r="HN167" s="4">
        <f t="shared" ca="1" si="285"/>
        <v>0</v>
      </c>
    </row>
    <row r="168" spans="1:222" x14ac:dyDescent="0.2">
      <c r="A168" t="str" cm="1">
        <f t="array" aca="1" ref="A168" ca="1">INDIRECT($A$67&amp;"!A"&amp;ROW(C101)+$B$64)</f>
        <v>[[108,55,17]]</v>
      </c>
      <c r="B168" cm="1">
        <f t="array" aca="1" ref="B168" ca="1">INDIRECT($A$67&amp;"!b"&amp;ROW(D101)+$B$64)</f>
        <v>108</v>
      </c>
      <c r="C168">
        <f t="shared" ca="1" si="185"/>
        <v>17</v>
      </c>
      <c r="E168">
        <f t="shared" ca="1" si="184"/>
        <v>125</v>
      </c>
      <c r="F168" t="e">
        <f t="shared" ca="1" si="184"/>
        <v>#N/A</v>
      </c>
      <c r="G168" t="e">
        <f t="shared" ca="1" si="184"/>
        <v>#N/A</v>
      </c>
      <c r="H168" t="e">
        <f t="shared" ca="1" si="184"/>
        <v>#N/A</v>
      </c>
      <c r="I168">
        <f t="shared" ca="1" si="184"/>
        <v>128</v>
      </c>
      <c r="J168">
        <f t="shared" ca="1" si="184"/>
        <v>125</v>
      </c>
      <c r="K168">
        <f t="shared" ca="1" si="184"/>
        <v>132</v>
      </c>
      <c r="L168">
        <f t="shared" ca="1" si="184"/>
        <v>134</v>
      </c>
      <c r="M168">
        <f t="shared" ca="1" si="184"/>
        <v>131</v>
      </c>
      <c r="N168">
        <f t="shared" ca="1" si="184"/>
        <v>129</v>
      </c>
      <c r="O168">
        <f t="shared" ca="1" si="184"/>
        <v>129</v>
      </c>
      <c r="P168">
        <f t="shared" ca="1" si="184"/>
        <v>129</v>
      </c>
      <c r="V168" cm="1">
        <f t="array" aca="1" ref="V168" ca="1">IF(ISNA(E168),,OFFSET(INDIRECT("'"&amp;V$67&amp;"'!d1"),E168-1,))</f>
        <v>17</v>
      </c>
      <c r="W168" cm="1">
        <f t="array" aca="1" ref="W168" ca="1">IF(ISNA(F168),,OFFSET(INDIRECT("'"&amp;W$67&amp;"'!d1"),F168-1,))</f>
        <v>0</v>
      </c>
      <c r="X168" cm="1">
        <f t="array" aca="1" ref="X168" ca="1">IF(ISNA(G168),,OFFSET(INDIRECT("'"&amp;X$67&amp;"'!d1"),G168-1,))</f>
        <v>0</v>
      </c>
      <c r="Y168" cm="1">
        <f t="array" aca="1" ref="Y168" ca="1">IF(ISNA(H168),,OFFSET(INDIRECT("'"&amp;Y$67&amp;"'!d1"),H168-1,))</f>
        <v>0</v>
      </c>
      <c r="Z168" cm="1">
        <f t="array" aca="1" ref="Z168" ca="1">IF(ISNA(I168),,OFFSET(INDIRECT("'"&amp;Z$67&amp;"'!d1"),I168-1,))</f>
        <v>17</v>
      </c>
      <c r="AA168" cm="1">
        <f t="array" aca="1" ref="AA168" ca="1">IF(ISNA(J168),,OFFSET(INDIRECT("'"&amp;AA$67&amp;"'!d1"),J168-1,))</f>
        <v>17</v>
      </c>
      <c r="AB168" cm="1">
        <f t="array" aca="1" ref="AB168" ca="1">IF(ISNA(K168),,OFFSET(INDIRECT("'"&amp;AB$67&amp;"'!d1"),K168-1,))</f>
        <v>17</v>
      </c>
      <c r="AC168" cm="1">
        <f t="array" aca="1" ref="AC168" ca="1">IF(ISNA(L168),,OFFSET(INDIRECT("'"&amp;AC$67&amp;"'!d1"),L168-1,))</f>
        <v>17</v>
      </c>
      <c r="AD168" cm="1">
        <f t="array" aca="1" ref="AD168" ca="1">IF(ISNA(M168),,OFFSET(INDIRECT("'"&amp;AD$67&amp;"'!d1"),M168-1,))</f>
        <v>17</v>
      </c>
      <c r="AE168" cm="1">
        <f t="array" aca="1" ref="AE168" ca="1">IF(ISNA(N168),,OFFSET(INDIRECT("'"&amp;AE$67&amp;"'!d1"),N168-1,))</f>
        <v>0</v>
      </c>
      <c r="AF168" cm="1">
        <f t="array" aca="1" ref="AF168" ca="1">IF(ISNA(O168),,OFFSET(INDIRECT("'"&amp;AF$67&amp;"'!d1"),O168-1,))</f>
        <v>0</v>
      </c>
      <c r="AG168" cm="1">
        <f t="array" aca="1" ref="AG168" ca="1">IF(ISNA(P168),,OFFSET(INDIRECT("'"&amp;AG$67&amp;"'!d1"),P168-1,))</f>
        <v>0</v>
      </c>
      <c r="AM168">
        <f t="shared" ca="1" si="186"/>
        <v>0</v>
      </c>
      <c r="AN168">
        <f t="shared" ca="1" si="187"/>
        <v>0</v>
      </c>
      <c r="AO168">
        <f t="shared" ca="1" si="188"/>
        <v>0</v>
      </c>
      <c r="AP168">
        <f t="shared" ca="1" si="189"/>
        <v>0</v>
      </c>
      <c r="AQ168">
        <f t="shared" ca="1" si="190"/>
        <v>1</v>
      </c>
      <c r="AV168" t="str">
        <f t="shared" ca="1" si="191"/>
        <v/>
      </c>
      <c r="AW168" t="str">
        <f t="shared" ca="1" si="192"/>
        <v/>
      </c>
      <c r="AX168" t="str">
        <f t="shared" ca="1" si="193"/>
        <v/>
      </c>
      <c r="AY168" t="str">
        <f t="shared" ca="1" si="194"/>
        <v/>
      </c>
      <c r="AZ168" t="b">
        <f t="shared" ca="1" si="195"/>
        <v>1</v>
      </c>
      <c r="BD168">
        <f t="shared" ca="1" si="196"/>
        <v>1</v>
      </c>
      <c r="BE168">
        <f t="shared" ca="1" si="197"/>
        <v>0</v>
      </c>
      <c r="BF168">
        <f t="shared" ca="1" si="198"/>
        <v>0</v>
      </c>
      <c r="BG168">
        <f t="shared" ca="1" si="199"/>
        <v>0</v>
      </c>
      <c r="BH168">
        <f t="shared" ca="1" si="200"/>
        <v>1</v>
      </c>
      <c r="BI168">
        <f t="shared" ca="1" si="201"/>
        <v>1</v>
      </c>
      <c r="BJ168">
        <f t="shared" ca="1" si="202"/>
        <v>1</v>
      </c>
      <c r="BK168">
        <f t="shared" ca="1" si="203"/>
        <v>1</v>
      </c>
      <c r="BL168">
        <f t="shared" ca="1" si="204"/>
        <v>1</v>
      </c>
      <c r="BM168">
        <f t="shared" ca="1" si="205"/>
        <v>0</v>
      </c>
      <c r="BN168">
        <f t="shared" ca="1" si="206"/>
        <v>0</v>
      </c>
      <c r="BO168">
        <f t="shared" ca="1" si="207"/>
        <v>0</v>
      </c>
      <c r="BU168">
        <f t="shared" ca="1" si="208"/>
        <v>17</v>
      </c>
      <c r="BV168">
        <f t="shared" ca="1" si="209"/>
        <v>108</v>
      </c>
      <c r="BW168">
        <f t="shared" ca="1" si="210"/>
        <v>108</v>
      </c>
      <c r="BX168">
        <f t="shared" ca="1" si="211"/>
        <v>108</v>
      </c>
      <c r="BY168">
        <f t="shared" ca="1" si="212"/>
        <v>17</v>
      </c>
      <c r="BZ168">
        <f t="shared" ca="1" si="213"/>
        <v>17</v>
      </c>
      <c r="CA168">
        <f t="shared" ca="1" si="214"/>
        <v>17</v>
      </c>
      <c r="CB168">
        <f t="shared" ca="1" si="215"/>
        <v>17</v>
      </c>
      <c r="CC168">
        <f t="shared" ca="1" si="216"/>
        <v>17</v>
      </c>
      <c r="CD168">
        <f t="shared" ca="1" si="217"/>
        <v>108</v>
      </c>
      <c r="CE168">
        <f t="shared" ca="1" si="218"/>
        <v>108</v>
      </c>
      <c r="CF168">
        <f t="shared" ca="1" si="219"/>
        <v>108</v>
      </c>
      <c r="CL168">
        <f t="shared" ca="1" si="220"/>
        <v>1</v>
      </c>
      <c r="CM168">
        <f t="shared" ca="1" si="221"/>
        <v>0</v>
      </c>
      <c r="CN168">
        <f t="shared" ca="1" si="222"/>
        <v>0</v>
      </c>
      <c r="CO168">
        <f t="shared" ca="1" si="223"/>
        <v>0</v>
      </c>
      <c r="CP168">
        <f t="shared" ca="1" si="224"/>
        <v>1</v>
      </c>
      <c r="CQ168">
        <f t="shared" ca="1" si="225"/>
        <v>1</v>
      </c>
      <c r="CR168">
        <f t="shared" ca="1" si="226"/>
        <v>1</v>
      </c>
      <c r="CS168">
        <f t="shared" ca="1" si="227"/>
        <v>1</v>
      </c>
      <c r="CT168">
        <f t="shared" ca="1" si="228"/>
        <v>1</v>
      </c>
      <c r="CU168">
        <f t="shared" ca="1" si="229"/>
        <v>0</v>
      </c>
      <c r="CV168">
        <f t="shared" ca="1" si="230"/>
        <v>0</v>
      </c>
      <c r="CW168">
        <f t="shared" ca="1" si="231"/>
        <v>0</v>
      </c>
      <c r="DC168" cm="1">
        <f t="array" aca="1" ref="DC168" ca="1">IF(ISNA(E168),,OFFSET(INDIRECT("'"&amp;DT$67&amp;"'!f1"),E168-1,))*1</f>
        <v>28911.293125730899</v>
      </c>
      <c r="DD168" cm="1">
        <f t="array" aca="1" ref="DD168" ca="1">IF(ISNA(F168),,OFFSET(INDIRECT("'"&amp;DU$67&amp;"'!f1"),F168-1,))*1</f>
        <v>0</v>
      </c>
      <c r="DE168" cm="1">
        <f t="array" aca="1" ref="DE168" ca="1">IF(ISNA(G168),,OFFSET(INDIRECT("'"&amp;DV$67&amp;"'!f1"),G168-1,))*1</f>
        <v>0</v>
      </c>
      <c r="DF168" cm="1">
        <f t="array" aca="1" ref="DF168" ca="1">IF(ISNA(H168),,OFFSET(INDIRECT("'"&amp;DW$67&amp;"'!f1"),H168-1,))*1</f>
        <v>0</v>
      </c>
      <c r="DG168" cm="1">
        <f t="array" aca="1" ref="DG168" ca="1">IF(ISNA(I168),,OFFSET(INDIRECT("'"&amp;DX$67&amp;"'!f1"),I168-1,))*1</f>
        <v>19.4610055420052</v>
      </c>
      <c r="DH168" cm="1">
        <f t="array" aca="1" ref="DH168" ca="1">IF(ISNA(J168),,OFFSET(INDIRECT("'"&amp;DY$67&amp;"'!f1"),J168-1,))*1</f>
        <v>0.277138818986713</v>
      </c>
      <c r="DI168" cm="1">
        <f t="array" aca="1" ref="DI168" ca="1">IF(ISNA(K168),,OFFSET(INDIRECT("'"&amp;DZ$67&amp;"'!f1"),K168-1,))*1</f>
        <v>3.46818369347602</v>
      </c>
      <c r="DJ168" cm="1">
        <f t="array" aca="1" ref="DJ168" ca="1">IF(ISNA(L168),,OFFSET(INDIRECT("'"&amp;EA$67&amp;"'!f1"),L168-1,))*1</f>
        <v>4.0208467869088</v>
      </c>
      <c r="DK168" cm="1">
        <f t="array" aca="1" ref="DK168" ca="1">IF(ISNA(M168),,OFFSET(INDIRECT("'"&amp;EB$67&amp;"'!f1"),M168-1,))*1</f>
        <v>88.706164771690894</v>
      </c>
      <c r="DL168" cm="1">
        <f t="array" aca="1" ref="DL168" ca="1">IF(ISNA(N168),,OFFSET(INDIRECT("'"&amp;EC$67&amp;"'!f1"),N168-1,))*1</f>
        <v>1.9285177811980199E-2</v>
      </c>
      <c r="DM168" cm="1">
        <f t="array" aca="1" ref="DM168" ca="1">IF(ISNA(O168),,OFFSET(INDIRECT("'"&amp;ED$67&amp;"'!f1"),O168-1,))*1</f>
        <v>1.98682490736246E-2</v>
      </c>
      <c r="DN168" cm="1">
        <f t="array" aca="1" ref="DN168" ca="1">IF(ISNA(P168),,OFFSET(INDIRECT("'"&amp;EE$67&amp;"'!f1"),P168-1,))*1</f>
        <v>3.4451507031917503E-2</v>
      </c>
      <c r="DT168">
        <f t="shared" ca="1" si="232"/>
        <v>1</v>
      </c>
      <c r="DU168">
        <f t="shared" ca="1" si="233"/>
        <v>0</v>
      </c>
      <c r="DV168">
        <f t="shared" ca="1" si="234"/>
        <v>0</v>
      </c>
      <c r="DW168">
        <f t="shared" ca="1" si="235"/>
        <v>0</v>
      </c>
      <c r="DX168">
        <f t="shared" ca="1" si="236"/>
        <v>1</v>
      </c>
      <c r="DY168">
        <f t="shared" ca="1" si="237"/>
        <v>1</v>
      </c>
      <c r="DZ168">
        <f t="shared" ca="1" si="238"/>
        <v>478</v>
      </c>
      <c r="EA168">
        <f t="shared" ca="1" si="239"/>
        <v>5495</v>
      </c>
      <c r="EB168">
        <f t="shared" ca="1" si="240"/>
        <v>332</v>
      </c>
      <c r="EC168">
        <f t="shared" ca="1" si="241"/>
        <v>0</v>
      </c>
      <c r="ED168">
        <f t="shared" ca="1" si="242"/>
        <v>0</v>
      </c>
      <c r="EE168">
        <f t="shared" ca="1" si="243"/>
        <v>0</v>
      </c>
      <c r="EK168" cm="1">
        <f t="array" aca="1" ref="EK168" ca="1">IF(ISNA(E168),0,OFFSET(INDIRECT("'"&amp;EK$67&amp;"'!g1"),E168-1,)*CL168)</f>
        <v>1</v>
      </c>
      <c r="EL168" cm="1">
        <f t="array" aca="1" ref="EL168" ca="1">IF(ISNA(F168),0,OFFSET(INDIRECT("'"&amp;EL$67&amp;"'!g1"),F168-1,)*CM168)</f>
        <v>0</v>
      </c>
      <c r="EM168" cm="1">
        <f t="array" aca="1" ref="EM168" ca="1">IF(ISNA(G168),0,OFFSET(INDIRECT("'"&amp;EM$67&amp;"'!g1"),G168-1,)*CN168)</f>
        <v>0</v>
      </c>
      <c r="EN168" cm="1">
        <f t="array" aca="1" ref="EN168" ca="1">IF(ISNA(H168),0,OFFSET(INDIRECT("'"&amp;EN$67&amp;"'!g1"),H168-1,)*CO168)</f>
        <v>0</v>
      </c>
      <c r="EO168" cm="1">
        <f t="array" aca="1" ref="EO168" ca="1">IF(ISNA(I168),0,OFFSET(INDIRECT("'"&amp;EO$67&amp;"'!g1"),I168-1,)*CP168)</f>
        <v>1</v>
      </c>
      <c r="EP168" cm="1">
        <f t="array" aca="1" ref="EP168" ca="1">IF(ISNA(J168),0,OFFSET(INDIRECT("'"&amp;EP$67&amp;"'!g1"),J168-1,)*CQ168)</f>
        <v>1</v>
      </c>
      <c r="EQ168" cm="1">
        <f t="array" aca="1" ref="EQ168" ca="1">IF(ISNA(K168),0,OFFSET(INDIRECT("'"&amp;EQ$67&amp;"'!g1"),K168-1,)*CR168)</f>
        <v>478</v>
      </c>
      <c r="ER168" cm="1">
        <f t="array" aca="1" ref="ER168" ca="1">IF(ISNA(L168),0,OFFSET(INDIRECT("'"&amp;ER$67&amp;"'!g1"),L168-1,)*CS168)</f>
        <v>5495</v>
      </c>
      <c r="ES168" cm="1">
        <f t="array" aca="1" ref="ES168" ca="1">IF(ISNA(M168),0,OFFSET(INDIRECT("'"&amp;ES$67&amp;"'!g1"),M168-1,)*CT168)</f>
        <v>332</v>
      </c>
      <c r="ET168" cm="1">
        <f t="array" aca="1" ref="ET168" ca="1">IF(ISNA(N168),0,OFFSET(INDIRECT("'"&amp;ET$67&amp;"'!g1"),N168-1,)*CU168)</f>
        <v>0</v>
      </c>
      <c r="EU168" cm="1">
        <f t="array" aca="1" ref="EU168" ca="1">IF(ISNA(O168),0,OFFSET(INDIRECT("'"&amp;EU$67&amp;"'!g1"),O168-1,)*CV168)</f>
        <v>0</v>
      </c>
      <c r="EV168" cm="1">
        <f t="array" aca="1" ref="EV168" ca="1">IF(ISNA(P168),0,OFFSET(INDIRECT("'"&amp;EV$67&amp;"'!g1"),P168-1,)*CW168)</f>
        <v>0</v>
      </c>
      <c r="FB168" s="10" cm="1">
        <f t="array" aca="1" ref="FB168" ca="1">IF(ISNA(E168),0,OFFSET(INDIRECT("'"&amp;EK$67&amp;"'!h1"),E168-1,))</f>
        <v>1</v>
      </c>
      <c r="FC168" s="10" cm="1">
        <f t="array" aca="1" ref="FC168" ca="1">IF(ISNA(F168),0,OFFSET(INDIRECT("'"&amp;EL$67&amp;"'!h1"),F168-1,))</f>
        <v>0</v>
      </c>
      <c r="FD168" s="10" cm="1">
        <f t="array" aca="1" ref="FD168" ca="1">IF(ISNA(G168),0,OFFSET(INDIRECT("'"&amp;EM$67&amp;"'!h1"),G168-1,))</f>
        <v>0</v>
      </c>
      <c r="FE168" s="10" cm="1">
        <f t="array" aca="1" ref="FE168" ca="1">IF(ISNA(H168),0,OFFSET(INDIRECT("'"&amp;EN$67&amp;"'!h1"),H168-1,))</f>
        <v>0</v>
      </c>
      <c r="FF168" s="10" cm="1">
        <f t="array" aca="1" ref="FF168" ca="1">IF(ISNA(I168),0,OFFSET(INDIRECT("'"&amp;EO$67&amp;"'!h1"),I168-1,))</f>
        <v>1</v>
      </c>
      <c r="FG168" s="10" cm="1">
        <f t="array" aca="1" ref="FG168" ca="1">IF(ISNA(J168),0,OFFSET(INDIRECT("'"&amp;EP$67&amp;"'!h1"),J168-1,))</f>
        <v>1</v>
      </c>
      <c r="FH168" s="10" cm="1">
        <f t="array" aca="1" ref="FH168" ca="1">IF(ISNA(K168),0,OFFSET(INDIRECT("'"&amp;EQ$67&amp;"'!h1"),K168-1,))</f>
        <v>10000</v>
      </c>
      <c r="FI168" s="10" cm="1">
        <f t="array" aca="1" ref="FI168" ca="1">IF(ISNA(L168),0,OFFSET(INDIRECT("'"&amp;ER$67&amp;"'!h1"),L168-1,))</f>
        <v>10000</v>
      </c>
      <c r="FJ168" s="10" cm="1">
        <f t="array" aca="1" ref="FJ168" ca="1">IF(ISNA(M168),0,OFFSET(INDIRECT("'"&amp;ES$67&amp;"'!h1"),M168-1,))</f>
        <v>10000</v>
      </c>
      <c r="FK168" s="10" cm="1">
        <f t="array" aca="1" ref="FK168" ca="1">IF(ISNA(N168),0,OFFSET(INDIRECT("'"&amp;ET$67&amp;"'!h1"),N168-1,))</f>
        <v>1</v>
      </c>
      <c r="FL168" s="10" cm="1">
        <f t="array" aca="1" ref="FL168" ca="1">IF(ISNA(O168),0,OFFSET(INDIRECT("'"&amp;EU$67&amp;"'!h1"),O168-1,))</f>
        <v>1</v>
      </c>
      <c r="FM168" s="10" cm="1">
        <f t="array" aca="1" ref="FM168" ca="1">IF(ISNA(P168),0,OFFSET(INDIRECT("'"&amp;EV$67&amp;"'!h1"),P168-1,))</f>
        <v>9</v>
      </c>
      <c r="FN168" s="10"/>
      <c r="FO168" s="10"/>
      <c r="FP168" s="10"/>
      <c r="FQ168" s="10"/>
      <c r="FS168">
        <f t="shared" ca="1" si="244"/>
        <v>108</v>
      </c>
      <c r="FT168">
        <f t="shared" ca="1" si="62"/>
        <v>3.46818369347602</v>
      </c>
      <c r="FU168">
        <f t="shared" ca="1" si="63"/>
        <v>478</v>
      </c>
      <c r="FV168">
        <f t="shared" ca="1" si="64"/>
        <v>10000</v>
      </c>
      <c r="FW168" s="4">
        <f t="shared" ca="1" si="245"/>
        <v>4.7800000000000002E-2</v>
      </c>
      <c r="FX168" s="5">
        <f t="shared" ca="1" si="246"/>
        <v>7.2556144214979499E-3</v>
      </c>
      <c r="FZ168" s="13">
        <f t="shared" ca="1" si="247"/>
        <v>108</v>
      </c>
      <c r="GA168" s="23">
        <f t="shared" ca="1" si="248"/>
        <v>0</v>
      </c>
      <c r="GB168" s="23" t="e">
        <f t="shared" ca="1" si="249"/>
        <v>#N/A</v>
      </c>
      <c r="GC168" s="23" t="e">
        <f t="shared" ca="1" si="250"/>
        <v>#N/A</v>
      </c>
      <c r="GD168" s="23" t="e">
        <f t="shared" ca="1" si="251"/>
        <v>#N/A</v>
      </c>
      <c r="GE168" s="23">
        <f t="shared" ca="1" si="252"/>
        <v>0</v>
      </c>
      <c r="GF168" s="23">
        <f t="shared" ca="1" si="253"/>
        <v>0</v>
      </c>
      <c r="GG168" s="23">
        <f t="shared" ca="1" si="254"/>
        <v>0</v>
      </c>
      <c r="GH168" s="23">
        <f t="shared" ca="1" si="255"/>
        <v>0</v>
      </c>
      <c r="GI168" s="23">
        <f t="shared" ca="1" si="256"/>
        <v>0</v>
      </c>
      <c r="GJ168" s="23" t="e">
        <f t="shared" ca="1" si="257"/>
        <v>#N/A</v>
      </c>
      <c r="GK168" s="23" t="e">
        <f t="shared" ca="1" si="258"/>
        <v>#N/A</v>
      </c>
      <c r="GL168" s="23" t="e">
        <f t="shared" ca="1" si="259"/>
        <v>#N/A</v>
      </c>
      <c r="GM168" s="23"/>
      <c r="GN168">
        <f t="shared" ca="1" si="260"/>
        <v>108</v>
      </c>
      <c r="GO168" s="5" t="e">
        <f t="shared" ca="1" si="261"/>
        <v>#N/A</v>
      </c>
      <c r="GP168" s="5" t="e">
        <f t="shared" ca="1" si="262"/>
        <v>#N/A</v>
      </c>
      <c r="GQ168" s="5" t="e">
        <f t="shared" ca="1" si="263"/>
        <v>#N/A</v>
      </c>
      <c r="GR168" s="5" t="e">
        <f t="shared" ca="1" si="264"/>
        <v>#N/A</v>
      </c>
      <c r="GS168" s="5">
        <f t="shared" ca="1" si="265"/>
        <v>19.4610055420052</v>
      </c>
      <c r="GT168" s="5">
        <f t="shared" ca="1" si="266"/>
        <v>0.277138818986713</v>
      </c>
      <c r="GU168" s="5">
        <f t="shared" ca="1" si="267"/>
        <v>7.2556144214979499E-3</v>
      </c>
      <c r="GV168" s="5">
        <f t="shared" ca="1" si="268"/>
        <v>7.3172825967403093E-4</v>
      </c>
      <c r="GW168" s="5">
        <f t="shared" ca="1" si="269"/>
        <v>0.26718724328822557</v>
      </c>
      <c r="GX168" s="5" t="e">
        <f t="shared" ca="1" si="270"/>
        <v>#N/A</v>
      </c>
      <c r="GY168" s="5" t="e">
        <f t="shared" ca="1" si="271"/>
        <v>#N/A</v>
      </c>
      <c r="GZ168" s="5" t="e">
        <f t="shared" ca="1" si="272"/>
        <v>#N/A</v>
      </c>
      <c r="HB168" s="13">
        <f t="shared" ca="1" si="273"/>
        <v>108</v>
      </c>
      <c r="HC168" s="4">
        <f t="shared" ca="1" si="274"/>
        <v>1</v>
      </c>
      <c r="HD168" s="4">
        <f t="shared" ca="1" si="275"/>
        <v>0</v>
      </c>
      <c r="HE168" s="4">
        <f t="shared" ca="1" si="276"/>
        <v>0</v>
      </c>
      <c r="HF168" s="4">
        <f t="shared" ca="1" si="277"/>
        <v>0</v>
      </c>
      <c r="HG168" s="4">
        <f t="shared" ca="1" si="278"/>
        <v>1</v>
      </c>
      <c r="HH168" s="4">
        <f t="shared" ca="1" si="279"/>
        <v>1</v>
      </c>
      <c r="HI168" s="4">
        <f t="shared" ca="1" si="280"/>
        <v>4.7800000000000002E-2</v>
      </c>
      <c r="HJ168" s="4">
        <f t="shared" ca="1" si="281"/>
        <v>0.54949999999999999</v>
      </c>
      <c r="HK168" s="4">
        <f t="shared" ca="1" si="282"/>
        <v>3.32E-2</v>
      </c>
      <c r="HL168" s="4">
        <f t="shared" ca="1" si="283"/>
        <v>0</v>
      </c>
      <c r="HM168" s="4">
        <f t="shared" ca="1" si="284"/>
        <v>0</v>
      </c>
      <c r="HN168" s="4">
        <f t="shared" ca="1" si="285"/>
        <v>0</v>
      </c>
    </row>
    <row r="169" spans="1:222" x14ac:dyDescent="0.2">
      <c r="A169" t="str" cm="1">
        <f t="array" aca="1" ref="A169" ca="1">INDIRECT($A$67&amp;"!A"&amp;ROW(C102)+$B$64)</f>
        <v>[[109,37,25]]</v>
      </c>
      <c r="B169" cm="1">
        <f t="array" aca="1" ref="B169" ca="1">INDIRECT($A$67&amp;"!b"&amp;ROW(D102)+$B$64)</f>
        <v>109</v>
      </c>
      <c r="C169">
        <f t="shared" ca="1" si="185"/>
        <v>25</v>
      </c>
      <c r="E169">
        <f t="shared" ca="1" si="184"/>
        <v>126</v>
      </c>
      <c r="F169" t="e">
        <f t="shared" ca="1" si="184"/>
        <v>#N/A</v>
      </c>
      <c r="G169" t="e">
        <f t="shared" ca="1" si="184"/>
        <v>#N/A</v>
      </c>
      <c r="H169" t="e">
        <f t="shared" ca="1" si="184"/>
        <v>#N/A</v>
      </c>
      <c r="I169">
        <f t="shared" ca="1" si="184"/>
        <v>129</v>
      </c>
      <c r="J169">
        <f t="shared" ca="1" si="184"/>
        <v>126</v>
      </c>
      <c r="K169">
        <f t="shared" ca="1" si="184"/>
        <v>133</v>
      </c>
      <c r="L169">
        <f t="shared" ca="1" si="184"/>
        <v>135</v>
      </c>
      <c r="M169">
        <f t="shared" ca="1" si="184"/>
        <v>132</v>
      </c>
      <c r="N169">
        <f t="shared" ca="1" si="184"/>
        <v>130</v>
      </c>
      <c r="O169">
        <f t="shared" ca="1" si="184"/>
        <v>130</v>
      </c>
      <c r="P169">
        <f t="shared" ca="1" si="184"/>
        <v>130</v>
      </c>
      <c r="V169" cm="1">
        <f t="array" aca="1" ref="V169" ca="1">IF(ISNA(E169),,OFFSET(INDIRECT("'"&amp;V$67&amp;"'!d1"),E169-1,))</f>
        <v>25</v>
      </c>
      <c r="W169" cm="1">
        <f t="array" aca="1" ref="W169" ca="1">IF(ISNA(F169),,OFFSET(INDIRECT("'"&amp;W$67&amp;"'!d1"),F169-1,))</f>
        <v>0</v>
      </c>
      <c r="X169" cm="1">
        <f t="array" aca="1" ref="X169" ca="1">IF(ISNA(G169),,OFFSET(INDIRECT("'"&amp;X$67&amp;"'!d1"),G169-1,))</f>
        <v>0</v>
      </c>
      <c r="Y169" cm="1">
        <f t="array" aca="1" ref="Y169" ca="1">IF(ISNA(H169),,OFFSET(INDIRECT("'"&amp;Y$67&amp;"'!d1"),H169-1,))</f>
        <v>0</v>
      </c>
      <c r="Z169" cm="1">
        <f t="array" aca="1" ref="Z169" ca="1">IF(ISNA(I169),,OFFSET(INDIRECT("'"&amp;Z$67&amp;"'!d1"),I169-1,))</f>
        <v>25</v>
      </c>
      <c r="AA169" cm="1">
        <f t="array" aca="1" ref="AA169" ca="1">IF(ISNA(J169),,OFFSET(INDIRECT("'"&amp;AA$67&amp;"'!d1"),J169-1,))</f>
        <v>25</v>
      </c>
      <c r="AB169" cm="1">
        <f t="array" aca="1" ref="AB169" ca="1">IF(ISNA(K169),,OFFSET(INDIRECT("'"&amp;AB$67&amp;"'!d1"),K169-1,))</f>
        <v>25</v>
      </c>
      <c r="AC169" cm="1">
        <f t="array" aca="1" ref="AC169" ca="1">IF(ISNA(L169),,OFFSET(INDIRECT("'"&amp;AC$67&amp;"'!d1"),L169-1,))</f>
        <v>25</v>
      </c>
      <c r="AD169" cm="1">
        <f t="array" aca="1" ref="AD169" ca="1">IF(ISNA(M169),,OFFSET(INDIRECT("'"&amp;AD$67&amp;"'!d1"),M169-1,))</f>
        <v>25</v>
      </c>
      <c r="AE169" cm="1">
        <f t="array" aca="1" ref="AE169" ca="1">IF(ISNA(N169),,OFFSET(INDIRECT("'"&amp;AE$67&amp;"'!d1"),N169-1,))</f>
        <v>0</v>
      </c>
      <c r="AF169" cm="1">
        <f t="array" aca="1" ref="AF169" ca="1">IF(ISNA(O169),,OFFSET(INDIRECT("'"&amp;AF$67&amp;"'!d1"),O169-1,))</f>
        <v>0</v>
      </c>
      <c r="AG169" cm="1">
        <f t="array" aca="1" ref="AG169" ca="1">IF(ISNA(P169),,OFFSET(INDIRECT("'"&amp;AG$67&amp;"'!d1"),P169-1,))</f>
        <v>0</v>
      </c>
      <c r="AM169">
        <f t="shared" ca="1" si="186"/>
        <v>0</v>
      </c>
      <c r="AN169">
        <f t="shared" ca="1" si="187"/>
        <v>0</v>
      </c>
      <c r="AO169">
        <f t="shared" ca="1" si="188"/>
        <v>0</v>
      </c>
      <c r="AP169">
        <f t="shared" ca="1" si="189"/>
        <v>0</v>
      </c>
      <c r="AQ169">
        <f t="shared" ca="1" si="190"/>
        <v>1</v>
      </c>
      <c r="AV169" t="str">
        <f t="shared" ca="1" si="191"/>
        <v/>
      </c>
      <c r="AW169" t="str">
        <f t="shared" ca="1" si="192"/>
        <v/>
      </c>
      <c r="AX169" t="str">
        <f t="shared" ca="1" si="193"/>
        <v/>
      </c>
      <c r="AY169" t="str">
        <f t="shared" ca="1" si="194"/>
        <v/>
      </c>
      <c r="AZ169" t="b">
        <f t="shared" ca="1" si="195"/>
        <v>1</v>
      </c>
      <c r="BD169">
        <f t="shared" ca="1" si="196"/>
        <v>1</v>
      </c>
      <c r="BE169">
        <f t="shared" ca="1" si="197"/>
        <v>0</v>
      </c>
      <c r="BF169">
        <f t="shared" ca="1" si="198"/>
        <v>0</v>
      </c>
      <c r="BG169">
        <f t="shared" ca="1" si="199"/>
        <v>0</v>
      </c>
      <c r="BH169">
        <f t="shared" ca="1" si="200"/>
        <v>1</v>
      </c>
      <c r="BI169">
        <f t="shared" ca="1" si="201"/>
        <v>1</v>
      </c>
      <c r="BJ169">
        <f t="shared" ca="1" si="202"/>
        <v>1</v>
      </c>
      <c r="BK169">
        <f t="shared" ca="1" si="203"/>
        <v>1</v>
      </c>
      <c r="BL169">
        <f t="shared" ca="1" si="204"/>
        <v>1</v>
      </c>
      <c r="BM169">
        <f t="shared" ca="1" si="205"/>
        <v>0</v>
      </c>
      <c r="BN169">
        <f t="shared" ca="1" si="206"/>
        <v>0</v>
      </c>
      <c r="BO169">
        <f t="shared" ca="1" si="207"/>
        <v>0</v>
      </c>
      <c r="BU169">
        <f t="shared" ca="1" si="208"/>
        <v>25</v>
      </c>
      <c r="BV169">
        <f t="shared" ca="1" si="209"/>
        <v>109</v>
      </c>
      <c r="BW169">
        <f t="shared" ca="1" si="210"/>
        <v>109</v>
      </c>
      <c r="BX169">
        <f t="shared" ca="1" si="211"/>
        <v>109</v>
      </c>
      <c r="BY169">
        <f t="shared" ca="1" si="212"/>
        <v>25</v>
      </c>
      <c r="BZ169">
        <f t="shared" ca="1" si="213"/>
        <v>25</v>
      </c>
      <c r="CA169">
        <f t="shared" ca="1" si="214"/>
        <v>25</v>
      </c>
      <c r="CB169">
        <f t="shared" ca="1" si="215"/>
        <v>25</v>
      </c>
      <c r="CC169">
        <f t="shared" ca="1" si="216"/>
        <v>25</v>
      </c>
      <c r="CD169">
        <f t="shared" ca="1" si="217"/>
        <v>109</v>
      </c>
      <c r="CE169">
        <f t="shared" ca="1" si="218"/>
        <v>109</v>
      </c>
      <c r="CF169">
        <f t="shared" ca="1" si="219"/>
        <v>109</v>
      </c>
      <c r="CL169">
        <f t="shared" ca="1" si="220"/>
        <v>1</v>
      </c>
      <c r="CM169">
        <f t="shared" ca="1" si="221"/>
        <v>0</v>
      </c>
      <c r="CN169">
        <f t="shared" ca="1" si="222"/>
        <v>0</v>
      </c>
      <c r="CO169">
        <f t="shared" ca="1" si="223"/>
        <v>0</v>
      </c>
      <c r="CP169">
        <f t="shared" ca="1" si="224"/>
        <v>1</v>
      </c>
      <c r="CQ169">
        <f t="shared" ca="1" si="225"/>
        <v>1</v>
      </c>
      <c r="CR169">
        <f t="shared" ca="1" si="226"/>
        <v>1</v>
      </c>
      <c r="CS169">
        <f t="shared" ca="1" si="227"/>
        <v>1</v>
      </c>
      <c r="CT169">
        <f t="shared" ca="1" si="228"/>
        <v>1</v>
      </c>
      <c r="CU169">
        <f t="shared" ca="1" si="229"/>
        <v>0</v>
      </c>
      <c r="CV169">
        <f t="shared" ca="1" si="230"/>
        <v>0</v>
      </c>
      <c r="CW169">
        <f t="shared" ca="1" si="231"/>
        <v>0</v>
      </c>
      <c r="DC169" cm="1">
        <f t="array" aca="1" ref="DC169" ca="1">IF(ISNA(E169),,OFFSET(INDIRECT("'"&amp;DT$67&amp;"'!f1"),E169-1,))*1</f>
        <v>28940.409093804901</v>
      </c>
      <c r="DD169" cm="1">
        <f t="array" aca="1" ref="DD169" ca="1">IF(ISNA(F169),,OFFSET(INDIRECT("'"&amp;DU$67&amp;"'!f1"),F169-1,))*1</f>
        <v>0</v>
      </c>
      <c r="DE169" cm="1">
        <f t="array" aca="1" ref="DE169" ca="1">IF(ISNA(G169),,OFFSET(INDIRECT("'"&amp;DV$67&amp;"'!f1"),G169-1,))*1</f>
        <v>0</v>
      </c>
      <c r="DF169" cm="1">
        <f t="array" aca="1" ref="DF169" ca="1">IF(ISNA(H169),,OFFSET(INDIRECT("'"&amp;DW$67&amp;"'!f1"),H169-1,))*1</f>
        <v>0</v>
      </c>
      <c r="DG169" cm="1">
        <f t="array" aca="1" ref="DG169" ca="1">IF(ISNA(I169),,OFFSET(INDIRECT("'"&amp;DX$67&amp;"'!f1"),I169-1,))*1</f>
        <v>0.48542233299667698</v>
      </c>
      <c r="DH169" cm="1">
        <f t="array" aca="1" ref="DH169" ca="1">IF(ISNA(J169),,OFFSET(INDIRECT("'"&amp;DY$67&amp;"'!f1"),J169-1,))*1</f>
        <v>0.38347674813121502</v>
      </c>
      <c r="DI169" cm="1">
        <f t="array" aca="1" ref="DI169" ca="1">IF(ISNA(K169),,OFFSET(INDIRECT("'"&amp;DZ$67&amp;"'!f1"),K169-1,))*1</f>
        <v>4.3735027005895901</v>
      </c>
      <c r="DJ169" cm="1">
        <f t="array" aca="1" ref="DJ169" ca="1">IF(ISNA(L169),,OFFSET(INDIRECT("'"&amp;EA$67&amp;"'!f1"),L169-1,))*1</f>
        <v>4.8896592687815401</v>
      </c>
      <c r="DK169" cm="1">
        <f t="array" aca="1" ref="DK169" ca="1">IF(ISNA(M169),,OFFSET(INDIRECT("'"&amp;EB$67&amp;"'!f1"),M169-1,))*1</f>
        <v>72.922923052217797</v>
      </c>
      <c r="DL169" cm="1">
        <f t="array" aca="1" ref="DL169" ca="1">IF(ISNA(N169),,OFFSET(INDIRECT("'"&amp;EC$67&amp;"'!f1"),N169-1,))*1</f>
        <v>1.7141768708825101E-2</v>
      </c>
      <c r="DM169" cm="1">
        <f t="array" aca="1" ref="DM169" ca="1">IF(ISNA(O169),,OFFSET(INDIRECT("'"&amp;ED$67&amp;"'!f1"),O169-1,))*1</f>
        <v>1.7577969469130001E-2</v>
      </c>
      <c r="DN169" cm="1">
        <f t="array" aca="1" ref="DN169" ca="1">IF(ISNA(P169),,OFFSET(INDIRECT("'"&amp;EE$67&amp;"'!f1"),P169-1,))*1</f>
        <v>3.01125589758157E-2</v>
      </c>
      <c r="DT169">
        <f t="shared" ca="1" si="232"/>
        <v>1</v>
      </c>
      <c r="DU169">
        <f t="shared" ca="1" si="233"/>
        <v>0</v>
      </c>
      <c r="DV169">
        <f t="shared" ca="1" si="234"/>
        <v>0</v>
      </c>
      <c r="DW169">
        <f t="shared" ca="1" si="235"/>
        <v>0</v>
      </c>
      <c r="DX169">
        <f t="shared" ca="1" si="236"/>
        <v>1</v>
      </c>
      <c r="DY169">
        <f t="shared" ca="1" si="237"/>
        <v>1</v>
      </c>
      <c r="DZ169">
        <f t="shared" ca="1" si="238"/>
        <v>281</v>
      </c>
      <c r="EA169">
        <f t="shared" ca="1" si="239"/>
        <v>5282</v>
      </c>
      <c r="EB169">
        <f t="shared" ca="1" si="240"/>
        <v>167</v>
      </c>
      <c r="EC169">
        <f t="shared" ca="1" si="241"/>
        <v>0</v>
      </c>
      <c r="ED169">
        <f t="shared" ca="1" si="242"/>
        <v>0</v>
      </c>
      <c r="EE169">
        <f t="shared" ca="1" si="243"/>
        <v>0</v>
      </c>
      <c r="EK169" cm="1">
        <f t="array" aca="1" ref="EK169" ca="1">IF(ISNA(E169),0,OFFSET(INDIRECT("'"&amp;EK$67&amp;"'!g1"),E169-1,)*CL169)</f>
        <v>1</v>
      </c>
      <c r="EL169" cm="1">
        <f t="array" aca="1" ref="EL169" ca="1">IF(ISNA(F169),0,OFFSET(INDIRECT("'"&amp;EL$67&amp;"'!g1"),F169-1,)*CM169)</f>
        <v>0</v>
      </c>
      <c r="EM169" cm="1">
        <f t="array" aca="1" ref="EM169" ca="1">IF(ISNA(G169),0,OFFSET(INDIRECT("'"&amp;EM$67&amp;"'!g1"),G169-1,)*CN169)</f>
        <v>0</v>
      </c>
      <c r="EN169" cm="1">
        <f t="array" aca="1" ref="EN169" ca="1">IF(ISNA(H169),0,OFFSET(INDIRECT("'"&amp;EN$67&amp;"'!g1"),H169-1,)*CO169)</f>
        <v>0</v>
      </c>
      <c r="EO169" cm="1">
        <f t="array" aca="1" ref="EO169" ca="1">IF(ISNA(I169),0,OFFSET(INDIRECT("'"&amp;EO$67&amp;"'!g1"),I169-1,)*CP169)</f>
        <v>1</v>
      </c>
      <c r="EP169" cm="1">
        <f t="array" aca="1" ref="EP169" ca="1">IF(ISNA(J169),0,OFFSET(INDIRECT("'"&amp;EP$67&amp;"'!g1"),J169-1,)*CQ169)</f>
        <v>1</v>
      </c>
      <c r="EQ169" cm="1">
        <f t="array" aca="1" ref="EQ169" ca="1">IF(ISNA(K169),0,OFFSET(INDIRECT("'"&amp;EQ$67&amp;"'!g1"),K169-1,)*CR169)</f>
        <v>281</v>
      </c>
      <c r="ER169" cm="1">
        <f t="array" aca="1" ref="ER169" ca="1">IF(ISNA(L169),0,OFFSET(INDIRECT("'"&amp;ER$67&amp;"'!g1"),L169-1,)*CS169)</f>
        <v>5282</v>
      </c>
      <c r="ES169" cm="1">
        <f t="array" aca="1" ref="ES169" ca="1">IF(ISNA(M169),0,OFFSET(INDIRECT("'"&amp;ES$67&amp;"'!g1"),M169-1,)*CT169)</f>
        <v>167</v>
      </c>
      <c r="ET169" cm="1">
        <f t="array" aca="1" ref="ET169" ca="1">IF(ISNA(N169),0,OFFSET(INDIRECT("'"&amp;ET$67&amp;"'!g1"),N169-1,)*CU169)</f>
        <v>0</v>
      </c>
      <c r="EU169" cm="1">
        <f t="array" aca="1" ref="EU169" ca="1">IF(ISNA(O169),0,OFFSET(INDIRECT("'"&amp;EU$67&amp;"'!g1"),O169-1,)*CV169)</f>
        <v>0</v>
      </c>
      <c r="EV169" cm="1">
        <f t="array" aca="1" ref="EV169" ca="1">IF(ISNA(P169),0,OFFSET(INDIRECT("'"&amp;EV$67&amp;"'!g1"),P169-1,)*CW169)</f>
        <v>0</v>
      </c>
      <c r="FB169" s="10" cm="1">
        <f t="array" aca="1" ref="FB169" ca="1">IF(ISNA(E169),0,OFFSET(INDIRECT("'"&amp;EK$67&amp;"'!h1"),E169-1,))</f>
        <v>1</v>
      </c>
      <c r="FC169" s="10" cm="1">
        <f t="array" aca="1" ref="FC169" ca="1">IF(ISNA(F169),0,OFFSET(INDIRECT("'"&amp;EL$67&amp;"'!h1"),F169-1,))</f>
        <v>0</v>
      </c>
      <c r="FD169" s="10" cm="1">
        <f t="array" aca="1" ref="FD169" ca="1">IF(ISNA(G169),0,OFFSET(INDIRECT("'"&amp;EM$67&amp;"'!h1"),G169-1,))</f>
        <v>0</v>
      </c>
      <c r="FE169" s="10" cm="1">
        <f t="array" aca="1" ref="FE169" ca="1">IF(ISNA(H169),0,OFFSET(INDIRECT("'"&amp;EN$67&amp;"'!h1"),H169-1,))</f>
        <v>0</v>
      </c>
      <c r="FF169" s="10" cm="1">
        <f t="array" aca="1" ref="FF169" ca="1">IF(ISNA(I169),0,OFFSET(INDIRECT("'"&amp;EO$67&amp;"'!h1"),I169-1,))</f>
        <v>1</v>
      </c>
      <c r="FG169" s="10" cm="1">
        <f t="array" aca="1" ref="FG169" ca="1">IF(ISNA(J169),0,OFFSET(INDIRECT("'"&amp;EP$67&amp;"'!h1"),J169-1,))</f>
        <v>1</v>
      </c>
      <c r="FH169" s="10" cm="1">
        <f t="array" aca="1" ref="FH169" ca="1">IF(ISNA(K169),0,OFFSET(INDIRECT("'"&amp;EQ$67&amp;"'!h1"),K169-1,))</f>
        <v>10000</v>
      </c>
      <c r="FI169" s="10" cm="1">
        <f t="array" aca="1" ref="FI169" ca="1">IF(ISNA(L169),0,OFFSET(INDIRECT("'"&amp;ER$67&amp;"'!h1"),L169-1,))</f>
        <v>10000</v>
      </c>
      <c r="FJ169" s="10" cm="1">
        <f t="array" aca="1" ref="FJ169" ca="1">IF(ISNA(M169),0,OFFSET(INDIRECT("'"&amp;ES$67&amp;"'!h1"),M169-1,))</f>
        <v>10000</v>
      </c>
      <c r="FK169" s="10" cm="1">
        <f t="array" aca="1" ref="FK169" ca="1">IF(ISNA(N169),0,OFFSET(INDIRECT("'"&amp;ET$67&amp;"'!h1"),N169-1,))</f>
        <v>1</v>
      </c>
      <c r="FL169" s="10" cm="1">
        <f t="array" aca="1" ref="FL169" ca="1">IF(ISNA(O169),0,OFFSET(INDIRECT("'"&amp;EU$67&amp;"'!h1"),O169-1,))</f>
        <v>1</v>
      </c>
      <c r="FM169" s="10" cm="1">
        <f t="array" aca="1" ref="FM169" ca="1">IF(ISNA(P169),0,OFFSET(INDIRECT("'"&amp;EV$67&amp;"'!h1"),P169-1,))</f>
        <v>9</v>
      </c>
      <c r="FN169" s="10"/>
      <c r="FO169" s="10"/>
      <c r="FP169" s="10"/>
      <c r="FQ169" s="10"/>
      <c r="FS169">
        <f t="shared" ca="1" si="244"/>
        <v>109</v>
      </c>
      <c r="FT169">
        <f t="shared" ca="1" si="62"/>
        <v>4.3735027005895901</v>
      </c>
      <c r="FU169">
        <f t="shared" ca="1" si="63"/>
        <v>281</v>
      </c>
      <c r="FV169">
        <f t="shared" ca="1" si="64"/>
        <v>10000</v>
      </c>
      <c r="FW169" s="4">
        <f t="shared" ca="1" si="245"/>
        <v>2.81E-2</v>
      </c>
      <c r="FX169" s="5">
        <f t="shared" ca="1" si="246"/>
        <v>1.5564066550140891E-2</v>
      </c>
      <c r="FZ169" s="13">
        <f t="shared" ca="1" si="247"/>
        <v>109</v>
      </c>
      <c r="GA169" s="23">
        <f t="shared" ca="1" si="248"/>
        <v>0</v>
      </c>
      <c r="GB169" s="23" t="e">
        <f t="shared" ca="1" si="249"/>
        <v>#N/A</v>
      </c>
      <c r="GC169" s="23" t="e">
        <f t="shared" ca="1" si="250"/>
        <v>#N/A</v>
      </c>
      <c r="GD169" s="23" t="e">
        <f t="shared" ca="1" si="251"/>
        <v>#N/A</v>
      </c>
      <c r="GE169" s="23">
        <f t="shared" ca="1" si="252"/>
        <v>0</v>
      </c>
      <c r="GF169" s="23">
        <f t="shared" ca="1" si="253"/>
        <v>0</v>
      </c>
      <c r="GG169" s="23">
        <f t="shared" ca="1" si="254"/>
        <v>0</v>
      </c>
      <c r="GH169" s="23">
        <f t="shared" ca="1" si="255"/>
        <v>0</v>
      </c>
      <c r="GI169" s="23">
        <f t="shared" ca="1" si="256"/>
        <v>0</v>
      </c>
      <c r="GJ169" s="23" t="e">
        <f t="shared" ca="1" si="257"/>
        <v>#N/A</v>
      </c>
      <c r="GK169" s="23" t="e">
        <f t="shared" ca="1" si="258"/>
        <v>#N/A</v>
      </c>
      <c r="GL169" s="23" t="e">
        <f t="shared" ca="1" si="259"/>
        <v>#N/A</v>
      </c>
      <c r="GM169" s="23"/>
      <c r="GN169">
        <f t="shared" ca="1" si="260"/>
        <v>109</v>
      </c>
      <c r="GO169" s="5" t="e">
        <f t="shared" ca="1" si="261"/>
        <v>#N/A</v>
      </c>
      <c r="GP169" s="5" t="e">
        <f t="shared" ca="1" si="262"/>
        <v>#N/A</v>
      </c>
      <c r="GQ169" s="5" t="e">
        <f t="shared" ca="1" si="263"/>
        <v>#N/A</v>
      </c>
      <c r="GR169" s="5" t="e">
        <f t="shared" ca="1" si="264"/>
        <v>#N/A</v>
      </c>
      <c r="GS169" s="5">
        <f t="shared" ca="1" si="265"/>
        <v>0.48542233299667698</v>
      </c>
      <c r="GT169" s="5">
        <f t="shared" ca="1" si="266"/>
        <v>0.38347674813121502</v>
      </c>
      <c r="GU169" s="5">
        <f t="shared" ca="1" si="267"/>
        <v>1.5564066550140891E-2</v>
      </c>
      <c r="GV169" s="5">
        <f t="shared" ca="1" si="268"/>
        <v>9.2572117924678908E-4</v>
      </c>
      <c r="GW169" s="5">
        <f t="shared" ca="1" si="269"/>
        <v>0.43666420989351973</v>
      </c>
      <c r="GX169" s="5" t="e">
        <f t="shared" ca="1" si="270"/>
        <v>#N/A</v>
      </c>
      <c r="GY169" s="5" t="e">
        <f t="shared" ca="1" si="271"/>
        <v>#N/A</v>
      </c>
      <c r="GZ169" s="5" t="e">
        <f t="shared" ca="1" si="272"/>
        <v>#N/A</v>
      </c>
      <c r="HB169" s="13">
        <f t="shared" ca="1" si="273"/>
        <v>109</v>
      </c>
      <c r="HC169" s="4">
        <f t="shared" ca="1" si="274"/>
        <v>1</v>
      </c>
      <c r="HD169" s="4">
        <f t="shared" ca="1" si="275"/>
        <v>0</v>
      </c>
      <c r="HE169" s="4">
        <f t="shared" ca="1" si="276"/>
        <v>0</v>
      </c>
      <c r="HF169" s="4">
        <f t="shared" ca="1" si="277"/>
        <v>0</v>
      </c>
      <c r="HG169" s="4">
        <f t="shared" ca="1" si="278"/>
        <v>1</v>
      </c>
      <c r="HH169" s="4">
        <f t="shared" ca="1" si="279"/>
        <v>1</v>
      </c>
      <c r="HI169" s="4">
        <f t="shared" ca="1" si="280"/>
        <v>2.81E-2</v>
      </c>
      <c r="HJ169" s="4">
        <f t="shared" ca="1" si="281"/>
        <v>0.5282</v>
      </c>
      <c r="HK169" s="4">
        <f t="shared" ca="1" si="282"/>
        <v>1.67E-2</v>
      </c>
      <c r="HL169" s="4">
        <f t="shared" ca="1" si="283"/>
        <v>0</v>
      </c>
      <c r="HM169" s="4">
        <f t="shared" ca="1" si="284"/>
        <v>0</v>
      </c>
      <c r="HN169" s="4">
        <f t="shared" ca="1" si="285"/>
        <v>0</v>
      </c>
    </row>
    <row r="170" spans="1:222" x14ac:dyDescent="0.2">
      <c r="A170" t="str" cm="1">
        <f t="array" aca="1" ref="A170" ca="1">INDIRECT($A$67&amp;"!A"&amp;ROW(C103)+$B$64)</f>
        <v>[[110,33,28]]</v>
      </c>
      <c r="B170" cm="1">
        <f t="array" aca="1" ref="B170" ca="1">INDIRECT($A$67&amp;"!b"&amp;ROW(D103)+$B$64)</f>
        <v>110</v>
      </c>
      <c r="C170">
        <f t="shared" ca="1" si="185"/>
        <v>28</v>
      </c>
      <c r="E170">
        <f t="shared" ca="1" si="184"/>
        <v>127</v>
      </c>
      <c r="F170" t="e">
        <f t="shared" ca="1" si="184"/>
        <v>#N/A</v>
      </c>
      <c r="G170" t="e">
        <f t="shared" ca="1" si="184"/>
        <v>#N/A</v>
      </c>
      <c r="H170" t="e">
        <f t="shared" ca="1" si="184"/>
        <v>#N/A</v>
      </c>
      <c r="I170">
        <f t="shared" ca="1" si="184"/>
        <v>130</v>
      </c>
      <c r="J170">
        <f t="shared" ca="1" si="184"/>
        <v>127</v>
      </c>
      <c r="K170">
        <f t="shared" ca="1" si="184"/>
        <v>134</v>
      </c>
      <c r="L170">
        <f t="shared" ca="1" si="184"/>
        <v>136</v>
      </c>
      <c r="M170">
        <f t="shared" ca="1" si="184"/>
        <v>133</v>
      </c>
      <c r="N170">
        <f t="shared" ca="1" si="184"/>
        <v>131</v>
      </c>
      <c r="O170">
        <f t="shared" ca="1" si="184"/>
        <v>131</v>
      </c>
      <c r="P170">
        <f t="shared" ca="1" si="184"/>
        <v>131</v>
      </c>
      <c r="V170" cm="1">
        <f t="array" aca="1" ref="V170" ca="1">IF(ISNA(E170),,OFFSET(INDIRECT("'"&amp;V$67&amp;"'!d1"),E170-1,))</f>
        <v>28</v>
      </c>
      <c r="W170" cm="1">
        <f t="array" aca="1" ref="W170" ca="1">IF(ISNA(F170),,OFFSET(INDIRECT("'"&amp;W$67&amp;"'!d1"),F170-1,))</f>
        <v>0</v>
      </c>
      <c r="X170" cm="1">
        <f t="array" aca="1" ref="X170" ca="1">IF(ISNA(G170),,OFFSET(INDIRECT("'"&amp;X$67&amp;"'!d1"),G170-1,))</f>
        <v>0</v>
      </c>
      <c r="Y170" cm="1">
        <f t="array" aca="1" ref="Y170" ca="1">IF(ISNA(H170),,OFFSET(INDIRECT("'"&amp;Y$67&amp;"'!d1"),H170-1,))</f>
        <v>0</v>
      </c>
      <c r="Z170" cm="1">
        <f t="array" aca="1" ref="Z170" ca="1">IF(ISNA(I170),,OFFSET(INDIRECT("'"&amp;Z$67&amp;"'!d1"),I170-1,))</f>
        <v>28</v>
      </c>
      <c r="AA170" cm="1">
        <f t="array" aca="1" ref="AA170" ca="1">IF(ISNA(J170),,OFFSET(INDIRECT("'"&amp;AA$67&amp;"'!d1"),J170-1,))</f>
        <v>28</v>
      </c>
      <c r="AB170" cm="1">
        <f t="array" aca="1" ref="AB170" ca="1">IF(ISNA(K170),,OFFSET(INDIRECT("'"&amp;AB$67&amp;"'!d1"),K170-1,))</f>
        <v>28</v>
      </c>
      <c r="AC170" cm="1">
        <f t="array" aca="1" ref="AC170" ca="1">IF(ISNA(L170),,OFFSET(INDIRECT("'"&amp;AC$67&amp;"'!d1"),L170-1,))</f>
        <v>28</v>
      </c>
      <c r="AD170" cm="1">
        <f t="array" aca="1" ref="AD170" ca="1">IF(ISNA(M170),,OFFSET(INDIRECT("'"&amp;AD$67&amp;"'!d1"),M170-1,))</f>
        <v>28</v>
      </c>
      <c r="AE170" cm="1">
        <f t="array" aca="1" ref="AE170" ca="1">IF(ISNA(N170),,OFFSET(INDIRECT("'"&amp;AE$67&amp;"'!d1"),N170-1,))</f>
        <v>0</v>
      </c>
      <c r="AF170" cm="1">
        <f t="array" aca="1" ref="AF170" ca="1">IF(ISNA(O170),,OFFSET(INDIRECT("'"&amp;AF$67&amp;"'!d1"),O170-1,))</f>
        <v>0</v>
      </c>
      <c r="AG170" cm="1">
        <f t="array" aca="1" ref="AG170" ca="1">IF(ISNA(P170),,OFFSET(INDIRECT("'"&amp;AG$67&amp;"'!d1"),P170-1,))</f>
        <v>0</v>
      </c>
      <c r="AM170">
        <f t="shared" ca="1" si="186"/>
        <v>0</v>
      </c>
      <c r="AN170">
        <f t="shared" ca="1" si="187"/>
        <v>0</v>
      </c>
      <c r="AO170">
        <f t="shared" ca="1" si="188"/>
        <v>0</v>
      </c>
      <c r="AP170">
        <f t="shared" ca="1" si="189"/>
        <v>0</v>
      </c>
      <c r="AQ170">
        <f t="shared" ca="1" si="190"/>
        <v>1</v>
      </c>
      <c r="AV170" t="str">
        <f t="shared" ca="1" si="191"/>
        <v/>
      </c>
      <c r="AW170" t="str">
        <f t="shared" ca="1" si="192"/>
        <v/>
      </c>
      <c r="AX170" t="str">
        <f t="shared" ca="1" si="193"/>
        <v/>
      </c>
      <c r="AY170" t="str">
        <f t="shared" ca="1" si="194"/>
        <v/>
      </c>
      <c r="AZ170" t="b">
        <f t="shared" ca="1" si="195"/>
        <v>1</v>
      </c>
      <c r="BD170">
        <f t="shared" ca="1" si="196"/>
        <v>1</v>
      </c>
      <c r="BE170">
        <f t="shared" ca="1" si="197"/>
        <v>0</v>
      </c>
      <c r="BF170">
        <f t="shared" ca="1" si="198"/>
        <v>0</v>
      </c>
      <c r="BG170">
        <f t="shared" ca="1" si="199"/>
        <v>0</v>
      </c>
      <c r="BH170">
        <f t="shared" ca="1" si="200"/>
        <v>1</v>
      </c>
      <c r="BI170">
        <f t="shared" ca="1" si="201"/>
        <v>1</v>
      </c>
      <c r="BJ170">
        <f t="shared" ca="1" si="202"/>
        <v>1</v>
      </c>
      <c r="BK170">
        <f t="shared" ca="1" si="203"/>
        <v>1</v>
      </c>
      <c r="BL170">
        <f t="shared" ca="1" si="204"/>
        <v>1</v>
      </c>
      <c r="BM170">
        <f t="shared" ca="1" si="205"/>
        <v>0</v>
      </c>
      <c r="BN170">
        <f t="shared" ca="1" si="206"/>
        <v>0</v>
      </c>
      <c r="BO170">
        <f t="shared" ca="1" si="207"/>
        <v>0</v>
      </c>
      <c r="BU170">
        <f t="shared" ca="1" si="208"/>
        <v>28</v>
      </c>
      <c r="BV170">
        <f t="shared" ca="1" si="209"/>
        <v>110</v>
      </c>
      <c r="BW170">
        <f t="shared" ca="1" si="210"/>
        <v>110</v>
      </c>
      <c r="BX170">
        <f t="shared" ca="1" si="211"/>
        <v>110</v>
      </c>
      <c r="BY170">
        <f t="shared" ca="1" si="212"/>
        <v>28</v>
      </c>
      <c r="BZ170">
        <f t="shared" ca="1" si="213"/>
        <v>28</v>
      </c>
      <c r="CA170">
        <f t="shared" ca="1" si="214"/>
        <v>28</v>
      </c>
      <c r="CB170">
        <f t="shared" ca="1" si="215"/>
        <v>28</v>
      </c>
      <c r="CC170">
        <f t="shared" ca="1" si="216"/>
        <v>28</v>
      </c>
      <c r="CD170">
        <f t="shared" ca="1" si="217"/>
        <v>110</v>
      </c>
      <c r="CE170">
        <f t="shared" ca="1" si="218"/>
        <v>110</v>
      </c>
      <c r="CF170">
        <f t="shared" ca="1" si="219"/>
        <v>110</v>
      </c>
      <c r="CL170">
        <f t="shared" ca="1" si="220"/>
        <v>1</v>
      </c>
      <c r="CM170">
        <f t="shared" ca="1" si="221"/>
        <v>0</v>
      </c>
      <c r="CN170">
        <f t="shared" ca="1" si="222"/>
        <v>0</v>
      </c>
      <c r="CO170">
        <f t="shared" ca="1" si="223"/>
        <v>0</v>
      </c>
      <c r="CP170">
        <f t="shared" ca="1" si="224"/>
        <v>1</v>
      </c>
      <c r="CQ170">
        <f t="shared" ca="1" si="225"/>
        <v>1</v>
      </c>
      <c r="CR170">
        <f t="shared" ca="1" si="226"/>
        <v>1</v>
      </c>
      <c r="CS170">
        <f t="shared" ca="1" si="227"/>
        <v>1</v>
      </c>
      <c r="CT170">
        <f t="shared" ca="1" si="228"/>
        <v>1</v>
      </c>
      <c r="CU170">
        <f t="shared" ca="1" si="229"/>
        <v>0</v>
      </c>
      <c r="CV170">
        <f t="shared" ca="1" si="230"/>
        <v>0</v>
      </c>
      <c r="CW170">
        <f t="shared" ca="1" si="231"/>
        <v>0</v>
      </c>
      <c r="DC170" cm="1">
        <f t="array" aca="1" ref="DC170" ca="1">IF(ISNA(E170),,OFFSET(INDIRECT("'"&amp;DT$67&amp;"'!f1"),E170-1,))*1</f>
        <v>28911.609277278101</v>
      </c>
      <c r="DD170" cm="1">
        <f t="array" aca="1" ref="DD170" ca="1">IF(ISNA(F170),,OFFSET(INDIRECT("'"&amp;DU$67&amp;"'!f1"),F170-1,))*1</f>
        <v>0</v>
      </c>
      <c r="DE170" cm="1">
        <f t="array" aca="1" ref="DE170" ca="1">IF(ISNA(G170),,OFFSET(INDIRECT("'"&amp;DV$67&amp;"'!f1"),G170-1,))*1</f>
        <v>0</v>
      </c>
      <c r="DF170" cm="1">
        <f t="array" aca="1" ref="DF170" ca="1">IF(ISNA(H170),,OFFSET(INDIRECT("'"&amp;DW$67&amp;"'!f1"),H170-1,))*1</f>
        <v>0</v>
      </c>
      <c r="DG170" cm="1">
        <f t="array" aca="1" ref="DG170" ca="1">IF(ISNA(I170),,OFFSET(INDIRECT("'"&amp;DX$67&amp;"'!f1"),I170-1,))*1</f>
        <v>0.346617124996555</v>
      </c>
      <c r="DH170" cm="1">
        <f t="array" aca="1" ref="DH170" ca="1">IF(ISNA(J170),,OFFSET(INDIRECT("'"&amp;DY$67&amp;"'!f1"),J170-1,))*1</f>
        <v>0.40938984788954202</v>
      </c>
      <c r="DI170" cm="1">
        <f t="array" aca="1" ref="DI170" ca="1">IF(ISNA(K170),,OFFSET(INDIRECT("'"&amp;DZ$67&amp;"'!f1"),K170-1,))*1</f>
        <v>4.6210558619350097</v>
      </c>
      <c r="DJ170" cm="1">
        <f t="array" aca="1" ref="DJ170" ca="1">IF(ISNA(L170),,OFFSET(INDIRECT("'"&amp;EA$67&amp;"'!f1"),L170-1,))*1</f>
        <v>5.20628475770354</v>
      </c>
      <c r="DK170" cm="1">
        <f t="array" aca="1" ref="DK170" ca="1">IF(ISNA(M170),,OFFSET(INDIRECT("'"&amp;EB$67&amp;"'!f1"),M170-1,))*1</f>
        <v>83.843185929115805</v>
      </c>
      <c r="DL170" cm="1">
        <f t="array" aca="1" ref="DL170" ca="1">IF(ISNA(N170),,OFFSET(INDIRECT("'"&amp;EC$67&amp;"'!f1"),N170-1,))*1</f>
        <v>1.69342467561364E-2</v>
      </c>
      <c r="DM170" cm="1">
        <f t="array" aca="1" ref="DM170" ca="1">IF(ISNA(O170),,OFFSET(INDIRECT("'"&amp;ED$67&amp;"'!f1"),O170-1,))*1</f>
        <v>1.7184973694384001E-2</v>
      </c>
      <c r="DN170" cm="1">
        <f t="array" aca="1" ref="DN170" ca="1">IF(ISNA(P170),,OFFSET(INDIRECT("'"&amp;EE$67&amp;"'!f1"),P170-1,))*1</f>
        <v>2.94116828590631E-2</v>
      </c>
      <c r="DT170">
        <f t="shared" ca="1" si="232"/>
        <v>1</v>
      </c>
      <c r="DU170">
        <f t="shared" ca="1" si="233"/>
        <v>0</v>
      </c>
      <c r="DV170">
        <f t="shared" ca="1" si="234"/>
        <v>0</v>
      </c>
      <c r="DW170">
        <f t="shared" ca="1" si="235"/>
        <v>0</v>
      </c>
      <c r="DX170">
        <f t="shared" ca="1" si="236"/>
        <v>1</v>
      </c>
      <c r="DY170">
        <f t="shared" ca="1" si="237"/>
        <v>1</v>
      </c>
      <c r="DZ170">
        <f t="shared" ca="1" si="238"/>
        <v>263</v>
      </c>
      <c r="EA170">
        <f t="shared" ca="1" si="239"/>
        <v>4956</v>
      </c>
      <c r="EB170">
        <f t="shared" ca="1" si="240"/>
        <v>210</v>
      </c>
      <c r="EC170">
        <f t="shared" ca="1" si="241"/>
        <v>0</v>
      </c>
      <c r="ED170">
        <f t="shared" ca="1" si="242"/>
        <v>0</v>
      </c>
      <c r="EE170">
        <f t="shared" ca="1" si="243"/>
        <v>0</v>
      </c>
      <c r="EK170" cm="1">
        <f t="array" aca="1" ref="EK170" ca="1">IF(ISNA(E170),0,OFFSET(INDIRECT("'"&amp;EK$67&amp;"'!g1"),E170-1,)*CL170)</f>
        <v>1</v>
      </c>
      <c r="EL170" cm="1">
        <f t="array" aca="1" ref="EL170" ca="1">IF(ISNA(F170),0,OFFSET(INDIRECT("'"&amp;EL$67&amp;"'!g1"),F170-1,)*CM170)</f>
        <v>0</v>
      </c>
      <c r="EM170" cm="1">
        <f t="array" aca="1" ref="EM170" ca="1">IF(ISNA(G170),0,OFFSET(INDIRECT("'"&amp;EM$67&amp;"'!g1"),G170-1,)*CN170)</f>
        <v>0</v>
      </c>
      <c r="EN170" cm="1">
        <f t="array" aca="1" ref="EN170" ca="1">IF(ISNA(H170),0,OFFSET(INDIRECT("'"&amp;EN$67&amp;"'!g1"),H170-1,)*CO170)</f>
        <v>0</v>
      </c>
      <c r="EO170" cm="1">
        <f t="array" aca="1" ref="EO170" ca="1">IF(ISNA(I170),0,OFFSET(INDIRECT("'"&amp;EO$67&amp;"'!g1"),I170-1,)*CP170)</f>
        <v>1</v>
      </c>
      <c r="EP170" cm="1">
        <f t="array" aca="1" ref="EP170" ca="1">IF(ISNA(J170),0,OFFSET(INDIRECT("'"&amp;EP$67&amp;"'!g1"),J170-1,)*CQ170)</f>
        <v>1</v>
      </c>
      <c r="EQ170" cm="1">
        <f t="array" aca="1" ref="EQ170" ca="1">IF(ISNA(K170),0,OFFSET(INDIRECT("'"&amp;EQ$67&amp;"'!g1"),K170-1,)*CR170)</f>
        <v>263</v>
      </c>
      <c r="ER170" cm="1">
        <f t="array" aca="1" ref="ER170" ca="1">IF(ISNA(L170),0,OFFSET(INDIRECT("'"&amp;ER$67&amp;"'!g1"),L170-1,)*CS170)</f>
        <v>4956</v>
      </c>
      <c r="ES170" cm="1">
        <f t="array" aca="1" ref="ES170" ca="1">IF(ISNA(M170),0,OFFSET(INDIRECT("'"&amp;ES$67&amp;"'!g1"),M170-1,)*CT170)</f>
        <v>210</v>
      </c>
      <c r="ET170" cm="1">
        <f t="array" aca="1" ref="ET170" ca="1">IF(ISNA(N170),0,OFFSET(INDIRECT("'"&amp;ET$67&amp;"'!g1"),N170-1,)*CU170)</f>
        <v>0</v>
      </c>
      <c r="EU170" cm="1">
        <f t="array" aca="1" ref="EU170" ca="1">IF(ISNA(O170),0,OFFSET(INDIRECT("'"&amp;EU$67&amp;"'!g1"),O170-1,)*CV170)</f>
        <v>0</v>
      </c>
      <c r="EV170" cm="1">
        <f t="array" aca="1" ref="EV170" ca="1">IF(ISNA(P170),0,OFFSET(INDIRECT("'"&amp;EV$67&amp;"'!g1"),P170-1,)*CW170)</f>
        <v>0</v>
      </c>
      <c r="FB170" s="10" cm="1">
        <f t="array" aca="1" ref="FB170" ca="1">IF(ISNA(E170),0,OFFSET(INDIRECT("'"&amp;EK$67&amp;"'!h1"),E170-1,))</f>
        <v>1</v>
      </c>
      <c r="FC170" s="10" cm="1">
        <f t="array" aca="1" ref="FC170" ca="1">IF(ISNA(F170),0,OFFSET(INDIRECT("'"&amp;EL$67&amp;"'!h1"),F170-1,))</f>
        <v>0</v>
      </c>
      <c r="FD170" s="10" cm="1">
        <f t="array" aca="1" ref="FD170" ca="1">IF(ISNA(G170),0,OFFSET(INDIRECT("'"&amp;EM$67&amp;"'!h1"),G170-1,))</f>
        <v>0</v>
      </c>
      <c r="FE170" s="10" cm="1">
        <f t="array" aca="1" ref="FE170" ca="1">IF(ISNA(H170),0,OFFSET(INDIRECT("'"&amp;EN$67&amp;"'!h1"),H170-1,))</f>
        <v>0</v>
      </c>
      <c r="FF170" s="10" cm="1">
        <f t="array" aca="1" ref="FF170" ca="1">IF(ISNA(I170),0,OFFSET(INDIRECT("'"&amp;EO$67&amp;"'!h1"),I170-1,))</f>
        <v>1</v>
      </c>
      <c r="FG170" s="10" cm="1">
        <f t="array" aca="1" ref="FG170" ca="1">IF(ISNA(J170),0,OFFSET(INDIRECT("'"&amp;EP$67&amp;"'!h1"),J170-1,))</f>
        <v>1</v>
      </c>
      <c r="FH170" s="10" cm="1">
        <f t="array" aca="1" ref="FH170" ca="1">IF(ISNA(K170),0,OFFSET(INDIRECT("'"&amp;EQ$67&amp;"'!h1"),K170-1,))</f>
        <v>10000</v>
      </c>
      <c r="FI170" s="10" cm="1">
        <f t="array" aca="1" ref="FI170" ca="1">IF(ISNA(L170),0,OFFSET(INDIRECT("'"&amp;ER$67&amp;"'!h1"),L170-1,))</f>
        <v>10000</v>
      </c>
      <c r="FJ170" s="10" cm="1">
        <f t="array" aca="1" ref="FJ170" ca="1">IF(ISNA(M170),0,OFFSET(INDIRECT("'"&amp;ES$67&amp;"'!h1"),M170-1,))</f>
        <v>10000</v>
      </c>
      <c r="FK170" s="10" cm="1">
        <f t="array" aca="1" ref="FK170" ca="1">IF(ISNA(N170),0,OFFSET(INDIRECT("'"&amp;ET$67&amp;"'!h1"),N170-1,))</f>
        <v>1</v>
      </c>
      <c r="FL170" s="10" cm="1">
        <f t="array" aca="1" ref="FL170" ca="1">IF(ISNA(O170),0,OFFSET(INDIRECT("'"&amp;EU$67&amp;"'!h1"),O170-1,))</f>
        <v>1</v>
      </c>
      <c r="FM170" s="10" cm="1">
        <f t="array" aca="1" ref="FM170" ca="1">IF(ISNA(P170),0,OFFSET(INDIRECT("'"&amp;EV$67&amp;"'!h1"),P170-1,))</f>
        <v>9</v>
      </c>
      <c r="FN170" s="10"/>
      <c r="FO170" s="10"/>
      <c r="FP170" s="10"/>
      <c r="FQ170" s="10"/>
      <c r="FS170">
        <f t="shared" ca="1" si="244"/>
        <v>110</v>
      </c>
      <c r="FT170">
        <f t="shared" ca="1" si="62"/>
        <v>4.6210558619350097</v>
      </c>
      <c r="FU170">
        <f t="shared" ca="1" si="63"/>
        <v>263</v>
      </c>
      <c r="FV170">
        <f t="shared" ca="1" si="64"/>
        <v>10000</v>
      </c>
      <c r="FW170" s="4">
        <f t="shared" ca="1" si="245"/>
        <v>2.63E-2</v>
      </c>
      <c r="FX170" s="5">
        <f t="shared" ca="1" si="246"/>
        <v>1.7570554608117909E-2</v>
      </c>
      <c r="FZ170" s="13">
        <f t="shared" ca="1" si="247"/>
        <v>110</v>
      </c>
      <c r="GA170" s="23">
        <f t="shared" ca="1" si="248"/>
        <v>0</v>
      </c>
      <c r="GB170" s="23" t="e">
        <f t="shared" ca="1" si="249"/>
        <v>#N/A</v>
      </c>
      <c r="GC170" s="23" t="e">
        <f t="shared" ca="1" si="250"/>
        <v>#N/A</v>
      </c>
      <c r="GD170" s="23" t="e">
        <f t="shared" ca="1" si="251"/>
        <v>#N/A</v>
      </c>
      <c r="GE170" s="23">
        <f t="shared" ca="1" si="252"/>
        <v>0</v>
      </c>
      <c r="GF170" s="23">
        <f t="shared" ca="1" si="253"/>
        <v>0</v>
      </c>
      <c r="GG170" s="23">
        <f t="shared" ca="1" si="254"/>
        <v>0</v>
      </c>
      <c r="GH170" s="23">
        <f t="shared" ca="1" si="255"/>
        <v>0</v>
      </c>
      <c r="GI170" s="23">
        <f t="shared" ca="1" si="256"/>
        <v>0</v>
      </c>
      <c r="GJ170" s="23" t="e">
        <f t="shared" ca="1" si="257"/>
        <v>#N/A</v>
      </c>
      <c r="GK170" s="23" t="e">
        <f t="shared" ca="1" si="258"/>
        <v>#N/A</v>
      </c>
      <c r="GL170" s="23" t="e">
        <f t="shared" ca="1" si="259"/>
        <v>#N/A</v>
      </c>
      <c r="GM170" s="23"/>
      <c r="GN170">
        <f t="shared" ca="1" si="260"/>
        <v>110</v>
      </c>
      <c r="GO170" s="5" t="e">
        <f t="shared" ca="1" si="261"/>
        <v>#N/A</v>
      </c>
      <c r="GP170" s="5" t="e">
        <f t="shared" ca="1" si="262"/>
        <v>#N/A</v>
      </c>
      <c r="GQ170" s="5" t="e">
        <f t="shared" ca="1" si="263"/>
        <v>#N/A</v>
      </c>
      <c r="GR170" s="5" t="e">
        <f t="shared" ca="1" si="264"/>
        <v>#N/A</v>
      </c>
      <c r="GS170" s="5">
        <f t="shared" ca="1" si="265"/>
        <v>0.346617124996555</v>
      </c>
      <c r="GT170" s="5">
        <f t="shared" ca="1" si="266"/>
        <v>0.40938984788954202</v>
      </c>
      <c r="GU170" s="5">
        <f t="shared" ca="1" si="267"/>
        <v>1.7570554608117909E-2</v>
      </c>
      <c r="GV170" s="5">
        <f t="shared" ca="1" si="268"/>
        <v>1.0505013635398587E-3</v>
      </c>
      <c r="GW170" s="5">
        <f t="shared" ca="1" si="269"/>
        <v>0.39925326632912289</v>
      </c>
      <c r="GX170" s="5" t="e">
        <f t="shared" ca="1" si="270"/>
        <v>#N/A</v>
      </c>
      <c r="GY170" s="5" t="e">
        <f t="shared" ca="1" si="271"/>
        <v>#N/A</v>
      </c>
      <c r="GZ170" s="5" t="e">
        <f t="shared" ca="1" si="272"/>
        <v>#N/A</v>
      </c>
      <c r="HB170" s="13">
        <f t="shared" ca="1" si="273"/>
        <v>110</v>
      </c>
      <c r="HC170" s="4">
        <f t="shared" ca="1" si="274"/>
        <v>1</v>
      </c>
      <c r="HD170" s="4">
        <f t="shared" ca="1" si="275"/>
        <v>0</v>
      </c>
      <c r="HE170" s="4">
        <f t="shared" ca="1" si="276"/>
        <v>0</v>
      </c>
      <c r="HF170" s="4">
        <f t="shared" ca="1" si="277"/>
        <v>0</v>
      </c>
      <c r="HG170" s="4">
        <f t="shared" ca="1" si="278"/>
        <v>1</v>
      </c>
      <c r="HH170" s="4">
        <f t="shared" ca="1" si="279"/>
        <v>1</v>
      </c>
      <c r="HI170" s="4">
        <f t="shared" ca="1" si="280"/>
        <v>2.63E-2</v>
      </c>
      <c r="HJ170" s="4">
        <f t="shared" ca="1" si="281"/>
        <v>0.49559999999999998</v>
      </c>
      <c r="HK170" s="4">
        <f t="shared" ca="1" si="282"/>
        <v>2.1000000000000001E-2</v>
      </c>
      <c r="HL170" s="4">
        <f t="shared" ca="1" si="283"/>
        <v>0</v>
      </c>
      <c r="HM170" s="4">
        <f t="shared" ca="1" si="284"/>
        <v>0</v>
      </c>
      <c r="HN170" s="4">
        <f t="shared" ca="1" si="285"/>
        <v>0</v>
      </c>
    </row>
    <row r="171" spans="1:222" x14ac:dyDescent="0.2">
      <c r="A171" t="str" cm="1">
        <f t="array" aca="1" ref="A171" ca="1">INDIRECT($A$67&amp;"!A"&amp;ROW(C104)+$B$64)</f>
        <v>[[111,57,17]]</v>
      </c>
      <c r="B171" cm="1">
        <f t="array" aca="1" ref="B171" ca="1">INDIRECT($A$67&amp;"!b"&amp;ROW(D104)+$B$64)</f>
        <v>111</v>
      </c>
      <c r="C171">
        <f t="shared" ca="1" si="185"/>
        <v>17</v>
      </c>
      <c r="E171">
        <f t="shared" ca="1" si="184"/>
        <v>128</v>
      </c>
      <c r="F171" t="e">
        <f t="shared" ca="1" si="184"/>
        <v>#N/A</v>
      </c>
      <c r="G171" t="e">
        <f t="shared" ca="1" si="184"/>
        <v>#N/A</v>
      </c>
      <c r="H171" t="e">
        <f t="shared" ref="H171:P188" ca="1" si="286">MATCH($A171,INDIRECT("'"&amp;H$67&amp;"'!A:A"),)</f>
        <v>#N/A</v>
      </c>
      <c r="I171">
        <f t="shared" ca="1" si="286"/>
        <v>131</v>
      </c>
      <c r="J171">
        <f t="shared" ca="1" si="286"/>
        <v>128</v>
      </c>
      <c r="K171">
        <f t="shared" ca="1" si="286"/>
        <v>135</v>
      </c>
      <c r="L171">
        <f t="shared" ca="1" si="286"/>
        <v>137</v>
      </c>
      <c r="M171">
        <f t="shared" ca="1" si="286"/>
        <v>134</v>
      </c>
      <c r="N171">
        <f t="shared" ca="1" si="286"/>
        <v>132</v>
      </c>
      <c r="O171">
        <f t="shared" ca="1" si="286"/>
        <v>132</v>
      </c>
      <c r="P171">
        <f t="shared" ca="1" si="286"/>
        <v>132</v>
      </c>
      <c r="V171" cm="1">
        <f t="array" aca="1" ref="V171" ca="1">IF(ISNA(E171),,OFFSET(INDIRECT("'"&amp;V$67&amp;"'!d1"),E171-1,))</f>
        <v>17</v>
      </c>
      <c r="W171" cm="1">
        <f t="array" aca="1" ref="W171" ca="1">IF(ISNA(F171),,OFFSET(INDIRECT("'"&amp;W$67&amp;"'!d1"),F171-1,))</f>
        <v>0</v>
      </c>
      <c r="X171" cm="1">
        <f t="array" aca="1" ref="X171" ca="1">IF(ISNA(G171),,OFFSET(INDIRECT("'"&amp;X$67&amp;"'!d1"),G171-1,))</f>
        <v>0</v>
      </c>
      <c r="Y171" cm="1">
        <f t="array" aca="1" ref="Y171" ca="1">IF(ISNA(H171),,OFFSET(INDIRECT("'"&amp;Y$67&amp;"'!d1"),H171-1,))</f>
        <v>0</v>
      </c>
      <c r="Z171" cm="1">
        <f t="array" aca="1" ref="Z171" ca="1">IF(ISNA(I171),,OFFSET(INDIRECT("'"&amp;Z$67&amp;"'!d1"),I171-1,))</f>
        <v>17</v>
      </c>
      <c r="AA171" cm="1">
        <f t="array" aca="1" ref="AA171" ca="1">IF(ISNA(J171),,OFFSET(INDIRECT("'"&amp;AA$67&amp;"'!d1"),J171-1,))</f>
        <v>17</v>
      </c>
      <c r="AB171" cm="1">
        <f t="array" aca="1" ref="AB171" ca="1">IF(ISNA(K171),,OFFSET(INDIRECT("'"&amp;AB$67&amp;"'!d1"),K171-1,))</f>
        <v>17</v>
      </c>
      <c r="AC171" cm="1">
        <f t="array" aca="1" ref="AC171" ca="1">IF(ISNA(L171),,OFFSET(INDIRECT("'"&amp;AC$67&amp;"'!d1"),L171-1,))</f>
        <v>17</v>
      </c>
      <c r="AD171" cm="1">
        <f t="array" aca="1" ref="AD171" ca="1">IF(ISNA(M171),,OFFSET(INDIRECT("'"&amp;AD$67&amp;"'!d1"),M171-1,))</f>
        <v>17</v>
      </c>
      <c r="AE171" cm="1">
        <f t="array" aca="1" ref="AE171" ca="1">IF(ISNA(N171),,OFFSET(INDIRECT("'"&amp;AE$67&amp;"'!d1"),N171-1,))</f>
        <v>0</v>
      </c>
      <c r="AF171" cm="1">
        <f t="array" aca="1" ref="AF171" ca="1">IF(ISNA(O171),,OFFSET(INDIRECT("'"&amp;AF$67&amp;"'!d1"),O171-1,))</f>
        <v>0</v>
      </c>
      <c r="AG171" cm="1">
        <f t="array" aca="1" ref="AG171" ca="1">IF(ISNA(P171),,OFFSET(INDIRECT("'"&amp;AG$67&amp;"'!d1"),P171-1,))</f>
        <v>0</v>
      </c>
      <c r="AM171">
        <f t="shared" ca="1" si="186"/>
        <v>0</v>
      </c>
      <c r="AN171">
        <f t="shared" ca="1" si="187"/>
        <v>0</v>
      </c>
      <c r="AO171">
        <f t="shared" ca="1" si="188"/>
        <v>0</v>
      </c>
      <c r="AP171">
        <f t="shared" ca="1" si="189"/>
        <v>0</v>
      </c>
      <c r="AQ171">
        <f t="shared" ca="1" si="190"/>
        <v>1</v>
      </c>
      <c r="AV171" t="str">
        <f t="shared" ca="1" si="191"/>
        <v/>
      </c>
      <c r="AW171" t="str">
        <f t="shared" ca="1" si="192"/>
        <v/>
      </c>
      <c r="AX171" t="str">
        <f t="shared" ca="1" si="193"/>
        <v/>
      </c>
      <c r="AY171" t="str">
        <f t="shared" ca="1" si="194"/>
        <v/>
      </c>
      <c r="AZ171" t="b">
        <f t="shared" ca="1" si="195"/>
        <v>1</v>
      </c>
      <c r="BD171">
        <f t="shared" ca="1" si="196"/>
        <v>1</v>
      </c>
      <c r="BE171">
        <f t="shared" ca="1" si="197"/>
        <v>0</v>
      </c>
      <c r="BF171">
        <f t="shared" ca="1" si="198"/>
        <v>0</v>
      </c>
      <c r="BG171">
        <f t="shared" ca="1" si="199"/>
        <v>0</v>
      </c>
      <c r="BH171">
        <f t="shared" ca="1" si="200"/>
        <v>1</v>
      </c>
      <c r="BI171">
        <f t="shared" ca="1" si="201"/>
        <v>1</v>
      </c>
      <c r="BJ171">
        <f t="shared" ca="1" si="202"/>
        <v>1</v>
      </c>
      <c r="BK171">
        <f t="shared" ca="1" si="203"/>
        <v>1</v>
      </c>
      <c r="BL171">
        <f t="shared" ca="1" si="204"/>
        <v>1</v>
      </c>
      <c r="BM171">
        <f t="shared" ca="1" si="205"/>
        <v>0</v>
      </c>
      <c r="BN171">
        <f t="shared" ca="1" si="206"/>
        <v>0</v>
      </c>
      <c r="BO171">
        <f t="shared" ca="1" si="207"/>
        <v>0</v>
      </c>
      <c r="BU171">
        <f t="shared" ca="1" si="208"/>
        <v>17</v>
      </c>
      <c r="BV171">
        <f t="shared" ca="1" si="209"/>
        <v>111</v>
      </c>
      <c r="BW171">
        <f t="shared" ca="1" si="210"/>
        <v>111</v>
      </c>
      <c r="BX171">
        <f t="shared" ca="1" si="211"/>
        <v>111</v>
      </c>
      <c r="BY171">
        <f t="shared" ca="1" si="212"/>
        <v>17</v>
      </c>
      <c r="BZ171">
        <f t="shared" ca="1" si="213"/>
        <v>17</v>
      </c>
      <c r="CA171">
        <f t="shared" ca="1" si="214"/>
        <v>17</v>
      </c>
      <c r="CB171">
        <f t="shared" ca="1" si="215"/>
        <v>17</v>
      </c>
      <c r="CC171">
        <f t="shared" ca="1" si="216"/>
        <v>17</v>
      </c>
      <c r="CD171">
        <f t="shared" ca="1" si="217"/>
        <v>111</v>
      </c>
      <c r="CE171">
        <f t="shared" ca="1" si="218"/>
        <v>111</v>
      </c>
      <c r="CF171">
        <f t="shared" ca="1" si="219"/>
        <v>111</v>
      </c>
      <c r="CL171">
        <f t="shared" ca="1" si="220"/>
        <v>1</v>
      </c>
      <c r="CM171">
        <f t="shared" ca="1" si="221"/>
        <v>0</v>
      </c>
      <c r="CN171">
        <f t="shared" ca="1" si="222"/>
        <v>0</v>
      </c>
      <c r="CO171">
        <f t="shared" ca="1" si="223"/>
        <v>0</v>
      </c>
      <c r="CP171">
        <f t="shared" ca="1" si="224"/>
        <v>1</v>
      </c>
      <c r="CQ171">
        <f t="shared" ca="1" si="225"/>
        <v>1</v>
      </c>
      <c r="CR171">
        <f t="shared" ca="1" si="226"/>
        <v>1</v>
      </c>
      <c r="CS171">
        <f t="shared" ca="1" si="227"/>
        <v>1</v>
      </c>
      <c r="CT171">
        <f t="shared" ca="1" si="228"/>
        <v>1</v>
      </c>
      <c r="CU171">
        <f t="shared" ca="1" si="229"/>
        <v>0</v>
      </c>
      <c r="CV171">
        <f t="shared" ca="1" si="230"/>
        <v>0</v>
      </c>
      <c r="CW171">
        <f t="shared" ca="1" si="231"/>
        <v>0</v>
      </c>
      <c r="DC171" cm="1">
        <f t="array" aca="1" ref="DC171" ca="1">IF(ISNA(E171),,OFFSET(INDIRECT("'"&amp;DT$67&amp;"'!f1"),E171-1,))*1</f>
        <v>28902.054175428999</v>
      </c>
      <c r="DD171" cm="1">
        <f t="array" aca="1" ref="DD171" ca="1">IF(ISNA(F171),,OFFSET(INDIRECT("'"&amp;DU$67&amp;"'!f1"),F171-1,))*1</f>
        <v>0</v>
      </c>
      <c r="DE171" cm="1">
        <f t="array" aca="1" ref="DE171" ca="1">IF(ISNA(G171),,OFFSET(INDIRECT("'"&amp;DV$67&amp;"'!f1"),G171-1,))*1</f>
        <v>0</v>
      </c>
      <c r="DF171" cm="1">
        <f t="array" aca="1" ref="DF171" ca="1">IF(ISNA(H171),,OFFSET(INDIRECT("'"&amp;DW$67&amp;"'!f1"),H171-1,))*1</f>
        <v>0</v>
      </c>
      <c r="DG171" cm="1">
        <f t="array" aca="1" ref="DG171" ca="1">IF(ISNA(I171),,OFFSET(INDIRECT("'"&amp;DX$67&amp;"'!f1"),I171-1,))*1</f>
        <v>45.196406083006799</v>
      </c>
      <c r="DH171" cm="1">
        <f t="array" aca="1" ref="DH171" ca="1">IF(ISNA(J171),,OFFSET(INDIRECT("'"&amp;DY$67&amp;"'!f1"),J171-1,))*1</f>
        <v>0.28638260718434999</v>
      </c>
      <c r="DI171" cm="1">
        <f t="array" aca="1" ref="DI171" ca="1">IF(ISNA(K171),,OFFSET(INDIRECT("'"&amp;DZ$67&amp;"'!f1"),K171-1,))*1</f>
        <v>3.6199086280539601</v>
      </c>
      <c r="DJ171" cm="1">
        <f t="array" aca="1" ref="DJ171" ca="1">IF(ISNA(L171),,OFFSET(INDIRECT("'"&amp;EA$67&amp;"'!f1"),L171-1,))*1</f>
        <v>4.2250823313370303</v>
      </c>
      <c r="DK171" cm="1">
        <f t="array" aca="1" ref="DK171" ca="1">IF(ISNA(M171),,OFFSET(INDIRECT("'"&amp;EB$67&amp;"'!f1"),M171-1,))*1</f>
        <v>92.664982747752205</v>
      </c>
      <c r="DL171" cm="1">
        <f t="array" aca="1" ref="DL171" ca="1">IF(ISNA(N171),,OFFSET(INDIRECT("'"&amp;EC$67&amp;"'!f1"),N171-1,))*1</f>
        <v>2.0125974901020499E-2</v>
      </c>
      <c r="DM171" cm="1">
        <f t="array" aca="1" ref="DM171" ca="1">IF(ISNA(O171),,OFFSET(INDIRECT("'"&amp;ED$67&amp;"'!f1"),O171-1,))*1</f>
        <v>2.0714015699923E-2</v>
      </c>
      <c r="DN171" cm="1">
        <f t="array" aca="1" ref="DN171" ca="1">IF(ISNA(P171),,OFFSET(INDIRECT("'"&amp;EE$67&amp;"'!f1"),P171-1,))*1</f>
        <v>3.4948329441249301E-2</v>
      </c>
      <c r="DT171">
        <f t="shared" ca="1" si="232"/>
        <v>1</v>
      </c>
      <c r="DU171">
        <f t="shared" ca="1" si="233"/>
        <v>0</v>
      </c>
      <c r="DV171">
        <f t="shared" ca="1" si="234"/>
        <v>0</v>
      </c>
      <c r="DW171">
        <f t="shared" ca="1" si="235"/>
        <v>0</v>
      </c>
      <c r="DX171">
        <f t="shared" ca="1" si="236"/>
        <v>1</v>
      </c>
      <c r="DY171">
        <f t="shared" ca="1" si="237"/>
        <v>1</v>
      </c>
      <c r="DZ171">
        <f t="shared" ca="1" si="238"/>
        <v>241</v>
      </c>
      <c r="EA171">
        <f t="shared" ca="1" si="239"/>
        <v>5982</v>
      </c>
      <c r="EB171">
        <f t="shared" ca="1" si="240"/>
        <v>178</v>
      </c>
      <c r="EC171">
        <f t="shared" ca="1" si="241"/>
        <v>0</v>
      </c>
      <c r="ED171">
        <f t="shared" ca="1" si="242"/>
        <v>0</v>
      </c>
      <c r="EE171">
        <f t="shared" ca="1" si="243"/>
        <v>0</v>
      </c>
      <c r="EK171" cm="1">
        <f t="array" aca="1" ref="EK171" ca="1">IF(ISNA(E171),0,OFFSET(INDIRECT("'"&amp;EK$67&amp;"'!g1"),E171-1,)*CL171)</f>
        <v>1</v>
      </c>
      <c r="EL171" cm="1">
        <f t="array" aca="1" ref="EL171" ca="1">IF(ISNA(F171),0,OFFSET(INDIRECT("'"&amp;EL$67&amp;"'!g1"),F171-1,)*CM171)</f>
        <v>0</v>
      </c>
      <c r="EM171" cm="1">
        <f t="array" aca="1" ref="EM171" ca="1">IF(ISNA(G171),0,OFFSET(INDIRECT("'"&amp;EM$67&amp;"'!g1"),G171-1,)*CN171)</f>
        <v>0</v>
      </c>
      <c r="EN171" cm="1">
        <f t="array" aca="1" ref="EN171" ca="1">IF(ISNA(H171),0,OFFSET(INDIRECT("'"&amp;EN$67&amp;"'!g1"),H171-1,)*CO171)</f>
        <v>0</v>
      </c>
      <c r="EO171" cm="1">
        <f t="array" aca="1" ref="EO171" ca="1">IF(ISNA(I171),0,OFFSET(INDIRECT("'"&amp;EO$67&amp;"'!g1"),I171-1,)*CP171)</f>
        <v>1</v>
      </c>
      <c r="EP171" cm="1">
        <f t="array" aca="1" ref="EP171" ca="1">IF(ISNA(J171),0,OFFSET(INDIRECT("'"&amp;EP$67&amp;"'!g1"),J171-1,)*CQ171)</f>
        <v>1</v>
      </c>
      <c r="EQ171" cm="1">
        <f t="array" aca="1" ref="EQ171" ca="1">IF(ISNA(K171),0,OFFSET(INDIRECT("'"&amp;EQ$67&amp;"'!g1"),K171-1,)*CR171)</f>
        <v>241</v>
      </c>
      <c r="ER171" cm="1">
        <f t="array" aca="1" ref="ER171" ca="1">IF(ISNA(L171),0,OFFSET(INDIRECT("'"&amp;ER$67&amp;"'!g1"),L171-1,)*CS171)</f>
        <v>5982</v>
      </c>
      <c r="ES171" cm="1">
        <f t="array" aca="1" ref="ES171" ca="1">IF(ISNA(M171),0,OFFSET(INDIRECT("'"&amp;ES$67&amp;"'!g1"),M171-1,)*CT171)</f>
        <v>178</v>
      </c>
      <c r="ET171" cm="1">
        <f t="array" aca="1" ref="ET171" ca="1">IF(ISNA(N171),0,OFFSET(INDIRECT("'"&amp;ET$67&amp;"'!g1"),N171-1,)*CU171)</f>
        <v>0</v>
      </c>
      <c r="EU171" cm="1">
        <f t="array" aca="1" ref="EU171" ca="1">IF(ISNA(O171),0,OFFSET(INDIRECT("'"&amp;EU$67&amp;"'!g1"),O171-1,)*CV171)</f>
        <v>0</v>
      </c>
      <c r="EV171" cm="1">
        <f t="array" aca="1" ref="EV171" ca="1">IF(ISNA(P171),0,OFFSET(INDIRECT("'"&amp;EV$67&amp;"'!g1"),P171-1,)*CW171)</f>
        <v>0</v>
      </c>
      <c r="FB171" s="10" cm="1">
        <f t="array" aca="1" ref="FB171" ca="1">IF(ISNA(E171),0,OFFSET(INDIRECT("'"&amp;EK$67&amp;"'!h1"),E171-1,))</f>
        <v>1</v>
      </c>
      <c r="FC171" s="10" cm="1">
        <f t="array" aca="1" ref="FC171" ca="1">IF(ISNA(F171),0,OFFSET(INDIRECT("'"&amp;EL$67&amp;"'!h1"),F171-1,))</f>
        <v>0</v>
      </c>
      <c r="FD171" s="10" cm="1">
        <f t="array" aca="1" ref="FD171" ca="1">IF(ISNA(G171),0,OFFSET(INDIRECT("'"&amp;EM$67&amp;"'!h1"),G171-1,))</f>
        <v>0</v>
      </c>
      <c r="FE171" s="10" cm="1">
        <f t="array" aca="1" ref="FE171" ca="1">IF(ISNA(H171),0,OFFSET(INDIRECT("'"&amp;EN$67&amp;"'!h1"),H171-1,))</f>
        <v>0</v>
      </c>
      <c r="FF171" s="10" cm="1">
        <f t="array" aca="1" ref="FF171" ca="1">IF(ISNA(I171),0,OFFSET(INDIRECT("'"&amp;EO$67&amp;"'!h1"),I171-1,))</f>
        <v>1</v>
      </c>
      <c r="FG171" s="10" cm="1">
        <f t="array" aca="1" ref="FG171" ca="1">IF(ISNA(J171),0,OFFSET(INDIRECT("'"&amp;EP$67&amp;"'!h1"),J171-1,))</f>
        <v>1</v>
      </c>
      <c r="FH171" s="10" cm="1">
        <f t="array" aca="1" ref="FH171" ca="1">IF(ISNA(K171),0,OFFSET(INDIRECT("'"&amp;EQ$67&amp;"'!h1"),K171-1,))</f>
        <v>10000</v>
      </c>
      <c r="FI171" s="10" cm="1">
        <f t="array" aca="1" ref="FI171" ca="1">IF(ISNA(L171),0,OFFSET(INDIRECT("'"&amp;ER$67&amp;"'!h1"),L171-1,))</f>
        <v>10000</v>
      </c>
      <c r="FJ171" s="10" cm="1">
        <f t="array" aca="1" ref="FJ171" ca="1">IF(ISNA(M171),0,OFFSET(INDIRECT("'"&amp;ES$67&amp;"'!h1"),M171-1,))</f>
        <v>10000</v>
      </c>
      <c r="FK171" s="10" cm="1">
        <f t="array" aca="1" ref="FK171" ca="1">IF(ISNA(N171),0,OFFSET(INDIRECT("'"&amp;ET$67&amp;"'!h1"),N171-1,))</f>
        <v>1</v>
      </c>
      <c r="FL171" s="10" cm="1">
        <f t="array" aca="1" ref="FL171" ca="1">IF(ISNA(O171),0,OFFSET(INDIRECT("'"&amp;EU$67&amp;"'!h1"),O171-1,))</f>
        <v>1</v>
      </c>
      <c r="FM171" s="10" cm="1">
        <f t="array" aca="1" ref="FM171" ca="1">IF(ISNA(P171),0,OFFSET(INDIRECT("'"&amp;EV$67&amp;"'!h1"),P171-1,))</f>
        <v>9</v>
      </c>
      <c r="FN171" s="10"/>
      <c r="FO171" s="10"/>
      <c r="FP171" s="10"/>
      <c r="FQ171" s="10"/>
      <c r="FS171">
        <f t="shared" ca="1" si="244"/>
        <v>111</v>
      </c>
      <c r="FT171">
        <f t="shared" ca="1" si="62"/>
        <v>3.6199086280539601</v>
      </c>
      <c r="FU171">
        <f t="shared" ca="1" si="63"/>
        <v>241</v>
      </c>
      <c r="FV171">
        <f t="shared" ca="1" si="64"/>
        <v>10000</v>
      </c>
      <c r="FW171" s="4">
        <f t="shared" ca="1" si="245"/>
        <v>2.41E-2</v>
      </c>
      <c r="FX171" s="5">
        <f t="shared" ca="1" si="246"/>
        <v>1.5020367751261246E-2</v>
      </c>
      <c r="FZ171" s="13">
        <f t="shared" ca="1" si="247"/>
        <v>111</v>
      </c>
      <c r="GA171" s="23">
        <f t="shared" ca="1" si="248"/>
        <v>0</v>
      </c>
      <c r="GB171" s="23" t="e">
        <f t="shared" ca="1" si="249"/>
        <v>#N/A</v>
      </c>
      <c r="GC171" s="23" t="e">
        <f t="shared" ca="1" si="250"/>
        <v>#N/A</v>
      </c>
      <c r="GD171" s="23" t="e">
        <f t="shared" ca="1" si="251"/>
        <v>#N/A</v>
      </c>
      <c r="GE171" s="23">
        <f t="shared" ca="1" si="252"/>
        <v>0</v>
      </c>
      <c r="GF171" s="23">
        <f t="shared" ca="1" si="253"/>
        <v>0</v>
      </c>
      <c r="GG171" s="23">
        <f t="shared" ca="1" si="254"/>
        <v>0</v>
      </c>
      <c r="GH171" s="23">
        <f t="shared" ca="1" si="255"/>
        <v>0</v>
      </c>
      <c r="GI171" s="23">
        <f t="shared" ca="1" si="256"/>
        <v>0</v>
      </c>
      <c r="GJ171" s="23" t="e">
        <f t="shared" ca="1" si="257"/>
        <v>#N/A</v>
      </c>
      <c r="GK171" s="23" t="e">
        <f t="shared" ca="1" si="258"/>
        <v>#N/A</v>
      </c>
      <c r="GL171" s="23" t="e">
        <f t="shared" ca="1" si="259"/>
        <v>#N/A</v>
      </c>
      <c r="GM171" s="23"/>
      <c r="GN171">
        <f t="shared" ca="1" si="260"/>
        <v>111</v>
      </c>
      <c r="GO171" s="5" t="e">
        <f t="shared" ca="1" si="261"/>
        <v>#N/A</v>
      </c>
      <c r="GP171" s="5" t="e">
        <f t="shared" ca="1" si="262"/>
        <v>#N/A</v>
      </c>
      <c r="GQ171" s="5" t="e">
        <f t="shared" ca="1" si="263"/>
        <v>#N/A</v>
      </c>
      <c r="GR171" s="5" t="e">
        <f t="shared" ca="1" si="264"/>
        <v>#N/A</v>
      </c>
      <c r="GS171" s="5">
        <f t="shared" ca="1" si="265"/>
        <v>45.196406083006799</v>
      </c>
      <c r="GT171" s="5">
        <f t="shared" ca="1" si="266"/>
        <v>0.28638260718434999</v>
      </c>
      <c r="GU171" s="5">
        <f t="shared" ca="1" si="267"/>
        <v>1.5020367751261246E-2</v>
      </c>
      <c r="GV171" s="5">
        <f t="shared" ca="1" si="268"/>
        <v>7.0629928641541793E-4</v>
      </c>
      <c r="GW171" s="5">
        <f t="shared" ca="1" si="269"/>
        <v>0.52058979071770906</v>
      </c>
      <c r="GX171" s="5" t="e">
        <f t="shared" ca="1" si="270"/>
        <v>#N/A</v>
      </c>
      <c r="GY171" s="5" t="e">
        <f t="shared" ca="1" si="271"/>
        <v>#N/A</v>
      </c>
      <c r="GZ171" s="5" t="e">
        <f t="shared" ca="1" si="272"/>
        <v>#N/A</v>
      </c>
      <c r="HB171" s="13">
        <f t="shared" ca="1" si="273"/>
        <v>111</v>
      </c>
      <c r="HC171" s="4">
        <f t="shared" ca="1" si="274"/>
        <v>1</v>
      </c>
      <c r="HD171" s="4">
        <f t="shared" ca="1" si="275"/>
        <v>0</v>
      </c>
      <c r="HE171" s="4">
        <f t="shared" ca="1" si="276"/>
        <v>0</v>
      </c>
      <c r="HF171" s="4">
        <f t="shared" ca="1" si="277"/>
        <v>0</v>
      </c>
      <c r="HG171" s="4">
        <f t="shared" ca="1" si="278"/>
        <v>1</v>
      </c>
      <c r="HH171" s="4">
        <f t="shared" ca="1" si="279"/>
        <v>1</v>
      </c>
      <c r="HI171" s="4">
        <f t="shared" ca="1" si="280"/>
        <v>2.41E-2</v>
      </c>
      <c r="HJ171" s="4">
        <f t="shared" ca="1" si="281"/>
        <v>0.59819999999999995</v>
      </c>
      <c r="HK171" s="4">
        <f t="shared" ca="1" si="282"/>
        <v>1.78E-2</v>
      </c>
      <c r="HL171" s="4">
        <f t="shared" ca="1" si="283"/>
        <v>0</v>
      </c>
      <c r="HM171" s="4">
        <f t="shared" ca="1" si="284"/>
        <v>0</v>
      </c>
      <c r="HN171" s="4">
        <f t="shared" ca="1" si="285"/>
        <v>0</v>
      </c>
    </row>
    <row r="172" spans="1:222" x14ac:dyDescent="0.2">
      <c r="A172" t="str" cm="1">
        <f t="array" aca="1" ref="A172" ca="1">INDIRECT($A$67&amp;"!A"&amp;ROW(C105)+$B$64)</f>
        <v>[[112,36,27]]</v>
      </c>
      <c r="B172" cm="1">
        <f t="array" aca="1" ref="B172" ca="1">INDIRECT($A$67&amp;"!b"&amp;ROW(D105)+$B$64)</f>
        <v>112</v>
      </c>
      <c r="C172">
        <f t="shared" ref="C172:C188" ca="1" si="287">MIN(INDIRECT($A$67&amp;"!d"&amp;ROW(E105)+$B$64),BU172:CG172)</f>
        <v>27</v>
      </c>
      <c r="E172">
        <f t="shared" ref="E172:G188" ca="1" si="288">MATCH($A172,INDIRECT("'"&amp;E$67&amp;"'!A:A"),)</f>
        <v>129</v>
      </c>
      <c r="F172" t="e">
        <f t="shared" ca="1" si="288"/>
        <v>#N/A</v>
      </c>
      <c r="G172" t="e">
        <f t="shared" ca="1" si="288"/>
        <v>#N/A</v>
      </c>
      <c r="H172" t="e">
        <f t="shared" ca="1" si="286"/>
        <v>#N/A</v>
      </c>
      <c r="I172">
        <f t="shared" ca="1" si="286"/>
        <v>132</v>
      </c>
      <c r="J172">
        <f t="shared" ca="1" si="286"/>
        <v>129</v>
      </c>
      <c r="K172">
        <f t="shared" ca="1" si="286"/>
        <v>136</v>
      </c>
      <c r="L172">
        <f t="shared" ca="1" si="286"/>
        <v>138</v>
      </c>
      <c r="M172">
        <f t="shared" ca="1" si="286"/>
        <v>135</v>
      </c>
      <c r="N172">
        <f t="shared" ca="1" si="286"/>
        <v>133</v>
      </c>
      <c r="O172">
        <f t="shared" ca="1" si="286"/>
        <v>133</v>
      </c>
      <c r="P172">
        <f t="shared" ca="1" si="286"/>
        <v>133</v>
      </c>
      <c r="V172" cm="1">
        <f t="array" aca="1" ref="V172" ca="1">IF(ISNA(E172),,OFFSET(INDIRECT("'"&amp;V$67&amp;"'!d1"),E172-1,))</f>
        <v>27</v>
      </c>
      <c r="W172" cm="1">
        <f t="array" aca="1" ref="W172" ca="1">IF(ISNA(F172),,OFFSET(INDIRECT("'"&amp;W$67&amp;"'!d1"),F172-1,))</f>
        <v>0</v>
      </c>
      <c r="X172" cm="1">
        <f t="array" aca="1" ref="X172" ca="1">IF(ISNA(G172),,OFFSET(INDIRECT("'"&amp;X$67&amp;"'!d1"),G172-1,))</f>
        <v>0</v>
      </c>
      <c r="Y172" cm="1">
        <f t="array" aca="1" ref="Y172" ca="1">IF(ISNA(H172),,OFFSET(INDIRECT("'"&amp;Y$67&amp;"'!d1"),H172-1,))</f>
        <v>0</v>
      </c>
      <c r="Z172" cm="1">
        <f t="array" aca="1" ref="Z172" ca="1">IF(ISNA(I172),,OFFSET(INDIRECT("'"&amp;Z$67&amp;"'!d1"),I172-1,))</f>
        <v>27</v>
      </c>
      <c r="AA172" cm="1">
        <f t="array" aca="1" ref="AA172" ca="1">IF(ISNA(J172),,OFFSET(INDIRECT("'"&amp;AA$67&amp;"'!d1"),J172-1,))</f>
        <v>27</v>
      </c>
      <c r="AB172" cm="1">
        <f t="array" aca="1" ref="AB172" ca="1">IF(ISNA(K172),,OFFSET(INDIRECT("'"&amp;AB$67&amp;"'!d1"),K172-1,))</f>
        <v>27</v>
      </c>
      <c r="AC172" cm="1">
        <f t="array" aca="1" ref="AC172" ca="1">IF(ISNA(L172),,OFFSET(INDIRECT("'"&amp;AC$67&amp;"'!d1"),L172-1,))</f>
        <v>27</v>
      </c>
      <c r="AD172" cm="1">
        <f t="array" aca="1" ref="AD172" ca="1">IF(ISNA(M172),,OFFSET(INDIRECT("'"&amp;AD$67&amp;"'!d1"),M172-1,))</f>
        <v>27</v>
      </c>
      <c r="AE172" cm="1">
        <f t="array" aca="1" ref="AE172" ca="1">IF(ISNA(N172),,OFFSET(INDIRECT("'"&amp;AE$67&amp;"'!d1"),N172-1,))</f>
        <v>0</v>
      </c>
      <c r="AF172" cm="1">
        <f t="array" aca="1" ref="AF172" ca="1">IF(ISNA(O172),,OFFSET(INDIRECT("'"&amp;AF$67&amp;"'!d1"),O172-1,))</f>
        <v>0</v>
      </c>
      <c r="AG172" cm="1">
        <f t="array" aca="1" ref="AG172" ca="1">IF(ISNA(P172),,OFFSET(INDIRECT("'"&amp;AG$67&amp;"'!d1"),P172-1,))</f>
        <v>0</v>
      </c>
      <c r="AM172">
        <f t="shared" ref="AM172:AM188" ca="1" si="289">IF(DC172&gt;= $N$3,0,BD172)</f>
        <v>0</v>
      </c>
      <c r="AN172">
        <f t="shared" ref="AN172:AN188" ca="1" si="290">IF(DD172&gt;= $N$3,0,BE172)</f>
        <v>0</v>
      </c>
      <c r="AO172">
        <f t="shared" ref="AO172:AO188" ca="1" si="291">IF(DE172&gt;= $N$3,0,BF172)</f>
        <v>0</v>
      </c>
      <c r="AP172">
        <f t="shared" ref="AP172:AP188" ca="1" si="292">IF(DF172&gt;= $N$3,0,BG172)</f>
        <v>0</v>
      </c>
      <c r="AQ172">
        <f t="shared" ref="AQ172:AQ188" ca="1" si="293">IF(DG172*1&gt;= $N$3,0,BH172)</f>
        <v>1</v>
      </c>
      <c r="AV172" t="str">
        <f t="shared" ref="AV172:AV188" ca="1" si="294">IF(AM172=1,CL172=1,"")</f>
        <v/>
      </c>
      <c r="AW172" t="str">
        <f t="shared" ref="AW172:AW188" ca="1" si="295">IF(AN172=1,CM172=1,"")</f>
        <v/>
      </c>
      <c r="AX172" t="str">
        <f t="shared" ref="AX172:AX188" ca="1" si="296">IF(AO172=1,CN172=1,"")</f>
        <v/>
      </c>
      <c r="AY172" t="str">
        <f t="shared" ref="AY172:AY188" ca="1" si="297">IF(AP172=1,CO172=1,"")</f>
        <v/>
      </c>
      <c r="AZ172" t="b">
        <f t="shared" ref="AZ172:AZ188" ca="1" si="298">IF(AQ172=1,CP172=1,"")</f>
        <v>1</v>
      </c>
      <c r="BD172">
        <f t="shared" ref="BD172:BD188" ca="1" si="299">IF(AND(V172&gt;0,V172&lt;$B172),1,0)</f>
        <v>1</v>
      </c>
      <c r="BE172">
        <f t="shared" ref="BE172:BE188" ca="1" si="300">IF(AND(W172&gt;0,W172&lt;$B172),1,0)</f>
        <v>0</v>
      </c>
      <c r="BF172">
        <f t="shared" ref="BF172:BF188" ca="1" si="301">IF(AND(X172&gt;0,X172&lt;$B172),1,0)</f>
        <v>0</v>
      </c>
      <c r="BG172">
        <f t="shared" ref="BG172:BG188" ca="1" si="302">IF(AND(Y172&gt;0,Y172&lt;$B172),1,0)</f>
        <v>0</v>
      </c>
      <c r="BH172">
        <f t="shared" ref="BH172:BH188" ca="1" si="303">IF(AND(Z172&gt;0,Z172&lt;$B172),1,0)</f>
        <v>1</v>
      </c>
      <c r="BI172">
        <f t="shared" ref="BI172:BI188" ca="1" si="304">IF(AND(AA172&gt;0,AA172&lt;$B172),1,0)</f>
        <v>1</v>
      </c>
      <c r="BJ172">
        <f t="shared" ref="BJ172:BJ188" ca="1" si="305">IF(AND(AB172&gt;0,AB172&lt;$B172),1,0)</f>
        <v>1</v>
      </c>
      <c r="BK172">
        <f t="shared" ref="BK172:BK188" ca="1" si="306">IF(AND(AC172&gt;0,AC172&lt;$B172),1,0)</f>
        <v>1</v>
      </c>
      <c r="BL172">
        <f t="shared" ref="BL172:BL188" ca="1" si="307">IF(AND(AD172&gt;0,AD172&lt;$B172),1,0)</f>
        <v>1</v>
      </c>
      <c r="BM172">
        <f t="shared" ref="BM172:BM188" ca="1" si="308">IF(AND(AE172&gt;0,AE172&lt;$B172),1,0)</f>
        <v>0</v>
      </c>
      <c r="BN172">
        <f t="shared" ref="BN172:BN188" ca="1" si="309">IF(AND(AF172&gt;0,AF172&lt;$B172),1,0)</f>
        <v>0</v>
      </c>
      <c r="BO172">
        <f t="shared" ref="BO172:BO188" ca="1" si="310">IF(AND(AG172&gt;0,AG172&lt;$B172),1,0)</f>
        <v>0</v>
      </c>
      <c r="BU172">
        <f t="shared" ref="BU172:BU188" ca="1" si="311">IF(BD172,V172,$B172)</f>
        <v>27</v>
      </c>
      <c r="BV172">
        <f t="shared" ref="BV172:BV188" ca="1" si="312">IF(BE172,W172,$B172)</f>
        <v>112</v>
      </c>
      <c r="BW172">
        <f t="shared" ref="BW172:BW188" ca="1" si="313">IF(BF172,X172,$B172)</f>
        <v>112</v>
      </c>
      <c r="BX172">
        <f t="shared" ref="BX172:BX188" ca="1" si="314">IF(BG172,Y172,$B172)</f>
        <v>112</v>
      </c>
      <c r="BY172">
        <f t="shared" ref="BY172:BY188" ca="1" si="315">IF(BH172,Z172,$B172)</f>
        <v>27</v>
      </c>
      <c r="BZ172">
        <f t="shared" ref="BZ172:BZ188" ca="1" si="316">IF(BI172,AA172,$B172)</f>
        <v>27</v>
      </c>
      <c r="CA172">
        <f t="shared" ref="CA172:CA188" ca="1" si="317">IF(BJ172,AB172,$B172)</f>
        <v>27</v>
      </c>
      <c r="CB172">
        <f t="shared" ref="CB172:CB188" ca="1" si="318">IF(BK172,AC172,$B172)</f>
        <v>27</v>
      </c>
      <c r="CC172">
        <f t="shared" ref="CC172:CC188" ca="1" si="319">IF(BL172,AD172,$B172)</f>
        <v>27</v>
      </c>
      <c r="CD172">
        <f t="shared" ref="CD172:CD188" ca="1" si="320">IF(BM172,AE172,$B172)</f>
        <v>112</v>
      </c>
      <c r="CE172">
        <f t="shared" ref="CE172:CE188" ca="1" si="321">IF(BN172,AF172,$B172)</f>
        <v>112</v>
      </c>
      <c r="CF172">
        <f t="shared" ref="CF172:CF188" ca="1" si="322">IF(BO172,AG172,$B172)</f>
        <v>112</v>
      </c>
      <c r="CL172">
        <f t="shared" ref="CL172:CL188" ca="1" si="323">IF(BU172=$C172,1,0)</f>
        <v>1</v>
      </c>
      <c r="CM172">
        <f t="shared" ref="CM172:CM188" ca="1" si="324">IF(BV172=$C172,1,0)</f>
        <v>0</v>
      </c>
      <c r="CN172">
        <f t="shared" ref="CN172:CN188" ca="1" si="325">IF(BW172=$C172,1,0)</f>
        <v>0</v>
      </c>
      <c r="CO172">
        <f t="shared" ref="CO172:CO188" ca="1" si="326">IF(BX172=$C172,1,0)</f>
        <v>0</v>
      </c>
      <c r="CP172">
        <f t="shared" ref="CP172:CP188" ca="1" si="327">IF(BY172=$C172,1,0)</f>
        <v>1</v>
      </c>
      <c r="CQ172">
        <f t="shared" ref="CQ172:CQ188" ca="1" si="328">IF(BZ172=$C172,1,0)</f>
        <v>1</v>
      </c>
      <c r="CR172">
        <f t="shared" ref="CR172:CR188" ca="1" si="329">IF(CA172=$C172,1,0)</f>
        <v>1</v>
      </c>
      <c r="CS172">
        <f t="shared" ref="CS172:CS188" ca="1" si="330">IF(CB172=$C172,1,0)</f>
        <v>1</v>
      </c>
      <c r="CT172">
        <f t="shared" ref="CT172:CT188" ca="1" si="331">IF(CC172=$C172,1,0)</f>
        <v>1</v>
      </c>
      <c r="CU172">
        <f t="shared" ref="CU172:CU188" ca="1" si="332">IF(CD172=$C172,1,0)</f>
        <v>0</v>
      </c>
      <c r="CV172">
        <f t="shared" ref="CV172:CV188" ca="1" si="333">IF(CE172=$C172,1,0)</f>
        <v>0</v>
      </c>
      <c r="CW172">
        <f t="shared" ref="CW172:CW188" ca="1" si="334">IF(CF172=$C172,1,0)</f>
        <v>0</v>
      </c>
      <c r="DC172" cm="1">
        <f t="array" aca="1" ref="DC172" ca="1">IF(ISNA(E172),,OFFSET(INDIRECT("'"&amp;DT$67&amp;"'!f1"),E172-1,))*1</f>
        <v>28933.182339548999</v>
      </c>
      <c r="DD172" cm="1">
        <f t="array" aca="1" ref="DD172" ca="1">IF(ISNA(F172),,OFFSET(INDIRECT("'"&amp;DU$67&amp;"'!f1"),F172-1,))*1</f>
        <v>0</v>
      </c>
      <c r="DE172" cm="1">
        <f t="array" aca="1" ref="DE172" ca="1">IF(ISNA(G172),,OFFSET(INDIRECT("'"&amp;DV$67&amp;"'!f1"),G172-1,))*1</f>
        <v>0</v>
      </c>
      <c r="DF172" cm="1">
        <f t="array" aca="1" ref="DF172" ca="1">IF(ISNA(H172),,OFFSET(INDIRECT("'"&amp;DW$67&amp;"'!f1"),H172-1,))*1</f>
        <v>0</v>
      </c>
      <c r="DG172" cm="1">
        <f t="array" aca="1" ref="DG172" ca="1">IF(ISNA(I172),,OFFSET(INDIRECT("'"&amp;DX$67&amp;"'!f1"),I172-1,))*1</f>
        <v>0.395964541996363</v>
      </c>
      <c r="DH172" cm="1">
        <f t="array" aca="1" ref="DH172" ca="1">IF(ISNA(J172),,OFFSET(INDIRECT("'"&amp;DY$67&amp;"'!f1"),J172-1,))*1</f>
        <v>0.48894840572029302</v>
      </c>
      <c r="DI172" cm="1">
        <f t="array" aca="1" ref="DI172" ca="1">IF(ISNA(K172),,OFFSET(INDIRECT("'"&amp;DZ$67&amp;"'!f1"),K172-1,))*1</f>
        <v>4.5214198436587996</v>
      </c>
      <c r="DJ172" cm="1">
        <f t="array" aca="1" ref="DJ172" ca="1">IF(ISNA(L172),,OFFSET(INDIRECT("'"&amp;EA$67&amp;"'!f1"),L172-1,))*1</f>
        <v>5.0518092578276903</v>
      </c>
      <c r="DK172" cm="1">
        <f t="array" aca="1" ref="DK172" ca="1">IF(ISNA(M172),,OFFSET(INDIRECT("'"&amp;EB$67&amp;"'!f1"),M172-1,))*1</f>
        <v>91.625890617258804</v>
      </c>
      <c r="DL172" cm="1">
        <f t="array" aca="1" ref="DL172" ca="1">IF(ISNA(N172),,OFFSET(INDIRECT("'"&amp;EC$67&amp;"'!f1"),N172-1,))*1</f>
        <v>1.7533229663968E-2</v>
      </c>
      <c r="DM172" cm="1">
        <f t="array" aca="1" ref="DM172" ca="1">IF(ISNA(O172),,OFFSET(INDIRECT("'"&amp;ED$67&amp;"'!f1"),O172-1,))*1</f>
        <v>1.7730879597365801E-2</v>
      </c>
      <c r="DN172" cm="1">
        <f t="array" aca="1" ref="DN172" ca="1">IF(ISNA(P172),,OFFSET(INDIRECT("'"&amp;EE$67&amp;"'!f1"),P172-1,))*1</f>
        <v>3.0542202293872799E-2</v>
      </c>
      <c r="DT172">
        <f t="shared" ref="DT172:DT188" ca="1" si="335">IF(CL172,EK172,)</f>
        <v>1</v>
      </c>
      <c r="DU172">
        <f t="shared" ref="DU172:DU188" ca="1" si="336">IF(CM172,EL172,)</f>
        <v>0</v>
      </c>
      <c r="DV172">
        <f t="shared" ref="DV172:DV188" ca="1" si="337">IF(CN172,EM172,)</f>
        <v>0</v>
      </c>
      <c r="DW172">
        <f t="shared" ref="DW172:DW188" ca="1" si="338">IF(CO172,EN172,)</f>
        <v>0</v>
      </c>
      <c r="DX172">
        <f t="shared" ref="DX172:DX188" ca="1" si="339">IF(CP172,EO172,)</f>
        <v>1</v>
      </c>
      <c r="DY172">
        <f t="shared" ref="DY172:DY188" ca="1" si="340">IF(CQ172,EP172,)</f>
        <v>1</v>
      </c>
      <c r="DZ172">
        <f t="shared" ref="DZ172:DZ188" ca="1" si="341">IF(CR172,EQ172,)</f>
        <v>100</v>
      </c>
      <c r="EA172">
        <f t="shared" ref="EA172:EA188" ca="1" si="342">IF(CS172,ER172,)</f>
        <v>4813</v>
      </c>
      <c r="EB172">
        <f t="shared" ref="EB172:EB188" ca="1" si="343">IF(CT172,ES172,)</f>
        <v>82</v>
      </c>
      <c r="EC172">
        <f t="shared" ref="EC172:EC188" ca="1" si="344">IF(CU172,ET172,)</f>
        <v>0</v>
      </c>
      <c r="ED172">
        <f t="shared" ref="ED172:ED188" ca="1" si="345">IF(CV172,EU172,)</f>
        <v>0</v>
      </c>
      <c r="EE172">
        <f t="shared" ref="EE172:EE188" ca="1" si="346">IF(CW172,EV172,)</f>
        <v>0</v>
      </c>
      <c r="EK172" cm="1">
        <f t="array" aca="1" ref="EK172" ca="1">IF(ISNA(E172),0,OFFSET(INDIRECT("'"&amp;EK$67&amp;"'!g1"),E172-1,)*CL172)</f>
        <v>1</v>
      </c>
      <c r="EL172" cm="1">
        <f t="array" aca="1" ref="EL172" ca="1">IF(ISNA(F172),0,OFFSET(INDIRECT("'"&amp;EL$67&amp;"'!g1"),F172-1,)*CM172)</f>
        <v>0</v>
      </c>
      <c r="EM172" cm="1">
        <f t="array" aca="1" ref="EM172" ca="1">IF(ISNA(G172),0,OFFSET(INDIRECT("'"&amp;EM$67&amp;"'!g1"),G172-1,)*CN172)</f>
        <v>0</v>
      </c>
      <c r="EN172" cm="1">
        <f t="array" aca="1" ref="EN172" ca="1">IF(ISNA(H172),0,OFFSET(INDIRECT("'"&amp;EN$67&amp;"'!g1"),H172-1,)*CO172)</f>
        <v>0</v>
      </c>
      <c r="EO172" cm="1">
        <f t="array" aca="1" ref="EO172" ca="1">IF(ISNA(I172),0,OFFSET(INDIRECT("'"&amp;EO$67&amp;"'!g1"),I172-1,)*CP172)</f>
        <v>1</v>
      </c>
      <c r="EP172" cm="1">
        <f t="array" aca="1" ref="EP172" ca="1">IF(ISNA(J172),0,OFFSET(INDIRECT("'"&amp;EP$67&amp;"'!g1"),J172-1,)*CQ172)</f>
        <v>1</v>
      </c>
      <c r="EQ172" cm="1">
        <f t="array" aca="1" ref="EQ172" ca="1">IF(ISNA(K172),0,OFFSET(INDIRECT("'"&amp;EQ$67&amp;"'!g1"),K172-1,)*CR172)</f>
        <v>100</v>
      </c>
      <c r="ER172" cm="1">
        <f t="array" aca="1" ref="ER172" ca="1">IF(ISNA(L172),0,OFFSET(INDIRECT("'"&amp;ER$67&amp;"'!g1"),L172-1,)*CS172)</f>
        <v>4813</v>
      </c>
      <c r="ES172" cm="1">
        <f t="array" aca="1" ref="ES172" ca="1">IF(ISNA(M172),0,OFFSET(INDIRECT("'"&amp;ES$67&amp;"'!g1"),M172-1,)*CT172)</f>
        <v>82</v>
      </c>
      <c r="ET172" cm="1">
        <f t="array" aca="1" ref="ET172" ca="1">IF(ISNA(N172),0,OFFSET(INDIRECT("'"&amp;ET$67&amp;"'!g1"),N172-1,)*CU172)</f>
        <v>0</v>
      </c>
      <c r="EU172" cm="1">
        <f t="array" aca="1" ref="EU172" ca="1">IF(ISNA(O172),0,OFFSET(INDIRECT("'"&amp;EU$67&amp;"'!g1"),O172-1,)*CV172)</f>
        <v>0</v>
      </c>
      <c r="EV172" cm="1">
        <f t="array" aca="1" ref="EV172" ca="1">IF(ISNA(P172),0,OFFSET(INDIRECT("'"&amp;EV$67&amp;"'!g1"),P172-1,)*CW172)</f>
        <v>0</v>
      </c>
      <c r="FB172" s="10" cm="1">
        <f t="array" aca="1" ref="FB172" ca="1">IF(ISNA(E172),0,OFFSET(INDIRECT("'"&amp;EK$67&amp;"'!h1"),E172-1,))</f>
        <v>1</v>
      </c>
      <c r="FC172" s="10" cm="1">
        <f t="array" aca="1" ref="FC172" ca="1">IF(ISNA(F172),0,OFFSET(INDIRECT("'"&amp;EL$67&amp;"'!h1"),F172-1,))</f>
        <v>0</v>
      </c>
      <c r="FD172" s="10" cm="1">
        <f t="array" aca="1" ref="FD172" ca="1">IF(ISNA(G172),0,OFFSET(INDIRECT("'"&amp;EM$67&amp;"'!h1"),G172-1,))</f>
        <v>0</v>
      </c>
      <c r="FE172" s="10" cm="1">
        <f t="array" aca="1" ref="FE172" ca="1">IF(ISNA(H172),0,OFFSET(INDIRECT("'"&amp;EN$67&amp;"'!h1"),H172-1,))</f>
        <v>0</v>
      </c>
      <c r="FF172" s="10" cm="1">
        <f t="array" aca="1" ref="FF172" ca="1">IF(ISNA(I172),0,OFFSET(INDIRECT("'"&amp;EO$67&amp;"'!h1"),I172-1,))</f>
        <v>1</v>
      </c>
      <c r="FG172" s="10" cm="1">
        <f t="array" aca="1" ref="FG172" ca="1">IF(ISNA(J172),0,OFFSET(INDIRECT("'"&amp;EP$67&amp;"'!h1"),J172-1,))</f>
        <v>1</v>
      </c>
      <c r="FH172" s="10" cm="1">
        <f t="array" aca="1" ref="FH172" ca="1">IF(ISNA(K172),0,OFFSET(INDIRECT("'"&amp;EQ$67&amp;"'!h1"),K172-1,))</f>
        <v>10000</v>
      </c>
      <c r="FI172" s="10" cm="1">
        <f t="array" aca="1" ref="FI172" ca="1">IF(ISNA(L172),0,OFFSET(INDIRECT("'"&amp;ER$67&amp;"'!h1"),L172-1,))</f>
        <v>10000</v>
      </c>
      <c r="FJ172" s="10" cm="1">
        <f t="array" aca="1" ref="FJ172" ca="1">IF(ISNA(M172),0,OFFSET(INDIRECT("'"&amp;ES$67&amp;"'!h1"),M172-1,))</f>
        <v>10000</v>
      </c>
      <c r="FK172" s="10" cm="1">
        <f t="array" aca="1" ref="FK172" ca="1">IF(ISNA(N172),0,OFFSET(INDIRECT("'"&amp;ET$67&amp;"'!h1"),N172-1,))</f>
        <v>1</v>
      </c>
      <c r="FL172" s="10" cm="1">
        <f t="array" aca="1" ref="FL172" ca="1">IF(ISNA(O172),0,OFFSET(INDIRECT("'"&amp;EU$67&amp;"'!h1"),O172-1,))</f>
        <v>1</v>
      </c>
      <c r="FM172" s="10" cm="1">
        <f t="array" aca="1" ref="FM172" ca="1">IF(ISNA(P172),0,OFFSET(INDIRECT("'"&amp;EV$67&amp;"'!h1"),P172-1,))</f>
        <v>9</v>
      </c>
      <c r="FN172" s="10"/>
      <c r="FO172" s="10"/>
      <c r="FP172" s="10"/>
      <c r="FQ172" s="10"/>
      <c r="FS172">
        <f t="shared" ref="FS172:FS188" ca="1" si="347">B172</f>
        <v>112</v>
      </c>
      <c r="FT172">
        <f t="shared" ca="1" si="62"/>
        <v>4.5214198436587996</v>
      </c>
      <c r="FU172">
        <f t="shared" ca="1" si="63"/>
        <v>100</v>
      </c>
      <c r="FV172">
        <f t="shared" ca="1" si="64"/>
        <v>10000</v>
      </c>
      <c r="FW172" s="4">
        <f t="shared" ref="FW172:FW188" ca="1" si="348">IF(FV172,FU172/FV172,NA())</f>
        <v>0.01</v>
      </c>
      <c r="FX172" s="5">
        <f t="shared" ref="FX172:FX188" ca="1" si="349">IF(FU172,FT172/FU172,NA())</f>
        <v>4.5214198436587999E-2</v>
      </c>
      <c r="FZ172" s="13">
        <f t="shared" ref="FZ172:FZ188" ca="1" si="350">GN172</f>
        <v>112</v>
      </c>
      <c r="GA172" s="23">
        <f t="shared" ref="GA172:GA188" ca="1" si="351">IF(BD172,(BU172-$C172)/$C172,NA())</f>
        <v>0</v>
      </c>
      <c r="GB172" s="23" t="e">
        <f t="shared" ref="GB172:GB188" ca="1" si="352">IF(BE172,(BV172-$C172)/$C172,NA())</f>
        <v>#N/A</v>
      </c>
      <c r="GC172" s="23" t="e">
        <f t="shared" ref="GC172:GC188" ca="1" si="353">IF(BF172,(BW172-$C172)/$C172,NA())</f>
        <v>#N/A</v>
      </c>
      <c r="GD172" s="23" t="e">
        <f t="shared" ref="GD172:GD188" ca="1" si="354">IF(BG172,(BX172-$C172)/$C172,NA())</f>
        <v>#N/A</v>
      </c>
      <c r="GE172" s="23">
        <f t="shared" ref="GE172:GE188" ca="1" si="355">IF(BH172,(BY172-$C172)/$C172,NA())</f>
        <v>0</v>
      </c>
      <c r="GF172" s="23">
        <f t="shared" ref="GF172:GF188" ca="1" si="356">IF(BI172,(BZ172-$C172)/$C172,NA())</f>
        <v>0</v>
      </c>
      <c r="GG172" s="23">
        <f t="shared" ref="GG172:GG188" ca="1" si="357">IF(BJ172,(CA172-$C172)/$C172,NA())</f>
        <v>0</v>
      </c>
      <c r="GH172" s="23">
        <f t="shared" ref="GH172:GH188" ca="1" si="358">IF(BK172,(CB172-$C172)/$C172,NA())</f>
        <v>0</v>
      </c>
      <c r="GI172" s="23">
        <f t="shared" ref="GI172:GI188" ca="1" si="359">IF(BL172,(CC172-$C172)/$C172,NA())</f>
        <v>0</v>
      </c>
      <c r="GJ172" s="23" t="e">
        <f t="shared" ref="GJ172:GJ188" ca="1" si="360">IF(BM172,(CD172-$C172)/$C172,NA())</f>
        <v>#N/A</v>
      </c>
      <c r="GK172" s="23" t="e">
        <f t="shared" ref="GK172:GK188" ca="1" si="361">IF(BN172,(CE172-$C172)/$C172,NA())</f>
        <v>#N/A</v>
      </c>
      <c r="GL172" s="23" t="e">
        <f t="shared" ref="GL172:GL188" ca="1" si="362">IF(BO172,(CF172-$C172)/$C172,NA())</f>
        <v>#N/A</v>
      </c>
      <c r="GM172" s="23"/>
      <c r="GN172">
        <f t="shared" ref="GN172:GN188" ca="1" si="363">B172</f>
        <v>112</v>
      </c>
      <c r="GO172" s="5" t="e">
        <f t="shared" ref="GO172:GO188" ca="1" si="364">IF(AND(AM172&gt;0,DT172&gt;0),DC172/DT172,NA())</f>
        <v>#N/A</v>
      </c>
      <c r="GP172" s="5" t="e">
        <f t="shared" ref="GP172:GP188" ca="1" si="365">IF(AND(AN172&gt;0,DU172&gt;0),DD172/DU172,NA())</f>
        <v>#N/A</v>
      </c>
      <c r="GQ172" s="5" t="e">
        <f t="shared" ref="GQ172:GQ188" ca="1" si="366">IF(AND(AO172&gt;0,DV172&gt;0),DE172/DV172,NA())</f>
        <v>#N/A</v>
      </c>
      <c r="GR172" s="5" t="e">
        <f t="shared" ref="GR172:GR188" ca="1" si="367">IF(AND(AP172&gt;0,DW172&gt;0),DF172/DW172,NA())</f>
        <v>#N/A</v>
      </c>
      <c r="GS172" s="5">
        <f t="shared" ref="GS172:GS188" ca="1" si="368">IF(AND(AQ172&gt;0,DX172&gt;0),DG172/DX172,NA())</f>
        <v>0.395964541996363</v>
      </c>
      <c r="GT172" s="5">
        <f t="shared" ref="GT172:GT188" ca="1" si="369">IF(DY172&gt;0,DH172/DY172,NA())</f>
        <v>0.48894840572029302</v>
      </c>
      <c r="GU172" s="5">
        <f t="shared" ref="GU172:GU188" ca="1" si="370">IF(DZ172&gt;0,DI172/DZ172,NA())</f>
        <v>4.5214198436587999E-2</v>
      </c>
      <c r="GV172" s="5">
        <f t="shared" ref="GV172:GV188" ca="1" si="371">IF(EA172&gt;0,DJ172/EA172,NA())</f>
        <v>1.0496175478553274E-3</v>
      </c>
      <c r="GW172" s="5">
        <f t="shared" ref="GW172:GW188" ca="1" si="372">IF(EB172&gt;0,DK172/EB172,NA())</f>
        <v>1.1173889099665708</v>
      </c>
      <c r="GX172" s="5" t="e">
        <f t="shared" ref="GX172:GX188" ca="1" si="373">IF(EC172&gt;0,DL172/EC172,NA())</f>
        <v>#N/A</v>
      </c>
      <c r="GY172" s="5" t="e">
        <f t="shared" ref="GY172:GY188" ca="1" si="374">IF(ED172&gt;0,DM172/ED172,NA())</f>
        <v>#N/A</v>
      </c>
      <c r="GZ172" s="5" t="e">
        <f t="shared" ref="GZ172:GZ188" ca="1" si="375">IF(EE172&gt;0,DN172/EE172,NA())</f>
        <v>#N/A</v>
      </c>
      <c r="HB172" s="13">
        <f t="shared" ref="HB172:HB188" ca="1" si="376">GN172</f>
        <v>112</v>
      </c>
      <c r="HC172" s="4">
        <f t="shared" ref="HC172:HC188" ca="1" si="377">IF(FB172,DT172/FB172,)</f>
        <v>1</v>
      </c>
      <c r="HD172" s="4">
        <f t="shared" ref="HD172:HD188" ca="1" si="378">IF(FC172,DU172/FC172,)</f>
        <v>0</v>
      </c>
      <c r="HE172" s="4">
        <f t="shared" ref="HE172:HE188" ca="1" si="379">IF(FD172,DV172/FD172,)</f>
        <v>0</v>
      </c>
      <c r="HF172" s="4">
        <f t="shared" ref="HF172:HF188" ca="1" si="380">IF(FE172,DW172/FE172,)</f>
        <v>0</v>
      </c>
      <c r="HG172" s="4">
        <f t="shared" ref="HG172:HG188" ca="1" si="381">IF(FF172,DX172/FF172,)</f>
        <v>1</v>
      </c>
      <c r="HH172" s="4">
        <f t="shared" ref="HH172:HH188" ca="1" si="382">IF(FG172,DY172/FG172,)</f>
        <v>1</v>
      </c>
      <c r="HI172" s="4">
        <f t="shared" ref="HI172:HI188" ca="1" si="383">IF(FH172,DZ172/FH172,)</f>
        <v>0.01</v>
      </c>
      <c r="HJ172" s="4">
        <f t="shared" ref="HJ172:HJ188" ca="1" si="384">IF(FI172,EA172/FI172,)</f>
        <v>0.48130000000000001</v>
      </c>
      <c r="HK172" s="4">
        <f t="shared" ref="HK172:HK188" ca="1" si="385">IF(FJ172,EB172/FJ172,)</f>
        <v>8.2000000000000007E-3</v>
      </c>
      <c r="HL172" s="4">
        <f t="shared" ref="HL172:HL188" ca="1" si="386">IF(FK172,EC172/FK172,)</f>
        <v>0</v>
      </c>
      <c r="HM172" s="4">
        <f t="shared" ref="HM172:HM188" ca="1" si="387">IF(FL172,ED172/FL172,)</f>
        <v>0</v>
      </c>
      <c r="HN172" s="4">
        <f t="shared" ref="HN172:HN188" ca="1" si="388">IF(FM172,EE172/FM172,)</f>
        <v>0</v>
      </c>
    </row>
    <row r="173" spans="1:222" x14ac:dyDescent="0.2">
      <c r="A173" t="str" cm="1">
        <f t="array" aca="1" ref="A173" ca="1">INDIRECT($A$67&amp;"!A"&amp;ROW(C106)+$B$64)</f>
        <v>[[113,26,34]]</v>
      </c>
      <c r="B173" cm="1">
        <f t="array" aca="1" ref="B173" ca="1">INDIRECT($A$67&amp;"!b"&amp;ROW(D106)+$B$64)</f>
        <v>113</v>
      </c>
      <c r="C173">
        <f t="shared" ca="1" si="287"/>
        <v>34</v>
      </c>
      <c r="E173">
        <f t="shared" ca="1" si="288"/>
        <v>130</v>
      </c>
      <c r="F173" t="e">
        <f t="shared" ca="1" si="288"/>
        <v>#N/A</v>
      </c>
      <c r="G173" t="e">
        <f t="shared" ca="1" si="288"/>
        <v>#N/A</v>
      </c>
      <c r="H173" t="e">
        <f t="shared" ca="1" si="286"/>
        <v>#N/A</v>
      </c>
      <c r="I173">
        <f t="shared" ca="1" si="286"/>
        <v>133</v>
      </c>
      <c r="J173">
        <f t="shared" ca="1" si="286"/>
        <v>130</v>
      </c>
      <c r="K173">
        <f t="shared" ca="1" si="286"/>
        <v>137</v>
      </c>
      <c r="L173">
        <f t="shared" ca="1" si="286"/>
        <v>139</v>
      </c>
      <c r="M173">
        <f t="shared" ca="1" si="286"/>
        <v>136</v>
      </c>
      <c r="N173">
        <f t="shared" ca="1" si="286"/>
        <v>134</v>
      </c>
      <c r="O173">
        <f t="shared" ca="1" si="286"/>
        <v>134</v>
      </c>
      <c r="P173">
        <f t="shared" ca="1" si="286"/>
        <v>134</v>
      </c>
      <c r="V173" cm="1">
        <f t="array" aca="1" ref="V173" ca="1">IF(ISNA(E173),,OFFSET(INDIRECT("'"&amp;V$67&amp;"'!d1"),E173-1,))</f>
        <v>34</v>
      </c>
      <c r="W173" cm="1">
        <f t="array" aca="1" ref="W173" ca="1">IF(ISNA(F173),,OFFSET(INDIRECT("'"&amp;W$67&amp;"'!d1"),F173-1,))</f>
        <v>0</v>
      </c>
      <c r="X173" cm="1">
        <f t="array" aca="1" ref="X173" ca="1">IF(ISNA(G173),,OFFSET(INDIRECT("'"&amp;X$67&amp;"'!d1"),G173-1,))</f>
        <v>0</v>
      </c>
      <c r="Y173" cm="1">
        <f t="array" aca="1" ref="Y173" ca="1">IF(ISNA(H173),,OFFSET(INDIRECT("'"&amp;Y$67&amp;"'!d1"),H173-1,))</f>
        <v>0</v>
      </c>
      <c r="Z173" cm="1">
        <f t="array" aca="1" ref="Z173" ca="1">IF(ISNA(I173),,OFFSET(INDIRECT("'"&amp;Z$67&amp;"'!d1"),I173-1,))</f>
        <v>34</v>
      </c>
      <c r="AA173" cm="1">
        <f t="array" aca="1" ref="AA173" ca="1">IF(ISNA(J173),,OFFSET(INDIRECT("'"&amp;AA$67&amp;"'!d1"),J173-1,))</f>
        <v>34</v>
      </c>
      <c r="AB173" cm="1">
        <f t="array" aca="1" ref="AB173" ca="1">IF(ISNA(K173),,OFFSET(INDIRECT("'"&amp;AB$67&amp;"'!d1"),K173-1,))</f>
        <v>34</v>
      </c>
      <c r="AC173" cm="1">
        <f t="array" aca="1" ref="AC173" ca="1">IF(ISNA(L173),,OFFSET(INDIRECT("'"&amp;AC$67&amp;"'!d1"),L173-1,))</f>
        <v>34</v>
      </c>
      <c r="AD173" cm="1">
        <f t="array" aca="1" ref="AD173" ca="1">IF(ISNA(M173),,OFFSET(INDIRECT("'"&amp;AD$67&amp;"'!d1"),M173-1,))</f>
        <v>34</v>
      </c>
      <c r="AE173" cm="1">
        <f t="array" aca="1" ref="AE173" ca="1">IF(ISNA(N173),,OFFSET(INDIRECT("'"&amp;AE$67&amp;"'!d1"),N173-1,))</f>
        <v>0</v>
      </c>
      <c r="AF173" cm="1">
        <f t="array" aca="1" ref="AF173" ca="1">IF(ISNA(O173),,OFFSET(INDIRECT("'"&amp;AF$67&amp;"'!d1"),O173-1,))</f>
        <v>0</v>
      </c>
      <c r="AG173" cm="1">
        <f t="array" aca="1" ref="AG173" ca="1">IF(ISNA(P173),,OFFSET(INDIRECT("'"&amp;AG$67&amp;"'!d1"),P173-1,))</f>
        <v>0</v>
      </c>
      <c r="AM173">
        <f t="shared" ca="1" si="289"/>
        <v>0</v>
      </c>
      <c r="AN173">
        <f t="shared" ca="1" si="290"/>
        <v>0</v>
      </c>
      <c r="AO173">
        <f t="shared" ca="1" si="291"/>
        <v>0</v>
      </c>
      <c r="AP173">
        <f t="shared" ca="1" si="292"/>
        <v>0</v>
      </c>
      <c r="AQ173">
        <f t="shared" ca="1" si="293"/>
        <v>1</v>
      </c>
      <c r="AV173" t="str">
        <f t="shared" ca="1" si="294"/>
        <v/>
      </c>
      <c r="AW173" t="str">
        <f t="shared" ca="1" si="295"/>
        <v/>
      </c>
      <c r="AX173" t="str">
        <f t="shared" ca="1" si="296"/>
        <v/>
      </c>
      <c r="AY173" t="str">
        <f t="shared" ca="1" si="297"/>
        <v/>
      </c>
      <c r="AZ173" t="b">
        <f t="shared" ca="1" si="298"/>
        <v>1</v>
      </c>
      <c r="BD173">
        <f t="shared" ca="1" si="299"/>
        <v>1</v>
      </c>
      <c r="BE173">
        <f t="shared" ca="1" si="300"/>
        <v>0</v>
      </c>
      <c r="BF173">
        <f t="shared" ca="1" si="301"/>
        <v>0</v>
      </c>
      <c r="BG173">
        <f t="shared" ca="1" si="302"/>
        <v>0</v>
      </c>
      <c r="BH173">
        <f t="shared" ca="1" si="303"/>
        <v>1</v>
      </c>
      <c r="BI173">
        <f t="shared" ca="1" si="304"/>
        <v>1</v>
      </c>
      <c r="BJ173">
        <f t="shared" ca="1" si="305"/>
        <v>1</v>
      </c>
      <c r="BK173">
        <f t="shared" ca="1" si="306"/>
        <v>1</v>
      </c>
      <c r="BL173">
        <f t="shared" ca="1" si="307"/>
        <v>1</v>
      </c>
      <c r="BM173">
        <f t="shared" ca="1" si="308"/>
        <v>0</v>
      </c>
      <c r="BN173">
        <f t="shared" ca="1" si="309"/>
        <v>0</v>
      </c>
      <c r="BO173">
        <f t="shared" ca="1" si="310"/>
        <v>0</v>
      </c>
      <c r="BU173">
        <f t="shared" ca="1" si="311"/>
        <v>34</v>
      </c>
      <c r="BV173">
        <f t="shared" ca="1" si="312"/>
        <v>113</v>
      </c>
      <c r="BW173">
        <f t="shared" ca="1" si="313"/>
        <v>113</v>
      </c>
      <c r="BX173">
        <f t="shared" ca="1" si="314"/>
        <v>113</v>
      </c>
      <c r="BY173">
        <f t="shared" ca="1" si="315"/>
        <v>34</v>
      </c>
      <c r="BZ173">
        <f t="shared" ca="1" si="316"/>
        <v>34</v>
      </c>
      <c r="CA173">
        <f t="shared" ca="1" si="317"/>
        <v>34</v>
      </c>
      <c r="CB173">
        <f t="shared" ca="1" si="318"/>
        <v>34</v>
      </c>
      <c r="CC173">
        <f t="shared" ca="1" si="319"/>
        <v>34</v>
      </c>
      <c r="CD173">
        <f t="shared" ca="1" si="320"/>
        <v>113</v>
      </c>
      <c r="CE173">
        <f t="shared" ca="1" si="321"/>
        <v>113</v>
      </c>
      <c r="CF173">
        <f t="shared" ca="1" si="322"/>
        <v>113</v>
      </c>
      <c r="CL173">
        <f t="shared" ca="1" si="323"/>
        <v>1</v>
      </c>
      <c r="CM173">
        <f t="shared" ca="1" si="324"/>
        <v>0</v>
      </c>
      <c r="CN173">
        <f t="shared" ca="1" si="325"/>
        <v>0</v>
      </c>
      <c r="CO173">
        <f t="shared" ca="1" si="326"/>
        <v>0</v>
      </c>
      <c r="CP173">
        <f t="shared" ca="1" si="327"/>
        <v>1</v>
      </c>
      <c r="CQ173">
        <f t="shared" ca="1" si="328"/>
        <v>1</v>
      </c>
      <c r="CR173">
        <f t="shared" ca="1" si="329"/>
        <v>1</v>
      </c>
      <c r="CS173">
        <f t="shared" ca="1" si="330"/>
        <v>1</v>
      </c>
      <c r="CT173">
        <f t="shared" ca="1" si="331"/>
        <v>1</v>
      </c>
      <c r="CU173">
        <f t="shared" ca="1" si="332"/>
        <v>0</v>
      </c>
      <c r="CV173">
        <f t="shared" ca="1" si="333"/>
        <v>0</v>
      </c>
      <c r="CW173">
        <f t="shared" ca="1" si="334"/>
        <v>0</v>
      </c>
      <c r="DC173" cm="1">
        <f t="array" aca="1" ref="DC173" ca="1">IF(ISNA(E173),,OFFSET(INDIRECT("'"&amp;DT$67&amp;"'!f1"),E173-1,))*1</f>
        <v>28873.291169799799</v>
      </c>
      <c r="DD173" cm="1">
        <f t="array" aca="1" ref="DD173" ca="1">IF(ISNA(F173),,OFFSET(INDIRECT("'"&amp;DU$67&amp;"'!f1"),F173-1,))*1</f>
        <v>0</v>
      </c>
      <c r="DE173" cm="1">
        <f t="array" aca="1" ref="DE173" ca="1">IF(ISNA(G173),,OFFSET(INDIRECT("'"&amp;DV$67&amp;"'!f1"),G173-1,))*1</f>
        <v>0</v>
      </c>
      <c r="DF173" cm="1">
        <f t="array" aca="1" ref="DF173" ca="1">IF(ISNA(H173),,OFFSET(INDIRECT("'"&amp;DW$67&amp;"'!f1"),H173-1,))*1</f>
        <v>0</v>
      </c>
      <c r="DG173" cm="1">
        <f t="array" aca="1" ref="DG173" ca="1">IF(ISNA(I173),,OFFSET(INDIRECT("'"&amp;DX$67&amp;"'!f1"),I173-1,))*1</f>
        <v>7.8568791999714394E-2</v>
      </c>
      <c r="DH173" cm="1">
        <f t="array" aca="1" ref="DH173" ca="1">IF(ISNA(J173),,OFFSET(INDIRECT("'"&amp;DY$67&amp;"'!f1"),J173-1,))*1</f>
        <v>0.53876599902287103</v>
      </c>
      <c r="DI173" cm="1">
        <f t="array" aca="1" ref="DI173" ca="1">IF(ISNA(K173),,OFFSET(INDIRECT("'"&amp;DZ$67&amp;"'!f1"),K173-1,))*1</f>
        <v>4.9374203300103501</v>
      </c>
      <c r="DJ173" cm="1">
        <f t="array" aca="1" ref="DJ173" ca="1">IF(ISNA(L173),,OFFSET(INDIRECT("'"&amp;EA$67&amp;"'!f1"),L173-1,))*1</f>
        <v>5.6779419379308802</v>
      </c>
      <c r="DK173" cm="1">
        <f t="array" aca="1" ref="DK173" ca="1">IF(ISNA(M173),,OFFSET(INDIRECT("'"&amp;EB$67&amp;"'!f1"),M173-1,))*1</f>
        <v>76.400874183047506</v>
      </c>
      <c r="DL173" cm="1">
        <f t="array" aca="1" ref="DL173" ca="1">IF(ISNA(N173),,OFFSET(INDIRECT("'"&amp;EC$67&amp;"'!f1"),N173-1,))*1</f>
        <v>1.6138711012899799E-2</v>
      </c>
      <c r="DM173" cm="1">
        <f t="array" aca="1" ref="DM173" ca="1">IF(ISNA(O173),,OFFSET(INDIRECT("'"&amp;ED$67&amp;"'!f1"),O173-1,))*1</f>
        <v>1.6547358594834801E-2</v>
      </c>
      <c r="DN173" cm="1">
        <f t="array" aca="1" ref="DN173" ca="1">IF(ISNA(P173),,OFFSET(INDIRECT("'"&amp;EE$67&amp;"'!f1"),P173-1,))*1</f>
        <v>2.7706778608262501E-2</v>
      </c>
      <c r="DT173">
        <f t="shared" ca="1" si="335"/>
        <v>1</v>
      </c>
      <c r="DU173">
        <f t="shared" ca="1" si="336"/>
        <v>0</v>
      </c>
      <c r="DV173">
        <f t="shared" ca="1" si="337"/>
        <v>0</v>
      </c>
      <c r="DW173">
        <f t="shared" ca="1" si="338"/>
        <v>0</v>
      </c>
      <c r="DX173">
        <f t="shared" ca="1" si="339"/>
        <v>1</v>
      </c>
      <c r="DY173">
        <f t="shared" ca="1" si="340"/>
        <v>1</v>
      </c>
      <c r="DZ173">
        <f t="shared" ca="1" si="341"/>
        <v>176</v>
      </c>
      <c r="EA173">
        <f t="shared" ca="1" si="342"/>
        <v>4372</v>
      </c>
      <c r="EB173">
        <f t="shared" ca="1" si="343"/>
        <v>132</v>
      </c>
      <c r="EC173">
        <f t="shared" ca="1" si="344"/>
        <v>0</v>
      </c>
      <c r="ED173">
        <f t="shared" ca="1" si="345"/>
        <v>0</v>
      </c>
      <c r="EE173">
        <f t="shared" ca="1" si="346"/>
        <v>0</v>
      </c>
      <c r="EK173" cm="1">
        <f t="array" aca="1" ref="EK173" ca="1">IF(ISNA(E173),0,OFFSET(INDIRECT("'"&amp;EK$67&amp;"'!g1"),E173-1,)*CL173)</f>
        <v>1</v>
      </c>
      <c r="EL173" cm="1">
        <f t="array" aca="1" ref="EL173" ca="1">IF(ISNA(F173),0,OFFSET(INDIRECT("'"&amp;EL$67&amp;"'!g1"),F173-1,)*CM173)</f>
        <v>0</v>
      </c>
      <c r="EM173" cm="1">
        <f t="array" aca="1" ref="EM173" ca="1">IF(ISNA(G173),0,OFFSET(INDIRECT("'"&amp;EM$67&amp;"'!g1"),G173-1,)*CN173)</f>
        <v>0</v>
      </c>
      <c r="EN173" cm="1">
        <f t="array" aca="1" ref="EN173" ca="1">IF(ISNA(H173),0,OFFSET(INDIRECT("'"&amp;EN$67&amp;"'!g1"),H173-1,)*CO173)</f>
        <v>0</v>
      </c>
      <c r="EO173" cm="1">
        <f t="array" aca="1" ref="EO173" ca="1">IF(ISNA(I173),0,OFFSET(INDIRECT("'"&amp;EO$67&amp;"'!g1"),I173-1,)*CP173)</f>
        <v>1</v>
      </c>
      <c r="EP173" cm="1">
        <f t="array" aca="1" ref="EP173" ca="1">IF(ISNA(J173),0,OFFSET(INDIRECT("'"&amp;EP$67&amp;"'!g1"),J173-1,)*CQ173)</f>
        <v>1</v>
      </c>
      <c r="EQ173" cm="1">
        <f t="array" aca="1" ref="EQ173" ca="1">IF(ISNA(K173),0,OFFSET(INDIRECT("'"&amp;EQ$67&amp;"'!g1"),K173-1,)*CR173)</f>
        <v>176</v>
      </c>
      <c r="ER173" cm="1">
        <f t="array" aca="1" ref="ER173" ca="1">IF(ISNA(L173),0,OFFSET(INDIRECT("'"&amp;ER$67&amp;"'!g1"),L173-1,)*CS173)</f>
        <v>4372</v>
      </c>
      <c r="ES173" cm="1">
        <f t="array" aca="1" ref="ES173" ca="1">IF(ISNA(M173),0,OFFSET(INDIRECT("'"&amp;ES$67&amp;"'!g1"),M173-1,)*CT173)</f>
        <v>132</v>
      </c>
      <c r="ET173" cm="1">
        <f t="array" aca="1" ref="ET173" ca="1">IF(ISNA(N173),0,OFFSET(INDIRECT("'"&amp;ET$67&amp;"'!g1"),N173-1,)*CU173)</f>
        <v>0</v>
      </c>
      <c r="EU173" cm="1">
        <f t="array" aca="1" ref="EU173" ca="1">IF(ISNA(O173),0,OFFSET(INDIRECT("'"&amp;EU$67&amp;"'!g1"),O173-1,)*CV173)</f>
        <v>0</v>
      </c>
      <c r="EV173" cm="1">
        <f t="array" aca="1" ref="EV173" ca="1">IF(ISNA(P173),0,OFFSET(INDIRECT("'"&amp;EV$67&amp;"'!g1"),P173-1,)*CW173)</f>
        <v>0</v>
      </c>
      <c r="FB173" s="10" cm="1">
        <f t="array" aca="1" ref="FB173" ca="1">IF(ISNA(E173),0,OFFSET(INDIRECT("'"&amp;EK$67&amp;"'!h1"),E173-1,))</f>
        <v>1</v>
      </c>
      <c r="FC173" s="10" cm="1">
        <f t="array" aca="1" ref="FC173" ca="1">IF(ISNA(F173),0,OFFSET(INDIRECT("'"&amp;EL$67&amp;"'!h1"),F173-1,))</f>
        <v>0</v>
      </c>
      <c r="FD173" s="10" cm="1">
        <f t="array" aca="1" ref="FD173" ca="1">IF(ISNA(G173),0,OFFSET(INDIRECT("'"&amp;EM$67&amp;"'!h1"),G173-1,))</f>
        <v>0</v>
      </c>
      <c r="FE173" s="10" cm="1">
        <f t="array" aca="1" ref="FE173" ca="1">IF(ISNA(H173),0,OFFSET(INDIRECT("'"&amp;EN$67&amp;"'!h1"),H173-1,))</f>
        <v>0</v>
      </c>
      <c r="FF173" s="10" cm="1">
        <f t="array" aca="1" ref="FF173" ca="1">IF(ISNA(I173),0,OFFSET(INDIRECT("'"&amp;EO$67&amp;"'!h1"),I173-1,))</f>
        <v>1</v>
      </c>
      <c r="FG173" s="10" cm="1">
        <f t="array" aca="1" ref="FG173" ca="1">IF(ISNA(J173),0,OFFSET(INDIRECT("'"&amp;EP$67&amp;"'!h1"),J173-1,))</f>
        <v>1</v>
      </c>
      <c r="FH173" s="10" cm="1">
        <f t="array" aca="1" ref="FH173" ca="1">IF(ISNA(K173),0,OFFSET(INDIRECT("'"&amp;EQ$67&amp;"'!h1"),K173-1,))</f>
        <v>10000</v>
      </c>
      <c r="FI173" s="10" cm="1">
        <f t="array" aca="1" ref="FI173" ca="1">IF(ISNA(L173),0,OFFSET(INDIRECT("'"&amp;ER$67&amp;"'!h1"),L173-1,))</f>
        <v>10000</v>
      </c>
      <c r="FJ173" s="10" cm="1">
        <f t="array" aca="1" ref="FJ173" ca="1">IF(ISNA(M173),0,OFFSET(INDIRECT("'"&amp;ES$67&amp;"'!h1"),M173-1,))</f>
        <v>10000</v>
      </c>
      <c r="FK173" s="10" cm="1">
        <f t="array" aca="1" ref="FK173" ca="1">IF(ISNA(N173),0,OFFSET(INDIRECT("'"&amp;ET$67&amp;"'!h1"),N173-1,))</f>
        <v>1</v>
      </c>
      <c r="FL173" s="10" cm="1">
        <f t="array" aca="1" ref="FL173" ca="1">IF(ISNA(O173),0,OFFSET(INDIRECT("'"&amp;EU$67&amp;"'!h1"),O173-1,))</f>
        <v>1</v>
      </c>
      <c r="FM173" s="10" cm="1">
        <f t="array" aca="1" ref="FM173" ca="1">IF(ISNA(P173),0,OFFSET(INDIRECT("'"&amp;EV$67&amp;"'!h1"),P173-1,))</f>
        <v>9</v>
      </c>
      <c r="FN173" s="10"/>
      <c r="FO173" s="10"/>
      <c r="FP173" s="10"/>
      <c r="FQ173" s="10"/>
      <c r="FS173">
        <f t="shared" ca="1" si="347"/>
        <v>113</v>
      </c>
      <c r="FT173">
        <f t="shared" ca="1" si="62"/>
        <v>4.9374203300103501</v>
      </c>
      <c r="FU173">
        <f t="shared" ca="1" si="63"/>
        <v>176</v>
      </c>
      <c r="FV173">
        <f t="shared" ca="1" si="64"/>
        <v>10000</v>
      </c>
      <c r="FW173" s="4">
        <f t="shared" ca="1" si="348"/>
        <v>1.7600000000000001E-2</v>
      </c>
      <c r="FX173" s="5">
        <f t="shared" ca="1" si="349"/>
        <v>2.8053524602331535E-2</v>
      </c>
      <c r="FZ173" s="13">
        <f t="shared" ca="1" si="350"/>
        <v>113</v>
      </c>
      <c r="GA173" s="23">
        <f t="shared" ca="1" si="351"/>
        <v>0</v>
      </c>
      <c r="GB173" s="23" t="e">
        <f t="shared" ca="1" si="352"/>
        <v>#N/A</v>
      </c>
      <c r="GC173" s="23" t="e">
        <f t="shared" ca="1" si="353"/>
        <v>#N/A</v>
      </c>
      <c r="GD173" s="23" t="e">
        <f t="shared" ca="1" si="354"/>
        <v>#N/A</v>
      </c>
      <c r="GE173" s="23">
        <f t="shared" ca="1" si="355"/>
        <v>0</v>
      </c>
      <c r="GF173" s="23">
        <f t="shared" ca="1" si="356"/>
        <v>0</v>
      </c>
      <c r="GG173" s="23">
        <f t="shared" ca="1" si="357"/>
        <v>0</v>
      </c>
      <c r="GH173" s="23">
        <f t="shared" ca="1" si="358"/>
        <v>0</v>
      </c>
      <c r="GI173" s="23">
        <f t="shared" ca="1" si="359"/>
        <v>0</v>
      </c>
      <c r="GJ173" s="23" t="e">
        <f t="shared" ca="1" si="360"/>
        <v>#N/A</v>
      </c>
      <c r="GK173" s="23" t="e">
        <f t="shared" ca="1" si="361"/>
        <v>#N/A</v>
      </c>
      <c r="GL173" s="23" t="e">
        <f t="shared" ca="1" si="362"/>
        <v>#N/A</v>
      </c>
      <c r="GM173" s="23"/>
      <c r="GN173">
        <f t="shared" ca="1" si="363"/>
        <v>113</v>
      </c>
      <c r="GO173" s="5" t="e">
        <f t="shared" ca="1" si="364"/>
        <v>#N/A</v>
      </c>
      <c r="GP173" s="5" t="e">
        <f t="shared" ca="1" si="365"/>
        <v>#N/A</v>
      </c>
      <c r="GQ173" s="5" t="e">
        <f t="shared" ca="1" si="366"/>
        <v>#N/A</v>
      </c>
      <c r="GR173" s="5" t="e">
        <f t="shared" ca="1" si="367"/>
        <v>#N/A</v>
      </c>
      <c r="GS173" s="5">
        <f t="shared" ca="1" si="368"/>
        <v>7.8568791999714394E-2</v>
      </c>
      <c r="GT173" s="5">
        <f t="shared" ca="1" si="369"/>
        <v>0.53876599902287103</v>
      </c>
      <c r="GU173" s="5">
        <f t="shared" ca="1" si="370"/>
        <v>2.8053524602331535E-2</v>
      </c>
      <c r="GV173" s="5">
        <f t="shared" ca="1" si="371"/>
        <v>1.2987058412467704E-3</v>
      </c>
      <c r="GW173" s="5">
        <f t="shared" ca="1" si="372"/>
        <v>0.5787945013867235</v>
      </c>
      <c r="GX173" s="5" t="e">
        <f t="shared" ca="1" si="373"/>
        <v>#N/A</v>
      </c>
      <c r="GY173" s="5" t="e">
        <f t="shared" ca="1" si="374"/>
        <v>#N/A</v>
      </c>
      <c r="GZ173" s="5" t="e">
        <f t="shared" ca="1" si="375"/>
        <v>#N/A</v>
      </c>
      <c r="HB173" s="13">
        <f t="shared" ca="1" si="376"/>
        <v>113</v>
      </c>
      <c r="HC173" s="4">
        <f t="shared" ca="1" si="377"/>
        <v>1</v>
      </c>
      <c r="HD173" s="4">
        <f t="shared" ca="1" si="378"/>
        <v>0</v>
      </c>
      <c r="HE173" s="4">
        <f t="shared" ca="1" si="379"/>
        <v>0</v>
      </c>
      <c r="HF173" s="4">
        <f t="shared" ca="1" si="380"/>
        <v>0</v>
      </c>
      <c r="HG173" s="4">
        <f t="shared" ca="1" si="381"/>
        <v>1</v>
      </c>
      <c r="HH173" s="4">
        <f t="shared" ca="1" si="382"/>
        <v>1</v>
      </c>
      <c r="HI173" s="4">
        <f t="shared" ca="1" si="383"/>
        <v>1.7600000000000001E-2</v>
      </c>
      <c r="HJ173" s="4">
        <f t="shared" ca="1" si="384"/>
        <v>0.43719999999999998</v>
      </c>
      <c r="HK173" s="4">
        <f t="shared" ca="1" si="385"/>
        <v>1.32E-2</v>
      </c>
      <c r="HL173" s="4">
        <f t="shared" ca="1" si="386"/>
        <v>0</v>
      </c>
      <c r="HM173" s="4">
        <f t="shared" ca="1" si="387"/>
        <v>0</v>
      </c>
      <c r="HN173" s="4">
        <f t="shared" ca="1" si="388"/>
        <v>0</v>
      </c>
    </row>
    <row r="174" spans="1:222" x14ac:dyDescent="0.2">
      <c r="A174" t="str" cm="1">
        <f t="array" aca="1" ref="A174" ca="1">INDIRECT($A$67&amp;"!A"&amp;ROW(C107)+$B$64)</f>
        <v>[[114,27,34]]</v>
      </c>
      <c r="B174" cm="1">
        <f t="array" aca="1" ref="B174" ca="1">INDIRECT($A$67&amp;"!b"&amp;ROW(D107)+$B$64)</f>
        <v>114</v>
      </c>
      <c r="C174">
        <f t="shared" ca="1" si="287"/>
        <v>34</v>
      </c>
      <c r="E174">
        <f t="shared" ca="1" si="288"/>
        <v>131</v>
      </c>
      <c r="F174" t="e">
        <f t="shared" ca="1" si="288"/>
        <v>#N/A</v>
      </c>
      <c r="G174" t="e">
        <f t="shared" ca="1" si="288"/>
        <v>#N/A</v>
      </c>
      <c r="H174" t="e">
        <f t="shared" ca="1" si="286"/>
        <v>#N/A</v>
      </c>
      <c r="I174">
        <f t="shared" ca="1" si="286"/>
        <v>134</v>
      </c>
      <c r="J174">
        <f t="shared" ca="1" si="286"/>
        <v>131</v>
      </c>
      <c r="K174">
        <f t="shared" ca="1" si="286"/>
        <v>138</v>
      </c>
      <c r="L174">
        <f t="shared" ca="1" si="286"/>
        <v>140</v>
      </c>
      <c r="M174">
        <f t="shared" ca="1" si="286"/>
        <v>137</v>
      </c>
      <c r="N174">
        <f t="shared" ca="1" si="286"/>
        <v>135</v>
      </c>
      <c r="O174">
        <f t="shared" ca="1" si="286"/>
        <v>135</v>
      </c>
      <c r="P174">
        <f t="shared" ca="1" si="286"/>
        <v>135</v>
      </c>
      <c r="V174" cm="1">
        <f t="array" aca="1" ref="V174" ca="1">IF(ISNA(E174),,OFFSET(INDIRECT("'"&amp;V$67&amp;"'!d1"),E174-1,))</f>
        <v>34</v>
      </c>
      <c r="W174" cm="1">
        <f t="array" aca="1" ref="W174" ca="1">IF(ISNA(F174),,OFFSET(INDIRECT("'"&amp;W$67&amp;"'!d1"),F174-1,))</f>
        <v>0</v>
      </c>
      <c r="X174" cm="1">
        <f t="array" aca="1" ref="X174" ca="1">IF(ISNA(G174),,OFFSET(INDIRECT("'"&amp;X$67&amp;"'!d1"),G174-1,))</f>
        <v>0</v>
      </c>
      <c r="Y174" cm="1">
        <f t="array" aca="1" ref="Y174" ca="1">IF(ISNA(H174),,OFFSET(INDIRECT("'"&amp;Y$67&amp;"'!d1"),H174-1,))</f>
        <v>0</v>
      </c>
      <c r="Z174" cm="1">
        <f t="array" aca="1" ref="Z174" ca="1">IF(ISNA(I174),,OFFSET(INDIRECT("'"&amp;Z$67&amp;"'!d1"),I174-1,))</f>
        <v>34</v>
      </c>
      <c r="AA174" cm="1">
        <f t="array" aca="1" ref="AA174" ca="1">IF(ISNA(J174),,OFFSET(INDIRECT("'"&amp;AA$67&amp;"'!d1"),J174-1,))</f>
        <v>34</v>
      </c>
      <c r="AB174" cm="1">
        <f t="array" aca="1" ref="AB174" ca="1">IF(ISNA(K174),,OFFSET(INDIRECT("'"&amp;AB$67&amp;"'!d1"),K174-1,))</f>
        <v>34</v>
      </c>
      <c r="AC174" cm="1">
        <f t="array" aca="1" ref="AC174" ca="1">IF(ISNA(L174),,OFFSET(INDIRECT("'"&amp;AC$67&amp;"'!d1"),L174-1,))</f>
        <v>34</v>
      </c>
      <c r="AD174" cm="1">
        <f t="array" aca="1" ref="AD174" ca="1">IF(ISNA(M174),,OFFSET(INDIRECT("'"&amp;AD$67&amp;"'!d1"),M174-1,))</f>
        <v>34</v>
      </c>
      <c r="AE174" cm="1">
        <f t="array" aca="1" ref="AE174" ca="1">IF(ISNA(N174),,OFFSET(INDIRECT("'"&amp;AE$67&amp;"'!d1"),N174-1,))</f>
        <v>0</v>
      </c>
      <c r="AF174" cm="1">
        <f t="array" aca="1" ref="AF174" ca="1">IF(ISNA(O174),,OFFSET(INDIRECT("'"&amp;AF$67&amp;"'!d1"),O174-1,))</f>
        <v>0</v>
      </c>
      <c r="AG174" cm="1">
        <f t="array" aca="1" ref="AG174" ca="1">IF(ISNA(P174),,OFFSET(INDIRECT("'"&amp;AG$67&amp;"'!d1"),P174-1,))</f>
        <v>0</v>
      </c>
      <c r="AM174">
        <f t="shared" ca="1" si="289"/>
        <v>0</v>
      </c>
      <c r="AN174">
        <f t="shared" ca="1" si="290"/>
        <v>0</v>
      </c>
      <c r="AO174">
        <f t="shared" ca="1" si="291"/>
        <v>0</v>
      </c>
      <c r="AP174">
        <f t="shared" ca="1" si="292"/>
        <v>0</v>
      </c>
      <c r="AQ174">
        <f t="shared" ca="1" si="293"/>
        <v>1</v>
      </c>
      <c r="AV174" t="str">
        <f t="shared" ca="1" si="294"/>
        <v/>
      </c>
      <c r="AW174" t="str">
        <f t="shared" ca="1" si="295"/>
        <v/>
      </c>
      <c r="AX174" t="str">
        <f t="shared" ca="1" si="296"/>
        <v/>
      </c>
      <c r="AY174" t="str">
        <f t="shared" ca="1" si="297"/>
        <v/>
      </c>
      <c r="AZ174" t="b">
        <f t="shared" ca="1" si="298"/>
        <v>1</v>
      </c>
      <c r="BD174">
        <f t="shared" ca="1" si="299"/>
        <v>1</v>
      </c>
      <c r="BE174">
        <f t="shared" ca="1" si="300"/>
        <v>0</v>
      </c>
      <c r="BF174">
        <f t="shared" ca="1" si="301"/>
        <v>0</v>
      </c>
      <c r="BG174">
        <f t="shared" ca="1" si="302"/>
        <v>0</v>
      </c>
      <c r="BH174">
        <f t="shared" ca="1" si="303"/>
        <v>1</v>
      </c>
      <c r="BI174">
        <f t="shared" ca="1" si="304"/>
        <v>1</v>
      </c>
      <c r="BJ174">
        <f t="shared" ca="1" si="305"/>
        <v>1</v>
      </c>
      <c r="BK174">
        <f t="shared" ca="1" si="306"/>
        <v>1</v>
      </c>
      <c r="BL174">
        <f t="shared" ca="1" si="307"/>
        <v>1</v>
      </c>
      <c r="BM174">
        <f t="shared" ca="1" si="308"/>
        <v>0</v>
      </c>
      <c r="BN174">
        <f t="shared" ca="1" si="309"/>
        <v>0</v>
      </c>
      <c r="BO174">
        <f t="shared" ca="1" si="310"/>
        <v>0</v>
      </c>
      <c r="BU174">
        <f t="shared" ca="1" si="311"/>
        <v>34</v>
      </c>
      <c r="BV174">
        <f t="shared" ca="1" si="312"/>
        <v>114</v>
      </c>
      <c r="BW174">
        <f t="shared" ca="1" si="313"/>
        <v>114</v>
      </c>
      <c r="BX174">
        <f t="shared" ca="1" si="314"/>
        <v>114</v>
      </c>
      <c r="BY174">
        <f t="shared" ca="1" si="315"/>
        <v>34</v>
      </c>
      <c r="BZ174">
        <f t="shared" ca="1" si="316"/>
        <v>34</v>
      </c>
      <c r="CA174">
        <f t="shared" ca="1" si="317"/>
        <v>34</v>
      </c>
      <c r="CB174">
        <f t="shared" ca="1" si="318"/>
        <v>34</v>
      </c>
      <c r="CC174">
        <f t="shared" ca="1" si="319"/>
        <v>34</v>
      </c>
      <c r="CD174">
        <f t="shared" ca="1" si="320"/>
        <v>114</v>
      </c>
      <c r="CE174">
        <f t="shared" ca="1" si="321"/>
        <v>114</v>
      </c>
      <c r="CF174">
        <f t="shared" ca="1" si="322"/>
        <v>114</v>
      </c>
      <c r="CL174">
        <f t="shared" ca="1" si="323"/>
        <v>1</v>
      </c>
      <c r="CM174">
        <f t="shared" ca="1" si="324"/>
        <v>0</v>
      </c>
      <c r="CN174">
        <f t="shared" ca="1" si="325"/>
        <v>0</v>
      </c>
      <c r="CO174">
        <f t="shared" ca="1" si="326"/>
        <v>0</v>
      </c>
      <c r="CP174">
        <f t="shared" ca="1" si="327"/>
        <v>1</v>
      </c>
      <c r="CQ174">
        <f t="shared" ca="1" si="328"/>
        <v>1</v>
      </c>
      <c r="CR174">
        <f t="shared" ca="1" si="329"/>
        <v>1</v>
      </c>
      <c r="CS174">
        <f t="shared" ca="1" si="330"/>
        <v>1</v>
      </c>
      <c r="CT174">
        <f t="shared" ca="1" si="331"/>
        <v>1</v>
      </c>
      <c r="CU174">
        <f t="shared" ca="1" si="332"/>
        <v>0</v>
      </c>
      <c r="CV174">
        <f t="shared" ca="1" si="333"/>
        <v>0</v>
      </c>
      <c r="CW174">
        <f t="shared" ca="1" si="334"/>
        <v>0</v>
      </c>
      <c r="DC174" cm="1">
        <f t="array" aca="1" ref="DC174" ca="1">IF(ISNA(E174),,OFFSET(INDIRECT("'"&amp;DT$67&amp;"'!f1"),E174-1,))*1</f>
        <v>28890.8215420097</v>
      </c>
      <c r="DD174" cm="1">
        <f t="array" aca="1" ref="DD174" ca="1">IF(ISNA(F174),,OFFSET(INDIRECT("'"&amp;DU$67&amp;"'!f1"),F174-1,))*1</f>
        <v>0</v>
      </c>
      <c r="DE174" cm="1">
        <f t="array" aca="1" ref="DE174" ca="1">IF(ISNA(G174),,OFFSET(INDIRECT("'"&amp;DV$67&amp;"'!f1"),G174-1,))*1</f>
        <v>0</v>
      </c>
      <c r="DF174" cm="1">
        <f t="array" aca="1" ref="DF174" ca="1">IF(ISNA(H174),,OFFSET(INDIRECT("'"&amp;DW$67&amp;"'!f1"),H174-1,))*1</f>
        <v>0</v>
      </c>
      <c r="DG174" cm="1">
        <f t="array" aca="1" ref="DG174" ca="1">IF(ISNA(I174),,OFFSET(INDIRECT("'"&amp;DX$67&amp;"'!f1"),I174-1,))*1</f>
        <v>8.6042499999166397E-2</v>
      </c>
      <c r="DH174" cm="1">
        <f t="array" aca="1" ref="DH174" ca="1">IF(ISNA(J174),,OFFSET(INDIRECT("'"&amp;DY$67&amp;"'!f1"),J174-1,))*1</f>
        <v>0.46041694330051502</v>
      </c>
      <c r="DI174" cm="1">
        <f t="array" aca="1" ref="DI174" ca="1">IF(ISNA(K174),,OFFSET(INDIRECT("'"&amp;DZ$67&amp;"'!f1"),K174-1,))*1</f>
        <v>5.0615977849811298</v>
      </c>
      <c r="DJ174" cm="1">
        <f t="array" aca="1" ref="DJ174" ca="1">IF(ISNA(L174),,OFFSET(INDIRECT("'"&amp;EA$67&amp;"'!f1"),L174-1,))*1</f>
        <v>5.7445004349574402</v>
      </c>
      <c r="DK174" cm="1">
        <f t="array" aca="1" ref="DK174" ca="1">IF(ISNA(M174),,OFFSET(INDIRECT("'"&amp;EB$67&amp;"'!f1"),M174-1,))*1</f>
        <v>80.5486315325833</v>
      </c>
      <c r="DL174" cm="1">
        <f t="array" aca="1" ref="DL174" ca="1">IF(ISNA(N174),,OFFSET(INDIRECT("'"&amp;EC$67&amp;"'!f1"),N174-1,))*1</f>
        <v>1.6534508205950201E-2</v>
      </c>
      <c r="DM174" cm="1">
        <f t="array" aca="1" ref="DM174" ca="1">IF(ISNA(O174),,OFFSET(INDIRECT("'"&amp;ED$67&amp;"'!f1"),O174-1,))*1</f>
        <v>1.6732166521251202E-2</v>
      </c>
      <c r="DN174" cm="1">
        <f t="array" aca="1" ref="DN174" ca="1">IF(ISNA(P174),,OFFSET(INDIRECT("'"&amp;EE$67&amp;"'!f1"),P174-1,))*1</f>
        <v>2.8285159729421101E-2</v>
      </c>
      <c r="DT174">
        <f t="shared" ca="1" si="335"/>
        <v>1</v>
      </c>
      <c r="DU174">
        <f t="shared" ca="1" si="336"/>
        <v>0</v>
      </c>
      <c r="DV174">
        <f t="shared" ca="1" si="337"/>
        <v>0</v>
      </c>
      <c r="DW174">
        <f t="shared" ca="1" si="338"/>
        <v>0</v>
      </c>
      <c r="DX174">
        <f t="shared" ca="1" si="339"/>
        <v>1</v>
      </c>
      <c r="DY174">
        <f t="shared" ca="1" si="340"/>
        <v>1</v>
      </c>
      <c r="DZ174">
        <f t="shared" ca="1" si="341"/>
        <v>180</v>
      </c>
      <c r="EA174">
        <f t="shared" ca="1" si="342"/>
        <v>4735</v>
      </c>
      <c r="EB174">
        <f t="shared" ca="1" si="343"/>
        <v>143</v>
      </c>
      <c r="EC174">
        <f t="shared" ca="1" si="344"/>
        <v>0</v>
      </c>
      <c r="ED174">
        <f t="shared" ca="1" si="345"/>
        <v>0</v>
      </c>
      <c r="EE174">
        <f t="shared" ca="1" si="346"/>
        <v>0</v>
      </c>
      <c r="EK174" cm="1">
        <f t="array" aca="1" ref="EK174" ca="1">IF(ISNA(E174),0,OFFSET(INDIRECT("'"&amp;EK$67&amp;"'!g1"),E174-1,)*CL174)</f>
        <v>1</v>
      </c>
      <c r="EL174" cm="1">
        <f t="array" aca="1" ref="EL174" ca="1">IF(ISNA(F174),0,OFFSET(INDIRECT("'"&amp;EL$67&amp;"'!g1"),F174-1,)*CM174)</f>
        <v>0</v>
      </c>
      <c r="EM174" cm="1">
        <f t="array" aca="1" ref="EM174" ca="1">IF(ISNA(G174),0,OFFSET(INDIRECT("'"&amp;EM$67&amp;"'!g1"),G174-1,)*CN174)</f>
        <v>0</v>
      </c>
      <c r="EN174" cm="1">
        <f t="array" aca="1" ref="EN174" ca="1">IF(ISNA(H174),0,OFFSET(INDIRECT("'"&amp;EN$67&amp;"'!g1"),H174-1,)*CO174)</f>
        <v>0</v>
      </c>
      <c r="EO174" cm="1">
        <f t="array" aca="1" ref="EO174" ca="1">IF(ISNA(I174),0,OFFSET(INDIRECT("'"&amp;EO$67&amp;"'!g1"),I174-1,)*CP174)</f>
        <v>1</v>
      </c>
      <c r="EP174" cm="1">
        <f t="array" aca="1" ref="EP174" ca="1">IF(ISNA(J174),0,OFFSET(INDIRECT("'"&amp;EP$67&amp;"'!g1"),J174-1,)*CQ174)</f>
        <v>1</v>
      </c>
      <c r="EQ174" cm="1">
        <f t="array" aca="1" ref="EQ174" ca="1">IF(ISNA(K174),0,OFFSET(INDIRECT("'"&amp;EQ$67&amp;"'!g1"),K174-1,)*CR174)</f>
        <v>180</v>
      </c>
      <c r="ER174" cm="1">
        <f t="array" aca="1" ref="ER174" ca="1">IF(ISNA(L174),0,OFFSET(INDIRECT("'"&amp;ER$67&amp;"'!g1"),L174-1,)*CS174)</f>
        <v>4735</v>
      </c>
      <c r="ES174" cm="1">
        <f t="array" aca="1" ref="ES174" ca="1">IF(ISNA(M174),0,OFFSET(INDIRECT("'"&amp;ES$67&amp;"'!g1"),M174-1,)*CT174)</f>
        <v>143</v>
      </c>
      <c r="ET174" cm="1">
        <f t="array" aca="1" ref="ET174" ca="1">IF(ISNA(N174),0,OFFSET(INDIRECT("'"&amp;ET$67&amp;"'!g1"),N174-1,)*CU174)</f>
        <v>0</v>
      </c>
      <c r="EU174" cm="1">
        <f t="array" aca="1" ref="EU174" ca="1">IF(ISNA(O174),0,OFFSET(INDIRECT("'"&amp;EU$67&amp;"'!g1"),O174-1,)*CV174)</f>
        <v>0</v>
      </c>
      <c r="EV174" cm="1">
        <f t="array" aca="1" ref="EV174" ca="1">IF(ISNA(P174),0,OFFSET(INDIRECT("'"&amp;EV$67&amp;"'!g1"),P174-1,)*CW174)</f>
        <v>0</v>
      </c>
      <c r="FB174" s="10" cm="1">
        <f t="array" aca="1" ref="FB174" ca="1">IF(ISNA(E174),0,OFFSET(INDIRECT("'"&amp;EK$67&amp;"'!h1"),E174-1,))</f>
        <v>1</v>
      </c>
      <c r="FC174" s="10" cm="1">
        <f t="array" aca="1" ref="FC174" ca="1">IF(ISNA(F174),0,OFFSET(INDIRECT("'"&amp;EL$67&amp;"'!h1"),F174-1,))</f>
        <v>0</v>
      </c>
      <c r="FD174" s="10" cm="1">
        <f t="array" aca="1" ref="FD174" ca="1">IF(ISNA(G174),0,OFFSET(INDIRECT("'"&amp;EM$67&amp;"'!h1"),G174-1,))</f>
        <v>0</v>
      </c>
      <c r="FE174" s="10" cm="1">
        <f t="array" aca="1" ref="FE174" ca="1">IF(ISNA(H174),0,OFFSET(INDIRECT("'"&amp;EN$67&amp;"'!h1"),H174-1,))</f>
        <v>0</v>
      </c>
      <c r="FF174" s="10" cm="1">
        <f t="array" aca="1" ref="FF174" ca="1">IF(ISNA(I174),0,OFFSET(INDIRECT("'"&amp;EO$67&amp;"'!h1"),I174-1,))</f>
        <v>1</v>
      </c>
      <c r="FG174" s="10" cm="1">
        <f t="array" aca="1" ref="FG174" ca="1">IF(ISNA(J174),0,OFFSET(INDIRECT("'"&amp;EP$67&amp;"'!h1"),J174-1,))</f>
        <v>1</v>
      </c>
      <c r="FH174" s="10" cm="1">
        <f t="array" aca="1" ref="FH174" ca="1">IF(ISNA(K174),0,OFFSET(INDIRECT("'"&amp;EQ$67&amp;"'!h1"),K174-1,))</f>
        <v>10000</v>
      </c>
      <c r="FI174" s="10" cm="1">
        <f t="array" aca="1" ref="FI174" ca="1">IF(ISNA(L174),0,OFFSET(INDIRECT("'"&amp;ER$67&amp;"'!h1"),L174-1,))</f>
        <v>10000</v>
      </c>
      <c r="FJ174" s="10" cm="1">
        <f t="array" aca="1" ref="FJ174" ca="1">IF(ISNA(M174),0,OFFSET(INDIRECT("'"&amp;ES$67&amp;"'!h1"),M174-1,))</f>
        <v>10000</v>
      </c>
      <c r="FK174" s="10" cm="1">
        <f t="array" aca="1" ref="FK174" ca="1">IF(ISNA(N174),0,OFFSET(INDIRECT("'"&amp;ET$67&amp;"'!h1"),N174-1,))</f>
        <v>1</v>
      </c>
      <c r="FL174" s="10" cm="1">
        <f t="array" aca="1" ref="FL174" ca="1">IF(ISNA(O174),0,OFFSET(INDIRECT("'"&amp;EU$67&amp;"'!h1"),O174-1,))</f>
        <v>1</v>
      </c>
      <c r="FM174" s="10" cm="1">
        <f t="array" aca="1" ref="FM174" ca="1">IF(ISNA(P174),0,OFFSET(INDIRECT("'"&amp;EV$67&amp;"'!h1"),P174-1,))</f>
        <v>9</v>
      </c>
      <c r="FN174" s="10"/>
      <c r="FO174" s="10"/>
      <c r="FP174" s="10"/>
      <c r="FQ174" s="10"/>
      <c r="FS174">
        <f t="shared" ca="1" si="347"/>
        <v>114</v>
      </c>
      <c r="FT174">
        <f t="shared" ca="1" si="62"/>
        <v>5.0615977849811298</v>
      </c>
      <c r="FU174">
        <f t="shared" ca="1" si="63"/>
        <v>180</v>
      </c>
      <c r="FV174">
        <f t="shared" ca="1" si="64"/>
        <v>10000</v>
      </c>
      <c r="FW174" s="4">
        <f t="shared" ca="1" si="348"/>
        <v>1.7999999999999999E-2</v>
      </c>
      <c r="FX174" s="5">
        <f t="shared" ca="1" si="349"/>
        <v>2.8119987694339609E-2</v>
      </c>
      <c r="FZ174" s="13">
        <f t="shared" ca="1" si="350"/>
        <v>114</v>
      </c>
      <c r="GA174" s="23">
        <f t="shared" ca="1" si="351"/>
        <v>0</v>
      </c>
      <c r="GB174" s="23" t="e">
        <f t="shared" ca="1" si="352"/>
        <v>#N/A</v>
      </c>
      <c r="GC174" s="23" t="e">
        <f t="shared" ca="1" si="353"/>
        <v>#N/A</v>
      </c>
      <c r="GD174" s="23" t="e">
        <f t="shared" ca="1" si="354"/>
        <v>#N/A</v>
      </c>
      <c r="GE174" s="23">
        <f t="shared" ca="1" si="355"/>
        <v>0</v>
      </c>
      <c r="GF174" s="23">
        <f t="shared" ca="1" si="356"/>
        <v>0</v>
      </c>
      <c r="GG174" s="23">
        <f t="shared" ca="1" si="357"/>
        <v>0</v>
      </c>
      <c r="GH174" s="23">
        <f t="shared" ca="1" si="358"/>
        <v>0</v>
      </c>
      <c r="GI174" s="23">
        <f t="shared" ca="1" si="359"/>
        <v>0</v>
      </c>
      <c r="GJ174" s="23" t="e">
        <f t="shared" ca="1" si="360"/>
        <v>#N/A</v>
      </c>
      <c r="GK174" s="23" t="e">
        <f t="shared" ca="1" si="361"/>
        <v>#N/A</v>
      </c>
      <c r="GL174" s="23" t="e">
        <f t="shared" ca="1" si="362"/>
        <v>#N/A</v>
      </c>
      <c r="GM174" s="23"/>
      <c r="GN174">
        <f t="shared" ca="1" si="363"/>
        <v>114</v>
      </c>
      <c r="GO174" s="5" t="e">
        <f t="shared" ca="1" si="364"/>
        <v>#N/A</v>
      </c>
      <c r="GP174" s="5" t="e">
        <f t="shared" ca="1" si="365"/>
        <v>#N/A</v>
      </c>
      <c r="GQ174" s="5" t="e">
        <f t="shared" ca="1" si="366"/>
        <v>#N/A</v>
      </c>
      <c r="GR174" s="5" t="e">
        <f t="shared" ca="1" si="367"/>
        <v>#N/A</v>
      </c>
      <c r="GS174" s="5">
        <f t="shared" ca="1" si="368"/>
        <v>8.6042499999166397E-2</v>
      </c>
      <c r="GT174" s="5">
        <f t="shared" ca="1" si="369"/>
        <v>0.46041694330051502</v>
      </c>
      <c r="GU174" s="5">
        <f t="shared" ca="1" si="370"/>
        <v>2.8119987694339609E-2</v>
      </c>
      <c r="GV174" s="5">
        <f t="shared" ca="1" si="371"/>
        <v>1.2131996694735882E-3</v>
      </c>
      <c r="GW174" s="5">
        <f t="shared" ca="1" si="372"/>
        <v>0.56327714358449865</v>
      </c>
      <c r="GX174" s="5" t="e">
        <f t="shared" ca="1" si="373"/>
        <v>#N/A</v>
      </c>
      <c r="GY174" s="5" t="e">
        <f t="shared" ca="1" si="374"/>
        <v>#N/A</v>
      </c>
      <c r="GZ174" s="5" t="e">
        <f t="shared" ca="1" si="375"/>
        <v>#N/A</v>
      </c>
      <c r="HB174" s="13">
        <f t="shared" ca="1" si="376"/>
        <v>114</v>
      </c>
      <c r="HC174" s="4">
        <f t="shared" ca="1" si="377"/>
        <v>1</v>
      </c>
      <c r="HD174" s="4">
        <f t="shared" ca="1" si="378"/>
        <v>0</v>
      </c>
      <c r="HE174" s="4">
        <f t="shared" ca="1" si="379"/>
        <v>0</v>
      </c>
      <c r="HF174" s="4">
        <f t="shared" ca="1" si="380"/>
        <v>0</v>
      </c>
      <c r="HG174" s="4">
        <f t="shared" ca="1" si="381"/>
        <v>1</v>
      </c>
      <c r="HH174" s="4">
        <f t="shared" ca="1" si="382"/>
        <v>1</v>
      </c>
      <c r="HI174" s="4">
        <f t="shared" ca="1" si="383"/>
        <v>1.7999999999999999E-2</v>
      </c>
      <c r="HJ174" s="4">
        <f t="shared" ca="1" si="384"/>
        <v>0.47349999999999998</v>
      </c>
      <c r="HK174" s="4">
        <f t="shared" ca="1" si="385"/>
        <v>1.43E-2</v>
      </c>
      <c r="HL174" s="4">
        <f t="shared" ca="1" si="386"/>
        <v>0</v>
      </c>
      <c r="HM174" s="4">
        <f t="shared" ca="1" si="387"/>
        <v>0</v>
      </c>
      <c r="HN174" s="4">
        <f t="shared" ca="1" si="388"/>
        <v>0</v>
      </c>
    </row>
    <row r="175" spans="1:222" x14ac:dyDescent="0.2">
      <c r="A175" t="str" cm="1">
        <f t="array" aca="1" ref="A175" ca="1">INDIRECT($A$67&amp;"!A"&amp;ROW(C108)+$B$64)</f>
        <v>[[115,29,33]]</v>
      </c>
      <c r="B175" cm="1">
        <f t="array" aca="1" ref="B175" ca="1">INDIRECT($A$67&amp;"!b"&amp;ROW(D108)+$B$64)</f>
        <v>115</v>
      </c>
      <c r="C175">
        <f t="shared" ca="1" si="287"/>
        <v>33</v>
      </c>
      <c r="E175" t="e">
        <f t="shared" ca="1" si="288"/>
        <v>#N/A</v>
      </c>
      <c r="F175" t="e">
        <f t="shared" ca="1" si="288"/>
        <v>#N/A</v>
      </c>
      <c r="G175" t="e">
        <f t="shared" ca="1" si="288"/>
        <v>#N/A</v>
      </c>
      <c r="H175" t="e">
        <f t="shared" ca="1" si="286"/>
        <v>#N/A</v>
      </c>
      <c r="I175">
        <f t="shared" ca="1" si="286"/>
        <v>135</v>
      </c>
      <c r="J175">
        <f t="shared" ca="1" si="286"/>
        <v>132</v>
      </c>
      <c r="K175">
        <f t="shared" ca="1" si="286"/>
        <v>139</v>
      </c>
      <c r="L175">
        <f t="shared" ca="1" si="286"/>
        <v>141</v>
      </c>
      <c r="M175">
        <f t="shared" ca="1" si="286"/>
        <v>138</v>
      </c>
      <c r="N175">
        <f t="shared" ca="1" si="286"/>
        <v>136</v>
      </c>
      <c r="O175">
        <f t="shared" ca="1" si="286"/>
        <v>136</v>
      </c>
      <c r="P175">
        <f t="shared" ca="1" si="286"/>
        <v>136</v>
      </c>
      <c r="V175" cm="1">
        <f t="array" aca="1" ref="V175" ca="1">IF(ISNA(E175),,OFFSET(INDIRECT("'"&amp;V$67&amp;"'!d1"),E175-1,))</f>
        <v>0</v>
      </c>
      <c r="W175" cm="1">
        <f t="array" aca="1" ref="W175" ca="1">IF(ISNA(F175),,OFFSET(INDIRECT("'"&amp;W$67&amp;"'!d1"),F175-1,))</f>
        <v>0</v>
      </c>
      <c r="X175" cm="1">
        <f t="array" aca="1" ref="X175" ca="1">IF(ISNA(G175),,OFFSET(INDIRECT("'"&amp;X$67&amp;"'!d1"),G175-1,))</f>
        <v>0</v>
      </c>
      <c r="Y175" cm="1">
        <f t="array" aca="1" ref="Y175" ca="1">IF(ISNA(H175),,OFFSET(INDIRECT("'"&amp;Y$67&amp;"'!d1"),H175-1,))</f>
        <v>0</v>
      </c>
      <c r="Z175" cm="1">
        <f t="array" aca="1" ref="Z175" ca="1">IF(ISNA(I175),,OFFSET(INDIRECT("'"&amp;Z$67&amp;"'!d1"),I175-1,))</f>
        <v>33</v>
      </c>
      <c r="AA175" cm="1">
        <f t="array" aca="1" ref="AA175" ca="1">IF(ISNA(J175),,OFFSET(INDIRECT("'"&amp;AA$67&amp;"'!d1"),J175-1,))</f>
        <v>33</v>
      </c>
      <c r="AB175" cm="1">
        <f t="array" aca="1" ref="AB175" ca="1">IF(ISNA(K175),,OFFSET(INDIRECT("'"&amp;AB$67&amp;"'!d1"),K175-1,))</f>
        <v>33</v>
      </c>
      <c r="AC175" cm="1">
        <f t="array" aca="1" ref="AC175" ca="1">IF(ISNA(L175),,OFFSET(INDIRECT("'"&amp;AC$67&amp;"'!d1"),L175-1,))</f>
        <v>33</v>
      </c>
      <c r="AD175" cm="1">
        <f t="array" aca="1" ref="AD175" ca="1">IF(ISNA(M175),,OFFSET(INDIRECT("'"&amp;AD$67&amp;"'!d1"),M175-1,))</f>
        <v>33</v>
      </c>
      <c r="AE175" cm="1">
        <f t="array" aca="1" ref="AE175" ca="1">IF(ISNA(N175),,OFFSET(INDIRECT("'"&amp;AE$67&amp;"'!d1"),N175-1,))</f>
        <v>0</v>
      </c>
      <c r="AF175" cm="1">
        <f t="array" aca="1" ref="AF175" ca="1">IF(ISNA(O175),,OFFSET(INDIRECT("'"&amp;AF$67&amp;"'!d1"),O175-1,))</f>
        <v>0</v>
      </c>
      <c r="AG175" cm="1">
        <f t="array" aca="1" ref="AG175" ca="1">IF(ISNA(P175),,OFFSET(INDIRECT("'"&amp;AG$67&amp;"'!d1"),P175-1,))</f>
        <v>0</v>
      </c>
      <c r="AM175">
        <f t="shared" ca="1" si="289"/>
        <v>0</v>
      </c>
      <c r="AN175">
        <f t="shared" ca="1" si="290"/>
        <v>0</v>
      </c>
      <c r="AO175">
        <f t="shared" ca="1" si="291"/>
        <v>0</v>
      </c>
      <c r="AP175">
        <f t="shared" ca="1" si="292"/>
        <v>0</v>
      </c>
      <c r="AQ175">
        <f t="shared" ca="1" si="293"/>
        <v>1</v>
      </c>
      <c r="AV175" t="str">
        <f t="shared" ca="1" si="294"/>
        <v/>
      </c>
      <c r="AW175" t="str">
        <f t="shared" ca="1" si="295"/>
        <v/>
      </c>
      <c r="AX175" t="str">
        <f t="shared" ca="1" si="296"/>
        <v/>
      </c>
      <c r="AY175" t="str">
        <f t="shared" ca="1" si="297"/>
        <v/>
      </c>
      <c r="AZ175" t="b">
        <f t="shared" ca="1" si="298"/>
        <v>1</v>
      </c>
      <c r="BD175">
        <f t="shared" ca="1" si="299"/>
        <v>0</v>
      </c>
      <c r="BE175">
        <f t="shared" ca="1" si="300"/>
        <v>0</v>
      </c>
      <c r="BF175">
        <f t="shared" ca="1" si="301"/>
        <v>0</v>
      </c>
      <c r="BG175">
        <f t="shared" ca="1" si="302"/>
        <v>0</v>
      </c>
      <c r="BH175">
        <f t="shared" ca="1" si="303"/>
        <v>1</v>
      </c>
      <c r="BI175">
        <f t="shared" ca="1" si="304"/>
        <v>1</v>
      </c>
      <c r="BJ175">
        <f t="shared" ca="1" si="305"/>
        <v>1</v>
      </c>
      <c r="BK175">
        <f t="shared" ca="1" si="306"/>
        <v>1</v>
      </c>
      <c r="BL175">
        <f t="shared" ca="1" si="307"/>
        <v>1</v>
      </c>
      <c r="BM175">
        <f t="shared" ca="1" si="308"/>
        <v>0</v>
      </c>
      <c r="BN175">
        <f t="shared" ca="1" si="309"/>
        <v>0</v>
      </c>
      <c r="BO175">
        <f t="shared" ca="1" si="310"/>
        <v>0</v>
      </c>
      <c r="BU175">
        <f t="shared" ca="1" si="311"/>
        <v>115</v>
      </c>
      <c r="BV175">
        <f t="shared" ca="1" si="312"/>
        <v>115</v>
      </c>
      <c r="BW175">
        <f t="shared" ca="1" si="313"/>
        <v>115</v>
      </c>
      <c r="BX175">
        <f t="shared" ca="1" si="314"/>
        <v>115</v>
      </c>
      <c r="BY175">
        <f t="shared" ca="1" si="315"/>
        <v>33</v>
      </c>
      <c r="BZ175">
        <f t="shared" ca="1" si="316"/>
        <v>33</v>
      </c>
      <c r="CA175">
        <f t="shared" ca="1" si="317"/>
        <v>33</v>
      </c>
      <c r="CB175">
        <f t="shared" ca="1" si="318"/>
        <v>33</v>
      </c>
      <c r="CC175">
        <f t="shared" ca="1" si="319"/>
        <v>33</v>
      </c>
      <c r="CD175">
        <f t="shared" ca="1" si="320"/>
        <v>115</v>
      </c>
      <c r="CE175">
        <f t="shared" ca="1" si="321"/>
        <v>115</v>
      </c>
      <c r="CF175">
        <f t="shared" ca="1" si="322"/>
        <v>115</v>
      </c>
      <c r="CL175">
        <f t="shared" ca="1" si="323"/>
        <v>0</v>
      </c>
      <c r="CM175">
        <f t="shared" ca="1" si="324"/>
        <v>0</v>
      </c>
      <c r="CN175">
        <f t="shared" ca="1" si="325"/>
        <v>0</v>
      </c>
      <c r="CO175">
        <f t="shared" ca="1" si="326"/>
        <v>0</v>
      </c>
      <c r="CP175">
        <f t="shared" ca="1" si="327"/>
        <v>1</v>
      </c>
      <c r="CQ175">
        <f t="shared" ca="1" si="328"/>
        <v>1</v>
      </c>
      <c r="CR175">
        <f t="shared" ca="1" si="329"/>
        <v>1</v>
      </c>
      <c r="CS175">
        <f t="shared" ca="1" si="330"/>
        <v>1</v>
      </c>
      <c r="CT175">
        <f t="shared" ca="1" si="331"/>
        <v>1</v>
      </c>
      <c r="CU175">
        <f t="shared" ca="1" si="332"/>
        <v>0</v>
      </c>
      <c r="CV175">
        <f t="shared" ca="1" si="333"/>
        <v>0</v>
      </c>
      <c r="CW175">
        <f t="shared" ca="1" si="334"/>
        <v>0</v>
      </c>
      <c r="DC175" cm="1">
        <f t="array" aca="1" ref="DC175" ca="1">IF(ISNA(E175),,OFFSET(INDIRECT("'"&amp;DT$67&amp;"'!f1"),E175-1,))*1</f>
        <v>0</v>
      </c>
      <c r="DD175" cm="1">
        <f t="array" aca="1" ref="DD175" ca="1">IF(ISNA(F175),,OFFSET(INDIRECT("'"&amp;DU$67&amp;"'!f1"),F175-1,))*1</f>
        <v>0</v>
      </c>
      <c r="DE175" cm="1">
        <f t="array" aca="1" ref="DE175" ca="1">IF(ISNA(G175),,OFFSET(INDIRECT("'"&amp;DV$67&amp;"'!f1"),G175-1,))*1</f>
        <v>0</v>
      </c>
      <c r="DF175" cm="1">
        <f t="array" aca="1" ref="DF175" ca="1">IF(ISNA(H175),,OFFSET(INDIRECT("'"&amp;DW$67&amp;"'!f1"),H175-1,))*1</f>
        <v>0</v>
      </c>
      <c r="DG175" cm="1">
        <f t="array" aca="1" ref="DG175" ca="1">IF(ISNA(I175),,OFFSET(INDIRECT("'"&amp;DX$67&amp;"'!f1"),I175-1,))*1</f>
        <v>0.108733082997787</v>
      </c>
      <c r="DH175" cm="1">
        <f t="array" aca="1" ref="DH175" ca="1">IF(ISNA(J175),,OFFSET(INDIRECT("'"&amp;DY$67&amp;"'!f1"),J175-1,))*1</f>
        <v>0.46348103089258003</v>
      </c>
      <c r="DI175" cm="1">
        <f t="array" aca="1" ref="DI175" ca="1">IF(ISNA(K175),,OFFSET(INDIRECT("'"&amp;DZ$67&amp;"'!f1"),K175-1,))*1</f>
        <v>5.1022430062293997</v>
      </c>
      <c r="DJ175" cm="1">
        <f t="array" aca="1" ref="DJ175" ca="1">IF(ISNA(L175),,OFFSET(INDIRECT("'"&amp;EA$67&amp;"'!f1"),L175-1,))*1</f>
        <v>5.8406392838805896</v>
      </c>
      <c r="DK175" cm="1">
        <f t="array" aca="1" ref="DK175" ca="1">IF(ISNA(M175),,OFFSET(INDIRECT("'"&amp;EB$67&amp;"'!f1"),M175-1,))*1</f>
        <v>75.697074670344506</v>
      </c>
      <c r="DL175" cm="1">
        <f t="array" aca="1" ref="DL175" ca="1">IF(ISNA(N175),,OFFSET(INDIRECT("'"&amp;EC$67&amp;"'!f1"),N175-1,))*1</f>
        <v>1.7044517211616001E-2</v>
      </c>
      <c r="DM175" cm="1">
        <f t="array" aca="1" ref="DM175" ca="1">IF(ISNA(O175),,OFFSET(INDIRECT("'"&amp;ED$67&amp;"'!f1"),O175-1,))*1</f>
        <v>1.6927372664213101E-2</v>
      </c>
      <c r="DN175" cm="1">
        <f t="array" aca="1" ref="DN175" ca="1">IF(ISNA(P175),,OFFSET(INDIRECT("'"&amp;EE$67&amp;"'!f1"),P175-1,))*1</f>
        <v>2.92086275294423E-2</v>
      </c>
      <c r="DT175">
        <f t="shared" ca="1" si="335"/>
        <v>0</v>
      </c>
      <c r="DU175">
        <f t="shared" ca="1" si="336"/>
        <v>0</v>
      </c>
      <c r="DV175">
        <f t="shared" ca="1" si="337"/>
        <v>0</v>
      </c>
      <c r="DW175">
        <f t="shared" ca="1" si="338"/>
        <v>0</v>
      </c>
      <c r="DX175">
        <f t="shared" ca="1" si="339"/>
        <v>1</v>
      </c>
      <c r="DY175">
        <f t="shared" ca="1" si="340"/>
        <v>1</v>
      </c>
      <c r="DZ175">
        <f t="shared" ca="1" si="341"/>
        <v>61</v>
      </c>
      <c r="EA175">
        <f t="shared" ca="1" si="342"/>
        <v>4163</v>
      </c>
      <c r="EB175">
        <f t="shared" ca="1" si="343"/>
        <v>33</v>
      </c>
      <c r="EC175">
        <f t="shared" ca="1" si="344"/>
        <v>0</v>
      </c>
      <c r="ED175">
        <f t="shared" ca="1" si="345"/>
        <v>0</v>
      </c>
      <c r="EE175">
        <f t="shared" ca="1" si="346"/>
        <v>0</v>
      </c>
      <c r="EK175" cm="1">
        <f t="array" aca="1" ref="EK175" ca="1">IF(ISNA(E175),0,OFFSET(INDIRECT("'"&amp;EK$67&amp;"'!g1"),E175-1,)*CL175)</f>
        <v>0</v>
      </c>
      <c r="EL175" cm="1">
        <f t="array" aca="1" ref="EL175" ca="1">IF(ISNA(F175),0,OFFSET(INDIRECT("'"&amp;EL$67&amp;"'!g1"),F175-1,)*CM175)</f>
        <v>0</v>
      </c>
      <c r="EM175" cm="1">
        <f t="array" aca="1" ref="EM175" ca="1">IF(ISNA(G175),0,OFFSET(INDIRECT("'"&amp;EM$67&amp;"'!g1"),G175-1,)*CN175)</f>
        <v>0</v>
      </c>
      <c r="EN175" cm="1">
        <f t="array" aca="1" ref="EN175" ca="1">IF(ISNA(H175),0,OFFSET(INDIRECT("'"&amp;EN$67&amp;"'!g1"),H175-1,)*CO175)</f>
        <v>0</v>
      </c>
      <c r="EO175" cm="1">
        <f t="array" aca="1" ref="EO175" ca="1">IF(ISNA(I175),0,OFFSET(INDIRECT("'"&amp;EO$67&amp;"'!g1"),I175-1,)*CP175)</f>
        <v>1</v>
      </c>
      <c r="EP175" cm="1">
        <f t="array" aca="1" ref="EP175" ca="1">IF(ISNA(J175),0,OFFSET(INDIRECT("'"&amp;EP$67&amp;"'!g1"),J175-1,)*CQ175)</f>
        <v>1</v>
      </c>
      <c r="EQ175" cm="1">
        <f t="array" aca="1" ref="EQ175" ca="1">IF(ISNA(K175),0,OFFSET(INDIRECT("'"&amp;EQ$67&amp;"'!g1"),K175-1,)*CR175)</f>
        <v>61</v>
      </c>
      <c r="ER175" cm="1">
        <f t="array" aca="1" ref="ER175" ca="1">IF(ISNA(L175),0,OFFSET(INDIRECT("'"&amp;ER$67&amp;"'!g1"),L175-1,)*CS175)</f>
        <v>4163</v>
      </c>
      <c r="ES175" cm="1">
        <f t="array" aca="1" ref="ES175" ca="1">IF(ISNA(M175),0,OFFSET(INDIRECT("'"&amp;ES$67&amp;"'!g1"),M175-1,)*CT175)</f>
        <v>33</v>
      </c>
      <c r="ET175" cm="1">
        <f t="array" aca="1" ref="ET175" ca="1">IF(ISNA(N175),0,OFFSET(INDIRECT("'"&amp;ET$67&amp;"'!g1"),N175-1,)*CU175)</f>
        <v>0</v>
      </c>
      <c r="EU175" cm="1">
        <f t="array" aca="1" ref="EU175" ca="1">IF(ISNA(O175),0,OFFSET(INDIRECT("'"&amp;EU$67&amp;"'!g1"),O175-1,)*CV175)</f>
        <v>0</v>
      </c>
      <c r="EV175" cm="1">
        <f t="array" aca="1" ref="EV175" ca="1">IF(ISNA(P175),0,OFFSET(INDIRECT("'"&amp;EV$67&amp;"'!g1"),P175-1,)*CW175)</f>
        <v>0</v>
      </c>
      <c r="FB175" s="10" cm="1">
        <f t="array" aca="1" ref="FB175" ca="1">IF(ISNA(E175),0,OFFSET(INDIRECT("'"&amp;EK$67&amp;"'!h1"),E175-1,))</f>
        <v>0</v>
      </c>
      <c r="FC175" s="10" cm="1">
        <f t="array" aca="1" ref="FC175" ca="1">IF(ISNA(F175),0,OFFSET(INDIRECT("'"&amp;EL$67&amp;"'!h1"),F175-1,))</f>
        <v>0</v>
      </c>
      <c r="FD175" s="10" cm="1">
        <f t="array" aca="1" ref="FD175" ca="1">IF(ISNA(G175),0,OFFSET(INDIRECT("'"&amp;EM$67&amp;"'!h1"),G175-1,))</f>
        <v>0</v>
      </c>
      <c r="FE175" s="10" cm="1">
        <f t="array" aca="1" ref="FE175" ca="1">IF(ISNA(H175),0,OFFSET(INDIRECT("'"&amp;EN$67&amp;"'!h1"),H175-1,))</f>
        <v>0</v>
      </c>
      <c r="FF175" s="10" cm="1">
        <f t="array" aca="1" ref="FF175" ca="1">IF(ISNA(I175),0,OFFSET(INDIRECT("'"&amp;EO$67&amp;"'!h1"),I175-1,))</f>
        <v>1</v>
      </c>
      <c r="FG175" s="10" cm="1">
        <f t="array" aca="1" ref="FG175" ca="1">IF(ISNA(J175),0,OFFSET(INDIRECT("'"&amp;EP$67&amp;"'!h1"),J175-1,))</f>
        <v>1</v>
      </c>
      <c r="FH175" s="10" cm="1">
        <f t="array" aca="1" ref="FH175" ca="1">IF(ISNA(K175),0,OFFSET(INDIRECT("'"&amp;EQ$67&amp;"'!h1"),K175-1,))</f>
        <v>10000</v>
      </c>
      <c r="FI175" s="10" cm="1">
        <f t="array" aca="1" ref="FI175" ca="1">IF(ISNA(L175),0,OFFSET(INDIRECT("'"&amp;ER$67&amp;"'!h1"),L175-1,))</f>
        <v>10000</v>
      </c>
      <c r="FJ175" s="10" cm="1">
        <f t="array" aca="1" ref="FJ175" ca="1">IF(ISNA(M175),0,OFFSET(INDIRECT("'"&amp;ES$67&amp;"'!h1"),M175-1,))</f>
        <v>10000</v>
      </c>
      <c r="FK175" s="10" cm="1">
        <f t="array" aca="1" ref="FK175" ca="1">IF(ISNA(N175),0,OFFSET(INDIRECT("'"&amp;ET$67&amp;"'!h1"),N175-1,))</f>
        <v>1</v>
      </c>
      <c r="FL175" s="10" cm="1">
        <f t="array" aca="1" ref="FL175" ca="1">IF(ISNA(O175),0,OFFSET(INDIRECT("'"&amp;EU$67&amp;"'!h1"),O175-1,))</f>
        <v>1</v>
      </c>
      <c r="FM175" s="10" cm="1">
        <f t="array" aca="1" ref="FM175" ca="1">IF(ISNA(P175),0,OFFSET(INDIRECT("'"&amp;EV$67&amp;"'!h1"),P175-1,))</f>
        <v>9</v>
      </c>
      <c r="FN175" s="10"/>
      <c r="FO175" s="10"/>
      <c r="FP175" s="10"/>
      <c r="FQ175" s="10"/>
      <c r="FS175">
        <f t="shared" ca="1" si="347"/>
        <v>115</v>
      </c>
      <c r="FT175">
        <f t="shared" ca="1" si="62"/>
        <v>5.1022430062293997</v>
      </c>
      <c r="FU175">
        <f t="shared" ca="1" si="63"/>
        <v>61</v>
      </c>
      <c r="FV175">
        <f t="shared" ca="1" si="64"/>
        <v>10000</v>
      </c>
      <c r="FW175" s="4">
        <f t="shared" ca="1" si="348"/>
        <v>6.1000000000000004E-3</v>
      </c>
      <c r="FX175" s="5">
        <f t="shared" ca="1" si="349"/>
        <v>8.3643327970973763E-2</v>
      </c>
      <c r="FZ175" s="13">
        <f t="shared" ca="1" si="350"/>
        <v>115</v>
      </c>
      <c r="GA175" s="23" t="e">
        <f t="shared" ca="1" si="351"/>
        <v>#N/A</v>
      </c>
      <c r="GB175" s="23" t="e">
        <f t="shared" ca="1" si="352"/>
        <v>#N/A</v>
      </c>
      <c r="GC175" s="23" t="e">
        <f t="shared" ca="1" si="353"/>
        <v>#N/A</v>
      </c>
      <c r="GD175" s="23" t="e">
        <f t="shared" ca="1" si="354"/>
        <v>#N/A</v>
      </c>
      <c r="GE175" s="23">
        <f t="shared" ca="1" si="355"/>
        <v>0</v>
      </c>
      <c r="GF175" s="23">
        <f t="shared" ca="1" si="356"/>
        <v>0</v>
      </c>
      <c r="GG175" s="23">
        <f t="shared" ca="1" si="357"/>
        <v>0</v>
      </c>
      <c r="GH175" s="23">
        <f t="shared" ca="1" si="358"/>
        <v>0</v>
      </c>
      <c r="GI175" s="23">
        <f t="shared" ca="1" si="359"/>
        <v>0</v>
      </c>
      <c r="GJ175" s="23" t="e">
        <f t="shared" ca="1" si="360"/>
        <v>#N/A</v>
      </c>
      <c r="GK175" s="23" t="e">
        <f t="shared" ca="1" si="361"/>
        <v>#N/A</v>
      </c>
      <c r="GL175" s="23" t="e">
        <f t="shared" ca="1" si="362"/>
        <v>#N/A</v>
      </c>
      <c r="GM175" s="23"/>
      <c r="GN175">
        <f t="shared" ca="1" si="363"/>
        <v>115</v>
      </c>
      <c r="GO175" s="5" t="e">
        <f t="shared" ca="1" si="364"/>
        <v>#N/A</v>
      </c>
      <c r="GP175" s="5" t="e">
        <f t="shared" ca="1" si="365"/>
        <v>#N/A</v>
      </c>
      <c r="GQ175" s="5" t="e">
        <f t="shared" ca="1" si="366"/>
        <v>#N/A</v>
      </c>
      <c r="GR175" s="5" t="e">
        <f t="shared" ca="1" si="367"/>
        <v>#N/A</v>
      </c>
      <c r="GS175" s="5">
        <f t="shared" ca="1" si="368"/>
        <v>0.108733082997787</v>
      </c>
      <c r="GT175" s="5">
        <f t="shared" ca="1" si="369"/>
        <v>0.46348103089258003</v>
      </c>
      <c r="GU175" s="5">
        <f t="shared" ca="1" si="370"/>
        <v>8.3643327970973763E-2</v>
      </c>
      <c r="GV175" s="5">
        <f t="shared" ca="1" si="371"/>
        <v>1.4029880576220488E-3</v>
      </c>
      <c r="GW175" s="5">
        <f t="shared" ca="1" si="372"/>
        <v>2.2938507475861973</v>
      </c>
      <c r="GX175" s="5" t="e">
        <f t="shared" ca="1" si="373"/>
        <v>#N/A</v>
      </c>
      <c r="GY175" s="5" t="e">
        <f t="shared" ca="1" si="374"/>
        <v>#N/A</v>
      </c>
      <c r="GZ175" s="5" t="e">
        <f t="shared" ca="1" si="375"/>
        <v>#N/A</v>
      </c>
      <c r="HB175" s="13">
        <f t="shared" ca="1" si="376"/>
        <v>115</v>
      </c>
      <c r="HC175" s="4">
        <f t="shared" ca="1" si="377"/>
        <v>0</v>
      </c>
      <c r="HD175" s="4">
        <f t="shared" ca="1" si="378"/>
        <v>0</v>
      </c>
      <c r="HE175" s="4">
        <f t="shared" ca="1" si="379"/>
        <v>0</v>
      </c>
      <c r="HF175" s="4">
        <f t="shared" ca="1" si="380"/>
        <v>0</v>
      </c>
      <c r="HG175" s="4">
        <f t="shared" ca="1" si="381"/>
        <v>1</v>
      </c>
      <c r="HH175" s="4">
        <f t="shared" ca="1" si="382"/>
        <v>1</v>
      </c>
      <c r="HI175" s="4">
        <f t="shared" ca="1" si="383"/>
        <v>6.1000000000000004E-3</v>
      </c>
      <c r="HJ175" s="4">
        <f t="shared" ca="1" si="384"/>
        <v>0.4163</v>
      </c>
      <c r="HK175" s="4">
        <f t="shared" ca="1" si="385"/>
        <v>3.3E-3</v>
      </c>
      <c r="HL175" s="4">
        <f t="shared" ca="1" si="386"/>
        <v>0</v>
      </c>
      <c r="HM175" s="4">
        <f t="shared" ca="1" si="387"/>
        <v>0</v>
      </c>
      <c r="HN175" s="4">
        <f t="shared" ca="1" si="388"/>
        <v>0</v>
      </c>
    </row>
    <row r="176" spans="1:222" x14ac:dyDescent="0.2">
      <c r="A176" t="str" cm="1">
        <f t="array" aca="1" ref="A176" ca="1">INDIRECT($A$67&amp;"!A"&amp;ROW(C109)+$B$64)</f>
        <v>[[116,28,34]]</v>
      </c>
      <c r="B176" cm="1">
        <f t="array" aca="1" ref="B176" ca="1">INDIRECT($A$67&amp;"!b"&amp;ROW(D109)+$B$64)</f>
        <v>116</v>
      </c>
      <c r="C176">
        <f t="shared" ca="1" si="287"/>
        <v>34</v>
      </c>
      <c r="E176" t="e">
        <f t="shared" ca="1" si="288"/>
        <v>#N/A</v>
      </c>
      <c r="F176" t="e">
        <f t="shared" ca="1" si="288"/>
        <v>#N/A</v>
      </c>
      <c r="G176" t="e">
        <f t="shared" ca="1" si="288"/>
        <v>#N/A</v>
      </c>
      <c r="H176" t="e">
        <f t="shared" ca="1" si="286"/>
        <v>#N/A</v>
      </c>
      <c r="I176">
        <f t="shared" ca="1" si="286"/>
        <v>136</v>
      </c>
      <c r="J176">
        <f t="shared" ca="1" si="286"/>
        <v>133</v>
      </c>
      <c r="K176">
        <f t="shared" ca="1" si="286"/>
        <v>140</v>
      </c>
      <c r="L176">
        <f t="shared" ca="1" si="286"/>
        <v>142</v>
      </c>
      <c r="M176">
        <f t="shared" ca="1" si="286"/>
        <v>139</v>
      </c>
      <c r="N176">
        <f t="shared" ca="1" si="286"/>
        <v>137</v>
      </c>
      <c r="O176">
        <f t="shared" ca="1" si="286"/>
        <v>137</v>
      </c>
      <c r="P176">
        <f t="shared" ca="1" si="286"/>
        <v>137</v>
      </c>
      <c r="V176" cm="1">
        <f t="array" aca="1" ref="V176" ca="1">IF(ISNA(E176),,OFFSET(INDIRECT("'"&amp;V$67&amp;"'!d1"),E176-1,))</f>
        <v>0</v>
      </c>
      <c r="W176" cm="1">
        <f t="array" aca="1" ref="W176" ca="1">IF(ISNA(F176),,OFFSET(INDIRECT("'"&amp;W$67&amp;"'!d1"),F176-1,))</f>
        <v>0</v>
      </c>
      <c r="X176" cm="1">
        <f t="array" aca="1" ref="X176" ca="1">IF(ISNA(G176),,OFFSET(INDIRECT("'"&amp;X$67&amp;"'!d1"),G176-1,))</f>
        <v>0</v>
      </c>
      <c r="Y176" cm="1">
        <f t="array" aca="1" ref="Y176" ca="1">IF(ISNA(H176),,OFFSET(INDIRECT("'"&amp;Y$67&amp;"'!d1"),H176-1,))</f>
        <v>0</v>
      </c>
      <c r="Z176" cm="1">
        <f t="array" aca="1" ref="Z176" ca="1">IF(ISNA(I176),,OFFSET(INDIRECT("'"&amp;Z$67&amp;"'!d1"),I176-1,))</f>
        <v>34</v>
      </c>
      <c r="AA176" cm="1">
        <f t="array" aca="1" ref="AA176" ca="1">IF(ISNA(J176),,OFFSET(INDIRECT("'"&amp;AA$67&amp;"'!d1"),J176-1,))</f>
        <v>34</v>
      </c>
      <c r="AB176" cm="1">
        <f t="array" aca="1" ref="AB176" ca="1">IF(ISNA(K176),,OFFSET(INDIRECT("'"&amp;AB$67&amp;"'!d1"),K176-1,))</f>
        <v>34</v>
      </c>
      <c r="AC176" cm="1">
        <f t="array" aca="1" ref="AC176" ca="1">IF(ISNA(L176),,OFFSET(INDIRECT("'"&amp;AC$67&amp;"'!d1"),L176-1,))</f>
        <v>34</v>
      </c>
      <c r="AD176" cm="1">
        <f t="array" aca="1" ref="AD176" ca="1">IF(ISNA(M176),,OFFSET(INDIRECT("'"&amp;AD$67&amp;"'!d1"),M176-1,))</f>
        <v>34</v>
      </c>
      <c r="AE176" cm="1">
        <f t="array" aca="1" ref="AE176" ca="1">IF(ISNA(N176),,OFFSET(INDIRECT("'"&amp;AE$67&amp;"'!d1"),N176-1,))</f>
        <v>0</v>
      </c>
      <c r="AF176" cm="1">
        <f t="array" aca="1" ref="AF176" ca="1">IF(ISNA(O176),,OFFSET(INDIRECT("'"&amp;AF$67&amp;"'!d1"),O176-1,))</f>
        <v>0</v>
      </c>
      <c r="AG176" cm="1">
        <f t="array" aca="1" ref="AG176" ca="1">IF(ISNA(P176),,OFFSET(INDIRECT("'"&amp;AG$67&amp;"'!d1"),P176-1,))</f>
        <v>0</v>
      </c>
      <c r="AM176">
        <f t="shared" ca="1" si="289"/>
        <v>0</v>
      </c>
      <c r="AN176">
        <f t="shared" ca="1" si="290"/>
        <v>0</v>
      </c>
      <c r="AO176">
        <f t="shared" ca="1" si="291"/>
        <v>0</v>
      </c>
      <c r="AP176">
        <f t="shared" ca="1" si="292"/>
        <v>0</v>
      </c>
      <c r="AQ176">
        <f t="shared" ca="1" si="293"/>
        <v>1</v>
      </c>
      <c r="AV176" t="str">
        <f t="shared" ca="1" si="294"/>
        <v/>
      </c>
      <c r="AW176" t="str">
        <f t="shared" ca="1" si="295"/>
        <v/>
      </c>
      <c r="AX176" t="str">
        <f t="shared" ca="1" si="296"/>
        <v/>
      </c>
      <c r="AY176" t="str">
        <f t="shared" ca="1" si="297"/>
        <v/>
      </c>
      <c r="AZ176" t="b">
        <f t="shared" ca="1" si="298"/>
        <v>1</v>
      </c>
      <c r="BD176">
        <f t="shared" ca="1" si="299"/>
        <v>0</v>
      </c>
      <c r="BE176">
        <f t="shared" ca="1" si="300"/>
        <v>0</v>
      </c>
      <c r="BF176">
        <f t="shared" ca="1" si="301"/>
        <v>0</v>
      </c>
      <c r="BG176">
        <f t="shared" ca="1" si="302"/>
        <v>0</v>
      </c>
      <c r="BH176">
        <f t="shared" ca="1" si="303"/>
        <v>1</v>
      </c>
      <c r="BI176">
        <f t="shared" ca="1" si="304"/>
        <v>1</v>
      </c>
      <c r="BJ176">
        <f t="shared" ca="1" si="305"/>
        <v>1</v>
      </c>
      <c r="BK176">
        <f t="shared" ca="1" si="306"/>
        <v>1</v>
      </c>
      <c r="BL176">
        <f t="shared" ca="1" si="307"/>
        <v>1</v>
      </c>
      <c r="BM176">
        <f t="shared" ca="1" si="308"/>
        <v>0</v>
      </c>
      <c r="BN176">
        <f t="shared" ca="1" si="309"/>
        <v>0</v>
      </c>
      <c r="BO176">
        <f t="shared" ca="1" si="310"/>
        <v>0</v>
      </c>
      <c r="BU176">
        <f t="shared" ca="1" si="311"/>
        <v>116</v>
      </c>
      <c r="BV176">
        <f t="shared" ca="1" si="312"/>
        <v>116</v>
      </c>
      <c r="BW176">
        <f t="shared" ca="1" si="313"/>
        <v>116</v>
      </c>
      <c r="BX176">
        <f t="shared" ca="1" si="314"/>
        <v>116</v>
      </c>
      <c r="BY176">
        <f t="shared" ca="1" si="315"/>
        <v>34</v>
      </c>
      <c r="BZ176">
        <f t="shared" ca="1" si="316"/>
        <v>34</v>
      </c>
      <c r="CA176">
        <f t="shared" ca="1" si="317"/>
        <v>34</v>
      </c>
      <c r="CB176">
        <f t="shared" ca="1" si="318"/>
        <v>34</v>
      </c>
      <c r="CC176">
        <f t="shared" ca="1" si="319"/>
        <v>34</v>
      </c>
      <c r="CD176">
        <f t="shared" ca="1" si="320"/>
        <v>116</v>
      </c>
      <c r="CE176">
        <f t="shared" ca="1" si="321"/>
        <v>116</v>
      </c>
      <c r="CF176">
        <f t="shared" ca="1" si="322"/>
        <v>116</v>
      </c>
      <c r="CL176">
        <f t="shared" ca="1" si="323"/>
        <v>0</v>
      </c>
      <c r="CM176">
        <f t="shared" ca="1" si="324"/>
        <v>0</v>
      </c>
      <c r="CN176">
        <f t="shared" ca="1" si="325"/>
        <v>0</v>
      </c>
      <c r="CO176">
        <f t="shared" ca="1" si="326"/>
        <v>0</v>
      </c>
      <c r="CP176">
        <f t="shared" ca="1" si="327"/>
        <v>1</v>
      </c>
      <c r="CQ176">
        <f t="shared" ca="1" si="328"/>
        <v>1</v>
      </c>
      <c r="CR176">
        <f t="shared" ca="1" si="329"/>
        <v>1</v>
      </c>
      <c r="CS176">
        <f t="shared" ca="1" si="330"/>
        <v>1</v>
      </c>
      <c r="CT176">
        <f t="shared" ca="1" si="331"/>
        <v>1</v>
      </c>
      <c r="CU176">
        <f t="shared" ca="1" si="332"/>
        <v>0</v>
      </c>
      <c r="CV176">
        <f t="shared" ca="1" si="333"/>
        <v>0</v>
      </c>
      <c r="CW176">
        <f t="shared" ca="1" si="334"/>
        <v>0</v>
      </c>
      <c r="DC176" cm="1">
        <f t="array" aca="1" ref="DC176" ca="1">IF(ISNA(E176),,OFFSET(INDIRECT("'"&amp;DT$67&amp;"'!f1"),E176-1,))*1</f>
        <v>0</v>
      </c>
      <c r="DD176" cm="1">
        <f t="array" aca="1" ref="DD176" ca="1">IF(ISNA(F176),,OFFSET(INDIRECT("'"&amp;DU$67&amp;"'!f1"),F176-1,))*1</f>
        <v>0</v>
      </c>
      <c r="DE176" cm="1">
        <f t="array" aca="1" ref="DE176" ca="1">IF(ISNA(G176),,OFFSET(INDIRECT("'"&amp;DV$67&amp;"'!f1"),G176-1,))*1</f>
        <v>0</v>
      </c>
      <c r="DF176" cm="1">
        <f t="array" aca="1" ref="DF176" ca="1">IF(ISNA(H176),,OFFSET(INDIRECT("'"&amp;DW$67&amp;"'!f1"),H176-1,))*1</f>
        <v>0</v>
      </c>
      <c r="DG176" cm="1">
        <f t="array" aca="1" ref="DG176" ca="1">IF(ISNA(I176),,OFFSET(INDIRECT("'"&amp;DX$67&amp;"'!f1"),I176-1,))*1</f>
        <v>9.7802833006426199E-2</v>
      </c>
      <c r="DH176" cm="1">
        <f t="array" aca="1" ref="DH176" ca="1">IF(ISNA(J176),,OFFSET(INDIRECT("'"&amp;DY$67&amp;"'!f1"),J176-1,))*1</f>
        <v>0.47341393074020699</v>
      </c>
      <c r="DI176" cm="1">
        <f t="array" aca="1" ref="DI176" ca="1">IF(ISNA(K176),,OFFSET(INDIRECT("'"&amp;DZ$67&amp;"'!f1"),K176-1,))*1</f>
        <v>5.1531060747802204</v>
      </c>
      <c r="DJ176" cm="1">
        <f t="array" aca="1" ref="DJ176" ca="1">IF(ISNA(L176),,OFFSET(INDIRECT("'"&amp;EA$67&amp;"'!f1"),L176-1,))*1</f>
        <v>5.7508676778525096</v>
      </c>
      <c r="DK176" cm="1">
        <f t="array" aca="1" ref="DK176" ca="1">IF(ISNA(M176),,OFFSET(INDIRECT("'"&amp;EB$67&amp;"'!f1"),M176-1,))*1</f>
        <v>86.062206038739504</v>
      </c>
      <c r="DL176" cm="1">
        <f t="array" aca="1" ref="DL176" ca="1">IF(ISNA(N176),,OFFSET(INDIRECT("'"&amp;EC$67&amp;"'!f1"),N176-1,))*1</f>
        <v>1.6969304531812598E-2</v>
      </c>
      <c r="DM176" cm="1">
        <f t="array" aca="1" ref="DM176" ca="1">IF(ISNA(O176),,OFFSET(INDIRECT("'"&amp;ED$67&amp;"'!f1"),O176-1,))*1</f>
        <v>1.7173005267977701E-2</v>
      </c>
      <c r="DN176" cm="1">
        <f t="array" aca="1" ref="DN176" ca="1">IF(ISNA(P176),,OFFSET(INDIRECT("'"&amp;EE$67&amp;"'!f1"),P176-1,))*1</f>
        <v>2.9203453101217702E-2</v>
      </c>
      <c r="DT176">
        <f t="shared" ca="1" si="335"/>
        <v>0</v>
      </c>
      <c r="DU176">
        <f t="shared" ca="1" si="336"/>
        <v>0</v>
      </c>
      <c r="DV176">
        <f t="shared" ca="1" si="337"/>
        <v>0</v>
      </c>
      <c r="DW176">
        <f t="shared" ca="1" si="338"/>
        <v>0</v>
      </c>
      <c r="DX176">
        <f t="shared" ca="1" si="339"/>
        <v>1</v>
      </c>
      <c r="DY176">
        <f t="shared" ca="1" si="340"/>
        <v>1</v>
      </c>
      <c r="DZ176">
        <f t="shared" ca="1" si="341"/>
        <v>74</v>
      </c>
      <c r="EA176">
        <f t="shared" ca="1" si="342"/>
        <v>4520</v>
      </c>
      <c r="EB176">
        <f t="shared" ca="1" si="343"/>
        <v>64</v>
      </c>
      <c r="EC176">
        <f t="shared" ca="1" si="344"/>
        <v>0</v>
      </c>
      <c r="ED176">
        <f t="shared" ca="1" si="345"/>
        <v>0</v>
      </c>
      <c r="EE176">
        <f t="shared" ca="1" si="346"/>
        <v>0</v>
      </c>
      <c r="EK176" cm="1">
        <f t="array" aca="1" ref="EK176" ca="1">IF(ISNA(E176),0,OFFSET(INDIRECT("'"&amp;EK$67&amp;"'!g1"),E176-1,)*CL176)</f>
        <v>0</v>
      </c>
      <c r="EL176" cm="1">
        <f t="array" aca="1" ref="EL176" ca="1">IF(ISNA(F176),0,OFFSET(INDIRECT("'"&amp;EL$67&amp;"'!g1"),F176-1,)*CM176)</f>
        <v>0</v>
      </c>
      <c r="EM176" cm="1">
        <f t="array" aca="1" ref="EM176" ca="1">IF(ISNA(G176),0,OFFSET(INDIRECT("'"&amp;EM$67&amp;"'!g1"),G176-1,)*CN176)</f>
        <v>0</v>
      </c>
      <c r="EN176" cm="1">
        <f t="array" aca="1" ref="EN176" ca="1">IF(ISNA(H176),0,OFFSET(INDIRECT("'"&amp;EN$67&amp;"'!g1"),H176-1,)*CO176)</f>
        <v>0</v>
      </c>
      <c r="EO176" cm="1">
        <f t="array" aca="1" ref="EO176" ca="1">IF(ISNA(I176),0,OFFSET(INDIRECT("'"&amp;EO$67&amp;"'!g1"),I176-1,)*CP176)</f>
        <v>1</v>
      </c>
      <c r="EP176" cm="1">
        <f t="array" aca="1" ref="EP176" ca="1">IF(ISNA(J176),0,OFFSET(INDIRECT("'"&amp;EP$67&amp;"'!g1"),J176-1,)*CQ176)</f>
        <v>1</v>
      </c>
      <c r="EQ176" cm="1">
        <f t="array" aca="1" ref="EQ176" ca="1">IF(ISNA(K176),0,OFFSET(INDIRECT("'"&amp;EQ$67&amp;"'!g1"),K176-1,)*CR176)</f>
        <v>74</v>
      </c>
      <c r="ER176" cm="1">
        <f t="array" aca="1" ref="ER176" ca="1">IF(ISNA(L176),0,OFFSET(INDIRECT("'"&amp;ER$67&amp;"'!g1"),L176-1,)*CS176)</f>
        <v>4520</v>
      </c>
      <c r="ES176" cm="1">
        <f t="array" aca="1" ref="ES176" ca="1">IF(ISNA(M176),0,OFFSET(INDIRECT("'"&amp;ES$67&amp;"'!g1"),M176-1,)*CT176)</f>
        <v>64</v>
      </c>
      <c r="ET176" cm="1">
        <f t="array" aca="1" ref="ET176" ca="1">IF(ISNA(N176),0,OFFSET(INDIRECT("'"&amp;ET$67&amp;"'!g1"),N176-1,)*CU176)</f>
        <v>0</v>
      </c>
      <c r="EU176" cm="1">
        <f t="array" aca="1" ref="EU176" ca="1">IF(ISNA(O176),0,OFFSET(INDIRECT("'"&amp;EU$67&amp;"'!g1"),O176-1,)*CV176)</f>
        <v>0</v>
      </c>
      <c r="EV176" cm="1">
        <f t="array" aca="1" ref="EV176" ca="1">IF(ISNA(P176),0,OFFSET(INDIRECT("'"&amp;EV$67&amp;"'!g1"),P176-1,)*CW176)</f>
        <v>0</v>
      </c>
      <c r="FB176" s="10" cm="1">
        <f t="array" aca="1" ref="FB176" ca="1">IF(ISNA(E176),0,OFFSET(INDIRECT("'"&amp;EK$67&amp;"'!h1"),E176-1,))</f>
        <v>0</v>
      </c>
      <c r="FC176" s="10" cm="1">
        <f t="array" aca="1" ref="FC176" ca="1">IF(ISNA(F176),0,OFFSET(INDIRECT("'"&amp;EL$67&amp;"'!h1"),F176-1,))</f>
        <v>0</v>
      </c>
      <c r="FD176" s="10" cm="1">
        <f t="array" aca="1" ref="FD176" ca="1">IF(ISNA(G176),0,OFFSET(INDIRECT("'"&amp;EM$67&amp;"'!h1"),G176-1,))</f>
        <v>0</v>
      </c>
      <c r="FE176" s="10" cm="1">
        <f t="array" aca="1" ref="FE176" ca="1">IF(ISNA(H176),0,OFFSET(INDIRECT("'"&amp;EN$67&amp;"'!h1"),H176-1,))</f>
        <v>0</v>
      </c>
      <c r="FF176" s="10" cm="1">
        <f t="array" aca="1" ref="FF176" ca="1">IF(ISNA(I176),0,OFFSET(INDIRECT("'"&amp;EO$67&amp;"'!h1"),I176-1,))</f>
        <v>1</v>
      </c>
      <c r="FG176" s="10" cm="1">
        <f t="array" aca="1" ref="FG176" ca="1">IF(ISNA(J176),0,OFFSET(INDIRECT("'"&amp;EP$67&amp;"'!h1"),J176-1,))</f>
        <v>1</v>
      </c>
      <c r="FH176" s="10" cm="1">
        <f t="array" aca="1" ref="FH176" ca="1">IF(ISNA(K176),0,OFFSET(INDIRECT("'"&amp;EQ$67&amp;"'!h1"),K176-1,))</f>
        <v>10000</v>
      </c>
      <c r="FI176" s="10" cm="1">
        <f t="array" aca="1" ref="FI176" ca="1">IF(ISNA(L176),0,OFFSET(INDIRECT("'"&amp;ER$67&amp;"'!h1"),L176-1,))</f>
        <v>10000</v>
      </c>
      <c r="FJ176" s="10" cm="1">
        <f t="array" aca="1" ref="FJ176" ca="1">IF(ISNA(M176),0,OFFSET(INDIRECT("'"&amp;ES$67&amp;"'!h1"),M176-1,))</f>
        <v>10000</v>
      </c>
      <c r="FK176" s="10" cm="1">
        <f t="array" aca="1" ref="FK176" ca="1">IF(ISNA(N176),0,OFFSET(INDIRECT("'"&amp;ET$67&amp;"'!h1"),N176-1,))</f>
        <v>1</v>
      </c>
      <c r="FL176" s="10" cm="1">
        <f t="array" aca="1" ref="FL176" ca="1">IF(ISNA(O176),0,OFFSET(INDIRECT("'"&amp;EU$67&amp;"'!h1"),O176-1,))</f>
        <v>1</v>
      </c>
      <c r="FM176" s="10" cm="1">
        <f t="array" aca="1" ref="FM176" ca="1">IF(ISNA(P176),0,OFFSET(INDIRECT("'"&amp;EV$67&amp;"'!h1"),P176-1,))</f>
        <v>9</v>
      </c>
      <c r="FN176" s="10"/>
      <c r="FO176" s="10"/>
      <c r="FP176" s="10"/>
      <c r="FQ176" s="10"/>
      <c r="FS176">
        <f t="shared" ca="1" si="347"/>
        <v>116</v>
      </c>
      <c r="FT176">
        <f t="shared" ca="1" si="62"/>
        <v>5.1531060747802204</v>
      </c>
      <c r="FU176">
        <f t="shared" ca="1" si="63"/>
        <v>74</v>
      </c>
      <c r="FV176">
        <f t="shared" ca="1" si="64"/>
        <v>10000</v>
      </c>
      <c r="FW176" s="4">
        <f t="shared" ca="1" si="348"/>
        <v>7.4000000000000003E-3</v>
      </c>
      <c r="FX176" s="5">
        <f t="shared" ca="1" si="349"/>
        <v>6.9636568578111083E-2</v>
      </c>
      <c r="FZ176" s="13">
        <f t="shared" ca="1" si="350"/>
        <v>116</v>
      </c>
      <c r="GA176" s="23" t="e">
        <f t="shared" ca="1" si="351"/>
        <v>#N/A</v>
      </c>
      <c r="GB176" s="23" t="e">
        <f t="shared" ca="1" si="352"/>
        <v>#N/A</v>
      </c>
      <c r="GC176" s="23" t="e">
        <f t="shared" ca="1" si="353"/>
        <v>#N/A</v>
      </c>
      <c r="GD176" s="23" t="e">
        <f t="shared" ca="1" si="354"/>
        <v>#N/A</v>
      </c>
      <c r="GE176" s="23">
        <f t="shared" ca="1" si="355"/>
        <v>0</v>
      </c>
      <c r="GF176" s="23">
        <f t="shared" ca="1" si="356"/>
        <v>0</v>
      </c>
      <c r="GG176" s="23">
        <f t="shared" ca="1" si="357"/>
        <v>0</v>
      </c>
      <c r="GH176" s="23">
        <f t="shared" ca="1" si="358"/>
        <v>0</v>
      </c>
      <c r="GI176" s="23">
        <f t="shared" ca="1" si="359"/>
        <v>0</v>
      </c>
      <c r="GJ176" s="23" t="e">
        <f t="shared" ca="1" si="360"/>
        <v>#N/A</v>
      </c>
      <c r="GK176" s="23" t="e">
        <f t="shared" ca="1" si="361"/>
        <v>#N/A</v>
      </c>
      <c r="GL176" s="23" t="e">
        <f t="shared" ca="1" si="362"/>
        <v>#N/A</v>
      </c>
      <c r="GM176" s="23"/>
      <c r="GN176">
        <f t="shared" ca="1" si="363"/>
        <v>116</v>
      </c>
      <c r="GO176" s="5" t="e">
        <f t="shared" ca="1" si="364"/>
        <v>#N/A</v>
      </c>
      <c r="GP176" s="5" t="e">
        <f t="shared" ca="1" si="365"/>
        <v>#N/A</v>
      </c>
      <c r="GQ176" s="5" t="e">
        <f t="shared" ca="1" si="366"/>
        <v>#N/A</v>
      </c>
      <c r="GR176" s="5" t="e">
        <f t="shared" ca="1" si="367"/>
        <v>#N/A</v>
      </c>
      <c r="GS176" s="5">
        <f t="shared" ca="1" si="368"/>
        <v>9.7802833006426199E-2</v>
      </c>
      <c r="GT176" s="5">
        <f t="shared" ca="1" si="369"/>
        <v>0.47341393074020699</v>
      </c>
      <c r="GU176" s="5">
        <f t="shared" ca="1" si="370"/>
        <v>6.9636568578111083E-2</v>
      </c>
      <c r="GV176" s="5">
        <f t="shared" ca="1" si="371"/>
        <v>1.2723158579319711E-3</v>
      </c>
      <c r="GW176" s="5">
        <f t="shared" ca="1" si="372"/>
        <v>1.3447219693553047</v>
      </c>
      <c r="GX176" s="5" t="e">
        <f t="shared" ca="1" si="373"/>
        <v>#N/A</v>
      </c>
      <c r="GY176" s="5" t="e">
        <f t="shared" ca="1" si="374"/>
        <v>#N/A</v>
      </c>
      <c r="GZ176" s="5" t="e">
        <f t="shared" ca="1" si="375"/>
        <v>#N/A</v>
      </c>
      <c r="HB176" s="13">
        <f t="shared" ca="1" si="376"/>
        <v>116</v>
      </c>
      <c r="HC176" s="4">
        <f t="shared" ca="1" si="377"/>
        <v>0</v>
      </c>
      <c r="HD176" s="4">
        <f t="shared" ca="1" si="378"/>
        <v>0</v>
      </c>
      <c r="HE176" s="4">
        <f t="shared" ca="1" si="379"/>
        <v>0</v>
      </c>
      <c r="HF176" s="4">
        <f t="shared" ca="1" si="380"/>
        <v>0</v>
      </c>
      <c r="HG176" s="4">
        <f t="shared" ca="1" si="381"/>
        <v>1</v>
      </c>
      <c r="HH176" s="4">
        <f t="shared" ca="1" si="382"/>
        <v>1</v>
      </c>
      <c r="HI176" s="4">
        <f t="shared" ca="1" si="383"/>
        <v>7.4000000000000003E-3</v>
      </c>
      <c r="HJ176" s="4">
        <f t="shared" ca="1" si="384"/>
        <v>0.45200000000000001</v>
      </c>
      <c r="HK176" s="4">
        <f t="shared" ca="1" si="385"/>
        <v>6.4000000000000003E-3</v>
      </c>
      <c r="HL176" s="4">
        <f t="shared" ca="1" si="386"/>
        <v>0</v>
      </c>
      <c r="HM176" s="4">
        <f t="shared" ca="1" si="387"/>
        <v>0</v>
      </c>
      <c r="HN176" s="4">
        <f t="shared" ca="1" si="388"/>
        <v>0</v>
      </c>
    </row>
    <row r="177" spans="1:222" x14ac:dyDescent="0.2">
      <c r="A177" t="str" cm="1">
        <f t="array" aca="1" ref="A177" ca="1">INDIRECT($A$67&amp;"!A"&amp;ROW(C110)+$B$64)</f>
        <v>[[117,29,34]]</v>
      </c>
      <c r="B177" cm="1">
        <f t="array" aca="1" ref="B177" ca="1">INDIRECT($A$67&amp;"!b"&amp;ROW(D110)+$B$64)</f>
        <v>117</v>
      </c>
      <c r="C177">
        <f t="shared" ca="1" si="287"/>
        <v>34</v>
      </c>
      <c r="E177" t="e">
        <f t="shared" ca="1" si="288"/>
        <v>#N/A</v>
      </c>
      <c r="F177" t="e">
        <f t="shared" ca="1" si="288"/>
        <v>#N/A</v>
      </c>
      <c r="G177" t="e">
        <f t="shared" ca="1" si="288"/>
        <v>#N/A</v>
      </c>
      <c r="H177" t="e">
        <f t="shared" ca="1" si="286"/>
        <v>#N/A</v>
      </c>
      <c r="I177">
        <f t="shared" ca="1" si="286"/>
        <v>137</v>
      </c>
      <c r="J177">
        <f t="shared" ca="1" si="286"/>
        <v>134</v>
      </c>
      <c r="K177">
        <f t="shared" ca="1" si="286"/>
        <v>141</v>
      </c>
      <c r="L177">
        <f t="shared" ca="1" si="286"/>
        <v>143</v>
      </c>
      <c r="M177">
        <f t="shared" ca="1" si="286"/>
        <v>140</v>
      </c>
      <c r="N177">
        <f t="shared" ca="1" si="286"/>
        <v>138</v>
      </c>
      <c r="O177">
        <f t="shared" ca="1" si="286"/>
        <v>138</v>
      </c>
      <c r="P177">
        <f t="shared" ca="1" si="286"/>
        <v>138</v>
      </c>
      <c r="V177" cm="1">
        <f t="array" aca="1" ref="V177" ca="1">IF(ISNA(E177),,OFFSET(INDIRECT("'"&amp;V$67&amp;"'!d1"),E177-1,))</f>
        <v>0</v>
      </c>
      <c r="W177" cm="1">
        <f t="array" aca="1" ref="W177" ca="1">IF(ISNA(F177),,OFFSET(INDIRECT("'"&amp;W$67&amp;"'!d1"),F177-1,))</f>
        <v>0</v>
      </c>
      <c r="X177" cm="1">
        <f t="array" aca="1" ref="X177" ca="1">IF(ISNA(G177),,OFFSET(INDIRECT("'"&amp;X$67&amp;"'!d1"),G177-1,))</f>
        <v>0</v>
      </c>
      <c r="Y177" cm="1">
        <f t="array" aca="1" ref="Y177" ca="1">IF(ISNA(H177),,OFFSET(INDIRECT("'"&amp;Y$67&amp;"'!d1"),H177-1,))</f>
        <v>0</v>
      </c>
      <c r="Z177" cm="1">
        <f t="array" aca="1" ref="Z177" ca="1">IF(ISNA(I177),,OFFSET(INDIRECT("'"&amp;Z$67&amp;"'!d1"),I177-1,))</f>
        <v>34</v>
      </c>
      <c r="AA177" cm="1">
        <f t="array" aca="1" ref="AA177" ca="1">IF(ISNA(J177),,OFFSET(INDIRECT("'"&amp;AA$67&amp;"'!d1"),J177-1,))</f>
        <v>34</v>
      </c>
      <c r="AB177" cm="1">
        <f t="array" aca="1" ref="AB177" ca="1">IF(ISNA(K177),,OFFSET(INDIRECT("'"&amp;AB$67&amp;"'!d1"),K177-1,))</f>
        <v>34</v>
      </c>
      <c r="AC177" cm="1">
        <f t="array" aca="1" ref="AC177" ca="1">IF(ISNA(L177),,OFFSET(INDIRECT("'"&amp;AC$67&amp;"'!d1"),L177-1,))</f>
        <v>34</v>
      </c>
      <c r="AD177" cm="1">
        <f t="array" aca="1" ref="AD177" ca="1">IF(ISNA(M177),,OFFSET(INDIRECT("'"&amp;AD$67&amp;"'!d1"),M177-1,))</f>
        <v>34</v>
      </c>
      <c r="AE177" cm="1">
        <f t="array" aca="1" ref="AE177" ca="1">IF(ISNA(N177),,OFFSET(INDIRECT("'"&amp;AE$67&amp;"'!d1"),N177-1,))</f>
        <v>0</v>
      </c>
      <c r="AF177" cm="1">
        <f t="array" aca="1" ref="AF177" ca="1">IF(ISNA(O177),,OFFSET(INDIRECT("'"&amp;AF$67&amp;"'!d1"),O177-1,))</f>
        <v>0</v>
      </c>
      <c r="AG177" cm="1">
        <f t="array" aca="1" ref="AG177" ca="1">IF(ISNA(P177),,OFFSET(INDIRECT("'"&amp;AG$67&amp;"'!d1"),P177-1,))</f>
        <v>0</v>
      </c>
      <c r="AM177">
        <f t="shared" ca="1" si="289"/>
        <v>0</v>
      </c>
      <c r="AN177">
        <f t="shared" ca="1" si="290"/>
        <v>0</v>
      </c>
      <c r="AO177">
        <f t="shared" ca="1" si="291"/>
        <v>0</v>
      </c>
      <c r="AP177">
        <f t="shared" ca="1" si="292"/>
        <v>0</v>
      </c>
      <c r="AQ177">
        <f t="shared" ca="1" si="293"/>
        <v>1</v>
      </c>
      <c r="AV177" t="str">
        <f t="shared" ca="1" si="294"/>
        <v/>
      </c>
      <c r="AW177" t="str">
        <f t="shared" ca="1" si="295"/>
        <v/>
      </c>
      <c r="AX177" t="str">
        <f t="shared" ca="1" si="296"/>
        <v/>
      </c>
      <c r="AY177" t="str">
        <f t="shared" ca="1" si="297"/>
        <v/>
      </c>
      <c r="AZ177" t="b">
        <f t="shared" ca="1" si="298"/>
        <v>1</v>
      </c>
      <c r="BD177">
        <f t="shared" ca="1" si="299"/>
        <v>0</v>
      </c>
      <c r="BE177">
        <f t="shared" ca="1" si="300"/>
        <v>0</v>
      </c>
      <c r="BF177">
        <f t="shared" ca="1" si="301"/>
        <v>0</v>
      </c>
      <c r="BG177">
        <f t="shared" ca="1" si="302"/>
        <v>0</v>
      </c>
      <c r="BH177">
        <f t="shared" ca="1" si="303"/>
        <v>1</v>
      </c>
      <c r="BI177">
        <f t="shared" ca="1" si="304"/>
        <v>1</v>
      </c>
      <c r="BJ177">
        <f t="shared" ca="1" si="305"/>
        <v>1</v>
      </c>
      <c r="BK177">
        <f t="shared" ca="1" si="306"/>
        <v>1</v>
      </c>
      <c r="BL177">
        <f t="shared" ca="1" si="307"/>
        <v>1</v>
      </c>
      <c r="BM177">
        <f t="shared" ca="1" si="308"/>
        <v>0</v>
      </c>
      <c r="BN177">
        <f t="shared" ca="1" si="309"/>
        <v>0</v>
      </c>
      <c r="BO177">
        <f t="shared" ca="1" si="310"/>
        <v>0</v>
      </c>
      <c r="BU177">
        <f t="shared" ca="1" si="311"/>
        <v>117</v>
      </c>
      <c r="BV177">
        <f t="shared" ca="1" si="312"/>
        <v>117</v>
      </c>
      <c r="BW177">
        <f t="shared" ca="1" si="313"/>
        <v>117</v>
      </c>
      <c r="BX177">
        <f t="shared" ca="1" si="314"/>
        <v>117</v>
      </c>
      <c r="BY177">
        <f t="shared" ca="1" si="315"/>
        <v>34</v>
      </c>
      <c r="BZ177">
        <f t="shared" ca="1" si="316"/>
        <v>34</v>
      </c>
      <c r="CA177">
        <f t="shared" ca="1" si="317"/>
        <v>34</v>
      </c>
      <c r="CB177">
        <f t="shared" ca="1" si="318"/>
        <v>34</v>
      </c>
      <c r="CC177">
        <f t="shared" ca="1" si="319"/>
        <v>34</v>
      </c>
      <c r="CD177">
        <f t="shared" ca="1" si="320"/>
        <v>117</v>
      </c>
      <c r="CE177">
        <f t="shared" ca="1" si="321"/>
        <v>117</v>
      </c>
      <c r="CF177">
        <f t="shared" ca="1" si="322"/>
        <v>117</v>
      </c>
      <c r="CL177">
        <f t="shared" ca="1" si="323"/>
        <v>0</v>
      </c>
      <c r="CM177">
        <f t="shared" ca="1" si="324"/>
        <v>0</v>
      </c>
      <c r="CN177">
        <f t="shared" ca="1" si="325"/>
        <v>0</v>
      </c>
      <c r="CO177">
        <f t="shared" ca="1" si="326"/>
        <v>0</v>
      </c>
      <c r="CP177">
        <f t="shared" ca="1" si="327"/>
        <v>1</v>
      </c>
      <c r="CQ177">
        <f t="shared" ca="1" si="328"/>
        <v>1</v>
      </c>
      <c r="CR177">
        <f t="shared" ca="1" si="329"/>
        <v>1</v>
      </c>
      <c r="CS177">
        <f t="shared" ca="1" si="330"/>
        <v>1</v>
      </c>
      <c r="CT177">
        <f t="shared" ca="1" si="331"/>
        <v>1</v>
      </c>
      <c r="CU177">
        <f t="shared" ca="1" si="332"/>
        <v>0</v>
      </c>
      <c r="CV177">
        <f t="shared" ca="1" si="333"/>
        <v>0</v>
      </c>
      <c r="CW177">
        <f t="shared" ca="1" si="334"/>
        <v>0</v>
      </c>
      <c r="DC177" cm="1">
        <f t="array" aca="1" ref="DC177" ca="1">IF(ISNA(E177),,OFFSET(INDIRECT("'"&amp;DT$67&amp;"'!f1"),E177-1,))*1</f>
        <v>0</v>
      </c>
      <c r="DD177" cm="1">
        <f t="array" aca="1" ref="DD177" ca="1">IF(ISNA(F177),,OFFSET(INDIRECT("'"&amp;DU$67&amp;"'!f1"),F177-1,))*1</f>
        <v>0</v>
      </c>
      <c r="DE177" cm="1">
        <f t="array" aca="1" ref="DE177" ca="1">IF(ISNA(G177),,OFFSET(INDIRECT("'"&amp;DV$67&amp;"'!f1"),G177-1,))*1</f>
        <v>0</v>
      </c>
      <c r="DF177" cm="1">
        <f t="array" aca="1" ref="DF177" ca="1">IF(ISNA(H177),,OFFSET(INDIRECT("'"&amp;DW$67&amp;"'!f1"),H177-1,))*1</f>
        <v>0</v>
      </c>
      <c r="DG177" cm="1">
        <f t="array" aca="1" ref="DG177" ca="1">IF(ISNA(I177),,OFFSET(INDIRECT("'"&amp;DX$67&amp;"'!f1"),I177-1,))*1</f>
        <v>0.109405749994039</v>
      </c>
      <c r="DH177" cm="1">
        <f t="array" aca="1" ref="DH177" ca="1">IF(ISNA(J177),,OFFSET(INDIRECT("'"&amp;DY$67&amp;"'!f1"),J177-1,))*1</f>
        <v>0.47758555226027899</v>
      </c>
      <c r="DI177" cm="1">
        <f t="array" aca="1" ref="DI177" ca="1">IF(ISNA(K177),,OFFSET(INDIRECT("'"&amp;DZ$67&amp;"'!f1"),K177-1,))*1</f>
        <v>5.2667366331443102</v>
      </c>
      <c r="DJ177" cm="1">
        <f t="array" aca="1" ref="DJ177" ca="1">IF(ISNA(L177),,OFFSET(INDIRECT("'"&amp;EA$67&amp;"'!f1"),L177-1,))*1</f>
        <v>5.9418830126523901</v>
      </c>
      <c r="DK177" cm="1">
        <f t="array" aca="1" ref="DK177" ca="1">IF(ISNA(M177),,OFFSET(INDIRECT("'"&amp;EB$67&amp;"'!f1"),M177-1,))*1</f>
        <v>79.203603037167298</v>
      </c>
      <c r="DL177" cm="1">
        <f t="array" aca="1" ref="DL177" ca="1">IF(ISNA(N177),,OFFSET(INDIRECT("'"&amp;EC$67&amp;"'!f1"),N177-1,))*1</f>
        <v>1.7348337918519901E-2</v>
      </c>
      <c r="DM177" cm="1">
        <f t="array" aca="1" ref="DM177" ca="1">IF(ISNA(O177),,OFFSET(INDIRECT("'"&amp;ED$67&amp;"'!f1"),O177-1,))*1</f>
        <v>1.72886122018098E-2</v>
      </c>
      <c r="DN177" cm="1">
        <f t="array" aca="1" ref="DN177" ca="1">IF(ISNA(P177),,OFFSET(INDIRECT("'"&amp;EE$67&amp;"'!f1"),P177-1,))*1</f>
        <v>2.9739206656813601E-2</v>
      </c>
      <c r="DT177">
        <f t="shared" ca="1" si="335"/>
        <v>0</v>
      </c>
      <c r="DU177">
        <f t="shared" ca="1" si="336"/>
        <v>0</v>
      </c>
      <c r="DV177">
        <f t="shared" ca="1" si="337"/>
        <v>0</v>
      </c>
      <c r="DW177">
        <f t="shared" ca="1" si="338"/>
        <v>0</v>
      </c>
      <c r="DX177">
        <f t="shared" ca="1" si="339"/>
        <v>1</v>
      </c>
      <c r="DY177">
        <f t="shared" ca="1" si="340"/>
        <v>1</v>
      </c>
      <c r="DZ177">
        <f t="shared" ca="1" si="341"/>
        <v>32</v>
      </c>
      <c r="EA177">
        <f t="shared" ca="1" si="342"/>
        <v>4344</v>
      </c>
      <c r="EB177">
        <f t="shared" ca="1" si="343"/>
        <v>9</v>
      </c>
      <c r="EC177">
        <f t="shared" ca="1" si="344"/>
        <v>0</v>
      </c>
      <c r="ED177">
        <f t="shared" ca="1" si="345"/>
        <v>0</v>
      </c>
      <c r="EE177">
        <f t="shared" ca="1" si="346"/>
        <v>0</v>
      </c>
      <c r="EK177" cm="1">
        <f t="array" aca="1" ref="EK177" ca="1">IF(ISNA(E177),0,OFFSET(INDIRECT("'"&amp;EK$67&amp;"'!g1"),E177-1,)*CL177)</f>
        <v>0</v>
      </c>
      <c r="EL177" cm="1">
        <f t="array" aca="1" ref="EL177" ca="1">IF(ISNA(F177),0,OFFSET(INDIRECT("'"&amp;EL$67&amp;"'!g1"),F177-1,)*CM177)</f>
        <v>0</v>
      </c>
      <c r="EM177" cm="1">
        <f t="array" aca="1" ref="EM177" ca="1">IF(ISNA(G177),0,OFFSET(INDIRECT("'"&amp;EM$67&amp;"'!g1"),G177-1,)*CN177)</f>
        <v>0</v>
      </c>
      <c r="EN177" cm="1">
        <f t="array" aca="1" ref="EN177" ca="1">IF(ISNA(H177),0,OFFSET(INDIRECT("'"&amp;EN$67&amp;"'!g1"),H177-1,)*CO177)</f>
        <v>0</v>
      </c>
      <c r="EO177" cm="1">
        <f t="array" aca="1" ref="EO177" ca="1">IF(ISNA(I177),0,OFFSET(INDIRECT("'"&amp;EO$67&amp;"'!g1"),I177-1,)*CP177)</f>
        <v>1</v>
      </c>
      <c r="EP177" cm="1">
        <f t="array" aca="1" ref="EP177" ca="1">IF(ISNA(J177),0,OFFSET(INDIRECT("'"&amp;EP$67&amp;"'!g1"),J177-1,)*CQ177)</f>
        <v>1</v>
      </c>
      <c r="EQ177" cm="1">
        <f t="array" aca="1" ref="EQ177" ca="1">IF(ISNA(K177),0,OFFSET(INDIRECT("'"&amp;EQ$67&amp;"'!g1"),K177-1,)*CR177)</f>
        <v>32</v>
      </c>
      <c r="ER177" cm="1">
        <f t="array" aca="1" ref="ER177" ca="1">IF(ISNA(L177),0,OFFSET(INDIRECT("'"&amp;ER$67&amp;"'!g1"),L177-1,)*CS177)</f>
        <v>4344</v>
      </c>
      <c r="ES177" cm="1">
        <f t="array" aca="1" ref="ES177" ca="1">IF(ISNA(M177),0,OFFSET(INDIRECT("'"&amp;ES$67&amp;"'!g1"),M177-1,)*CT177)</f>
        <v>9</v>
      </c>
      <c r="ET177" cm="1">
        <f t="array" aca="1" ref="ET177" ca="1">IF(ISNA(N177),0,OFFSET(INDIRECT("'"&amp;ET$67&amp;"'!g1"),N177-1,)*CU177)</f>
        <v>0</v>
      </c>
      <c r="EU177" cm="1">
        <f t="array" aca="1" ref="EU177" ca="1">IF(ISNA(O177),0,OFFSET(INDIRECT("'"&amp;EU$67&amp;"'!g1"),O177-1,)*CV177)</f>
        <v>0</v>
      </c>
      <c r="EV177" cm="1">
        <f t="array" aca="1" ref="EV177" ca="1">IF(ISNA(P177),0,OFFSET(INDIRECT("'"&amp;EV$67&amp;"'!g1"),P177-1,)*CW177)</f>
        <v>0</v>
      </c>
      <c r="FB177" s="10" cm="1">
        <f t="array" aca="1" ref="FB177" ca="1">IF(ISNA(E177),0,OFFSET(INDIRECT("'"&amp;EK$67&amp;"'!h1"),E177-1,))</f>
        <v>0</v>
      </c>
      <c r="FC177" s="10" cm="1">
        <f t="array" aca="1" ref="FC177" ca="1">IF(ISNA(F177),0,OFFSET(INDIRECT("'"&amp;EL$67&amp;"'!h1"),F177-1,))</f>
        <v>0</v>
      </c>
      <c r="FD177" s="10" cm="1">
        <f t="array" aca="1" ref="FD177" ca="1">IF(ISNA(G177),0,OFFSET(INDIRECT("'"&amp;EM$67&amp;"'!h1"),G177-1,))</f>
        <v>0</v>
      </c>
      <c r="FE177" s="10" cm="1">
        <f t="array" aca="1" ref="FE177" ca="1">IF(ISNA(H177),0,OFFSET(INDIRECT("'"&amp;EN$67&amp;"'!h1"),H177-1,))</f>
        <v>0</v>
      </c>
      <c r="FF177" s="10" cm="1">
        <f t="array" aca="1" ref="FF177" ca="1">IF(ISNA(I177),0,OFFSET(INDIRECT("'"&amp;EO$67&amp;"'!h1"),I177-1,))</f>
        <v>1</v>
      </c>
      <c r="FG177" s="10" cm="1">
        <f t="array" aca="1" ref="FG177" ca="1">IF(ISNA(J177),0,OFFSET(INDIRECT("'"&amp;EP$67&amp;"'!h1"),J177-1,))</f>
        <v>1</v>
      </c>
      <c r="FH177" s="10" cm="1">
        <f t="array" aca="1" ref="FH177" ca="1">IF(ISNA(K177),0,OFFSET(INDIRECT("'"&amp;EQ$67&amp;"'!h1"),K177-1,))</f>
        <v>10000</v>
      </c>
      <c r="FI177" s="10" cm="1">
        <f t="array" aca="1" ref="FI177" ca="1">IF(ISNA(L177),0,OFFSET(INDIRECT("'"&amp;ER$67&amp;"'!h1"),L177-1,))</f>
        <v>10000</v>
      </c>
      <c r="FJ177" s="10" cm="1">
        <f t="array" aca="1" ref="FJ177" ca="1">IF(ISNA(M177),0,OFFSET(INDIRECT("'"&amp;ES$67&amp;"'!h1"),M177-1,))</f>
        <v>10000</v>
      </c>
      <c r="FK177" s="10" cm="1">
        <f t="array" aca="1" ref="FK177" ca="1">IF(ISNA(N177),0,OFFSET(INDIRECT("'"&amp;ET$67&amp;"'!h1"),N177-1,))</f>
        <v>1</v>
      </c>
      <c r="FL177" s="10" cm="1">
        <f t="array" aca="1" ref="FL177" ca="1">IF(ISNA(O177),0,OFFSET(INDIRECT("'"&amp;EU$67&amp;"'!h1"),O177-1,))</f>
        <v>1</v>
      </c>
      <c r="FM177" s="10" cm="1">
        <f t="array" aca="1" ref="FM177" ca="1">IF(ISNA(P177),0,OFFSET(INDIRECT("'"&amp;EV$67&amp;"'!h1"),P177-1,))</f>
        <v>9</v>
      </c>
      <c r="FN177" s="10"/>
      <c r="FO177" s="10"/>
      <c r="FP177" s="10"/>
      <c r="FQ177" s="10"/>
      <c r="FS177">
        <f t="shared" ca="1" si="347"/>
        <v>117</v>
      </c>
      <c r="FT177">
        <f t="shared" ca="1" si="62"/>
        <v>5.2667366331443102</v>
      </c>
      <c r="FU177">
        <f t="shared" ca="1" si="63"/>
        <v>32</v>
      </c>
      <c r="FV177">
        <f t="shared" ca="1" si="64"/>
        <v>10000</v>
      </c>
      <c r="FW177" s="4">
        <f t="shared" ca="1" si="348"/>
        <v>3.2000000000000002E-3</v>
      </c>
      <c r="FX177" s="5">
        <f t="shared" ca="1" si="349"/>
        <v>0.16458551978575969</v>
      </c>
      <c r="FZ177" s="13">
        <f t="shared" ca="1" si="350"/>
        <v>117</v>
      </c>
      <c r="GA177" s="23" t="e">
        <f t="shared" ca="1" si="351"/>
        <v>#N/A</v>
      </c>
      <c r="GB177" s="23" t="e">
        <f t="shared" ca="1" si="352"/>
        <v>#N/A</v>
      </c>
      <c r="GC177" s="23" t="e">
        <f t="shared" ca="1" si="353"/>
        <v>#N/A</v>
      </c>
      <c r="GD177" s="23" t="e">
        <f t="shared" ca="1" si="354"/>
        <v>#N/A</v>
      </c>
      <c r="GE177" s="23">
        <f t="shared" ca="1" si="355"/>
        <v>0</v>
      </c>
      <c r="GF177" s="23">
        <f t="shared" ca="1" si="356"/>
        <v>0</v>
      </c>
      <c r="GG177" s="23">
        <f t="shared" ca="1" si="357"/>
        <v>0</v>
      </c>
      <c r="GH177" s="23">
        <f t="shared" ca="1" si="358"/>
        <v>0</v>
      </c>
      <c r="GI177" s="23">
        <f t="shared" ca="1" si="359"/>
        <v>0</v>
      </c>
      <c r="GJ177" s="23" t="e">
        <f t="shared" ca="1" si="360"/>
        <v>#N/A</v>
      </c>
      <c r="GK177" s="23" t="e">
        <f t="shared" ca="1" si="361"/>
        <v>#N/A</v>
      </c>
      <c r="GL177" s="23" t="e">
        <f t="shared" ca="1" si="362"/>
        <v>#N/A</v>
      </c>
      <c r="GM177" s="23"/>
      <c r="GN177">
        <f t="shared" ca="1" si="363"/>
        <v>117</v>
      </c>
      <c r="GO177" s="5" t="e">
        <f t="shared" ca="1" si="364"/>
        <v>#N/A</v>
      </c>
      <c r="GP177" s="5" t="e">
        <f t="shared" ca="1" si="365"/>
        <v>#N/A</v>
      </c>
      <c r="GQ177" s="5" t="e">
        <f t="shared" ca="1" si="366"/>
        <v>#N/A</v>
      </c>
      <c r="GR177" s="5" t="e">
        <f t="shared" ca="1" si="367"/>
        <v>#N/A</v>
      </c>
      <c r="GS177" s="5">
        <f t="shared" ca="1" si="368"/>
        <v>0.109405749994039</v>
      </c>
      <c r="GT177" s="5">
        <f t="shared" ca="1" si="369"/>
        <v>0.47758555226027899</v>
      </c>
      <c r="GU177" s="5">
        <f t="shared" ca="1" si="370"/>
        <v>0.16458551978575969</v>
      </c>
      <c r="GV177" s="5">
        <f t="shared" ca="1" si="371"/>
        <v>1.3678367892846202E-3</v>
      </c>
      <c r="GW177" s="5">
        <f t="shared" ca="1" si="372"/>
        <v>8.8004003374630333</v>
      </c>
      <c r="GX177" s="5" t="e">
        <f t="shared" ca="1" si="373"/>
        <v>#N/A</v>
      </c>
      <c r="GY177" s="5" t="e">
        <f t="shared" ca="1" si="374"/>
        <v>#N/A</v>
      </c>
      <c r="GZ177" s="5" t="e">
        <f t="shared" ca="1" si="375"/>
        <v>#N/A</v>
      </c>
      <c r="HB177" s="13">
        <f t="shared" ca="1" si="376"/>
        <v>117</v>
      </c>
      <c r="HC177" s="4">
        <f t="shared" ca="1" si="377"/>
        <v>0</v>
      </c>
      <c r="HD177" s="4">
        <f t="shared" ca="1" si="378"/>
        <v>0</v>
      </c>
      <c r="HE177" s="4">
        <f t="shared" ca="1" si="379"/>
        <v>0</v>
      </c>
      <c r="HF177" s="4">
        <f t="shared" ca="1" si="380"/>
        <v>0</v>
      </c>
      <c r="HG177" s="4">
        <f t="shared" ca="1" si="381"/>
        <v>1</v>
      </c>
      <c r="HH177" s="4">
        <f t="shared" ca="1" si="382"/>
        <v>1</v>
      </c>
      <c r="HI177" s="4">
        <f t="shared" ca="1" si="383"/>
        <v>3.2000000000000002E-3</v>
      </c>
      <c r="HJ177" s="4">
        <f t="shared" ca="1" si="384"/>
        <v>0.43440000000000001</v>
      </c>
      <c r="HK177" s="4">
        <f t="shared" ca="1" si="385"/>
        <v>8.9999999999999998E-4</v>
      </c>
      <c r="HL177" s="4">
        <f t="shared" ca="1" si="386"/>
        <v>0</v>
      </c>
      <c r="HM177" s="4">
        <f t="shared" ca="1" si="387"/>
        <v>0</v>
      </c>
      <c r="HN177" s="4">
        <f t="shared" ca="1" si="388"/>
        <v>0</v>
      </c>
    </row>
    <row r="178" spans="1:222" x14ac:dyDescent="0.2">
      <c r="A178" t="str" cm="1">
        <f t="array" aca="1" ref="A178" ca="1">INDIRECT($A$67&amp;"!A"&amp;ROW(C111)+$B$64)</f>
        <v>[[118,29,35]]</v>
      </c>
      <c r="B178" cm="1">
        <f t="array" aca="1" ref="B178" ca="1">INDIRECT($A$67&amp;"!b"&amp;ROW(D111)+$B$64)</f>
        <v>118</v>
      </c>
      <c r="C178">
        <f t="shared" ca="1" si="287"/>
        <v>35</v>
      </c>
      <c r="E178" t="e">
        <f t="shared" ca="1" si="288"/>
        <v>#N/A</v>
      </c>
      <c r="F178" t="e">
        <f t="shared" ca="1" si="288"/>
        <v>#N/A</v>
      </c>
      <c r="G178" t="e">
        <f t="shared" ca="1" si="288"/>
        <v>#N/A</v>
      </c>
      <c r="H178" t="e">
        <f t="shared" ca="1" si="286"/>
        <v>#N/A</v>
      </c>
      <c r="I178">
        <f t="shared" ca="1" si="286"/>
        <v>138</v>
      </c>
      <c r="J178">
        <f t="shared" ca="1" si="286"/>
        <v>135</v>
      </c>
      <c r="K178">
        <f t="shared" ca="1" si="286"/>
        <v>142</v>
      </c>
      <c r="L178">
        <f t="shared" ca="1" si="286"/>
        <v>144</v>
      </c>
      <c r="M178">
        <f t="shared" ca="1" si="286"/>
        <v>141</v>
      </c>
      <c r="N178">
        <f t="shared" ca="1" si="286"/>
        <v>139</v>
      </c>
      <c r="O178">
        <f t="shared" ca="1" si="286"/>
        <v>139</v>
      </c>
      <c r="P178">
        <f t="shared" ca="1" si="286"/>
        <v>139</v>
      </c>
      <c r="V178" cm="1">
        <f t="array" aca="1" ref="V178" ca="1">IF(ISNA(E178),,OFFSET(INDIRECT("'"&amp;V$67&amp;"'!d1"),E178-1,))</f>
        <v>0</v>
      </c>
      <c r="W178" cm="1">
        <f t="array" aca="1" ref="W178" ca="1">IF(ISNA(F178),,OFFSET(INDIRECT("'"&amp;W$67&amp;"'!d1"),F178-1,))</f>
        <v>0</v>
      </c>
      <c r="X178" cm="1">
        <f t="array" aca="1" ref="X178" ca="1">IF(ISNA(G178),,OFFSET(INDIRECT("'"&amp;X$67&amp;"'!d1"),G178-1,))</f>
        <v>0</v>
      </c>
      <c r="Y178" cm="1">
        <f t="array" aca="1" ref="Y178" ca="1">IF(ISNA(H178),,OFFSET(INDIRECT("'"&amp;Y$67&amp;"'!d1"),H178-1,))</f>
        <v>0</v>
      </c>
      <c r="Z178" cm="1">
        <f t="array" aca="1" ref="Z178" ca="1">IF(ISNA(I178),,OFFSET(INDIRECT("'"&amp;Z$67&amp;"'!d1"),I178-1,))</f>
        <v>35</v>
      </c>
      <c r="AA178" cm="1">
        <f t="array" aca="1" ref="AA178" ca="1">IF(ISNA(J178),,OFFSET(INDIRECT("'"&amp;AA$67&amp;"'!d1"),J178-1,))</f>
        <v>35</v>
      </c>
      <c r="AB178" cm="1">
        <f t="array" aca="1" ref="AB178" ca="1">IF(ISNA(K178),,OFFSET(INDIRECT("'"&amp;AB$67&amp;"'!d1"),K178-1,))</f>
        <v>35</v>
      </c>
      <c r="AC178" cm="1">
        <f t="array" aca="1" ref="AC178" ca="1">IF(ISNA(L178),,OFFSET(INDIRECT("'"&amp;AC$67&amp;"'!d1"),L178-1,))</f>
        <v>35</v>
      </c>
      <c r="AD178" cm="1">
        <f t="array" aca="1" ref="AD178" ca="1">IF(ISNA(M178),,OFFSET(INDIRECT("'"&amp;AD$67&amp;"'!d1"),M178-1,))</f>
        <v>35</v>
      </c>
      <c r="AE178" cm="1">
        <f t="array" aca="1" ref="AE178" ca="1">IF(ISNA(N178),,OFFSET(INDIRECT("'"&amp;AE$67&amp;"'!d1"),N178-1,))</f>
        <v>0</v>
      </c>
      <c r="AF178" cm="1">
        <f t="array" aca="1" ref="AF178" ca="1">IF(ISNA(O178),,OFFSET(INDIRECT("'"&amp;AF$67&amp;"'!d1"),O178-1,))</f>
        <v>0</v>
      </c>
      <c r="AG178" cm="1">
        <f t="array" aca="1" ref="AG178" ca="1">IF(ISNA(P178),,OFFSET(INDIRECT("'"&amp;AG$67&amp;"'!d1"),P178-1,))</f>
        <v>0</v>
      </c>
      <c r="AM178">
        <f t="shared" ca="1" si="289"/>
        <v>0</v>
      </c>
      <c r="AN178">
        <f t="shared" ca="1" si="290"/>
        <v>0</v>
      </c>
      <c r="AO178">
        <f t="shared" ca="1" si="291"/>
        <v>0</v>
      </c>
      <c r="AP178">
        <f t="shared" ca="1" si="292"/>
        <v>0</v>
      </c>
      <c r="AQ178">
        <f t="shared" ca="1" si="293"/>
        <v>1</v>
      </c>
      <c r="AV178" t="str">
        <f t="shared" ca="1" si="294"/>
        <v/>
      </c>
      <c r="AW178" t="str">
        <f t="shared" ca="1" si="295"/>
        <v/>
      </c>
      <c r="AX178" t="str">
        <f t="shared" ca="1" si="296"/>
        <v/>
      </c>
      <c r="AY178" t="str">
        <f t="shared" ca="1" si="297"/>
        <v/>
      </c>
      <c r="AZ178" t="b">
        <f t="shared" ca="1" si="298"/>
        <v>1</v>
      </c>
      <c r="BD178">
        <f t="shared" ca="1" si="299"/>
        <v>0</v>
      </c>
      <c r="BE178">
        <f t="shared" ca="1" si="300"/>
        <v>0</v>
      </c>
      <c r="BF178">
        <f t="shared" ca="1" si="301"/>
        <v>0</v>
      </c>
      <c r="BG178">
        <f t="shared" ca="1" si="302"/>
        <v>0</v>
      </c>
      <c r="BH178">
        <f t="shared" ca="1" si="303"/>
        <v>1</v>
      </c>
      <c r="BI178">
        <f t="shared" ca="1" si="304"/>
        <v>1</v>
      </c>
      <c r="BJ178">
        <f t="shared" ca="1" si="305"/>
        <v>1</v>
      </c>
      <c r="BK178">
        <f t="shared" ca="1" si="306"/>
        <v>1</v>
      </c>
      <c r="BL178">
        <f t="shared" ca="1" si="307"/>
        <v>1</v>
      </c>
      <c r="BM178">
        <f t="shared" ca="1" si="308"/>
        <v>0</v>
      </c>
      <c r="BN178">
        <f t="shared" ca="1" si="309"/>
        <v>0</v>
      </c>
      <c r="BO178">
        <f t="shared" ca="1" si="310"/>
        <v>0</v>
      </c>
      <c r="BU178">
        <f t="shared" ca="1" si="311"/>
        <v>118</v>
      </c>
      <c r="BV178">
        <f t="shared" ca="1" si="312"/>
        <v>118</v>
      </c>
      <c r="BW178">
        <f t="shared" ca="1" si="313"/>
        <v>118</v>
      </c>
      <c r="BX178">
        <f t="shared" ca="1" si="314"/>
        <v>118</v>
      </c>
      <c r="BY178">
        <f t="shared" ca="1" si="315"/>
        <v>35</v>
      </c>
      <c r="BZ178">
        <f t="shared" ca="1" si="316"/>
        <v>35</v>
      </c>
      <c r="CA178">
        <f t="shared" ca="1" si="317"/>
        <v>35</v>
      </c>
      <c r="CB178">
        <f t="shared" ca="1" si="318"/>
        <v>35</v>
      </c>
      <c r="CC178">
        <f t="shared" ca="1" si="319"/>
        <v>35</v>
      </c>
      <c r="CD178">
        <f t="shared" ca="1" si="320"/>
        <v>118</v>
      </c>
      <c r="CE178">
        <f t="shared" ca="1" si="321"/>
        <v>118</v>
      </c>
      <c r="CF178">
        <f t="shared" ca="1" si="322"/>
        <v>118</v>
      </c>
      <c r="CL178">
        <f t="shared" ca="1" si="323"/>
        <v>0</v>
      </c>
      <c r="CM178">
        <f t="shared" ca="1" si="324"/>
        <v>0</v>
      </c>
      <c r="CN178">
        <f t="shared" ca="1" si="325"/>
        <v>0</v>
      </c>
      <c r="CO178">
        <f t="shared" ca="1" si="326"/>
        <v>0</v>
      </c>
      <c r="CP178">
        <f t="shared" ca="1" si="327"/>
        <v>1</v>
      </c>
      <c r="CQ178">
        <f t="shared" ca="1" si="328"/>
        <v>1</v>
      </c>
      <c r="CR178">
        <f t="shared" ca="1" si="329"/>
        <v>1</v>
      </c>
      <c r="CS178">
        <f t="shared" ca="1" si="330"/>
        <v>1</v>
      </c>
      <c r="CT178">
        <f t="shared" ca="1" si="331"/>
        <v>1</v>
      </c>
      <c r="CU178">
        <f t="shared" ca="1" si="332"/>
        <v>0</v>
      </c>
      <c r="CV178">
        <f t="shared" ca="1" si="333"/>
        <v>0</v>
      </c>
      <c r="CW178">
        <f t="shared" ca="1" si="334"/>
        <v>0</v>
      </c>
      <c r="DC178" cm="1">
        <f t="array" aca="1" ref="DC178" ca="1">IF(ISNA(E178),,OFFSET(INDIRECT("'"&amp;DT$67&amp;"'!f1"),E178-1,))*1</f>
        <v>0</v>
      </c>
      <c r="DD178" cm="1">
        <f t="array" aca="1" ref="DD178" ca="1">IF(ISNA(F178),,OFFSET(INDIRECT("'"&amp;DU$67&amp;"'!f1"),F178-1,))*1</f>
        <v>0</v>
      </c>
      <c r="DE178" cm="1">
        <f t="array" aca="1" ref="DE178" ca="1">IF(ISNA(G178),,OFFSET(INDIRECT("'"&amp;DV$67&amp;"'!f1"),G178-1,))*1</f>
        <v>0</v>
      </c>
      <c r="DF178" cm="1">
        <f t="array" aca="1" ref="DF178" ca="1">IF(ISNA(H178),,OFFSET(INDIRECT("'"&amp;DW$67&amp;"'!f1"),H178-1,))*1</f>
        <v>0</v>
      </c>
      <c r="DG178" cm="1">
        <f t="array" aca="1" ref="DG178" ca="1">IF(ISNA(I178),,OFFSET(INDIRECT("'"&amp;DX$67&amp;"'!f1"),I178-1,))*1</f>
        <v>0.122703209002793</v>
      </c>
      <c r="DH178" cm="1">
        <f t="array" aca="1" ref="DH178" ca="1">IF(ISNA(J178),,OFFSET(INDIRECT("'"&amp;DY$67&amp;"'!f1"),J178-1,))*1</f>
        <v>0.57788772415369705</v>
      </c>
      <c r="DI178" cm="1">
        <f t="array" aca="1" ref="DI178" ca="1">IF(ISNA(K178),,OFFSET(INDIRECT("'"&amp;DZ$67&amp;"'!f1"),K178-1,))*1</f>
        <v>5.37326742894947</v>
      </c>
      <c r="DJ178" cm="1">
        <f t="array" aca="1" ref="DJ178" ca="1">IF(ISNA(L178),,OFFSET(INDIRECT("'"&amp;EA$67&amp;"'!f1"),L178-1,))*1</f>
        <v>5.8725354084744996</v>
      </c>
      <c r="DK178" cm="1">
        <f t="array" aca="1" ref="DK178" ca="1">IF(ISNA(M178),,OFFSET(INDIRECT("'"&amp;EB$67&amp;"'!f1"),M178-1,))*1</f>
        <v>81.850110508967106</v>
      </c>
      <c r="DL178" cm="1">
        <f t="array" aca="1" ref="DL178" ca="1">IF(ISNA(N178),,OFFSET(INDIRECT("'"&amp;EC$67&amp;"'!f1"),N178-1,))*1</f>
        <v>1.7763740383088499E-2</v>
      </c>
      <c r="DM178" cm="1">
        <f t="array" aca="1" ref="DM178" ca="1">IF(ISNA(O178),,OFFSET(INDIRECT("'"&amp;ED$67&amp;"'!f1"),O178-1,))*1</f>
        <v>1.7581375315785401E-2</v>
      </c>
      <c r="DN178" cm="1">
        <f t="array" aca="1" ref="DN178" ca="1">IF(ISNA(P178),,OFFSET(INDIRECT("'"&amp;EE$67&amp;"'!f1"),P178-1,))*1</f>
        <v>3.0050889588892401E-2</v>
      </c>
      <c r="DT178">
        <f t="shared" ca="1" si="335"/>
        <v>0</v>
      </c>
      <c r="DU178">
        <f t="shared" ca="1" si="336"/>
        <v>0</v>
      </c>
      <c r="DV178">
        <f t="shared" ca="1" si="337"/>
        <v>0</v>
      </c>
      <c r="DW178">
        <f t="shared" ca="1" si="338"/>
        <v>0</v>
      </c>
      <c r="DX178">
        <f t="shared" ca="1" si="339"/>
        <v>1</v>
      </c>
      <c r="DY178">
        <f t="shared" ca="1" si="340"/>
        <v>1</v>
      </c>
      <c r="DZ178">
        <f t="shared" ca="1" si="341"/>
        <v>75</v>
      </c>
      <c r="EA178">
        <f t="shared" ca="1" si="342"/>
        <v>4343</v>
      </c>
      <c r="EB178">
        <f t="shared" ca="1" si="343"/>
        <v>40</v>
      </c>
      <c r="EC178">
        <f t="shared" ca="1" si="344"/>
        <v>0</v>
      </c>
      <c r="ED178">
        <f t="shared" ca="1" si="345"/>
        <v>0</v>
      </c>
      <c r="EE178">
        <f t="shared" ca="1" si="346"/>
        <v>0</v>
      </c>
      <c r="EK178" cm="1">
        <f t="array" aca="1" ref="EK178" ca="1">IF(ISNA(E178),0,OFFSET(INDIRECT("'"&amp;EK$67&amp;"'!g1"),E178-1,)*CL178)</f>
        <v>0</v>
      </c>
      <c r="EL178" cm="1">
        <f t="array" aca="1" ref="EL178" ca="1">IF(ISNA(F178),0,OFFSET(INDIRECT("'"&amp;EL$67&amp;"'!g1"),F178-1,)*CM178)</f>
        <v>0</v>
      </c>
      <c r="EM178" cm="1">
        <f t="array" aca="1" ref="EM178" ca="1">IF(ISNA(G178),0,OFFSET(INDIRECT("'"&amp;EM$67&amp;"'!g1"),G178-1,)*CN178)</f>
        <v>0</v>
      </c>
      <c r="EN178" cm="1">
        <f t="array" aca="1" ref="EN178" ca="1">IF(ISNA(H178),0,OFFSET(INDIRECT("'"&amp;EN$67&amp;"'!g1"),H178-1,)*CO178)</f>
        <v>0</v>
      </c>
      <c r="EO178" cm="1">
        <f t="array" aca="1" ref="EO178" ca="1">IF(ISNA(I178),0,OFFSET(INDIRECT("'"&amp;EO$67&amp;"'!g1"),I178-1,)*CP178)</f>
        <v>1</v>
      </c>
      <c r="EP178" cm="1">
        <f t="array" aca="1" ref="EP178" ca="1">IF(ISNA(J178),0,OFFSET(INDIRECT("'"&amp;EP$67&amp;"'!g1"),J178-1,)*CQ178)</f>
        <v>1</v>
      </c>
      <c r="EQ178" cm="1">
        <f t="array" aca="1" ref="EQ178" ca="1">IF(ISNA(K178),0,OFFSET(INDIRECT("'"&amp;EQ$67&amp;"'!g1"),K178-1,)*CR178)</f>
        <v>75</v>
      </c>
      <c r="ER178" cm="1">
        <f t="array" aca="1" ref="ER178" ca="1">IF(ISNA(L178),0,OFFSET(INDIRECT("'"&amp;ER$67&amp;"'!g1"),L178-1,)*CS178)</f>
        <v>4343</v>
      </c>
      <c r="ES178" cm="1">
        <f t="array" aca="1" ref="ES178" ca="1">IF(ISNA(M178),0,OFFSET(INDIRECT("'"&amp;ES$67&amp;"'!g1"),M178-1,)*CT178)</f>
        <v>40</v>
      </c>
      <c r="ET178" cm="1">
        <f t="array" aca="1" ref="ET178" ca="1">IF(ISNA(N178),0,OFFSET(INDIRECT("'"&amp;ET$67&amp;"'!g1"),N178-1,)*CU178)</f>
        <v>0</v>
      </c>
      <c r="EU178" cm="1">
        <f t="array" aca="1" ref="EU178" ca="1">IF(ISNA(O178),0,OFFSET(INDIRECT("'"&amp;EU$67&amp;"'!g1"),O178-1,)*CV178)</f>
        <v>0</v>
      </c>
      <c r="EV178" cm="1">
        <f t="array" aca="1" ref="EV178" ca="1">IF(ISNA(P178),0,OFFSET(INDIRECT("'"&amp;EV$67&amp;"'!g1"),P178-1,)*CW178)</f>
        <v>0</v>
      </c>
      <c r="FB178" s="10" cm="1">
        <f t="array" aca="1" ref="FB178" ca="1">IF(ISNA(E178),0,OFFSET(INDIRECT("'"&amp;EK$67&amp;"'!h1"),E178-1,))</f>
        <v>0</v>
      </c>
      <c r="FC178" s="10" cm="1">
        <f t="array" aca="1" ref="FC178" ca="1">IF(ISNA(F178),0,OFFSET(INDIRECT("'"&amp;EL$67&amp;"'!h1"),F178-1,))</f>
        <v>0</v>
      </c>
      <c r="FD178" s="10" cm="1">
        <f t="array" aca="1" ref="FD178" ca="1">IF(ISNA(G178),0,OFFSET(INDIRECT("'"&amp;EM$67&amp;"'!h1"),G178-1,))</f>
        <v>0</v>
      </c>
      <c r="FE178" s="10" cm="1">
        <f t="array" aca="1" ref="FE178" ca="1">IF(ISNA(H178),0,OFFSET(INDIRECT("'"&amp;EN$67&amp;"'!h1"),H178-1,))</f>
        <v>0</v>
      </c>
      <c r="FF178" s="10" cm="1">
        <f t="array" aca="1" ref="FF178" ca="1">IF(ISNA(I178),0,OFFSET(INDIRECT("'"&amp;EO$67&amp;"'!h1"),I178-1,))</f>
        <v>1</v>
      </c>
      <c r="FG178" s="10" cm="1">
        <f t="array" aca="1" ref="FG178" ca="1">IF(ISNA(J178),0,OFFSET(INDIRECT("'"&amp;EP$67&amp;"'!h1"),J178-1,))</f>
        <v>1</v>
      </c>
      <c r="FH178" s="10" cm="1">
        <f t="array" aca="1" ref="FH178" ca="1">IF(ISNA(K178),0,OFFSET(INDIRECT("'"&amp;EQ$67&amp;"'!h1"),K178-1,))</f>
        <v>10000</v>
      </c>
      <c r="FI178" s="10" cm="1">
        <f t="array" aca="1" ref="FI178" ca="1">IF(ISNA(L178),0,OFFSET(INDIRECT("'"&amp;ER$67&amp;"'!h1"),L178-1,))</f>
        <v>10000</v>
      </c>
      <c r="FJ178" s="10" cm="1">
        <f t="array" aca="1" ref="FJ178" ca="1">IF(ISNA(M178),0,OFFSET(INDIRECT("'"&amp;ES$67&amp;"'!h1"),M178-1,))</f>
        <v>10000</v>
      </c>
      <c r="FK178" s="10" cm="1">
        <f t="array" aca="1" ref="FK178" ca="1">IF(ISNA(N178),0,OFFSET(INDIRECT("'"&amp;ET$67&amp;"'!h1"),N178-1,))</f>
        <v>1</v>
      </c>
      <c r="FL178" s="10" cm="1">
        <f t="array" aca="1" ref="FL178" ca="1">IF(ISNA(O178),0,OFFSET(INDIRECT("'"&amp;EU$67&amp;"'!h1"),O178-1,))</f>
        <v>1</v>
      </c>
      <c r="FM178" s="10" cm="1">
        <f t="array" aca="1" ref="FM178" ca="1">IF(ISNA(P178),0,OFFSET(INDIRECT("'"&amp;EV$67&amp;"'!h1"),P178-1,))</f>
        <v>9</v>
      </c>
      <c r="FN178" s="10"/>
      <c r="FO178" s="10"/>
      <c r="FP178" s="10"/>
      <c r="FQ178" s="10"/>
      <c r="FS178">
        <f t="shared" ca="1" si="347"/>
        <v>118</v>
      </c>
      <c r="FT178">
        <f t="shared" ca="1" si="62"/>
        <v>5.37326742894947</v>
      </c>
      <c r="FU178">
        <f t="shared" ca="1" si="63"/>
        <v>75</v>
      </c>
      <c r="FV178">
        <f t="shared" ca="1" si="64"/>
        <v>10000</v>
      </c>
      <c r="FW178" s="4">
        <f t="shared" ca="1" si="348"/>
        <v>7.4999999999999997E-3</v>
      </c>
      <c r="FX178" s="5">
        <f t="shared" ca="1" si="349"/>
        <v>7.1643565719326271E-2</v>
      </c>
      <c r="FZ178" s="13">
        <f t="shared" ca="1" si="350"/>
        <v>118</v>
      </c>
      <c r="GA178" s="23" t="e">
        <f t="shared" ca="1" si="351"/>
        <v>#N/A</v>
      </c>
      <c r="GB178" s="23" t="e">
        <f t="shared" ca="1" si="352"/>
        <v>#N/A</v>
      </c>
      <c r="GC178" s="23" t="e">
        <f t="shared" ca="1" si="353"/>
        <v>#N/A</v>
      </c>
      <c r="GD178" s="23" t="e">
        <f t="shared" ca="1" si="354"/>
        <v>#N/A</v>
      </c>
      <c r="GE178" s="23">
        <f t="shared" ca="1" si="355"/>
        <v>0</v>
      </c>
      <c r="GF178" s="23">
        <f t="shared" ca="1" si="356"/>
        <v>0</v>
      </c>
      <c r="GG178" s="23">
        <f t="shared" ca="1" si="357"/>
        <v>0</v>
      </c>
      <c r="GH178" s="23">
        <f t="shared" ca="1" si="358"/>
        <v>0</v>
      </c>
      <c r="GI178" s="23">
        <f t="shared" ca="1" si="359"/>
        <v>0</v>
      </c>
      <c r="GJ178" s="23" t="e">
        <f t="shared" ca="1" si="360"/>
        <v>#N/A</v>
      </c>
      <c r="GK178" s="23" t="e">
        <f t="shared" ca="1" si="361"/>
        <v>#N/A</v>
      </c>
      <c r="GL178" s="23" t="e">
        <f t="shared" ca="1" si="362"/>
        <v>#N/A</v>
      </c>
      <c r="GM178" s="23"/>
      <c r="GN178">
        <f t="shared" ca="1" si="363"/>
        <v>118</v>
      </c>
      <c r="GO178" s="5" t="e">
        <f t="shared" ca="1" si="364"/>
        <v>#N/A</v>
      </c>
      <c r="GP178" s="5" t="e">
        <f t="shared" ca="1" si="365"/>
        <v>#N/A</v>
      </c>
      <c r="GQ178" s="5" t="e">
        <f t="shared" ca="1" si="366"/>
        <v>#N/A</v>
      </c>
      <c r="GR178" s="5" t="e">
        <f t="shared" ca="1" si="367"/>
        <v>#N/A</v>
      </c>
      <c r="GS178" s="5">
        <f t="shared" ca="1" si="368"/>
        <v>0.122703209002793</v>
      </c>
      <c r="GT178" s="5">
        <f t="shared" ca="1" si="369"/>
        <v>0.57788772415369705</v>
      </c>
      <c r="GU178" s="5">
        <f t="shared" ca="1" si="370"/>
        <v>7.1643565719326271E-2</v>
      </c>
      <c r="GV178" s="5">
        <f t="shared" ca="1" si="371"/>
        <v>1.3521840682649089E-3</v>
      </c>
      <c r="GW178" s="5">
        <f t="shared" ca="1" si="372"/>
        <v>2.0462527627241776</v>
      </c>
      <c r="GX178" s="5" t="e">
        <f t="shared" ca="1" si="373"/>
        <v>#N/A</v>
      </c>
      <c r="GY178" s="5" t="e">
        <f t="shared" ca="1" si="374"/>
        <v>#N/A</v>
      </c>
      <c r="GZ178" s="5" t="e">
        <f t="shared" ca="1" si="375"/>
        <v>#N/A</v>
      </c>
      <c r="HB178" s="13">
        <f t="shared" ca="1" si="376"/>
        <v>118</v>
      </c>
      <c r="HC178" s="4">
        <f t="shared" ca="1" si="377"/>
        <v>0</v>
      </c>
      <c r="HD178" s="4">
        <f t="shared" ca="1" si="378"/>
        <v>0</v>
      </c>
      <c r="HE178" s="4">
        <f t="shared" ca="1" si="379"/>
        <v>0</v>
      </c>
      <c r="HF178" s="4">
        <f t="shared" ca="1" si="380"/>
        <v>0</v>
      </c>
      <c r="HG178" s="4">
        <f t="shared" ca="1" si="381"/>
        <v>1</v>
      </c>
      <c r="HH178" s="4">
        <f t="shared" ca="1" si="382"/>
        <v>1</v>
      </c>
      <c r="HI178" s="4">
        <f t="shared" ca="1" si="383"/>
        <v>7.4999999999999997E-3</v>
      </c>
      <c r="HJ178" s="4">
        <f t="shared" ca="1" si="384"/>
        <v>0.43430000000000002</v>
      </c>
      <c r="HK178" s="4">
        <f t="shared" ca="1" si="385"/>
        <v>4.0000000000000001E-3</v>
      </c>
      <c r="HL178" s="4">
        <f t="shared" ca="1" si="386"/>
        <v>0</v>
      </c>
      <c r="HM178" s="4">
        <f t="shared" ca="1" si="387"/>
        <v>0</v>
      </c>
      <c r="HN178" s="4">
        <f t="shared" ca="1" si="388"/>
        <v>0</v>
      </c>
    </row>
    <row r="179" spans="1:222" x14ac:dyDescent="0.2">
      <c r="A179" t="str" cm="1">
        <f t="array" aca="1" ref="A179" ca="1">INDIRECT($A$67&amp;"!A"&amp;ROW(C112)+$B$64)</f>
        <v>[[119,28,36]]</v>
      </c>
      <c r="B179" cm="1">
        <f t="array" aca="1" ref="B179" ca="1">INDIRECT($A$67&amp;"!b"&amp;ROW(D112)+$B$64)</f>
        <v>119</v>
      </c>
      <c r="C179">
        <f t="shared" ca="1" si="287"/>
        <v>36</v>
      </c>
      <c r="E179" t="e">
        <f t="shared" ca="1" si="288"/>
        <v>#N/A</v>
      </c>
      <c r="F179" t="e">
        <f t="shared" ca="1" si="288"/>
        <v>#N/A</v>
      </c>
      <c r="G179" t="e">
        <f t="shared" ca="1" si="288"/>
        <v>#N/A</v>
      </c>
      <c r="H179" t="e">
        <f t="shared" ca="1" si="286"/>
        <v>#N/A</v>
      </c>
      <c r="I179">
        <f t="shared" ca="1" si="286"/>
        <v>139</v>
      </c>
      <c r="J179">
        <f t="shared" ca="1" si="286"/>
        <v>136</v>
      </c>
      <c r="K179">
        <f t="shared" ca="1" si="286"/>
        <v>143</v>
      </c>
      <c r="L179">
        <f t="shared" ca="1" si="286"/>
        <v>145</v>
      </c>
      <c r="M179">
        <f t="shared" ca="1" si="286"/>
        <v>142</v>
      </c>
      <c r="N179">
        <f t="shared" ca="1" si="286"/>
        <v>140</v>
      </c>
      <c r="O179">
        <f t="shared" ca="1" si="286"/>
        <v>140</v>
      </c>
      <c r="P179">
        <f t="shared" ca="1" si="286"/>
        <v>140</v>
      </c>
      <c r="V179" cm="1">
        <f t="array" aca="1" ref="V179" ca="1">IF(ISNA(E179),,OFFSET(INDIRECT("'"&amp;V$67&amp;"'!d1"),E179-1,))</f>
        <v>0</v>
      </c>
      <c r="W179" cm="1">
        <f t="array" aca="1" ref="W179" ca="1">IF(ISNA(F179),,OFFSET(INDIRECT("'"&amp;W$67&amp;"'!d1"),F179-1,))</f>
        <v>0</v>
      </c>
      <c r="X179" cm="1">
        <f t="array" aca="1" ref="X179" ca="1">IF(ISNA(G179),,OFFSET(INDIRECT("'"&amp;X$67&amp;"'!d1"),G179-1,))</f>
        <v>0</v>
      </c>
      <c r="Y179" cm="1">
        <f t="array" aca="1" ref="Y179" ca="1">IF(ISNA(H179),,OFFSET(INDIRECT("'"&amp;Y$67&amp;"'!d1"),H179-1,))</f>
        <v>0</v>
      </c>
      <c r="Z179" cm="1">
        <f t="array" aca="1" ref="Z179" ca="1">IF(ISNA(I179),,OFFSET(INDIRECT("'"&amp;Z$67&amp;"'!d1"),I179-1,))</f>
        <v>36</v>
      </c>
      <c r="AA179" cm="1">
        <f t="array" aca="1" ref="AA179" ca="1">IF(ISNA(J179),,OFFSET(INDIRECT("'"&amp;AA$67&amp;"'!d1"),J179-1,))</f>
        <v>36</v>
      </c>
      <c r="AB179" cm="1">
        <f t="array" aca="1" ref="AB179" ca="1">IF(ISNA(K179),,OFFSET(INDIRECT("'"&amp;AB$67&amp;"'!d1"),K179-1,))</f>
        <v>36</v>
      </c>
      <c r="AC179" cm="1">
        <f t="array" aca="1" ref="AC179" ca="1">IF(ISNA(L179),,OFFSET(INDIRECT("'"&amp;AC$67&amp;"'!d1"),L179-1,))</f>
        <v>36</v>
      </c>
      <c r="AD179" cm="1">
        <f t="array" aca="1" ref="AD179" ca="1">IF(ISNA(M179),,OFFSET(INDIRECT("'"&amp;AD$67&amp;"'!d1"),M179-1,))</f>
        <v>36</v>
      </c>
      <c r="AE179" cm="1">
        <f t="array" aca="1" ref="AE179" ca="1">IF(ISNA(N179),,OFFSET(INDIRECT("'"&amp;AE$67&amp;"'!d1"),N179-1,))</f>
        <v>0</v>
      </c>
      <c r="AF179" cm="1">
        <f t="array" aca="1" ref="AF179" ca="1">IF(ISNA(O179),,OFFSET(INDIRECT("'"&amp;AF$67&amp;"'!d1"),O179-1,))</f>
        <v>0</v>
      </c>
      <c r="AG179" cm="1">
        <f t="array" aca="1" ref="AG179" ca="1">IF(ISNA(P179),,OFFSET(INDIRECT("'"&amp;AG$67&amp;"'!d1"),P179-1,))</f>
        <v>0</v>
      </c>
      <c r="AM179">
        <f t="shared" ca="1" si="289"/>
        <v>0</v>
      </c>
      <c r="AN179">
        <f t="shared" ca="1" si="290"/>
        <v>0</v>
      </c>
      <c r="AO179">
        <f t="shared" ca="1" si="291"/>
        <v>0</v>
      </c>
      <c r="AP179">
        <f t="shared" ca="1" si="292"/>
        <v>0</v>
      </c>
      <c r="AQ179">
        <f t="shared" ca="1" si="293"/>
        <v>1</v>
      </c>
      <c r="AV179" t="str">
        <f t="shared" ca="1" si="294"/>
        <v/>
      </c>
      <c r="AW179" t="str">
        <f t="shared" ca="1" si="295"/>
        <v/>
      </c>
      <c r="AX179" t="str">
        <f t="shared" ca="1" si="296"/>
        <v/>
      </c>
      <c r="AY179" t="str">
        <f t="shared" ca="1" si="297"/>
        <v/>
      </c>
      <c r="AZ179" t="b">
        <f t="shared" ca="1" si="298"/>
        <v>1</v>
      </c>
      <c r="BD179">
        <f t="shared" ca="1" si="299"/>
        <v>0</v>
      </c>
      <c r="BE179">
        <f t="shared" ca="1" si="300"/>
        <v>0</v>
      </c>
      <c r="BF179">
        <f t="shared" ca="1" si="301"/>
        <v>0</v>
      </c>
      <c r="BG179">
        <f t="shared" ca="1" si="302"/>
        <v>0</v>
      </c>
      <c r="BH179">
        <f t="shared" ca="1" si="303"/>
        <v>1</v>
      </c>
      <c r="BI179">
        <f t="shared" ca="1" si="304"/>
        <v>1</v>
      </c>
      <c r="BJ179">
        <f t="shared" ca="1" si="305"/>
        <v>1</v>
      </c>
      <c r="BK179">
        <f t="shared" ca="1" si="306"/>
        <v>1</v>
      </c>
      <c r="BL179">
        <f t="shared" ca="1" si="307"/>
        <v>1</v>
      </c>
      <c r="BM179">
        <f t="shared" ca="1" si="308"/>
        <v>0</v>
      </c>
      <c r="BN179">
        <f t="shared" ca="1" si="309"/>
        <v>0</v>
      </c>
      <c r="BO179">
        <f t="shared" ca="1" si="310"/>
        <v>0</v>
      </c>
      <c r="BU179">
        <f t="shared" ca="1" si="311"/>
        <v>119</v>
      </c>
      <c r="BV179">
        <f t="shared" ca="1" si="312"/>
        <v>119</v>
      </c>
      <c r="BW179">
        <f t="shared" ca="1" si="313"/>
        <v>119</v>
      </c>
      <c r="BX179">
        <f t="shared" ca="1" si="314"/>
        <v>119</v>
      </c>
      <c r="BY179">
        <f t="shared" ca="1" si="315"/>
        <v>36</v>
      </c>
      <c r="BZ179">
        <f t="shared" ca="1" si="316"/>
        <v>36</v>
      </c>
      <c r="CA179">
        <f t="shared" ca="1" si="317"/>
        <v>36</v>
      </c>
      <c r="CB179">
        <f t="shared" ca="1" si="318"/>
        <v>36</v>
      </c>
      <c r="CC179">
        <f t="shared" ca="1" si="319"/>
        <v>36</v>
      </c>
      <c r="CD179">
        <f t="shared" ca="1" si="320"/>
        <v>119</v>
      </c>
      <c r="CE179">
        <f t="shared" ca="1" si="321"/>
        <v>119</v>
      </c>
      <c r="CF179">
        <f t="shared" ca="1" si="322"/>
        <v>119</v>
      </c>
      <c r="CL179">
        <f t="shared" ca="1" si="323"/>
        <v>0</v>
      </c>
      <c r="CM179">
        <f t="shared" ca="1" si="324"/>
        <v>0</v>
      </c>
      <c r="CN179">
        <f t="shared" ca="1" si="325"/>
        <v>0</v>
      </c>
      <c r="CO179">
        <f t="shared" ca="1" si="326"/>
        <v>0</v>
      </c>
      <c r="CP179">
        <f t="shared" ca="1" si="327"/>
        <v>1</v>
      </c>
      <c r="CQ179">
        <f t="shared" ca="1" si="328"/>
        <v>1</v>
      </c>
      <c r="CR179">
        <f t="shared" ca="1" si="329"/>
        <v>1</v>
      </c>
      <c r="CS179">
        <f t="shared" ca="1" si="330"/>
        <v>1</v>
      </c>
      <c r="CT179">
        <f t="shared" ca="1" si="331"/>
        <v>1</v>
      </c>
      <c r="CU179">
        <f t="shared" ca="1" si="332"/>
        <v>0</v>
      </c>
      <c r="CV179">
        <f t="shared" ca="1" si="333"/>
        <v>0</v>
      </c>
      <c r="CW179">
        <f t="shared" ca="1" si="334"/>
        <v>0</v>
      </c>
      <c r="DC179" cm="1">
        <f t="array" aca="1" ref="DC179" ca="1">IF(ISNA(E179),,OFFSET(INDIRECT("'"&amp;DT$67&amp;"'!f1"),E179-1,))*1</f>
        <v>0</v>
      </c>
      <c r="DD179" cm="1">
        <f t="array" aca="1" ref="DD179" ca="1">IF(ISNA(F179),,OFFSET(INDIRECT("'"&amp;DU$67&amp;"'!f1"),F179-1,))*1</f>
        <v>0</v>
      </c>
      <c r="DE179" cm="1">
        <f t="array" aca="1" ref="DE179" ca="1">IF(ISNA(G179),,OFFSET(INDIRECT("'"&amp;DV$67&amp;"'!f1"),G179-1,))*1</f>
        <v>0</v>
      </c>
      <c r="DF179" cm="1">
        <f t="array" aca="1" ref="DF179" ca="1">IF(ISNA(H179),,OFFSET(INDIRECT("'"&amp;DW$67&amp;"'!f1"),H179-1,))*1</f>
        <v>0</v>
      </c>
      <c r="DG179" cm="1">
        <f t="array" aca="1" ref="DG179" ca="1">IF(ISNA(I179),,OFFSET(INDIRECT("'"&amp;DX$67&amp;"'!f1"),I179-1,))*1</f>
        <v>0.117941582997445</v>
      </c>
      <c r="DH179" cm="1">
        <f t="array" aca="1" ref="DH179" ca="1">IF(ISNA(J179),,OFFSET(INDIRECT("'"&amp;DY$67&amp;"'!f1"),J179-1,))*1</f>
        <v>0.49537216080352597</v>
      </c>
      <c r="DI179" cm="1">
        <f t="array" aca="1" ref="DI179" ca="1">IF(ISNA(K179),,OFFSET(INDIRECT("'"&amp;DZ$67&amp;"'!f1"),K179-1,))*1</f>
        <v>5.53941777534782</v>
      </c>
      <c r="DJ179" cm="1">
        <f t="array" aca="1" ref="DJ179" ca="1">IF(ISNA(L179),,OFFSET(INDIRECT("'"&amp;EA$67&amp;"'!f1"),L179-1,))*1</f>
        <v>5.7421031733974797</v>
      </c>
      <c r="DK179" cm="1">
        <f t="array" aca="1" ref="DK179" ca="1">IF(ISNA(M179),,OFFSET(INDIRECT("'"&amp;EB$67&amp;"'!f1"),M179-1,))*1</f>
        <v>88.804704729933206</v>
      </c>
      <c r="DL179" cm="1">
        <f t="array" aca="1" ref="DL179" ca="1">IF(ISNA(N179),,OFFSET(INDIRECT("'"&amp;EC$67&amp;"'!f1"),N179-1,))*1</f>
        <v>1.7299145460128701E-2</v>
      </c>
      <c r="DM179" cm="1">
        <f t="array" aca="1" ref="DM179" ca="1">IF(ISNA(O179),,OFFSET(INDIRECT("'"&amp;ED$67&amp;"'!f1"),O179-1,))*1</f>
        <v>1.7562694847583701E-2</v>
      </c>
      <c r="DN179" cm="1">
        <f t="array" aca="1" ref="DN179" ca="1">IF(ISNA(P179),,OFFSET(INDIRECT("'"&amp;EE$67&amp;"'!f1"),P179-1,))*1</f>
        <v>3.0196397565305198E-2</v>
      </c>
      <c r="DT179">
        <f t="shared" ca="1" si="335"/>
        <v>0</v>
      </c>
      <c r="DU179">
        <f t="shared" ca="1" si="336"/>
        <v>0</v>
      </c>
      <c r="DV179">
        <f t="shared" ca="1" si="337"/>
        <v>0</v>
      </c>
      <c r="DW179">
        <f t="shared" ca="1" si="338"/>
        <v>0</v>
      </c>
      <c r="DX179">
        <f t="shared" ca="1" si="339"/>
        <v>1</v>
      </c>
      <c r="DY179">
        <f t="shared" ca="1" si="340"/>
        <v>1</v>
      </c>
      <c r="DZ179">
        <f t="shared" ca="1" si="341"/>
        <v>46</v>
      </c>
      <c r="EA179">
        <f t="shared" ca="1" si="342"/>
        <v>3948</v>
      </c>
      <c r="EB179">
        <f t="shared" ca="1" si="343"/>
        <v>36</v>
      </c>
      <c r="EC179">
        <f t="shared" ca="1" si="344"/>
        <v>0</v>
      </c>
      <c r="ED179">
        <f t="shared" ca="1" si="345"/>
        <v>0</v>
      </c>
      <c r="EE179">
        <f t="shared" ca="1" si="346"/>
        <v>0</v>
      </c>
      <c r="EK179" cm="1">
        <f t="array" aca="1" ref="EK179" ca="1">IF(ISNA(E179),0,OFFSET(INDIRECT("'"&amp;EK$67&amp;"'!g1"),E179-1,)*CL179)</f>
        <v>0</v>
      </c>
      <c r="EL179" cm="1">
        <f t="array" aca="1" ref="EL179" ca="1">IF(ISNA(F179),0,OFFSET(INDIRECT("'"&amp;EL$67&amp;"'!g1"),F179-1,)*CM179)</f>
        <v>0</v>
      </c>
      <c r="EM179" cm="1">
        <f t="array" aca="1" ref="EM179" ca="1">IF(ISNA(G179),0,OFFSET(INDIRECT("'"&amp;EM$67&amp;"'!g1"),G179-1,)*CN179)</f>
        <v>0</v>
      </c>
      <c r="EN179" cm="1">
        <f t="array" aca="1" ref="EN179" ca="1">IF(ISNA(H179),0,OFFSET(INDIRECT("'"&amp;EN$67&amp;"'!g1"),H179-1,)*CO179)</f>
        <v>0</v>
      </c>
      <c r="EO179" cm="1">
        <f t="array" aca="1" ref="EO179" ca="1">IF(ISNA(I179),0,OFFSET(INDIRECT("'"&amp;EO$67&amp;"'!g1"),I179-1,)*CP179)</f>
        <v>1</v>
      </c>
      <c r="EP179" cm="1">
        <f t="array" aca="1" ref="EP179" ca="1">IF(ISNA(J179),0,OFFSET(INDIRECT("'"&amp;EP$67&amp;"'!g1"),J179-1,)*CQ179)</f>
        <v>1</v>
      </c>
      <c r="EQ179" cm="1">
        <f t="array" aca="1" ref="EQ179" ca="1">IF(ISNA(K179),0,OFFSET(INDIRECT("'"&amp;EQ$67&amp;"'!g1"),K179-1,)*CR179)</f>
        <v>46</v>
      </c>
      <c r="ER179" cm="1">
        <f t="array" aca="1" ref="ER179" ca="1">IF(ISNA(L179),0,OFFSET(INDIRECT("'"&amp;ER$67&amp;"'!g1"),L179-1,)*CS179)</f>
        <v>3948</v>
      </c>
      <c r="ES179" cm="1">
        <f t="array" aca="1" ref="ES179" ca="1">IF(ISNA(M179),0,OFFSET(INDIRECT("'"&amp;ES$67&amp;"'!g1"),M179-1,)*CT179)</f>
        <v>36</v>
      </c>
      <c r="ET179" cm="1">
        <f t="array" aca="1" ref="ET179" ca="1">IF(ISNA(N179),0,OFFSET(INDIRECT("'"&amp;ET$67&amp;"'!g1"),N179-1,)*CU179)</f>
        <v>0</v>
      </c>
      <c r="EU179" cm="1">
        <f t="array" aca="1" ref="EU179" ca="1">IF(ISNA(O179),0,OFFSET(INDIRECT("'"&amp;EU$67&amp;"'!g1"),O179-1,)*CV179)</f>
        <v>0</v>
      </c>
      <c r="EV179" cm="1">
        <f t="array" aca="1" ref="EV179" ca="1">IF(ISNA(P179),0,OFFSET(INDIRECT("'"&amp;EV$67&amp;"'!g1"),P179-1,)*CW179)</f>
        <v>0</v>
      </c>
      <c r="FB179" s="10" cm="1">
        <f t="array" aca="1" ref="FB179" ca="1">IF(ISNA(E179),0,OFFSET(INDIRECT("'"&amp;EK$67&amp;"'!h1"),E179-1,))</f>
        <v>0</v>
      </c>
      <c r="FC179" s="10" cm="1">
        <f t="array" aca="1" ref="FC179" ca="1">IF(ISNA(F179),0,OFFSET(INDIRECT("'"&amp;EL$67&amp;"'!h1"),F179-1,))</f>
        <v>0</v>
      </c>
      <c r="FD179" s="10" cm="1">
        <f t="array" aca="1" ref="FD179" ca="1">IF(ISNA(G179),0,OFFSET(INDIRECT("'"&amp;EM$67&amp;"'!h1"),G179-1,))</f>
        <v>0</v>
      </c>
      <c r="FE179" s="10" cm="1">
        <f t="array" aca="1" ref="FE179" ca="1">IF(ISNA(H179),0,OFFSET(INDIRECT("'"&amp;EN$67&amp;"'!h1"),H179-1,))</f>
        <v>0</v>
      </c>
      <c r="FF179" s="10" cm="1">
        <f t="array" aca="1" ref="FF179" ca="1">IF(ISNA(I179),0,OFFSET(INDIRECT("'"&amp;EO$67&amp;"'!h1"),I179-1,))</f>
        <v>1</v>
      </c>
      <c r="FG179" s="10" cm="1">
        <f t="array" aca="1" ref="FG179" ca="1">IF(ISNA(J179),0,OFFSET(INDIRECT("'"&amp;EP$67&amp;"'!h1"),J179-1,))</f>
        <v>1</v>
      </c>
      <c r="FH179" s="10" cm="1">
        <f t="array" aca="1" ref="FH179" ca="1">IF(ISNA(K179),0,OFFSET(INDIRECT("'"&amp;EQ$67&amp;"'!h1"),K179-1,))</f>
        <v>10000</v>
      </c>
      <c r="FI179" s="10" cm="1">
        <f t="array" aca="1" ref="FI179" ca="1">IF(ISNA(L179),0,OFFSET(INDIRECT("'"&amp;ER$67&amp;"'!h1"),L179-1,))</f>
        <v>10000</v>
      </c>
      <c r="FJ179" s="10" cm="1">
        <f t="array" aca="1" ref="FJ179" ca="1">IF(ISNA(M179),0,OFFSET(INDIRECT("'"&amp;ES$67&amp;"'!h1"),M179-1,))</f>
        <v>10000</v>
      </c>
      <c r="FK179" s="10" cm="1">
        <f t="array" aca="1" ref="FK179" ca="1">IF(ISNA(N179),0,OFFSET(INDIRECT("'"&amp;ET$67&amp;"'!h1"),N179-1,))</f>
        <v>1</v>
      </c>
      <c r="FL179" s="10" cm="1">
        <f t="array" aca="1" ref="FL179" ca="1">IF(ISNA(O179),0,OFFSET(INDIRECT("'"&amp;EU$67&amp;"'!h1"),O179-1,))</f>
        <v>1</v>
      </c>
      <c r="FM179" s="10" cm="1">
        <f t="array" aca="1" ref="FM179" ca="1">IF(ISNA(P179),0,OFFSET(INDIRECT("'"&amp;EV$67&amp;"'!h1"),P179-1,))</f>
        <v>9</v>
      </c>
      <c r="FN179" s="10"/>
      <c r="FO179" s="10"/>
      <c r="FP179" s="10"/>
      <c r="FQ179" s="10"/>
      <c r="FS179">
        <f t="shared" ca="1" si="347"/>
        <v>119</v>
      </c>
      <c r="FT179">
        <f t="shared" ca="1" si="62"/>
        <v>5.53941777534782</v>
      </c>
      <c r="FU179">
        <f t="shared" ca="1" si="63"/>
        <v>46</v>
      </c>
      <c r="FV179">
        <f t="shared" ca="1" si="64"/>
        <v>10000</v>
      </c>
      <c r="FW179" s="4">
        <f t="shared" ca="1" si="348"/>
        <v>4.5999999999999999E-3</v>
      </c>
      <c r="FX179" s="5">
        <f t="shared" ca="1" si="349"/>
        <v>0.12042212555103957</v>
      </c>
      <c r="FZ179" s="13">
        <f t="shared" ca="1" si="350"/>
        <v>119</v>
      </c>
      <c r="GA179" s="23" t="e">
        <f t="shared" ca="1" si="351"/>
        <v>#N/A</v>
      </c>
      <c r="GB179" s="23" t="e">
        <f t="shared" ca="1" si="352"/>
        <v>#N/A</v>
      </c>
      <c r="GC179" s="23" t="e">
        <f t="shared" ca="1" si="353"/>
        <v>#N/A</v>
      </c>
      <c r="GD179" s="23" t="e">
        <f t="shared" ca="1" si="354"/>
        <v>#N/A</v>
      </c>
      <c r="GE179" s="23">
        <f t="shared" ca="1" si="355"/>
        <v>0</v>
      </c>
      <c r="GF179" s="23">
        <f t="shared" ca="1" si="356"/>
        <v>0</v>
      </c>
      <c r="GG179" s="23">
        <f t="shared" ca="1" si="357"/>
        <v>0</v>
      </c>
      <c r="GH179" s="23">
        <f t="shared" ca="1" si="358"/>
        <v>0</v>
      </c>
      <c r="GI179" s="23">
        <f t="shared" ca="1" si="359"/>
        <v>0</v>
      </c>
      <c r="GJ179" s="23" t="e">
        <f t="shared" ca="1" si="360"/>
        <v>#N/A</v>
      </c>
      <c r="GK179" s="23" t="e">
        <f t="shared" ca="1" si="361"/>
        <v>#N/A</v>
      </c>
      <c r="GL179" s="23" t="e">
        <f t="shared" ca="1" si="362"/>
        <v>#N/A</v>
      </c>
      <c r="GM179" s="23"/>
      <c r="GN179">
        <f t="shared" ca="1" si="363"/>
        <v>119</v>
      </c>
      <c r="GO179" s="5" t="e">
        <f t="shared" ca="1" si="364"/>
        <v>#N/A</v>
      </c>
      <c r="GP179" s="5" t="e">
        <f t="shared" ca="1" si="365"/>
        <v>#N/A</v>
      </c>
      <c r="GQ179" s="5" t="e">
        <f t="shared" ca="1" si="366"/>
        <v>#N/A</v>
      </c>
      <c r="GR179" s="5" t="e">
        <f t="shared" ca="1" si="367"/>
        <v>#N/A</v>
      </c>
      <c r="GS179" s="5">
        <f t="shared" ca="1" si="368"/>
        <v>0.117941582997445</v>
      </c>
      <c r="GT179" s="5">
        <f t="shared" ca="1" si="369"/>
        <v>0.49537216080352597</v>
      </c>
      <c r="GU179" s="5">
        <f t="shared" ca="1" si="370"/>
        <v>0.12042212555103957</v>
      </c>
      <c r="GV179" s="5">
        <f t="shared" ca="1" si="371"/>
        <v>1.4544334279122289E-3</v>
      </c>
      <c r="GW179" s="5">
        <f t="shared" ca="1" si="372"/>
        <v>2.4667973536092558</v>
      </c>
      <c r="GX179" s="5" t="e">
        <f t="shared" ca="1" si="373"/>
        <v>#N/A</v>
      </c>
      <c r="GY179" s="5" t="e">
        <f t="shared" ca="1" si="374"/>
        <v>#N/A</v>
      </c>
      <c r="GZ179" s="5" t="e">
        <f t="shared" ca="1" si="375"/>
        <v>#N/A</v>
      </c>
      <c r="HB179" s="13">
        <f t="shared" ca="1" si="376"/>
        <v>119</v>
      </c>
      <c r="HC179" s="4">
        <f t="shared" ca="1" si="377"/>
        <v>0</v>
      </c>
      <c r="HD179" s="4">
        <f t="shared" ca="1" si="378"/>
        <v>0</v>
      </c>
      <c r="HE179" s="4">
        <f t="shared" ca="1" si="379"/>
        <v>0</v>
      </c>
      <c r="HF179" s="4">
        <f t="shared" ca="1" si="380"/>
        <v>0</v>
      </c>
      <c r="HG179" s="4">
        <f t="shared" ca="1" si="381"/>
        <v>1</v>
      </c>
      <c r="HH179" s="4">
        <f t="shared" ca="1" si="382"/>
        <v>1</v>
      </c>
      <c r="HI179" s="4">
        <f t="shared" ca="1" si="383"/>
        <v>4.5999999999999999E-3</v>
      </c>
      <c r="HJ179" s="4">
        <f t="shared" ca="1" si="384"/>
        <v>0.39479999999999998</v>
      </c>
      <c r="HK179" s="4">
        <f t="shared" ca="1" si="385"/>
        <v>3.5999999999999999E-3</v>
      </c>
      <c r="HL179" s="4">
        <f t="shared" ca="1" si="386"/>
        <v>0</v>
      </c>
      <c r="HM179" s="4">
        <f t="shared" ca="1" si="387"/>
        <v>0</v>
      </c>
      <c r="HN179" s="4">
        <f t="shared" ca="1" si="388"/>
        <v>0</v>
      </c>
    </row>
    <row r="180" spans="1:222" x14ac:dyDescent="0.2">
      <c r="A180" t="str" cm="1">
        <f t="array" aca="1" ref="A180" ca="1">INDIRECT($A$67&amp;"!A"&amp;ROW(C113)+$B$64)</f>
        <v>[[120,29,36]]</v>
      </c>
      <c r="B180" cm="1">
        <f t="array" aca="1" ref="B180" ca="1">INDIRECT($A$67&amp;"!b"&amp;ROW(D113)+$B$64)</f>
        <v>120</v>
      </c>
      <c r="C180">
        <f t="shared" ca="1" si="287"/>
        <v>36</v>
      </c>
      <c r="E180" t="e">
        <f t="shared" ca="1" si="288"/>
        <v>#N/A</v>
      </c>
      <c r="F180" t="e">
        <f t="shared" ca="1" si="288"/>
        <v>#N/A</v>
      </c>
      <c r="G180" t="e">
        <f t="shared" ca="1" si="288"/>
        <v>#N/A</v>
      </c>
      <c r="H180" t="e">
        <f t="shared" ca="1" si="286"/>
        <v>#N/A</v>
      </c>
      <c r="I180">
        <f t="shared" ca="1" si="286"/>
        <v>140</v>
      </c>
      <c r="J180">
        <f t="shared" ca="1" si="286"/>
        <v>137</v>
      </c>
      <c r="K180">
        <f t="shared" ca="1" si="286"/>
        <v>144</v>
      </c>
      <c r="L180">
        <f t="shared" ca="1" si="286"/>
        <v>146</v>
      </c>
      <c r="M180">
        <f t="shared" ca="1" si="286"/>
        <v>143</v>
      </c>
      <c r="N180">
        <f t="shared" ca="1" si="286"/>
        <v>141</v>
      </c>
      <c r="O180">
        <f t="shared" ca="1" si="286"/>
        <v>141</v>
      </c>
      <c r="P180">
        <f t="shared" ca="1" si="286"/>
        <v>141</v>
      </c>
      <c r="V180" cm="1">
        <f t="array" aca="1" ref="V180" ca="1">IF(ISNA(E180),,OFFSET(INDIRECT("'"&amp;V$67&amp;"'!d1"),E180-1,))</f>
        <v>0</v>
      </c>
      <c r="W180" cm="1">
        <f t="array" aca="1" ref="W180" ca="1">IF(ISNA(F180),,OFFSET(INDIRECT("'"&amp;W$67&amp;"'!d1"),F180-1,))</f>
        <v>0</v>
      </c>
      <c r="X180" cm="1">
        <f t="array" aca="1" ref="X180" ca="1">IF(ISNA(G180),,OFFSET(INDIRECT("'"&amp;X$67&amp;"'!d1"),G180-1,))</f>
        <v>0</v>
      </c>
      <c r="Y180" cm="1">
        <f t="array" aca="1" ref="Y180" ca="1">IF(ISNA(H180),,OFFSET(INDIRECT("'"&amp;Y$67&amp;"'!d1"),H180-1,))</f>
        <v>0</v>
      </c>
      <c r="Z180" cm="1">
        <f t="array" aca="1" ref="Z180" ca="1">IF(ISNA(I180),,OFFSET(INDIRECT("'"&amp;Z$67&amp;"'!d1"),I180-1,))</f>
        <v>36</v>
      </c>
      <c r="AA180" cm="1">
        <f t="array" aca="1" ref="AA180" ca="1">IF(ISNA(J180),,OFFSET(INDIRECT("'"&amp;AA$67&amp;"'!d1"),J180-1,))</f>
        <v>36</v>
      </c>
      <c r="AB180" cm="1">
        <f t="array" aca="1" ref="AB180" ca="1">IF(ISNA(K180),,OFFSET(INDIRECT("'"&amp;AB$67&amp;"'!d1"),K180-1,))</f>
        <v>36</v>
      </c>
      <c r="AC180" cm="1">
        <f t="array" aca="1" ref="AC180" ca="1">IF(ISNA(L180),,OFFSET(INDIRECT("'"&amp;AC$67&amp;"'!d1"),L180-1,))</f>
        <v>36</v>
      </c>
      <c r="AD180" cm="1">
        <f t="array" aca="1" ref="AD180" ca="1">IF(ISNA(M180),,OFFSET(INDIRECT("'"&amp;AD$67&amp;"'!d1"),M180-1,))</f>
        <v>36</v>
      </c>
      <c r="AE180" cm="1">
        <f t="array" aca="1" ref="AE180" ca="1">IF(ISNA(N180),,OFFSET(INDIRECT("'"&amp;AE$67&amp;"'!d1"),N180-1,))</f>
        <v>0</v>
      </c>
      <c r="AF180" cm="1">
        <f t="array" aca="1" ref="AF180" ca="1">IF(ISNA(O180),,OFFSET(INDIRECT("'"&amp;AF$67&amp;"'!d1"),O180-1,))</f>
        <v>0</v>
      </c>
      <c r="AG180" cm="1">
        <f t="array" aca="1" ref="AG180" ca="1">IF(ISNA(P180),,OFFSET(INDIRECT("'"&amp;AG$67&amp;"'!d1"),P180-1,))</f>
        <v>0</v>
      </c>
      <c r="AM180">
        <f t="shared" ca="1" si="289"/>
        <v>0</v>
      </c>
      <c r="AN180">
        <f t="shared" ca="1" si="290"/>
        <v>0</v>
      </c>
      <c r="AO180">
        <f t="shared" ca="1" si="291"/>
        <v>0</v>
      </c>
      <c r="AP180">
        <f t="shared" ca="1" si="292"/>
        <v>0</v>
      </c>
      <c r="AQ180">
        <f t="shared" ca="1" si="293"/>
        <v>1</v>
      </c>
      <c r="AV180" t="str">
        <f t="shared" ca="1" si="294"/>
        <v/>
      </c>
      <c r="AW180" t="str">
        <f t="shared" ca="1" si="295"/>
        <v/>
      </c>
      <c r="AX180" t="str">
        <f t="shared" ca="1" si="296"/>
        <v/>
      </c>
      <c r="AY180" t="str">
        <f t="shared" ca="1" si="297"/>
        <v/>
      </c>
      <c r="AZ180" t="b">
        <f t="shared" ca="1" si="298"/>
        <v>1</v>
      </c>
      <c r="BD180">
        <f t="shared" ca="1" si="299"/>
        <v>0</v>
      </c>
      <c r="BE180">
        <f t="shared" ca="1" si="300"/>
        <v>0</v>
      </c>
      <c r="BF180">
        <f t="shared" ca="1" si="301"/>
        <v>0</v>
      </c>
      <c r="BG180">
        <f t="shared" ca="1" si="302"/>
        <v>0</v>
      </c>
      <c r="BH180">
        <f t="shared" ca="1" si="303"/>
        <v>1</v>
      </c>
      <c r="BI180">
        <f t="shared" ca="1" si="304"/>
        <v>1</v>
      </c>
      <c r="BJ180">
        <f t="shared" ca="1" si="305"/>
        <v>1</v>
      </c>
      <c r="BK180">
        <f t="shared" ca="1" si="306"/>
        <v>1</v>
      </c>
      <c r="BL180">
        <f t="shared" ca="1" si="307"/>
        <v>1</v>
      </c>
      <c r="BM180">
        <f t="shared" ca="1" si="308"/>
        <v>0</v>
      </c>
      <c r="BN180">
        <f t="shared" ca="1" si="309"/>
        <v>0</v>
      </c>
      <c r="BO180">
        <f t="shared" ca="1" si="310"/>
        <v>0</v>
      </c>
      <c r="BU180">
        <f t="shared" ca="1" si="311"/>
        <v>120</v>
      </c>
      <c r="BV180">
        <f t="shared" ca="1" si="312"/>
        <v>120</v>
      </c>
      <c r="BW180">
        <f t="shared" ca="1" si="313"/>
        <v>120</v>
      </c>
      <c r="BX180">
        <f t="shared" ca="1" si="314"/>
        <v>120</v>
      </c>
      <c r="BY180">
        <f t="shared" ca="1" si="315"/>
        <v>36</v>
      </c>
      <c r="BZ180">
        <f t="shared" ca="1" si="316"/>
        <v>36</v>
      </c>
      <c r="CA180">
        <f t="shared" ca="1" si="317"/>
        <v>36</v>
      </c>
      <c r="CB180">
        <f t="shared" ca="1" si="318"/>
        <v>36</v>
      </c>
      <c r="CC180">
        <f t="shared" ca="1" si="319"/>
        <v>36</v>
      </c>
      <c r="CD180">
        <f t="shared" ca="1" si="320"/>
        <v>120</v>
      </c>
      <c r="CE180">
        <f t="shared" ca="1" si="321"/>
        <v>120</v>
      </c>
      <c r="CF180">
        <f t="shared" ca="1" si="322"/>
        <v>120</v>
      </c>
      <c r="CL180">
        <f t="shared" ca="1" si="323"/>
        <v>0</v>
      </c>
      <c r="CM180">
        <f t="shared" ca="1" si="324"/>
        <v>0</v>
      </c>
      <c r="CN180">
        <f t="shared" ca="1" si="325"/>
        <v>0</v>
      </c>
      <c r="CO180">
        <f t="shared" ca="1" si="326"/>
        <v>0</v>
      </c>
      <c r="CP180">
        <f t="shared" ca="1" si="327"/>
        <v>1</v>
      </c>
      <c r="CQ180">
        <f t="shared" ca="1" si="328"/>
        <v>1</v>
      </c>
      <c r="CR180">
        <f t="shared" ca="1" si="329"/>
        <v>1</v>
      </c>
      <c r="CS180">
        <f t="shared" ca="1" si="330"/>
        <v>1</v>
      </c>
      <c r="CT180">
        <f t="shared" ca="1" si="331"/>
        <v>1</v>
      </c>
      <c r="CU180">
        <f t="shared" ca="1" si="332"/>
        <v>0</v>
      </c>
      <c r="CV180">
        <f t="shared" ca="1" si="333"/>
        <v>0</v>
      </c>
      <c r="CW180">
        <f t="shared" ca="1" si="334"/>
        <v>0</v>
      </c>
      <c r="DC180" cm="1">
        <f t="array" aca="1" ref="DC180" ca="1">IF(ISNA(E180),,OFFSET(INDIRECT("'"&amp;DT$67&amp;"'!f1"),E180-1,))*1</f>
        <v>0</v>
      </c>
      <c r="DD180" cm="1">
        <f t="array" aca="1" ref="DD180" ca="1">IF(ISNA(F180),,OFFSET(INDIRECT("'"&amp;DU$67&amp;"'!f1"),F180-1,))*1</f>
        <v>0</v>
      </c>
      <c r="DE180" cm="1">
        <f t="array" aca="1" ref="DE180" ca="1">IF(ISNA(G180),,OFFSET(INDIRECT("'"&amp;DV$67&amp;"'!f1"),G180-1,))*1</f>
        <v>0</v>
      </c>
      <c r="DF180" cm="1">
        <f t="array" aca="1" ref="DF180" ca="1">IF(ISNA(H180),,OFFSET(INDIRECT("'"&amp;DW$67&amp;"'!f1"),H180-1,))*1</f>
        <v>0</v>
      </c>
      <c r="DG180" cm="1">
        <f t="array" aca="1" ref="DG180" ca="1">IF(ISNA(I180),,OFFSET(INDIRECT("'"&amp;DX$67&amp;"'!f1"),I180-1,))*1</f>
        <v>0.137007000004814</v>
      </c>
      <c r="DH180" cm="1">
        <f t="array" aca="1" ref="DH180" ca="1">IF(ISNA(J180),,OFFSET(INDIRECT("'"&amp;DY$67&amp;"'!f1"),J180-1,))*1</f>
        <v>0.50171237299218696</v>
      </c>
      <c r="DI180" cm="1">
        <f t="array" aca="1" ref="DI180" ca="1">IF(ISNA(K180),,OFFSET(INDIRECT("'"&amp;DZ$67&amp;"'!f1"),K180-1,))*1</f>
        <v>5.4022238962352196</v>
      </c>
      <c r="DJ180" cm="1">
        <f t="array" aca="1" ref="DJ180" ca="1">IF(ISNA(L180),,OFFSET(INDIRECT("'"&amp;EA$67&amp;"'!f1"),L180-1,))*1</f>
        <v>5.6542988596484003</v>
      </c>
      <c r="DK180" cm="1">
        <f t="array" aca="1" ref="DK180" ca="1">IF(ISNA(M180),,OFFSET(INDIRECT("'"&amp;EB$67&amp;"'!f1"),M180-1,))*1</f>
        <v>85.134517503902302</v>
      </c>
      <c r="DL180" cm="1">
        <f t="array" aca="1" ref="DL180" ca="1">IF(ISNA(N180),,OFFSET(INDIRECT("'"&amp;EC$67&amp;"'!f1"),N180-1,))*1</f>
        <v>1.7444601282477299E-2</v>
      </c>
      <c r="DM180" cm="1">
        <f t="array" aca="1" ref="DM180" ca="1">IF(ISNA(O180),,OFFSET(INDIRECT("'"&amp;ED$67&amp;"'!f1"),O180-1,))*1</f>
        <v>1.7834588885307302E-2</v>
      </c>
      <c r="DN180" cm="1">
        <f t="array" aca="1" ref="DN180" ca="1">IF(ISNA(P180),,OFFSET(INDIRECT("'"&amp;EE$67&amp;"'!f1"),P180-1,))*1</f>
        <v>3.0888427048921498E-2</v>
      </c>
      <c r="DT180">
        <f t="shared" ca="1" si="335"/>
        <v>0</v>
      </c>
      <c r="DU180">
        <f t="shared" ca="1" si="336"/>
        <v>0</v>
      </c>
      <c r="DV180">
        <f t="shared" ca="1" si="337"/>
        <v>0</v>
      </c>
      <c r="DW180">
        <f t="shared" ca="1" si="338"/>
        <v>0</v>
      </c>
      <c r="DX180">
        <f t="shared" ca="1" si="339"/>
        <v>1</v>
      </c>
      <c r="DY180">
        <f t="shared" ca="1" si="340"/>
        <v>1</v>
      </c>
      <c r="DZ180">
        <f t="shared" ca="1" si="341"/>
        <v>44</v>
      </c>
      <c r="EA180">
        <f t="shared" ca="1" si="342"/>
        <v>3890</v>
      </c>
      <c r="EB180">
        <f t="shared" ca="1" si="343"/>
        <v>23</v>
      </c>
      <c r="EC180">
        <f t="shared" ca="1" si="344"/>
        <v>0</v>
      </c>
      <c r="ED180">
        <f t="shared" ca="1" si="345"/>
        <v>0</v>
      </c>
      <c r="EE180">
        <f t="shared" ca="1" si="346"/>
        <v>0</v>
      </c>
      <c r="EK180" cm="1">
        <f t="array" aca="1" ref="EK180" ca="1">IF(ISNA(E180),0,OFFSET(INDIRECT("'"&amp;EK$67&amp;"'!g1"),E180-1,)*CL180)</f>
        <v>0</v>
      </c>
      <c r="EL180" cm="1">
        <f t="array" aca="1" ref="EL180" ca="1">IF(ISNA(F180),0,OFFSET(INDIRECT("'"&amp;EL$67&amp;"'!g1"),F180-1,)*CM180)</f>
        <v>0</v>
      </c>
      <c r="EM180" cm="1">
        <f t="array" aca="1" ref="EM180" ca="1">IF(ISNA(G180),0,OFFSET(INDIRECT("'"&amp;EM$67&amp;"'!g1"),G180-1,)*CN180)</f>
        <v>0</v>
      </c>
      <c r="EN180" cm="1">
        <f t="array" aca="1" ref="EN180" ca="1">IF(ISNA(H180),0,OFFSET(INDIRECT("'"&amp;EN$67&amp;"'!g1"),H180-1,)*CO180)</f>
        <v>0</v>
      </c>
      <c r="EO180" cm="1">
        <f t="array" aca="1" ref="EO180" ca="1">IF(ISNA(I180),0,OFFSET(INDIRECT("'"&amp;EO$67&amp;"'!g1"),I180-1,)*CP180)</f>
        <v>1</v>
      </c>
      <c r="EP180" cm="1">
        <f t="array" aca="1" ref="EP180" ca="1">IF(ISNA(J180),0,OFFSET(INDIRECT("'"&amp;EP$67&amp;"'!g1"),J180-1,)*CQ180)</f>
        <v>1</v>
      </c>
      <c r="EQ180" cm="1">
        <f t="array" aca="1" ref="EQ180" ca="1">IF(ISNA(K180),0,OFFSET(INDIRECT("'"&amp;EQ$67&amp;"'!g1"),K180-1,)*CR180)</f>
        <v>44</v>
      </c>
      <c r="ER180" cm="1">
        <f t="array" aca="1" ref="ER180" ca="1">IF(ISNA(L180),0,OFFSET(INDIRECT("'"&amp;ER$67&amp;"'!g1"),L180-1,)*CS180)</f>
        <v>3890</v>
      </c>
      <c r="ES180" cm="1">
        <f t="array" aca="1" ref="ES180" ca="1">IF(ISNA(M180),0,OFFSET(INDIRECT("'"&amp;ES$67&amp;"'!g1"),M180-1,)*CT180)</f>
        <v>23</v>
      </c>
      <c r="ET180" cm="1">
        <f t="array" aca="1" ref="ET180" ca="1">IF(ISNA(N180),0,OFFSET(INDIRECT("'"&amp;ET$67&amp;"'!g1"),N180-1,)*CU180)</f>
        <v>0</v>
      </c>
      <c r="EU180" cm="1">
        <f t="array" aca="1" ref="EU180" ca="1">IF(ISNA(O180),0,OFFSET(INDIRECT("'"&amp;EU$67&amp;"'!g1"),O180-1,)*CV180)</f>
        <v>0</v>
      </c>
      <c r="EV180" cm="1">
        <f t="array" aca="1" ref="EV180" ca="1">IF(ISNA(P180),0,OFFSET(INDIRECT("'"&amp;EV$67&amp;"'!g1"),P180-1,)*CW180)</f>
        <v>0</v>
      </c>
      <c r="FB180" s="10" cm="1">
        <f t="array" aca="1" ref="FB180" ca="1">IF(ISNA(E180),0,OFFSET(INDIRECT("'"&amp;EK$67&amp;"'!h1"),E180-1,))</f>
        <v>0</v>
      </c>
      <c r="FC180" s="10" cm="1">
        <f t="array" aca="1" ref="FC180" ca="1">IF(ISNA(F180),0,OFFSET(INDIRECT("'"&amp;EL$67&amp;"'!h1"),F180-1,))</f>
        <v>0</v>
      </c>
      <c r="FD180" s="10" cm="1">
        <f t="array" aca="1" ref="FD180" ca="1">IF(ISNA(G180),0,OFFSET(INDIRECT("'"&amp;EM$67&amp;"'!h1"),G180-1,))</f>
        <v>0</v>
      </c>
      <c r="FE180" s="10" cm="1">
        <f t="array" aca="1" ref="FE180" ca="1">IF(ISNA(H180),0,OFFSET(INDIRECT("'"&amp;EN$67&amp;"'!h1"),H180-1,))</f>
        <v>0</v>
      </c>
      <c r="FF180" s="10" cm="1">
        <f t="array" aca="1" ref="FF180" ca="1">IF(ISNA(I180),0,OFFSET(INDIRECT("'"&amp;EO$67&amp;"'!h1"),I180-1,))</f>
        <v>1</v>
      </c>
      <c r="FG180" s="10" cm="1">
        <f t="array" aca="1" ref="FG180" ca="1">IF(ISNA(J180),0,OFFSET(INDIRECT("'"&amp;EP$67&amp;"'!h1"),J180-1,))</f>
        <v>1</v>
      </c>
      <c r="FH180" s="10" cm="1">
        <f t="array" aca="1" ref="FH180" ca="1">IF(ISNA(K180),0,OFFSET(INDIRECT("'"&amp;EQ$67&amp;"'!h1"),K180-1,))</f>
        <v>10000</v>
      </c>
      <c r="FI180" s="10" cm="1">
        <f t="array" aca="1" ref="FI180" ca="1">IF(ISNA(L180),0,OFFSET(INDIRECT("'"&amp;ER$67&amp;"'!h1"),L180-1,))</f>
        <v>10000</v>
      </c>
      <c r="FJ180" s="10" cm="1">
        <f t="array" aca="1" ref="FJ180" ca="1">IF(ISNA(M180),0,OFFSET(INDIRECT("'"&amp;ES$67&amp;"'!h1"),M180-1,))</f>
        <v>10000</v>
      </c>
      <c r="FK180" s="10" cm="1">
        <f t="array" aca="1" ref="FK180" ca="1">IF(ISNA(N180),0,OFFSET(INDIRECT("'"&amp;ET$67&amp;"'!h1"),N180-1,))</f>
        <v>1</v>
      </c>
      <c r="FL180" s="10" cm="1">
        <f t="array" aca="1" ref="FL180" ca="1">IF(ISNA(O180),0,OFFSET(INDIRECT("'"&amp;EU$67&amp;"'!h1"),O180-1,))</f>
        <v>1</v>
      </c>
      <c r="FM180" s="10" cm="1">
        <f t="array" aca="1" ref="FM180" ca="1">IF(ISNA(P180),0,OFFSET(INDIRECT("'"&amp;EV$67&amp;"'!h1"),P180-1,))</f>
        <v>9</v>
      </c>
      <c r="FN180" s="10"/>
      <c r="FO180" s="10"/>
      <c r="FP180" s="10"/>
      <c r="FQ180" s="10"/>
      <c r="FS180">
        <f t="shared" ca="1" si="347"/>
        <v>120</v>
      </c>
      <c r="FT180">
        <f t="shared" ca="1" si="62"/>
        <v>5.4022238962352196</v>
      </c>
      <c r="FU180">
        <f t="shared" ca="1" si="63"/>
        <v>44</v>
      </c>
      <c r="FV180">
        <f t="shared" ca="1" si="64"/>
        <v>10000</v>
      </c>
      <c r="FW180" s="4">
        <f t="shared" ca="1" si="348"/>
        <v>4.4000000000000003E-3</v>
      </c>
      <c r="FX180" s="5">
        <f t="shared" ca="1" si="349"/>
        <v>0.12277781582352772</v>
      </c>
      <c r="FZ180" s="13">
        <f t="shared" ca="1" si="350"/>
        <v>120</v>
      </c>
      <c r="GA180" s="23" t="e">
        <f t="shared" ca="1" si="351"/>
        <v>#N/A</v>
      </c>
      <c r="GB180" s="23" t="e">
        <f t="shared" ca="1" si="352"/>
        <v>#N/A</v>
      </c>
      <c r="GC180" s="23" t="e">
        <f t="shared" ca="1" si="353"/>
        <v>#N/A</v>
      </c>
      <c r="GD180" s="23" t="e">
        <f t="shared" ca="1" si="354"/>
        <v>#N/A</v>
      </c>
      <c r="GE180" s="23">
        <f t="shared" ca="1" si="355"/>
        <v>0</v>
      </c>
      <c r="GF180" s="23">
        <f t="shared" ca="1" si="356"/>
        <v>0</v>
      </c>
      <c r="GG180" s="23">
        <f t="shared" ca="1" si="357"/>
        <v>0</v>
      </c>
      <c r="GH180" s="23">
        <f t="shared" ca="1" si="358"/>
        <v>0</v>
      </c>
      <c r="GI180" s="23">
        <f t="shared" ca="1" si="359"/>
        <v>0</v>
      </c>
      <c r="GJ180" s="23" t="e">
        <f t="shared" ca="1" si="360"/>
        <v>#N/A</v>
      </c>
      <c r="GK180" s="23" t="e">
        <f t="shared" ca="1" si="361"/>
        <v>#N/A</v>
      </c>
      <c r="GL180" s="23" t="e">
        <f t="shared" ca="1" si="362"/>
        <v>#N/A</v>
      </c>
      <c r="GM180" s="23"/>
      <c r="GN180">
        <f t="shared" ca="1" si="363"/>
        <v>120</v>
      </c>
      <c r="GO180" s="5" t="e">
        <f t="shared" ca="1" si="364"/>
        <v>#N/A</v>
      </c>
      <c r="GP180" s="5" t="e">
        <f t="shared" ca="1" si="365"/>
        <v>#N/A</v>
      </c>
      <c r="GQ180" s="5" t="e">
        <f t="shared" ca="1" si="366"/>
        <v>#N/A</v>
      </c>
      <c r="GR180" s="5" t="e">
        <f t="shared" ca="1" si="367"/>
        <v>#N/A</v>
      </c>
      <c r="GS180" s="5">
        <f t="shared" ca="1" si="368"/>
        <v>0.137007000004814</v>
      </c>
      <c r="GT180" s="5">
        <f t="shared" ca="1" si="369"/>
        <v>0.50171237299218696</v>
      </c>
      <c r="GU180" s="5">
        <f t="shared" ca="1" si="370"/>
        <v>0.12277781582352772</v>
      </c>
      <c r="GV180" s="5">
        <f t="shared" ca="1" si="371"/>
        <v>1.4535472646911055E-3</v>
      </c>
      <c r="GW180" s="5">
        <f t="shared" ca="1" si="372"/>
        <v>3.7015007610392305</v>
      </c>
      <c r="GX180" s="5" t="e">
        <f t="shared" ca="1" si="373"/>
        <v>#N/A</v>
      </c>
      <c r="GY180" s="5" t="e">
        <f t="shared" ca="1" si="374"/>
        <v>#N/A</v>
      </c>
      <c r="GZ180" s="5" t="e">
        <f t="shared" ca="1" si="375"/>
        <v>#N/A</v>
      </c>
      <c r="HB180" s="13">
        <f t="shared" ca="1" si="376"/>
        <v>120</v>
      </c>
      <c r="HC180" s="4">
        <f t="shared" ca="1" si="377"/>
        <v>0</v>
      </c>
      <c r="HD180" s="4">
        <f t="shared" ca="1" si="378"/>
        <v>0</v>
      </c>
      <c r="HE180" s="4">
        <f t="shared" ca="1" si="379"/>
        <v>0</v>
      </c>
      <c r="HF180" s="4">
        <f t="shared" ca="1" si="380"/>
        <v>0</v>
      </c>
      <c r="HG180" s="4">
        <f t="shared" ca="1" si="381"/>
        <v>1</v>
      </c>
      <c r="HH180" s="4">
        <f t="shared" ca="1" si="382"/>
        <v>1</v>
      </c>
      <c r="HI180" s="4">
        <f t="shared" ca="1" si="383"/>
        <v>4.4000000000000003E-3</v>
      </c>
      <c r="HJ180" s="4">
        <f t="shared" ca="1" si="384"/>
        <v>0.38900000000000001</v>
      </c>
      <c r="HK180" s="4">
        <f t="shared" ca="1" si="385"/>
        <v>2.3E-3</v>
      </c>
      <c r="HL180" s="4">
        <f t="shared" ca="1" si="386"/>
        <v>0</v>
      </c>
      <c r="HM180" s="4">
        <f t="shared" ca="1" si="387"/>
        <v>0</v>
      </c>
      <c r="HN180" s="4">
        <f t="shared" ca="1" si="388"/>
        <v>0</v>
      </c>
    </row>
    <row r="181" spans="1:222" x14ac:dyDescent="0.2">
      <c r="A181" t="str" cm="1">
        <f t="array" aca="1" ref="A181" ca="1">INDIRECT($A$67&amp;"!A"&amp;ROW(C114)+$B$64)</f>
        <v>[[121,29,37]]</v>
      </c>
      <c r="B181" cm="1">
        <f t="array" aca="1" ref="B181" ca="1">INDIRECT($A$67&amp;"!b"&amp;ROW(D114)+$B$64)</f>
        <v>121</v>
      </c>
      <c r="C181">
        <f t="shared" ca="1" si="287"/>
        <v>37</v>
      </c>
      <c r="E181" t="e">
        <f t="shared" ca="1" si="288"/>
        <v>#N/A</v>
      </c>
      <c r="F181" t="e">
        <f t="shared" ca="1" si="288"/>
        <v>#N/A</v>
      </c>
      <c r="G181" t="e">
        <f t="shared" ca="1" si="288"/>
        <v>#N/A</v>
      </c>
      <c r="H181" t="e">
        <f t="shared" ca="1" si="286"/>
        <v>#N/A</v>
      </c>
      <c r="I181">
        <f t="shared" ca="1" si="286"/>
        <v>141</v>
      </c>
      <c r="J181">
        <f t="shared" ca="1" si="286"/>
        <v>138</v>
      </c>
      <c r="K181">
        <f t="shared" ca="1" si="286"/>
        <v>145</v>
      </c>
      <c r="L181">
        <f t="shared" ca="1" si="286"/>
        <v>147</v>
      </c>
      <c r="M181">
        <f t="shared" ca="1" si="286"/>
        <v>144</v>
      </c>
      <c r="N181">
        <f t="shared" ca="1" si="286"/>
        <v>142</v>
      </c>
      <c r="O181">
        <f t="shared" ca="1" si="286"/>
        <v>142</v>
      </c>
      <c r="P181">
        <f t="shared" ca="1" si="286"/>
        <v>142</v>
      </c>
      <c r="V181" cm="1">
        <f t="array" aca="1" ref="V181" ca="1">IF(ISNA(E181),,OFFSET(INDIRECT("'"&amp;V$67&amp;"'!d1"),E181-1,))</f>
        <v>0</v>
      </c>
      <c r="W181" cm="1">
        <f t="array" aca="1" ref="W181" ca="1">IF(ISNA(F181),,OFFSET(INDIRECT("'"&amp;W$67&amp;"'!d1"),F181-1,))</f>
        <v>0</v>
      </c>
      <c r="X181" cm="1">
        <f t="array" aca="1" ref="X181" ca="1">IF(ISNA(G181),,OFFSET(INDIRECT("'"&amp;X$67&amp;"'!d1"),G181-1,))</f>
        <v>0</v>
      </c>
      <c r="Y181" cm="1">
        <f t="array" aca="1" ref="Y181" ca="1">IF(ISNA(H181),,OFFSET(INDIRECT("'"&amp;Y$67&amp;"'!d1"),H181-1,))</f>
        <v>0</v>
      </c>
      <c r="Z181" cm="1">
        <f t="array" aca="1" ref="Z181" ca="1">IF(ISNA(I181),,OFFSET(INDIRECT("'"&amp;Z$67&amp;"'!d1"),I181-1,))</f>
        <v>37</v>
      </c>
      <c r="AA181" cm="1">
        <f t="array" aca="1" ref="AA181" ca="1">IF(ISNA(J181),,OFFSET(INDIRECT("'"&amp;AA$67&amp;"'!d1"),J181-1,))</f>
        <v>37</v>
      </c>
      <c r="AB181" cm="1">
        <f t="array" aca="1" ref="AB181" ca="1">IF(ISNA(K181),,OFFSET(INDIRECT("'"&amp;AB$67&amp;"'!d1"),K181-1,))</f>
        <v>37</v>
      </c>
      <c r="AC181" cm="1">
        <f t="array" aca="1" ref="AC181" ca="1">IF(ISNA(L181),,OFFSET(INDIRECT("'"&amp;AC$67&amp;"'!d1"),L181-1,))</f>
        <v>37</v>
      </c>
      <c r="AD181" cm="1">
        <f t="array" aca="1" ref="AD181" ca="1">IF(ISNA(M181),,OFFSET(INDIRECT("'"&amp;AD$67&amp;"'!d1"),M181-1,))</f>
        <v>37</v>
      </c>
      <c r="AE181" cm="1">
        <f t="array" aca="1" ref="AE181" ca="1">IF(ISNA(N181),,OFFSET(INDIRECT("'"&amp;AE$67&amp;"'!d1"),N181-1,))</f>
        <v>0</v>
      </c>
      <c r="AF181" cm="1">
        <f t="array" aca="1" ref="AF181" ca="1">IF(ISNA(O181),,OFFSET(INDIRECT("'"&amp;AF$67&amp;"'!d1"),O181-1,))</f>
        <v>0</v>
      </c>
      <c r="AG181" cm="1">
        <f t="array" aca="1" ref="AG181" ca="1">IF(ISNA(P181),,OFFSET(INDIRECT("'"&amp;AG$67&amp;"'!d1"),P181-1,))</f>
        <v>0</v>
      </c>
      <c r="AM181">
        <f t="shared" ca="1" si="289"/>
        <v>0</v>
      </c>
      <c r="AN181">
        <f t="shared" ca="1" si="290"/>
        <v>0</v>
      </c>
      <c r="AO181">
        <f t="shared" ca="1" si="291"/>
        <v>0</v>
      </c>
      <c r="AP181">
        <f t="shared" ca="1" si="292"/>
        <v>0</v>
      </c>
      <c r="AQ181">
        <f t="shared" ca="1" si="293"/>
        <v>1</v>
      </c>
      <c r="AV181" t="str">
        <f t="shared" ca="1" si="294"/>
        <v/>
      </c>
      <c r="AW181" t="str">
        <f t="shared" ca="1" si="295"/>
        <v/>
      </c>
      <c r="AX181" t="str">
        <f t="shared" ca="1" si="296"/>
        <v/>
      </c>
      <c r="AY181" t="str">
        <f t="shared" ca="1" si="297"/>
        <v/>
      </c>
      <c r="AZ181" t="b">
        <f t="shared" ca="1" si="298"/>
        <v>1</v>
      </c>
      <c r="BD181">
        <f t="shared" ca="1" si="299"/>
        <v>0</v>
      </c>
      <c r="BE181">
        <f t="shared" ca="1" si="300"/>
        <v>0</v>
      </c>
      <c r="BF181">
        <f t="shared" ca="1" si="301"/>
        <v>0</v>
      </c>
      <c r="BG181">
        <f t="shared" ca="1" si="302"/>
        <v>0</v>
      </c>
      <c r="BH181">
        <f t="shared" ca="1" si="303"/>
        <v>1</v>
      </c>
      <c r="BI181">
        <f t="shared" ca="1" si="304"/>
        <v>1</v>
      </c>
      <c r="BJ181">
        <f t="shared" ca="1" si="305"/>
        <v>1</v>
      </c>
      <c r="BK181">
        <f t="shared" ca="1" si="306"/>
        <v>1</v>
      </c>
      <c r="BL181">
        <f t="shared" ca="1" si="307"/>
        <v>1</v>
      </c>
      <c r="BM181">
        <f t="shared" ca="1" si="308"/>
        <v>0</v>
      </c>
      <c r="BN181">
        <f t="shared" ca="1" si="309"/>
        <v>0</v>
      </c>
      <c r="BO181">
        <f t="shared" ca="1" si="310"/>
        <v>0</v>
      </c>
      <c r="BU181">
        <f t="shared" ca="1" si="311"/>
        <v>121</v>
      </c>
      <c r="BV181">
        <f t="shared" ca="1" si="312"/>
        <v>121</v>
      </c>
      <c r="BW181">
        <f t="shared" ca="1" si="313"/>
        <v>121</v>
      </c>
      <c r="BX181">
        <f t="shared" ca="1" si="314"/>
        <v>121</v>
      </c>
      <c r="BY181">
        <f t="shared" ca="1" si="315"/>
        <v>37</v>
      </c>
      <c r="BZ181">
        <f t="shared" ca="1" si="316"/>
        <v>37</v>
      </c>
      <c r="CA181">
        <f t="shared" ca="1" si="317"/>
        <v>37</v>
      </c>
      <c r="CB181">
        <f t="shared" ca="1" si="318"/>
        <v>37</v>
      </c>
      <c r="CC181">
        <f t="shared" ca="1" si="319"/>
        <v>37</v>
      </c>
      <c r="CD181">
        <f t="shared" ca="1" si="320"/>
        <v>121</v>
      </c>
      <c r="CE181">
        <f t="shared" ca="1" si="321"/>
        <v>121</v>
      </c>
      <c r="CF181">
        <f t="shared" ca="1" si="322"/>
        <v>121</v>
      </c>
      <c r="CL181">
        <f t="shared" ca="1" si="323"/>
        <v>0</v>
      </c>
      <c r="CM181">
        <f t="shared" ca="1" si="324"/>
        <v>0</v>
      </c>
      <c r="CN181">
        <f t="shared" ca="1" si="325"/>
        <v>0</v>
      </c>
      <c r="CO181">
        <f t="shared" ca="1" si="326"/>
        <v>0</v>
      </c>
      <c r="CP181">
        <f t="shared" ca="1" si="327"/>
        <v>1</v>
      </c>
      <c r="CQ181">
        <f t="shared" ca="1" si="328"/>
        <v>1</v>
      </c>
      <c r="CR181">
        <f t="shared" ca="1" si="329"/>
        <v>1</v>
      </c>
      <c r="CS181">
        <f t="shared" ca="1" si="330"/>
        <v>1</v>
      </c>
      <c r="CT181">
        <f t="shared" ca="1" si="331"/>
        <v>1</v>
      </c>
      <c r="CU181">
        <f t="shared" ca="1" si="332"/>
        <v>0</v>
      </c>
      <c r="CV181">
        <f t="shared" ca="1" si="333"/>
        <v>0</v>
      </c>
      <c r="CW181">
        <f t="shared" ca="1" si="334"/>
        <v>0</v>
      </c>
      <c r="DC181" cm="1">
        <f t="array" aca="1" ref="DC181" ca="1">IF(ISNA(E181),,OFFSET(INDIRECT("'"&amp;DT$67&amp;"'!f1"),E181-1,))*1</f>
        <v>0</v>
      </c>
      <c r="DD181" cm="1">
        <f t="array" aca="1" ref="DD181" ca="1">IF(ISNA(F181),,OFFSET(INDIRECT("'"&amp;DU$67&amp;"'!f1"),F181-1,))*1</f>
        <v>0</v>
      </c>
      <c r="DE181" cm="1">
        <f t="array" aca="1" ref="DE181" ca="1">IF(ISNA(G181),,OFFSET(INDIRECT("'"&amp;DV$67&amp;"'!f1"),G181-1,))*1</f>
        <v>0</v>
      </c>
      <c r="DF181" cm="1">
        <f t="array" aca="1" ref="DF181" ca="1">IF(ISNA(H181),,OFFSET(INDIRECT("'"&amp;DW$67&amp;"'!f1"),H181-1,))*1</f>
        <v>0</v>
      </c>
      <c r="DG181" cm="1">
        <f t="array" aca="1" ref="DG181" ca="1">IF(ISNA(I181),,OFFSET(INDIRECT("'"&amp;DX$67&amp;"'!f1"),I181-1,))*1</f>
        <v>0.167888541996944</v>
      </c>
      <c r="DH181" cm="1">
        <f t="array" aca="1" ref="DH181" ca="1">IF(ISNA(J181),,OFFSET(INDIRECT("'"&amp;DY$67&amp;"'!f1"),J181-1,))*1</f>
        <v>0.51018866384401895</v>
      </c>
      <c r="DI181" cm="1">
        <f t="array" aca="1" ref="DI181" ca="1">IF(ISNA(K181),,OFFSET(INDIRECT("'"&amp;DZ$67&amp;"'!f1"),K181-1,))*1</f>
        <v>6.0329362135380498</v>
      </c>
      <c r="DJ181" cm="1">
        <f t="array" aca="1" ref="DJ181" ca="1">IF(ISNA(L181),,OFFSET(INDIRECT("'"&amp;EA$67&amp;"'!f1"),L181-1,))*1</f>
        <v>6.2413677703589201</v>
      </c>
      <c r="DK181" cm="1">
        <f t="array" aca="1" ref="DK181" ca="1">IF(ISNA(M181),,OFFSET(INDIRECT("'"&amp;EB$67&amp;"'!f1"),M181-1,))*1</f>
        <v>87.8984795683063</v>
      </c>
      <c r="DL181" cm="1">
        <f t="array" aca="1" ref="DL181" ca="1">IF(ISNA(N181),,OFFSET(INDIRECT("'"&amp;EC$67&amp;"'!f1"),N181-1,))*1</f>
        <v>1.7717178910970601E-2</v>
      </c>
      <c r="DM181" cm="1">
        <f t="array" aca="1" ref="DM181" ca="1">IF(ISNA(O181),,OFFSET(INDIRECT("'"&amp;ED$67&amp;"'!f1"),O181-1,))*1</f>
        <v>1.82856293395161E-2</v>
      </c>
      <c r="DN181" cm="1">
        <f t="array" aca="1" ref="DN181" ca="1">IF(ISNA(P181),,OFFSET(INDIRECT("'"&amp;EE$67&amp;"'!f1"),P181-1,))*1</f>
        <v>3.1265523284673601E-2</v>
      </c>
      <c r="DT181">
        <f t="shared" ca="1" si="335"/>
        <v>0</v>
      </c>
      <c r="DU181">
        <f t="shared" ca="1" si="336"/>
        <v>0</v>
      </c>
      <c r="DV181">
        <f t="shared" ca="1" si="337"/>
        <v>0</v>
      </c>
      <c r="DW181">
        <f t="shared" ca="1" si="338"/>
        <v>0</v>
      </c>
      <c r="DX181">
        <f t="shared" ca="1" si="339"/>
        <v>1</v>
      </c>
      <c r="DY181">
        <f t="shared" ca="1" si="340"/>
        <v>1</v>
      </c>
      <c r="DZ181">
        <f t="shared" ca="1" si="341"/>
        <v>121</v>
      </c>
      <c r="EA181">
        <f t="shared" ca="1" si="342"/>
        <v>4382</v>
      </c>
      <c r="EB181">
        <f t="shared" ca="1" si="343"/>
        <v>46</v>
      </c>
      <c r="EC181">
        <f t="shared" ca="1" si="344"/>
        <v>0</v>
      </c>
      <c r="ED181">
        <f t="shared" ca="1" si="345"/>
        <v>0</v>
      </c>
      <c r="EE181">
        <f t="shared" ca="1" si="346"/>
        <v>0</v>
      </c>
      <c r="EK181" cm="1">
        <f t="array" aca="1" ref="EK181" ca="1">IF(ISNA(E181),0,OFFSET(INDIRECT("'"&amp;EK$67&amp;"'!g1"),E181-1,)*CL181)</f>
        <v>0</v>
      </c>
      <c r="EL181" cm="1">
        <f t="array" aca="1" ref="EL181" ca="1">IF(ISNA(F181),0,OFFSET(INDIRECT("'"&amp;EL$67&amp;"'!g1"),F181-1,)*CM181)</f>
        <v>0</v>
      </c>
      <c r="EM181" cm="1">
        <f t="array" aca="1" ref="EM181" ca="1">IF(ISNA(G181),0,OFFSET(INDIRECT("'"&amp;EM$67&amp;"'!g1"),G181-1,)*CN181)</f>
        <v>0</v>
      </c>
      <c r="EN181" cm="1">
        <f t="array" aca="1" ref="EN181" ca="1">IF(ISNA(H181),0,OFFSET(INDIRECT("'"&amp;EN$67&amp;"'!g1"),H181-1,)*CO181)</f>
        <v>0</v>
      </c>
      <c r="EO181" cm="1">
        <f t="array" aca="1" ref="EO181" ca="1">IF(ISNA(I181),0,OFFSET(INDIRECT("'"&amp;EO$67&amp;"'!g1"),I181-1,)*CP181)</f>
        <v>1</v>
      </c>
      <c r="EP181" cm="1">
        <f t="array" aca="1" ref="EP181" ca="1">IF(ISNA(J181),0,OFFSET(INDIRECT("'"&amp;EP$67&amp;"'!g1"),J181-1,)*CQ181)</f>
        <v>1</v>
      </c>
      <c r="EQ181" cm="1">
        <f t="array" aca="1" ref="EQ181" ca="1">IF(ISNA(K181),0,OFFSET(INDIRECT("'"&amp;EQ$67&amp;"'!g1"),K181-1,)*CR181)</f>
        <v>121</v>
      </c>
      <c r="ER181" cm="1">
        <f t="array" aca="1" ref="ER181" ca="1">IF(ISNA(L181),0,OFFSET(INDIRECT("'"&amp;ER$67&amp;"'!g1"),L181-1,)*CS181)</f>
        <v>4382</v>
      </c>
      <c r="ES181" cm="1">
        <f t="array" aca="1" ref="ES181" ca="1">IF(ISNA(M181),0,OFFSET(INDIRECT("'"&amp;ES$67&amp;"'!g1"),M181-1,)*CT181)</f>
        <v>46</v>
      </c>
      <c r="ET181" cm="1">
        <f t="array" aca="1" ref="ET181" ca="1">IF(ISNA(N181),0,OFFSET(INDIRECT("'"&amp;ET$67&amp;"'!g1"),N181-1,)*CU181)</f>
        <v>0</v>
      </c>
      <c r="EU181" cm="1">
        <f t="array" aca="1" ref="EU181" ca="1">IF(ISNA(O181),0,OFFSET(INDIRECT("'"&amp;EU$67&amp;"'!g1"),O181-1,)*CV181)</f>
        <v>0</v>
      </c>
      <c r="EV181" cm="1">
        <f t="array" aca="1" ref="EV181" ca="1">IF(ISNA(P181),0,OFFSET(INDIRECT("'"&amp;EV$67&amp;"'!g1"),P181-1,)*CW181)</f>
        <v>0</v>
      </c>
      <c r="FB181" s="10" cm="1">
        <f t="array" aca="1" ref="FB181" ca="1">IF(ISNA(E181),0,OFFSET(INDIRECT("'"&amp;EK$67&amp;"'!h1"),E181-1,))</f>
        <v>0</v>
      </c>
      <c r="FC181" s="10" cm="1">
        <f t="array" aca="1" ref="FC181" ca="1">IF(ISNA(F181),0,OFFSET(INDIRECT("'"&amp;EL$67&amp;"'!h1"),F181-1,))</f>
        <v>0</v>
      </c>
      <c r="FD181" s="10" cm="1">
        <f t="array" aca="1" ref="FD181" ca="1">IF(ISNA(G181),0,OFFSET(INDIRECT("'"&amp;EM$67&amp;"'!h1"),G181-1,))</f>
        <v>0</v>
      </c>
      <c r="FE181" s="10" cm="1">
        <f t="array" aca="1" ref="FE181" ca="1">IF(ISNA(H181),0,OFFSET(INDIRECT("'"&amp;EN$67&amp;"'!h1"),H181-1,))</f>
        <v>0</v>
      </c>
      <c r="FF181" s="10" cm="1">
        <f t="array" aca="1" ref="FF181" ca="1">IF(ISNA(I181),0,OFFSET(INDIRECT("'"&amp;EO$67&amp;"'!h1"),I181-1,))</f>
        <v>1</v>
      </c>
      <c r="FG181" s="10" cm="1">
        <f t="array" aca="1" ref="FG181" ca="1">IF(ISNA(J181),0,OFFSET(INDIRECT("'"&amp;EP$67&amp;"'!h1"),J181-1,))</f>
        <v>1</v>
      </c>
      <c r="FH181" s="10" cm="1">
        <f t="array" aca="1" ref="FH181" ca="1">IF(ISNA(K181),0,OFFSET(INDIRECT("'"&amp;EQ$67&amp;"'!h1"),K181-1,))</f>
        <v>10000</v>
      </c>
      <c r="FI181" s="10" cm="1">
        <f t="array" aca="1" ref="FI181" ca="1">IF(ISNA(L181),0,OFFSET(INDIRECT("'"&amp;ER$67&amp;"'!h1"),L181-1,))</f>
        <v>10000</v>
      </c>
      <c r="FJ181" s="10" cm="1">
        <f t="array" aca="1" ref="FJ181" ca="1">IF(ISNA(M181),0,OFFSET(INDIRECT("'"&amp;ES$67&amp;"'!h1"),M181-1,))</f>
        <v>10000</v>
      </c>
      <c r="FK181" s="10" cm="1">
        <f t="array" aca="1" ref="FK181" ca="1">IF(ISNA(N181),0,OFFSET(INDIRECT("'"&amp;ET$67&amp;"'!h1"),N181-1,))</f>
        <v>1</v>
      </c>
      <c r="FL181" s="10" cm="1">
        <f t="array" aca="1" ref="FL181" ca="1">IF(ISNA(O181),0,OFFSET(INDIRECT("'"&amp;EU$67&amp;"'!h1"),O181-1,))</f>
        <v>1</v>
      </c>
      <c r="FM181" s="10" cm="1">
        <f t="array" aca="1" ref="FM181" ca="1">IF(ISNA(P181),0,OFFSET(INDIRECT("'"&amp;EV$67&amp;"'!h1"),P181-1,))</f>
        <v>9</v>
      </c>
      <c r="FN181" s="10"/>
      <c r="FO181" s="10"/>
      <c r="FP181" s="10"/>
      <c r="FQ181" s="10"/>
      <c r="FS181">
        <f t="shared" ca="1" si="347"/>
        <v>121</v>
      </c>
      <c r="FT181">
        <f t="shared" ca="1" si="62"/>
        <v>6.0329362135380498</v>
      </c>
      <c r="FU181">
        <f t="shared" ca="1" si="63"/>
        <v>121</v>
      </c>
      <c r="FV181">
        <f t="shared" ca="1" si="64"/>
        <v>10000</v>
      </c>
      <c r="FW181" s="4">
        <f t="shared" ca="1" si="348"/>
        <v>1.21E-2</v>
      </c>
      <c r="FX181" s="5">
        <f t="shared" ca="1" si="349"/>
        <v>4.9858976971388844E-2</v>
      </c>
      <c r="FZ181" s="13">
        <f t="shared" ca="1" si="350"/>
        <v>121</v>
      </c>
      <c r="GA181" s="23" t="e">
        <f t="shared" ca="1" si="351"/>
        <v>#N/A</v>
      </c>
      <c r="GB181" s="23" t="e">
        <f t="shared" ca="1" si="352"/>
        <v>#N/A</v>
      </c>
      <c r="GC181" s="23" t="e">
        <f t="shared" ca="1" si="353"/>
        <v>#N/A</v>
      </c>
      <c r="GD181" s="23" t="e">
        <f t="shared" ca="1" si="354"/>
        <v>#N/A</v>
      </c>
      <c r="GE181" s="23">
        <f t="shared" ca="1" si="355"/>
        <v>0</v>
      </c>
      <c r="GF181" s="23">
        <f t="shared" ca="1" si="356"/>
        <v>0</v>
      </c>
      <c r="GG181" s="23">
        <f t="shared" ca="1" si="357"/>
        <v>0</v>
      </c>
      <c r="GH181" s="23">
        <f t="shared" ca="1" si="358"/>
        <v>0</v>
      </c>
      <c r="GI181" s="23">
        <f t="shared" ca="1" si="359"/>
        <v>0</v>
      </c>
      <c r="GJ181" s="23" t="e">
        <f t="shared" ca="1" si="360"/>
        <v>#N/A</v>
      </c>
      <c r="GK181" s="23" t="e">
        <f t="shared" ca="1" si="361"/>
        <v>#N/A</v>
      </c>
      <c r="GL181" s="23" t="e">
        <f t="shared" ca="1" si="362"/>
        <v>#N/A</v>
      </c>
      <c r="GM181" s="23"/>
      <c r="GN181">
        <f t="shared" ca="1" si="363"/>
        <v>121</v>
      </c>
      <c r="GO181" s="5" t="e">
        <f t="shared" ca="1" si="364"/>
        <v>#N/A</v>
      </c>
      <c r="GP181" s="5" t="e">
        <f t="shared" ca="1" si="365"/>
        <v>#N/A</v>
      </c>
      <c r="GQ181" s="5" t="e">
        <f t="shared" ca="1" si="366"/>
        <v>#N/A</v>
      </c>
      <c r="GR181" s="5" t="e">
        <f t="shared" ca="1" si="367"/>
        <v>#N/A</v>
      </c>
      <c r="GS181" s="5">
        <f t="shared" ca="1" si="368"/>
        <v>0.167888541996944</v>
      </c>
      <c r="GT181" s="5">
        <f t="shared" ca="1" si="369"/>
        <v>0.51018866384401895</v>
      </c>
      <c r="GU181" s="5">
        <f t="shared" ca="1" si="370"/>
        <v>4.9858976971388844E-2</v>
      </c>
      <c r="GV181" s="5">
        <f t="shared" ca="1" si="371"/>
        <v>1.4243194364123505E-3</v>
      </c>
      <c r="GW181" s="5">
        <f t="shared" ca="1" si="372"/>
        <v>1.9108365123544848</v>
      </c>
      <c r="GX181" s="5" t="e">
        <f t="shared" ca="1" si="373"/>
        <v>#N/A</v>
      </c>
      <c r="GY181" s="5" t="e">
        <f t="shared" ca="1" si="374"/>
        <v>#N/A</v>
      </c>
      <c r="GZ181" s="5" t="e">
        <f t="shared" ca="1" si="375"/>
        <v>#N/A</v>
      </c>
      <c r="HB181" s="13">
        <f t="shared" ca="1" si="376"/>
        <v>121</v>
      </c>
      <c r="HC181" s="4">
        <f t="shared" ca="1" si="377"/>
        <v>0</v>
      </c>
      <c r="HD181" s="4">
        <f t="shared" ca="1" si="378"/>
        <v>0</v>
      </c>
      <c r="HE181" s="4">
        <f t="shared" ca="1" si="379"/>
        <v>0</v>
      </c>
      <c r="HF181" s="4">
        <f t="shared" ca="1" si="380"/>
        <v>0</v>
      </c>
      <c r="HG181" s="4">
        <f t="shared" ca="1" si="381"/>
        <v>1</v>
      </c>
      <c r="HH181" s="4">
        <f t="shared" ca="1" si="382"/>
        <v>1</v>
      </c>
      <c r="HI181" s="4">
        <f t="shared" ca="1" si="383"/>
        <v>1.21E-2</v>
      </c>
      <c r="HJ181" s="4">
        <f t="shared" ca="1" si="384"/>
        <v>0.43819999999999998</v>
      </c>
      <c r="HK181" s="4">
        <f t="shared" ca="1" si="385"/>
        <v>4.5999999999999999E-3</v>
      </c>
      <c r="HL181" s="4">
        <f t="shared" ca="1" si="386"/>
        <v>0</v>
      </c>
      <c r="HM181" s="4">
        <f t="shared" ca="1" si="387"/>
        <v>0</v>
      </c>
      <c r="HN181" s="4">
        <f t="shared" ca="1" si="388"/>
        <v>0</v>
      </c>
    </row>
    <row r="182" spans="1:222" x14ac:dyDescent="0.2">
      <c r="A182" t="str" cm="1">
        <f t="array" aca="1" ref="A182" ca="1">INDIRECT($A$67&amp;"!A"&amp;ROW(C115)+$B$64)</f>
        <v>[[122,47,25]]</v>
      </c>
      <c r="B182" cm="1">
        <f t="array" aca="1" ref="B182" ca="1">INDIRECT($A$67&amp;"!b"&amp;ROW(D115)+$B$64)</f>
        <v>122</v>
      </c>
      <c r="C182">
        <f t="shared" ca="1" si="287"/>
        <v>25</v>
      </c>
      <c r="E182" t="e">
        <f t="shared" ca="1" si="288"/>
        <v>#N/A</v>
      </c>
      <c r="F182" t="e">
        <f t="shared" ca="1" si="288"/>
        <v>#N/A</v>
      </c>
      <c r="G182" t="e">
        <f t="shared" ca="1" si="288"/>
        <v>#N/A</v>
      </c>
      <c r="H182" t="e">
        <f t="shared" ca="1" si="286"/>
        <v>#N/A</v>
      </c>
      <c r="I182">
        <f t="shared" ca="1" si="286"/>
        <v>142</v>
      </c>
      <c r="J182">
        <f t="shared" ca="1" si="286"/>
        <v>139</v>
      </c>
      <c r="K182">
        <f t="shared" ca="1" si="286"/>
        <v>146</v>
      </c>
      <c r="L182">
        <f t="shared" ca="1" si="286"/>
        <v>148</v>
      </c>
      <c r="M182">
        <f t="shared" ca="1" si="286"/>
        <v>145</v>
      </c>
      <c r="N182">
        <f t="shared" ca="1" si="286"/>
        <v>143</v>
      </c>
      <c r="O182">
        <f t="shared" ca="1" si="286"/>
        <v>143</v>
      </c>
      <c r="P182">
        <f t="shared" ca="1" si="286"/>
        <v>143</v>
      </c>
      <c r="V182" cm="1">
        <f t="array" aca="1" ref="V182" ca="1">IF(ISNA(E182),,OFFSET(INDIRECT("'"&amp;V$67&amp;"'!d1"),E182-1,))</f>
        <v>0</v>
      </c>
      <c r="W182" cm="1">
        <f t="array" aca="1" ref="W182" ca="1">IF(ISNA(F182),,OFFSET(INDIRECT("'"&amp;W$67&amp;"'!d1"),F182-1,))</f>
        <v>0</v>
      </c>
      <c r="X182" cm="1">
        <f t="array" aca="1" ref="X182" ca="1">IF(ISNA(G182),,OFFSET(INDIRECT("'"&amp;X$67&amp;"'!d1"),G182-1,))</f>
        <v>0</v>
      </c>
      <c r="Y182" cm="1">
        <f t="array" aca="1" ref="Y182" ca="1">IF(ISNA(H182),,OFFSET(INDIRECT("'"&amp;Y$67&amp;"'!d1"),H182-1,))</f>
        <v>0</v>
      </c>
      <c r="Z182" cm="1">
        <f t="array" aca="1" ref="Z182" ca="1">IF(ISNA(I182),,OFFSET(INDIRECT("'"&amp;Z$67&amp;"'!d1"),I182-1,))</f>
        <v>25</v>
      </c>
      <c r="AA182" cm="1">
        <f t="array" aca="1" ref="AA182" ca="1">IF(ISNA(J182),,OFFSET(INDIRECT("'"&amp;AA$67&amp;"'!d1"),J182-1,))</f>
        <v>25</v>
      </c>
      <c r="AB182" cm="1">
        <f t="array" aca="1" ref="AB182" ca="1">IF(ISNA(K182),,OFFSET(INDIRECT("'"&amp;AB$67&amp;"'!d1"),K182-1,))</f>
        <v>25</v>
      </c>
      <c r="AC182" cm="1">
        <f t="array" aca="1" ref="AC182" ca="1">IF(ISNA(L182),,OFFSET(INDIRECT("'"&amp;AC$67&amp;"'!d1"),L182-1,))</f>
        <v>25</v>
      </c>
      <c r="AD182" cm="1">
        <f t="array" aca="1" ref="AD182" ca="1">IF(ISNA(M182),,OFFSET(INDIRECT("'"&amp;AD$67&amp;"'!d1"),M182-1,))</f>
        <v>25</v>
      </c>
      <c r="AE182" cm="1">
        <f t="array" aca="1" ref="AE182" ca="1">IF(ISNA(N182),,OFFSET(INDIRECT("'"&amp;AE$67&amp;"'!d1"),N182-1,))</f>
        <v>0</v>
      </c>
      <c r="AF182" cm="1">
        <f t="array" aca="1" ref="AF182" ca="1">IF(ISNA(O182),,OFFSET(INDIRECT("'"&amp;AF$67&amp;"'!d1"),O182-1,))</f>
        <v>0</v>
      </c>
      <c r="AG182" cm="1">
        <f t="array" aca="1" ref="AG182" ca="1">IF(ISNA(P182),,OFFSET(INDIRECT("'"&amp;AG$67&amp;"'!d1"),P182-1,))</f>
        <v>0</v>
      </c>
      <c r="AM182">
        <f t="shared" ca="1" si="289"/>
        <v>0</v>
      </c>
      <c r="AN182">
        <f t="shared" ca="1" si="290"/>
        <v>0</v>
      </c>
      <c r="AO182">
        <f t="shared" ca="1" si="291"/>
        <v>0</v>
      </c>
      <c r="AP182">
        <f t="shared" ca="1" si="292"/>
        <v>0</v>
      </c>
      <c r="AQ182">
        <f t="shared" ca="1" si="293"/>
        <v>1</v>
      </c>
      <c r="AV182" t="str">
        <f t="shared" ca="1" si="294"/>
        <v/>
      </c>
      <c r="AW182" t="str">
        <f t="shared" ca="1" si="295"/>
        <v/>
      </c>
      <c r="AX182" t="str">
        <f t="shared" ca="1" si="296"/>
        <v/>
      </c>
      <c r="AY182" t="str">
        <f t="shared" ca="1" si="297"/>
        <v/>
      </c>
      <c r="AZ182" t="b">
        <f t="shared" ca="1" si="298"/>
        <v>1</v>
      </c>
      <c r="BD182">
        <f t="shared" ca="1" si="299"/>
        <v>0</v>
      </c>
      <c r="BE182">
        <f t="shared" ca="1" si="300"/>
        <v>0</v>
      </c>
      <c r="BF182">
        <f t="shared" ca="1" si="301"/>
        <v>0</v>
      </c>
      <c r="BG182">
        <f t="shared" ca="1" si="302"/>
        <v>0</v>
      </c>
      <c r="BH182">
        <f t="shared" ca="1" si="303"/>
        <v>1</v>
      </c>
      <c r="BI182">
        <f t="shared" ca="1" si="304"/>
        <v>1</v>
      </c>
      <c r="BJ182">
        <f t="shared" ca="1" si="305"/>
        <v>1</v>
      </c>
      <c r="BK182">
        <f t="shared" ca="1" si="306"/>
        <v>1</v>
      </c>
      <c r="BL182">
        <f t="shared" ca="1" si="307"/>
        <v>1</v>
      </c>
      <c r="BM182">
        <f t="shared" ca="1" si="308"/>
        <v>0</v>
      </c>
      <c r="BN182">
        <f t="shared" ca="1" si="309"/>
        <v>0</v>
      </c>
      <c r="BO182">
        <f t="shared" ca="1" si="310"/>
        <v>0</v>
      </c>
      <c r="BU182">
        <f t="shared" ca="1" si="311"/>
        <v>122</v>
      </c>
      <c r="BV182">
        <f t="shared" ca="1" si="312"/>
        <v>122</v>
      </c>
      <c r="BW182">
        <f t="shared" ca="1" si="313"/>
        <v>122</v>
      </c>
      <c r="BX182">
        <f t="shared" ca="1" si="314"/>
        <v>122</v>
      </c>
      <c r="BY182">
        <f t="shared" ca="1" si="315"/>
        <v>25</v>
      </c>
      <c r="BZ182">
        <f t="shared" ca="1" si="316"/>
        <v>25</v>
      </c>
      <c r="CA182">
        <f t="shared" ca="1" si="317"/>
        <v>25</v>
      </c>
      <c r="CB182">
        <f t="shared" ca="1" si="318"/>
        <v>25</v>
      </c>
      <c r="CC182">
        <f t="shared" ca="1" si="319"/>
        <v>25</v>
      </c>
      <c r="CD182">
        <f t="shared" ca="1" si="320"/>
        <v>122</v>
      </c>
      <c r="CE182">
        <f t="shared" ca="1" si="321"/>
        <v>122</v>
      </c>
      <c r="CF182">
        <f t="shared" ca="1" si="322"/>
        <v>122</v>
      </c>
      <c r="CL182">
        <f t="shared" ca="1" si="323"/>
        <v>0</v>
      </c>
      <c r="CM182">
        <f t="shared" ca="1" si="324"/>
        <v>0</v>
      </c>
      <c r="CN182">
        <f t="shared" ca="1" si="325"/>
        <v>0</v>
      </c>
      <c r="CO182">
        <f t="shared" ca="1" si="326"/>
        <v>0</v>
      </c>
      <c r="CP182">
        <f t="shared" ca="1" si="327"/>
        <v>1</v>
      </c>
      <c r="CQ182">
        <f t="shared" ca="1" si="328"/>
        <v>1</v>
      </c>
      <c r="CR182">
        <f t="shared" ca="1" si="329"/>
        <v>1</v>
      </c>
      <c r="CS182">
        <f t="shared" ca="1" si="330"/>
        <v>1</v>
      </c>
      <c r="CT182">
        <f t="shared" ca="1" si="331"/>
        <v>1</v>
      </c>
      <c r="CU182">
        <f t="shared" ca="1" si="332"/>
        <v>0</v>
      </c>
      <c r="CV182">
        <f t="shared" ca="1" si="333"/>
        <v>0</v>
      </c>
      <c r="CW182">
        <f t="shared" ca="1" si="334"/>
        <v>0</v>
      </c>
      <c r="DC182" cm="1">
        <f t="array" aca="1" ref="DC182" ca="1">IF(ISNA(E182),,OFFSET(INDIRECT("'"&amp;DT$67&amp;"'!f1"),E182-1,))*1</f>
        <v>0</v>
      </c>
      <c r="DD182" cm="1">
        <f t="array" aca="1" ref="DD182" ca="1">IF(ISNA(F182),,OFFSET(INDIRECT("'"&amp;DU$67&amp;"'!f1"),F182-1,))*1</f>
        <v>0</v>
      </c>
      <c r="DE182" cm="1">
        <f t="array" aca="1" ref="DE182" ca="1">IF(ISNA(G182),,OFFSET(INDIRECT("'"&amp;DV$67&amp;"'!f1"),G182-1,))*1</f>
        <v>0</v>
      </c>
      <c r="DF182" cm="1">
        <f t="array" aca="1" ref="DF182" ca="1">IF(ISNA(H182),,OFFSET(INDIRECT("'"&amp;DW$67&amp;"'!f1"),H182-1,))*1</f>
        <v>0</v>
      </c>
      <c r="DG182" cm="1">
        <f t="array" aca="1" ref="DG182" ca="1">IF(ISNA(I182),,OFFSET(INDIRECT("'"&amp;DX$67&amp;"'!f1"),I182-1,))*1</f>
        <v>294.06649633299799</v>
      </c>
      <c r="DH182" cm="1">
        <f t="array" aca="1" ref="DH182" ca="1">IF(ISNA(J182),,OFFSET(INDIRECT("'"&amp;DY$67&amp;"'!f1"),J182-1,))*1</f>
        <v>0.436883869115263</v>
      </c>
      <c r="DI182" cm="1">
        <f t="array" aca="1" ref="DI182" ca="1">IF(ISNA(K182),,OFFSET(INDIRECT("'"&amp;DZ$67&amp;"'!f1"),K182-1,))*1</f>
        <v>5.3804177716374397</v>
      </c>
      <c r="DJ182" cm="1">
        <f t="array" aca="1" ref="DJ182" ca="1">IF(ISNA(L182),,OFFSET(INDIRECT("'"&amp;EA$67&amp;"'!f1"),L182-1,))*1</f>
        <v>5.4597419975325403</v>
      </c>
      <c r="DK182" cm="1">
        <f t="array" aca="1" ref="DK182" ca="1">IF(ISNA(M182),,OFFSET(INDIRECT("'"&amp;EB$67&amp;"'!f1"),M182-1,))*1</f>
        <v>125.374883500859</v>
      </c>
      <c r="DL182" cm="1">
        <f t="array" aca="1" ref="DL182" ca="1">IF(ISNA(N182),,OFFSET(INDIRECT("'"&amp;EC$67&amp;"'!f1"),N182-1,))*1</f>
        <v>2.0621519535779901E-2</v>
      </c>
      <c r="DM182" cm="1">
        <f t="array" aca="1" ref="DM182" ca="1">IF(ISNA(O182),,OFFSET(INDIRECT("'"&amp;ED$67&amp;"'!f1"),O182-1,))*1</f>
        <v>2.1456159651279401E-2</v>
      </c>
      <c r="DN182" cm="1">
        <f t="array" aca="1" ref="DN182" ca="1">IF(ISNA(P182),,OFFSET(INDIRECT("'"&amp;EE$67&amp;"'!f1"),P182-1,))*1</f>
        <v>3.8506014272570603E-2</v>
      </c>
      <c r="DT182">
        <f t="shared" ca="1" si="335"/>
        <v>0</v>
      </c>
      <c r="DU182">
        <f t="shared" ca="1" si="336"/>
        <v>0</v>
      </c>
      <c r="DV182">
        <f t="shared" ca="1" si="337"/>
        <v>0</v>
      </c>
      <c r="DW182">
        <f t="shared" ca="1" si="338"/>
        <v>0</v>
      </c>
      <c r="DX182">
        <f t="shared" ca="1" si="339"/>
        <v>1</v>
      </c>
      <c r="DY182">
        <f t="shared" ca="1" si="340"/>
        <v>1</v>
      </c>
      <c r="DZ182">
        <f t="shared" ca="1" si="341"/>
        <v>197</v>
      </c>
      <c r="EA182">
        <f t="shared" ca="1" si="342"/>
        <v>4503</v>
      </c>
      <c r="EB182">
        <f t="shared" ca="1" si="343"/>
        <v>128</v>
      </c>
      <c r="EC182">
        <f t="shared" ca="1" si="344"/>
        <v>0</v>
      </c>
      <c r="ED182">
        <f t="shared" ca="1" si="345"/>
        <v>0</v>
      </c>
      <c r="EE182">
        <f t="shared" ca="1" si="346"/>
        <v>0</v>
      </c>
      <c r="EK182" cm="1">
        <f t="array" aca="1" ref="EK182" ca="1">IF(ISNA(E182),0,OFFSET(INDIRECT("'"&amp;EK$67&amp;"'!g1"),E182-1,)*CL182)</f>
        <v>0</v>
      </c>
      <c r="EL182" cm="1">
        <f t="array" aca="1" ref="EL182" ca="1">IF(ISNA(F182),0,OFFSET(INDIRECT("'"&amp;EL$67&amp;"'!g1"),F182-1,)*CM182)</f>
        <v>0</v>
      </c>
      <c r="EM182" cm="1">
        <f t="array" aca="1" ref="EM182" ca="1">IF(ISNA(G182),0,OFFSET(INDIRECT("'"&amp;EM$67&amp;"'!g1"),G182-1,)*CN182)</f>
        <v>0</v>
      </c>
      <c r="EN182" cm="1">
        <f t="array" aca="1" ref="EN182" ca="1">IF(ISNA(H182),0,OFFSET(INDIRECT("'"&amp;EN$67&amp;"'!g1"),H182-1,)*CO182)</f>
        <v>0</v>
      </c>
      <c r="EO182" cm="1">
        <f t="array" aca="1" ref="EO182" ca="1">IF(ISNA(I182),0,OFFSET(INDIRECT("'"&amp;EO$67&amp;"'!g1"),I182-1,)*CP182)</f>
        <v>1</v>
      </c>
      <c r="EP182" cm="1">
        <f t="array" aca="1" ref="EP182" ca="1">IF(ISNA(J182),0,OFFSET(INDIRECT("'"&amp;EP$67&amp;"'!g1"),J182-1,)*CQ182)</f>
        <v>1</v>
      </c>
      <c r="EQ182" cm="1">
        <f t="array" aca="1" ref="EQ182" ca="1">IF(ISNA(K182),0,OFFSET(INDIRECT("'"&amp;EQ$67&amp;"'!g1"),K182-1,)*CR182)</f>
        <v>197</v>
      </c>
      <c r="ER182" cm="1">
        <f t="array" aca="1" ref="ER182" ca="1">IF(ISNA(L182),0,OFFSET(INDIRECT("'"&amp;ER$67&amp;"'!g1"),L182-1,)*CS182)</f>
        <v>4503</v>
      </c>
      <c r="ES182" cm="1">
        <f t="array" aca="1" ref="ES182" ca="1">IF(ISNA(M182),0,OFFSET(INDIRECT("'"&amp;ES$67&amp;"'!g1"),M182-1,)*CT182)</f>
        <v>128</v>
      </c>
      <c r="ET182" cm="1">
        <f t="array" aca="1" ref="ET182" ca="1">IF(ISNA(N182),0,OFFSET(INDIRECT("'"&amp;ET$67&amp;"'!g1"),N182-1,)*CU182)</f>
        <v>0</v>
      </c>
      <c r="EU182" cm="1">
        <f t="array" aca="1" ref="EU182" ca="1">IF(ISNA(O182),0,OFFSET(INDIRECT("'"&amp;EU$67&amp;"'!g1"),O182-1,)*CV182)</f>
        <v>0</v>
      </c>
      <c r="EV182" cm="1">
        <f t="array" aca="1" ref="EV182" ca="1">IF(ISNA(P182),0,OFFSET(INDIRECT("'"&amp;EV$67&amp;"'!g1"),P182-1,)*CW182)</f>
        <v>0</v>
      </c>
      <c r="FB182" s="10" cm="1">
        <f t="array" aca="1" ref="FB182" ca="1">IF(ISNA(E182),0,OFFSET(INDIRECT("'"&amp;EK$67&amp;"'!h1"),E182-1,))</f>
        <v>0</v>
      </c>
      <c r="FC182" s="10" cm="1">
        <f t="array" aca="1" ref="FC182" ca="1">IF(ISNA(F182),0,OFFSET(INDIRECT("'"&amp;EL$67&amp;"'!h1"),F182-1,))</f>
        <v>0</v>
      </c>
      <c r="FD182" s="10" cm="1">
        <f t="array" aca="1" ref="FD182" ca="1">IF(ISNA(G182),0,OFFSET(INDIRECT("'"&amp;EM$67&amp;"'!h1"),G182-1,))</f>
        <v>0</v>
      </c>
      <c r="FE182" s="10" cm="1">
        <f t="array" aca="1" ref="FE182" ca="1">IF(ISNA(H182),0,OFFSET(INDIRECT("'"&amp;EN$67&amp;"'!h1"),H182-1,))</f>
        <v>0</v>
      </c>
      <c r="FF182" s="10" cm="1">
        <f t="array" aca="1" ref="FF182" ca="1">IF(ISNA(I182),0,OFFSET(INDIRECT("'"&amp;EO$67&amp;"'!h1"),I182-1,))</f>
        <v>1</v>
      </c>
      <c r="FG182" s="10" cm="1">
        <f t="array" aca="1" ref="FG182" ca="1">IF(ISNA(J182),0,OFFSET(INDIRECT("'"&amp;EP$67&amp;"'!h1"),J182-1,))</f>
        <v>1</v>
      </c>
      <c r="FH182" s="10" cm="1">
        <f t="array" aca="1" ref="FH182" ca="1">IF(ISNA(K182),0,OFFSET(INDIRECT("'"&amp;EQ$67&amp;"'!h1"),K182-1,))</f>
        <v>10000</v>
      </c>
      <c r="FI182" s="10" cm="1">
        <f t="array" aca="1" ref="FI182" ca="1">IF(ISNA(L182),0,OFFSET(INDIRECT("'"&amp;ER$67&amp;"'!h1"),L182-1,))</f>
        <v>10000</v>
      </c>
      <c r="FJ182" s="10" cm="1">
        <f t="array" aca="1" ref="FJ182" ca="1">IF(ISNA(M182),0,OFFSET(INDIRECT("'"&amp;ES$67&amp;"'!h1"),M182-1,))</f>
        <v>10000</v>
      </c>
      <c r="FK182" s="10" cm="1">
        <f t="array" aca="1" ref="FK182" ca="1">IF(ISNA(N182),0,OFFSET(INDIRECT("'"&amp;ET$67&amp;"'!h1"),N182-1,))</f>
        <v>1</v>
      </c>
      <c r="FL182" s="10" cm="1">
        <f t="array" aca="1" ref="FL182" ca="1">IF(ISNA(O182),0,OFFSET(INDIRECT("'"&amp;EU$67&amp;"'!h1"),O182-1,))</f>
        <v>1</v>
      </c>
      <c r="FM182" s="10" cm="1">
        <f t="array" aca="1" ref="FM182" ca="1">IF(ISNA(P182),0,OFFSET(INDIRECT("'"&amp;EV$67&amp;"'!h1"),P182-1,))</f>
        <v>9</v>
      </c>
      <c r="FN182" s="10"/>
      <c r="FO182" s="10"/>
      <c r="FP182" s="10"/>
      <c r="FQ182" s="10"/>
      <c r="FS182">
        <f t="shared" ca="1" si="347"/>
        <v>122</v>
      </c>
      <c r="FT182">
        <f t="shared" ca="1" si="62"/>
        <v>5.3804177716374397</v>
      </c>
      <c r="FU182">
        <f t="shared" ca="1" si="63"/>
        <v>197</v>
      </c>
      <c r="FV182">
        <f t="shared" ca="1" si="64"/>
        <v>10000</v>
      </c>
      <c r="FW182" s="4">
        <f t="shared" ca="1" si="348"/>
        <v>1.9699999999999999E-2</v>
      </c>
      <c r="FX182" s="5">
        <f t="shared" ca="1" si="349"/>
        <v>2.7311765338261115E-2</v>
      </c>
      <c r="FZ182" s="13">
        <f t="shared" ca="1" si="350"/>
        <v>122</v>
      </c>
      <c r="GA182" s="23" t="e">
        <f t="shared" ca="1" si="351"/>
        <v>#N/A</v>
      </c>
      <c r="GB182" s="23" t="e">
        <f t="shared" ca="1" si="352"/>
        <v>#N/A</v>
      </c>
      <c r="GC182" s="23" t="e">
        <f t="shared" ca="1" si="353"/>
        <v>#N/A</v>
      </c>
      <c r="GD182" s="23" t="e">
        <f t="shared" ca="1" si="354"/>
        <v>#N/A</v>
      </c>
      <c r="GE182" s="23">
        <f t="shared" ca="1" si="355"/>
        <v>0</v>
      </c>
      <c r="GF182" s="23">
        <f t="shared" ca="1" si="356"/>
        <v>0</v>
      </c>
      <c r="GG182" s="23">
        <f t="shared" ca="1" si="357"/>
        <v>0</v>
      </c>
      <c r="GH182" s="23">
        <f t="shared" ca="1" si="358"/>
        <v>0</v>
      </c>
      <c r="GI182" s="23">
        <f t="shared" ca="1" si="359"/>
        <v>0</v>
      </c>
      <c r="GJ182" s="23" t="e">
        <f t="shared" ca="1" si="360"/>
        <v>#N/A</v>
      </c>
      <c r="GK182" s="23" t="e">
        <f t="shared" ca="1" si="361"/>
        <v>#N/A</v>
      </c>
      <c r="GL182" s="23" t="e">
        <f t="shared" ca="1" si="362"/>
        <v>#N/A</v>
      </c>
      <c r="GM182" s="23"/>
      <c r="GN182">
        <f t="shared" ca="1" si="363"/>
        <v>122</v>
      </c>
      <c r="GO182" s="5" t="e">
        <f t="shared" ca="1" si="364"/>
        <v>#N/A</v>
      </c>
      <c r="GP182" s="5" t="e">
        <f t="shared" ca="1" si="365"/>
        <v>#N/A</v>
      </c>
      <c r="GQ182" s="5" t="e">
        <f t="shared" ca="1" si="366"/>
        <v>#N/A</v>
      </c>
      <c r="GR182" s="5" t="e">
        <f t="shared" ca="1" si="367"/>
        <v>#N/A</v>
      </c>
      <c r="GS182" s="5">
        <f t="shared" ca="1" si="368"/>
        <v>294.06649633299799</v>
      </c>
      <c r="GT182" s="5">
        <f t="shared" ca="1" si="369"/>
        <v>0.436883869115263</v>
      </c>
      <c r="GU182" s="5">
        <f t="shared" ca="1" si="370"/>
        <v>2.7311765338261115E-2</v>
      </c>
      <c r="GV182" s="5">
        <f t="shared" ca="1" si="371"/>
        <v>1.2124676876599024E-3</v>
      </c>
      <c r="GW182" s="5">
        <f t="shared" ca="1" si="372"/>
        <v>0.97949127735046093</v>
      </c>
      <c r="GX182" s="5" t="e">
        <f t="shared" ca="1" si="373"/>
        <v>#N/A</v>
      </c>
      <c r="GY182" s="5" t="e">
        <f t="shared" ca="1" si="374"/>
        <v>#N/A</v>
      </c>
      <c r="GZ182" s="5" t="e">
        <f t="shared" ca="1" si="375"/>
        <v>#N/A</v>
      </c>
      <c r="HB182" s="13">
        <f t="shared" ca="1" si="376"/>
        <v>122</v>
      </c>
      <c r="HC182" s="4">
        <f t="shared" ca="1" si="377"/>
        <v>0</v>
      </c>
      <c r="HD182" s="4">
        <f t="shared" ca="1" si="378"/>
        <v>0</v>
      </c>
      <c r="HE182" s="4">
        <f t="shared" ca="1" si="379"/>
        <v>0</v>
      </c>
      <c r="HF182" s="4">
        <f t="shared" ca="1" si="380"/>
        <v>0</v>
      </c>
      <c r="HG182" s="4">
        <f t="shared" ca="1" si="381"/>
        <v>1</v>
      </c>
      <c r="HH182" s="4">
        <f t="shared" ca="1" si="382"/>
        <v>1</v>
      </c>
      <c r="HI182" s="4">
        <f t="shared" ca="1" si="383"/>
        <v>1.9699999999999999E-2</v>
      </c>
      <c r="HJ182" s="4">
        <f t="shared" ca="1" si="384"/>
        <v>0.45029999999999998</v>
      </c>
      <c r="HK182" s="4">
        <f t="shared" ca="1" si="385"/>
        <v>1.2800000000000001E-2</v>
      </c>
      <c r="HL182" s="4">
        <f t="shared" ca="1" si="386"/>
        <v>0</v>
      </c>
      <c r="HM182" s="4">
        <f t="shared" ca="1" si="387"/>
        <v>0</v>
      </c>
      <c r="HN182" s="4">
        <f t="shared" ca="1" si="388"/>
        <v>0</v>
      </c>
    </row>
    <row r="183" spans="1:222" x14ac:dyDescent="0.2">
      <c r="A183" t="str" cm="1">
        <f t="array" aca="1" ref="A183" ca="1">INDIRECT($A$67&amp;"!A"&amp;ROW(C116)+$B$64)</f>
        <v>[[123,48,25]]</v>
      </c>
      <c r="B183" cm="1">
        <f t="array" aca="1" ref="B183" ca="1">INDIRECT($A$67&amp;"!b"&amp;ROW(D116)+$B$64)</f>
        <v>123</v>
      </c>
      <c r="C183">
        <f t="shared" ca="1" si="287"/>
        <v>25</v>
      </c>
      <c r="E183" t="e">
        <f t="shared" ca="1" si="288"/>
        <v>#N/A</v>
      </c>
      <c r="F183" t="e">
        <f t="shared" ca="1" si="288"/>
        <v>#N/A</v>
      </c>
      <c r="G183" t="e">
        <f t="shared" ca="1" si="288"/>
        <v>#N/A</v>
      </c>
      <c r="H183" t="e">
        <f t="shared" ca="1" si="286"/>
        <v>#N/A</v>
      </c>
      <c r="I183">
        <f t="shared" ca="1" si="286"/>
        <v>143</v>
      </c>
      <c r="J183">
        <f t="shared" ca="1" si="286"/>
        <v>140</v>
      </c>
      <c r="K183">
        <f t="shared" ca="1" si="286"/>
        <v>147</v>
      </c>
      <c r="L183">
        <f t="shared" ca="1" si="286"/>
        <v>149</v>
      </c>
      <c r="M183">
        <f t="shared" ca="1" si="286"/>
        <v>146</v>
      </c>
      <c r="N183">
        <f t="shared" ca="1" si="286"/>
        <v>144</v>
      </c>
      <c r="O183">
        <f t="shared" ca="1" si="286"/>
        <v>144</v>
      </c>
      <c r="P183">
        <f t="shared" ca="1" si="286"/>
        <v>144</v>
      </c>
      <c r="V183" cm="1">
        <f t="array" aca="1" ref="V183" ca="1">IF(ISNA(E183),,OFFSET(INDIRECT("'"&amp;V$67&amp;"'!d1"),E183-1,))</f>
        <v>0</v>
      </c>
      <c r="W183" cm="1">
        <f t="array" aca="1" ref="W183" ca="1">IF(ISNA(F183),,OFFSET(INDIRECT("'"&amp;W$67&amp;"'!d1"),F183-1,))</f>
        <v>0</v>
      </c>
      <c r="X183" cm="1">
        <f t="array" aca="1" ref="X183" ca="1">IF(ISNA(G183),,OFFSET(INDIRECT("'"&amp;X$67&amp;"'!d1"),G183-1,))</f>
        <v>0</v>
      </c>
      <c r="Y183" cm="1">
        <f t="array" aca="1" ref="Y183" ca="1">IF(ISNA(H183),,OFFSET(INDIRECT("'"&amp;Y$67&amp;"'!d1"),H183-1,))</f>
        <v>0</v>
      </c>
      <c r="Z183" cm="1">
        <f t="array" aca="1" ref="Z183" ca="1">IF(ISNA(I183),,OFFSET(INDIRECT("'"&amp;Z$67&amp;"'!d1"),I183-1,))</f>
        <v>25</v>
      </c>
      <c r="AA183" cm="1">
        <f t="array" aca="1" ref="AA183" ca="1">IF(ISNA(J183),,OFFSET(INDIRECT("'"&amp;AA$67&amp;"'!d1"),J183-1,))</f>
        <v>25</v>
      </c>
      <c r="AB183" cm="1">
        <f t="array" aca="1" ref="AB183" ca="1">IF(ISNA(K183),,OFFSET(INDIRECT("'"&amp;AB$67&amp;"'!d1"),K183-1,))</f>
        <v>25</v>
      </c>
      <c r="AC183" cm="1">
        <f t="array" aca="1" ref="AC183" ca="1">IF(ISNA(L183),,OFFSET(INDIRECT("'"&amp;AC$67&amp;"'!d1"),L183-1,))</f>
        <v>25</v>
      </c>
      <c r="AD183" cm="1">
        <f t="array" aca="1" ref="AD183" ca="1">IF(ISNA(M183),,OFFSET(INDIRECT("'"&amp;AD$67&amp;"'!d1"),M183-1,))</f>
        <v>25</v>
      </c>
      <c r="AE183" cm="1">
        <f t="array" aca="1" ref="AE183" ca="1">IF(ISNA(N183),,OFFSET(INDIRECT("'"&amp;AE$67&amp;"'!d1"),N183-1,))</f>
        <v>0</v>
      </c>
      <c r="AF183" cm="1">
        <f t="array" aca="1" ref="AF183" ca="1">IF(ISNA(O183),,OFFSET(INDIRECT("'"&amp;AF$67&amp;"'!d1"),O183-1,))</f>
        <v>0</v>
      </c>
      <c r="AG183" cm="1">
        <f t="array" aca="1" ref="AG183" ca="1">IF(ISNA(P183),,OFFSET(INDIRECT("'"&amp;AG$67&amp;"'!d1"),P183-1,))</f>
        <v>0</v>
      </c>
      <c r="AM183">
        <f t="shared" ca="1" si="289"/>
        <v>0</v>
      </c>
      <c r="AN183">
        <f t="shared" ca="1" si="290"/>
        <v>0</v>
      </c>
      <c r="AO183">
        <f t="shared" ca="1" si="291"/>
        <v>0</v>
      </c>
      <c r="AP183">
        <f t="shared" ca="1" si="292"/>
        <v>0</v>
      </c>
      <c r="AQ183">
        <f t="shared" ca="1" si="293"/>
        <v>1</v>
      </c>
      <c r="AV183" t="str">
        <f t="shared" ca="1" si="294"/>
        <v/>
      </c>
      <c r="AW183" t="str">
        <f t="shared" ca="1" si="295"/>
        <v/>
      </c>
      <c r="AX183" t="str">
        <f t="shared" ca="1" si="296"/>
        <v/>
      </c>
      <c r="AY183" t="str">
        <f t="shared" ca="1" si="297"/>
        <v/>
      </c>
      <c r="AZ183" t="b">
        <f t="shared" ca="1" si="298"/>
        <v>1</v>
      </c>
      <c r="BD183">
        <f t="shared" ca="1" si="299"/>
        <v>0</v>
      </c>
      <c r="BE183">
        <f t="shared" ca="1" si="300"/>
        <v>0</v>
      </c>
      <c r="BF183">
        <f t="shared" ca="1" si="301"/>
        <v>0</v>
      </c>
      <c r="BG183">
        <f t="shared" ca="1" si="302"/>
        <v>0</v>
      </c>
      <c r="BH183">
        <f t="shared" ca="1" si="303"/>
        <v>1</v>
      </c>
      <c r="BI183">
        <f t="shared" ca="1" si="304"/>
        <v>1</v>
      </c>
      <c r="BJ183">
        <f t="shared" ca="1" si="305"/>
        <v>1</v>
      </c>
      <c r="BK183">
        <f t="shared" ca="1" si="306"/>
        <v>1</v>
      </c>
      <c r="BL183">
        <f t="shared" ca="1" si="307"/>
        <v>1</v>
      </c>
      <c r="BM183">
        <f t="shared" ca="1" si="308"/>
        <v>0</v>
      </c>
      <c r="BN183">
        <f t="shared" ca="1" si="309"/>
        <v>0</v>
      </c>
      <c r="BO183">
        <f t="shared" ca="1" si="310"/>
        <v>0</v>
      </c>
      <c r="BU183">
        <f t="shared" ca="1" si="311"/>
        <v>123</v>
      </c>
      <c r="BV183">
        <f t="shared" ca="1" si="312"/>
        <v>123</v>
      </c>
      <c r="BW183">
        <f t="shared" ca="1" si="313"/>
        <v>123</v>
      </c>
      <c r="BX183">
        <f t="shared" ca="1" si="314"/>
        <v>123</v>
      </c>
      <c r="BY183">
        <f t="shared" ca="1" si="315"/>
        <v>25</v>
      </c>
      <c r="BZ183">
        <f t="shared" ca="1" si="316"/>
        <v>25</v>
      </c>
      <c r="CA183">
        <f t="shared" ca="1" si="317"/>
        <v>25</v>
      </c>
      <c r="CB183">
        <f t="shared" ca="1" si="318"/>
        <v>25</v>
      </c>
      <c r="CC183">
        <f t="shared" ca="1" si="319"/>
        <v>25</v>
      </c>
      <c r="CD183">
        <f t="shared" ca="1" si="320"/>
        <v>123</v>
      </c>
      <c r="CE183">
        <f t="shared" ca="1" si="321"/>
        <v>123</v>
      </c>
      <c r="CF183">
        <f t="shared" ca="1" si="322"/>
        <v>123</v>
      </c>
      <c r="CL183">
        <f t="shared" ca="1" si="323"/>
        <v>0</v>
      </c>
      <c r="CM183">
        <f t="shared" ca="1" si="324"/>
        <v>0</v>
      </c>
      <c r="CN183">
        <f t="shared" ca="1" si="325"/>
        <v>0</v>
      </c>
      <c r="CO183">
        <f t="shared" ca="1" si="326"/>
        <v>0</v>
      </c>
      <c r="CP183">
        <f t="shared" ca="1" si="327"/>
        <v>1</v>
      </c>
      <c r="CQ183">
        <f t="shared" ca="1" si="328"/>
        <v>1</v>
      </c>
      <c r="CR183">
        <f t="shared" ca="1" si="329"/>
        <v>1</v>
      </c>
      <c r="CS183">
        <f t="shared" ca="1" si="330"/>
        <v>1</v>
      </c>
      <c r="CT183">
        <f t="shared" ca="1" si="331"/>
        <v>1</v>
      </c>
      <c r="CU183">
        <f t="shared" ca="1" si="332"/>
        <v>0</v>
      </c>
      <c r="CV183">
        <f t="shared" ca="1" si="333"/>
        <v>0</v>
      </c>
      <c r="CW183">
        <f t="shared" ca="1" si="334"/>
        <v>0</v>
      </c>
      <c r="DC183" cm="1">
        <f t="array" aca="1" ref="DC183" ca="1">IF(ISNA(E183),,OFFSET(INDIRECT("'"&amp;DT$67&amp;"'!f1"),E183-1,))*1</f>
        <v>0</v>
      </c>
      <c r="DD183" cm="1">
        <f t="array" aca="1" ref="DD183" ca="1">IF(ISNA(F183),,OFFSET(INDIRECT("'"&amp;DU$67&amp;"'!f1"),F183-1,))*1</f>
        <v>0</v>
      </c>
      <c r="DE183" cm="1">
        <f t="array" aca="1" ref="DE183" ca="1">IF(ISNA(G183),,OFFSET(INDIRECT("'"&amp;DV$67&amp;"'!f1"),G183-1,))*1</f>
        <v>0</v>
      </c>
      <c r="DF183" cm="1">
        <f t="array" aca="1" ref="DF183" ca="1">IF(ISNA(H183),,OFFSET(INDIRECT("'"&amp;DW$67&amp;"'!f1"),H183-1,))*1</f>
        <v>0</v>
      </c>
      <c r="DG183" cm="1">
        <f t="array" aca="1" ref="DG183" ca="1">IF(ISNA(I183),,OFFSET(INDIRECT("'"&amp;DX$67&amp;"'!f1"),I183-1,))*1</f>
        <v>382.21908308299999</v>
      </c>
      <c r="DH183" cm="1">
        <f t="array" aca="1" ref="DH183" ca="1">IF(ISNA(J183),,OFFSET(INDIRECT("'"&amp;DY$67&amp;"'!f1"),J183-1,))*1</f>
        <v>0.44178318418562401</v>
      </c>
      <c r="DI183" cm="1">
        <f t="array" aca="1" ref="DI183" ca="1">IF(ISNA(K183),,OFFSET(INDIRECT("'"&amp;DZ$67&amp;"'!f1"),K183-1,))*1</f>
        <v>5.4708530958741903</v>
      </c>
      <c r="DJ183" cm="1">
        <f t="array" aca="1" ref="DJ183" ca="1">IF(ISNA(L183),,OFFSET(INDIRECT("'"&amp;EA$67&amp;"'!f1"),L183-1,))*1</f>
        <v>5.5878119105473099</v>
      </c>
      <c r="DK183" cm="1">
        <f t="array" aca="1" ref="DK183" ca="1">IF(ISNA(M183),,OFFSET(INDIRECT("'"&amp;EB$67&amp;"'!f1"),M183-1,))*1</f>
        <v>129.86371082719401</v>
      </c>
      <c r="DL183" cm="1">
        <f t="array" aca="1" ref="DL183" ca="1">IF(ISNA(N183),,OFFSET(INDIRECT("'"&amp;EC$67&amp;"'!f1"),N183-1,))*1</f>
        <v>2.1183742210268901E-2</v>
      </c>
      <c r="DM183" cm="1">
        <f t="array" aca="1" ref="DM183" ca="1">IF(ISNA(O183),,OFFSET(INDIRECT("'"&amp;ED$67&amp;"'!f1"),O183-1,))*1</f>
        <v>2.18907976523041E-2</v>
      </c>
      <c r="DN183" cm="1">
        <f t="array" aca="1" ref="DN183" ca="1">IF(ISNA(P183),,OFFSET(INDIRECT("'"&amp;EE$67&amp;"'!f1"),P183-1,))*1</f>
        <v>3.9464589208364403E-2</v>
      </c>
      <c r="DT183">
        <f t="shared" ca="1" si="335"/>
        <v>0</v>
      </c>
      <c r="DU183">
        <f t="shared" ca="1" si="336"/>
        <v>0</v>
      </c>
      <c r="DV183">
        <f t="shared" ca="1" si="337"/>
        <v>0</v>
      </c>
      <c r="DW183">
        <f t="shared" ca="1" si="338"/>
        <v>0</v>
      </c>
      <c r="DX183">
        <f t="shared" ca="1" si="339"/>
        <v>1</v>
      </c>
      <c r="DY183">
        <f t="shared" ca="1" si="340"/>
        <v>1</v>
      </c>
      <c r="DZ183">
        <f t="shared" ca="1" si="341"/>
        <v>173</v>
      </c>
      <c r="EA183">
        <f t="shared" ca="1" si="342"/>
        <v>4706</v>
      </c>
      <c r="EB183">
        <f t="shared" ca="1" si="343"/>
        <v>138</v>
      </c>
      <c r="EC183">
        <f t="shared" ca="1" si="344"/>
        <v>0</v>
      </c>
      <c r="ED183">
        <f t="shared" ca="1" si="345"/>
        <v>0</v>
      </c>
      <c r="EE183">
        <f t="shared" ca="1" si="346"/>
        <v>0</v>
      </c>
      <c r="EK183" cm="1">
        <f t="array" aca="1" ref="EK183" ca="1">IF(ISNA(E183),0,OFFSET(INDIRECT("'"&amp;EK$67&amp;"'!g1"),E183-1,)*CL183)</f>
        <v>0</v>
      </c>
      <c r="EL183" cm="1">
        <f t="array" aca="1" ref="EL183" ca="1">IF(ISNA(F183),0,OFFSET(INDIRECT("'"&amp;EL$67&amp;"'!g1"),F183-1,)*CM183)</f>
        <v>0</v>
      </c>
      <c r="EM183" cm="1">
        <f t="array" aca="1" ref="EM183" ca="1">IF(ISNA(G183),0,OFFSET(INDIRECT("'"&amp;EM$67&amp;"'!g1"),G183-1,)*CN183)</f>
        <v>0</v>
      </c>
      <c r="EN183" cm="1">
        <f t="array" aca="1" ref="EN183" ca="1">IF(ISNA(H183),0,OFFSET(INDIRECT("'"&amp;EN$67&amp;"'!g1"),H183-1,)*CO183)</f>
        <v>0</v>
      </c>
      <c r="EO183" cm="1">
        <f t="array" aca="1" ref="EO183" ca="1">IF(ISNA(I183),0,OFFSET(INDIRECT("'"&amp;EO$67&amp;"'!g1"),I183-1,)*CP183)</f>
        <v>1</v>
      </c>
      <c r="EP183" cm="1">
        <f t="array" aca="1" ref="EP183" ca="1">IF(ISNA(J183),0,OFFSET(INDIRECT("'"&amp;EP$67&amp;"'!g1"),J183-1,)*CQ183)</f>
        <v>1</v>
      </c>
      <c r="EQ183" cm="1">
        <f t="array" aca="1" ref="EQ183" ca="1">IF(ISNA(K183),0,OFFSET(INDIRECT("'"&amp;EQ$67&amp;"'!g1"),K183-1,)*CR183)</f>
        <v>173</v>
      </c>
      <c r="ER183" cm="1">
        <f t="array" aca="1" ref="ER183" ca="1">IF(ISNA(L183),0,OFFSET(INDIRECT("'"&amp;ER$67&amp;"'!g1"),L183-1,)*CS183)</f>
        <v>4706</v>
      </c>
      <c r="ES183" cm="1">
        <f t="array" aca="1" ref="ES183" ca="1">IF(ISNA(M183),0,OFFSET(INDIRECT("'"&amp;ES$67&amp;"'!g1"),M183-1,)*CT183)</f>
        <v>138</v>
      </c>
      <c r="ET183" cm="1">
        <f t="array" aca="1" ref="ET183" ca="1">IF(ISNA(N183),0,OFFSET(INDIRECT("'"&amp;ET$67&amp;"'!g1"),N183-1,)*CU183)</f>
        <v>0</v>
      </c>
      <c r="EU183" cm="1">
        <f t="array" aca="1" ref="EU183" ca="1">IF(ISNA(O183),0,OFFSET(INDIRECT("'"&amp;EU$67&amp;"'!g1"),O183-1,)*CV183)</f>
        <v>0</v>
      </c>
      <c r="EV183" cm="1">
        <f t="array" aca="1" ref="EV183" ca="1">IF(ISNA(P183),0,OFFSET(INDIRECT("'"&amp;EV$67&amp;"'!g1"),P183-1,)*CW183)</f>
        <v>0</v>
      </c>
      <c r="FB183" s="10" cm="1">
        <f t="array" aca="1" ref="FB183" ca="1">IF(ISNA(E183),0,OFFSET(INDIRECT("'"&amp;EK$67&amp;"'!h1"),E183-1,))</f>
        <v>0</v>
      </c>
      <c r="FC183" s="10" cm="1">
        <f t="array" aca="1" ref="FC183" ca="1">IF(ISNA(F183),0,OFFSET(INDIRECT("'"&amp;EL$67&amp;"'!h1"),F183-1,))</f>
        <v>0</v>
      </c>
      <c r="FD183" s="10" cm="1">
        <f t="array" aca="1" ref="FD183" ca="1">IF(ISNA(G183),0,OFFSET(INDIRECT("'"&amp;EM$67&amp;"'!h1"),G183-1,))</f>
        <v>0</v>
      </c>
      <c r="FE183" s="10" cm="1">
        <f t="array" aca="1" ref="FE183" ca="1">IF(ISNA(H183),0,OFFSET(INDIRECT("'"&amp;EN$67&amp;"'!h1"),H183-1,))</f>
        <v>0</v>
      </c>
      <c r="FF183" s="10" cm="1">
        <f t="array" aca="1" ref="FF183" ca="1">IF(ISNA(I183),0,OFFSET(INDIRECT("'"&amp;EO$67&amp;"'!h1"),I183-1,))</f>
        <v>1</v>
      </c>
      <c r="FG183" s="10" cm="1">
        <f t="array" aca="1" ref="FG183" ca="1">IF(ISNA(J183),0,OFFSET(INDIRECT("'"&amp;EP$67&amp;"'!h1"),J183-1,))</f>
        <v>1</v>
      </c>
      <c r="FH183" s="10" cm="1">
        <f t="array" aca="1" ref="FH183" ca="1">IF(ISNA(K183),0,OFFSET(INDIRECT("'"&amp;EQ$67&amp;"'!h1"),K183-1,))</f>
        <v>10000</v>
      </c>
      <c r="FI183" s="10" cm="1">
        <f t="array" aca="1" ref="FI183" ca="1">IF(ISNA(L183),0,OFFSET(INDIRECT("'"&amp;ER$67&amp;"'!h1"),L183-1,))</f>
        <v>10000</v>
      </c>
      <c r="FJ183" s="10" cm="1">
        <f t="array" aca="1" ref="FJ183" ca="1">IF(ISNA(M183),0,OFFSET(INDIRECT("'"&amp;ES$67&amp;"'!h1"),M183-1,))</f>
        <v>10000</v>
      </c>
      <c r="FK183" s="10" cm="1">
        <f t="array" aca="1" ref="FK183" ca="1">IF(ISNA(N183),0,OFFSET(INDIRECT("'"&amp;ET$67&amp;"'!h1"),N183-1,))</f>
        <v>1</v>
      </c>
      <c r="FL183" s="10" cm="1">
        <f t="array" aca="1" ref="FL183" ca="1">IF(ISNA(O183),0,OFFSET(INDIRECT("'"&amp;EU$67&amp;"'!h1"),O183-1,))</f>
        <v>1</v>
      </c>
      <c r="FM183" s="10" cm="1">
        <f t="array" aca="1" ref="FM183" ca="1">IF(ISNA(P183),0,OFFSET(INDIRECT("'"&amp;EV$67&amp;"'!h1"),P183-1,))</f>
        <v>9</v>
      </c>
      <c r="FN183" s="10"/>
      <c r="FO183" s="10"/>
      <c r="FP183" s="10"/>
      <c r="FQ183" s="10"/>
      <c r="FS183">
        <f t="shared" ca="1" si="347"/>
        <v>123</v>
      </c>
      <c r="FT183">
        <f t="shared" ca="1" si="62"/>
        <v>5.4708530958741903</v>
      </c>
      <c r="FU183">
        <f t="shared" ca="1" si="63"/>
        <v>173</v>
      </c>
      <c r="FV183">
        <f t="shared" ca="1" si="64"/>
        <v>10000</v>
      </c>
      <c r="FW183" s="4">
        <f t="shared" ca="1" si="348"/>
        <v>1.7299999999999999E-2</v>
      </c>
      <c r="FX183" s="5">
        <f t="shared" ca="1" si="349"/>
        <v>3.1623428299850813E-2</v>
      </c>
      <c r="FZ183" s="13">
        <f t="shared" ca="1" si="350"/>
        <v>123</v>
      </c>
      <c r="GA183" s="23" t="e">
        <f t="shared" ca="1" si="351"/>
        <v>#N/A</v>
      </c>
      <c r="GB183" s="23" t="e">
        <f t="shared" ca="1" si="352"/>
        <v>#N/A</v>
      </c>
      <c r="GC183" s="23" t="e">
        <f t="shared" ca="1" si="353"/>
        <v>#N/A</v>
      </c>
      <c r="GD183" s="23" t="e">
        <f t="shared" ca="1" si="354"/>
        <v>#N/A</v>
      </c>
      <c r="GE183" s="23">
        <f t="shared" ca="1" si="355"/>
        <v>0</v>
      </c>
      <c r="GF183" s="23">
        <f t="shared" ca="1" si="356"/>
        <v>0</v>
      </c>
      <c r="GG183" s="23">
        <f t="shared" ca="1" si="357"/>
        <v>0</v>
      </c>
      <c r="GH183" s="23">
        <f t="shared" ca="1" si="358"/>
        <v>0</v>
      </c>
      <c r="GI183" s="23">
        <f t="shared" ca="1" si="359"/>
        <v>0</v>
      </c>
      <c r="GJ183" s="23" t="e">
        <f t="shared" ca="1" si="360"/>
        <v>#N/A</v>
      </c>
      <c r="GK183" s="23" t="e">
        <f t="shared" ca="1" si="361"/>
        <v>#N/A</v>
      </c>
      <c r="GL183" s="23" t="e">
        <f t="shared" ca="1" si="362"/>
        <v>#N/A</v>
      </c>
      <c r="GM183" s="23"/>
      <c r="GN183">
        <f t="shared" ca="1" si="363"/>
        <v>123</v>
      </c>
      <c r="GO183" s="5" t="e">
        <f t="shared" ca="1" si="364"/>
        <v>#N/A</v>
      </c>
      <c r="GP183" s="5" t="e">
        <f t="shared" ca="1" si="365"/>
        <v>#N/A</v>
      </c>
      <c r="GQ183" s="5" t="e">
        <f t="shared" ca="1" si="366"/>
        <v>#N/A</v>
      </c>
      <c r="GR183" s="5" t="e">
        <f t="shared" ca="1" si="367"/>
        <v>#N/A</v>
      </c>
      <c r="GS183" s="5">
        <f t="shared" ca="1" si="368"/>
        <v>382.21908308299999</v>
      </c>
      <c r="GT183" s="5">
        <f t="shared" ca="1" si="369"/>
        <v>0.44178318418562401</v>
      </c>
      <c r="GU183" s="5">
        <f t="shared" ca="1" si="370"/>
        <v>3.1623428299850813E-2</v>
      </c>
      <c r="GV183" s="5">
        <f t="shared" ca="1" si="371"/>
        <v>1.1873803464826412E-3</v>
      </c>
      <c r="GW183" s="5">
        <f t="shared" ca="1" si="372"/>
        <v>0.94104138280575367</v>
      </c>
      <c r="GX183" s="5" t="e">
        <f t="shared" ca="1" si="373"/>
        <v>#N/A</v>
      </c>
      <c r="GY183" s="5" t="e">
        <f t="shared" ca="1" si="374"/>
        <v>#N/A</v>
      </c>
      <c r="GZ183" s="5" t="e">
        <f t="shared" ca="1" si="375"/>
        <v>#N/A</v>
      </c>
      <c r="HB183" s="13">
        <f t="shared" ca="1" si="376"/>
        <v>123</v>
      </c>
      <c r="HC183" s="4">
        <f t="shared" ca="1" si="377"/>
        <v>0</v>
      </c>
      <c r="HD183" s="4">
        <f t="shared" ca="1" si="378"/>
        <v>0</v>
      </c>
      <c r="HE183" s="4">
        <f t="shared" ca="1" si="379"/>
        <v>0</v>
      </c>
      <c r="HF183" s="4">
        <f t="shared" ca="1" si="380"/>
        <v>0</v>
      </c>
      <c r="HG183" s="4">
        <f t="shared" ca="1" si="381"/>
        <v>1</v>
      </c>
      <c r="HH183" s="4">
        <f t="shared" ca="1" si="382"/>
        <v>1</v>
      </c>
      <c r="HI183" s="4">
        <f t="shared" ca="1" si="383"/>
        <v>1.7299999999999999E-2</v>
      </c>
      <c r="HJ183" s="4">
        <f t="shared" ca="1" si="384"/>
        <v>0.47060000000000002</v>
      </c>
      <c r="HK183" s="4">
        <f t="shared" ca="1" si="385"/>
        <v>1.38E-2</v>
      </c>
      <c r="HL183" s="4">
        <f t="shared" ca="1" si="386"/>
        <v>0</v>
      </c>
      <c r="HM183" s="4">
        <f t="shared" ca="1" si="387"/>
        <v>0</v>
      </c>
      <c r="HN183" s="4">
        <f t="shared" ca="1" si="388"/>
        <v>0</v>
      </c>
    </row>
    <row r="184" spans="1:222" x14ac:dyDescent="0.2">
      <c r="A184" t="str" cm="1">
        <f t="array" aca="1" ref="A184" ca="1">INDIRECT($A$67&amp;"!A"&amp;ROW(C117)+$B$64)</f>
        <v>[[124,49,25]]</v>
      </c>
      <c r="B184" cm="1">
        <f t="array" aca="1" ref="B184" ca="1">INDIRECT($A$67&amp;"!b"&amp;ROW(D117)+$B$64)</f>
        <v>124</v>
      </c>
      <c r="C184">
        <f t="shared" ca="1" si="287"/>
        <v>25</v>
      </c>
      <c r="E184" t="e">
        <f t="shared" ca="1" si="288"/>
        <v>#N/A</v>
      </c>
      <c r="F184" t="e">
        <f t="shared" ca="1" si="288"/>
        <v>#N/A</v>
      </c>
      <c r="G184" t="e">
        <f t="shared" ca="1" si="288"/>
        <v>#N/A</v>
      </c>
      <c r="H184" t="e">
        <f t="shared" ca="1" si="286"/>
        <v>#N/A</v>
      </c>
      <c r="I184">
        <f t="shared" ca="1" si="286"/>
        <v>144</v>
      </c>
      <c r="J184">
        <f t="shared" ca="1" si="286"/>
        <v>141</v>
      </c>
      <c r="K184">
        <f t="shared" ca="1" si="286"/>
        <v>148</v>
      </c>
      <c r="L184">
        <f t="shared" ca="1" si="286"/>
        <v>150</v>
      </c>
      <c r="M184">
        <f t="shared" ca="1" si="286"/>
        <v>147</v>
      </c>
      <c r="N184">
        <f t="shared" ca="1" si="286"/>
        <v>145</v>
      </c>
      <c r="O184">
        <f t="shared" ca="1" si="286"/>
        <v>145</v>
      </c>
      <c r="P184">
        <f t="shared" ca="1" si="286"/>
        <v>145</v>
      </c>
      <c r="V184" cm="1">
        <f t="array" aca="1" ref="V184" ca="1">IF(ISNA(E184),,OFFSET(INDIRECT("'"&amp;V$67&amp;"'!d1"),E184-1,))</f>
        <v>0</v>
      </c>
      <c r="W184" cm="1">
        <f t="array" aca="1" ref="W184" ca="1">IF(ISNA(F184),,OFFSET(INDIRECT("'"&amp;W$67&amp;"'!d1"),F184-1,))</f>
        <v>0</v>
      </c>
      <c r="X184" cm="1">
        <f t="array" aca="1" ref="X184" ca="1">IF(ISNA(G184),,OFFSET(INDIRECT("'"&amp;X$67&amp;"'!d1"),G184-1,))</f>
        <v>0</v>
      </c>
      <c r="Y184" cm="1">
        <f t="array" aca="1" ref="Y184" ca="1">IF(ISNA(H184),,OFFSET(INDIRECT("'"&amp;Y$67&amp;"'!d1"),H184-1,))</f>
        <v>0</v>
      </c>
      <c r="Z184" cm="1">
        <f t="array" aca="1" ref="Z184" ca="1">IF(ISNA(I184),,OFFSET(INDIRECT("'"&amp;Z$67&amp;"'!d1"),I184-1,))</f>
        <v>25</v>
      </c>
      <c r="AA184" cm="1">
        <f t="array" aca="1" ref="AA184" ca="1">IF(ISNA(J184),,OFFSET(INDIRECT("'"&amp;AA$67&amp;"'!d1"),J184-1,))</f>
        <v>25</v>
      </c>
      <c r="AB184" cm="1">
        <f t="array" aca="1" ref="AB184" ca="1">IF(ISNA(K184),,OFFSET(INDIRECT("'"&amp;AB$67&amp;"'!d1"),K184-1,))</f>
        <v>25</v>
      </c>
      <c r="AC184" cm="1">
        <f t="array" aca="1" ref="AC184" ca="1">IF(ISNA(L184),,OFFSET(INDIRECT("'"&amp;AC$67&amp;"'!d1"),L184-1,))</f>
        <v>25</v>
      </c>
      <c r="AD184" cm="1">
        <f t="array" aca="1" ref="AD184" ca="1">IF(ISNA(M184),,OFFSET(INDIRECT("'"&amp;AD$67&amp;"'!d1"),M184-1,))</f>
        <v>25</v>
      </c>
      <c r="AE184" cm="1">
        <f t="array" aca="1" ref="AE184" ca="1">IF(ISNA(N184),,OFFSET(INDIRECT("'"&amp;AE$67&amp;"'!d1"),N184-1,))</f>
        <v>0</v>
      </c>
      <c r="AF184" cm="1">
        <f t="array" aca="1" ref="AF184" ca="1">IF(ISNA(O184),,OFFSET(INDIRECT("'"&amp;AF$67&amp;"'!d1"),O184-1,))</f>
        <v>0</v>
      </c>
      <c r="AG184" cm="1">
        <f t="array" aca="1" ref="AG184" ca="1">IF(ISNA(P184),,OFFSET(INDIRECT("'"&amp;AG$67&amp;"'!d1"),P184-1,))</f>
        <v>0</v>
      </c>
      <c r="AM184">
        <f t="shared" ca="1" si="289"/>
        <v>0</v>
      </c>
      <c r="AN184">
        <f t="shared" ca="1" si="290"/>
        <v>0</v>
      </c>
      <c r="AO184">
        <f t="shared" ca="1" si="291"/>
        <v>0</v>
      </c>
      <c r="AP184">
        <f t="shared" ca="1" si="292"/>
        <v>0</v>
      </c>
      <c r="AQ184">
        <f t="shared" ca="1" si="293"/>
        <v>1</v>
      </c>
      <c r="AV184" t="str">
        <f t="shared" ca="1" si="294"/>
        <v/>
      </c>
      <c r="AW184" t="str">
        <f t="shared" ca="1" si="295"/>
        <v/>
      </c>
      <c r="AX184" t="str">
        <f t="shared" ca="1" si="296"/>
        <v/>
      </c>
      <c r="AY184" t="str">
        <f t="shared" ca="1" si="297"/>
        <v/>
      </c>
      <c r="AZ184" t="b">
        <f t="shared" ca="1" si="298"/>
        <v>1</v>
      </c>
      <c r="BD184">
        <f t="shared" ca="1" si="299"/>
        <v>0</v>
      </c>
      <c r="BE184">
        <f t="shared" ca="1" si="300"/>
        <v>0</v>
      </c>
      <c r="BF184">
        <f t="shared" ca="1" si="301"/>
        <v>0</v>
      </c>
      <c r="BG184">
        <f t="shared" ca="1" si="302"/>
        <v>0</v>
      </c>
      <c r="BH184">
        <f t="shared" ca="1" si="303"/>
        <v>1</v>
      </c>
      <c r="BI184">
        <f t="shared" ca="1" si="304"/>
        <v>1</v>
      </c>
      <c r="BJ184">
        <f t="shared" ca="1" si="305"/>
        <v>1</v>
      </c>
      <c r="BK184">
        <f t="shared" ca="1" si="306"/>
        <v>1</v>
      </c>
      <c r="BL184">
        <f t="shared" ca="1" si="307"/>
        <v>1</v>
      </c>
      <c r="BM184">
        <f t="shared" ca="1" si="308"/>
        <v>0</v>
      </c>
      <c r="BN184">
        <f t="shared" ca="1" si="309"/>
        <v>0</v>
      </c>
      <c r="BO184">
        <f t="shared" ca="1" si="310"/>
        <v>0</v>
      </c>
      <c r="BU184">
        <f t="shared" ca="1" si="311"/>
        <v>124</v>
      </c>
      <c r="BV184">
        <f t="shared" ca="1" si="312"/>
        <v>124</v>
      </c>
      <c r="BW184">
        <f t="shared" ca="1" si="313"/>
        <v>124</v>
      </c>
      <c r="BX184">
        <f t="shared" ca="1" si="314"/>
        <v>124</v>
      </c>
      <c r="BY184">
        <f t="shared" ca="1" si="315"/>
        <v>25</v>
      </c>
      <c r="BZ184">
        <f t="shared" ca="1" si="316"/>
        <v>25</v>
      </c>
      <c r="CA184">
        <f t="shared" ca="1" si="317"/>
        <v>25</v>
      </c>
      <c r="CB184">
        <f t="shared" ca="1" si="318"/>
        <v>25</v>
      </c>
      <c r="CC184">
        <f t="shared" ca="1" si="319"/>
        <v>25</v>
      </c>
      <c r="CD184">
        <f t="shared" ca="1" si="320"/>
        <v>124</v>
      </c>
      <c r="CE184">
        <f t="shared" ca="1" si="321"/>
        <v>124</v>
      </c>
      <c r="CF184">
        <f t="shared" ca="1" si="322"/>
        <v>124</v>
      </c>
      <c r="CL184">
        <f t="shared" ca="1" si="323"/>
        <v>0</v>
      </c>
      <c r="CM184">
        <f t="shared" ca="1" si="324"/>
        <v>0</v>
      </c>
      <c r="CN184">
        <f t="shared" ca="1" si="325"/>
        <v>0</v>
      </c>
      <c r="CO184">
        <f t="shared" ca="1" si="326"/>
        <v>0</v>
      </c>
      <c r="CP184">
        <f t="shared" ca="1" si="327"/>
        <v>1</v>
      </c>
      <c r="CQ184">
        <f t="shared" ca="1" si="328"/>
        <v>1</v>
      </c>
      <c r="CR184">
        <f t="shared" ca="1" si="329"/>
        <v>1</v>
      </c>
      <c r="CS184">
        <f t="shared" ca="1" si="330"/>
        <v>1</v>
      </c>
      <c r="CT184">
        <f t="shared" ca="1" si="331"/>
        <v>1</v>
      </c>
      <c r="CU184">
        <f t="shared" ca="1" si="332"/>
        <v>0</v>
      </c>
      <c r="CV184">
        <f t="shared" ca="1" si="333"/>
        <v>0</v>
      </c>
      <c r="CW184">
        <f t="shared" ca="1" si="334"/>
        <v>0</v>
      </c>
      <c r="DC184" cm="1">
        <f t="array" aca="1" ref="DC184" ca="1">IF(ISNA(E184),,OFFSET(INDIRECT("'"&amp;DT$67&amp;"'!f1"),E184-1,))*1</f>
        <v>0</v>
      </c>
      <c r="DD184" cm="1">
        <f t="array" aca="1" ref="DD184" ca="1">IF(ISNA(F184),,OFFSET(INDIRECT("'"&amp;DU$67&amp;"'!f1"),F184-1,))*1</f>
        <v>0</v>
      </c>
      <c r="DE184" cm="1">
        <f t="array" aca="1" ref="DE184" ca="1">IF(ISNA(G184),,OFFSET(INDIRECT("'"&amp;DV$67&amp;"'!f1"),G184-1,))*1</f>
        <v>0</v>
      </c>
      <c r="DF184" cm="1">
        <f t="array" aca="1" ref="DF184" ca="1">IF(ISNA(H184),,OFFSET(INDIRECT("'"&amp;DW$67&amp;"'!f1"),H184-1,))*1</f>
        <v>0</v>
      </c>
      <c r="DG184" cm="1">
        <f t="array" aca="1" ref="DG184" ca="1">IF(ISNA(I184),,OFFSET(INDIRECT("'"&amp;DX$67&amp;"'!f1"),I184-1,))*1</f>
        <v>493.48653816700198</v>
      </c>
      <c r="DH184" cm="1">
        <f t="array" aca="1" ref="DH184" ca="1">IF(ISNA(J184),,OFFSET(INDIRECT("'"&amp;DY$67&amp;"'!f1"),J184-1,))*1</f>
        <v>0.443547575734555</v>
      </c>
      <c r="DI184" cm="1">
        <f t="array" aca="1" ref="DI184" ca="1">IF(ISNA(K184),,OFFSET(INDIRECT("'"&amp;DZ$67&amp;"'!f1"),K184-1,))*1</f>
        <v>5.4663151176646299</v>
      </c>
      <c r="DJ184" cm="1">
        <f t="array" aca="1" ref="DJ184" ca="1">IF(ISNA(L184),,OFFSET(INDIRECT("'"&amp;EA$67&amp;"'!f1"),L184-1,))*1</f>
        <v>5.7720044720917896</v>
      </c>
      <c r="DK184" cm="1">
        <f t="array" aca="1" ref="DK184" ca="1">IF(ISNA(M184),,OFFSET(INDIRECT("'"&amp;EB$67&amp;"'!f1"),M184-1,))*1</f>
        <v>132.80189058277699</v>
      </c>
      <c r="DL184" cm="1">
        <f t="array" aca="1" ref="DL184" ca="1">IF(ISNA(N184),,OFFSET(INDIRECT("'"&amp;EC$67&amp;"'!f1"),N184-1,))*1</f>
        <v>2.1559907123446399E-2</v>
      </c>
      <c r="DM184" cm="1">
        <f t="array" aca="1" ref="DM184" ca="1">IF(ISNA(O184),,OFFSET(INDIRECT("'"&amp;ED$67&amp;"'!f1"),O184-1,))*1</f>
        <v>2.2199383005499802E-2</v>
      </c>
      <c r="DN184" cm="1">
        <f t="array" aca="1" ref="DN184" ca="1">IF(ISNA(P184),,OFFSET(INDIRECT("'"&amp;EE$67&amp;"'!f1"),P184-1,))*1</f>
        <v>4.0217582136392503E-2</v>
      </c>
      <c r="DT184">
        <f t="shared" ca="1" si="335"/>
        <v>0</v>
      </c>
      <c r="DU184">
        <f t="shared" ca="1" si="336"/>
        <v>0</v>
      </c>
      <c r="DV184">
        <f t="shared" ca="1" si="337"/>
        <v>0</v>
      </c>
      <c r="DW184">
        <f t="shared" ca="1" si="338"/>
        <v>0</v>
      </c>
      <c r="DX184">
        <f t="shared" ca="1" si="339"/>
        <v>1</v>
      </c>
      <c r="DY184">
        <f t="shared" ca="1" si="340"/>
        <v>1</v>
      </c>
      <c r="DZ184">
        <f t="shared" ca="1" si="341"/>
        <v>182</v>
      </c>
      <c r="EA184">
        <f t="shared" ca="1" si="342"/>
        <v>4588</v>
      </c>
      <c r="EB184">
        <f t="shared" ca="1" si="343"/>
        <v>129</v>
      </c>
      <c r="EC184">
        <f t="shared" ca="1" si="344"/>
        <v>0</v>
      </c>
      <c r="ED184">
        <f t="shared" ca="1" si="345"/>
        <v>0</v>
      </c>
      <c r="EE184">
        <f t="shared" ca="1" si="346"/>
        <v>0</v>
      </c>
      <c r="EK184" cm="1">
        <f t="array" aca="1" ref="EK184" ca="1">IF(ISNA(E184),0,OFFSET(INDIRECT("'"&amp;EK$67&amp;"'!g1"),E184-1,)*CL184)</f>
        <v>0</v>
      </c>
      <c r="EL184" cm="1">
        <f t="array" aca="1" ref="EL184" ca="1">IF(ISNA(F184),0,OFFSET(INDIRECT("'"&amp;EL$67&amp;"'!g1"),F184-1,)*CM184)</f>
        <v>0</v>
      </c>
      <c r="EM184" cm="1">
        <f t="array" aca="1" ref="EM184" ca="1">IF(ISNA(G184),0,OFFSET(INDIRECT("'"&amp;EM$67&amp;"'!g1"),G184-1,)*CN184)</f>
        <v>0</v>
      </c>
      <c r="EN184" cm="1">
        <f t="array" aca="1" ref="EN184" ca="1">IF(ISNA(H184),0,OFFSET(INDIRECT("'"&amp;EN$67&amp;"'!g1"),H184-1,)*CO184)</f>
        <v>0</v>
      </c>
      <c r="EO184" cm="1">
        <f t="array" aca="1" ref="EO184" ca="1">IF(ISNA(I184),0,OFFSET(INDIRECT("'"&amp;EO$67&amp;"'!g1"),I184-1,)*CP184)</f>
        <v>1</v>
      </c>
      <c r="EP184" cm="1">
        <f t="array" aca="1" ref="EP184" ca="1">IF(ISNA(J184),0,OFFSET(INDIRECT("'"&amp;EP$67&amp;"'!g1"),J184-1,)*CQ184)</f>
        <v>1</v>
      </c>
      <c r="EQ184" cm="1">
        <f t="array" aca="1" ref="EQ184" ca="1">IF(ISNA(K184),0,OFFSET(INDIRECT("'"&amp;EQ$67&amp;"'!g1"),K184-1,)*CR184)</f>
        <v>182</v>
      </c>
      <c r="ER184" cm="1">
        <f t="array" aca="1" ref="ER184" ca="1">IF(ISNA(L184),0,OFFSET(INDIRECT("'"&amp;ER$67&amp;"'!g1"),L184-1,)*CS184)</f>
        <v>4588</v>
      </c>
      <c r="ES184" cm="1">
        <f t="array" aca="1" ref="ES184" ca="1">IF(ISNA(M184),0,OFFSET(INDIRECT("'"&amp;ES$67&amp;"'!g1"),M184-1,)*CT184)</f>
        <v>129</v>
      </c>
      <c r="ET184" cm="1">
        <f t="array" aca="1" ref="ET184" ca="1">IF(ISNA(N184),0,OFFSET(INDIRECT("'"&amp;ET$67&amp;"'!g1"),N184-1,)*CU184)</f>
        <v>0</v>
      </c>
      <c r="EU184" cm="1">
        <f t="array" aca="1" ref="EU184" ca="1">IF(ISNA(O184),0,OFFSET(INDIRECT("'"&amp;EU$67&amp;"'!g1"),O184-1,)*CV184)</f>
        <v>0</v>
      </c>
      <c r="EV184" cm="1">
        <f t="array" aca="1" ref="EV184" ca="1">IF(ISNA(P184),0,OFFSET(INDIRECT("'"&amp;EV$67&amp;"'!g1"),P184-1,)*CW184)</f>
        <v>0</v>
      </c>
      <c r="FB184" s="10" cm="1">
        <f t="array" aca="1" ref="FB184" ca="1">IF(ISNA(E184),0,OFFSET(INDIRECT("'"&amp;EK$67&amp;"'!h1"),E184-1,))</f>
        <v>0</v>
      </c>
      <c r="FC184" s="10" cm="1">
        <f t="array" aca="1" ref="FC184" ca="1">IF(ISNA(F184),0,OFFSET(INDIRECT("'"&amp;EL$67&amp;"'!h1"),F184-1,))</f>
        <v>0</v>
      </c>
      <c r="FD184" s="10" cm="1">
        <f t="array" aca="1" ref="FD184" ca="1">IF(ISNA(G184),0,OFFSET(INDIRECT("'"&amp;EM$67&amp;"'!h1"),G184-1,))</f>
        <v>0</v>
      </c>
      <c r="FE184" s="10" cm="1">
        <f t="array" aca="1" ref="FE184" ca="1">IF(ISNA(H184),0,OFFSET(INDIRECT("'"&amp;EN$67&amp;"'!h1"),H184-1,))</f>
        <v>0</v>
      </c>
      <c r="FF184" s="10" cm="1">
        <f t="array" aca="1" ref="FF184" ca="1">IF(ISNA(I184),0,OFFSET(INDIRECT("'"&amp;EO$67&amp;"'!h1"),I184-1,))</f>
        <v>1</v>
      </c>
      <c r="FG184" s="10" cm="1">
        <f t="array" aca="1" ref="FG184" ca="1">IF(ISNA(J184),0,OFFSET(INDIRECT("'"&amp;EP$67&amp;"'!h1"),J184-1,))</f>
        <v>1</v>
      </c>
      <c r="FH184" s="10" cm="1">
        <f t="array" aca="1" ref="FH184" ca="1">IF(ISNA(K184),0,OFFSET(INDIRECT("'"&amp;EQ$67&amp;"'!h1"),K184-1,))</f>
        <v>10000</v>
      </c>
      <c r="FI184" s="10" cm="1">
        <f t="array" aca="1" ref="FI184" ca="1">IF(ISNA(L184),0,OFFSET(INDIRECT("'"&amp;ER$67&amp;"'!h1"),L184-1,))</f>
        <v>10000</v>
      </c>
      <c r="FJ184" s="10" cm="1">
        <f t="array" aca="1" ref="FJ184" ca="1">IF(ISNA(M184),0,OFFSET(INDIRECT("'"&amp;ES$67&amp;"'!h1"),M184-1,))</f>
        <v>10000</v>
      </c>
      <c r="FK184" s="10" cm="1">
        <f t="array" aca="1" ref="FK184" ca="1">IF(ISNA(N184),0,OFFSET(INDIRECT("'"&amp;ET$67&amp;"'!h1"),N184-1,))</f>
        <v>1</v>
      </c>
      <c r="FL184" s="10" cm="1">
        <f t="array" aca="1" ref="FL184" ca="1">IF(ISNA(O184),0,OFFSET(INDIRECT("'"&amp;EU$67&amp;"'!h1"),O184-1,))</f>
        <v>1</v>
      </c>
      <c r="FM184" s="10" cm="1">
        <f t="array" aca="1" ref="FM184" ca="1">IF(ISNA(P184),0,OFFSET(INDIRECT("'"&amp;EV$67&amp;"'!h1"),P184-1,))</f>
        <v>9</v>
      </c>
      <c r="FN184" s="10"/>
      <c r="FO184" s="10"/>
      <c r="FP184" s="10"/>
      <c r="FQ184" s="10"/>
      <c r="FS184">
        <f t="shared" ca="1" si="347"/>
        <v>124</v>
      </c>
      <c r="FT184">
        <f t="shared" ca="1" si="62"/>
        <v>5.4663151176646299</v>
      </c>
      <c r="FU184">
        <f t="shared" ca="1" si="63"/>
        <v>182</v>
      </c>
      <c r="FV184">
        <f t="shared" ca="1" si="64"/>
        <v>10000</v>
      </c>
      <c r="FW184" s="4">
        <f t="shared" ca="1" si="348"/>
        <v>1.8200000000000001E-2</v>
      </c>
      <c r="FX184" s="5">
        <f t="shared" ca="1" si="349"/>
        <v>3.0034698448706758E-2</v>
      </c>
      <c r="FZ184" s="13">
        <f t="shared" ca="1" si="350"/>
        <v>124</v>
      </c>
      <c r="GA184" s="23" t="e">
        <f t="shared" ca="1" si="351"/>
        <v>#N/A</v>
      </c>
      <c r="GB184" s="23" t="e">
        <f t="shared" ca="1" si="352"/>
        <v>#N/A</v>
      </c>
      <c r="GC184" s="23" t="e">
        <f t="shared" ca="1" si="353"/>
        <v>#N/A</v>
      </c>
      <c r="GD184" s="23" t="e">
        <f t="shared" ca="1" si="354"/>
        <v>#N/A</v>
      </c>
      <c r="GE184" s="23">
        <f t="shared" ca="1" si="355"/>
        <v>0</v>
      </c>
      <c r="GF184" s="23">
        <f t="shared" ca="1" si="356"/>
        <v>0</v>
      </c>
      <c r="GG184" s="23">
        <f t="shared" ca="1" si="357"/>
        <v>0</v>
      </c>
      <c r="GH184" s="23">
        <f t="shared" ca="1" si="358"/>
        <v>0</v>
      </c>
      <c r="GI184" s="23">
        <f t="shared" ca="1" si="359"/>
        <v>0</v>
      </c>
      <c r="GJ184" s="23" t="e">
        <f t="shared" ca="1" si="360"/>
        <v>#N/A</v>
      </c>
      <c r="GK184" s="23" t="e">
        <f t="shared" ca="1" si="361"/>
        <v>#N/A</v>
      </c>
      <c r="GL184" s="23" t="e">
        <f t="shared" ca="1" si="362"/>
        <v>#N/A</v>
      </c>
      <c r="GM184" s="23"/>
      <c r="GN184">
        <f t="shared" ca="1" si="363"/>
        <v>124</v>
      </c>
      <c r="GO184" s="5" t="e">
        <f t="shared" ca="1" si="364"/>
        <v>#N/A</v>
      </c>
      <c r="GP184" s="5" t="e">
        <f t="shared" ca="1" si="365"/>
        <v>#N/A</v>
      </c>
      <c r="GQ184" s="5" t="e">
        <f t="shared" ca="1" si="366"/>
        <v>#N/A</v>
      </c>
      <c r="GR184" s="5" t="e">
        <f t="shared" ca="1" si="367"/>
        <v>#N/A</v>
      </c>
      <c r="GS184" s="5">
        <f t="shared" ca="1" si="368"/>
        <v>493.48653816700198</v>
      </c>
      <c r="GT184" s="5">
        <f t="shared" ca="1" si="369"/>
        <v>0.443547575734555</v>
      </c>
      <c r="GU184" s="5">
        <f t="shared" ca="1" si="370"/>
        <v>3.0034698448706758E-2</v>
      </c>
      <c r="GV184" s="5">
        <f t="shared" ca="1" si="371"/>
        <v>1.2580654908656908E-3</v>
      </c>
      <c r="GW184" s="5">
        <f t="shared" ca="1" si="372"/>
        <v>1.029472020021527</v>
      </c>
      <c r="GX184" s="5" t="e">
        <f t="shared" ca="1" si="373"/>
        <v>#N/A</v>
      </c>
      <c r="GY184" s="5" t="e">
        <f t="shared" ca="1" si="374"/>
        <v>#N/A</v>
      </c>
      <c r="GZ184" s="5" t="e">
        <f t="shared" ca="1" si="375"/>
        <v>#N/A</v>
      </c>
      <c r="HB184" s="13">
        <f t="shared" ca="1" si="376"/>
        <v>124</v>
      </c>
      <c r="HC184" s="4">
        <f t="shared" ca="1" si="377"/>
        <v>0</v>
      </c>
      <c r="HD184" s="4">
        <f t="shared" ca="1" si="378"/>
        <v>0</v>
      </c>
      <c r="HE184" s="4">
        <f t="shared" ca="1" si="379"/>
        <v>0</v>
      </c>
      <c r="HF184" s="4">
        <f t="shared" ca="1" si="380"/>
        <v>0</v>
      </c>
      <c r="HG184" s="4">
        <f t="shared" ca="1" si="381"/>
        <v>1</v>
      </c>
      <c r="HH184" s="4">
        <f t="shared" ca="1" si="382"/>
        <v>1</v>
      </c>
      <c r="HI184" s="4">
        <f t="shared" ca="1" si="383"/>
        <v>1.8200000000000001E-2</v>
      </c>
      <c r="HJ184" s="4">
        <f t="shared" ca="1" si="384"/>
        <v>0.45879999999999999</v>
      </c>
      <c r="HK184" s="4">
        <f t="shared" ca="1" si="385"/>
        <v>1.29E-2</v>
      </c>
      <c r="HL184" s="4">
        <f t="shared" ca="1" si="386"/>
        <v>0</v>
      </c>
      <c r="HM184" s="4">
        <f t="shared" ca="1" si="387"/>
        <v>0</v>
      </c>
      <c r="HN184" s="4">
        <f t="shared" ca="1" si="388"/>
        <v>0</v>
      </c>
    </row>
    <row r="185" spans="1:222" x14ac:dyDescent="0.2">
      <c r="A185" t="str" cm="1">
        <f t="array" aca="1" ref="A185" ca="1">INDIRECT($A$67&amp;"!A"&amp;ROW(C118)+$B$64)</f>
        <v>[[125,50,25]]</v>
      </c>
      <c r="B185" cm="1">
        <f t="array" aca="1" ref="B185" ca="1">INDIRECT($A$67&amp;"!b"&amp;ROW(D118)+$B$64)</f>
        <v>125</v>
      </c>
      <c r="C185">
        <f t="shared" ca="1" si="287"/>
        <v>25</v>
      </c>
      <c r="E185" t="e">
        <f t="shared" ca="1" si="288"/>
        <v>#N/A</v>
      </c>
      <c r="F185" t="e">
        <f t="shared" ca="1" si="288"/>
        <v>#N/A</v>
      </c>
      <c r="G185" t="e">
        <f t="shared" ca="1" si="288"/>
        <v>#N/A</v>
      </c>
      <c r="H185" t="e">
        <f t="shared" ca="1" si="286"/>
        <v>#N/A</v>
      </c>
      <c r="I185">
        <f t="shared" ca="1" si="286"/>
        <v>145</v>
      </c>
      <c r="J185">
        <f t="shared" ca="1" si="286"/>
        <v>142</v>
      </c>
      <c r="K185">
        <f t="shared" ca="1" si="286"/>
        <v>149</v>
      </c>
      <c r="L185">
        <f t="shared" ca="1" si="286"/>
        <v>151</v>
      </c>
      <c r="M185">
        <f t="shared" ca="1" si="286"/>
        <v>148</v>
      </c>
      <c r="N185">
        <f t="shared" ca="1" si="286"/>
        <v>146</v>
      </c>
      <c r="O185">
        <f t="shared" ca="1" si="286"/>
        <v>146</v>
      </c>
      <c r="P185">
        <f t="shared" ca="1" si="286"/>
        <v>146</v>
      </c>
      <c r="V185" cm="1">
        <f t="array" aca="1" ref="V185" ca="1">IF(ISNA(E185),,OFFSET(INDIRECT("'"&amp;V$67&amp;"'!d1"),E185-1,))</f>
        <v>0</v>
      </c>
      <c r="W185" cm="1">
        <f t="array" aca="1" ref="W185" ca="1">IF(ISNA(F185),,OFFSET(INDIRECT("'"&amp;W$67&amp;"'!d1"),F185-1,))</f>
        <v>0</v>
      </c>
      <c r="X185" cm="1">
        <f t="array" aca="1" ref="X185" ca="1">IF(ISNA(G185),,OFFSET(INDIRECT("'"&amp;X$67&amp;"'!d1"),G185-1,))</f>
        <v>0</v>
      </c>
      <c r="Y185" cm="1">
        <f t="array" aca="1" ref="Y185" ca="1">IF(ISNA(H185),,OFFSET(INDIRECT("'"&amp;Y$67&amp;"'!d1"),H185-1,))</f>
        <v>0</v>
      </c>
      <c r="Z185" cm="1">
        <f t="array" aca="1" ref="Z185" ca="1">IF(ISNA(I185),,OFFSET(INDIRECT("'"&amp;Z$67&amp;"'!d1"),I185-1,))</f>
        <v>25</v>
      </c>
      <c r="AA185" cm="1">
        <f t="array" aca="1" ref="AA185" ca="1">IF(ISNA(J185),,OFFSET(INDIRECT("'"&amp;AA$67&amp;"'!d1"),J185-1,))</f>
        <v>25</v>
      </c>
      <c r="AB185" cm="1">
        <f t="array" aca="1" ref="AB185" ca="1">IF(ISNA(K185),,OFFSET(INDIRECT("'"&amp;AB$67&amp;"'!d1"),K185-1,))</f>
        <v>25</v>
      </c>
      <c r="AC185" cm="1">
        <f t="array" aca="1" ref="AC185" ca="1">IF(ISNA(L185),,OFFSET(INDIRECT("'"&amp;AC$67&amp;"'!d1"),L185-1,))</f>
        <v>25</v>
      </c>
      <c r="AD185" cm="1">
        <f t="array" aca="1" ref="AD185" ca="1">IF(ISNA(M185),,OFFSET(INDIRECT("'"&amp;AD$67&amp;"'!d1"),M185-1,))</f>
        <v>25</v>
      </c>
      <c r="AE185" cm="1">
        <f t="array" aca="1" ref="AE185" ca="1">IF(ISNA(N185),,OFFSET(INDIRECT("'"&amp;AE$67&amp;"'!d1"),N185-1,))</f>
        <v>0</v>
      </c>
      <c r="AF185" cm="1">
        <f t="array" aca="1" ref="AF185" ca="1">IF(ISNA(O185),,OFFSET(INDIRECT("'"&amp;AF$67&amp;"'!d1"),O185-1,))</f>
        <v>0</v>
      </c>
      <c r="AG185" cm="1">
        <f t="array" aca="1" ref="AG185" ca="1">IF(ISNA(P185),,OFFSET(INDIRECT("'"&amp;AG$67&amp;"'!d1"),P185-1,))</f>
        <v>0</v>
      </c>
      <c r="AM185">
        <f t="shared" ca="1" si="289"/>
        <v>0</v>
      </c>
      <c r="AN185">
        <f t="shared" ca="1" si="290"/>
        <v>0</v>
      </c>
      <c r="AO185">
        <f t="shared" ca="1" si="291"/>
        <v>0</v>
      </c>
      <c r="AP185">
        <f t="shared" ca="1" si="292"/>
        <v>0</v>
      </c>
      <c r="AQ185">
        <f t="shared" ca="1" si="293"/>
        <v>1</v>
      </c>
      <c r="AV185" t="str">
        <f t="shared" ca="1" si="294"/>
        <v/>
      </c>
      <c r="AW185" t="str">
        <f t="shared" ca="1" si="295"/>
        <v/>
      </c>
      <c r="AX185" t="str">
        <f t="shared" ca="1" si="296"/>
        <v/>
      </c>
      <c r="AY185" t="str">
        <f t="shared" ca="1" si="297"/>
        <v/>
      </c>
      <c r="AZ185" t="b">
        <f t="shared" ca="1" si="298"/>
        <v>1</v>
      </c>
      <c r="BD185">
        <f t="shared" ca="1" si="299"/>
        <v>0</v>
      </c>
      <c r="BE185">
        <f t="shared" ca="1" si="300"/>
        <v>0</v>
      </c>
      <c r="BF185">
        <f t="shared" ca="1" si="301"/>
        <v>0</v>
      </c>
      <c r="BG185">
        <f t="shared" ca="1" si="302"/>
        <v>0</v>
      </c>
      <c r="BH185">
        <f t="shared" ca="1" si="303"/>
        <v>1</v>
      </c>
      <c r="BI185">
        <f t="shared" ca="1" si="304"/>
        <v>1</v>
      </c>
      <c r="BJ185">
        <f t="shared" ca="1" si="305"/>
        <v>1</v>
      </c>
      <c r="BK185">
        <f t="shared" ca="1" si="306"/>
        <v>1</v>
      </c>
      <c r="BL185">
        <f t="shared" ca="1" si="307"/>
        <v>1</v>
      </c>
      <c r="BM185">
        <f t="shared" ca="1" si="308"/>
        <v>0</v>
      </c>
      <c r="BN185">
        <f t="shared" ca="1" si="309"/>
        <v>0</v>
      </c>
      <c r="BO185">
        <f t="shared" ca="1" si="310"/>
        <v>0</v>
      </c>
      <c r="BU185">
        <f t="shared" ca="1" si="311"/>
        <v>125</v>
      </c>
      <c r="BV185">
        <f t="shared" ca="1" si="312"/>
        <v>125</v>
      </c>
      <c r="BW185">
        <f t="shared" ca="1" si="313"/>
        <v>125</v>
      </c>
      <c r="BX185">
        <f t="shared" ca="1" si="314"/>
        <v>125</v>
      </c>
      <c r="BY185">
        <f t="shared" ca="1" si="315"/>
        <v>25</v>
      </c>
      <c r="BZ185">
        <f t="shared" ca="1" si="316"/>
        <v>25</v>
      </c>
      <c r="CA185">
        <f t="shared" ca="1" si="317"/>
        <v>25</v>
      </c>
      <c r="CB185">
        <f t="shared" ca="1" si="318"/>
        <v>25</v>
      </c>
      <c r="CC185">
        <f t="shared" ca="1" si="319"/>
        <v>25</v>
      </c>
      <c r="CD185">
        <f t="shared" ca="1" si="320"/>
        <v>125</v>
      </c>
      <c r="CE185">
        <f t="shared" ca="1" si="321"/>
        <v>125</v>
      </c>
      <c r="CF185">
        <f t="shared" ca="1" si="322"/>
        <v>125</v>
      </c>
      <c r="CL185">
        <f t="shared" ca="1" si="323"/>
        <v>0</v>
      </c>
      <c r="CM185">
        <f t="shared" ca="1" si="324"/>
        <v>0</v>
      </c>
      <c r="CN185">
        <f t="shared" ca="1" si="325"/>
        <v>0</v>
      </c>
      <c r="CO185">
        <f t="shared" ca="1" si="326"/>
        <v>0</v>
      </c>
      <c r="CP185">
        <f t="shared" ca="1" si="327"/>
        <v>1</v>
      </c>
      <c r="CQ185">
        <f t="shared" ca="1" si="328"/>
        <v>1</v>
      </c>
      <c r="CR185">
        <f t="shared" ca="1" si="329"/>
        <v>1</v>
      </c>
      <c r="CS185">
        <f t="shared" ca="1" si="330"/>
        <v>1</v>
      </c>
      <c r="CT185">
        <f t="shared" ca="1" si="331"/>
        <v>1</v>
      </c>
      <c r="CU185">
        <f t="shared" ca="1" si="332"/>
        <v>0</v>
      </c>
      <c r="CV185">
        <f t="shared" ca="1" si="333"/>
        <v>0</v>
      </c>
      <c r="CW185">
        <f t="shared" ca="1" si="334"/>
        <v>0</v>
      </c>
      <c r="DC185" cm="1">
        <f t="array" aca="1" ref="DC185" ca="1">IF(ISNA(E185),,OFFSET(INDIRECT("'"&amp;DT$67&amp;"'!f1"),E185-1,))*1</f>
        <v>0</v>
      </c>
      <c r="DD185" cm="1">
        <f t="array" aca="1" ref="DD185" ca="1">IF(ISNA(F185),,OFFSET(INDIRECT("'"&amp;DU$67&amp;"'!f1"),F185-1,))*1</f>
        <v>0</v>
      </c>
      <c r="DE185" cm="1">
        <f t="array" aca="1" ref="DE185" ca="1">IF(ISNA(G185),,OFFSET(INDIRECT("'"&amp;DV$67&amp;"'!f1"),G185-1,))*1</f>
        <v>0</v>
      </c>
      <c r="DF185" cm="1">
        <f t="array" aca="1" ref="DF185" ca="1">IF(ISNA(H185),,OFFSET(INDIRECT("'"&amp;DW$67&amp;"'!f1"),H185-1,))*1</f>
        <v>0</v>
      </c>
      <c r="DG185" cm="1">
        <f t="array" aca="1" ref="DG185" ca="1">IF(ISNA(I185),,OFFSET(INDIRECT("'"&amp;DX$67&amp;"'!f1"),I185-1,))*1</f>
        <v>633.27117074999796</v>
      </c>
      <c r="DH185" cm="1">
        <f t="array" aca="1" ref="DH185" ca="1">IF(ISNA(J185),,OFFSET(INDIRECT("'"&amp;DY$67&amp;"'!f1"),J185-1,))*1</f>
        <v>0.44742730632424299</v>
      </c>
      <c r="DI185" cm="1">
        <f t="array" aca="1" ref="DI185" ca="1">IF(ISNA(K185),,OFFSET(INDIRECT("'"&amp;DZ$67&amp;"'!f1"),K185-1,))*1</f>
        <v>5.5815570093691296</v>
      </c>
      <c r="DJ185" cm="1">
        <f t="array" aca="1" ref="DJ185" ca="1">IF(ISNA(L185),,OFFSET(INDIRECT("'"&amp;EA$67&amp;"'!f1"),L185-1,))*1</f>
        <v>5.5670920256525198</v>
      </c>
      <c r="DK185" cm="1">
        <f t="array" aca="1" ref="DK185" ca="1">IF(ISNA(M185),,OFFSET(INDIRECT("'"&amp;EB$67&amp;"'!f1"),M185-1,))*1</f>
        <v>117.688564854208</v>
      </c>
      <c r="DL185" cm="1">
        <f t="array" aca="1" ref="DL185" ca="1">IF(ISNA(N185),,OFFSET(INDIRECT("'"&amp;EC$67&amp;"'!f1"),N185-1,))*1</f>
        <v>2.1761718206107599E-2</v>
      </c>
      <c r="DM185" cm="1">
        <f t="array" aca="1" ref="DM185" ca="1">IF(ISNA(O185),,OFFSET(INDIRECT("'"&amp;ED$67&amp;"'!f1"),O185-1,))*1</f>
        <v>2.2455048747360699E-2</v>
      </c>
      <c r="DN185" cm="1">
        <f t="array" aca="1" ref="DN185" ca="1">IF(ISNA(P185),,OFFSET(INDIRECT("'"&amp;EE$67&amp;"'!f1"),P185-1,))*1</f>
        <v>4.0688867680728401E-2</v>
      </c>
      <c r="DT185">
        <f t="shared" ca="1" si="335"/>
        <v>0</v>
      </c>
      <c r="DU185">
        <f t="shared" ca="1" si="336"/>
        <v>0</v>
      </c>
      <c r="DV185">
        <f t="shared" ca="1" si="337"/>
        <v>0</v>
      </c>
      <c r="DW185">
        <f t="shared" ca="1" si="338"/>
        <v>0</v>
      </c>
      <c r="DX185">
        <f t="shared" ca="1" si="339"/>
        <v>1</v>
      </c>
      <c r="DY185">
        <f t="shared" ca="1" si="340"/>
        <v>1</v>
      </c>
      <c r="DZ185">
        <f t="shared" ca="1" si="341"/>
        <v>182</v>
      </c>
      <c r="EA185">
        <f t="shared" ca="1" si="342"/>
        <v>4647</v>
      </c>
      <c r="EB185">
        <f t="shared" ca="1" si="343"/>
        <v>81</v>
      </c>
      <c r="EC185">
        <f t="shared" ca="1" si="344"/>
        <v>0</v>
      </c>
      <c r="ED185">
        <f t="shared" ca="1" si="345"/>
        <v>0</v>
      </c>
      <c r="EE185">
        <f t="shared" ca="1" si="346"/>
        <v>0</v>
      </c>
      <c r="EK185" cm="1">
        <f t="array" aca="1" ref="EK185" ca="1">IF(ISNA(E185),0,OFFSET(INDIRECT("'"&amp;EK$67&amp;"'!g1"),E185-1,)*CL185)</f>
        <v>0</v>
      </c>
      <c r="EL185" cm="1">
        <f t="array" aca="1" ref="EL185" ca="1">IF(ISNA(F185),0,OFFSET(INDIRECT("'"&amp;EL$67&amp;"'!g1"),F185-1,)*CM185)</f>
        <v>0</v>
      </c>
      <c r="EM185" cm="1">
        <f t="array" aca="1" ref="EM185" ca="1">IF(ISNA(G185),0,OFFSET(INDIRECT("'"&amp;EM$67&amp;"'!g1"),G185-1,)*CN185)</f>
        <v>0</v>
      </c>
      <c r="EN185" cm="1">
        <f t="array" aca="1" ref="EN185" ca="1">IF(ISNA(H185),0,OFFSET(INDIRECT("'"&amp;EN$67&amp;"'!g1"),H185-1,)*CO185)</f>
        <v>0</v>
      </c>
      <c r="EO185" cm="1">
        <f t="array" aca="1" ref="EO185" ca="1">IF(ISNA(I185),0,OFFSET(INDIRECT("'"&amp;EO$67&amp;"'!g1"),I185-1,)*CP185)</f>
        <v>1</v>
      </c>
      <c r="EP185" cm="1">
        <f t="array" aca="1" ref="EP185" ca="1">IF(ISNA(J185),0,OFFSET(INDIRECT("'"&amp;EP$67&amp;"'!g1"),J185-1,)*CQ185)</f>
        <v>1</v>
      </c>
      <c r="EQ185" cm="1">
        <f t="array" aca="1" ref="EQ185" ca="1">IF(ISNA(K185),0,OFFSET(INDIRECT("'"&amp;EQ$67&amp;"'!g1"),K185-1,)*CR185)</f>
        <v>182</v>
      </c>
      <c r="ER185" cm="1">
        <f t="array" aca="1" ref="ER185" ca="1">IF(ISNA(L185),0,OFFSET(INDIRECT("'"&amp;ER$67&amp;"'!g1"),L185-1,)*CS185)</f>
        <v>4647</v>
      </c>
      <c r="ES185" cm="1">
        <f t="array" aca="1" ref="ES185" ca="1">IF(ISNA(M185),0,OFFSET(INDIRECT("'"&amp;ES$67&amp;"'!g1"),M185-1,)*CT185)</f>
        <v>81</v>
      </c>
      <c r="ET185" cm="1">
        <f t="array" aca="1" ref="ET185" ca="1">IF(ISNA(N185),0,OFFSET(INDIRECT("'"&amp;ET$67&amp;"'!g1"),N185-1,)*CU185)</f>
        <v>0</v>
      </c>
      <c r="EU185" cm="1">
        <f t="array" aca="1" ref="EU185" ca="1">IF(ISNA(O185),0,OFFSET(INDIRECT("'"&amp;EU$67&amp;"'!g1"),O185-1,)*CV185)</f>
        <v>0</v>
      </c>
      <c r="EV185" cm="1">
        <f t="array" aca="1" ref="EV185" ca="1">IF(ISNA(P185),0,OFFSET(INDIRECT("'"&amp;EV$67&amp;"'!g1"),P185-1,)*CW185)</f>
        <v>0</v>
      </c>
      <c r="FB185" s="10" cm="1">
        <f t="array" aca="1" ref="FB185" ca="1">IF(ISNA(E185),0,OFFSET(INDIRECT("'"&amp;EK$67&amp;"'!h1"),E185-1,))</f>
        <v>0</v>
      </c>
      <c r="FC185" s="10" cm="1">
        <f t="array" aca="1" ref="FC185" ca="1">IF(ISNA(F185),0,OFFSET(INDIRECT("'"&amp;EL$67&amp;"'!h1"),F185-1,))</f>
        <v>0</v>
      </c>
      <c r="FD185" s="10" cm="1">
        <f t="array" aca="1" ref="FD185" ca="1">IF(ISNA(G185),0,OFFSET(INDIRECT("'"&amp;EM$67&amp;"'!h1"),G185-1,))</f>
        <v>0</v>
      </c>
      <c r="FE185" s="10" cm="1">
        <f t="array" aca="1" ref="FE185" ca="1">IF(ISNA(H185),0,OFFSET(INDIRECT("'"&amp;EN$67&amp;"'!h1"),H185-1,))</f>
        <v>0</v>
      </c>
      <c r="FF185" s="10" cm="1">
        <f t="array" aca="1" ref="FF185" ca="1">IF(ISNA(I185),0,OFFSET(INDIRECT("'"&amp;EO$67&amp;"'!h1"),I185-1,))</f>
        <v>1</v>
      </c>
      <c r="FG185" s="10" cm="1">
        <f t="array" aca="1" ref="FG185" ca="1">IF(ISNA(J185),0,OFFSET(INDIRECT("'"&amp;EP$67&amp;"'!h1"),J185-1,))</f>
        <v>1</v>
      </c>
      <c r="FH185" s="10" cm="1">
        <f t="array" aca="1" ref="FH185" ca="1">IF(ISNA(K185),0,OFFSET(INDIRECT("'"&amp;EQ$67&amp;"'!h1"),K185-1,))</f>
        <v>10000</v>
      </c>
      <c r="FI185" s="10" cm="1">
        <f t="array" aca="1" ref="FI185" ca="1">IF(ISNA(L185),0,OFFSET(INDIRECT("'"&amp;ER$67&amp;"'!h1"),L185-1,))</f>
        <v>10000</v>
      </c>
      <c r="FJ185" s="10" cm="1">
        <f t="array" aca="1" ref="FJ185" ca="1">IF(ISNA(M185),0,OFFSET(INDIRECT("'"&amp;ES$67&amp;"'!h1"),M185-1,))</f>
        <v>10000</v>
      </c>
      <c r="FK185" s="10" cm="1">
        <f t="array" aca="1" ref="FK185" ca="1">IF(ISNA(N185),0,OFFSET(INDIRECT("'"&amp;ET$67&amp;"'!h1"),N185-1,))</f>
        <v>1</v>
      </c>
      <c r="FL185" s="10" cm="1">
        <f t="array" aca="1" ref="FL185" ca="1">IF(ISNA(O185),0,OFFSET(INDIRECT("'"&amp;EU$67&amp;"'!h1"),O185-1,))</f>
        <v>1</v>
      </c>
      <c r="FM185" s="10" cm="1">
        <f t="array" aca="1" ref="FM185" ca="1">IF(ISNA(P185),0,OFFSET(INDIRECT("'"&amp;EV$67&amp;"'!h1"),P185-1,))</f>
        <v>9</v>
      </c>
      <c r="FN185" s="10"/>
      <c r="FO185" s="10"/>
      <c r="FP185" s="10"/>
      <c r="FQ185" s="10"/>
      <c r="FS185">
        <f t="shared" ca="1" si="347"/>
        <v>125</v>
      </c>
      <c r="FT185">
        <f t="shared" ca="1" si="62"/>
        <v>5.5815570093691296</v>
      </c>
      <c r="FU185">
        <f t="shared" ca="1" si="63"/>
        <v>182</v>
      </c>
      <c r="FV185">
        <f t="shared" ca="1" si="64"/>
        <v>10000</v>
      </c>
      <c r="FW185" s="4">
        <f t="shared" ca="1" si="348"/>
        <v>1.8200000000000001E-2</v>
      </c>
      <c r="FX185" s="5">
        <f t="shared" ca="1" si="349"/>
        <v>3.0667895655874338E-2</v>
      </c>
      <c r="FZ185" s="13">
        <f t="shared" ca="1" si="350"/>
        <v>125</v>
      </c>
      <c r="GA185" s="23" t="e">
        <f t="shared" ca="1" si="351"/>
        <v>#N/A</v>
      </c>
      <c r="GB185" s="23" t="e">
        <f t="shared" ca="1" si="352"/>
        <v>#N/A</v>
      </c>
      <c r="GC185" s="23" t="e">
        <f t="shared" ca="1" si="353"/>
        <v>#N/A</v>
      </c>
      <c r="GD185" s="23" t="e">
        <f t="shared" ca="1" si="354"/>
        <v>#N/A</v>
      </c>
      <c r="GE185" s="23">
        <f t="shared" ca="1" si="355"/>
        <v>0</v>
      </c>
      <c r="GF185" s="23">
        <f t="shared" ca="1" si="356"/>
        <v>0</v>
      </c>
      <c r="GG185" s="23">
        <f t="shared" ca="1" si="357"/>
        <v>0</v>
      </c>
      <c r="GH185" s="23">
        <f t="shared" ca="1" si="358"/>
        <v>0</v>
      </c>
      <c r="GI185" s="23">
        <f t="shared" ca="1" si="359"/>
        <v>0</v>
      </c>
      <c r="GJ185" s="23" t="e">
        <f t="shared" ca="1" si="360"/>
        <v>#N/A</v>
      </c>
      <c r="GK185" s="23" t="e">
        <f t="shared" ca="1" si="361"/>
        <v>#N/A</v>
      </c>
      <c r="GL185" s="23" t="e">
        <f t="shared" ca="1" si="362"/>
        <v>#N/A</v>
      </c>
      <c r="GM185" s="23"/>
      <c r="GN185">
        <f t="shared" ca="1" si="363"/>
        <v>125</v>
      </c>
      <c r="GO185" s="5" t="e">
        <f t="shared" ca="1" si="364"/>
        <v>#N/A</v>
      </c>
      <c r="GP185" s="5" t="e">
        <f t="shared" ca="1" si="365"/>
        <v>#N/A</v>
      </c>
      <c r="GQ185" s="5" t="e">
        <f t="shared" ca="1" si="366"/>
        <v>#N/A</v>
      </c>
      <c r="GR185" s="5" t="e">
        <f t="shared" ca="1" si="367"/>
        <v>#N/A</v>
      </c>
      <c r="GS185" s="5">
        <f t="shared" ca="1" si="368"/>
        <v>633.27117074999796</v>
      </c>
      <c r="GT185" s="5">
        <f t="shared" ca="1" si="369"/>
        <v>0.44742730632424299</v>
      </c>
      <c r="GU185" s="5">
        <f t="shared" ca="1" si="370"/>
        <v>3.0667895655874338E-2</v>
      </c>
      <c r="GV185" s="5">
        <f t="shared" ca="1" si="371"/>
        <v>1.1979969928238691E-3</v>
      </c>
      <c r="GW185" s="5">
        <f t="shared" ca="1" si="372"/>
        <v>1.4529452451136791</v>
      </c>
      <c r="GX185" s="5" t="e">
        <f t="shared" ca="1" si="373"/>
        <v>#N/A</v>
      </c>
      <c r="GY185" s="5" t="e">
        <f t="shared" ca="1" si="374"/>
        <v>#N/A</v>
      </c>
      <c r="GZ185" s="5" t="e">
        <f t="shared" ca="1" si="375"/>
        <v>#N/A</v>
      </c>
      <c r="HB185" s="13">
        <f t="shared" ca="1" si="376"/>
        <v>125</v>
      </c>
      <c r="HC185" s="4">
        <f t="shared" ca="1" si="377"/>
        <v>0</v>
      </c>
      <c r="HD185" s="4">
        <f t="shared" ca="1" si="378"/>
        <v>0</v>
      </c>
      <c r="HE185" s="4">
        <f t="shared" ca="1" si="379"/>
        <v>0</v>
      </c>
      <c r="HF185" s="4">
        <f t="shared" ca="1" si="380"/>
        <v>0</v>
      </c>
      <c r="HG185" s="4">
        <f t="shared" ca="1" si="381"/>
        <v>1</v>
      </c>
      <c r="HH185" s="4">
        <f t="shared" ca="1" si="382"/>
        <v>1</v>
      </c>
      <c r="HI185" s="4">
        <f t="shared" ca="1" si="383"/>
        <v>1.8200000000000001E-2</v>
      </c>
      <c r="HJ185" s="4">
        <f t="shared" ca="1" si="384"/>
        <v>0.4647</v>
      </c>
      <c r="HK185" s="4">
        <f t="shared" ca="1" si="385"/>
        <v>8.0999999999999996E-3</v>
      </c>
      <c r="HL185" s="4">
        <f t="shared" ca="1" si="386"/>
        <v>0</v>
      </c>
      <c r="HM185" s="4">
        <f t="shared" ca="1" si="387"/>
        <v>0</v>
      </c>
      <c r="HN185" s="4">
        <f t="shared" ca="1" si="388"/>
        <v>0</v>
      </c>
    </row>
    <row r="186" spans="1:222" x14ac:dyDescent="0.2">
      <c r="A186" t="str" cm="1">
        <f t="array" aca="1" ref="A186" ca="1">INDIRECT($A$67&amp;"!A"&amp;ROW(C119)+$B$64)</f>
        <v>[[126,50,26]]</v>
      </c>
      <c r="B186" cm="1">
        <f t="array" aca="1" ref="B186" ca="1">INDIRECT($A$67&amp;"!b"&amp;ROW(D119)+$B$64)</f>
        <v>126</v>
      </c>
      <c r="C186">
        <f t="shared" ca="1" si="287"/>
        <v>26</v>
      </c>
      <c r="E186" t="e">
        <f t="shared" ca="1" si="288"/>
        <v>#N/A</v>
      </c>
      <c r="F186" t="e">
        <f t="shared" ca="1" si="288"/>
        <v>#N/A</v>
      </c>
      <c r="G186" t="e">
        <f t="shared" ca="1" si="288"/>
        <v>#N/A</v>
      </c>
      <c r="H186" t="e">
        <f t="shared" ca="1" si="286"/>
        <v>#N/A</v>
      </c>
      <c r="I186">
        <f t="shared" ca="1" si="286"/>
        <v>146</v>
      </c>
      <c r="J186">
        <f t="shared" ca="1" si="286"/>
        <v>143</v>
      </c>
      <c r="K186">
        <f t="shared" ca="1" si="286"/>
        <v>150</v>
      </c>
      <c r="L186">
        <f t="shared" ca="1" si="286"/>
        <v>152</v>
      </c>
      <c r="M186">
        <f t="shared" ca="1" si="286"/>
        <v>149</v>
      </c>
      <c r="N186">
        <f t="shared" ca="1" si="286"/>
        <v>147</v>
      </c>
      <c r="O186">
        <f t="shared" ca="1" si="286"/>
        <v>147</v>
      </c>
      <c r="P186">
        <f t="shared" ca="1" si="286"/>
        <v>147</v>
      </c>
      <c r="V186" cm="1">
        <f t="array" aca="1" ref="V186" ca="1">IF(ISNA(E186),,OFFSET(INDIRECT("'"&amp;V$67&amp;"'!d1"),E186-1,))</f>
        <v>0</v>
      </c>
      <c r="W186" cm="1">
        <f t="array" aca="1" ref="W186" ca="1">IF(ISNA(F186),,OFFSET(INDIRECT("'"&amp;W$67&amp;"'!d1"),F186-1,))</f>
        <v>0</v>
      </c>
      <c r="X186" cm="1">
        <f t="array" aca="1" ref="X186" ca="1">IF(ISNA(G186),,OFFSET(INDIRECT("'"&amp;X$67&amp;"'!d1"),G186-1,))</f>
        <v>0</v>
      </c>
      <c r="Y186" cm="1">
        <f t="array" aca="1" ref="Y186" ca="1">IF(ISNA(H186),,OFFSET(INDIRECT("'"&amp;Y$67&amp;"'!d1"),H186-1,))</f>
        <v>0</v>
      </c>
      <c r="Z186" cm="1">
        <f t="array" aca="1" ref="Z186" ca="1">IF(ISNA(I186),,OFFSET(INDIRECT("'"&amp;Z$67&amp;"'!d1"),I186-1,))</f>
        <v>26</v>
      </c>
      <c r="AA186" cm="1">
        <f t="array" aca="1" ref="AA186" ca="1">IF(ISNA(J186),,OFFSET(INDIRECT("'"&amp;AA$67&amp;"'!d1"),J186-1,))</f>
        <v>26</v>
      </c>
      <c r="AB186" cm="1">
        <f t="array" aca="1" ref="AB186" ca="1">IF(ISNA(K186),,OFFSET(INDIRECT("'"&amp;AB$67&amp;"'!d1"),K186-1,))</f>
        <v>26</v>
      </c>
      <c r="AC186" cm="1">
        <f t="array" aca="1" ref="AC186" ca="1">IF(ISNA(L186),,OFFSET(INDIRECT("'"&amp;AC$67&amp;"'!d1"),L186-1,))</f>
        <v>26</v>
      </c>
      <c r="AD186" cm="1">
        <f t="array" aca="1" ref="AD186" ca="1">IF(ISNA(M186),,OFFSET(INDIRECT("'"&amp;AD$67&amp;"'!d1"),M186-1,))</f>
        <v>26</v>
      </c>
      <c r="AE186" cm="1">
        <f t="array" aca="1" ref="AE186" ca="1">IF(ISNA(N186),,OFFSET(INDIRECT("'"&amp;AE$67&amp;"'!d1"),N186-1,))</f>
        <v>0</v>
      </c>
      <c r="AF186" cm="1">
        <f t="array" aca="1" ref="AF186" ca="1">IF(ISNA(O186),,OFFSET(INDIRECT("'"&amp;AF$67&amp;"'!d1"),O186-1,))</f>
        <v>0</v>
      </c>
      <c r="AG186" cm="1">
        <f t="array" aca="1" ref="AG186" ca="1">IF(ISNA(P186),,OFFSET(INDIRECT("'"&amp;AG$67&amp;"'!d1"),P186-1,))</f>
        <v>0</v>
      </c>
      <c r="AM186">
        <f t="shared" ca="1" si="289"/>
        <v>0</v>
      </c>
      <c r="AN186">
        <f t="shared" ca="1" si="290"/>
        <v>0</v>
      </c>
      <c r="AO186">
        <f t="shared" ca="1" si="291"/>
        <v>0</v>
      </c>
      <c r="AP186">
        <f t="shared" ca="1" si="292"/>
        <v>0</v>
      </c>
      <c r="AQ186">
        <f t="shared" ca="1" si="293"/>
        <v>1</v>
      </c>
      <c r="AV186" t="str">
        <f t="shared" ca="1" si="294"/>
        <v/>
      </c>
      <c r="AW186" t="str">
        <f t="shared" ca="1" si="295"/>
        <v/>
      </c>
      <c r="AX186" t="str">
        <f t="shared" ca="1" si="296"/>
        <v/>
      </c>
      <c r="AY186" t="str">
        <f t="shared" ca="1" si="297"/>
        <v/>
      </c>
      <c r="AZ186" t="b">
        <f t="shared" ca="1" si="298"/>
        <v>1</v>
      </c>
      <c r="BD186">
        <f t="shared" ca="1" si="299"/>
        <v>0</v>
      </c>
      <c r="BE186">
        <f t="shared" ca="1" si="300"/>
        <v>0</v>
      </c>
      <c r="BF186">
        <f t="shared" ca="1" si="301"/>
        <v>0</v>
      </c>
      <c r="BG186">
        <f t="shared" ca="1" si="302"/>
        <v>0</v>
      </c>
      <c r="BH186">
        <f t="shared" ca="1" si="303"/>
        <v>1</v>
      </c>
      <c r="BI186">
        <f t="shared" ca="1" si="304"/>
        <v>1</v>
      </c>
      <c r="BJ186">
        <f t="shared" ca="1" si="305"/>
        <v>1</v>
      </c>
      <c r="BK186">
        <f t="shared" ca="1" si="306"/>
        <v>1</v>
      </c>
      <c r="BL186">
        <f t="shared" ca="1" si="307"/>
        <v>1</v>
      </c>
      <c r="BM186">
        <f t="shared" ca="1" si="308"/>
        <v>0</v>
      </c>
      <c r="BN186">
        <f t="shared" ca="1" si="309"/>
        <v>0</v>
      </c>
      <c r="BO186">
        <f t="shared" ca="1" si="310"/>
        <v>0</v>
      </c>
      <c r="BU186">
        <f t="shared" ca="1" si="311"/>
        <v>126</v>
      </c>
      <c r="BV186">
        <f t="shared" ca="1" si="312"/>
        <v>126</v>
      </c>
      <c r="BW186">
        <f t="shared" ca="1" si="313"/>
        <v>126</v>
      </c>
      <c r="BX186">
        <f t="shared" ca="1" si="314"/>
        <v>126</v>
      </c>
      <c r="BY186">
        <f t="shared" ca="1" si="315"/>
        <v>26</v>
      </c>
      <c r="BZ186">
        <f t="shared" ca="1" si="316"/>
        <v>26</v>
      </c>
      <c r="CA186">
        <f t="shared" ca="1" si="317"/>
        <v>26</v>
      </c>
      <c r="CB186">
        <f t="shared" ca="1" si="318"/>
        <v>26</v>
      </c>
      <c r="CC186">
        <f t="shared" ca="1" si="319"/>
        <v>26</v>
      </c>
      <c r="CD186">
        <f t="shared" ca="1" si="320"/>
        <v>126</v>
      </c>
      <c r="CE186">
        <f t="shared" ca="1" si="321"/>
        <v>126</v>
      </c>
      <c r="CF186">
        <f t="shared" ca="1" si="322"/>
        <v>126</v>
      </c>
      <c r="CL186">
        <f t="shared" ca="1" si="323"/>
        <v>0</v>
      </c>
      <c r="CM186">
        <f t="shared" ca="1" si="324"/>
        <v>0</v>
      </c>
      <c r="CN186">
        <f t="shared" ca="1" si="325"/>
        <v>0</v>
      </c>
      <c r="CO186">
        <f t="shared" ca="1" si="326"/>
        <v>0</v>
      </c>
      <c r="CP186">
        <f t="shared" ca="1" si="327"/>
        <v>1</v>
      </c>
      <c r="CQ186">
        <f t="shared" ca="1" si="328"/>
        <v>1</v>
      </c>
      <c r="CR186">
        <f t="shared" ca="1" si="329"/>
        <v>1</v>
      </c>
      <c r="CS186">
        <f t="shared" ca="1" si="330"/>
        <v>1</v>
      </c>
      <c r="CT186">
        <f t="shared" ca="1" si="331"/>
        <v>1</v>
      </c>
      <c r="CU186">
        <f t="shared" ca="1" si="332"/>
        <v>0</v>
      </c>
      <c r="CV186">
        <f t="shared" ca="1" si="333"/>
        <v>0</v>
      </c>
      <c r="CW186">
        <f t="shared" ca="1" si="334"/>
        <v>0</v>
      </c>
      <c r="DC186" cm="1">
        <f t="array" aca="1" ref="DC186" ca="1">IF(ISNA(E186),,OFFSET(INDIRECT("'"&amp;DT$67&amp;"'!f1"),E186-1,))*1</f>
        <v>0</v>
      </c>
      <c r="DD186" cm="1">
        <f t="array" aca="1" ref="DD186" ca="1">IF(ISNA(F186),,OFFSET(INDIRECT("'"&amp;DU$67&amp;"'!f1"),F186-1,))*1</f>
        <v>0</v>
      </c>
      <c r="DE186" cm="1">
        <f t="array" aca="1" ref="DE186" ca="1">IF(ISNA(G186),,OFFSET(INDIRECT("'"&amp;DV$67&amp;"'!f1"),G186-1,))*1</f>
        <v>0</v>
      </c>
      <c r="DF186" cm="1">
        <f t="array" aca="1" ref="DF186" ca="1">IF(ISNA(H186),,OFFSET(INDIRECT("'"&amp;DW$67&amp;"'!f1"),H186-1,))*1</f>
        <v>0</v>
      </c>
      <c r="DG186" cm="1">
        <f t="array" aca="1" ref="DG186" ca="1">IF(ISNA(I186),,OFFSET(INDIRECT("'"&amp;DX$67&amp;"'!f1"),I186-1,))*1</f>
        <v>985.74302745800298</v>
      </c>
      <c r="DH186" cm="1">
        <f t="array" aca="1" ref="DH186" ca="1">IF(ISNA(J186),,OFFSET(INDIRECT("'"&amp;DY$67&amp;"'!f1"),J186-1,))*1</f>
        <v>0.45759292971342802</v>
      </c>
      <c r="DI186" cm="1">
        <f t="array" aca="1" ref="DI186" ca="1">IF(ISNA(K186),,OFFSET(INDIRECT("'"&amp;DZ$67&amp;"'!f1"),K186-1,))*1</f>
        <v>5.7125003412365896</v>
      </c>
      <c r="DJ186" cm="1">
        <f t="array" aca="1" ref="DJ186" ca="1">IF(ISNA(L186),,OFFSET(INDIRECT("'"&amp;EA$67&amp;"'!f1"),L186-1,))*1</f>
        <v>5.7278402866795597</v>
      </c>
      <c r="DK186" cm="1">
        <f t="array" aca="1" ref="DK186" ca="1">IF(ISNA(M186),,OFFSET(INDIRECT("'"&amp;EB$67&amp;"'!f1"),M186-1,))*1</f>
        <v>120.50352506060101</v>
      </c>
      <c r="DL186" cm="1">
        <f t="array" aca="1" ref="DL186" ca="1">IF(ISNA(N186),,OFFSET(INDIRECT("'"&amp;EC$67&amp;"'!f1"),N186-1,))*1</f>
        <v>2.1908569149672898E-2</v>
      </c>
      <c r="DM186" cm="1">
        <f t="array" aca="1" ref="DM186" ca="1">IF(ISNA(O186),,OFFSET(INDIRECT("'"&amp;ED$67&amp;"'!f1"),O186-1,))*1</f>
        <v>2.2778099402785301E-2</v>
      </c>
      <c r="DN186" cm="1">
        <f t="array" aca="1" ref="DN186" ca="1">IF(ISNA(P186),,OFFSET(INDIRECT("'"&amp;EE$67&amp;"'!f1"),P186-1,))*1</f>
        <v>4.1062057018280002E-2</v>
      </c>
      <c r="DT186">
        <f t="shared" ca="1" si="335"/>
        <v>0</v>
      </c>
      <c r="DU186">
        <f t="shared" ca="1" si="336"/>
        <v>0</v>
      </c>
      <c r="DV186">
        <f t="shared" ca="1" si="337"/>
        <v>0</v>
      </c>
      <c r="DW186">
        <f t="shared" ca="1" si="338"/>
        <v>0</v>
      </c>
      <c r="DX186">
        <f t="shared" ca="1" si="339"/>
        <v>1</v>
      </c>
      <c r="DY186">
        <f t="shared" ca="1" si="340"/>
        <v>1</v>
      </c>
      <c r="DZ186">
        <f t="shared" ca="1" si="341"/>
        <v>541</v>
      </c>
      <c r="EA186">
        <f t="shared" ca="1" si="342"/>
        <v>4861</v>
      </c>
      <c r="EB186">
        <f t="shared" ca="1" si="343"/>
        <v>174</v>
      </c>
      <c r="EC186">
        <f t="shared" ca="1" si="344"/>
        <v>0</v>
      </c>
      <c r="ED186">
        <f t="shared" ca="1" si="345"/>
        <v>0</v>
      </c>
      <c r="EE186">
        <f t="shared" ca="1" si="346"/>
        <v>0</v>
      </c>
      <c r="EK186" cm="1">
        <f t="array" aca="1" ref="EK186" ca="1">IF(ISNA(E186),0,OFFSET(INDIRECT("'"&amp;EK$67&amp;"'!g1"),E186-1,)*CL186)</f>
        <v>0</v>
      </c>
      <c r="EL186" cm="1">
        <f t="array" aca="1" ref="EL186" ca="1">IF(ISNA(F186),0,OFFSET(INDIRECT("'"&amp;EL$67&amp;"'!g1"),F186-1,)*CM186)</f>
        <v>0</v>
      </c>
      <c r="EM186" cm="1">
        <f t="array" aca="1" ref="EM186" ca="1">IF(ISNA(G186),0,OFFSET(INDIRECT("'"&amp;EM$67&amp;"'!g1"),G186-1,)*CN186)</f>
        <v>0</v>
      </c>
      <c r="EN186" cm="1">
        <f t="array" aca="1" ref="EN186" ca="1">IF(ISNA(H186),0,OFFSET(INDIRECT("'"&amp;EN$67&amp;"'!g1"),H186-1,)*CO186)</f>
        <v>0</v>
      </c>
      <c r="EO186" cm="1">
        <f t="array" aca="1" ref="EO186" ca="1">IF(ISNA(I186),0,OFFSET(INDIRECT("'"&amp;EO$67&amp;"'!g1"),I186-1,)*CP186)</f>
        <v>1</v>
      </c>
      <c r="EP186" cm="1">
        <f t="array" aca="1" ref="EP186" ca="1">IF(ISNA(J186),0,OFFSET(INDIRECT("'"&amp;EP$67&amp;"'!g1"),J186-1,)*CQ186)</f>
        <v>1</v>
      </c>
      <c r="EQ186" cm="1">
        <f t="array" aca="1" ref="EQ186" ca="1">IF(ISNA(K186),0,OFFSET(INDIRECT("'"&amp;EQ$67&amp;"'!g1"),K186-1,)*CR186)</f>
        <v>541</v>
      </c>
      <c r="ER186" cm="1">
        <f t="array" aca="1" ref="ER186" ca="1">IF(ISNA(L186),0,OFFSET(INDIRECT("'"&amp;ER$67&amp;"'!g1"),L186-1,)*CS186)</f>
        <v>4861</v>
      </c>
      <c r="ES186" cm="1">
        <f t="array" aca="1" ref="ES186" ca="1">IF(ISNA(M186),0,OFFSET(INDIRECT("'"&amp;ES$67&amp;"'!g1"),M186-1,)*CT186)</f>
        <v>174</v>
      </c>
      <c r="ET186" cm="1">
        <f t="array" aca="1" ref="ET186" ca="1">IF(ISNA(N186),0,OFFSET(INDIRECT("'"&amp;ET$67&amp;"'!g1"),N186-1,)*CU186)</f>
        <v>0</v>
      </c>
      <c r="EU186" cm="1">
        <f t="array" aca="1" ref="EU186" ca="1">IF(ISNA(O186),0,OFFSET(INDIRECT("'"&amp;EU$67&amp;"'!g1"),O186-1,)*CV186)</f>
        <v>0</v>
      </c>
      <c r="EV186" cm="1">
        <f t="array" aca="1" ref="EV186" ca="1">IF(ISNA(P186),0,OFFSET(INDIRECT("'"&amp;EV$67&amp;"'!g1"),P186-1,)*CW186)</f>
        <v>0</v>
      </c>
      <c r="FB186" s="10" cm="1">
        <f t="array" aca="1" ref="FB186" ca="1">IF(ISNA(E186),0,OFFSET(INDIRECT("'"&amp;EK$67&amp;"'!h1"),E186-1,))</f>
        <v>0</v>
      </c>
      <c r="FC186" s="10" cm="1">
        <f t="array" aca="1" ref="FC186" ca="1">IF(ISNA(F186),0,OFFSET(INDIRECT("'"&amp;EL$67&amp;"'!h1"),F186-1,))</f>
        <v>0</v>
      </c>
      <c r="FD186" s="10" cm="1">
        <f t="array" aca="1" ref="FD186" ca="1">IF(ISNA(G186),0,OFFSET(INDIRECT("'"&amp;EM$67&amp;"'!h1"),G186-1,))</f>
        <v>0</v>
      </c>
      <c r="FE186" s="10" cm="1">
        <f t="array" aca="1" ref="FE186" ca="1">IF(ISNA(H186),0,OFFSET(INDIRECT("'"&amp;EN$67&amp;"'!h1"),H186-1,))</f>
        <v>0</v>
      </c>
      <c r="FF186" s="10" cm="1">
        <f t="array" aca="1" ref="FF186" ca="1">IF(ISNA(I186),0,OFFSET(INDIRECT("'"&amp;EO$67&amp;"'!h1"),I186-1,))</f>
        <v>1</v>
      </c>
      <c r="FG186" s="10" cm="1">
        <f t="array" aca="1" ref="FG186" ca="1">IF(ISNA(J186),0,OFFSET(INDIRECT("'"&amp;EP$67&amp;"'!h1"),J186-1,))</f>
        <v>1</v>
      </c>
      <c r="FH186" s="10" cm="1">
        <f t="array" aca="1" ref="FH186" ca="1">IF(ISNA(K186),0,OFFSET(INDIRECT("'"&amp;EQ$67&amp;"'!h1"),K186-1,))</f>
        <v>10000</v>
      </c>
      <c r="FI186" s="10" cm="1">
        <f t="array" aca="1" ref="FI186" ca="1">IF(ISNA(L186),0,OFFSET(INDIRECT("'"&amp;ER$67&amp;"'!h1"),L186-1,))</f>
        <v>10000</v>
      </c>
      <c r="FJ186" s="10" cm="1">
        <f t="array" aca="1" ref="FJ186" ca="1">IF(ISNA(M186),0,OFFSET(INDIRECT("'"&amp;ES$67&amp;"'!h1"),M186-1,))</f>
        <v>10000</v>
      </c>
      <c r="FK186" s="10" cm="1">
        <f t="array" aca="1" ref="FK186" ca="1">IF(ISNA(N186),0,OFFSET(INDIRECT("'"&amp;ET$67&amp;"'!h1"),N186-1,))</f>
        <v>1</v>
      </c>
      <c r="FL186" s="10" cm="1">
        <f t="array" aca="1" ref="FL186" ca="1">IF(ISNA(O186),0,OFFSET(INDIRECT("'"&amp;EU$67&amp;"'!h1"),O186-1,))</f>
        <v>1</v>
      </c>
      <c r="FM186" s="10" cm="1">
        <f t="array" aca="1" ref="FM186" ca="1">IF(ISNA(P186),0,OFFSET(INDIRECT("'"&amp;EV$67&amp;"'!h1"),P186-1,))</f>
        <v>9</v>
      </c>
      <c r="FN186" s="10"/>
      <c r="FO186" s="10"/>
      <c r="FP186" s="10"/>
      <c r="FQ186" s="10"/>
      <c r="FS186">
        <f t="shared" ca="1" si="347"/>
        <v>126</v>
      </c>
      <c r="FT186">
        <f t="shared" ca="1" si="62"/>
        <v>5.7125003412365896</v>
      </c>
      <c r="FU186">
        <f t="shared" ca="1" si="63"/>
        <v>541</v>
      </c>
      <c r="FV186">
        <f t="shared" ca="1" si="64"/>
        <v>10000</v>
      </c>
      <c r="FW186" s="4">
        <f t="shared" ca="1" si="348"/>
        <v>5.4100000000000002E-2</v>
      </c>
      <c r="FX186" s="5">
        <f t="shared" ca="1" si="349"/>
        <v>1.0559150353487227E-2</v>
      </c>
      <c r="FZ186" s="13">
        <f t="shared" ca="1" si="350"/>
        <v>126</v>
      </c>
      <c r="GA186" s="23" t="e">
        <f t="shared" ca="1" si="351"/>
        <v>#N/A</v>
      </c>
      <c r="GB186" s="23" t="e">
        <f t="shared" ca="1" si="352"/>
        <v>#N/A</v>
      </c>
      <c r="GC186" s="23" t="e">
        <f t="shared" ca="1" si="353"/>
        <v>#N/A</v>
      </c>
      <c r="GD186" s="23" t="e">
        <f t="shared" ca="1" si="354"/>
        <v>#N/A</v>
      </c>
      <c r="GE186" s="23">
        <f t="shared" ca="1" si="355"/>
        <v>0</v>
      </c>
      <c r="GF186" s="23">
        <f t="shared" ca="1" si="356"/>
        <v>0</v>
      </c>
      <c r="GG186" s="23">
        <f t="shared" ca="1" si="357"/>
        <v>0</v>
      </c>
      <c r="GH186" s="23">
        <f t="shared" ca="1" si="358"/>
        <v>0</v>
      </c>
      <c r="GI186" s="23">
        <f t="shared" ca="1" si="359"/>
        <v>0</v>
      </c>
      <c r="GJ186" s="23" t="e">
        <f t="shared" ca="1" si="360"/>
        <v>#N/A</v>
      </c>
      <c r="GK186" s="23" t="e">
        <f t="shared" ca="1" si="361"/>
        <v>#N/A</v>
      </c>
      <c r="GL186" s="23" t="e">
        <f t="shared" ca="1" si="362"/>
        <v>#N/A</v>
      </c>
      <c r="GM186" s="23"/>
      <c r="GN186">
        <f t="shared" ca="1" si="363"/>
        <v>126</v>
      </c>
      <c r="GO186" s="5" t="e">
        <f t="shared" ca="1" si="364"/>
        <v>#N/A</v>
      </c>
      <c r="GP186" s="5" t="e">
        <f t="shared" ca="1" si="365"/>
        <v>#N/A</v>
      </c>
      <c r="GQ186" s="5" t="e">
        <f t="shared" ca="1" si="366"/>
        <v>#N/A</v>
      </c>
      <c r="GR186" s="5" t="e">
        <f t="shared" ca="1" si="367"/>
        <v>#N/A</v>
      </c>
      <c r="GS186" s="5">
        <f t="shared" ca="1" si="368"/>
        <v>985.74302745800298</v>
      </c>
      <c r="GT186" s="5">
        <f t="shared" ca="1" si="369"/>
        <v>0.45759292971342802</v>
      </c>
      <c r="GU186" s="5">
        <f t="shared" ca="1" si="370"/>
        <v>1.0559150353487227E-2</v>
      </c>
      <c r="GV186" s="5">
        <f t="shared" ca="1" si="371"/>
        <v>1.1783255064142274E-3</v>
      </c>
      <c r="GW186" s="5">
        <f t="shared" ca="1" si="372"/>
        <v>0.69254899460115527</v>
      </c>
      <c r="GX186" s="5" t="e">
        <f t="shared" ca="1" si="373"/>
        <v>#N/A</v>
      </c>
      <c r="GY186" s="5" t="e">
        <f t="shared" ca="1" si="374"/>
        <v>#N/A</v>
      </c>
      <c r="GZ186" s="5" t="e">
        <f t="shared" ca="1" si="375"/>
        <v>#N/A</v>
      </c>
      <c r="HB186" s="13">
        <f t="shared" ca="1" si="376"/>
        <v>126</v>
      </c>
      <c r="HC186" s="4">
        <f t="shared" ca="1" si="377"/>
        <v>0</v>
      </c>
      <c r="HD186" s="4">
        <f t="shared" ca="1" si="378"/>
        <v>0</v>
      </c>
      <c r="HE186" s="4">
        <f t="shared" ca="1" si="379"/>
        <v>0</v>
      </c>
      <c r="HF186" s="4">
        <f t="shared" ca="1" si="380"/>
        <v>0</v>
      </c>
      <c r="HG186" s="4">
        <f t="shared" ca="1" si="381"/>
        <v>1</v>
      </c>
      <c r="HH186" s="4">
        <f t="shared" ca="1" si="382"/>
        <v>1</v>
      </c>
      <c r="HI186" s="4">
        <f t="shared" ca="1" si="383"/>
        <v>5.4100000000000002E-2</v>
      </c>
      <c r="HJ186" s="4">
        <f t="shared" ca="1" si="384"/>
        <v>0.48609999999999998</v>
      </c>
      <c r="HK186" s="4">
        <f t="shared" ca="1" si="385"/>
        <v>1.7399999999999999E-2</v>
      </c>
      <c r="HL186" s="4">
        <f t="shared" ca="1" si="386"/>
        <v>0</v>
      </c>
      <c r="HM186" s="4">
        <f t="shared" ca="1" si="387"/>
        <v>0</v>
      </c>
      <c r="HN186" s="4">
        <f t="shared" ca="1" si="388"/>
        <v>0</v>
      </c>
    </row>
    <row r="187" spans="1:222" x14ac:dyDescent="0.2">
      <c r="A187" t="str" cm="1">
        <f t="array" aca="1" ref="A187" ca="1">INDIRECT($A$67&amp;"!A"&amp;ROW(C120)+$B$64)</f>
        <v>[[127,30,37]]</v>
      </c>
      <c r="B187" cm="1">
        <f t="array" aca="1" ref="B187" ca="1">INDIRECT($A$67&amp;"!b"&amp;ROW(D120)+$B$64)</f>
        <v>127</v>
      </c>
      <c r="C187">
        <f t="shared" ca="1" si="287"/>
        <v>37</v>
      </c>
      <c r="E187" t="e">
        <f t="shared" ca="1" si="288"/>
        <v>#N/A</v>
      </c>
      <c r="F187" t="e">
        <f t="shared" ca="1" si="288"/>
        <v>#N/A</v>
      </c>
      <c r="G187" t="e">
        <f t="shared" ca="1" si="288"/>
        <v>#N/A</v>
      </c>
      <c r="H187" t="e">
        <f t="shared" ca="1" si="286"/>
        <v>#N/A</v>
      </c>
      <c r="I187">
        <f t="shared" ca="1" si="286"/>
        <v>147</v>
      </c>
      <c r="J187">
        <f t="shared" ca="1" si="286"/>
        <v>144</v>
      </c>
      <c r="K187">
        <f t="shared" ca="1" si="286"/>
        <v>151</v>
      </c>
      <c r="L187">
        <f t="shared" ca="1" si="286"/>
        <v>153</v>
      </c>
      <c r="M187">
        <f t="shared" ca="1" si="286"/>
        <v>150</v>
      </c>
      <c r="N187">
        <f t="shared" ca="1" si="286"/>
        <v>148</v>
      </c>
      <c r="O187">
        <f t="shared" ca="1" si="286"/>
        <v>148</v>
      </c>
      <c r="P187">
        <f t="shared" ca="1" si="286"/>
        <v>148</v>
      </c>
      <c r="V187" cm="1">
        <f t="array" aca="1" ref="V187" ca="1">IF(ISNA(E187),,OFFSET(INDIRECT("'"&amp;V$67&amp;"'!d1"),E187-1,))</f>
        <v>0</v>
      </c>
      <c r="W187" cm="1">
        <f t="array" aca="1" ref="W187" ca="1">IF(ISNA(F187),,OFFSET(INDIRECT("'"&amp;W$67&amp;"'!d1"),F187-1,))</f>
        <v>0</v>
      </c>
      <c r="X187" cm="1">
        <f t="array" aca="1" ref="X187" ca="1">IF(ISNA(G187),,OFFSET(INDIRECT("'"&amp;X$67&amp;"'!d1"),G187-1,))</f>
        <v>0</v>
      </c>
      <c r="Y187" cm="1">
        <f t="array" aca="1" ref="Y187" ca="1">IF(ISNA(H187),,OFFSET(INDIRECT("'"&amp;Y$67&amp;"'!d1"),H187-1,))</f>
        <v>0</v>
      </c>
      <c r="Z187" cm="1">
        <f t="array" aca="1" ref="Z187" ca="1">IF(ISNA(I187),,OFFSET(INDIRECT("'"&amp;Z$67&amp;"'!d1"),I187-1,))</f>
        <v>37</v>
      </c>
      <c r="AA187" cm="1">
        <f t="array" aca="1" ref="AA187" ca="1">IF(ISNA(J187),,OFFSET(INDIRECT("'"&amp;AA$67&amp;"'!d1"),J187-1,))</f>
        <v>37</v>
      </c>
      <c r="AB187" cm="1">
        <f t="array" aca="1" ref="AB187" ca="1">IF(ISNA(K187),,OFFSET(INDIRECT("'"&amp;AB$67&amp;"'!d1"),K187-1,))</f>
        <v>37</v>
      </c>
      <c r="AC187" cm="1">
        <f t="array" aca="1" ref="AC187" ca="1">IF(ISNA(L187),,OFFSET(INDIRECT("'"&amp;AC$67&amp;"'!d1"),L187-1,))</f>
        <v>37</v>
      </c>
      <c r="AD187" cm="1">
        <f t="array" aca="1" ref="AD187" ca="1">IF(ISNA(M187),,OFFSET(INDIRECT("'"&amp;AD$67&amp;"'!d1"),M187-1,))</f>
        <v>37</v>
      </c>
      <c r="AE187" cm="1">
        <f t="array" aca="1" ref="AE187" ca="1">IF(ISNA(N187),,OFFSET(INDIRECT("'"&amp;AE$67&amp;"'!d1"),N187-1,))</f>
        <v>0</v>
      </c>
      <c r="AF187" cm="1">
        <f t="array" aca="1" ref="AF187" ca="1">IF(ISNA(O187),,OFFSET(INDIRECT("'"&amp;AF$67&amp;"'!d1"),O187-1,))</f>
        <v>0</v>
      </c>
      <c r="AG187" cm="1">
        <f t="array" aca="1" ref="AG187" ca="1">IF(ISNA(P187),,OFFSET(INDIRECT("'"&amp;AG$67&amp;"'!d1"),P187-1,))</f>
        <v>0</v>
      </c>
      <c r="AM187">
        <f t="shared" ca="1" si="289"/>
        <v>0</v>
      </c>
      <c r="AN187">
        <f t="shared" ca="1" si="290"/>
        <v>0</v>
      </c>
      <c r="AO187">
        <f t="shared" ca="1" si="291"/>
        <v>0</v>
      </c>
      <c r="AP187">
        <f t="shared" ca="1" si="292"/>
        <v>0</v>
      </c>
      <c r="AQ187">
        <f t="shared" ca="1" si="293"/>
        <v>1</v>
      </c>
      <c r="AV187" t="str">
        <f t="shared" ca="1" si="294"/>
        <v/>
      </c>
      <c r="AW187" t="str">
        <f t="shared" ca="1" si="295"/>
        <v/>
      </c>
      <c r="AX187" t="str">
        <f t="shared" ca="1" si="296"/>
        <v/>
      </c>
      <c r="AY187" t="str">
        <f t="shared" ca="1" si="297"/>
        <v/>
      </c>
      <c r="AZ187" t="b">
        <f t="shared" ca="1" si="298"/>
        <v>1</v>
      </c>
      <c r="BD187">
        <f t="shared" ca="1" si="299"/>
        <v>0</v>
      </c>
      <c r="BE187">
        <f t="shared" ca="1" si="300"/>
        <v>0</v>
      </c>
      <c r="BF187">
        <f t="shared" ca="1" si="301"/>
        <v>0</v>
      </c>
      <c r="BG187">
        <f t="shared" ca="1" si="302"/>
        <v>0</v>
      </c>
      <c r="BH187">
        <f t="shared" ca="1" si="303"/>
        <v>1</v>
      </c>
      <c r="BI187">
        <f t="shared" ca="1" si="304"/>
        <v>1</v>
      </c>
      <c r="BJ187">
        <f t="shared" ca="1" si="305"/>
        <v>1</v>
      </c>
      <c r="BK187">
        <f t="shared" ca="1" si="306"/>
        <v>1</v>
      </c>
      <c r="BL187">
        <f t="shared" ca="1" si="307"/>
        <v>1</v>
      </c>
      <c r="BM187">
        <f t="shared" ca="1" si="308"/>
        <v>0</v>
      </c>
      <c r="BN187">
        <f t="shared" ca="1" si="309"/>
        <v>0</v>
      </c>
      <c r="BO187">
        <f t="shared" ca="1" si="310"/>
        <v>0</v>
      </c>
      <c r="BU187">
        <f t="shared" ca="1" si="311"/>
        <v>127</v>
      </c>
      <c r="BV187">
        <f t="shared" ca="1" si="312"/>
        <v>127</v>
      </c>
      <c r="BW187">
        <f t="shared" ca="1" si="313"/>
        <v>127</v>
      </c>
      <c r="BX187">
        <f t="shared" ca="1" si="314"/>
        <v>127</v>
      </c>
      <c r="BY187">
        <f t="shared" ca="1" si="315"/>
        <v>37</v>
      </c>
      <c r="BZ187">
        <f t="shared" ca="1" si="316"/>
        <v>37</v>
      </c>
      <c r="CA187">
        <f t="shared" ca="1" si="317"/>
        <v>37</v>
      </c>
      <c r="CB187">
        <f t="shared" ca="1" si="318"/>
        <v>37</v>
      </c>
      <c r="CC187">
        <f t="shared" ca="1" si="319"/>
        <v>37</v>
      </c>
      <c r="CD187">
        <f t="shared" ca="1" si="320"/>
        <v>127</v>
      </c>
      <c r="CE187">
        <f t="shared" ca="1" si="321"/>
        <v>127</v>
      </c>
      <c r="CF187">
        <f t="shared" ca="1" si="322"/>
        <v>127</v>
      </c>
      <c r="CL187">
        <f t="shared" ca="1" si="323"/>
        <v>0</v>
      </c>
      <c r="CM187">
        <f t="shared" ca="1" si="324"/>
        <v>0</v>
      </c>
      <c r="CN187">
        <f t="shared" ca="1" si="325"/>
        <v>0</v>
      </c>
      <c r="CO187">
        <f t="shared" ca="1" si="326"/>
        <v>0</v>
      </c>
      <c r="CP187">
        <f t="shared" ca="1" si="327"/>
        <v>1</v>
      </c>
      <c r="CQ187">
        <f t="shared" ca="1" si="328"/>
        <v>1</v>
      </c>
      <c r="CR187">
        <f t="shared" ca="1" si="329"/>
        <v>1</v>
      </c>
      <c r="CS187">
        <f t="shared" ca="1" si="330"/>
        <v>1</v>
      </c>
      <c r="CT187">
        <f t="shared" ca="1" si="331"/>
        <v>1</v>
      </c>
      <c r="CU187">
        <f t="shared" ca="1" si="332"/>
        <v>0</v>
      </c>
      <c r="CV187">
        <f t="shared" ca="1" si="333"/>
        <v>0</v>
      </c>
      <c r="CW187">
        <f t="shared" ca="1" si="334"/>
        <v>0</v>
      </c>
      <c r="DC187" cm="1">
        <f t="array" aca="1" ref="DC187" ca="1">IF(ISNA(E187),,OFFSET(INDIRECT("'"&amp;DT$67&amp;"'!f1"),E187-1,))*1</f>
        <v>0</v>
      </c>
      <c r="DD187" cm="1">
        <f t="array" aca="1" ref="DD187" ca="1">IF(ISNA(F187),,OFFSET(INDIRECT("'"&amp;DU$67&amp;"'!f1"),F187-1,))*1</f>
        <v>0</v>
      </c>
      <c r="DE187" cm="1">
        <f t="array" aca="1" ref="DE187" ca="1">IF(ISNA(G187),,OFFSET(INDIRECT("'"&amp;DV$67&amp;"'!f1"),G187-1,))*1</f>
        <v>0</v>
      </c>
      <c r="DF187" cm="1">
        <f t="array" aca="1" ref="DF187" ca="1">IF(ISNA(H187),,OFFSET(INDIRECT("'"&amp;DW$67&amp;"'!f1"),H187-1,))*1</f>
        <v>0</v>
      </c>
      <c r="DG187" cm="1">
        <f t="array" aca="1" ref="DG187" ca="1">IF(ISNA(I187),,OFFSET(INDIRECT("'"&amp;DX$67&amp;"'!f1"),I187-1,))*1</f>
        <v>0.37821241699566599</v>
      </c>
      <c r="DH187" cm="1">
        <f t="array" aca="1" ref="DH187" ca="1">IF(ISNA(J187),,OFFSET(INDIRECT("'"&amp;DY$67&amp;"'!f1"),J187-1,))*1</f>
        <v>0.54962536785751503</v>
      </c>
      <c r="DI187" cm="1">
        <f t="array" aca="1" ref="DI187" ca="1">IF(ISNA(K187),,OFFSET(INDIRECT("'"&amp;DZ$67&amp;"'!f1"),K187-1,))*1</f>
        <v>6.6595298526808602</v>
      </c>
      <c r="DJ187" cm="1">
        <f t="array" aca="1" ref="DJ187" ca="1">IF(ISNA(L187),,OFFSET(INDIRECT("'"&amp;EA$67&amp;"'!f1"),L187-1,))*1</f>
        <v>6.5308073442429304</v>
      </c>
      <c r="DK187" cm="1">
        <f t="array" aca="1" ref="DK187" ca="1">IF(ISNA(M187),,OFFSET(INDIRECT("'"&amp;EB$67&amp;"'!f1"),M187-1,))*1</f>
        <v>98.959117750171501</v>
      </c>
      <c r="DL187" cm="1">
        <f t="array" aca="1" ref="DL187" ca="1">IF(ISNA(N187),,OFFSET(INDIRECT("'"&amp;EC$67&amp;"'!f1"),N187-1,))*1</f>
        <v>1.91844785585999E-2</v>
      </c>
      <c r="DM187" cm="1">
        <f t="array" aca="1" ref="DM187" ca="1">IF(ISNA(O187),,OFFSET(INDIRECT("'"&amp;ED$67&amp;"'!f1"),O187-1,))*1</f>
        <v>1.9434726797044201E-2</v>
      </c>
      <c r="DN187" cm="1">
        <f t="array" aca="1" ref="DN187" ca="1">IF(ISNA(P187),,OFFSET(INDIRECT("'"&amp;EE$67&amp;"'!f1"),P187-1,))*1</f>
        <v>3.2541208900511202E-2</v>
      </c>
      <c r="DT187">
        <f t="shared" ca="1" si="335"/>
        <v>0</v>
      </c>
      <c r="DU187">
        <f t="shared" ca="1" si="336"/>
        <v>0</v>
      </c>
      <c r="DV187">
        <f t="shared" ca="1" si="337"/>
        <v>0</v>
      </c>
      <c r="DW187">
        <f t="shared" ca="1" si="338"/>
        <v>0</v>
      </c>
      <c r="DX187">
        <f t="shared" ca="1" si="339"/>
        <v>1</v>
      </c>
      <c r="DY187">
        <f t="shared" ca="1" si="340"/>
        <v>1</v>
      </c>
      <c r="DZ187">
        <f t="shared" ca="1" si="341"/>
        <v>133</v>
      </c>
      <c r="EA187">
        <f t="shared" ca="1" si="342"/>
        <v>3940</v>
      </c>
      <c r="EB187">
        <f t="shared" ca="1" si="343"/>
        <v>110</v>
      </c>
      <c r="EC187">
        <f t="shared" ca="1" si="344"/>
        <v>0</v>
      </c>
      <c r="ED187">
        <f t="shared" ca="1" si="345"/>
        <v>0</v>
      </c>
      <c r="EE187">
        <f t="shared" ca="1" si="346"/>
        <v>0</v>
      </c>
      <c r="EK187" cm="1">
        <f t="array" aca="1" ref="EK187" ca="1">IF(ISNA(E187),0,OFFSET(INDIRECT("'"&amp;EK$67&amp;"'!g1"),E187-1,)*CL187)</f>
        <v>0</v>
      </c>
      <c r="EL187" cm="1">
        <f t="array" aca="1" ref="EL187" ca="1">IF(ISNA(F187),0,OFFSET(INDIRECT("'"&amp;EL$67&amp;"'!g1"),F187-1,)*CM187)</f>
        <v>0</v>
      </c>
      <c r="EM187" cm="1">
        <f t="array" aca="1" ref="EM187" ca="1">IF(ISNA(G187),0,OFFSET(INDIRECT("'"&amp;EM$67&amp;"'!g1"),G187-1,)*CN187)</f>
        <v>0</v>
      </c>
      <c r="EN187" cm="1">
        <f t="array" aca="1" ref="EN187" ca="1">IF(ISNA(H187),0,OFFSET(INDIRECT("'"&amp;EN$67&amp;"'!g1"),H187-1,)*CO187)</f>
        <v>0</v>
      </c>
      <c r="EO187" cm="1">
        <f t="array" aca="1" ref="EO187" ca="1">IF(ISNA(I187),0,OFFSET(INDIRECT("'"&amp;EO$67&amp;"'!g1"),I187-1,)*CP187)</f>
        <v>1</v>
      </c>
      <c r="EP187" cm="1">
        <f t="array" aca="1" ref="EP187" ca="1">IF(ISNA(J187),0,OFFSET(INDIRECT("'"&amp;EP$67&amp;"'!g1"),J187-1,)*CQ187)</f>
        <v>1</v>
      </c>
      <c r="EQ187" cm="1">
        <f t="array" aca="1" ref="EQ187" ca="1">IF(ISNA(K187),0,OFFSET(INDIRECT("'"&amp;EQ$67&amp;"'!g1"),K187-1,)*CR187)</f>
        <v>133</v>
      </c>
      <c r="ER187" cm="1">
        <f t="array" aca="1" ref="ER187" ca="1">IF(ISNA(L187),0,OFFSET(INDIRECT("'"&amp;ER$67&amp;"'!g1"),L187-1,)*CS187)</f>
        <v>3940</v>
      </c>
      <c r="ES187" cm="1">
        <f t="array" aca="1" ref="ES187" ca="1">IF(ISNA(M187),0,OFFSET(INDIRECT("'"&amp;ES$67&amp;"'!g1"),M187-1,)*CT187)</f>
        <v>110</v>
      </c>
      <c r="ET187" cm="1">
        <f t="array" aca="1" ref="ET187" ca="1">IF(ISNA(N187),0,OFFSET(INDIRECT("'"&amp;ET$67&amp;"'!g1"),N187-1,)*CU187)</f>
        <v>0</v>
      </c>
      <c r="EU187" cm="1">
        <f t="array" aca="1" ref="EU187" ca="1">IF(ISNA(O187),0,OFFSET(INDIRECT("'"&amp;EU$67&amp;"'!g1"),O187-1,)*CV187)</f>
        <v>0</v>
      </c>
      <c r="EV187" cm="1">
        <f t="array" aca="1" ref="EV187" ca="1">IF(ISNA(P187),0,OFFSET(INDIRECT("'"&amp;EV$67&amp;"'!g1"),P187-1,)*CW187)</f>
        <v>0</v>
      </c>
      <c r="FB187" s="10" cm="1">
        <f t="array" aca="1" ref="FB187" ca="1">IF(ISNA(E187),0,OFFSET(INDIRECT("'"&amp;EK$67&amp;"'!h1"),E187-1,))</f>
        <v>0</v>
      </c>
      <c r="FC187" s="10" cm="1">
        <f t="array" aca="1" ref="FC187" ca="1">IF(ISNA(F187),0,OFFSET(INDIRECT("'"&amp;EL$67&amp;"'!h1"),F187-1,))</f>
        <v>0</v>
      </c>
      <c r="FD187" s="10" cm="1">
        <f t="array" aca="1" ref="FD187" ca="1">IF(ISNA(G187),0,OFFSET(INDIRECT("'"&amp;EM$67&amp;"'!h1"),G187-1,))</f>
        <v>0</v>
      </c>
      <c r="FE187" s="10" cm="1">
        <f t="array" aca="1" ref="FE187" ca="1">IF(ISNA(H187),0,OFFSET(INDIRECT("'"&amp;EN$67&amp;"'!h1"),H187-1,))</f>
        <v>0</v>
      </c>
      <c r="FF187" s="10" cm="1">
        <f t="array" aca="1" ref="FF187" ca="1">IF(ISNA(I187),0,OFFSET(INDIRECT("'"&amp;EO$67&amp;"'!h1"),I187-1,))</f>
        <v>1</v>
      </c>
      <c r="FG187" s="10" cm="1">
        <f t="array" aca="1" ref="FG187" ca="1">IF(ISNA(J187),0,OFFSET(INDIRECT("'"&amp;EP$67&amp;"'!h1"),J187-1,))</f>
        <v>1</v>
      </c>
      <c r="FH187" s="10" cm="1">
        <f t="array" aca="1" ref="FH187" ca="1">IF(ISNA(K187),0,OFFSET(INDIRECT("'"&amp;EQ$67&amp;"'!h1"),K187-1,))</f>
        <v>10000</v>
      </c>
      <c r="FI187" s="10" cm="1">
        <f t="array" aca="1" ref="FI187" ca="1">IF(ISNA(L187),0,OFFSET(INDIRECT("'"&amp;ER$67&amp;"'!h1"),L187-1,))</f>
        <v>10000</v>
      </c>
      <c r="FJ187" s="10" cm="1">
        <f t="array" aca="1" ref="FJ187" ca="1">IF(ISNA(M187),0,OFFSET(INDIRECT("'"&amp;ES$67&amp;"'!h1"),M187-1,))</f>
        <v>10000</v>
      </c>
      <c r="FK187" s="10" cm="1">
        <f t="array" aca="1" ref="FK187" ca="1">IF(ISNA(N187),0,OFFSET(INDIRECT("'"&amp;ET$67&amp;"'!h1"),N187-1,))</f>
        <v>1</v>
      </c>
      <c r="FL187" s="10" cm="1">
        <f t="array" aca="1" ref="FL187" ca="1">IF(ISNA(O187),0,OFFSET(INDIRECT("'"&amp;EU$67&amp;"'!h1"),O187-1,))</f>
        <v>1</v>
      </c>
      <c r="FM187" s="10" cm="1">
        <f t="array" aca="1" ref="FM187" ca="1">IF(ISNA(P187),0,OFFSET(INDIRECT("'"&amp;EV$67&amp;"'!h1"),P187-1,))</f>
        <v>9</v>
      </c>
      <c r="FN187" s="10"/>
      <c r="FO187" s="10"/>
      <c r="FP187" s="10"/>
      <c r="FQ187" s="10"/>
      <c r="FS187">
        <f t="shared" ca="1" si="347"/>
        <v>127</v>
      </c>
      <c r="FT187">
        <f t="shared" ca="1" si="62"/>
        <v>6.6595298526808602</v>
      </c>
      <c r="FU187">
        <f t="shared" ca="1" si="63"/>
        <v>133</v>
      </c>
      <c r="FV187">
        <f t="shared" ca="1" si="64"/>
        <v>10000</v>
      </c>
      <c r="FW187" s="4">
        <f t="shared" ca="1" si="348"/>
        <v>1.3299999999999999E-2</v>
      </c>
      <c r="FX187" s="5">
        <f t="shared" ca="1" si="349"/>
        <v>5.007165302767564E-2</v>
      </c>
      <c r="FZ187" s="13">
        <f t="shared" ca="1" si="350"/>
        <v>127</v>
      </c>
      <c r="GA187" s="23" t="e">
        <f t="shared" ca="1" si="351"/>
        <v>#N/A</v>
      </c>
      <c r="GB187" s="23" t="e">
        <f t="shared" ca="1" si="352"/>
        <v>#N/A</v>
      </c>
      <c r="GC187" s="23" t="e">
        <f t="shared" ca="1" si="353"/>
        <v>#N/A</v>
      </c>
      <c r="GD187" s="23" t="e">
        <f t="shared" ca="1" si="354"/>
        <v>#N/A</v>
      </c>
      <c r="GE187" s="23">
        <f t="shared" ca="1" si="355"/>
        <v>0</v>
      </c>
      <c r="GF187" s="23">
        <f t="shared" ca="1" si="356"/>
        <v>0</v>
      </c>
      <c r="GG187" s="23">
        <f t="shared" ca="1" si="357"/>
        <v>0</v>
      </c>
      <c r="GH187" s="23">
        <f t="shared" ca="1" si="358"/>
        <v>0</v>
      </c>
      <c r="GI187" s="23">
        <f t="shared" ca="1" si="359"/>
        <v>0</v>
      </c>
      <c r="GJ187" s="23" t="e">
        <f t="shared" ca="1" si="360"/>
        <v>#N/A</v>
      </c>
      <c r="GK187" s="23" t="e">
        <f t="shared" ca="1" si="361"/>
        <v>#N/A</v>
      </c>
      <c r="GL187" s="23" t="e">
        <f t="shared" ca="1" si="362"/>
        <v>#N/A</v>
      </c>
      <c r="GM187" s="23"/>
      <c r="GN187">
        <f t="shared" ca="1" si="363"/>
        <v>127</v>
      </c>
      <c r="GO187" s="5" t="e">
        <f t="shared" ca="1" si="364"/>
        <v>#N/A</v>
      </c>
      <c r="GP187" s="5" t="e">
        <f t="shared" ca="1" si="365"/>
        <v>#N/A</v>
      </c>
      <c r="GQ187" s="5" t="e">
        <f t="shared" ca="1" si="366"/>
        <v>#N/A</v>
      </c>
      <c r="GR187" s="5" t="e">
        <f t="shared" ca="1" si="367"/>
        <v>#N/A</v>
      </c>
      <c r="GS187" s="5">
        <f t="shared" ca="1" si="368"/>
        <v>0.37821241699566599</v>
      </c>
      <c r="GT187" s="5">
        <f t="shared" ca="1" si="369"/>
        <v>0.54962536785751503</v>
      </c>
      <c r="GU187" s="5">
        <f t="shared" ca="1" si="370"/>
        <v>5.007165302767564E-2</v>
      </c>
      <c r="GV187" s="5">
        <f t="shared" ca="1" si="371"/>
        <v>1.6575653157976981E-3</v>
      </c>
      <c r="GW187" s="5">
        <f t="shared" ca="1" si="372"/>
        <v>0.89962834318337725</v>
      </c>
      <c r="GX187" s="5" t="e">
        <f t="shared" ca="1" si="373"/>
        <v>#N/A</v>
      </c>
      <c r="GY187" s="5" t="e">
        <f t="shared" ca="1" si="374"/>
        <v>#N/A</v>
      </c>
      <c r="GZ187" s="5" t="e">
        <f t="shared" ca="1" si="375"/>
        <v>#N/A</v>
      </c>
      <c r="HB187" s="13">
        <f t="shared" ca="1" si="376"/>
        <v>127</v>
      </c>
      <c r="HC187" s="4">
        <f t="shared" ca="1" si="377"/>
        <v>0</v>
      </c>
      <c r="HD187" s="4">
        <f t="shared" ca="1" si="378"/>
        <v>0</v>
      </c>
      <c r="HE187" s="4">
        <f t="shared" ca="1" si="379"/>
        <v>0</v>
      </c>
      <c r="HF187" s="4">
        <f t="shared" ca="1" si="380"/>
        <v>0</v>
      </c>
      <c r="HG187" s="4">
        <f t="shared" ca="1" si="381"/>
        <v>1</v>
      </c>
      <c r="HH187" s="4">
        <f t="shared" ca="1" si="382"/>
        <v>1</v>
      </c>
      <c r="HI187" s="4">
        <f t="shared" ca="1" si="383"/>
        <v>1.3299999999999999E-2</v>
      </c>
      <c r="HJ187" s="4">
        <f t="shared" ca="1" si="384"/>
        <v>0.39400000000000002</v>
      </c>
      <c r="HK187" s="4">
        <f t="shared" ca="1" si="385"/>
        <v>1.0999999999999999E-2</v>
      </c>
      <c r="HL187" s="4">
        <f t="shared" ca="1" si="386"/>
        <v>0</v>
      </c>
      <c r="HM187" s="4">
        <f t="shared" ca="1" si="387"/>
        <v>0</v>
      </c>
      <c r="HN187" s="4">
        <f t="shared" ca="1" si="388"/>
        <v>0</v>
      </c>
    </row>
    <row r="188" spans="1:222" x14ac:dyDescent="0.2">
      <c r="A188" t="str" cm="1">
        <f t="array" aca="1" ref="A188" ca="1">INDIRECT($A$67&amp;"!A"&amp;ROW(C121)+$B$64)</f>
        <v>[[128,44,29]]</v>
      </c>
      <c r="B188" cm="1">
        <f t="array" aca="1" ref="B188" ca="1">INDIRECT($A$67&amp;"!b"&amp;ROW(D121)+$B$64)</f>
        <v>128</v>
      </c>
      <c r="C188">
        <f t="shared" ca="1" si="287"/>
        <v>29</v>
      </c>
      <c r="E188" t="e">
        <f t="shared" ca="1" si="288"/>
        <v>#N/A</v>
      </c>
      <c r="F188" t="e">
        <f t="shared" ca="1" si="288"/>
        <v>#N/A</v>
      </c>
      <c r="G188" t="e">
        <f t="shared" ca="1" si="288"/>
        <v>#N/A</v>
      </c>
      <c r="H188" t="e">
        <f t="shared" ca="1" si="286"/>
        <v>#N/A</v>
      </c>
      <c r="I188">
        <f t="shared" ca="1" si="286"/>
        <v>148</v>
      </c>
      <c r="J188">
        <f t="shared" ca="1" si="286"/>
        <v>145</v>
      </c>
      <c r="K188">
        <f t="shared" ca="1" si="286"/>
        <v>152</v>
      </c>
      <c r="L188">
        <f t="shared" ca="1" si="286"/>
        <v>154</v>
      </c>
      <c r="M188">
        <f t="shared" ca="1" si="286"/>
        <v>151</v>
      </c>
      <c r="N188">
        <f t="shared" ca="1" si="286"/>
        <v>149</v>
      </c>
      <c r="O188">
        <f t="shared" ca="1" si="286"/>
        <v>149</v>
      </c>
      <c r="P188">
        <f t="shared" ca="1" si="286"/>
        <v>149</v>
      </c>
      <c r="V188" cm="1">
        <f t="array" aca="1" ref="V188" ca="1">IF(ISNA(E188),,OFFSET(INDIRECT("'"&amp;V$67&amp;"'!d1"),E188-1,))</f>
        <v>0</v>
      </c>
      <c r="W188" cm="1">
        <f t="array" aca="1" ref="W188" ca="1">IF(ISNA(F188),,OFFSET(INDIRECT("'"&amp;W$67&amp;"'!d1"),F188-1,))</f>
        <v>0</v>
      </c>
      <c r="X188" cm="1">
        <f t="array" aca="1" ref="X188" ca="1">IF(ISNA(G188),,OFFSET(INDIRECT("'"&amp;X$67&amp;"'!d1"),G188-1,))</f>
        <v>0</v>
      </c>
      <c r="Y188" cm="1">
        <f t="array" aca="1" ref="Y188" ca="1">IF(ISNA(H188),,OFFSET(INDIRECT("'"&amp;Y$67&amp;"'!d1"),H188-1,))</f>
        <v>0</v>
      </c>
      <c r="Z188" cm="1">
        <f t="array" aca="1" ref="Z188" ca="1">IF(ISNA(I188),,OFFSET(INDIRECT("'"&amp;Z$67&amp;"'!d1"),I188-1,))</f>
        <v>29</v>
      </c>
      <c r="AA188" cm="1">
        <f t="array" aca="1" ref="AA188" ca="1">IF(ISNA(J188),,OFFSET(INDIRECT("'"&amp;AA$67&amp;"'!d1"),J188-1,))</f>
        <v>29</v>
      </c>
      <c r="AB188" cm="1">
        <f t="array" aca="1" ref="AB188" ca="1">IF(ISNA(K188),,OFFSET(INDIRECT("'"&amp;AB$67&amp;"'!d1"),K188-1,))</f>
        <v>29</v>
      </c>
      <c r="AC188" cm="1">
        <f t="array" aca="1" ref="AC188" ca="1">IF(ISNA(L188),,OFFSET(INDIRECT("'"&amp;AC$67&amp;"'!d1"),L188-1,))</f>
        <v>29</v>
      </c>
      <c r="AD188" cm="1">
        <f t="array" aca="1" ref="AD188" ca="1">IF(ISNA(M188),,OFFSET(INDIRECT("'"&amp;AD$67&amp;"'!d1"),M188-1,))</f>
        <v>29</v>
      </c>
      <c r="AE188" cm="1">
        <f t="array" aca="1" ref="AE188" ca="1">IF(ISNA(N188),,OFFSET(INDIRECT("'"&amp;AE$67&amp;"'!d1"),N188-1,))</f>
        <v>0</v>
      </c>
      <c r="AF188" cm="1">
        <f t="array" aca="1" ref="AF188" ca="1">IF(ISNA(O188),,OFFSET(INDIRECT("'"&amp;AF$67&amp;"'!d1"),O188-1,))</f>
        <v>0</v>
      </c>
      <c r="AG188" cm="1">
        <f t="array" aca="1" ref="AG188" ca="1">IF(ISNA(P188),,OFFSET(INDIRECT("'"&amp;AG$67&amp;"'!d1"),P188-1,))</f>
        <v>0</v>
      </c>
      <c r="AM188">
        <f t="shared" ca="1" si="289"/>
        <v>0</v>
      </c>
      <c r="AN188">
        <f t="shared" ca="1" si="290"/>
        <v>0</v>
      </c>
      <c r="AO188">
        <f t="shared" ca="1" si="291"/>
        <v>0</v>
      </c>
      <c r="AP188">
        <f t="shared" ca="1" si="292"/>
        <v>0</v>
      </c>
      <c r="AQ188">
        <f t="shared" ca="1" si="293"/>
        <v>1</v>
      </c>
      <c r="AV188" t="str">
        <f t="shared" ca="1" si="294"/>
        <v/>
      </c>
      <c r="AW188" t="str">
        <f t="shared" ca="1" si="295"/>
        <v/>
      </c>
      <c r="AX188" t="str">
        <f t="shared" ca="1" si="296"/>
        <v/>
      </c>
      <c r="AY188" t="str">
        <f t="shared" ca="1" si="297"/>
        <v/>
      </c>
      <c r="AZ188" t="b">
        <f t="shared" ca="1" si="298"/>
        <v>1</v>
      </c>
      <c r="BD188">
        <f t="shared" ca="1" si="299"/>
        <v>0</v>
      </c>
      <c r="BE188">
        <f t="shared" ca="1" si="300"/>
        <v>0</v>
      </c>
      <c r="BF188">
        <f t="shared" ca="1" si="301"/>
        <v>0</v>
      </c>
      <c r="BG188">
        <f t="shared" ca="1" si="302"/>
        <v>0</v>
      </c>
      <c r="BH188">
        <f t="shared" ca="1" si="303"/>
        <v>1</v>
      </c>
      <c r="BI188">
        <f t="shared" ca="1" si="304"/>
        <v>1</v>
      </c>
      <c r="BJ188">
        <f t="shared" ca="1" si="305"/>
        <v>1</v>
      </c>
      <c r="BK188">
        <f t="shared" ca="1" si="306"/>
        <v>1</v>
      </c>
      <c r="BL188">
        <f t="shared" ca="1" si="307"/>
        <v>1</v>
      </c>
      <c r="BM188">
        <f t="shared" ca="1" si="308"/>
        <v>0</v>
      </c>
      <c r="BN188">
        <f t="shared" ca="1" si="309"/>
        <v>0</v>
      </c>
      <c r="BO188">
        <f t="shared" ca="1" si="310"/>
        <v>0</v>
      </c>
      <c r="BU188">
        <f t="shared" ca="1" si="311"/>
        <v>128</v>
      </c>
      <c r="BV188">
        <f t="shared" ca="1" si="312"/>
        <v>128</v>
      </c>
      <c r="BW188">
        <f t="shared" ca="1" si="313"/>
        <v>128</v>
      </c>
      <c r="BX188">
        <f t="shared" ca="1" si="314"/>
        <v>128</v>
      </c>
      <c r="BY188">
        <f t="shared" ca="1" si="315"/>
        <v>29</v>
      </c>
      <c r="BZ188">
        <f t="shared" ca="1" si="316"/>
        <v>29</v>
      </c>
      <c r="CA188">
        <f t="shared" ca="1" si="317"/>
        <v>29</v>
      </c>
      <c r="CB188">
        <f t="shared" ca="1" si="318"/>
        <v>29</v>
      </c>
      <c r="CC188">
        <f t="shared" ca="1" si="319"/>
        <v>29</v>
      </c>
      <c r="CD188">
        <f t="shared" ca="1" si="320"/>
        <v>128</v>
      </c>
      <c r="CE188">
        <f t="shared" ca="1" si="321"/>
        <v>128</v>
      </c>
      <c r="CF188">
        <f t="shared" ca="1" si="322"/>
        <v>128</v>
      </c>
      <c r="CL188">
        <f t="shared" ca="1" si="323"/>
        <v>0</v>
      </c>
      <c r="CM188">
        <f t="shared" ca="1" si="324"/>
        <v>0</v>
      </c>
      <c r="CN188">
        <f t="shared" ca="1" si="325"/>
        <v>0</v>
      </c>
      <c r="CO188">
        <f t="shared" ca="1" si="326"/>
        <v>0</v>
      </c>
      <c r="CP188">
        <f t="shared" ca="1" si="327"/>
        <v>1</v>
      </c>
      <c r="CQ188">
        <f t="shared" ca="1" si="328"/>
        <v>1</v>
      </c>
      <c r="CR188">
        <f t="shared" ca="1" si="329"/>
        <v>1</v>
      </c>
      <c r="CS188">
        <f t="shared" ca="1" si="330"/>
        <v>1</v>
      </c>
      <c r="CT188">
        <f t="shared" ca="1" si="331"/>
        <v>1</v>
      </c>
      <c r="CU188">
        <f t="shared" ca="1" si="332"/>
        <v>0</v>
      </c>
      <c r="CV188">
        <f t="shared" ca="1" si="333"/>
        <v>0</v>
      </c>
      <c r="CW188">
        <f t="shared" ca="1" si="334"/>
        <v>0</v>
      </c>
      <c r="DC188" cm="1">
        <f t="array" aca="1" ref="DC188" ca="1">IF(ISNA(E188),,OFFSET(INDIRECT("'"&amp;DT$67&amp;"'!f1"),E188-1,))*1</f>
        <v>0</v>
      </c>
      <c r="DD188" cm="1">
        <f t="array" aca="1" ref="DD188" ca="1">IF(ISNA(F188),,OFFSET(INDIRECT("'"&amp;DU$67&amp;"'!f1"),F188-1,))*1</f>
        <v>0</v>
      </c>
      <c r="DE188" cm="1">
        <f t="array" aca="1" ref="DE188" ca="1">IF(ISNA(G188),,OFFSET(INDIRECT("'"&amp;DV$67&amp;"'!f1"),G188-1,))*1</f>
        <v>0</v>
      </c>
      <c r="DF188" cm="1">
        <f t="array" aca="1" ref="DF188" ca="1">IF(ISNA(H188),,OFFSET(INDIRECT("'"&amp;DW$67&amp;"'!f1"),H188-1,))*1</f>
        <v>0</v>
      </c>
      <c r="DG188" cm="1">
        <f t="array" aca="1" ref="DG188" ca="1">IF(ISNA(I188),,OFFSET(INDIRECT("'"&amp;DX$67&amp;"'!f1"),I188-1,))*1</f>
        <v>28.490223667002201</v>
      </c>
      <c r="DH188" cm="1">
        <f t="array" aca="1" ref="DH188" ca="1">IF(ISNA(J188),,OFFSET(INDIRECT("'"&amp;DY$67&amp;"'!f1"),J188-1,))*1</f>
        <v>0.49907370144501301</v>
      </c>
      <c r="DI188" cm="1">
        <f t="array" aca="1" ref="DI188" ca="1">IF(ISNA(K188),,OFFSET(INDIRECT("'"&amp;DZ$67&amp;"'!f1"),K188-1,))*1</f>
        <v>5.7815597699955097</v>
      </c>
      <c r="DJ188" cm="1">
        <f t="array" aca="1" ref="DJ188" ca="1">IF(ISNA(L188),,OFFSET(INDIRECT("'"&amp;EA$67&amp;"'!f1"),L188-1,))*1</f>
        <v>5.7494479892775399</v>
      </c>
      <c r="DK188" cm="1">
        <f t="array" aca="1" ref="DK188" ca="1">IF(ISNA(M188),,OFFSET(INDIRECT("'"&amp;EB$67&amp;"'!f1"),M188-1,))*1</f>
        <v>130.52258868608601</v>
      </c>
      <c r="DL188" cm="1">
        <f t="array" aca="1" ref="DL188" ca="1">IF(ISNA(N188),,OFFSET(INDIRECT("'"&amp;EC$67&amp;"'!f1"),N188-1,))*1</f>
        <v>2.1363425999879799E-2</v>
      </c>
      <c r="DM188" cm="1">
        <f t="array" aca="1" ref="DM188" ca="1">IF(ISNA(O188),,OFFSET(INDIRECT("'"&amp;ED$67&amp;"'!f1"),O188-1,))*1</f>
        <v>2.22252309322357E-2</v>
      </c>
      <c r="DN188" cm="1">
        <f t="array" aca="1" ref="DN188" ca="1">IF(ISNA(P188),,OFFSET(INDIRECT("'"&amp;EE$67&amp;"'!f1"),P188-1,))*1</f>
        <v>3.8334789685904903E-2</v>
      </c>
      <c r="DT188">
        <f t="shared" ca="1" si="335"/>
        <v>0</v>
      </c>
      <c r="DU188">
        <f t="shared" ca="1" si="336"/>
        <v>0</v>
      </c>
      <c r="DV188">
        <f t="shared" ca="1" si="337"/>
        <v>0</v>
      </c>
      <c r="DW188">
        <f t="shared" ca="1" si="338"/>
        <v>0</v>
      </c>
      <c r="DX188">
        <f t="shared" ca="1" si="339"/>
        <v>1</v>
      </c>
      <c r="DY188">
        <f t="shared" ca="1" si="340"/>
        <v>1</v>
      </c>
      <c r="DZ188">
        <f t="shared" ca="1" si="341"/>
        <v>513</v>
      </c>
      <c r="EA188">
        <f t="shared" ca="1" si="342"/>
        <v>4389</v>
      </c>
      <c r="EB188">
        <f t="shared" ca="1" si="343"/>
        <v>375</v>
      </c>
      <c r="EC188">
        <f t="shared" ca="1" si="344"/>
        <v>0</v>
      </c>
      <c r="ED188">
        <f t="shared" ca="1" si="345"/>
        <v>0</v>
      </c>
      <c r="EE188">
        <f t="shared" ca="1" si="346"/>
        <v>0</v>
      </c>
      <c r="EK188" cm="1">
        <f t="array" aca="1" ref="EK188" ca="1">IF(ISNA(E188),0,OFFSET(INDIRECT("'"&amp;EK$67&amp;"'!g1"),E188-1,)*CL188)</f>
        <v>0</v>
      </c>
      <c r="EL188" cm="1">
        <f t="array" aca="1" ref="EL188" ca="1">IF(ISNA(F188),0,OFFSET(INDIRECT("'"&amp;EL$67&amp;"'!g1"),F188-1,)*CM188)</f>
        <v>0</v>
      </c>
      <c r="EM188" cm="1">
        <f t="array" aca="1" ref="EM188" ca="1">IF(ISNA(G188),0,OFFSET(INDIRECT("'"&amp;EM$67&amp;"'!g1"),G188-1,)*CN188)</f>
        <v>0</v>
      </c>
      <c r="EN188" cm="1">
        <f t="array" aca="1" ref="EN188" ca="1">IF(ISNA(H188),0,OFFSET(INDIRECT("'"&amp;EN$67&amp;"'!g1"),H188-1,)*CO188)</f>
        <v>0</v>
      </c>
      <c r="EO188" cm="1">
        <f t="array" aca="1" ref="EO188" ca="1">IF(ISNA(I188),0,OFFSET(INDIRECT("'"&amp;EO$67&amp;"'!g1"),I188-1,)*CP188)</f>
        <v>1</v>
      </c>
      <c r="EP188" cm="1">
        <f t="array" aca="1" ref="EP188" ca="1">IF(ISNA(J188),0,OFFSET(INDIRECT("'"&amp;EP$67&amp;"'!g1"),J188-1,)*CQ188)</f>
        <v>1</v>
      </c>
      <c r="EQ188" cm="1">
        <f t="array" aca="1" ref="EQ188" ca="1">IF(ISNA(K188),0,OFFSET(INDIRECT("'"&amp;EQ$67&amp;"'!g1"),K188-1,)*CR188)</f>
        <v>513</v>
      </c>
      <c r="ER188" cm="1">
        <f t="array" aca="1" ref="ER188" ca="1">IF(ISNA(L188),0,OFFSET(INDIRECT("'"&amp;ER$67&amp;"'!g1"),L188-1,)*CS188)</f>
        <v>4389</v>
      </c>
      <c r="ES188" cm="1">
        <f t="array" aca="1" ref="ES188" ca="1">IF(ISNA(M188),0,OFFSET(INDIRECT("'"&amp;ES$67&amp;"'!g1"),M188-1,)*CT188)</f>
        <v>375</v>
      </c>
      <c r="ET188" cm="1">
        <f t="array" aca="1" ref="ET188" ca="1">IF(ISNA(N188),0,OFFSET(INDIRECT("'"&amp;ET$67&amp;"'!g1"),N188-1,)*CU188)</f>
        <v>0</v>
      </c>
      <c r="EU188" cm="1">
        <f t="array" aca="1" ref="EU188" ca="1">IF(ISNA(O188),0,OFFSET(INDIRECT("'"&amp;EU$67&amp;"'!g1"),O188-1,)*CV188)</f>
        <v>0</v>
      </c>
      <c r="EV188" cm="1">
        <f t="array" aca="1" ref="EV188" ca="1">IF(ISNA(P188),0,OFFSET(INDIRECT("'"&amp;EV$67&amp;"'!g1"),P188-1,)*CW188)</f>
        <v>0</v>
      </c>
      <c r="FB188" s="10" cm="1">
        <f t="array" aca="1" ref="FB188" ca="1">IF(ISNA(E188),0,OFFSET(INDIRECT("'"&amp;EK$67&amp;"'!h1"),E188-1,))</f>
        <v>0</v>
      </c>
      <c r="FC188" s="10" cm="1">
        <f t="array" aca="1" ref="FC188" ca="1">IF(ISNA(F188),0,OFFSET(INDIRECT("'"&amp;EL$67&amp;"'!h1"),F188-1,))</f>
        <v>0</v>
      </c>
      <c r="FD188" s="10" cm="1">
        <f t="array" aca="1" ref="FD188" ca="1">IF(ISNA(G188),0,OFFSET(INDIRECT("'"&amp;EM$67&amp;"'!h1"),G188-1,))</f>
        <v>0</v>
      </c>
      <c r="FE188" s="10" cm="1">
        <f t="array" aca="1" ref="FE188" ca="1">IF(ISNA(H188),0,OFFSET(INDIRECT("'"&amp;EN$67&amp;"'!h1"),H188-1,))</f>
        <v>0</v>
      </c>
      <c r="FF188" s="10" cm="1">
        <f t="array" aca="1" ref="FF188" ca="1">IF(ISNA(I188),0,OFFSET(INDIRECT("'"&amp;EO$67&amp;"'!h1"),I188-1,))</f>
        <v>1</v>
      </c>
      <c r="FG188" s="10" cm="1">
        <f t="array" aca="1" ref="FG188" ca="1">IF(ISNA(J188),0,OFFSET(INDIRECT("'"&amp;EP$67&amp;"'!h1"),J188-1,))</f>
        <v>1</v>
      </c>
      <c r="FH188" s="10" cm="1">
        <f t="array" aca="1" ref="FH188" ca="1">IF(ISNA(K188),0,OFFSET(INDIRECT("'"&amp;EQ$67&amp;"'!h1"),K188-1,))</f>
        <v>10000</v>
      </c>
      <c r="FI188" s="10" cm="1">
        <f t="array" aca="1" ref="FI188" ca="1">IF(ISNA(L188),0,OFFSET(INDIRECT("'"&amp;ER$67&amp;"'!h1"),L188-1,))</f>
        <v>10000</v>
      </c>
      <c r="FJ188" s="10" cm="1">
        <f t="array" aca="1" ref="FJ188" ca="1">IF(ISNA(M188),0,OFFSET(INDIRECT("'"&amp;ES$67&amp;"'!h1"),M188-1,))</f>
        <v>10000</v>
      </c>
      <c r="FK188" s="10" cm="1">
        <f t="array" aca="1" ref="FK188" ca="1">IF(ISNA(N188),0,OFFSET(INDIRECT("'"&amp;ET$67&amp;"'!h1"),N188-1,))</f>
        <v>1</v>
      </c>
      <c r="FL188" s="10" cm="1">
        <f t="array" aca="1" ref="FL188" ca="1">IF(ISNA(O188),0,OFFSET(INDIRECT("'"&amp;EU$67&amp;"'!h1"),O188-1,))</f>
        <v>1</v>
      </c>
      <c r="FM188" s="10" cm="1">
        <f t="array" aca="1" ref="FM188" ca="1">IF(ISNA(P188),0,OFFSET(INDIRECT("'"&amp;EV$67&amp;"'!h1"),P188-1,))</f>
        <v>9</v>
      </c>
      <c r="FN188" s="10"/>
      <c r="FO188" s="10"/>
      <c r="FP188" s="10"/>
      <c r="FQ188" s="10"/>
      <c r="FS188">
        <f t="shared" ca="1" si="347"/>
        <v>128</v>
      </c>
      <c r="FT188">
        <f t="shared" ca="1" si="62"/>
        <v>5.7815597699955097</v>
      </c>
      <c r="FU188">
        <f t="shared" ca="1" si="63"/>
        <v>513</v>
      </c>
      <c r="FV188">
        <f t="shared" ca="1" si="64"/>
        <v>10000</v>
      </c>
      <c r="FW188" s="4">
        <f t="shared" ca="1" si="348"/>
        <v>5.1299999999999998E-2</v>
      </c>
      <c r="FX188" s="5">
        <f t="shared" ca="1" si="349"/>
        <v>1.1270097017535107E-2</v>
      </c>
      <c r="FZ188" s="13">
        <f t="shared" ca="1" si="350"/>
        <v>128</v>
      </c>
      <c r="GA188" s="23" t="e">
        <f t="shared" ca="1" si="351"/>
        <v>#N/A</v>
      </c>
      <c r="GB188" s="23" t="e">
        <f t="shared" ca="1" si="352"/>
        <v>#N/A</v>
      </c>
      <c r="GC188" s="23" t="e">
        <f t="shared" ca="1" si="353"/>
        <v>#N/A</v>
      </c>
      <c r="GD188" s="23" t="e">
        <f t="shared" ca="1" si="354"/>
        <v>#N/A</v>
      </c>
      <c r="GE188" s="23">
        <f t="shared" ca="1" si="355"/>
        <v>0</v>
      </c>
      <c r="GF188" s="23">
        <f t="shared" ca="1" si="356"/>
        <v>0</v>
      </c>
      <c r="GG188" s="23">
        <f t="shared" ca="1" si="357"/>
        <v>0</v>
      </c>
      <c r="GH188" s="23">
        <f t="shared" ca="1" si="358"/>
        <v>0</v>
      </c>
      <c r="GI188" s="23">
        <f t="shared" ca="1" si="359"/>
        <v>0</v>
      </c>
      <c r="GJ188" s="23" t="e">
        <f t="shared" ca="1" si="360"/>
        <v>#N/A</v>
      </c>
      <c r="GK188" s="23" t="e">
        <f t="shared" ca="1" si="361"/>
        <v>#N/A</v>
      </c>
      <c r="GL188" s="23" t="e">
        <f t="shared" ca="1" si="362"/>
        <v>#N/A</v>
      </c>
      <c r="GM188" s="23"/>
      <c r="GN188">
        <f t="shared" ca="1" si="363"/>
        <v>128</v>
      </c>
      <c r="GO188" s="5" t="e">
        <f t="shared" ca="1" si="364"/>
        <v>#N/A</v>
      </c>
      <c r="GP188" s="5" t="e">
        <f t="shared" ca="1" si="365"/>
        <v>#N/A</v>
      </c>
      <c r="GQ188" s="5" t="e">
        <f t="shared" ca="1" si="366"/>
        <v>#N/A</v>
      </c>
      <c r="GR188" s="5" t="e">
        <f t="shared" ca="1" si="367"/>
        <v>#N/A</v>
      </c>
      <c r="GS188" s="5">
        <f t="shared" ca="1" si="368"/>
        <v>28.490223667002201</v>
      </c>
      <c r="GT188" s="5">
        <f t="shared" ca="1" si="369"/>
        <v>0.49907370144501301</v>
      </c>
      <c r="GU188" s="5">
        <f t="shared" ca="1" si="370"/>
        <v>1.1270097017535107E-2</v>
      </c>
      <c r="GV188" s="5">
        <f t="shared" ca="1" si="371"/>
        <v>1.3099676439456687E-3</v>
      </c>
      <c r="GW188" s="5">
        <f t="shared" ca="1" si="372"/>
        <v>0.34806023649622936</v>
      </c>
      <c r="GX188" s="5" t="e">
        <f t="shared" ca="1" si="373"/>
        <v>#N/A</v>
      </c>
      <c r="GY188" s="5" t="e">
        <f t="shared" ca="1" si="374"/>
        <v>#N/A</v>
      </c>
      <c r="GZ188" s="5" t="e">
        <f t="shared" ca="1" si="375"/>
        <v>#N/A</v>
      </c>
      <c r="HB188" s="13">
        <f t="shared" ca="1" si="376"/>
        <v>128</v>
      </c>
      <c r="HC188" s="4">
        <f t="shared" ca="1" si="377"/>
        <v>0</v>
      </c>
      <c r="HD188" s="4">
        <f t="shared" ca="1" si="378"/>
        <v>0</v>
      </c>
      <c r="HE188" s="4">
        <f t="shared" ca="1" si="379"/>
        <v>0</v>
      </c>
      <c r="HF188" s="4">
        <f t="shared" ca="1" si="380"/>
        <v>0</v>
      </c>
      <c r="HG188" s="4">
        <f t="shared" ca="1" si="381"/>
        <v>1</v>
      </c>
      <c r="HH188" s="4">
        <f t="shared" ca="1" si="382"/>
        <v>1</v>
      </c>
      <c r="HI188" s="4">
        <f t="shared" ca="1" si="383"/>
        <v>5.1299999999999998E-2</v>
      </c>
      <c r="HJ188" s="4">
        <f t="shared" ca="1" si="384"/>
        <v>0.43890000000000001</v>
      </c>
      <c r="HK188" s="4">
        <f t="shared" ca="1" si="385"/>
        <v>3.7499999999999999E-2</v>
      </c>
      <c r="HL188" s="4">
        <f t="shared" ca="1" si="386"/>
        <v>0</v>
      </c>
      <c r="HM188" s="4">
        <f t="shared" ca="1" si="387"/>
        <v>0</v>
      </c>
      <c r="HN188" s="4">
        <f t="shared" ca="1" si="388"/>
        <v>0</v>
      </c>
    </row>
    <row r="189" spans="1:222" x14ac:dyDescent="0.2">
      <c r="FB189" s="10"/>
      <c r="FC189" s="10"/>
      <c r="FD189" s="10"/>
      <c r="FE189" s="10"/>
      <c r="FF189" s="10"/>
      <c r="FG189" s="10"/>
      <c r="FH189" s="10"/>
      <c r="FI189" s="10"/>
      <c r="FJ189" s="10"/>
      <c r="FK189" s="10"/>
      <c r="FL189" s="10"/>
      <c r="FM189" s="10"/>
      <c r="FN189" s="10"/>
      <c r="FO189" s="10"/>
      <c r="FP189" s="10"/>
      <c r="FQ189" s="10"/>
      <c r="FW189" s="4"/>
      <c r="FX189" s="5"/>
      <c r="FZ189" s="13"/>
      <c r="GA189" s="23"/>
      <c r="GB189" s="23"/>
      <c r="GC189" s="23"/>
      <c r="GD189" s="23"/>
      <c r="GE189" s="23"/>
      <c r="GF189" s="23"/>
      <c r="GG189" s="23"/>
      <c r="GH189" s="23"/>
      <c r="GI189" s="23"/>
      <c r="GJ189" s="23"/>
      <c r="GK189" s="23"/>
      <c r="GL189" s="23"/>
      <c r="GM189" s="23"/>
      <c r="GO189" s="5"/>
      <c r="GP189" s="5"/>
      <c r="GQ189" s="5"/>
      <c r="GR189" s="5"/>
      <c r="GS189" s="5"/>
      <c r="GT189" s="5"/>
      <c r="GU189" s="5"/>
      <c r="GV189" s="5"/>
      <c r="GW189" s="5"/>
      <c r="GX189" s="5"/>
      <c r="GY189" s="5"/>
      <c r="GZ189" s="5"/>
      <c r="HB189" s="13"/>
      <c r="HC189" s="4"/>
      <c r="HD189" s="4"/>
      <c r="HE189" s="4"/>
      <c r="HF189" s="4"/>
      <c r="HG189" s="4"/>
      <c r="HH189" s="4"/>
      <c r="HI189" s="4"/>
      <c r="HJ189" s="4"/>
      <c r="HK189" s="4"/>
      <c r="HL189" s="4"/>
      <c r="HM189" s="4"/>
      <c r="HN189" s="4"/>
    </row>
    <row r="190" spans="1:222" x14ac:dyDescent="0.2">
      <c r="FB190" s="10"/>
      <c r="FC190" s="10"/>
      <c r="FD190" s="10"/>
      <c r="FE190" s="10"/>
      <c r="FF190" s="10"/>
      <c r="FG190" s="10"/>
      <c r="FH190" s="10"/>
      <c r="FI190" s="10"/>
      <c r="FJ190" s="10"/>
      <c r="FK190" s="10"/>
      <c r="FL190" s="10"/>
      <c r="FM190" s="10"/>
      <c r="FN190" s="10"/>
      <c r="FO190" s="10"/>
      <c r="FP190" s="10"/>
      <c r="FQ190" s="10"/>
      <c r="FW190" s="4"/>
      <c r="FX190" s="5"/>
      <c r="FZ190" s="13"/>
      <c r="GA190" s="23"/>
      <c r="GB190" s="23"/>
      <c r="GC190" s="23"/>
      <c r="GD190" s="23"/>
      <c r="GE190" s="23"/>
      <c r="GF190" s="23"/>
      <c r="GG190" s="23"/>
      <c r="GH190" s="23"/>
      <c r="GI190" s="23"/>
      <c r="GJ190" s="23"/>
      <c r="GK190" s="23"/>
      <c r="GL190" s="23"/>
      <c r="GM190" s="23"/>
      <c r="GO190" s="5"/>
      <c r="GP190" s="5"/>
      <c r="GQ190" s="5"/>
      <c r="GR190" s="5"/>
      <c r="GS190" s="5"/>
      <c r="GT190" s="5"/>
      <c r="GU190" s="5"/>
      <c r="GV190" s="5"/>
      <c r="GW190" s="5"/>
      <c r="GX190" s="5"/>
      <c r="GY190" s="5"/>
      <c r="GZ190" s="5"/>
      <c r="HB190" s="13"/>
      <c r="HC190" s="4"/>
      <c r="HD190" s="4"/>
      <c r="HE190" s="4"/>
      <c r="HF190" s="4"/>
      <c r="HG190" s="4"/>
      <c r="HH190" s="4"/>
      <c r="HI190" s="4"/>
      <c r="HJ190" s="4"/>
      <c r="HK190" s="4"/>
      <c r="HL190" s="4"/>
      <c r="HM190" s="4"/>
      <c r="HN190"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4364-0767-0F40-BA91-1A16C67FBFEE}">
  <dimension ref="A1:I148"/>
  <sheetViews>
    <sheetView workbookViewId="0">
      <selection activeCell="E13" sqref="E13"/>
    </sheetView>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t="s">
        <v>73</v>
      </c>
    </row>
    <row r="5" spans="1:1" x14ac:dyDescent="0.2">
      <c r="A5" t="s">
        <v>74</v>
      </c>
    </row>
    <row r="6" spans="1:1" x14ac:dyDescent="0.2">
      <c r="A6" t="s">
        <v>75</v>
      </c>
    </row>
    <row r="7" spans="1:1" x14ac:dyDescent="0.2">
      <c r="A7" t="s">
        <v>76</v>
      </c>
    </row>
    <row r="8" spans="1:1" x14ac:dyDescent="0.2">
      <c r="A8" t="s">
        <v>77</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t="s">
        <v>89</v>
      </c>
    </row>
    <row r="21" spans="1:9" x14ac:dyDescent="0.2">
      <c r="A21" t="s">
        <v>90</v>
      </c>
    </row>
    <row r="22" spans="1:9" x14ac:dyDescent="0.2">
      <c r="A22" t="s">
        <v>91</v>
      </c>
    </row>
    <row r="23" spans="1:9" x14ac:dyDescent="0.2">
      <c r="A23" t="s">
        <v>92</v>
      </c>
    </row>
    <row r="24" spans="1:9" x14ac:dyDescent="0.2">
      <c r="A24" t="s">
        <v>93</v>
      </c>
    </row>
    <row r="25" spans="1:9" x14ac:dyDescent="0.2">
      <c r="A25" t="s">
        <v>94</v>
      </c>
    </row>
    <row r="26" spans="1:9" x14ac:dyDescent="0.2">
      <c r="A26" t="s">
        <v>95</v>
      </c>
    </row>
    <row r="27" spans="1:9" x14ac:dyDescent="0.2">
      <c r="A27" t="s">
        <v>96</v>
      </c>
      <c r="B27" t="s">
        <v>61</v>
      </c>
      <c r="C27" t="s">
        <v>97</v>
      </c>
      <c r="D27" t="s">
        <v>98</v>
      </c>
      <c r="E27" t="s">
        <v>99</v>
      </c>
      <c r="F27" t="s">
        <v>100</v>
      </c>
      <c r="G27" t="s">
        <v>58</v>
      </c>
      <c r="H27" t="s">
        <v>59</v>
      </c>
      <c r="I27" t="s">
        <v>101</v>
      </c>
    </row>
    <row r="28" spans="1:9" x14ac:dyDescent="0.2">
      <c r="A28" t="s">
        <v>102</v>
      </c>
      <c r="B28">
        <v>5</v>
      </c>
      <c r="C28">
        <v>3</v>
      </c>
      <c r="D28">
        <v>2</v>
      </c>
      <c r="E28">
        <v>0</v>
      </c>
      <c r="F28">
        <v>0.92031004199816302</v>
      </c>
      <c r="G28">
        <v>1</v>
      </c>
      <c r="H28">
        <v>1</v>
      </c>
      <c r="I28" t="s">
        <v>103</v>
      </c>
    </row>
    <row r="29" spans="1:9" x14ac:dyDescent="0.2">
      <c r="A29" t="s">
        <v>104</v>
      </c>
      <c r="B29">
        <v>6</v>
      </c>
      <c r="C29">
        <v>3</v>
      </c>
      <c r="D29">
        <v>3</v>
      </c>
      <c r="E29">
        <v>0</v>
      </c>
      <c r="F29">
        <v>5.9132041002157999E-2</v>
      </c>
      <c r="G29">
        <v>1</v>
      </c>
      <c r="H29">
        <v>1</v>
      </c>
      <c r="I29" t="s">
        <v>105</v>
      </c>
    </row>
    <row r="30" spans="1:9" x14ac:dyDescent="0.2">
      <c r="A30" t="s">
        <v>106</v>
      </c>
      <c r="B30">
        <v>7</v>
      </c>
      <c r="C30">
        <v>3</v>
      </c>
      <c r="D30">
        <v>4</v>
      </c>
      <c r="E30">
        <v>0</v>
      </c>
      <c r="F30">
        <v>5.9731417000875801E-2</v>
      </c>
      <c r="G30">
        <v>1</v>
      </c>
      <c r="H30">
        <v>1</v>
      </c>
      <c r="I30" t="s">
        <v>107</v>
      </c>
    </row>
    <row r="31" spans="1:9" x14ac:dyDescent="0.2">
      <c r="A31" t="s">
        <v>108</v>
      </c>
      <c r="B31">
        <v>8</v>
      </c>
      <c r="C31">
        <v>3</v>
      </c>
      <c r="D31">
        <v>4</v>
      </c>
      <c r="E31">
        <v>0</v>
      </c>
      <c r="F31">
        <v>6.1138917000789599E-2</v>
      </c>
      <c r="G31">
        <v>1</v>
      </c>
      <c r="H31">
        <v>1</v>
      </c>
      <c r="I31" t="s">
        <v>109</v>
      </c>
    </row>
    <row r="32" spans="1:9" x14ac:dyDescent="0.2">
      <c r="A32" t="s">
        <v>110</v>
      </c>
      <c r="B32">
        <v>9</v>
      </c>
      <c r="C32">
        <v>5</v>
      </c>
      <c r="D32">
        <v>3</v>
      </c>
      <c r="E32">
        <v>0</v>
      </c>
      <c r="F32">
        <v>5.8100540998566402E-2</v>
      </c>
      <c r="G32">
        <v>1</v>
      </c>
      <c r="H32">
        <v>1</v>
      </c>
      <c r="I32" t="s">
        <v>111</v>
      </c>
    </row>
    <row r="33" spans="1:9" x14ac:dyDescent="0.2">
      <c r="A33" t="s">
        <v>112</v>
      </c>
      <c r="B33">
        <v>10</v>
      </c>
      <c r="C33">
        <v>3</v>
      </c>
      <c r="D33">
        <v>5</v>
      </c>
      <c r="E33">
        <v>0</v>
      </c>
      <c r="F33">
        <v>5.4936000000452602E-2</v>
      </c>
      <c r="G33">
        <v>1</v>
      </c>
      <c r="H33">
        <v>1</v>
      </c>
      <c r="I33" t="s">
        <v>113</v>
      </c>
    </row>
    <row r="34" spans="1:9" x14ac:dyDescent="0.2">
      <c r="A34" t="s">
        <v>114</v>
      </c>
      <c r="B34">
        <v>11</v>
      </c>
      <c r="C34">
        <v>3</v>
      </c>
      <c r="D34">
        <v>6</v>
      </c>
      <c r="E34">
        <v>0</v>
      </c>
      <c r="F34">
        <v>5.8254708994354497E-2</v>
      </c>
      <c r="G34">
        <v>1</v>
      </c>
      <c r="H34">
        <v>1</v>
      </c>
      <c r="I34" t="s">
        <v>115</v>
      </c>
    </row>
    <row r="35" spans="1:9" x14ac:dyDescent="0.2">
      <c r="A35" t="s">
        <v>116</v>
      </c>
      <c r="B35">
        <v>12</v>
      </c>
      <c r="C35">
        <v>3</v>
      </c>
      <c r="D35">
        <v>6</v>
      </c>
      <c r="E35">
        <v>0</v>
      </c>
      <c r="F35">
        <v>5.5143083001894397E-2</v>
      </c>
      <c r="G35">
        <v>1</v>
      </c>
      <c r="H35">
        <v>1</v>
      </c>
      <c r="I35" t="s">
        <v>117</v>
      </c>
    </row>
    <row r="36" spans="1:9" x14ac:dyDescent="0.2">
      <c r="A36" t="s">
        <v>118</v>
      </c>
      <c r="B36">
        <v>13</v>
      </c>
      <c r="C36">
        <v>5</v>
      </c>
      <c r="D36">
        <v>5</v>
      </c>
      <c r="E36">
        <v>0</v>
      </c>
      <c r="F36">
        <v>5.5624708002142101E-2</v>
      </c>
      <c r="G36">
        <v>1</v>
      </c>
      <c r="H36">
        <v>1</v>
      </c>
      <c r="I36" t="s">
        <v>119</v>
      </c>
    </row>
    <row r="37" spans="1:9" x14ac:dyDescent="0.2">
      <c r="A37" t="s">
        <v>120</v>
      </c>
      <c r="B37">
        <v>14</v>
      </c>
      <c r="C37">
        <v>6</v>
      </c>
      <c r="D37">
        <v>5</v>
      </c>
      <c r="E37">
        <v>0</v>
      </c>
      <c r="F37">
        <v>5.6052250001812298E-2</v>
      </c>
      <c r="G37">
        <v>1</v>
      </c>
      <c r="H37">
        <v>1</v>
      </c>
      <c r="I37" t="s">
        <v>121</v>
      </c>
    </row>
    <row r="38" spans="1:9" x14ac:dyDescent="0.2">
      <c r="A38" t="s">
        <v>122</v>
      </c>
      <c r="B38">
        <v>15</v>
      </c>
      <c r="C38">
        <v>7</v>
      </c>
      <c r="D38">
        <v>5</v>
      </c>
      <c r="E38">
        <v>0</v>
      </c>
      <c r="F38">
        <v>5.6886250000388799E-2</v>
      </c>
      <c r="G38">
        <v>1</v>
      </c>
      <c r="H38">
        <v>1</v>
      </c>
      <c r="I38" t="s">
        <v>123</v>
      </c>
    </row>
    <row r="39" spans="1:9" x14ac:dyDescent="0.2">
      <c r="A39" t="s">
        <v>124</v>
      </c>
      <c r="B39">
        <v>16</v>
      </c>
      <c r="C39">
        <v>8</v>
      </c>
      <c r="D39">
        <v>5</v>
      </c>
      <c r="E39">
        <v>0</v>
      </c>
      <c r="F39">
        <v>5.6987749994732398E-2</v>
      </c>
      <c r="G39">
        <v>1</v>
      </c>
      <c r="H39">
        <v>1</v>
      </c>
      <c r="I39" t="s">
        <v>125</v>
      </c>
    </row>
    <row r="40" spans="1:9" x14ac:dyDescent="0.2">
      <c r="A40" t="s">
        <v>126</v>
      </c>
      <c r="B40">
        <v>20</v>
      </c>
      <c r="C40">
        <v>5</v>
      </c>
      <c r="D40">
        <v>9</v>
      </c>
      <c r="E40">
        <v>0</v>
      </c>
      <c r="F40">
        <v>5.8010291999380501E-2</v>
      </c>
      <c r="G40">
        <v>1</v>
      </c>
      <c r="H40">
        <v>1</v>
      </c>
      <c r="I40" t="s">
        <v>127</v>
      </c>
    </row>
    <row r="41" spans="1:9" x14ac:dyDescent="0.2">
      <c r="A41" t="s">
        <v>128</v>
      </c>
      <c r="B41">
        <v>21</v>
      </c>
      <c r="C41">
        <v>5</v>
      </c>
      <c r="D41">
        <v>10</v>
      </c>
      <c r="E41">
        <v>0</v>
      </c>
      <c r="F41">
        <v>5.5484625001554301E-2</v>
      </c>
      <c r="G41">
        <v>1</v>
      </c>
      <c r="H41">
        <v>1</v>
      </c>
      <c r="I41" t="s">
        <v>129</v>
      </c>
    </row>
    <row r="42" spans="1:9" x14ac:dyDescent="0.2">
      <c r="A42" t="s">
        <v>130</v>
      </c>
      <c r="B42">
        <v>22</v>
      </c>
      <c r="C42">
        <v>6</v>
      </c>
      <c r="D42">
        <v>9</v>
      </c>
      <c r="E42">
        <v>0</v>
      </c>
      <c r="F42">
        <v>5.5288000003201797E-2</v>
      </c>
      <c r="G42">
        <v>1</v>
      </c>
      <c r="H42">
        <v>1</v>
      </c>
      <c r="I42" t="s">
        <v>131</v>
      </c>
    </row>
    <row r="43" spans="1:9" x14ac:dyDescent="0.2">
      <c r="A43" t="s">
        <v>132</v>
      </c>
      <c r="B43">
        <v>23</v>
      </c>
      <c r="C43">
        <v>7</v>
      </c>
      <c r="D43">
        <v>9</v>
      </c>
      <c r="E43">
        <v>0</v>
      </c>
      <c r="F43">
        <v>5.8467582995945101E-2</v>
      </c>
      <c r="G43">
        <v>1</v>
      </c>
      <c r="H43">
        <v>1</v>
      </c>
      <c r="I43" t="s">
        <v>133</v>
      </c>
    </row>
    <row r="44" spans="1:9" x14ac:dyDescent="0.2">
      <c r="A44" t="s">
        <v>134</v>
      </c>
      <c r="B44">
        <v>24</v>
      </c>
      <c r="C44">
        <v>3</v>
      </c>
      <c r="D44">
        <v>13</v>
      </c>
      <c r="E44">
        <v>0</v>
      </c>
      <c r="F44">
        <v>5.3659417004382703E-2</v>
      </c>
      <c r="G44">
        <v>1</v>
      </c>
      <c r="H44">
        <v>1</v>
      </c>
      <c r="I44" t="s">
        <v>135</v>
      </c>
    </row>
    <row r="45" spans="1:9" x14ac:dyDescent="0.2">
      <c r="A45" t="s">
        <v>136</v>
      </c>
      <c r="B45">
        <v>25</v>
      </c>
      <c r="C45">
        <v>15</v>
      </c>
      <c r="D45">
        <v>5</v>
      </c>
      <c r="E45">
        <v>0</v>
      </c>
      <c r="F45">
        <v>5.6709999997110502E-2</v>
      </c>
      <c r="G45">
        <v>1</v>
      </c>
      <c r="H45">
        <v>1</v>
      </c>
      <c r="I45" t="s">
        <v>137</v>
      </c>
    </row>
    <row r="46" spans="1:9" x14ac:dyDescent="0.2">
      <c r="A46" t="s">
        <v>138</v>
      </c>
      <c r="B46">
        <v>26</v>
      </c>
      <c r="C46">
        <v>9</v>
      </c>
      <c r="D46">
        <v>9</v>
      </c>
      <c r="E46">
        <v>0</v>
      </c>
      <c r="F46">
        <v>5.6378624998615103E-2</v>
      </c>
      <c r="G46">
        <v>1</v>
      </c>
      <c r="H46">
        <v>1</v>
      </c>
      <c r="I46" t="s">
        <v>139</v>
      </c>
    </row>
    <row r="47" spans="1:9" x14ac:dyDescent="0.2">
      <c r="A47" t="s">
        <v>140</v>
      </c>
      <c r="B47">
        <v>27</v>
      </c>
      <c r="C47">
        <v>10</v>
      </c>
      <c r="D47">
        <v>9</v>
      </c>
      <c r="E47">
        <v>0</v>
      </c>
      <c r="F47">
        <v>5.6651292004971703E-2</v>
      </c>
      <c r="G47">
        <v>1</v>
      </c>
      <c r="H47">
        <v>1</v>
      </c>
      <c r="I47" t="s">
        <v>141</v>
      </c>
    </row>
    <row r="48" spans="1:9" x14ac:dyDescent="0.2">
      <c r="A48" t="s">
        <v>142</v>
      </c>
      <c r="B48">
        <v>28</v>
      </c>
      <c r="C48">
        <v>18</v>
      </c>
      <c r="D48">
        <v>5</v>
      </c>
      <c r="E48">
        <v>0</v>
      </c>
      <c r="F48">
        <v>5.5864499998278902E-2</v>
      </c>
      <c r="G48">
        <v>1</v>
      </c>
      <c r="H48">
        <v>1</v>
      </c>
      <c r="I48" t="s">
        <v>143</v>
      </c>
    </row>
    <row r="49" spans="1:9" x14ac:dyDescent="0.2">
      <c r="A49" t="s">
        <v>144</v>
      </c>
      <c r="B49">
        <v>29</v>
      </c>
      <c r="C49">
        <v>6</v>
      </c>
      <c r="D49">
        <v>13</v>
      </c>
      <c r="E49">
        <v>0</v>
      </c>
      <c r="F49">
        <v>5.8239165999111699E-2</v>
      </c>
      <c r="G49">
        <v>1</v>
      </c>
      <c r="H49">
        <v>1</v>
      </c>
      <c r="I49" t="s">
        <v>145</v>
      </c>
    </row>
    <row r="50" spans="1:9" x14ac:dyDescent="0.2">
      <c r="A50" t="s">
        <v>146</v>
      </c>
      <c r="B50">
        <v>30</v>
      </c>
      <c r="C50">
        <v>6</v>
      </c>
      <c r="D50">
        <v>14</v>
      </c>
      <c r="E50">
        <v>0</v>
      </c>
      <c r="F50">
        <v>5.6752208998659598E-2</v>
      </c>
      <c r="G50">
        <v>1</v>
      </c>
      <c r="H50">
        <v>1</v>
      </c>
      <c r="I50" t="s">
        <v>147</v>
      </c>
    </row>
    <row r="51" spans="1:9" x14ac:dyDescent="0.2">
      <c r="A51" t="s">
        <v>148</v>
      </c>
      <c r="B51">
        <v>31</v>
      </c>
      <c r="C51">
        <v>3</v>
      </c>
      <c r="D51">
        <v>17</v>
      </c>
      <c r="E51">
        <v>0</v>
      </c>
      <c r="F51">
        <v>5.4078790999483303E-2</v>
      </c>
      <c r="G51">
        <v>1</v>
      </c>
      <c r="H51">
        <v>1</v>
      </c>
      <c r="I51" t="s">
        <v>149</v>
      </c>
    </row>
    <row r="52" spans="1:9" x14ac:dyDescent="0.2">
      <c r="A52" t="s">
        <v>150</v>
      </c>
      <c r="B52">
        <v>32</v>
      </c>
      <c r="C52">
        <v>8</v>
      </c>
      <c r="D52">
        <v>13</v>
      </c>
      <c r="E52">
        <v>0</v>
      </c>
      <c r="F52">
        <v>5.7315792000736103E-2</v>
      </c>
      <c r="G52">
        <v>1</v>
      </c>
      <c r="H52">
        <v>1</v>
      </c>
      <c r="I52" t="s">
        <v>151</v>
      </c>
    </row>
    <row r="53" spans="1:9" x14ac:dyDescent="0.2">
      <c r="A53" t="s">
        <v>152</v>
      </c>
      <c r="B53">
        <v>33</v>
      </c>
      <c r="C53">
        <v>18</v>
      </c>
      <c r="D53">
        <v>7</v>
      </c>
      <c r="E53">
        <v>0</v>
      </c>
      <c r="F53">
        <v>5.5822166999860201E-2</v>
      </c>
      <c r="G53">
        <v>1</v>
      </c>
      <c r="H53">
        <v>1</v>
      </c>
      <c r="I53" t="s">
        <v>153</v>
      </c>
    </row>
    <row r="54" spans="1:9" x14ac:dyDescent="0.2">
      <c r="A54" t="s">
        <v>154</v>
      </c>
      <c r="B54">
        <v>34</v>
      </c>
      <c r="C54">
        <v>4</v>
      </c>
      <c r="D54">
        <v>17</v>
      </c>
      <c r="E54">
        <v>0</v>
      </c>
      <c r="F54">
        <v>5.5268957999942303E-2</v>
      </c>
      <c r="G54">
        <v>1</v>
      </c>
      <c r="H54">
        <v>1</v>
      </c>
      <c r="I54" t="s">
        <v>155</v>
      </c>
    </row>
    <row r="55" spans="1:9" x14ac:dyDescent="0.2">
      <c r="A55" t="s">
        <v>156</v>
      </c>
      <c r="B55">
        <v>35</v>
      </c>
      <c r="C55">
        <v>20</v>
      </c>
      <c r="D55">
        <v>7</v>
      </c>
      <c r="E55">
        <v>0</v>
      </c>
      <c r="F55">
        <v>5.6638833004399203E-2</v>
      </c>
      <c r="G55">
        <v>1</v>
      </c>
      <c r="H55">
        <v>1</v>
      </c>
      <c r="I55" t="s">
        <v>157</v>
      </c>
    </row>
    <row r="56" spans="1:9" x14ac:dyDescent="0.2">
      <c r="A56" t="s">
        <v>158</v>
      </c>
      <c r="B56">
        <v>36</v>
      </c>
      <c r="C56">
        <v>5</v>
      </c>
      <c r="D56">
        <v>17</v>
      </c>
      <c r="E56">
        <v>0</v>
      </c>
      <c r="F56">
        <v>5.9016374994826003E-2</v>
      </c>
      <c r="G56">
        <v>1</v>
      </c>
      <c r="H56">
        <v>1</v>
      </c>
      <c r="I56" t="s">
        <v>159</v>
      </c>
    </row>
    <row r="57" spans="1:9" x14ac:dyDescent="0.2">
      <c r="A57" t="s">
        <v>160</v>
      </c>
      <c r="B57">
        <v>37</v>
      </c>
      <c r="C57">
        <v>6</v>
      </c>
      <c r="D57">
        <v>17</v>
      </c>
      <c r="E57">
        <v>0</v>
      </c>
      <c r="F57">
        <v>5.5898792001244098E-2</v>
      </c>
      <c r="G57">
        <v>1</v>
      </c>
      <c r="H57">
        <v>1</v>
      </c>
      <c r="I57" t="s">
        <v>161</v>
      </c>
    </row>
    <row r="58" spans="1:9" x14ac:dyDescent="0.2">
      <c r="A58" t="s">
        <v>162</v>
      </c>
      <c r="B58">
        <v>38</v>
      </c>
      <c r="C58">
        <v>3</v>
      </c>
      <c r="D58">
        <v>21</v>
      </c>
      <c r="E58">
        <v>0</v>
      </c>
      <c r="F58">
        <v>5.5214749998412999E-2</v>
      </c>
      <c r="G58">
        <v>1</v>
      </c>
      <c r="H58">
        <v>1</v>
      </c>
      <c r="I58" t="s">
        <v>163</v>
      </c>
    </row>
    <row r="59" spans="1:9" x14ac:dyDescent="0.2">
      <c r="A59" t="s">
        <v>164</v>
      </c>
      <c r="B59">
        <v>39</v>
      </c>
      <c r="C59">
        <v>7</v>
      </c>
      <c r="D59">
        <v>17</v>
      </c>
      <c r="E59">
        <v>0</v>
      </c>
      <c r="F59">
        <v>5.64742499991552E-2</v>
      </c>
      <c r="G59">
        <v>1</v>
      </c>
      <c r="H59">
        <v>1</v>
      </c>
      <c r="I59" t="s">
        <v>165</v>
      </c>
    </row>
    <row r="60" spans="1:9" x14ac:dyDescent="0.2">
      <c r="A60" t="s">
        <v>166</v>
      </c>
      <c r="B60">
        <v>40</v>
      </c>
      <c r="C60">
        <v>13</v>
      </c>
      <c r="D60">
        <v>13</v>
      </c>
      <c r="E60">
        <v>0</v>
      </c>
      <c r="F60">
        <v>5.51419170005829E-2</v>
      </c>
      <c r="G60">
        <v>1</v>
      </c>
      <c r="H60">
        <v>1</v>
      </c>
      <c r="I60" t="s">
        <v>167</v>
      </c>
    </row>
    <row r="61" spans="1:9" x14ac:dyDescent="0.2">
      <c r="A61" t="s">
        <v>168</v>
      </c>
      <c r="B61">
        <v>41</v>
      </c>
      <c r="C61">
        <v>8</v>
      </c>
      <c r="D61">
        <v>17</v>
      </c>
      <c r="E61">
        <v>0</v>
      </c>
      <c r="F61">
        <v>5.7326207999722101E-2</v>
      </c>
      <c r="G61">
        <v>1</v>
      </c>
      <c r="H61">
        <v>1</v>
      </c>
      <c r="I61" t="s">
        <v>169</v>
      </c>
    </row>
    <row r="62" spans="1:9" x14ac:dyDescent="0.2">
      <c r="A62" t="s">
        <v>170</v>
      </c>
      <c r="B62">
        <v>42</v>
      </c>
      <c r="C62">
        <v>9</v>
      </c>
      <c r="D62">
        <v>17</v>
      </c>
      <c r="E62">
        <v>0</v>
      </c>
      <c r="F62">
        <v>5.4675500003213501E-2</v>
      </c>
      <c r="G62">
        <v>1</v>
      </c>
      <c r="H62">
        <v>1</v>
      </c>
      <c r="I62" t="s">
        <v>171</v>
      </c>
    </row>
    <row r="63" spans="1:9" x14ac:dyDescent="0.2">
      <c r="A63" t="s">
        <v>172</v>
      </c>
      <c r="B63">
        <v>43</v>
      </c>
      <c r="C63">
        <v>22</v>
      </c>
      <c r="D63">
        <v>9</v>
      </c>
      <c r="E63">
        <v>0</v>
      </c>
      <c r="F63">
        <v>5.6178500002715702E-2</v>
      </c>
      <c r="G63">
        <v>1</v>
      </c>
      <c r="H63">
        <v>1</v>
      </c>
      <c r="I63" t="s">
        <v>173</v>
      </c>
    </row>
    <row r="64" spans="1:9" x14ac:dyDescent="0.2">
      <c r="A64" t="s">
        <v>174</v>
      </c>
      <c r="B64">
        <v>44</v>
      </c>
      <c r="C64">
        <v>23</v>
      </c>
      <c r="D64">
        <v>9</v>
      </c>
      <c r="E64">
        <v>0</v>
      </c>
      <c r="F64">
        <v>5.6413457998132799E-2</v>
      </c>
      <c r="G64">
        <v>1</v>
      </c>
      <c r="H64">
        <v>1</v>
      </c>
      <c r="I64" t="s">
        <v>175</v>
      </c>
    </row>
    <row r="65" spans="1:9" x14ac:dyDescent="0.2">
      <c r="A65" t="s">
        <v>176</v>
      </c>
      <c r="B65">
        <v>45</v>
      </c>
      <c r="C65">
        <v>24</v>
      </c>
      <c r="D65">
        <v>9</v>
      </c>
      <c r="E65">
        <v>0</v>
      </c>
      <c r="F65">
        <v>5.5199041999003301E-2</v>
      </c>
      <c r="G65">
        <v>1</v>
      </c>
      <c r="H65">
        <v>1</v>
      </c>
      <c r="I65" t="s">
        <v>177</v>
      </c>
    </row>
    <row r="66" spans="1:9" x14ac:dyDescent="0.2">
      <c r="A66" t="s">
        <v>178</v>
      </c>
      <c r="B66">
        <v>46</v>
      </c>
      <c r="C66">
        <v>15</v>
      </c>
      <c r="D66">
        <v>15</v>
      </c>
      <c r="E66">
        <v>0</v>
      </c>
      <c r="F66">
        <v>5.5654957999649902E-2</v>
      </c>
      <c r="G66">
        <v>1</v>
      </c>
      <c r="H66">
        <v>1</v>
      </c>
      <c r="I66" t="s">
        <v>179</v>
      </c>
    </row>
    <row r="67" spans="1:9" x14ac:dyDescent="0.2">
      <c r="A67" t="s">
        <v>180</v>
      </c>
      <c r="B67">
        <v>47</v>
      </c>
      <c r="C67">
        <v>25</v>
      </c>
      <c r="D67">
        <v>9</v>
      </c>
      <c r="E67">
        <v>0</v>
      </c>
      <c r="F67">
        <v>5.6346792000113E-2</v>
      </c>
      <c r="G67">
        <v>1</v>
      </c>
      <c r="H67">
        <v>1</v>
      </c>
      <c r="I67" t="s">
        <v>181</v>
      </c>
    </row>
    <row r="68" spans="1:9" x14ac:dyDescent="0.2">
      <c r="A68" t="s">
        <v>182</v>
      </c>
      <c r="B68">
        <v>48</v>
      </c>
      <c r="C68">
        <v>26</v>
      </c>
      <c r="D68">
        <v>9</v>
      </c>
      <c r="E68">
        <v>0</v>
      </c>
      <c r="F68">
        <v>5.77062919983291E-2</v>
      </c>
      <c r="G68">
        <v>1</v>
      </c>
      <c r="H68">
        <v>1</v>
      </c>
      <c r="I68" t="s">
        <v>183</v>
      </c>
    </row>
    <row r="69" spans="1:9" x14ac:dyDescent="0.2">
      <c r="A69" t="s">
        <v>184</v>
      </c>
      <c r="B69">
        <v>49</v>
      </c>
      <c r="C69">
        <v>4</v>
      </c>
      <c r="D69">
        <v>25</v>
      </c>
      <c r="E69">
        <v>0</v>
      </c>
      <c r="F69">
        <v>5.4450458002975197E-2</v>
      </c>
      <c r="G69">
        <v>1</v>
      </c>
      <c r="H69">
        <v>1</v>
      </c>
      <c r="I69" t="s">
        <v>185</v>
      </c>
    </row>
    <row r="70" spans="1:9" x14ac:dyDescent="0.2">
      <c r="A70" t="s">
        <v>186</v>
      </c>
      <c r="B70">
        <v>50</v>
      </c>
      <c r="C70">
        <v>19</v>
      </c>
      <c r="D70">
        <v>13</v>
      </c>
      <c r="E70">
        <v>0</v>
      </c>
      <c r="F70">
        <v>5.6529292000050101E-2</v>
      </c>
      <c r="G70">
        <v>1</v>
      </c>
      <c r="H70">
        <v>1</v>
      </c>
      <c r="I70" t="s">
        <v>187</v>
      </c>
    </row>
    <row r="71" spans="1:9" x14ac:dyDescent="0.2">
      <c r="A71" t="s">
        <v>188</v>
      </c>
      <c r="B71">
        <v>51</v>
      </c>
      <c r="C71">
        <v>28</v>
      </c>
      <c r="D71">
        <v>9</v>
      </c>
      <c r="E71">
        <v>0</v>
      </c>
      <c r="F71">
        <v>5.8769124996615497E-2</v>
      </c>
      <c r="G71">
        <v>1</v>
      </c>
      <c r="H71">
        <v>1</v>
      </c>
      <c r="I71" t="s">
        <v>189</v>
      </c>
    </row>
    <row r="72" spans="1:9" x14ac:dyDescent="0.2">
      <c r="A72" t="s">
        <v>190</v>
      </c>
      <c r="B72">
        <v>52</v>
      </c>
      <c r="C72">
        <v>15</v>
      </c>
      <c r="D72">
        <v>17</v>
      </c>
      <c r="E72">
        <v>0</v>
      </c>
      <c r="F72">
        <v>5.7898375001968802E-2</v>
      </c>
      <c r="G72">
        <v>1</v>
      </c>
      <c r="H72">
        <v>1</v>
      </c>
      <c r="I72" t="s">
        <v>191</v>
      </c>
    </row>
    <row r="73" spans="1:9" x14ac:dyDescent="0.2">
      <c r="A73" t="s">
        <v>192</v>
      </c>
      <c r="B73">
        <v>53</v>
      </c>
      <c r="C73">
        <v>16</v>
      </c>
      <c r="D73">
        <v>17</v>
      </c>
      <c r="E73">
        <v>0</v>
      </c>
      <c r="F73">
        <v>5.6270458000653799E-2</v>
      </c>
      <c r="G73">
        <v>1</v>
      </c>
      <c r="H73">
        <v>1</v>
      </c>
      <c r="I73" t="s">
        <v>193</v>
      </c>
    </row>
    <row r="74" spans="1:9" x14ac:dyDescent="0.2">
      <c r="A74" t="s">
        <v>194</v>
      </c>
      <c r="B74">
        <v>54</v>
      </c>
      <c r="C74">
        <v>31</v>
      </c>
      <c r="D74">
        <v>9</v>
      </c>
      <c r="E74">
        <v>0</v>
      </c>
      <c r="F74">
        <v>0.109378332999767</v>
      </c>
      <c r="G74">
        <v>1</v>
      </c>
      <c r="H74">
        <v>1</v>
      </c>
      <c r="I74" t="s">
        <v>195</v>
      </c>
    </row>
    <row r="75" spans="1:9" x14ac:dyDescent="0.2">
      <c r="A75" t="s">
        <v>196</v>
      </c>
      <c r="B75">
        <v>55</v>
      </c>
      <c r="C75">
        <v>23</v>
      </c>
      <c r="D75">
        <v>13</v>
      </c>
      <c r="E75">
        <v>0</v>
      </c>
      <c r="F75">
        <v>5.7370875001652097E-2</v>
      </c>
      <c r="G75">
        <v>1</v>
      </c>
      <c r="H75">
        <v>1</v>
      </c>
      <c r="I75" t="s">
        <v>197</v>
      </c>
    </row>
    <row r="76" spans="1:9" x14ac:dyDescent="0.2">
      <c r="A76" t="s">
        <v>198</v>
      </c>
      <c r="B76">
        <v>56</v>
      </c>
      <c r="C76">
        <v>17</v>
      </c>
      <c r="D76">
        <v>17</v>
      </c>
      <c r="E76">
        <v>0</v>
      </c>
      <c r="F76">
        <v>5.48911669975495E-2</v>
      </c>
      <c r="G76">
        <v>1</v>
      </c>
      <c r="H76">
        <v>1</v>
      </c>
      <c r="I76" t="s">
        <v>199</v>
      </c>
    </row>
    <row r="77" spans="1:9" x14ac:dyDescent="0.2">
      <c r="A77" t="s">
        <v>200</v>
      </c>
      <c r="B77">
        <v>57</v>
      </c>
      <c r="C77">
        <v>18</v>
      </c>
      <c r="D77">
        <v>17</v>
      </c>
      <c r="E77">
        <v>0</v>
      </c>
      <c r="F77">
        <v>5.5136082999524598E-2</v>
      </c>
      <c r="G77">
        <v>1</v>
      </c>
      <c r="H77">
        <v>1</v>
      </c>
      <c r="I77" t="s">
        <v>201</v>
      </c>
    </row>
    <row r="78" spans="1:9" x14ac:dyDescent="0.2">
      <c r="A78" t="s">
        <v>202</v>
      </c>
      <c r="B78">
        <v>58</v>
      </c>
      <c r="C78">
        <v>3</v>
      </c>
      <c r="D78">
        <v>32</v>
      </c>
      <c r="E78">
        <v>0</v>
      </c>
      <c r="F78">
        <v>5.5281749999267001E-2</v>
      </c>
      <c r="G78">
        <v>1</v>
      </c>
      <c r="H78">
        <v>1</v>
      </c>
      <c r="I78" t="s">
        <v>203</v>
      </c>
    </row>
    <row r="79" spans="1:9" x14ac:dyDescent="0.2">
      <c r="A79" t="s">
        <v>204</v>
      </c>
      <c r="B79">
        <v>59</v>
      </c>
      <c r="C79">
        <v>19</v>
      </c>
      <c r="D79">
        <v>17</v>
      </c>
      <c r="E79">
        <v>0</v>
      </c>
      <c r="F79">
        <v>5.6470625000656499E-2</v>
      </c>
      <c r="G79">
        <v>1</v>
      </c>
      <c r="H79">
        <v>1</v>
      </c>
      <c r="I79" t="s">
        <v>205</v>
      </c>
    </row>
    <row r="80" spans="1:9" x14ac:dyDescent="0.2">
      <c r="A80" t="s">
        <v>206</v>
      </c>
      <c r="B80">
        <v>60</v>
      </c>
      <c r="C80">
        <v>20</v>
      </c>
      <c r="D80">
        <v>17</v>
      </c>
      <c r="E80">
        <v>0</v>
      </c>
      <c r="F80">
        <v>5.6529084002249798E-2</v>
      </c>
      <c r="G80">
        <v>1</v>
      </c>
      <c r="H80">
        <v>1</v>
      </c>
      <c r="I80" t="s">
        <v>207</v>
      </c>
    </row>
    <row r="81" spans="1:9" x14ac:dyDescent="0.2">
      <c r="A81" t="s">
        <v>208</v>
      </c>
      <c r="B81">
        <v>61</v>
      </c>
      <c r="C81">
        <v>18</v>
      </c>
      <c r="D81">
        <v>19</v>
      </c>
      <c r="E81">
        <v>0</v>
      </c>
      <c r="F81">
        <v>5.6562665995443198E-2</v>
      </c>
      <c r="G81">
        <v>1</v>
      </c>
      <c r="H81">
        <v>1</v>
      </c>
      <c r="I81" t="s">
        <v>209</v>
      </c>
    </row>
    <row r="82" spans="1:9" x14ac:dyDescent="0.2">
      <c r="A82" t="s">
        <v>210</v>
      </c>
      <c r="B82">
        <v>62</v>
      </c>
      <c r="C82">
        <v>21</v>
      </c>
      <c r="D82">
        <v>17</v>
      </c>
      <c r="E82">
        <v>0</v>
      </c>
      <c r="F82">
        <v>5.8432875004655202E-2</v>
      </c>
      <c r="G82">
        <v>1</v>
      </c>
      <c r="H82">
        <v>1</v>
      </c>
      <c r="I82" t="s">
        <v>211</v>
      </c>
    </row>
    <row r="83" spans="1:9" x14ac:dyDescent="0.2">
      <c r="A83" t="s">
        <v>212</v>
      </c>
      <c r="B83">
        <v>63</v>
      </c>
      <c r="C83">
        <v>23</v>
      </c>
      <c r="D83">
        <v>16</v>
      </c>
      <c r="E83">
        <v>0</v>
      </c>
      <c r="F83">
        <v>5.7976124997367103E-2</v>
      </c>
      <c r="G83">
        <v>1</v>
      </c>
      <c r="H83">
        <v>1</v>
      </c>
      <c r="I83" t="s">
        <v>213</v>
      </c>
    </row>
    <row r="84" spans="1:9" x14ac:dyDescent="0.2">
      <c r="A84" t="s">
        <v>214</v>
      </c>
      <c r="B84">
        <v>64</v>
      </c>
      <c r="C84">
        <v>24</v>
      </c>
      <c r="D84">
        <v>16</v>
      </c>
      <c r="E84">
        <v>0</v>
      </c>
      <c r="F84">
        <v>5.9271500002068898E-2</v>
      </c>
      <c r="G84">
        <v>1</v>
      </c>
      <c r="H84">
        <v>1</v>
      </c>
      <c r="I84" t="s">
        <v>215</v>
      </c>
    </row>
    <row r="85" spans="1:9" x14ac:dyDescent="0.2">
      <c r="A85" t="s">
        <v>216</v>
      </c>
      <c r="B85">
        <v>65</v>
      </c>
      <c r="C85">
        <v>31</v>
      </c>
      <c r="D85">
        <v>13</v>
      </c>
      <c r="E85">
        <v>0</v>
      </c>
      <c r="F85">
        <v>6.4059208998514805E-2</v>
      </c>
      <c r="G85">
        <v>1</v>
      </c>
      <c r="H85">
        <v>1</v>
      </c>
      <c r="I85" t="s">
        <v>217</v>
      </c>
    </row>
    <row r="86" spans="1:9" x14ac:dyDescent="0.2">
      <c r="A86" t="s">
        <v>218</v>
      </c>
      <c r="B86">
        <v>66</v>
      </c>
      <c r="C86">
        <v>32</v>
      </c>
      <c r="D86">
        <v>13</v>
      </c>
      <c r="E86">
        <v>0</v>
      </c>
      <c r="F86">
        <v>6.0850916001072598E-2</v>
      </c>
      <c r="G86">
        <v>1</v>
      </c>
      <c r="H86">
        <v>1</v>
      </c>
      <c r="I86" t="s">
        <v>219</v>
      </c>
    </row>
    <row r="87" spans="1:9" x14ac:dyDescent="0.2">
      <c r="A87" t="s">
        <v>220</v>
      </c>
      <c r="B87">
        <v>67</v>
      </c>
      <c r="C87">
        <v>33</v>
      </c>
      <c r="D87">
        <v>13</v>
      </c>
      <c r="E87">
        <v>0</v>
      </c>
      <c r="F87">
        <v>6.1133249997510498E-2</v>
      </c>
      <c r="G87">
        <v>1</v>
      </c>
      <c r="H87">
        <v>1</v>
      </c>
      <c r="I87" t="s">
        <v>221</v>
      </c>
    </row>
    <row r="88" spans="1:9" x14ac:dyDescent="0.2">
      <c r="A88" t="s">
        <v>222</v>
      </c>
      <c r="B88">
        <v>68</v>
      </c>
      <c r="C88">
        <v>34</v>
      </c>
      <c r="D88">
        <v>13</v>
      </c>
      <c r="E88">
        <v>0</v>
      </c>
      <c r="F88">
        <v>6.1296500003663802E-2</v>
      </c>
      <c r="G88">
        <v>1</v>
      </c>
      <c r="H88">
        <v>1</v>
      </c>
      <c r="I88" t="s">
        <v>223</v>
      </c>
    </row>
    <row r="89" spans="1:9" x14ac:dyDescent="0.2">
      <c r="A89" t="s">
        <v>224</v>
      </c>
      <c r="B89">
        <v>69</v>
      </c>
      <c r="C89">
        <v>35</v>
      </c>
      <c r="D89">
        <v>13</v>
      </c>
      <c r="E89">
        <v>0</v>
      </c>
      <c r="F89">
        <v>6.6025624997564494E-2</v>
      </c>
      <c r="G89">
        <v>1</v>
      </c>
      <c r="H89">
        <v>1</v>
      </c>
      <c r="I89" t="s">
        <v>225</v>
      </c>
    </row>
    <row r="90" spans="1:9" x14ac:dyDescent="0.2">
      <c r="A90" t="s">
        <v>226</v>
      </c>
      <c r="B90">
        <v>70</v>
      </c>
      <c r="C90">
        <v>36</v>
      </c>
      <c r="D90">
        <v>13</v>
      </c>
      <c r="E90">
        <v>0</v>
      </c>
      <c r="F90">
        <v>8.5915417002979597E-2</v>
      </c>
      <c r="G90">
        <v>1</v>
      </c>
      <c r="H90">
        <v>1</v>
      </c>
      <c r="I90" t="s">
        <v>227</v>
      </c>
    </row>
    <row r="91" spans="1:9" x14ac:dyDescent="0.2">
      <c r="A91" t="s">
        <v>228</v>
      </c>
      <c r="B91">
        <v>71</v>
      </c>
      <c r="C91">
        <v>12</v>
      </c>
      <c r="D91">
        <v>29</v>
      </c>
      <c r="E91">
        <v>0</v>
      </c>
      <c r="F91">
        <v>5.8065166995220303E-2</v>
      </c>
      <c r="G91">
        <v>1</v>
      </c>
      <c r="H91">
        <v>1</v>
      </c>
      <c r="I91" t="s">
        <v>229</v>
      </c>
    </row>
    <row r="92" spans="1:9" x14ac:dyDescent="0.2">
      <c r="A92" t="s">
        <v>230</v>
      </c>
      <c r="B92">
        <v>72</v>
      </c>
      <c r="C92">
        <v>37</v>
      </c>
      <c r="D92">
        <v>13</v>
      </c>
      <c r="E92">
        <v>0</v>
      </c>
      <c r="F92">
        <v>9.0562249999493305E-2</v>
      </c>
      <c r="G92">
        <v>1</v>
      </c>
      <c r="H92">
        <v>1</v>
      </c>
      <c r="I92" t="s">
        <v>231</v>
      </c>
    </row>
    <row r="93" spans="1:9" x14ac:dyDescent="0.2">
      <c r="A93" t="s">
        <v>232</v>
      </c>
      <c r="B93">
        <v>73</v>
      </c>
      <c r="C93">
        <v>38</v>
      </c>
      <c r="D93">
        <v>13</v>
      </c>
      <c r="E93">
        <v>0</v>
      </c>
      <c r="F93">
        <v>0.124677750005503</v>
      </c>
      <c r="G93">
        <v>1</v>
      </c>
      <c r="H93">
        <v>1</v>
      </c>
      <c r="I93" t="s">
        <v>233</v>
      </c>
    </row>
    <row r="94" spans="1:9" x14ac:dyDescent="0.2">
      <c r="A94" t="s">
        <v>234</v>
      </c>
      <c r="B94">
        <v>74</v>
      </c>
      <c r="C94">
        <v>9</v>
      </c>
      <c r="D94">
        <v>32</v>
      </c>
      <c r="E94">
        <v>0</v>
      </c>
      <c r="F94">
        <v>5.5626540997763999E-2</v>
      </c>
      <c r="G94">
        <v>1</v>
      </c>
      <c r="H94">
        <v>1</v>
      </c>
      <c r="I94" t="s">
        <v>235</v>
      </c>
    </row>
    <row r="95" spans="1:9" x14ac:dyDescent="0.2">
      <c r="A95" t="s">
        <v>236</v>
      </c>
      <c r="B95">
        <v>75</v>
      </c>
      <c r="C95">
        <v>28</v>
      </c>
      <c r="D95">
        <v>19</v>
      </c>
      <c r="E95">
        <v>0</v>
      </c>
      <c r="F95">
        <v>9.9921084001834901E-2</v>
      </c>
      <c r="G95">
        <v>1</v>
      </c>
      <c r="H95">
        <v>1</v>
      </c>
      <c r="I95" t="s">
        <v>237</v>
      </c>
    </row>
    <row r="96" spans="1:9" x14ac:dyDescent="0.2">
      <c r="A96" t="s">
        <v>238</v>
      </c>
      <c r="B96">
        <v>76</v>
      </c>
      <c r="C96">
        <v>40</v>
      </c>
      <c r="D96">
        <v>12</v>
      </c>
      <c r="E96">
        <v>0</v>
      </c>
      <c r="F96">
        <v>0.116167499996663</v>
      </c>
      <c r="G96">
        <v>1</v>
      </c>
      <c r="H96">
        <v>1</v>
      </c>
      <c r="I96" t="s">
        <v>239</v>
      </c>
    </row>
    <row r="97" spans="1:9" x14ac:dyDescent="0.2">
      <c r="A97" t="s">
        <v>240</v>
      </c>
      <c r="B97">
        <v>77</v>
      </c>
      <c r="C97">
        <v>40</v>
      </c>
      <c r="D97">
        <v>13</v>
      </c>
      <c r="E97">
        <v>0</v>
      </c>
      <c r="F97">
        <v>0.15310762500303099</v>
      </c>
      <c r="G97">
        <v>1</v>
      </c>
      <c r="H97">
        <v>1</v>
      </c>
      <c r="I97" t="s">
        <v>241</v>
      </c>
    </row>
    <row r="98" spans="1:9" x14ac:dyDescent="0.2">
      <c r="A98" t="s">
        <v>242</v>
      </c>
      <c r="B98">
        <v>78</v>
      </c>
      <c r="C98">
        <v>29</v>
      </c>
      <c r="D98">
        <v>19</v>
      </c>
      <c r="E98">
        <v>0</v>
      </c>
      <c r="F98">
        <v>0.116533041000366</v>
      </c>
      <c r="G98">
        <v>1</v>
      </c>
      <c r="H98">
        <v>1</v>
      </c>
      <c r="I98" t="s">
        <v>243</v>
      </c>
    </row>
    <row r="99" spans="1:9" x14ac:dyDescent="0.2">
      <c r="A99" t="s">
        <v>244</v>
      </c>
      <c r="B99">
        <v>79</v>
      </c>
      <c r="C99">
        <v>20</v>
      </c>
      <c r="D99">
        <v>24</v>
      </c>
      <c r="E99">
        <v>0</v>
      </c>
      <c r="F99">
        <v>5.7779791997745598E-2</v>
      </c>
      <c r="G99">
        <v>1</v>
      </c>
      <c r="H99">
        <v>1</v>
      </c>
      <c r="I99" t="s">
        <v>245</v>
      </c>
    </row>
    <row r="100" spans="1:9" x14ac:dyDescent="0.2">
      <c r="A100" t="s">
        <v>246</v>
      </c>
      <c r="B100">
        <v>80</v>
      </c>
      <c r="C100">
        <v>47</v>
      </c>
      <c r="D100">
        <v>11</v>
      </c>
      <c r="E100">
        <v>0</v>
      </c>
      <c r="F100">
        <v>15.6760042500027</v>
      </c>
      <c r="G100">
        <v>1</v>
      </c>
      <c r="H100">
        <v>1</v>
      </c>
      <c r="I100" t="s">
        <v>247</v>
      </c>
    </row>
    <row r="101" spans="1:9" x14ac:dyDescent="0.2">
      <c r="A101" t="s">
        <v>248</v>
      </c>
      <c r="B101">
        <v>81</v>
      </c>
      <c r="C101">
        <v>48</v>
      </c>
      <c r="D101">
        <v>11</v>
      </c>
      <c r="E101">
        <v>0</v>
      </c>
      <c r="F101">
        <v>19.7291003749996</v>
      </c>
      <c r="G101">
        <v>1</v>
      </c>
      <c r="H101">
        <v>1</v>
      </c>
      <c r="I101" t="s">
        <v>249</v>
      </c>
    </row>
    <row r="102" spans="1:9" x14ac:dyDescent="0.2">
      <c r="A102" t="s">
        <v>250</v>
      </c>
      <c r="B102">
        <v>82</v>
      </c>
      <c r="C102">
        <v>43</v>
      </c>
      <c r="D102">
        <v>13</v>
      </c>
      <c r="E102">
        <v>0</v>
      </c>
      <c r="F102">
        <v>0.5442101669978</v>
      </c>
      <c r="G102">
        <v>1</v>
      </c>
      <c r="H102">
        <v>1</v>
      </c>
      <c r="I102" t="s">
        <v>251</v>
      </c>
    </row>
    <row r="103" spans="1:9" x14ac:dyDescent="0.2">
      <c r="A103" t="s">
        <v>252</v>
      </c>
      <c r="B103">
        <v>83</v>
      </c>
      <c r="C103">
        <v>41</v>
      </c>
      <c r="D103">
        <v>15</v>
      </c>
      <c r="E103">
        <v>0</v>
      </c>
      <c r="F103">
        <v>0.12802087500313</v>
      </c>
      <c r="G103">
        <v>1</v>
      </c>
      <c r="H103">
        <v>1</v>
      </c>
      <c r="I103" t="s">
        <v>253</v>
      </c>
    </row>
    <row r="104" spans="1:9" x14ac:dyDescent="0.2">
      <c r="A104" t="s">
        <v>254</v>
      </c>
      <c r="B104">
        <v>84</v>
      </c>
      <c r="C104">
        <v>42</v>
      </c>
      <c r="D104">
        <v>15</v>
      </c>
      <c r="E104">
        <v>0</v>
      </c>
      <c r="F104">
        <v>0.145614540997485</v>
      </c>
      <c r="G104">
        <v>1</v>
      </c>
      <c r="H104">
        <v>1</v>
      </c>
      <c r="I104" t="s">
        <v>255</v>
      </c>
    </row>
    <row r="105" spans="1:9" x14ac:dyDescent="0.2">
      <c r="A105" t="s">
        <v>256</v>
      </c>
      <c r="B105">
        <v>85</v>
      </c>
      <c r="C105">
        <v>23</v>
      </c>
      <c r="D105">
        <v>24</v>
      </c>
      <c r="E105">
        <v>0</v>
      </c>
      <c r="F105">
        <v>6.4146374999836497E-2</v>
      </c>
      <c r="G105">
        <v>1</v>
      </c>
      <c r="H105">
        <v>1</v>
      </c>
      <c r="I105" t="s">
        <v>257</v>
      </c>
    </row>
    <row r="106" spans="1:9" x14ac:dyDescent="0.2">
      <c r="A106" t="s">
        <v>258</v>
      </c>
      <c r="B106">
        <v>86</v>
      </c>
      <c r="C106">
        <v>23</v>
      </c>
      <c r="D106">
        <v>25</v>
      </c>
      <c r="E106">
        <v>0</v>
      </c>
      <c r="F106">
        <v>5.88789999965229E-2</v>
      </c>
      <c r="G106">
        <v>1</v>
      </c>
      <c r="H106">
        <v>1</v>
      </c>
      <c r="I106" t="s">
        <v>259</v>
      </c>
    </row>
    <row r="107" spans="1:9" x14ac:dyDescent="0.2">
      <c r="A107" t="s">
        <v>260</v>
      </c>
      <c r="B107">
        <v>87</v>
      </c>
      <c r="C107">
        <v>45</v>
      </c>
      <c r="D107">
        <v>15</v>
      </c>
      <c r="E107">
        <v>0</v>
      </c>
      <c r="F107">
        <v>1.2414520840029499</v>
      </c>
      <c r="G107">
        <v>1</v>
      </c>
      <c r="H107">
        <v>1</v>
      </c>
      <c r="I107" t="s">
        <v>261</v>
      </c>
    </row>
    <row r="108" spans="1:9" x14ac:dyDescent="0.2">
      <c r="A108" t="s">
        <v>262</v>
      </c>
      <c r="B108">
        <v>88</v>
      </c>
      <c r="C108">
        <v>49</v>
      </c>
      <c r="D108">
        <v>13</v>
      </c>
      <c r="E108">
        <v>0</v>
      </c>
      <c r="F108">
        <v>116.846370375002</v>
      </c>
      <c r="G108">
        <v>1</v>
      </c>
      <c r="H108">
        <v>1</v>
      </c>
      <c r="I108" t="s">
        <v>263</v>
      </c>
    </row>
    <row r="109" spans="1:9" x14ac:dyDescent="0.2">
      <c r="A109" t="s">
        <v>264</v>
      </c>
      <c r="B109">
        <v>89</v>
      </c>
      <c r="C109">
        <v>32</v>
      </c>
      <c r="D109">
        <v>21</v>
      </c>
      <c r="E109">
        <v>0</v>
      </c>
      <c r="F109">
        <v>0.25013508299889498</v>
      </c>
      <c r="G109">
        <v>1</v>
      </c>
      <c r="H109">
        <v>1</v>
      </c>
      <c r="I109" t="s">
        <v>265</v>
      </c>
    </row>
    <row r="110" spans="1:9" x14ac:dyDescent="0.2">
      <c r="A110" t="s">
        <v>266</v>
      </c>
      <c r="B110">
        <v>90</v>
      </c>
      <c r="C110">
        <v>33</v>
      </c>
      <c r="D110">
        <v>21</v>
      </c>
      <c r="E110">
        <v>0</v>
      </c>
      <c r="F110">
        <v>0.50218012499681197</v>
      </c>
      <c r="G110">
        <v>1</v>
      </c>
      <c r="H110">
        <v>1</v>
      </c>
      <c r="I110" t="s">
        <v>267</v>
      </c>
    </row>
    <row r="111" spans="1:9" x14ac:dyDescent="0.2">
      <c r="A111" t="s">
        <v>268</v>
      </c>
      <c r="B111">
        <v>91</v>
      </c>
      <c r="C111">
        <v>26</v>
      </c>
      <c r="D111">
        <v>25</v>
      </c>
      <c r="E111">
        <v>0</v>
      </c>
      <c r="F111">
        <v>7.3289208005007794E-2</v>
      </c>
      <c r="G111">
        <v>1</v>
      </c>
      <c r="H111">
        <v>1</v>
      </c>
      <c r="I111" t="s">
        <v>269</v>
      </c>
    </row>
    <row r="112" spans="1:9" x14ac:dyDescent="0.2">
      <c r="A112" t="s">
        <v>270</v>
      </c>
      <c r="B112">
        <v>92</v>
      </c>
      <c r="C112">
        <v>52</v>
      </c>
      <c r="D112">
        <v>13</v>
      </c>
      <c r="E112">
        <v>0</v>
      </c>
      <c r="F112">
        <v>676.84917833399902</v>
      </c>
      <c r="G112">
        <v>1</v>
      </c>
      <c r="H112">
        <v>1</v>
      </c>
      <c r="I112" t="s">
        <v>271</v>
      </c>
    </row>
    <row r="113" spans="1:9" x14ac:dyDescent="0.2">
      <c r="A113" t="s">
        <v>272</v>
      </c>
      <c r="B113">
        <v>93</v>
      </c>
      <c r="C113">
        <v>53</v>
      </c>
      <c r="D113">
        <v>13</v>
      </c>
      <c r="E113">
        <v>0</v>
      </c>
      <c r="F113">
        <v>860.68276929100102</v>
      </c>
      <c r="G113">
        <v>1</v>
      </c>
      <c r="H113">
        <v>1</v>
      </c>
      <c r="I113" t="s">
        <v>273</v>
      </c>
    </row>
    <row r="114" spans="1:9" x14ac:dyDescent="0.2">
      <c r="A114" t="s">
        <v>274</v>
      </c>
      <c r="B114">
        <v>94</v>
      </c>
      <c r="C114">
        <v>54</v>
      </c>
      <c r="D114">
        <v>13</v>
      </c>
      <c r="E114">
        <v>0</v>
      </c>
      <c r="F114">
        <v>1092.68203474999</v>
      </c>
      <c r="G114">
        <v>1</v>
      </c>
      <c r="H114">
        <v>1</v>
      </c>
      <c r="I114" t="s">
        <v>275</v>
      </c>
    </row>
    <row r="115" spans="1:9" x14ac:dyDescent="0.2">
      <c r="A115" t="s">
        <v>276</v>
      </c>
      <c r="B115">
        <v>95</v>
      </c>
      <c r="C115">
        <v>46</v>
      </c>
      <c r="D115">
        <v>17</v>
      </c>
      <c r="E115">
        <v>0</v>
      </c>
      <c r="F115">
        <v>0.95396887500101002</v>
      </c>
      <c r="G115">
        <v>1</v>
      </c>
      <c r="H115">
        <v>1</v>
      </c>
      <c r="I115" t="s">
        <v>277</v>
      </c>
    </row>
    <row r="116" spans="1:9" x14ac:dyDescent="0.2">
      <c r="A116" t="s">
        <v>278</v>
      </c>
      <c r="B116">
        <v>96</v>
      </c>
      <c r="C116">
        <v>48</v>
      </c>
      <c r="D116">
        <v>16</v>
      </c>
      <c r="E116">
        <v>0</v>
      </c>
      <c r="F116">
        <v>0.44240575000003401</v>
      </c>
      <c r="G116">
        <v>1</v>
      </c>
      <c r="H116">
        <v>1</v>
      </c>
      <c r="I116" t="s">
        <v>279</v>
      </c>
    </row>
    <row r="117" spans="1:9" x14ac:dyDescent="0.2">
      <c r="A117" t="s">
        <v>280</v>
      </c>
      <c r="B117">
        <v>97</v>
      </c>
      <c r="C117">
        <v>50</v>
      </c>
      <c r="D117">
        <v>15</v>
      </c>
      <c r="E117">
        <v>0</v>
      </c>
      <c r="F117">
        <v>2.7820707499995398</v>
      </c>
      <c r="G117">
        <v>1</v>
      </c>
      <c r="H117">
        <v>1</v>
      </c>
      <c r="I117" t="s">
        <v>281</v>
      </c>
    </row>
    <row r="118" spans="1:9" x14ac:dyDescent="0.2">
      <c r="A118" t="s">
        <v>282</v>
      </c>
      <c r="B118">
        <v>98</v>
      </c>
      <c r="C118">
        <v>51</v>
      </c>
      <c r="D118">
        <v>15</v>
      </c>
      <c r="E118">
        <v>0</v>
      </c>
      <c r="F118">
        <v>9.7526237499987403</v>
      </c>
      <c r="G118">
        <v>1</v>
      </c>
      <c r="H118">
        <v>1</v>
      </c>
      <c r="I118" t="s">
        <v>283</v>
      </c>
    </row>
    <row r="119" spans="1:9" x14ac:dyDescent="0.2">
      <c r="A119" t="s">
        <v>284</v>
      </c>
      <c r="B119">
        <v>99</v>
      </c>
      <c r="C119">
        <v>52</v>
      </c>
      <c r="D119">
        <v>15</v>
      </c>
      <c r="E119">
        <v>0</v>
      </c>
      <c r="F119">
        <v>19.511674583998602</v>
      </c>
      <c r="G119">
        <v>1</v>
      </c>
      <c r="H119">
        <v>1</v>
      </c>
      <c r="I119" t="s">
        <v>285</v>
      </c>
    </row>
    <row r="120" spans="1:9" x14ac:dyDescent="0.2">
      <c r="A120" t="s">
        <v>286</v>
      </c>
      <c r="B120">
        <v>100</v>
      </c>
      <c r="C120">
        <v>52</v>
      </c>
      <c r="D120">
        <v>16</v>
      </c>
      <c r="E120">
        <v>0</v>
      </c>
      <c r="F120">
        <v>19.585598333003801</v>
      </c>
      <c r="G120">
        <v>1</v>
      </c>
      <c r="H120">
        <v>1</v>
      </c>
      <c r="I120" t="s">
        <v>287</v>
      </c>
    </row>
    <row r="121" spans="1:9" x14ac:dyDescent="0.2">
      <c r="A121" t="s">
        <v>288</v>
      </c>
      <c r="B121">
        <v>101</v>
      </c>
      <c r="C121">
        <v>53</v>
      </c>
      <c r="D121">
        <v>15</v>
      </c>
      <c r="E121">
        <v>0</v>
      </c>
      <c r="F121">
        <v>23.259848791996699</v>
      </c>
      <c r="G121">
        <v>1</v>
      </c>
      <c r="H121">
        <v>1</v>
      </c>
      <c r="I121" t="s">
        <v>289</v>
      </c>
    </row>
    <row r="122" spans="1:9" x14ac:dyDescent="0.2">
      <c r="A122" t="s">
        <v>290</v>
      </c>
      <c r="B122">
        <v>102</v>
      </c>
      <c r="C122">
        <v>54</v>
      </c>
      <c r="D122">
        <v>15</v>
      </c>
      <c r="E122">
        <v>0</v>
      </c>
      <c r="F122">
        <v>79.715552583002093</v>
      </c>
      <c r="G122">
        <v>1</v>
      </c>
      <c r="H122">
        <v>1</v>
      </c>
      <c r="I122" t="s">
        <v>291</v>
      </c>
    </row>
    <row r="123" spans="1:9" x14ac:dyDescent="0.2">
      <c r="A123" t="s">
        <v>292</v>
      </c>
      <c r="B123">
        <v>103</v>
      </c>
      <c r="C123">
        <v>34</v>
      </c>
      <c r="D123">
        <v>25</v>
      </c>
      <c r="E123">
        <v>0</v>
      </c>
      <c r="F123">
        <v>0.17037441700085701</v>
      </c>
      <c r="G123">
        <v>1</v>
      </c>
      <c r="H123">
        <v>1</v>
      </c>
      <c r="I123" t="s">
        <v>293</v>
      </c>
    </row>
    <row r="124" spans="1:9" x14ac:dyDescent="0.2">
      <c r="A124" t="s">
        <v>294</v>
      </c>
      <c r="B124">
        <v>104</v>
      </c>
      <c r="C124">
        <v>28</v>
      </c>
      <c r="D124">
        <v>29</v>
      </c>
      <c r="E124">
        <v>0</v>
      </c>
      <c r="F124">
        <v>0.138497583000571</v>
      </c>
      <c r="G124">
        <v>1</v>
      </c>
      <c r="H124">
        <v>1</v>
      </c>
      <c r="I124" t="s">
        <v>295</v>
      </c>
    </row>
    <row r="125" spans="1:9" x14ac:dyDescent="0.2">
      <c r="A125" t="s">
        <v>296</v>
      </c>
      <c r="B125">
        <v>105</v>
      </c>
      <c r="C125">
        <v>54</v>
      </c>
      <c r="D125">
        <v>17</v>
      </c>
      <c r="E125">
        <v>0</v>
      </c>
      <c r="F125">
        <v>27.590027917001802</v>
      </c>
      <c r="G125">
        <v>1</v>
      </c>
      <c r="H125">
        <v>1</v>
      </c>
      <c r="I125" t="s">
        <v>297</v>
      </c>
    </row>
    <row r="126" spans="1:9" x14ac:dyDescent="0.2">
      <c r="A126" t="s">
        <v>298</v>
      </c>
      <c r="B126">
        <v>106</v>
      </c>
      <c r="C126">
        <v>44</v>
      </c>
      <c r="D126">
        <v>21</v>
      </c>
      <c r="E126">
        <v>0</v>
      </c>
      <c r="F126">
        <v>10.107215582997</v>
      </c>
      <c r="G126">
        <v>1</v>
      </c>
      <c r="H126">
        <v>1</v>
      </c>
      <c r="I126" t="s">
        <v>299</v>
      </c>
    </row>
    <row r="127" spans="1:9" x14ac:dyDescent="0.2">
      <c r="A127" t="s">
        <v>300</v>
      </c>
      <c r="B127">
        <v>107</v>
      </c>
      <c r="C127">
        <v>45</v>
      </c>
      <c r="D127">
        <v>21</v>
      </c>
      <c r="E127">
        <v>0</v>
      </c>
      <c r="F127">
        <v>12.7122682499975</v>
      </c>
      <c r="G127">
        <v>1</v>
      </c>
      <c r="H127">
        <v>1</v>
      </c>
      <c r="I127" t="s">
        <v>301</v>
      </c>
    </row>
    <row r="128" spans="1:9" x14ac:dyDescent="0.2">
      <c r="A128" t="s">
        <v>302</v>
      </c>
      <c r="B128">
        <v>108</v>
      </c>
      <c r="C128">
        <v>55</v>
      </c>
      <c r="D128">
        <v>17</v>
      </c>
      <c r="E128">
        <v>0</v>
      </c>
      <c r="F128">
        <v>19.4610055420052</v>
      </c>
      <c r="G128">
        <v>1</v>
      </c>
      <c r="H128">
        <v>1</v>
      </c>
      <c r="I128" t="s">
        <v>303</v>
      </c>
    </row>
    <row r="129" spans="1:9" x14ac:dyDescent="0.2">
      <c r="A129" t="s">
        <v>304</v>
      </c>
      <c r="B129">
        <v>109</v>
      </c>
      <c r="C129">
        <v>37</v>
      </c>
      <c r="D129">
        <v>25</v>
      </c>
      <c r="E129">
        <v>0</v>
      </c>
      <c r="F129">
        <v>0.48542233299667698</v>
      </c>
      <c r="G129">
        <v>1</v>
      </c>
      <c r="H129">
        <v>1</v>
      </c>
      <c r="I129" t="s">
        <v>305</v>
      </c>
    </row>
    <row r="130" spans="1:9" x14ac:dyDescent="0.2">
      <c r="A130" t="s">
        <v>306</v>
      </c>
      <c r="B130">
        <v>110</v>
      </c>
      <c r="C130">
        <v>33</v>
      </c>
      <c r="D130">
        <v>28</v>
      </c>
      <c r="E130">
        <v>0</v>
      </c>
      <c r="F130">
        <v>0.346617124996555</v>
      </c>
      <c r="G130">
        <v>1</v>
      </c>
      <c r="H130">
        <v>1</v>
      </c>
      <c r="I130" t="s">
        <v>307</v>
      </c>
    </row>
    <row r="131" spans="1:9" x14ac:dyDescent="0.2">
      <c r="A131" t="s">
        <v>308</v>
      </c>
      <c r="B131">
        <v>111</v>
      </c>
      <c r="C131">
        <v>57</v>
      </c>
      <c r="D131">
        <v>17</v>
      </c>
      <c r="E131">
        <v>0</v>
      </c>
      <c r="F131">
        <v>45.196406083006799</v>
      </c>
      <c r="G131">
        <v>1</v>
      </c>
      <c r="H131">
        <v>1</v>
      </c>
      <c r="I131" t="s">
        <v>309</v>
      </c>
    </row>
    <row r="132" spans="1:9" x14ac:dyDescent="0.2">
      <c r="A132" t="s">
        <v>310</v>
      </c>
      <c r="B132">
        <v>112</v>
      </c>
      <c r="C132">
        <v>36</v>
      </c>
      <c r="D132">
        <v>27</v>
      </c>
      <c r="E132">
        <v>0</v>
      </c>
      <c r="F132">
        <v>0.395964541996363</v>
      </c>
      <c r="G132">
        <v>1</v>
      </c>
      <c r="H132">
        <v>1</v>
      </c>
      <c r="I132" t="s">
        <v>311</v>
      </c>
    </row>
    <row r="133" spans="1:9" x14ac:dyDescent="0.2">
      <c r="A133" t="s">
        <v>312</v>
      </c>
      <c r="B133">
        <v>113</v>
      </c>
      <c r="C133">
        <v>26</v>
      </c>
      <c r="D133">
        <v>34</v>
      </c>
      <c r="E133">
        <v>0</v>
      </c>
      <c r="F133">
        <v>7.8568791999714394E-2</v>
      </c>
      <c r="G133">
        <v>1</v>
      </c>
      <c r="H133">
        <v>1</v>
      </c>
      <c r="I133" t="s">
        <v>313</v>
      </c>
    </row>
    <row r="134" spans="1:9" x14ac:dyDescent="0.2">
      <c r="A134" t="s">
        <v>314</v>
      </c>
      <c r="B134">
        <v>114</v>
      </c>
      <c r="C134">
        <v>27</v>
      </c>
      <c r="D134">
        <v>34</v>
      </c>
      <c r="E134">
        <v>0</v>
      </c>
      <c r="F134">
        <v>8.6042499999166397E-2</v>
      </c>
      <c r="G134">
        <v>1</v>
      </c>
      <c r="H134">
        <v>1</v>
      </c>
      <c r="I134" t="s">
        <v>315</v>
      </c>
    </row>
    <row r="135" spans="1:9" x14ac:dyDescent="0.2">
      <c r="A135" t="s">
        <v>316</v>
      </c>
      <c r="B135">
        <v>115</v>
      </c>
      <c r="C135">
        <v>29</v>
      </c>
      <c r="D135">
        <v>33</v>
      </c>
      <c r="E135">
        <v>0</v>
      </c>
      <c r="F135">
        <v>0.108733082997787</v>
      </c>
      <c r="G135">
        <v>1</v>
      </c>
      <c r="H135">
        <v>1</v>
      </c>
      <c r="I135" t="s">
        <v>317</v>
      </c>
    </row>
    <row r="136" spans="1:9" x14ac:dyDescent="0.2">
      <c r="A136" t="s">
        <v>318</v>
      </c>
      <c r="B136">
        <v>116</v>
      </c>
      <c r="C136">
        <v>28</v>
      </c>
      <c r="D136">
        <v>34</v>
      </c>
      <c r="E136">
        <v>0</v>
      </c>
      <c r="F136">
        <v>9.7802833006426199E-2</v>
      </c>
      <c r="G136">
        <v>1</v>
      </c>
      <c r="H136">
        <v>1</v>
      </c>
      <c r="I136" t="s">
        <v>319</v>
      </c>
    </row>
    <row r="137" spans="1:9" x14ac:dyDescent="0.2">
      <c r="A137" t="s">
        <v>320</v>
      </c>
      <c r="B137">
        <v>117</v>
      </c>
      <c r="C137">
        <v>29</v>
      </c>
      <c r="D137">
        <v>34</v>
      </c>
      <c r="E137">
        <v>0</v>
      </c>
      <c r="F137">
        <v>0.109405749994039</v>
      </c>
      <c r="G137">
        <v>1</v>
      </c>
      <c r="H137">
        <v>1</v>
      </c>
      <c r="I137" t="s">
        <v>321</v>
      </c>
    </row>
    <row r="138" spans="1:9" x14ac:dyDescent="0.2">
      <c r="A138" t="s">
        <v>322</v>
      </c>
      <c r="B138">
        <v>118</v>
      </c>
      <c r="C138">
        <v>29</v>
      </c>
      <c r="D138">
        <v>35</v>
      </c>
      <c r="E138">
        <v>0</v>
      </c>
      <c r="F138">
        <v>0.122703209002793</v>
      </c>
      <c r="G138">
        <v>1</v>
      </c>
      <c r="H138">
        <v>1</v>
      </c>
      <c r="I138" t="s">
        <v>323</v>
      </c>
    </row>
    <row r="139" spans="1:9" x14ac:dyDescent="0.2">
      <c r="A139" t="s">
        <v>324</v>
      </c>
      <c r="B139">
        <v>119</v>
      </c>
      <c r="C139">
        <v>28</v>
      </c>
      <c r="D139">
        <v>36</v>
      </c>
      <c r="E139">
        <v>0</v>
      </c>
      <c r="F139">
        <v>0.117941582997445</v>
      </c>
      <c r="G139">
        <v>1</v>
      </c>
      <c r="H139">
        <v>1</v>
      </c>
      <c r="I139" t="s">
        <v>325</v>
      </c>
    </row>
    <row r="140" spans="1:9" x14ac:dyDescent="0.2">
      <c r="A140" t="s">
        <v>326</v>
      </c>
      <c r="B140">
        <v>120</v>
      </c>
      <c r="C140">
        <v>29</v>
      </c>
      <c r="D140">
        <v>36</v>
      </c>
      <c r="E140">
        <v>0</v>
      </c>
      <c r="F140">
        <v>0.137007000004814</v>
      </c>
      <c r="G140">
        <v>1</v>
      </c>
      <c r="H140">
        <v>1</v>
      </c>
      <c r="I140" t="s">
        <v>327</v>
      </c>
    </row>
    <row r="141" spans="1:9" x14ac:dyDescent="0.2">
      <c r="A141" t="s">
        <v>328</v>
      </c>
      <c r="B141">
        <v>121</v>
      </c>
      <c r="C141">
        <v>29</v>
      </c>
      <c r="D141">
        <v>37</v>
      </c>
      <c r="E141">
        <v>0</v>
      </c>
      <c r="F141">
        <v>0.167888541996944</v>
      </c>
      <c r="G141">
        <v>1</v>
      </c>
      <c r="H141">
        <v>1</v>
      </c>
      <c r="I141" t="s">
        <v>329</v>
      </c>
    </row>
    <row r="142" spans="1:9" x14ac:dyDescent="0.2">
      <c r="A142" t="s">
        <v>330</v>
      </c>
      <c r="B142">
        <v>122</v>
      </c>
      <c r="C142">
        <v>47</v>
      </c>
      <c r="D142">
        <v>25</v>
      </c>
      <c r="E142">
        <v>0</v>
      </c>
      <c r="F142">
        <v>294.06649633299799</v>
      </c>
      <c r="G142">
        <v>1</v>
      </c>
      <c r="H142">
        <v>1</v>
      </c>
      <c r="I142" t="s">
        <v>331</v>
      </c>
    </row>
    <row r="143" spans="1:9" x14ac:dyDescent="0.2">
      <c r="A143" t="s">
        <v>332</v>
      </c>
      <c r="B143">
        <v>123</v>
      </c>
      <c r="C143">
        <v>48</v>
      </c>
      <c r="D143">
        <v>25</v>
      </c>
      <c r="E143">
        <v>0</v>
      </c>
      <c r="F143">
        <v>382.21908308299999</v>
      </c>
      <c r="G143">
        <v>1</v>
      </c>
      <c r="H143">
        <v>1</v>
      </c>
      <c r="I143" t="s">
        <v>333</v>
      </c>
    </row>
    <row r="144" spans="1:9" x14ac:dyDescent="0.2">
      <c r="A144" t="s">
        <v>334</v>
      </c>
      <c r="B144">
        <v>124</v>
      </c>
      <c r="C144">
        <v>49</v>
      </c>
      <c r="D144">
        <v>25</v>
      </c>
      <c r="E144">
        <v>0</v>
      </c>
      <c r="F144">
        <v>493.48653816700198</v>
      </c>
      <c r="G144">
        <v>1</v>
      </c>
      <c r="H144">
        <v>1</v>
      </c>
      <c r="I144" t="s">
        <v>335</v>
      </c>
    </row>
    <row r="145" spans="1:9" x14ac:dyDescent="0.2">
      <c r="A145" t="s">
        <v>336</v>
      </c>
      <c r="B145">
        <v>125</v>
      </c>
      <c r="C145">
        <v>50</v>
      </c>
      <c r="D145">
        <v>25</v>
      </c>
      <c r="E145">
        <v>0</v>
      </c>
      <c r="F145">
        <v>633.27117074999796</v>
      </c>
      <c r="G145">
        <v>1</v>
      </c>
      <c r="H145">
        <v>1</v>
      </c>
      <c r="I145" t="s">
        <v>337</v>
      </c>
    </row>
    <row r="146" spans="1:9" x14ac:dyDescent="0.2">
      <c r="A146" t="s">
        <v>338</v>
      </c>
      <c r="B146">
        <v>126</v>
      </c>
      <c r="C146">
        <v>50</v>
      </c>
      <c r="D146">
        <v>26</v>
      </c>
      <c r="E146">
        <v>0</v>
      </c>
      <c r="F146">
        <v>985.74302745800298</v>
      </c>
      <c r="G146">
        <v>1</v>
      </c>
      <c r="H146">
        <v>1</v>
      </c>
      <c r="I146" t="s">
        <v>339</v>
      </c>
    </row>
    <row r="147" spans="1:9" x14ac:dyDescent="0.2">
      <c r="A147" t="s">
        <v>340</v>
      </c>
      <c r="B147">
        <v>127</v>
      </c>
      <c r="C147">
        <v>30</v>
      </c>
      <c r="D147">
        <v>37</v>
      </c>
      <c r="E147">
        <v>0</v>
      </c>
      <c r="F147">
        <v>0.37821241699566599</v>
      </c>
      <c r="G147">
        <v>1</v>
      </c>
      <c r="H147">
        <v>1</v>
      </c>
      <c r="I147" t="s">
        <v>341</v>
      </c>
    </row>
    <row r="148" spans="1:9" x14ac:dyDescent="0.2">
      <c r="A148" t="s">
        <v>342</v>
      </c>
      <c r="B148">
        <v>128</v>
      </c>
      <c r="C148">
        <v>44</v>
      </c>
      <c r="D148">
        <v>29</v>
      </c>
      <c r="E148">
        <v>0</v>
      </c>
      <c r="F148">
        <v>28.490223667002201</v>
      </c>
      <c r="G148">
        <v>1</v>
      </c>
      <c r="H148">
        <v>1</v>
      </c>
      <c r="I148" t="s">
        <v>343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2AA63-F63F-384B-B844-84CABBDDFA61}">
  <dimension ref="A1:I148"/>
  <sheetViews>
    <sheetView workbookViewId="0"/>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s="22" t="s">
        <v>73</v>
      </c>
    </row>
    <row r="5" spans="1:1" x14ac:dyDescent="0.2">
      <c r="A5" s="21" t="s">
        <v>74</v>
      </c>
    </row>
    <row r="6" spans="1:1" x14ac:dyDescent="0.2">
      <c r="A6" s="6" t="s">
        <v>75</v>
      </c>
    </row>
    <row r="7" spans="1:1" x14ac:dyDescent="0.2">
      <c r="A7" t="s">
        <v>76</v>
      </c>
    </row>
    <row r="8" spans="1:1" x14ac:dyDescent="0.2">
      <c r="A8" s="22" t="s">
        <v>77</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t="s">
        <v>89</v>
      </c>
    </row>
    <row r="21" spans="1:9" x14ac:dyDescent="0.2">
      <c r="A21" t="s">
        <v>90</v>
      </c>
    </row>
    <row r="22" spans="1:9" x14ac:dyDescent="0.2">
      <c r="A22" t="s">
        <v>91</v>
      </c>
    </row>
    <row r="23" spans="1:9" x14ac:dyDescent="0.2">
      <c r="A23" t="s">
        <v>92</v>
      </c>
    </row>
    <row r="24" spans="1:9" x14ac:dyDescent="0.2">
      <c r="A24" t="s">
        <v>93</v>
      </c>
    </row>
    <row r="25" spans="1:9" x14ac:dyDescent="0.2">
      <c r="A25" t="s">
        <v>94</v>
      </c>
    </row>
    <row r="26" spans="1:9" x14ac:dyDescent="0.2">
      <c r="A26" t="s">
        <v>95</v>
      </c>
    </row>
    <row r="27" spans="1:9" x14ac:dyDescent="0.2">
      <c r="A27" t="s">
        <v>96</v>
      </c>
      <c r="B27" t="s">
        <v>61</v>
      </c>
      <c r="C27" t="s">
        <v>97</v>
      </c>
      <c r="D27" t="s">
        <v>98</v>
      </c>
      <c r="E27" t="s">
        <v>99</v>
      </c>
      <c r="F27" t="s">
        <v>100</v>
      </c>
      <c r="G27" t="s">
        <v>58</v>
      </c>
      <c r="H27" t="s">
        <v>59</v>
      </c>
      <c r="I27" t="s">
        <v>101</v>
      </c>
    </row>
    <row r="28" spans="1:9" x14ac:dyDescent="0.2">
      <c r="A28" t="s">
        <v>102</v>
      </c>
      <c r="B28">
        <v>5</v>
      </c>
      <c r="C28">
        <v>3</v>
      </c>
      <c r="D28">
        <v>2</v>
      </c>
      <c r="E28">
        <v>0</v>
      </c>
      <c r="F28">
        <v>0.92031004199816302</v>
      </c>
      <c r="G28">
        <v>1</v>
      </c>
      <c r="H28">
        <v>1</v>
      </c>
      <c r="I28" t="s">
        <v>103</v>
      </c>
    </row>
    <row r="29" spans="1:9" x14ac:dyDescent="0.2">
      <c r="A29" t="s">
        <v>104</v>
      </c>
      <c r="B29">
        <v>6</v>
      </c>
      <c r="C29">
        <v>3</v>
      </c>
      <c r="D29">
        <v>3</v>
      </c>
      <c r="E29">
        <v>0</v>
      </c>
      <c r="F29">
        <v>5.9132041002157999E-2</v>
      </c>
      <c r="G29">
        <v>1</v>
      </c>
      <c r="H29">
        <v>1</v>
      </c>
      <c r="I29" t="s">
        <v>105</v>
      </c>
    </row>
    <row r="30" spans="1:9" x14ac:dyDescent="0.2">
      <c r="A30" t="s">
        <v>106</v>
      </c>
      <c r="B30">
        <v>7</v>
      </c>
      <c r="C30">
        <v>3</v>
      </c>
      <c r="D30">
        <v>4</v>
      </c>
      <c r="E30">
        <v>0</v>
      </c>
      <c r="F30">
        <v>5.9731417000875801E-2</v>
      </c>
      <c r="G30">
        <v>1</v>
      </c>
      <c r="H30">
        <v>1</v>
      </c>
      <c r="I30" t="s">
        <v>107</v>
      </c>
    </row>
    <row r="31" spans="1:9" x14ac:dyDescent="0.2">
      <c r="A31" t="s">
        <v>108</v>
      </c>
      <c r="B31">
        <v>8</v>
      </c>
      <c r="C31">
        <v>3</v>
      </c>
      <c r="D31">
        <v>4</v>
      </c>
      <c r="E31">
        <v>0</v>
      </c>
      <c r="F31">
        <v>6.1138917000789599E-2</v>
      </c>
      <c r="G31">
        <v>1</v>
      </c>
      <c r="H31">
        <v>1</v>
      </c>
      <c r="I31" t="s">
        <v>109</v>
      </c>
    </row>
    <row r="32" spans="1:9" x14ac:dyDescent="0.2">
      <c r="A32" t="s">
        <v>110</v>
      </c>
      <c r="B32">
        <v>9</v>
      </c>
      <c r="C32">
        <v>5</v>
      </c>
      <c r="D32">
        <v>3</v>
      </c>
      <c r="E32">
        <v>0</v>
      </c>
      <c r="F32">
        <v>5.8100540998566402E-2</v>
      </c>
      <c r="G32">
        <v>1</v>
      </c>
      <c r="H32">
        <v>1</v>
      </c>
      <c r="I32" t="s">
        <v>111</v>
      </c>
    </row>
    <row r="33" spans="1:9" x14ac:dyDescent="0.2">
      <c r="A33" t="s">
        <v>112</v>
      </c>
      <c r="B33">
        <v>10</v>
      </c>
      <c r="C33">
        <v>3</v>
      </c>
      <c r="D33">
        <v>5</v>
      </c>
      <c r="E33">
        <v>0</v>
      </c>
      <c r="F33">
        <v>5.4936000000452602E-2</v>
      </c>
      <c r="G33">
        <v>1</v>
      </c>
      <c r="H33">
        <v>1</v>
      </c>
      <c r="I33" t="s">
        <v>113</v>
      </c>
    </row>
    <row r="34" spans="1:9" x14ac:dyDescent="0.2">
      <c r="A34" t="s">
        <v>114</v>
      </c>
      <c r="B34">
        <v>11</v>
      </c>
      <c r="C34">
        <v>3</v>
      </c>
      <c r="D34">
        <v>6</v>
      </c>
      <c r="E34">
        <v>0</v>
      </c>
      <c r="F34">
        <v>5.8254708994354497E-2</v>
      </c>
      <c r="G34">
        <v>1</v>
      </c>
      <c r="H34">
        <v>1</v>
      </c>
      <c r="I34" t="s">
        <v>115</v>
      </c>
    </row>
    <row r="35" spans="1:9" x14ac:dyDescent="0.2">
      <c r="A35" t="s">
        <v>116</v>
      </c>
      <c r="B35">
        <v>12</v>
      </c>
      <c r="C35">
        <v>3</v>
      </c>
      <c r="D35">
        <v>6</v>
      </c>
      <c r="E35">
        <v>0</v>
      </c>
      <c r="F35">
        <v>5.5143083001894397E-2</v>
      </c>
      <c r="G35">
        <v>1</v>
      </c>
      <c r="H35">
        <v>1</v>
      </c>
      <c r="I35" t="s">
        <v>117</v>
      </c>
    </row>
    <row r="36" spans="1:9" x14ac:dyDescent="0.2">
      <c r="A36" t="s">
        <v>118</v>
      </c>
      <c r="B36">
        <v>13</v>
      </c>
      <c r="C36">
        <v>5</v>
      </c>
      <c r="D36">
        <v>5</v>
      </c>
      <c r="E36">
        <v>0</v>
      </c>
      <c r="F36">
        <v>5.5624708002142101E-2</v>
      </c>
      <c r="G36">
        <v>1</v>
      </c>
      <c r="H36">
        <v>1</v>
      </c>
      <c r="I36" t="s">
        <v>119</v>
      </c>
    </row>
    <row r="37" spans="1:9" x14ac:dyDescent="0.2">
      <c r="A37" t="s">
        <v>120</v>
      </c>
      <c r="B37">
        <v>14</v>
      </c>
      <c r="C37">
        <v>6</v>
      </c>
      <c r="D37">
        <v>5</v>
      </c>
      <c r="E37">
        <v>0</v>
      </c>
      <c r="F37">
        <v>5.6052250001812298E-2</v>
      </c>
      <c r="G37">
        <v>1</v>
      </c>
      <c r="H37">
        <v>1</v>
      </c>
      <c r="I37" t="s">
        <v>121</v>
      </c>
    </row>
    <row r="38" spans="1:9" x14ac:dyDescent="0.2">
      <c r="A38" t="s">
        <v>122</v>
      </c>
      <c r="B38">
        <v>15</v>
      </c>
      <c r="C38">
        <v>7</v>
      </c>
      <c r="D38">
        <v>5</v>
      </c>
      <c r="E38">
        <v>0</v>
      </c>
      <c r="F38">
        <v>5.6886250000388799E-2</v>
      </c>
      <c r="G38">
        <v>1</v>
      </c>
      <c r="H38">
        <v>1</v>
      </c>
      <c r="I38" t="s">
        <v>123</v>
      </c>
    </row>
    <row r="39" spans="1:9" x14ac:dyDescent="0.2">
      <c r="A39" t="s">
        <v>124</v>
      </c>
      <c r="B39">
        <v>16</v>
      </c>
      <c r="C39">
        <v>8</v>
      </c>
      <c r="D39">
        <v>5</v>
      </c>
      <c r="E39">
        <v>0</v>
      </c>
      <c r="F39">
        <v>5.6987749994732398E-2</v>
      </c>
      <c r="G39">
        <v>1</v>
      </c>
      <c r="H39">
        <v>1</v>
      </c>
      <c r="I39" t="s">
        <v>125</v>
      </c>
    </row>
    <row r="40" spans="1:9" x14ac:dyDescent="0.2">
      <c r="A40" t="s">
        <v>126</v>
      </c>
      <c r="B40">
        <v>20</v>
      </c>
      <c r="C40">
        <v>5</v>
      </c>
      <c r="D40">
        <v>9</v>
      </c>
      <c r="E40">
        <v>0</v>
      </c>
      <c r="F40">
        <v>5.8010291999380501E-2</v>
      </c>
      <c r="G40">
        <v>1</v>
      </c>
      <c r="H40">
        <v>1</v>
      </c>
      <c r="I40" t="s">
        <v>127</v>
      </c>
    </row>
    <row r="41" spans="1:9" x14ac:dyDescent="0.2">
      <c r="A41" t="s">
        <v>128</v>
      </c>
      <c r="B41">
        <v>21</v>
      </c>
      <c r="C41">
        <v>5</v>
      </c>
      <c r="D41">
        <v>10</v>
      </c>
      <c r="E41">
        <v>0</v>
      </c>
      <c r="F41">
        <v>5.5484625001554301E-2</v>
      </c>
      <c r="G41">
        <v>1</v>
      </c>
      <c r="H41">
        <v>1</v>
      </c>
      <c r="I41" t="s">
        <v>129</v>
      </c>
    </row>
    <row r="42" spans="1:9" x14ac:dyDescent="0.2">
      <c r="A42" t="s">
        <v>130</v>
      </c>
      <c r="B42">
        <v>22</v>
      </c>
      <c r="C42">
        <v>6</v>
      </c>
      <c r="D42">
        <v>9</v>
      </c>
      <c r="E42">
        <v>0</v>
      </c>
      <c r="F42">
        <v>5.5288000003201797E-2</v>
      </c>
      <c r="G42">
        <v>1</v>
      </c>
      <c r="H42">
        <v>1</v>
      </c>
      <c r="I42" t="s">
        <v>131</v>
      </c>
    </row>
    <row r="43" spans="1:9" x14ac:dyDescent="0.2">
      <c r="A43" t="s">
        <v>132</v>
      </c>
      <c r="B43">
        <v>23</v>
      </c>
      <c r="C43">
        <v>7</v>
      </c>
      <c r="D43">
        <v>9</v>
      </c>
      <c r="E43">
        <v>0</v>
      </c>
      <c r="F43">
        <v>5.8467582995945101E-2</v>
      </c>
      <c r="G43">
        <v>1</v>
      </c>
      <c r="H43">
        <v>1</v>
      </c>
      <c r="I43" t="s">
        <v>133</v>
      </c>
    </row>
    <row r="44" spans="1:9" x14ac:dyDescent="0.2">
      <c r="A44" t="s">
        <v>134</v>
      </c>
      <c r="B44">
        <v>24</v>
      </c>
      <c r="C44">
        <v>3</v>
      </c>
      <c r="D44">
        <v>13</v>
      </c>
      <c r="E44">
        <v>0</v>
      </c>
      <c r="F44">
        <v>5.3659417004382703E-2</v>
      </c>
      <c r="G44">
        <v>1</v>
      </c>
      <c r="H44">
        <v>1</v>
      </c>
      <c r="I44" t="s">
        <v>135</v>
      </c>
    </row>
    <row r="45" spans="1:9" x14ac:dyDescent="0.2">
      <c r="A45" t="s">
        <v>136</v>
      </c>
      <c r="B45">
        <v>25</v>
      </c>
      <c r="C45">
        <v>15</v>
      </c>
      <c r="D45">
        <v>5</v>
      </c>
      <c r="E45">
        <v>0</v>
      </c>
      <c r="F45">
        <v>5.6709999997110502E-2</v>
      </c>
      <c r="G45">
        <v>1</v>
      </c>
      <c r="H45">
        <v>1</v>
      </c>
      <c r="I45" t="s">
        <v>137</v>
      </c>
    </row>
    <row r="46" spans="1:9" x14ac:dyDescent="0.2">
      <c r="A46" t="s">
        <v>138</v>
      </c>
      <c r="B46">
        <v>26</v>
      </c>
      <c r="C46">
        <v>9</v>
      </c>
      <c r="D46">
        <v>9</v>
      </c>
      <c r="E46">
        <v>0</v>
      </c>
      <c r="F46">
        <v>5.6378624998615103E-2</v>
      </c>
      <c r="G46">
        <v>1</v>
      </c>
      <c r="H46">
        <v>1</v>
      </c>
      <c r="I46" t="s">
        <v>139</v>
      </c>
    </row>
    <row r="47" spans="1:9" x14ac:dyDescent="0.2">
      <c r="A47" t="s">
        <v>140</v>
      </c>
      <c r="B47">
        <v>27</v>
      </c>
      <c r="C47">
        <v>10</v>
      </c>
      <c r="D47">
        <v>9</v>
      </c>
      <c r="E47">
        <v>0</v>
      </c>
      <c r="F47">
        <v>5.6651292004971703E-2</v>
      </c>
      <c r="G47">
        <v>1</v>
      </c>
      <c r="H47">
        <v>1</v>
      </c>
      <c r="I47" t="s">
        <v>141</v>
      </c>
    </row>
    <row r="48" spans="1:9" x14ac:dyDescent="0.2">
      <c r="A48" t="s">
        <v>142</v>
      </c>
      <c r="B48">
        <v>28</v>
      </c>
      <c r="C48">
        <v>18</v>
      </c>
      <c r="D48">
        <v>5</v>
      </c>
      <c r="E48">
        <v>0</v>
      </c>
      <c r="F48">
        <v>5.5864499998278902E-2</v>
      </c>
      <c r="G48">
        <v>1</v>
      </c>
      <c r="H48">
        <v>1</v>
      </c>
      <c r="I48" t="s">
        <v>143</v>
      </c>
    </row>
    <row r="49" spans="1:9" x14ac:dyDescent="0.2">
      <c r="A49" t="s">
        <v>144</v>
      </c>
      <c r="B49">
        <v>29</v>
      </c>
      <c r="C49">
        <v>6</v>
      </c>
      <c r="D49">
        <v>13</v>
      </c>
      <c r="E49">
        <v>0</v>
      </c>
      <c r="F49">
        <v>5.8239165999111699E-2</v>
      </c>
      <c r="G49">
        <v>1</v>
      </c>
      <c r="H49">
        <v>1</v>
      </c>
      <c r="I49" t="s">
        <v>145</v>
      </c>
    </row>
    <row r="50" spans="1:9" x14ac:dyDescent="0.2">
      <c r="A50" t="s">
        <v>146</v>
      </c>
      <c r="B50">
        <v>30</v>
      </c>
      <c r="C50">
        <v>6</v>
      </c>
      <c r="D50">
        <v>14</v>
      </c>
      <c r="E50">
        <v>0</v>
      </c>
      <c r="F50">
        <v>5.6752208998659598E-2</v>
      </c>
      <c r="G50">
        <v>1</v>
      </c>
      <c r="H50">
        <v>1</v>
      </c>
      <c r="I50" t="s">
        <v>147</v>
      </c>
    </row>
    <row r="51" spans="1:9" x14ac:dyDescent="0.2">
      <c r="A51" t="s">
        <v>148</v>
      </c>
      <c r="B51">
        <v>31</v>
      </c>
      <c r="C51">
        <v>3</v>
      </c>
      <c r="D51">
        <v>17</v>
      </c>
      <c r="E51">
        <v>0</v>
      </c>
      <c r="F51">
        <v>5.4078790999483303E-2</v>
      </c>
      <c r="G51">
        <v>1</v>
      </c>
      <c r="H51">
        <v>1</v>
      </c>
      <c r="I51" t="s">
        <v>149</v>
      </c>
    </row>
    <row r="52" spans="1:9" x14ac:dyDescent="0.2">
      <c r="A52" t="s">
        <v>150</v>
      </c>
      <c r="B52">
        <v>32</v>
      </c>
      <c r="C52">
        <v>8</v>
      </c>
      <c r="D52">
        <v>13</v>
      </c>
      <c r="E52">
        <v>0</v>
      </c>
      <c r="F52">
        <v>5.7315792000736103E-2</v>
      </c>
      <c r="G52">
        <v>1</v>
      </c>
      <c r="H52">
        <v>1</v>
      </c>
      <c r="I52" t="s">
        <v>151</v>
      </c>
    </row>
    <row r="53" spans="1:9" x14ac:dyDescent="0.2">
      <c r="A53" t="s">
        <v>152</v>
      </c>
      <c r="B53">
        <v>33</v>
      </c>
      <c r="C53">
        <v>18</v>
      </c>
      <c r="D53">
        <v>7</v>
      </c>
      <c r="E53">
        <v>0</v>
      </c>
      <c r="F53">
        <v>5.5822166999860201E-2</v>
      </c>
      <c r="G53">
        <v>1</v>
      </c>
      <c r="H53">
        <v>1</v>
      </c>
      <c r="I53" t="s">
        <v>153</v>
      </c>
    </row>
    <row r="54" spans="1:9" x14ac:dyDescent="0.2">
      <c r="A54" t="s">
        <v>154</v>
      </c>
      <c r="B54">
        <v>34</v>
      </c>
      <c r="C54">
        <v>4</v>
      </c>
      <c r="D54">
        <v>17</v>
      </c>
      <c r="E54">
        <v>0</v>
      </c>
      <c r="F54">
        <v>5.5268957999942303E-2</v>
      </c>
      <c r="G54">
        <v>1</v>
      </c>
      <c r="H54">
        <v>1</v>
      </c>
      <c r="I54" t="s">
        <v>155</v>
      </c>
    </row>
    <row r="55" spans="1:9" x14ac:dyDescent="0.2">
      <c r="A55" t="s">
        <v>156</v>
      </c>
      <c r="B55">
        <v>35</v>
      </c>
      <c r="C55">
        <v>20</v>
      </c>
      <c r="D55">
        <v>7</v>
      </c>
      <c r="E55">
        <v>0</v>
      </c>
      <c r="F55">
        <v>5.6638833004399203E-2</v>
      </c>
      <c r="G55">
        <v>1</v>
      </c>
      <c r="H55">
        <v>1</v>
      </c>
      <c r="I55" t="s">
        <v>157</v>
      </c>
    </row>
    <row r="56" spans="1:9" x14ac:dyDescent="0.2">
      <c r="A56" t="s">
        <v>158</v>
      </c>
      <c r="B56">
        <v>36</v>
      </c>
      <c r="C56">
        <v>5</v>
      </c>
      <c r="D56">
        <v>17</v>
      </c>
      <c r="E56">
        <v>0</v>
      </c>
      <c r="F56">
        <v>5.9016374994826003E-2</v>
      </c>
      <c r="G56">
        <v>1</v>
      </c>
      <c r="H56">
        <v>1</v>
      </c>
      <c r="I56" t="s">
        <v>159</v>
      </c>
    </row>
    <row r="57" spans="1:9" x14ac:dyDescent="0.2">
      <c r="A57" t="s">
        <v>160</v>
      </c>
      <c r="B57">
        <v>37</v>
      </c>
      <c r="C57">
        <v>6</v>
      </c>
      <c r="D57">
        <v>17</v>
      </c>
      <c r="E57">
        <v>0</v>
      </c>
      <c r="F57">
        <v>5.5898792001244098E-2</v>
      </c>
      <c r="G57">
        <v>1</v>
      </c>
      <c r="H57">
        <v>1</v>
      </c>
      <c r="I57" t="s">
        <v>161</v>
      </c>
    </row>
    <row r="58" spans="1:9" x14ac:dyDescent="0.2">
      <c r="A58" t="s">
        <v>162</v>
      </c>
      <c r="B58">
        <v>38</v>
      </c>
      <c r="C58">
        <v>3</v>
      </c>
      <c r="D58">
        <v>21</v>
      </c>
      <c r="E58">
        <v>0</v>
      </c>
      <c r="F58">
        <v>5.5214749998412999E-2</v>
      </c>
      <c r="G58">
        <v>1</v>
      </c>
      <c r="H58">
        <v>1</v>
      </c>
      <c r="I58" t="s">
        <v>163</v>
      </c>
    </row>
    <row r="59" spans="1:9" x14ac:dyDescent="0.2">
      <c r="A59" t="s">
        <v>164</v>
      </c>
      <c r="B59">
        <v>39</v>
      </c>
      <c r="C59">
        <v>7</v>
      </c>
      <c r="D59">
        <v>17</v>
      </c>
      <c r="E59">
        <v>0</v>
      </c>
      <c r="F59">
        <v>5.64742499991552E-2</v>
      </c>
      <c r="G59">
        <v>1</v>
      </c>
      <c r="H59">
        <v>1</v>
      </c>
      <c r="I59" t="s">
        <v>165</v>
      </c>
    </row>
    <row r="60" spans="1:9" x14ac:dyDescent="0.2">
      <c r="A60" t="s">
        <v>166</v>
      </c>
      <c r="B60">
        <v>40</v>
      </c>
      <c r="C60">
        <v>13</v>
      </c>
      <c r="D60">
        <v>13</v>
      </c>
      <c r="E60">
        <v>0</v>
      </c>
      <c r="F60">
        <v>5.51419170005829E-2</v>
      </c>
      <c r="G60">
        <v>1</v>
      </c>
      <c r="H60">
        <v>1</v>
      </c>
      <c r="I60" t="s">
        <v>167</v>
      </c>
    </row>
    <row r="61" spans="1:9" x14ac:dyDescent="0.2">
      <c r="A61" t="s">
        <v>168</v>
      </c>
      <c r="B61">
        <v>41</v>
      </c>
      <c r="C61">
        <v>8</v>
      </c>
      <c r="D61">
        <v>17</v>
      </c>
      <c r="E61">
        <v>0</v>
      </c>
      <c r="F61">
        <v>5.7326207999722101E-2</v>
      </c>
      <c r="G61">
        <v>1</v>
      </c>
      <c r="H61">
        <v>1</v>
      </c>
      <c r="I61" t="s">
        <v>169</v>
      </c>
    </row>
    <row r="62" spans="1:9" x14ac:dyDescent="0.2">
      <c r="A62" t="s">
        <v>170</v>
      </c>
      <c r="B62">
        <v>42</v>
      </c>
      <c r="C62">
        <v>9</v>
      </c>
      <c r="D62">
        <v>17</v>
      </c>
      <c r="E62">
        <v>0</v>
      </c>
      <c r="F62">
        <v>5.4675500003213501E-2</v>
      </c>
      <c r="G62">
        <v>1</v>
      </c>
      <c r="H62">
        <v>1</v>
      </c>
      <c r="I62" t="s">
        <v>171</v>
      </c>
    </row>
    <row r="63" spans="1:9" x14ac:dyDescent="0.2">
      <c r="A63" t="s">
        <v>172</v>
      </c>
      <c r="B63">
        <v>43</v>
      </c>
      <c r="C63">
        <v>22</v>
      </c>
      <c r="D63">
        <v>9</v>
      </c>
      <c r="E63">
        <v>0</v>
      </c>
      <c r="F63">
        <v>5.6178500002715702E-2</v>
      </c>
      <c r="G63">
        <v>1</v>
      </c>
      <c r="H63">
        <v>1</v>
      </c>
      <c r="I63" t="s">
        <v>173</v>
      </c>
    </row>
    <row r="64" spans="1:9" x14ac:dyDescent="0.2">
      <c r="A64" t="s">
        <v>174</v>
      </c>
      <c r="B64">
        <v>44</v>
      </c>
      <c r="C64">
        <v>23</v>
      </c>
      <c r="D64">
        <v>9</v>
      </c>
      <c r="E64">
        <v>0</v>
      </c>
      <c r="F64">
        <v>5.6413457998132799E-2</v>
      </c>
      <c r="G64">
        <v>1</v>
      </c>
      <c r="H64">
        <v>1</v>
      </c>
      <c r="I64" t="s">
        <v>175</v>
      </c>
    </row>
    <row r="65" spans="1:9" x14ac:dyDescent="0.2">
      <c r="A65" t="s">
        <v>176</v>
      </c>
      <c r="B65">
        <v>45</v>
      </c>
      <c r="C65">
        <v>24</v>
      </c>
      <c r="D65">
        <v>9</v>
      </c>
      <c r="E65">
        <v>0</v>
      </c>
      <c r="F65">
        <v>5.5199041999003301E-2</v>
      </c>
      <c r="G65">
        <v>1</v>
      </c>
      <c r="H65">
        <v>1</v>
      </c>
      <c r="I65" t="s">
        <v>177</v>
      </c>
    </row>
    <row r="66" spans="1:9" x14ac:dyDescent="0.2">
      <c r="A66" t="s">
        <v>178</v>
      </c>
      <c r="B66">
        <v>46</v>
      </c>
      <c r="C66">
        <v>15</v>
      </c>
      <c r="D66">
        <v>15</v>
      </c>
      <c r="E66">
        <v>0</v>
      </c>
      <c r="F66">
        <v>5.5654957999649902E-2</v>
      </c>
      <c r="G66">
        <v>1</v>
      </c>
      <c r="H66">
        <v>1</v>
      </c>
      <c r="I66" t="s">
        <v>179</v>
      </c>
    </row>
    <row r="67" spans="1:9" x14ac:dyDescent="0.2">
      <c r="A67" t="s">
        <v>180</v>
      </c>
      <c r="B67">
        <v>47</v>
      </c>
      <c r="C67">
        <v>25</v>
      </c>
      <c r="D67">
        <v>9</v>
      </c>
      <c r="E67">
        <v>0</v>
      </c>
      <c r="F67">
        <v>5.6346792000113E-2</v>
      </c>
      <c r="G67">
        <v>1</v>
      </c>
      <c r="H67">
        <v>1</v>
      </c>
      <c r="I67" t="s">
        <v>181</v>
      </c>
    </row>
    <row r="68" spans="1:9" x14ac:dyDescent="0.2">
      <c r="A68" t="s">
        <v>182</v>
      </c>
      <c r="B68">
        <v>48</v>
      </c>
      <c r="C68">
        <v>26</v>
      </c>
      <c r="D68">
        <v>9</v>
      </c>
      <c r="E68">
        <v>0</v>
      </c>
      <c r="F68">
        <v>5.77062919983291E-2</v>
      </c>
      <c r="G68">
        <v>1</v>
      </c>
      <c r="H68">
        <v>1</v>
      </c>
      <c r="I68" t="s">
        <v>183</v>
      </c>
    </row>
    <row r="69" spans="1:9" x14ac:dyDescent="0.2">
      <c r="A69" t="s">
        <v>184</v>
      </c>
      <c r="B69">
        <v>49</v>
      </c>
      <c r="C69">
        <v>4</v>
      </c>
      <c r="D69">
        <v>25</v>
      </c>
      <c r="E69">
        <v>0</v>
      </c>
      <c r="F69">
        <v>5.4450458002975197E-2</v>
      </c>
      <c r="G69">
        <v>1</v>
      </c>
      <c r="H69">
        <v>1</v>
      </c>
      <c r="I69" t="s">
        <v>185</v>
      </c>
    </row>
    <row r="70" spans="1:9" x14ac:dyDescent="0.2">
      <c r="A70" t="s">
        <v>186</v>
      </c>
      <c r="B70">
        <v>50</v>
      </c>
      <c r="C70">
        <v>19</v>
      </c>
      <c r="D70">
        <v>13</v>
      </c>
      <c r="E70">
        <v>0</v>
      </c>
      <c r="F70">
        <v>5.6529292000050101E-2</v>
      </c>
      <c r="G70">
        <v>1</v>
      </c>
      <c r="H70">
        <v>1</v>
      </c>
      <c r="I70" t="s">
        <v>187</v>
      </c>
    </row>
    <row r="71" spans="1:9" x14ac:dyDescent="0.2">
      <c r="A71" t="s">
        <v>188</v>
      </c>
      <c r="B71">
        <v>51</v>
      </c>
      <c r="C71">
        <v>28</v>
      </c>
      <c r="D71">
        <v>9</v>
      </c>
      <c r="E71">
        <v>0</v>
      </c>
      <c r="F71">
        <v>5.8769124996615497E-2</v>
      </c>
      <c r="G71">
        <v>1</v>
      </c>
      <c r="H71">
        <v>1</v>
      </c>
      <c r="I71" t="s">
        <v>189</v>
      </c>
    </row>
    <row r="72" spans="1:9" x14ac:dyDescent="0.2">
      <c r="A72" t="s">
        <v>190</v>
      </c>
      <c r="B72">
        <v>52</v>
      </c>
      <c r="C72">
        <v>15</v>
      </c>
      <c r="D72">
        <v>17</v>
      </c>
      <c r="E72">
        <v>0</v>
      </c>
      <c r="F72">
        <v>5.7898375001968802E-2</v>
      </c>
      <c r="G72">
        <v>1</v>
      </c>
      <c r="H72">
        <v>1</v>
      </c>
      <c r="I72" t="s">
        <v>191</v>
      </c>
    </row>
    <row r="73" spans="1:9" x14ac:dyDescent="0.2">
      <c r="A73" t="s">
        <v>192</v>
      </c>
      <c r="B73">
        <v>53</v>
      </c>
      <c r="C73">
        <v>16</v>
      </c>
      <c r="D73">
        <v>17</v>
      </c>
      <c r="E73">
        <v>0</v>
      </c>
      <c r="F73">
        <v>5.6270458000653799E-2</v>
      </c>
      <c r="G73">
        <v>1</v>
      </c>
      <c r="H73">
        <v>1</v>
      </c>
      <c r="I73" t="s">
        <v>193</v>
      </c>
    </row>
    <row r="74" spans="1:9" x14ac:dyDescent="0.2">
      <c r="A74" t="s">
        <v>194</v>
      </c>
      <c r="B74">
        <v>54</v>
      </c>
      <c r="C74">
        <v>31</v>
      </c>
      <c r="D74">
        <v>9</v>
      </c>
      <c r="E74">
        <v>0</v>
      </c>
      <c r="F74">
        <v>0.109378332999767</v>
      </c>
      <c r="G74">
        <v>1</v>
      </c>
      <c r="H74">
        <v>1</v>
      </c>
      <c r="I74" t="s">
        <v>195</v>
      </c>
    </row>
    <row r="75" spans="1:9" x14ac:dyDescent="0.2">
      <c r="A75" t="s">
        <v>196</v>
      </c>
      <c r="B75">
        <v>55</v>
      </c>
      <c r="C75">
        <v>23</v>
      </c>
      <c r="D75">
        <v>13</v>
      </c>
      <c r="E75">
        <v>0</v>
      </c>
      <c r="F75">
        <v>5.7370875001652097E-2</v>
      </c>
      <c r="G75">
        <v>1</v>
      </c>
      <c r="H75">
        <v>1</v>
      </c>
      <c r="I75" t="s">
        <v>197</v>
      </c>
    </row>
    <row r="76" spans="1:9" x14ac:dyDescent="0.2">
      <c r="A76" t="s">
        <v>198</v>
      </c>
      <c r="B76">
        <v>56</v>
      </c>
      <c r="C76">
        <v>17</v>
      </c>
      <c r="D76">
        <v>17</v>
      </c>
      <c r="E76">
        <v>0</v>
      </c>
      <c r="F76">
        <v>5.48911669975495E-2</v>
      </c>
      <c r="G76">
        <v>1</v>
      </c>
      <c r="H76">
        <v>1</v>
      </c>
      <c r="I76" t="s">
        <v>199</v>
      </c>
    </row>
    <row r="77" spans="1:9" x14ac:dyDescent="0.2">
      <c r="A77" t="s">
        <v>200</v>
      </c>
      <c r="B77">
        <v>57</v>
      </c>
      <c r="C77">
        <v>18</v>
      </c>
      <c r="D77">
        <v>17</v>
      </c>
      <c r="E77">
        <v>0</v>
      </c>
      <c r="F77">
        <v>5.5136082999524598E-2</v>
      </c>
      <c r="G77">
        <v>1</v>
      </c>
      <c r="H77">
        <v>1</v>
      </c>
      <c r="I77" t="s">
        <v>201</v>
      </c>
    </row>
    <row r="78" spans="1:9" x14ac:dyDescent="0.2">
      <c r="A78" t="s">
        <v>202</v>
      </c>
      <c r="B78">
        <v>58</v>
      </c>
      <c r="C78">
        <v>3</v>
      </c>
      <c r="D78">
        <v>32</v>
      </c>
      <c r="E78">
        <v>0</v>
      </c>
      <c r="F78">
        <v>5.5281749999267001E-2</v>
      </c>
      <c r="G78">
        <v>1</v>
      </c>
      <c r="H78">
        <v>1</v>
      </c>
      <c r="I78" t="s">
        <v>203</v>
      </c>
    </row>
    <row r="79" spans="1:9" x14ac:dyDescent="0.2">
      <c r="A79" t="s">
        <v>204</v>
      </c>
      <c r="B79">
        <v>59</v>
      </c>
      <c r="C79">
        <v>19</v>
      </c>
      <c r="D79">
        <v>17</v>
      </c>
      <c r="E79">
        <v>0</v>
      </c>
      <c r="F79">
        <v>5.6470625000656499E-2</v>
      </c>
      <c r="G79">
        <v>1</v>
      </c>
      <c r="H79">
        <v>1</v>
      </c>
      <c r="I79" t="s">
        <v>205</v>
      </c>
    </row>
    <row r="80" spans="1:9" x14ac:dyDescent="0.2">
      <c r="A80" t="s">
        <v>206</v>
      </c>
      <c r="B80">
        <v>60</v>
      </c>
      <c r="C80">
        <v>20</v>
      </c>
      <c r="D80">
        <v>17</v>
      </c>
      <c r="E80">
        <v>0</v>
      </c>
      <c r="F80">
        <v>5.6529084002249798E-2</v>
      </c>
      <c r="G80">
        <v>1</v>
      </c>
      <c r="H80">
        <v>1</v>
      </c>
      <c r="I80" t="s">
        <v>207</v>
      </c>
    </row>
    <row r="81" spans="1:9" x14ac:dyDescent="0.2">
      <c r="A81" t="s">
        <v>208</v>
      </c>
      <c r="B81">
        <v>61</v>
      </c>
      <c r="C81">
        <v>18</v>
      </c>
      <c r="D81">
        <v>19</v>
      </c>
      <c r="E81">
        <v>0</v>
      </c>
      <c r="F81">
        <v>5.6562665995443198E-2</v>
      </c>
      <c r="G81">
        <v>1</v>
      </c>
      <c r="H81">
        <v>1</v>
      </c>
      <c r="I81" t="s">
        <v>209</v>
      </c>
    </row>
    <row r="82" spans="1:9" x14ac:dyDescent="0.2">
      <c r="A82" t="s">
        <v>210</v>
      </c>
      <c r="B82">
        <v>62</v>
      </c>
      <c r="C82">
        <v>21</v>
      </c>
      <c r="D82">
        <v>17</v>
      </c>
      <c r="E82">
        <v>0</v>
      </c>
      <c r="F82">
        <v>5.8432875004655202E-2</v>
      </c>
      <c r="G82">
        <v>1</v>
      </c>
      <c r="H82">
        <v>1</v>
      </c>
      <c r="I82" t="s">
        <v>211</v>
      </c>
    </row>
    <row r="83" spans="1:9" x14ac:dyDescent="0.2">
      <c r="A83" t="s">
        <v>212</v>
      </c>
      <c r="B83">
        <v>63</v>
      </c>
      <c r="C83">
        <v>23</v>
      </c>
      <c r="D83">
        <v>16</v>
      </c>
      <c r="E83">
        <v>0</v>
      </c>
      <c r="F83">
        <v>5.7976124997367103E-2</v>
      </c>
      <c r="G83">
        <v>1</v>
      </c>
      <c r="H83">
        <v>1</v>
      </c>
      <c r="I83" t="s">
        <v>213</v>
      </c>
    </row>
    <row r="84" spans="1:9" x14ac:dyDescent="0.2">
      <c r="A84" t="s">
        <v>214</v>
      </c>
      <c r="B84">
        <v>64</v>
      </c>
      <c r="C84">
        <v>24</v>
      </c>
      <c r="D84">
        <v>16</v>
      </c>
      <c r="E84">
        <v>0</v>
      </c>
      <c r="F84">
        <v>5.9271500002068898E-2</v>
      </c>
      <c r="G84">
        <v>1</v>
      </c>
      <c r="H84">
        <v>1</v>
      </c>
      <c r="I84" t="s">
        <v>215</v>
      </c>
    </row>
    <row r="85" spans="1:9" x14ac:dyDescent="0.2">
      <c r="A85" t="s">
        <v>216</v>
      </c>
      <c r="B85">
        <v>65</v>
      </c>
      <c r="C85">
        <v>31</v>
      </c>
      <c r="D85">
        <v>13</v>
      </c>
      <c r="E85">
        <v>0</v>
      </c>
      <c r="F85">
        <v>6.4059208998514805E-2</v>
      </c>
      <c r="G85">
        <v>1</v>
      </c>
      <c r="H85">
        <v>1</v>
      </c>
      <c r="I85" t="s">
        <v>217</v>
      </c>
    </row>
    <row r="86" spans="1:9" x14ac:dyDescent="0.2">
      <c r="A86" t="s">
        <v>218</v>
      </c>
      <c r="B86">
        <v>66</v>
      </c>
      <c r="C86">
        <v>32</v>
      </c>
      <c r="D86">
        <v>13</v>
      </c>
      <c r="E86">
        <v>0</v>
      </c>
      <c r="F86">
        <v>6.0850916001072598E-2</v>
      </c>
      <c r="G86">
        <v>1</v>
      </c>
      <c r="H86">
        <v>1</v>
      </c>
      <c r="I86" t="s">
        <v>219</v>
      </c>
    </row>
    <row r="87" spans="1:9" x14ac:dyDescent="0.2">
      <c r="A87" t="s">
        <v>220</v>
      </c>
      <c r="B87">
        <v>67</v>
      </c>
      <c r="C87">
        <v>33</v>
      </c>
      <c r="D87">
        <v>13</v>
      </c>
      <c r="E87">
        <v>0</v>
      </c>
      <c r="F87">
        <v>6.1133249997510498E-2</v>
      </c>
      <c r="G87">
        <v>1</v>
      </c>
      <c r="H87">
        <v>1</v>
      </c>
      <c r="I87" t="s">
        <v>221</v>
      </c>
    </row>
    <row r="88" spans="1:9" x14ac:dyDescent="0.2">
      <c r="A88" t="s">
        <v>222</v>
      </c>
      <c r="B88">
        <v>68</v>
      </c>
      <c r="C88">
        <v>34</v>
      </c>
      <c r="D88">
        <v>13</v>
      </c>
      <c r="E88">
        <v>0</v>
      </c>
      <c r="F88">
        <v>6.1296500003663802E-2</v>
      </c>
      <c r="G88">
        <v>1</v>
      </c>
      <c r="H88">
        <v>1</v>
      </c>
      <c r="I88" t="s">
        <v>223</v>
      </c>
    </row>
    <row r="89" spans="1:9" x14ac:dyDescent="0.2">
      <c r="A89" t="s">
        <v>224</v>
      </c>
      <c r="B89">
        <v>69</v>
      </c>
      <c r="C89">
        <v>35</v>
      </c>
      <c r="D89">
        <v>13</v>
      </c>
      <c r="E89">
        <v>0</v>
      </c>
      <c r="F89">
        <v>6.6025624997564494E-2</v>
      </c>
      <c r="G89">
        <v>1</v>
      </c>
      <c r="H89">
        <v>1</v>
      </c>
      <c r="I89" t="s">
        <v>225</v>
      </c>
    </row>
    <row r="90" spans="1:9" x14ac:dyDescent="0.2">
      <c r="A90" t="s">
        <v>226</v>
      </c>
      <c r="B90">
        <v>70</v>
      </c>
      <c r="C90">
        <v>36</v>
      </c>
      <c r="D90">
        <v>13</v>
      </c>
      <c r="E90">
        <v>0</v>
      </c>
      <c r="F90">
        <v>8.5915417002979597E-2</v>
      </c>
      <c r="G90">
        <v>1</v>
      </c>
      <c r="H90">
        <v>1</v>
      </c>
      <c r="I90" t="s">
        <v>227</v>
      </c>
    </row>
    <row r="91" spans="1:9" x14ac:dyDescent="0.2">
      <c r="A91" t="s">
        <v>228</v>
      </c>
      <c r="B91">
        <v>71</v>
      </c>
      <c r="C91">
        <v>12</v>
      </c>
      <c r="D91">
        <v>29</v>
      </c>
      <c r="E91">
        <v>0</v>
      </c>
      <c r="F91">
        <v>5.8065166995220303E-2</v>
      </c>
      <c r="G91">
        <v>1</v>
      </c>
      <c r="H91">
        <v>1</v>
      </c>
      <c r="I91" t="s">
        <v>229</v>
      </c>
    </row>
    <row r="92" spans="1:9" x14ac:dyDescent="0.2">
      <c r="A92" t="s">
        <v>230</v>
      </c>
      <c r="B92">
        <v>72</v>
      </c>
      <c r="C92">
        <v>37</v>
      </c>
      <c r="D92">
        <v>13</v>
      </c>
      <c r="E92">
        <v>0</v>
      </c>
      <c r="F92">
        <v>9.0562249999493305E-2</v>
      </c>
      <c r="G92">
        <v>1</v>
      </c>
      <c r="H92">
        <v>1</v>
      </c>
      <c r="I92" t="s">
        <v>231</v>
      </c>
    </row>
    <row r="93" spans="1:9" x14ac:dyDescent="0.2">
      <c r="A93" t="s">
        <v>232</v>
      </c>
      <c r="B93">
        <v>73</v>
      </c>
      <c r="C93">
        <v>38</v>
      </c>
      <c r="D93">
        <v>13</v>
      </c>
      <c r="E93">
        <v>0</v>
      </c>
      <c r="F93">
        <v>0.124677750005503</v>
      </c>
      <c r="G93">
        <v>1</v>
      </c>
      <c r="H93">
        <v>1</v>
      </c>
      <c r="I93" t="s">
        <v>233</v>
      </c>
    </row>
    <row r="94" spans="1:9" x14ac:dyDescent="0.2">
      <c r="A94" t="s">
        <v>234</v>
      </c>
      <c r="B94">
        <v>74</v>
      </c>
      <c r="C94">
        <v>9</v>
      </c>
      <c r="D94">
        <v>32</v>
      </c>
      <c r="E94">
        <v>0</v>
      </c>
      <c r="F94">
        <v>5.5626540997763999E-2</v>
      </c>
      <c r="G94">
        <v>1</v>
      </c>
      <c r="H94">
        <v>1</v>
      </c>
      <c r="I94" t="s">
        <v>235</v>
      </c>
    </row>
    <row r="95" spans="1:9" x14ac:dyDescent="0.2">
      <c r="A95" t="s">
        <v>236</v>
      </c>
      <c r="B95">
        <v>75</v>
      </c>
      <c r="C95">
        <v>28</v>
      </c>
      <c r="D95">
        <v>19</v>
      </c>
      <c r="E95">
        <v>0</v>
      </c>
      <c r="F95">
        <v>9.9921084001834901E-2</v>
      </c>
      <c r="G95">
        <v>1</v>
      </c>
      <c r="H95">
        <v>1</v>
      </c>
      <c r="I95" t="s">
        <v>237</v>
      </c>
    </row>
    <row r="96" spans="1:9" x14ac:dyDescent="0.2">
      <c r="A96" t="s">
        <v>238</v>
      </c>
      <c r="B96">
        <v>76</v>
      </c>
      <c r="C96">
        <v>40</v>
      </c>
      <c r="D96">
        <v>12</v>
      </c>
      <c r="E96">
        <v>0</v>
      </c>
      <c r="F96">
        <v>0.116167499996663</v>
      </c>
      <c r="G96">
        <v>1</v>
      </c>
      <c r="H96">
        <v>1</v>
      </c>
      <c r="I96" t="s">
        <v>239</v>
      </c>
    </row>
    <row r="97" spans="1:9" x14ac:dyDescent="0.2">
      <c r="A97" t="s">
        <v>240</v>
      </c>
      <c r="B97">
        <v>77</v>
      </c>
      <c r="C97">
        <v>40</v>
      </c>
      <c r="D97">
        <v>13</v>
      </c>
      <c r="E97">
        <v>0</v>
      </c>
      <c r="F97">
        <v>0.15310762500303099</v>
      </c>
      <c r="G97">
        <v>1</v>
      </c>
      <c r="H97">
        <v>1</v>
      </c>
      <c r="I97" t="s">
        <v>241</v>
      </c>
    </row>
    <row r="98" spans="1:9" x14ac:dyDescent="0.2">
      <c r="A98" t="s">
        <v>242</v>
      </c>
      <c r="B98">
        <v>78</v>
      </c>
      <c r="C98">
        <v>29</v>
      </c>
      <c r="D98">
        <v>19</v>
      </c>
      <c r="E98">
        <v>0</v>
      </c>
      <c r="F98">
        <v>0.116533041000366</v>
      </c>
      <c r="G98">
        <v>1</v>
      </c>
      <c r="H98">
        <v>1</v>
      </c>
      <c r="I98" t="s">
        <v>243</v>
      </c>
    </row>
    <row r="99" spans="1:9" x14ac:dyDescent="0.2">
      <c r="A99" t="s">
        <v>244</v>
      </c>
      <c r="B99">
        <v>79</v>
      </c>
      <c r="C99">
        <v>20</v>
      </c>
      <c r="D99">
        <v>24</v>
      </c>
      <c r="E99">
        <v>0</v>
      </c>
      <c r="F99">
        <v>5.7779791997745598E-2</v>
      </c>
      <c r="G99">
        <v>1</v>
      </c>
      <c r="H99">
        <v>1</v>
      </c>
      <c r="I99" t="s">
        <v>245</v>
      </c>
    </row>
    <row r="100" spans="1:9" x14ac:dyDescent="0.2">
      <c r="A100" t="s">
        <v>246</v>
      </c>
      <c r="B100">
        <v>80</v>
      </c>
      <c r="C100">
        <v>47</v>
      </c>
      <c r="D100">
        <v>11</v>
      </c>
      <c r="E100">
        <v>0</v>
      </c>
      <c r="F100">
        <v>15.6760042500027</v>
      </c>
      <c r="G100">
        <v>1</v>
      </c>
      <c r="H100">
        <v>1</v>
      </c>
      <c r="I100" t="s">
        <v>247</v>
      </c>
    </row>
    <row r="101" spans="1:9" x14ac:dyDescent="0.2">
      <c r="A101" t="s">
        <v>248</v>
      </c>
      <c r="B101">
        <v>81</v>
      </c>
      <c r="C101">
        <v>48</v>
      </c>
      <c r="D101">
        <v>11</v>
      </c>
      <c r="E101">
        <v>0</v>
      </c>
      <c r="F101">
        <v>19.7291003749996</v>
      </c>
      <c r="G101">
        <v>1</v>
      </c>
      <c r="H101">
        <v>1</v>
      </c>
      <c r="I101" t="s">
        <v>249</v>
      </c>
    </row>
    <row r="102" spans="1:9" x14ac:dyDescent="0.2">
      <c r="A102" t="s">
        <v>250</v>
      </c>
      <c r="B102">
        <v>82</v>
      </c>
      <c r="C102">
        <v>43</v>
      </c>
      <c r="D102">
        <v>13</v>
      </c>
      <c r="E102">
        <v>0</v>
      </c>
      <c r="F102">
        <v>0.5442101669978</v>
      </c>
      <c r="G102">
        <v>1</v>
      </c>
      <c r="H102">
        <v>1</v>
      </c>
      <c r="I102" t="s">
        <v>251</v>
      </c>
    </row>
    <row r="103" spans="1:9" x14ac:dyDescent="0.2">
      <c r="A103" t="s">
        <v>252</v>
      </c>
      <c r="B103">
        <v>83</v>
      </c>
      <c r="C103">
        <v>41</v>
      </c>
      <c r="D103">
        <v>15</v>
      </c>
      <c r="E103">
        <v>0</v>
      </c>
      <c r="F103">
        <v>0.12802087500313</v>
      </c>
      <c r="G103">
        <v>1</v>
      </c>
      <c r="H103">
        <v>1</v>
      </c>
      <c r="I103" t="s">
        <v>253</v>
      </c>
    </row>
    <row r="104" spans="1:9" x14ac:dyDescent="0.2">
      <c r="A104" t="s">
        <v>254</v>
      </c>
      <c r="B104">
        <v>84</v>
      </c>
      <c r="C104">
        <v>42</v>
      </c>
      <c r="D104">
        <v>15</v>
      </c>
      <c r="E104">
        <v>0</v>
      </c>
      <c r="F104">
        <v>0.145614540997485</v>
      </c>
      <c r="G104">
        <v>1</v>
      </c>
      <c r="H104">
        <v>1</v>
      </c>
      <c r="I104" t="s">
        <v>255</v>
      </c>
    </row>
    <row r="105" spans="1:9" x14ac:dyDescent="0.2">
      <c r="A105" t="s">
        <v>256</v>
      </c>
      <c r="B105">
        <v>85</v>
      </c>
      <c r="C105">
        <v>23</v>
      </c>
      <c r="D105">
        <v>24</v>
      </c>
      <c r="E105">
        <v>0</v>
      </c>
      <c r="F105">
        <v>6.4146374999836497E-2</v>
      </c>
      <c r="G105">
        <v>1</v>
      </c>
      <c r="H105">
        <v>1</v>
      </c>
      <c r="I105" t="s">
        <v>257</v>
      </c>
    </row>
    <row r="106" spans="1:9" x14ac:dyDescent="0.2">
      <c r="A106" t="s">
        <v>258</v>
      </c>
      <c r="B106">
        <v>86</v>
      </c>
      <c r="C106">
        <v>23</v>
      </c>
      <c r="D106">
        <v>25</v>
      </c>
      <c r="E106">
        <v>0</v>
      </c>
      <c r="F106">
        <v>5.88789999965229E-2</v>
      </c>
      <c r="G106">
        <v>1</v>
      </c>
      <c r="H106">
        <v>1</v>
      </c>
      <c r="I106" t="s">
        <v>259</v>
      </c>
    </row>
    <row r="107" spans="1:9" x14ac:dyDescent="0.2">
      <c r="A107" t="s">
        <v>260</v>
      </c>
      <c r="B107">
        <v>87</v>
      </c>
      <c r="C107">
        <v>45</v>
      </c>
      <c r="D107">
        <v>15</v>
      </c>
      <c r="E107">
        <v>0</v>
      </c>
      <c r="F107">
        <v>1.2414520840029499</v>
      </c>
      <c r="G107">
        <v>1</v>
      </c>
      <c r="H107">
        <v>1</v>
      </c>
      <c r="I107" t="s">
        <v>261</v>
      </c>
    </row>
    <row r="108" spans="1:9" x14ac:dyDescent="0.2">
      <c r="A108" t="s">
        <v>262</v>
      </c>
      <c r="B108">
        <v>88</v>
      </c>
      <c r="C108">
        <v>49</v>
      </c>
      <c r="D108">
        <v>13</v>
      </c>
      <c r="E108">
        <v>0</v>
      </c>
      <c r="F108">
        <v>116.846370375002</v>
      </c>
      <c r="G108">
        <v>1</v>
      </c>
      <c r="H108">
        <v>1</v>
      </c>
      <c r="I108" t="s">
        <v>263</v>
      </c>
    </row>
    <row r="109" spans="1:9" x14ac:dyDescent="0.2">
      <c r="A109" t="s">
        <v>264</v>
      </c>
      <c r="B109">
        <v>89</v>
      </c>
      <c r="C109">
        <v>32</v>
      </c>
      <c r="D109">
        <v>21</v>
      </c>
      <c r="E109">
        <v>0</v>
      </c>
      <c r="F109">
        <v>0.25013508299889498</v>
      </c>
      <c r="G109">
        <v>1</v>
      </c>
      <c r="H109">
        <v>1</v>
      </c>
      <c r="I109" t="s">
        <v>265</v>
      </c>
    </row>
    <row r="110" spans="1:9" x14ac:dyDescent="0.2">
      <c r="A110" t="s">
        <v>266</v>
      </c>
      <c r="B110">
        <v>90</v>
      </c>
      <c r="C110">
        <v>33</v>
      </c>
      <c r="D110">
        <v>21</v>
      </c>
      <c r="E110">
        <v>0</v>
      </c>
      <c r="F110">
        <v>0.50218012499681197</v>
      </c>
      <c r="G110">
        <v>1</v>
      </c>
      <c r="H110">
        <v>1</v>
      </c>
      <c r="I110" t="s">
        <v>267</v>
      </c>
    </row>
    <row r="111" spans="1:9" x14ac:dyDescent="0.2">
      <c r="A111" t="s">
        <v>268</v>
      </c>
      <c r="B111">
        <v>91</v>
      </c>
      <c r="C111">
        <v>26</v>
      </c>
      <c r="D111">
        <v>25</v>
      </c>
      <c r="E111">
        <v>0</v>
      </c>
      <c r="F111">
        <v>7.3289208005007794E-2</v>
      </c>
      <c r="G111">
        <v>1</v>
      </c>
      <c r="H111">
        <v>1</v>
      </c>
      <c r="I111" t="s">
        <v>269</v>
      </c>
    </row>
    <row r="112" spans="1:9" x14ac:dyDescent="0.2">
      <c r="A112" t="s">
        <v>270</v>
      </c>
      <c r="B112">
        <v>92</v>
      </c>
      <c r="C112">
        <v>52</v>
      </c>
      <c r="D112">
        <v>13</v>
      </c>
      <c r="E112">
        <v>0</v>
      </c>
      <c r="F112">
        <v>676.84917833399902</v>
      </c>
      <c r="G112">
        <v>1</v>
      </c>
      <c r="H112">
        <v>1</v>
      </c>
      <c r="I112" t="s">
        <v>271</v>
      </c>
    </row>
    <row r="113" spans="1:9" x14ac:dyDescent="0.2">
      <c r="A113" t="s">
        <v>272</v>
      </c>
      <c r="B113">
        <v>93</v>
      </c>
      <c r="C113">
        <v>53</v>
      </c>
      <c r="D113">
        <v>13</v>
      </c>
      <c r="E113">
        <v>0</v>
      </c>
      <c r="F113">
        <v>860.68276929100102</v>
      </c>
      <c r="G113">
        <v>1</v>
      </c>
      <c r="H113">
        <v>1</v>
      </c>
      <c r="I113" t="s">
        <v>273</v>
      </c>
    </row>
    <row r="114" spans="1:9" x14ac:dyDescent="0.2">
      <c r="A114" t="s">
        <v>274</v>
      </c>
      <c r="B114">
        <v>94</v>
      </c>
      <c r="C114">
        <v>54</v>
      </c>
      <c r="D114">
        <v>13</v>
      </c>
      <c r="E114">
        <v>0</v>
      </c>
      <c r="F114">
        <v>1092.68203474999</v>
      </c>
      <c r="G114">
        <v>1</v>
      </c>
      <c r="H114">
        <v>1</v>
      </c>
      <c r="I114" t="s">
        <v>275</v>
      </c>
    </row>
    <row r="115" spans="1:9" x14ac:dyDescent="0.2">
      <c r="A115" t="s">
        <v>276</v>
      </c>
      <c r="B115">
        <v>95</v>
      </c>
      <c r="C115">
        <v>46</v>
      </c>
      <c r="D115">
        <v>17</v>
      </c>
      <c r="E115">
        <v>0</v>
      </c>
      <c r="F115">
        <v>0.95396887500101002</v>
      </c>
      <c r="G115">
        <v>1</v>
      </c>
      <c r="H115">
        <v>1</v>
      </c>
      <c r="I115" t="s">
        <v>277</v>
      </c>
    </row>
    <row r="116" spans="1:9" x14ac:dyDescent="0.2">
      <c r="A116" t="s">
        <v>278</v>
      </c>
      <c r="B116">
        <v>96</v>
      </c>
      <c r="C116">
        <v>48</v>
      </c>
      <c r="D116">
        <v>16</v>
      </c>
      <c r="E116">
        <v>0</v>
      </c>
      <c r="F116">
        <v>0.44240575000003401</v>
      </c>
      <c r="G116">
        <v>1</v>
      </c>
      <c r="H116">
        <v>1</v>
      </c>
      <c r="I116" t="s">
        <v>279</v>
      </c>
    </row>
    <row r="117" spans="1:9" x14ac:dyDescent="0.2">
      <c r="A117" t="s">
        <v>280</v>
      </c>
      <c r="B117">
        <v>97</v>
      </c>
      <c r="C117">
        <v>50</v>
      </c>
      <c r="D117">
        <v>15</v>
      </c>
      <c r="E117">
        <v>0</v>
      </c>
      <c r="F117">
        <v>2.7820707499995398</v>
      </c>
      <c r="G117">
        <v>1</v>
      </c>
      <c r="H117">
        <v>1</v>
      </c>
      <c r="I117" t="s">
        <v>281</v>
      </c>
    </row>
    <row r="118" spans="1:9" x14ac:dyDescent="0.2">
      <c r="A118" t="s">
        <v>282</v>
      </c>
      <c r="B118">
        <v>98</v>
      </c>
      <c r="C118">
        <v>51</v>
      </c>
      <c r="D118">
        <v>15</v>
      </c>
      <c r="E118">
        <v>0</v>
      </c>
      <c r="F118">
        <v>9.7526237499987403</v>
      </c>
      <c r="G118">
        <v>1</v>
      </c>
      <c r="H118">
        <v>1</v>
      </c>
      <c r="I118" t="s">
        <v>283</v>
      </c>
    </row>
    <row r="119" spans="1:9" x14ac:dyDescent="0.2">
      <c r="A119" t="s">
        <v>284</v>
      </c>
      <c r="B119">
        <v>99</v>
      </c>
      <c r="C119">
        <v>52</v>
      </c>
      <c r="D119">
        <v>15</v>
      </c>
      <c r="E119">
        <v>0</v>
      </c>
      <c r="F119">
        <v>19.511674583998602</v>
      </c>
      <c r="G119">
        <v>1</v>
      </c>
      <c r="H119">
        <v>1</v>
      </c>
      <c r="I119" t="s">
        <v>285</v>
      </c>
    </row>
    <row r="120" spans="1:9" x14ac:dyDescent="0.2">
      <c r="A120" t="s">
        <v>286</v>
      </c>
      <c r="B120">
        <v>100</v>
      </c>
      <c r="C120">
        <v>52</v>
      </c>
      <c r="D120">
        <v>16</v>
      </c>
      <c r="E120">
        <v>0</v>
      </c>
      <c r="F120">
        <v>19.585598333003801</v>
      </c>
      <c r="G120">
        <v>1</v>
      </c>
      <c r="H120">
        <v>1</v>
      </c>
      <c r="I120" t="s">
        <v>287</v>
      </c>
    </row>
    <row r="121" spans="1:9" x14ac:dyDescent="0.2">
      <c r="A121" t="s">
        <v>288</v>
      </c>
      <c r="B121">
        <v>101</v>
      </c>
      <c r="C121">
        <v>53</v>
      </c>
      <c r="D121">
        <v>15</v>
      </c>
      <c r="E121">
        <v>0</v>
      </c>
      <c r="F121">
        <v>23.259848791996699</v>
      </c>
      <c r="G121">
        <v>1</v>
      </c>
      <c r="H121">
        <v>1</v>
      </c>
      <c r="I121" t="s">
        <v>289</v>
      </c>
    </row>
    <row r="122" spans="1:9" x14ac:dyDescent="0.2">
      <c r="A122" t="s">
        <v>290</v>
      </c>
      <c r="B122">
        <v>102</v>
      </c>
      <c r="C122">
        <v>54</v>
      </c>
      <c r="D122">
        <v>15</v>
      </c>
      <c r="E122">
        <v>0</v>
      </c>
      <c r="F122">
        <v>79.715552583002093</v>
      </c>
      <c r="G122">
        <v>1</v>
      </c>
      <c r="H122">
        <v>1</v>
      </c>
      <c r="I122" t="s">
        <v>291</v>
      </c>
    </row>
    <row r="123" spans="1:9" x14ac:dyDescent="0.2">
      <c r="A123" t="s">
        <v>292</v>
      </c>
      <c r="B123">
        <v>103</v>
      </c>
      <c r="C123">
        <v>34</v>
      </c>
      <c r="D123">
        <v>25</v>
      </c>
      <c r="E123">
        <v>0</v>
      </c>
      <c r="F123">
        <v>0.17037441700085701</v>
      </c>
      <c r="G123">
        <v>1</v>
      </c>
      <c r="H123">
        <v>1</v>
      </c>
      <c r="I123" t="s">
        <v>293</v>
      </c>
    </row>
    <row r="124" spans="1:9" x14ac:dyDescent="0.2">
      <c r="A124" t="s">
        <v>294</v>
      </c>
      <c r="B124">
        <v>104</v>
      </c>
      <c r="C124">
        <v>28</v>
      </c>
      <c r="D124">
        <v>29</v>
      </c>
      <c r="E124">
        <v>0</v>
      </c>
      <c r="F124">
        <v>0.138497583000571</v>
      </c>
      <c r="G124">
        <v>1</v>
      </c>
      <c r="H124">
        <v>1</v>
      </c>
      <c r="I124" t="s">
        <v>295</v>
      </c>
    </row>
    <row r="125" spans="1:9" x14ac:dyDescent="0.2">
      <c r="A125" t="s">
        <v>296</v>
      </c>
      <c r="B125">
        <v>105</v>
      </c>
      <c r="C125">
        <v>54</v>
      </c>
      <c r="D125">
        <v>17</v>
      </c>
      <c r="E125">
        <v>0</v>
      </c>
      <c r="F125">
        <v>27.590027917001802</v>
      </c>
      <c r="G125">
        <v>1</v>
      </c>
      <c r="H125">
        <v>1</v>
      </c>
      <c r="I125" t="s">
        <v>297</v>
      </c>
    </row>
    <row r="126" spans="1:9" x14ac:dyDescent="0.2">
      <c r="A126" t="s">
        <v>298</v>
      </c>
      <c r="B126">
        <v>106</v>
      </c>
      <c r="C126">
        <v>44</v>
      </c>
      <c r="D126">
        <v>21</v>
      </c>
      <c r="E126">
        <v>0</v>
      </c>
      <c r="F126">
        <v>10.107215582997</v>
      </c>
      <c r="G126">
        <v>1</v>
      </c>
      <c r="H126">
        <v>1</v>
      </c>
      <c r="I126" t="s">
        <v>299</v>
      </c>
    </row>
    <row r="127" spans="1:9" x14ac:dyDescent="0.2">
      <c r="A127" t="s">
        <v>300</v>
      </c>
      <c r="B127">
        <v>107</v>
      </c>
      <c r="C127">
        <v>45</v>
      </c>
      <c r="D127">
        <v>21</v>
      </c>
      <c r="E127">
        <v>0</v>
      </c>
      <c r="F127">
        <v>12.7122682499975</v>
      </c>
      <c r="G127">
        <v>1</v>
      </c>
      <c r="H127">
        <v>1</v>
      </c>
      <c r="I127" t="s">
        <v>301</v>
      </c>
    </row>
    <row r="128" spans="1:9" x14ac:dyDescent="0.2">
      <c r="A128" t="s">
        <v>302</v>
      </c>
      <c r="B128">
        <v>108</v>
      </c>
      <c r="C128">
        <v>55</v>
      </c>
      <c r="D128">
        <v>17</v>
      </c>
      <c r="E128">
        <v>0</v>
      </c>
      <c r="F128">
        <v>19.4610055420052</v>
      </c>
      <c r="G128">
        <v>1</v>
      </c>
      <c r="H128">
        <v>1</v>
      </c>
      <c r="I128" t="s">
        <v>303</v>
      </c>
    </row>
    <row r="129" spans="1:9" x14ac:dyDescent="0.2">
      <c r="A129" t="s">
        <v>304</v>
      </c>
      <c r="B129">
        <v>109</v>
      </c>
      <c r="C129">
        <v>37</v>
      </c>
      <c r="D129">
        <v>25</v>
      </c>
      <c r="E129">
        <v>0</v>
      </c>
      <c r="F129">
        <v>0.48542233299667698</v>
      </c>
      <c r="G129">
        <v>1</v>
      </c>
      <c r="H129">
        <v>1</v>
      </c>
      <c r="I129" t="s">
        <v>305</v>
      </c>
    </row>
    <row r="130" spans="1:9" x14ac:dyDescent="0.2">
      <c r="A130" t="s">
        <v>306</v>
      </c>
      <c r="B130">
        <v>110</v>
      </c>
      <c r="C130">
        <v>33</v>
      </c>
      <c r="D130">
        <v>28</v>
      </c>
      <c r="E130">
        <v>0</v>
      </c>
      <c r="F130">
        <v>0.346617124996555</v>
      </c>
      <c r="G130">
        <v>1</v>
      </c>
      <c r="H130">
        <v>1</v>
      </c>
      <c r="I130" t="s">
        <v>307</v>
      </c>
    </row>
    <row r="131" spans="1:9" x14ac:dyDescent="0.2">
      <c r="A131" t="s">
        <v>308</v>
      </c>
      <c r="B131">
        <v>111</v>
      </c>
      <c r="C131">
        <v>57</v>
      </c>
      <c r="D131">
        <v>17</v>
      </c>
      <c r="E131">
        <v>0</v>
      </c>
      <c r="F131">
        <v>45.196406083006799</v>
      </c>
      <c r="G131">
        <v>1</v>
      </c>
      <c r="H131">
        <v>1</v>
      </c>
      <c r="I131" t="s">
        <v>309</v>
      </c>
    </row>
    <row r="132" spans="1:9" x14ac:dyDescent="0.2">
      <c r="A132" t="s">
        <v>310</v>
      </c>
      <c r="B132">
        <v>112</v>
      </c>
      <c r="C132">
        <v>36</v>
      </c>
      <c r="D132">
        <v>27</v>
      </c>
      <c r="E132">
        <v>0</v>
      </c>
      <c r="F132">
        <v>0.395964541996363</v>
      </c>
      <c r="G132">
        <v>1</v>
      </c>
      <c r="H132">
        <v>1</v>
      </c>
      <c r="I132" t="s">
        <v>311</v>
      </c>
    </row>
    <row r="133" spans="1:9" x14ac:dyDescent="0.2">
      <c r="A133" t="s">
        <v>312</v>
      </c>
      <c r="B133">
        <v>113</v>
      </c>
      <c r="C133">
        <v>26</v>
      </c>
      <c r="D133">
        <v>34</v>
      </c>
      <c r="E133">
        <v>0</v>
      </c>
      <c r="F133">
        <v>7.8568791999714394E-2</v>
      </c>
      <c r="G133">
        <v>1</v>
      </c>
      <c r="H133">
        <v>1</v>
      </c>
      <c r="I133" t="s">
        <v>313</v>
      </c>
    </row>
    <row r="134" spans="1:9" x14ac:dyDescent="0.2">
      <c r="A134" t="s">
        <v>314</v>
      </c>
      <c r="B134">
        <v>114</v>
      </c>
      <c r="C134">
        <v>27</v>
      </c>
      <c r="D134">
        <v>34</v>
      </c>
      <c r="E134">
        <v>0</v>
      </c>
      <c r="F134">
        <v>8.6042499999166397E-2</v>
      </c>
      <c r="G134">
        <v>1</v>
      </c>
      <c r="H134">
        <v>1</v>
      </c>
      <c r="I134" t="s">
        <v>315</v>
      </c>
    </row>
    <row r="135" spans="1:9" x14ac:dyDescent="0.2">
      <c r="A135" t="s">
        <v>316</v>
      </c>
      <c r="B135">
        <v>115</v>
      </c>
      <c r="C135">
        <v>29</v>
      </c>
      <c r="D135">
        <v>33</v>
      </c>
      <c r="E135">
        <v>0</v>
      </c>
      <c r="F135">
        <v>0.108733082997787</v>
      </c>
      <c r="G135">
        <v>1</v>
      </c>
      <c r="H135">
        <v>1</v>
      </c>
      <c r="I135" t="s">
        <v>317</v>
      </c>
    </row>
    <row r="136" spans="1:9" x14ac:dyDescent="0.2">
      <c r="A136" t="s">
        <v>318</v>
      </c>
      <c r="B136">
        <v>116</v>
      </c>
      <c r="C136">
        <v>28</v>
      </c>
      <c r="D136">
        <v>34</v>
      </c>
      <c r="E136">
        <v>0</v>
      </c>
      <c r="F136">
        <v>9.7802833006426199E-2</v>
      </c>
      <c r="G136">
        <v>1</v>
      </c>
      <c r="H136">
        <v>1</v>
      </c>
      <c r="I136" t="s">
        <v>319</v>
      </c>
    </row>
    <row r="137" spans="1:9" x14ac:dyDescent="0.2">
      <c r="A137" t="s">
        <v>320</v>
      </c>
      <c r="B137">
        <v>117</v>
      </c>
      <c r="C137">
        <v>29</v>
      </c>
      <c r="D137">
        <v>34</v>
      </c>
      <c r="E137">
        <v>0</v>
      </c>
      <c r="F137">
        <v>0.109405749994039</v>
      </c>
      <c r="G137">
        <v>1</v>
      </c>
      <c r="H137">
        <v>1</v>
      </c>
      <c r="I137" t="s">
        <v>321</v>
      </c>
    </row>
    <row r="138" spans="1:9" x14ac:dyDescent="0.2">
      <c r="A138" t="s">
        <v>322</v>
      </c>
      <c r="B138">
        <v>118</v>
      </c>
      <c r="C138">
        <v>29</v>
      </c>
      <c r="D138">
        <v>35</v>
      </c>
      <c r="E138">
        <v>0</v>
      </c>
      <c r="F138">
        <v>0.122703209002793</v>
      </c>
      <c r="G138">
        <v>1</v>
      </c>
      <c r="H138">
        <v>1</v>
      </c>
      <c r="I138" t="s">
        <v>323</v>
      </c>
    </row>
    <row r="139" spans="1:9" x14ac:dyDescent="0.2">
      <c r="A139" t="s">
        <v>324</v>
      </c>
      <c r="B139">
        <v>119</v>
      </c>
      <c r="C139">
        <v>28</v>
      </c>
      <c r="D139">
        <v>36</v>
      </c>
      <c r="E139">
        <v>0</v>
      </c>
      <c r="F139">
        <v>0.117941582997445</v>
      </c>
      <c r="G139">
        <v>1</v>
      </c>
      <c r="H139">
        <v>1</v>
      </c>
      <c r="I139" t="s">
        <v>325</v>
      </c>
    </row>
    <row r="140" spans="1:9" x14ac:dyDescent="0.2">
      <c r="A140" t="s">
        <v>326</v>
      </c>
      <c r="B140">
        <v>120</v>
      </c>
      <c r="C140">
        <v>29</v>
      </c>
      <c r="D140">
        <v>36</v>
      </c>
      <c r="E140">
        <v>0</v>
      </c>
      <c r="F140">
        <v>0.137007000004814</v>
      </c>
      <c r="G140">
        <v>1</v>
      </c>
      <c r="H140">
        <v>1</v>
      </c>
      <c r="I140" t="s">
        <v>327</v>
      </c>
    </row>
    <row r="141" spans="1:9" x14ac:dyDescent="0.2">
      <c r="A141" t="s">
        <v>328</v>
      </c>
      <c r="B141">
        <v>121</v>
      </c>
      <c r="C141">
        <v>29</v>
      </c>
      <c r="D141">
        <v>37</v>
      </c>
      <c r="E141">
        <v>0</v>
      </c>
      <c r="F141">
        <v>0.167888541996944</v>
      </c>
      <c r="G141">
        <v>1</v>
      </c>
      <c r="H141">
        <v>1</v>
      </c>
      <c r="I141" t="s">
        <v>329</v>
      </c>
    </row>
    <row r="142" spans="1:9" x14ac:dyDescent="0.2">
      <c r="A142" t="s">
        <v>330</v>
      </c>
      <c r="B142">
        <v>122</v>
      </c>
      <c r="C142">
        <v>47</v>
      </c>
      <c r="D142">
        <v>25</v>
      </c>
      <c r="E142">
        <v>0</v>
      </c>
      <c r="F142">
        <v>294.06649633299799</v>
      </c>
      <c r="G142">
        <v>1</v>
      </c>
      <c r="H142">
        <v>1</v>
      </c>
      <c r="I142" t="s">
        <v>331</v>
      </c>
    </row>
    <row r="143" spans="1:9" x14ac:dyDescent="0.2">
      <c r="A143" t="s">
        <v>332</v>
      </c>
      <c r="B143">
        <v>123</v>
      </c>
      <c r="C143">
        <v>48</v>
      </c>
      <c r="D143">
        <v>25</v>
      </c>
      <c r="E143">
        <v>0</v>
      </c>
      <c r="F143">
        <v>382.21908308299999</v>
      </c>
      <c r="G143">
        <v>1</v>
      </c>
      <c r="H143">
        <v>1</v>
      </c>
      <c r="I143" t="s">
        <v>333</v>
      </c>
    </row>
    <row r="144" spans="1:9" x14ac:dyDescent="0.2">
      <c r="A144" t="s">
        <v>334</v>
      </c>
      <c r="B144">
        <v>124</v>
      </c>
      <c r="C144">
        <v>49</v>
      </c>
      <c r="D144">
        <v>25</v>
      </c>
      <c r="E144">
        <v>0</v>
      </c>
      <c r="F144">
        <v>493.48653816700198</v>
      </c>
      <c r="G144">
        <v>1</v>
      </c>
      <c r="H144">
        <v>1</v>
      </c>
      <c r="I144" t="s">
        <v>335</v>
      </c>
    </row>
    <row r="145" spans="1:9" x14ac:dyDescent="0.2">
      <c r="A145" t="s">
        <v>336</v>
      </c>
      <c r="B145">
        <v>125</v>
      </c>
      <c r="C145">
        <v>50</v>
      </c>
      <c r="D145">
        <v>25</v>
      </c>
      <c r="E145">
        <v>0</v>
      </c>
      <c r="F145">
        <v>633.27117074999796</v>
      </c>
      <c r="G145">
        <v>1</v>
      </c>
      <c r="H145">
        <v>1</v>
      </c>
      <c r="I145" t="s">
        <v>337</v>
      </c>
    </row>
    <row r="146" spans="1:9" x14ac:dyDescent="0.2">
      <c r="A146" t="s">
        <v>338</v>
      </c>
      <c r="B146">
        <v>126</v>
      </c>
      <c r="C146">
        <v>50</v>
      </c>
      <c r="D146">
        <v>26</v>
      </c>
      <c r="E146">
        <v>0</v>
      </c>
      <c r="F146">
        <v>985.74302745800298</v>
      </c>
      <c r="G146">
        <v>1</v>
      </c>
      <c r="H146">
        <v>1</v>
      </c>
      <c r="I146" t="s">
        <v>339</v>
      </c>
    </row>
    <row r="147" spans="1:9" x14ac:dyDescent="0.2">
      <c r="A147" t="s">
        <v>340</v>
      </c>
      <c r="B147">
        <v>127</v>
      </c>
      <c r="C147">
        <v>30</v>
      </c>
      <c r="D147">
        <v>37</v>
      </c>
      <c r="E147">
        <v>0</v>
      </c>
      <c r="F147">
        <v>0.37821241699566599</v>
      </c>
      <c r="G147">
        <v>1</v>
      </c>
      <c r="H147">
        <v>1</v>
      </c>
      <c r="I147" t="s">
        <v>341</v>
      </c>
    </row>
    <row r="148" spans="1:9" x14ac:dyDescent="0.2">
      <c r="A148" t="s">
        <v>342</v>
      </c>
      <c r="B148">
        <v>128</v>
      </c>
      <c r="C148">
        <v>44</v>
      </c>
      <c r="D148">
        <v>29</v>
      </c>
      <c r="E148">
        <v>0</v>
      </c>
      <c r="F148">
        <v>28.490223667002201</v>
      </c>
      <c r="G148">
        <v>1</v>
      </c>
      <c r="H148">
        <v>1</v>
      </c>
      <c r="I148" t="s">
        <v>343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16E1B-B017-7C45-9113-366F1FE351B6}">
  <dimension ref="A1:I148"/>
  <sheetViews>
    <sheetView workbookViewId="0">
      <selection activeCell="G13" sqref="G13"/>
    </sheetView>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s="22" t="s">
        <v>73</v>
      </c>
    </row>
    <row r="5" spans="1:1" x14ac:dyDescent="0.2">
      <c r="A5" s="21" t="s">
        <v>74</v>
      </c>
    </row>
    <row r="6" spans="1:1" x14ac:dyDescent="0.2">
      <c r="A6" s="6" t="s">
        <v>75</v>
      </c>
    </row>
    <row r="7" spans="1:1" x14ac:dyDescent="0.2">
      <c r="A7" t="s">
        <v>76</v>
      </c>
    </row>
    <row r="8" spans="1:1" x14ac:dyDescent="0.2">
      <c r="A8" s="22" t="s">
        <v>77</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t="s">
        <v>89</v>
      </c>
    </row>
    <row r="21" spans="1:9" x14ac:dyDescent="0.2">
      <c r="A21" t="s">
        <v>90</v>
      </c>
    </row>
    <row r="22" spans="1:9" x14ac:dyDescent="0.2">
      <c r="A22" t="s">
        <v>91</v>
      </c>
    </row>
    <row r="23" spans="1:9" x14ac:dyDescent="0.2">
      <c r="A23" t="s">
        <v>92</v>
      </c>
    </row>
    <row r="24" spans="1:9" x14ac:dyDescent="0.2">
      <c r="A24" t="s">
        <v>93</v>
      </c>
    </row>
    <row r="25" spans="1:9" x14ac:dyDescent="0.2">
      <c r="A25" t="s">
        <v>94</v>
      </c>
    </row>
    <row r="26" spans="1:9" x14ac:dyDescent="0.2">
      <c r="A26" t="s">
        <v>95</v>
      </c>
    </row>
    <row r="27" spans="1:9" x14ac:dyDescent="0.2">
      <c r="A27" t="s">
        <v>96</v>
      </c>
      <c r="B27" t="s">
        <v>61</v>
      </c>
      <c r="C27" t="s">
        <v>97</v>
      </c>
      <c r="D27" t="s">
        <v>98</v>
      </c>
      <c r="E27" t="s">
        <v>99</v>
      </c>
      <c r="F27" t="s">
        <v>100</v>
      </c>
      <c r="G27" t="s">
        <v>58</v>
      </c>
      <c r="H27" t="s">
        <v>59</v>
      </c>
      <c r="I27" t="s">
        <v>101</v>
      </c>
    </row>
    <row r="28" spans="1:9" x14ac:dyDescent="0.2">
      <c r="A28" t="s">
        <v>102</v>
      </c>
      <c r="B28">
        <v>5</v>
      </c>
      <c r="C28">
        <v>3</v>
      </c>
      <c r="D28">
        <v>2</v>
      </c>
      <c r="E28">
        <v>0</v>
      </c>
      <c r="F28">
        <v>0.92031004199816302</v>
      </c>
      <c r="G28">
        <v>1</v>
      </c>
      <c r="H28">
        <v>1</v>
      </c>
      <c r="I28" t="s">
        <v>103</v>
      </c>
    </row>
    <row r="29" spans="1:9" x14ac:dyDescent="0.2">
      <c r="A29" t="s">
        <v>104</v>
      </c>
      <c r="B29">
        <v>6</v>
      </c>
      <c r="C29">
        <v>3</v>
      </c>
      <c r="D29">
        <v>3</v>
      </c>
      <c r="E29">
        <v>0</v>
      </c>
      <c r="F29">
        <v>5.9132041002157999E-2</v>
      </c>
      <c r="G29">
        <v>1</v>
      </c>
      <c r="H29">
        <v>1</v>
      </c>
      <c r="I29" t="s">
        <v>105</v>
      </c>
    </row>
    <row r="30" spans="1:9" x14ac:dyDescent="0.2">
      <c r="A30" t="s">
        <v>106</v>
      </c>
      <c r="B30">
        <v>7</v>
      </c>
      <c r="C30">
        <v>3</v>
      </c>
      <c r="D30">
        <v>4</v>
      </c>
      <c r="E30">
        <v>0</v>
      </c>
      <c r="F30">
        <v>5.9731417000875801E-2</v>
      </c>
      <c r="G30">
        <v>1</v>
      </c>
      <c r="H30">
        <v>1</v>
      </c>
      <c r="I30" t="s">
        <v>107</v>
      </c>
    </row>
    <row r="31" spans="1:9" x14ac:dyDescent="0.2">
      <c r="A31" t="s">
        <v>108</v>
      </c>
      <c r="B31">
        <v>8</v>
      </c>
      <c r="C31">
        <v>3</v>
      </c>
      <c r="D31">
        <v>4</v>
      </c>
      <c r="E31">
        <v>0</v>
      </c>
      <c r="F31">
        <v>6.1138917000789599E-2</v>
      </c>
      <c r="G31">
        <v>1</v>
      </c>
      <c r="H31">
        <v>1</v>
      </c>
      <c r="I31" t="s">
        <v>109</v>
      </c>
    </row>
    <row r="32" spans="1:9" x14ac:dyDescent="0.2">
      <c r="A32" t="s">
        <v>110</v>
      </c>
      <c r="B32">
        <v>9</v>
      </c>
      <c r="C32">
        <v>5</v>
      </c>
      <c r="D32">
        <v>3</v>
      </c>
      <c r="E32">
        <v>0</v>
      </c>
      <c r="F32">
        <v>5.8100540998566402E-2</v>
      </c>
      <c r="G32">
        <v>1</v>
      </c>
      <c r="H32">
        <v>1</v>
      </c>
      <c r="I32" t="s">
        <v>111</v>
      </c>
    </row>
    <row r="33" spans="1:9" x14ac:dyDescent="0.2">
      <c r="A33" t="s">
        <v>112</v>
      </c>
      <c r="B33">
        <v>10</v>
      </c>
      <c r="C33">
        <v>3</v>
      </c>
      <c r="D33">
        <v>5</v>
      </c>
      <c r="E33">
        <v>0</v>
      </c>
      <c r="F33">
        <v>5.4936000000452602E-2</v>
      </c>
      <c r="G33">
        <v>1</v>
      </c>
      <c r="H33">
        <v>1</v>
      </c>
      <c r="I33" t="s">
        <v>113</v>
      </c>
    </row>
    <row r="34" spans="1:9" x14ac:dyDescent="0.2">
      <c r="A34" t="s">
        <v>114</v>
      </c>
      <c r="B34">
        <v>11</v>
      </c>
      <c r="C34">
        <v>3</v>
      </c>
      <c r="D34">
        <v>6</v>
      </c>
      <c r="E34">
        <v>0</v>
      </c>
      <c r="F34">
        <v>5.8254708994354497E-2</v>
      </c>
      <c r="G34">
        <v>1</v>
      </c>
      <c r="H34">
        <v>1</v>
      </c>
      <c r="I34" t="s">
        <v>115</v>
      </c>
    </row>
    <row r="35" spans="1:9" x14ac:dyDescent="0.2">
      <c r="A35" t="s">
        <v>116</v>
      </c>
      <c r="B35">
        <v>12</v>
      </c>
      <c r="C35">
        <v>3</v>
      </c>
      <c r="D35">
        <v>6</v>
      </c>
      <c r="E35">
        <v>0</v>
      </c>
      <c r="F35">
        <v>5.5143083001894397E-2</v>
      </c>
      <c r="G35">
        <v>1</v>
      </c>
      <c r="H35">
        <v>1</v>
      </c>
      <c r="I35" t="s">
        <v>117</v>
      </c>
    </row>
    <row r="36" spans="1:9" x14ac:dyDescent="0.2">
      <c r="A36" t="s">
        <v>118</v>
      </c>
      <c r="B36">
        <v>13</v>
      </c>
      <c r="C36">
        <v>5</v>
      </c>
      <c r="D36">
        <v>5</v>
      </c>
      <c r="E36">
        <v>0</v>
      </c>
      <c r="F36">
        <v>5.5624708002142101E-2</v>
      </c>
      <c r="G36">
        <v>1</v>
      </c>
      <c r="H36">
        <v>1</v>
      </c>
      <c r="I36" t="s">
        <v>119</v>
      </c>
    </row>
    <row r="37" spans="1:9" x14ac:dyDescent="0.2">
      <c r="A37" t="s">
        <v>120</v>
      </c>
      <c r="B37">
        <v>14</v>
      </c>
      <c r="C37">
        <v>6</v>
      </c>
      <c r="D37">
        <v>5</v>
      </c>
      <c r="E37">
        <v>0</v>
      </c>
      <c r="F37">
        <v>5.6052250001812298E-2</v>
      </c>
      <c r="G37">
        <v>1</v>
      </c>
      <c r="H37">
        <v>1</v>
      </c>
      <c r="I37" t="s">
        <v>121</v>
      </c>
    </row>
    <row r="38" spans="1:9" x14ac:dyDescent="0.2">
      <c r="A38" t="s">
        <v>122</v>
      </c>
      <c r="B38">
        <v>15</v>
      </c>
      <c r="C38">
        <v>7</v>
      </c>
      <c r="D38">
        <v>5</v>
      </c>
      <c r="E38">
        <v>0</v>
      </c>
      <c r="F38">
        <v>5.6886250000388799E-2</v>
      </c>
      <c r="G38">
        <v>1</v>
      </c>
      <c r="H38">
        <v>1</v>
      </c>
      <c r="I38" t="s">
        <v>123</v>
      </c>
    </row>
    <row r="39" spans="1:9" x14ac:dyDescent="0.2">
      <c r="A39" t="s">
        <v>124</v>
      </c>
      <c r="B39">
        <v>16</v>
      </c>
      <c r="C39">
        <v>8</v>
      </c>
      <c r="D39">
        <v>5</v>
      </c>
      <c r="E39">
        <v>0</v>
      </c>
      <c r="F39">
        <v>5.6987749994732398E-2</v>
      </c>
      <c r="G39">
        <v>1</v>
      </c>
      <c r="H39">
        <v>1</v>
      </c>
      <c r="I39" t="s">
        <v>125</v>
      </c>
    </row>
    <row r="40" spans="1:9" x14ac:dyDescent="0.2">
      <c r="A40" t="s">
        <v>126</v>
      </c>
      <c r="B40">
        <v>20</v>
      </c>
      <c r="C40">
        <v>5</v>
      </c>
      <c r="D40">
        <v>9</v>
      </c>
      <c r="E40">
        <v>0</v>
      </c>
      <c r="F40">
        <v>5.8010291999380501E-2</v>
      </c>
      <c r="G40">
        <v>1</v>
      </c>
      <c r="H40">
        <v>1</v>
      </c>
      <c r="I40" t="s">
        <v>127</v>
      </c>
    </row>
    <row r="41" spans="1:9" x14ac:dyDescent="0.2">
      <c r="A41" t="s">
        <v>128</v>
      </c>
      <c r="B41">
        <v>21</v>
      </c>
      <c r="C41">
        <v>5</v>
      </c>
      <c r="D41">
        <v>10</v>
      </c>
      <c r="E41">
        <v>0</v>
      </c>
      <c r="F41">
        <v>5.5484625001554301E-2</v>
      </c>
      <c r="G41">
        <v>1</v>
      </c>
      <c r="H41">
        <v>1</v>
      </c>
      <c r="I41" t="s">
        <v>129</v>
      </c>
    </row>
    <row r="42" spans="1:9" x14ac:dyDescent="0.2">
      <c r="A42" t="s">
        <v>130</v>
      </c>
      <c r="B42">
        <v>22</v>
      </c>
      <c r="C42">
        <v>6</v>
      </c>
      <c r="D42">
        <v>9</v>
      </c>
      <c r="E42">
        <v>0</v>
      </c>
      <c r="F42">
        <v>5.5288000003201797E-2</v>
      </c>
      <c r="G42">
        <v>1</v>
      </c>
      <c r="H42">
        <v>1</v>
      </c>
      <c r="I42" t="s">
        <v>131</v>
      </c>
    </row>
    <row r="43" spans="1:9" x14ac:dyDescent="0.2">
      <c r="A43" t="s">
        <v>132</v>
      </c>
      <c r="B43">
        <v>23</v>
      </c>
      <c r="C43">
        <v>7</v>
      </c>
      <c r="D43">
        <v>9</v>
      </c>
      <c r="E43">
        <v>0</v>
      </c>
      <c r="F43">
        <v>5.8467582995945101E-2</v>
      </c>
      <c r="G43">
        <v>1</v>
      </c>
      <c r="H43">
        <v>1</v>
      </c>
      <c r="I43" t="s">
        <v>133</v>
      </c>
    </row>
    <row r="44" spans="1:9" x14ac:dyDescent="0.2">
      <c r="A44" t="s">
        <v>134</v>
      </c>
      <c r="B44">
        <v>24</v>
      </c>
      <c r="C44">
        <v>3</v>
      </c>
      <c r="D44">
        <v>13</v>
      </c>
      <c r="E44">
        <v>0</v>
      </c>
      <c r="F44">
        <v>5.3659417004382703E-2</v>
      </c>
      <c r="G44">
        <v>1</v>
      </c>
      <c r="H44">
        <v>1</v>
      </c>
      <c r="I44" t="s">
        <v>135</v>
      </c>
    </row>
    <row r="45" spans="1:9" x14ac:dyDescent="0.2">
      <c r="A45" t="s">
        <v>136</v>
      </c>
      <c r="B45">
        <v>25</v>
      </c>
      <c r="C45">
        <v>15</v>
      </c>
      <c r="D45">
        <v>5</v>
      </c>
      <c r="E45">
        <v>0</v>
      </c>
      <c r="F45">
        <v>5.6709999997110502E-2</v>
      </c>
      <c r="G45">
        <v>1</v>
      </c>
      <c r="H45">
        <v>1</v>
      </c>
      <c r="I45" t="s">
        <v>137</v>
      </c>
    </row>
    <row r="46" spans="1:9" x14ac:dyDescent="0.2">
      <c r="A46" t="s">
        <v>138</v>
      </c>
      <c r="B46">
        <v>26</v>
      </c>
      <c r="C46">
        <v>9</v>
      </c>
      <c r="D46">
        <v>9</v>
      </c>
      <c r="E46">
        <v>0</v>
      </c>
      <c r="F46">
        <v>5.6378624998615103E-2</v>
      </c>
      <c r="G46">
        <v>1</v>
      </c>
      <c r="H46">
        <v>1</v>
      </c>
      <c r="I46" t="s">
        <v>139</v>
      </c>
    </row>
    <row r="47" spans="1:9" x14ac:dyDescent="0.2">
      <c r="A47" t="s">
        <v>140</v>
      </c>
      <c r="B47">
        <v>27</v>
      </c>
      <c r="C47">
        <v>10</v>
      </c>
      <c r="D47">
        <v>9</v>
      </c>
      <c r="E47">
        <v>0</v>
      </c>
      <c r="F47">
        <v>5.6651292004971703E-2</v>
      </c>
      <c r="G47">
        <v>1</v>
      </c>
      <c r="H47">
        <v>1</v>
      </c>
      <c r="I47" t="s">
        <v>141</v>
      </c>
    </row>
    <row r="48" spans="1:9" x14ac:dyDescent="0.2">
      <c r="A48" t="s">
        <v>142</v>
      </c>
      <c r="B48">
        <v>28</v>
      </c>
      <c r="C48">
        <v>18</v>
      </c>
      <c r="D48">
        <v>5</v>
      </c>
      <c r="E48">
        <v>0</v>
      </c>
      <c r="F48">
        <v>5.5864499998278902E-2</v>
      </c>
      <c r="G48">
        <v>1</v>
      </c>
      <c r="H48">
        <v>1</v>
      </c>
      <c r="I48" t="s">
        <v>143</v>
      </c>
    </row>
    <row r="49" spans="1:9" x14ac:dyDescent="0.2">
      <c r="A49" t="s">
        <v>144</v>
      </c>
      <c r="B49">
        <v>29</v>
      </c>
      <c r="C49">
        <v>6</v>
      </c>
      <c r="D49">
        <v>13</v>
      </c>
      <c r="E49">
        <v>0</v>
      </c>
      <c r="F49">
        <v>5.8239165999111699E-2</v>
      </c>
      <c r="G49">
        <v>1</v>
      </c>
      <c r="H49">
        <v>1</v>
      </c>
      <c r="I49" t="s">
        <v>145</v>
      </c>
    </row>
    <row r="50" spans="1:9" x14ac:dyDescent="0.2">
      <c r="A50" t="s">
        <v>146</v>
      </c>
      <c r="B50">
        <v>30</v>
      </c>
      <c r="C50">
        <v>6</v>
      </c>
      <c r="D50">
        <v>14</v>
      </c>
      <c r="E50">
        <v>0</v>
      </c>
      <c r="F50">
        <v>5.6752208998659598E-2</v>
      </c>
      <c r="G50">
        <v>1</v>
      </c>
      <c r="H50">
        <v>1</v>
      </c>
      <c r="I50" t="s">
        <v>147</v>
      </c>
    </row>
    <row r="51" spans="1:9" x14ac:dyDescent="0.2">
      <c r="A51" t="s">
        <v>148</v>
      </c>
      <c r="B51">
        <v>31</v>
      </c>
      <c r="C51">
        <v>3</v>
      </c>
      <c r="D51">
        <v>17</v>
      </c>
      <c r="E51">
        <v>0</v>
      </c>
      <c r="F51">
        <v>5.4078790999483303E-2</v>
      </c>
      <c r="G51">
        <v>1</v>
      </c>
      <c r="H51">
        <v>1</v>
      </c>
      <c r="I51" t="s">
        <v>149</v>
      </c>
    </row>
    <row r="52" spans="1:9" x14ac:dyDescent="0.2">
      <c r="A52" t="s">
        <v>150</v>
      </c>
      <c r="B52">
        <v>32</v>
      </c>
      <c r="C52">
        <v>8</v>
      </c>
      <c r="D52">
        <v>13</v>
      </c>
      <c r="E52">
        <v>0</v>
      </c>
      <c r="F52">
        <v>5.7315792000736103E-2</v>
      </c>
      <c r="G52">
        <v>1</v>
      </c>
      <c r="H52">
        <v>1</v>
      </c>
      <c r="I52" t="s">
        <v>151</v>
      </c>
    </row>
    <row r="53" spans="1:9" x14ac:dyDescent="0.2">
      <c r="A53" t="s">
        <v>152</v>
      </c>
      <c r="B53">
        <v>33</v>
      </c>
      <c r="C53">
        <v>18</v>
      </c>
      <c r="D53">
        <v>7</v>
      </c>
      <c r="E53">
        <v>0</v>
      </c>
      <c r="F53">
        <v>5.5822166999860201E-2</v>
      </c>
      <c r="G53">
        <v>1</v>
      </c>
      <c r="H53">
        <v>1</v>
      </c>
      <c r="I53" t="s">
        <v>153</v>
      </c>
    </row>
    <row r="54" spans="1:9" x14ac:dyDescent="0.2">
      <c r="A54" t="s">
        <v>154</v>
      </c>
      <c r="B54">
        <v>34</v>
      </c>
      <c r="C54">
        <v>4</v>
      </c>
      <c r="D54">
        <v>17</v>
      </c>
      <c r="E54">
        <v>0</v>
      </c>
      <c r="F54">
        <v>5.5268957999942303E-2</v>
      </c>
      <c r="G54">
        <v>1</v>
      </c>
      <c r="H54">
        <v>1</v>
      </c>
      <c r="I54" t="s">
        <v>155</v>
      </c>
    </row>
    <row r="55" spans="1:9" x14ac:dyDescent="0.2">
      <c r="A55" t="s">
        <v>156</v>
      </c>
      <c r="B55">
        <v>35</v>
      </c>
      <c r="C55">
        <v>20</v>
      </c>
      <c r="D55">
        <v>7</v>
      </c>
      <c r="E55">
        <v>0</v>
      </c>
      <c r="F55">
        <v>5.6638833004399203E-2</v>
      </c>
      <c r="G55">
        <v>1</v>
      </c>
      <c r="H55">
        <v>1</v>
      </c>
      <c r="I55" t="s">
        <v>157</v>
      </c>
    </row>
    <row r="56" spans="1:9" x14ac:dyDescent="0.2">
      <c r="A56" t="s">
        <v>158</v>
      </c>
      <c r="B56">
        <v>36</v>
      </c>
      <c r="C56">
        <v>5</v>
      </c>
      <c r="D56">
        <v>17</v>
      </c>
      <c r="E56">
        <v>0</v>
      </c>
      <c r="F56">
        <v>5.9016374994826003E-2</v>
      </c>
      <c r="G56">
        <v>1</v>
      </c>
      <c r="H56">
        <v>1</v>
      </c>
      <c r="I56" t="s">
        <v>159</v>
      </c>
    </row>
    <row r="57" spans="1:9" x14ac:dyDescent="0.2">
      <c r="A57" t="s">
        <v>160</v>
      </c>
      <c r="B57">
        <v>37</v>
      </c>
      <c r="C57">
        <v>6</v>
      </c>
      <c r="D57">
        <v>17</v>
      </c>
      <c r="E57">
        <v>0</v>
      </c>
      <c r="F57">
        <v>5.5898792001244098E-2</v>
      </c>
      <c r="G57">
        <v>1</v>
      </c>
      <c r="H57">
        <v>1</v>
      </c>
      <c r="I57" t="s">
        <v>161</v>
      </c>
    </row>
    <row r="58" spans="1:9" x14ac:dyDescent="0.2">
      <c r="A58" t="s">
        <v>162</v>
      </c>
      <c r="B58">
        <v>38</v>
      </c>
      <c r="C58">
        <v>3</v>
      </c>
      <c r="D58">
        <v>21</v>
      </c>
      <c r="E58">
        <v>0</v>
      </c>
      <c r="F58">
        <v>5.5214749998412999E-2</v>
      </c>
      <c r="G58">
        <v>1</v>
      </c>
      <c r="H58">
        <v>1</v>
      </c>
      <c r="I58" t="s">
        <v>163</v>
      </c>
    </row>
    <row r="59" spans="1:9" x14ac:dyDescent="0.2">
      <c r="A59" t="s">
        <v>164</v>
      </c>
      <c r="B59">
        <v>39</v>
      </c>
      <c r="C59">
        <v>7</v>
      </c>
      <c r="D59">
        <v>17</v>
      </c>
      <c r="E59">
        <v>0</v>
      </c>
      <c r="F59">
        <v>5.64742499991552E-2</v>
      </c>
      <c r="G59">
        <v>1</v>
      </c>
      <c r="H59">
        <v>1</v>
      </c>
      <c r="I59" t="s">
        <v>165</v>
      </c>
    </row>
    <row r="60" spans="1:9" x14ac:dyDescent="0.2">
      <c r="A60" t="s">
        <v>166</v>
      </c>
      <c r="B60">
        <v>40</v>
      </c>
      <c r="C60">
        <v>13</v>
      </c>
      <c r="D60">
        <v>13</v>
      </c>
      <c r="E60">
        <v>0</v>
      </c>
      <c r="F60">
        <v>5.51419170005829E-2</v>
      </c>
      <c r="G60">
        <v>1</v>
      </c>
      <c r="H60">
        <v>1</v>
      </c>
      <c r="I60" t="s">
        <v>167</v>
      </c>
    </row>
    <row r="61" spans="1:9" x14ac:dyDescent="0.2">
      <c r="A61" t="s">
        <v>168</v>
      </c>
      <c r="B61">
        <v>41</v>
      </c>
      <c r="C61">
        <v>8</v>
      </c>
      <c r="D61">
        <v>17</v>
      </c>
      <c r="E61">
        <v>0</v>
      </c>
      <c r="F61">
        <v>5.7326207999722101E-2</v>
      </c>
      <c r="G61">
        <v>1</v>
      </c>
      <c r="H61">
        <v>1</v>
      </c>
      <c r="I61" t="s">
        <v>169</v>
      </c>
    </row>
    <row r="62" spans="1:9" x14ac:dyDescent="0.2">
      <c r="A62" t="s">
        <v>170</v>
      </c>
      <c r="B62">
        <v>42</v>
      </c>
      <c r="C62">
        <v>9</v>
      </c>
      <c r="D62">
        <v>17</v>
      </c>
      <c r="E62">
        <v>0</v>
      </c>
      <c r="F62">
        <v>5.4675500003213501E-2</v>
      </c>
      <c r="G62">
        <v>1</v>
      </c>
      <c r="H62">
        <v>1</v>
      </c>
      <c r="I62" t="s">
        <v>171</v>
      </c>
    </row>
    <row r="63" spans="1:9" x14ac:dyDescent="0.2">
      <c r="A63" t="s">
        <v>172</v>
      </c>
      <c r="B63">
        <v>43</v>
      </c>
      <c r="C63">
        <v>22</v>
      </c>
      <c r="D63">
        <v>9</v>
      </c>
      <c r="E63">
        <v>0</v>
      </c>
      <c r="F63">
        <v>5.6178500002715702E-2</v>
      </c>
      <c r="G63">
        <v>1</v>
      </c>
      <c r="H63">
        <v>1</v>
      </c>
      <c r="I63" t="s">
        <v>173</v>
      </c>
    </row>
    <row r="64" spans="1:9" x14ac:dyDescent="0.2">
      <c r="A64" t="s">
        <v>174</v>
      </c>
      <c r="B64">
        <v>44</v>
      </c>
      <c r="C64">
        <v>23</v>
      </c>
      <c r="D64">
        <v>9</v>
      </c>
      <c r="E64">
        <v>0</v>
      </c>
      <c r="F64">
        <v>5.6413457998132799E-2</v>
      </c>
      <c r="G64">
        <v>1</v>
      </c>
      <c r="H64">
        <v>1</v>
      </c>
      <c r="I64" t="s">
        <v>175</v>
      </c>
    </row>
    <row r="65" spans="1:9" x14ac:dyDescent="0.2">
      <c r="A65" t="s">
        <v>176</v>
      </c>
      <c r="B65">
        <v>45</v>
      </c>
      <c r="C65">
        <v>24</v>
      </c>
      <c r="D65">
        <v>9</v>
      </c>
      <c r="E65">
        <v>0</v>
      </c>
      <c r="F65">
        <v>5.5199041999003301E-2</v>
      </c>
      <c r="G65">
        <v>1</v>
      </c>
      <c r="H65">
        <v>1</v>
      </c>
      <c r="I65" t="s">
        <v>177</v>
      </c>
    </row>
    <row r="66" spans="1:9" x14ac:dyDescent="0.2">
      <c r="A66" t="s">
        <v>178</v>
      </c>
      <c r="B66">
        <v>46</v>
      </c>
      <c r="C66">
        <v>15</v>
      </c>
      <c r="D66">
        <v>15</v>
      </c>
      <c r="E66">
        <v>0</v>
      </c>
      <c r="F66">
        <v>5.5654957999649902E-2</v>
      </c>
      <c r="G66">
        <v>1</v>
      </c>
      <c r="H66">
        <v>1</v>
      </c>
      <c r="I66" t="s">
        <v>179</v>
      </c>
    </row>
    <row r="67" spans="1:9" x14ac:dyDescent="0.2">
      <c r="A67" t="s">
        <v>180</v>
      </c>
      <c r="B67">
        <v>47</v>
      </c>
      <c r="C67">
        <v>25</v>
      </c>
      <c r="D67">
        <v>9</v>
      </c>
      <c r="E67">
        <v>0</v>
      </c>
      <c r="F67">
        <v>5.6346792000113E-2</v>
      </c>
      <c r="G67">
        <v>1</v>
      </c>
      <c r="H67">
        <v>1</v>
      </c>
      <c r="I67" t="s">
        <v>181</v>
      </c>
    </row>
    <row r="68" spans="1:9" x14ac:dyDescent="0.2">
      <c r="A68" t="s">
        <v>182</v>
      </c>
      <c r="B68">
        <v>48</v>
      </c>
      <c r="C68">
        <v>26</v>
      </c>
      <c r="D68">
        <v>9</v>
      </c>
      <c r="E68">
        <v>0</v>
      </c>
      <c r="F68">
        <v>5.77062919983291E-2</v>
      </c>
      <c r="G68">
        <v>1</v>
      </c>
      <c r="H68">
        <v>1</v>
      </c>
      <c r="I68" t="s">
        <v>183</v>
      </c>
    </row>
    <row r="69" spans="1:9" x14ac:dyDescent="0.2">
      <c r="A69" t="s">
        <v>184</v>
      </c>
      <c r="B69">
        <v>49</v>
      </c>
      <c r="C69">
        <v>4</v>
      </c>
      <c r="D69">
        <v>25</v>
      </c>
      <c r="E69">
        <v>0</v>
      </c>
      <c r="F69">
        <v>5.4450458002975197E-2</v>
      </c>
      <c r="G69">
        <v>1</v>
      </c>
      <c r="H69">
        <v>1</v>
      </c>
      <c r="I69" t="s">
        <v>185</v>
      </c>
    </row>
    <row r="70" spans="1:9" x14ac:dyDescent="0.2">
      <c r="A70" t="s">
        <v>186</v>
      </c>
      <c r="B70">
        <v>50</v>
      </c>
      <c r="C70">
        <v>19</v>
      </c>
      <c r="D70">
        <v>13</v>
      </c>
      <c r="E70">
        <v>0</v>
      </c>
      <c r="F70">
        <v>5.6529292000050101E-2</v>
      </c>
      <c r="G70">
        <v>1</v>
      </c>
      <c r="H70">
        <v>1</v>
      </c>
      <c r="I70" t="s">
        <v>187</v>
      </c>
    </row>
    <row r="71" spans="1:9" x14ac:dyDescent="0.2">
      <c r="A71" t="s">
        <v>188</v>
      </c>
      <c r="B71">
        <v>51</v>
      </c>
      <c r="C71">
        <v>28</v>
      </c>
      <c r="D71">
        <v>9</v>
      </c>
      <c r="E71">
        <v>0</v>
      </c>
      <c r="F71">
        <v>5.8769124996615497E-2</v>
      </c>
      <c r="G71">
        <v>1</v>
      </c>
      <c r="H71">
        <v>1</v>
      </c>
      <c r="I71" t="s">
        <v>189</v>
      </c>
    </row>
    <row r="72" spans="1:9" x14ac:dyDescent="0.2">
      <c r="A72" t="s">
        <v>190</v>
      </c>
      <c r="B72">
        <v>52</v>
      </c>
      <c r="C72">
        <v>15</v>
      </c>
      <c r="D72">
        <v>17</v>
      </c>
      <c r="E72">
        <v>0</v>
      </c>
      <c r="F72">
        <v>5.7898375001968802E-2</v>
      </c>
      <c r="G72">
        <v>1</v>
      </c>
      <c r="H72">
        <v>1</v>
      </c>
      <c r="I72" t="s">
        <v>191</v>
      </c>
    </row>
    <row r="73" spans="1:9" x14ac:dyDescent="0.2">
      <c r="A73" t="s">
        <v>192</v>
      </c>
      <c r="B73">
        <v>53</v>
      </c>
      <c r="C73">
        <v>16</v>
      </c>
      <c r="D73">
        <v>17</v>
      </c>
      <c r="E73">
        <v>0</v>
      </c>
      <c r="F73">
        <v>5.6270458000653799E-2</v>
      </c>
      <c r="G73">
        <v>1</v>
      </c>
      <c r="H73">
        <v>1</v>
      </c>
      <c r="I73" t="s">
        <v>193</v>
      </c>
    </row>
    <row r="74" spans="1:9" x14ac:dyDescent="0.2">
      <c r="A74" t="s">
        <v>194</v>
      </c>
      <c r="B74">
        <v>54</v>
      </c>
      <c r="C74">
        <v>31</v>
      </c>
      <c r="D74">
        <v>9</v>
      </c>
      <c r="E74">
        <v>0</v>
      </c>
      <c r="F74">
        <v>0.109378332999767</v>
      </c>
      <c r="G74">
        <v>1</v>
      </c>
      <c r="H74">
        <v>1</v>
      </c>
      <c r="I74" t="s">
        <v>195</v>
      </c>
    </row>
    <row r="75" spans="1:9" x14ac:dyDescent="0.2">
      <c r="A75" t="s">
        <v>196</v>
      </c>
      <c r="B75">
        <v>55</v>
      </c>
      <c r="C75">
        <v>23</v>
      </c>
      <c r="D75">
        <v>13</v>
      </c>
      <c r="E75">
        <v>0</v>
      </c>
      <c r="F75">
        <v>5.7370875001652097E-2</v>
      </c>
      <c r="G75">
        <v>1</v>
      </c>
      <c r="H75">
        <v>1</v>
      </c>
      <c r="I75" t="s">
        <v>197</v>
      </c>
    </row>
    <row r="76" spans="1:9" x14ac:dyDescent="0.2">
      <c r="A76" t="s">
        <v>198</v>
      </c>
      <c r="B76">
        <v>56</v>
      </c>
      <c r="C76">
        <v>17</v>
      </c>
      <c r="D76">
        <v>17</v>
      </c>
      <c r="E76">
        <v>0</v>
      </c>
      <c r="F76">
        <v>5.48911669975495E-2</v>
      </c>
      <c r="G76">
        <v>1</v>
      </c>
      <c r="H76">
        <v>1</v>
      </c>
      <c r="I76" t="s">
        <v>199</v>
      </c>
    </row>
    <row r="77" spans="1:9" x14ac:dyDescent="0.2">
      <c r="A77" t="s">
        <v>200</v>
      </c>
      <c r="B77">
        <v>57</v>
      </c>
      <c r="C77">
        <v>18</v>
      </c>
      <c r="D77">
        <v>17</v>
      </c>
      <c r="E77">
        <v>0</v>
      </c>
      <c r="F77">
        <v>5.5136082999524598E-2</v>
      </c>
      <c r="G77">
        <v>1</v>
      </c>
      <c r="H77">
        <v>1</v>
      </c>
      <c r="I77" t="s">
        <v>201</v>
      </c>
    </row>
    <row r="78" spans="1:9" x14ac:dyDescent="0.2">
      <c r="A78" t="s">
        <v>202</v>
      </c>
      <c r="B78">
        <v>58</v>
      </c>
      <c r="C78">
        <v>3</v>
      </c>
      <c r="D78">
        <v>32</v>
      </c>
      <c r="E78">
        <v>0</v>
      </c>
      <c r="F78">
        <v>5.5281749999267001E-2</v>
      </c>
      <c r="G78">
        <v>1</v>
      </c>
      <c r="H78">
        <v>1</v>
      </c>
      <c r="I78" t="s">
        <v>203</v>
      </c>
    </row>
    <row r="79" spans="1:9" x14ac:dyDescent="0.2">
      <c r="A79" t="s">
        <v>204</v>
      </c>
      <c r="B79">
        <v>59</v>
      </c>
      <c r="C79">
        <v>19</v>
      </c>
      <c r="D79">
        <v>17</v>
      </c>
      <c r="E79">
        <v>0</v>
      </c>
      <c r="F79">
        <v>5.6470625000656499E-2</v>
      </c>
      <c r="G79">
        <v>1</v>
      </c>
      <c r="H79">
        <v>1</v>
      </c>
      <c r="I79" t="s">
        <v>205</v>
      </c>
    </row>
    <row r="80" spans="1:9" x14ac:dyDescent="0.2">
      <c r="A80" t="s">
        <v>206</v>
      </c>
      <c r="B80">
        <v>60</v>
      </c>
      <c r="C80">
        <v>20</v>
      </c>
      <c r="D80">
        <v>17</v>
      </c>
      <c r="E80">
        <v>0</v>
      </c>
      <c r="F80">
        <v>5.6529084002249798E-2</v>
      </c>
      <c r="G80">
        <v>1</v>
      </c>
      <c r="H80">
        <v>1</v>
      </c>
      <c r="I80" t="s">
        <v>207</v>
      </c>
    </row>
    <row r="81" spans="1:9" x14ac:dyDescent="0.2">
      <c r="A81" t="s">
        <v>208</v>
      </c>
      <c r="B81">
        <v>61</v>
      </c>
      <c r="C81">
        <v>18</v>
      </c>
      <c r="D81">
        <v>19</v>
      </c>
      <c r="E81">
        <v>0</v>
      </c>
      <c r="F81">
        <v>5.6562665995443198E-2</v>
      </c>
      <c r="G81">
        <v>1</v>
      </c>
      <c r="H81">
        <v>1</v>
      </c>
      <c r="I81" t="s">
        <v>209</v>
      </c>
    </row>
    <row r="82" spans="1:9" x14ac:dyDescent="0.2">
      <c r="A82" t="s">
        <v>210</v>
      </c>
      <c r="B82">
        <v>62</v>
      </c>
      <c r="C82">
        <v>21</v>
      </c>
      <c r="D82">
        <v>17</v>
      </c>
      <c r="E82">
        <v>0</v>
      </c>
      <c r="F82">
        <v>5.8432875004655202E-2</v>
      </c>
      <c r="G82">
        <v>1</v>
      </c>
      <c r="H82">
        <v>1</v>
      </c>
      <c r="I82" t="s">
        <v>211</v>
      </c>
    </row>
    <row r="83" spans="1:9" x14ac:dyDescent="0.2">
      <c r="A83" t="s">
        <v>212</v>
      </c>
      <c r="B83">
        <v>63</v>
      </c>
      <c r="C83">
        <v>23</v>
      </c>
      <c r="D83">
        <v>16</v>
      </c>
      <c r="E83">
        <v>0</v>
      </c>
      <c r="F83">
        <v>5.7976124997367103E-2</v>
      </c>
      <c r="G83">
        <v>1</v>
      </c>
      <c r="H83">
        <v>1</v>
      </c>
      <c r="I83" t="s">
        <v>213</v>
      </c>
    </row>
    <row r="84" spans="1:9" x14ac:dyDescent="0.2">
      <c r="A84" t="s">
        <v>214</v>
      </c>
      <c r="B84">
        <v>64</v>
      </c>
      <c r="C84">
        <v>24</v>
      </c>
      <c r="D84">
        <v>16</v>
      </c>
      <c r="E84">
        <v>0</v>
      </c>
      <c r="F84">
        <v>5.9271500002068898E-2</v>
      </c>
      <c r="G84">
        <v>1</v>
      </c>
      <c r="H84">
        <v>1</v>
      </c>
      <c r="I84" t="s">
        <v>215</v>
      </c>
    </row>
    <row r="85" spans="1:9" x14ac:dyDescent="0.2">
      <c r="A85" t="s">
        <v>216</v>
      </c>
      <c r="B85">
        <v>65</v>
      </c>
      <c r="C85">
        <v>31</v>
      </c>
      <c r="D85">
        <v>13</v>
      </c>
      <c r="E85">
        <v>0</v>
      </c>
      <c r="F85">
        <v>6.4059208998514805E-2</v>
      </c>
      <c r="G85">
        <v>1</v>
      </c>
      <c r="H85">
        <v>1</v>
      </c>
      <c r="I85" t="s">
        <v>217</v>
      </c>
    </row>
    <row r="86" spans="1:9" x14ac:dyDescent="0.2">
      <c r="A86" t="s">
        <v>218</v>
      </c>
      <c r="B86">
        <v>66</v>
      </c>
      <c r="C86">
        <v>32</v>
      </c>
      <c r="D86">
        <v>13</v>
      </c>
      <c r="E86">
        <v>0</v>
      </c>
      <c r="F86">
        <v>6.0850916001072598E-2</v>
      </c>
      <c r="G86">
        <v>1</v>
      </c>
      <c r="H86">
        <v>1</v>
      </c>
      <c r="I86" t="s">
        <v>219</v>
      </c>
    </row>
    <row r="87" spans="1:9" x14ac:dyDescent="0.2">
      <c r="A87" t="s">
        <v>220</v>
      </c>
      <c r="B87">
        <v>67</v>
      </c>
      <c r="C87">
        <v>33</v>
      </c>
      <c r="D87">
        <v>13</v>
      </c>
      <c r="E87">
        <v>0</v>
      </c>
      <c r="F87">
        <v>6.1133249997510498E-2</v>
      </c>
      <c r="G87">
        <v>1</v>
      </c>
      <c r="H87">
        <v>1</v>
      </c>
      <c r="I87" t="s">
        <v>221</v>
      </c>
    </row>
    <row r="88" spans="1:9" x14ac:dyDescent="0.2">
      <c r="A88" t="s">
        <v>222</v>
      </c>
      <c r="B88">
        <v>68</v>
      </c>
      <c r="C88">
        <v>34</v>
      </c>
      <c r="D88">
        <v>13</v>
      </c>
      <c r="E88">
        <v>0</v>
      </c>
      <c r="F88">
        <v>6.1296500003663802E-2</v>
      </c>
      <c r="G88">
        <v>1</v>
      </c>
      <c r="H88">
        <v>1</v>
      </c>
      <c r="I88" t="s">
        <v>223</v>
      </c>
    </row>
    <row r="89" spans="1:9" x14ac:dyDescent="0.2">
      <c r="A89" t="s">
        <v>224</v>
      </c>
      <c r="B89">
        <v>69</v>
      </c>
      <c r="C89">
        <v>35</v>
      </c>
      <c r="D89">
        <v>13</v>
      </c>
      <c r="E89">
        <v>0</v>
      </c>
      <c r="F89">
        <v>6.6025624997564494E-2</v>
      </c>
      <c r="G89">
        <v>1</v>
      </c>
      <c r="H89">
        <v>1</v>
      </c>
      <c r="I89" t="s">
        <v>225</v>
      </c>
    </row>
    <row r="90" spans="1:9" x14ac:dyDescent="0.2">
      <c r="A90" t="s">
        <v>226</v>
      </c>
      <c r="B90">
        <v>70</v>
      </c>
      <c r="C90">
        <v>36</v>
      </c>
      <c r="D90">
        <v>13</v>
      </c>
      <c r="E90">
        <v>0</v>
      </c>
      <c r="F90">
        <v>8.5915417002979597E-2</v>
      </c>
      <c r="G90">
        <v>1</v>
      </c>
      <c r="H90">
        <v>1</v>
      </c>
      <c r="I90" t="s">
        <v>227</v>
      </c>
    </row>
    <row r="91" spans="1:9" x14ac:dyDescent="0.2">
      <c r="A91" t="s">
        <v>228</v>
      </c>
      <c r="B91">
        <v>71</v>
      </c>
      <c r="C91">
        <v>12</v>
      </c>
      <c r="D91">
        <v>29</v>
      </c>
      <c r="E91">
        <v>0</v>
      </c>
      <c r="F91">
        <v>5.8065166995220303E-2</v>
      </c>
      <c r="G91">
        <v>1</v>
      </c>
      <c r="H91">
        <v>1</v>
      </c>
      <c r="I91" t="s">
        <v>229</v>
      </c>
    </row>
    <row r="92" spans="1:9" x14ac:dyDescent="0.2">
      <c r="A92" t="s">
        <v>230</v>
      </c>
      <c r="B92">
        <v>72</v>
      </c>
      <c r="C92">
        <v>37</v>
      </c>
      <c r="D92">
        <v>13</v>
      </c>
      <c r="E92">
        <v>0</v>
      </c>
      <c r="F92">
        <v>9.0562249999493305E-2</v>
      </c>
      <c r="G92">
        <v>1</v>
      </c>
      <c r="H92">
        <v>1</v>
      </c>
      <c r="I92" t="s">
        <v>231</v>
      </c>
    </row>
    <row r="93" spans="1:9" x14ac:dyDescent="0.2">
      <c r="A93" t="s">
        <v>232</v>
      </c>
      <c r="B93">
        <v>73</v>
      </c>
      <c r="C93">
        <v>38</v>
      </c>
      <c r="D93">
        <v>13</v>
      </c>
      <c r="E93">
        <v>0</v>
      </c>
      <c r="F93">
        <v>0.124677750005503</v>
      </c>
      <c r="G93">
        <v>1</v>
      </c>
      <c r="H93">
        <v>1</v>
      </c>
      <c r="I93" t="s">
        <v>233</v>
      </c>
    </row>
    <row r="94" spans="1:9" x14ac:dyDescent="0.2">
      <c r="A94" t="s">
        <v>234</v>
      </c>
      <c r="B94">
        <v>74</v>
      </c>
      <c r="C94">
        <v>9</v>
      </c>
      <c r="D94">
        <v>32</v>
      </c>
      <c r="E94">
        <v>0</v>
      </c>
      <c r="F94">
        <v>5.5626540997763999E-2</v>
      </c>
      <c r="G94">
        <v>1</v>
      </c>
      <c r="H94">
        <v>1</v>
      </c>
      <c r="I94" t="s">
        <v>235</v>
      </c>
    </row>
    <row r="95" spans="1:9" x14ac:dyDescent="0.2">
      <c r="A95" t="s">
        <v>236</v>
      </c>
      <c r="B95">
        <v>75</v>
      </c>
      <c r="C95">
        <v>28</v>
      </c>
      <c r="D95">
        <v>19</v>
      </c>
      <c r="E95">
        <v>0</v>
      </c>
      <c r="F95">
        <v>9.9921084001834901E-2</v>
      </c>
      <c r="G95">
        <v>1</v>
      </c>
      <c r="H95">
        <v>1</v>
      </c>
      <c r="I95" t="s">
        <v>237</v>
      </c>
    </row>
    <row r="96" spans="1:9" x14ac:dyDescent="0.2">
      <c r="A96" t="s">
        <v>238</v>
      </c>
      <c r="B96">
        <v>76</v>
      </c>
      <c r="C96">
        <v>40</v>
      </c>
      <c r="D96">
        <v>12</v>
      </c>
      <c r="E96">
        <v>0</v>
      </c>
      <c r="F96">
        <v>0.116167499996663</v>
      </c>
      <c r="G96">
        <v>1</v>
      </c>
      <c r="H96">
        <v>1</v>
      </c>
      <c r="I96" t="s">
        <v>239</v>
      </c>
    </row>
    <row r="97" spans="1:9" x14ac:dyDescent="0.2">
      <c r="A97" t="s">
        <v>240</v>
      </c>
      <c r="B97">
        <v>77</v>
      </c>
      <c r="C97">
        <v>40</v>
      </c>
      <c r="D97">
        <v>13</v>
      </c>
      <c r="E97">
        <v>0</v>
      </c>
      <c r="F97">
        <v>0.15310762500303099</v>
      </c>
      <c r="G97">
        <v>1</v>
      </c>
      <c r="H97">
        <v>1</v>
      </c>
      <c r="I97" t="s">
        <v>241</v>
      </c>
    </row>
    <row r="98" spans="1:9" x14ac:dyDescent="0.2">
      <c r="A98" t="s">
        <v>242</v>
      </c>
      <c r="B98">
        <v>78</v>
      </c>
      <c r="C98">
        <v>29</v>
      </c>
      <c r="D98">
        <v>19</v>
      </c>
      <c r="E98">
        <v>0</v>
      </c>
      <c r="F98">
        <v>0.116533041000366</v>
      </c>
      <c r="G98">
        <v>1</v>
      </c>
      <c r="H98">
        <v>1</v>
      </c>
      <c r="I98" t="s">
        <v>243</v>
      </c>
    </row>
    <row r="99" spans="1:9" x14ac:dyDescent="0.2">
      <c r="A99" t="s">
        <v>244</v>
      </c>
      <c r="B99">
        <v>79</v>
      </c>
      <c r="C99">
        <v>20</v>
      </c>
      <c r="D99">
        <v>24</v>
      </c>
      <c r="E99">
        <v>0</v>
      </c>
      <c r="F99">
        <v>5.7779791997745598E-2</v>
      </c>
      <c r="G99">
        <v>1</v>
      </c>
      <c r="H99">
        <v>1</v>
      </c>
      <c r="I99" t="s">
        <v>245</v>
      </c>
    </row>
    <row r="100" spans="1:9" x14ac:dyDescent="0.2">
      <c r="A100" t="s">
        <v>246</v>
      </c>
      <c r="B100">
        <v>80</v>
      </c>
      <c r="C100">
        <v>47</v>
      </c>
      <c r="D100">
        <v>11</v>
      </c>
      <c r="E100">
        <v>0</v>
      </c>
      <c r="F100">
        <v>15.6760042500027</v>
      </c>
      <c r="G100">
        <v>1</v>
      </c>
      <c r="H100">
        <v>1</v>
      </c>
      <c r="I100" t="s">
        <v>247</v>
      </c>
    </row>
    <row r="101" spans="1:9" x14ac:dyDescent="0.2">
      <c r="A101" t="s">
        <v>248</v>
      </c>
      <c r="B101">
        <v>81</v>
      </c>
      <c r="C101">
        <v>48</v>
      </c>
      <c r="D101">
        <v>11</v>
      </c>
      <c r="E101">
        <v>0</v>
      </c>
      <c r="F101">
        <v>19.7291003749996</v>
      </c>
      <c r="G101">
        <v>1</v>
      </c>
      <c r="H101">
        <v>1</v>
      </c>
      <c r="I101" t="s">
        <v>249</v>
      </c>
    </row>
    <row r="102" spans="1:9" x14ac:dyDescent="0.2">
      <c r="A102" t="s">
        <v>250</v>
      </c>
      <c r="B102">
        <v>82</v>
      </c>
      <c r="C102">
        <v>43</v>
      </c>
      <c r="D102">
        <v>13</v>
      </c>
      <c r="E102">
        <v>0</v>
      </c>
      <c r="F102">
        <v>0.5442101669978</v>
      </c>
      <c r="G102">
        <v>1</v>
      </c>
      <c r="H102">
        <v>1</v>
      </c>
      <c r="I102" t="s">
        <v>251</v>
      </c>
    </row>
    <row r="103" spans="1:9" x14ac:dyDescent="0.2">
      <c r="A103" t="s">
        <v>252</v>
      </c>
      <c r="B103">
        <v>83</v>
      </c>
      <c r="C103">
        <v>41</v>
      </c>
      <c r="D103">
        <v>15</v>
      </c>
      <c r="E103">
        <v>0</v>
      </c>
      <c r="F103">
        <v>0.12802087500313</v>
      </c>
      <c r="G103">
        <v>1</v>
      </c>
      <c r="H103">
        <v>1</v>
      </c>
      <c r="I103" t="s">
        <v>253</v>
      </c>
    </row>
    <row r="104" spans="1:9" x14ac:dyDescent="0.2">
      <c r="A104" t="s">
        <v>254</v>
      </c>
      <c r="B104">
        <v>84</v>
      </c>
      <c r="C104">
        <v>42</v>
      </c>
      <c r="D104">
        <v>15</v>
      </c>
      <c r="E104">
        <v>0</v>
      </c>
      <c r="F104">
        <v>0.145614540997485</v>
      </c>
      <c r="G104">
        <v>1</v>
      </c>
      <c r="H104">
        <v>1</v>
      </c>
      <c r="I104" t="s">
        <v>255</v>
      </c>
    </row>
    <row r="105" spans="1:9" x14ac:dyDescent="0.2">
      <c r="A105" t="s">
        <v>256</v>
      </c>
      <c r="B105">
        <v>85</v>
      </c>
      <c r="C105">
        <v>23</v>
      </c>
      <c r="D105">
        <v>24</v>
      </c>
      <c r="E105">
        <v>0</v>
      </c>
      <c r="F105">
        <v>6.4146374999836497E-2</v>
      </c>
      <c r="G105">
        <v>1</v>
      </c>
      <c r="H105">
        <v>1</v>
      </c>
      <c r="I105" t="s">
        <v>257</v>
      </c>
    </row>
    <row r="106" spans="1:9" x14ac:dyDescent="0.2">
      <c r="A106" t="s">
        <v>258</v>
      </c>
      <c r="B106">
        <v>86</v>
      </c>
      <c r="C106">
        <v>23</v>
      </c>
      <c r="D106">
        <v>25</v>
      </c>
      <c r="E106">
        <v>0</v>
      </c>
      <c r="F106">
        <v>5.88789999965229E-2</v>
      </c>
      <c r="G106">
        <v>1</v>
      </c>
      <c r="H106">
        <v>1</v>
      </c>
      <c r="I106" t="s">
        <v>259</v>
      </c>
    </row>
    <row r="107" spans="1:9" x14ac:dyDescent="0.2">
      <c r="A107" t="s">
        <v>260</v>
      </c>
      <c r="B107">
        <v>87</v>
      </c>
      <c r="C107">
        <v>45</v>
      </c>
      <c r="D107">
        <v>15</v>
      </c>
      <c r="E107">
        <v>0</v>
      </c>
      <c r="F107">
        <v>1.2414520840029499</v>
      </c>
      <c r="G107">
        <v>1</v>
      </c>
      <c r="H107">
        <v>1</v>
      </c>
      <c r="I107" t="s">
        <v>261</v>
      </c>
    </row>
    <row r="108" spans="1:9" x14ac:dyDescent="0.2">
      <c r="A108" t="s">
        <v>262</v>
      </c>
      <c r="B108">
        <v>88</v>
      </c>
      <c r="C108">
        <v>49</v>
      </c>
      <c r="D108">
        <v>13</v>
      </c>
      <c r="E108">
        <v>0</v>
      </c>
      <c r="F108">
        <v>116.846370375002</v>
      </c>
      <c r="G108">
        <v>1</v>
      </c>
      <c r="H108">
        <v>1</v>
      </c>
      <c r="I108" t="s">
        <v>263</v>
      </c>
    </row>
    <row r="109" spans="1:9" x14ac:dyDescent="0.2">
      <c r="A109" t="s">
        <v>264</v>
      </c>
      <c r="B109">
        <v>89</v>
      </c>
      <c r="C109">
        <v>32</v>
      </c>
      <c r="D109">
        <v>21</v>
      </c>
      <c r="E109">
        <v>0</v>
      </c>
      <c r="F109">
        <v>0.25013508299889498</v>
      </c>
      <c r="G109">
        <v>1</v>
      </c>
      <c r="H109">
        <v>1</v>
      </c>
      <c r="I109" t="s">
        <v>265</v>
      </c>
    </row>
    <row r="110" spans="1:9" x14ac:dyDescent="0.2">
      <c r="A110" t="s">
        <v>266</v>
      </c>
      <c r="B110">
        <v>90</v>
      </c>
      <c r="C110">
        <v>33</v>
      </c>
      <c r="D110">
        <v>21</v>
      </c>
      <c r="E110">
        <v>0</v>
      </c>
      <c r="F110">
        <v>0.50218012499681197</v>
      </c>
      <c r="G110">
        <v>1</v>
      </c>
      <c r="H110">
        <v>1</v>
      </c>
      <c r="I110" t="s">
        <v>267</v>
      </c>
    </row>
    <row r="111" spans="1:9" x14ac:dyDescent="0.2">
      <c r="A111" t="s">
        <v>268</v>
      </c>
      <c r="B111">
        <v>91</v>
      </c>
      <c r="C111">
        <v>26</v>
      </c>
      <c r="D111">
        <v>25</v>
      </c>
      <c r="E111">
        <v>0</v>
      </c>
      <c r="F111">
        <v>7.3289208005007794E-2</v>
      </c>
      <c r="G111">
        <v>1</v>
      </c>
      <c r="H111">
        <v>1</v>
      </c>
      <c r="I111" t="s">
        <v>269</v>
      </c>
    </row>
    <row r="112" spans="1:9" x14ac:dyDescent="0.2">
      <c r="A112" t="s">
        <v>270</v>
      </c>
      <c r="B112">
        <v>92</v>
      </c>
      <c r="C112">
        <v>52</v>
      </c>
      <c r="D112">
        <v>13</v>
      </c>
      <c r="E112">
        <v>0</v>
      </c>
      <c r="F112">
        <v>676.84917833399902</v>
      </c>
      <c r="G112">
        <v>1</v>
      </c>
      <c r="H112">
        <v>1</v>
      </c>
      <c r="I112" t="s">
        <v>271</v>
      </c>
    </row>
    <row r="113" spans="1:9" x14ac:dyDescent="0.2">
      <c r="A113" t="s">
        <v>272</v>
      </c>
      <c r="B113">
        <v>93</v>
      </c>
      <c r="C113">
        <v>53</v>
      </c>
      <c r="D113">
        <v>13</v>
      </c>
      <c r="E113">
        <v>0</v>
      </c>
      <c r="F113">
        <v>860.68276929100102</v>
      </c>
      <c r="G113">
        <v>1</v>
      </c>
      <c r="H113">
        <v>1</v>
      </c>
      <c r="I113" t="s">
        <v>273</v>
      </c>
    </row>
    <row r="114" spans="1:9" x14ac:dyDescent="0.2">
      <c r="A114" t="s">
        <v>274</v>
      </c>
      <c r="B114">
        <v>94</v>
      </c>
      <c r="C114">
        <v>54</v>
      </c>
      <c r="D114">
        <v>13</v>
      </c>
      <c r="E114">
        <v>0</v>
      </c>
      <c r="F114">
        <v>1092.68203474999</v>
      </c>
      <c r="G114">
        <v>1</v>
      </c>
      <c r="H114">
        <v>1</v>
      </c>
      <c r="I114" t="s">
        <v>275</v>
      </c>
    </row>
    <row r="115" spans="1:9" x14ac:dyDescent="0.2">
      <c r="A115" t="s">
        <v>276</v>
      </c>
      <c r="B115">
        <v>95</v>
      </c>
      <c r="C115">
        <v>46</v>
      </c>
      <c r="D115">
        <v>17</v>
      </c>
      <c r="E115">
        <v>0</v>
      </c>
      <c r="F115">
        <v>0.95396887500101002</v>
      </c>
      <c r="G115">
        <v>1</v>
      </c>
      <c r="H115">
        <v>1</v>
      </c>
      <c r="I115" t="s">
        <v>277</v>
      </c>
    </row>
    <row r="116" spans="1:9" x14ac:dyDescent="0.2">
      <c r="A116" t="s">
        <v>278</v>
      </c>
      <c r="B116">
        <v>96</v>
      </c>
      <c r="C116">
        <v>48</v>
      </c>
      <c r="D116">
        <v>16</v>
      </c>
      <c r="E116">
        <v>0</v>
      </c>
      <c r="F116">
        <v>0.44240575000003401</v>
      </c>
      <c r="G116">
        <v>1</v>
      </c>
      <c r="H116">
        <v>1</v>
      </c>
      <c r="I116" t="s">
        <v>279</v>
      </c>
    </row>
    <row r="117" spans="1:9" x14ac:dyDescent="0.2">
      <c r="A117" t="s">
        <v>280</v>
      </c>
      <c r="B117">
        <v>97</v>
      </c>
      <c r="C117">
        <v>50</v>
      </c>
      <c r="D117">
        <v>15</v>
      </c>
      <c r="E117">
        <v>0</v>
      </c>
      <c r="F117">
        <v>2.7820707499995398</v>
      </c>
      <c r="G117">
        <v>1</v>
      </c>
      <c r="H117">
        <v>1</v>
      </c>
      <c r="I117" t="s">
        <v>281</v>
      </c>
    </row>
    <row r="118" spans="1:9" x14ac:dyDescent="0.2">
      <c r="A118" t="s">
        <v>282</v>
      </c>
      <c r="B118">
        <v>98</v>
      </c>
      <c r="C118">
        <v>51</v>
      </c>
      <c r="D118">
        <v>15</v>
      </c>
      <c r="E118">
        <v>0</v>
      </c>
      <c r="F118">
        <v>9.7526237499987403</v>
      </c>
      <c r="G118">
        <v>1</v>
      </c>
      <c r="H118">
        <v>1</v>
      </c>
      <c r="I118" t="s">
        <v>283</v>
      </c>
    </row>
    <row r="119" spans="1:9" x14ac:dyDescent="0.2">
      <c r="A119" t="s">
        <v>284</v>
      </c>
      <c r="B119">
        <v>99</v>
      </c>
      <c r="C119">
        <v>52</v>
      </c>
      <c r="D119">
        <v>15</v>
      </c>
      <c r="E119">
        <v>0</v>
      </c>
      <c r="F119">
        <v>19.511674583998602</v>
      </c>
      <c r="G119">
        <v>1</v>
      </c>
      <c r="H119">
        <v>1</v>
      </c>
      <c r="I119" t="s">
        <v>285</v>
      </c>
    </row>
    <row r="120" spans="1:9" x14ac:dyDescent="0.2">
      <c r="A120" t="s">
        <v>286</v>
      </c>
      <c r="B120">
        <v>100</v>
      </c>
      <c r="C120">
        <v>52</v>
      </c>
      <c r="D120">
        <v>16</v>
      </c>
      <c r="E120">
        <v>0</v>
      </c>
      <c r="F120">
        <v>19.585598333003801</v>
      </c>
      <c r="G120">
        <v>1</v>
      </c>
      <c r="H120">
        <v>1</v>
      </c>
      <c r="I120" t="s">
        <v>287</v>
      </c>
    </row>
    <row r="121" spans="1:9" x14ac:dyDescent="0.2">
      <c r="A121" t="s">
        <v>288</v>
      </c>
      <c r="B121">
        <v>101</v>
      </c>
      <c r="C121">
        <v>53</v>
      </c>
      <c r="D121">
        <v>15</v>
      </c>
      <c r="E121">
        <v>0</v>
      </c>
      <c r="F121">
        <v>23.259848791996699</v>
      </c>
      <c r="G121">
        <v>1</v>
      </c>
      <c r="H121">
        <v>1</v>
      </c>
      <c r="I121" t="s">
        <v>289</v>
      </c>
    </row>
    <row r="122" spans="1:9" x14ac:dyDescent="0.2">
      <c r="A122" t="s">
        <v>290</v>
      </c>
      <c r="B122">
        <v>102</v>
      </c>
      <c r="C122">
        <v>54</v>
      </c>
      <c r="D122">
        <v>15</v>
      </c>
      <c r="E122">
        <v>0</v>
      </c>
      <c r="F122">
        <v>79.715552583002093</v>
      </c>
      <c r="G122">
        <v>1</v>
      </c>
      <c r="H122">
        <v>1</v>
      </c>
      <c r="I122" t="s">
        <v>291</v>
      </c>
    </row>
    <row r="123" spans="1:9" x14ac:dyDescent="0.2">
      <c r="A123" t="s">
        <v>292</v>
      </c>
      <c r="B123">
        <v>103</v>
      </c>
      <c r="C123">
        <v>34</v>
      </c>
      <c r="D123">
        <v>25</v>
      </c>
      <c r="E123">
        <v>0</v>
      </c>
      <c r="F123">
        <v>0.17037441700085701</v>
      </c>
      <c r="G123">
        <v>1</v>
      </c>
      <c r="H123">
        <v>1</v>
      </c>
      <c r="I123" t="s">
        <v>293</v>
      </c>
    </row>
    <row r="124" spans="1:9" x14ac:dyDescent="0.2">
      <c r="A124" t="s">
        <v>294</v>
      </c>
      <c r="B124">
        <v>104</v>
      </c>
      <c r="C124">
        <v>28</v>
      </c>
      <c r="D124">
        <v>29</v>
      </c>
      <c r="E124">
        <v>0</v>
      </c>
      <c r="F124">
        <v>0.138497583000571</v>
      </c>
      <c r="G124">
        <v>1</v>
      </c>
      <c r="H124">
        <v>1</v>
      </c>
      <c r="I124" t="s">
        <v>295</v>
      </c>
    </row>
    <row r="125" spans="1:9" x14ac:dyDescent="0.2">
      <c r="A125" t="s">
        <v>296</v>
      </c>
      <c r="B125">
        <v>105</v>
      </c>
      <c r="C125">
        <v>54</v>
      </c>
      <c r="D125">
        <v>17</v>
      </c>
      <c r="E125">
        <v>0</v>
      </c>
      <c r="F125">
        <v>27.590027917001802</v>
      </c>
      <c r="G125">
        <v>1</v>
      </c>
      <c r="H125">
        <v>1</v>
      </c>
      <c r="I125" t="s">
        <v>297</v>
      </c>
    </row>
    <row r="126" spans="1:9" x14ac:dyDescent="0.2">
      <c r="A126" t="s">
        <v>298</v>
      </c>
      <c r="B126">
        <v>106</v>
      </c>
      <c r="C126">
        <v>44</v>
      </c>
      <c r="D126">
        <v>21</v>
      </c>
      <c r="E126">
        <v>0</v>
      </c>
      <c r="F126">
        <v>10.107215582997</v>
      </c>
      <c r="G126">
        <v>1</v>
      </c>
      <c r="H126">
        <v>1</v>
      </c>
      <c r="I126" t="s">
        <v>299</v>
      </c>
    </row>
    <row r="127" spans="1:9" x14ac:dyDescent="0.2">
      <c r="A127" t="s">
        <v>300</v>
      </c>
      <c r="B127">
        <v>107</v>
      </c>
      <c r="C127">
        <v>45</v>
      </c>
      <c r="D127">
        <v>21</v>
      </c>
      <c r="E127">
        <v>0</v>
      </c>
      <c r="F127">
        <v>12.7122682499975</v>
      </c>
      <c r="G127">
        <v>1</v>
      </c>
      <c r="H127">
        <v>1</v>
      </c>
      <c r="I127" t="s">
        <v>301</v>
      </c>
    </row>
    <row r="128" spans="1:9" x14ac:dyDescent="0.2">
      <c r="A128" t="s">
        <v>302</v>
      </c>
      <c r="B128">
        <v>108</v>
      </c>
      <c r="C128">
        <v>55</v>
      </c>
      <c r="D128">
        <v>17</v>
      </c>
      <c r="E128">
        <v>0</v>
      </c>
      <c r="F128">
        <v>19.4610055420052</v>
      </c>
      <c r="G128">
        <v>1</v>
      </c>
      <c r="H128">
        <v>1</v>
      </c>
      <c r="I128" t="s">
        <v>303</v>
      </c>
    </row>
    <row r="129" spans="1:9" x14ac:dyDescent="0.2">
      <c r="A129" t="s">
        <v>304</v>
      </c>
      <c r="B129">
        <v>109</v>
      </c>
      <c r="C129">
        <v>37</v>
      </c>
      <c r="D129">
        <v>25</v>
      </c>
      <c r="E129">
        <v>0</v>
      </c>
      <c r="F129">
        <v>0.48542233299667698</v>
      </c>
      <c r="G129">
        <v>1</v>
      </c>
      <c r="H129">
        <v>1</v>
      </c>
      <c r="I129" t="s">
        <v>305</v>
      </c>
    </row>
    <row r="130" spans="1:9" x14ac:dyDescent="0.2">
      <c r="A130" t="s">
        <v>306</v>
      </c>
      <c r="B130">
        <v>110</v>
      </c>
      <c r="C130">
        <v>33</v>
      </c>
      <c r="D130">
        <v>28</v>
      </c>
      <c r="E130">
        <v>0</v>
      </c>
      <c r="F130">
        <v>0.346617124996555</v>
      </c>
      <c r="G130">
        <v>1</v>
      </c>
      <c r="H130">
        <v>1</v>
      </c>
      <c r="I130" t="s">
        <v>307</v>
      </c>
    </row>
    <row r="131" spans="1:9" x14ac:dyDescent="0.2">
      <c r="A131" t="s">
        <v>308</v>
      </c>
      <c r="B131">
        <v>111</v>
      </c>
      <c r="C131">
        <v>57</v>
      </c>
      <c r="D131">
        <v>17</v>
      </c>
      <c r="E131">
        <v>0</v>
      </c>
      <c r="F131">
        <v>45.196406083006799</v>
      </c>
      <c r="G131">
        <v>1</v>
      </c>
      <c r="H131">
        <v>1</v>
      </c>
      <c r="I131" t="s">
        <v>309</v>
      </c>
    </row>
    <row r="132" spans="1:9" x14ac:dyDescent="0.2">
      <c r="A132" t="s">
        <v>310</v>
      </c>
      <c r="B132">
        <v>112</v>
      </c>
      <c r="C132">
        <v>36</v>
      </c>
      <c r="D132">
        <v>27</v>
      </c>
      <c r="E132">
        <v>0</v>
      </c>
      <c r="F132">
        <v>0.395964541996363</v>
      </c>
      <c r="G132">
        <v>1</v>
      </c>
      <c r="H132">
        <v>1</v>
      </c>
      <c r="I132" t="s">
        <v>311</v>
      </c>
    </row>
    <row r="133" spans="1:9" x14ac:dyDescent="0.2">
      <c r="A133" t="s">
        <v>312</v>
      </c>
      <c r="B133">
        <v>113</v>
      </c>
      <c r="C133">
        <v>26</v>
      </c>
      <c r="D133">
        <v>34</v>
      </c>
      <c r="E133">
        <v>0</v>
      </c>
      <c r="F133">
        <v>7.8568791999714394E-2</v>
      </c>
      <c r="G133">
        <v>1</v>
      </c>
      <c r="H133">
        <v>1</v>
      </c>
      <c r="I133" t="s">
        <v>313</v>
      </c>
    </row>
    <row r="134" spans="1:9" x14ac:dyDescent="0.2">
      <c r="A134" t="s">
        <v>314</v>
      </c>
      <c r="B134">
        <v>114</v>
      </c>
      <c r="C134">
        <v>27</v>
      </c>
      <c r="D134">
        <v>34</v>
      </c>
      <c r="E134">
        <v>0</v>
      </c>
      <c r="F134">
        <v>8.6042499999166397E-2</v>
      </c>
      <c r="G134">
        <v>1</v>
      </c>
      <c r="H134">
        <v>1</v>
      </c>
      <c r="I134" t="s">
        <v>315</v>
      </c>
    </row>
    <row r="135" spans="1:9" x14ac:dyDescent="0.2">
      <c r="A135" t="s">
        <v>316</v>
      </c>
      <c r="B135">
        <v>115</v>
      </c>
      <c r="C135">
        <v>29</v>
      </c>
      <c r="D135">
        <v>33</v>
      </c>
      <c r="E135">
        <v>0</v>
      </c>
      <c r="F135">
        <v>0.108733082997787</v>
      </c>
      <c r="G135">
        <v>1</v>
      </c>
      <c r="H135">
        <v>1</v>
      </c>
      <c r="I135" t="s">
        <v>317</v>
      </c>
    </row>
    <row r="136" spans="1:9" x14ac:dyDescent="0.2">
      <c r="A136" t="s">
        <v>318</v>
      </c>
      <c r="B136">
        <v>116</v>
      </c>
      <c r="C136">
        <v>28</v>
      </c>
      <c r="D136">
        <v>34</v>
      </c>
      <c r="E136">
        <v>0</v>
      </c>
      <c r="F136">
        <v>9.7802833006426199E-2</v>
      </c>
      <c r="G136">
        <v>1</v>
      </c>
      <c r="H136">
        <v>1</v>
      </c>
      <c r="I136" t="s">
        <v>319</v>
      </c>
    </row>
    <row r="137" spans="1:9" x14ac:dyDescent="0.2">
      <c r="A137" t="s">
        <v>320</v>
      </c>
      <c r="B137">
        <v>117</v>
      </c>
      <c r="C137">
        <v>29</v>
      </c>
      <c r="D137">
        <v>34</v>
      </c>
      <c r="E137">
        <v>0</v>
      </c>
      <c r="F137">
        <v>0.109405749994039</v>
      </c>
      <c r="G137">
        <v>1</v>
      </c>
      <c r="H137">
        <v>1</v>
      </c>
      <c r="I137" t="s">
        <v>321</v>
      </c>
    </row>
    <row r="138" spans="1:9" x14ac:dyDescent="0.2">
      <c r="A138" t="s">
        <v>322</v>
      </c>
      <c r="B138">
        <v>118</v>
      </c>
      <c r="C138">
        <v>29</v>
      </c>
      <c r="D138">
        <v>35</v>
      </c>
      <c r="E138">
        <v>0</v>
      </c>
      <c r="F138">
        <v>0.122703209002793</v>
      </c>
      <c r="G138">
        <v>1</v>
      </c>
      <c r="H138">
        <v>1</v>
      </c>
      <c r="I138" t="s">
        <v>323</v>
      </c>
    </row>
    <row r="139" spans="1:9" x14ac:dyDescent="0.2">
      <c r="A139" t="s">
        <v>324</v>
      </c>
      <c r="B139">
        <v>119</v>
      </c>
      <c r="C139">
        <v>28</v>
      </c>
      <c r="D139">
        <v>36</v>
      </c>
      <c r="E139">
        <v>0</v>
      </c>
      <c r="F139">
        <v>0.117941582997445</v>
      </c>
      <c r="G139">
        <v>1</v>
      </c>
      <c r="H139">
        <v>1</v>
      </c>
      <c r="I139" t="s">
        <v>325</v>
      </c>
    </row>
    <row r="140" spans="1:9" x14ac:dyDescent="0.2">
      <c r="A140" t="s">
        <v>326</v>
      </c>
      <c r="B140">
        <v>120</v>
      </c>
      <c r="C140">
        <v>29</v>
      </c>
      <c r="D140">
        <v>36</v>
      </c>
      <c r="E140">
        <v>0</v>
      </c>
      <c r="F140">
        <v>0.137007000004814</v>
      </c>
      <c r="G140">
        <v>1</v>
      </c>
      <c r="H140">
        <v>1</v>
      </c>
      <c r="I140" t="s">
        <v>327</v>
      </c>
    </row>
    <row r="141" spans="1:9" x14ac:dyDescent="0.2">
      <c r="A141" t="s">
        <v>328</v>
      </c>
      <c r="B141">
        <v>121</v>
      </c>
      <c r="C141">
        <v>29</v>
      </c>
      <c r="D141">
        <v>37</v>
      </c>
      <c r="E141">
        <v>0</v>
      </c>
      <c r="F141">
        <v>0.167888541996944</v>
      </c>
      <c r="G141">
        <v>1</v>
      </c>
      <c r="H141">
        <v>1</v>
      </c>
      <c r="I141" t="s">
        <v>329</v>
      </c>
    </row>
    <row r="142" spans="1:9" x14ac:dyDescent="0.2">
      <c r="A142" t="s">
        <v>330</v>
      </c>
      <c r="B142">
        <v>122</v>
      </c>
      <c r="C142">
        <v>47</v>
      </c>
      <c r="D142">
        <v>25</v>
      </c>
      <c r="E142">
        <v>0</v>
      </c>
      <c r="F142">
        <v>294.06649633299799</v>
      </c>
      <c r="G142">
        <v>1</v>
      </c>
      <c r="H142">
        <v>1</v>
      </c>
      <c r="I142" t="s">
        <v>331</v>
      </c>
    </row>
    <row r="143" spans="1:9" x14ac:dyDescent="0.2">
      <c r="A143" t="s">
        <v>332</v>
      </c>
      <c r="B143">
        <v>123</v>
      </c>
      <c r="C143">
        <v>48</v>
      </c>
      <c r="D143">
        <v>25</v>
      </c>
      <c r="E143">
        <v>0</v>
      </c>
      <c r="F143">
        <v>382.21908308299999</v>
      </c>
      <c r="G143">
        <v>1</v>
      </c>
      <c r="H143">
        <v>1</v>
      </c>
      <c r="I143" t="s">
        <v>333</v>
      </c>
    </row>
    <row r="144" spans="1:9" x14ac:dyDescent="0.2">
      <c r="A144" t="s">
        <v>334</v>
      </c>
      <c r="B144">
        <v>124</v>
      </c>
      <c r="C144">
        <v>49</v>
      </c>
      <c r="D144">
        <v>25</v>
      </c>
      <c r="E144">
        <v>0</v>
      </c>
      <c r="F144">
        <v>493.48653816700198</v>
      </c>
      <c r="G144">
        <v>1</v>
      </c>
      <c r="H144">
        <v>1</v>
      </c>
      <c r="I144" t="s">
        <v>335</v>
      </c>
    </row>
    <row r="145" spans="1:9" x14ac:dyDescent="0.2">
      <c r="A145" t="s">
        <v>336</v>
      </c>
      <c r="B145">
        <v>125</v>
      </c>
      <c r="C145">
        <v>50</v>
      </c>
      <c r="D145">
        <v>25</v>
      </c>
      <c r="E145">
        <v>0</v>
      </c>
      <c r="F145">
        <v>633.27117074999796</v>
      </c>
      <c r="G145">
        <v>1</v>
      </c>
      <c r="H145">
        <v>1</v>
      </c>
      <c r="I145" t="s">
        <v>337</v>
      </c>
    </row>
    <row r="146" spans="1:9" x14ac:dyDescent="0.2">
      <c r="A146" t="s">
        <v>338</v>
      </c>
      <c r="B146">
        <v>126</v>
      </c>
      <c r="C146">
        <v>50</v>
      </c>
      <c r="D146">
        <v>26</v>
      </c>
      <c r="E146">
        <v>0</v>
      </c>
      <c r="F146">
        <v>985.74302745800298</v>
      </c>
      <c r="G146">
        <v>1</v>
      </c>
      <c r="H146">
        <v>1</v>
      </c>
      <c r="I146" t="s">
        <v>339</v>
      </c>
    </row>
    <row r="147" spans="1:9" x14ac:dyDescent="0.2">
      <c r="A147" t="s">
        <v>340</v>
      </c>
      <c r="B147">
        <v>127</v>
      </c>
      <c r="C147">
        <v>30</v>
      </c>
      <c r="D147">
        <v>37</v>
      </c>
      <c r="E147">
        <v>0</v>
      </c>
      <c r="F147">
        <v>0.37821241699566599</v>
      </c>
      <c r="G147">
        <v>1</v>
      </c>
      <c r="H147">
        <v>1</v>
      </c>
      <c r="I147" t="s">
        <v>341</v>
      </c>
    </row>
    <row r="148" spans="1:9" x14ac:dyDescent="0.2">
      <c r="A148" t="s">
        <v>342</v>
      </c>
      <c r="B148">
        <v>128</v>
      </c>
      <c r="C148">
        <v>44</v>
      </c>
      <c r="D148">
        <v>29</v>
      </c>
      <c r="E148">
        <v>0</v>
      </c>
      <c r="F148">
        <v>28.490223667002201</v>
      </c>
      <c r="G148">
        <v>1</v>
      </c>
      <c r="H148">
        <v>1</v>
      </c>
      <c r="I148" t="s">
        <v>343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dimension ref="A1:I124"/>
  <sheetViews>
    <sheetView workbookViewId="0"/>
  </sheetViews>
  <sheetFormatPr baseColWidth="10" defaultColWidth="11" defaultRowHeight="16" x14ac:dyDescent="0.2"/>
  <sheetData>
    <row r="1" spans="1:1" x14ac:dyDescent="0.2">
      <c r="A1" t="s">
        <v>70</v>
      </c>
    </row>
    <row r="2" spans="1:1" x14ac:dyDescent="0.2">
      <c r="A2" t="s">
        <v>71</v>
      </c>
    </row>
    <row r="3" spans="1:1" x14ac:dyDescent="0.2">
      <c r="A3" t="s">
        <v>73</v>
      </c>
    </row>
    <row r="4" spans="1:1" x14ac:dyDescent="0.2">
      <c r="A4" s="6" t="s">
        <v>74</v>
      </c>
    </row>
    <row r="5" spans="1:1" x14ac:dyDescent="0.2">
      <c r="A5" s="6" t="s">
        <v>344</v>
      </c>
    </row>
    <row r="6" spans="1:1" x14ac:dyDescent="0.2">
      <c r="A6" t="s">
        <v>76</v>
      </c>
    </row>
    <row r="7" spans="1:1" x14ac:dyDescent="0.2">
      <c r="A7" t="s">
        <v>345</v>
      </c>
    </row>
    <row r="8" spans="1:1" x14ac:dyDescent="0.2">
      <c r="A8" s="6" t="s">
        <v>78</v>
      </c>
    </row>
    <row r="9" spans="1:1" x14ac:dyDescent="0.2">
      <c r="A9" t="s">
        <v>79</v>
      </c>
    </row>
    <row r="10" spans="1:1" x14ac:dyDescent="0.2">
      <c r="A10" t="s">
        <v>80</v>
      </c>
    </row>
    <row r="11" spans="1:1" x14ac:dyDescent="0.2">
      <c r="A11" t="s">
        <v>81</v>
      </c>
    </row>
    <row r="12" spans="1:1" x14ac:dyDescent="0.2">
      <c r="A12" t="s">
        <v>82</v>
      </c>
    </row>
    <row r="13" spans="1:1" x14ac:dyDescent="0.2">
      <c r="A13" t="s">
        <v>83</v>
      </c>
    </row>
    <row r="14" spans="1:1" x14ac:dyDescent="0.2">
      <c r="A14" t="s">
        <v>84</v>
      </c>
    </row>
    <row r="15" spans="1:1" x14ac:dyDescent="0.2">
      <c r="A15" t="s">
        <v>85</v>
      </c>
    </row>
    <row r="16" spans="1:1" x14ac:dyDescent="0.2">
      <c r="A16" t="s">
        <v>86</v>
      </c>
    </row>
    <row r="17" spans="1:9" x14ac:dyDescent="0.2">
      <c r="A17" t="s">
        <v>87</v>
      </c>
    </row>
    <row r="18" spans="1:9" x14ac:dyDescent="0.2">
      <c r="A18" t="s">
        <v>346</v>
      </c>
    </row>
    <row r="19" spans="1:9" x14ac:dyDescent="0.2">
      <c r="A19" t="s">
        <v>89</v>
      </c>
    </row>
    <row r="20" spans="1:9" x14ac:dyDescent="0.2">
      <c r="A20" t="s">
        <v>92</v>
      </c>
    </row>
    <row r="21" spans="1:9" x14ac:dyDescent="0.2">
      <c r="A21" t="s">
        <v>93</v>
      </c>
    </row>
    <row r="22" spans="1:9" x14ac:dyDescent="0.2">
      <c r="A22" t="s">
        <v>347</v>
      </c>
    </row>
    <row r="23" spans="1:9" x14ac:dyDescent="0.2">
      <c r="A23" t="s">
        <v>95</v>
      </c>
    </row>
    <row r="24" spans="1:9" x14ac:dyDescent="0.2">
      <c r="A24" t="s">
        <v>96</v>
      </c>
      <c r="B24" t="s">
        <v>61</v>
      </c>
      <c r="C24" t="s">
        <v>97</v>
      </c>
      <c r="D24" t="s">
        <v>98</v>
      </c>
      <c r="E24" t="s">
        <v>99</v>
      </c>
      <c r="F24" t="s">
        <v>100</v>
      </c>
      <c r="G24" t="s">
        <v>58</v>
      </c>
      <c r="H24" t="s">
        <v>59</v>
      </c>
      <c r="I24" t="s">
        <v>101</v>
      </c>
    </row>
    <row r="25" spans="1:9" x14ac:dyDescent="0.2">
      <c r="A25" t="s">
        <v>102</v>
      </c>
      <c r="B25">
        <v>5</v>
      </c>
      <c r="C25">
        <v>3</v>
      </c>
      <c r="D25">
        <v>2</v>
      </c>
      <c r="E25">
        <v>0</v>
      </c>
      <c r="F25">
        <v>0.28055935800000498</v>
      </c>
      <c r="G25">
        <v>1</v>
      </c>
      <c r="H25">
        <v>1</v>
      </c>
      <c r="I25" t="s">
        <v>348</v>
      </c>
    </row>
    <row r="26" spans="1:9" x14ac:dyDescent="0.2">
      <c r="A26" t="s">
        <v>104</v>
      </c>
      <c r="B26">
        <v>6</v>
      </c>
      <c r="C26">
        <v>3</v>
      </c>
      <c r="D26">
        <v>3</v>
      </c>
      <c r="E26">
        <v>0</v>
      </c>
      <c r="F26">
        <v>3.8065457999977001E-2</v>
      </c>
      <c r="G26">
        <v>1</v>
      </c>
      <c r="H26">
        <v>1</v>
      </c>
      <c r="I26" t="s">
        <v>349</v>
      </c>
    </row>
    <row r="27" spans="1:9" x14ac:dyDescent="0.2">
      <c r="A27" t="s">
        <v>106</v>
      </c>
      <c r="B27">
        <v>7</v>
      </c>
      <c r="C27">
        <v>3</v>
      </c>
      <c r="D27">
        <v>4</v>
      </c>
      <c r="E27">
        <v>0</v>
      </c>
      <c r="F27">
        <v>2.23985570000024E-2</v>
      </c>
      <c r="G27">
        <v>1</v>
      </c>
      <c r="H27">
        <v>1</v>
      </c>
      <c r="I27" t="s">
        <v>350</v>
      </c>
    </row>
    <row r="28" spans="1:9" x14ac:dyDescent="0.2">
      <c r="A28" t="s">
        <v>108</v>
      </c>
      <c r="B28">
        <v>8</v>
      </c>
      <c r="C28">
        <v>3</v>
      </c>
      <c r="D28">
        <v>4</v>
      </c>
      <c r="E28">
        <v>0</v>
      </c>
      <c r="F28">
        <v>1.2562808000012599E-2</v>
      </c>
      <c r="G28">
        <v>1</v>
      </c>
      <c r="H28">
        <v>1</v>
      </c>
      <c r="I28" t="s">
        <v>351</v>
      </c>
    </row>
    <row r="29" spans="1:9" x14ac:dyDescent="0.2">
      <c r="A29" t="s">
        <v>110</v>
      </c>
      <c r="B29">
        <v>9</v>
      </c>
      <c r="C29">
        <v>5</v>
      </c>
      <c r="D29">
        <v>3</v>
      </c>
      <c r="E29">
        <v>0</v>
      </c>
      <c r="F29">
        <v>1.24929669999858E-2</v>
      </c>
      <c r="G29">
        <v>1</v>
      </c>
      <c r="H29">
        <v>1</v>
      </c>
      <c r="I29" t="s">
        <v>352</v>
      </c>
    </row>
    <row r="30" spans="1:9" x14ac:dyDescent="0.2">
      <c r="A30" t="s">
        <v>112</v>
      </c>
      <c r="B30">
        <v>10</v>
      </c>
      <c r="C30">
        <v>3</v>
      </c>
      <c r="D30">
        <v>5</v>
      </c>
      <c r="E30">
        <v>0</v>
      </c>
      <c r="F30">
        <v>1.22721730000137E-2</v>
      </c>
      <c r="G30">
        <v>1</v>
      </c>
      <c r="H30">
        <v>1</v>
      </c>
      <c r="I30" t="s">
        <v>353</v>
      </c>
    </row>
    <row r="31" spans="1:9" x14ac:dyDescent="0.2">
      <c r="A31" t="s">
        <v>114</v>
      </c>
      <c r="B31">
        <v>11</v>
      </c>
      <c r="C31">
        <v>3</v>
      </c>
      <c r="D31">
        <v>6</v>
      </c>
      <c r="E31">
        <v>0</v>
      </c>
      <c r="F31">
        <v>1.2328846999992E-2</v>
      </c>
      <c r="G31">
        <v>1</v>
      </c>
      <c r="H31">
        <v>1</v>
      </c>
      <c r="I31" t="s">
        <v>354</v>
      </c>
    </row>
    <row r="32" spans="1:9" x14ac:dyDescent="0.2">
      <c r="A32" t="s">
        <v>116</v>
      </c>
      <c r="B32">
        <v>12</v>
      </c>
      <c r="C32">
        <v>3</v>
      </c>
      <c r="D32">
        <v>6</v>
      </c>
      <c r="E32">
        <v>0</v>
      </c>
      <c r="F32">
        <v>1.2436460999992901E-2</v>
      </c>
      <c r="G32">
        <v>1</v>
      </c>
      <c r="H32">
        <v>1</v>
      </c>
      <c r="I32" t="s">
        <v>355</v>
      </c>
    </row>
    <row r="33" spans="1:9" x14ac:dyDescent="0.2">
      <c r="A33" t="s">
        <v>118</v>
      </c>
      <c r="B33">
        <v>13</v>
      </c>
      <c r="C33">
        <v>5</v>
      </c>
      <c r="D33">
        <v>5</v>
      </c>
      <c r="E33">
        <v>0</v>
      </c>
      <c r="F33">
        <v>1.30604550000157E-2</v>
      </c>
      <c r="G33">
        <v>1</v>
      </c>
      <c r="H33">
        <v>1</v>
      </c>
      <c r="I33" t="s">
        <v>356</v>
      </c>
    </row>
    <row r="34" spans="1:9" x14ac:dyDescent="0.2">
      <c r="A34" t="s">
        <v>120</v>
      </c>
      <c r="B34">
        <v>14</v>
      </c>
      <c r="C34">
        <v>6</v>
      </c>
      <c r="D34">
        <v>5</v>
      </c>
      <c r="E34">
        <v>0</v>
      </c>
      <c r="F34">
        <v>1.37671249999868E-2</v>
      </c>
      <c r="G34">
        <v>1</v>
      </c>
      <c r="H34">
        <v>1</v>
      </c>
      <c r="I34" t="s">
        <v>357</v>
      </c>
    </row>
    <row r="35" spans="1:9" x14ac:dyDescent="0.2">
      <c r="A35" t="s">
        <v>122</v>
      </c>
      <c r="B35">
        <v>15</v>
      </c>
      <c r="C35">
        <v>7</v>
      </c>
      <c r="D35">
        <v>5</v>
      </c>
      <c r="E35">
        <v>0</v>
      </c>
      <c r="F35">
        <v>1.4257614000001599E-2</v>
      </c>
      <c r="G35">
        <v>1</v>
      </c>
      <c r="H35">
        <v>1</v>
      </c>
      <c r="I35" t="s">
        <v>358</v>
      </c>
    </row>
    <row r="36" spans="1:9" x14ac:dyDescent="0.2">
      <c r="A36" t="s">
        <v>124</v>
      </c>
      <c r="B36">
        <v>16</v>
      </c>
      <c r="C36">
        <v>8</v>
      </c>
      <c r="D36">
        <v>5</v>
      </c>
      <c r="E36">
        <v>0</v>
      </c>
      <c r="F36">
        <v>1.4245312000014099E-2</v>
      </c>
      <c r="G36">
        <v>1</v>
      </c>
      <c r="H36">
        <v>1</v>
      </c>
      <c r="I36" t="s">
        <v>359</v>
      </c>
    </row>
    <row r="37" spans="1:9" x14ac:dyDescent="0.2">
      <c r="A37" t="s">
        <v>126</v>
      </c>
      <c r="B37">
        <v>20</v>
      </c>
      <c r="C37">
        <v>5</v>
      </c>
      <c r="D37">
        <v>9</v>
      </c>
      <c r="E37">
        <v>0</v>
      </c>
      <c r="F37">
        <v>1.49039049999828E-2</v>
      </c>
      <c r="G37">
        <v>1</v>
      </c>
      <c r="H37">
        <v>1</v>
      </c>
      <c r="I37" t="s">
        <v>360</v>
      </c>
    </row>
    <row r="38" spans="1:9" x14ac:dyDescent="0.2">
      <c r="A38" t="s">
        <v>128</v>
      </c>
      <c r="B38">
        <v>21</v>
      </c>
      <c r="C38">
        <v>5</v>
      </c>
      <c r="D38">
        <v>10</v>
      </c>
      <c r="E38">
        <v>0</v>
      </c>
      <c r="F38">
        <v>1.6636809000004801E-2</v>
      </c>
      <c r="G38">
        <v>1</v>
      </c>
      <c r="H38">
        <v>1</v>
      </c>
      <c r="I38" t="s">
        <v>361</v>
      </c>
    </row>
    <row r="39" spans="1:9" x14ac:dyDescent="0.2">
      <c r="A39" t="s">
        <v>130</v>
      </c>
      <c r="B39">
        <v>22</v>
      </c>
      <c r="C39">
        <v>6</v>
      </c>
      <c r="D39">
        <v>9</v>
      </c>
      <c r="E39">
        <v>0</v>
      </c>
      <c r="F39">
        <v>1.5906338000007701E-2</v>
      </c>
      <c r="G39">
        <v>1</v>
      </c>
      <c r="H39">
        <v>1</v>
      </c>
      <c r="I39" t="s">
        <v>362</v>
      </c>
    </row>
    <row r="40" spans="1:9" x14ac:dyDescent="0.2">
      <c r="A40" t="s">
        <v>132</v>
      </c>
      <c r="B40">
        <v>23</v>
      </c>
      <c r="C40">
        <v>7</v>
      </c>
      <c r="D40">
        <v>9</v>
      </c>
      <c r="E40">
        <v>0</v>
      </c>
      <c r="F40">
        <v>1.9609572999996699E-2</v>
      </c>
      <c r="G40">
        <v>1</v>
      </c>
      <c r="H40">
        <v>1</v>
      </c>
      <c r="I40" t="s">
        <v>363</v>
      </c>
    </row>
    <row r="41" spans="1:9" x14ac:dyDescent="0.2">
      <c r="A41" t="s">
        <v>134</v>
      </c>
      <c r="B41">
        <v>24</v>
      </c>
      <c r="C41">
        <v>3</v>
      </c>
      <c r="D41">
        <v>13</v>
      </c>
      <c r="E41">
        <v>0</v>
      </c>
      <c r="F41">
        <v>1.4425192999993799E-2</v>
      </c>
      <c r="G41">
        <v>1</v>
      </c>
      <c r="H41">
        <v>1</v>
      </c>
      <c r="I41" t="s">
        <v>364</v>
      </c>
    </row>
    <row r="42" spans="1:9" x14ac:dyDescent="0.2">
      <c r="A42" t="s">
        <v>136</v>
      </c>
      <c r="B42">
        <v>25</v>
      </c>
      <c r="C42">
        <v>15</v>
      </c>
      <c r="D42">
        <v>5</v>
      </c>
      <c r="E42">
        <v>0</v>
      </c>
      <c r="F42">
        <v>2.2460295000001899E-2</v>
      </c>
      <c r="G42">
        <v>1</v>
      </c>
      <c r="H42">
        <v>1</v>
      </c>
      <c r="I42" t="s">
        <v>365</v>
      </c>
    </row>
    <row r="43" spans="1:9" x14ac:dyDescent="0.2">
      <c r="A43" t="s">
        <v>138</v>
      </c>
      <c r="B43">
        <v>26</v>
      </c>
      <c r="C43">
        <v>9</v>
      </c>
      <c r="D43">
        <v>9</v>
      </c>
      <c r="E43">
        <v>0</v>
      </c>
      <c r="F43">
        <v>4.2527435000010799E-2</v>
      </c>
      <c r="G43">
        <v>1</v>
      </c>
      <c r="H43">
        <v>1</v>
      </c>
      <c r="I43" t="s">
        <v>366</v>
      </c>
    </row>
    <row r="44" spans="1:9" x14ac:dyDescent="0.2">
      <c r="A44" t="s">
        <v>140</v>
      </c>
      <c r="B44">
        <v>27</v>
      </c>
      <c r="C44">
        <v>10</v>
      </c>
      <c r="D44">
        <v>9</v>
      </c>
      <c r="E44">
        <v>0</v>
      </c>
      <c r="F44">
        <v>5.1098120999995403E-2</v>
      </c>
      <c r="G44">
        <v>1</v>
      </c>
      <c r="H44">
        <v>1</v>
      </c>
      <c r="I44" t="s">
        <v>367</v>
      </c>
    </row>
    <row r="45" spans="1:9" x14ac:dyDescent="0.2">
      <c r="A45" t="s">
        <v>142</v>
      </c>
      <c r="B45">
        <v>28</v>
      </c>
      <c r="C45">
        <v>18</v>
      </c>
      <c r="D45">
        <v>5</v>
      </c>
      <c r="E45">
        <v>0</v>
      </c>
      <c r="F45">
        <v>5.0654422000007998E-2</v>
      </c>
      <c r="G45">
        <v>1</v>
      </c>
      <c r="H45">
        <v>1</v>
      </c>
      <c r="I45" t="s">
        <v>368</v>
      </c>
    </row>
    <row r="46" spans="1:9" x14ac:dyDescent="0.2">
      <c r="A46" t="s">
        <v>144</v>
      </c>
      <c r="B46">
        <v>29</v>
      </c>
      <c r="C46">
        <v>6</v>
      </c>
      <c r="D46">
        <v>13</v>
      </c>
      <c r="E46">
        <v>0</v>
      </c>
      <c r="F46">
        <v>2.0581346000000101E-2</v>
      </c>
      <c r="G46">
        <v>1</v>
      </c>
      <c r="H46">
        <v>1</v>
      </c>
      <c r="I46" t="s">
        <v>369</v>
      </c>
    </row>
    <row r="47" spans="1:9" x14ac:dyDescent="0.2">
      <c r="A47" t="s">
        <v>146</v>
      </c>
      <c r="B47">
        <v>30</v>
      </c>
      <c r="C47">
        <v>6</v>
      </c>
      <c r="D47">
        <v>14</v>
      </c>
      <c r="E47">
        <v>0</v>
      </c>
      <c r="F47">
        <v>2.1646258999993499E-2</v>
      </c>
      <c r="G47">
        <v>1</v>
      </c>
      <c r="H47">
        <v>1</v>
      </c>
      <c r="I47" t="s">
        <v>370</v>
      </c>
    </row>
    <row r="48" spans="1:9" x14ac:dyDescent="0.2">
      <c r="A48" t="s">
        <v>148</v>
      </c>
      <c r="B48">
        <v>31</v>
      </c>
      <c r="C48">
        <v>3</v>
      </c>
      <c r="D48">
        <v>17</v>
      </c>
      <c r="E48">
        <v>0</v>
      </c>
      <c r="F48">
        <v>1.4886186000012401E-2</v>
      </c>
      <c r="G48">
        <v>1</v>
      </c>
      <c r="H48">
        <v>1</v>
      </c>
      <c r="I48" t="s">
        <v>371</v>
      </c>
    </row>
    <row r="49" spans="1:9" x14ac:dyDescent="0.2">
      <c r="A49" t="s">
        <v>150</v>
      </c>
      <c r="B49">
        <v>32</v>
      </c>
      <c r="C49">
        <v>8</v>
      </c>
      <c r="D49">
        <v>13</v>
      </c>
      <c r="E49">
        <v>0</v>
      </c>
      <c r="F49">
        <v>5.1944065999975898E-2</v>
      </c>
      <c r="G49">
        <v>1</v>
      </c>
      <c r="H49">
        <v>1</v>
      </c>
      <c r="I49" t="s">
        <v>372</v>
      </c>
    </row>
    <row r="50" spans="1:9" x14ac:dyDescent="0.2">
      <c r="A50" t="s">
        <v>152</v>
      </c>
      <c r="B50">
        <v>33</v>
      </c>
      <c r="C50">
        <v>18</v>
      </c>
      <c r="D50">
        <v>7</v>
      </c>
      <c r="E50">
        <v>0</v>
      </c>
      <c r="F50">
        <v>0.44511617599999898</v>
      </c>
      <c r="G50">
        <v>1</v>
      </c>
      <c r="H50">
        <v>1</v>
      </c>
      <c r="I50" t="s">
        <v>373</v>
      </c>
    </row>
    <row r="51" spans="1:9" x14ac:dyDescent="0.2">
      <c r="A51" t="s">
        <v>154</v>
      </c>
      <c r="B51">
        <v>34</v>
      </c>
      <c r="C51">
        <v>4</v>
      </c>
      <c r="D51">
        <v>17</v>
      </c>
      <c r="E51">
        <v>0</v>
      </c>
      <c r="F51">
        <v>1.45953650000194E-2</v>
      </c>
      <c r="G51">
        <v>1</v>
      </c>
      <c r="H51">
        <v>1</v>
      </c>
      <c r="I51" t="s">
        <v>374</v>
      </c>
    </row>
    <row r="52" spans="1:9" x14ac:dyDescent="0.2">
      <c r="A52" t="s">
        <v>156</v>
      </c>
      <c r="B52">
        <v>35</v>
      </c>
      <c r="C52">
        <v>20</v>
      </c>
      <c r="D52">
        <v>7</v>
      </c>
      <c r="E52">
        <v>0</v>
      </c>
      <c r="F52">
        <v>0.91708859599998505</v>
      </c>
      <c r="G52">
        <v>1</v>
      </c>
      <c r="H52">
        <v>1</v>
      </c>
      <c r="I52" t="s">
        <v>375</v>
      </c>
    </row>
    <row r="53" spans="1:9" x14ac:dyDescent="0.2">
      <c r="A53" t="s">
        <v>158</v>
      </c>
      <c r="B53">
        <v>36</v>
      </c>
      <c r="C53">
        <v>5</v>
      </c>
      <c r="D53">
        <v>17</v>
      </c>
      <c r="E53">
        <v>0</v>
      </c>
      <c r="F53">
        <v>1.8525185000015602E-2</v>
      </c>
      <c r="G53">
        <v>1</v>
      </c>
      <c r="H53">
        <v>1</v>
      </c>
      <c r="I53" t="s">
        <v>376</v>
      </c>
    </row>
    <row r="54" spans="1:9" x14ac:dyDescent="0.2">
      <c r="A54" t="s">
        <v>160</v>
      </c>
      <c r="B54">
        <v>37</v>
      </c>
      <c r="C54">
        <v>6</v>
      </c>
      <c r="D54">
        <v>17</v>
      </c>
      <c r="E54">
        <v>0</v>
      </c>
      <c r="F54">
        <v>2.79652559999874E-2</v>
      </c>
      <c r="G54">
        <v>1</v>
      </c>
      <c r="H54">
        <v>1</v>
      </c>
      <c r="I54" t="s">
        <v>377</v>
      </c>
    </row>
    <row r="55" spans="1:9" x14ac:dyDescent="0.2">
      <c r="A55" t="s">
        <v>162</v>
      </c>
      <c r="B55">
        <v>38</v>
      </c>
      <c r="C55">
        <v>3</v>
      </c>
      <c r="D55">
        <v>21</v>
      </c>
      <c r="E55">
        <v>0</v>
      </c>
      <c r="F55">
        <v>1.6421387000008201E-2</v>
      </c>
      <c r="G55">
        <v>1</v>
      </c>
      <c r="H55">
        <v>1</v>
      </c>
      <c r="I55" t="s">
        <v>378</v>
      </c>
    </row>
    <row r="56" spans="1:9" x14ac:dyDescent="0.2">
      <c r="A56" t="s">
        <v>164</v>
      </c>
      <c r="B56">
        <v>39</v>
      </c>
      <c r="C56">
        <v>7</v>
      </c>
      <c r="D56">
        <v>17</v>
      </c>
      <c r="E56">
        <v>0</v>
      </c>
      <c r="F56">
        <v>3.7739455999997E-2</v>
      </c>
      <c r="G56">
        <v>1</v>
      </c>
      <c r="H56">
        <v>1</v>
      </c>
      <c r="I56" t="s">
        <v>379</v>
      </c>
    </row>
    <row r="57" spans="1:9" x14ac:dyDescent="0.2">
      <c r="A57" t="s">
        <v>166</v>
      </c>
      <c r="B57">
        <v>40</v>
      </c>
      <c r="C57">
        <v>13</v>
      </c>
      <c r="D57">
        <v>13</v>
      </c>
      <c r="E57">
        <v>0</v>
      </c>
      <c r="F57">
        <v>1.4464353599999999</v>
      </c>
      <c r="G57">
        <v>1</v>
      </c>
      <c r="H57">
        <v>1</v>
      </c>
      <c r="I57" t="s">
        <v>380</v>
      </c>
    </row>
    <row r="58" spans="1:9" x14ac:dyDescent="0.2">
      <c r="A58" t="s">
        <v>168</v>
      </c>
      <c r="B58">
        <v>41</v>
      </c>
      <c r="C58">
        <v>8</v>
      </c>
      <c r="D58">
        <v>17</v>
      </c>
      <c r="E58">
        <v>0</v>
      </c>
      <c r="F58">
        <v>6.9254685999993598E-2</v>
      </c>
      <c r="G58">
        <v>1</v>
      </c>
      <c r="H58">
        <v>1</v>
      </c>
      <c r="I58" t="s">
        <v>381</v>
      </c>
    </row>
    <row r="59" spans="1:9" x14ac:dyDescent="0.2">
      <c r="A59" t="s">
        <v>170</v>
      </c>
      <c r="B59">
        <v>42</v>
      </c>
      <c r="C59">
        <v>9</v>
      </c>
      <c r="D59">
        <v>17</v>
      </c>
      <c r="E59">
        <v>0</v>
      </c>
      <c r="F59">
        <v>0.206056141000004</v>
      </c>
      <c r="G59">
        <v>1</v>
      </c>
      <c r="H59">
        <v>1</v>
      </c>
      <c r="I59" t="s">
        <v>382</v>
      </c>
    </row>
    <row r="60" spans="1:9" x14ac:dyDescent="0.2">
      <c r="A60" t="s">
        <v>172</v>
      </c>
      <c r="B60">
        <v>43</v>
      </c>
      <c r="C60">
        <v>22</v>
      </c>
      <c r="D60">
        <v>9</v>
      </c>
      <c r="E60">
        <v>0</v>
      </c>
      <c r="F60">
        <v>8.1032291149999693</v>
      </c>
      <c r="G60">
        <v>1</v>
      </c>
      <c r="H60">
        <v>1</v>
      </c>
      <c r="I60" t="s">
        <v>383</v>
      </c>
    </row>
    <row r="61" spans="1:9" x14ac:dyDescent="0.2">
      <c r="A61" t="s">
        <v>174</v>
      </c>
      <c r="B61">
        <v>44</v>
      </c>
      <c r="C61">
        <v>23</v>
      </c>
      <c r="D61">
        <v>9</v>
      </c>
      <c r="E61">
        <v>0</v>
      </c>
      <c r="F61">
        <v>13.483091893999999</v>
      </c>
      <c r="G61">
        <v>1</v>
      </c>
      <c r="H61">
        <v>1</v>
      </c>
      <c r="I61" t="s">
        <v>384</v>
      </c>
    </row>
    <row r="62" spans="1:9" x14ac:dyDescent="0.2">
      <c r="A62" t="s">
        <v>176</v>
      </c>
      <c r="B62">
        <v>45</v>
      </c>
      <c r="C62">
        <v>24</v>
      </c>
      <c r="D62">
        <v>9</v>
      </c>
      <c r="E62">
        <v>0</v>
      </c>
      <c r="F62">
        <v>22.003832789999901</v>
      </c>
      <c r="G62">
        <v>1</v>
      </c>
      <c r="H62">
        <v>1</v>
      </c>
      <c r="I62" t="s">
        <v>385</v>
      </c>
    </row>
    <row r="63" spans="1:9" x14ac:dyDescent="0.2">
      <c r="A63" t="s">
        <v>178</v>
      </c>
      <c r="B63">
        <v>46</v>
      </c>
      <c r="C63">
        <v>15</v>
      </c>
      <c r="D63">
        <v>15</v>
      </c>
      <c r="E63">
        <v>0</v>
      </c>
      <c r="F63">
        <v>11.041058187000001</v>
      </c>
      <c r="G63">
        <v>1</v>
      </c>
      <c r="H63">
        <v>1</v>
      </c>
      <c r="I63" t="s">
        <v>386</v>
      </c>
    </row>
    <row r="64" spans="1:9" x14ac:dyDescent="0.2">
      <c r="A64" t="s">
        <v>180</v>
      </c>
      <c r="B64">
        <v>47</v>
      </c>
      <c r="C64">
        <v>25</v>
      </c>
      <c r="D64">
        <v>9</v>
      </c>
      <c r="E64">
        <v>0</v>
      </c>
      <c r="F64">
        <v>21.183980973000001</v>
      </c>
      <c r="G64">
        <v>1</v>
      </c>
      <c r="H64">
        <v>1</v>
      </c>
      <c r="I64" t="s">
        <v>387</v>
      </c>
    </row>
    <row r="65" spans="1:9" x14ac:dyDescent="0.2">
      <c r="A65" t="s">
        <v>182</v>
      </c>
      <c r="B65">
        <v>48</v>
      </c>
      <c r="C65">
        <v>26</v>
      </c>
      <c r="D65">
        <v>9</v>
      </c>
      <c r="E65">
        <v>0</v>
      </c>
      <c r="F65">
        <v>29.745781475000001</v>
      </c>
      <c r="G65">
        <v>1</v>
      </c>
      <c r="H65">
        <v>1</v>
      </c>
      <c r="I65" t="s">
        <v>388</v>
      </c>
    </row>
    <row r="66" spans="1:9" x14ac:dyDescent="0.2">
      <c r="A66" t="s">
        <v>184</v>
      </c>
      <c r="B66">
        <v>49</v>
      </c>
      <c r="C66">
        <v>4</v>
      </c>
      <c r="D66">
        <v>25</v>
      </c>
      <c r="E66">
        <v>0</v>
      </c>
      <c r="F66">
        <v>1.9710098999979601E-2</v>
      </c>
      <c r="G66">
        <v>1</v>
      </c>
      <c r="H66">
        <v>1</v>
      </c>
      <c r="I66" t="s">
        <v>389</v>
      </c>
    </row>
    <row r="67" spans="1:9" x14ac:dyDescent="0.2">
      <c r="A67" t="s">
        <v>186</v>
      </c>
      <c r="B67">
        <v>50</v>
      </c>
      <c r="C67">
        <v>19</v>
      </c>
      <c r="D67">
        <v>13</v>
      </c>
      <c r="E67">
        <v>0</v>
      </c>
      <c r="F67">
        <v>35.351535789000003</v>
      </c>
      <c r="G67">
        <v>1</v>
      </c>
      <c r="H67">
        <v>1</v>
      </c>
      <c r="I67" t="s">
        <v>390</v>
      </c>
    </row>
    <row r="68" spans="1:9" x14ac:dyDescent="0.2">
      <c r="A68" t="s">
        <v>188</v>
      </c>
      <c r="B68">
        <v>51</v>
      </c>
      <c r="C68">
        <v>28</v>
      </c>
      <c r="D68">
        <v>9</v>
      </c>
      <c r="E68">
        <v>0</v>
      </c>
      <c r="F68">
        <v>34.461634861999897</v>
      </c>
      <c r="G68">
        <v>1</v>
      </c>
      <c r="H68">
        <v>1</v>
      </c>
      <c r="I68" t="s">
        <v>391</v>
      </c>
    </row>
    <row r="69" spans="1:9" x14ac:dyDescent="0.2">
      <c r="A69" t="s">
        <v>190</v>
      </c>
      <c r="B69">
        <v>52</v>
      </c>
      <c r="C69">
        <v>15</v>
      </c>
      <c r="D69">
        <v>17</v>
      </c>
      <c r="E69">
        <v>0</v>
      </c>
      <c r="F69">
        <v>12.250151695</v>
      </c>
      <c r="G69">
        <v>1</v>
      </c>
      <c r="H69">
        <v>1</v>
      </c>
      <c r="I69" t="s">
        <v>392</v>
      </c>
    </row>
    <row r="70" spans="1:9" x14ac:dyDescent="0.2">
      <c r="A70" t="s">
        <v>192</v>
      </c>
      <c r="B70">
        <v>53</v>
      </c>
      <c r="C70">
        <v>16</v>
      </c>
      <c r="D70">
        <v>17</v>
      </c>
      <c r="E70">
        <v>0</v>
      </c>
      <c r="F70">
        <v>36.552906497999999</v>
      </c>
      <c r="G70">
        <v>1</v>
      </c>
      <c r="H70">
        <v>1</v>
      </c>
      <c r="I70" t="s">
        <v>393</v>
      </c>
    </row>
    <row r="71" spans="1:9" x14ac:dyDescent="0.2">
      <c r="A71" t="s">
        <v>194</v>
      </c>
      <c r="B71">
        <v>54</v>
      </c>
      <c r="C71">
        <v>31</v>
      </c>
      <c r="D71">
        <v>9</v>
      </c>
      <c r="E71">
        <v>0</v>
      </c>
      <c r="F71">
        <v>72.889192879999996</v>
      </c>
      <c r="G71">
        <v>1</v>
      </c>
      <c r="H71">
        <v>1</v>
      </c>
      <c r="I71" t="s">
        <v>394</v>
      </c>
    </row>
    <row r="72" spans="1:9" x14ac:dyDescent="0.2">
      <c r="A72" t="s">
        <v>196</v>
      </c>
      <c r="B72">
        <v>55</v>
      </c>
      <c r="C72">
        <v>23</v>
      </c>
      <c r="D72">
        <v>13</v>
      </c>
      <c r="E72">
        <v>0</v>
      </c>
      <c r="F72">
        <v>144.06590394499901</v>
      </c>
      <c r="G72">
        <v>1</v>
      </c>
      <c r="H72">
        <v>1</v>
      </c>
      <c r="I72" t="s">
        <v>395</v>
      </c>
    </row>
    <row r="73" spans="1:9" x14ac:dyDescent="0.2">
      <c r="A73" t="s">
        <v>198</v>
      </c>
      <c r="B73">
        <v>56</v>
      </c>
      <c r="C73">
        <v>17</v>
      </c>
      <c r="D73">
        <v>17</v>
      </c>
      <c r="E73">
        <v>0</v>
      </c>
      <c r="F73">
        <v>39.731894324999899</v>
      </c>
      <c r="G73">
        <v>1</v>
      </c>
      <c r="H73">
        <v>1</v>
      </c>
      <c r="I73" t="s">
        <v>396</v>
      </c>
    </row>
    <row r="74" spans="1:9" x14ac:dyDescent="0.2">
      <c r="A74" t="s">
        <v>200</v>
      </c>
      <c r="B74">
        <v>57</v>
      </c>
      <c r="C74">
        <v>18</v>
      </c>
      <c r="D74">
        <v>17</v>
      </c>
      <c r="E74">
        <v>0</v>
      </c>
      <c r="F74">
        <v>57.634280695000001</v>
      </c>
      <c r="G74">
        <v>1</v>
      </c>
      <c r="H74">
        <v>1</v>
      </c>
      <c r="I74" t="s">
        <v>397</v>
      </c>
    </row>
    <row r="75" spans="1:9" x14ac:dyDescent="0.2">
      <c r="A75" t="s">
        <v>202</v>
      </c>
      <c r="B75">
        <v>58</v>
      </c>
      <c r="C75">
        <v>3</v>
      </c>
      <c r="D75">
        <v>32</v>
      </c>
      <c r="E75">
        <v>0</v>
      </c>
      <c r="F75">
        <v>1.7955502000063399E-2</v>
      </c>
      <c r="G75">
        <v>1</v>
      </c>
      <c r="H75">
        <v>1</v>
      </c>
      <c r="I75" t="s">
        <v>398</v>
      </c>
    </row>
    <row r="76" spans="1:9" x14ac:dyDescent="0.2">
      <c r="A76" t="s">
        <v>204</v>
      </c>
      <c r="B76">
        <v>59</v>
      </c>
      <c r="C76">
        <v>19</v>
      </c>
      <c r="D76">
        <v>17</v>
      </c>
      <c r="E76">
        <v>0</v>
      </c>
      <c r="F76">
        <v>102.99656243899901</v>
      </c>
      <c r="G76">
        <v>1</v>
      </c>
      <c r="H76">
        <v>1</v>
      </c>
      <c r="I76" t="s">
        <v>399</v>
      </c>
    </row>
    <row r="77" spans="1:9" x14ac:dyDescent="0.2">
      <c r="A77" t="s">
        <v>206</v>
      </c>
      <c r="B77">
        <v>60</v>
      </c>
      <c r="C77">
        <v>20</v>
      </c>
      <c r="D77">
        <v>17</v>
      </c>
      <c r="E77">
        <v>0</v>
      </c>
      <c r="F77">
        <v>287.29937615999899</v>
      </c>
      <c r="G77">
        <v>1</v>
      </c>
      <c r="H77">
        <v>1</v>
      </c>
      <c r="I77" t="s">
        <v>400</v>
      </c>
    </row>
    <row r="78" spans="1:9" x14ac:dyDescent="0.2">
      <c r="A78" t="s">
        <v>208</v>
      </c>
      <c r="B78">
        <v>61</v>
      </c>
      <c r="C78">
        <v>18</v>
      </c>
      <c r="D78">
        <v>19</v>
      </c>
      <c r="E78">
        <v>0</v>
      </c>
      <c r="F78">
        <v>81.953455182999903</v>
      </c>
      <c r="G78">
        <v>1</v>
      </c>
      <c r="H78">
        <v>1</v>
      </c>
      <c r="I78" t="s">
        <v>401</v>
      </c>
    </row>
    <row r="79" spans="1:9" x14ac:dyDescent="0.2">
      <c r="A79" t="s">
        <v>210</v>
      </c>
      <c r="B79">
        <v>62</v>
      </c>
      <c r="C79">
        <v>21</v>
      </c>
      <c r="D79">
        <v>17</v>
      </c>
      <c r="E79">
        <v>0</v>
      </c>
      <c r="F79">
        <v>272.78723286100001</v>
      </c>
      <c r="G79">
        <v>1</v>
      </c>
      <c r="H79">
        <v>1</v>
      </c>
      <c r="I79" t="s">
        <v>402</v>
      </c>
    </row>
    <row r="80" spans="1:9" x14ac:dyDescent="0.2">
      <c r="A80" t="s">
        <v>212</v>
      </c>
      <c r="B80">
        <v>63</v>
      </c>
      <c r="C80">
        <v>23</v>
      </c>
      <c r="D80">
        <v>16</v>
      </c>
      <c r="E80">
        <v>0</v>
      </c>
      <c r="F80">
        <v>728.44563808400005</v>
      </c>
      <c r="G80">
        <v>1</v>
      </c>
      <c r="H80">
        <v>1</v>
      </c>
      <c r="I80" t="s">
        <v>403</v>
      </c>
    </row>
    <row r="81" spans="1:9" x14ac:dyDescent="0.2">
      <c r="A81" t="s">
        <v>214</v>
      </c>
      <c r="B81">
        <v>64</v>
      </c>
      <c r="C81">
        <v>24</v>
      </c>
      <c r="D81">
        <v>16</v>
      </c>
      <c r="E81">
        <v>0</v>
      </c>
      <c r="F81">
        <v>1311.1362980259901</v>
      </c>
      <c r="G81">
        <v>1</v>
      </c>
      <c r="H81">
        <v>1</v>
      </c>
      <c r="I81" t="s">
        <v>404</v>
      </c>
    </row>
    <row r="82" spans="1:9" x14ac:dyDescent="0.2">
      <c r="A82" t="s">
        <v>216</v>
      </c>
      <c r="B82">
        <v>65</v>
      </c>
      <c r="C82">
        <v>31</v>
      </c>
      <c r="D82">
        <v>13</v>
      </c>
      <c r="E82">
        <v>0</v>
      </c>
      <c r="F82">
        <v>3292.1899070069999</v>
      </c>
      <c r="G82">
        <v>1</v>
      </c>
      <c r="H82">
        <v>1</v>
      </c>
      <c r="I82" t="s">
        <v>405</v>
      </c>
    </row>
    <row r="83" spans="1:9" x14ac:dyDescent="0.2">
      <c r="A83" t="s">
        <v>218</v>
      </c>
      <c r="B83">
        <v>66</v>
      </c>
      <c r="C83">
        <v>32</v>
      </c>
      <c r="D83">
        <v>13</v>
      </c>
      <c r="E83">
        <v>0</v>
      </c>
      <c r="F83">
        <v>5404.3555790769997</v>
      </c>
      <c r="G83">
        <v>1</v>
      </c>
      <c r="H83">
        <v>1</v>
      </c>
      <c r="I83" t="s">
        <v>406</v>
      </c>
    </row>
    <row r="84" spans="1:9" x14ac:dyDescent="0.2">
      <c r="A84" t="s">
        <v>220</v>
      </c>
      <c r="B84">
        <v>67</v>
      </c>
      <c r="C84">
        <v>33</v>
      </c>
      <c r="D84">
        <v>13</v>
      </c>
      <c r="E84">
        <v>0</v>
      </c>
      <c r="F84">
        <v>14539.959327922999</v>
      </c>
      <c r="G84">
        <v>1</v>
      </c>
      <c r="H84">
        <v>1</v>
      </c>
      <c r="I84" t="s">
        <v>407</v>
      </c>
    </row>
    <row r="85" spans="1:9" x14ac:dyDescent="0.2">
      <c r="A85" t="s">
        <v>222</v>
      </c>
      <c r="B85">
        <v>68</v>
      </c>
      <c r="C85">
        <v>34</v>
      </c>
      <c r="D85">
        <v>13</v>
      </c>
      <c r="E85">
        <v>0</v>
      </c>
      <c r="F85">
        <v>13154.143782593001</v>
      </c>
      <c r="G85">
        <v>1</v>
      </c>
      <c r="H85">
        <v>1</v>
      </c>
      <c r="I85" t="s">
        <v>408</v>
      </c>
    </row>
    <row r="86" spans="1:9" x14ac:dyDescent="0.2">
      <c r="A86" t="s">
        <v>224</v>
      </c>
      <c r="B86">
        <v>69</v>
      </c>
      <c r="C86">
        <v>35</v>
      </c>
      <c r="D86">
        <v>13</v>
      </c>
      <c r="E86">
        <v>0</v>
      </c>
      <c r="F86">
        <v>28800.114496508999</v>
      </c>
      <c r="G86">
        <v>1</v>
      </c>
      <c r="H86">
        <v>1</v>
      </c>
      <c r="I86" t="s">
        <v>409</v>
      </c>
    </row>
    <row r="87" spans="1:9" x14ac:dyDescent="0.2">
      <c r="A87" t="s">
        <v>226</v>
      </c>
      <c r="B87">
        <v>70</v>
      </c>
      <c r="C87">
        <v>36</v>
      </c>
      <c r="D87">
        <v>13</v>
      </c>
      <c r="E87">
        <v>0</v>
      </c>
      <c r="F87">
        <v>28800.151199841999</v>
      </c>
      <c r="G87">
        <v>1</v>
      </c>
      <c r="H87">
        <v>1</v>
      </c>
      <c r="I87" t="s">
        <v>410</v>
      </c>
    </row>
    <row r="88" spans="1:9" x14ac:dyDescent="0.2">
      <c r="A88" t="s">
        <v>228</v>
      </c>
      <c r="B88">
        <v>71</v>
      </c>
      <c r="C88">
        <v>12</v>
      </c>
      <c r="D88">
        <v>29</v>
      </c>
      <c r="E88">
        <v>0</v>
      </c>
      <c r="F88">
        <v>7.3110158280032902</v>
      </c>
      <c r="G88">
        <v>1</v>
      </c>
      <c r="H88">
        <v>1</v>
      </c>
      <c r="I88" t="s">
        <v>411</v>
      </c>
    </row>
    <row r="89" spans="1:9" x14ac:dyDescent="0.2">
      <c r="A89" t="s">
        <v>230</v>
      </c>
      <c r="B89">
        <v>72</v>
      </c>
      <c r="C89">
        <v>37</v>
      </c>
      <c r="D89">
        <v>13</v>
      </c>
      <c r="E89">
        <v>0</v>
      </c>
      <c r="F89">
        <v>28800.111967260898</v>
      </c>
      <c r="G89">
        <v>1</v>
      </c>
      <c r="H89">
        <v>1</v>
      </c>
      <c r="I89" t="s">
        <v>412</v>
      </c>
    </row>
    <row r="90" spans="1:9" x14ac:dyDescent="0.2">
      <c r="A90" t="s">
        <v>232</v>
      </c>
      <c r="B90">
        <v>73</v>
      </c>
      <c r="C90">
        <v>38</v>
      </c>
      <c r="D90">
        <v>13</v>
      </c>
      <c r="E90">
        <v>0</v>
      </c>
      <c r="F90">
        <v>28800.155304569998</v>
      </c>
      <c r="G90">
        <v>1</v>
      </c>
      <c r="H90">
        <v>1</v>
      </c>
      <c r="I90" t="s">
        <v>413</v>
      </c>
    </row>
    <row r="91" spans="1:9" x14ac:dyDescent="0.2">
      <c r="A91" t="s">
        <v>234</v>
      </c>
      <c r="B91">
        <v>74</v>
      </c>
      <c r="C91">
        <v>9</v>
      </c>
      <c r="D91">
        <v>32</v>
      </c>
      <c r="E91">
        <v>0</v>
      </c>
      <c r="F91">
        <v>0.83448499298538004</v>
      </c>
      <c r="G91">
        <v>1</v>
      </c>
      <c r="H91">
        <v>1</v>
      </c>
      <c r="I91" t="s">
        <v>414</v>
      </c>
    </row>
    <row r="92" spans="1:9" x14ac:dyDescent="0.2">
      <c r="A92" t="s">
        <v>236</v>
      </c>
      <c r="B92">
        <v>75</v>
      </c>
      <c r="C92">
        <v>28</v>
      </c>
      <c r="D92">
        <v>19</v>
      </c>
      <c r="E92">
        <v>0</v>
      </c>
      <c r="F92">
        <v>28800.110843629998</v>
      </c>
      <c r="G92">
        <v>1</v>
      </c>
      <c r="H92">
        <v>1</v>
      </c>
      <c r="I92" t="s">
        <v>415</v>
      </c>
    </row>
    <row r="93" spans="1:9" x14ac:dyDescent="0.2">
      <c r="A93" t="s">
        <v>238</v>
      </c>
      <c r="B93">
        <v>76</v>
      </c>
      <c r="C93">
        <v>40</v>
      </c>
      <c r="D93">
        <v>12</v>
      </c>
      <c r="E93">
        <v>0</v>
      </c>
      <c r="F93">
        <v>28800.128040479001</v>
      </c>
      <c r="G93">
        <v>1</v>
      </c>
      <c r="H93">
        <v>1</v>
      </c>
      <c r="I93" t="s">
        <v>416</v>
      </c>
    </row>
    <row r="94" spans="1:9" x14ac:dyDescent="0.2">
      <c r="A94" t="s">
        <v>240</v>
      </c>
      <c r="B94">
        <v>77</v>
      </c>
      <c r="C94">
        <v>40</v>
      </c>
      <c r="D94">
        <v>14</v>
      </c>
      <c r="E94">
        <v>1</v>
      </c>
      <c r="F94">
        <v>28800.1280649867</v>
      </c>
      <c r="G94">
        <v>1</v>
      </c>
      <c r="H94">
        <v>1</v>
      </c>
      <c r="I94" t="s">
        <v>417</v>
      </c>
    </row>
    <row r="95" spans="1:9" x14ac:dyDescent="0.2">
      <c r="A95" t="s">
        <v>242</v>
      </c>
      <c r="B95">
        <v>78</v>
      </c>
      <c r="C95">
        <v>29</v>
      </c>
      <c r="D95">
        <v>19</v>
      </c>
      <c r="E95">
        <v>0</v>
      </c>
      <c r="F95">
        <v>28800.172741422801</v>
      </c>
      <c r="G95">
        <v>1</v>
      </c>
      <c r="H95">
        <v>1</v>
      </c>
      <c r="I95" t="s">
        <v>418</v>
      </c>
    </row>
    <row r="96" spans="1:9" x14ac:dyDescent="0.2">
      <c r="A96" t="s">
        <v>244</v>
      </c>
      <c r="B96">
        <v>79</v>
      </c>
      <c r="C96">
        <v>20</v>
      </c>
      <c r="D96">
        <v>24</v>
      </c>
      <c r="E96">
        <v>0</v>
      </c>
      <c r="F96">
        <v>713.81447147298604</v>
      </c>
      <c r="G96">
        <v>1</v>
      </c>
      <c r="H96">
        <v>1</v>
      </c>
      <c r="I96" t="s">
        <v>419</v>
      </c>
    </row>
    <row r="97" spans="1:9" x14ac:dyDescent="0.2">
      <c r="A97" t="s">
        <v>246</v>
      </c>
      <c r="B97">
        <v>80</v>
      </c>
      <c r="C97">
        <v>47</v>
      </c>
      <c r="D97">
        <v>11</v>
      </c>
      <c r="E97">
        <v>0</v>
      </c>
      <c r="F97">
        <v>28800.114718852099</v>
      </c>
      <c r="G97">
        <v>1</v>
      </c>
      <c r="H97">
        <v>1</v>
      </c>
      <c r="I97" t="s">
        <v>420</v>
      </c>
    </row>
    <row r="98" spans="1:9" x14ac:dyDescent="0.2">
      <c r="A98" t="s">
        <v>248</v>
      </c>
      <c r="B98">
        <v>81</v>
      </c>
      <c r="C98">
        <v>48</v>
      </c>
      <c r="D98">
        <v>11</v>
      </c>
      <c r="E98">
        <v>0</v>
      </c>
      <c r="F98">
        <v>28800.253527127199</v>
      </c>
      <c r="G98">
        <v>1</v>
      </c>
      <c r="H98">
        <v>1</v>
      </c>
      <c r="I98" t="s">
        <v>421</v>
      </c>
    </row>
    <row r="99" spans="1:9" x14ac:dyDescent="0.2">
      <c r="A99" t="s">
        <v>250</v>
      </c>
      <c r="B99">
        <v>82</v>
      </c>
      <c r="C99">
        <v>43</v>
      </c>
      <c r="D99">
        <v>19</v>
      </c>
      <c r="E99">
        <v>6</v>
      </c>
      <c r="F99">
        <v>28800.322331845698</v>
      </c>
      <c r="G99">
        <v>1</v>
      </c>
      <c r="H99">
        <v>1</v>
      </c>
      <c r="I99" t="s">
        <v>422</v>
      </c>
    </row>
    <row r="100" spans="1:9" x14ac:dyDescent="0.2">
      <c r="A100" t="s">
        <v>252</v>
      </c>
      <c r="B100">
        <v>83</v>
      </c>
      <c r="C100">
        <v>41</v>
      </c>
      <c r="D100">
        <v>15</v>
      </c>
      <c r="E100">
        <v>0</v>
      </c>
      <c r="F100">
        <v>28800.517427667899</v>
      </c>
      <c r="G100">
        <v>1</v>
      </c>
      <c r="H100">
        <v>1</v>
      </c>
      <c r="I100" t="s">
        <v>423</v>
      </c>
    </row>
    <row r="101" spans="1:9" x14ac:dyDescent="0.2">
      <c r="A101" t="s">
        <v>254</v>
      </c>
      <c r="B101">
        <v>84</v>
      </c>
      <c r="C101">
        <v>42</v>
      </c>
      <c r="D101">
        <v>19</v>
      </c>
      <c r="E101">
        <v>4</v>
      </c>
      <c r="F101">
        <v>28800.3051474243</v>
      </c>
      <c r="G101">
        <v>1</v>
      </c>
      <c r="H101">
        <v>1</v>
      </c>
      <c r="I101" t="s">
        <v>424</v>
      </c>
    </row>
    <row r="102" spans="1:9" x14ac:dyDescent="0.2">
      <c r="A102" t="s">
        <v>256</v>
      </c>
      <c r="B102">
        <v>85</v>
      </c>
      <c r="C102">
        <v>23</v>
      </c>
      <c r="D102">
        <v>24</v>
      </c>
      <c r="E102">
        <v>0</v>
      </c>
      <c r="F102">
        <v>3858.0103362724099</v>
      </c>
      <c r="G102">
        <v>1</v>
      </c>
      <c r="H102">
        <v>1</v>
      </c>
      <c r="I102" t="s">
        <v>425</v>
      </c>
    </row>
    <row r="103" spans="1:9" x14ac:dyDescent="0.2">
      <c r="A103" t="s">
        <v>258</v>
      </c>
      <c r="B103">
        <v>86</v>
      </c>
      <c r="C103">
        <v>23</v>
      </c>
      <c r="D103">
        <v>25</v>
      </c>
      <c r="E103">
        <v>0</v>
      </c>
      <c r="F103">
        <v>8596.2521592453104</v>
      </c>
      <c r="G103">
        <v>1</v>
      </c>
      <c r="H103">
        <v>1</v>
      </c>
      <c r="I103" t="s">
        <v>426</v>
      </c>
    </row>
    <row r="104" spans="1:9" x14ac:dyDescent="0.2">
      <c r="A104" t="s">
        <v>260</v>
      </c>
      <c r="B104">
        <v>87</v>
      </c>
      <c r="C104">
        <v>45</v>
      </c>
      <c r="D104">
        <v>15</v>
      </c>
      <c r="E104">
        <v>0</v>
      </c>
      <c r="F104">
        <v>28800.179885834401</v>
      </c>
      <c r="G104">
        <v>1</v>
      </c>
      <c r="H104">
        <v>1</v>
      </c>
      <c r="I104" t="s">
        <v>427</v>
      </c>
    </row>
    <row r="105" spans="1:9" x14ac:dyDescent="0.2">
      <c r="A105" t="s">
        <v>262</v>
      </c>
      <c r="B105">
        <v>88</v>
      </c>
      <c r="C105">
        <v>49</v>
      </c>
      <c r="D105">
        <v>14</v>
      </c>
      <c r="E105">
        <v>1</v>
      </c>
      <c r="F105">
        <v>28800.117787286599</v>
      </c>
      <c r="G105">
        <v>1</v>
      </c>
      <c r="H105">
        <v>1</v>
      </c>
      <c r="I105" t="s">
        <v>428</v>
      </c>
    </row>
    <row r="106" spans="1:9" x14ac:dyDescent="0.2">
      <c r="A106" t="s">
        <v>264</v>
      </c>
      <c r="B106">
        <v>89</v>
      </c>
      <c r="C106">
        <v>32</v>
      </c>
      <c r="D106">
        <v>30</v>
      </c>
      <c r="E106">
        <v>9</v>
      </c>
      <c r="F106">
        <v>28800.165068775401</v>
      </c>
      <c r="G106">
        <v>1</v>
      </c>
      <c r="H106">
        <v>1</v>
      </c>
      <c r="I106" t="s">
        <v>429</v>
      </c>
    </row>
    <row r="107" spans="1:9" x14ac:dyDescent="0.2">
      <c r="A107" t="s">
        <v>266</v>
      </c>
      <c r="B107">
        <v>90</v>
      </c>
      <c r="C107">
        <v>33</v>
      </c>
      <c r="D107">
        <v>25</v>
      </c>
      <c r="E107">
        <v>4</v>
      </c>
      <c r="F107">
        <v>28800.1607358455</v>
      </c>
      <c r="G107">
        <v>1</v>
      </c>
      <c r="H107">
        <v>1</v>
      </c>
      <c r="I107" t="s">
        <v>430</v>
      </c>
    </row>
    <row r="108" spans="1:9" x14ac:dyDescent="0.2">
      <c r="A108" t="s">
        <v>268</v>
      </c>
      <c r="B108">
        <v>91</v>
      </c>
      <c r="C108">
        <v>26</v>
      </c>
      <c r="D108">
        <v>25</v>
      </c>
      <c r="E108">
        <v>0</v>
      </c>
      <c r="F108">
        <v>28800.161998443298</v>
      </c>
      <c r="G108">
        <v>1</v>
      </c>
      <c r="H108">
        <v>1</v>
      </c>
      <c r="I108" t="s">
        <v>431</v>
      </c>
    </row>
    <row r="109" spans="1:9" x14ac:dyDescent="0.2">
      <c r="A109" t="s">
        <v>270</v>
      </c>
      <c r="B109">
        <v>92</v>
      </c>
      <c r="C109">
        <v>52</v>
      </c>
      <c r="D109">
        <v>14</v>
      </c>
      <c r="E109">
        <v>1</v>
      </c>
      <c r="F109">
        <v>28800.164162680499</v>
      </c>
      <c r="G109">
        <v>1</v>
      </c>
      <c r="H109">
        <v>1</v>
      </c>
      <c r="I109" t="s">
        <v>432</v>
      </c>
    </row>
    <row r="110" spans="1:9" x14ac:dyDescent="0.2">
      <c r="A110" t="s">
        <v>272</v>
      </c>
      <c r="B110">
        <v>93</v>
      </c>
      <c r="C110">
        <v>53</v>
      </c>
      <c r="D110">
        <v>15</v>
      </c>
      <c r="E110">
        <v>2</v>
      </c>
      <c r="F110">
        <v>28801.5301094309</v>
      </c>
      <c r="G110">
        <v>1</v>
      </c>
      <c r="H110">
        <v>1</v>
      </c>
      <c r="I110" t="s">
        <v>433</v>
      </c>
    </row>
    <row r="111" spans="1:9" x14ac:dyDescent="0.2">
      <c r="A111" t="s">
        <v>274</v>
      </c>
      <c r="B111">
        <v>94</v>
      </c>
      <c r="C111">
        <v>54</v>
      </c>
      <c r="D111">
        <v>14</v>
      </c>
      <c r="E111">
        <v>1</v>
      </c>
      <c r="F111">
        <v>28801.1807527329</v>
      </c>
      <c r="G111">
        <v>1</v>
      </c>
      <c r="H111">
        <v>1</v>
      </c>
      <c r="I111" t="s">
        <v>434</v>
      </c>
    </row>
    <row r="112" spans="1:9" x14ac:dyDescent="0.2">
      <c r="A112" t="s">
        <v>276</v>
      </c>
      <c r="B112">
        <v>95</v>
      </c>
      <c r="C112">
        <v>46</v>
      </c>
      <c r="D112">
        <v>44</v>
      </c>
      <c r="E112">
        <v>27</v>
      </c>
      <c r="F112">
        <v>28800.6771369179</v>
      </c>
      <c r="G112">
        <v>1</v>
      </c>
      <c r="H112">
        <v>1</v>
      </c>
      <c r="I112" t="s">
        <v>435</v>
      </c>
    </row>
    <row r="113" spans="1:9" x14ac:dyDescent="0.2">
      <c r="A113" t="s">
        <v>278</v>
      </c>
      <c r="B113">
        <v>96</v>
      </c>
      <c r="C113">
        <v>48</v>
      </c>
      <c r="D113">
        <v>43</v>
      </c>
      <c r="E113">
        <v>27</v>
      </c>
      <c r="F113">
        <v>28800.262670280899</v>
      </c>
      <c r="G113">
        <v>1</v>
      </c>
      <c r="H113">
        <v>1</v>
      </c>
      <c r="I113" t="s">
        <v>436</v>
      </c>
    </row>
    <row r="114" spans="1:9" x14ac:dyDescent="0.2">
      <c r="A114" t="s">
        <v>280</v>
      </c>
      <c r="B114">
        <v>97</v>
      </c>
      <c r="C114">
        <v>50</v>
      </c>
      <c r="D114">
        <v>16</v>
      </c>
      <c r="E114">
        <v>1</v>
      </c>
      <c r="F114">
        <v>28800.176137832001</v>
      </c>
      <c r="G114">
        <v>1</v>
      </c>
      <c r="H114">
        <v>1</v>
      </c>
      <c r="I114" t="s">
        <v>437</v>
      </c>
    </row>
    <row r="115" spans="1:9" x14ac:dyDescent="0.2">
      <c r="A115" t="s">
        <v>282</v>
      </c>
      <c r="B115">
        <v>98</v>
      </c>
      <c r="C115">
        <v>51</v>
      </c>
      <c r="D115">
        <v>23</v>
      </c>
      <c r="E115">
        <v>8</v>
      </c>
      <c r="F115">
        <v>28800.302931884002</v>
      </c>
      <c r="G115">
        <v>1</v>
      </c>
      <c r="H115">
        <v>1</v>
      </c>
      <c r="I115" t="s">
        <v>438</v>
      </c>
    </row>
    <row r="116" spans="1:9" x14ac:dyDescent="0.2">
      <c r="A116" t="s">
        <v>284</v>
      </c>
      <c r="B116">
        <v>99</v>
      </c>
      <c r="C116">
        <v>52</v>
      </c>
      <c r="D116">
        <v>23</v>
      </c>
      <c r="E116">
        <v>8</v>
      </c>
      <c r="F116">
        <v>28800.180848312</v>
      </c>
      <c r="G116">
        <v>1</v>
      </c>
      <c r="H116">
        <v>1</v>
      </c>
      <c r="I116" t="s">
        <v>439</v>
      </c>
    </row>
    <row r="117" spans="1:9" x14ac:dyDescent="0.2">
      <c r="A117" t="s">
        <v>286</v>
      </c>
      <c r="B117">
        <v>100</v>
      </c>
      <c r="C117">
        <v>52</v>
      </c>
      <c r="D117">
        <v>23</v>
      </c>
      <c r="E117">
        <v>7</v>
      </c>
      <c r="F117">
        <v>28800.285197956</v>
      </c>
      <c r="G117">
        <v>1</v>
      </c>
      <c r="H117">
        <v>1</v>
      </c>
      <c r="I117" t="s">
        <v>1231</v>
      </c>
    </row>
    <row r="118" spans="1:9" x14ac:dyDescent="0.2">
      <c r="A118" t="s">
        <v>288</v>
      </c>
      <c r="B118">
        <v>101</v>
      </c>
      <c r="C118">
        <v>53</v>
      </c>
      <c r="D118">
        <v>23</v>
      </c>
      <c r="E118">
        <v>8</v>
      </c>
      <c r="F118">
        <v>28800.341485675901</v>
      </c>
      <c r="G118">
        <v>1</v>
      </c>
      <c r="H118">
        <v>1</v>
      </c>
      <c r="I118" t="s">
        <v>1232</v>
      </c>
    </row>
    <row r="119" spans="1:9" x14ac:dyDescent="0.2">
      <c r="A119" t="s">
        <v>290</v>
      </c>
      <c r="B119">
        <v>102</v>
      </c>
      <c r="C119">
        <v>54</v>
      </c>
      <c r="D119">
        <v>22</v>
      </c>
      <c r="E119">
        <v>7</v>
      </c>
      <c r="F119">
        <v>28800.19606617</v>
      </c>
      <c r="G119">
        <v>1</v>
      </c>
      <c r="H119">
        <v>1</v>
      </c>
      <c r="I119" t="s">
        <v>1233</v>
      </c>
    </row>
    <row r="120" spans="1:9" x14ac:dyDescent="0.2">
      <c r="A120" t="s">
        <v>292</v>
      </c>
      <c r="B120">
        <v>103</v>
      </c>
      <c r="C120">
        <v>34</v>
      </c>
      <c r="D120">
        <v>26</v>
      </c>
      <c r="E120">
        <v>1</v>
      </c>
      <c r="F120">
        <v>28800.798999428702</v>
      </c>
      <c r="G120">
        <v>1</v>
      </c>
      <c r="H120">
        <v>1</v>
      </c>
      <c r="I120" t="s">
        <v>1239</v>
      </c>
    </row>
    <row r="121" spans="1:9" x14ac:dyDescent="0.2">
      <c r="A121" t="s">
        <v>294</v>
      </c>
      <c r="B121">
        <v>104</v>
      </c>
      <c r="C121">
        <v>28</v>
      </c>
      <c r="D121">
        <v>30</v>
      </c>
      <c r="E121">
        <v>1</v>
      </c>
      <c r="F121">
        <v>28800.1991218775</v>
      </c>
      <c r="G121">
        <v>1</v>
      </c>
      <c r="H121">
        <v>1</v>
      </c>
      <c r="I121" t="s">
        <v>1240</v>
      </c>
    </row>
    <row r="122" spans="1:9" x14ac:dyDescent="0.2">
      <c r="A122" t="s">
        <v>296</v>
      </c>
      <c r="B122">
        <v>105</v>
      </c>
      <c r="C122">
        <v>54</v>
      </c>
      <c r="D122">
        <v>27</v>
      </c>
      <c r="E122">
        <v>10</v>
      </c>
      <c r="F122">
        <v>28800.212917901499</v>
      </c>
      <c r="G122">
        <v>1</v>
      </c>
      <c r="H122">
        <v>1</v>
      </c>
      <c r="I122" t="s">
        <v>1241</v>
      </c>
    </row>
    <row r="123" spans="1:9" x14ac:dyDescent="0.2">
      <c r="A123" t="s">
        <v>298</v>
      </c>
      <c r="B123">
        <v>106</v>
      </c>
      <c r="C123">
        <v>44</v>
      </c>
      <c r="D123">
        <v>56</v>
      </c>
      <c r="E123">
        <v>35</v>
      </c>
      <c r="F123">
        <v>28800.416262045499</v>
      </c>
      <c r="G123">
        <v>1</v>
      </c>
      <c r="H123">
        <v>1</v>
      </c>
      <c r="I123" t="s">
        <v>1242</v>
      </c>
    </row>
    <row r="124" spans="1:9" x14ac:dyDescent="0.2">
      <c r="A124" t="s">
        <v>300</v>
      </c>
      <c r="B124">
        <v>107</v>
      </c>
      <c r="C124">
        <v>45</v>
      </c>
      <c r="D124">
        <v>38</v>
      </c>
      <c r="E124">
        <v>17</v>
      </c>
      <c r="F124">
        <v>28800.147359088001</v>
      </c>
      <c r="G124">
        <v>1</v>
      </c>
      <c r="H124">
        <v>1</v>
      </c>
      <c r="I124" t="s">
        <v>1243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dimension ref="A1:I149"/>
  <sheetViews>
    <sheetView topLeftCell="A70" workbookViewId="0">
      <selection sqref="A1:I150"/>
    </sheetView>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s="21" t="s">
        <v>73</v>
      </c>
    </row>
    <row r="5" spans="1:1" x14ac:dyDescent="0.2">
      <c r="A5" s="21" t="s">
        <v>74</v>
      </c>
    </row>
    <row r="6" spans="1:1" x14ac:dyDescent="0.2">
      <c r="A6" t="s">
        <v>440</v>
      </c>
    </row>
    <row r="7" spans="1:1" x14ac:dyDescent="0.2">
      <c r="A7" t="s">
        <v>76</v>
      </c>
    </row>
    <row r="8" spans="1:1" x14ac:dyDescent="0.2">
      <c r="A8" s="21" t="s">
        <v>77</v>
      </c>
    </row>
    <row r="9" spans="1:1" x14ac:dyDescent="0.2">
      <c r="A9" t="s">
        <v>1253</v>
      </c>
    </row>
    <row r="10" spans="1:1" x14ac:dyDescent="0.2">
      <c r="A10" t="s">
        <v>1254</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1255</v>
      </c>
    </row>
    <row r="17" spans="1:9" x14ac:dyDescent="0.2">
      <c r="A17" t="s">
        <v>1256</v>
      </c>
    </row>
    <row r="18" spans="1:9" x14ac:dyDescent="0.2">
      <c r="A18" t="s">
        <v>83</v>
      </c>
    </row>
    <row r="19" spans="1:9" x14ac:dyDescent="0.2">
      <c r="A19" t="s">
        <v>87</v>
      </c>
    </row>
    <row r="20" spans="1:9" x14ac:dyDescent="0.2">
      <c r="A20" t="s">
        <v>88</v>
      </c>
    </row>
    <row r="21" spans="1:9" x14ac:dyDescent="0.2">
      <c r="A21" t="s">
        <v>89</v>
      </c>
    </row>
    <row r="22" spans="1:9" x14ac:dyDescent="0.2">
      <c r="A22" t="s">
        <v>90</v>
      </c>
    </row>
    <row r="23" spans="1:9" x14ac:dyDescent="0.2">
      <c r="A23" t="s">
        <v>91</v>
      </c>
    </row>
    <row r="24" spans="1:9" x14ac:dyDescent="0.2">
      <c r="A24" t="s">
        <v>730</v>
      </c>
    </row>
    <row r="25" spans="1:9" x14ac:dyDescent="0.2">
      <c r="A25" t="s">
        <v>93</v>
      </c>
      <c r="F25" s="1"/>
    </row>
    <row r="26" spans="1:9" x14ac:dyDescent="0.2">
      <c r="A26" t="s">
        <v>1257</v>
      </c>
    </row>
    <row r="27" spans="1:9" x14ac:dyDescent="0.2">
      <c r="A27" t="s">
        <v>95</v>
      </c>
    </row>
    <row r="28" spans="1:9" x14ac:dyDescent="0.2">
      <c r="A28" t="s">
        <v>96</v>
      </c>
      <c r="B28" t="s">
        <v>61</v>
      </c>
      <c r="C28" t="s">
        <v>97</v>
      </c>
      <c r="D28" t="s">
        <v>98</v>
      </c>
      <c r="E28" t="s">
        <v>99</v>
      </c>
      <c r="F28" t="s">
        <v>100</v>
      </c>
      <c r="G28" t="s">
        <v>58</v>
      </c>
      <c r="H28" t="s">
        <v>59</v>
      </c>
      <c r="I28" t="s">
        <v>101</v>
      </c>
    </row>
    <row r="29" spans="1:9" x14ac:dyDescent="0.2">
      <c r="A29" t="s">
        <v>102</v>
      </c>
      <c r="B29">
        <v>5</v>
      </c>
      <c r="C29">
        <v>3</v>
      </c>
      <c r="D29">
        <v>2</v>
      </c>
      <c r="E29">
        <v>0</v>
      </c>
      <c r="F29">
        <v>2.8045335784554399E-3</v>
      </c>
      <c r="G29">
        <v>1</v>
      </c>
      <c r="H29">
        <v>1</v>
      </c>
      <c r="I29" t="s">
        <v>1258</v>
      </c>
    </row>
    <row r="30" spans="1:9" x14ac:dyDescent="0.2">
      <c r="A30" t="s">
        <v>104</v>
      </c>
      <c r="B30">
        <v>6</v>
      </c>
      <c r="C30">
        <v>3</v>
      </c>
      <c r="D30">
        <v>3</v>
      </c>
      <c r="E30">
        <v>0</v>
      </c>
      <c r="F30">
        <v>1.8885582685470501E-3</v>
      </c>
      <c r="G30">
        <v>1</v>
      </c>
      <c r="H30">
        <v>1</v>
      </c>
      <c r="I30" t="s">
        <v>1259</v>
      </c>
    </row>
    <row r="31" spans="1:9" x14ac:dyDescent="0.2">
      <c r="A31" t="s">
        <v>106</v>
      </c>
      <c r="B31">
        <v>7</v>
      </c>
      <c r="C31">
        <v>3</v>
      </c>
      <c r="D31">
        <v>4</v>
      </c>
      <c r="E31">
        <v>0</v>
      </c>
      <c r="F31">
        <v>1.82563345879316E-3</v>
      </c>
      <c r="G31">
        <v>1</v>
      </c>
      <c r="H31">
        <v>1</v>
      </c>
      <c r="I31" t="s">
        <v>1260</v>
      </c>
    </row>
    <row r="32" spans="1:9" x14ac:dyDescent="0.2">
      <c r="A32" t="s">
        <v>108</v>
      </c>
      <c r="B32">
        <v>8</v>
      </c>
      <c r="C32">
        <v>3</v>
      </c>
      <c r="D32">
        <v>4</v>
      </c>
      <c r="E32">
        <v>0</v>
      </c>
      <c r="F32">
        <v>1.9232248887419701E-3</v>
      </c>
      <c r="G32">
        <v>1</v>
      </c>
      <c r="H32">
        <v>1</v>
      </c>
      <c r="I32" t="s">
        <v>1261</v>
      </c>
    </row>
    <row r="33" spans="1:9" x14ac:dyDescent="0.2">
      <c r="A33" t="s">
        <v>110</v>
      </c>
      <c r="B33">
        <v>9</v>
      </c>
      <c r="C33">
        <v>5</v>
      </c>
      <c r="D33">
        <v>3</v>
      </c>
      <c r="E33">
        <v>0</v>
      </c>
      <c r="F33">
        <v>2.1949186921119599E-3</v>
      </c>
      <c r="G33">
        <v>1</v>
      </c>
      <c r="H33">
        <v>1</v>
      </c>
      <c r="I33" t="s">
        <v>1262</v>
      </c>
    </row>
    <row r="34" spans="1:9" x14ac:dyDescent="0.2">
      <c r="A34" t="s">
        <v>112</v>
      </c>
      <c r="B34">
        <v>10</v>
      </c>
      <c r="C34">
        <v>3</v>
      </c>
      <c r="D34">
        <v>5</v>
      </c>
      <c r="E34">
        <v>0</v>
      </c>
      <c r="F34">
        <v>2.2741407155990601E-3</v>
      </c>
      <c r="G34">
        <v>1</v>
      </c>
      <c r="H34">
        <v>1</v>
      </c>
      <c r="I34" t="s">
        <v>1263</v>
      </c>
    </row>
    <row r="35" spans="1:9" x14ac:dyDescent="0.2">
      <c r="A35" t="s">
        <v>114</v>
      </c>
      <c r="B35">
        <v>11</v>
      </c>
      <c r="C35">
        <v>3</v>
      </c>
      <c r="D35">
        <v>0</v>
      </c>
      <c r="E35">
        <v>-6</v>
      </c>
      <c r="F35">
        <v>2.2167647257447199E-3</v>
      </c>
      <c r="G35">
        <v>1</v>
      </c>
      <c r="H35">
        <v>1</v>
      </c>
      <c r="I35" t="s">
        <v>1264</v>
      </c>
    </row>
    <row r="36" spans="1:9" x14ac:dyDescent="0.2">
      <c r="A36" t="s">
        <v>116</v>
      </c>
      <c r="B36">
        <v>12</v>
      </c>
      <c r="C36">
        <v>3</v>
      </c>
      <c r="D36">
        <v>0</v>
      </c>
      <c r="E36">
        <v>-6</v>
      </c>
      <c r="F36">
        <v>2.3460378870368E-3</v>
      </c>
      <c r="G36">
        <v>1</v>
      </c>
      <c r="H36">
        <v>1</v>
      </c>
      <c r="I36" t="s">
        <v>1265</v>
      </c>
    </row>
    <row r="37" spans="1:9" x14ac:dyDescent="0.2">
      <c r="A37" t="s">
        <v>118</v>
      </c>
      <c r="B37">
        <v>13</v>
      </c>
      <c r="C37">
        <v>5</v>
      </c>
      <c r="D37">
        <v>5</v>
      </c>
      <c r="E37">
        <v>0</v>
      </c>
      <c r="F37">
        <v>2.6120310649275702E-3</v>
      </c>
      <c r="G37">
        <v>1</v>
      </c>
      <c r="H37">
        <v>1</v>
      </c>
      <c r="I37" t="s">
        <v>1266</v>
      </c>
    </row>
    <row r="38" spans="1:9" x14ac:dyDescent="0.2">
      <c r="A38" t="s">
        <v>120</v>
      </c>
      <c r="B38">
        <v>14</v>
      </c>
      <c r="C38">
        <v>6</v>
      </c>
      <c r="D38">
        <v>5</v>
      </c>
      <c r="E38">
        <v>0</v>
      </c>
      <c r="F38">
        <v>2.72889342159032E-3</v>
      </c>
      <c r="G38">
        <v>1</v>
      </c>
      <c r="H38">
        <v>1</v>
      </c>
      <c r="I38" t="s">
        <v>1266</v>
      </c>
    </row>
    <row r="39" spans="1:9" x14ac:dyDescent="0.2">
      <c r="A39" t="s">
        <v>122</v>
      </c>
      <c r="B39">
        <v>15</v>
      </c>
      <c r="C39">
        <v>7</v>
      </c>
      <c r="D39">
        <v>5</v>
      </c>
      <c r="E39">
        <v>0</v>
      </c>
      <c r="F39">
        <v>2.9307082295417699E-3</v>
      </c>
      <c r="G39">
        <v>1</v>
      </c>
      <c r="H39">
        <v>1</v>
      </c>
      <c r="I39" t="s">
        <v>1266</v>
      </c>
    </row>
    <row r="40" spans="1:9" x14ac:dyDescent="0.2">
      <c r="A40" t="s">
        <v>124</v>
      </c>
      <c r="B40">
        <v>16</v>
      </c>
      <c r="C40">
        <v>8</v>
      </c>
      <c r="D40">
        <v>5</v>
      </c>
      <c r="E40">
        <v>0</v>
      </c>
      <c r="F40">
        <v>3.1950389966368602E-3</v>
      </c>
      <c r="G40">
        <v>1</v>
      </c>
      <c r="H40">
        <v>1</v>
      </c>
      <c r="I40" t="s">
        <v>1266</v>
      </c>
    </row>
    <row r="41" spans="1:9" x14ac:dyDescent="0.2">
      <c r="A41" t="s">
        <v>126</v>
      </c>
      <c r="B41">
        <v>20</v>
      </c>
      <c r="C41">
        <v>5</v>
      </c>
      <c r="D41">
        <v>0</v>
      </c>
      <c r="E41">
        <v>-9</v>
      </c>
      <c r="F41">
        <v>3.0028354376554398E-3</v>
      </c>
      <c r="G41">
        <v>1</v>
      </c>
      <c r="H41">
        <v>1</v>
      </c>
      <c r="I41" t="s">
        <v>1267</v>
      </c>
    </row>
    <row r="42" spans="1:9" x14ac:dyDescent="0.2">
      <c r="A42" t="s">
        <v>128</v>
      </c>
      <c r="B42">
        <v>21</v>
      </c>
      <c r="C42">
        <v>5</v>
      </c>
      <c r="D42">
        <v>0</v>
      </c>
      <c r="E42">
        <v>-10</v>
      </c>
      <c r="F42">
        <v>3.57948709279298E-3</v>
      </c>
      <c r="G42">
        <v>1</v>
      </c>
      <c r="H42">
        <v>1</v>
      </c>
      <c r="I42" t="s">
        <v>1268</v>
      </c>
    </row>
    <row r="43" spans="1:9" x14ac:dyDescent="0.2">
      <c r="A43" t="s">
        <v>130</v>
      </c>
      <c r="B43">
        <v>22</v>
      </c>
      <c r="C43">
        <v>6</v>
      </c>
      <c r="D43">
        <v>0</v>
      </c>
      <c r="E43">
        <v>-9</v>
      </c>
      <c r="F43">
        <v>3.2379804179072302E-3</v>
      </c>
      <c r="G43">
        <v>1</v>
      </c>
      <c r="H43">
        <v>1</v>
      </c>
      <c r="I43" t="s">
        <v>1268</v>
      </c>
    </row>
    <row r="44" spans="1:9" x14ac:dyDescent="0.2">
      <c r="A44" t="s">
        <v>132</v>
      </c>
      <c r="B44">
        <v>23</v>
      </c>
      <c r="C44">
        <v>7</v>
      </c>
      <c r="D44">
        <v>0</v>
      </c>
      <c r="E44">
        <v>-9</v>
      </c>
      <c r="F44">
        <v>3.3793309703469198E-3</v>
      </c>
      <c r="G44">
        <v>1</v>
      </c>
      <c r="H44">
        <v>1</v>
      </c>
      <c r="I44" t="s">
        <v>1268</v>
      </c>
    </row>
    <row r="45" spans="1:9" x14ac:dyDescent="0.2">
      <c r="A45" t="s">
        <v>134</v>
      </c>
      <c r="B45">
        <v>24</v>
      </c>
      <c r="C45">
        <v>3</v>
      </c>
      <c r="D45">
        <v>0</v>
      </c>
      <c r="E45">
        <v>-13</v>
      </c>
      <c r="F45">
        <v>3.3065229654312099E-3</v>
      </c>
      <c r="G45">
        <v>1</v>
      </c>
      <c r="H45">
        <v>1</v>
      </c>
      <c r="I45" t="s">
        <v>1269</v>
      </c>
    </row>
    <row r="46" spans="1:9" x14ac:dyDescent="0.2">
      <c r="A46" t="s">
        <v>136</v>
      </c>
      <c r="B46">
        <v>25</v>
      </c>
      <c r="C46">
        <v>15</v>
      </c>
      <c r="D46">
        <v>5</v>
      </c>
      <c r="E46">
        <v>0</v>
      </c>
      <c r="F46">
        <v>4.5591229572892102E-3</v>
      </c>
      <c r="G46">
        <v>1</v>
      </c>
      <c r="H46">
        <v>1</v>
      </c>
      <c r="I46" t="s">
        <v>1270</v>
      </c>
    </row>
    <row r="47" spans="1:9" x14ac:dyDescent="0.2">
      <c r="A47" t="s">
        <v>138</v>
      </c>
      <c r="B47">
        <v>26</v>
      </c>
      <c r="C47">
        <v>9</v>
      </c>
      <c r="D47">
        <v>0</v>
      </c>
      <c r="E47">
        <v>-9</v>
      </c>
      <c r="F47">
        <v>3.79723869264125E-3</v>
      </c>
      <c r="G47">
        <v>1</v>
      </c>
      <c r="H47">
        <v>1</v>
      </c>
      <c r="I47" t="s">
        <v>1271</v>
      </c>
    </row>
    <row r="48" spans="1:9" x14ac:dyDescent="0.2">
      <c r="A48" t="s">
        <v>140</v>
      </c>
      <c r="B48">
        <v>27</v>
      </c>
      <c r="C48">
        <v>10</v>
      </c>
      <c r="D48">
        <v>0</v>
      </c>
      <c r="E48">
        <v>-9</v>
      </c>
      <c r="F48">
        <v>3.9587467908859201E-3</v>
      </c>
      <c r="G48">
        <v>1</v>
      </c>
      <c r="H48">
        <v>1</v>
      </c>
      <c r="I48" t="s">
        <v>1271</v>
      </c>
    </row>
    <row r="49" spans="1:9" x14ac:dyDescent="0.2">
      <c r="A49" t="s">
        <v>142</v>
      </c>
      <c r="B49">
        <v>28</v>
      </c>
      <c r="C49">
        <v>18</v>
      </c>
      <c r="D49">
        <v>5</v>
      </c>
      <c r="E49">
        <v>0</v>
      </c>
      <c r="F49">
        <v>5.1939738914370502E-3</v>
      </c>
      <c r="G49">
        <v>1</v>
      </c>
      <c r="H49">
        <v>1</v>
      </c>
      <c r="I49" t="s">
        <v>1270</v>
      </c>
    </row>
    <row r="50" spans="1:9" x14ac:dyDescent="0.2">
      <c r="A50" t="s">
        <v>144</v>
      </c>
      <c r="B50">
        <v>29</v>
      </c>
      <c r="C50">
        <v>6</v>
      </c>
      <c r="D50">
        <v>0</v>
      </c>
      <c r="E50">
        <v>-13</v>
      </c>
      <c r="F50">
        <v>3.9146812632679896E-3</v>
      </c>
      <c r="G50">
        <v>1</v>
      </c>
      <c r="H50">
        <v>1</v>
      </c>
      <c r="I50" t="s">
        <v>1272</v>
      </c>
    </row>
    <row r="51" spans="1:9" x14ac:dyDescent="0.2">
      <c r="A51" t="s">
        <v>146</v>
      </c>
      <c r="B51">
        <v>30</v>
      </c>
      <c r="C51">
        <v>6</v>
      </c>
      <c r="D51">
        <v>0</v>
      </c>
      <c r="E51">
        <v>-14</v>
      </c>
      <c r="F51">
        <v>4.0393620729446402E-3</v>
      </c>
      <c r="G51">
        <v>1</v>
      </c>
      <c r="H51">
        <v>1</v>
      </c>
      <c r="I51" t="s">
        <v>1273</v>
      </c>
    </row>
    <row r="52" spans="1:9" x14ac:dyDescent="0.2">
      <c r="A52" t="s">
        <v>148</v>
      </c>
      <c r="B52">
        <v>31</v>
      </c>
      <c r="C52">
        <v>3</v>
      </c>
      <c r="D52">
        <v>0</v>
      </c>
      <c r="E52">
        <v>-17</v>
      </c>
      <c r="F52">
        <v>3.9096474647521903E-3</v>
      </c>
      <c r="G52">
        <v>1</v>
      </c>
      <c r="H52">
        <v>1</v>
      </c>
      <c r="I52" t="s">
        <v>1274</v>
      </c>
    </row>
    <row r="53" spans="1:9" x14ac:dyDescent="0.2">
      <c r="A53" t="s">
        <v>150</v>
      </c>
      <c r="B53">
        <v>32</v>
      </c>
      <c r="C53">
        <v>8</v>
      </c>
      <c r="D53">
        <v>0</v>
      </c>
      <c r="E53">
        <v>-13</v>
      </c>
      <c r="F53">
        <v>4.3215304613113403E-3</v>
      </c>
      <c r="G53">
        <v>1</v>
      </c>
      <c r="H53">
        <v>1</v>
      </c>
      <c r="I53" t="s">
        <v>1273</v>
      </c>
    </row>
    <row r="54" spans="1:9" x14ac:dyDescent="0.2">
      <c r="A54" t="s">
        <v>152</v>
      </c>
      <c r="B54">
        <v>33</v>
      </c>
      <c r="C54">
        <v>18</v>
      </c>
      <c r="D54">
        <v>0</v>
      </c>
      <c r="E54">
        <v>-7</v>
      </c>
      <c r="F54">
        <v>4.9052955582737897E-3</v>
      </c>
      <c r="G54">
        <v>1</v>
      </c>
      <c r="H54">
        <v>1</v>
      </c>
      <c r="I54" t="s">
        <v>1267</v>
      </c>
    </row>
    <row r="55" spans="1:9" x14ac:dyDescent="0.2">
      <c r="A55" t="s">
        <v>154</v>
      </c>
      <c r="B55">
        <v>34</v>
      </c>
      <c r="C55">
        <v>4</v>
      </c>
      <c r="D55">
        <v>0</v>
      </c>
      <c r="E55">
        <v>-17</v>
      </c>
      <c r="F55">
        <v>4.2146444320678702E-3</v>
      </c>
      <c r="G55">
        <v>1</v>
      </c>
      <c r="H55">
        <v>1</v>
      </c>
      <c r="I55" t="s">
        <v>1275</v>
      </c>
    </row>
    <row r="56" spans="1:9" x14ac:dyDescent="0.2">
      <c r="A56" t="s">
        <v>156</v>
      </c>
      <c r="B56">
        <v>35</v>
      </c>
      <c r="C56">
        <v>20</v>
      </c>
      <c r="D56">
        <v>0</v>
      </c>
      <c r="E56">
        <v>-7</v>
      </c>
      <c r="F56">
        <v>5.28959836810827E-3</v>
      </c>
      <c r="G56">
        <v>1</v>
      </c>
      <c r="H56">
        <v>1</v>
      </c>
      <c r="I56" t="s">
        <v>1267</v>
      </c>
    </row>
    <row r="57" spans="1:9" x14ac:dyDescent="0.2">
      <c r="A57" t="s">
        <v>158</v>
      </c>
      <c r="B57">
        <v>36</v>
      </c>
      <c r="C57">
        <v>5</v>
      </c>
      <c r="D57">
        <v>0</v>
      </c>
      <c r="E57">
        <v>-17</v>
      </c>
      <c r="F57">
        <v>5.0854953005909902E-3</v>
      </c>
      <c r="G57">
        <v>1</v>
      </c>
      <c r="H57">
        <v>1</v>
      </c>
      <c r="I57" t="s">
        <v>1276</v>
      </c>
    </row>
    <row r="58" spans="1:9" x14ac:dyDescent="0.2">
      <c r="A58" t="s">
        <v>160</v>
      </c>
      <c r="B58">
        <v>37</v>
      </c>
      <c r="C58">
        <v>6</v>
      </c>
      <c r="D58">
        <v>0</v>
      </c>
      <c r="E58">
        <v>-17</v>
      </c>
      <c r="F58">
        <v>4.62435558438301E-3</v>
      </c>
      <c r="G58">
        <v>1</v>
      </c>
      <c r="H58">
        <v>1</v>
      </c>
      <c r="I58" t="s">
        <v>1276</v>
      </c>
    </row>
    <row r="59" spans="1:9" x14ac:dyDescent="0.2">
      <c r="A59" t="s">
        <v>162</v>
      </c>
      <c r="B59">
        <v>38</v>
      </c>
      <c r="C59">
        <v>3</v>
      </c>
      <c r="D59">
        <v>0</v>
      </c>
      <c r="E59">
        <v>-21</v>
      </c>
      <c r="F59">
        <v>4.5762937515974001E-3</v>
      </c>
      <c r="G59">
        <v>1</v>
      </c>
      <c r="H59">
        <v>1</v>
      </c>
      <c r="I59" t="s">
        <v>1277</v>
      </c>
    </row>
    <row r="60" spans="1:9" x14ac:dyDescent="0.2">
      <c r="A60" t="s">
        <v>164</v>
      </c>
      <c r="B60">
        <v>39</v>
      </c>
      <c r="C60">
        <v>7</v>
      </c>
      <c r="D60">
        <v>0</v>
      </c>
      <c r="E60">
        <v>-17</v>
      </c>
      <c r="F60">
        <v>5.3554521873593296E-3</v>
      </c>
      <c r="G60">
        <v>1</v>
      </c>
      <c r="H60">
        <v>1</v>
      </c>
      <c r="I60" t="s">
        <v>1278</v>
      </c>
    </row>
    <row r="61" spans="1:9" x14ac:dyDescent="0.2">
      <c r="A61" t="s">
        <v>166</v>
      </c>
      <c r="B61">
        <v>40</v>
      </c>
      <c r="C61">
        <v>13</v>
      </c>
      <c r="D61">
        <v>0</v>
      </c>
      <c r="E61">
        <v>-13</v>
      </c>
      <c r="F61">
        <v>5.5609084665775299E-3</v>
      </c>
      <c r="G61">
        <v>1</v>
      </c>
      <c r="H61">
        <v>1</v>
      </c>
      <c r="I61" t="s">
        <v>1279</v>
      </c>
    </row>
    <row r="62" spans="1:9" x14ac:dyDescent="0.2">
      <c r="A62" t="s">
        <v>168</v>
      </c>
      <c r="B62">
        <v>41</v>
      </c>
      <c r="C62">
        <v>8</v>
      </c>
      <c r="D62">
        <v>0</v>
      </c>
      <c r="E62">
        <v>-17</v>
      </c>
      <c r="F62">
        <v>5.2518481388688001E-3</v>
      </c>
      <c r="G62">
        <v>1</v>
      </c>
      <c r="H62">
        <v>1</v>
      </c>
      <c r="I62" t="s">
        <v>1280</v>
      </c>
    </row>
    <row r="63" spans="1:9" x14ac:dyDescent="0.2">
      <c r="A63" t="s">
        <v>170</v>
      </c>
      <c r="B63">
        <v>42</v>
      </c>
      <c r="C63">
        <v>9</v>
      </c>
      <c r="D63">
        <v>0</v>
      </c>
      <c r="E63">
        <v>-17</v>
      </c>
      <c r="F63">
        <v>6.6767018288373904E-3</v>
      </c>
      <c r="G63">
        <v>1</v>
      </c>
      <c r="H63">
        <v>1</v>
      </c>
      <c r="I63" t="s">
        <v>1280</v>
      </c>
    </row>
    <row r="64" spans="1:9" x14ac:dyDescent="0.2">
      <c r="A64" t="s">
        <v>172</v>
      </c>
      <c r="B64">
        <v>43</v>
      </c>
      <c r="C64">
        <v>22</v>
      </c>
      <c r="D64">
        <v>0</v>
      </c>
      <c r="E64">
        <v>-9</v>
      </c>
      <c r="F64">
        <v>6.4366515725850998E-3</v>
      </c>
      <c r="G64">
        <v>1</v>
      </c>
      <c r="H64">
        <v>1</v>
      </c>
      <c r="I64" t="s">
        <v>1269</v>
      </c>
    </row>
    <row r="65" spans="1:9" x14ac:dyDescent="0.2">
      <c r="A65" t="s">
        <v>174</v>
      </c>
      <c r="B65">
        <v>44</v>
      </c>
      <c r="C65">
        <v>23</v>
      </c>
      <c r="D65">
        <v>0</v>
      </c>
      <c r="E65">
        <v>-9</v>
      </c>
      <c r="F65">
        <v>7.7259978279471397E-3</v>
      </c>
      <c r="G65">
        <v>1</v>
      </c>
      <c r="H65">
        <v>1</v>
      </c>
      <c r="I65" t="s">
        <v>1269</v>
      </c>
    </row>
    <row r="66" spans="1:9" x14ac:dyDescent="0.2">
      <c r="A66" t="s">
        <v>176</v>
      </c>
      <c r="B66">
        <v>45</v>
      </c>
      <c r="C66">
        <v>24</v>
      </c>
      <c r="D66">
        <v>0</v>
      </c>
      <c r="E66">
        <v>-9</v>
      </c>
      <c r="F66">
        <v>6.9470135495066599E-3</v>
      </c>
      <c r="G66">
        <v>1</v>
      </c>
      <c r="H66">
        <v>1</v>
      </c>
      <c r="I66" t="s">
        <v>1269</v>
      </c>
    </row>
    <row r="67" spans="1:9" x14ac:dyDescent="0.2">
      <c r="A67" t="s">
        <v>178</v>
      </c>
      <c r="B67">
        <v>46</v>
      </c>
      <c r="C67">
        <v>15</v>
      </c>
      <c r="D67">
        <v>0</v>
      </c>
      <c r="E67">
        <v>-15</v>
      </c>
      <c r="F67">
        <v>6.3777640461921596E-3</v>
      </c>
      <c r="G67">
        <v>1</v>
      </c>
      <c r="H67">
        <v>1</v>
      </c>
      <c r="I67" t="s">
        <v>1276</v>
      </c>
    </row>
    <row r="68" spans="1:9" x14ac:dyDescent="0.2">
      <c r="A68" t="s">
        <v>180</v>
      </c>
      <c r="B68">
        <v>47</v>
      </c>
      <c r="C68">
        <v>25</v>
      </c>
      <c r="D68">
        <v>0</v>
      </c>
      <c r="E68">
        <v>-9</v>
      </c>
      <c r="F68">
        <v>7.2086052969097996E-3</v>
      </c>
      <c r="G68">
        <v>1</v>
      </c>
      <c r="H68">
        <v>1</v>
      </c>
      <c r="I68" t="s">
        <v>1281</v>
      </c>
    </row>
    <row r="69" spans="1:9" x14ac:dyDescent="0.2">
      <c r="A69" t="s">
        <v>182</v>
      </c>
      <c r="B69">
        <v>48</v>
      </c>
      <c r="C69">
        <v>26</v>
      </c>
      <c r="D69">
        <v>0</v>
      </c>
      <c r="E69">
        <v>-9</v>
      </c>
      <c r="F69">
        <v>7.4293417856097204E-3</v>
      </c>
      <c r="G69">
        <v>1</v>
      </c>
      <c r="H69">
        <v>1</v>
      </c>
      <c r="I69" t="s">
        <v>1281</v>
      </c>
    </row>
    <row r="70" spans="1:9" x14ac:dyDescent="0.2">
      <c r="A70" t="s">
        <v>184</v>
      </c>
      <c r="B70">
        <v>49</v>
      </c>
      <c r="C70">
        <v>4</v>
      </c>
      <c r="D70">
        <v>0</v>
      </c>
      <c r="E70">
        <v>-25</v>
      </c>
      <c r="F70">
        <v>5.8431578800082198E-3</v>
      </c>
      <c r="G70">
        <v>1</v>
      </c>
      <c r="H70">
        <v>1</v>
      </c>
      <c r="I70" t="s">
        <v>1282</v>
      </c>
    </row>
    <row r="71" spans="1:9" x14ac:dyDescent="0.2">
      <c r="A71" t="s">
        <v>186</v>
      </c>
      <c r="B71">
        <v>50</v>
      </c>
      <c r="C71">
        <v>19</v>
      </c>
      <c r="D71">
        <v>0</v>
      </c>
      <c r="E71">
        <v>-13</v>
      </c>
      <c r="F71">
        <v>7.0520862936973502E-3</v>
      </c>
      <c r="G71">
        <v>1</v>
      </c>
      <c r="H71">
        <v>1</v>
      </c>
      <c r="I71" t="s">
        <v>1276</v>
      </c>
    </row>
    <row r="72" spans="1:9" x14ac:dyDescent="0.2">
      <c r="A72" t="s">
        <v>188</v>
      </c>
      <c r="B72">
        <v>51</v>
      </c>
      <c r="C72">
        <v>28</v>
      </c>
      <c r="D72">
        <v>0</v>
      </c>
      <c r="E72">
        <v>-9</v>
      </c>
      <c r="F72">
        <v>7.8892717137932708E-3</v>
      </c>
      <c r="G72">
        <v>1</v>
      </c>
      <c r="H72">
        <v>1</v>
      </c>
      <c r="I72" t="s">
        <v>1272</v>
      </c>
    </row>
    <row r="73" spans="1:9" x14ac:dyDescent="0.2">
      <c r="A73" t="s">
        <v>190</v>
      </c>
      <c r="B73">
        <v>52</v>
      </c>
      <c r="C73">
        <v>15</v>
      </c>
      <c r="D73">
        <v>0</v>
      </c>
      <c r="E73">
        <v>-17</v>
      </c>
      <c r="F73">
        <v>6.9920280948281201E-3</v>
      </c>
      <c r="G73">
        <v>1</v>
      </c>
      <c r="H73">
        <v>1</v>
      </c>
      <c r="I73" t="s">
        <v>1283</v>
      </c>
    </row>
    <row r="74" spans="1:9" x14ac:dyDescent="0.2">
      <c r="A74" t="s">
        <v>192</v>
      </c>
      <c r="B74">
        <v>53</v>
      </c>
      <c r="C74">
        <v>16</v>
      </c>
      <c r="D74">
        <v>0</v>
      </c>
      <c r="E74">
        <v>-17</v>
      </c>
      <c r="F74">
        <v>7.2093363851308797E-3</v>
      </c>
      <c r="G74">
        <v>1</v>
      </c>
      <c r="H74">
        <v>1</v>
      </c>
      <c r="I74" t="s">
        <v>1283</v>
      </c>
    </row>
    <row r="75" spans="1:9" x14ac:dyDescent="0.2">
      <c r="A75" t="s">
        <v>194</v>
      </c>
      <c r="B75">
        <v>54</v>
      </c>
      <c r="C75">
        <v>31</v>
      </c>
      <c r="D75">
        <v>0</v>
      </c>
      <c r="E75">
        <v>-9</v>
      </c>
      <c r="F75">
        <v>8.8011855259537697E-3</v>
      </c>
      <c r="G75">
        <v>1</v>
      </c>
      <c r="H75">
        <v>1</v>
      </c>
      <c r="I75" t="s">
        <v>1272</v>
      </c>
    </row>
    <row r="76" spans="1:9" x14ac:dyDescent="0.2">
      <c r="A76" t="s">
        <v>196</v>
      </c>
      <c r="B76">
        <v>55</v>
      </c>
      <c r="C76">
        <v>23</v>
      </c>
      <c r="D76">
        <v>0</v>
      </c>
      <c r="E76">
        <v>-13</v>
      </c>
      <c r="F76">
        <v>8.2107800990343094E-3</v>
      </c>
      <c r="G76">
        <v>1</v>
      </c>
      <c r="H76">
        <v>1</v>
      </c>
      <c r="I76" t="s">
        <v>1278</v>
      </c>
    </row>
    <row r="77" spans="1:9" x14ac:dyDescent="0.2">
      <c r="A77" t="s">
        <v>198</v>
      </c>
      <c r="B77">
        <v>56</v>
      </c>
      <c r="C77">
        <v>17</v>
      </c>
      <c r="D77">
        <v>0</v>
      </c>
      <c r="E77">
        <v>-17</v>
      </c>
      <c r="F77">
        <v>7.7538611367344804E-3</v>
      </c>
      <c r="G77">
        <v>1</v>
      </c>
      <c r="H77">
        <v>1</v>
      </c>
      <c r="I77" t="s">
        <v>1284</v>
      </c>
    </row>
    <row r="78" spans="1:9" x14ac:dyDescent="0.2">
      <c r="A78" t="s">
        <v>200</v>
      </c>
      <c r="B78">
        <v>57</v>
      </c>
      <c r="C78">
        <v>18</v>
      </c>
      <c r="D78">
        <v>0</v>
      </c>
      <c r="E78">
        <v>-17</v>
      </c>
      <c r="F78">
        <v>7.88303278386592E-3</v>
      </c>
      <c r="G78">
        <v>1</v>
      </c>
      <c r="H78">
        <v>1</v>
      </c>
      <c r="I78" t="s">
        <v>1284</v>
      </c>
    </row>
    <row r="79" spans="1:9" x14ac:dyDescent="0.2">
      <c r="A79" t="s">
        <v>202</v>
      </c>
      <c r="B79">
        <v>58</v>
      </c>
      <c r="C79">
        <v>3</v>
      </c>
      <c r="D79">
        <v>0</v>
      </c>
      <c r="E79">
        <v>-32</v>
      </c>
      <c r="F79">
        <v>6.7079467698931599E-3</v>
      </c>
      <c r="G79">
        <v>1</v>
      </c>
      <c r="H79">
        <v>1</v>
      </c>
      <c r="I79" t="s">
        <v>1285</v>
      </c>
    </row>
    <row r="80" spans="1:9" x14ac:dyDescent="0.2">
      <c r="A80" t="s">
        <v>204</v>
      </c>
      <c r="B80">
        <v>59</v>
      </c>
      <c r="C80">
        <v>19</v>
      </c>
      <c r="D80">
        <v>0</v>
      </c>
      <c r="E80">
        <v>-17</v>
      </c>
      <c r="F80">
        <v>8.3375172689557006E-3</v>
      </c>
      <c r="G80">
        <v>1</v>
      </c>
      <c r="H80">
        <v>1</v>
      </c>
      <c r="I80" t="s">
        <v>1286</v>
      </c>
    </row>
    <row r="81" spans="1:9" x14ac:dyDescent="0.2">
      <c r="A81" t="s">
        <v>206</v>
      </c>
      <c r="B81">
        <v>60</v>
      </c>
      <c r="C81">
        <v>20</v>
      </c>
      <c r="D81">
        <v>0</v>
      </c>
      <c r="E81">
        <v>-17</v>
      </c>
      <c r="F81">
        <v>8.28797183930873E-3</v>
      </c>
      <c r="G81">
        <v>1</v>
      </c>
      <c r="H81">
        <v>1</v>
      </c>
      <c r="I81" t="s">
        <v>1286</v>
      </c>
    </row>
    <row r="82" spans="1:9" x14ac:dyDescent="0.2">
      <c r="A82" t="s">
        <v>208</v>
      </c>
      <c r="B82">
        <v>61</v>
      </c>
      <c r="C82">
        <v>18</v>
      </c>
      <c r="D82">
        <v>0</v>
      </c>
      <c r="E82">
        <v>-19</v>
      </c>
      <c r="F82">
        <v>8.3954241126775707E-3</v>
      </c>
      <c r="G82">
        <v>1</v>
      </c>
      <c r="H82">
        <v>1</v>
      </c>
      <c r="I82" t="s">
        <v>1287</v>
      </c>
    </row>
    <row r="83" spans="1:9" x14ac:dyDescent="0.2">
      <c r="A83" t="s">
        <v>210</v>
      </c>
      <c r="B83">
        <v>62</v>
      </c>
      <c r="C83">
        <v>21</v>
      </c>
      <c r="D83">
        <v>0</v>
      </c>
      <c r="E83">
        <v>-17</v>
      </c>
      <c r="F83">
        <v>8.8811786845326406E-3</v>
      </c>
      <c r="G83">
        <v>1</v>
      </c>
      <c r="H83">
        <v>1</v>
      </c>
      <c r="I83" t="s">
        <v>1288</v>
      </c>
    </row>
    <row r="84" spans="1:9" x14ac:dyDescent="0.2">
      <c r="A84" t="s">
        <v>212</v>
      </c>
      <c r="B84">
        <v>63</v>
      </c>
      <c r="C84">
        <v>23</v>
      </c>
      <c r="D84">
        <v>0</v>
      </c>
      <c r="E84">
        <v>-16</v>
      </c>
      <c r="F84">
        <v>9.0780835598707199E-3</v>
      </c>
      <c r="G84">
        <v>1</v>
      </c>
      <c r="H84">
        <v>1</v>
      </c>
      <c r="I84" t="s">
        <v>1286</v>
      </c>
    </row>
    <row r="85" spans="1:9" x14ac:dyDescent="0.2">
      <c r="A85" t="s">
        <v>214</v>
      </c>
      <c r="B85">
        <v>64</v>
      </c>
      <c r="C85">
        <v>24</v>
      </c>
      <c r="D85">
        <v>0</v>
      </c>
      <c r="E85">
        <v>-16</v>
      </c>
      <c r="F85">
        <v>9.3776499852538091E-3</v>
      </c>
      <c r="G85">
        <v>1</v>
      </c>
      <c r="H85">
        <v>1</v>
      </c>
      <c r="I85" t="s">
        <v>1286</v>
      </c>
    </row>
    <row r="86" spans="1:9" x14ac:dyDescent="0.2">
      <c r="A86" t="s">
        <v>216</v>
      </c>
      <c r="B86">
        <v>65</v>
      </c>
      <c r="C86">
        <v>31</v>
      </c>
      <c r="D86">
        <v>0</v>
      </c>
      <c r="E86">
        <v>-13</v>
      </c>
      <c r="F86">
        <v>1.0014148429036101E-2</v>
      </c>
      <c r="G86">
        <v>1</v>
      </c>
      <c r="H86">
        <v>1</v>
      </c>
      <c r="I86" t="s">
        <v>1289</v>
      </c>
    </row>
    <row r="87" spans="1:9" x14ac:dyDescent="0.2">
      <c r="A87" t="s">
        <v>218</v>
      </c>
      <c r="B87">
        <v>66</v>
      </c>
      <c r="C87">
        <v>32</v>
      </c>
      <c r="D87">
        <v>0</v>
      </c>
      <c r="E87">
        <v>-13</v>
      </c>
      <c r="F87">
        <v>1.02552622556686E-2</v>
      </c>
      <c r="G87">
        <v>1</v>
      </c>
      <c r="H87">
        <v>1</v>
      </c>
      <c r="I87" t="s">
        <v>1289</v>
      </c>
    </row>
    <row r="88" spans="1:9" x14ac:dyDescent="0.2">
      <c r="A88" t="s">
        <v>220</v>
      </c>
      <c r="B88">
        <v>67</v>
      </c>
      <c r="C88">
        <v>33</v>
      </c>
      <c r="D88">
        <v>0</v>
      </c>
      <c r="E88">
        <v>-13</v>
      </c>
      <c r="F88">
        <v>1.0499001480638899E-2</v>
      </c>
      <c r="G88">
        <v>1</v>
      </c>
      <c r="H88">
        <v>1</v>
      </c>
      <c r="I88" t="s">
        <v>1289</v>
      </c>
    </row>
    <row r="89" spans="1:9" x14ac:dyDescent="0.2">
      <c r="A89" t="s">
        <v>222</v>
      </c>
      <c r="B89">
        <v>68</v>
      </c>
      <c r="C89">
        <v>34</v>
      </c>
      <c r="D89">
        <v>0</v>
      </c>
      <c r="E89">
        <v>-13</v>
      </c>
      <c r="F89">
        <v>1.0850988328456801E-2</v>
      </c>
      <c r="G89">
        <v>1</v>
      </c>
      <c r="H89">
        <v>1</v>
      </c>
      <c r="I89" t="s">
        <v>1289</v>
      </c>
    </row>
    <row r="90" spans="1:9" x14ac:dyDescent="0.2">
      <c r="A90" t="s">
        <v>224</v>
      </c>
      <c r="B90">
        <v>69</v>
      </c>
      <c r="C90">
        <v>35</v>
      </c>
      <c r="D90">
        <v>0</v>
      </c>
      <c r="E90">
        <v>-13</v>
      </c>
      <c r="F90">
        <v>1.1128706857561999E-2</v>
      </c>
      <c r="G90">
        <v>1</v>
      </c>
      <c r="H90">
        <v>1</v>
      </c>
      <c r="I90" t="s">
        <v>1289</v>
      </c>
    </row>
    <row r="91" spans="1:9" x14ac:dyDescent="0.2">
      <c r="A91" t="s">
        <v>226</v>
      </c>
      <c r="B91">
        <v>70</v>
      </c>
      <c r="C91">
        <v>36</v>
      </c>
      <c r="D91">
        <v>0</v>
      </c>
      <c r="E91">
        <v>-13</v>
      </c>
      <c r="F91">
        <v>1.1244174093008E-2</v>
      </c>
      <c r="G91">
        <v>1</v>
      </c>
      <c r="H91">
        <v>1</v>
      </c>
      <c r="I91" t="s">
        <v>1289</v>
      </c>
    </row>
    <row r="92" spans="1:9" x14ac:dyDescent="0.2">
      <c r="A92" t="s">
        <v>228</v>
      </c>
      <c r="B92">
        <v>71</v>
      </c>
      <c r="C92">
        <v>12</v>
      </c>
      <c r="D92">
        <v>0</v>
      </c>
      <c r="E92">
        <v>-29</v>
      </c>
      <c r="F92">
        <v>8.9479312300681998E-3</v>
      </c>
      <c r="G92">
        <v>1</v>
      </c>
      <c r="H92">
        <v>1</v>
      </c>
      <c r="I92" t="s">
        <v>1290</v>
      </c>
    </row>
    <row r="93" spans="1:9" x14ac:dyDescent="0.2">
      <c r="A93" t="s">
        <v>230</v>
      </c>
      <c r="B93">
        <v>72</v>
      </c>
      <c r="C93">
        <v>37</v>
      </c>
      <c r="D93">
        <v>0</v>
      </c>
      <c r="E93">
        <v>-13</v>
      </c>
      <c r="F93">
        <v>1.18528380990028E-2</v>
      </c>
      <c r="G93">
        <v>1</v>
      </c>
      <c r="H93">
        <v>1</v>
      </c>
      <c r="I93" t="s">
        <v>1277</v>
      </c>
    </row>
    <row r="94" spans="1:9" x14ac:dyDescent="0.2">
      <c r="A94" t="s">
        <v>232</v>
      </c>
      <c r="B94">
        <v>73</v>
      </c>
      <c r="C94">
        <v>38</v>
      </c>
      <c r="D94">
        <v>0</v>
      </c>
      <c r="E94">
        <v>-13</v>
      </c>
      <c r="F94">
        <v>1.1961211450397901E-2</v>
      </c>
      <c r="G94">
        <v>1</v>
      </c>
      <c r="H94">
        <v>1</v>
      </c>
      <c r="I94" t="s">
        <v>1277</v>
      </c>
    </row>
    <row r="95" spans="1:9" x14ac:dyDescent="0.2">
      <c r="A95" t="s">
        <v>234</v>
      </c>
      <c r="B95">
        <v>74</v>
      </c>
      <c r="C95">
        <v>9</v>
      </c>
      <c r="D95">
        <v>0</v>
      </c>
      <c r="E95">
        <v>-32</v>
      </c>
      <c r="F95">
        <v>9.2123718932271004E-3</v>
      </c>
      <c r="G95">
        <v>1</v>
      </c>
      <c r="H95">
        <v>1</v>
      </c>
      <c r="I95" t="s">
        <v>1291</v>
      </c>
    </row>
    <row r="96" spans="1:9" x14ac:dyDescent="0.2">
      <c r="A96" t="s">
        <v>236</v>
      </c>
      <c r="B96">
        <v>75</v>
      </c>
      <c r="C96">
        <v>28</v>
      </c>
      <c r="D96">
        <v>0</v>
      </c>
      <c r="E96">
        <v>-19</v>
      </c>
      <c r="F96">
        <v>1.12154902890324E-2</v>
      </c>
      <c r="G96">
        <v>1</v>
      </c>
      <c r="H96">
        <v>1</v>
      </c>
      <c r="I96" t="s">
        <v>1292</v>
      </c>
    </row>
    <row r="97" spans="1:9" x14ac:dyDescent="0.2">
      <c r="A97" t="s">
        <v>238</v>
      </c>
      <c r="B97">
        <v>76</v>
      </c>
      <c r="C97">
        <v>40</v>
      </c>
      <c r="D97">
        <v>0</v>
      </c>
      <c r="E97">
        <v>-12</v>
      </c>
      <c r="F97">
        <v>1.2614966370165299E-2</v>
      </c>
      <c r="G97">
        <v>1</v>
      </c>
      <c r="H97">
        <v>1</v>
      </c>
      <c r="I97" t="s">
        <v>1293</v>
      </c>
    </row>
    <row r="98" spans="1:9" x14ac:dyDescent="0.2">
      <c r="A98" t="s">
        <v>240</v>
      </c>
      <c r="B98">
        <v>77</v>
      </c>
      <c r="C98">
        <v>40</v>
      </c>
      <c r="D98">
        <v>0</v>
      </c>
      <c r="E98">
        <v>-13</v>
      </c>
      <c r="F98">
        <v>1.27786546945571E-2</v>
      </c>
      <c r="G98">
        <v>1</v>
      </c>
      <c r="H98">
        <v>1</v>
      </c>
      <c r="I98" t="s">
        <v>1283</v>
      </c>
    </row>
    <row r="99" spans="1:9" x14ac:dyDescent="0.2">
      <c r="A99" t="s">
        <v>242</v>
      </c>
      <c r="B99">
        <v>78</v>
      </c>
      <c r="C99">
        <v>29</v>
      </c>
      <c r="D99">
        <v>0</v>
      </c>
      <c r="E99">
        <v>-19</v>
      </c>
      <c r="F99">
        <v>1.17723084986209E-2</v>
      </c>
      <c r="G99">
        <v>1</v>
      </c>
      <c r="H99">
        <v>1</v>
      </c>
      <c r="I99" t="s">
        <v>1294</v>
      </c>
    </row>
    <row r="100" spans="1:9" x14ac:dyDescent="0.2">
      <c r="A100" t="s">
        <v>244</v>
      </c>
      <c r="B100">
        <v>79</v>
      </c>
      <c r="C100">
        <v>20</v>
      </c>
      <c r="D100">
        <v>0</v>
      </c>
      <c r="E100">
        <v>-24</v>
      </c>
      <c r="F100">
        <v>1.0853745043277701E-2</v>
      </c>
      <c r="G100">
        <v>1</v>
      </c>
      <c r="H100">
        <v>1</v>
      </c>
      <c r="I100" t="s">
        <v>1290</v>
      </c>
    </row>
    <row r="101" spans="1:9" x14ac:dyDescent="0.2">
      <c r="A101" t="s">
        <v>246</v>
      </c>
      <c r="B101">
        <v>80</v>
      </c>
      <c r="C101">
        <v>47</v>
      </c>
      <c r="D101">
        <v>0</v>
      </c>
      <c r="E101">
        <v>-11</v>
      </c>
      <c r="F101">
        <v>1.39006543904542E-2</v>
      </c>
      <c r="G101">
        <v>1</v>
      </c>
      <c r="H101">
        <v>1</v>
      </c>
      <c r="I101" t="s">
        <v>1280</v>
      </c>
    </row>
    <row r="102" spans="1:9" x14ac:dyDescent="0.2">
      <c r="A102" t="s">
        <v>248</v>
      </c>
      <c r="B102">
        <v>81</v>
      </c>
      <c r="C102">
        <v>48</v>
      </c>
      <c r="D102">
        <v>0</v>
      </c>
      <c r="E102">
        <v>-11</v>
      </c>
      <c r="F102">
        <v>1.4183938503265299E-2</v>
      </c>
      <c r="G102">
        <v>1</v>
      </c>
      <c r="H102">
        <v>1</v>
      </c>
      <c r="I102" t="s">
        <v>1280</v>
      </c>
    </row>
    <row r="103" spans="1:9" x14ac:dyDescent="0.2">
      <c r="A103" t="s">
        <v>250</v>
      </c>
      <c r="B103">
        <v>82</v>
      </c>
      <c r="C103">
        <v>43</v>
      </c>
      <c r="D103">
        <v>0</v>
      </c>
      <c r="E103">
        <v>-13</v>
      </c>
      <c r="F103">
        <v>1.3908765278756599E-2</v>
      </c>
      <c r="G103">
        <v>1</v>
      </c>
      <c r="H103">
        <v>1</v>
      </c>
      <c r="I103" t="s">
        <v>1284</v>
      </c>
    </row>
    <row r="104" spans="1:9" x14ac:dyDescent="0.2">
      <c r="A104" t="s">
        <v>252</v>
      </c>
      <c r="B104">
        <v>83</v>
      </c>
      <c r="C104">
        <v>41</v>
      </c>
      <c r="D104">
        <v>0</v>
      </c>
      <c r="E104">
        <v>-15</v>
      </c>
      <c r="F104">
        <v>1.36281568557024E-2</v>
      </c>
      <c r="G104">
        <v>1</v>
      </c>
      <c r="H104">
        <v>1</v>
      </c>
      <c r="I104" t="s">
        <v>1295</v>
      </c>
    </row>
    <row r="105" spans="1:9" x14ac:dyDescent="0.2">
      <c r="A105" t="s">
        <v>254</v>
      </c>
      <c r="B105">
        <v>84</v>
      </c>
      <c r="C105">
        <v>42</v>
      </c>
      <c r="D105">
        <v>0</v>
      </c>
      <c r="E105">
        <v>-15</v>
      </c>
      <c r="F105">
        <v>1.39266084879636E-2</v>
      </c>
      <c r="G105">
        <v>1</v>
      </c>
      <c r="H105">
        <v>1</v>
      </c>
      <c r="I105" t="s">
        <v>1295</v>
      </c>
    </row>
    <row r="106" spans="1:9" x14ac:dyDescent="0.2">
      <c r="A106" t="s">
        <v>256</v>
      </c>
      <c r="B106">
        <v>85</v>
      </c>
      <c r="C106">
        <v>23</v>
      </c>
      <c r="D106">
        <v>0</v>
      </c>
      <c r="E106">
        <v>-24</v>
      </c>
      <c r="F106">
        <v>1.2058386579155899E-2</v>
      </c>
      <c r="G106">
        <v>1</v>
      </c>
      <c r="H106">
        <v>1</v>
      </c>
      <c r="I106" t="s">
        <v>1296</v>
      </c>
    </row>
    <row r="107" spans="1:9" x14ac:dyDescent="0.2">
      <c r="A107" t="s">
        <v>258</v>
      </c>
      <c r="B107">
        <v>86</v>
      </c>
      <c r="C107">
        <v>23</v>
      </c>
      <c r="D107">
        <v>0</v>
      </c>
      <c r="E107">
        <v>-25</v>
      </c>
      <c r="F107">
        <v>1.22456829994916E-2</v>
      </c>
      <c r="G107">
        <v>1</v>
      </c>
      <c r="H107">
        <v>1</v>
      </c>
      <c r="I107" t="s">
        <v>1297</v>
      </c>
    </row>
    <row r="108" spans="1:9" x14ac:dyDescent="0.2">
      <c r="A108" t="s">
        <v>260</v>
      </c>
      <c r="B108">
        <v>87</v>
      </c>
      <c r="C108">
        <v>45</v>
      </c>
      <c r="D108">
        <v>0</v>
      </c>
      <c r="E108">
        <v>-15</v>
      </c>
      <c r="F108">
        <v>1.4944581314921299E-2</v>
      </c>
      <c r="G108">
        <v>1</v>
      </c>
      <c r="H108">
        <v>1</v>
      </c>
      <c r="I108" t="s">
        <v>1295</v>
      </c>
    </row>
    <row r="109" spans="1:9" x14ac:dyDescent="0.2">
      <c r="A109" t="s">
        <v>262</v>
      </c>
      <c r="B109">
        <v>88</v>
      </c>
      <c r="C109">
        <v>49</v>
      </c>
      <c r="D109">
        <v>0</v>
      </c>
      <c r="E109">
        <v>-13</v>
      </c>
      <c r="F109">
        <v>1.5346685424447001E-2</v>
      </c>
      <c r="G109">
        <v>1</v>
      </c>
      <c r="H109">
        <v>1</v>
      </c>
      <c r="I109" t="s">
        <v>1284</v>
      </c>
    </row>
    <row r="110" spans="1:9" x14ac:dyDescent="0.2">
      <c r="A110" t="s">
        <v>264</v>
      </c>
      <c r="B110">
        <v>89</v>
      </c>
      <c r="C110">
        <v>32</v>
      </c>
      <c r="D110">
        <v>0</v>
      </c>
      <c r="E110">
        <v>-21</v>
      </c>
      <c r="F110">
        <v>1.35788498446345E-2</v>
      </c>
      <c r="G110">
        <v>1</v>
      </c>
      <c r="H110">
        <v>1</v>
      </c>
      <c r="I110" t="s">
        <v>1298</v>
      </c>
    </row>
    <row r="111" spans="1:9" x14ac:dyDescent="0.2">
      <c r="A111" t="s">
        <v>266</v>
      </c>
      <c r="B111">
        <v>90</v>
      </c>
      <c r="C111">
        <v>33</v>
      </c>
      <c r="D111">
        <v>0</v>
      </c>
      <c r="E111">
        <v>-21</v>
      </c>
      <c r="F111">
        <v>1.37026328593492E-2</v>
      </c>
      <c r="G111">
        <v>1</v>
      </c>
      <c r="H111">
        <v>1</v>
      </c>
      <c r="I111" t="s">
        <v>1298</v>
      </c>
    </row>
    <row r="112" spans="1:9" x14ac:dyDescent="0.2">
      <c r="A112" t="s">
        <v>268</v>
      </c>
      <c r="B112">
        <v>91</v>
      </c>
      <c r="C112">
        <v>26</v>
      </c>
      <c r="D112">
        <v>0</v>
      </c>
      <c r="E112">
        <v>-25</v>
      </c>
      <c r="F112">
        <v>1.3202752918004899E-2</v>
      </c>
      <c r="G112">
        <v>1</v>
      </c>
      <c r="H112">
        <v>1</v>
      </c>
      <c r="I112" t="s">
        <v>1291</v>
      </c>
    </row>
    <row r="113" spans="1:9" x14ac:dyDescent="0.2">
      <c r="A113" t="s">
        <v>270</v>
      </c>
      <c r="B113">
        <v>92</v>
      </c>
      <c r="C113">
        <v>52</v>
      </c>
      <c r="D113">
        <v>0</v>
      </c>
      <c r="E113">
        <v>-13</v>
      </c>
      <c r="F113">
        <v>1.6261436976492401E-2</v>
      </c>
      <c r="G113">
        <v>1</v>
      </c>
      <c r="H113">
        <v>1</v>
      </c>
      <c r="I113" t="s">
        <v>1286</v>
      </c>
    </row>
    <row r="114" spans="1:9" x14ac:dyDescent="0.2">
      <c r="A114" t="s">
        <v>272</v>
      </c>
      <c r="B114">
        <v>93</v>
      </c>
      <c r="C114">
        <v>53</v>
      </c>
      <c r="D114">
        <v>0</v>
      </c>
      <c r="E114">
        <v>-13</v>
      </c>
      <c r="F114">
        <v>1.6788003034889601E-2</v>
      </c>
      <c r="G114">
        <v>1</v>
      </c>
      <c r="H114">
        <v>1</v>
      </c>
      <c r="I114" t="s">
        <v>1286</v>
      </c>
    </row>
    <row r="115" spans="1:9" x14ac:dyDescent="0.2">
      <c r="A115" t="s">
        <v>274</v>
      </c>
      <c r="B115">
        <v>94</v>
      </c>
      <c r="C115">
        <v>54</v>
      </c>
      <c r="D115">
        <v>0</v>
      </c>
      <c r="E115">
        <v>-13</v>
      </c>
      <c r="F115">
        <v>1.6953586600720799E-2</v>
      </c>
      <c r="G115">
        <v>1</v>
      </c>
      <c r="H115">
        <v>1</v>
      </c>
      <c r="I115" t="s">
        <v>1286</v>
      </c>
    </row>
    <row r="116" spans="1:9" x14ac:dyDescent="0.2">
      <c r="A116" t="s">
        <v>276</v>
      </c>
      <c r="B116">
        <v>95</v>
      </c>
      <c r="C116">
        <v>46</v>
      </c>
      <c r="D116">
        <v>0</v>
      </c>
      <c r="E116">
        <v>-17</v>
      </c>
      <c r="F116">
        <v>1.6325363889336499E-2</v>
      </c>
      <c r="G116">
        <v>1</v>
      </c>
      <c r="H116">
        <v>1</v>
      </c>
      <c r="I116" t="s">
        <v>1294</v>
      </c>
    </row>
    <row r="117" spans="1:9" x14ac:dyDescent="0.2">
      <c r="A117" t="s">
        <v>278</v>
      </c>
      <c r="B117">
        <v>96</v>
      </c>
      <c r="C117">
        <v>48</v>
      </c>
      <c r="D117">
        <v>0</v>
      </c>
      <c r="E117">
        <v>-16</v>
      </c>
      <c r="F117">
        <v>1.68272834271192E-2</v>
      </c>
      <c r="G117">
        <v>1</v>
      </c>
      <c r="H117">
        <v>1</v>
      </c>
      <c r="I117" t="s">
        <v>1299</v>
      </c>
    </row>
    <row r="118" spans="1:9" x14ac:dyDescent="0.2">
      <c r="A118" t="s">
        <v>280</v>
      </c>
      <c r="B118">
        <v>97</v>
      </c>
      <c r="C118">
        <v>50</v>
      </c>
      <c r="D118">
        <v>0</v>
      </c>
      <c r="E118">
        <v>-15</v>
      </c>
      <c r="F118">
        <v>1.7170897684991301E-2</v>
      </c>
      <c r="G118">
        <v>1</v>
      </c>
      <c r="H118">
        <v>1</v>
      </c>
      <c r="I118" t="s">
        <v>1292</v>
      </c>
    </row>
    <row r="119" spans="1:9" x14ac:dyDescent="0.2">
      <c r="A119" t="s">
        <v>282</v>
      </c>
      <c r="B119">
        <v>98</v>
      </c>
      <c r="C119">
        <v>51</v>
      </c>
      <c r="D119">
        <v>0</v>
      </c>
      <c r="E119">
        <v>-15</v>
      </c>
      <c r="F119">
        <v>1.7538861371576699E-2</v>
      </c>
      <c r="G119">
        <v>1</v>
      </c>
      <c r="H119">
        <v>1</v>
      </c>
      <c r="I119" t="s">
        <v>1292</v>
      </c>
    </row>
    <row r="120" spans="1:9" x14ac:dyDescent="0.2">
      <c r="A120" t="s">
        <v>284</v>
      </c>
      <c r="B120">
        <v>99</v>
      </c>
      <c r="C120">
        <v>52</v>
      </c>
      <c r="D120">
        <v>0</v>
      </c>
      <c r="E120">
        <v>-15</v>
      </c>
      <c r="F120">
        <v>1.7626495100557801E-2</v>
      </c>
      <c r="G120">
        <v>1</v>
      </c>
      <c r="H120">
        <v>1</v>
      </c>
      <c r="I120" t="s">
        <v>1292</v>
      </c>
    </row>
    <row r="121" spans="1:9" x14ac:dyDescent="0.2">
      <c r="A121" t="s">
        <v>286</v>
      </c>
      <c r="B121">
        <v>100</v>
      </c>
      <c r="C121">
        <v>52</v>
      </c>
      <c r="D121">
        <v>0</v>
      </c>
      <c r="E121">
        <v>-16</v>
      </c>
      <c r="F121">
        <v>1.77173810079693E-2</v>
      </c>
      <c r="G121">
        <v>1</v>
      </c>
      <c r="H121">
        <v>1</v>
      </c>
      <c r="I121" t="s">
        <v>1299</v>
      </c>
    </row>
    <row r="122" spans="1:9" x14ac:dyDescent="0.2">
      <c r="A122" t="s">
        <v>288</v>
      </c>
      <c r="B122">
        <v>101</v>
      </c>
      <c r="C122">
        <v>53</v>
      </c>
      <c r="D122">
        <v>0</v>
      </c>
      <c r="E122">
        <v>-15</v>
      </c>
      <c r="F122">
        <v>1.8302741460502099E-2</v>
      </c>
      <c r="G122">
        <v>1</v>
      </c>
      <c r="H122">
        <v>1</v>
      </c>
      <c r="I122" t="s">
        <v>1299</v>
      </c>
    </row>
    <row r="123" spans="1:9" x14ac:dyDescent="0.2">
      <c r="A123" t="s">
        <v>290</v>
      </c>
      <c r="B123">
        <v>102</v>
      </c>
      <c r="C123">
        <v>54</v>
      </c>
      <c r="D123">
        <v>0</v>
      </c>
      <c r="E123">
        <v>-15</v>
      </c>
      <c r="F123">
        <v>1.85994878411293E-2</v>
      </c>
      <c r="G123">
        <v>1</v>
      </c>
      <c r="H123">
        <v>1</v>
      </c>
      <c r="I123" t="s">
        <v>1299</v>
      </c>
    </row>
    <row r="124" spans="1:9" x14ac:dyDescent="0.2">
      <c r="A124" t="s">
        <v>292</v>
      </c>
      <c r="B124">
        <v>103</v>
      </c>
      <c r="C124">
        <v>34</v>
      </c>
      <c r="D124">
        <v>0</v>
      </c>
      <c r="E124">
        <v>-25</v>
      </c>
      <c r="F124">
        <v>1.6242790967226001E-2</v>
      </c>
      <c r="G124">
        <v>1</v>
      </c>
      <c r="H124">
        <v>1</v>
      </c>
      <c r="I124" t="s">
        <v>1300</v>
      </c>
    </row>
    <row r="125" spans="1:9" x14ac:dyDescent="0.2">
      <c r="A125" t="s">
        <v>294</v>
      </c>
      <c r="B125">
        <v>104</v>
      </c>
      <c r="C125">
        <v>28</v>
      </c>
      <c r="D125">
        <v>0</v>
      </c>
      <c r="E125">
        <v>-29</v>
      </c>
      <c r="F125">
        <v>1.5543721616268101E-2</v>
      </c>
      <c r="G125">
        <v>1</v>
      </c>
      <c r="H125">
        <v>1</v>
      </c>
      <c r="I125" t="s">
        <v>1301</v>
      </c>
    </row>
    <row r="126" spans="1:9" x14ac:dyDescent="0.2">
      <c r="A126" t="s">
        <v>296</v>
      </c>
      <c r="B126">
        <v>105</v>
      </c>
      <c r="C126">
        <v>54</v>
      </c>
      <c r="D126">
        <v>0</v>
      </c>
      <c r="E126">
        <v>-17</v>
      </c>
      <c r="F126">
        <v>1.9354322925209999E-2</v>
      </c>
      <c r="G126">
        <v>1</v>
      </c>
      <c r="H126">
        <v>1</v>
      </c>
      <c r="I126" t="s">
        <v>1302</v>
      </c>
    </row>
    <row r="127" spans="1:9" x14ac:dyDescent="0.2">
      <c r="A127" t="s">
        <v>298</v>
      </c>
      <c r="B127">
        <v>106</v>
      </c>
      <c r="C127">
        <v>44</v>
      </c>
      <c r="D127">
        <v>0</v>
      </c>
      <c r="E127">
        <v>-21</v>
      </c>
      <c r="F127">
        <v>1.8073662184178801E-2</v>
      </c>
      <c r="G127">
        <v>1</v>
      </c>
      <c r="H127">
        <v>1</v>
      </c>
      <c r="I127" t="s">
        <v>1296</v>
      </c>
    </row>
    <row r="128" spans="1:9" x14ac:dyDescent="0.2">
      <c r="A128" t="s">
        <v>300</v>
      </c>
      <c r="B128">
        <v>107</v>
      </c>
      <c r="C128">
        <v>45</v>
      </c>
      <c r="D128">
        <v>0</v>
      </c>
      <c r="E128">
        <v>-21</v>
      </c>
      <c r="F128">
        <v>1.8365900032222202E-2</v>
      </c>
      <c r="G128">
        <v>1</v>
      </c>
      <c r="H128">
        <v>1</v>
      </c>
      <c r="I128" t="s">
        <v>1296</v>
      </c>
    </row>
    <row r="129" spans="1:9" x14ac:dyDescent="0.2">
      <c r="A129" t="s">
        <v>302</v>
      </c>
      <c r="B129">
        <v>108</v>
      </c>
      <c r="C129">
        <v>55</v>
      </c>
      <c r="D129">
        <v>0</v>
      </c>
      <c r="E129">
        <v>-17</v>
      </c>
      <c r="F129">
        <v>1.98682490736246E-2</v>
      </c>
      <c r="G129">
        <v>1</v>
      </c>
      <c r="H129">
        <v>1</v>
      </c>
      <c r="I129" t="s">
        <v>1303</v>
      </c>
    </row>
    <row r="130" spans="1:9" x14ac:dyDescent="0.2">
      <c r="A130" t="s">
        <v>304</v>
      </c>
      <c r="B130">
        <v>109</v>
      </c>
      <c r="C130">
        <v>37</v>
      </c>
      <c r="D130">
        <v>0</v>
      </c>
      <c r="E130">
        <v>-25</v>
      </c>
      <c r="F130">
        <v>1.7577969469130001E-2</v>
      </c>
      <c r="G130">
        <v>1</v>
      </c>
      <c r="H130">
        <v>1</v>
      </c>
      <c r="I130" t="s">
        <v>1304</v>
      </c>
    </row>
    <row r="131" spans="1:9" x14ac:dyDescent="0.2">
      <c r="A131" t="s">
        <v>306</v>
      </c>
      <c r="B131">
        <v>110</v>
      </c>
      <c r="C131">
        <v>33</v>
      </c>
      <c r="D131">
        <v>0</v>
      </c>
      <c r="E131">
        <v>-28</v>
      </c>
      <c r="F131">
        <v>1.7184973694384001E-2</v>
      </c>
      <c r="G131">
        <v>1</v>
      </c>
      <c r="H131">
        <v>1</v>
      </c>
      <c r="I131" t="s">
        <v>1305</v>
      </c>
    </row>
    <row r="132" spans="1:9" x14ac:dyDescent="0.2">
      <c r="A132" t="s">
        <v>308</v>
      </c>
      <c r="B132">
        <v>111</v>
      </c>
      <c r="C132">
        <v>57</v>
      </c>
      <c r="D132">
        <v>0</v>
      </c>
      <c r="E132">
        <v>-17</v>
      </c>
      <c r="F132">
        <v>2.0714015699923E-2</v>
      </c>
      <c r="G132">
        <v>1</v>
      </c>
      <c r="H132">
        <v>1</v>
      </c>
      <c r="I132" t="s">
        <v>1306</v>
      </c>
    </row>
    <row r="133" spans="1:9" x14ac:dyDescent="0.2">
      <c r="A133" t="s">
        <v>310</v>
      </c>
      <c r="B133">
        <v>112</v>
      </c>
      <c r="C133">
        <v>36</v>
      </c>
      <c r="D133">
        <v>0</v>
      </c>
      <c r="E133">
        <v>-27</v>
      </c>
      <c r="F133">
        <v>1.7730879597365801E-2</v>
      </c>
      <c r="G133">
        <v>1</v>
      </c>
      <c r="H133">
        <v>1</v>
      </c>
      <c r="I133" t="s">
        <v>1301</v>
      </c>
    </row>
    <row r="134" spans="1:9" x14ac:dyDescent="0.2">
      <c r="A134" t="s">
        <v>312</v>
      </c>
      <c r="B134">
        <v>113</v>
      </c>
      <c r="C134">
        <v>26</v>
      </c>
      <c r="D134">
        <v>0</v>
      </c>
      <c r="E134">
        <v>-34</v>
      </c>
      <c r="F134">
        <v>1.6547358594834801E-2</v>
      </c>
      <c r="G134">
        <v>1</v>
      </c>
      <c r="H134">
        <v>1</v>
      </c>
      <c r="I134" t="s">
        <v>1307</v>
      </c>
    </row>
    <row r="135" spans="1:9" x14ac:dyDescent="0.2">
      <c r="A135" t="s">
        <v>314</v>
      </c>
      <c r="B135">
        <v>114</v>
      </c>
      <c r="C135">
        <v>27</v>
      </c>
      <c r="D135">
        <v>0</v>
      </c>
      <c r="E135">
        <v>-34</v>
      </c>
      <c r="F135">
        <v>1.6732166521251202E-2</v>
      </c>
      <c r="G135">
        <v>1</v>
      </c>
      <c r="H135">
        <v>1</v>
      </c>
      <c r="I135" t="s">
        <v>1307</v>
      </c>
    </row>
    <row r="136" spans="1:9" x14ac:dyDescent="0.2">
      <c r="A136" t="s">
        <v>316</v>
      </c>
      <c r="B136">
        <v>115</v>
      </c>
      <c r="C136">
        <v>29</v>
      </c>
      <c r="D136">
        <v>0</v>
      </c>
      <c r="E136">
        <v>-33</v>
      </c>
      <c r="F136">
        <v>1.6927372664213101E-2</v>
      </c>
      <c r="G136">
        <v>1</v>
      </c>
      <c r="H136">
        <v>1</v>
      </c>
      <c r="I136" t="s">
        <v>1308</v>
      </c>
    </row>
    <row r="137" spans="1:9" x14ac:dyDescent="0.2">
      <c r="A137" t="s">
        <v>318</v>
      </c>
      <c r="B137">
        <v>116</v>
      </c>
      <c r="C137">
        <v>28</v>
      </c>
      <c r="D137">
        <v>0</v>
      </c>
      <c r="E137">
        <v>-34</v>
      </c>
      <c r="F137">
        <v>1.7173005267977701E-2</v>
      </c>
      <c r="G137">
        <v>1</v>
      </c>
      <c r="H137">
        <v>1</v>
      </c>
      <c r="I137" t="s">
        <v>1309</v>
      </c>
    </row>
    <row r="138" spans="1:9" x14ac:dyDescent="0.2">
      <c r="A138" t="s">
        <v>320</v>
      </c>
      <c r="B138">
        <v>117</v>
      </c>
      <c r="C138">
        <v>29</v>
      </c>
      <c r="D138">
        <v>0</v>
      </c>
      <c r="E138">
        <v>-34</v>
      </c>
      <c r="F138">
        <v>1.72886122018098E-2</v>
      </c>
      <c r="G138">
        <v>1</v>
      </c>
      <c r="H138">
        <v>1</v>
      </c>
      <c r="I138" t="s">
        <v>1309</v>
      </c>
    </row>
    <row r="139" spans="1:9" x14ac:dyDescent="0.2">
      <c r="A139" t="s">
        <v>322</v>
      </c>
      <c r="B139">
        <v>118</v>
      </c>
      <c r="C139">
        <v>29</v>
      </c>
      <c r="D139">
        <v>0</v>
      </c>
      <c r="E139">
        <v>-35</v>
      </c>
      <c r="F139">
        <v>1.7581375315785401E-2</v>
      </c>
      <c r="G139">
        <v>1</v>
      </c>
      <c r="H139">
        <v>1</v>
      </c>
      <c r="I139" t="s">
        <v>1310</v>
      </c>
    </row>
    <row r="140" spans="1:9" x14ac:dyDescent="0.2">
      <c r="A140" t="s">
        <v>324</v>
      </c>
      <c r="B140">
        <v>119</v>
      </c>
      <c r="C140">
        <v>28</v>
      </c>
      <c r="D140">
        <v>0</v>
      </c>
      <c r="E140">
        <v>-36</v>
      </c>
      <c r="F140">
        <v>1.7562694847583701E-2</v>
      </c>
      <c r="G140">
        <v>1</v>
      </c>
      <c r="H140">
        <v>1</v>
      </c>
      <c r="I140" t="s">
        <v>1311</v>
      </c>
    </row>
    <row r="141" spans="1:9" x14ac:dyDescent="0.2">
      <c r="A141" t="s">
        <v>326</v>
      </c>
      <c r="B141">
        <v>120</v>
      </c>
      <c r="C141">
        <v>29</v>
      </c>
      <c r="D141">
        <v>0</v>
      </c>
      <c r="E141">
        <v>-36</v>
      </c>
      <c r="F141">
        <v>1.7834588885307302E-2</v>
      </c>
      <c r="G141">
        <v>1</v>
      </c>
      <c r="H141">
        <v>1</v>
      </c>
      <c r="I141" t="s">
        <v>1311</v>
      </c>
    </row>
    <row r="142" spans="1:9" x14ac:dyDescent="0.2">
      <c r="A142" t="s">
        <v>328</v>
      </c>
      <c r="B142">
        <v>121</v>
      </c>
      <c r="C142">
        <v>29</v>
      </c>
      <c r="D142">
        <v>0</v>
      </c>
      <c r="E142">
        <v>-37</v>
      </c>
      <c r="F142">
        <v>1.82856293395161E-2</v>
      </c>
      <c r="G142">
        <v>1</v>
      </c>
      <c r="H142">
        <v>1</v>
      </c>
      <c r="I142" t="s">
        <v>1312</v>
      </c>
    </row>
    <row r="143" spans="1:9" x14ac:dyDescent="0.2">
      <c r="A143" t="s">
        <v>330</v>
      </c>
      <c r="B143">
        <v>122</v>
      </c>
      <c r="C143">
        <v>47</v>
      </c>
      <c r="D143">
        <v>0</v>
      </c>
      <c r="E143">
        <v>-25</v>
      </c>
      <c r="F143">
        <v>2.1456159651279401E-2</v>
      </c>
      <c r="G143">
        <v>1</v>
      </c>
      <c r="H143">
        <v>1</v>
      </c>
      <c r="I143" t="s">
        <v>1313</v>
      </c>
    </row>
    <row r="144" spans="1:9" x14ac:dyDescent="0.2">
      <c r="A144" t="s">
        <v>332</v>
      </c>
      <c r="B144">
        <v>123</v>
      </c>
      <c r="C144">
        <v>48</v>
      </c>
      <c r="D144">
        <v>0</v>
      </c>
      <c r="E144">
        <v>-25</v>
      </c>
      <c r="F144">
        <v>2.18907976523041E-2</v>
      </c>
      <c r="G144">
        <v>1</v>
      </c>
      <c r="H144">
        <v>1</v>
      </c>
      <c r="I144" t="s">
        <v>1313</v>
      </c>
    </row>
    <row r="145" spans="1:9" x14ac:dyDescent="0.2">
      <c r="A145" t="s">
        <v>334</v>
      </c>
      <c r="B145">
        <v>124</v>
      </c>
      <c r="C145">
        <v>49</v>
      </c>
      <c r="D145">
        <v>0</v>
      </c>
      <c r="E145">
        <v>-25</v>
      </c>
      <c r="F145">
        <v>2.2199383005499802E-2</v>
      </c>
      <c r="G145">
        <v>1</v>
      </c>
      <c r="H145">
        <v>1</v>
      </c>
      <c r="I145" t="s">
        <v>1313</v>
      </c>
    </row>
    <row r="146" spans="1:9" x14ac:dyDescent="0.2">
      <c r="A146" t="s">
        <v>336</v>
      </c>
      <c r="B146">
        <v>125</v>
      </c>
      <c r="C146">
        <v>50</v>
      </c>
      <c r="D146">
        <v>0</v>
      </c>
      <c r="E146">
        <v>-25</v>
      </c>
      <c r="F146">
        <v>2.2455048747360699E-2</v>
      </c>
      <c r="G146">
        <v>1</v>
      </c>
      <c r="H146">
        <v>1</v>
      </c>
      <c r="I146" t="s">
        <v>1313</v>
      </c>
    </row>
    <row r="147" spans="1:9" x14ac:dyDescent="0.2">
      <c r="A147" t="s">
        <v>338</v>
      </c>
      <c r="B147">
        <v>126</v>
      </c>
      <c r="C147">
        <v>50</v>
      </c>
      <c r="D147">
        <v>0</v>
      </c>
      <c r="E147">
        <v>-26</v>
      </c>
      <c r="F147">
        <v>2.2778099402785301E-2</v>
      </c>
      <c r="G147">
        <v>1</v>
      </c>
      <c r="H147">
        <v>1</v>
      </c>
      <c r="I147" t="s">
        <v>1301</v>
      </c>
    </row>
    <row r="148" spans="1:9" x14ac:dyDescent="0.2">
      <c r="A148" t="s">
        <v>340</v>
      </c>
      <c r="B148">
        <v>127</v>
      </c>
      <c r="C148">
        <v>30</v>
      </c>
      <c r="D148">
        <v>0</v>
      </c>
      <c r="E148">
        <v>-37</v>
      </c>
      <c r="F148">
        <v>1.9434726797044201E-2</v>
      </c>
      <c r="G148">
        <v>1</v>
      </c>
      <c r="H148">
        <v>1</v>
      </c>
      <c r="I148" t="s">
        <v>1314</v>
      </c>
    </row>
    <row r="149" spans="1:9" x14ac:dyDescent="0.2">
      <c r="A149" t="s">
        <v>342</v>
      </c>
      <c r="B149">
        <v>128</v>
      </c>
      <c r="C149">
        <v>44</v>
      </c>
      <c r="D149">
        <v>0</v>
      </c>
      <c r="E149">
        <v>-29</v>
      </c>
      <c r="F149">
        <v>2.22252309322357E-2</v>
      </c>
      <c r="G149">
        <v>1</v>
      </c>
      <c r="H149">
        <v>1</v>
      </c>
      <c r="I149" t="s">
        <v>1315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0F65-B8CD-9B47-B167-6C9F071F03B6}">
  <dimension ref="A1:I151"/>
  <sheetViews>
    <sheetView workbookViewId="0">
      <selection activeCell="E32" sqref="E32"/>
    </sheetView>
  </sheetViews>
  <sheetFormatPr baseColWidth="10" defaultColWidth="11" defaultRowHeight="16" x14ac:dyDescent="0.2"/>
  <sheetData>
    <row r="1" spans="1:1" x14ac:dyDescent="0.2">
      <c r="A1" t="s">
        <v>70</v>
      </c>
    </row>
    <row r="2" spans="1:1" x14ac:dyDescent="0.2">
      <c r="A2" t="s">
        <v>71</v>
      </c>
    </row>
    <row r="3" spans="1:1" x14ac:dyDescent="0.2">
      <c r="A3" t="s">
        <v>73</v>
      </c>
    </row>
    <row r="4" spans="1:1" x14ac:dyDescent="0.2">
      <c r="A4" s="21" t="s">
        <v>74</v>
      </c>
    </row>
    <row r="5" spans="1:1" x14ac:dyDescent="0.2">
      <c r="A5" s="21" t="s">
        <v>441</v>
      </c>
    </row>
    <row r="6" spans="1:1" x14ac:dyDescent="0.2">
      <c r="A6" t="s">
        <v>76</v>
      </c>
    </row>
    <row r="7" spans="1:1" x14ac:dyDescent="0.2">
      <c r="A7" t="s">
        <v>77</v>
      </c>
    </row>
    <row r="8" spans="1:1" x14ac:dyDescent="0.2">
      <c r="A8" s="21" t="s">
        <v>78</v>
      </c>
    </row>
    <row r="9" spans="1:1" x14ac:dyDescent="0.2">
      <c r="A9" t="s">
        <v>79</v>
      </c>
    </row>
    <row r="10" spans="1:1" x14ac:dyDescent="0.2">
      <c r="A10" t="s">
        <v>80</v>
      </c>
    </row>
    <row r="11" spans="1:1" x14ac:dyDescent="0.2">
      <c r="A11" t="s">
        <v>81</v>
      </c>
    </row>
    <row r="12" spans="1:1" x14ac:dyDescent="0.2">
      <c r="A12" t="s">
        <v>82</v>
      </c>
    </row>
    <row r="13" spans="1:1" x14ac:dyDescent="0.2">
      <c r="A13" t="s">
        <v>83</v>
      </c>
    </row>
    <row r="14" spans="1:1" x14ac:dyDescent="0.2">
      <c r="A14" t="s">
        <v>84</v>
      </c>
    </row>
    <row r="15" spans="1:1" x14ac:dyDescent="0.2">
      <c r="A15" t="s">
        <v>85</v>
      </c>
    </row>
    <row r="16" spans="1:1" x14ac:dyDescent="0.2">
      <c r="A16" t="s">
        <v>86</v>
      </c>
    </row>
    <row r="17" spans="1:9" x14ac:dyDescent="0.2">
      <c r="A17" t="s">
        <v>87</v>
      </c>
    </row>
    <row r="18" spans="1:9" x14ac:dyDescent="0.2">
      <c r="A18" t="s">
        <v>346</v>
      </c>
    </row>
    <row r="19" spans="1:9" x14ac:dyDescent="0.2">
      <c r="A19" t="s">
        <v>89</v>
      </c>
    </row>
    <row r="20" spans="1:9" x14ac:dyDescent="0.2">
      <c r="A20" t="s">
        <v>92</v>
      </c>
    </row>
    <row r="21" spans="1:9" x14ac:dyDescent="0.2">
      <c r="A21" t="s">
        <v>442</v>
      </c>
    </row>
    <row r="22" spans="1:9" x14ac:dyDescent="0.2">
      <c r="A22" t="s">
        <v>93</v>
      </c>
    </row>
    <row r="23" spans="1:9" x14ac:dyDescent="0.2">
      <c r="A23" t="s">
        <v>443</v>
      </c>
    </row>
    <row r="24" spans="1:9" x14ac:dyDescent="0.2">
      <c r="A24" t="s">
        <v>444</v>
      </c>
    </row>
    <row r="25" spans="1:9" x14ac:dyDescent="0.2">
      <c r="A25" t="s">
        <v>445</v>
      </c>
    </row>
    <row r="26" spans="1:9" x14ac:dyDescent="0.2">
      <c r="A26" t="s">
        <v>446</v>
      </c>
    </row>
    <row r="27" spans="1:9" x14ac:dyDescent="0.2">
      <c r="A27" t="s">
        <v>447</v>
      </c>
    </row>
    <row r="28" spans="1:9" x14ac:dyDescent="0.2">
      <c r="A28" t="s">
        <v>448</v>
      </c>
    </row>
    <row r="29" spans="1:9" x14ac:dyDescent="0.2">
      <c r="A29" t="s">
        <v>95</v>
      </c>
    </row>
    <row r="30" spans="1:9" x14ac:dyDescent="0.2">
      <c r="A30" t="s">
        <v>96</v>
      </c>
      <c r="B30" t="s">
        <v>61</v>
      </c>
      <c r="C30" t="s">
        <v>97</v>
      </c>
      <c r="D30" t="s">
        <v>98</v>
      </c>
      <c r="E30" t="s">
        <v>99</v>
      </c>
      <c r="F30" t="s">
        <v>100</v>
      </c>
      <c r="G30" t="s">
        <v>58</v>
      </c>
      <c r="H30" t="s">
        <v>59</v>
      </c>
      <c r="I30" t="s">
        <v>101</v>
      </c>
    </row>
    <row r="31" spans="1:9" x14ac:dyDescent="0.2">
      <c r="A31" t="s">
        <v>102</v>
      </c>
      <c r="B31">
        <v>5</v>
      </c>
      <c r="C31">
        <v>3</v>
      </c>
      <c r="D31">
        <v>2</v>
      </c>
      <c r="E31">
        <v>0</v>
      </c>
      <c r="F31">
        <v>6.4833279289305201</v>
      </c>
      <c r="G31">
        <v>10000</v>
      </c>
      <c r="H31">
        <v>10000</v>
      </c>
      <c r="I31" t="s">
        <v>449</v>
      </c>
    </row>
    <row r="32" spans="1:9" x14ac:dyDescent="0.2">
      <c r="A32" t="s">
        <v>104</v>
      </c>
      <c r="B32">
        <v>6</v>
      </c>
      <c r="C32">
        <v>3</v>
      </c>
      <c r="D32">
        <v>3</v>
      </c>
      <c r="E32">
        <v>0</v>
      </c>
      <c r="F32">
        <v>7.2771866242401302</v>
      </c>
      <c r="G32">
        <v>9162</v>
      </c>
      <c r="H32">
        <v>10000</v>
      </c>
      <c r="I32" t="s">
        <v>450</v>
      </c>
    </row>
    <row r="33" spans="1:9" x14ac:dyDescent="0.2">
      <c r="A33" t="s">
        <v>106</v>
      </c>
      <c r="B33">
        <v>7</v>
      </c>
      <c r="C33">
        <v>3</v>
      </c>
      <c r="D33">
        <v>4</v>
      </c>
      <c r="E33">
        <v>0</v>
      </c>
      <c r="F33">
        <v>7.3759420458227396</v>
      </c>
      <c r="G33">
        <v>10000</v>
      </c>
      <c r="H33">
        <v>10000</v>
      </c>
      <c r="I33" t="s">
        <v>451</v>
      </c>
    </row>
    <row r="34" spans="1:9" x14ac:dyDescent="0.2">
      <c r="A34" t="s">
        <v>108</v>
      </c>
      <c r="B34">
        <v>8</v>
      </c>
      <c r="C34">
        <v>3</v>
      </c>
      <c r="D34">
        <v>4</v>
      </c>
      <c r="E34">
        <v>0</v>
      </c>
      <c r="F34">
        <v>7.5209122281521497</v>
      </c>
      <c r="G34">
        <v>10000</v>
      </c>
      <c r="H34">
        <v>10000</v>
      </c>
      <c r="I34" t="s">
        <v>451</v>
      </c>
    </row>
    <row r="35" spans="1:9" x14ac:dyDescent="0.2">
      <c r="A35" t="s">
        <v>110</v>
      </c>
      <c r="B35">
        <v>9</v>
      </c>
      <c r="C35">
        <v>5</v>
      </c>
      <c r="D35">
        <v>3</v>
      </c>
      <c r="E35">
        <v>0</v>
      </c>
      <c r="F35">
        <v>8.1291472888551599</v>
      </c>
      <c r="G35">
        <v>5776</v>
      </c>
      <c r="H35">
        <v>10000</v>
      </c>
      <c r="I35" t="s">
        <v>452</v>
      </c>
    </row>
    <row r="36" spans="1:9" x14ac:dyDescent="0.2">
      <c r="A36" t="s">
        <v>112</v>
      </c>
      <c r="B36">
        <v>10</v>
      </c>
      <c r="C36">
        <v>3</v>
      </c>
      <c r="D36">
        <v>5</v>
      </c>
      <c r="E36">
        <v>0</v>
      </c>
      <c r="F36">
        <v>7.9550361069850597</v>
      </c>
      <c r="G36">
        <v>7508</v>
      </c>
      <c r="H36">
        <v>10000</v>
      </c>
      <c r="I36" t="s">
        <v>453</v>
      </c>
    </row>
    <row r="37" spans="1:9" x14ac:dyDescent="0.2">
      <c r="A37" t="s">
        <v>114</v>
      </c>
      <c r="B37">
        <v>11</v>
      </c>
      <c r="C37">
        <v>3</v>
      </c>
      <c r="D37">
        <v>6</v>
      </c>
      <c r="E37">
        <v>0</v>
      </c>
      <c r="F37">
        <v>9.0207998813129908</v>
      </c>
      <c r="G37">
        <v>9135</v>
      </c>
      <c r="H37">
        <v>10000</v>
      </c>
      <c r="I37" t="s">
        <v>454</v>
      </c>
    </row>
    <row r="38" spans="1:9" x14ac:dyDescent="0.2">
      <c r="A38" t="s">
        <v>116</v>
      </c>
      <c r="B38">
        <v>12</v>
      </c>
      <c r="C38">
        <v>3</v>
      </c>
      <c r="D38">
        <v>6</v>
      </c>
      <c r="E38">
        <v>0</v>
      </c>
      <c r="F38">
        <v>9.5371500039473105</v>
      </c>
      <c r="G38">
        <v>10000</v>
      </c>
      <c r="H38">
        <v>10000</v>
      </c>
      <c r="I38" t="s">
        <v>455</v>
      </c>
    </row>
    <row r="39" spans="1:9" x14ac:dyDescent="0.2">
      <c r="A39" t="s">
        <v>118</v>
      </c>
      <c r="B39">
        <v>13</v>
      </c>
      <c r="C39">
        <v>5</v>
      </c>
      <c r="D39">
        <v>5</v>
      </c>
      <c r="E39">
        <v>0</v>
      </c>
      <c r="F39">
        <v>11.493891556747201</v>
      </c>
      <c r="G39">
        <v>9226</v>
      </c>
      <c r="H39">
        <v>10000</v>
      </c>
      <c r="I39" t="s">
        <v>456</v>
      </c>
    </row>
    <row r="40" spans="1:9" x14ac:dyDescent="0.2">
      <c r="A40" t="s">
        <v>120</v>
      </c>
      <c r="B40">
        <v>14</v>
      </c>
      <c r="C40">
        <v>6</v>
      </c>
      <c r="D40">
        <v>5</v>
      </c>
      <c r="E40">
        <v>0</v>
      </c>
      <c r="F40">
        <v>12.2365568582899</v>
      </c>
      <c r="G40">
        <v>9640</v>
      </c>
      <c r="H40">
        <v>10000</v>
      </c>
      <c r="I40" t="s">
        <v>457</v>
      </c>
    </row>
    <row r="41" spans="1:9" x14ac:dyDescent="0.2">
      <c r="A41" t="s">
        <v>122</v>
      </c>
      <c r="B41">
        <v>15</v>
      </c>
      <c r="C41">
        <v>7</v>
      </c>
      <c r="D41">
        <v>5</v>
      </c>
      <c r="E41">
        <v>0</v>
      </c>
      <c r="F41">
        <v>12.992287236731499</v>
      </c>
      <c r="G41">
        <v>9144</v>
      </c>
      <c r="H41">
        <v>10000</v>
      </c>
      <c r="I41" t="s">
        <v>458</v>
      </c>
    </row>
    <row r="42" spans="1:9" x14ac:dyDescent="0.2">
      <c r="A42" t="s">
        <v>124</v>
      </c>
      <c r="B42">
        <v>16</v>
      </c>
      <c r="C42">
        <v>8</v>
      </c>
      <c r="D42">
        <v>5</v>
      </c>
      <c r="E42">
        <v>0</v>
      </c>
      <c r="F42">
        <v>13.804997266270201</v>
      </c>
      <c r="G42">
        <v>9320</v>
      </c>
      <c r="H42">
        <v>10000</v>
      </c>
      <c r="I42" t="s">
        <v>459</v>
      </c>
    </row>
    <row r="43" spans="1:9" x14ac:dyDescent="0.2">
      <c r="A43" t="s">
        <v>126</v>
      </c>
      <c r="B43">
        <v>20</v>
      </c>
      <c r="C43">
        <v>5</v>
      </c>
      <c r="D43">
        <v>9</v>
      </c>
      <c r="E43">
        <v>0</v>
      </c>
      <c r="F43">
        <v>14.618239207658901</v>
      </c>
      <c r="G43">
        <v>8983</v>
      </c>
      <c r="H43">
        <v>10000</v>
      </c>
      <c r="I43" t="s">
        <v>460</v>
      </c>
    </row>
    <row r="44" spans="1:9" x14ac:dyDescent="0.2">
      <c r="A44" t="s">
        <v>128</v>
      </c>
      <c r="B44">
        <v>21</v>
      </c>
      <c r="C44">
        <v>5</v>
      </c>
      <c r="D44">
        <v>10</v>
      </c>
      <c r="E44">
        <v>0</v>
      </c>
      <c r="F44">
        <v>15.7782723391428</v>
      </c>
      <c r="G44">
        <v>10000</v>
      </c>
      <c r="H44">
        <v>10000</v>
      </c>
      <c r="I44" t="s">
        <v>461</v>
      </c>
    </row>
    <row r="45" spans="1:9" x14ac:dyDescent="0.2">
      <c r="A45" t="s">
        <v>130</v>
      </c>
      <c r="B45">
        <v>22</v>
      </c>
      <c r="C45">
        <v>6</v>
      </c>
      <c r="D45">
        <v>9</v>
      </c>
      <c r="E45">
        <v>0</v>
      </c>
      <c r="F45">
        <v>16.696560584008601</v>
      </c>
      <c r="G45">
        <v>8654</v>
      </c>
      <c r="H45">
        <v>10000</v>
      </c>
      <c r="I45" t="s">
        <v>462</v>
      </c>
    </row>
    <row r="46" spans="1:9" x14ac:dyDescent="0.2">
      <c r="A46" t="s">
        <v>132</v>
      </c>
      <c r="B46">
        <v>23</v>
      </c>
      <c r="C46">
        <v>7</v>
      </c>
      <c r="D46">
        <v>9</v>
      </c>
      <c r="E46">
        <v>0</v>
      </c>
      <c r="F46">
        <v>18.066920542158101</v>
      </c>
      <c r="G46">
        <v>9295</v>
      </c>
      <c r="H46">
        <v>10000</v>
      </c>
      <c r="I46" t="s">
        <v>463</v>
      </c>
    </row>
    <row r="47" spans="1:9" x14ac:dyDescent="0.2">
      <c r="A47" t="s">
        <v>134</v>
      </c>
      <c r="B47">
        <v>24</v>
      </c>
      <c r="C47">
        <v>3</v>
      </c>
      <c r="D47">
        <v>13</v>
      </c>
      <c r="E47">
        <v>0</v>
      </c>
      <c r="F47">
        <v>11.625775606837101</v>
      </c>
      <c r="G47">
        <v>7640</v>
      </c>
      <c r="H47">
        <v>10000</v>
      </c>
      <c r="I47" t="s">
        <v>464</v>
      </c>
    </row>
    <row r="48" spans="1:9" x14ac:dyDescent="0.2">
      <c r="A48" t="s">
        <v>136</v>
      </c>
      <c r="B48">
        <v>25</v>
      </c>
      <c r="C48">
        <v>15</v>
      </c>
      <c r="D48">
        <v>5</v>
      </c>
      <c r="E48">
        <v>0</v>
      </c>
      <c r="F48">
        <v>20.619553651195002</v>
      </c>
      <c r="G48">
        <v>9342</v>
      </c>
      <c r="H48">
        <v>10000</v>
      </c>
      <c r="I48" t="s">
        <v>465</v>
      </c>
    </row>
    <row r="49" spans="1:9" x14ac:dyDescent="0.2">
      <c r="A49" t="s">
        <v>138</v>
      </c>
      <c r="B49">
        <v>26</v>
      </c>
      <c r="C49">
        <v>9</v>
      </c>
      <c r="D49">
        <v>9</v>
      </c>
      <c r="E49">
        <v>0</v>
      </c>
      <c r="F49">
        <v>21.589758187998001</v>
      </c>
      <c r="G49">
        <v>9509</v>
      </c>
      <c r="H49">
        <v>10000</v>
      </c>
      <c r="I49" t="s">
        <v>466</v>
      </c>
    </row>
    <row r="50" spans="1:9" x14ac:dyDescent="0.2">
      <c r="A50" t="s">
        <v>140</v>
      </c>
      <c r="B50">
        <v>27</v>
      </c>
      <c r="C50">
        <v>10</v>
      </c>
      <c r="D50">
        <v>9</v>
      </c>
      <c r="E50">
        <v>0</v>
      </c>
      <c r="F50">
        <v>20.310124023817401</v>
      </c>
      <c r="G50">
        <v>8099</v>
      </c>
      <c r="H50">
        <v>10000</v>
      </c>
      <c r="I50" t="s">
        <v>467</v>
      </c>
    </row>
    <row r="51" spans="1:9" x14ac:dyDescent="0.2">
      <c r="A51" t="s">
        <v>142</v>
      </c>
      <c r="B51">
        <v>28</v>
      </c>
      <c r="C51">
        <v>18</v>
      </c>
      <c r="D51">
        <v>5</v>
      </c>
      <c r="E51">
        <v>0</v>
      </c>
      <c r="F51">
        <v>23.7912288880907</v>
      </c>
      <c r="G51">
        <v>9663</v>
      </c>
      <c r="H51">
        <v>10000</v>
      </c>
      <c r="I51" t="s">
        <v>468</v>
      </c>
    </row>
    <row r="52" spans="1:9" x14ac:dyDescent="0.2">
      <c r="A52" t="s">
        <v>144</v>
      </c>
      <c r="B52">
        <v>29</v>
      </c>
      <c r="C52">
        <v>6</v>
      </c>
      <c r="D52">
        <v>13</v>
      </c>
      <c r="E52">
        <v>0</v>
      </c>
      <c r="F52">
        <v>13.2842962509021</v>
      </c>
      <c r="G52">
        <v>4845</v>
      </c>
      <c r="H52">
        <v>10000</v>
      </c>
      <c r="I52" t="s">
        <v>469</v>
      </c>
    </row>
    <row r="53" spans="1:9" x14ac:dyDescent="0.2">
      <c r="A53" t="s">
        <v>146</v>
      </c>
      <c r="B53">
        <v>30</v>
      </c>
      <c r="C53">
        <v>6</v>
      </c>
      <c r="D53">
        <v>14</v>
      </c>
      <c r="E53">
        <v>0</v>
      </c>
      <c r="F53">
        <v>12.3298465888947</v>
      </c>
      <c r="G53">
        <v>7023</v>
      </c>
      <c r="H53">
        <v>10000</v>
      </c>
      <c r="I53" t="s">
        <v>470</v>
      </c>
    </row>
    <row r="54" spans="1:9" x14ac:dyDescent="0.2">
      <c r="A54" t="s">
        <v>148</v>
      </c>
      <c r="B54">
        <v>31</v>
      </c>
      <c r="C54">
        <v>3</v>
      </c>
      <c r="D54">
        <v>17</v>
      </c>
      <c r="E54">
        <v>0</v>
      </c>
      <c r="F54">
        <v>13.088288551196399</v>
      </c>
      <c r="G54">
        <v>7805</v>
      </c>
      <c r="H54">
        <v>10000</v>
      </c>
      <c r="I54" t="s">
        <v>471</v>
      </c>
    </row>
    <row r="55" spans="1:9" x14ac:dyDescent="0.2">
      <c r="A55" t="s">
        <v>150</v>
      </c>
      <c r="B55">
        <v>32</v>
      </c>
      <c r="C55">
        <v>8</v>
      </c>
      <c r="D55">
        <v>13</v>
      </c>
      <c r="E55">
        <v>0</v>
      </c>
      <c r="F55">
        <v>16.253695971798098</v>
      </c>
      <c r="G55">
        <v>9573</v>
      </c>
      <c r="H55">
        <v>10000</v>
      </c>
      <c r="I55" t="s">
        <v>472</v>
      </c>
    </row>
    <row r="56" spans="1:9" x14ac:dyDescent="0.2">
      <c r="A56" t="s">
        <v>152</v>
      </c>
      <c r="B56">
        <v>33</v>
      </c>
      <c r="C56">
        <v>18</v>
      </c>
      <c r="D56">
        <v>7</v>
      </c>
      <c r="E56">
        <v>0</v>
      </c>
      <c r="F56">
        <v>30.446135945152399</v>
      </c>
      <c r="G56">
        <v>6728</v>
      </c>
      <c r="H56">
        <v>10000</v>
      </c>
      <c r="I56" t="s">
        <v>473</v>
      </c>
    </row>
    <row r="57" spans="1:9" x14ac:dyDescent="0.2">
      <c r="A57" t="s">
        <v>154</v>
      </c>
      <c r="B57">
        <v>34</v>
      </c>
      <c r="C57">
        <v>4</v>
      </c>
      <c r="D57">
        <v>17</v>
      </c>
      <c r="E57">
        <v>0</v>
      </c>
      <c r="F57">
        <v>15.771324325818499</v>
      </c>
      <c r="G57">
        <v>8971</v>
      </c>
      <c r="H57">
        <v>10000</v>
      </c>
      <c r="I57" t="s">
        <v>474</v>
      </c>
    </row>
    <row r="58" spans="1:9" x14ac:dyDescent="0.2">
      <c r="A58" t="s">
        <v>156</v>
      </c>
      <c r="B58">
        <v>35</v>
      </c>
      <c r="C58">
        <v>20</v>
      </c>
      <c r="D58">
        <v>7</v>
      </c>
      <c r="E58">
        <v>0</v>
      </c>
      <c r="F58">
        <v>31.907671723049098</v>
      </c>
      <c r="G58">
        <v>8716</v>
      </c>
      <c r="H58">
        <v>10000</v>
      </c>
      <c r="I58" t="s">
        <v>475</v>
      </c>
    </row>
    <row r="59" spans="1:9" x14ac:dyDescent="0.2">
      <c r="A59" t="s">
        <v>158</v>
      </c>
      <c r="B59">
        <v>36</v>
      </c>
      <c r="C59">
        <v>5</v>
      </c>
      <c r="D59">
        <v>17</v>
      </c>
      <c r="E59">
        <v>0</v>
      </c>
      <c r="F59">
        <v>16.0890542482957</v>
      </c>
      <c r="G59">
        <v>9137</v>
      </c>
      <c r="H59">
        <v>10000</v>
      </c>
      <c r="I59" t="s">
        <v>476</v>
      </c>
    </row>
    <row r="60" spans="1:9" x14ac:dyDescent="0.2">
      <c r="A60" t="s">
        <v>160</v>
      </c>
      <c r="B60">
        <v>37</v>
      </c>
      <c r="C60">
        <v>6</v>
      </c>
      <c r="D60">
        <v>17</v>
      </c>
      <c r="E60">
        <v>0</v>
      </c>
      <c r="F60">
        <v>17.3349683349952</v>
      </c>
      <c r="G60">
        <v>8069</v>
      </c>
      <c r="H60">
        <v>10000</v>
      </c>
      <c r="I60" t="s">
        <v>477</v>
      </c>
    </row>
    <row r="61" spans="1:9" x14ac:dyDescent="0.2">
      <c r="A61" t="s">
        <v>162</v>
      </c>
      <c r="B61">
        <v>38</v>
      </c>
      <c r="C61">
        <v>3</v>
      </c>
      <c r="D61">
        <v>21</v>
      </c>
      <c r="E61">
        <v>0</v>
      </c>
      <c r="F61">
        <v>14.719284466002099</v>
      </c>
      <c r="G61">
        <v>7755</v>
      </c>
      <c r="H61">
        <v>10000</v>
      </c>
      <c r="I61" t="s">
        <v>478</v>
      </c>
    </row>
    <row r="62" spans="1:9" x14ac:dyDescent="0.2">
      <c r="A62" t="s">
        <v>164</v>
      </c>
      <c r="B62">
        <v>39</v>
      </c>
      <c r="C62">
        <v>7</v>
      </c>
      <c r="D62">
        <v>17</v>
      </c>
      <c r="E62">
        <v>0</v>
      </c>
      <c r="F62">
        <v>15.9115583449602</v>
      </c>
      <c r="G62">
        <v>9284</v>
      </c>
      <c r="H62">
        <v>10000</v>
      </c>
      <c r="I62" t="s">
        <v>479</v>
      </c>
    </row>
    <row r="63" spans="1:9" x14ac:dyDescent="0.2">
      <c r="A63" t="s">
        <v>166</v>
      </c>
      <c r="B63">
        <v>40</v>
      </c>
      <c r="C63">
        <v>13</v>
      </c>
      <c r="D63">
        <v>13</v>
      </c>
      <c r="E63">
        <v>0</v>
      </c>
      <c r="F63">
        <v>26.210128308739499</v>
      </c>
      <c r="G63">
        <v>9131</v>
      </c>
      <c r="H63">
        <v>10000</v>
      </c>
      <c r="I63" t="s">
        <v>480</v>
      </c>
    </row>
    <row r="64" spans="1:9" x14ac:dyDescent="0.2">
      <c r="A64" t="s">
        <v>168</v>
      </c>
      <c r="B64">
        <v>41</v>
      </c>
      <c r="C64">
        <v>8</v>
      </c>
      <c r="D64">
        <v>17</v>
      </c>
      <c r="E64">
        <v>0</v>
      </c>
      <c r="F64">
        <v>18.650725627318</v>
      </c>
      <c r="G64">
        <v>9017</v>
      </c>
      <c r="H64">
        <v>10000</v>
      </c>
      <c r="I64" t="s">
        <v>481</v>
      </c>
    </row>
    <row r="65" spans="1:9" x14ac:dyDescent="0.2">
      <c r="A65" t="s">
        <v>170</v>
      </c>
      <c r="B65">
        <v>42</v>
      </c>
      <c r="C65">
        <v>9</v>
      </c>
      <c r="D65">
        <v>17</v>
      </c>
      <c r="E65">
        <v>0</v>
      </c>
      <c r="F65">
        <v>17.695171457715301</v>
      </c>
      <c r="G65">
        <v>9294</v>
      </c>
      <c r="H65">
        <v>10000</v>
      </c>
      <c r="I65" t="s">
        <v>482</v>
      </c>
    </row>
    <row r="66" spans="1:9" x14ac:dyDescent="0.2">
      <c r="A66" t="s">
        <v>172</v>
      </c>
      <c r="B66">
        <v>43</v>
      </c>
      <c r="C66">
        <v>22</v>
      </c>
      <c r="D66">
        <v>9</v>
      </c>
      <c r="E66">
        <v>0</v>
      </c>
      <c r="F66">
        <v>44.409117386210703</v>
      </c>
      <c r="G66">
        <v>6612</v>
      </c>
      <c r="H66">
        <v>10000</v>
      </c>
      <c r="I66" t="s">
        <v>483</v>
      </c>
    </row>
    <row r="67" spans="1:9" x14ac:dyDescent="0.2">
      <c r="A67" t="s">
        <v>174</v>
      </c>
      <c r="B67">
        <v>44</v>
      </c>
      <c r="C67">
        <v>23</v>
      </c>
      <c r="D67">
        <v>9</v>
      </c>
      <c r="E67">
        <v>0</v>
      </c>
      <c r="F67">
        <v>46.732748643029403</v>
      </c>
      <c r="G67">
        <v>6951</v>
      </c>
      <c r="H67">
        <v>10000</v>
      </c>
      <c r="I67" t="s">
        <v>484</v>
      </c>
    </row>
    <row r="68" spans="1:9" x14ac:dyDescent="0.2">
      <c r="A68" t="s">
        <v>176</v>
      </c>
      <c r="B68">
        <v>45</v>
      </c>
      <c r="C68">
        <v>24</v>
      </c>
      <c r="D68">
        <v>9</v>
      </c>
      <c r="E68">
        <v>0</v>
      </c>
      <c r="F68">
        <v>41.025426494888897</v>
      </c>
      <c r="G68">
        <v>6306</v>
      </c>
      <c r="H68">
        <v>10000</v>
      </c>
      <c r="I68" t="s">
        <v>485</v>
      </c>
    </row>
    <row r="69" spans="1:9" x14ac:dyDescent="0.2">
      <c r="A69" t="s">
        <v>178</v>
      </c>
      <c r="B69">
        <v>46</v>
      </c>
      <c r="C69">
        <v>15</v>
      </c>
      <c r="D69">
        <v>15</v>
      </c>
      <c r="E69">
        <v>0</v>
      </c>
      <c r="F69">
        <v>20.330271241720698</v>
      </c>
      <c r="G69">
        <v>8339</v>
      </c>
      <c r="H69">
        <v>10000</v>
      </c>
      <c r="I69" t="s">
        <v>486</v>
      </c>
    </row>
    <row r="70" spans="1:9" x14ac:dyDescent="0.2">
      <c r="A70" t="s">
        <v>180</v>
      </c>
      <c r="B70">
        <v>47</v>
      </c>
      <c r="C70">
        <v>25</v>
      </c>
      <c r="D70">
        <v>9</v>
      </c>
      <c r="E70">
        <v>0</v>
      </c>
      <c r="F70">
        <v>45.167027677409301</v>
      </c>
      <c r="G70">
        <v>6338</v>
      </c>
      <c r="H70">
        <v>10000</v>
      </c>
      <c r="I70" t="s">
        <v>487</v>
      </c>
    </row>
    <row r="71" spans="1:9" x14ac:dyDescent="0.2">
      <c r="A71" t="s">
        <v>182</v>
      </c>
      <c r="B71">
        <v>48</v>
      </c>
      <c r="C71">
        <v>26</v>
      </c>
      <c r="D71">
        <v>9</v>
      </c>
      <c r="E71">
        <v>0</v>
      </c>
      <c r="F71">
        <v>48.990309924818497</v>
      </c>
      <c r="G71">
        <v>7277</v>
      </c>
      <c r="H71">
        <v>10000</v>
      </c>
      <c r="I71" t="s">
        <v>488</v>
      </c>
    </row>
    <row r="72" spans="1:9" x14ac:dyDescent="0.2">
      <c r="A72" t="s">
        <v>184</v>
      </c>
      <c r="B72">
        <v>49</v>
      </c>
      <c r="C72">
        <v>4</v>
      </c>
      <c r="D72">
        <v>25</v>
      </c>
      <c r="E72">
        <v>0</v>
      </c>
      <c r="F72">
        <v>20.2978141428902</v>
      </c>
      <c r="G72">
        <v>8928</v>
      </c>
      <c r="H72">
        <v>10000</v>
      </c>
      <c r="I72" t="s">
        <v>489</v>
      </c>
    </row>
    <row r="73" spans="1:9" x14ac:dyDescent="0.2">
      <c r="A73" t="s">
        <v>186</v>
      </c>
      <c r="B73">
        <v>50</v>
      </c>
      <c r="C73">
        <v>19</v>
      </c>
      <c r="D73">
        <v>13</v>
      </c>
      <c r="E73">
        <v>0</v>
      </c>
      <c r="F73">
        <v>30.966223759110999</v>
      </c>
      <c r="G73">
        <v>6479</v>
      </c>
      <c r="H73">
        <v>10000</v>
      </c>
      <c r="I73" t="s">
        <v>490</v>
      </c>
    </row>
    <row r="74" spans="1:9" x14ac:dyDescent="0.2">
      <c r="A74" t="s">
        <v>188</v>
      </c>
      <c r="B74">
        <v>51</v>
      </c>
      <c r="C74">
        <v>28</v>
      </c>
      <c r="D74">
        <v>9</v>
      </c>
      <c r="E74">
        <v>0</v>
      </c>
      <c r="F74">
        <v>56.5327017949894</v>
      </c>
      <c r="G74">
        <v>5611</v>
      </c>
      <c r="H74">
        <v>10000</v>
      </c>
      <c r="I74" t="s">
        <v>491</v>
      </c>
    </row>
    <row r="75" spans="1:9" x14ac:dyDescent="0.2">
      <c r="A75" t="s">
        <v>190</v>
      </c>
      <c r="B75">
        <v>52</v>
      </c>
      <c r="C75">
        <v>15</v>
      </c>
      <c r="D75">
        <v>17</v>
      </c>
      <c r="E75">
        <v>0</v>
      </c>
      <c r="F75">
        <v>22.068869037088</v>
      </c>
      <c r="G75">
        <v>5671</v>
      </c>
      <c r="H75">
        <v>10000</v>
      </c>
      <c r="I75" t="s">
        <v>492</v>
      </c>
    </row>
    <row r="76" spans="1:9" x14ac:dyDescent="0.2">
      <c r="A76" t="s">
        <v>192</v>
      </c>
      <c r="B76">
        <v>53</v>
      </c>
      <c r="C76">
        <v>16</v>
      </c>
      <c r="D76">
        <v>17</v>
      </c>
      <c r="E76">
        <v>0</v>
      </c>
      <c r="F76">
        <v>21.022980854846502</v>
      </c>
      <c r="G76">
        <v>3414</v>
      </c>
      <c r="H76">
        <v>10000</v>
      </c>
      <c r="I76" t="s">
        <v>493</v>
      </c>
    </row>
    <row r="77" spans="1:9" x14ac:dyDescent="0.2">
      <c r="A77" t="s">
        <v>194</v>
      </c>
      <c r="B77">
        <v>54</v>
      </c>
      <c r="C77">
        <v>31</v>
      </c>
      <c r="D77">
        <v>9</v>
      </c>
      <c r="E77">
        <v>0</v>
      </c>
      <c r="F77">
        <v>61.808180402964297</v>
      </c>
      <c r="G77">
        <v>7435</v>
      </c>
      <c r="H77">
        <v>10000</v>
      </c>
      <c r="I77" t="s">
        <v>494</v>
      </c>
    </row>
    <row r="78" spans="1:9" x14ac:dyDescent="0.2">
      <c r="A78" t="s">
        <v>196</v>
      </c>
      <c r="B78">
        <v>55</v>
      </c>
      <c r="C78">
        <v>23</v>
      </c>
      <c r="D78">
        <v>13</v>
      </c>
      <c r="E78">
        <v>0</v>
      </c>
      <c r="F78">
        <v>33.964890719857003</v>
      </c>
      <c r="G78">
        <v>8257</v>
      </c>
      <c r="H78">
        <v>10000</v>
      </c>
      <c r="I78" t="s">
        <v>495</v>
      </c>
    </row>
    <row r="79" spans="1:9" x14ac:dyDescent="0.2">
      <c r="A79" t="s">
        <v>198</v>
      </c>
      <c r="B79">
        <v>56</v>
      </c>
      <c r="C79">
        <v>17</v>
      </c>
      <c r="D79">
        <v>17</v>
      </c>
      <c r="E79">
        <v>0</v>
      </c>
      <c r="F79">
        <v>23.909037745092</v>
      </c>
      <c r="G79">
        <v>4792</v>
      </c>
      <c r="H79">
        <v>10000</v>
      </c>
      <c r="I79" t="s">
        <v>496</v>
      </c>
    </row>
    <row r="80" spans="1:9" x14ac:dyDescent="0.2">
      <c r="A80" t="s">
        <v>200</v>
      </c>
      <c r="B80">
        <v>57</v>
      </c>
      <c r="C80">
        <v>18</v>
      </c>
      <c r="D80">
        <v>17</v>
      </c>
      <c r="E80">
        <v>0</v>
      </c>
      <c r="F80">
        <v>24.783599605318098</v>
      </c>
      <c r="G80">
        <v>4533</v>
      </c>
      <c r="H80">
        <v>10000</v>
      </c>
      <c r="I80" t="s">
        <v>497</v>
      </c>
    </row>
    <row r="81" spans="1:9" x14ac:dyDescent="0.2">
      <c r="A81" t="s">
        <v>202</v>
      </c>
      <c r="B81">
        <v>58</v>
      </c>
      <c r="C81">
        <v>3</v>
      </c>
      <c r="D81">
        <v>32</v>
      </c>
      <c r="E81">
        <v>0</v>
      </c>
      <c r="F81">
        <v>19.527843243908102</v>
      </c>
      <c r="G81">
        <v>6971</v>
      </c>
      <c r="H81">
        <v>10000</v>
      </c>
      <c r="I81" t="s">
        <v>498</v>
      </c>
    </row>
    <row r="82" spans="1:9" x14ac:dyDescent="0.2">
      <c r="A82" t="s">
        <v>204</v>
      </c>
      <c r="B82">
        <v>59</v>
      </c>
      <c r="C82">
        <v>19</v>
      </c>
      <c r="D82">
        <v>17</v>
      </c>
      <c r="E82">
        <v>0</v>
      </c>
      <c r="F82">
        <v>26.558774087112301</v>
      </c>
      <c r="G82">
        <v>6880</v>
      </c>
      <c r="H82">
        <v>10000</v>
      </c>
      <c r="I82" t="s">
        <v>499</v>
      </c>
    </row>
    <row r="83" spans="1:9" x14ac:dyDescent="0.2">
      <c r="A83" t="s">
        <v>206</v>
      </c>
      <c r="B83">
        <v>60</v>
      </c>
      <c r="C83">
        <v>20</v>
      </c>
      <c r="D83">
        <v>17</v>
      </c>
      <c r="E83">
        <v>0</v>
      </c>
      <c r="F83">
        <v>24.189119301736302</v>
      </c>
      <c r="G83">
        <v>3494</v>
      </c>
      <c r="H83">
        <v>10000</v>
      </c>
      <c r="I83" t="s">
        <v>500</v>
      </c>
    </row>
    <row r="84" spans="1:9" x14ac:dyDescent="0.2">
      <c r="A84" t="s">
        <v>208</v>
      </c>
      <c r="B84">
        <v>61</v>
      </c>
      <c r="C84">
        <v>18</v>
      </c>
      <c r="D84">
        <v>19</v>
      </c>
      <c r="E84">
        <v>0</v>
      </c>
      <c r="F84">
        <v>26.482955918181599</v>
      </c>
      <c r="G84">
        <v>2768</v>
      </c>
      <c r="H84">
        <v>10000</v>
      </c>
      <c r="I84" t="s">
        <v>501</v>
      </c>
    </row>
    <row r="85" spans="1:9" x14ac:dyDescent="0.2">
      <c r="A85" t="s">
        <v>210</v>
      </c>
      <c r="B85">
        <v>62</v>
      </c>
      <c r="C85">
        <v>21</v>
      </c>
      <c r="D85">
        <v>17</v>
      </c>
      <c r="E85">
        <v>0</v>
      </c>
      <c r="F85">
        <v>33.292176631744901</v>
      </c>
      <c r="G85">
        <v>6465</v>
      </c>
      <c r="H85">
        <v>10000</v>
      </c>
      <c r="I85" t="s">
        <v>502</v>
      </c>
    </row>
    <row r="86" spans="1:9" x14ac:dyDescent="0.2">
      <c r="A86" t="s">
        <v>212</v>
      </c>
      <c r="B86">
        <v>63</v>
      </c>
      <c r="C86">
        <v>23</v>
      </c>
      <c r="D86">
        <v>16</v>
      </c>
      <c r="E86">
        <v>0</v>
      </c>
      <c r="F86">
        <v>30.148782642092499</v>
      </c>
      <c r="G86">
        <v>4202</v>
      </c>
      <c r="H86">
        <v>10000</v>
      </c>
      <c r="I86" t="s">
        <v>503</v>
      </c>
    </row>
    <row r="87" spans="1:9" x14ac:dyDescent="0.2">
      <c r="A87" t="s">
        <v>214</v>
      </c>
      <c r="B87">
        <v>64</v>
      </c>
      <c r="C87">
        <v>24</v>
      </c>
      <c r="D87">
        <v>16</v>
      </c>
      <c r="E87">
        <v>0</v>
      </c>
      <c r="F87">
        <v>27.695158262271399</v>
      </c>
      <c r="G87">
        <v>3200</v>
      </c>
      <c r="H87">
        <v>10000</v>
      </c>
      <c r="I87" t="s">
        <v>504</v>
      </c>
    </row>
    <row r="88" spans="1:9" x14ac:dyDescent="0.2">
      <c r="A88" t="s">
        <v>216</v>
      </c>
      <c r="B88">
        <v>65</v>
      </c>
      <c r="C88">
        <v>31</v>
      </c>
      <c r="D88">
        <v>13</v>
      </c>
      <c r="E88">
        <v>0</v>
      </c>
      <c r="F88">
        <v>38.2210223269648</v>
      </c>
      <c r="G88">
        <v>3787</v>
      </c>
      <c r="H88">
        <v>10000</v>
      </c>
      <c r="I88" t="s">
        <v>505</v>
      </c>
    </row>
    <row r="89" spans="1:9" x14ac:dyDescent="0.2">
      <c r="A89" t="s">
        <v>218</v>
      </c>
      <c r="B89">
        <v>66</v>
      </c>
      <c r="C89">
        <v>32</v>
      </c>
      <c r="D89">
        <v>13</v>
      </c>
      <c r="E89">
        <v>0</v>
      </c>
      <c r="F89">
        <v>38.273063011001703</v>
      </c>
      <c r="G89">
        <v>3904</v>
      </c>
      <c r="H89">
        <v>10000</v>
      </c>
      <c r="I89" t="s">
        <v>506</v>
      </c>
    </row>
    <row r="90" spans="1:9" x14ac:dyDescent="0.2">
      <c r="A90" t="s">
        <v>220</v>
      </c>
      <c r="B90">
        <v>67</v>
      </c>
      <c r="C90">
        <v>33</v>
      </c>
      <c r="D90">
        <v>13</v>
      </c>
      <c r="E90">
        <v>0</v>
      </c>
      <c r="F90">
        <v>38.441008714958997</v>
      </c>
      <c r="G90">
        <v>3936</v>
      </c>
      <c r="H90">
        <v>10000</v>
      </c>
      <c r="I90" t="s">
        <v>507</v>
      </c>
    </row>
    <row r="91" spans="1:9" x14ac:dyDescent="0.2">
      <c r="A91" t="s">
        <v>222</v>
      </c>
      <c r="B91">
        <v>68</v>
      </c>
      <c r="C91">
        <v>34</v>
      </c>
      <c r="D91">
        <v>13</v>
      </c>
      <c r="E91">
        <v>0</v>
      </c>
      <c r="F91">
        <v>38.793061722069901</v>
      </c>
      <c r="G91">
        <v>3832</v>
      </c>
      <c r="H91">
        <v>10000</v>
      </c>
      <c r="I91" t="s">
        <v>508</v>
      </c>
    </row>
    <row r="92" spans="1:9" x14ac:dyDescent="0.2">
      <c r="A92" t="s">
        <v>224</v>
      </c>
      <c r="B92">
        <v>69</v>
      </c>
      <c r="C92">
        <v>35</v>
      </c>
      <c r="D92">
        <v>13</v>
      </c>
      <c r="E92">
        <v>0</v>
      </c>
      <c r="F92">
        <v>40.487728858832199</v>
      </c>
      <c r="G92">
        <v>3974</v>
      </c>
      <c r="H92">
        <v>10000</v>
      </c>
      <c r="I92" t="s">
        <v>509</v>
      </c>
    </row>
    <row r="93" spans="1:9" x14ac:dyDescent="0.2">
      <c r="A93" t="s">
        <v>226</v>
      </c>
      <c r="B93">
        <v>70</v>
      </c>
      <c r="C93">
        <v>36</v>
      </c>
      <c r="D93">
        <v>13</v>
      </c>
      <c r="E93">
        <v>0</v>
      </c>
      <c r="F93">
        <v>41.896211531013201</v>
      </c>
      <c r="G93">
        <v>4013</v>
      </c>
      <c r="H93">
        <v>10000</v>
      </c>
      <c r="I93" t="s">
        <v>510</v>
      </c>
    </row>
    <row r="94" spans="1:9" x14ac:dyDescent="0.2">
      <c r="A94" t="s">
        <v>228</v>
      </c>
      <c r="B94">
        <v>71</v>
      </c>
      <c r="C94">
        <v>12</v>
      </c>
      <c r="D94">
        <v>29</v>
      </c>
      <c r="E94">
        <v>0</v>
      </c>
      <c r="F94">
        <v>29.227533990982899</v>
      </c>
      <c r="G94">
        <v>5101</v>
      </c>
      <c r="H94">
        <v>10000</v>
      </c>
      <c r="I94" t="s">
        <v>511</v>
      </c>
    </row>
    <row r="95" spans="1:9" x14ac:dyDescent="0.2">
      <c r="A95" t="s">
        <v>230</v>
      </c>
      <c r="B95">
        <v>72</v>
      </c>
      <c r="C95">
        <v>37</v>
      </c>
      <c r="D95">
        <v>13</v>
      </c>
      <c r="E95">
        <v>0</v>
      </c>
      <c r="F95">
        <v>52.794432276859801</v>
      </c>
      <c r="G95">
        <v>4303</v>
      </c>
      <c r="H95">
        <v>10000</v>
      </c>
      <c r="I95" t="s">
        <v>512</v>
      </c>
    </row>
    <row r="96" spans="1:9" x14ac:dyDescent="0.2">
      <c r="A96" t="s">
        <v>232</v>
      </c>
      <c r="B96">
        <v>73</v>
      </c>
      <c r="C96">
        <v>38</v>
      </c>
      <c r="D96">
        <v>13</v>
      </c>
      <c r="E96">
        <v>0</v>
      </c>
      <c r="F96">
        <v>67.202204063069004</v>
      </c>
      <c r="G96">
        <v>4840</v>
      </c>
      <c r="H96">
        <v>10000</v>
      </c>
      <c r="I96" t="s">
        <v>513</v>
      </c>
    </row>
    <row r="97" spans="1:9" x14ac:dyDescent="0.2">
      <c r="A97" t="s">
        <v>234</v>
      </c>
      <c r="B97">
        <v>74</v>
      </c>
      <c r="C97">
        <v>9</v>
      </c>
      <c r="D97">
        <v>32</v>
      </c>
      <c r="E97">
        <v>0</v>
      </c>
      <c r="F97">
        <v>31.130766844842501</v>
      </c>
      <c r="G97">
        <v>3920</v>
      </c>
      <c r="H97">
        <v>10000</v>
      </c>
      <c r="I97" t="s">
        <v>514</v>
      </c>
    </row>
    <row r="98" spans="1:9" x14ac:dyDescent="0.2">
      <c r="A98" t="s">
        <v>236</v>
      </c>
      <c r="B98">
        <v>75</v>
      </c>
      <c r="C98">
        <v>28</v>
      </c>
      <c r="D98">
        <v>19</v>
      </c>
      <c r="E98">
        <v>0</v>
      </c>
      <c r="F98">
        <v>35.375498756300601</v>
      </c>
      <c r="G98">
        <v>903</v>
      </c>
      <c r="H98">
        <v>10000</v>
      </c>
      <c r="I98" t="s">
        <v>515</v>
      </c>
    </row>
    <row r="99" spans="1:9" x14ac:dyDescent="0.2">
      <c r="A99" t="s">
        <v>238</v>
      </c>
      <c r="B99">
        <v>76</v>
      </c>
      <c r="C99">
        <v>40</v>
      </c>
      <c r="D99">
        <v>12</v>
      </c>
      <c r="E99">
        <v>0</v>
      </c>
      <c r="F99">
        <v>47.933616853784699</v>
      </c>
      <c r="G99">
        <v>4137</v>
      </c>
      <c r="H99">
        <v>10000</v>
      </c>
      <c r="I99" t="s">
        <v>516</v>
      </c>
    </row>
    <row r="100" spans="1:9" x14ac:dyDescent="0.2">
      <c r="A100" t="s">
        <v>240</v>
      </c>
      <c r="B100">
        <v>77</v>
      </c>
      <c r="C100">
        <v>40</v>
      </c>
      <c r="D100">
        <v>13</v>
      </c>
      <c r="E100">
        <v>0</v>
      </c>
      <c r="F100">
        <v>44.275925002992103</v>
      </c>
      <c r="G100">
        <v>1367</v>
      </c>
      <c r="H100">
        <v>10000</v>
      </c>
      <c r="I100" t="s">
        <v>517</v>
      </c>
    </row>
    <row r="101" spans="1:9" x14ac:dyDescent="0.2">
      <c r="A101" t="s">
        <v>242</v>
      </c>
      <c r="B101">
        <v>78</v>
      </c>
      <c r="C101">
        <v>29</v>
      </c>
      <c r="D101">
        <v>19</v>
      </c>
      <c r="E101">
        <v>0</v>
      </c>
      <c r="F101">
        <v>43.919121136888798</v>
      </c>
      <c r="G101">
        <v>2116</v>
      </c>
      <c r="H101">
        <v>10000</v>
      </c>
      <c r="I101" t="s">
        <v>518</v>
      </c>
    </row>
    <row r="102" spans="1:9" x14ac:dyDescent="0.2">
      <c r="A102" t="s">
        <v>244</v>
      </c>
      <c r="B102">
        <v>79</v>
      </c>
      <c r="C102">
        <v>20</v>
      </c>
      <c r="D102">
        <v>24</v>
      </c>
      <c r="E102">
        <v>0</v>
      </c>
      <c r="F102">
        <v>42.267499078996401</v>
      </c>
      <c r="G102">
        <v>2245</v>
      </c>
      <c r="H102">
        <v>10000</v>
      </c>
      <c r="I102" t="s">
        <v>519</v>
      </c>
    </row>
    <row r="103" spans="1:9" x14ac:dyDescent="0.2">
      <c r="A103" t="s">
        <v>246</v>
      </c>
      <c r="B103">
        <v>80</v>
      </c>
      <c r="C103">
        <v>47</v>
      </c>
      <c r="D103">
        <v>11</v>
      </c>
      <c r="E103">
        <v>0</v>
      </c>
      <c r="F103">
        <v>88.504710376262594</v>
      </c>
      <c r="G103">
        <v>4788</v>
      </c>
      <c r="H103">
        <v>10000</v>
      </c>
      <c r="I103" t="s">
        <v>520</v>
      </c>
    </row>
    <row r="104" spans="1:9" x14ac:dyDescent="0.2">
      <c r="A104" t="s">
        <v>248</v>
      </c>
      <c r="B104">
        <v>81</v>
      </c>
      <c r="C104">
        <v>48</v>
      </c>
      <c r="D104">
        <v>11</v>
      </c>
      <c r="E104">
        <v>0</v>
      </c>
      <c r="F104">
        <v>89.554419892840002</v>
      </c>
      <c r="G104">
        <v>4896</v>
      </c>
      <c r="H104">
        <v>10000</v>
      </c>
      <c r="I104" t="s">
        <v>521</v>
      </c>
    </row>
    <row r="105" spans="1:9" x14ac:dyDescent="0.2">
      <c r="A105" t="s">
        <v>250</v>
      </c>
      <c r="B105">
        <v>82</v>
      </c>
      <c r="C105">
        <v>43</v>
      </c>
      <c r="D105">
        <v>13</v>
      </c>
      <c r="E105">
        <v>0</v>
      </c>
      <c r="F105">
        <v>53.0733225513249</v>
      </c>
      <c r="G105">
        <v>2131</v>
      </c>
      <c r="H105">
        <v>10000</v>
      </c>
      <c r="I105" t="s">
        <v>522</v>
      </c>
    </row>
    <row r="106" spans="1:9" x14ac:dyDescent="0.2">
      <c r="A106" t="s">
        <v>252</v>
      </c>
      <c r="B106">
        <v>83</v>
      </c>
      <c r="C106">
        <v>41</v>
      </c>
      <c r="D106">
        <v>15</v>
      </c>
      <c r="E106">
        <v>0</v>
      </c>
      <c r="F106">
        <v>51.265527898911301</v>
      </c>
      <c r="G106">
        <v>1169</v>
      </c>
      <c r="H106">
        <v>10000</v>
      </c>
      <c r="I106" t="s">
        <v>523</v>
      </c>
    </row>
    <row r="107" spans="1:9" x14ac:dyDescent="0.2">
      <c r="A107" t="s">
        <v>254</v>
      </c>
      <c r="B107">
        <v>84</v>
      </c>
      <c r="C107">
        <v>42</v>
      </c>
      <c r="D107">
        <v>15</v>
      </c>
      <c r="E107">
        <v>0</v>
      </c>
      <c r="F107">
        <v>52.782015797682099</v>
      </c>
      <c r="G107">
        <v>1100</v>
      </c>
      <c r="H107">
        <v>10000</v>
      </c>
      <c r="I107" t="s">
        <v>524</v>
      </c>
    </row>
    <row r="108" spans="1:9" x14ac:dyDescent="0.2">
      <c r="A108" t="s">
        <v>256</v>
      </c>
      <c r="B108">
        <v>85</v>
      </c>
      <c r="C108">
        <v>23</v>
      </c>
      <c r="D108">
        <v>24</v>
      </c>
      <c r="E108">
        <v>0</v>
      </c>
      <c r="F108">
        <v>41.776412482373402</v>
      </c>
      <c r="G108">
        <v>171</v>
      </c>
      <c r="H108">
        <v>10000</v>
      </c>
      <c r="I108" t="s">
        <v>525</v>
      </c>
    </row>
    <row r="109" spans="1:9" x14ac:dyDescent="0.2">
      <c r="A109" t="s">
        <v>258</v>
      </c>
      <c r="B109">
        <v>86</v>
      </c>
      <c r="C109">
        <v>23</v>
      </c>
      <c r="D109">
        <v>25</v>
      </c>
      <c r="E109">
        <v>0</v>
      </c>
      <c r="F109">
        <v>42.696996983606297</v>
      </c>
      <c r="G109">
        <v>422</v>
      </c>
      <c r="H109">
        <v>10000</v>
      </c>
      <c r="I109" t="s">
        <v>526</v>
      </c>
    </row>
    <row r="110" spans="1:9" x14ac:dyDescent="0.2">
      <c r="A110" t="s">
        <v>260</v>
      </c>
      <c r="B110">
        <v>87</v>
      </c>
      <c r="C110">
        <v>45</v>
      </c>
      <c r="D110">
        <v>15</v>
      </c>
      <c r="E110">
        <v>0</v>
      </c>
      <c r="F110">
        <v>56.096341401338499</v>
      </c>
      <c r="G110">
        <v>945</v>
      </c>
      <c r="H110">
        <v>10000</v>
      </c>
      <c r="I110" t="s">
        <v>527</v>
      </c>
    </row>
    <row r="111" spans="1:9" x14ac:dyDescent="0.2">
      <c r="A111" t="s">
        <v>262</v>
      </c>
      <c r="B111">
        <v>88</v>
      </c>
      <c r="C111">
        <v>49</v>
      </c>
      <c r="D111">
        <v>13</v>
      </c>
      <c r="E111">
        <v>0</v>
      </c>
      <c r="F111">
        <v>60.147982209920798</v>
      </c>
      <c r="G111">
        <v>2331</v>
      </c>
      <c r="H111">
        <v>10000</v>
      </c>
      <c r="I111" t="s">
        <v>528</v>
      </c>
    </row>
    <row r="112" spans="1:9" x14ac:dyDescent="0.2">
      <c r="A112" t="s">
        <v>264</v>
      </c>
      <c r="B112">
        <v>89</v>
      </c>
      <c r="C112">
        <v>32</v>
      </c>
      <c r="D112">
        <v>21</v>
      </c>
      <c r="E112">
        <v>0</v>
      </c>
      <c r="F112">
        <v>56.029541239142397</v>
      </c>
      <c r="G112">
        <v>2184</v>
      </c>
      <c r="H112">
        <v>10000</v>
      </c>
      <c r="I112" t="s">
        <v>529</v>
      </c>
    </row>
    <row r="113" spans="1:9" x14ac:dyDescent="0.2">
      <c r="A113" t="s">
        <v>266</v>
      </c>
      <c r="B113">
        <v>90</v>
      </c>
      <c r="C113">
        <v>33</v>
      </c>
      <c r="D113">
        <v>21</v>
      </c>
      <c r="E113">
        <v>0</v>
      </c>
      <c r="F113">
        <v>66.845416124910102</v>
      </c>
      <c r="G113">
        <v>2190</v>
      </c>
      <c r="H113">
        <v>10000</v>
      </c>
      <c r="I113" t="s">
        <v>530</v>
      </c>
    </row>
    <row r="114" spans="1:9" x14ac:dyDescent="0.2">
      <c r="A114" t="s">
        <v>268</v>
      </c>
      <c r="B114">
        <v>91</v>
      </c>
      <c r="C114">
        <v>26</v>
      </c>
      <c r="D114">
        <v>25</v>
      </c>
      <c r="E114">
        <v>0</v>
      </c>
      <c r="F114">
        <v>56.546633495017801</v>
      </c>
      <c r="G114">
        <v>930</v>
      </c>
      <c r="H114">
        <v>10000</v>
      </c>
      <c r="I114" t="s">
        <v>531</v>
      </c>
    </row>
    <row r="115" spans="1:9" x14ac:dyDescent="0.2">
      <c r="A115" t="s">
        <v>270</v>
      </c>
      <c r="B115">
        <v>92</v>
      </c>
      <c r="C115">
        <v>52</v>
      </c>
      <c r="D115">
        <v>13</v>
      </c>
      <c r="E115">
        <v>0</v>
      </c>
      <c r="F115">
        <v>66.326239995658398</v>
      </c>
      <c r="G115">
        <v>72</v>
      </c>
      <c r="H115">
        <v>10000</v>
      </c>
      <c r="I115" t="s">
        <v>532</v>
      </c>
    </row>
    <row r="116" spans="1:9" x14ac:dyDescent="0.2">
      <c r="A116" t="s">
        <v>272</v>
      </c>
      <c r="B116">
        <v>93</v>
      </c>
      <c r="C116">
        <v>53</v>
      </c>
      <c r="D116">
        <v>13</v>
      </c>
      <c r="E116">
        <v>0</v>
      </c>
      <c r="F116">
        <v>69.584664973430307</v>
      </c>
      <c r="G116">
        <v>154</v>
      </c>
      <c r="H116">
        <v>10000</v>
      </c>
      <c r="I116" t="s">
        <v>533</v>
      </c>
    </row>
    <row r="117" spans="1:9" x14ac:dyDescent="0.2">
      <c r="A117" t="s">
        <v>274</v>
      </c>
      <c r="B117">
        <v>94</v>
      </c>
      <c r="C117">
        <v>54</v>
      </c>
      <c r="D117">
        <v>13</v>
      </c>
      <c r="E117">
        <v>0</v>
      </c>
      <c r="F117">
        <v>72.188663306646006</v>
      </c>
      <c r="G117">
        <v>176</v>
      </c>
      <c r="H117">
        <v>10000</v>
      </c>
      <c r="I117" t="s">
        <v>534</v>
      </c>
    </row>
    <row r="118" spans="1:9" x14ac:dyDescent="0.2">
      <c r="A118" t="s">
        <v>276</v>
      </c>
      <c r="B118">
        <v>95</v>
      </c>
      <c r="C118">
        <v>46</v>
      </c>
      <c r="D118">
        <v>17</v>
      </c>
      <c r="E118">
        <v>0</v>
      </c>
      <c r="F118">
        <v>66.873815263155805</v>
      </c>
      <c r="G118">
        <v>963</v>
      </c>
      <c r="H118">
        <v>10000</v>
      </c>
      <c r="I118" t="s">
        <v>535</v>
      </c>
    </row>
    <row r="119" spans="1:9" x14ac:dyDescent="0.2">
      <c r="A119" t="s">
        <v>278</v>
      </c>
      <c r="B119">
        <v>96</v>
      </c>
      <c r="C119">
        <v>48</v>
      </c>
      <c r="D119">
        <v>16</v>
      </c>
      <c r="E119">
        <v>0</v>
      </c>
      <c r="F119">
        <v>69.782758017070506</v>
      </c>
      <c r="G119">
        <v>338</v>
      </c>
      <c r="H119">
        <v>10000</v>
      </c>
      <c r="I119" t="s">
        <v>536</v>
      </c>
    </row>
    <row r="120" spans="1:9" x14ac:dyDescent="0.2">
      <c r="A120" t="s">
        <v>280</v>
      </c>
      <c r="B120">
        <v>97</v>
      </c>
      <c r="C120">
        <v>50</v>
      </c>
      <c r="D120">
        <v>15</v>
      </c>
      <c r="E120">
        <v>0</v>
      </c>
      <c r="F120">
        <v>70.233733216766197</v>
      </c>
      <c r="G120">
        <v>116</v>
      </c>
      <c r="H120">
        <v>10000</v>
      </c>
      <c r="I120" t="s">
        <v>537</v>
      </c>
    </row>
    <row r="121" spans="1:9" x14ac:dyDescent="0.2">
      <c r="A121" t="s">
        <v>282</v>
      </c>
      <c r="B121">
        <v>98</v>
      </c>
      <c r="C121">
        <v>51</v>
      </c>
      <c r="D121">
        <v>15</v>
      </c>
      <c r="E121">
        <v>0</v>
      </c>
      <c r="F121">
        <v>72.488706027157605</v>
      </c>
      <c r="G121">
        <v>124</v>
      </c>
      <c r="H121">
        <v>10000</v>
      </c>
      <c r="I121" t="s">
        <v>538</v>
      </c>
    </row>
    <row r="122" spans="1:9" x14ac:dyDescent="0.2">
      <c r="A122" t="s">
        <v>284</v>
      </c>
      <c r="B122">
        <v>99</v>
      </c>
      <c r="C122">
        <v>52</v>
      </c>
      <c r="D122">
        <v>15</v>
      </c>
      <c r="E122">
        <v>0</v>
      </c>
      <c r="F122">
        <v>75.332749691791804</v>
      </c>
      <c r="G122">
        <v>99</v>
      </c>
      <c r="H122">
        <v>10000</v>
      </c>
      <c r="I122" t="s">
        <v>539</v>
      </c>
    </row>
    <row r="123" spans="1:9" x14ac:dyDescent="0.2">
      <c r="A123" t="s">
        <v>286</v>
      </c>
      <c r="B123">
        <v>100</v>
      </c>
      <c r="C123">
        <v>52</v>
      </c>
      <c r="D123">
        <v>16</v>
      </c>
      <c r="E123">
        <v>0</v>
      </c>
      <c r="F123">
        <v>77.714903579093502</v>
      </c>
      <c r="G123">
        <v>397</v>
      </c>
      <c r="H123">
        <v>10000</v>
      </c>
      <c r="I123" t="s">
        <v>540</v>
      </c>
    </row>
    <row r="124" spans="1:9" x14ac:dyDescent="0.2">
      <c r="A124" t="s">
        <v>288</v>
      </c>
      <c r="B124">
        <v>101</v>
      </c>
      <c r="C124">
        <v>53</v>
      </c>
      <c r="D124">
        <v>15</v>
      </c>
      <c r="E124">
        <v>0</v>
      </c>
      <c r="F124">
        <v>79.736181713175</v>
      </c>
      <c r="G124">
        <v>692</v>
      </c>
      <c r="H124">
        <v>10000</v>
      </c>
      <c r="I124" t="s">
        <v>541</v>
      </c>
    </row>
    <row r="125" spans="1:9" x14ac:dyDescent="0.2">
      <c r="A125" t="s">
        <v>290</v>
      </c>
      <c r="B125">
        <v>102</v>
      </c>
      <c r="C125">
        <v>54</v>
      </c>
      <c r="D125">
        <v>15</v>
      </c>
      <c r="E125">
        <v>0</v>
      </c>
      <c r="F125">
        <v>80.523697445169006</v>
      </c>
      <c r="G125">
        <v>725</v>
      </c>
      <c r="H125">
        <v>10000</v>
      </c>
      <c r="I125" t="s">
        <v>542</v>
      </c>
    </row>
    <row r="126" spans="1:9" x14ac:dyDescent="0.2">
      <c r="A126" t="s">
        <v>292</v>
      </c>
      <c r="B126">
        <v>103</v>
      </c>
      <c r="C126">
        <v>34</v>
      </c>
      <c r="D126">
        <v>25</v>
      </c>
      <c r="E126">
        <v>0</v>
      </c>
      <c r="F126">
        <v>73.094796295743393</v>
      </c>
      <c r="G126">
        <v>367</v>
      </c>
      <c r="H126">
        <v>10000</v>
      </c>
      <c r="I126" t="s">
        <v>543</v>
      </c>
    </row>
    <row r="127" spans="1:9" x14ac:dyDescent="0.2">
      <c r="A127" t="s">
        <v>294</v>
      </c>
      <c r="B127">
        <v>104</v>
      </c>
      <c r="C127">
        <v>28</v>
      </c>
      <c r="D127">
        <v>29</v>
      </c>
      <c r="E127">
        <v>0</v>
      </c>
      <c r="F127">
        <v>66.751213320065204</v>
      </c>
      <c r="G127">
        <v>190</v>
      </c>
      <c r="H127">
        <v>10000</v>
      </c>
      <c r="I127" t="s">
        <v>544</v>
      </c>
    </row>
    <row r="128" spans="1:9" x14ac:dyDescent="0.2">
      <c r="A128" t="s">
        <v>296</v>
      </c>
      <c r="B128">
        <v>105</v>
      </c>
      <c r="C128">
        <v>54</v>
      </c>
      <c r="D128">
        <v>17</v>
      </c>
      <c r="E128">
        <v>0</v>
      </c>
      <c r="F128">
        <v>94.732210821937699</v>
      </c>
      <c r="G128">
        <v>313</v>
      </c>
      <c r="H128">
        <v>10000</v>
      </c>
      <c r="I128" t="s">
        <v>545</v>
      </c>
    </row>
    <row r="129" spans="1:9" x14ac:dyDescent="0.2">
      <c r="A129" t="s">
        <v>298</v>
      </c>
      <c r="B129">
        <v>106</v>
      </c>
      <c r="C129">
        <v>44</v>
      </c>
      <c r="D129">
        <v>21</v>
      </c>
      <c r="E129">
        <v>0</v>
      </c>
      <c r="F129">
        <v>90.327504539862204</v>
      </c>
      <c r="G129">
        <v>701</v>
      </c>
      <c r="H129">
        <v>10000</v>
      </c>
      <c r="I129" t="s">
        <v>546</v>
      </c>
    </row>
    <row r="130" spans="1:9" x14ac:dyDescent="0.2">
      <c r="A130" t="s">
        <v>300</v>
      </c>
      <c r="B130">
        <v>107</v>
      </c>
      <c r="C130">
        <v>45</v>
      </c>
      <c r="D130">
        <v>21</v>
      </c>
      <c r="E130">
        <v>0</v>
      </c>
      <c r="F130">
        <v>91.0580566492863</v>
      </c>
      <c r="G130">
        <v>676</v>
      </c>
      <c r="H130">
        <v>10000</v>
      </c>
      <c r="I130" t="s">
        <v>547</v>
      </c>
    </row>
    <row r="131" spans="1:9" x14ac:dyDescent="0.2">
      <c r="A131" t="s">
        <v>302</v>
      </c>
      <c r="B131">
        <v>108</v>
      </c>
      <c r="C131">
        <v>55</v>
      </c>
      <c r="D131">
        <v>17</v>
      </c>
      <c r="E131">
        <v>0</v>
      </c>
      <c r="F131">
        <v>88.706164771690894</v>
      </c>
      <c r="G131">
        <v>332</v>
      </c>
      <c r="H131">
        <v>10000</v>
      </c>
      <c r="I131" t="s">
        <v>548</v>
      </c>
    </row>
    <row r="132" spans="1:9" x14ac:dyDescent="0.2">
      <c r="A132" t="s">
        <v>304</v>
      </c>
      <c r="B132">
        <v>109</v>
      </c>
      <c r="C132">
        <v>37</v>
      </c>
      <c r="D132">
        <v>25</v>
      </c>
      <c r="E132">
        <v>0</v>
      </c>
      <c r="F132">
        <v>72.922923052217797</v>
      </c>
      <c r="G132">
        <v>167</v>
      </c>
      <c r="H132">
        <v>10000</v>
      </c>
      <c r="I132" t="s">
        <v>549</v>
      </c>
    </row>
    <row r="133" spans="1:9" x14ac:dyDescent="0.2">
      <c r="A133" t="s">
        <v>306</v>
      </c>
      <c r="B133">
        <v>110</v>
      </c>
      <c r="C133">
        <v>33</v>
      </c>
      <c r="D133">
        <v>28</v>
      </c>
      <c r="E133">
        <v>0</v>
      </c>
      <c r="F133">
        <v>83.843185929115805</v>
      </c>
      <c r="G133">
        <v>210</v>
      </c>
      <c r="H133">
        <v>10000</v>
      </c>
      <c r="I133" t="s">
        <v>550</v>
      </c>
    </row>
    <row r="134" spans="1:9" x14ac:dyDescent="0.2">
      <c r="A134" t="s">
        <v>308</v>
      </c>
      <c r="B134">
        <v>111</v>
      </c>
      <c r="C134">
        <v>57</v>
      </c>
      <c r="D134">
        <v>17</v>
      </c>
      <c r="E134">
        <v>0</v>
      </c>
      <c r="F134">
        <v>92.664982747752205</v>
      </c>
      <c r="G134">
        <v>178</v>
      </c>
      <c r="H134">
        <v>10000</v>
      </c>
      <c r="I134" t="s">
        <v>551</v>
      </c>
    </row>
    <row r="135" spans="1:9" x14ac:dyDescent="0.2">
      <c r="A135" t="s">
        <v>310</v>
      </c>
      <c r="B135">
        <v>112</v>
      </c>
      <c r="C135">
        <v>36</v>
      </c>
      <c r="D135">
        <v>27</v>
      </c>
      <c r="E135">
        <v>0</v>
      </c>
      <c r="F135">
        <v>91.625890617258804</v>
      </c>
      <c r="G135">
        <v>82</v>
      </c>
      <c r="H135">
        <v>10000</v>
      </c>
      <c r="I135" t="s">
        <v>552</v>
      </c>
    </row>
    <row r="136" spans="1:9" x14ac:dyDescent="0.2">
      <c r="A136" t="s">
        <v>312</v>
      </c>
      <c r="B136">
        <v>113</v>
      </c>
      <c r="C136">
        <v>26</v>
      </c>
      <c r="D136">
        <v>34</v>
      </c>
      <c r="E136">
        <v>0</v>
      </c>
      <c r="F136">
        <v>76.400874183047506</v>
      </c>
      <c r="G136">
        <v>132</v>
      </c>
      <c r="H136">
        <v>10000</v>
      </c>
      <c r="I136" t="s">
        <v>553</v>
      </c>
    </row>
    <row r="137" spans="1:9" x14ac:dyDescent="0.2">
      <c r="A137" t="s">
        <v>314</v>
      </c>
      <c r="B137">
        <v>114</v>
      </c>
      <c r="C137">
        <v>27</v>
      </c>
      <c r="D137">
        <v>34</v>
      </c>
      <c r="E137">
        <v>0</v>
      </c>
      <c r="F137">
        <v>80.5486315325833</v>
      </c>
      <c r="G137">
        <v>143</v>
      </c>
      <c r="H137">
        <v>10000</v>
      </c>
      <c r="I137" t="s">
        <v>554</v>
      </c>
    </row>
    <row r="138" spans="1:9" x14ac:dyDescent="0.2">
      <c r="A138" t="s">
        <v>316</v>
      </c>
      <c r="B138">
        <v>115</v>
      </c>
      <c r="C138">
        <v>29</v>
      </c>
      <c r="D138">
        <v>33</v>
      </c>
      <c r="E138">
        <v>0</v>
      </c>
      <c r="F138">
        <v>75.697074670344506</v>
      </c>
      <c r="G138">
        <v>33</v>
      </c>
      <c r="H138">
        <v>10000</v>
      </c>
      <c r="I138" t="s">
        <v>555</v>
      </c>
    </row>
    <row r="139" spans="1:9" x14ac:dyDescent="0.2">
      <c r="A139" t="s">
        <v>318</v>
      </c>
      <c r="B139">
        <v>116</v>
      </c>
      <c r="C139">
        <v>28</v>
      </c>
      <c r="D139">
        <v>34</v>
      </c>
      <c r="E139">
        <v>0</v>
      </c>
      <c r="F139">
        <v>86.062206038739504</v>
      </c>
      <c r="G139">
        <v>64</v>
      </c>
      <c r="H139">
        <v>10000</v>
      </c>
      <c r="I139" t="s">
        <v>556</v>
      </c>
    </row>
    <row r="140" spans="1:9" x14ac:dyDescent="0.2">
      <c r="A140" t="s">
        <v>320</v>
      </c>
      <c r="B140">
        <v>117</v>
      </c>
      <c r="C140">
        <v>29</v>
      </c>
      <c r="D140">
        <v>34</v>
      </c>
      <c r="E140">
        <v>0</v>
      </c>
      <c r="F140">
        <v>79.203603037167298</v>
      </c>
      <c r="G140">
        <v>9</v>
      </c>
      <c r="H140">
        <v>10000</v>
      </c>
      <c r="I140" t="s">
        <v>557</v>
      </c>
    </row>
    <row r="141" spans="1:9" x14ac:dyDescent="0.2">
      <c r="A141" t="s">
        <v>322</v>
      </c>
      <c r="B141">
        <v>118</v>
      </c>
      <c r="C141">
        <v>29</v>
      </c>
      <c r="D141">
        <v>35</v>
      </c>
      <c r="E141">
        <v>0</v>
      </c>
      <c r="F141">
        <v>81.850110508967106</v>
      </c>
      <c r="G141">
        <v>40</v>
      </c>
      <c r="H141">
        <v>10000</v>
      </c>
      <c r="I141" t="s">
        <v>558</v>
      </c>
    </row>
    <row r="142" spans="1:9" x14ac:dyDescent="0.2">
      <c r="A142" t="s">
        <v>324</v>
      </c>
      <c r="B142">
        <v>119</v>
      </c>
      <c r="C142">
        <v>28</v>
      </c>
      <c r="D142">
        <v>36</v>
      </c>
      <c r="E142">
        <v>0</v>
      </c>
      <c r="F142">
        <v>88.804704729933206</v>
      </c>
      <c r="G142">
        <v>36</v>
      </c>
      <c r="H142">
        <v>10000</v>
      </c>
      <c r="I142" t="s">
        <v>559</v>
      </c>
    </row>
    <row r="143" spans="1:9" x14ac:dyDescent="0.2">
      <c r="A143" t="s">
        <v>326</v>
      </c>
      <c r="B143">
        <v>120</v>
      </c>
      <c r="C143">
        <v>29</v>
      </c>
      <c r="D143">
        <v>36</v>
      </c>
      <c r="E143">
        <v>0</v>
      </c>
      <c r="F143">
        <v>85.134517503902302</v>
      </c>
      <c r="G143">
        <v>23</v>
      </c>
      <c r="H143">
        <v>10000</v>
      </c>
      <c r="I143" t="s">
        <v>560</v>
      </c>
    </row>
    <row r="144" spans="1:9" x14ac:dyDescent="0.2">
      <c r="A144" t="s">
        <v>328</v>
      </c>
      <c r="B144">
        <v>121</v>
      </c>
      <c r="C144">
        <v>29</v>
      </c>
      <c r="D144">
        <v>37</v>
      </c>
      <c r="E144">
        <v>0</v>
      </c>
      <c r="F144">
        <v>87.8984795683063</v>
      </c>
      <c r="G144">
        <v>46</v>
      </c>
      <c r="H144">
        <v>10000</v>
      </c>
      <c r="I144" t="s">
        <v>561</v>
      </c>
    </row>
    <row r="145" spans="1:9" x14ac:dyDescent="0.2">
      <c r="A145" t="s">
        <v>330</v>
      </c>
      <c r="B145">
        <v>122</v>
      </c>
      <c r="C145">
        <v>47</v>
      </c>
      <c r="D145">
        <v>25</v>
      </c>
      <c r="E145">
        <v>0</v>
      </c>
      <c r="F145">
        <v>125.374883500859</v>
      </c>
      <c r="G145">
        <v>128</v>
      </c>
      <c r="H145">
        <v>10000</v>
      </c>
      <c r="I145" t="s">
        <v>562</v>
      </c>
    </row>
    <row r="146" spans="1:9" x14ac:dyDescent="0.2">
      <c r="A146" t="s">
        <v>332</v>
      </c>
      <c r="B146">
        <v>123</v>
      </c>
      <c r="C146">
        <v>48</v>
      </c>
      <c r="D146">
        <v>25</v>
      </c>
      <c r="E146">
        <v>0</v>
      </c>
      <c r="F146">
        <v>129.86371082719401</v>
      </c>
      <c r="G146">
        <v>138</v>
      </c>
      <c r="H146">
        <v>10000</v>
      </c>
      <c r="I146" t="s">
        <v>563</v>
      </c>
    </row>
    <row r="147" spans="1:9" x14ac:dyDescent="0.2">
      <c r="A147" t="s">
        <v>334</v>
      </c>
      <c r="B147">
        <v>124</v>
      </c>
      <c r="C147">
        <v>49</v>
      </c>
      <c r="D147">
        <v>25</v>
      </c>
      <c r="E147">
        <v>0</v>
      </c>
      <c r="F147">
        <v>132.80189058277699</v>
      </c>
      <c r="G147">
        <v>129</v>
      </c>
      <c r="H147">
        <v>10000</v>
      </c>
      <c r="I147" t="s">
        <v>564</v>
      </c>
    </row>
    <row r="148" spans="1:9" x14ac:dyDescent="0.2">
      <c r="A148" t="s">
        <v>336</v>
      </c>
      <c r="B148">
        <v>125</v>
      </c>
      <c r="C148">
        <v>50</v>
      </c>
      <c r="D148">
        <v>25</v>
      </c>
      <c r="E148">
        <v>0</v>
      </c>
      <c r="F148">
        <v>117.688564854208</v>
      </c>
      <c r="G148">
        <v>81</v>
      </c>
      <c r="H148">
        <v>10000</v>
      </c>
      <c r="I148" t="s">
        <v>565</v>
      </c>
    </row>
    <row r="149" spans="1:9" x14ac:dyDescent="0.2">
      <c r="A149" t="s">
        <v>338</v>
      </c>
      <c r="B149">
        <v>126</v>
      </c>
      <c r="C149">
        <v>50</v>
      </c>
      <c r="D149">
        <v>26</v>
      </c>
      <c r="E149">
        <v>0</v>
      </c>
      <c r="F149">
        <v>120.50352506060101</v>
      </c>
      <c r="G149">
        <v>174</v>
      </c>
      <c r="H149">
        <v>10000</v>
      </c>
      <c r="I149" t="s">
        <v>566</v>
      </c>
    </row>
    <row r="150" spans="1:9" x14ac:dyDescent="0.2">
      <c r="A150" t="s">
        <v>340</v>
      </c>
      <c r="B150">
        <v>127</v>
      </c>
      <c r="C150">
        <v>30</v>
      </c>
      <c r="D150">
        <v>37</v>
      </c>
      <c r="E150">
        <v>0</v>
      </c>
      <c r="F150">
        <v>98.959117750171501</v>
      </c>
      <c r="G150">
        <v>110</v>
      </c>
      <c r="H150">
        <v>10000</v>
      </c>
      <c r="I150" t="s">
        <v>567</v>
      </c>
    </row>
    <row r="151" spans="1:9" x14ac:dyDescent="0.2">
      <c r="A151" t="s">
        <v>342</v>
      </c>
      <c r="B151">
        <v>128</v>
      </c>
      <c r="C151">
        <v>44</v>
      </c>
      <c r="D151">
        <v>29</v>
      </c>
      <c r="E151">
        <v>0</v>
      </c>
      <c r="F151">
        <v>130.52258868608601</v>
      </c>
      <c r="G151">
        <v>375</v>
      </c>
      <c r="H151">
        <v>10000</v>
      </c>
      <c r="I151" t="s">
        <v>568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0DFE9-0B49-5D46-9F97-C0C4D6DF1982}">
  <dimension ref="A1:I151"/>
  <sheetViews>
    <sheetView topLeftCell="A30" workbookViewId="0"/>
  </sheetViews>
  <sheetFormatPr baseColWidth="10" defaultColWidth="11" defaultRowHeight="16" x14ac:dyDescent="0.2"/>
  <sheetData>
    <row r="1" spans="1:1" x14ac:dyDescent="0.2">
      <c r="A1" t="s">
        <v>70</v>
      </c>
    </row>
    <row r="2" spans="1:1" x14ac:dyDescent="0.2">
      <c r="A2" t="s">
        <v>71</v>
      </c>
    </row>
    <row r="3" spans="1:1" x14ac:dyDescent="0.2">
      <c r="A3" t="s">
        <v>73</v>
      </c>
    </row>
    <row r="4" spans="1:1" x14ac:dyDescent="0.2">
      <c r="A4" s="21" t="s">
        <v>74</v>
      </c>
    </row>
    <row r="5" spans="1:1" x14ac:dyDescent="0.2">
      <c r="A5" s="21" t="s">
        <v>441</v>
      </c>
    </row>
    <row r="6" spans="1:1" x14ac:dyDescent="0.2">
      <c r="A6" t="s">
        <v>76</v>
      </c>
    </row>
    <row r="7" spans="1:1" x14ac:dyDescent="0.2">
      <c r="A7" t="s">
        <v>77</v>
      </c>
    </row>
    <row r="8" spans="1:1" x14ac:dyDescent="0.2">
      <c r="A8" s="21" t="s">
        <v>78</v>
      </c>
    </row>
    <row r="9" spans="1:1" x14ac:dyDescent="0.2">
      <c r="A9" t="s">
        <v>79</v>
      </c>
    </row>
    <row r="10" spans="1:1" x14ac:dyDescent="0.2">
      <c r="A10" t="s">
        <v>80</v>
      </c>
    </row>
    <row r="11" spans="1:1" x14ac:dyDescent="0.2">
      <c r="A11" t="s">
        <v>81</v>
      </c>
    </row>
    <row r="12" spans="1:1" x14ac:dyDescent="0.2">
      <c r="A12" t="s">
        <v>82</v>
      </c>
    </row>
    <row r="13" spans="1:1" x14ac:dyDescent="0.2">
      <c r="A13" t="s">
        <v>83</v>
      </c>
    </row>
    <row r="14" spans="1:1" x14ac:dyDescent="0.2">
      <c r="A14" t="s">
        <v>84</v>
      </c>
    </row>
    <row r="15" spans="1:1" x14ac:dyDescent="0.2">
      <c r="A15" t="s">
        <v>85</v>
      </c>
    </row>
    <row r="16" spans="1:1" x14ac:dyDescent="0.2">
      <c r="A16" t="s">
        <v>86</v>
      </c>
    </row>
    <row r="17" spans="1:9" x14ac:dyDescent="0.2">
      <c r="A17" t="s">
        <v>87</v>
      </c>
    </row>
    <row r="18" spans="1:9" x14ac:dyDescent="0.2">
      <c r="A18" t="s">
        <v>346</v>
      </c>
    </row>
    <row r="19" spans="1:9" x14ac:dyDescent="0.2">
      <c r="A19" t="s">
        <v>89</v>
      </c>
    </row>
    <row r="20" spans="1:9" x14ac:dyDescent="0.2">
      <c r="A20" t="s">
        <v>92</v>
      </c>
    </row>
    <row r="21" spans="1:9" x14ac:dyDescent="0.2">
      <c r="A21" t="s">
        <v>442</v>
      </c>
    </row>
    <row r="22" spans="1:9" x14ac:dyDescent="0.2">
      <c r="A22" t="s">
        <v>93</v>
      </c>
    </row>
    <row r="23" spans="1:9" x14ac:dyDescent="0.2">
      <c r="A23" t="s">
        <v>443</v>
      </c>
    </row>
    <row r="24" spans="1:9" x14ac:dyDescent="0.2">
      <c r="A24" t="s">
        <v>444</v>
      </c>
    </row>
    <row r="25" spans="1:9" x14ac:dyDescent="0.2">
      <c r="A25" t="s">
        <v>569</v>
      </c>
    </row>
    <row r="26" spans="1:9" x14ac:dyDescent="0.2">
      <c r="A26" t="s">
        <v>446</v>
      </c>
    </row>
    <row r="27" spans="1:9" x14ac:dyDescent="0.2">
      <c r="A27" t="s">
        <v>570</v>
      </c>
    </row>
    <row r="28" spans="1:9" x14ac:dyDescent="0.2">
      <c r="A28" t="s">
        <v>571</v>
      </c>
    </row>
    <row r="29" spans="1:9" x14ac:dyDescent="0.2">
      <c r="A29" t="s">
        <v>95</v>
      </c>
    </row>
    <row r="30" spans="1:9" x14ac:dyDescent="0.2">
      <c r="A30" t="s">
        <v>96</v>
      </c>
      <c r="B30" t="s">
        <v>61</v>
      </c>
      <c r="C30" t="s">
        <v>97</v>
      </c>
      <c r="D30" t="s">
        <v>98</v>
      </c>
      <c r="E30" t="s">
        <v>99</v>
      </c>
      <c r="F30" t="s">
        <v>100</v>
      </c>
      <c r="G30" t="s">
        <v>58</v>
      </c>
      <c r="H30" t="s">
        <v>59</v>
      </c>
      <c r="I30" t="s">
        <v>101</v>
      </c>
    </row>
    <row r="31" spans="1:9" x14ac:dyDescent="0.2">
      <c r="A31" t="s">
        <v>102</v>
      </c>
      <c r="B31">
        <v>5</v>
      </c>
      <c r="C31">
        <v>3</v>
      </c>
      <c r="D31">
        <v>2</v>
      </c>
      <c r="E31">
        <v>0</v>
      </c>
      <c r="F31">
        <v>4.2254244536161396</v>
      </c>
      <c r="G31">
        <v>10000</v>
      </c>
      <c r="H31">
        <v>10000</v>
      </c>
      <c r="I31" t="s">
        <v>449</v>
      </c>
    </row>
    <row r="32" spans="1:9" x14ac:dyDescent="0.2">
      <c r="A32" t="s">
        <v>104</v>
      </c>
      <c r="B32">
        <v>6</v>
      </c>
      <c r="C32">
        <v>3</v>
      </c>
      <c r="D32">
        <v>3</v>
      </c>
      <c r="E32">
        <v>0</v>
      </c>
      <c r="F32">
        <v>4.3397465869784302</v>
      </c>
      <c r="G32">
        <v>9170</v>
      </c>
      <c r="H32">
        <v>10000</v>
      </c>
      <c r="I32" t="s">
        <v>450</v>
      </c>
    </row>
    <row r="33" spans="1:9" x14ac:dyDescent="0.2">
      <c r="A33" t="s">
        <v>106</v>
      </c>
      <c r="B33">
        <v>7</v>
      </c>
      <c r="C33">
        <v>3</v>
      </c>
      <c r="D33">
        <v>4</v>
      </c>
      <c r="E33">
        <v>0</v>
      </c>
      <c r="F33">
        <v>4.3645719438791204</v>
      </c>
      <c r="G33">
        <v>10000</v>
      </c>
      <c r="H33">
        <v>10000</v>
      </c>
      <c r="I33" t="s">
        <v>572</v>
      </c>
    </row>
    <row r="34" spans="1:9" x14ac:dyDescent="0.2">
      <c r="A34" t="s">
        <v>108</v>
      </c>
      <c r="B34">
        <v>8</v>
      </c>
      <c r="C34">
        <v>3</v>
      </c>
      <c r="D34">
        <v>4</v>
      </c>
      <c r="E34">
        <v>0</v>
      </c>
      <c r="F34">
        <v>4.41024584323167</v>
      </c>
      <c r="G34">
        <v>10000</v>
      </c>
      <c r="H34">
        <v>10000</v>
      </c>
      <c r="I34" t="s">
        <v>572</v>
      </c>
    </row>
    <row r="35" spans="1:9" x14ac:dyDescent="0.2">
      <c r="A35" t="s">
        <v>110</v>
      </c>
      <c r="B35">
        <v>9</v>
      </c>
      <c r="C35">
        <v>5</v>
      </c>
      <c r="D35">
        <v>3</v>
      </c>
      <c r="E35">
        <v>0</v>
      </c>
      <c r="F35">
        <v>4.5512311086058599</v>
      </c>
      <c r="G35">
        <v>7428</v>
      </c>
      <c r="H35">
        <v>10000</v>
      </c>
      <c r="I35" t="s">
        <v>573</v>
      </c>
    </row>
    <row r="36" spans="1:9" x14ac:dyDescent="0.2">
      <c r="A36" t="s">
        <v>112</v>
      </c>
      <c r="B36">
        <v>10</v>
      </c>
      <c r="C36">
        <v>3</v>
      </c>
      <c r="D36">
        <v>5</v>
      </c>
      <c r="E36">
        <v>0</v>
      </c>
      <c r="F36">
        <v>4.5574577823281199</v>
      </c>
      <c r="G36">
        <v>7438</v>
      </c>
      <c r="H36">
        <v>10000</v>
      </c>
      <c r="I36" t="s">
        <v>453</v>
      </c>
    </row>
    <row r="37" spans="1:9" x14ac:dyDescent="0.2">
      <c r="A37" t="s">
        <v>114</v>
      </c>
      <c r="B37">
        <v>11</v>
      </c>
      <c r="C37">
        <v>3</v>
      </c>
      <c r="D37">
        <v>6</v>
      </c>
      <c r="E37">
        <v>0</v>
      </c>
      <c r="F37">
        <v>4.7087472379207602</v>
      </c>
      <c r="G37">
        <v>9185</v>
      </c>
      <c r="H37">
        <v>10000</v>
      </c>
      <c r="I37" t="s">
        <v>574</v>
      </c>
    </row>
    <row r="38" spans="1:9" x14ac:dyDescent="0.2">
      <c r="A38" t="s">
        <v>116</v>
      </c>
      <c r="B38">
        <v>12</v>
      </c>
      <c r="C38">
        <v>3</v>
      </c>
      <c r="D38">
        <v>6</v>
      </c>
      <c r="E38">
        <v>0</v>
      </c>
      <c r="F38">
        <v>4.8499631136655799</v>
      </c>
      <c r="G38">
        <v>10000</v>
      </c>
      <c r="H38">
        <v>10000</v>
      </c>
      <c r="I38" t="s">
        <v>455</v>
      </c>
    </row>
    <row r="39" spans="1:9" x14ac:dyDescent="0.2">
      <c r="A39" t="s">
        <v>118</v>
      </c>
      <c r="B39">
        <v>13</v>
      </c>
      <c r="C39">
        <v>5</v>
      </c>
      <c r="D39">
        <v>5</v>
      </c>
      <c r="E39">
        <v>0</v>
      </c>
      <c r="F39">
        <v>5.0365173518657604</v>
      </c>
      <c r="G39">
        <v>10000</v>
      </c>
      <c r="H39">
        <v>10000</v>
      </c>
      <c r="I39" t="s">
        <v>575</v>
      </c>
    </row>
    <row r="40" spans="1:9" x14ac:dyDescent="0.2">
      <c r="A40" t="s">
        <v>120</v>
      </c>
      <c r="B40">
        <v>14</v>
      </c>
      <c r="C40">
        <v>6</v>
      </c>
      <c r="D40">
        <v>5</v>
      </c>
      <c r="E40">
        <v>0</v>
      </c>
      <c r="F40">
        <v>5.18751436471939</v>
      </c>
      <c r="G40">
        <v>10000</v>
      </c>
      <c r="H40">
        <v>10000</v>
      </c>
      <c r="I40" t="s">
        <v>576</v>
      </c>
    </row>
    <row r="41" spans="1:9" x14ac:dyDescent="0.2">
      <c r="A41" t="s">
        <v>122</v>
      </c>
      <c r="B41">
        <v>15</v>
      </c>
      <c r="C41">
        <v>7</v>
      </c>
      <c r="D41">
        <v>5</v>
      </c>
      <c r="E41">
        <v>0</v>
      </c>
      <c r="F41">
        <v>5.1681388542056004</v>
      </c>
      <c r="G41">
        <v>9626</v>
      </c>
      <c r="H41">
        <v>10000</v>
      </c>
      <c r="I41" t="s">
        <v>577</v>
      </c>
    </row>
    <row r="42" spans="1:9" x14ac:dyDescent="0.2">
      <c r="A42" t="s">
        <v>124</v>
      </c>
      <c r="B42">
        <v>16</v>
      </c>
      <c r="C42">
        <v>8</v>
      </c>
      <c r="D42">
        <v>5</v>
      </c>
      <c r="E42">
        <v>0</v>
      </c>
      <c r="F42">
        <v>5.2371140345931</v>
      </c>
      <c r="G42">
        <v>9495</v>
      </c>
      <c r="H42">
        <v>10000</v>
      </c>
      <c r="I42" t="s">
        <v>578</v>
      </c>
    </row>
    <row r="43" spans="1:9" x14ac:dyDescent="0.2">
      <c r="A43" t="s">
        <v>126</v>
      </c>
      <c r="B43">
        <v>20</v>
      </c>
      <c r="C43">
        <v>5</v>
      </c>
      <c r="D43">
        <v>9</v>
      </c>
      <c r="E43">
        <v>0</v>
      </c>
      <c r="F43">
        <v>5.5718953981995503</v>
      </c>
      <c r="G43">
        <v>9624</v>
      </c>
      <c r="H43">
        <v>10000</v>
      </c>
      <c r="I43" t="s">
        <v>460</v>
      </c>
    </row>
    <row r="44" spans="1:9" x14ac:dyDescent="0.2">
      <c r="A44" t="s">
        <v>128</v>
      </c>
      <c r="B44">
        <v>21</v>
      </c>
      <c r="C44">
        <v>5</v>
      </c>
      <c r="D44">
        <v>10</v>
      </c>
      <c r="E44">
        <v>0</v>
      </c>
      <c r="F44">
        <v>5.6588090360164598</v>
      </c>
      <c r="G44">
        <v>10000</v>
      </c>
      <c r="H44">
        <v>10000</v>
      </c>
      <c r="I44" t="s">
        <v>579</v>
      </c>
    </row>
    <row r="45" spans="1:9" x14ac:dyDescent="0.2">
      <c r="A45" t="s">
        <v>130</v>
      </c>
      <c r="B45">
        <v>22</v>
      </c>
      <c r="C45">
        <v>6</v>
      </c>
      <c r="D45">
        <v>9</v>
      </c>
      <c r="E45">
        <v>0</v>
      </c>
      <c r="F45">
        <v>5.8036359399557096</v>
      </c>
      <c r="G45">
        <v>9495</v>
      </c>
      <c r="H45">
        <v>10000</v>
      </c>
      <c r="I45" t="s">
        <v>580</v>
      </c>
    </row>
    <row r="46" spans="1:9" x14ac:dyDescent="0.2">
      <c r="A46" t="s">
        <v>132</v>
      </c>
      <c r="B46">
        <v>23</v>
      </c>
      <c r="C46">
        <v>7</v>
      </c>
      <c r="D46">
        <v>9</v>
      </c>
      <c r="E46">
        <v>0</v>
      </c>
      <c r="F46">
        <v>6.0052013173699299</v>
      </c>
      <c r="G46">
        <v>9999</v>
      </c>
      <c r="H46">
        <v>10000</v>
      </c>
      <c r="I46" t="s">
        <v>581</v>
      </c>
    </row>
    <row r="47" spans="1:9" x14ac:dyDescent="0.2">
      <c r="A47" t="s">
        <v>134</v>
      </c>
      <c r="B47">
        <v>24</v>
      </c>
      <c r="C47">
        <v>3</v>
      </c>
      <c r="D47">
        <v>13</v>
      </c>
      <c r="E47">
        <v>0</v>
      </c>
      <c r="F47">
        <v>5.2836357504129401</v>
      </c>
      <c r="G47">
        <v>9143</v>
      </c>
      <c r="H47">
        <v>10000</v>
      </c>
      <c r="I47" t="s">
        <v>582</v>
      </c>
    </row>
    <row r="48" spans="1:9" x14ac:dyDescent="0.2">
      <c r="A48" t="s">
        <v>136</v>
      </c>
      <c r="B48">
        <v>25</v>
      </c>
      <c r="C48">
        <v>15</v>
      </c>
      <c r="D48">
        <v>5</v>
      </c>
      <c r="E48">
        <v>0</v>
      </c>
      <c r="F48">
        <v>6.33275455981493</v>
      </c>
      <c r="G48">
        <v>9853</v>
      </c>
      <c r="H48">
        <v>10000</v>
      </c>
      <c r="I48" t="s">
        <v>583</v>
      </c>
    </row>
    <row r="49" spans="1:9" x14ac:dyDescent="0.2">
      <c r="A49" t="s">
        <v>138</v>
      </c>
      <c r="B49">
        <v>26</v>
      </c>
      <c r="C49">
        <v>9</v>
      </c>
      <c r="D49">
        <v>9</v>
      </c>
      <c r="E49">
        <v>0</v>
      </c>
      <c r="F49">
        <v>6.6067112609744001</v>
      </c>
      <c r="G49">
        <v>10000</v>
      </c>
      <c r="H49">
        <v>10000</v>
      </c>
      <c r="I49" t="s">
        <v>584</v>
      </c>
    </row>
    <row r="50" spans="1:9" x14ac:dyDescent="0.2">
      <c r="A50" t="s">
        <v>140</v>
      </c>
      <c r="B50">
        <v>27</v>
      </c>
      <c r="C50">
        <v>10</v>
      </c>
      <c r="D50">
        <v>9</v>
      </c>
      <c r="E50">
        <v>0</v>
      </c>
      <c r="F50">
        <v>6.7808520421385703</v>
      </c>
      <c r="G50">
        <v>9645</v>
      </c>
      <c r="H50">
        <v>10000</v>
      </c>
      <c r="I50" t="s">
        <v>585</v>
      </c>
    </row>
    <row r="51" spans="1:9" x14ac:dyDescent="0.2">
      <c r="A51" t="s">
        <v>142</v>
      </c>
      <c r="B51">
        <v>28</v>
      </c>
      <c r="C51">
        <v>18</v>
      </c>
      <c r="D51">
        <v>5</v>
      </c>
      <c r="E51">
        <v>0</v>
      </c>
      <c r="F51">
        <v>6.8172948658466304</v>
      </c>
      <c r="G51">
        <v>9949</v>
      </c>
      <c r="H51">
        <v>10000</v>
      </c>
      <c r="I51" t="s">
        <v>586</v>
      </c>
    </row>
    <row r="52" spans="1:9" x14ac:dyDescent="0.2">
      <c r="A52" t="s">
        <v>144</v>
      </c>
      <c r="B52">
        <v>29</v>
      </c>
      <c r="C52">
        <v>6</v>
      </c>
      <c r="D52">
        <v>13</v>
      </c>
      <c r="E52">
        <v>0</v>
      </c>
      <c r="F52">
        <v>6.0742934048175803</v>
      </c>
      <c r="G52">
        <v>7253</v>
      </c>
      <c r="H52">
        <v>10000</v>
      </c>
      <c r="I52" t="s">
        <v>587</v>
      </c>
    </row>
    <row r="53" spans="1:9" x14ac:dyDescent="0.2">
      <c r="A53" t="s">
        <v>146</v>
      </c>
      <c r="B53">
        <v>30</v>
      </c>
      <c r="C53">
        <v>6</v>
      </c>
      <c r="D53">
        <v>14</v>
      </c>
      <c r="E53">
        <v>0</v>
      </c>
      <c r="F53">
        <v>5.9783553034067101</v>
      </c>
      <c r="G53">
        <v>7269</v>
      </c>
      <c r="H53">
        <v>10000</v>
      </c>
      <c r="I53" t="s">
        <v>588</v>
      </c>
    </row>
    <row r="54" spans="1:9" x14ac:dyDescent="0.2">
      <c r="A54" t="s">
        <v>148</v>
      </c>
      <c r="B54">
        <v>31</v>
      </c>
      <c r="C54">
        <v>3</v>
      </c>
      <c r="D54">
        <v>17</v>
      </c>
      <c r="E54">
        <v>0</v>
      </c>
      <c r="F54">
        <v>5.68660823255777</v>
      </c>
      <c r="G54">
        <v>9165</v>
      </c>
      <c r="H54">
        <v>10000</v>
      </c>
      <c r="I54" t="s">
        <v>589</v>
      </c>
    </row>
    <row r="55" spans="1:9" x14ac:dyDescent="0.2">
      <c r="A55" t="s">
        <v>150</v>
      </c>
      <c r="B55">
        <v>32</v>
      </c>
      <c r="C55">
        <v>8</v>
      </c>
      <c r="D55">
        <v>13</v>
      </c>
      <c r="E55">
        <v>0</v>
      </c>
      <c r="F55">
        <v>6.8026084303855896</v>
      </c>
      <c r="G55">
        <v>9870</v>
      </c>
      <c r="H55">
        <v>10000</v>
      </c>
      <c r="I55" t="s">
        <v>590</v>
      </c>
    </row>
    <row r="56" spans="1:9" x14ac:dyDescent="0.2">
      <c r="A56" t="s">
        <v>152</v>
      </c>
      <c r="B56">
        <v>33</v>
      </c>
      <c r="C56">
        <v>18</v>
      </c>
      <c r="D56">
        <v>7</v>
      </c>
      <c r="E56">
        <v>0</v>
      </c>
      <c r="F56">
        <v>7.93283004313707</v>
      </c>
      <c r="G56">
        <v>7215</v>
      </c>
      <c r="H56">
        <v>10000</v>
      </c>
      <c r="I56" t="s">
        <v>591</v>
      </c>
    </row>
    <row r="57" spans="1:9" x14ac:dyDescent="0.2">
      <c r="A57" t="s">
        <v>154</v>
      </c>
      <c r="B57">
        <v>34</v>
      </c>
      <c r="C57">
        <v>4</v>
      </c>
      <c r="D57">
        <v>17</v>
      </c>
      <c r="E57">
        <v>0</v>
      </c>
      <c r="F57">
        <v>6.0924511328339497</v>
      </c>
      <c r="G57">
        <v>9891</v>
      </c>
      <c r="H57">
        <v>10000</v>
      </c>
      <c r="I57" t="s">
        <v>471</v>
      </c>
    </row>
    <row r="58" spans="1:9" x14ac:dyDescent="0.2">
      <c r="A58" t="s">
        <v>156</v>
      </c>
      <c r="B58">
        <v>35</v>
      </c>
      <c r="C58">
        <v>20</v>
      </c>
      <c r="D58">
        <v>7</v>
      </c>
      <c r="E58">
        <v>0</v>
      </c>
      <c r="F58">
        <v>8.1387261897325498</v>
      </c>
      <c r="G58">
        <v>9228</v>
      </c>
      <c r="H58">
        <v>10000</v>
      </c>
      <c r="I58" t="s">
        <v>592</v>
      </c>
    </row>
    <row r="59" spans="1:9" x14ac:dyDescent="0.2">
      <c r="A59" t="s">
        <v>158</v>
      </c>
      <c r="B59">
        <v>36</v>
      </c>
      <c r="C59">
        <v>5</v>
      </c>
      <c r="D59">
        <v>17</v>
      </c>
      <c r="E59">
        <v>0</v>
      </c>
      <c r="F59">
        <v>6.3582329154014499</v>
      </c>
      <c r="G59">
        <v>9615</v>
      </c>
      <c r="H59">
        <v>10000</v>
      </c>
      <c r="I59" t="s">
        <v>593</v>
      </c>
    </row>
    <row r="60" spans="1:9" x14ac:dyDescent="0.2">
      <c r="A60" t="s">
        <v>160</v>
      </c>
      <c r="B60">
        <v>37</v>
      </c>
      <c r="C60">
        <v>6</v>
      </c>
      <c r="D60">
        <v>17</v>
      </c>
      <c r="E60">
        <v>0</v>
      </c>
      <c r="F60">
        <v>6.7206691429018903</v>
      </c>
      <c r="G60">
        <v>9709</v>
      </c>
      <c r="H60">
        <v>10000</v>
      </c>
      <c r="I60" t="s">
        <v>594</v>
      </c>
    </row>
    <row r="61" spans="1:9" x14ac:dyDescent="0.2">
      <c r="A61" t="s">
        <v>162</v>
      </c>
      <c r="B61">
        <v>38</v>
      </c>
      <c r="C61">
        <v>3</v>
      </c>
      <c r="D61">
        <v>21</v>
      </c>
      <c r="E61">
        <v>0</v>
      </c>
      <c r="F61">
        <v>6.0305152684450096</v>
      </c>
      <c r="G61">
        <v>9192</v>
      </c>
      <c r="H61">
        <v>10000</v>
      </c>
      <c r="I61" t="s">
        <v>595</v>
      </c>
    </row>
    <row r="62" spans="1:9" x14ac:dyDescent="0.2">
      <c r="A62" t="s">
        <v>164</v>
      </c>
      <c r="B62">
        <v>39</v>
      </c>
      <c r="C62">
        <v>7</v>
      </c>
      <c r="D62">
        <v>17</v>
      </c>
      <c r="E62">
        <v>0</v>
      </c>
      <c r="F62">
        <v>6.8272753655910403</v>
      </c>
      <c r="G62">
        <v>9923</v>
      </c>
      <c r="H62">
        <v>10000</v>
      </c>
      <c r="I62" t="s">
        <v>594</v>
      </c>
    </row>
    <row r="63" spans="1:9" x14ac:dyDescent="0.2">
      <c r="A63" t="s">
        <v>166</v>
      </c>
      <c r="B63">
        <v>40</v>
      </c>
      <c r="C63">
        <v>13</v>
      </c>
      <c r="D63">
        <v>13</v>
      </c>
      <c r="E63">
        <v>0</v>
      </c>
      <c r="F63">
        <v>8.5814081281423498</v>
      </c>
      <c r="G63">
        <v>9983</v>
      </c>
      <c r="H63">
        <v>10000</v>
      </c>
      <c r="I63" t="s">
        <v>596</v>
      </c>
    </row>
    <row r="64" spans="1:9" x14ac:dyDescent="0.2">
      <c r="A64" t="s">
        <v>168</v>
      </c>
      <c r="B64">
        <v>41</v>
      </c>
      <c r="C64">
        <v>8</v>
      </c>
      <c r="D64">
        <v>17</v>
      </c>
      <c r="E64">
        <v>0</v>
      </c>
      <c r="F64">
        <v>7.3136567845940501</v>
      </c>
      <c r="G64">
        <v>9972</v>
      </c>
      <c r="H64">
        <v>10000</v>
      </c>
      <c r="I64" t="s">
        <v>597</v>
      </c>
    </row>
    <row r="65" spans="1:9" x14ac:dyDescent="0.2">
      <c r="A65" t="s">
        <v>170</v>
      </c>
      <c r="B65">
        <v>42</v>
      </c>
      <c r="C65">
        <v>9</v>
      </c>
      <c r="D65">
        <v>17</v>
      </c>
      <c r="E65">
        <v>0</v>
      </c>
      <c r="F65">
        <v>7.5416698008775702</v>
      </c>
      <c r="G65">
        <v>9732</v>
      </c>
      <c r="H65">
        <v>10000</v>
      </c>
      <c r="I65" t="s">
        <v>598</v>
      </c>
    </row>
    <row r="66" spans="1:9" x14ac:dyDescent="0.2">
      <c r="A66" t="s">
        <v>172</v>
      </c>
      <c r="B66">
        <v>43</v>
      </c>
      <c r="C66">
        <v>22</v>
      </c>
      <c r="D66">
        <v>9</v>
      </c>
      <c r="E66">
        <v>0</v>
      </c>
      <c r="F66">
        <v>9.9640104249119705</v>
      </c>
      <c r="G66">
        <v>8559</v>
      </c>
      <c r="H66">
        <v>10000</v>
      </c>
      <c r="I66" t="s">
        <v>599</v>
      </c>
    </row>
    <row r="67" spans="1:9" x14ac:dyDescent="0.2">
      <c r="A67" t="s">
        <v>174</v>
      </c>
      <c r="B67">
        <v>44</v>
      </c>
      <c r="C67">
        <v>23</v>
      </c>
      <c r="D67">
        <v>9</v>
      </c>
      <c r="E67">
        <v>0</v>
      </c>
      <c r="F67">
        <v>10.2787525951862</v>
      </c>
      <c r="G67">
        <v>8462</v>
      </c>
      <c r="H67">
        <v>10000</v>
      </c>
      <c r="I67" t="s">
        <v>600</v>
      </c>
    </row>
    <row r="68" spans="1:9" x14ac:dyDescent="0.2">
      <c r="A68" t="s">
        <v>176</v>
      </c>
      <c r="B68">
        <v>45</v>
      </c>
      <c r="C68">
        <v>24</v>
      </c>
      <c r="D68">
        <v>9</v>
      </c>
      <c r="E68">
        <v>0</v>
      </c>
      <c r="F68">
        <v>10.317862249910799</v>
      </c>
      <c r="G68">
        <v>8073</v>
      </c>
      <c r="H68">
        <v>10000</v>
      </c>
      <c r="I68" t="s">
        <v>601</v>
      </c>
    </row>
    <row r="69" spans="1:9" x14ac:dyDescent="0.2">
      <c r="A69" t="s">
        <v>178</v>
      </c>
      <c r="B69">
        <v>46</v>
      </c>
      <c r="C69">
        <v>15</v>
      </c>
      <c r="D69">
        <v>15</v>
      </c>
      <c r="E69">
        <v>0</v>
      </c>
      <c r="F69">
        <v>8.9453330039977992</v>
      </c>
      <c r="G69">
        <v>9299</v>
      </c>
      <c r="H69">
        <v>10000</v>
      </c>
      <c r="I69" t="s">
        <v>602</v>
      </c>
    </row>
    <row r="70" spans="1:9" x14ac:dyDescent="0.2">
      <c r="A70" t="s">
        <v>180</v>
      </c>
      <c r="B70">
        <v>47</v>
      </c>
      <c r="C70">
        <v>25</v>
      </c>
      <c r="D70">
        <v>9</v>
      </c>
      <c r="E70">
        <v>0</v>
      </c>
      <c r="F70">
        <v>10.9586245417594</v>
      </c>
      <c r="G70">
        <v>8380</v>
      </c>
      <c r="H70">
        <v>10000</v>
      </c>
      <c r="I70" t="s">
        <v>603</v>
      </c>
    </row>
    <row r="71" spans="1:9" x14ac:dyDescent="0.2">
      <c r="A71" t="s">
        <v>182</v>
      </c>
      <c r="B71">
        <v>48</v>
      </c>
      <c r="C71">
        <v>26</v>
      </c>
      <c r="D71">
        <v>9</v>
      </c>
      <c r="E71">
        <v>0</v>
      </c>
      <c r="F71">
        <v>11.1430333331227</v>
      </c>
      <c r="G71">
        <v>8710</v>
      </c>
      <c r="H71">
        <v>10000</v>
      </c>
      <c r="I71" t="s">
        <v>604</v>
      </c>
    </row>
    <row r="72" spans="1:9" x14ac:dyDescent="0.2">
      <c r="A72" t="s">
        <v>184</v>
      </c>
      <c r="B72">
        <v>49</v>
      </c>
      <c r="C72">
        <v>4</v>
      </c>
      <c r="D72">
        <v>25</v>
      </c>
      <c r="E72">
        <v>0</v>
      </c>
      <c r="F72">
        <v>7.1014212444424603</v>
      </c>
      <c r="G72">
        <v>9862</v>
      </c>
      <c r="H72">
        <v>10000</v>
      </c>
      <c r="I72" t="s">
        <v>605</v>
      </c>
    </row>
    <row r="73" spans="1:9" x14ac:dyDescent="0.2">
      <c r="A73" t="s">
        <v>186</v>
      </c>
      <c r="B73">
        <v>50</v>
      </c>
      <c r="C73">
        <v>19</v>
      </c>
      <c r="D73">
        <v>13</v>
      </c>
      <c r="E73">
        <v>0</v>
      </c>
      <c r="F73">
        <v>10.831619784235899</v>
      </c>
      <c r="G73">
        <v>7941</v>
      </c>
      <c r="H73">
        <v>10000</v>
      </c>
      <c r="I73" t="s">
        <v>606</v>
      </c>
    </row>
    <row r="74" spans="1:9" x14ac:dyDescent="0.2">
      <c r="A74" t="s">
        <v>188</v>
      </c>
      <c r="B74">
        <v>51</v>
      </c>
      <c r="C74">
        <v>28</v>
      </c>
      <c r="D74">
        <v>9</v>
      </c>
      <c r="E74">
        <v>0</v>
      </c>
      <c r="F74">
        <v>12.023442521691299</v>
      </c>
      <c r="G74">
        <v>6964</v>
      </c>
      <c r="H74">
        <v>10000</v>
      </c>
      <c r="I74" t="s">
        <v>607</v>
      </c>
    </row>
    <row r="75" spans="1:9" x14ac:dyDescent="0.2">
      <c r="A75" t="s">
        <v>190</v>
      </c>
      <c r="B75">
        <v>52</v>
      </c>
      <c r="C75">
        <v>15</v>
      </c>
      <c r="D75">
        <v>17</v>
      </c>
      <c r="E75">
        <v>0</v>
      </c>
      <c r="F75">
        <v>9.5774936899542809</v>
      </c>
      <c r="G75">
        <v>8467</v>
      </c>
      <c r="H75">
        <v>10000</v>
      </c>
      <c r="I75" t="s">
        <v>608</v>
      </c>
    </row>
    <row r="76" spans="1:9" x14ac:dyDescent="0.2">
      <c r="A76" t="s">
        <v>192</v>
      </c>
      <c r="B76">
        <v>53</v>
      </c>
      <c r="C76">
        <v>16</v>
      </c>
      <c r="D76">
        <v>17</v>
      </c>
      <c r="E76">
        <v>0</v>
      </c>
      <c r="F76">
        <v>9.4995760321617109</v>
      </c>
      <c r="G76">
        <v>4949</v>
      </c>
      <c r="H76">
        <v>10000</v>
      </c>
      <c r="I76" t="s">
        <v>609</v>
      </c>
    </row>
    <row r="77" spans="1:9" x14ac:dyDescent="0.2">
      <c r="A77" t="s">
        <v>194</v>
      </c>
      <c r="B77">
        <v>54</v>
      </c>
      <c r="C77">
        <v>31</v>
      </c>
      <c r="D77">
        <v>9</v>
      </c>
      <c r="E77">
        <v>0</v>
      </c>
      <c r="F77">
        <v>13.143843576311999</v>
      </c>
      <c r="G77">
        <v>7781</v>
      </c>
      <c r="H77">
        <v>10000</v>
      </c>
      <c r="I77" t="s">
        <v>610</v>
      </c>
    </row>
    <row r="78" spans="1:9" x14ac:dyDescent="0.2">
      <c r="A78" t="s">
        <v>196</v>
      </c>
      <c r="B78">
        <v>55</v>
      </c>
      <c r="C78">
        <v>23</v>
      </c>
      <c r="D78">
        <v>13</v>
      </c>
      <c r="E78">
        <v>0</v>
      </c>
      <c r="F78">
        <v>11.759414918720701</v>
      </c>
      <c r="G78">
        <v>9544</v>
      </c>
      <c r="H78">
        <v>10000</v>
      </c>
      <c r="I78" t="s">
        <v>611</v>
      </c>
    </row>
    <row r="79" spans="1:9" x14ac:dyDescent="0.2">
      <c r="A79" t="s">
        <v>198</v>
      </c>
      <c r="B79">
        <v>56</v>
      </c>
      <c r="C79">
        <v>17</v>
      </c>
      <c r="D79">
        <v>17</v>
      </c>
      <c r="E79">
        <v>0</v>
      </c>
      <c r="F79">
        <v>10.483481407165501</v>
      </c>
      <c r="G79">
        <v>6755</v>
      </c>
      <c r="H79">
        <v>10000</v>
      </c>
      <c r="I79" t="s">
        <v>612</v>
      </c>
    </row>
    <row r="80" spans="1:9" x14ac:dyDescent="0.2">
      <c r="A80" t="s">
        <v>200</v>
      </c>
      <c r="B80">
        <v>57</v>
      </c>
      <c r="C80">
        <v>18</v>
      </c>
      <c r="D80">
        <v>17</v>
      </c>
      <c r="E80">
        <v>0</v>
      </c>
      <c r="F80">
        <v>10.8817374035716</v>
      </c>
      <c r="G80">
        <v>6403</v>
      </c>
      <c r="H80">
        <v>10000</v>
      </c>
      <c r="I80" t="s">
        <v>613</v>
      </c>
    </row>
    <row r="81" spans="1:9" x14ac:dyDescent="0.2">
      <c r="A81" t="s">
        <v>202</v>
      </c>
      <c r="B81">
        <v>58</v>
      </c>
      <c r="C81">
        <v>3</v>
      </c>
      <c r="D81">
        <v>32</v>
      </c>
      <c r="E81">
        <v>0</v>
      </c>
      <c r="F81">
        <v>7.2708695754408801</v>
      </c>
      <c r="G81">
        <v>8322</v>
      </c>
      <c r="H81">
        <v>10000</v>
      </c>
      <c r="I81" t="s">
        <v>498</v>
      </c>
    </row>
    <row r="82" spans="1:9" x14ac:dyDescent="0.2">
      <c r="A82" t="s">
        <v>204</v>
      </c>
      <c r="B82">
        <v>59</v>
      </c>
      <c r="C82">
        <v>19</v>
      </c>
      <c r="D82">
        <v>17</v>
      </c>
      <c r="E82">
        <v>0</v>
      </c>
      <c r="F82">
        <v>11.5005099624395</v>
      </c>
      <c r="G82">
        <v>8883</v>
      </c>
      <c r="H82">
        <v>10000</v>
      </c>
      <c r="I82" t="s">
        <v>614</v>
      </c>
    </row>
    <row r="83" spans="1:9" x14ac:dyDescent="0.2">
      <c r="A83" t="s">
        <v>206</v>
      </c>
      <c r="B83">
        <v>60</v>
      </c>
      <c r="C83">
        <v>20</v>
      </c>
      <c r="D83">
        <v>17</v>
      </c>
      <c r="E83">
        <v>0</v>
      </c>
      <c r="F83">
        <v>11.042643070220899</v>
      </c>
      <c r="G83">
        <v>4563</v>
      </c>
      <c r="H83">
        <v>10000</v>
      </c>
      <c r="I83" t="s">
        <v>615</v>
      </c>
    </row>
    <row r="84" spans="1:9" x14ac:dyDescent="0.2">
      <c r="A84" t="s">
        <v>208</v>
      </c>
      <c r="B84">
        <v>61</v>
      </c>
      <c r="C84">
        <v>18</v>
      </c>
      <c r="D84">
        <v>19</v>
      </c>
      <c r="E84">
        <v>0</v>
      </c>
      <c r="F84">
        <v>11.567129641771301</v>
      </c>
      <c r="G84">
        <v>4291</v>
      </c>
      <c r="H84">
        <v>10000</v>
      </c>
      <c r="I84" t="s">
        <v>616</v>
      </c>
    </row>
    <row r="85" spans="1:9" x14ac:dyDescent="0.2">
      <c r="A85" t="s">
        <v>210</v>
      </c>
      <c r="B85">
        <v>62</v>
      </c>
      <c r="C85">
        <v>21</v>
      </c>
      <c r="D85">
        <v>17</v>
      </c>
      <c r="E85">
        <v>0</v>
      </c>
      <c r="F85">
        <v>13.315886743366701</v>
      </c>
      <c r="G85">
        <v>8364</v>
      </c>
      <c r="H85">
        <v>10000</v>
      </c>
      <c r="I85" t="s">
        <v>617</v>
      </c>
    </row>
    <row r="86" spans="1:9" x14ac:dyDescent="0.2">
      <c r="A86" t="s">
        <v>212</v>
      </c>
      <c r="B86">
        <v>63</v>
      </c>
      <c r="C86">
        <v>23</v>
      </c>
      <c r="D86">
        <v>16</v>
      </c>
      <c r="E86">
        <v>0</v>
      </c>
      <c r="F86">
        <v>13.2005026564002</v>
      </c>
      <c r="G86">
        <v>5857</v>
      </c>
      <c r="H86">
        <v>10000</v>
      </c>
      <c r="I86" t="s">
        <v>618</v>
      </c>
    </row>
    <row r="87" spans="1:9" x14ac:dyDescent="0.2">
      <c r="A87" t="s">
        <v>214</v>
      </c>
      <c r="B87">
        <v>64</v>
      </c>
      <c r="C87">
        <v>24</v>
      </c>
      <c r="D87">
        <v>16</v>
      </c>
      <c r="E87">
        <v>0</v>
      </c>
      <c r="F87">
        <v>12.5411666557192</v>
      </c>
      <c r="G87">
        <v>4083</v>
      </c>
      <c r="H87">
        <v>10000</v>
      </c>
      <c r="I87" t="s">
        <v>619</v>
      </c>
    </row>
    <row r="88" spans="1:9" x14ac:dyDescent="0.2">
      <c r="A88" t="s">
        <v>216</v>
      </c>
      <c r="B88">
        <v>65</v>
      </c>
      <c r="C88">
        <v>31</v>
      </c>
      <c r="D88">
        <v>13</v>
      </c>
      <c r="E88">
        <v>0</v>
      </c>
      <c r="F88">
        <v>14.431216120719901</v>
      </c>
      <c r="G88">
        <v>5441</v>
      </c>
      <c r="H88">
        <v>10000</v>
      </c>
      <c r="I88" t="s">
        <v>620</v>
      </c>
    </row>
    <row r="89" spans="1:9" x14ac:dyDescent="0.2">
      <c r="A89" t="s">
        <v>218</v>
      </c>
      <c r="B89">
        <v>66</v>
      </c>
      <c r="C89">
        <v>32</v>
      </c>
      <c r="D89">
        <v>13</v>
      </c>
      <c r="E89">
        <v>0</v>
      </c>
      <c r="F89">
        <v>14.9454656913876</v>
      </c>
      <c r="G89">
        <v>5545</v>
      </c>
      <c r="H89">
        <v>10000</v>
      </c>
      <c r="I89" t="s">
        <v>621</v>
      </c>
    </row>
    <row r="90" spans="1:9" x14ac:dyDescent="0.2">
      <c r="A90" t="s">
        <v>220</v>
      </c>
      <c r="B90">
        <v>67</v>
      </c>
      <c r="C90">
        <v>33</v>
      </c>
      <c r="D90">
        <v>13</v>
      </c>
      <c r="E90">
        <v>0</v>
      </c>
      <c r="F90">
        <v>15.5308408439159</v>
      </c>
      <c r="G90">
        <v>5469</v>
      </c>
      <c r="H90">
        <v>10000</v>
      </c>
      <c r="I90" t="s">
        <v>622</v>
      </c>
    </row>
    <row r="91" spans="1:9" x14ac:dyDescent="0.2">
      <c r="A91" t="s">
        <v>222</v>
      </c>
      <c r="B91">
        <v>68</v>
      </c>
      <c r="C91">
        <v>34</v>
      </c>
      <c r="D91">
        <v>13</v>
      </c>
      <c r="E91">
        <v>0</v>
      </c>
      <c r="F91">
        <v>15.851194925606199</v>
      </c>
      <c r="G91">
        <v>5208</v>
      </c>
      <c r="H91">
        <v>10000</v>
      </c>
      <c r="I91" t="s">
        <v>623</v>
      </c>
    </row>
    <row r="92" spans="1:9" x14ac:dyDescent="0.2">
      <c r="A92" t="s">
        <v>224</v>
      </c>
      <c r="B92">
        <v>69</v>
      </c>
      <c r="C92">
        <v>35</v>
      </c>
      <c r="D92">
        <v>13</v>
      </c>
      <c r="E92">
        <v>0</v>
      </c>
      <c r="F92">
        <v>16.432750023901399</v>
      </c>
      <c r="G92">
        <v>5053</v>
      </c>
      <c r="H92">
        <v>10000</v>
      </c>
      <c r="I92" t="s">
        <v>624</v>
      </c>
    </row>
    <row r="93" spans="1:9" x14ac:dyDescent="0.2">
      <c r="A93" t="s">
        <v>226</v>
      </c>
      <c r="B93">
        <v>70</v>
      </c>
      <c r="C93">
        <v>36</v>
      </c>
      <c r="D93">
        <v>13</v>
      </c>
      <c r="E93">
        <v>0</v>
      </c>
      <c r="F93">
        <v>16.503697916865299</v>
      </c>
      <c r="G93">
        <v>5107</v>
      </c>
      <c r="H93">
        <v>10000</v>
      </c>
      <c r="I93" t="s">
        <v>625</v>
      </c>
    </row>
    <row r="94" spans="1:9" x14ac:dyDescent="0.2">
      <c r="A94" t="s">
        <v>228</v>
      </c>
      <c r="B94">
        <v>71</v>
      </c>
      <c r="C94">
        <v>12</v>
      </c>
      <c r="D94">
        <v>29</v>
      </c>
      <c r="E94">
        <v>0</v>
      </c>
      <c r="F94">
        <v>12.0045036002993</v>
      </c>
      <c r="G94">
        <v>8773</v>
      </c>
      <c r="H94">
        <v>10000</v>
      </c>
      <c r="I94" t="s">
        <v>626</v>
      </c>
    </row>
    <row r="95" spans="1:9" x14ac:dyDescent="0.2">
      <c r="A95" t="s">
        <v>230</v>
      </c>
      <c r="B95">
        <v>72</v>
      </c>
      <c r="C95">
        <v>37</v>
      </c>
      <c r="D95">
        <v>13</v>
      </c>
      <c r="E95">
        <v>0</v>
      </c>
      <c r="F95">
        <v>18.017308861017199</v>
      </c>
      <c r="G95">
        <v>4048</v>
      </c>
      <c r="H95">
        <v>10000</v>
      </c>
      <c r="I95" t="s">
        <v>627</v>
      </c>
    </row>
    <row r="96" spans="1:9" x14ac:dyDescent="0.2">
      <c r="A96" t="s">
        <v>232</v>
      </c>
      <c r="B96">
        <v>73</v>
      </c>
      <c r="C96">
        <v>38</v>
      </c>
      <c r="D96">
        <v>13</v>
      </c>
      <c r="E96">
        <v>0</v>
      </c>
      <c r="F96">
        <v>18.950176902115299</v>
      </c>
      <c r="G96">
        <v>6048</v>
      </c>
      <c r="H96">
        <v>10000</v>
      </c>
      <c r="I96" t="s">
        <v>628</v>
      </c>
    </row>
    <row r="97" spans="1:9" x14ac:dyDescent="0.2">
      <c r="A97" t="s">
        <v>234</v>
      </c>
      <c r="B97">
        <v>74</v>
      </c>
      <c r="C97">
        <v>9</v>
      </c>
      <c r="D97">
        <v>32</v>
      </c>
      <c r="E97">
        <v>0</v>
      </c>
      <c r="F97">
        <v>11.377667874097799</v>
      </c>
      <c r="G97">
        <v>8353</v>
      </c>
      <c r="H97">
        <v>10000</v>
      </c>
      <c r="I97" t="s">
        <v>629</v>
      </c>
    </row>
    <row r="98" spans="1:9" x14ac:dyDescent="0.2">
      <c r="A98" t="s">
        <v>236</v>
      </c>
      <c r="B98">
        <v>75</v>
      </c>
      <c r="C98">
        <v>28</v>
      </c>
      <c r="D98">
        <v>19</v>
      </c>
      <c r="E98">
        <v>0</v>
      </c>
      <c r="F98">
        <v>15.852073781192299</v>
      </c>
      <c r="G98">
        <v>1287</v>
      </c>
      <c r="H98">
        <v>10000</v>
      </c>
      <c r="I98" t="s">
        <v>630</v>
      </c>
    </row>
    <row r="99" spans="1:9" x14ac:dyDescent="0.2">
      <c r="A99" t="s">
        <v>238</v>
      </c>
      <c r="B99">
        <v>76</v>
      </c>
      <c r="C99">
        <v>40</v>
      </c>
      <c r="D99">
        <v>12</v>
      </c>
      <c r="E99">
        <v>0</v>
      </c>
      <c r="F99">
        <v>18.932139866054001</v>
      </c>
      <c r="G99">
        <v>5096</v>
      </c>
      <c r="H99">
        <v>10000</v>
      </c>
      <c r="I99" t="s">
        <v>631</v>
      </c>
    </row>
    <row r="100" spans="1:9" x14ac:dyDescent="0.2">
      <c r="A100" t="s">
        <v>240</v>
      </c>
      <c r="B100">
        <v>77</v>
      </c>
      <c r="C100">
        <v>40</v>
      </c>
      <c r="D100">
        <v>13</v>
      </c>
      <c r="E100">
        <v>0</v>
      </c>
      <c r="F100">
        <v>18.601508863270201</v>
      </c>
      <c r="G100">
        <v>1702</v>
      </c>
      <c r="H100">
        <v>10000</v>
      </c>
      <c r="I100" t="s">
        <v>632</v>
      </c>
    </row>
    <row r="101" spans="1:9" x14ac:dyDescent="0.2">
      <c r="A101" t="s">
        <v>242</v>
      </c>
      <c r="B101">
        <v>78</v>
      </c>
      <c r="C101">
        <v>29</v>
      </c>
      <c r="D101">
        <v>19</v>
      </c>
      <c r="E101">
        <v>0</v>
      </c>
      <c r="F101">
        <v>18.9074793606996</v>
      </c>
      <c r="G101">
        <v>2977</v>
      </c>
      <c r="H101">
        <v>10000</v>
      </c>
      <c r="I101" t="s">
        <v>633</v>
      </c>
    </row>
    <row r="102" spans="1:9" x14ac:dyDescent="0.2">
      <c r="A102" t="s">
        <v>244</v>
      </c>
      <c r="B102">
        <v>79</v>
      </c>
      <c r="C102">
        <v>20</v>
      </c>
      <c r="D102">
        <v>24</v>
      </c>
      <c r="E102">
        <v>0</v>
      </c>
      <c r="F102">
        <v>17.558111160993501</v>
      </c>
      <c r="G102">
        <v>3822</v>
      </c>
      <c r="H102">
        <v>10000</v>
      </c>
      <c r="I102" t="s">
        <v>634</v>
      </c>
    </row>
    <row r="103" spans="1:9" x14ac:dyDescent="0.2">
      <c r="A103" t="s">
        <v>246</v>
      </c>
      <c r="B103">
        <v>80</v>
      </c>
      <c r="C103">
        <v>47</v>
      </c>
      <c r="D103">
        <v>11</v>
      </c>
      <c r="E103">
        <v>0</v>
      </c>
      <c r="F103">
        <v>22.482618808746299</v>
      </c>
      <c r="G103">
        <v>6437</v>
      </c>
      <c r="H103">
        <v>10000</v>
      </c>
      <c r="I103" t="s">
        <v>635</v>
      </c>
    </row>
    <row r="104" spans="1:9" x14ac:dyDescent="0.2">
      <c r="A104" t="s">
        <v>248</v>
      </c>
      <c r="B104">
        <v>81</v>
      </c>
      <c r="C104">
        <v>48</v>
      </c>
      <c r="D104">
        <v>11</v>
      </c>
      <c r="E104">
        <v>0</v>
      </c>
      <c r="F104">
        <v>23.019699953496399</v>
      </c>
      <c r="G104">
        <v>6466</v>
      </c>
      <c r="H104">
        <v>10000</v>
      </c>
      <c r="I104" t="s">
        <v>636</v>
      </c>
    </row>
    <row r="105" spans="1:9" x14ac:dyDescent="0.2">
      <c r="A105" t="s">
        <v>250</v>
      </c>
      <c r="B105">
        <v>82</v>
      </c>
      <c r="C105">
        <v>43</v>
      </c>
      <c r="D105">
        <v>13</v>
      </c>
      <c r="E105">
        <v>0</v>
      </c>
      <c r="F105">
        <v>22.537522822618399</v>
      </c>
      <c r="G105">
        <v>2757</v>
      </c>
      <c r="H105">
        <v>10000</v>
      </c>
      <c r="I105" t="s">
        <v>637</v>
      </c>
    </row>
    <row r="106" spans="1:9" x14ac:dyDescent="0.2">
      <c r="A106" t="s">
        <v>252</v>
      </c>
      <c r="B106">
        <v>83</v>
      </c>
      <c r="C106">
        <v>41</v>
      </c>
      <c r="D106">
        <v>15</v>
      </c>
      <c r="E106">
        <v>0</v>
      </c>
      <c r="F106">
        <v>22.908656045794402</v>
      </c>
      <c r="G106">
        <v>1486</v>
      </c>
      <c r="H106">
        <v>10000</v>
      </c>
      <c r="I106" t="s">
        <v>638</v>
      </c>
    </row>
    <row r="107" spans="1:9" x14ac:dyDescent="0.2">
      <c r="A107" t="s">
        <v>254</v>
      </c>
      <c r="B107">
        <v>84</v>
      </c>
      <c r="C107">
        <v>42</v>
      </c>
      <c r="D107">
        <v>15</v>
      </c>
      <c r="E107">
        <v>0</v>
      </c>
      <c r="F107">
        <v>23.960403181612399</v>
      </c>
      <c r="G107">
        <v>1457</v>
      </c>
      <c r="H107">
        <v>10000</v>
      </c>
      <c r="I107" t="s">
        <v>639</v>
      </c>
    </row>
    <row r="108" spans="1:9" x14ac:dyDescent="0.2">
      <c r="A108" t="s">
        <v>256</v>
      </c>
      <c r="B108">
        <v>85</v>
      </c>
      <c r="C108">
        <v>23</v>
      </c>
      <c r="D108">
        <v>24</v>
      </c>
      <c r="E108">
        <v>0</v>
      </c>
      <c r="F108">
        <v>18.503429859876601</v>
      </c>
      <c r="G108">
        <v>304</v>
      </c>
      <c r="H108">
        <v>10000</v>
      </c>
      <c r="I108" t="s">
        <v>640</v>
      </c>
    </row>
    <row r="109" spans="1:9" x14ac:dyDescent="0.2">
      <c r="A109" t="s">
        <v>258</v>
      </c>
      <c r="B109">
        <v>86</v>
      </c>
      <c r="C109">
        <v>23</v>
      </c>
      <c r="D109">
        <v>25</v>
      </c>
      <c r="E109">
        <v>0</v>
      </c>
      <c r="F109">
        <v>18.670333728194201</v>
      </c>
      <c r="G109">
        <v>706</v>
      </c>
      <c r="H109">
        <v>10000</v>
      </c>
      <c r="I109" t="s">
        <v>641</v>
      </c>
    </row>
    <row r="110" spans="1:9" x14ac:dyDescent="0.2">
      <c r="A110" t="s">
        <v>260</v>
      </c>
      <c r="B110">
        <v>87</v>
      </c>
      <c r="C110">
        <v>45</v>
      </c>
      <c r="D110">
        <v>15</v>
      </c>
      <c r="E110">
        <v>0</v>
      </c>
      <c r="F110">
        <v>24.582959443330701</v>
      </c>
      <c r="G110">
        <v>1110</v>
      </c>
      <c r="H110">
        <v>10000</v>
      </c>
      <c r="I110" t="s">
        <v>642</v>
      </c>
    </row>
    <row r="111" spans="1:9" x14ac:dyDescent="0.2">
      <c r="A111" t="s">
        <v>262</v>
      </c>
      <c r="B111">
        <v>88</v>
      </c>
      <c r="C111">
        <v>49</v>
      </c>
      <c r="D111">
        <v>13</v>
      </c>
      <c r="E111">
        <v>0</v>
      </c>
      <c r="F111">
        <v>25.653420343994998</v>
      </c>
      <c r="G111">
        <v>2782</v>
      </c>
      <c r="H111">
        <v>10000</v>
      </c>
      <c r="I111" t="s">
        <v>643</v>
      </c>
    </row>
    <row r="112" spans="1:9" x14ac:dyDescent="0.2">
      <c r="A112" t="s">
        <v>264</v>
      </c>
      <c r="B112">
        <v>89</v>
      </c>
      <c r="C112">
        <v>32</v>
      </c>
      <c r="D112">
        <v>21</v>
      </c>
      <c r="E112">
        <v>0</v>
      </c>
      <c r="F112">
        <v>24.797163181006901</v>
      </c>
      <c r="G112">
        <v>2957</v>
      </c>
      <c r="H112">
        <v>10000</v>
      </c>
      <c r="I112" t="s">
        <v>644</v>
      </c>
    </row>
    <row r="113" spans="1:9" x14ac:dyDescent="0.2">
      <c r="A113" t="s">
        <v>266</v>
      </c>
      <c r="B113">
        <v>90</v>
      </c>
      <c r="C113">
        <v>33</v>
      </c>
      <c r="D113">
        <v>21</v>
      </c>
      <c r="E113">
        <v>0</v>
      </c>
      <c r="F113">
        <v>27.672626093029901</v>
      </c>
      <c r="G113">
        <v>2964</v>
      </c>
      <c r="H113">
        <v>10000</v>
      </c>
      <c r="I113" t="s">
        <v>645</v>
      </c>
    </row>
    <row r="114" spans="1:9" x14ac:dyDescent="0.2">
      <c r="A114" t="s">
        <v>268</v>
      </c>
      <c r="B114">
        <v>91</v>
      </c>
      <c r="C114">
        <v>26</v>
      </c>
      <c r="D114">
        <v>25</v>
      </c>
      <c r="E114">
        <v>0</v>
      </c>
      <c r="F114">
        <v>24.383366443216801</v>
      </c>
      <c r="G114">
        <v>1419</v>
      </c>
      <c r="H114">
        <v>10000</v>
      </c>
      <c r="I114" t="s">
        <v>646</v>
      </c>
    </row>
    <row r="115" spans="1:9" x14ac:dyDescent="0.2">
      <c r="A115" t="s">
        <v>270</v>
      </c>
      <c r="B115">
        <v>92</v>
      </c>
      <c r="C115">
        <v>52</v>
      </c>
      <c r="D115">
        <v>13</v>
      </c>
      <c r="E115">
        <v>0</v>
      </c>
      <c r="F115">
        <v>28.344859473407201</v>
      </c>
      <c r="G115">
        <v>89</v>
      </c>
      <c r="H115">
        <v>10000</v>
      </c>
      <c r="I115" t="s">
        <v>647</v>
      </c>
    </row>
    <row r="116" spans="1:9" x14ac:dyDescent="0.2">
      <c r="A116" t="s">
        <v>272</v>
      </c>
      <c r="B116">
        <v>93</v>
      </c>
      <c r="C116">
        <v>53</v>
      </c>
      <c r="D116">
        <v>13</v>
      </c>
      <c r="E116">
        <v>0</v>
      </c>
      <c r="F116">
        <v>29.1626267954707</v>
      </c>
      <c r="G116">
        <v>139</v>
      </c>
      <c r="H116">
        <v>10000</v>
      </c>
      <c r="I116" t="s">
        <v>648</v>
      </c>
    </row>
    <row r="117" spans="1:9" x14ac:dyDescent="0.2">
      <c r="A117" t="s">
        <v>274</v>
      </c>
      <c r="B117">
        <v>94</v>
      </c>
      <c r="C117">
        <v>54</v>
      </c>
      <c r="D117">
        <v>13</v>
      </c>
      <c r="E117">
        <v>0</v>
      </c>
      <c r="F117">
        <v>29.8019484579563</v>
      </c>
      <c r="G117">
        <v>196</v>
      </c>
      <c r="H117">
        <v>10000</v>
      </c>
      <c r="I117" t="s">
        <v>649</v>
      </c>
    </row>
    <row r="118" spans="1:9" x14ac:dyDescent="0.2">
      <c r="A118" t="s">
        <v>276</v>
      </c>
      <c r="B118">
        <v>95</v>
      </c>
      <c r="C118">
        <v>46</v>
      </c>
      <c r="D118">
        <v>17</v>
      </c>
      <c r="E118">
        <v>0</v>
      </c>
      <c r="F118">
        <v>31.8917023241519</v>
      </c>
      <c r="G118">
        <v>1229</v>
      </c>
      <c r="H118">
        <v>10000</v>
      </c>
      <c r="I118" t="s">
        <v>650</v>
      </c>
    </row>
    <row r="119" spans="1:9" x14ac:dyDescent="0.2">
      <c r="A119" t="s">
        <v>278</v>
      </c>
      <c r="B119">
        <v>96</v>
      </c>
      <c r="C119">
        <v>48</v>
      </c>
      <c r="D119">
        <v>16</v>
      </c>
      <c r="E119">
        <v>0</v>
      </c>
      <c r="F119">
        <v>33.5539470911026</v>
      </c>
      <c r="G119">
        <v>451</v>
      </c>
      <c r="H119">
        <v>10000</v>
      </c>
      <c r="I119" t="s">
        <v>651</v>
      </c>
    </row>
    <row r="120" spans="1:9" x14ac:dyDescent="0.2">
      <c r="A120" t="s">
        <v>280</v>
      </c>
      <c r="B120">
        <v>97</v>
      </c>
      <c r="C120">
        <v>50</v>
      </c>
      <c r="D120">
        <v>15</v>
      </c>
      <c r="E120">
        <v>0</v>
      </c>
      <c r="F120">
        <v>33.858735203742903</v>
      </c>
      <c r="G120">
        <v>144</v>
      </c>
      <c r="H120">
        <v>10000</v>
      </c>
      <c r="I120" t="s">
        <v>652</v>
      </c>
    </row>
    <row r="121" spans="1:9" x14ac:dyDescent="0.2">
      <c r="A121" t="s">
        <v>282</v>
      </c>
      <c r="B121">
        <v>98</v>
      </c>
      <c r="C121">
        <v>51</v>
      </c>
      <c r="D121">
        <v>15</v>
      </c>
      <c r="E121">
        <v>0</v>
      </c>
      <c r="F121">
        <v>35.035732910036998</v>
      </c>
      <c r="G121">
        <v>124</v>
      </c>
      <c r="H121">
        <v>10000</v>
      </c>
      <c r="I121" t="s">
        <v>653</v>
      </c>
    </row>
    <row r="122" spans="1:9" x14ac:dyDescent="0.2">
      <c r="A122" t="s">
        <v>284</v>
      </c>
      <c r="B122">
        <v>99</v>
      </c>
      <c r="C122">
        <v>52</v>
      </c>
      <c r="D122">
        <v>15</v>
      </c>
      <c r="E122">
        <v>0</v>
      </c>
      <c r="F122">
        <v>33.741646207869003</v>
      </c>
      <c r="G122">
        <v>136</v>
      </c>
      <c r="H122">
        <v>10000</v>
      </c>
      <c r="I122" t="s">
        <v>654</v>
      </c>
    </row>
    <row r="123" spans="1:9" x14ac:dyDescent="0.2">
      <c r="A123" t="s">
        <v>286</v>
      </c>
      <c r="B123">
        <v>100</v>
      </c>
      <c r="C123">
        <v>52</v>
      </c>
      <c r="D123">
        <v>16</v>
      </c>
      <c r="E123">
        <v>0</v>
      </c>
      <c r="F123">
        <v>35.019294351339298</v>
      </c>
      <c r="G123">
        <v>428</v>
      </c>
      <c r="H123">
        <v>10000</v>
      </c>
      <c r="I123" t="s">
        <v>655</v>
      </c>
    </row>
    <row r="124" spans="1:9" x14ac:dyDescent="0.2">
      <c r="A124" t="s">
        <v>288</v>
      </c>
      <c r="B124">
        <v>101</v>
      </c>
      <c r="C124">
        <v>53</v>
      </c>
      <c r="D124">
        <v>15</v>
      </c>
      <c r="E124">
        <v>0</v>
      </c>
      <c r="F124">
        <v>38.576346635818403</v>
      </c>
      <c r="G124">
        <v>869</v>
      </c>
      <c r="H124">
        <v>10000</v>
      </c>
      <c r="I124" t="s">
        <v>656</v>
      </c>
    </row>
    <row r="125" spans="1:9" x14ac:dyDescent="0.2">
      <c r="A125" t="s">
        <v>290</v>
      </c>
      <c r="B125">
        <v>102</v>
      </c>
      <c r="C125">
        <v>54</v>
      </c>
      <c r="D125">
        <v>15</v>
      </c>
      <c r="E125">
        <v>0</v>
      </c>
      <c r="F125">
        <v>38.811192519962702</v>
      </c>
      <c r="G125">
        <v>839</v>
      </c>
      <c r="H125">
        <v>10000</v>
      </c>
      <c r="I125" t="s">
        <v>657</v>
      </c>
    </row>
    <row r="126" spans="1:9" x14ac:dyDescent="0.2">
      <c r="A126" t="s">
        <v>292</v>
      </c>
      <c r="B126">
        <v>103</v>
      </c>
      <c r="C126">
        <v>34</v>
      </c>
      <c r="D126">
        <v>25</v>
      </c>
      <c r="E126">
        <v>0</v>
      </c>
      <c r="F126">
        <v>34.104439593851502</v>
      </c>
      <c r="G126">
        <v>528</v>
      </c>
      <c r="H126">
        <v>10000</v>
      </c>
      <c r="I126" t="s">
        <v>658</v>
      </c>
    </row>
    <row r="127" spans="1:9" x14ac:dyDescent="0.2">
      <c r="A127" t="s">
        <v>294</v>
      </c>
      <c r="B127">
        <v>104</v>
      </c>
      <c r="C127">
        <v>28</v>
      </c>
      <c r="D127">
        <v>29</v>
      </c>
      <c r="E127">
        <v>0</v>
      </c>
      <c r="F127">
        <v>30.9399341791868</v>
      </c>
      <c r="G127">
        <v>276</v>
      </c>
      <c r="H127">
        <v>10000</v>
      </c>
      <c r="I127" t="s">
        <v>659</v>
      </c>
    </row>
    <row r="128" spans="1:9" x14ac:dyDescent="0.2">
      <c r="A128" t="s">
        <v>296</v>
      </c>
      <c r="B128">
        <v>105</v>
      </c>
      <c r="C128">
        <v>54</v>
      </c>
      <c r="D128">
        <v>17</v>
      </c>
      <c r="E128">
        <v>0</v>
      </c>
      <c r="F128">
        <v>44.1547892019152</v>
      </c>
      <c r="G128">
        <v>386</v>
      </c>
      <c r="H128">
        <v>10000</v>
      </c>
      <c r="I128" t="s">
        <v>660</v>
      </c>
    </row>
    <row r="129" spans="1:9" x14ac:dyDescent="0.2">
      <c r="A129" t="s">
        <v>298</v>
      </c>
      <c r="B129">
        <v>106</v>
      </c>
      <c r="C129">
        <v>44</v>
      </c>
      <c r="D129">
        <v>21</v>
      </c>
      <c r="E129">
        <v>0</v>
      </c>
      <c r="F129">
        <v>44.472978539764803</v>
      </c>
      <c r="G129">
        <v>919</v>
      </c>
      <c r="H129">
        <v>10000</v>
      </c>
      <c r="I129" t="s">
        <v>661</v>
      </c>
    </row>
    <row r="130" spans="1:9" x14ac:dyDescent="0.2">
      <c r="A130" t="s">
        <v>300</v>
      </c>
      <c r="B130">
        <v>107</v>
      </c>
      <c r="C130">
        <v>45</v>
      </c>
      <c r="D130">
        <v>21</v>
      </c>
      <c r="E130">
        <v>0</v>
      </c>
      <c r="F130">
        <v>45.941872157156403</v>
      </c>
      <c r="G130">
        <v>857</v>
      </c>
      <c r="H130">
        <v>10000</v>
      </c>
      <c r="I130" t="s">
        <v>662</v>
      </c>
    </row>
    <row r="131" spans="1:9" x14ac:dyDescent="0.2">
      <c r="A131" t="s">
        <v>302</v>
      </c>
      <c r="B131">
        <v>108</v>
      </c>
      <c r="C131">
        <v>55</v>
      </c>
      <c r="D131">
        <v>17</v>
      </c>
      <c r="E131">
        <v>0</v>
      </c>
      <c r="F131">
        <v>46.055862836539703</v>
      </c>
      <c r="G131">
        <v>344</v>
      </c>
      <c r="H131">
        <v>10000</v>
      </c>
      <c r="I131" t="s">
        <v>663</v>
      </c>
    </row>
    <row r="132" spans="1:9" x14ac:dyDescent="0.2">
      <c r="A132" t="s">
        <v>304</v>
      </c>
      <c r="B132">
        <v>109</v>
      </c>
      <c r="C132">
        <v>37</v>
      </c>
      <c r="D132">
        <v>25</v>
      </c>
      <c r="E132">
        <v>0</v>
      </c>
      <c r="F132">
        <v>39.5539484322071</v>
      </c>
      <c r="G132">
        <v>238</v>
      </c>
      <c r="H132">
        <v>10000</v>
      </c>
      <c r="I132" t="s">
        <v>664</v>
      </c>
    </row>
    <row r="133" spans="1:9" x14ac:dyDescent="0.2">
      <c r="A133" t="s">
        <v>306</v>
      </c>
      <c r="B133">
        <v>110</v>
      </c>
      <c r="C133">
        <v>33</v>
      </c>
      <c r="D133">
        <v>28</v>
      </c>
      <c r="E133">
        <v>0</v>
      </c>
      <c r="F133">
        <v>42.611102685332298</v>
      </c>
      <c r="G133">
        <v>289</v>
      </c>
      <c r="H133">
        <v>10000</v>
      </c>
      <c r="I133" t="s">
        <v>665</v>
      </c>
    </row>
    <row r="134" spans="1:9" x14ac:dyDescent="0.2">
      <c r="A134" t="s">
        <v>308</v>
      </c>
      <c r="B134">
        <v>111</v>
      </c>
      <c r="C134">
        <v>57</v>
      </c>
      <c r="D134">
        <v>17</v>
      </c>
      <c r="E134">
        <v>0</v>
      </c>
      <c r="F134">
        <v>48.811863034963601</v>
      </c>
      <c r="G134">
        <v>259</v>
      </c>
      <c r="H134">
        <v>10000</v>
      </c>
      <c r="I134" t="s">
        <v>666</v>
      </c>
    </row>
    <row r="135" spans="1:9" x14ac:dyDescent="0.2">
      <c r="A135" t="s">
        <v>310</v>
      </c>
      <c r="B135">
        <v>112</v>
      </c>
      <c r="C135">
        <v>36</v>
      </c>
      <c r="D135">
        <v>27</v>
      </c>
      <c r="E135">
        <v>0</v>
      </c>
      <c r="F135">
        <v>47.837315656244698</v>
      </c>
      <c r="G135">
        <v>121</v>
      </c>
      <c r="H135">
        <v>10000</v>
      </c>
      <c r="I135" t="s">
        <v>667</v>
      </c>
    </row>
    <row r="136" spans="1:9" x14ac:dyDescent="0.2">
      <c r="A136" t="s">
        <v>312</v>
      </c>
      <c r="B136">
        <v>113</v>
      </c>
      <c r="C136">
        <v>26</v>
      </c>
      <c r="D136">
        <v>34</v>
      </c>
      <c r="E136">
        <v>0</v>
      </c>
      <c r="F136">
        <v>36.560134217143002</v>
      </c>
      <c r="G136">
        <v>219</v>
      </c>
      <c r="H136">
        <v>10000</v>
      </c>
      <c r="I136" t="s">
        <v>668</v>
      </c>
    </row>
    <row r="137" spans="1:9" x14ac:dyDescent="0.2">
      <c r="A137" t="s">
        <v>314</v>
      </c>
      <c r="B137">
        <v>114</v>
      </c>
      <c r="C137">
        <v>27</v>
      </c>
      <c r="D137">
        <v>34</v>
      </c>
      <c r="E137">
        <v>0</v>
      </c>
      <c r="F137">
        <v>39.298834256827803</v>
      </c>
      <c r="G137">
        <v>218</v>
      </c>
      <c r="H137">
        <v>10000</v>
      </c>
      <c r="I137" t="s">
        <v>669</v>
      </c>
    </row>
    <row r="138" spans="1:9" x14ac:dyDescent="0.2">
      <c r="A138" t="s">
        <v>316</v>
      </c>
      <c r="B138">
        <v>115</v>
      </c>
      <c r="C138">
        <v>29</v>
      </c>
      <c r="D138">
        <v>33</v>
      </c>
      <c r="E138">
        <v>0</v>
      </c>
      <c r="F138">
        <v>38.620276816189197</v>
      </c>
      <c r="G138">
        <v>38</v>
      </c>
      <c r="H138">
        <v>10000</v>
      </c>
      <c r="I138" t="s">
        <v>670</v>
      </c>
    </row>
    <row r="139" spans="1:9" x14ac:dyDescent="0.2">
      <c r="A139" t="s">
        <v>318</v>
      </c>
      <c r="B139">
        <v>116</v>
      </c>
      <c r="C139">
        <v>28</v>
      </c>
      <c r="D139">
        <v>34</v>
      </c>
      <c r="E139">
        <v>0</v>
      </c>
      <c r="F139">
        <v>42.478790625929797</v>
      </c>
      <c r="G139">
        <v>108</v>
      </c>
      <c r="H139">
        <v>10000</v>
      </c>
      <c r="I139" t="s">
        <v>671</v>
      </c>
    </row>
    <row r="140" spans="1:9" x14ac:dyDescent="0.2">
      <c r="A140" t="s">
        <v>320</v>
      </c>
      <c r="B140">
        <v>117</v>
      </c>
      <c r="C140">
        <v>29</v>
      </c>
      <c r="D140">
        <v>34</v>
      </c>
      <c r="E140">
        <v>0</v>
      </c>
      <c r="F140">
        <v>40.816395901143501</v>
      </c>
      <c r="G140">
        <v>32</v>
      </c>
      <c r="H140">
        <v>10000</v>
      </c>
      <c r="I140" t="s">
        <v>672</v>
      </c>
    </row>
    <row r="141" spans="1:9" x14ac:dyDescent="0.2">
      <c r="A141" t="s">
        <v>322</v>
      </c>
      <c r="B141">
        <v>118</v>
      </c>
      <c r="C141">
        <v>29</v>
      </c>
      <c r="D141">
        <v>35</v>
      </c>
      <c r="E141">
        <v>0</v>
      </c>
      <c r="F141">
        <v>41.8790844678878</v>
      </c>
      <c r="G141">
        <v>62</v>
      </c>
      <c r="H141">
        <v>10000</v>
      </c>
      <c r="I141" t="s">
        <v>673</v>
      </c>
    </row>
    <row r="142" spans="1:9" x14ac:dyDescent="0.2">
      <c r="A142" t="s">
        <v>324</v>
      </c>
      <c r="B142">
        <v>119</v>
      </c>
      <c r="C142">
        <v>28</v>
      </c>
      <c r="D142">
        <v>36</v>
      </c>
      <c r="E142">
        <v>0</v>
      </c>
      <c r="F142">
        <v>44.406813703477297</v>
      </c>
      <c r="G142">
        <v>68</v>
      </c>
      <c r="H142">
        <v>10000</v>
      </c>
      <c r="I142" t="s">
        <v>674</v>
      </c>
    </row>
    <row r="143" spans="1:9" x14ac:dyDescent="0.2">
      <c r="A143" t="s">
        <v>326</v>
      </c>
      <c r="B143">
        <v>120</v>
      </c>
      <c r="C143">
        <v>29</v>
      </c>
      <c r="D143">
        <v>36</v>
      </c>
      <c r="E143">
        <v>0</v>
      </c>
      <c r="F143">
        <v>44.169925913214598</v>
      </c>
      <c r="G143">
        <v>22</v>
      </c>
      <c r="H143">
        <v>10000</v>
      </c>
      <c r="I143" t="s">
        <v>675</v>
      </c>
    </row>
    <row r="144" spans="1:9" x14ac:dyDescent="0.2">
      <c r="A144" t="s">
        <v>328</v>
      </c>
      <c r="B144">
        <v>121</v>
      </c>
      <c r="C144">
        <v>29</v>
      </c>
      <c r="D144">
        <v>37</v>
      </c>
      <c r="E144">
        <v>0</v>
      </c>
      <c r="F144">
        <v>45.020458966493599</v>
      </c>
      <c r="G144">
        <v>80</v>
      </c>
      <c r="H144">
        <v>10000</v>
      </c>
      <c r="I144" t="s">
        <v>676</v>
      </c>
    </row>
    <row r="145" spans="1:9" x14ac:dyDescent="0.2">
      <c r="A145" t="s">
        <v>330</v>
      </c>
      <c r="B145">
        <v>122</v>
      </c>
      <c r="C145">
        <v>47</v>
      </c>
      <c r="D145">
        <v>25</v>
      </c>
      <c r="E145">
        <v>0</v>
      </c>
      <c r="F145">
        <v>69.066959492862196</v>
      </c>
      <c r="G145">
        <v>166</v>
      </c>
      <c r="H145">
        <v>10000</v>
      </c>
      <c r="I145" t="s">
        <v>677</v>
      </c>
    </row>
    <row r="146" spans="1:9" x14ac:dyDescent="0.2">
      <c r="A146" t="s">
        <v>332</v>
      </c>
      <c r="B146">
        <v>123</v>
      </c>
      <c r="C146">
        <v>48</v>
      </c>
      <c r="D146">
        <v>25</v>
      </c>
      <c r="E146">
        <v>0</v>
      </c>
      <c r="F146">
        <v>72.119620077311893</v>
      </c>
      <c r="G146">
        <v>146</v>
      </c>
      <c r="H146">
        <v>10000</v>
      </c>
      <c r="I146" t="s">
        <v>678</v>
      </c>
    </row>
    <row r="147" spans="1:9" x14ac:dyDescent="0.2">
      <c r="A147" t="s">
        <v>334</v>
      </c>
      <c r="B147">
        <v>124</v>
      </c>
      <c r="C147">
        <v>49</v>
      </c>
      <c r="D147">
        <v>25</v>
      </c>
      <c r="E147">
        <v>0</v>
      </c>
      <c r="F147">
        <v>74.792320355772901</v>
      </c>
      <c r="G147">
        <v>177</v>
      </c>
      <c r="H147">
        <v>10000</v>
      </c>
      <c r="I147" t="s">
        <v>679</v>
      </c>
    </row>
    <row r="148" spans="1:9" x14ac:dyDescent="0.2">
      <c r="A148" t="s">
        <v>336</v>
      </c>
      <c r="B148">
        <v>125</v>
      </c>
      <c r="C148">
        <v>50</v>
      </c>
      <c r="D148">
        <v>25</v>
      </c>
      <c r="E148">
        <v>0</v>
      </c>
      <c r="F148">
        <v>67.252737335860701</v>
      </c>
      <c r="G148">
        <v>84</v>
      </c>
      <c r="H148">
        <v>10000</v>
      </c>
      <c r="I148" t="s">
        <v>680</v>
      </c>
    </row>
    <row r="149" spans="1:9" x14ac:dyDescent="0.2">
      <c r="A149" t="s">
        <v>338</v>
      </c>
      <c r="B149">
        <v>126</v>
      </c>
      <c r="C149">
        <v>50</v>
      </c>
      <c r="D149">
        <v>26</v>
      </c>
      <c r="E149">
        <v>0</v>
      </c>
      <c r="F149">
        <v>69.244124032556996</v>
      </c>
      <c r="G149">
        <v>218</v>
      </c>
      <c r="H149">
        <v>10000</v>
      </c>
      <c r="I149" t="s">
        <v>681</v>
      </c>
    </row>
    <row r="150" spans="1:9" x14ac:dyDescent="0.2">
      <c r="A150" t="s">
        <v>340</v>
      </c>
      <c r="B150">
        <v>127</v>
      </c>
      <c r="C150">
        <v>30</v>
      </c>
      <c r="D150">
        <v>37</v>
      </c>
      <c r="E150">
        <v>0</v>
      </c>
      <c r="F150">
        <v>51.105965919792602</v>
      </c>
      <c r="G150">
        <v>142</v>
      </c>
      <c r="H150">
        <v>10000</v>
      </c>
      <c r="I150" t="s">
        <v>682</v>
      </c>
    </row>
    <row r="151" spans="1:9" x14ac:dyDescent="0.2">
      <c r="A151" t="s">
        <v>342</v>
      </c>
      <c r="B151">
        <v>128</v>
      </c>
      <c r="C151">
        <v>44</v>
      </c>
      <c r="D151">
        <v>29</v>
      </c>
      <c r="E151">
        <v>0</v>
      </c>
      <c r="F151">
        <v>73.876810386776896</v>
      </c>
      <c r="G151">
        <v>475</v>
      </c>
      <c r="H151">
        <v>10000</v>
      </c>
      <c r="I151" t="s">
        <v>683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8FC68-421A-A549-91BF-87D22664C974}">
  <dimension ref="A1:I73"/>
  <sheetViews>
    <sheetView topLeftCell="A40" workbookViewId="0"/>
  </sheetViews>
  <sheetFormatPr baseColWidth="10" defaultColWidth="11" defaultRowHeight="16" x14ac:dyDescent="0.2"/>
  <sheetData>
    <row r="1" spans="1:1" x14ac:dyDescent="0.2">
      <c r="A1" t="s">
        <v>70</v>
      </c>
    </row>
    <row r="2" spans="1:1" x14ac:dyDescent="0.2">
      <c r="A2" t="s">
        <v>71</v>
      </c>
    </row>
    <row r="3" spans="1:1" x14ac:dyDescent="0.2">
      <c r="A3" t="s">
        <v>73</v>
      </c>
    </row>
    <row r="4" spans="1:1" x14ac:dyDescent="0.2">
      <c r="A4" s="21" t="s">
        <v>74</v>
      </c>
    </row>
    <row r="5" spans="1:1" x14ac:dyDescent="0.2">
      <c r="A5" s="21" t="s">
        <v>684</v>
      </c>
    </row>
    <row r="6" spans="1:1" x14ac:dyDescent="0.2">
      <c r="A6" t="s">
        <v>76</v>
      </c>
    </row>
    <row r="7" spans="1:1" x14ac:dyDescent="0.2">
      <c r="A7" t="s">
        <v>345</v>
      </c>
    </row>
    <row r="8" spans="1:1" x14ac:dyDescent="0.2">
      <c r="A8" s="21" t="s">
        <v>78</v>
      </c>
    </row>
    <row r="9" spans="1:1" x14ac:dyDescent="0.2">
      <c r="A9" t="s">
        <v>79</v>
      </c>
    </row>
    <row r="10" spans="1:1" x14ac:dyDescent="0.2">
      <c r="A10" t="s">
        <v>80</v>
      </c>
    </row>
    <row r="11" spans="1:1" x14ac:dyDescent="0.2">
      <c r="A11" t="s">
        <v>81</v>
      </c>
    </row>
    <row r="12" spans="1:1" x14ac:dyDescent="0.2">
      <c r="A12" t="s">
        <v>82</v>
      </c>
    </row>
    <row r="13" spans="1:1" x14ac:dyDescent="0.2">
      <c r="A13" t="s">
        <v>83</v>
      </c>
    </row>
    <row r="14" spans="1:1" x14ac:dyDescent="0.2">
      <c r="A14" t="s">
        <v>84</v>
      </c>
    </row>
    <row r="15" spans="1:1" x14ac:dyDescent="0.2">
      <c r="A15" t="s">
        <v>85</v>
      </c>
    </row>
    <row r="16" spans="1:1" x14ac:dyDescent="0.2">
      <c r="A16" t="s">
        <v>86</v>
      </c>
    </row>
    <row r="17" spans="1:9" x14ac:dyDescent="0.2">
      <c r="A17" t="s">
        <v>87</v>
      </c>
    </row>
    <row r="18" spans="1:9" x14ac:dyDescent="0.2">
      <c r="A18" t="s">
        <v>346</v>
      </c>
    </row>
    <row r="19" spans="1:9" x14ac:dyDescent="0.2">
      <c r="A19" t="s">
        <v>89</v>
      </c>
    </row>
    <row r="20" spans="1:9" x14ac:dyDescent="0.2">
      <c r="A20" t="s">
        <v>92</v>
      </c>
    </row>
    <row r="21" spans="1:9" x14ac:dyDescent="0.2">
      <c r="A21" t="s">
        <v>93</v>
      </c>
    </row>
    <row r="22" spans="1:9" x14ac:dyDescent="0.2">
      <c r="A22" t="s">
        <v>685</v>
      </c>
    </row>
    <row r="23" spans="1:9" x14ac:dyDescent="0.2">
      <c r="A23" t="s">
        <v>95</v>
      </c>
    </row>
    <row r="24" spans="1:9" x14ac:dyDescent="0.2">
      <c r="A24" t="s">
        <v>96</v>
      </c>
      <c r="B24" t="s">
        <v>61</v>
      </c>
      <c r="C24" t="s">
        <v>97</v>
      </c>
      <c r="D24" t="s">
        <v>98</v>
      </c>
      <c r="E24" t="s">
        <v>99</v>
      </c>
      <c r="F24" t="s">
        <v>100</v>
      </c>
      <c r="G24" t="s">
        <v>58</v>
      </c>
      <c r="H24" t="s">
        <v>59</v>
      </c>
      <c r="I24" t="s">
        <v>101</v>
      </c>
    </row>
    <row r="25" spans="1:9" x14ac:dyDescent="0.2">
      <c r="A25" t="s">
        <v>102</v>
      </c>
      <c r="B25">
        <v>5</v>
      </c>
      <c r="C25">
        <v>3</v>
      </c>
      <c r="D25">
        <v>2</v>
      </c>
      <c r="E25">
        <v>0</v>
      </c>
      <c r="F25">
        <v>2.7767659999994899E-2</v>
      </c>
      <c r="G25">
        <v>1</v>
      </c>
      <c r="H25">
        <v>1</v>
      </c>
      <c r="I25" t="s">
        <v>686</v>
      </c>
    </row>
    <row r="26" spans="1:9" x14ac:dyDescent="0.2">
      <c r="A26" t="s">
        <v>104</v>
      </c>
      <c r="B26">
        <v>6</v>
      </c>
      <c r="C26">
        <v>3</v>
      </c>
      <c r="D26">
        <v>3</v>
      </c>
      <c r="E26">
        <v>0</v>
      </c>
      <c r="F26">
        <v>3.8422189000016198E-2</v>
      </c>
      <c r="G26">
        <v>1</v>
      </c>
      <c r="H26">
        <v>1</v>
      </c>
      <c r="I26" t="s">
        <v>687</v>
      </c>
    </row>
    <row r="27" spans="1:9" x14ac:dyDescent="0.2">
      <c r="A27" t="s">
        <v>106</v>
      </c>
      <c r="B27">
        <v>7</v>
      </c>
      <c r="C27">
        <v>3</v>
      </c>
      <c r="D27">
        <v>4</v>
      </c>
      <c r="E27">
        <v>0</v>
      </c>
      <c r="F27">
        <v>5.5264179000005201E-2</v>
      </c>
      <c r="G27">
        <v>1</v>
      </c>
      <c r="H27">
        <v>1</v>
      </c>
      <c r="I27" t="s">
        <v>688</v>
      </c>
    </row>
    <row r="28" spans="1:9" x14ac:dyDescent="0.2">
      <c r="A28" t="s">
        <v>108</v>
      </c>
      <c r="B28">
        <v>8</v>
      </c>
      <c r="C28">
        <v>3</v>
      </c>
      <c r="D28">
        <v>4</v>
      </c>
      <c r="E28">
        <v>0</v>
      </c>
      <c r="F28">
        <v>5.6937470999997603E-2</v>
      </c>
      <c r="G28">
        <v>1</v>
      </c>
      <c r="H28">
        <v>1</v>
      </c>
      <c r="I28" t="s">
        <v>689</v>
      </c>
    </row>
    <row r="29" spans="1:9" x14ac:dyDescent="0.2">
      <c r="A29" t="s">
        <v>110</v>
      </c>
      <c r="B29">
        <v>9</v>
      </c>
      <c r="C29">
        <v>5</v>
      </c>
      <c r="D29">
        <v>4</v>
      </c>
      <c r="E29">
        <v>1</v>
      </c>
      <c r="F29">
        <v>5.2886113999988903E-2</v>
      </c>
      <c r="G29">
        <v>1</v>
      </c>
      <c r="H29">
        <v>1</v>
      </c>
      <c r="I29" t="s">
        <v>688</v>
      </c>
    </row>
    <row r="30" spans="1:9" x14ac:dyDescent="0.2">
      <c r="A30" t="s">
        <v>112</v>
      </c>
      <c r="B30">
        <v>10</v>
      </c>
      <c r="C30">
        <v>3</v>
      </c>
      <c r="D30">
        <v>5</v>
      </c>
      <c r="E30">
        <v>0</v>
      </c>
      <c r="F30">
        <v>6.7047714000011596E-2</v>
      </c>
      <c r="G30">
        <v>1</v>
      </c>
      <c r="H30">
        <v>1</v>
      </c>
      <c r="I30" t="s">
        <v>690</v>
      </c>
    </row>
    <row r="31" spans="1:9" x14ac:dyDescent="0.2">
      <c r="A31" t="s">
        <v>114</v>
      </c>
      <c r="B31">
        <v>11</v>
      </c>
      <c r="C31">
        <v>3</v>
      </c>
      <c r="D31">
        <v>6</v>
      </c>
      <c r="E31">
        <v>0</v>
      </c>
      <c r="F31">
        <v>8.1135827999986504E-2</v>
      </c>
      <c r="G31">
        <v>1</v>
      </c>
      <c r="H31">
        <v>1</v>
      </c>
      <c r="I31" t="s">
        <v>691</v>
      </c>
    </row>
    <row r="32" spans="1:9" x14ac:dyDescent="0.2">
      <c r="A32" t="s">
        <v>116</v>
      </c>
      <c r="B32">
        <v>12</v>
      </c>
      <c r="C32">
        <v>3</v>
      </c>
      <c r="D32">
        <v>6</v>
      </c>
      <c r="E32">
        <v>0</v>
      </c>
      <c r="F32">
        <v>7.7124685000001095E-2</v>
      </c>
      <c r="G32">
        <v>1</v>
      </c>
      <c r="H32">
        <v>1</v>
      </c>
      <c r="I32" t="s">
        <v>692</v>
      </c>
    </row>
    <row r="33" spans="1:9" x14ac:dyDescent="0.2">
      <c r="A33" t="s">
        <v>118</v>
      </c>
      <c r="B33">
        <v>13</v>
      </c>
      <c r="C33">
        <v>5</v>
      </c>
      <c r="D33">
        <v>5</v>
      </c>
      <c r="E33">
        <v>0</v>
      </c>
      <c r="F33">
        <v>6.5939885000005902E-2</v>
      </c>
      <c r="G33">
        <v>1</v>
      </c>
      <c r="H33">
        <v>1</v>
      </c>
      <c r="I33" t="s">
        <v>693</v>
      </c>
    </row>
    <row r="34" spans="1:9" x14ac:dyDescent="0.2">
      <c r="A34" t="s">
        <v>120</v>
      </c>
      <c r="B34">
        <v>14</v>
      </c>
      <c r="C34">
        <v>6</v>
      </c>
      <c r="D34">
        <v>5</v>
      </c>
      <c r="E34">
        <v>0</v>
      </c>
      <c r="F34">
        <v>6.5750224999987894E-2</v>
      </c>
      <c r="G34">
        <v>1</v>
      </c>
      <c r="H34">
        <v>1</v>
      </c>
      <c r="I34" t="s">
        <v>694</v>
      </c>
    </row>
    <row r="35" spans="1:9" x14ac:dyDescent="0.2">
      <c r="A35" t="s">
        <v>122</v>
      </c>
      <c r="B35">
        <v>15</v>
      </c>
      <c r="C35">
        <v>7</v>
      </c>
      <c r="D35">
        <v>5</v>
      </c>
      <c r="E35">
        <v>0</v>
      </c>
      <c r="F35">
        <v>6.4181680000018504E-2</v>
      </c>
      <c r="G35">
        <v>1</v>
      </c>
      <c r="H35">
        <v>1</v>
      </c>
      <c r="I35" t="s">
        <v>694</v>
      </c>
    </row>
    <row r="36" spans="1:9" x14ac:dyDescent="0.2">
      <c r="A36" t="s">
        <v>124</v>
      </c>
      <c r="B36">
        <v>16</v>
      </c>
      <c r="C36">
        <v>8</v>
      </c>
      <c r="D36">
        <v>5</v>
      </c>
      <c r="E36">
        <v>0</v>
      </c>
      <c r="F36">
        <v>6.3385703999983806E-2</v>
      </c>
      <c r="G36">
        <v>1</v>
      </c>
      <c r="H36">
        <v>1</v>
      </c>
      <c r="I36" t="s">
        <v>693</v>
      </c>
    </row>
    <row r="37" spans="1:9" x14ac:dyDescent="0.2">
      <c r="A37" t="s">
        <v>126</v>
      </c>
      <c r="B37">
        <v>20</v>
      </c>
      <c r="C37">
        <v>5</v>
      </c>
      <c r="D37">
        <v>9</v>
      </c>
      <c r="E37">
        <v>0</v>
      </c>
      <c r="F37">
        <v>0.111798625999995</v>
      </c>
      <c r="G37">
        <v>1</v>
      </c>
      <c r="H37">
        <v>1</v>
      </c>
      <c r="I37" t="s">
        <v>695</v>
      </c>
    </row>
    <row r="38" spans="1:9" x14ac:dyDescent="0.2">
      <c r="A38" t="s">
        <v>128</v>
      </c>
      <c r="B38">
        <v>21</v>
      </c>
      <c r="C38">
        <v>5</v>
      </c>
      <c r="D38">
        <v>10</v>
      </c>
      <c r="E38">
        <v>0</v>
      </c>
      <c r="F38">
        <v>0.12486353700001</v>
      </c>
      <c r="G38">
        <v>1</v>
      </c>
      <c r="H38">
        <v>1</v>
      </c>
      <c r="I38" t="s">
        <v>696</v>
      </c>
    </row>
    <row r="39" spans="1:9" x14ac:dyDescent="0.2">
      <c r="A39" t="s">
        <v>130</v>
      </c>
      <c r="B39">
        <v>22</v>
      </c>
      <c r="C39">
        <v>6</v>
      </c>
      <c r="D39">
        <v>9</v>
      </c>
      <c r="E39">
        <v>0</v>
      </c>
      <c r="F39">
        <v>0.12317345700000699</v>
      </c>
      <c r="G39">
        <v>1</v>
      </c>
      <c r="H39">
        <v>1</v>
      </c>
      <c r="I39" t="s">
        <v>697</v>
      </c>
    </row>
    <row r="40" spans="1:9" x14ac:dyDescent="0.2">
      <c r="A40" t="s">
        <v>132</v>
      </c>
      <c r="B40">
        <v>23</v>
      </c>
      <c r="C40">
        <v>7</v>
      </c>
      <c r="D40">
        <v>9</v>
      </c>
      <c r="E40">
        <v>0</v>
      </c>
      <c r="F40">
        <v>0.124816386999981</v>
      </c>
      <c r="G40">
        <v>1</v>
      </c>
      <c r="H40">
        <v>1</v>
      </c>
      <c r="I40" t="s">
        <v>697</v>
      </c>
    </row>
    <row r="41" spans="1:9" x14ac:dyDescent="0.2">
      <c r="A41" t="s">
        <v>134</v>
      </c>
      <c r="B41">
        <v>24</v>
      </c>
      <c r="C41">
        <v>3</v>
      </c>
      <c r="D41">
        <v>13</v>
      </c>
      <c r="E41">
        <v>0</v>
      </c>
      <c r="F41">
        <v>0.178718616000026</v>
      </c>
      <c r="G41">
        <v>1</v>
      </c>
      <c r="H41">
        <v>1</v>
      </c>
      <c r="I41" t="s">
        <v>698</v>
      </c>
    </row>
    <row r="42" spans="1:9" x14ac:dyDescent="0.2">
      <c r="A42" t="s">
        <v>136</v>
      </c>
      <c r="B42">
        <v>25</v>
      </c>
      <c r="C42">
        <v>15</v>
      </c>
      <c r="D42">
        <v>5</v>
      </c>
      <c r="E42">
        <v>0</v>
      </c>
      <c r="F42">
        <v>7.0720066999996306E-2</v>
      </c>
      <c r="G42">
        <v>1</v>
      </c>
      <c r="H42">
        <v>1</v>
      </c>
      <c r="I42" t="s">
        <v>699</v>
      </c>
    </row>
    <row r="43" spans="1:9" x14ac:dyDescent="0.2">
      <c r="A43" t="s">
        <v>138</v>
      </c>
      <c r="B43">
        <v>26</v>
      </c>
      <c r="C43">
        <v>9</v>
      </c>
      <c r="D43">
        <v>9</v>
      </c>
      <c r="E43">
        <v>0</v>
      </c>
      <c r="F43">
        <v>0.128053438999984</v>
      </c>
      <c r="G43">
        <v>1</v>
      </c>
      <c r="H43">
        <v>1</v>
      </c>
      <c r="I43" t="s">
        <v>700</v>
      </c>
    </row>
    <row r="44" spans="1:9" x14ac:dyDescent="0.2">
      <c r="A44" t="s">
        <v>140</v>
      </c>
      <c r="B44">
        <v>27</v>
      </c>
      <c r="C44">
        <v>10</v>
      </c>
      <c r="D44">
        <v>9</v>
      </c>
      <c r="E44">
        <v>0</v>
      </c>
      <c r="F44">
        <v>0.155281271999996</v>
      </c>
      <c r="G44">
        <v>1</v>
      </c>
      <c r="H44">
        <v>1</v>
      </c>
      <c r="I44" t="s">
        <v>701</v>
      </c>
    </row>
    <row r="45" spans="1:9" x14ac:dyDescent="0.2">
      <c r="A45" t="s">
        <v>142</v>
      </c>
      <c r="B45">
        <v>28</v>
      </c>
      <c r="C45">
        <v>18</v>
      </c>
      <c r="D45">
        <v>5</v>
      </c>
      <c r="E45">
        <v>0</v>
      </c>
      <c r="F45">
        <v>6.9098281999998706E-2</v>
      </c>
      <c r="G45">
        <v>1</v>
      </c>
      <c r="H45">
        <v>1</v>
      </c>
      <c r="I45" t="s">
        <v>702</v>
      </c>
    </row>
    <row r="46" spans="1:9" x14ac:dyDescent="0.2">
      <c r="A46" t="s">
        <v>144</v>
      </c>
      <c r="B46">
        <v>29</v>
      </c>
      <c r="C46">
        <v>6</v>
      </c>
      <c r="D46">
        <v>14</v>
      </c>
      <c r="E46">
        <v>1</v>
      </c>
      <c r="F46">
        <v>0.19746797700000199</v>
      </c>
      <c r="G46">
        <v>1</v>
      </c>
      <c r="H46">
        <v>1</v>
      </c>
      <c r="I46" t="s">
        <v>703</v>
      </c>
    </row>
    <row r="47" spans="1:9" x14ac:dyDescent="0.2">
      <c r="A47" t="s">
        <v>146</v>
      </c>
      <c r="B47">
        <v>30</v>
      </c>
      <c r="C47">
        <v>6</v>
      </c>
      <c r="D47">
        <v>15</v>
      </c>
      <c r="E47">
        <v>1</v>
      </c>
      <c r="F47">
        <v>0.26540693000001098</v>
      </c>
      <c r="G47">
        <v>1</v>
      </c>
      <c r="H47">
        <v>1</v>
      </c>
      <c r="I47" t="s">
        <v>704</v>
      </c>
    </row>
    <row r="48" spans="1:9" x14ac:dyDescent="0.2">
      <c r="A48" t="s">
        <v>148</v>
      </c>
      <c r="B48">
        <v>31</v>
      </c>
      <c r="C48">
        <v>3</v>
      </c>
      <c r="D48">
        <v>17</v>
      </c>
      <c r="E48">
        <v>0</v>
      </c>
      <c r="F48">
        <v>0.24084709199999499</v>
      </c>
      <c r="G48">
        <v>1</v>
      </c>
      <c r="H48">
        <v>1</v>
      </c>
      <c r="I48" t="s">
        <v>705</v>
      </c>
    </row>
    <row r="49" spans="1:9" x14ac:dyDescent="0.2">
      <c r="A49" t="s">
        <v>150</v>
      </c>
      <c r="B49">
        <v>32</v>
      </c>
      <c r="C49">
        <v>8</v>
      </c>
      <c r="D49">
        <v>13</v>
      </c>
      <c r="E49">
        <v>0</v>
      </c>
      <c r="F49">
        <v>0.20975557700000899</v>
      </c>
      <c r="G49">
        <v>1</v>
      </c>
      <c r="H49">
        <v>1</v>
      </c>
      <c r="I49" t="s">
        <v>706</v>
      </c>
    </row>
    <row r="50" spans="1:9" x14ac:dyDescent="0.2">
      <c r="A50" t="s">
        <v>152</v>
      </c>
      <c r="B50">
        <v>33</v>
      </c>
      <c r="C50">
        <v>18</v>
      </c>
      <c r="D50">
        <v>7</v>
      </c>
      <c r="E50">
        <v>0</v>
      </c>
      <c r="F50">
        <v>0.111374025000003</v>
      </c>
      <c r="G50">
        <v>1</v>
      </c>
      <c r="H50">
        <v>1</v>
      </c>
      <c r="I50" t="s">
        <v>707</v>
      </c>
    </row>
    <row r="51" spans="1:9" x14ac:dyDescent="0.2">
      <c r="A51" t="s">
        <v>154</v>
      </c>
      <c r="B51">
        <v>34</v>
      </c>
      <c r="C51">
        <v>4</v>
      </c>
      <c r="D51">
        <v>17</v>
      </c>
      <c r="E51">
        <v>0</v>
      </c>
      <c r="F51">
        <v>0.24621594399999899</v>
      </c>
      <c r="G51">
        <v>1</v>
      </c>
      <c r="H51">
        <v>1</v>
      </c>
      <c r="I51" t="s">
        <v>708</v>
      </c>
    </row>
    <row r="52" spans="1:9" x14ac:dyDescent="0.2">
      <c r="A52" t="s">
        <v>156</v>
      </c>
      <c r="B52">
        <v>35</v>
      </c>
      <c r="C52">
        <v>20</v>
      </c>
      <c r="D52">
        <v>7</v>
      </c>
      <c r="E52">
        <v>0</v>
      </c>
      <c r="F52">
        <v>0.133573986999977</v>
      </c>
      <c r="G52">
        <v>1</v>
      </c>
      <c r="H52">
        <v>1</v>
      </c>
      <c r="I52" t="s">
        <v>709</v>
      </c>
    </row>
    <row r="53" spans="1:9" x14ac:dyDescent="0.2">
      <c r="A53" t="s">
        <v>158</v>
      </c>
      <c r="B53">
        <v>36</v>
      </c>
      <c r="C53">
        <v>5</v>
      </c>
      <c r="D53">
        <v>17</v>
      </c>
      <c r="E53">
        <v>0</v>
      </c>
      <c r="F53">
        <v>0.236061672000005</v>
      </c>
      <c r="G53">
        <v>1</v>
      </c>
      <c r="H53">
        <v>1</v>
      </c>
      <c r="I53" t="s">
        <v>710</v>
      </c>
    </row>
    <row r="54" spans="1:9" x14ac:dyDescent="0.2">
      <c r="A54" t="s">
        <v>160</v>
      </c>
      <c r="B54">
        <v>37</v>
      </c>
      <c r="C54">
        <v>6</v>
      </c>
      <c r="D54">
        <v>17</v>
      </c>
      <c r="E54">
        <v>0</v>
      </c>
      <c r="F54">
        <v>0.24158049000001799</v>
      </c>
      <c r="G54">
        <v>1</v>
      </c>
      <c r="H54">
        <v>1</v>
      </c>
      <c r="I54" t="s">
        <v>710</v>
      </c>
    </row>
    <row r="55" spans="1:9" x14ac:dyDescent="0.2">
      <c r="A55" t="s">
        <v>162</v>
      </c>
      <c r="B55">
        <v>38</v>
      </c>
      <c r="C55">
        <v>3</v>
      </c>
      <c r="D55">
        <v>21</v>
      </c>
      <c r="E55">
        <v>0</v>
      </c>
      <c r="F55">
        <v>0.29739127699997397</v>
      </c>
      <c r="G55">
        <v>1</v>
      </c>
      <c r="H55">
        <v>1</v>
      </c>
      <c r="I55" t="s">
        <v>711</v>
      </c>
    </row>
    <row r="56" spans="1:9" x14ac:dyDescent="0.2">
      <c r="A56" t="s">
        <v>164</v>
      </c>
      <c r="B56">
        <v>39</v>
      </c>
      <c r="C56">
        <v>7</v>
      </c>
      <c r="D56">
        <v>17</v>
      </c>
      <c r="E56">
        <v>0</v>
      </c>
      <c r="F56">
        <v>0.25677656400000598</v>
      </c>
      <c r="G56">
        <v>1</v>
      </c>
      <c r="H56">
        <v>1</v>
      </c>
      <c r="I56" t="s">
        <v>712</v>
      </c>
    </row>
    <row r="57" spans="1:9" x14ac:dyDescent="0.2">
      <c r="A57" t="s">
        <v>166</v>
      </c>
      <c r="B57">
        <v>40</v>
      </c>
      <c r="C57">
        <v>13</v>
      </c>
      <c r="D57">
        <v>13</v>
      </c>
      <c r="E57">
        <v>0</v>
      </c>
      <c r="F57">
        <v>2.3568277520000098</v>
      </c>
      <c r="G57">
        <v>1</v>
      </c>
      <c r="H57">
        <v>1</v>
      </c>
      <c r="I57" t="s">
        <v>713</v>
      </c>
    </row>
    <row r="58" spans="1:9" x14ac:dyDescent="0.2">
      <c r="A58" t="s">
        <v>168</v>
      </c>
      <c r="B58">
        <v>41</v>
      </c>
      <c r="C58">
        <v>8</v>
      </c>
      <c r="D58">
        <v>17</v>
      </c>
      <c r="E58">
        <v>0</v>
      </c>
      <c r="F58">
        <v>0.283297575999995</v>
      </c>
      <c r="G58">
        <v>1</v>
      </c>
      <c r="H58">
        <v>1</v>
      </c>
      <c r="I58" t="s">
        <v>714</v>
      </c>
    </row>
    <row r="59" spans="1:9" x14ac:dyDescent="0.2">
      <c r="A59" t="s">
        <v>170</v>
      </c>
      <c r="B59">
        <v>42</v>
      </c>
      <c r="C59">
        <v>9</v>
      </c>
      <c r="D59">
        <v>17</v>
      </c>
      <c r="E59">
        <v>0</v>
      </c>
      <c r="F59">
        <v>0.57623443099998894</v>
      </c>
      <c r="G59">
        <v>1</v>
      </c>
      <c r="H59">
        <v>1</v>
      </c>
      <c r="I59" t="s">
        <v>715</v>
      </c>
    </row>
    <row r="60" spans="1:9" x14ac:dyDescent="0.2">
      <c r="A60" t="s">
        <v>172</v>
      </c>
      <c r="B60">
        <v>43</v>
      </c>
      <c r="C60">
        <v>22</v>
      </c>
      <c r="D60">
        <v>9</v>
      </c>
      <c r="E60">
        <v>0</v>
      </c>
      <c r="F60">
        <v>1.94937379399999</v>
      </c>
      <c r="G60">
        <v>1</v>
      </c>
      <c r="H60">
        <v>1</v>
      </c>
      <c r="I60" t="s">
        <v>716</v>
      </c>
    </row>
    <row r="61" spans="1:9" x14ac:dyDescent="0.2">
      <c r="A61" t="s">
        <v>174</v>
      </c>
      <c r="B61">
        <v>44</v>
      </c>
      <c r="C61">
        <v>23</v>
      </c>
      <c r="D61">
        <v>9</v>
      </c>
      <c r="E61">
        <v>0</v>
      </c>
      <c r="F61">
        <v>2.90599758000001</v>
      </c>
      <c r="G61">
        <v>1</v>
      </c>
      <c r="H61">
        <v>1</v>
      </c>
      <c r="I61" t="s">
        <v>717</v>
      </c>
    </row>
    <row r="62" spans="1:9" x14ac:dyDescent="0.2">
      <c r="A62" t="s">
        <v>176</v>
      </c>
      <c r="B62">
        <v>45</v>
      </c>
      <c r="C62">
        <v>24</v>
      </c>
      <c r="D62">
        <v>9</v>
      </c>
      <c r="E62">
        <v>0</v>
      </c>
      <c r="F62">
        <v>6.7351042299999904</v>
      </c>
      <c r="G62">
        <v>1</v>
      </c>
      <c r="H62">
        <v>1</v>
      </c>
      <c r="I62" t="s">
        <v>718</v>
      </c>
    </row>
    <row r="63" spans="1:9" x14ac:dyDescent="0.2">
      <c r="A63" t="s">
        <v>178</v>
      </c>
      <c r="B63">
        <v>46</v>
      </c>
      <c r="C63">
        <v>15</v>
      </c>
      <c r="D63">
        <v>15</v>
      </c>
      <c r="E63">
        <v>0</v>
      </c>
      <c r="F63">
        <v>1433.012925648</v>
      </c>
      <c r="G63">
        <v>1</v>
      </c>
      <c r="H63">
        <v>1</v>
      </c>
      <c r="I63" t="s">
        <v>719</v>
      </c>
    </row>
    <row r="64" spans="1:9" x14ac:dyDescent="0.2">
      <c r="A64" t="s">
        <v>180</v>
      </c>
      <c r="B64">
        <v>47</v>
      </c>
      <c r="C64">
        <v>25</v>
      </c>
      <c r="D64">
        <v>9</v>
      </c>
      <c r="E64">
        <v>0</v>
      </c>
      <c r="F64">
        <v>13.6310825560001</v>
      </c>
      <c r="G64">
        <v>1</v>
      </c>
      <c r="H64">
        <v>1</v>
      </c>
      <c r="I64" t="s">
        <v>720</v>
      </c>
    </row>
    <row r="65" spans="1:9" x14ac:dyDescent="0.2">
      <c r="A65" t="s">
        <v>182</v>
      </c>
      <c r="B65">
        <v>48</v>
      </c>
      <c r="C65">
        <v>26</v>
      </c>
      <c r="D65">
        <v>9</v>
      </c>
      <c r="E65">
        <v>0</v>
      </c>
      <c r="F65">
        <v>14.570883244999999</v>
      </c>
      <c r="G65">
        <v>1</v>
      </c>
      <c r="H65">
        <v>1</v>
      </c>
      <c r="I65" t="s">
        <v>721</v>
      </c>
    </row>
    <row r="66" spans="1:9" x14ac:dyDescent="0.2">
      <c r="A66" t="s">
        <v>184</v>
      </c>
      <c r="B66">
        <v>49</v>
      </c>
      <c r="C66">
        <v>4</v>
      </c>
      <c r="D66">
        <v>25</v>
      </c>
      <c r="E66">
        <v>0</v>
      </c>
      <c r="F66">
        <v>0.368647313999872</v>
      </c>
      <c r="G66">
        <v>1</v>
      </c>
      <c r="H66">
        <v>1</v>
      </c>
      <c r="I66" t="s">
        <v>722</v>
      </c>
    </row>
    <row r="67" spans="1:9" x14ac:dyDescent="0.2">
      <c r="A67" t="s">
        <v>186</v>
      </c>
      <c r="B67">
        <v>50</v>
      </c>
      <c r="C67">
        <v>19</v>
      </c>
      <c r="D67">
        <v>13</v>
      </c>
      <c r="E67">
        <v>0</v>
      </c>
      <c r="F67">
        <v>7004.86765624699</v>
      </c>
      <c r="G67">
        <v>1</v>
      </c>
      <c r="H67">
        <v>1</v>
      </c>
      <c r="I67" t="s">
        <v>723</v>
      </c>
    </row>
    <row r="68" spans="1:9" x14ac:dyDescent="0.2">
      <c r="A68" t="s">
        <v>188</v>
      </c>
      <c r="B68">
        <v>51</v>
      </c>
      <c r="C68">
        <v>28</v>
      </c>
      <c r="D68">
        <v>9</v>
      </c>
      <c r="E68">
        <v>0</v>
      </c>
      <c r="F68">
        <v>7.3109488919999404</v>
      </c>
      <c r="G68">
        <v>1</v>
      </c>
      <c r="H68">
        <v>1</v>
      </c>
      <c r="I68" t="s">
        <v>724</v>
      </c>
    </row>
    <row r="69" spans="1:9" x14ac:dyDescent="0.2">
      <c r="A69" t="s">
        <v>190</v>
      </c>
      <c r="B69">
        <v>52</v>
      </c>
      <c r="C69">
        <v>15</v>
      </c>
      <c r="D69">
        <v>17</v>
      </c>
      <c r="E69">
        <v>0</v>
      </c>
      <c r="F69">
        <v>618.16187513400098</v>
      </c>
      <c r="G69">
        <v>1</v>
      </c>
      <c r="H69">
        <v>1</v>
      </c>
      <c r="I69" t="s">
        <v>725</v>
      </c>
    </row>
    <row r="70" spans="1:9" x14ac:dyDescent="0.2">
      <c r="A70" t="s">
        <v>192</v>
      </c>
      <c r="B70">
        <v>53</v>
      </c>
      <c r="C70">
        <v>16</v>
      </c>
      <c r="D70">
        <v>17</v>
      </c>
      <c r="E70">
        <v>0</v>
      </c>
      <c r="F70">
        <v>8536.5560946009991</v>
      </c>
      <c r="G70">
        <v>1</v>
      </c>
      <c r="H70">
        <v>1</v>
      </c>
      <c r="I70" t="s">
        <v>726</v>
      </c>
    </row>
    <row r="71" spans="1:9" x14ac:dyDescent="0.2">
      <c r="A71" t="s">
        <v>194</v>
      </c>
      <c r="B71">
        <v>54</v>
      </c>
      <c r="C71">
        <v>31</v>
      </c>
      <c r="D71">
        <v>9</v>
      </c>
      <c r="E71">
        <v>0</v>
      </c>
      <c r="F71">
        <v>59.287431595999799</v>
      </c>
      <c r="G71">
        <v>1</v>
      </c>
      <c r="H71">
        <v>1</v>
      </c>
      <c r="I71" t="s">
        <v>727</v>
      </c>
    </row>
    <row r="72" spans="1:9" x14ac:dyDescent="0.2">
      <c r="A72" t="s">
        <v>196</v>
      </c>
      <c r="B72">
        <v>55</v>
      </c>
      <c r="C72">
        <v>23</v>
      </c>
      <c r="D72">
        <v>13</v>
      </c>
      <c r="E72">
        <v>0</v>
      </c>
      <c r="F72">
        <v>6295.0587588130002</v>
      </c>
      <c r="G72">
        <v>1</v>
      </c>
      <c r="H72">
        <v>1</v>
      </c>
      <c r="I72" t="s">
        <v>728</v>
      </c>
    </row>
    <row r="73" spans="1:9" x14ac:dyDescent="0.2">
      <c r="A73" t="s">
        <v>198</v>
      </c>
      <c r="B73">
        <v>56</v>
      </c>
      <c r="C73">
        <v>17</v>
      </c>
      <c r="D73">
        <v>17</v>
      </c>
      <c r="E73">
        <v>0</v>
      </c>
      <c r="F73">
        <v>42464.827276272903</v>
      </c>
      <c r="G73">
        <v>1</v>
      </c>
      <c r="H73">
        <v>1</v>
      </c>
      <c r="I73" t="s">
        <v>729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33CA-4CF2-B243-ACBF-8B272BBB5182}">
  <dimension ref="A1:I120"/>
  <sheetViews>
    <sheetView workbookViewId="0">
      <selection activeCell="C12" sqref="C12"/>
    </sheetView>
  </sheetViews>
  <sheetFormatPr baseColWidth="10" defaultColWidth="11" defaultRowHeight="16" x14ac:dyDescent="0.2"/>
  <sheetData>
    <row r="1" spans="1:1" x14ac:dyDescent="0.2">
      <c r="A1" t="s">
        <v>70</v>
      </c>
    </row>
    <row r="2" spans="1:1" x14ac:dyDescent="0.2">
      <c r="A2" t="s">
        <v>71</v>
      </c>
    </row>
    <row r="3" spans="1:1" x14ac:dyDescent="0.2">
      <c r="A3" t="s">
        <v>73</v>
      </c>
    </row>
    <row r="4" spans="1:1" x14ac:dyDescent="0.2">
      <c r="A4" s="21" t="s">
        <v>74</v>
      </c>
    </row>
    <row r="5" spans="1:1" x14ac:dyDescent="0.2">
      <c r="A5" s="21" t="s">
        <v>684</v>
      </c>
    </row>
    <row r="6" spans="1:1" x14ac:dyDescent="0.2">
      <c r="A6" t="s">
        <v>76</v>
      </c>
    </row>
    <row r="7" spans="1:1" x14ac:dyDescent="0.2">
      <c r="A7" t="s">
        <v>77</v>
      </c>
    </row>
    <row r="8" spans="1:1" x14ac:dyDescent="0.2">
      <c r="A8" s="21" t="s">
        <v>78</v>
      </c>
    </row>
    <row r="9" spans="1:1" x14ac:dyDescent="0.2">
      <c r="A9" t="s">
        <v>79</v>
      </c>
    </row>
    <row r="10" spans="1:1" x14ac:dyDescent="0.2">
      <c r="A10" t="s">
        <v>80</v>
      </c>
    </row>
    <row r="11" spans="1:1" x14ac:dyDescent="0.2">
      <c r="A11" t="s">
        <v>81</v>
      </c>
    </row>
    <row r="12" spans="1:1" x14ac:dyDescent="0.2">
      <c r="A12" t="s">
        <v>82</v>
      </c>
    </row>
    <row r="13" spans="1:1" x14ac:dyDescent="0.2">
      <c r="A13" t="s">
        <v>83</v>
      </c>
    </row>
    <row r="14" spans="1:1" x14ac:dyDescent="0.2">
      <c r="A14" t="s">
        <v>84</v>
      </c>
    </row>
    <row r="15" spans="1:1" x14ac:dyDescent="0.2">
      <c r="A15" t="s">
        <v>85</v>
      </c>
    </row>
    <row r="16" spans="1:1" x14ac:dyDescent="0.2">
      <c r="A16" t="s">
        <v>86</v>
      </c>
    </row>
    <row r="17" spans="1:9" x14ac:dyDescent="0.2">
      <c r="A17" t="s">
        <v>87</v>
      </c>
    </row>
    <row r="18" spans="1:9" x14ac:dyDescent="0.2">
      <c r="A18" t="s">
        <v>346</v>
      </c>
    </row>
    <row r="19" spans="1:9" x14ac:dyDescent="0.2">
      <c r="A19" t="s">
        <v>89</v>
      </c>
    </row>
    <row r="20" spans="1:9" x14ac:dyDescent="0.2">
      <c r="A20" s="6" t="s">
        <v>730</v>
      </c>
    </row>
    <row r="21" spans="1:9" x14ac:dyDescent="0.2">
      <c r="A21" t="s">
        <v>93</v>
      </c>
    </row>
    <row r="22" spans="1:9" x14ac:dyDescent="0.2">
      <c r="A22" t="s">
        <v>731</v>
      </c>
    </row>
    <row r="23" spans="1:9" x14ac:dyDescent="0.2">
      <c r="A23" t="s">
        <v>95</v>
      </c>
    </row>
    <row r="24" spans="1:9" x14ac:dyDescent="0.2">
      <c r="A24" t="s">
        <v>96</v>
      </c>
      <c r="B24" t="s">
        <v>61</v>
      </c>
      <c r="C24" t="s">
        <v>97</v>
      </c>
      <c r="D24" t="s">
        <v>98</v>
      </c>
      <c r="E24" t="s">
        <v>99</v>
      </c>
      <c r="F24" t="s">
        <v>100</v>
      </c>
      <c r="G24" t="s">
        <v>58</v>
      </c>
      <c r="H24" t="s">
        <v>59</v>
      </c>
      <c r="I24" t="s">
        <v>101</v>
      </c>
    </row>
    <row r="25" spans="1:9" x14ac:dyDescent="0.2">
      <c r="A25" t="s">
        <v>102</v>
      </c>
      <c r="B25">
        <v>5</v>
      </c>
      <c r="C25">
        <v>3</v>
      </c>
      <c r="D25">
        <v>2</v>
      </c>
      <c r="E25">
        <v>0</v>
      </c>
      <c r="F25">
        <v>0.307876666999987</v>
      </c>
      <c r="G25">
        <v>1</v>
      </c>
      <c r="H25">
        <v>1</v>
      </c>
      <c r="I25" t="s">
        <v>732</v>
      </c>
    </row>
    <row r="26" spans="1:9" x14ac:dyDescent="0.2">
      <c r="A26" t="s">
        <v>104</v>
      </c>
      <c r="B26">
        <v>6</v>
      </c>
      <c r="C26">
        <v>3</v>
      </c>
      <c r="D26">
        <v>3</v>
      </c>
      <c r="E26">
        <v>0</v>
      </c>
      <c r="F26">
        <v>5.3326826000017001E-2</v>
      </c>
      <c r="G26">
        <v>1</v>
      </c>
      <c r="H26">
        <v>1</v>
      </c>
      <c r="I26" t="s">
        <v>733</v>
      </c>
    </row>
    <row r="27" spans="1:9" x14ac:dyDescent="0.2">
      <c r="A27" t="s">
        <v>106</v>
      </c>
      <c r="B27">
        <v>7</v>
      </c>
      <c r="C27">
        <v>3</v>
      </c>
      <c r="D27">
        <v>4</v>
      </c>
      <c r="E27">
        <v>0</v>
      </c>
      <c r="F27">
        <v>6.5493571999979794E-2</v>
      </c>
      <c r="G27">
        <v>1</v>
      </c>
      <c r="H27">
        <v>1</v>
      </c>
      <c r="I27" t="s">
        <v>734</v>
      </c>
    </row>
    <row r="28" spans="1:9" x14ac:dyDescent="0.2">
      <c r="A28" t="s">
        <v>108</v>
      </c>
      <c r="B28">
        <v>8</v>
      </c>
      <c r="C28">
        <v>3</v>
      </c>
      <c r="D28">
        <v>4</v>
      </c>
      <c r="E28">
        <v>0</v>
      </c>
      <c r="F28">
        <v>5.7926476000005701E-2</v>
      </c>
      <c r="G28">
        <v>1</v>
      </c>
      <c r="H28">
        <v>1</v>
      </c>
      <c r="I28" t="s">
        <v>735</v>
      </c>
    </row>
    <row r="29" spans="1:9" x14ac:dyDescent="0.2">
      <c r="A29" t="s">
        <v>110</v>
      </c>
      <c r="B29">
        <v>9</v>
      </c>
      <c r="C29">
        <v>5</v>
      </c>
      <c r="D29">
        <v>3</v>
      </c>
      <c r="E29">
        <v>0</v>
      </c>
      <c r="F29">
        <v>5.64824890000181E-2</v>
      </c>
      <c r="G29">
        <v>1</v>
      </c>
      <c r="H29">
        <v>1</v>
      </c>
      <c r="I29" t="s">
        <v>736</v>
      </c>
    </row>
    <row r="30" spans="1:9" x14ac:dyDescent="0.2">
      <c r="A30" t="s">
        <v>112</v>
      </c>
      <c r="B30">
        <v>10</v>
      </c>
      <c r="C30">
        <v>3</v>
      </c>
      <c r="D30">
        <v>5</v>
      </c>
      <c r="E30">
        <v>0</v>
      </c>
      <c r="F30">
        <v>5.4246421999977201E-2</v>
      </c>
      <c r="G30">
        <v>1</v>
      </c>
      <c r="H30">
        <v>1</v>
      </c>
      <c r="I30" t="s">
        <v>737</v>
      </c>
    </row>
    <row r="31" spans="1:9" x14ac:dyDescent="0.2">
      <c r="A31" t="s">
        <v>114</v>
      </c>
      <c r="B31">
        <v>11</v>
      </c>
      <c r="C31">
        <v>3</v>
      </c>
      <c r="D31">
        <v>6</v>
      </c>
      <c r="E31">
        <v>0</v>
      </c>
      <c r="F31">
        <v>5.7297478999998902E-2</v>
      </c>
      <c r="G31">
        <v>1</v>
      </c>
      <c r="H31">
        <v>1</v>
      </c>
      <c r="I31" t="s">
        <v>738</v>
      </c>
    </row>
    <row r="32" spans="1:9" x14ac:dyDescent="0.2">
      <c r="A32" t="s">
        <v>116</v>
      </c>
      <c r="B32">
        <v>12</v>
      </c>
      <c r="C32">
        <v>3</v>
      </c>
      <c r="D32">
        <v>6</v>
      </c>
      <c r="E32">
        <v>0</v>
      </c>
      <c r="F32">
        <v>5.2931779000005001E-2</v>
      </c>
      <c r="G32">
        <v>1</v>
      </c>
      <c r="H32">
        <v>1</v>
      </c>
      <c r="I32" t="s">
        <v>739</v>
      </c>
    </row>
    <row r="33" spans="1:9" x14ac:dyDescent="0.2">
      <c r="A33" t="s">
        <v>118</v>
      </c>
      <c r="B33">
        <v>13</v>
      </c>
      <c r="C33">
        <v>5</v>
      </c>
      <c r="D33">
        <v>5</v>
      </c>
      <c r="E33">
        <v>0</v>
      </c>
      <c r="F33">
        <v>5.3318691000015399E-2</v>
      </c>
      <c r="G33">
        <v>1</v>
      </c>
      <c r="H33">
        <v>1</v>
      </c>
      <c r="I33" t="s">
        <v>740</v>
      </c>
    </row>
    <row r="34" spans="1:9" x14ac:dyDescent="0.2">
      <c r="A34" t="s">
        <v>120</v>
      </c>
      <c r="B34">
        <v>14</v>
      </c>
      <c r="C34">
        <v>6</v>
      </c>
      <c r="D34">
        <v>5</v>
      </c>
      <c r="E34">
        <v>0</v>
      </c>
      <c r="F34">
        <v>5.2607323999978903E-2</v>
      </c>
      <c r="G34">
        <v>1</v>
      </c>
      <c r="H34">
        <v>1</v>
      </c>
      <c r="I34" t="s">
        <v>740</v>
      </c>
    </row>
    <row r="35" spans="1:9" x14ac:dyDescent="0.2">
      <c r="A35" t="s">
        <v>122</v>
      </c>
      <c r="B35">
        <v>15</v>
      </c>
      <c r="C35">
        <v>7</v>
      </c>
      <c r="D35">
        <v>5</v>
      </c>
      <c r="E35">
        <v>0</v>
      </c>
      <c r="F35">
        <v>5.0782493000014001E-2</v>
      </c>
      <c r="G35">
        <v>1</v>
      </c>
      <c r="H35">
        <v>1</v>
      </c>
      <c r="I35" t="s">
        <v>741</v>
      </c>
    </row>
    <row r="36" spans="1:9" x14ac:dyDescent="0.2">
      <c r="A36" t="s">
        <v>124</v>
      </c>
      <c r="B36">
        <v>16</v>
      </c>
      <c r="C36">
        <v>8</v>
      </c>
      <c r="D36">
        <v>5</v>
      </c>
      <c r="E36">
        <v>0</v>
      </c>
      <c r="F36">
        <v>5.1131656999984898E-2</v>
      </c>
      <c r="G36">
        <v>1</v>
      </c>
      <c r="H36">
        <v>1</v>
      </c>
      <c r="I36" t="s">
        <v>740</v>
      </c>
    </row>
    <row r="37" spans="1:9" x14ac:dyDescent="0.2">
      <c r="A37" t="s">
        <v>126</v>
      </c>
      <c r="B37">
        <v>20</v>
      </c>
      <c r="C37">
        <v>5</v>
      </c>
      <c r="D37">
        <v>9</v>
      </c>
      <c r="E37">
        <v>0</v>
      </c>
      <c r="F37">
        <v>5.2822775999999197E-2</v>
      </c>
      <c r="G37">
        <v>1</v>
      </c>
      <c r="H37">
        <v>1</v>
      </c>
      <c r="I37" t="s">
        <v>742</v>
      </c>
    </row>
    <row r="38" spans="1:9" x14ac:dyDescent="0.2">
      <c r="A38" t="s">
        <v>128</v>
      </c>
      <c r="B38">
        <v>21</v>
      </c>
      <c r="C38">
        <v>5</v>
      </c>
      <c r="D38">
        <v>10</v>
      </c>
      <c r="E38">
        <v>0</v>
      </c>
      <c r="F38">
        <v>5.4473073000025303E-2</v>
      </c>
      <c r="G38">
        <v>1</v>
      </c>
      <c r="H38">
        <v>1</v>
      </c>
      <c r="I38" t="s">
        <v>743</v>
      </c>
    </row>
    <row r="39" spans="1:9" x14ac:dyDescent="0.2">
      <c r="A39" t="s">
        <v>130</v>
      </c>
      <c r="B39">
        <v>22</v>
      </c>
      <c r="C39">
        <v>6</v>
      </c>
      <c r="D39">
        <v>9</v>
      </c>
      <c r="E39">
        <v>0</v>
      </c>
      <c r="F39">
        <v>5.5565760999996799E-2</v>
      </c>
      <c r="G39">
        <v>1</v>
      </c>
      <c r="H39">
        <v>1</v>
      </c>
      <c r="I39" t="s">
        <v>744</v>
      </c>
    </row>
    <row r="40" spans="1:9" x14ac:dyDescent="0.2">
      <c r="A40" t="s">
        <v>132</v>
      </c>
      <c r="B40">
        <v>23</v>
      </c>
      <c r="C40">
        <v>7</v>
      </c>
      <c r="D40">
        <v>9</v>
      </c>
      <c r="E40">
        <v>0</v>
      </c>
      <c r="F40">
        <v>5.6759927999991001E-2</v>
      </c>
      <c r="G40">
        <v>1</v>
      </c>
      <c r="H40">
        <v>1</v>
      </c>
      <c r="I40" t="s">
        <v>744</v>
      </c>
    </row>
    <row r="41" spans="1:9" x14ac:dyDescent="0.2">
      <c r="A41" t="s">
        <v>134</v>
      </c>
      <c r="B41">
        <v>24</v>
      </c>
      <c r="C41">
        <v>3</v>
      </c>
      <c r="D41">
        <v>13</v>
      </c>
      <c r="E41">
        <v>0</v>
      </c>
      <c r="F41">
        <v>5.4202248999985103E-2</v>
      </c>
      <c r="G41">
        <v>1</v>
      </c>
      <c r="H41">
        <v>1</v>
      </c>
      <c r="I41" t="s">
        <v>745</v>
      </c>
    </row>
    <row r="42" spans="1:9" x14ac:dyDescent="0.2">
      <c r="A42" t="s">
        <v>136</v>
      </c>
      <c r="B42">
        <v>25</v>
      </c>
      <c r="C42">
        <v>15</v>
      </c>
      <c r="D42">
        <v>5</v>
      </c>
      <c r="E42">
        <v>0</v>
      </c>
      <c r="F42">
        <v>4.9835378000011497E-2</v>
      </c>
      <c r="G42">
        <v>1</v>
      </c>
      <c r="H42">
        <v>1</v>
      </c>
      <c r="I42" t="s">
        <v>746</v>
      </c>
    </row>
    <row r="43" spans="1:9" x14ac:dyDescent="0.2">
      <c r="A43" t="s">
        <v>138</v>
      </c>
      <c r="B43">
        <v>26</v>
      </c>
      <c r="C43">
        <v>9</v>
      </c>
      <c r="D43">
        <v>9</v>
      </c>
      <c r="E43">
        <v>0</v>
      </c>
      <c r="F43">
        <v>5.9988882999988301E-2</v>
      </c>
      <c r="G43">
        <v>1</v>
      </c>
      <c r="H43">
        <v>1</v>
      </c>
      <c r="I43" t="s">
        <v>747</v>
      </c>
    </row>
    <row r="44" spans="1:9" x14ac:dyDescent="0.2">
      <c r="A44" t="s">
        <v>140</v>
      </c>
      <c r="B44">
        <v>27</v>
      </c>
      <c r="C44">
        <v>10</v>
      </c>
      <c r="D44">
        <v>9</v>
      </c>
      <c r="E44">
        <v>0</v>
      </c>
      <c r="F44">
        <v>6.26322590000256E-2</v>
      </c>
      <c r="G44">
        <v>1</v>
      </c>
      <c r="H44">
        <v>1</v>
      </c>
      <c r="I44" t="s">
        <v>747</v>
      </c>
    </row>
    <row r="45" spans="1:9" x14ac:dyDescent="0.2">
      <c r="A45" t="s">
        <v>142</v>
      </c>
      <c r="B45">
        <v>28</v>
      </c>
      <c r="C45">
        <v>18</v>
      </c>
      <c r="D45">
        <v>5</v>
      </c>
      <c r="E45">
        <v>0</v>
      </c>
      <c r="F45">
        <v>4.9928161999986197E-2</v>
      </c>
      <c r="G45">
        <v>1</v>
      </c>
      <c r="H45">
        <v>1</v>
      </c>
      <c r="I45" t="s">
        <v>748</v>
      </c>
    </row>
    <row r="46" spans="1:9" x14ac:dyDescent="0.2">
      <c r="A46" t="s">
        <v>144</v>
      </c>
      <c r="B46">
        <v>29</v>
      </c>
      <c r="C46">
        <v>6</v>
      </c>
      <c r="D46">
        <v>13</v>
      </c>
      <c r="E46">
        <v>0</v>
      </c>
      <c r="F46">
        <v>5.5234853999991097E-2</v>
      </c>
      <c r="G46">
        <v>1</v>
      </c>
      <c r="H46">
        <v>1</v>
      </c>
      <c r="I46" t="s">
        <v>749</v>
      </c>
    </row>
    <row r="47" spans="1:9" x14ac:dyDescent="0.2">
      <c r="A47" t="s">
        <v>146</v>
      </c>
      <c r="B47">
        <v>30</v>
      </c>
      <c r="C47">
        <v>6</v>
      </c>
      <c r="D47">
        <v>14</v>
      </c>
      <c r="E47">
        <v>0</v>
      </c>
      <c r="F47">
        <v>5.4884012000002202E-2</v>
      </c>
      <c r="G47">
        <v>1</v>
      </c>
      <c r="H47">
        <v>1</v>
      </c>
      <c r="I47" t="s">
        <v>750</v>
      </c>
    </row>
    <row r="48" spans="1:9" x14ac:dyDescent="0.2">
      <c r="A48" t="s">
        <v>148</v>
      </c>
      <c r="B48">
        <v>31</v>
      </c>
      <c r="C48">
        <v>3</v>
      </c>
      <c r="D48">
        <v>17</v>
      </c>
      <c r="E48">
        <v>0</v>
      </c>
      <c r="F48">
        <v>5.3822745000019198E-2</v>
      </c>
      <c r="G48">
        <v>1</v>
      </c>
      <c r="H48">
        <v>1</v>
      </c>
      <c r="I48" t="s">
        <v>751</v>
      </c>
    </row>
    <row r="49" spans="1:9" x14ac:dyDescent="0.2">
      <c r="A49" t="s">
        <v>150</v>
      </c>
      <c r="B49">
        <v>32</v>
      </c>
      <c r="C49">
        <v>8</v>
      </c>
      <c r="D49">
        <v>13</v>
      </c>
      <c r="E49">
        <v>0</v>
      </c>
      <c r="F49">
        <v>8.7457014999983998E-2</v>
      </c>
      <c r="G49">
        <v>1</v>
      </c>
      <c r="H49">
        <v>1</v>
      </c>
      <c r="I49" t="s">
        <v>752</v>
      </c>
    </row>
    <row r="50" spans="1:9" x14ac:dyDescent="0.2">
      <c r="A50" t="s">
        <v>152</v>
      </c>
      <c r="B50">
        <v>33</v>
      </c>
      <c r="C50">
        <v>18</v>
      </c>
      <c r="D50">
        <v>7</v>
      </c>
      <c r="E50">
        <v>0</v>
      </c>
      <c r="F50">
        <v>0.12793387499999601</v>
      </c>
      <c r="G50">
        <v>1</v>
      </c>
      <c r="H50">
        <v>1</v>
      </c>
      <c r="I50" t="s">
        <v>753</v>
      </c>
    </row>
    <row r="51" spans="1:9" x14ac:dyDescent="0.2">
      <c r="A51" t="s">
        <v>154</v>
      </c>
      <c r="B51">
        <v>34</v>
      </c>
      <c r="C51">
        <v>4</v>
      </c>
      <c r="D51">
        <v>17</v>
      </c>
      <c r="E51">
        <v>0</v>
      </c>
      <c r="F51">
        <v>8.5073187999995498E-2</v>
      </c>
      <c r="G51">
        <v>1</v>
      </c>
      <c r="H51">
        <v>1</v>
      </c>
      <c r="I51" t="s">
        <v>754</v>
      </c>
    </row>
    <row r="52" spans="1:9" x14ac:dyDescent="0.2">
      <c r="A52" t="s">
        <v>156</v>
      </c>
      <c r="B52">
        <v>35</v>
      </c>
      <c r="C52">
        <v>20</v>
      </c>
      <c r="D52">
        <v>7</v>
      </c>
      <c r="E52">
        <v>0</v>
      </c>
      <c r="F52">
        <v>0.13665985100001801</v>
      </c>
      <c r="G52">
        <v>1</v>
      </c>
      <c r="H52">
        <v>1</v>
      </c>
      <c r="I52" t="s">
        <v>755</v>
      </c>
    </row>
    <row r="53" spans="1:9" x14ac:dyDescent="0.2">
      <c r="A53" t="s">
        <v>158</v>
      </c>
      <c r="B53">
        <v>36</v>
      </c>
      <c r="C53">
        <v>5</v>
      </c>
      <c r="D53">
        <v>17</v>
      </c>
      <c r="E53">
        <v>0</v>
      </c>
      <c r="F53">
        <v>7.5758070999995597E-2</v>
      </c>
      <c r="G53">
        <v>1</v>
      </c>
      <c r="H53">
        <v>1</v>
      </c>
      <c r="I53" t="s">
        <v>756</v>
      </c>
    </row>
    <row r="54" spans="1:9" x14ac:dyDescent="0.2">
      <c r="A54" t="s">
        <v>160</v>
      </c>
      <c r="B54">
        <v>37</v>
      </c>
      <c r="C54">
        <v>6</v>
      </c>
      <c r="D54">
        <v>17</v>
      </c>
      <c r="E54">
        <v>0</v>
      </c>
      <c r="F54">
        <v>7.8529749000011806E-2</v>
      </c>
      <c r="G54">
        <v>1</v>
      </c>
      <c r="H54">
        <v>1</v>
      </c>
      <c r="I54" t="s">
        <v>757</v>
      </c>
    </row>
    <row r="55" spans="1:9" x14ac:dyDescent="0.2">
      <c r="A55" t="s">
        <v>162</v>
      </c>
      <c r="B55">
        <v>38</v>
      </c>
      <c r="C55">
        <v>3</v>
      </c>
      <c r="D55">
        <v>21</v>
      </c>
      <c r="E55">
        <v>0</v>
      </c>
      <c r="F55">
        <v>6.3924299999996395E-2</v>
      </c>
      <c r="G55">
        <v>1</v>
      </c>
      <c r="H55">
        <v>1</v>
      </c>
      <c r="I55" t="s">
        <v>758</v>
      </c>
    </row>
    <row r="56" spans="1:9" x14ac:dyDescent="0.2">
      <c r="A56" t="s">
        <v>164</v>
      </c>
      <c r="B56">
        <v>39</v>
      </c>
      <c r="C56">
        <v>7</v>
      </c>
      <c r="D56">
        <v>17</v>
      </c>
      <c r="E56">
        <v>0</v>
      </c>
      <c r="F56">
        <v>5.8944042999996699E-2</v>
      </c>
      <c r="G56">
        <v>1</v>
      </c>
      <c r="H56">
        <v>1</v>
      </c>
      <c r="I56" t="s">
        <v>759</v>
      </c>
    </row>
    <row r="57" spans="1:9" x14ac:dyDescent="0.2">
      <c r="A57" t="s">
        <v>166</v>
      </c>
      <c r="B57">
        <v>40</v>
      </c>
      <c r="C57">
        <v>13</v>
      </c>
      <c r="D57">
        <v>13</v>
      </c>
      <c r="E57">
        <v>0</v>
      </c>
      <c r="F57">
        <v>4.1952197949999803</v>
      </c>
      <c r="G57">
        <v>1</v>
      </c>
      <c r="H57">
        <v>1</v>
      </c>
      <c r="I57" t="s">
        <v>760</v>
      </c>
    </row>
    <row r="58" spans="1:9" x14ac:dyDescent="0.2">
      <c r="A58" t="s">
        <v>168</v>
      </c>
      <c r="B58">
        <v>41</v>
      </c>
      <c r="C58">
        <v>8</v>
      </c>
      <c r="D58">
        <v>17</v>
      </c>
      <c r="E58">
        <v>0</v>
      </c>
      <c r="F58">
        <v>6.9563823000009906E-2</v>
      </c>
      <c r="G58">
        <v>1</v>
      </c>
      <c r="H58">
        <v>1</v>
      </c>
      <c r="I58" t="s">
        <v>761</v>
      </c>
    </row>
    <row r="59" spans="1:9" x14ac:dyDescent="0.2">
      <c r="A59" t="s">
        <v>170</v>
      </c>
      <c r="B59">
        <v>42</v>
      </c>
      <c r="C59">
        <v>9</v>
      </c>
      <c r="D59">
        <v>17</v>
      </c>
      <c r="E59">
        <v>0</v>
      </c>
      <c r="F59">
        <v>0.42186363499999402</v>
      </c>
      <c r="G59">
        <v>1</v>
      </c>
      <c r="H59">
        <v>1</v>
      </c>
      <c r="I59" t="s">
        <v>762</v>
      </c>
    </row>
    <row r="60" spans="1:9" x14ac:dyDescent="0.2">
      <c r="A60" t="s">
        <v>172</v>
      </c>
      <c r="B60">
        <v>43</v>
      </c>
      <c r="C60">
        <v>22</v>
      </c>
      <c r="D60">
        <v>9</v>
      </c>
      <c r="E60">
        <v>0</v>
      </c>
      <c r="F60">
        <v>3.9566487989999901</v>
      </c>
      <c r="G60">
        <v>1</v>
      </c>
      <c r="H60">
        <v>1</v>
      </c>
      <c r="I60" t="s">
        <v>763</v>
      </c>
    </row>
    <row r="61" spans="1:9" x14ac:dyDescent="0.2">
      <c r="A61" t="s">
        <v>174</v>
      </c>
      <c r="B61">
        <v>44</v>
      </c>
      <c r="C61">
        <v>23</v>
      </c>
      <c r="D61">
        <v>9</v>
      </c>
      <c r="E61">
        <v>0</v>
      </c>
      <c r="F61">
        <v>5.53195943700001</v>
      </c>
      <c r="G61">
        <v>1</v>
      </c>
      <c r="H61">
        <v>1</v>
      </c>
      <c r="I61" t="s">
        <v>764</v>
      </c>
    </row>
    <row r="62" spans="1:9" x14ac:dyDescent="0.2">
      <c r="A62" t="s">
        <v>176</v>
      </c>
      <c r="B62">
        <v>45</v>
      </c>
      <c r="C62">
        <v>24</v>
      </c>
      <c r="D62">
        <v>9</v>
      </c>
      <c r="E62">
        <v>0</v>
      </c>
      <c r="F62">
        <v>13.0854691469999</v>
      </c>
      <c r="G62">
        <v>1</v>
      </c>
      <c r="H62">
        <v>1</v>
      </c>
      <c r="I62" t="s">
        <v>765</v>
      </c>
    </row>
    <row r="63" spans="1:9" x14ac:dyDescent="0.2">
      <c r="A63" t="s">
        <v>178</v>
      </c>
      <c r="B63">
        <v>46</v>
      </c>
      <c r="C63">
        <v>15</v>
      </c>
      <c r="D63">
        <v>15</v>
      </c>
      <c r="E63">
        <v>0</v>
      </c>
      <c r="F63">
        <v>2830.5099180439902</v>
      </c>
      <c r="G63">
        <v>1</v>
      </c>
      <c r="H63">
        <v>1</v>
      </c>
      <c r="I63" t="s">
        <v>766</v>
      </c>
    </row>
    <row r="64" spans="1:9" x14ac:dyDescent="0.2">
      <c r="A64" t="s">
        <v>180</v>
      </c>
      <c r="B64">
        <v>47</v>
      </c>
      <c r="C64">
        <v>25</v>
      </c>
      <c r="D64">
        <v>9</v>
      </c>
      <c r="E64">
        <v>0</v>
      </c>
      <c r="F64">
        <v>28.235408830000299</v>
      </c>
      <c r="G64">
        <v>1</v>
      </c>
      <c r="H64">
        <v>1</v>
      </c>
      <c r="I64" t="s">
        <v>767</v>
      </c>
    </row>
    <row r="65" spans="1:9" x14ac:dyDescent="0.2">
      <c r="A65" t="s">
        <v>182</v>
      </c>
      <c r="B65">
        <v>48</v>
      </c>
      <c r="C65">
        <v>26</v>
      </c>
      <c r="D65">
        <v>9</v>
      </c>
      <c r="E65">
        <v>0</v>
      </c>
      <c r="F65">
        <v>30.678594074999602</v>
      </c>
      <c r="G65">
        <v>1</v>
      </c>
      <c r="H65">
        <v>1</v>
      </c>
      <c r="I65" t="s">
        <v>767</v>
      </c>
    </row>
    <row r="66" spans="1:9" x14ac:dyDescent="0.2">
      <c r="A66" t="s">
        <v>184</v>
      </c>
      <c r="B66">
        <v>49</v>
      </c>
      <c r="C66">
        <v>4</v>
      </c>
      <c r="D66">
        <v>25</v>
      </c>
      <c r="E66">
        <v>0</v>
      </c>
      <c r="F66">
        <v>2.3468537000098801E-2</v>
      </c>
      <c r="G66">
        <v>1</v>
      </c>
      <c r="H66">
        <v>1</v>
      </c>
      <c r="I66" t="s">
        <v>768</v>
      </c>
    </row>
    <row r="67" spans="1:9" x14ac:dyDescent="0.2">
      <c r="A67" t="s">
        <v>186</v>
      </c>
      <c r="B67">
        <v>50</v>
      </c>
      <c r="C67">
        <v>19</v>
      </c>
      <c r="D67">
        <v>13</v>
      </c>
      <c r="E67">
        <v>0</v>
      </c>
      <c r="F67">
        <v>10060.097772704001</v>
      </c>
      <c r="G67">
        <v>1</v>
      </c>
      <c r="H67">
        <v>1</v>
      </c>
      <c r="I67" t="s">
        <v>769</v>
      </c>
    </row>
    <row r="68" spans="1:9" x14ac:dyDescent="0.2">
      <c r="A68" t="s">
        <v>188</v>
      </c>
      <c r="B68">
        <v>51</v>
      </c>
      <c r="C68">
        <v>28</v>
      </c>
      <c r="D68">
        <v>9</v>
      </c>
      <c r="E68">
        <v>0</v>
      </c>
      <c r="F68">
        <v>14.454949589000501</v>
      </c>
      <c r="G68">
        <v>1</v>
      </c>
      <c r="H68">
        <v>1</v>
      </c>
      <c r="I68" t="s">
        <v>770</v>
      </c>
    </row>
    <row r="69" spans="1:9" x14ac:dyDescent="0.2">
      <c r="A69" t="s">
        <v>190</v>
      </c>
      <c r="B69">
        <v>52</v>
      </c>
      <c r="C69">
        <v>15</v>
      </c>
      <c r="D69">
        <v>17</v>
      </c>
      <c r="E69">
        <v>0</v>
      </c>
      <c r="F69">
        <v>2023.9766111230001</v>
      </c>
      <c r="G69">
        <v>1</v>
      </c>
      <c r="H69">
        <v>1</v>
      </c>
      <c r="I69" t="s">
        <v>771</v>
      </c>
    </row>
    <row r="70" spans="1:9" x14ac:dyDescent="0.2">
      <c r="A70" t="s">
        <v>192</v>
      </c>
      <c r="B70">
        <v>53</v>
      </c>
      <c r="C70">
        <v>16</v>
      </c>
      <c r="D70">
        <v>17</v>
      </c>
      <c r="E70">
        <v>0</v>
      </c>
      <c r="F70">
        <v>14434.9070341959</v>
      </c>
      <c r="G70">
        <v>1</v>
      </c>
      <c r="H70">
        <v>1</v>
      </c>
      <c r="I70" t="s">
        <v>772</v>
      </c>
    </row>
    <row r="71" spans="1:9" x14ac:dyDescent="0.2">
      <c r="A71" t="s">
        <v>194</v>
      </c>
      <c r="B71">
        <v>54</v>
      </c>
      <c r="C71">
        <v>31</v>
      </c>
      <c r="D71">
        <v>9</v>
      </c>
      <c r="E71">
        <v>0</v>
      </c>
      <c r="F71">
        <v>114.424848116999</v>
      </c>
      <c r="G71">
        <v>1</v>
      </c>
      <c r="H71">
        <v>1</v>
      </c>
      <c r="I71" t="s">
        <v>773</v>
      </c>
    </row>
    <row r="72" spans="1:9" x14ac:dyDescent="0.2">
      <c r="A72" t="s">
        <v>196</v>
      </c>
      <c r="B72">
        <v>55</v>
      </c>
      <c r="C72">
        <v>23</v>
      </c>
      <c r="D72">
        <v>13</v>
      </c>
      <c r="E72">
        <v>0</v>
      </c>
      <c r="F72">
        <v>11758.407830782</v>
      </c>
      <c r="G72">
        <v>1</v>
      </c>
      <c r="H72">
        <v>1</v>
      </c>
      <c r="I72" t="s">
        <v>774</v>
      </c>
    </row>
    <row r="73" spans="1:9" x14ac:dyDescent="0.2">
      <c r="A73" t="s">
        <v>198</v>
      </c>
      <c r="B73">
        <v>56</v>
      </c>
      <c r="C73">
        <v>17</v>
      </c>
      <c r="D73">
        <v>0</v>
      </c>
      <c r="E73">
        <v>-17</v>
      </c>
      <c r="F73">
        <v>28800.207714687</v>
      </c>
      <c r="G73">
        <v>1</v>
      </c>
      <c r="H73">
        <v>1</v>
      </c>
    </row>
    <row r="74" spans="1:9" x14ac:dyDescent="0.2">
      <c r="A74" t="s">
        <v>200</v>
      </c>
      <c r="B74">
        <v>57</v>
      </c>
      <c r="C74">
        <v>18</v>
      </c>
      <c r="D74">
        <v>0</v>
      </c>
      <c r="E74">
        <v>-17</v>
      </c>
      <c r="F74">
        <v>28800.433065114899</v>
      </c>
      <c r="G74">
        <v>1</v>
      </c>
      <c r="H74">
        <v>1</v>
      </c>
    </row>
    <row r="75" spans="1:9" x14ac:dyDescent="0.2">
      <c r="A75" t="s">
        <v>202</v>
      </c>
      <c r="B75">
        <v>58</v>
      </c>
      <c r="C75">
        <v>3</v>
      </c>
      <c r="D75">
        <v>32</v>
      </c>
      <c r="E75">
        <v>0</v>
      </c>
      <c r="F75">
        <v>0.81508472299901702</v>
      </c>
      <c r="G75">
        <v>1</v>
      </c>
      <c r="H75">
        <v>1</v>
      </c>
      <c r="I75" t="s">
        <v>1234</v>
      </c>
    </row>
    <row r="76" spans="1:9" x14ac:dyDescent="0.2">
      <c r="A76" t="s">
        <v>204</v>
      </c>
      <c r="B76">
        <v>59</v>
      </c>
      <c r="C76">
        <v>19</v>
      </c>
      <c r="D76">
        <v>0</v>
      </c>
      <c r="E76">
        <v>-17</v>
      </c>
      <c r="F76">
        <v>28800.150773729001</v>
      </c>
      <c r="G76">
        <v>1</v>
      </c>
      <c r="H76">
        <v>1</v>
      </c>
    </row>
    <row r="77" spans="1:9" x14ac:dyDescent="0.2">
      <c r="A77" t="s">
        <v>206</v>
      </c>
      <c r="B77">
        <v>60</v>
      </c>
      <c r="C77">
        <v>20</v>
      </c>
      <c r="D77">
        <v>0</v>
      </c>
      <c r="E77">
        <v>-17</v>
      </c>
      <c r="F77">
        <v>28800.230329263901</v>
      </c>
      <c r="G77">
        <v>1</v>
      </c>
      <c r="H77">
        <v>1</v>
      </c>
    </row>
    <row r="78" spans="1:9" x14ac:dyDescent="0.2">
      <c r="A78" t="s">
        <v>228</v>
      </c>
      <c r="B78">
        <v>71</v>
      </c>
      <c r="C78">
        <v>12</v>
      </c>
      <c r="D78">
        <v>29</v>
      </c>
      <c r="E78">
        <v>0</v>
      </c>
      <c r="F78">
        <v>4620.8486473634803</v>
      </c>
      <c r="G78">
        <v>1</v>
      </c>
      <c r="H78">
        <v>1</v>
      </c>
      <c r="I78" t="s">
        <v>1244</v>
      </c>
    </row>
    <row r="79" spans="1:9" x14ac:dyDescent="0.2">
      <c r="A79" t="s">
        <v>258</v>
      </c>
      <c r="B79">
        <v>86</v>
      </c>
      <c r="C79">
        <v>23</v>
      </c>
      <c r="D79">
        <v>0</v>
      </c>
      <c r="E79">
        <v>-25</v>
      </c>
      <c r="F79">
        <v>28801.372365645999</v>
      </c>
      <c r="G79">
        <v>1</v>
      </c>
      <c r="H79">
        <v>1</v>
      </c>
    </row>
    <row r="80" spans="1:9" x14ac:dyDescent="0.2">
      <c r="A80" t="s">
        <v>278</v>
      </c>
      <c r="B80">
        <v>96</v>
      </c>
      <c r="C80">
        <v>48</v>
      </c>
      <c r="D80">
        <v>0</v>
      </c>
      <c r="E80">
        <v>-16</v>
      </c>
      <c r="F80">
        <v>28801.459414675799</v>
      </c>
      <c r="G80">
        <v>1</v>
      </c>
      <c r="H80">
        <v>1</v>
      </c>
    </row>
    <row r="81" spans="1:9" x14ac:dyDescent="0.2">
      <c r="A81" t="s">
        <v>218</v>
      </c>
      <c r="B81">
        <v>66</v>
      </c>
      <c r="C81">
        <v>32</v>
      </c>
      <c r="D81">
        <v>0</v>
      </c>
      <c r="E81">
        <v>-13</v>
      </c>
      <c r="F81">
        <v>28801.603433206601</v>
      </c>
      <c r="G81">
        <v>1</v>
      </c>
      <c r="H81">
        <v>1</v>
      </c>
    </row>
    <row r="82" spans="1:9" x14ac:dyDescent="0.2">
      <c r="A82" t="s">
        <v>208</v>
      </c>
      <c r="B82">
        <v>61</v>
      </c>
      <c r="C82">
        <v>18</v>
      </c>
      <c r="D82">
        <v>0</v>
      </c>
      <c r="E82">
        <v>-19</v>
      </c>
      <c r="F82">
        <v>28802.233686432199</v>
      </c>
      <c r="G82">
        <v>1</v>
      </c>
      <c r="H82">
        <v>1</v>
      </c>
    </row>
    <row r="83" spans="1:9" x14ac:dyDescent="0.2">
      <c r="A83" t="s">
        <v>248</v>
      </c>
      <c r="B83">
        <v>81</v>
      </c>
      <c r="C83">
        <v>48</v>
      </c>
      <c r="D83">
        <v>0</v>
      </c>
      <c r="E83">
        <v>-11</v>
      </c>
      <c r="F83">
        <v>28802.269561543999</v>
      </c>
      <c r="G83">
        <v>1</v>
      </c>
      <c r="H83">
        <v>1</v>
      </c>
    </row>
    <row r="84" spans="1:9" x14ac:dyDescent="0.2">
      <c r="A84" t="s">
        <v>238</v>
      </c>
      <c r="B84">
        <v>76</v>
      </c>
      <c r="C84">
        <v>40</v>
      </c>
      <c r="D84">
        <v>0</v>
      </c>
      <c r="E84">
        <v>-12</v>
      </c>
      <c r="F84">
        <v>28802.5989924594</v>
      </c>
      <c r="G84">
        <v>1</v>
      </c>
      <c r="H84">
        <v>1</v>
      </c>
    </row>
    <row r="85" spans="1:9" x14ac:dyDescent="0.2">
      <c r="A85" t="s">
        <v>230</v>
      </c>
      <c r="B85">
        <v>72</v>
      </c>
      <c r="C85">
        <v>37</v>
      </c>
      <c r="D85">
        <v>0</v>
      </c>
      <c r="E85">
        <v>-13</v>
      </c>
      <c r="F85">
        <v>28801.6247002407</v>
      </c>
      <c r="G85">
        <v>1</v>
      </c>
      <c r="H85">
        <v>1</v>
      </c>
    </row>
    <row r="86" spans="1:9" x14ac:dyDescent="0.2">
      <c r="A86" t="s">
        <v>260</v>
      </c>
      <c r="B86">
        <v>87</v>
      </c>
      <c r="C86">
        <v>45</v>
      </c>
      <c r="D86">
        <v>0</v>
      </c>
      <c r="E86">
        <v>-15</v>
      </c>
      <c r="F86">
        <v>28800.138258106999</v>
      </c>
      <c r="G86">
        <v>1</v>
      </c>
      <c r="H86">
        <v>1</v>
      </c>
    </row>
    <row r="87" spans="1:9" x14ac:dyDescent="0.2">
      <c r="A87" t="s">
        <v>280</v>
      </c>
      <c r="B87">
        <v>97</v>
      </c>
      <c r="C87">
        <v>50</v>
      </c>
      <c r="D87">
        <v>0</v>
      </c>
      <c r="E87">
        <v>-15</v>
      </c>
      <c r="F87">
        <v>28800.1188765689</v>
      </c>
      <c r="G87">
        <v>1</v>
      </c>
      <c r="H87">
        <v>1</v>
      </c>
    </row>
    <row r="88" spans="1:9" x14ac:dyDescent="0.2">
      <c r="A88" t="s">
        <v>220</v>
      </c>
      <c r="B88">
        <v>67</v>
      </c>
      <c r="C88">
        <v>33</v>
      </c>
      <c r="D88">
        <v>0</v>
      </c>
      <c r="E88">
        <v>-13</v>
      </c>
      <c r="F88">
        <v>28800.108548380402</v>
      </c>
      <c r="G88">
        <v>1</v>
      </c>
      <c r="H88">
        <v>1</v>
      </c>
    </row>
    <row r="89" spans="1:9" x14ac:dyDescent="0.2">
      <c r="A89" t="s">
        <v>210</v>
      </c>
      <c r="B89">
        <v>62</v>
      </c>
      <c r="C89">
        <v>21</v>
      </c>
      <c r="D89">
        <v>0</v>
      </c>
      <c r="E89">
        <v>-17</v>
      </c>
      <c r="F89">
        <v>28800.126959562302</v>
      </c>
      <c r="G89">
        <v>1</v>
      </c>
      <c r="H89">
        <v>1</v>
      </c>
    </row>
    <row r="90" spans="1:9" x14ac:dyDescent="0.2">
      <c r="A90" t="s">
        <v>250</v>
      </c>
      <c r="B90">
        <v>82</v>
      </c>
      <c r="C90">
        <v>43</v>
      </c>
      <c r="D90">
        <v>0</v>
      </c>
      <c r="E90">
        <v>-13</v>
      </c>
      <c r="F90">
        <v>28800.110943809101</v>
      </c>
      <c r="G90">
        <v>1</v>
      </c>
      <c r="H90">
        <v>1</v>
      </c>
    </row>
    <row r="91" spans="1:9" x14ac:dyDescent="0.2">
      <c r="A91" t="s">
        <v>240</v>
      </c>
      <c r="B91">
        <v>77</v>
      </c>
      <c r="C91">
        <v>40</v>
      </c>
      <c r="D91">
        <v>0</v>
      </c>
      <c r="E91">
        <v>-13</v>
      </c>
      <c r="F91">
        <v>28800.108965992898</v>
      </c>
      <c r="G91">
        <v>1</v>
      </c>
      <c r="H91">
        <v>1</v>
      </c>
    </row>
    <row r="92" spans="1:9" x14ac:dyDescent="0.2">
      <c r="A92" t="s">
        <v>232</v>
      </c>
      <c r="B92">
        <v>73</v>
      </c>
      <c r="C92">
        <v>38</v>
      </c>
      <c r="D92">
        <v>0</v>
      </c>
      <c r="E92">
        <v>-13</v>
      </c>
      <c r="F92">
        <v>28800.1711526289</v>
      </c>
      <c r="G92">
        <v>1</v>
      </c>
      <c r="H92">
        <v>1</v>
      </c>
    </row>
    <row r="93" spans="1:9" x14ac:dyDescent="0.2">
      <c r="A93" t="s">
        <v>234</v>
      </c>
      <c r="B93">
        <v>74</v>
      </c>
      <c r="C93">
        <v>9</v>
      </c>
      <c r="D93">
        <v>32</v>
      </c>
      <c r="E93">
        <v>0</v>
      </c>
      <c r="F93">
        <v>15.899908624589401</v>
      </c>
      <c r="G93">
        <v>1</v>
      </c>
      <c r="H93">
        <v>1</v>
      </c>
      <c r="I93" t="s">
        <v>1245</v>
      </c>
    </row>
    <row r="94" spans="1:9" x14ac:dyDescent="0.2">
      <c r="A94" t="s">
        <v>262</v>
      </c>
      <c r="B94">
        <v>88</v>
      </c>
      <c r="C94">
        <v>49</v>
      </c>
      <c r="D94">
        <v>0</v>
      </c>
      <c r="E94">
        <v>-13</v>
      </c>
      <c r="F94">
        <v>28800.143234819101</v>
      </c>
      <c r="G94">
        <v>1</v>
      </c>
      <c r="H94">
        <v>1</v>
      </c>
    </row>
    <row r="95" spans="1:9" x14ac:dyDescent="0.2">
      <c r="A95" t="s">
        <v>282</v>
      </c>
      <c r="B95">
        <v>98</v>
      </c>
      <c r="C95">
        <v>51</v>
      </c>
      <c r="D95">
        <v>0</v>
      </c>
      <c r="E95">
        <v>-15</v>
      </c>
      <c r="F95">
        <v>28800.1099049076</v>
      </c>
      <c r="G95">
        <v>1</v>
      </c>
      <c r="H95">
        <v>1</v>
      </c>
    </row>
    <row r="96" spans="1:9" x14ac:dyDescent="0.2">
      <c r="A96" t="s">
        <v>222</v>
      </c>
      <c r="B96">
        <v>68</v>
      </c>
      <c r="C96">
        <v>34</v>
      </c>
      <c r="D96">
        <v>0</v>
      </c>
      <c r="E96">
        <v>-13</v>
      </c>
      <c r="F96">
        <v>28800.109700247602</v>
      </c>
      <c r="G96">
        <v>1</v>
      </c>
      <c r="H96">
        <v>1</v>
      </c>
    </row>
    <row r="97" spans="1:8" x14ac:dyDescent="0.2">
      <c r="A97" t="s">
        <v>212</v>
      </c>
      <c r="B97">
        <v>63</v>
      </c>
      <c r="C97">
        <v>23</v>
      </c>
      <c r="D97">
        <v>0</v>
      </c>
      <c r="E97">
        <v>-16</v>
      </c>
      <c r="F97">
        <v>28800.1098261103</v>
      </c>
      <c r="G97">
        <v>1</v>
      </c>
      <c r="H97">
        <v>1</v>
      </c>
    </row>
    <row r="98" spans="1:8" x14ac:dyDescent="0.2">
      <c r="A98" t="s">
        <v>252</v>
      </c>
      <c r="B98">
        <v>83</v>
      </c>
      <c r="C98">
        <v>41</v>
      </c>
      <c r="D98">
        <v>0</v>
      </c>
      <c r="E98">
        <v>-15</v>
      </c>
      <c r="F98">
        <v>28800.133788972998</v>
      </c>
      <c r="G98">
        <v>1</v>
      </c>
      <c r="H98">
        <v>1</v>
      </c>
    </row>
    <row r="99" spans="1:8" x14ac:dyDescent="0.2">
      <c r="A99" t="s">
        <v>242</v>
      </c>
      <c r="B99">
        <v>78</v>
      </c>
      <c r="C99">
        <v>29</v>
      </c>
      <c r="D99">
        <v>0</v>
      </c>
      <c r="E99">
        <v>-19</v>
      </c>
      <c r="F99">
        <v>28800.109935939301</v>
      </c>
      <c r="G99">
        <v>1</v>
      </c>
      <c r="H99">
        <v>1</v>
      </c>
    </row>
    <row r="100" spans="1:8" x14ac:dyDescent="0.2">
      <c r="A100" t="s">
        <v>236</v>
      </c>
      <c r="B100">
        <v>75</v>
      </c>
      <c r="C100">
        <v>28</v>
      </c>
      <c r="D100">
        <v>0</v>
      </c>
      <c r="E100">
        <v>-19</v>
      </c>
      <c r="F100">
        <v>28800.1101217791</v>
      </c>
      <c r="G100">
        <v>1</v>
      </c>
      <c r="H100">
        <v>1</v>
      </c>
    </row>
    <row r="101" spans="1:8" x14ac:dyDescent="0.2">
      <c r="A101" t="s">
        <v>224</v>
      </c>
      <c r="B101">
        <v>69</v>
      </c>
      <c r="C101">
        <v>35</v>
      </c>
      <c r="D101">
        <v>0</v>
      </c>
      <c r="E101">
        <v>-13</v>
      </c>
      <c r="F101">
        <v>28800.2258050739</v>
      </c>
      <c r="G101">
        <v>1</v>
      </c>
      <c r="H101">
        <v>1</v>
      </c>
    </row>
    <row r="102" spans="1:8" x14ac:dyDescent="0.2">
      <c r="A102" t="s">
        <v>284</v>
      </c>
      <c r="B102">
        <v>99</v>
      </c>
      <c r="C102">
        <v>52</v>
      </c>
      <c r="D102">
        <v>0</v>
      </c>
      <c r="E102">
        <v>-15</v>
      </c>
      <c r="F102">
        <v>28800.358973003898</v>
      </c>
      <c r="G102">
        <v>1</v>
      </c>
      <c r="H102">
        <v>1</v>
      </c>
    </row>
    <row r="103" spans="1:8" x14ac:dyDescent="0.2">
      <c r="A103" t="s">
        <v>264</v>
      </c>
      <c r="B103">
        <v>89</v>
      </c>
      <c r="C103">
        <v>32</v>
      </c>
      <c r="D103">
        <v>0</v>
      </c>
      <c r="E103">
        <v>-21</v>
      </c>
      <c r="F103">
        <v>28800.393846251001</v>
      </c>
      <c r="G103">
        <v>1</v>
      </c>
      <c r="H103">
        <v>1</v>
      </c>
    </row>
    <row r="104" spans="1:8" x14ac:dyDescent="0.2">
      <c r="A104" t="s">
        <v>214</v>
      </c>
      <c r="B104">
        <v>64</v>
      </c>
      <c r="C104">
        <v>24</v>
      </c>
      <c r="D104">
        <v>0</v>
      </c>
      <c r="E104">
        <v>-16</v>
      </c>
      <c r="F104">
        <v>28800.1120898425</v>
      </c>
      <c r="G104">
        <v>1</v>
      </c>
      <c r="H104">
        <v>1</v>
      </c>
    </row>
    <row r="105" spans="1:8" x14ac:dyDescent="0.2">
      <c r="A105" t="s">
        <v>254</v>
      </c>
      <c r="B105">
        <v>84</v>
      </c>
      <c r="C105">
        <v>42</v>
      </c>
      <c r="D105">
        <v>0</v>
      </c>
      <c r="E105">
        <v>-15</v>
      </c>
      <c r="F105">
        <v>28800.114238314301</v>
      </c>
      <c r="G105">
        <v>1</v>
      </c>
      <c r="H105">
        <v>1</v>
      </c>
    </row>
    <row r="106" spans="1:8" x14ac:dyDescent="0.2">
      <c r="A106" t="s">
        <v>244</v>
      </c>
      <c r="B106">
        <v>79</v>
      </c>
      <c r="C106">
        <v>20</v>
      </c>
      <c r="D106">
        <v>0</v>
      </c>
      <c r="E106">
        <v>-24</v>
      </c>
      <c r="F106">
        <v>28800.1118292063</v>
      </c>
      <c r="G106">
        <v>1</v>
      </c>
      <c r="H106">
        <v>1</v>
      </c>
    </row>
    <row r="107" spans="1:8" x14ac:dyDescent="0.2">
      <c r="A107" t="s">
        <v>286</v>
      </c>
      <c r="B107">
        <v>100</v>
      </c>
      <c r="C107">
        <v>52</v>
      </c>
      <c r="D107">
        <v>0</v>
      </c>
      <c r="E107">
        <v>-16</v>
      </c>
      <c r="F107">
        <v>28800.128460936201</v>
      </c>
      <c r="G107">
        <v>1</v>
      </c>
      <c r="H107">
        <v>1</v>
      </c>
    </row>
    <row r="108" spans="1:8" x14ac:dyDescent="0.2">
      <c r="A108" t="s">
        <v>266</v>
      </c>
      <c r="B108">
        <v>90</v>
      </c>
      <c r="C108">
        <v>33</v>
      </c>
      <c r="D108">
        <v>0</v>
      </c>
      <c r="E108">
        <v>-21</v>
      </c>
      <c r="F108">
        <v>28800.128381192601</v>
      </c>
      <c r="G108">
        <v>1</v>
      </c>
      <c r="H108">
        <v>1</v>
      </c>
    </row>
    <row r="109" spans="1:8" x14ac:dyDescent="0.2">
      <c r="A109" t="s">
        <v>226</v>
      </c>
      <c r="B109">
        <v>70</v>
      </c>
      <c r="C109">
        <v>36</v>
      </c>
      <c r="D109">
        <v>0</v>
      </c>
      <c r="E109">
        <v>-13</v>
      </c>
      <c r="F109">
        <v>28800.129130192101</v>
      </c>
      <c r="G109">
        <v>1</v>
      </c>
      <c r="H109">
        <v>1</v>
      </c>
    </row>
    <row r="110" spans="1:8" x14ac:dyDescent="0.2">
      <c r="A110" t="s">
        <v>216</v>
      </c>
      <c r="B110">
        <v>65</v>
      </c>
      <c r="C110">
        <v>31</v>
      </c>
      <c r="D110">
        <v>0</v>
      </c>
      <c r="E110">
        <v>-13</v>
      </c>
      <c r="F110">
        <v>28800.111009351898</v>
      </c>
      <c r="G110">
        <v>1</v>
      </c>
      <c r="H110">
        <v>1</v>
      </c>
    </row>
    <row r="111" spans="1:8" x14ac:dyDescent="0.2">
      <c r="A111" t="s">
        <v>256</v>
      </c>
      <c r="B111">
        <v>85</v>
      </c>
      <c r="C111">
        <v>23</v>
      </c>
      <c r="D111">
        <v>0</v>
      </c>
      <c r="E111">
        <v>-24</v>
      </c>
      <c r="F111">
        <v>28800.111108034798</v>
      </c>
      <c r="G111">
        <v>1</v>
      </c>
      <c r="H111">
        <v>1</v>
      </c>
    </row>
    <row r="112" spans="1:8" x14ac:dyDescent="0.2">
      <c r="A112" t="s">
        <v>246</v>
      </c>
      <c r="B112">
        <v>80</v>
      </c>
      <c r="C112">
        <v>47</v>
      </c>
      <c r="D112">
        <v>0</v>
      </c>
      <c r="E112">
        <v>-11</v>
      </c>
      <c r="F112">
        <v>28800.1112104803</v>
      </c>
      <c r="G112">
        <v>1</v>
      </c>
      <c r="H112">
        <v>1</v>
      </c>
    </row>
    <row r="113" spans="1:8" x14ac:dyDescent="0.2">
      <c r="A113" t="s">
        <v>268</v>
      </c>
      <c r="B113">
        <v>91</v>
      </c>
      <c r="C113">
        <v>26</v>
      </c>
      <c r="D113">
        <v>0</v>
      </c>
      <c r="E113">
        <v>-25</v>
      </c>
      <c r="F113">
        <v>28800.189199499699</v>
      </c>
      <c r="G113">
        <v>1</v>
      </c>
      <c r="H113">
        <v>1</v>
      </c>
    </row>
    <row r="114" spans="1:8" x14ac:dyDescent="0.2">
      <c r="A114" t="s">
        <v>270</v>
      </c>
      <c r="B114">
        <v>92</v>
      </c>
      <c r="C114">
        <v>52</v>
      </c>
      <c r="D114">
        <v>0</v>
      </c>
      <c r="E114">
        <v>-13</v>
      </c>
      <c r="F114">
        <v>28800.944650103302</v>
      </c>
      <c r="G114">
        <v>1</v>
      </c>
      <c r="H114">
        <v>1</v>
      </c>
    </row>
    <row r="115" spans="1:8" x14ac:dyDescent="0.2">
      <c r="A115" t="s">
        <v>272</v>
      </c>
      <c r="B115">
        <v>93</v>
      </c>
      <c r="C115">
        <v>53</v>
      </c>
      <c r="D115">
        <v>0</v>
      </c>
      <c r="E115">
        <v>-13</v>
      </c>
      <c r="F115">
        <v>28800.264389337</v>
      </c>
      <c r="G115">
        <v>1</v>
      </c>
      <c r="H115">
        <v>1</v>
      </c>
    </row>
    <row r="116" spans="1:8" x14ac:dyDescent="0.2">
      <c r="A116" t="s">
        <v>274</v>
      </c>
      <c r="B116">
        <v>94</v>
      </c>
      <c r="C116">
        <v>54</v>
      </c>
      <c r="D116">
        <v>0</v>
      </c>
      <c r="E116">
        <v>-13</v>
      </c>
      <c r="F116">
        <v>28800.1999256247</v>
      </c>
      <c r="G116">
        <v>1</v>
      </c>
      <c r="H116">
        <v>1</v>
      </c>
    </row>
    <row r="117" spans="1:8" x14ac:dyDescent="0.2">
      <c r="A117" t="s">
        <v>276</v>
      </c>
      <c r="B117">
        <v>95</v>
      </c>
      <c r="C117">
        <v>46</v>
      </c>
      <c r="D117">
        <v>0</v>
      </c>
      <c r="E117">
        <v>-17</v>
      </c>
      <c r="F117">
        <v>28801.842795360801</v>
      </c>
      <c r="G117">
        <v>1</v>
      </c>
      <c r="H117">
        <v>1</v>
      </c>
    </row>
    <row r="118" spans="1:8" x14ac:dyDescent="0.2">
      <c r="A118" t="s">
        <v>288</v>
      </c>
      <c r="B118">
        <v>101</v>
      </c>
      <c r="C118">
        <v>53</v>
      </c>
      <c r="D118">
        <v>0</v>
      </c>
      <c r="E118">
        <v>-15</v>
      </c>
      <c r="F118">
        <v>28800.450079323698</v>
      </c>
      <c r="G118">
        <v>1</v>
      </c>
      <c r="H118">
        <v>1</v>
      </c>
    </row>
    <row r="119" spans="1:8" x14ac:dyDescent="0.2">
      <c r="A119" t="s">
        <v>290</v>
      </c>
      <c r="B119">
        <v>102</v>
      </c>
      <c r="C119">
        <v>54</v>
      </c>
      <c r="D119">
        <v>0</v>
      </c>
      <c r="E119">
        <v>-15</v>
      </c>
      <c r="F119">
        <v>28800.1121161831</v>
      </c>
      <c r="G119">
        <v>1</v>
      </c>
      <c r="H119">
        <v>1</v>
      </c>
    </row>
    <row r="120" spans="1:8" x14ac:dyDescent="0.2">
      <c r="A120" t="s">
        <v>292</v>
      </c>
      <c r="B120">
        <v>103</v>
      </c>
      <c r="C120">
        <v>34</v>
      </c>
      <c r="D120">
        <v>0</v>
      </c>
      <c r="E120">
        <v>-25</v>
      </c>
      <c r="F120">
        <v>28800.112434440201</v>
      </c>
      <c r="G120">
        <v>1</v>
      </c>
      <c r="H120">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EBB-33A2-B84B-82E4-598367A80FA7}">
  <dimension ref="A1:I145"/>
  <sheetViews>
    <sheetView workbookViewId="0"/>
  </sheetViews>
  <sheetFormatPr baseColWidth="10" defaultColWidth="11" defaultRowHeight="16" x14ac:dyDescent="0.2"/>
  <sheetData>
    <row r="1" spans="1:1" x14ac:dyDescent="0.2">
      <c r="A1" t="s">
        <v>70</v>
      </c>
    </row>
    <row r="2" spans="1:1" x14ac:dyDescent="0.2">
      <c r="A2" t="s">
        <v>71</v>
      </c>
    </row>
    <row r="3" spans="1:1" x14ac:dyDescent="0.2">
      <c r="A3" t="s">
        <v>73</v>
      </c>
    </row>
    <row r="4" spans="1:1" x14ac:dyDescent="0.2">
      <c r="A4" s="21" t="s">
        <v>74</v>
      </c>
    </row>
    <row r="5" spans="1:1" x14ac:dyDescent="0.2">
      <c r="A5" s="21" t="s">
        <v>775</v>
      </c>
    </row>
    <row r="6" spans="1:1" x14ac:dyDescent="0.2">
      <c r="A6" t="s">
        <v>76</v>
      </c>
    </row>
    <row r="7" spans="1:1" x14ac:dyDescent="0.2">
      <c r="A7" t="s">
        <v>77</v>
      </c>
    </row>
    <row r="8" spans="1:1" x14ac:dyDescent="0.2">
      <c r="A8" s="21" t="s">
        <v>78</v>
      </c>
    </row>
    <row r="9" spans="1:1" x14ac:dyDescent="0.2">
      <c r="A9" t="s">
        <v>79</v>
      </c>
    </row>
    <row r="10" spans="1:1" x14ac:dyDescent="0.2">
      <c r="A10" t="s">
        <v>80</v>
      </c>
    </row>
    <row r="11" spans="1:1" x14ac:dyDescent="0.2">
      <c r="A11" t="s">
        <v>81</v>
      </c>
    </row>
    <row r="12" spans="1:1" x14ac:dyDescent="0.2">
      <c r="A12" t="s">
        <v>82</v>
      </c>
    </row>
    <row r="13" spans="1:1" x14ac:dyDescent="0.2">
      <c r="A13" t="s">
        <v>83</v>
      </c>
    </row>
    <row r="14" spans="1:1" x14ac:dyDescent="0.2">
      <c r="A14" t="s">
        <v>84</v>
      </c>
    </row>
    <row r="15" spans="1:1" x14ac:dyDescent="0.2">
      <c r="A15" t="s">
        <v>85</v>
      </c>
    </row>
    <row r="16" spans="1:1" x14ac:dyDescent="0.2">
      <c r="A16" t="s">
        <v>86</v>
      </c>
    </row>
    <row r="17" spans="1:9" x14ac:dyDescent="0.2">
      <c r="A17" t="s">
        <v>87</v>
      </c>
    </row>
    <row r="18" spans="1:9" x14ac:dyDescent="0.2">
      <c r="A18" t="s">
        <v>346</v>
      </c>
    </row>
    <row r="19" spans="1:9" x14ac:dyDescent="0.2">
      <c r="A19" t="s">
        <v>89</v>
      </c>
    </row>
    <row r="20" spans="1:9" x14ac:dyDescent="0.2">
      <c r="A20" t="s">
        <v>92</v>
      </c>
    </row>
    <row r="21" spans="1:9" x14ac:dyDescent="0.2">
      <c r="A21" t="s">
        <v>93</v>
      </c>
    </row>
    <row r="22" spans="1:9" x14ac:dyDescent="0.2">
      <c r="A22" t="s">
        <v>776</v>
      </c>
    </row>
    <row r="23" spans="1:9" x14ac:dyDescent="0.2">
      <c r="A23" t="s">
        <v>95</v>
      </c>
    </row>
    <row r="24" spans="1:9" x14ac:dyDescent="0.2">
      <c r="A24" t="s">
        <v>96</v>
      </c>
      <c r="B24" t="s">
        <v>61</v>
      </c>
      <c r="C24" t="s">
        <v>97</v>
      </c>
      <c r="D24" t="s">
        <v>98</v>
      </c>
      <c r="E24" t="s">
        <v>99</v>
      </c>
      <c r="F24" t="s">
        <v>100</v>
      </c>
      <c r="G24" t="s">
        <v>58</v>
      </c>
      <c r="H24" t="s">
        <v>59</v>
      </c>
      <c r="I24" t="s">
        <v>101</v>
      </c>
    </row>
    <row r="25" spans="1:9" x14ac:dyDescent="0.2">
      <c r="A25" t="s">
        <v>102</v>
      </c>
      <c r="B25">
        <v>5</v>
      </c>
      <c r="C25">
        <v>3</v>
      </c>
      <c r="D25">
        <v>2</v>
      </c>
      <c r="E25">
        <v>0</v>
      </c>
      <c r="F25">
        <v>1.7929859925061398E-2</v>
      </c>
      <c r="G25">
        <v>1</v>
      </c>
      <c r="H25">
        <v>1</v>
      </c>
      <c r="I25" t="s">
        <v>777</v>
      </c>
    </row>
    <row r="26" spans="1:9" x14ac:dyDescent="0.2">
      <c r="A26" t="s">
        <v>104</v>
      </c>
      <c r="B26">
        <v>6</v>
      </c>
      <c r="C26">
        <v>3</v>
      </c>
      <c r="D26">
        <v>3</v>
      </c>
      <c r="E26">
        <v>0</v>
      </c>
      <c r="F26">
        <v>1.6970871016383102E-2</v>
      </c>
      <c r="G26">
        <v>1</v>
      </c>
      <c r="H26">
        <v>1</v>
      </c>
      <c r="I26" t="s">
        <v>778</v>
      </c>
    </row>
    <row r="27" spans="1:9" x14ac:dyDescent="0.2">
      <c r="A27" t="s">
        <v>106</v>
      </c>
      <c r="B27">
        <v>7</v>
      </c>
      <c r="C27">
        <v>3</v>
      </c>
      <c r="D27">
        <v>4</v>
      </c>
      <c r="E27">
        <v>0</v>
      </c>
      <c r="F27">
        <v>1.79922361858189E-2</v>
      </c>
      <c r="G27">
        <v>1</v>
      </c>
      <c r="H27">
        <v>1</v>
      </c>
      <c r="I27" t="s">
        <v>779</v>
      </c>
    </row>
    <row r="28" spans="1:9" x14ac:dyDescent="0.2">
      <c r="A28" t="s">
        <v>108</v>
      </c>
      <c r="B28">
        <v>8</v>
      </c>
      <c r="C28">
        <v>3</v>
      </c>
      <c r="D28">
        <v>4</v>
      </c>
      <c r="E28">
        <v>0</v>
      </c>
      <c r="F28">
        <v>1.86736858449876E-2</v>
      </c>
      <c r="G28">
        <v>1</v>
      </c>
      <c r="H28">
        <v>1</v>
      </c>
      <c r="I28" t="s">
        <v>780</v>
      </c>
    </row>
    <row r="29" spans="1:9" x14ac:dyDescent="0.2">
      <c r="A29" t="s">
        <v>110</v>
      </c>
      <c r="B29">
        <v>9</v>
      </c>
      <c r="C29">
        <v>5</v>
      </c>
      <c r="D29">
        <v>3</v>
      </c>
      <c r="E29">
        <v>0</v>
      </c>
      <c r="F29">
        <v>1.8631094135344001E-2</v>
      </c>
      <c r="G29">
        <v>1</v>
      </c>
      <c r="H29">
        <v>1</v>
      </c>
      <c r="I29" t="s">
        <v>781</v>
      </c>
    </row>
    <row r="30" spans="1:9" x14ac:dyDescent="0.2">
      <c r="A30" t="s">
        <v>112</v>
      </c>
      <c r="B30">
        <v>10</v>
      </c>
      <c r="C30">
        <v>3</v>
      </c>
      <c r="D30">
        <v>5</v>
      </c>
      <c r="E30">
        <v>0</v>
      </c>
      <c r="F30">
        <v>2.2988370619714201E-2</v>
      </c>
      <c r="G30">
        <v>1</v>
      </c>
      <c r="H30">
        <v>1</v>
      </c>
      <c r="I30" t="s">
        <v>782</v>
      </c>
    </row>
    <row r="31" spans="1:9" x14ac:dyDescent="0.2">
      <c r="A31" t="s">
        <v>114</v>
      </c>
      <c r="B31">
        <v>11</v>
      </c>
      <c r="C31">
        <v>3</v>
      </c>
      <c r="D31">
        <v>6</v>
      </c>
      <c r="E31">
        <v>0</v>
      </c>
      <c r="F31">
        <v>2.4577920325100401E-2</v>
      </c>
      <c r="G31">
        <v>1</v>
      </c>
      <c r="H31">
        <v>1</v>
      </c>
      <c r="I31" t="s">
        <v>783</v>
      </c>
    </row>
    <row r="32" spans="1:9" x14ac:dyDescent="0.2">
      <c r="A32" t="s">
        <v>116</v>
      </c>
      <c r="B32">
        <v>12</v>
      </c>
      <c r="C32">
        <v>3</v>
      </c>
      <c r="D32">
        <v>6</v>
      </c>
      <c r="E32">
        <v>0</v>
      </c>
      <c r="F32">
        <v>2.46292287483811E-2</v>
      </c>
      <c r="G32">
        <v>1</v>
      </c>
      <c r="H32">
        <v>1</v>
      </c>
      <c r="I32" t="s">
        <v>784</v>
      </c>
    </row>
    <row r="33" spans="1:9" x14ac:dyDescent="0.2">
      <c r="A33" t="s">
        <v>118</v>
      </c>
      <c r="B33">
        <v>13</v>
      </c>
      <c r="C33">
        <v>5</v>
      </c>
      <c r="D33">
        <v>5</v>
      </c>
      <c r="E33">
        <v>0</v>
      </c>
      <c r="F33">
        <v>2.4735215120017501E-2</v>
      </c>
      <c r="G33">
        <v>1</v>
      </c>
      <c r="H33">
        <v>1</v>
      </c>
      <c r="I33" t="s">
        <v>785</v>
      </c>
    </row>
    <row r="34" spans="1:9" x14ac:dyDescent="0.2">
      <c r="A34" t="s">
        <v>120</v>
      </c>
      <c r="B34">
        <v>14</v>
      </c>
      <c r="C34">
        <v>6</v>
      </c>
      <c r="D34">
        <v>5</v>
      </c>
      <c r="E34">
        <v>0</v>
      </c>
      <c r="F34">
        <v>2.5245727971196098E-2</v>
      </c>
      <c r="G34">
        <v>1</v>
      </c>
      <c r="H34">
        <v>1</v>
      </c>
      <c r="I34" t="s">
        <v>786</v>
      </c>
    </row>
    <row r="35" spans="1:9" x14ac:dyDescent="0.2">
      <c r="A35" t="s">
        <v>122</v>
      </c>
      <c r="B35">
        <v>15</v>
      </c>
      <c r="C35">
        <v>7</v>
      </c>
      <c r="D35">
        <v>5</v>
      </c>
      <c r="E35">
        <v>0</v>
      </c>
      <c r="F35">
        <v>2.5495199952274498E-2</v>
      </c>
      <c r="G35">
        <v>1</v>
      </c>
      <c r="H35">
        <v>1</v>
      </c>
      <c r="I35" t="s">
        <v>787</v>
      </c>
    </row>
    <row r="36" spans="1:9" x14ac:dyDescent="0.2">
      <c r="A36" t="s">
        <v>124</v>
      </c>
      <c r="B36">
        <v>16</v>
      </c>
      <c r="C36">
        <v>8</v>
      </c>
      <c r="D36">
        <v>5</v>
      </c>
      <c r="E36">
        <v>0</v>
      </c>
      <c r="F36">
        <v>2.6196362916380101E-2</v>
      </c>
      <c r="G36">
        <v>1</v>
      </c>
      <c r="H36">
        <v>1</v>
      </c>
      <c r="I36" t="s">
        <v>788</v>
      </c>
    </row>
    <row r="37" spans="1:9" x14ac:dyDescent="0.2">
      <c r="A37" t="s">
        <v>126</v>
      </c>
      <c r="B37">
        <v>20</v>
      </c>
      <c r="C37">
        <v>5</v>
      </c>
      <c r="D37">
        <v>9</v>
      </c>
      <c r="E37">
        <v>0</v>
      </c>
      <c r="F37">
        <v>3.9107468910515301E-2</v>
      </c>
      <c r="G37">
        <v>1</v>
      </c>
      <c r="H37">
        <v>1</v>
      </c>
      <c r="I37" t="s">
        <v>789</v>
      </c>
    </row>
    <row r="38" spans="1:9" x14ac:dyDescent="0.2">
      <c r="A38" t="s">
        <v>128</v>
      </c>
      <c r="B38">
        <v>21</v>
      </c>
      <c r="C38">
        <v>5</v>
      </c>
      <c r="D38">
        <v>10</v>
      </c>
      <c r="E38">
        <v>0</v>
      </c>
      <c r="F38">
        <v>4.0704191196709802E-2</v>
      </c>
      <c r="G38">
        <v>1</v>
      </c>
      <c r="H38">
        <v>1</v>
      </c>
      <c r="I38" t="s">
        <v>790</v>
      </c>
    </row>
    <row r="39" spans="1:9" x14ac:dyDescent="0.2">
      <c r="A39" t="s">
        <v>130</v>
      </c>
      <c r="B39">
        <v>22</v>
      </c>
      <c r="C39">
        <v>6</v>
      </c>
      <c r="D39">
        <v>9</v>
      </c>
      <c r="E39">
        <v>0</v>
      </c>
      <c r="F39">
        <v>4.2300824075937202E-2</v>
      </c>
      <c r="G39">
        <v>1</v>
      </c>
      <c r="H39">
        <v>1</v>
      </c>
      <c r="I39" t="s">
        <v>791</v>
      </c>
    </row>
    <row r="40" spans="1:9" x14ac:dyDescent="0.2">
      <c r="A40" t="s">
        <v>132</v>
      </c>
      <c r="B40">
        <v>23</v>
      </c>
      <c r="C40">
        <v>7</v>
      </c>
      <c r="D40">
        <v>9</v>
      </c>
      <c r="E40">
        <v>0</v>
      </c>
      <c r="F40">
        <v>4.3490824755281203E-2</v>
      </c>
      <c r="G40">
        <v>1</v>
      </c>
      <c r="H40">
        <v>1</v>
      </c>
      <c r="I40" t="s">
        <v>792</v>
      </c>
    </row>
    <row r="41" spans="1:9" x14ac:dyDescent="0.2">
      <c r="A41" t="s">
        <v>134</v>
      </c>
      <c r="B41">
        <v>24</v>
      </c>
      <c r="C41">
        <v>3</v>
      </c>
      <c r="D41">
        <v>13</v>
      </c>
      <c r="E41">
        <v>0</v>
      </c>
      <c r="F41">
        <v>0.10712672118097499</v>
      </c>
      <c r="G41">
        <v>1</v>
      </c>
      <c r="H41">
        <v>1</v>
      </c>
      <c r="I41" t="s">
        <v>793</v>
      </c>
    </row>
    <row r="42" spans="1:9" x14ac:dyDescent="0.2">
      <c r="A42" t="s">
        <v>136</v>
      </c>
      <c r="B42">
        <v>25</v>
      </c>
      <c r="C42">
        <v>15</v>
      </c>
      <c r="D42">
        <v>5</v>
      </c>
      <c r="E42">
        <v>0</v>
      </c>
      <c r="F42">
        <v>3.37369842454791E-2</v>
      </c>
      <c r="G42">
        <v>1</v>
      </c>
      <c r="H42">
        <v>1</v>
      </c>
      <c r="I42" t="s">
        <v>794</v>
      </c>
    </row>
    <row r="43" spans="1:9" x14ac:dyDescent="0.2">
      <c r="A43" t="s">
        <v>138</v>
      </c>
      <c r="B43">
        <v>26</v>
      </c>
      <c r="C43">
        <v>9</v>
      </c>
      <c r="D43">
        <v>9</v>
      </c>
      <c r="E43">
        <v>0</v>
      </c>
      <c r="F43">
        <v>4.81057516299188E-2</v>
      </c>
      <c r="G43">
        <v>1</v>
      </c>
      <c r="H43">
        <v>1</v>
      </c>
      <c r="I43" t="s">
        <v>795</v>
      </c>
    </row>
    <row r="44" spans="1:9" x14ac:dyDescent="0.2">
      <c r="A44" t="s">
        <v>140</v>
      </c>
      <c r="B44">
        <v>27</v>
      </c>
      <c r="C44">
        <v>10</v>
      </c>
      <c r="D44">
        <v>9</v>
      </c>
      <c r="E44">
        <v>0</v>
      </c>
      <c r="F44">
        <v>4.7625557985156698E-2</v>
      </c>
      <c r="G44">
        <v>1</v>
      </c>
      <c r="H44">
        <v>1</v>
      </c>
      <c r="I44" t="s">
        <v>796</v>
      </c>
    </row>
    <row r="45" spans="1:9" x14ac:dyDescent="0.2">
      <c r="A45" t="s">
        <v>142</v>
      </c>
      <c r="B45">
        <v>28</v>
      </c>
      <c r="C45">
        <v>18</v>
      </c>
      <c r="D45">
        <v>5</v>
      </c>
      <c r="E45">
        <v>0</v>
      </c>
      <c r="F45">
        <v>3.4922786056995302E-2</v>
      </c>
      <c r="G45">
        <v>1</v>
      </c>
      <c r="H45">
        <v>1</v>
      </c>
      <c r="I45" t="s">
        <v>797</v>
      </c>
    </row>
    <row r="46" spans="1:9" x14ac:dyDescent="0.2">
      <c r="A46" t="s">
        <v>144</v>
      </c>
      <c r="B46">
        <v>29</v>
      </c>
      <c r="C46">
        <v>6</v>
      </c>
      <c r="D46">
        <v>13</v>
      </c>
      <c r="E46">
        <v>0</v>
      </c>
      <c r="F46">
        <v>5.7223794981837203E-2</v>
      </c>
      <c r="G46">
        <v>1</v>
      </c>
      <c r="H46">
        <v>1</v>
      </c>
      <c r="I46" t="s">
        <v>798</v>
      </c>
    </row>
    <row r="47" spans="1:9" x14ac:dyDescent="0.2">
      <c r="A47" t="s">
        <v>146</v>
      </c>
      <c r="B47">
        <v>30</v>
      </c>
      <c r="C47">
        <v>6</v>
      </c>
      <c r="D47">
        <v>14</v>
      </c>
      <c r="E47">
        <v>0</v>
      </c>
      <c r="F47">
        <v>5.9768409933894803E-2</v>
      </c>
      <c r="G47">
        <v>1</v>
      </c>
      <c r="H47">
        <v>1</v>
      </c>
      <c r="I47" t="s">
        <v>799</v>
      </c>
    </row>
    <row r="48" spans="1:9" x14ac:dyDescent="0.2">
      <c r="A48" t="s">
        <v>148</v>
      </c>
      <c r="B48">
        <v>31</v>
      </c>
      <c r="C48">
        <v>3</v>
      </c>
      <c r="D48">
        <v>17</v>
      </c>
      <c r="E48">
        <v>0</v>
      </c>
      <c r="F48">
        <v>6.07113670557737E-2</v>
      </c>
      <c r="G48">
        <v>1</v>
      </c>
      <c r="H48">
        <v>1</v>
      </c>
      <c r="I48" t="s">
        <v>800</v>
      </c>
    </row>
    <row r="49" spans="1:9" x14ac:dyDescent="0.2">
      <c r="A49" t="s">
        <v>150</v>
      </c>
      <c r="B49">
        <v>32</v>
      </c>
      <c r="C49">
        <v>8</v>
      </c>
      <c r="D49">
        <v>13</v>
      </c>
      <c r="E49">
        <v>0</v>
      </c>
      <c r="F49">
        <v>6.3566259108483694E-2</v>
      </c>
      <c r="G49">
        <v>1</v>
      </c>
      <c r="H49">
        <v>1</v>
      </c>
      <c r="I49" t="s">
        <v>801</v>
      </c>
    </row>
    <row r="50" spans="1:9" x14ac:dyDescent="0.2">
      <c r="A50" t="s">
        <v>152</v>
      </c>
      <c r="B50">
        <v>33</v>
      </c>
      <c r="C50">
        <v>18</v>
      </c>
      <c r="D50">
        <v>7</v>
      </c>
      <c r="E50">
        <v>0</v>
      </c>
      <c r="F50">
        <v>5.0690798088908098E-2</v>
      </c>
      <c r="G50">
        <v>1</v>
      </c>
      <c r="H50">
        <v>1</v>
      </c>
      <c r="I50" t="s">
        <v>802</v>
      </c>
    </row>
    <row r="51" spans="1:9" x14ac:dyDescent="0.2">
      <c r="A51" t="s">
        <v>154</v>
      </c>
      <c r="B51">
        <v>34</v>
      </c>
      <c r="C51">
        <v>4</v>
      </c>
      <c r="D51">
        <v>17</v>
      </c>
      <c r="E51">
        <v>0</v>
      </c>
      <c r="F51">
        <v>7.2226217947900295E-2</v>
      </c>
      <c r="G51">
        <v>1</v>
      </c>
      <c r="H51">
        <v>1</v>
      </c>
      <c r="I51" t="s">
        <v>803</v>
      </c>
    </row>
    <row r="52" spans="1:9" x14ac:dyDescent="0.2">
      <c r="A52" t="s">
        <v>156</v>
      </c>
      <c r="B52">
        <v>35</v>
      </c>
      <c r="C52">
        <v>20</v>
      </c>
      <c r="D52">
        <v>7</v>
      </c>
      <c r="E52">
        <v>0</v>
      </c>
      <c r="F52">
        <v>5.13121890835464E-2</v>
      </c>
      <c r="G52">
        <v>1</v>
      </c>
      <c r="H52">
        <v>1</v>
      </c>
      <c r="I52" t="s">
        <v>804</v>
      </c>
    </row>
    <row r="53" spans="1:9" x14ac:dyDescent="0.2">
      <c r="A53" t="s">
        <v>158</v>
      </c>
      <c r="B53">
        <v>36</v>
      </c>
      <c r="C53">
        <v>5</v>
      </c>
      <c r="D53">
        <v>17</v>
      </c>
      <c r="E53">
        <v>0</v>
      </c>
      <c r="F53">
        <v>7.9192823730409104E-2</v>
      </c>
      <c r="G53">
        <v>1</v>
      </c>
      <c r="H53">
        <v>1</v>
      </c>
      <c r="I53" t="s">
        <v>805</v>
      </c>
    </row>
    <row r="54" spans="1:9" x14ac:dyDescent="0.2">
      <c r="A54" t="s">
        <v>160</v>
      </c>
      <c r="B54">
        <v>37</v>
      </c>
      <c r="C54">
        <v>6</v>
      </c>
      <c r="D54">
        <v>17</v>
      </c>
      <c r="E54">
        <v>0</v>
      </c>
      <c r="F54">
        <v>8.0939396284520598E-2</v>
      </c>
      <c r="G54">
        <v>1</v>
      </c>
      <c r="H54">
        <v>1</v>
      </c>
      <c r="I54" t="s">
        <v>806</v>
      </c>
    </row>
    <row r="55" spans="1:9" x14ac:dyDescent="0.2">
      <c r="A55" t="s">
        <v>162</v>
      </c>
      <c r="B55">
        <v>38</v>
      </c>
      <c r="C55">
        <v>3</v>
      </c>
      <c r="D55">
        <v>21</v>
      </c>
      <c r="E55">
        <v>0</v>
      </c>
      <c r="F55">
        <v>8.0993093084543902E-2</v>
      </c>
      <c r="G55">
        <v>1</v>
      </c>
      <c r="H55">
        <v>1</v>
      </c>
      <c r="I55" t="s">
        <v>807</v>
      </c>
    </row>
    <row r="56" spans="1:9" x14ac:dyDescent="0.2">
      <c r="A56" t="s">
        <v>164</v>
      </c>
      <c r="B56">
        <v>39</v>
      </c>
      <c r="C56">
        <v>7</v>
      </c>
      <c r="D56">
        <v>17</v>
      </c>
      <c r="E56">
        <v>0</v>
      </c>
      <c r="F56">
        <v>8.55560009367764E-2</v>
      </c>
      <c r="G56">
        <v>1</v>
      </c>
      <c r="H56">
        <v>1</v>
      </c>
      <c r="I56" t="s">
        <v>808</v>
      </c>
    </row>
    <row r="57" spans="1:9" x14ac:dyDescent="0.2">
      <c r="A57" t="s">
        <v>166</v>
      </c>
      <c r="B57">
        <v>40</v>
      </c>
      <c r="C57">
        <v>13</v>
      </c>
      <c r="D57">
        <v>13</v>
      </c>
      <c r="E57">
        <v>0</v>
      </c>
      <c r="F57">
        <v>8.1119579728692701E-2</v>
      </c>
      <c r="G57">
        <v>1</v>
      </c>
      <c r="H57">
        <v>1</v>
      </c>
      <c r="I57" t="s">
        <v>809</v>
      </c>
    </row>
    <row r="58" spans="1:9" x14ac:dyDescent="0.2">
      <c r="A58" t="s">
        <v>168</v>
      </c>
      <c r="B58">
        <v>41</v>
      </c>
      <c r="C58">
        <v>8</v>
      </c>
      <c r="D58">
        <v>17</v>
      </c>
      <c r="E58">
        <v>0</v>
      </c>
      <c r="F58">
        <v>9.1394188348203897E-2</v>
      </c>
      <c r="G58">
        <v>1</v>
      </c>
      <c r="H58">
        <v>1</v>
      </c>
      <c r="I58" t="s">
        <v>810</v>
      </c>
    </row>
    <row r="59" spans="1:9" x14ac:dyDescent="0.2">
      <c r="A59" t="s">
        <v>170</v>
      </c>
      <c r="B59">
        <v>42</v>
      </c>
      <c r="C59">
        <v>9</v>
      </c>
      <c r="D59">
        <v>17</v>
      </c>
      <c r="E59">
        <v>0</v>
      </c>
      <c r="F59">
        <v>9.3861935660243007E-2</v>
      </c>
      <c r="G59">
        <v>1</v>
      </c>
      <c r="H59">
        <v>1</v>
      </c>
      <c r="I59" t="s">
        <v>811</v>
      </c>
    </row>
    <row r="60" spans="1:9" x14ac:dyDescent="0.2">
      <c r="A60" t="s">
        <v>172</v>
      </c>
      <c r="B60">
        <v>43</v>
      </c>
      <c r="C60">
        <v>22</v>
      </c>
      <c r="D60">
        <v>9</v>
      </c>
      <c r="E60">
        <v>0</v>
      </c>
      <c r="F60">
        <v>6.9774147123098304E-2</v>
      </c>
      <c r="G60">
        <v>1</v>
      </c>
      <c r="H60">
        <v>1</v>
      </c>
      <c r="I60" t="s">
        <v>812</v>
      </c>
    </row>
    <row r="61" spans="1:9" x14ac:dyDescent="0.2">
      <c r="A61" t="s">
        <v>174</v>
      </c>
      <c r="B61">
        <v>44</v>
      </c>
      <c r="C61">
        <v>23</v>
      </c>
      <c r="D61">
        <v>9</v>
      </c>
      <c r="E61">
        <v>0</v>
      </c>
      <c r="F61">
        <v>7.0218198001384693E-2</v>
      </c>
      <c r="G61">
        <v>1</v>
      </c>
      <c r="H61">
        <v>1</v>
      </c>
      <c r="I61" t="s">
        <v>813</v>
      </c>
    </row>
    <row r="62" spans="1:9" x14ac:dyDescent="0.2">
      <c r="A62" t="s">
        <v>176</v>
      </c>
      <c r="B62">
        <v>45</v>
      </c>
      <c r="C62">
        <v>24</v>
      </c>
      <c r="D62">
        <v>9</v>
      </c>
      <c r="E62">
        <v>0</v>
      </c>
      <c r="F62">
        <v>7.0570485200732905E-2</v>
      </c>
      <c r="G62">
        <v>1</v>
      </c>
      <c r="H62">
        <v>1</v>
      </c>
      <c r="I62" t="s">
        <v>814</v>
      </c>
    </row>
    <row r="63" spans="1:9" x14ac:dyDescent="0.2">
      <c r="A63" t="s">
        <v>178</v>
      </c>
      <c r="B63">
        <v>46</v>
      </c>
      <c r="C63">
        <v>15</v>
      </c>
      <c r="D63">
        <v>15</v>
      </c>
      <c r="E63">
        <v>0</v>
      </c>
      <c r="F63">
        <v>0.11467720894142901</v>
      </c>
      <c r="G63">
        <v>1</v>
      </c>
      <c r="H63">
        <v>1</v>
      </c>
      <c r="I63" t="s">
        <v>815</v>
      </c>
    </row>
    <row r="64" spans="1:9" x14ac:dyDescent="0.2">
      <c r="A64" t="s">
        <v>180</v>
      </c>
      <c r="B64">
        <v>47</v>
      </c>
      <c r="C64">
        <v>25</v>
      </c>
      <c r="D64">
        <v>9</v>
      </c>
      <c r="E64">
        <v>0</v>
      </c>
      <c r="F64">
        <v>7.4505002703517606E-2</v>
      </c>
      <c r="G64">
        <v>1</v>
      </c>
      <c r="H64">
        <v>1</v>
      </c>
      <c r="I64" t="s">
        <v>816</v>
      </c>
    </row>
    <row r="65" spans="1:9" x14ac:dyDescent="0.2">
      <c r="A65" t="s">
        <v>182</v>
      </c>
      <c r="B65">
        <v>48</v>
      </c>
      <c r="C65">
        <v>26</v>
      </c>
      <c r="D65">
        <v>9</v>
      </c>
      <c r="E65">
        <v>0</v>
      </c>
      <c r="F65">
        <v>7.5651172082871199E-2</v>
      </c>
      <c r="G65">
        <v>1</v>
      </c>
      <c r="H65">
        <v>1</v>
      </c>
      <c r="I65" t="s">
        <v>817</v>
      </c>
    </row>
    <row r="66" spans="1:9" x14ac:dyDescent="0.2">
      <c r="A66" t="s">
        <v>184</v>
      </c>
      <c r="B66">
        <v>49</v>
      </c>
      <c r="C66">
        <v>4</v>
      </c>
      <c r="D66">
        <v>25</v>
      </c>
      <c r="E66">
        <v>0</v>
      </c>
      <c r="F66">
        <v>0.11099892295897</v>
      </c>
      <c r="G66">
        <v>1</v>
      </c>
      <c r="H66">
        <v>1</v>
      </c>
      <c r="I66" t="s">
        <v>818</v>
      </c>
    </row>
    <row r="67" spans="1:9" x14ac:dyDescent="0.2">
      <c r="A67" t="s">
        <v>186</v>
      </c>
      <c r="B67">
        <v>50</v>
      </c>
      <c r="C67">
        <v>19</v>
      </c>
      <c r="D67">
        <v>13</v>
      </c>
      <c r="E67">
        <v>0</v>
      </c>
      <c r="F67">
        <v>0.101720361039042</v>
      </c>
      <c r="G67">
        <v>1</v>
      </c>
      <c r="H67">
        <v>1</v>
      </c>
      <c r="I67" t="s">
        <v>819</v>
      </c>
    </row>
    <row r="68" spans="1:9" x14ac:dyDescent="0.2">
      <c r="A68" t="s">
        <v>188</v>
      </c>
      <c r="B68">
        <v>51</v>
      </c>
      <c r="C68">
        <v>28</v>
      </c>
      <c r="D68">
        <v>9</v>
      </c>
      <c r="E68">
        <v>0</v>
      </c>
      <c r="F68">
        <v>7.9380623996257699E-2</v>
      </c>
      <c r="G68">
        <v>1</v>
      </c>
      <c r="H68">
        <v>1</v>
      </c>
      <c r="I68" t="s">
        <v>820</v>
      </c>
    </row>
    <row r="69" spans="1:9" x14ac:dyDescent="0.2">
      <c r="A69" t="s">
        <v>190</v>
      </c>
      <c r="B69">
        <v>52</v>
      </c>
      <c r="C69">
        <v>15</v>
      </c>
      <c r="D69">
        <v>17</v>
      </c>
      <c r="E69">
        <v>0</v>
      </c>
      <c r="F69">
        <v>0.120089904870837</v>
      </c>
      <c r="G69">
        <v>1</v>
      </c>
      <c r="H69">
        <v>1</v>
      </c>
      <c r="I69" t="s">
        <v>821</v>
      </c>
    </row>
    <row r="70" spans="1:9" x14ac:dyDescent="0.2">
      <c r="A70" t="s">
        <v>192</v>
      </c>
      <c r="B70">
        <v>53</v>
      </c>
      <c r="C70">
        <v>16</v>
      </c>
      <c r="D70">
        <v>17</v>
      </c>
      <c r="E70">
        <v>0</v>
      </c>
      <c r="F70">
        <v>0.122091226279735</v>
      </c>
      <c r="G70">
        <v>1</v>
      </c>
      <c r="H70">
        <v>1</v>
      </c>
      <c r="I70" t="s">
        <v>822</v>
      </c>
    </row>
    <row r="71" spans="1:9" x14ac:dyDescent="0.2">
      <c r="A71" t="s">
        <v>194</v>
      </c>
      <c r="B71">
        <v>54</v>
      </c>
      <c r="C71">
        <v>31</v>
      </c>
      <c r="D71">
        <v>9</v>
      </c>
      <c r="E71">
        <v>0</v>
      </c>
      <c r="F71">
        <v>8.2348877098411294E-2</v>
      </c>
      <c r="G71">
        <v>1</v>
      </c>
      <c r="H71">
        <v>1</v>
      </c>
      <c r="I71" t="s">
        <v>823</v>
      </c>
    </row>
    <row r="72" spans="1:9" x14ac:dyDescent="0.2">
      <c r="A72" t="s">
        <v>196</v>
      </c>
      <c r="B72">
        <v>55</v>
      </c>
      <c r="C72">
        <v>23</v>
      </c>
      <c r="D72">
        <v>13</v>
      </c>
      <c r="E72">
        <v>0</v>
      </c>
      <c r="F72">
        <v>0.11011728271842</v>
      </c>
      <c r="G72">
        <v>1</v>
      </c>
      <c r="H72">
        <v>1</v>
      </c>
      <c r="I72" t="s">
        <v>824</v>
      </c>
    </row>
    <row r="73" spans="1:9" x14ac:dyDescent="0.2">
      <c r="A73" t="s">
        <v>198</v>
      </c>
      <c r="B73">
        <v>56</v>
      </c>
      <c r="C73">
        <v>17</v>
      </c>
      <c r="D73">
        <v>17</v>
      </c>
      <c r="E73">
        <v>0</v>
      </c>
      <c r="F73">
        <v>0.129885681904852</v>
      </c>
      <c r="G73">
        <v>1</v>
      </c>
      <c r="H73">
        <v>1</v>
      </c>
      <c r="I73" t="s">
        <v>825</v>
      </c>
    </row>
    <row r="74" spans="1:9" x14ac:dyDescent="0.2">
      <c r="A74" t="s">
        <v>200</v>
      </c>
      <c r="B74">
        <v>57</v>
      </c>
      <c r="C74">
        <v>18</v>
      </c>
      <c r="D74">
        <v>17</v>
      </c>
      <c r="E74">
        <v>0</v>
      </c>
      <c r="F74">
        <v>0.13277691509574599</v>
      </c>
      <c r="G74">
        <v>1</v>
      </c>
      <c r="H74">
        <v>1</v>
      </c>
      <c r="I74" t="s">
        <v>826</v>
      </c>
    </row>
    <row r="75" spans="1:9" x14ac:dyDescent="0.2">
      <c r="A75" t="s">
        <v>202</v>
      </c>
      <c r="B75">
        <v>58</v>
      </c>
      <c r="C75">
        <v>3</v>
      </c>
      <c r="D75">
        <v>32</v>
      </c>
      <c r="E75">
        <v>0</v>
      </c>
      <c r="F75">
        <v>0.13266715221107001</v>
      </c>
      <c r="G75">
        <v>1</v>
      </c>
      <c r="H75">
        <v>1</v>
      </c>
      <c r="I75" t="s">
        <v>827</v>
      </c>
    </row>
    <row r="76" spans="1:9" x14ac:dyDescent="0.2">
      <c r="A76" t="s">
        <v>204</v>
      </c>
      <c r="B76">
        <v>59</v>
      </c>
      <c r="C76">
        <v>19</v>
      </c>
      <c r="D76">
        <v>17</v>
      </c>
      <c r="E76">
        <v>0</v>
      </c>
      <c r="F76">
        <v>0.137758976779878</v>
      </c>
      <c r="G76">
        <v>1</v>
      </c>
      <c r="H76">
        <v>1</v>
      </c>
      <c r="I76" t="s">
        <v>828</v>
      </c>
    </row>
    <row r="77" spans="1:9" x14ac:dyDescent="0.2">
      <c r="A77" t="s">
        <v>206</v>
      </c>
      <c r="B77">
        <v>60</v>
      </c>
      <c r="C77">
        <v>20</v>
      </c>
      <c r="D77">
        <v>17</v>
      </c>
      <c r="E77">
        <v>0</v>
      </c>
      <c r="F77">
        <v>0.14173495210707099</v>
      </c>
      <c r="G77">
        <v>1</v>
      </c>
      <c r="H77">
        <v>1</v>
      </c>
      <c r="I77" t="s">
        <v>829</v>
      </c>
    </row>
    <row r="78" spans="1:9" x14ac:dyDescent="0.2">
      <c r="A78" t="s">
        <v>208</v>
      </c>
      <c r="B78">
        <v>61</v>
      </c>
      <c r="C78">
        <v>18</v>
      </c>
      <c r="D78">
        <v>19</v>
      </c>
      <c r="E78">
        <v>0</v>
      </c>
      <c r="F78">
        <v>0.150320958811789</v>
      </c>
      <c r="G78">
        <v>1</v>
      </c>
      <c r="H78">
        <v>1</v>
      </c>
      <c r="I78" t="s">
        <v>830</v>
      </c>
    </row>
    <row r="79" spans="1:9" x14ac:dyDescent="0.2">
      <c r="A79" t="s">
        <v>210</v>
      </c>
      <c r="B79">
        <v>62</v>
      </c>
      <c r="C79">
        <v>21</v>
      </c>
      <c r="D79">
        <v>17</v>
      </c>
      <c r="E79">
        <v>0</v>
      </c>
      <c r="F79">
        <v>0.14640607032924799</v>
      </c>
      <c r="G79">
        <v>1</v>
      </c>
      <c r="H79">
        <v>1</v>
      </c>
      <c r="I79" t="s">
        <v>831</v>
      </c>
    </row>
    <row r="80" spans="1:9" x14ac:dyDescent="0.2">
      <c r="A80" t="s">
        <v>212</v>
      </c>
      <c r="B80">
        <v>63</v>
      </c>
      <c r="C80">
        <v>23</v>
      </c>
      <c r="D80">
        <v>16</v>
      </c>
      <c r="E80">
        <v>0</v>
      </c>
      <c r="F80">
        <v>0.14414261607453199</v>
      </c>
      <c r="G80">
        <v>1</v>
      </c>
      <c r="H80">
        <v>1</v>
      </c>
      <c r="I80" t="s">
        <v>832</v>
      </c>
    </row>
    <row r="81" spans="1:9" x14ac:dyDescent="0.2">
      <c r="A81" t="s">
        <v>214</v>
      </c>
      <c r="B81">
        <v>64</v>
      </c>
      <c r="C81">
        <v>24</v>
      </c>
      <c r="D81">
        <v>16</v>
      </c>
      <c r="E81">
        <v>0</v>
      </c>
      <c r="F81">
        <v>0.145333146676421</v>
      </c>
      <c r="G81">
        <v>1</v>
      </c>
      <c r="H81">
        <v>1</v>
      </c>
      <c r="I81" t="s">
        <v>833</v>
      </c>
    </row>
    <row r="82" spans="1:9" x14ac:dyDescent="0.2">
      <c r="A82" t="s">
        <v>216</v>
      </c>
      <c r="B82">
        <v>65</v>
      </c>
      <c r="C82">
        <v>31</v>
      </c>
      <c r="D82">
        <v>13</v>
      </c>
      <c r="E82">
        <v>0</v>
      </c>
      <c r="F82">
        <v>0.13738567335531099</v>
      </c>
      <c r="G82">
        <v>1</v>
      </c>
      <c r="H82">
        <v>1</v>
      </c>
      <c r="I82" t="s">
        <v>834</v>
      </c>
    </row>
    <row r="83" spans="1:9" x14ac:dyDescent="0.2">
      <c r="A83" t="s">
        <v>218</v>
      </c>
      <c r="B83">
        <v>66</v>
      </c>
      <c r="C83">
        <v>32</v>
      </c>
      <c r="D83">
        <v>13</v>
      </c>
      <c r="E83">
        <v>0</v>
      </c>
      <c r="F83">
        <v>0.13804181758314299</v>
      </c>
      <c r="G83">
        <v>1</v>
      </c>
      <c r="H83">
        <v>1</v>
      </c>
      <c r="I83" t="s">
        <v>835</v>
      </c>
    </row>
    <row r="84" spans="1:9" x14ac:dyDescent="0.2">
      <c r="A84" t="s">
        <v>220</v>
      </c>
      <c r="B84">
        <v>67</v>
      </c>
      <c r="C84">
        <v>33</v>
      </c>
      <c r="D84">
        <v>13</v>
      </c>
      <c r="E84">
        <v>0</v>
      </c>
      <c r="F84">
        <v>0.13869283907115401</v>
      </c>
      <c r="G84">
        <v>1</v>
      </c>
      <c r="H84">
        <v>1</v>
      </c>
      <c r="I84" t="s">
        <v>836</v>
      </c>
    </row>
    <row r="85" spans="1:9" x14ac:dyDescent="0.2">
      <c r="A85" t="s">
        <v>222</v>
      </c>
      <c r="B85">
        <v>68</v>
      </c>
      <c r="C85">
        <v>34</v>
      </c>
      <c r="D85">
        <v>13</v>
      </c>
      <c r="E85">
        <v>0</v>
      </c>
      <c r="F85">
        <v>0.14051986997947</v>
      </c>
      <c r="G85">
        <v>1</v>
      </c>
      <c r="H85">
        <v>1</v>
      </c>
      <c r="I85" t="s">
        <v>837</v>
      </c>
    </row>
    <row r="86" spans="1:9" x14ac:dyDescent="0.2">
      <c r="A86" t="s">
        <v>224</v>
      </c>
      <c r="B86">
        <v>69</v>
      </c>
      <c r="C86">
        <v>35</v>
      </c>
      <c r="D86">
        <v>13</v>
      </c>
      <c r="E86">
        <v>0</v>
      </c>
      <c r="F86">
        <v>0.14133094996213899</v>
      </c>
      <c r="G86">
        <v>1</v>
      </c>
      <c r="H86">
        <v>1</v>
      </c>
      <c r="I86" t="s">
        <v>838</v>
      </c>
    </row>
    <row r="87" spans="1:9" x14ac:dyDescent="0.2">
      <c r="A87" t="s">
        <v>226</v>
      </c>
      <c r="B87">
        <v>70</v>
      </c>
      <c r="C87">
        <v>36</v>
      </c>
      <c r="D87">
        <v>13</v>
      </c>
      <c r="E87">
        <v>0</v>
      </c>
      <c r="F87">
        <v>0.14214133098721499</v>
      </c>
      <c r="G87">
        <v>1</v>
      </c>
      <c r="H87">
        <v>1</v>
      </c>
      <c r="I87" t="s">
        <v>839</v>
      </c>
    </row>
    <row r="88" spans="1:9" x14ac:dyDescent="0.2">
      <c r="A88" t="s">
        <v>228</v>
      </c>
      <c r="B88">
        <v>71</v>
      </c>
      <c r="C88">
        <v>12</v>
      </c>
      <c r="D88">
        <v>29</v>
      </c>
      <c r="E88">
        <v>0</v>
      </c>
      <c r="F88">
        <v>0.21237687719985801</v>
      </c>
      <c r="G88">
        <v>1</v>
      </c>
      <c r="H88">
        <v>1</v>
      </c>
      <c r="I88" t="s">
        <v>840</v>
      </c>
    </row>
    <row r="89" spans="1:9" x14ac:dyDescent="0.2">
      <c r="A89" t="s">
        <v>230</v>
      </c>
      <c r="B89">
        <v>72</v>
      </c>
      <c r="C89">
        <v>37</v>
      </c>
      <c r="D89">
        <v>13</v>
      </c>
      <c r="E89">
        <v>0</v>
      </c>
      <c r="F89">
        <v>0.14958579512313</v>
      </c>
      <c r="G89">
        <v>1</v>
      </c>
      <c r="H89">
        <v>1</v>
      </c>
      <c r="I89" t="s">
        <v>841</v>
      </c>
    </row>
    <row r="90" spans="1:9" x14ac:dyDescent="0.2">
      <c r="A90" t="s">
        <v>232</v>
      </c>
      <c r="B90">
        <v>73</v>
      </c>
      <c r="C90">
        <v>38</v>
      </c>
      <c r="D90">
        <v>13</v>
      </c>
      <c r="E90">
        <v>0</v>
      </c>
      <c r="F90">
        <v>0.14891204889863699</v>
      </c>
      <c r="G90">
        <v>1</v>
      </c>
      <c r="H90">
        <v>1</v>
      </c>
      <c r="I90" t="s">
        <v>842</v>
      </c>
    </row>
    <row r="91" spans="1:9" x14ac:dyDescent="0.2">
      <c r="A91" t="s">
        <v>234</v>
      </c>
      <c r="B91">
        <v>74</v>
      </c>
      <c r="C91">
        <v>9</v>
      </c>
      <c r="D91">
        <v>32</v>
      </c>
      <c r="E91">
        <v>0</v>
      </c>
      <c r="F91">
        <v>0.21998002706095501</v>
      </c>
      <c r="G91">
        <v>1</v>
      </c>
      <c r="H91">
        <v>1</v>
      </c>
      <c r="I91" t="s">
        <v>843</v>
      </c>
    </row>
    <row r="92" spans="1:9" x14ac:dyDescent="0.2">
      <c r="A92" t="s">
        <v>236</v>
      </c>
      <c r="B92">
        <v>75</v>
      </c>
      <c r="C92">
        <v>28</v>
      </c>
      <c r="D92">
        <v>19</v>
      </c>
      <c r="E92">
        <v>0</v>
      </c>
      <c r="F92">
        <v>0.19865609100088399</v>
      </c>
      <c r="G92">
        <v>1</v>
      </c>
      <c r="H92">
        <v>1</v>
      </c>
      <c r="I92" t="s">
        <v>844</v>
      </c>
    </row>
    <row r="93" spans="1:9" x14ac:dyDescent="0.2">
      <c r="A93" t="s">
        <v>238</v>
      </c>
      <c r="B93">
        <v>76</v>
      </c>
      <c r="C93">
        <v>40</v>
      </c>
      <c r="D93">
        <v>12</v>
      </c>
      <c r="E93">
        <v>0</v>
      </c>
      <c r="F93">
        <v>0.15374048193916601</v>
      </c>
      <c r="G93">
        <v>1</v>
      </c>
      <c r="H93">
        <v>1</v>
      </c>
      <c r="I93" t="s">
        <v>845</v>
      </c>
    </row>
    <row r="94" spans="1:9" x14ac:dyDescent="0.2">
      <c r="A94" t="s">
        <v>240</v>
      </c>
      <c r="B94">
        <v>77</v>
      </c>
      <c r="C94">
        <v>40</v>
      </c>
      <c r="D94">
        <v>13</v>
      </c>
      <c r="E94">
        <v>0</v>
      </c>
      <c r="F94">
        <v>0.15988981677219199</v>
      </c>
      <c r="G94">
        <v>1</v>
      </c>
      <c r="H94">
        <v>1</v>
      </c>
      <c r="I94" t="s">
        <v>846</v>
      </c>
    </row>
    <row r="95" spans="1:9" x14ac:dyDescent="0.2">
      <c r="A95" t="s">
        <v>242</v>
      </c>
      <c r="B95">
        <v>78</v>
      </c>
      <c r="C95">
        <v>29</v>
      </c>
      <c r="D95">
        <v>19</v>
      </c>
      <c r="E95">
        <v>0</v>
      </c>
      <c r="F95">
        <v>0.21010131202638099</v>
      </c>
      <c r="G95">
        <v>1</v>
      </c>
      <c r="H95">
        <v>1</v>
      </c>
      <c r="I95" t="s">
        <v>847</v>
      </c>
    </row>
    <row r="96" spans="1:9" x14ac:dyDescent="0.2">
      <c r="A96" t="s">
        <v>244</v>
      </c>
      <c r="B96">
        <v>79</v>
      </c>
      <c r="C96">
        <v>20</v>
      </c>
      <c r="D96">
        <v>24</v>
      </c>
      <c r="E96">
        <v>0</v>
      </c>
      <c r="F96">
        <v>0.242972841951996</v>
      </c>
      <c r="G96">
        <v>1</v>
      </c>
      <c r="H96">
        <v>1</v>
      </c>
      <c r="I96" t="s">
        <v>848</v>
      </c>
    </row>
    <row r="97" spans="1:9" x14ac:dyDescent="0.2">
      <c r="A97" t="s">
        <v>246</v>
      </c>
      <c r="B97">
        <v>80</v>
      </c>
      <c r="C97">
        <v>47</v>
      </c>
      <c r="D97">
        <v>11</v>
      </c>
      <c r="E97">
        <v>0</v>
      </c>
      <c r="F97">
        <v>0.14417303539812501</v>
      </c>
      <c r="G97">
        <v>1</v>
      </c>
      <c r="H97">
        <v>1</v>
      </c>
      <c r="I97" t="s">
        <v>849</v>
      </c>
    </row>
    <row r="98" spans="1:9" x14ac:dyDescent="0.2">
      <c r="A98" t="s">
        <v>248</v>
      </c>
      <c r="B98">
        <v>81</v>
      </c>
      <c r="C98">
        <v>48</v>
      </c>
      <c r="D98">
        <v>11</v>
      </c>
      <c r="E98">
        <v>0</v>
      </c>
      <c r="F98">
        <v>0.144515010993927</v>
      </c>
      <c r="G98">
        <v>1</v>
      </c>
      <c r="H98">
        <v>1</v>
      </c>
      <c r="I98" t="s">
        <v>850</v>
      </c>
    </row>
    <row r="99" spans="1:9" x14ac:dyDescent="0.2">
      <c r="A99" t="s">
        <v>250</v>
      </c>
      <c r="B99">
        <v>82</v>
      </c>
      <c r="C99">
        <v>43</v>
      </c>
      <c r="D99">
        <v>13</v>
      </c>
      <c r="E99">
        <v>0</v>
      </c>
      <c r="F99">
        <v>0.17296909866854501</v>
      </c>
      <c r="G99">
        <v>1</v>
      </c>
      <c r="H99">
        <v>1</v>
      </c>
      <c r="I99" t="s">
        <v>851</v>
      </c>
    </row>
    <row r="100" spans="1:9" x14ac:dyDescent="0.2">
      <c r="A100" t="s">
        <v>252</v>
      </c>
      <c r="B100">
        <v>83</v>
      </c>
      <c r="C100">
        <v>41</v>
      </c>
      <c r="D100">
        <v>15</v>
      </c>
      <c r="E100">
        <v>0</v>
      </c>
      <c r="F100">
        <v>0.191238983999937</v>
      </c>
      <c r="G100">
        <v>1</v>
      </c>
      <c r="H100">
        <v>1</v>
      </c>
      <c r="I100" t="s">
        <v>852</v>
      </c>
    </row>
    <row r="101" spans="1:9" x14ac:dyDescent="0.2">
      <c r="A101" t="s">
        <v>254</v>
      </c>
      <c r="B101">
        <v>84</v>
      </c>
      <c r="C101">
        <v>42</v>
      </c>
      <c r="D101">
        <v>15</v>
      </c>
      <c r="E101">
        <v>0</v>
      </c>
      <c r="F101">
        <v>0.19453261420130699</v>
      </c>
      <c r="G101">
        <v>1</v>
      </c>
      <c r="H101">
        <v>1</v>
      </c>
      <c r="I101" t="s">
        <v>853</v>
      </c>
    </row>
    <row r="102" spans="1:9" x14ac:dyDescent="0.2">
      <c r="A102" t="s">
        <v>256</v>
      </c>
      <c r="B102">
        <v>85</v>
      </c>
      <c r="C102">
        <v>23</v>
      </c>
      <c r="D102">
        <v>24</v>
      </c>
      <c r="E102">
        <v>0</v>
      </c>
      <c r="F102">
        <v>0.268583929166197</v>
      </c>
      <c r="G102">
        <v>1</v>
      </c>
      <c r="H102">
        <v>1</v>
      </c>
      <c r="I102" t="s">
        <v>854</v>
      </c>
    </row>
    <row r="103" spans="1:9" x14ac:dyDescent="0.2">
      <c r="A103" t="s">
        <v>258</v>
      </c>
      <c r="B103">
        <v>86</v>
      </c>
      <c r="C103">
        <v>23</v>
      </c>
      <c r="D103">
        <v>25</v>
      </c>
      <c r="E103">
        <v>0</v>
      </c>
      <c r="F103">
        <v>0.27452398976310999</v>
      </c>
      <c r="G103">
        <v>1</v>
      </c>
      <c r="H103">
        <v>1</v>
      </c>
      <c r="I103" t="s">
        <v>855</v>
      </c>
    </row>
    <row r="104" spans="1:9" x14ac:dyDescent="0.2">
      <c r="A104" t="s">
        <v>260</v>
      </c>
      <c r="B104">
        <v>87</v>
      </c>
      <c r="C104">
        <v>45</v>
      </c>
      <c r="D104">
        <v>15</v>
      </c>
      <c r="E104">
        <v>0</v>
      </c>
      <c r="F104">
        <v>0.19676200579851799</v>
      </c>
      <c r="G104">
        <v>1</v>
      </c>
      <c r="H104">
        <v>1</v>
      </c>
      <c r="I104" t="s">
        <v>856</v>
      </c>
    </row>
    <row r="105" spans="1:9" x14ac:dyDescent="0.2">
      <c r="A105" t="s">
        <v>262</v>
      </c>
      <c r="B105">
        <v>88</v>
      </c>
      <c r="C105">
        <v>49</v>
      </c>
      <c r="D105">
        <v>13</v>
      </c>
      <c r="E105">
        <v>0</v>
      </c>
      <c r="F105">
        <v>0.179144191090017</v>
      </c>
      <c r="G105">
        <v>1</v>
      </c>
      <c r="H105">
        <v>1</v>
      </c>
      <c r="I105" t="s">
        <v>857</v>
      </c>
    </row>
    <row r="106" spans="1:9" x14ac:dyDescent="0.2">
      <c r="A106" t="s">
        <v>264</v>
      </c>
      <c r="B106">
        <v>89</v>
      </c>
      <c r="C106">
        <v>32</v>
      </c>
      <c r="D106">
        <v>21</v>
      </c>
      <c r="E106">
        <v>0</v>
      </c>
      <c r="F106">
        <v>0.26347989216446799</v>
      </c>
      <c r="G106">
        <v>1</v>
      </c>
      <c r="H106">
        <v>1</v>
      </c>
      <c r="I106" t="s">
        <v>858</v>
      </c>
    </row>
    <row r="107" spans="1:9" x14ac:dyDescent="0.2">
      <c r="A107" t="s">
        <v>266</v>
      </c>
      <c r="B107">
        <v>90</v>
      </c>
      <c r="C107">
        <v>33</v>
      </c>
      <c r="D107">
        <v>21</v>
      </c>
      <c r="E107">
        <v>0</v>
      </c>
      <c r="F107">
        <v>0.26764570688828798</v>
      </c>
      <c r="G107">
        <v>1</v>
      </c>
      <c r="H107">
        <v>1</v>
      </c>
      <c r="I107" t="s">
        <v>859</v>
      </c>
    </row>
    <row r="108" spans="1:9" x14ac:dyDescent="0.2">
      <c r="A108" t="s">
        <v>268</v>
      </c>
      <c r="B108">
        <v>91</v>
      </c>
      <c r="C108">
        <v>26</v>
      </c>
      <c r="D108">
        <v>25</v>
      </c>
      <c r="E108">
        <v>0</v>
      </c>
      <c r="F108">
        <v>0.29812502209097103</v>
      </c>
      <c r="G108">
        <v>1</v>
      </c>
      <c r="H108">
        <v>1</v>
      </c>
      <c r="I108" t="s">
        <v>860</v>
      </c>
    </row>
    <row r="109" spans="1:9" x14ac:dyDescent="0.2">
      <c r="A109" t="s">
        <v>270</v>
      </c>
      <c r="B109">
        <v>92</v>
      </c>
      <c r="C109">
        <v>52</v>
      </c>
      <c r="D109">
        <v>13</v>
      </c>
      <c r="E109">
        <v>0</v>
      </c>
      <c r="F109">
        <v>0.187361952848732</v>
      </c>
      <c r="G109">
        <v>1</v>
      </c>
      <c r="H109">
        <v>1</v>
      </c>
      <c r="I109" t="s">
        <v>861</v>
      </c>
    </row>
    <row r="110" spans="1:9" x14ac:dyDescent="0.2">
      <c r="A110" t="s">
        <v>272</v>
      </c>
      <c r="B110">
        <v>93</v>
      </c>
      <c r="C110">
        <v>53</v>
      </c>
      <c r="D110">
        <v>13</v>
      </c>
      <c r="E110">
        <v>0</v>
      </c>
      <c r="F110">
        <v>0.18816459504887401</v>
      </c>
      <c r="G110">
        <v>1</v>
      </c>
      <c r="H110">
        <v>1</v>
      </c>
      <c r="I110" t="s">
        <v>862</v>
      </c>
    </row>
    <row r="111" spans="1:9" x14ac:dyDescent="0.2">
      <c r="A111" t="s">
        <v>274</v>
      </c>
      <c r="B111">
        <v>94</v>
      </c>
      <c r="C111">
        <v>54</v>
      </c>
      <c r="D111">
        <v>13</v>
      </c>
      <c r="E111">
        <v>0</v>
      </c>
      <c r="F111">
        <v>0.18899031123146401</v>
      </c>
      <c r="G111">
        <v>1</v>
      </c>
      <c r="H111">
        <v>1</v>
      </c>
      <c r="I111" t="s">
        <v>863</v>
      </c>
    </row>
    <row r="112" spans="1:9" x14ac:dyDescent="0.2">
      <c r="A112" t="s">
        <v>276</v>
      </c>
      <c r="B112">
        <v>95</v>
      </c>
      <c r="C112">
        <v>46</v>
      </c>
      <c r="D112">
        <v>17</v>
      </c>
      <c r="E112">
        <v>0</v>
      </c>
      <c r="F112">
        <v>0.23793588578701</v>
      </c>
      <c r="G112">
        <v>1</v>
      </c>
      <c r="H112">
        <v>1</v>
      </c>
      <c r="I112" t="s">
        <v>864</v>
      </c>
    </row>
    <row r="113" spans="1:9" x14ac:dyDescent="0.2">
      <c r="A113" t="s">
        <v>278</v>
      </c>
      <c r="B113">
        <v>96</v>
      </c>
      <c r="C113">
        <v>48</v>
      </c>
      <c r="D113">
        <v>16</v>
      </c>
      <c r="E113">
        <v>0</v>
      </c>
      <c r="F113">
        <v>0.23428170010447499</v>
      </c>
      <c r="G113">
        <v>1</v>
      </c>
      <c r="H113">
        <v>1</v>
      </c>
      <c r="I113" t="s">
        <v>865</v>
      </c>
    </row>
    <row r="114" spans="1:9" x14ac:dyDescent="0.2">
      <c r="A114" t="s">
        <v>280</v>
      </c>
      <c r="B114">
        <v>97</v>
      </c>
      <c r="C114">
        <v>50</v>
      </c>
      <c r="D114">
        <v>15</v>
      </c>
      <c r="E114">
        <v>0</v>
      </c>
      <c r="F114">
        <v>0.22999478084966499</v>
      </c>
      <c r="G114">
        <v>1</v>
      </c>
      <c r="H114">
        <v>1</v>
      </c>
      <c r="I114" t="s">
        <v>866</v>
      </c>
    </row>
    <row r="115" spans="1:9" x14ac:dyDescent="0.2">
      <c r="A115" t="s">
        <v>282</v>
      </c>
      <c r="B115">
        <v>98</v>
      </c>
      <c r="C115">
        <v>51</v>
      </c>
      <c r="D115">
        <v>15</v>
      </c>
      <c r="E115">
        <v>0</v>
      </c>
      <c r="F115">
        <v>0.231336367316544</v>
      </c>
      <c r="G115">
        <v>1</v>
      </c>
      <c r="H115">
        <v>1</v>
      </c>
      <c r="I115" t="s">
        <v>867</v>
      </c>
    </row>
    <row r="116" spans="1:9" x14ac:dyDescent="0.2">
      <c r="A116" t="s">
        <v>284</v>
      </c>
      <c r="B116">
        <v>99</v>
      </c>
      <c r="C116">
        <v>52</v>
      </c>
      <c r="D116">
        <v>15</v>
      </c>
      <c r="E116">
        <v>0</v>
      </c>
      <c r="F116">
        <v>0.232624450698494</v>
      </c>
      <c r="G116">
        <v>1</v>
      </c>
      <c r="H116">
        <v>1</v>
      </c>
      <c r="I116" t="s">
        <v>868</v>
      </c>
    </row>
    <row r="117" spans="1:9" x14ac:dyDescent="0.2">
      <c r="A117" t="s">
        <v>286</v>
      </c>
      <c r="B117">
        <v>100</v>
      </c>
      <c r="C117">
        <v>52</v>
      </c>
      <c r="D117">
        <v>16</v>
      </c>
      <c r="E117">
        <v>0</v>
      </c>
      <c r="F117">
        <v>0.23903039703145601</v>
      </c>
      <c r="G117">
        <v>1</v>
      </c>
      <c r="H117">
        <v>1</v>
      </c>
      <c r="I117" t="s">
        <v>869</v>
      </c>
    </row>
    <row r="118" spans="1:9" x14ac:dyDescent="0.2">
      <c r="A118" t="s">
        <v>288</v>
      </c>
      <c r="B118">
        <v>101</v>
      </c>
      <c r="C118">
        <v>53</v>
      </c>
      <c r="D118">
        <v>15</v>
      </c>
      <c r="E118">
        <v>0</v>
      </c>
      <c r="F118">
        <v>0.24021242419257699</v>
      </c>
      <c r="G118">
        <v>1</v>
      </c>
      <c r="H118">
        <v>1</v>
      </c>
      <c r="I118" t="s">
        <v>870</v>
      </c>
    </row>
    <row r="119" spans="1:9" x14ac:dyDescent="0.2">
      <c r="A119" t="s">
        <v>290</v>
      </c>
      <c r="B119">
        <v>102</v>
      </c>
      <c r="C119">
        <v>54</v>
      </c>
      <c r="D119">
        <v>15</v>
      </c>
      <c r="E119">
        <v>0</v>
      </c>
      <c r="F119">
        <v>0.28571649407967897</v>
      </c>
      <c r="G119">
        <v>1</v>
      </c>
      <c r="H119">
        <v>1</v>
      </c>
      <c r="I119" t="s">
        <v>871</v>
      </c>
    </row>
    <row r="120" spans="1:9" x14ac:dyDescent="0.2">
      <c r="A120" t="s">
        <v>292</v>
      </c>
      <c r="B120">
        <v>103</v>
      </c>
      <c r="C120">
        <v>34</v>
      </c>
      <c r="D120">
        <v>25</v>
      </c>
      <c r="E120">
        <v>0</v>
      </c>
      <c r="F120">
        <v>0.35566924884915302</v>
      </c>
      <c r="G120">
        <v>1</v>
      </c>
      <c r="H120">
        <v>1</v>
      </c>
      <c r="I120" t="s">
        <v>872</v>
      </c>
    </row>
    <row r="121" spans="1:9" x14ac:dyDescent="0.2">
      <c r="A121" t="s">
        <v>294</v>
      </c>
      <c r="B121">
        <v>104</v>
      </c>
      <c r="C121">
        <v>28</v>
      </c>
      <c r="D121">
        <v>29</v>
      </c>
      <c r="E121">
        <v>0</v>
      </c>
      <c r="F121">
        <v>0.38214355614036299</v>
      </c>
      <c r="G121">
        <v>1</v>
      </c>
      <c r="H121">
        <v>1</v>
      </c>
      <c r="I121" t="s">
        <v>873</v>
      </c>
    </row>
    <row r="122" spans="1:9" x14ac:dyDescent="0.2">
      <c r="A122" t="s">
        <v>296</v>
      </c>
      <c r="B122">
        <v>105</v>
      </c>
      <c r="C122">
        <v>54</v>
      </c>
      <c r="D122">
        <v>17</v>
      </c>
      <c r="E122">
        <v>0</v>
      </c>
      <c r="F122">
        <v>0.26328102266415898</v>
      </c>
      <c r="G122">
        <v>1</v>
      </c>
      <c r="H122">
        <v>1</v>
      </c>
      <c r="I122" t="s">
        <v>874</v>
      </c>
    </row>
    <row r="123" spans="1:9" x14ac:dyDescent="0.2">
      <c r="A123" t="s">
        <v>298</v>
      </c>
      <c r="B123">
        <v>106</v>
      </c>
      <c r="C123">
        <v>44</v>
      </c>
      <c r="D123">
        <v>21</v>
      </c>
      <c r="E123">
        <v>0</v>
      </c>
      <c r="F123">
        <v>0.3811832270585</v>
      </c>
      <c r="G123">
        <v>1</v>
      </c>
      <c r="H123">
        <v>1</v>
      </c>
      <c r="I123" t="s">
        <v>875</v>
      </c>
    </row>
    <row r="124" spans="1:9" x14ac:dyDescent="0.2">
      <c r="A124" t="s">
        <v>300</v>
      </c>
      <c r="B124">
        <v>107</v>
      </c>
      <c r="C124">
        <v>45</v>
      </c>
      <c r="D124">
        <v>21</v>
      </c>
      <c r="E124">
        <v>0</v>
      </c>
      <c r="F124">
        <v>0.32427522400393999</v>
      </c>
      <c r="G124">
        <v>1</v>
      </c>
      <c r="H124">
        <v>1</v>
      </c>
      <c r="I124" t="s">
        <v>876</v>
      </c>
    </row>
    <row r="125" spans="1:9" x14ac:dyDescent="0.2">
      <c r="A125" t="s">
        <v>302</v>
      </c>
      <c r="B125">
        <v>108</v>
      </c>
      <c r="C125">
        <v>55</v>
      </c>
      <c r="D125">
        <v>17</v>
      </c>
      <c r="E125">
        <v>0</v>
      </c>
      <c r="F125">
        <v>0.277138818986713</v>
      </c>
      <c r="G125">
        <v>1</v>
      </c>
      <c r="H125">
        <v>1</v>
      </c>
      <c r="I125" t="s">
        <v>877</v>
      </c>
    </row>
    <row r="126" spans="1:9" x14ac:dyDescent="0.2">
      <c r="A126" t="s">
        <v>304</v>
      </c>
      <c r="B126">
        <v>109</v>
      </c>
      <c r="C126">
        <v>37</v>
      </c>
      <c r="D126">
        <v>25</v>
      </c>
      <c r="E126">
        <v>0</v>
      </c>
      <c r="F126">
        <v>0.38347674813121502</v>
      </c>
      <c r="G126">
        <v>1</v>
      </c>
      <c r="H126">
        <v>1</v>
      </c>
      <c r="I126" t="s">
        <v>878</v>
      </c>
    </row>
    <row r="127" spans="1:9" x14ac:dyDescent="0.2">
      <c r="A127" t="s">
        <v>306</v>
      </c>
      <c r="B127">
        <v>110</v>
      </c>
      <c r="C127">
        <v>33</v>
      </c>
      <c r="D127">
        <v>28</v>
      </c>
      <c r="E127">
        <v>0</v>
      </c>
      <c r="F127">
        <v>0.40938984788954202</v>
      </c>
      <c r="G127">
        <v>1</v>
      </c>
      <c r="H127">
        <v>1</v>
      </c>
      <c r="I127" t="s">
        <v>879</v>
      </c>
    </row>
    <row r="128" spans="1:9" x14ac:dyDescent="0.2">
      <c r="A128" t="s">
        <v>308</v>
      </c>
      <c r="B128">
        <v>111</v>
      </c>
      <c r="C128">
        <v>57</v>
      </c>
      <c r="D128">
        <v>17</v>
      </c>
      <c r="E128">
        <v>0</v>
      </c>
      <c r="F128">
        <v>0.28638260718434999</v>
      </c>
      <c r="G128">
        <v>1</v>
      </c>
      <c r="H128">
        <v>1</v>
      </c>
      <c r="I128" t="s">
        <v>880</v>
      </c>
    </row>
    <row r="129" spans="1:9" x14ac:dyDescent="0.2">
      <c r="A129" t="s">
        <v>310</v>
      </c>
      <c r="B129">
        <v>112</v>
      </c>
      <c r="C129">
        <v>36</v>
      </c>
      <c r="D129">
        <v>27</v>
      </c>
      <c r="E129">
        <v>0</v>
      </c>
      <c r="F129">
        <v>0.48894840572029302</v>
      </c>
      <c r="G129">
        <v>1</v>
      </c>
      <c r="H129">
        <v>1</v>
      </c>
      <c r="I129" t="s">
        <v>881</v>
      </c>
    </row>
    <row r="130" spans="1:9" x14ac:dyDescent="0.2">
      <c r="A130" t="s">
        <v>312</v>
      </c>
      <c r="B130">
        <v>113</v>
      </c>
      <c r="C130">
        <v>26</v>
      </c>
      <c r="D130">
        <v>34</v>
      </c>
      <c r="E130">
        <v>0</v>
      </c>
      <c r="F130">
        <v>0.53876599902287103</v>
      </c>
      <c r="G130">
        <v>1</v>
      </c>
      <c r="H130">
        <v>1</v>
      </c>
      <c r="I130" t="s">
        <v>882</v>
      </c>
    </row>
    <row r="131" spans="1:9" x14ac:dyDescent="0.2">
      <c r="A131" t="s">
        <v>314</v>
      </c>
      <c r="B131">
        <v>114</v>
      </c>
      <c r="C131">
        <v>27</v>
      </c>
      <c r="D131">
        <v>34</v>
      </c>
      <c r="E131">
        <v>0</v>
      </c>
      <c r="F131">
        <v>0.46041694330051502</v>
      </c>
      <c r="G131">
        <v>1</v>
      </c>
      <c r="H131">
        <v>1</v>
      </c>
      <c r="I131" t="s">
        <v>883</v>
      </c>
    </row>
    <row r="132" spans="1:9" x14ac:dyDescent="0.2">
      <c r="A132" t="s">
        <v>316</v>
      </c>
      <c r="B132">
        <v>115</v>
      </c>
      <c r="C132">
        <v>29</v>
      </c>
      <c r="D132">
        <v>33</v>
      </c>
      <c r="E132">
        <v>0</v>
      </c>
      <c r="F132">
        <v>0.46348103089258003</v>
      </c>
      <c r="G132">
        <v>1</v>
      </c>
      <c r="H132">
        <v>1</v>
      </c>
      <c r="I132" t="s">
        <v>884</v>
      </c>
    </row>
    <row r="133" spans="1:9" x14ac:dyDescent="0.2">
      <c r="A133" t="s">
        <v>318</v>
      </c>
      <c r="B133">
        <v>116</v>
      </c>
      <c r="C133">
        <v>28</v>
      </c>
      <c r="D133">
        <v>34</v>
      </c>
      <c r="E133">
        <v>0</v>
      </c>
      <c r="F133">
        <v>0.47341393074020699</v>
      </c>
      <c r="G133">
        <v>1</v>
      </c>
      <c r="H133">
        <v>1</v>
      </c>
      <c r="I133" t="s">
        <v>885</v>
      </c>
    </row>
    <row r="134" spans="1:9" x14ac:dyDescent="0.2">
      <c r="A134" t="s">
        <v>320</v>
      </c>
      <c r="B134">
        <v>117</v>
      </c>
      <c r="C134">
        <v>29</v>
      </c>
      <c r="D134">
        <v>34</v>
      </c>
      <c r="E134">
        <v>0</v>
      </c>
      <c r="F134">
        <v>0.47758555226027899</v>
      </c>
      <c r="G134">
        <v>1</v>
      </c>
      <c r="H134">
        <v>1</v>
      </c>
      <c r="I134" t="s">
        <v>886</v>
      </c>
    </row>
    <row r="135" spans="1:9" x14ac:dyDescent="0.2">
      <c r="A135" t="s">
        <v>322</v>
      </c>
      <c r="B135">
        <v>118</v>
      </c>
      <c r="C135">
        <v>29</v>
      </c>
      <c r="D135">
        <v>35</v>
      </c>
      <c r="E135">
        <v>0</v>
      </c>
      <c r="F135">
        <v>0.57788772415369705</v>
      </c>
      <c r="G135">
        <v>1</v>
      </c>
      <c r="H135">
        <v>1</v>
      </c>
      <c r="I135" t="s">
        <v>887</v>
      </c>
    </row>
    <row r="136" spans="1:9" x14ac:dyDescent="0.2">
      <c r="A136" t="s">
        <v>324</v>
      </c>
      <c r="B136">
        <v>119</v>
      </c>
      <c r="C136">
        <v>28</v>
      </c>
      <c r="D136">
        <v>36</v>
      </c>
      <c r="E136">
        <v>0</v>
      </c>
      <c r="F136">
        <v>0.49537216080352597</v>
      </c>
      <c r="G136">
        <v>1</v>
      </c>
      <c r="H136">
        <v>1</v>
      </c>
      <c r="I136" t="s">
        <v>888</v>
      </c>
    </row>
    <row r="137" spans="1:9" x14ac:dyDescent="0.2">
      <c r="A137" t="s">
        <v>326</v>
      </c>
      <c r="B137">
        <v>120</v>
      </c>
      <c r="C137">
        <v>29</v>
      </c>
      <c r="D137">
        <v>36</v>
      </c>
      <c r="E137">
        <v>0</v>
      </c>
      <c r="F137">
        <v>0.50171237299218696</v>
      </c>
      <c r="G137">
        <v>1</v>
      </c>
      <c r="H137">
        <v>1</v>
      </c>
      <c r="I137" t="s">
        <v>889</v>
      </c>
    </row>
    <row r="138" spans="1:9" x14ac:dyDescent="0.2">
      <c r="A138" t="s">
        <v>328</v>
      </c>
      <c r="B138">
        <v>121</v>
      </c>
      <c r="C138">
        <v>29</v>
      </c>
      <c r="D138">
        <v>37</v>
      </c>
      <c r="E138">
        <v>0</v>
      </c>
      <c r="F138">
        <v>0.51018866384401895</v>
      </c>
      <c r="G138">
        <v>1</v>
      </c>
      <c r="H138">
        <v>1</v>
      </c>
      <c r="I138" t="s">
        <v>890</v>
      </c>
    </row>
    <row r="139" spans="1:9" x14ac:dyDescent="0.2">
      <c r="A139" t="s">
        <v>330</v>
      </c>
      <c r="B139">
        <v>122</v>
      </c>
      <c r="C139">
        <v>47</v>
      </c>
      <c r="D139">
        <v>25</v>
      </c>
      <c r="E139">
        <v>0</v>
      </c>
      <c r="F139">
        <v>0.436883869115263</v>
      </c>
      <c r="G139">
        <v>1</v>
      </c>
      <c r="H139">
        <v>1</v>
      </c>
      <c r="I139" t="s">
        <v>891</v>
      </c>
    </row>
    <row r="140" spans="1:9" x14ac:dyDescent="0.2">
      <c r="A140" t="s">
        <v>332</v>
      </c>
      <c r="B140">
        <v>123</v>
      </c>
      <c r="C140">
        <v>48</v>
      </c>
      <c r="D140">
        <v>25</v>
      </c>
      <c r="E140">
        <v>0</v>
      </c>
      <c r="F140">
        <v>0.44178318418562401</v>
      </c>
      <c r="G140">
        <v>1</v>
      </c>
      <c r="H140">
        <v>1</v>
      </c>
      <c r="I140" t="s">
        <v>892</v>
      </c>
    </row>
    <row r="141" spans="1:9" x14ac:dyDescent="0.2">
      <c r="A141" t="s">
        <v>334</v>
      </c>
      <c r="B141">
        <v>124</v>
      </c>
      <c r="C141">
        <v>49</v>
      </c>
      <c r="D141">
        <v>25</v>
      </c>
      <c r="E141">
        <v>0</v>
      </c>
      <c r="F141">
        <v>0.443547575734555</v>
      </c>
      <c r="G141">
        <v>1</v>
      </c>
      <c r="H141">
        <v>1</v>
      </c>
      <c r="I141" t="s">
        <v>893</v>
      </c>
    </row>
    <row r="142" spans="1:9" x14ac:dyDescent="0.2">
      <c r="A142" t="s">
        <v>336</v>
      </c>
      <c r="B142">
        <v>125</v>
      </c>
      <c r="C142">
        <v>50</v>
      </c>
      <c r="D142">
        <v>25</v>
      </c>
      <c r="E142">
        <v>0</v>
      </c>
      <c r="F142">
        <v>0.44742730632424299</v>
      </c>
      <c r="G142">
        <v>1</v>
      </c>
      <c r="H142">
        <v>1</v>
      </c>
      <c r="I142" t="s">
        <v>894</v>
      </c>
    </row>
    <row r="143" spans="1:9" x14ac:dyDescent="0.2">
      <c r="A143" t="s">
        <v>338</v>
      </c>
      <c r="B143">
        <v>126</v>
      </c>
      <c r="C143">
        <v>50</v>
      </c>
      <c r="D143">
        <v>26</v>
      </c>
      <c r="E143">
        <v>0</v>
      </c>
      <c r="F143">
        <v>0.45759292971342802</v>
      </c>
      <c r="G143">
        <v>1</v>
      </c>
      <c r="H143">
        <v>1</v>
      </c>
      <c r="I143" t="s">
        <v>895</v>
      </c>
    </row>
    <row r="144" spans="1:9" x14ac:dyDescent="0.2">
      <c r="A144" t="s">
        <v>340</v>
      </c>
      <c r="B144">
        <v>127</v>
      </c>
      <c r="C144">
        <v>30</v>
      </c>
      <c r="D144">
        <v>37</v>
      </c>
      <c r="E144">
        <v>0</v>
      </c>
      <c r="F144">
        <v>0.54962536785751503</v>
      </c>
      <c r="G144">
        <v>1</v>
      </c>
      <c r="H144">
        <v>1</v>
      </c>
      <c r="I144" t="s">
        <v>896</v>
      </c>
    </row>
    <row r="145" spans="1:9" x14ac:dyDescent="0.2">
      <c r="A145" t="s">
        <v>342</v>
      </c>
      <c r="B145">
        <v>128</v>
      </c>
      <c r="C145">
        <v>44</v>
      </c>
      <c r="D145">
        <v>29</v>
      </c>
      <c r="E145">
        <v>0</v>
      </c>
      <c r="F145">
        <v>0.49907370144501301</v>
      </c>
      <c r="G145">
        <v>1</v>
      </c>
      <c r="H145">
        <v>1</v>
      </c>
      <c r="I145" t="s">
        <v>897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dimension ref="A1:I149"/>
  <sheetViews>
    <sheetView workbookViewId="0">
      <selection sqref="A1:I150"/>
    </sheetView>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s="21" t="s">
        <v>73</v>
      </c>
    </row>
    <row r="5" spans="1:1" x14ac:dyDescent="0.2">
      <c r="A5" s="21" t="s">
        <v>74</v>
      </c>
    </row>
    <row r="6" spans="1:1" x14ac:dyDescent="0.2">
      <c r="A6" t="s">
        <v>898</v>
      </c>
    </row>
    <row r="7" spans="1:1" x14ac:dyDescent="0.2">
      <c r="A7" t="s">
        <v>76</v>
      </c>
    </row>
    <row r="8" spans="1:1" x14ac:dyDescent="0.2">
      <c r="A8" s="21" t="s">
        <v>77</v>
      </c>
    </row>
    <row r="9" spans="1:1" x14ac:dyDescent="0.2">
      <c r="A9" t="s">
        <v>1253</v>
      </c>
    </row>
    <row r="10" spans="1:1" x14ac:dyDescent="0.2">
      <c r="A10" t="s">
        <v>1254</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1255</v>
      </c>
    </row>
    <row r="17" spans="1:9" x14ac:dyDescent="0.2">
      <c r="A17" t="s">
        <v>1256</v>
      </c>
    </row>
    <row r="18" spans="1:9" x14ac:dyDescent="0.2">
      <c r="A18" t="s">
        <v>83</v>
      </c>
    </row>
    <row r="19" spans="1:9" x14ac:dyDescent="0.2">
      <c r="A19" t="s">
        <v>87</v>
      </c>
    </row>
    <row r="20" spans="1:9" x14ac:dyDescent="0.2">
      <c r="A20" t="s">
        <v>88</v>
      </c>
    </row>
    <row r="21" spans="1:9" x14ac:dyDescent="0.2">
      <c r="A21" t="s">
        <v>89</v>
      </c>
    </row>
    <row r="22" spans="1:9" x14ac:dyDescent="0.2">
      <c r="A22" t="s">
        <v>90</v>
      </c>
    </row>
    <row r="23" spans="1:9" x14ac:dyDescent="0.2">
      <c r="A23" t="s">
        <v>91</v>
      </c>
    </row>
    <row r="24" spans="1:9" x14ac:dyDescent="0.2">
      <c r="A24" t="s">
        <v>730</v>
      </c>
    </row>
    <row r="25" spans="1:9" x14ac:dyDescent="0.2">
      <c r="A25" t="s">
        <v>93</v>
      </c>
      <c r="F25" s="1"/>
    </row>
    <row r="26" spans="1:9" x14ac:dyDescent="0.2">
      <c r="A26" t="s">
        <v>1316</v>
      </c>
    </row>
    <row r="27" spans="1:9" x14ac:dyDescent="0.2">
      <c r="A27" t="s">
        <v>95</v>
      </c>
    </row>
    <row r="28" spans="1:9" x14ac:dyDescent="0.2">
      <c r="A28" t="s">
        <v>96</v>
      </c>
      <c r="B28" t="s">
        <v>61</v>
      </c>
      <c r="C28" t="s">
        <v>97</v>
      </c>
      <c r="D28" t="s">
        <v>98</v>
      </c>
      <c r="E28" t="s">
        <v>99</v>
      </c>
      <c r="F28" t="s">
        <v>100</v>
      </c>
      <c r="G28" t="s">
        <v>58</v>
      </c>
      <c r="H28" t="s">
        <v>59</v>
      </c>
      <c r="I28" t="s">
        <v>101</v>
      </c>
    </row>
    <row r="29" spans="1:9" x14ac:dyDescent="0.2">
      <c r="A29" t="s">
        <v>102</v>
      </c>
      <c r="B29">
        <v>5</v>
      </c>
      <c r="C29">
        <v>3</v>
      </c>
      <c r="D29">
        <v>2</v>
      </c>
      <c r="E29">
        <v>0</v>
      </c>
      <c r="F29">
        <v>2.77306325733661E-3</v>
      </c>
      <c r="G29">
        <v>1</v>
      </c>
      <c r="H29">
        <v>1</v>
      </c>
      <c r="I29" t="s">
        <v>1317</v>
      </c>
    </row>
    <row r="30" spans="1:9" x14ac:dyDescent="0.2">
      <c r="A30" t="s">
        <v>104</v>
      </c>
      <c r="B30">
        <v>6</v>
      </c>
      <c r="C30">
        <v>3</v>
      </c>
      <c r="D30">
        <v>3</v>
      </c>
      <c r="E30">
        <v>0</v>
      </c>
      <c r="F30">
        <v>2.0101163536310101E-3</v>
      </c>
      <c r="G30">
        <v>1</v>
      </c>
      <c r="H30">
        <v>1</v>
      </c>
      <c r="I30" t="s">
        <v>1318</v>
      </c>
    </row>
    <row r="31" spans="1:9" x14ac:dyDescent="0.2">
      <c r="A31" t="s">
        <v>106</v>
      </c>
      <c r="B31">
        <v>7</v>
      </c>
      <c r="C31">
        <v>3</v>
      </c>
      <c r="D31">
        <v>0</v>
      </c>
      <c r="E31">
        <v>-4</v>
      </c>
      <c r="F31">
        <v>1.81337911635637E-3</v>
      </c>
      <c r="G31">
        <v>1</v>
      </c>
      <c r="H31">
        <v>1</v>
      </c>
      <c r="I31" t="s">
        <v>1319</v>
      </c>
    </row>
    <row r="32" spans="1:9" x14ac:dyDescent="0.2">
      <c r="A32" t="s">
        <v>108</v>
      </c>
      <c r="B32">
        <v>8</v>
      </c>
      <c r="C32">
        <v>3</v>
      </c>
      <c r="D32">
        <v>0</v>
      </c>
      <c r="E32">
        <v>-4</v>
      </c>
      <c r="F32">
        <v>1.77819281816482E-3</v>
      </c>
      <c r="G32">
        <v>1</v>
      </c>
      <c r="H32">
        <v>1</v>
      </c>
      <c r="I32" t="s">
        <v>1319</v>
      </c>
    </row>
    <row r="33" spans="1:9" x14ac:dyDescent="0.2">
      <c r="A33" t="s">
        <v>110</v>
      </c>
      <c r="B33">
        <v>9</v>
      </c>
      <c r="C33">
        <v>5</v>
      </c>
      <c r="D33">
        <v>0</v>
      </c>
      <c r="E33">
        <v>-3</v>
      </c>
      <c r="F33">
        <v>1.9374247640371301E-3</v>
      </c>
      <c r="G33">
        <v>1</v>
      </c>
      <c r="H33">
        <v>1</v>
      </c>
      <c r="I33" t="s">
        <v>1319</v>
      </c>
    </row>
    <row r="34" spans="1:9" x14ac:dyDescent="0.2">
      <c r="A34" t="s">
        <v>112</v>
      </c>
      <c r="B34">
        <v>10</v>
      </c>
      <c r="C34">
        <v>3</v>
      </c>
      <c r="D34">
        <v>0</v>
      </c>
      <c r="E34">
        <v>-5</v>
      </c>
      <c r="F34">
        <v>1.9891774281859398E-3</v>
      </c>
      <c r="G34">
        <v>1</v>
      </c>
      <c r="H34">
        <v>1</v>
      </c>
      <c r="I34" t="s">
        <v>1319</v>
      </c>
    </row>
    <row r="35" spans="1:9" x14ac:dyDescent="0.2">
      <c r="A35" t="s">
        <v>114</v>
      </c>
      <c r="B35">
        <v>11</v>
      </c>
      <c r="C35">
        <v>3</v>
      </c>
      <c r="D35">
        <v>0</v>
      </c>
      <c r="E35">
        <v>-6</v>
      </c>
      <c r="F35">
        <v>2.1352525800466498E-3</v>
      </c>
      <c r="G35">
        <v>1</v>
      </c>
      <c r="H35">
        <v>1</v>
      </c>
      <c r="I35" t="s">
        <v>1319</v>
      </c>
    </row>
    <row r="36" spans="1:9" x14ac:dyDescent="0.2">
      <c r="A36" t="s">
        <v>116</v>
      </c>
      <c r="B36">
        <v>12</v>
      </c>
      <c r="C36">
        <v>3</v>
      </c>
      <c r="D36">
        <v>0</v>
      </c>
      <c r="E36">
        <v>-6</v>
      </c>
      <c r="F36">
        <v>2.2355448454618402E-3</v>
      </c>
      <c r="G36">
        <v>1</v>
      </c>
      <c r="H36">
        <v>1</v>
      </c>
      <c r="I36" t="s">
        <v>1319</v>
      </c>
    </row>
    <row r="37" spans="1:9" x14ac:dyDescent="0.2">
      <c r="A37" t="s">
        <v>118</v>
      </c>
      <c r="B37">
        <v>13</v>
      </c>
      <c r="C37">
        <v>5</v>
      </c>
      <c r="D37">
        <v>0</v>
      </c>
      <c r="E37">
        <v>-5</v>
      </c>
      <c r="F37">
        <v>2.72731110453605E-3</v>
      </c>
      <c r="G37">
        <v>1</v>
      </c>
      <c r="H37">
        <v>1</v>
      </c>
      <c r="I37" t="s">
        <v>1319</v>
      </c>
    </row>
    <row r="38" spans="1:9" x14ac:dyDescent="0.2">
      <c r="A38" t="s">
        <v>120</v>
      </c>
      <c r="B38">
        <v>14</v>
      </c>
      <c r="C38">
        <v>6</v>
      </c>
      <c r="D38">
        <v>0</v>
      </c>
      <c r="E38">
        <v>-5</v>
      </c>
      <c r="F38">
        <v>2.6971381157636599E-3</v>
      </c>
      <c r="G38">
        <v>1</v>
      </c>
      <c r="H38">
        <v>1</v>
      </c>
      <c r="I38" t="s">
        <v>1319</v>
      </c>
    </row>
    <row r="39" spans="1:9" x14ac:dyDescent="0.2">
      <c r="A39" t="s">
        <v>122</v>
      </c>
      <c r="B39">
        <v>15</v>
      </c>
      <c r="C39">
        <v>7</v>
      </c>
      <c r="D39">
        <v>0</v>
      </c>
      <c r="E39">
        <v>-5</v>
      </c>
      <c r="F39">
        <v>2.69848946481943E-3</v>
      </c>
      <c r="G39">
        <v>1</v>
      </c>
      <c r="H39">
        <v>1</v>
      </c>
      <c r="I39" t="s">
        <v>1319</v>
      </c>
    </row>
    <row r="40" spans="1:9" x14ac:dyDescent="0.2">
      <c r="A40" t="s">
        <v>124</v>
      </c>
      <c r="B40">
        <v>16</v>
      </c>
      <c r="C40">
        <v>8</v>
      </c>
      <c r="D40">
        <v>0</v>
      </c>
      <c r="E40">
        <v>-5</v>
      </c>
      <c r="F40">
        <v>2.8312504291534402E-3</v>
      </c>
      <c r="G40">
        <v>1</v>
      </c>
      <c r="H40">
        <v>1</v>
      </c>
      <c r="I40" t="s">
        <v>1319</v>
      </c>
    </row>
    <row r="41" spans="1:9" x14ac:dyDescent="0.2">
      <c r="A41" t="s">
        <v>126</v>
      </c>
      <c r="B41">
        <v>20</v>
      </c>
      <c r="C41">
        <v>5</v>
      </c>
      <c r="D41">
        <v>0</v>
      </c>
      <c r="E41">
        <v>-9</v>
      </c>
      <c r="F41">
        <v>3.2060872763395301E-3</v>
      </c>
      <c r="G41">
        <v>1</v>
      </c>
      <c r="H41">
        <v>1</v>
      </c>
      <c r="I41" t="s">
        <v>1319</v>
      </c>
    </row>
    <row r="42" spans="1:9" x14ac:dyDescent="0.2">
      <c r="A42" t="s">
        <v>128</v>
      </c>
      <c r="B42">
        <v>21</v>
      </c>
      <c r="C42">
        <v>5</v>
      </c>
      <c r="D42">
        <v>0</v>
      </c>
      <c r="E42">
        <v>-10</v>
      </c>
      <c r="F42">
        <v>3.39812878519296E-3</v>
      </c>
      <c r="G42">
        <v>1</v>
      </c>
      <c r="H42">
        <v>1</v>
      </c>
      <c r="I42" t="s">
        <v>1319</v>
      </c>
    </row>
    <row r="43" spans="1:9" x14ac:dyDescent="0.2">
      <c r="A43" t="s">
        <v>130</v>
      </c>
      <c r="B43">
        <v>22</v>
      </c>
      <c r="C43">
        <v>6</v>
      </c>
      <c r="D43">
        <v>0</v>
      </c>
      <c r="E43">
        <v>-9</v>
      </c>
      <c r="F43">
        <v>3.99587675929069E-3</v>
      </c>
      <c r="G43">
        <v>1</v>
      </c>
      <c r="H43">
        <v>1</v>
      </c>
      <c r="I43" t="s">
        <v>1319</v>
      </c>
    </row>
    <row r="44" spans="1:9" x14ac:dyDescent="0.2">
      <c r="A44" t="s">
        <v>132</v>
      </c>
      <c r="B44">
        <v>23</v>
      </c>
      <c r="C44">
        <v>7</v>
      </c>
      <c r="D44">
        <v>0</v>
      </c>
      <c r="E44">
        <v>-9</v>
      </c>
      <c r="F44">
        <v>3.6424892023205701E-3</v>
      </c>
      <c r="G44">
        <v>1</v>
      </c>
      <c r="H44">
        <v>1</v>
      </c>
      <c r="I44" t="s">
        <v>1319</v>
      </c>
    </row>
    <row r="45" spans="1:9" x14ac:dyDescent="0.2">
      <c r="A45" t="s">
        <v>134</v>
      </c>
      <c r="B45">
        <v>24</v>
      </c>
      <c r="C45">
        <v>3</v>
      </c>
      <c r="D45">
        <v>0</v>
      </c>
      <c r="E45">
        <v>-13</v>
      </c>
      <c r="F45">
        <v>3.58123425394296E-3</v>
      </c>
      <c r="G45">
        <v>1</v>
      </c>
      <c r="H45">
        <v>1</v>
      </c>
      <c r="I45" t="s">
        <v>1319</v>
      </c>
    </row>
    <row r="46" spans="1:9" x14ac:dyDescent="0.2">
      <c r="A46" t="s">
        <v>136</v>
      </c>
      <c r="B46">
        <v>25</v>
      </c>
      <c r="C46">
        <v>15</v>
      </c>
      <c r="D46">
        <v>0</v>
      </c>
      <c r="E46">
        <v>-5</v>
      </c>
      <c r="F46">
        <v>4.4099735096096897E-3</v>
      </c>
      <c r="G46">
        <v>1</v>
      </c>
      <c r="H46">
        <v>1</v>
      </c>
      <c r="I46" t="s">
        <v>1319</v>
      </c>
    </row>
    <row r="47" spans="1:9" x14ac:dyDescent="0.2">
      <c r="A47" t="s">
        <v>138</v>
      </c>
      <c r="B47">
        <v>26</v>
      </c>
      <c r="C47">
        <v>9</v>
      </c>
      <c r="D47">
        <v>0</v>
      </c>
      <c r="E47">
        <v>-9</v>
      </c>
      <c r="F47">
        <v>3.9909891784191097E-3</v>
      </c>
      <c r="G47">
        <v>1</v>
      </c>
      <c r="H47">
        <v>1</v>
      </c>
      <c r="I47" t="s">
        <v>1319</v>
      </c>
    </row>
    <row r="48" spans="1:9" x14ac:dyDescent="0.2">
      <c r="A48" t="s">
        <v>140</v>
      </c>
      <c r="B48">
        <v>27</v>
      </c>
      <c r="C48">
        <v>10</v>
      </c>
      <c r="D48">
        <v>0</v>
      </c>
      <c r="E48">
        <v>-9</v>
      </c>
      <c r="F48">
        <v>3.9608916267752604E-3</v>
      </c>
      <c r="G48">
        <v>1</v>
      </c>
      <c r="H48">
        <v>1</v>
      </c>
      <c r="I48" t="s">
        <v>1319</v>
      </c>
    </row>
    <row r="49" spans="1:9" x14ac:dyDescent="0.2">
      <c r="A49" t="s">
        <v>142</v>
      </c>
      <c r="B49">
        <v>28</v>
      </c>
      <c r="C49">
        <v>18</v>
      </c>
      <c r="D49">
        <v>0</v>
      </c>
      <c r="E49">
        <v>-5</v>
      </c>
      <c r="F49">
        <v>4.4666137546300801E-3</v>
      </c>
      <c r="G49">
        <v>1</v>
      </c>
      <c r="H49">
        <v>1</v>
      </c>
      <c r="I49" t="s">
        <v>1319</v>
      </c>
    </row>
    <row r="50" spans="1:9" x14ac:dyDescent="0.2">
      <c r="A50" t="s">
        <v>144</v>
      </c>
      <c r="B50">
        <v>29</v>
      </c>
      <c r="C50">
        <v>6</v>
      </c>
      <c r="D50">
        <v>0</v>
      </c>
      <c r="E50">
        <v>-13</v>
      </c>
      <c r="F50">
        <v>3.8761962205171498E-3</v>
      </c>
      <c r="G50">
        <v>1</v>
      </c>
      <c r="H50">
        <v>1</v>
      </c>
      <c r="I50" t="s">
        <v>1319</v>
      </c>
    </row>
    <row r="51" spans="1:9" x14ac:dyDescent="0.2">
      <c r="A51" t="s">
        <v>146</v>
      </c>
      <c r="B51">
        <v>30</v>
      </c>
      <c r="C51">
        <v>6</v>
      </c>
      <c r="D51">
        <v>0</v>
      </c>
      <c r="E51">
        <v>-14</v>
      </c>
      <c r="F51">
        <v>4.0973862633108997E-3</v>
      </c>
      <c r="G51">
        <v>1</v>
      </c>
      <c r="H51">
        <v>1</v>
      </c>
      <c r="I51" t="s">
        <v>1319</v>
      </c>
    </row>
    <row r="52" spans="1:9" x14ac:dyDescent="0.2">
      <c r="A52" t="s">
        <v>148</v>
      </c>
      <c r="B52">
        <v>31</v>
      </c>
      <c r="C52">
        <v>3</v>
      </c>
      <c r="D52">
        <v>0</v>
      </c>
      <c r="E52">
        <v>-17</v>
      </c>
      <c r="F52">
        <v>3.9678001776337598E-3</v>
      </c>
      <c r="G52">
        <v>1</v>
      </c>
      <c r="H52">
        <v>1</v>
      </c>
      <c r="I52" t="s">
        <v>1319</v>
      </c>
    </row>
    <row r="53" spans="1:9" x14ac:dyDescent="0.2">
      <c r="A53" t="s">
        <v>150</v>
      </c>
      <c r="B53">
        <v>32</v>
      </c>
      <c r="C53">
        <v>8</v>
      </c>
      <c r="D53">
        <v>0</v>
      </c>
      <c r="E53">
        <v>-13</v>
      </c>
      <c r="F53">
        <v>4.3083028867840698E-3</v>
      </c>
      <c r="G53">
        <v>1</v>
      </c>
      <c r="H53">
        <v>1</v>
      </c>
      <c r="I53" t="s">
        <v>1319</v>
      </c>
    </row>
    <row r="54" spans="1:9" x14ac:dyDescent="0.2">
      <c r="A54" t="s">
        <v>152</v>
      </c>
      <c r="B54">
        <v>33</v>
      </c>
      <c r="C54">
        <v>18</v>
      </c>
      <c r="D54">
        <v>0</v>
      </c>
      <c r="E54">
        <v>-7</v>
      </c>
      <c r="F54">
        <v>4.9235094338655402E-3</v>
      </c>
      <c r="G54">
        <v>1</v>
      </c>
      <c r="H54">
        <v>1</v>
      </c>
      <c r="I54" t="s">
        <v>1319</v>
      </c>
    </row>
    <row r="55" spans="1:9" x14ac:dyDescent="0.2">
      <c r="A55" t="s">
        <v>154</v>
      </c>
      <c r="B55">
        <v>34</v>
      </c>
      <c r="C55">
        <v>4</v>
      </c>
      <c r="D55">
        <v>0</v>
      </c>
      <c r="E55">
        <v>-17</v>
      </c>
      <c r="F55">
        <v>4.2302636429667403E-3</v>
      </c>
      <c r="G55">
        <v>1</v>
      </c>
      <c r="H55">
        <v>1</v>
      </c>
      <c r="I55" t="s">
        <v>1319</v>
      </c>
    </row>
    <row r="56" spans="1:9" x14ac:dyDescent="0.2">
      <c r="A56" t="s">
        <v>156</v>
      </c>
      <c r="B56">
        <v>35</v>
      </c>
      <c r="C56">
        <v>20</v>
      </c>
      <c r="D56">
        <v>0</v>
      </c>
      <c r="E56">
        <v>-7</v>
      </c>
      <c r="F56">
        <v>6.1514340341091104E-3</v>
      </c>
      <c r="G56">
        <v>1</v>
      </c>
      <c r="H56">
        <v>1</v>
      </c>
      <c r="I56" t="s">
        <v>1319</v>
      </c>
    </row>
    <row r="57" spans="1:9" x14ac:dyDescent="0.2">
      <c r="A57" t="s">
        <v>158</v>
      </c>
      <c r="B57">
        <v>36</v>
      </c>
      <c r="C57">
        <v>5</v>
      </c>
      <c r="D57">
        <v>0</v>
      </c>
      <c r="E57">
        <v>-17</v>
      </c>
      <c r="F57">
        <v>4.4475095346569998E-3</v>
      </c>
      <c r="G57">
        <v>1</v>
      </c>
      <c r="H57">
        <v>1</v>
      </c>
      <c r="I57" t="s">
        <v>1319</v>
      </c>
    </row>
    <row r="58" spans="1:9" x14ac:dyDescent="0.2">
      <c r="A58" t="s">
        <v>160</v>
      </c>
      <c r="B58">
        <v>37</v>
      </c>
      <c r="C58">
        <v>6</v>
      </c>
      <c r="D58">
        <v>0</v>
      </c>
      <c r="E58">
        <v>-17</v>
      </c>
      <c r="F58">
        <v>4.6582845970988204E-3</v>
      </c>
      <c r="G58">
        <v>1</v>
      </c>
      <c r="H58">
        <v>1</v>
      </c>
      <c r="I58" t="s">
        <v>1319</v>
      </c>
    </row>
    <row r="59" spans="1:9" x14ac:dyDescent="0.2">
      <c r="A59" t="s">
        <v>162</v>
      </c>
      <c r="B59">
        <v>38</v>
      </c>
      <c r="C59">
        <v>3</v>
      </c>
      <c r="D59">
        <v>0</v>
      </c>
      <c r="E59">
        <v>-21</v>
      </c>
      <c r="F59">
        <v>4.5459736138582204E-3</v>
      </c>
      <c r="G59">
        <v>1</v>
      </c>
      <c r="H59">
        <v>1</v>
      </c>
      <c r="I59" t="s">
        <v>1319</v>
      </c>
    </row>
    <row r="60" spans="1:9" x14ac:dyDescent="0.2">
      <c r="A60" t="s">
        <v>164</v>
      </c>
      <c r="B60">
        <v>39</v>
      </c>
      <c r="C60">
        <v>7</v>
      </c>
      <c r="D60">
        <v>0</v>
      </c>
      <c r="E60">
        <v>-17</v>
      </c>
      <c r="F60">
        <v>4.9838544800877502E-3</v>
      </c>
      <c r="G60">
        <v>1</v>
      </c>
      <c r="H60">
        <v>1</v>
      </c>
      <c r="I60" t="s">
        <v>1319</v>
      </c>
    </row>
    <row r="61" spans="1:9" x14ac:dyDescent="0.2">
      <c r="A61" t="s">
        <v>166</v>
      </c>
      <c r="B61">
        <v>40</v>
      </c>
      <c r="C61">
        <v>13</v>
      </c>
      <c r="D61">
        <v>0</v>
      </c>
      <c r="E61">
        <v>-13</v>
      </c>
      <c r="F61">
        <v>5.5095758289098696E-3</v>
      </c>
      <c r="G61">
        <v>1</v>
      </c>
      <c r="H61">
        <v>1</v>
      </c>
      <c r="I61" t="s">
        <v>1319</v>
      </c>
    </row>
    <row r="62" spans="1:9" x14ac:dyDescent="0.2">
      <c r="A62" t="s">
        <v>168</v>
      </c>
      <c r="B62">
        <v>41</v>
      </c>
      <c r="C62">
        <v>8</v>
      </c>
      <c r="D62">
        <v>0</v>
      </c>
      <c r="E62">
        <v>-17</v>
      </c>
      <c r="F62">
        <v>5.9865657240152298E-3</v>
      </c>
      <c r="G62">
        <v>1</v>
      </c>
      <c r="H62">
        <v>1</v>
      </c>
      <c r="I62" t="s">
        <v>1319</v>
      </c>
    </row>
    <row r="63" spans="1:9" x14ac:dyDescent="0.2">
      <c r="A63" t="s">
        <v>170</v>
      </c>
      <c r="B63">
        <v>42</v>
      </c>
      <c r="C63">
        <v>9</v>
      </c>
      <c r="D63">
        <v>0</v>
      </c>
      <c r="E63">
        <v>-17</v>
      </c>
      <c r="F63">
        <v>4.6835467219352696E-3</v>
      </c>
      <c r="G63">
        <v>1</v>
      </c>
      <c r="H63">
        <v>1</v>
      </c>
      <c r="I63" t="s">
        <v>1319</v>
      </c>
    </row>
    <row r="64" spans="1:9" x14ac:dyDescent="0.2">
      <c r="A64" t="s">
        <v>172</v>
      </c>
      <c r="B64">
        <v>43</v>
      </c>
      <c r="C64">
        <v>22</v>
      </c>
      <c r="D64">
        <v>0</v>
      </c>
      <c r="E64">
        <v>-9</v>
      </c>
      <c r="F64">
        <v>5.5387895554304097E-3</v>
      </c>
      <c r="G64">
        <v>1</v>
      </c>
      <c r="H64">
        <v>1</v>
      </c>
      <c r="I64" t="s">
        <v>1319</v>
      </c>
    </row>
    <row r="65" spans="1:9" x14ac:dyDescent="0.2">
      <c r="A65" t="s">
        <v>174</v>
      </c>
      <c r="B65">
        <v>44</v>
      </c>
      <c r="C65">
        <v>23</v>
      </c>
      <c r="D65">
        <v>0</v>
      </c>
      <c r="E65">
        <v>-9</v>
      </c>
      <c r="F65">
        <v>5.6784339249134003E-3</v>
      </c>
      <c r="G65">
        <v>1</v>
      </c>
      <c r="H65">
        <v>1</v>
      </c>
      <c r="I65" t="s">
        <v>1319</v>
      </c>
    </row>
    <row r="66" spans="1:9" x14ac:dyDescent="0.2">
      <c r="A66" t="s">
        <v>176</v>
      </c>
      <c r="B66">
        <v>45</v>
      </c>
      <c r="C66">
        <v>24</v>
      </c>
      <c r="D66">
        <v>0</v>
      </c>
      <c r="E66">
        <v>-9</v>
      </c>
      <c r="F66">
        <v>5.74761163443326E-3</v>
      </c>
      <c r="G66">
        <v>1</v>
      </c>
      <c r="H66">
        <v>1</v>
      </c>
      <c r="I66" t="s">
        <v>1319</v>
      </c>
    </row>
    <row r="67" spans="1:9" x14ac:dyDescent="0.2">
      <c r="A67" t="s">
        <v>178</v>
      </c>
      <c r="B67">
        <v>46</v>
      </c>
      <c r="C67">
        <v>15</v>
      </c>
      <c r="D67">
        <v>0</v>
      </c>
      <c r="E67">
        <v>-15</v>
      </c>
      <c r="F67">
        <v>5.3776623681187604E-3</v>
      </c>
      <c r="G67">
        <v>1</v>
      </c>
      <c r="H67">
        <v>1</v>
      </c>
      <c r="I67" t="s">
        <v>1319</v>
      </c>
    </row>
    <row r="68" spans="1:9" x14ac:dyDescent="0.2">
      <c r="A68" t="s">
        <v>180</v>
      </c>
      <c r="B68">
        <v>47</v>
      </c>
      <c r="C68">
        <v>25</v>
      </c>
      <c r="D68">
        <v>0</v>
      </c>
      <c r="E68">
        <v>-9</v>
      </c>
      <c r="F68">
        <v>6.0482835397124204E-3</v>
      </c>
      <c r="G68">
        <v>1</v>
      </c>
      <c r="H68">
        <v>1</v>
      </c>
      <c r="I68" t="s">
        <v>1319</v>
      </c>
    </row>
    <row r="69" spans="1:9" x14ac:dyDescent="0.2">
      <c r="A69" t="s">
        <v>182</v>
      </c>
      <c r="B69">
        <v>48</v>
      </c>
      <c r="C69">
        <v>26</v>
      </c>
      <c r="D69">
        <v>0</v>
      </c>
      <c r="E69">
        <v>-9</v>
      </c>
      <c r="F69">
        <v>6.1898613348603197E-3</v>
      </c>
      <c r="G69">
        <v>1</v>
      </c>
      <c r="H69">
        <v>1</v>
      </c>
      <c r="I69" t="s">
        <v>1319</v>
      </c>
    </row>
    <row r="70" spans="1:9" x14ac:dyDescent="0.2">
      <c r="A70" t="s">
        <v>184</v>
      </c>
      <c r="B70">
        <v>49</v>
      </c>
      <c r="C70">
        <v>4</v>
      </c>
      <c r="D70">
        <v>0</v>
      </c>
      <c r="E70">
        <v>-25</v>
      </c>
      <c r="F70">
        <v>4.91847842931747E-3</v>
      </c>
      <c r="G70">
        <v>1</v>
      </c>
      <c r="H70">
        <v>1</v>
      </c>
      <c r="I70" t="s">
        <v>1319</v>
      </c>
    </row>
    <row r="71" spans="1:9" x14ac:dyDescent="0.2">
      <c r="A71" t="s">
        <v>186</v>
      </c>
      <c r="B71">
        <v>50</v>
      </c>
      <c r="C71">
        <v>19</v>
      </c>
      <c r="D71">
        <v>0</v>
      </c>
      <c r="E71">
        <v>-13</v>
      </c>
      <c r="F71">
        <v>6.0090906918048798E-3</v>
      </c>
      <c r="G71">
        <v>1</v>
      </c>
      <c r="H71">
        <v>1</v>
      </c>
      <c r="I71" t="s">
        <v>1319</v>
      </c>
    </row>
    <row r="72" spans="1:9" x14ac:dyDescent="0.2">
      <c r="A72" t="s">
        <v>188</v>
      </c>
      <c r="B72">
        <v>51</v>
      </c>
      <c r="C72">
        <v>28</v>
      </c>
      <c r="D72">
        <v>0</v>
      </c>
      <c r="E72">
        <v>-9</v>
      </c>
      <c r="F72">
        <v>6.6111516207456502E-3</v>
      </c>
      <c r="G72">
        <v>1</v>
      </c>
      <c r="H72">
        <v>1</v>
      </c>
      <c r="I72" t="s">
        <v>1319</v>
      </c>
    </row>
    <row r="73" spans="1:9" x14ac:dyDescent="0.2">
      <c r="A73" t="s">
        <v>190</v>
      </c>
      <c r="B73">
        <v>52</v>
      </c>
      <c r="C73">
        <v>15</v>
      </c>
      <c r="D73">
        <v>0</v>
      </c>
      <c r="E73">
        <v>-17</v>
      </c>
      <c r="F73">
        <v>5.9209605678915899E-3</v>
      </c>
      <c r="G73">
        <v>1</v>
      </c>
      <c r="H73">
        <v>1</v>
      </c>
      <c r="I73" t="s">
        <v>1319</v>
      </c>
    </row>
    <row r="74" spans="1:9" x14ac:dyDescent="0.2">
      <c r="A74" t="s">
        <v>192</v>
      </c>
      <c r="B74">
        <v>53</v>
      </c>
      <c r="C74">
        <v>16</v>
      </c>
      <c r="D74">
        <v>0</v>
      </c>
      <c r="E74">
        <v>-17</v>
      </c>
      <c r="F74">
        <v>6.05086609721183E-3</v>
      </c>
      <c r="G74">
        <v>1</v>
      </c>
      <c r="H74">
        <v>1</v>
      </c>
      <c r="I74" t="s">
        <v>1319</v>
      </c>
    </row>
    <row r="75" spans="1:9" x14ac:dyDescent="0.2">
      <c r="A75" t="s">
        <v>194</v>
      </c>
      <c r="B75">
        <v>54</v>
      </c>
      <c r="C75">
        <v>31</v>
      </c>
      <c r="D75">
        <v>0</v>
      </c>
      <c r="E75">
        <v>-9</v>
      </c>
      <c r="F75">
        <v>7.1510160341858803E-3</v>
      </c>
      <c r="G75">
        <v>1</v>
      </c>
      <c r="H75">
        <v>1</v>
      </c>
      <c r="I75" t="s">
        <v>1319</v>
      </c>
    </row>
    <row r="76" spans="1:9" x14ac:dyDescent="0.2">
      <c r="A76" t="s">
        <v>196</v>
      </c>
      <c r="B76">
        <v>55</v>
      </c>
      <c r="C76">
        <v>23</v>
      </c>
      <c r="D76">
        <v>0</v>
      </c>
      <c r="E76">
        <v>-13</v>
      </c>
      <c r="F76">
        <v>6.7677870392799299E-3</v>
      </c>
      <c r="G76">
        <v>1</v>
      </c>
      <c r="H76">
        <v>1</v>
      </c>
      <c r="I76" t="s">
        <v>1319</v>
      </c>
    </row>
    <row r="77" spans="1:9" x14ac:dyDescent="0.2">
      <c r="A77" t="s">
        <v>198</v>
      </c>
      <c r="B77">
        <v>56</v>
      </c>
      <c r="C77">
        <v>17</v>
      </c>
      <c r="D77">
        <v>0</v>
      </c>
      <c r="E77">
        <v>-17</v>
      </c>
      <c r="F77">
        <v>6.5843313932418797E-3</v>
      </c>
      <c r="G77">
        <v>1</v>
      </c>
      <c r="H77">
        <v>1</v>
      </c>
      <c r="I77" t="s">
        <v>1319</v>
      </c>
    </row>
    <row r="78" spans="1:9" x14ac:dyDescent="0.2">
      <c r="A78" t="s">
        <v>200</v>
      </c>
      <c r="B78">
        <v>57</v>
      </c>
      <c r="C78">
        <v>18</v>
      </c>
      <c r="D78">
        <v>0</v>
      </c>
      <c r="E78">
        <v>-17</v>
      </c>
      <c r="F78">
        <v>6.6514285281300501E-3</v>
      </c>
      <c r="G78">
        <v>1</v>
      </c>
      <c r="H78">
        <v>1</v>
      </c>
      <c r="I78" t="s">
        <v>1319</v>
      </c>
    </row>
    <row r="79" spans="1:9" x14ac:dyDescent="0.2">
      <c r="A79" t="s">
        <v>202</v>
      </c>
      <c r="B79">
        <v>58</v>
      </c>
      <c r="C79">
        <v>3</v>
      </c>
      <c r="D79">
        <v>0</v>
      </c>
      <c r="E79">
        <v>-32</v>
      </c>
      <c r="F79">
        <v>5.6093297898769301E-3</v>
      </c>
      <c r="G79">
        <v>1</v>
      </c>
      <c r="H79">
        <v>1</v>
      </c>
      <c r="I79" t="s">
        <v>1319</v>
      </c>
    </row>
    <row r="80" spans="1:9" x14ac:dyDescent="0.2">
      <c r="A80" t="s">
        <v>204</v>
      </c>
      <c r="B80">
        <v>59</v>
      </c>
      <c r="C80">
        <v>19</v>
      </c>
      <c r="D80">
        <v>0</v>
      </c>
      <c r="E80">
        <v>-17</v>
      </c>
      <c r="F80">
        <v>6.9447495043277697E-3</v>
      </c>
      <c r="G80">
        <v>1</v>
      </c>
      <c r="H80">
        <v>1</v>
      </c>
      <c r="I80" t="s">
        <v>1319</v>
      </c>
    </row>
    <row r="81" spans="1:9" x14ac:dyDescent="0.2">
      <c r="A81" t="s">
        <v>206</v>
      </c>
      <c r="B81">
        <v>60</v>
      </c>
      <c r="C81">
        <v>20</v>
      </c>
      <c r="D81">
        <v>0</v>
      </c>
      <c r="E81">
        <v>-17</v>
      </c>
      <c r="F81">
        <v>6.9803986698389001E-3</v>
      </c>
      <c r="G81">
        <v>1</v>
      </c>
      <c r="H81">
        <v>1</v>
      </c>
      <c r="I81" t="s">
        <v>1319</v>
      </c>
    </row>
    <row r="82" spans="1:9" x14ac:dyDescent="0.2">
      <c r="A82" t="s">
        <v>208</v>
      </c>
      <c r="B82">
        <v>61</v>
      </c>
      <c r="C82">
        <v>18</v>
      </c>
      <c r="D82">
        <v>0</v>
      </c>
      <c r="E82">
        <v>-19</v>
      </c>
      <c r="F82">
        <v>7.0038791745901099E-3</v>
      </c>
      <c r="G82">
        <v>1</v>
      </c>
      <c r="H82">
        <v>1</v>
      </c>
      <c r="I82" t="s">
        <v>1319</v>
      </c>
    </row>
    <row r="83" spans="1:9" x14ac:dyDescent="0.2">
      <c r="A83" t="s">
        <v>210</v>
      </c>
      <c r="B83">
        <v>62</v>
      </c>
      <c r="C83">
        <v>21</v>
      </c>
      <c r="D83">
        <v>0</v>
      </c>
      <c r="E83">
        <v>-17</v>
      </c>
      <c r="F83">
        <v>7.3717674240469898E-3</v>
      </c>
      <c r="G83">
        <v>1</v>
      </c>
      <c r="H83">
        <v>1</v>
      </c>
      <c r="I83" t="s">
        <v>1319</v>
      </c>
    </row>
    <row r="84" spans="1:9" x14ac:dyDescent="0.2">
      <c r="A84" t="s">
        <v>212</v>
      </c>
      <c r="B84">
        <v>63</v>
      </c>
      <c r="C84">
        <v>23</v>
      </c>
      <c r="D84">
        <v>0</v>
      </c>
      <c r="E84">
        <v>-16</v>
      </c>
      <c r="F84">
        <v>7.5700804591178799E-3</v>
      </c>
      <c r="G84">
        <v>1</v>
      </c>
      <c r="H84">
        <v>1</v>
      </c>
      <c r="I84" t="s">
        <v>1319</v>
      </c>
    </row>
    <row r="85" spans="1:9" x14ac:dyDescent="0.2">
      <c r="A85" t="s">
        <v>214</v>
      </c>
      <c r="B85">
        <v>64</v>
      </c>
      <c r="C85">
        <v>24</v>
      </c>
      <c r="D85">
        <v>0</v>
      </c>
      <c r="E85">
        <v>-16</v>
      </c>
      <c r="F85">
        <v>9.0668145567178692E-3</v>
      </c>
      <c r="G85">
        <v>1</v>
      </c>
      <c r="H85">
        <v>1</v>
      </c>
      <c r="I85" t="s">
        <v>1319</v>
      </c>
    </row>
    <row r="86" spans="1:9" x14ac:dyDescent="0.2">
      <c r="A86" t="s">
        <v>216</v>
      </c>
      <c r="B86">
        <v>65</v>
      </c>
      <c r="C86">
        <v>31</v>
      </c>
      <c r="D86">
        <v>0</v>
      </c>
      <c r="E86">
        <v>-13</v>
      </c>
      <c r="F86">
        <v>9.9702477455139108E-3</v>
      </c>
      <c r="G86">
        <v>1</v>
      </c>
      <c r="H86">
        <v>1</v>
      </c>
      <c r="I86" t="s">
        <v>1319</v>
      </c>
    </row>
    <row r="87" spans="1:9" x14ac:dyDescent="0.2">
      <c r="A87" t="s">
        <v>218</v>
      </c>
      <c r="B87">
        <v>66</v>
      </c>
      <c r="C87">
        <v>32</v>
      </c>
      <c r="D87">
        <v>0</v>
      </c>
      <c r="E87">
        <v>-13</v>
      </c>
      <c r="F87">
        <v>1.02760875597596E-2</v>
      </c>
      <c r="G87">
        <v>1</v>
      </c>
      <c r="H87">
        <v>1</v>
      </c>
      <c r="I87" t="s">
        <v>1319</v>
      </c>
    </row>
    <row r="88" spans="1:9" x14ac:dyDescent="0.2">
      <c r="A88" t="s">
        <v>220</v>
      </c>
      <c r="B88">
        <v>67</v>
      </c>
      <c r="C88">
        <v>33</v>
      </c>
      <c r="D88">
        <v>0</v>
      </c>
      <c r="E88">
        <v>-13</v>
      </c>
      <c r="F88">
        <v>1.05212889611721E-2</v>
      </c>
      <c r="G88">
        <v>1</v>
      </c>
      <c r="H88">
        <v>1</v>
      </c>
      <c r="I88" t="s">
        <v>1319</v>
      </c>
    </row>
    <row r="89" spans="1:9" x14ac:dyDescent="0.2">
      <c r="A89" t="s">
        <v>222</v>
      </c>
      <c r="B89">
        <v>68</v>
      </c>
      <c r="C89">
        <v>34</v>
      </c>
      <c r="D89">
        <v>0</v>
      </c>
      <c r="E89">
        <v>-13</v>
      </c>
      <c r="F89">
        <v>1.0822040028870101E-2</v>
      </c>
      <c r="G89">
        <v>1</v>
      </c>
      <c r="H89">
        <v>1</v>
      </c>
      <c r="I89" t="s">
        <v>1319</v>
      </c>
    </row>
    <row r="90" spans="1:9" x14ac:dyDescent="0.2">
      <c r="A90" t="s">
        <v>224</v>
      </c>
      <c r="B90">
        <v>69</v>
      </c>
      <c r="C90">
        <v>35</v>
      </c>
      <c r="D90">
        <v>0</v>
      </c>
      <c r="E90">
        <v>-13</v>
      </c>
      <c r="F90">
        <v>1.09068742021918E-2</v>
      </c>
      <c r="G90">
        <v>1</v>
      </c>
      <c r="H90">
        <v>1</v>
      </c>
      <c r="I90" t="s">
        <v>1319</v>
      </c>
    </row>
    <row r="91" spans="1:9" x14ac:dyDescent="0.2">
      <c r="A91" t="s">
        <v>226</v>
      </c>
      <c r="B91">
        <v>70</v>
      </c>
      <c r="C91">
        <v>36</v>
      </c>
      <c r="D91">
        <v>0</v>
      </c>
      <c r="E91">
        <v>-13</v>
      </c>
      <c r="F91">
        <v>1.11232530325651E-2</v>
      </c>
      <c r="G91">
        <v>1</v>
      </c>
      <c r="H91">
        <v>1</v>
      </c>
      <c r="I91" t="s">
        <v>1319</v>
      </c>
    </row>
    <row r="92" spans="1:9" x14ac:dyDescent="0.2">
      <c r="A92" t="s">
        <v>228</v>
      </c>
      <c r="B92">
        <v>71</v>
      </c>
      <c r="C92">
        <v>12</v>
      </c>
      <c r="D92">
        <v>0</v>
      </c>
      <c r="E92">
        <v>-29</v>
      </c>
      <c r="F92">
        <v>9.0318368747830304E-3</v>
      </c>
      <c r="G92">
        <v>1</v>
      </c>
      <c r="H92">
        <v>1</v>
      </c>
      <c r="I92" t="s">
        <v>1319</v>
      </c>
    </row>
    <row r="93" spans="1:9" x14ac:dyDescent="0.2">
      <c r="A93" t="s">
        <v>230</v>
      </c>
      <c r="B93">
        <v>72</v>
      </c>
      <c r="C93">
        <v>37</v>
      </c>
      <c r="D93">
        <v>0</v>
      </c>
      <c r="E93">
        <v>-13</v>
      </c>
      <c r="F93">
        <v>1.1510498821735301E-2</v>
      </c>
      <c r="G93">
        <v>1</v>
      </c>
      <c r="H93">
        <v>1</v>
      </c>
      <c r="I93" t="s">
        <v>1319</v>
      </c>
    </row>
    <row r="94" spans="1:9" x14ac:dyDescent="0.2">
      <c r="A94" t="s">
        <v>232</v>
      </c>
      <c r="B94">
        <v>73</v>
      </c>
      <c r="C94">
        <v>38</v>
      </c>
      <c r="D94">
        <v>0</v>
      </c>
      <c r="E94">
        <v>-13</v>
      </c>
      <c r="F94">
        <v>1.16357021033763E-2</v>
      </c>
      <c r="G94">
        <v>1</v>
      </c>
      <c r="H94">
        <v>1</v>
      </c>
      <c r="I94" t="s">
        <v>1319</v>
      </c>
    </row>
    <row r="95" spans="1:9" x14ac:dyDescent="0.2">
      <c r="A95" t="s">
        <v>234</v>
      </c>
      <c r="B95">
        <v>74</v>
      </c>
      <c r="C95">
        <v>9</v>
      </c>
      <c r="D95">
        <v>0</v>
      </c>
      <c r="E95">
        <v>-32</v>
      </c>
      <c r="F95">
        <v>8.8243857026100107E-3</v>
      </c>
      <c r="G95">
        <v>1</v>
      </c>
      <c r="H95">
        <v>1</v>
      </c>
      <c r="I95" t="s">
        <v>1319</v>
      </c>
    </row>
    <row r="96" spans="1:9" x14ac:dyDescent="0.2">
      <c r="A96" t="s">
        <v>236</v>
      </c>
      <c r="B96">
        <v>75</v>
      </c>
      <c r="C96">
        <v>28</v>
      </c>
      <c r="D96">
        <v>0</v>
      </c>
      <c r="E96">
        <v>-19</v>
      </c>
      <c r="F96">
        <v>1.10727371647953E-2</v>
      </c>
      <c r="G96">
        <v>1</v>
      </c>
      <c r="H96">
        <v>1</v>
      </c>
      <c r="I96" t="s">
        <v>1319</v>
      </c>
    </row>
    <row r="97" spans="1:9" x14ac:dyDescent="0.2">
      <c r="A97" t="s">
        <v>238</v>
      </c>
      <c r="B97">
        <v>76</v>
      </c>
      <c r="C97">
        <v>40</v>
      </c>
      <c r="D97">
        <v>0</v>
      </c>
      <c r="E97">
        <v>-12</v>
      </c>
      <c r="F97">
        <v>1.2258871458470801E-2</v>
      </c>
      <c r="G97">
        <v>1</v>
      </c>
      <c r="H97">
        <v>1</v>
      </c>
      <c r="I97" t="s">
        <v>1319</v>
      </c>
    </row>
    <row r="98" spans="1:9" x14ac:dyDescent="0.2">
      <c r="A98" t="s">
        <v>240</v>
      </c>
      <c r="B98">
        <v>77</v>
      </c>
      <c r="C98">
        <v>40</v>
      </c>
      <c r="D98">
        <v>0</v>
      </c>
      <c r="E98">
        <v>-13</v>
      </c>
      <c r="F98">
        <v>1.25539014115929E-2</v>
      </c>
      <c r="G98">
        <v>1</v>
      </c>
      <c r="H98">
        <v>1</v>
      </c>
      <c r="I98" t="s">
        <v>1319</v>
      </c>
    </row>
    <row r="99" spans="1:9" x14ac:dyDescent="0.2">
      <c r="A99" t="s">
        <v>242</v>
      </c>
      <c r="B99">
        <v>78</v>
      </c>
      <c r="C99">
        <v>29</v>
      </c>
      <c r="D99">
        <v>0</v>
      </c>
      <c r="E99">
        <v>-19</v>
      </c>
      <c r="F99">
        <v>1.19883315637707E-2</v>
      </c>
      <c r="G99">
        <v>1</v>
      </c>
      <c r="H99">
        <v>1</v>
      </c>
      <c r="I99" t="s">
        <v>1319</v>
      </c>
    </row>
    <row r="100" spans="1:9" x14ac:dyDescent="0.2">
      <c r="A100" t="s">
        <v>244</v>
      </c>
      <c r="B100">
        <v>79</v>
      </c>
      <c r="C100">
        <v>20</v>
      </c>
      <c r="D100">
        <v>0</v>
      </c>
      <c r="E100">
        <v>-24</v>
      </c>
      <c r="F100">
        <v>1.1046420782804401E-2</v>
      </c>
      <c r="G100">
        <v>1</v>
      </c>
      <c r="H100">
        <v>1</v>
      </c>
      <c r="I100" t="s">
        <v>1319</v>
      </c>
    </row>
    <row r="101" spans="1:9" x14ac:dyDescent="0.2">
      <c r="A101" t="s">
        <v>246</v>
      </c>
      <c r="B101">
        <v>80</v>
      </c>
      <c r="C101">
        <v>47</v>
      </c>
      <c r="D101">
        <v>0</v>
      </c>
      <c r="E101">
        <v>-11</v>
      </c>
      <c r="F101">
        <v>1.3911425136029699E-2</v>
      </c>
      <c r="G101">
        <v>1</v>
      </c>
      <c r="H101">
        <v>1</v>
      </c>
      <c r="I101" t="s">
        <v>1319</v>
      </c>
    </row>
    <row r="102" spans="1:9" x14ac:dyDescent="0.2">
      <c r="A102" t="s">
        <v>248</v>
      </c>
      <c r="B102">
        <v>81</v>
      </c>
      <c r="C102">
        <v>48</v>
      </c>
      <c r="D102">
        <v>0</v>
      </c>
      <c r="E102">
        <v>-11</v>
      </c>
      <c r="F102">
        <v>1.40695525333285E-2</v>
      </c>
      <c r="G102">
        <v>1</v>
      </c>
      <c r="H102">
        <v>1</v>
      </c>
      <c r="I102" t="s">
        <v>1319</v>
      </c>
    </row>
    <row r="103" spans="1:9" x14ac:dyDescent="0.2">
      <c r="A103" t="s">
        <v>250</v>
      </c>
      <c r="B103">
        <v>82</v>
      </c>
      <c r="C103">
        <v>43</v>
      </c>
      <c r="D103">
        <v>0</v>
      </c>
      <c r="E103">
        <v>-13</v>
      </c>
      <c r="F103">
        <v>1.37560712173581E-2</v>
      </c>
      <c r="G103">
        <v>1</v>
      </c>
      <c r="H103">
        <v>1</v>
      </c>
      <c r="I103" t="s">
        <v>1319</v>
      </c>
    </row>
    <row r="104" spans="1:9" x14ac:dyDescent="0.2">
      <c r="A104" t="s">
        <v>252</v>
      </c>
      <c r="B104">
        <v>83</v>
      </c>
      <c r="C104">
        <v>41</v>
      </c>
      <c r="D104">
        <v>0</v>
      </c>
      <c r="E104">
        <v>-15</v>
      </c>
      <c r="F104">
        <v>1.35960690677165E-2</v>
      </c>
      <c r="G104">
        <v>1</v>
      </c>
      <c r="H104">
        <v>1</v>
      </c>
      <c r="I104" t="s">
        <v>1319</v>
      </c>
    </row>
    <row r="105" spans="1:9" x14ac:dyDescent="0.2">
      <c r="A105" t="s">
        <v>254</v>
      </c>
      <c r="B105">
        <v>84</v>
      </c>
      <c r="C105">
        <v>42</v>
      </c>
      <c r="D105">
        <v>0</v>
      </c>
      <c r="E105">
        <v>-15</v>
      </c>
      <c r="F105">
        <v>1.38922333717346E-2</v>
      </c>
      <c r="G105">
        <v>1</v>
      </c>
      <c r="H105">
        <v>1</v>
      </c>
      <c r="I105" t="s">
        <v>1319</v>
      </c>
    </row>
    <row r="106" spans="1:9" x14ac:dyDescent="0.2">
      <c r="A106" t="s">
        <v>256</v>
      </c>
      <c r="B106">
        <v>85</v>
      </c>
      <c r="C106">
        <v>23</v>
      </c>
      <c r="D106">
        <v>0</v>
      </c>
      <c r="E106">
        <v>-24</v>
      </c>
      <c r="F106">
        <v>1.19489347562193E-2</v>
      </c>
      <c r="G106">
        <v>1</v>
      </c>
      <c r="H106">
        <v>1</v>
      </c>
      <c r="I106" t="s">
        <v>1319</v>
      </c>
    </row>
    <row r="107" spans="1:9" x14ac:dyDescent="0.2">
      <c r="A107" t="s">
        <v>258</v>
      </c>
      <c r="B107">
        <v>86</v>
      </c>
      <c r="C107">
        <v>23</v>
      </c>
      <c r="D107">
        <v>0</v>
      </c>
      <c r="E107">
        <v>-25</v>
      </c>
      <c r="F107">
        <v>1.18911061435937E-2</v>
      </c>
      <c r="G107">
        <v>1</v>
      </c>
      <c r="H107">
        <v>1</v>
      </c>
      <c r="I107" t="s">
        <v>1319</v>
      </c>
    </row>
    <row r="108" spans="1:9" x14ac:dyDescent="0.2">
      <c r="A108" t="s">
        <v>260</v>
      </c>
      <c r="B108">
        <v>87</v>
      </c>
      <c r="C108">
        <v>45</v>
      </c>
      <c r="D108">
        <v>0</v>
      </c>
      <c r="E108">
        <v>-15</v>
      </c>
      <c r="F108">
        <v>1.45996389910578E-2</v>
      </c>
      <c r="G108">
        <v>1</v>
      </c>
      <c r="H108">
        <v>1</v>
      </c>
      <c r="I108" t="s">
        <v>1319</v>
      </c>
    </row>
    <row r="109" spans="1:9" x14ac:dyDescent="0.2">
      <c r="A109" t="s">
        <v>262</v>
      </c>
      <c r="B109">
        <v>88</v>
      </c>
      <c r="C109">
        <v>49</v>
      </c>
      <c r="D109">
        <v>0</v>
      </c>
      <c r="E109">
        <v>-13</v>
      </c>
      <c r="F109">
        <v>1.49364415556192E-2</v>
      </c>
      <c r="G109">
        <v>1</v>
      </c>
      <c r="H109">
        <v>1</v>
      </c>
      <c r="I109" t="s">
        <v>1319</v>
      </c>
    </row>
    <row r="110" spans="1:9" x14ac:dyDescent="0.2">
      <c r="A110" t="s">
        <v>264</v>
      </c>
      <c r="B110">
        <v>89</v>
      </c>
      <c r="C110">
        <v>32</v>
      </c>
      <c r="D110">
        <v>0</v>
      </c>
      <c r="E110">
        <v>-21</v>
      </c>
      <c r="F110">
        <v>1.3465623371303E-2</v>
      </c>
      <c r="G110">
        <v>1</v>
      </c>
      <c r="H110">
        <v>1</v>
      </c>
      <c r="I110" t="s">
        <v>1319</v>
      </c>
    </row>
    <row r="111" spans="1:9" x14ac:dyDescent="0.2">
      <c r="A111" t="s">
        <v>266</v>
      </c>
      <c r="B111">
        <v>90</v>
      </c>
      <c r="C111">
        <v>33</v>
      </c>
      <c r="D111">
        <v>0</v>
      </c>
      <c r="E111">
        <v>-21</v>
      </c>
      <c r="F111">
        <v>1.3583795167505699E-2</v>
      </c>
      <c r="G111">
        <v>1</v>
      </c>
      <c r="H111">
        <v>1</v>
      </c>
      <c r="I111" t="s">
        <v>1319</v>
      </c>
    </row>
    <row r="112" spans="1:9" x14ac:dyDescent="0.2">
      <c r="A112" t="s">
        <v>268</v>
      </c>
      <c r="B112">
        <v>91</v>
      </c>
      <c r="C112">
        <v>26</v>
      </c>
      <c r="D112">
        <v>0</v>
      </c>
      <c r="E112">
        <v>-25</v>
      </c>
      <c r="F112">
        <v>1.29183316603302E-2</v>
      </c>
      <c r="G112">
        <v>1</v>
      </c>
      <c r="H112">
        <v>1</v>
      </c>
      <c r="I112" t="s">
        <v>1319</v>
      </c>
    </row>
    <row r="113" spans="1:9" x14ac:dyDescent="0.2">
      <c r="A113" t="s">
        <v>270</v>
      </c>
      <c r="B113">
        <v>92</v>
      </c>
      <c r="C113">
        <v>52</v>
      </c>
      <c r="D113">
        <v>0</v>
      </c>
      <c r="E113">
        <v>-13</v>
      </c>
      <c r="F113">
        <v>1.6069364733994E-2</v>
      </c>
      <c r="G113">
        <v>1</v>
      </c>
      <c r="H113">
        <v>1</v>
      </c>
      <c r="I113" t="s">
        <v>1319</v>
      </c>
    </row>
    <row r="114" spans="1:9" x14ac:dyDescent="0.2">
      <c r="A114" t="s">
        <v>272</v>
      </c>
      <c r="B114">
        <v>93</v>
      </c>
      <c r="C114">
        <v>53</v>
      </c>
      <c r="D114">
        <v>0</v>
      </c>
      <c r="E114">
        <v>-13</v>
      </c>
      <c r="F114">
        <v>1.6474111005663799E-2</v>
      </c>
      <c r="G114">
        <v>1</v>
      </c>
      <c r="H114">
        <v>1</v>
      </c>
      <c r="I114" t="s">
        <v>1319</v>
      </c>
    </row>
    <row r="115" spans="1:9" x14ac:dyDescent="0.2">
      <c r="A115" t="s">
        <v>274</v>
      </c>
      <c r="B115">
        <v>94</v>
      </c>
      <c r="C115">
        <v>54</v>
      </c>
      <c r="D115">
        <v>0</v>
      </c>
      <c r="E115">
        <v>-13</v>
      </c>
      <c r="F115">
        <v>1.6689092852175201E-2</v>
      </c>
      <c r="G115">
        <v>1</v>
      </c>
      <c r="H115">
        <v>1</v>
      </c>
      <c r="I115" t="s">
        <v>1319</v>
      </c>
    </row>
    <row r="116" spans="1:9" x14ac:dyDescent="0.2">
      <c r="A116" t="s">
        <v>276</v>
      </c>
      <c r="B116">
        <v>95</v>
      </c>
      <c r="C116">
        <v>46</v>
      </c>
      <c r="D116">
        <v>0</v>
      </c>
      <c r="E116">
        <v>-17</v>
      </c>
      <c r="F116">
        <v>1.6505638137459699E-2</v>
      </c>
      <c r="G116">
        <v>1</v>
      </c>
      <c r="H116">
        <v>1</v>
      </c>
      <c r="I116" t="s">
        <v>1319</v>
      </c>
    </row>
    <row r="117" spans="1:9" x14ac:dyDescent="0.2">
      <c r="A117" t="s">
        <v>278</v>
      </c>
      <c r="B117">
        <v>96</v>
      </c>
      <c r="C117">
        <v>48</v>
      </c>
      <c r="D117">
        <v>0</v>
      </c>
      <c r="E117">
        <v>-16</v>
      </c>
      <c r="F117">
        <v>1.65797183290123E-2</v>
      </c>
      <c r="G117">
        <v>1</v>
      </c>
      <c r="H117">
        <v>1</v>
      </c>
      <c r="I117" t="s">
        <v>1319</v>
      </c>
    </row>
    <row r="118" spans="1:9" x14ac:dyDescent="0.2">
      <c r="A118" t="s">
        <v>280</v>
      </c>
      <c r="B118">
        <v>97</v>
      </c>
      <c r="C118">
        <v>50</v>
      </c>
      <c r="D118">
        <v>0</v>
      </c>
      <c r="E118">
        <v>-15</v>
      </c>
      <c r="F118">
        <v>1.67753491550683E-2</v>
      </c>
      <c r="G118">
        <v>1</v>
      </c>
      <c r="H118">
        <v>1</v>
      </c>
      <c r="I118" t="s">
        <v>1319</v>
      </c>
    </row>
    <row r="119" spans="1:9" x14ac:dyDescent="0.2">
      <c r="A119" t="s">
        <v>282</v>
      </c>
      <c r="B119">
        <v>98</v>
      </c>
      <c r="C119">
        <v>51</v>
      </c>
      <c r="D119">
        <v>0</v>
      </c>
      <c r="E119">
        <v>-15</v>
      </c>
      <c r="F119">
        <v>1.7139410600066102E-2</v>
      </c>
      <c r="G119">
        <v>1</v>
      </c>
      <c r="H119">
        <v>1</v>
      </c>
      <c r="I119" t="s">
        <v>1319</v>
      </c>
    </row>
    <row r="120" spans="1:9" x14ac:dyDescent="0.2">
      <c r="A120" t="s">
        <v>284</v>
      </c>
      <c r="B120">
        <v>99</v>
      </c>
      <c r="C120">
        <v>52</v>
      </c>
      <c r="D120">
        <v>0</v>
      </c>
      <c r="E120">
        <v>-15</v>
      </c>
      <c r="F120">
        <v>1.7521441914141098E-2</v>
      </c>
      <c r="G120">
        <v>1</v>
      </c>
      <c r="H120">
        <v>1</v>
      </c>
      <c r="I120" t="s">
        <v>1319</v>
      </c>
    </row>
    <row r="121" spans="1:9" x14ac:dyDescent="0.2">
      <c r="A121" t="s">
        <v>286</v>
      </c>
      <c r="B121">
        <v>100</v>
      </c>
      <c r="C121">
        <v>52</v>
      </c>
      <c r="D121">
        <v>0</v>
      </c>
      <c r="E121">
        <v>-16</v>
      </c>
      <c r="F121">
        <v>1.7563637346029198E-2</v>
      </c>
      <c r="G121">
        <v>1</v>
      </c>
      <c r="H121">
        <v>1</v>
      </c>
      <c r="I121" t="s">
        <v>1319</v>
      </c>
    </row>
    <row r="122" spans="1:9" x14ac:dyDescent="0.2">
      <c r="A122" t="s">
        <v>288</v>
      </c>
      <c r="B122">
        <v>101</v>
      </c>
      <c r="C122">
        <v>53</v>
      </c>
      <c r="D122">
        <v>0</v>
      </c>
      <c r="E122">
        <v>-15</v>
      </c>
      <c r="F122">
        <v>1.7901222221553301E-2</v>
      </c>
      <c r="G122">
        <v>1</v>
      </c>
      <c r="H122">
        <v>1</v>
      </c>
      <c r="I122" t="s">
        <v>1319</v>
      </c>
    </row>
    <row r="123" spans="1:9" x14ac:dyDescent="0.2">
      <c r="A123" t="s">
        <v>290</v>
      </c>
      <c r="B123">
        <v>102</v>
      </c>
      <c r="C123">
        <v>54</v>
      </c>
      <c r="D123">
        <v>0</v>
      </c>
      <c r="E123">
        <v>-15</v>
      </c>
      <c r="F123">
        <v>1.8203842453658501E-2</v>
      </c>
      <c r="G123">
        <v>1</v>
      </c>
      <c r="H123">
        <v>1</v>
      </c>
      <c r="I123" t="s">
        <v>1319</v>
      </c>
    </row>
    <row r="124" spans="1:9" x14ac:dyDescent="0.2">
      <c r="A124" t="s">
        <v>292</v>
      </c>
      <c r="B124">
        <v>103</v>
      </c>
      <c r="C124">
        <v>34</v>
      </c>
      <c r="D124">
        <v>0</v>
      </c>
      <c r="E124">
        <v>-25</v>
      </c>
      <c r="F124">
        <v>1.57521814107894E-2</v>
      </c>
      <c r="G124">
        <v>1</v>
      </c>
      <c r="H124">
        <v>1</v>
      </c>
      <c r="I124" t="s">
        <v>1319</v>
      </c>
    </row>
    <row r="125" spans="1:9" x14ac:dyDescent="0.2">
      <c r="A125" t="s">
        <v>294</v>
      </c>
      <c r="B125">
        <v>104</v>
      </c>
      <c r="C125">
        <v>28</v>
      </c>
      <c r="D125">
        <v>0</v>
      </c>
      <c r="E125">
        <v>-29</v>
      </c>
      <c r="F125">
        <v>1.51120023801922E-2</v>
      </c>
      <c r="G125">
        <v>1</v>
      </c>
      <c r="H125">
        <v>1</v>
      </c>
      <c r="I125" t="s">
        <v>1319</v>
      </c>
    </row>
    <row r="126" spans="1:9" x14ac:dyDescent="0.2">
      <c r="A126" t="s">
        <v>296</v>
      </c>
      <c r="B126">
        <v>105</v>
      </c>
      <c r="C126">
        <v>54</v>
      </c>
      <c r="D126">
        <v>0</v>
      </c>
      <c r="E126">
        <v>-17</v>
      </c>
      <c r="F126">
        <v>1.87500808387994E-2</v>
      </c>
      <c r="G126">
        <v>1</v>
      </c>
      <c r="H126">
        <v>1</v>
      </c>
      <c r="I126" t="s">
        <v>1319</v>
      </c>
    </row>
    <row r="127" spans="1:9" x14ac:dyDescent="0.2">
      <c r="A127" t="s">
        <v>298</v>
      </c>
      <c r="B127">
        <v>106</v>
      </c>
      <c r="C127">
        <v>44</v>
      </c>
      <c r="D127">
        <v>0</v>
      </c>
      <c r="E127">
        <v>-21</v>
      </c>
      <c r="F127">
        <v>1.78657053038477E-2</v>
      </c>
      <c r="G127">
        <v>1</v>
      </c>
      <c r="H127">
        <v>1</v>
      </c>
      <c r="I127" t="s">
        <v>1319</v>
      </c>
    </row>
    <row r="128" spans="1:9" x14ac:dyDescent="0.2">
      <c r="A128" t="s">
        <v>300</v>
      </c>
      <c r="B128">
        <v>107</v>
      </c>
      <c r="C128">
        <v>45</v>
      </c>
      <c r="D128">
        <v>0</v>
      </c>
      <c r="E128">
        <v>-21</v>
      </c>
      <c r="F128">
        <v>1.8087736330926401E-2</v>
      </c>
      <c r="G128">
        <v>1</v>
      </c>
      <c r="H128">
        <v>1</v>
      </c>
      <c r="I128" t="s">
        <v>1319</v>
      </c>
    </row>
    <row r="129" spans="1:9" x14ac:dyDescent="0.2">
      <c r="A129" t="s">
        <v>302</v>
      </c>
      <c r="B129">
        <v>108</v>
      </c>
      <c r="C129">
        <v>55</v>
      </c>
      <c r="D129">
        <v>0</v>
      </c>
      <c r="E129">
        <v>-17</v>
      </c>
      <c r="F129">
        <v>1.9285177811980199E-2</v>
      </c>
      <c r="G129">
        <v>1</v>
      </c>
      <c r="H129">
        <v>1</v>
      </c>
      <c r="I129" t="s">
        <v>1319</v>
      </c>
    </row>
    <row r="130" spans="1:9" x14ac:dyDescent="0.2">
      <c r="A130" t="s">
        <v>304</v>
      </c>
      <c r="B130">
        <v>109</v>
      </c>
      <c r="C130">
        <v>37</v>
      </c>
      <c r="D130">
        <v>0</v>
      </c>
      <c r="E130">
        <v>-25</v>
      </c>
      <c r="F130">
        <v>1.7141768708825101E-2</v>
      </c>
      <c r="G130">
        <v>1</v>
      </c>
      <c r="H130">
        <v>1</v>
      </c>
      <c r="I130" t="s">
        <v>1319</v>
      </c>
    </row>
    <row r="131" spans="1:9" x14ac:dyDescent="0.2">
      <c r="A131" t="s">
        <v>306</v>
      </c>
      <c r="B131">
        <v>110</v>
      </c>
      <c r="C131">
        <v>33</v>
      </c>
      <c r="D131">
        <v>0</v>
      </c>
      <c r="E131">
        <v>-28</v>
      </c>
      <c r="F131">
        <v>1.69342467561364E-2</v>
      </c>
      <c r="G131">
        <v>1</v>
      </c>
      <c r="H131">
        <v>1</v>
      </c>
      <c r="I131" t="s">
        <v>1319</v>
      </c>
    </row>
    <row r="132" spans="1:9" x14ac:dyDescent="0.2">
      <c r="A132" t="s">
        <v>308</v>
      </c>
      <c r="B132">
        <v>111</v>
      </c>
      <c r="C132">
        <v>57</v>
      </c>
      <c r="D132">
        <v>0</v>
      </c>
      <c r="E132">
        <v>-17</v>
      </c>
      <c r="F132">
        <v>2.0125974901020499E-2</v>
      </c>
      <c r="G132">
        <v>1</v>
      </c>
      <c r="H132">
        <v>1</v>
      </c>
      <c r="I132" t="s">
        <v>1319</v>
      </c>
    </row>
    <row r="133" spans="1:9" x14ac:dyDescent="0.2">
      <c r="A133" t="s">
        <v>310</v>
      </c>
      <c r="B133">
        <v>112</v>
      </c>
      <c r="C133">
        <v>36</v>
      </c>
      <c r="D133">
        <v>0</v>
      </c>
      <c r="E133">
        <v>-27</v>
      </c>
      <c r="F133">
        <v>1.7533229663968E-2</v>
      </c>
      <c r="G133">
        <v>1</v>
      </c>
      <c r="H133">
        <v>1</v>
      </c>
      <c r="I133" t="s">
        <v>1319</v>
      </c>
    </row>
    <row r="134" spans="1:9" x14ac:dyDescent="0.2">
      <c r="A134" t="s">
        <v>312</v>
      </c>
      <c r="B134">
        <v>113</v>
      </c>
      <c r="C134">
        <v>26</v>
      </c>
      <c r="D134">
        <v>0</v>
      </c>
      <c r="E134">
        <v>-34</v>
      </c>
      <c r="F134">
        <v>1.6138711012899799E-2</v>
      </c>
      <c r="G134">
        <v>1</v>
      </c>
      <c r="H134">
        <v>1</v>
      </c>
      <c r="I134" t="s">
        <v>1319</v>
      </c>
    </row>
    <row r="135" spans="1:9" x14ac:dyDescent="0.2">
      <c r="A135" t="s">
        <v>314</v>
      </c>
      <c r="B135">
        <v>114</v>
      </c>
      <c r="C135">
        <v>27</v>
      </c>
      <c r="D135">
        <v>0</v>
      </c>
      <c r="E135">
        <v>-34</v>
      </c>
      <c r="F135">
        <v>1.6534508205950201E-2</v>
      </c>
      <c r="G135">
        <v>1</v>
      </c>
      <c r="H135">
        <v>1</v>
      </c>
      <c r="I135" t="s">
        <v>1319</v>
      </c>
    </row>
    <row r="136" spans="1:9" x14ac:dyDescent="0.2">
      <c r="A136" t="s">
        <v>316</v>
      </c>
      <c r="B136">
        <v>115</v>
      </c>
      <c r="C136">
        <v>29</v>
      </c>
      <c r="D136">
        <v>0</v>
      </c>
      <c r="E136">
        <v>-33</v>
      </c>
      <c r="F136">
        <v>1.7044517211616001E-2</v>
      </c>
      <c r="G136">
        <v>1</v>
      </c>
      <c r="H136">
        <v>1</v>
      </c>
      <c r="I136" t="s">
        <v>1319</v>
      </c>
    </row>
    <row r="137" spans="1:9" x14ac:dyDescent="0.2">
      <c r="A137" t="s">
        <v>318</v>
      </c>
      <c r="B137">
        <v>116</v>
      </c>
      <c r="C137">
        <v>28</v>
      </c>
      <c r="D137">
        <v>0</v>
      </c>
      <c r="E137">
        <v>-34</v>
      </c>
      <c r="F137">
        <v>1.6969304531812598E-2</v>
      </c>
      <c r="G137">
        <v>1</v>
      </c>
      <c r="H137">
        <v>1</v>
      </c>
      <c r="I137" t="s">
        <v>1319</v>
      </c>
    </row>
    <row r="138" spans="1:9" x14ac:dyDescent="0.2">
      <c r="A138" t="s">
        <v>320</v>
      </c>
      <c r="B138">
        <v>117</v>
      </c>
      <c r="C138">
        <v>29</v>
      </c>
      <c r="D138">
        <v>0</v>
      </c>
      <c r="E138">
        <v>-34</v>
      </c>
      <c r="F138">
        <v>1.7348337918519901E-2</v>
      </c>
      <c r="G138">
        <v>1</v>
      </c>
      <c r="H138">
        <v>1</v>
      </c>
      <c r="I138" t="s">
        <v>1319</v>
      </c>
    </row>
    <row r="139" spans="1:9" x14ac:dyDescent="0.2">
      <c r="A139" t="s">
        <v>322</v>
      </c>
      <c r="B139">
        <v>118</v>
      </c>
      <c r="C139">
        <v>29</v>
      </c>
      <c r="D139">
        <v>0</v>
      </c>
      <c r="E139">
        <v>-35</v>
      </c>
      <c r="F139">
        <v>1.7763740383088499E-2</v>
      </c>
      <c r="G139">
        <v>1</v>
      </c>
      <c r="H139">
        <v>1</v>
      </c>
      <c r="I139" t="s">
        <v>1319</v>
      </c>
    </row>
    <row r="140" spans="1:9" x14ac:dyDescent="0.2">
      <c r="A140" t="s">
        <v>324</v>
      </c>
      <c r="B140">
        <v>119</v>
      </c>
      <c r="C140">
        <v>28</v>
      </c>
      <c r="D140">
        <v>0</v>
      </c>
      <c r="E140">
        <v>-36</v>
      </c>
      <c r="F140">
        <v>1.7299145460128701E-2</v>
      </c>
      <c r="G140">
        <v>1</v>
      </c>
      <c r="H140">
        <v>1</v>
      </c>
      <c r="I140" t="s">
        <v>1319</v>
      </c>
    </row>
    <row r="141" spans="1:9" x14ac:dyDescent="0.2">
      <c r="A141" t="s">
        <v>326</v>
      </c>
      <c r="B141">
        <v>120</v>
      </c>
      <c r="C141">
        <v>29</v>
      </c>
      <c r="D141">
        <v>0</v>
      </c>
      <c r="E141">
        <v>-36</v>
      </c>
      <c r="F141">
        <v>1.7444601282477299E-2</v>
      </c>
      <c r="G141">
        <v>1</v>
      </c>
      <c r="H141">
        <v>1</v>
      </c>
      <c r="I141" t="s">
        <v>1319</v>
      </c>
    </row>
    <row r="142" spans="1:9" x14ac:dyDescent="0.2">
      <c r="A142" t="s">
        <v>328</v>
      </c>
      <c r="B142">
        <v>121</v>
      </c>
      <c r="C142">
        <v>29</v>
      </c>
      <c r="D142">
        <v>0</v>
      </c>
      <c r="E142">
        <v>-37</v>
      </c>
      <c r="F142">
        <v>1.7717178910970601E-2</v>
      </c>
      <c r="G142">
        <v>1</v>
      </c>
      <c r="H142">
        <v>1</v>
      </c>
      <c r="I142" t="s">
        <v>1319</v>
      </c>
    </row>
    <row r="143" spans="1:9" x14ac:dyDescent="0.2">
      <c r="A143" t="s">
        <v>330</v>
      </c>
      <c r="B143">
        <v>122</v>
      </c>
      <c r="C143">
        <v>47</v>
      </c>
      <c r="D143">
        <v>0</v>
      </c>
      <c r="E143">
        <v>-25</v>
      </c>
      <c r="F143">
        <v>2.0621519535779901E-2</v>
      </c>
      <c r="G143">
        <v>1</v>
      </c>
      <c r="H143">
        <v>1</v>
      </c>
      <c r="I143" t="s">
        <v>1319</v>
      </c>
    </row>
    <row r="144" spans="1:9" x14ac:dyDescent="0.2">
      <c r="A144" t="s">
        <v>332</v>
      </c>
      <c r="B144">
        <v>123</v>
      </c>
      <c r="C144">
        <v>48</v>
      </c>
      <c r="D144">
        <v>0</v>
      </c>
      <c r="E144">
        <v>-25</v>
      </c>
      <c r="F144">
        <v>2.1183742210268901E-2</v>
      </c>
      <c r="G144">
        <v>1</v>
      </c>
      <c r="H144">
        <v>1</v>
      </c>
      <c r="I144" t="s">
        <v>1319</v>
      </c>
    </row>
    <row r="145" spans="1:9" x14ac:dyDescent="0.2">
      <c r="A145" t="s">
        <v>334</v>
      </c>
      <c r="B145">
        <v>124</v>
      </c>
      <c r="C145">
        <v>49</v>
      </c>
      <c r="D145">
        <v>0</v>
      </c>
      <c r="E145">
        <v>-25</v>
      </c>
      <c r="F145">
        <v>2.1559907123446399E-2</v>
      </c>
      <c r="G145">
        <v>1</v>
      </c>
      <c r="H145">
        <v>1</v>
      </c>
      <c r="I145" t="s">
        <v>1319</v>
      </c>
    </row>
    <row r="146" spans="1:9" x14ac:dyDescent="0.2">
      <c r="A146" t="s">
        <v>336</v>
      </c>
      <c r="B146">
        <v>125</v>
      </c>
      <c r="C146">
        <v>50</v>
      </c>
      <c r="D146">
        <v>0</v>
      </c>
      <c r="E146">
        <v>-25</v>
      </c>
      <c r="F146">
        <v>2.1761718206107599E-2</v>
      </c>
      <c r="G146">
        <v>1</v>
      </c>
      <c r="H146">
        <v>1</v>
      </c>
      <c r="I146" t="s">
        <v>1319</v>
      </c>
    </row>
    <row r="147" spans="1:9" x14ac:dyDescent="0.2">
      <c r="A147" t="s">
        <v>338</v>
      </c>
      <c r="B147">
        <v>126</v>
      </c>
      <c r="C147">
        <v>50</v>
      </c>
      <c r="D147">
        <v>0</v>
      </c>
      <c r="E147">
        <v>-26</v>
      </c>
      <c r="F147">
        <v>2.1908569149672898E-2</v>
      </c>
      <c r="G147">
        <v>1</v>
      </c>
      <c r="H147">
        <v>1</v>
      </c>
      <c r="I147" t="s">
        <v>1319</v>
      </c>
    </row>
    <row r="148" spans="1:9" x14ac:dyDescent="0.2">
      <c r="A148" t="s">
        <v>340</v>
      </c>
      <c r="B148">
        <v>127</v>
      </c>
      <c r="C148">
        <v>30</v>
      </c>
      <c r="D148">
        <v>0</v>
      </c>
      <c r="E148">
        <v>-37</v>
      </c>
      <c r="F148">
        <v>1.91844785585999E-2</v>
      </c>
      <c r="G148">
        <v>1</v>
      </c>
      <c r="H148">
        <v>1</v>
      </c>
      <c r="I148" t="s">
        <v>1319</v>
      </c>
    </row>
    <row r="149" spans="1:9" x14ac:dyDescent="0.2">
      <c r="A149" t="s">
        <v>342</v>
      </c>
      <c r="B149">
        <v>128</v>
      </c>
      <c r="C149">
        <v>44</v>
      </c>
      <c r="D149">
        <v>0</v>
      </c>
      <c r="E149">
        <v>-29</v>
      </c>
      <c r="F149">
        <v>2.1363425999879799E-2</v>
      </c>
      <c r="G149">
        <v>1</v>
      </c>
      <c r="H149">
        <v>1</v>
      </c>
      <c r="I149" t="s">
        <v>1319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dimension ref="A1:I131"/>
  <sheetViews>
    <sheetView workbookViewId="0"/>
  </sheetViews>
  <sheetFormatPr baseColWidth="10" defaultColWidth="11" defaultRowHeight="16" x14ac:dyDescent="0.2"/>
  <sheetData>
    <row r="1" spans="1:1" x14ac:dyDescent="0.2">
      <c r="A1" t="s">
        <v>70</v>
      </c>
    </row>
    <row r="2" spans="1:1" x14ac:dyDescent="0.2">
      <c r="A2" t="s">
        <v>71</v>
      </c>
    </row>
    <row r="3" spans="1:1" x14ac:dyDescent="0.2">
      <c r="A3" t="s">
        <v>73</v>
      </c>
    </row>
    <row r="4" spans="1:1" x14ac:dyDescent="0.2">
      <c r="A4" s="21" t="s">
        <v>74</v>
      </c>
    </row>
    <row r="5" spans="1:1" x14ac:dyDescent="0.2">
      <c r="A5" s="21" t="s">
        <v>899</v>
      </c>
    </row>
    <row r="6" spans="1:1" x14ac:dyDescent="0.2">
      <c r="A6" t="s">
        <v>76</v>
      </c>
    </row>
    <row r="7" spans="1:1" x14ac:dyDescent="0.2">
      <c r="A7" t="s">
        <v>345</v>
      </c>
    </row>
    <row r="8" spans="1:1" x14ac:dyDescent="0.2">
      <c r="A8" s="21" t="s">
        <v>78</v>
      </c>
    </row>
    <row r="9" spans="1:1" x14ac:dyDescent="0.2">
      <c r="A9" t="s">
        <v>79</v>
      </c>
    </row>
    <row r="10" spans="1:1" x14ac:dyDescent="0.2">
      <c r="A10" t="s">
        <v>80</v>
      </c>
    </row>
    <row r="11" spans="1:1" x14ac:dyDescent="0.2">
      <c r="A11" t="s">
        <v>81</v>
      </c>
    </row>
    <row r="12" spans="1:1" x14ac:dyDescent="0.2">
      <c r="A12" t="s">
        <v>82</v>
      </c>
    </row>
    <row r="13" spans="1:1" x14ac:dyDescent="0.2">
      <c r="A13" t="s">
        <v>83</v>
      </c>
    </row>
    <row r="14" spans="1:1" x14ac:dyDescent="0.2">
      <c r="A14" t="s">
        <v>84</v>
      </c>
    </row>
    <row r="15" spans="1:1" x14ac:dyDescent="0.2">
      <c r="A15" t="s">
        <v>85</v>
      </c>
    </row>
    <row r="16" spans="1:1" x14ac:dyDescent="0.2">
      <c r="A16" t="s">
        <v>86</v>
      </c>
    </row>
    <row r="17" spans="1:9" x14ac:dyDescent="0.2">
      <c r="A17" t="s">
        <v>87</v>
      </c>
    </row>
    <row r="18" spans="1:9" x14ac:dyDescent="0.2">
      <c r="A18" t="s">
        <v>346</v>
      </c>
    </row>
    <row r="19" spans="1:9" x14ac:dyDescent="0.2">
      <c r="A19" t="s">
        <v>89</v>
      </c>
    </row>
    <row r="20" spans="1:9" x14ac:dyDescent="0.2">
      <c r="A20" t="s">
        <v>92</v>
      </c>
    </row>
    <row r="21" spans="1:9" x14ac:dyDescent="0.2">
      <c r="A21" t="s">
        <v>93</v>
      </c>
    </row>
    <row r="22" spans="1:9" x14ac:dyDescent="0.2">
      <c r="A22" t="s">
        <v>900</v>
      </c>
    </row>
    <row r="23" spans="1:9" x14ac:dyDescent="0.2">
      <c r="A23" t="s">
        <v>95</v>
      </c>
    </row>
    <row r="24" spans="1:9" x14ac:dyDescent="0.2">
      <c r="A24" t="s">
        <v>96</v>
      </c>
      <c r="B24" t="s">
        <v>61</v>
      </c>
      <c r="C24" t="s">
        <v>97</v>
      </c>
      <c r="D24" t="s">
        <v>98</v>
      </c>
      <c r="E24" t="s">
        <v>99</v>
      </c>
      <c r="F24" t="s">
        <v>100</v>
      </c>
      <c r="G24" t="s">
        <v>58</v>
      </c>
      <c r="H24" t="s">
        <v>59</v>
      </c>
      <c r="I24" t="s">
        <v>101</v>
      </c>
    </row>
    <row r="25" spans="1:9" x14ac:dyDescent="0.2">
      <c r="A25" t="s">
        <v>102</v>
      </c>
      <c r="B25">
        <v>5</v>
      </c>
      <c r="C25">
        <v>3</v>
      </c>
      <c r="D25">
        <v>2</v>
      </c>
      <c r="E25">
        <v>0</v>
      </c>
      <c r="F25">
        <v>0.51999621900000603</v>
      </c>
      <c r="G25">
        <v>1</v>
      </c>
      <c r="H25">
        <v>1</v>
      </c>
    </row>
    <row r="26" spans="1:9" x14ac:dyDescent="0.2">
      <c r="A26" t="s">
        <v>104</v>
      </c>
      <c r="B26">
        <v>6</v>
      </c>
      <c r="C26">
        <v>3</v>
      </c>
      <c r="D26">
        <v>3</v>
      </c>
      <c r="E26">
        <v>0</v>
      </c>
      <c r="F26">
        <v>2.3476796000011201E-2</v>
      </c>
      <c r="G26">
        <v>1</v>
      </c>
      <c r="H26">
        <v>1</v>
      </c>
    </row>
    <row r="27" spans="1:9" x14ac:dyDescent="0.2">
      <c r="A27" t="s">
        <v>106</v>
      </c>
      <c r="B27">
        <v>7</v>
      </c>
      <c r="C27">
        <v>3</v>
      </c>
      <c r="D27">
        <v>4</v>
      </c>
      <c r="E27">
        <v>0</v>
      </c>
      <c r="F27">
        <v>2.3317684999994901E-2</v>
      </c>
      <c r="G27">
        <v>1</v>
      </c>
      <c r="H27">
        <v>1</v>
      </c>
    </row>
    <row r="28" spans="1:9" x14ac:dyDescent="0.2">
      <c r="A28" t="s">
        <v>108</v>
      </c>
      <c r="B28">
        <v>8</v>
      </c>
      <c r="C28">
        <v>3</v>
      </c>
      <c r="D28">
        <v>4</v>
      </c>
      <c r="E28">
        <v>0</v>
      </c>
      <c r="F28">
        <v>2.3199311000013201E-2</v>
      </c>
      <c r="G28">
        <v>1</v>
      </c>
      <c r="H28">
        <v>1</v>
      </c>
    </row>
    <row r="29" spans="1:9" x14ac:dyDescent="0.2">
      <c r="A29" t="s">
        <v>110</v>
      </c>
      <c r="B29">
        <v>9</v>
      </c>
      <c r="C29">
        <v>5</v>
      </c>
      <c r="D29">
        <v>3</v>
      </c>
      <c r="E29">
        <v>0</v>
      </c>
      <c r="F29">
        <v>2.3160077000000001E-2</v>
      </c>
      <c r="G29">
        <v>1</v>
      </c>
      <c r="H29">
        <v>1</v>
      </c>
    </row>
    <row r="30" spans="1:9" x14ac:dyDescent="0.2">
      <c r="A30" t="s">
        <v>112</v>
      </c>
      <c r="B30">
        <v>10</v>
      </c>
      <c r="C30">
        <v>3</v>
      </c>
      <c r="D30">
        <v>5</v>
      </c>
      <c r="E30">
        <v>0</v>
      </c>
      <c r="F30">
        <v>2.3293728999988099E-2</v>
      </c>
      <c r="G30">
        <v>1</v>
      </c>
      <c r="H30">
        <v>1</v>
      </c>
    </row>
    <row r="31" spans="1:9" x14ac:dyDescent="0.2">
      <c r="A31" t="s">
        <v>114</v>
      </c>
      <c r="B31">
        <v>11</v>
      </c>
      <c r="C31">
        <v>3</v>
      </c>
      <c r="D31">
        <v>6</v>
      </c>
      <c r="E31">
        <v>0</v>
      </c>
      <c r="F31">
        <v>2.3041127999988399E-2</v>
      </c>
      <c r="G31">
        <v>1</v>
      </c>
      <c r="H31">
        <v>1</v>
      </c>
    </row>
    <row r="32" spans="1:9" x14ac:dyDescent="0.2">
      <c r="A32" t="s">
        <v>116</v>
      </c>
      <c r="B32">
        <v>12</v>
      </c>
      <c r="C32">
        <v>3</v>
      </c>
      <c r="D32">
        <v>6</v>
      </c>
      <c r="E32">
        <v>0</v>
      </c>
      <c r="F32">
        <v>2.3164096000016302E-2</v>
      </c>
      <c r="G32">
        <v>1</v>
      </c>
      <c r="H32">
        <v>1</v>
      </c>
    </row>
    <row r="33" spans="1:8" x14ac:dyDescent="0.2">
      <c r="A33" t="s">
        <v>118</v>
      </c>
      <c r="B33">
        <v>13</v>
      </c>
      <c r="C33">
        <v>5</v>
      </c>
      <c r="D33">
        <v>5</v>
      </c>
      <c r="E33">
        <v>0</v>
      </c>
      <c r="F33">
        <v>3.3072350999987003E-2</v>
      </c>
      <c r="G33">
        <v>1</v>
      </c>
      <c r="H33">
        <v>1</v>
      </c>
    </row>
    <row r="34" spans="1:8" x14ac:dyDescent="0.2">
      <c r="A34" t="s">
        <v>120</v>
      </c>
      <c r="B34">
        <v>14</v>
      </c>
      <c r="C34">
        <v>6</v>
      </c>
      <c r="D34">
        <v>5</v>
      </c>
      <c r="E34">
        <v>0</v>
      </c>
      <c r="F34">
        <v>3.3188117000008698E-2</v>
      </c>
      <c r="G34">
        <v>1</v>
      </c>
      <c r="H34">
        <v>1</v>
      </c>
    </row>
    <row r="35" spans="1:8" x14ac:dyDescent="0.2">
      <c r="A35" t="s">
        <v>122</v>
      </c>
      <c r="B35">
        <v>15</v>
      </c>
      <c r="C35">
        <v>7</v>
      </c>
      <c r="D35">
        <v>5</v>
      </c>
      <c r="E35">
        <v>0</v>
      </c>
      <c r="F35">
        <v>3.3138194000002799E-2</v>
      </c>
      <c r="G35">
        <v>1</v>
      </c>
      <c r="H35">
        <v>1</v>
      </c>
    </row>
    <row r="36" spans="1:8" x14ac:dyDescent="0.2">
      <c r="A36" t="s">
        <v>124</v>
      </c>
      <c r="B36">
        <v>16</v>
      </c>
      <c r="C36">
        <v>8</v>
      </c>
      <c r="D36">
        <v>5</v>
      </c>
      <c r="E36">
        <v>0</v>
      </c>
      <c r="F36">
        <v>3.4091857999982197E-2</v>
      </c>
      <c r="G36">
        <v>1</v>
      </c>
      <c r="H36">
        <v>1</v>
      </c>
    </row>
    <row r="37" spans="1:8" x14ac:dyDescent="0.2">
      <c r="A37" t="s">
        <v>126</v>
      </c>
      <c r="B37">
        <v>20</v>
      </c>
      <c r="C37">
        <v>5</v>
      </c>
      <c r="D37">
        <v>9</v>
      </c>
      <c r="E37">
        <v>0</v>
      </c>
      <c r="F37">
        <v>3.33837750000043E-2</v>
      </c>
      <c r="G37">
        <v>1</v>
      </c>
      <c r="H37">
        <v>1</v>
      </c>
    </row>
    <row r="38" spans="1:8" x14ac:dyDescent="0.2">
      <c r="A38" t="s">
        <v>128</v>
      </c>
      <c r="B38">
        <v>21</v>
      </c>
      <c r="C38">
        <v>5</v>
      </c>
      <c r="D38">
        <v>10</v>
      </c>
      <c r="E38">
        <v>0</v>
      </c>
      <c r="F38">
        <v>3.3571273999996203E-2</v>
      </c>
      <c r="G38">
        <v>1</v>
      </c>
      <c r="H38">
        <v>1</v>
      </c>
    </row>
    <row r="39" spans="1:8" x14ac:dyDescent="0.2">
      <c r="A39" t="s">
        <v>130</v>
      </c>
      <c r="B39">
        <v>22</v>
      </c>
      <c r="C39">
        <v>6</v>
      </c>
      <c r="D39">
        <v>9</v>
      </c>
      <c r="E39">
        <v>0</v>
      </c>
      <c r="F39">
        <v>3.3335762000007201E-2</v>
      </c>
      <c r="G39">
        <v>1</v>
      </c>
      <c r="H39">
        <v>1</v>
      </c>
    </row>
    <row r="40" spans="1:8" x14ac:dyDescent="0.2">
      <c r="A40" t="s">
        <v>132</v>
      </c>
      <c r="B40">
        <v>23</v>
      </c>
      <c r="C40">
        <v>7</v>
      </c>
      <c r="D40">
        <v>9</v>
      </c>
      <c r="E40">
        <v>0</v>
      </c>
      <c r="F40">
        <v>4.3381487999994299E-2</v>
      </c>
      <c r="G40">
        <v>1</v>
      </c>
      <c r="H40">
        <v>1</v>
      </c>
    </row>
    <row r="41" spans="1:8" x14ac:dyDescent="0.2">
      <c r="A41" t="s">
        <v>134</v>
      </c>
      <c r="B41">
        <v>24</v>
      </c>
      <c r="C41">
        <v>3</v>
      </c>
      <c r="D41">
        <v>13</v>
      </c>
      <c r="E41">
        <v>0</v>
      </c>
      <c r="F41">
        <v>3.3113047000000499E-2</v>
      </c>
      <c r="G41">
        <v>1</v>
      </c>
      <c r="H41">
        <v>1</v>
      </c>
    </row>
    <row r="42" spans="1:8" x14ac:dyDescent="0.2">
      <c r="A42" t="s">
        <v>136</v>
      </c>
      <c r="B42">
        <v>25</v>
      </c>
      <c r="C42">
        <v>15</v>
      </c>
      <c r="D42">
        <v>5</v>
      </c>
      <c r="E42">
        <v>0</v>
      </c>
      <c r="F42">
        <v>4.33340330000078E-2</v>
      </c>
      <c r="G42">
        <v>1</v>
      </c>
      <c r="H42">
        <v>1</v>
      </c>
    </row>
    <row r="43" spans="1:8" x14ac:dyDescent="0.2">
      <c r="A43" t="s">
        <v>138</v>
      </c>
      <c r="B43">
        <v>26</v>
      </c>
      <c r="C43">
        <v>9</v>
      </c>
      <c r="D43">
        <v>9</v>
      </c>
      <c r="E43">
        <v>0</v>
      </c>
      <c r="F43">
        <v>8.3764943000005504E-2</v>
      </c>
      <c r="G43">
        <v>1</v>
      </c>
      <c r="H43">
        <v>1</v>
      </c>
    </row>
    <row r="44" spans="1:8" x14ac:dyDescent="0.2">
      <c r="A44" t="s">
        <v>140</v>
      </c>
      <c r="B44">
        <v>27</v>
      </c>
      <c r="C44">
        <v>10</v>
      </c>
      <c r="D44">
        <v>9</v>
      </c>
      <c r="E44">
        <v>0</v>
      </c>
      <c r="F44">
        <v>0.12360734899999599</v>
      </c>
      <c r="G44">
        <v>1</v>
      </c>
      <c r="H44">
        <v>1</v>
      </c>
    </row>
    <row r="45" spans="1:8" x14ac:dyDescent="0.2">
      <c r="A45" t="s">
        <v>142</v>
      </c>
      <c r="B45">
        <v>28</v>
      </c>
      <c r="C45">
        <v>18</v>
      </c>
      <c r="D45">
        <v>5</v>
      </c>
      <c r="E45">
        <v>0</v>
      </c>
      <c r="F45">
        <v>8.3462609999997994E-2</v>
      </c>
      <c r="G45">
        <v>1</v>
      </c>
      <c r="H45">
        <v>1</v>
      </c>
    </row>
    <row r="46" spans="1:8" x14ac:dyDescent="0.2">
      <c r="A46" t="s">
        <v>144</v>
      </c>
      <c r="B46">
        <v>29</v>
      </c>
      <c r="C46">
        <v>6</v>
      </c>
      <c r="D46">
        <v>13</v>
      </c>
      <c r="E46">
        <v>0</v>
      </c>
      <c r="F46">
        <v>4.4023146999990097E-2</v>
      </c>
      <c r="G46">
        <v>1</v>
      </c>
      <c r="H46">
        <v>1</v>
      </c>
    </row>
    <row r="47" spans="1:8" x14ac:dyDescent="0.2">
      <c r="A47" t="s">
        <v>146</v>
      </c>
      <c r="B47">
        <v>30</v>
      </c>
      <c r="C47">
        <v>6</v>
      </c>
      <c r="D47">
        <v>14</v>
      </c>
      <c r="E47">
        <v>0</v>
      </c>
      <c r="F47">
        <v>4.34431300000142E-2</v>
      </c>
      <c r="G47">
        <v>1</v>
      </c>
      <c r="H47">
        <v>1</v>
      </c>
    </row>
    <row r="48" spans="1:8" x14ac:dyDescent="0.2">
      <c r="A48" t="s">
        <v>148</v>
      </c>
      <c r="B48">
        <v>31</v>
      </c>
      <c r="C48">
        <v>3</v>
      </c>
      <c r="D48">
        <v>17</v>
      </c>
      <c r="E48">
        <v>0</v>
      </c>
      <c r="F48">
        <v>3.3121351999994803E-2</v>
      </c>
      <c r="G48">
        <v>1</v>
      </c>
      <c r="H48">
        <v>1</v>
      </c>
    </row>
    <row r="49" spans="1:8" x14ac:dyDescent="0.2">
      <c r="A49" t="s">
        <v>150</v>
      </c>
      <c r="B49">
        <v>32</v>
      </c>
      <c r="C49">
        <v>8</v>
      </c>
      <c r="D49">
        <v>13</v>
      </c>
      <c r="E49">
        <v>0</v>
      </c>
      <c r="F49">
        <v>0.103842770999989</v>
      </c>
      <c r="G49">
        <v>1</v>
      </c>
      <c r="H49">
        <v>1</v>
      </c>
    </row>
    <row r="50" spans="1:8" x14ac:dyDescent="0.2">
      <c r="A50" t="s">
        <v>152</v>
      </c>
      <c r="B50">
        <v>33</v>
      </c>
      <c r="C50">
        <v>18</v>
      </c>
      <c r="D50">
        <v>7</v>
      </c>
      <c r="E50">
        <v>0</v>
      </c>
      <c r="F50">
        <v>0.28492655100001202</v>
      </c>
      <c r="G50">
        <v>1</v>
      </c>
      <c r="H50">
        <v>1</v>
      </c>
    </row>
    <row r="51" spans="1:8" x14ac:dyDescent="0.2">
      <c r="A51" t="s">
        <v>154</v>
      </c>
      <c r="B51">
        <v>34</v>
      </c>
      <c r="C51">
        <v>4</v>
      </c>
      <c r="D51">
        <v>17</v>
      </c>
      <c r="E51">
        <v>0</v>
      </c>
      <c r="F51">
        <v>5.3578969999989498E-2</v>
      </c>
      <c r="G51">
        <v>1</v>
      </c>
      <c r="H51">
        <v>1</v>
      </c>
    </row>
    <row r="52" spans="1:8" x14ac:dyDescent="0.2">
      <c r="A52" t="s">
        <v>156</v>
      </c>
      <c r="B52">
        <v>35</v>
      </c>
      <c r="C52">
        <v>20</v>
      </c>
      <c r="D52">
        <v>7</v>
      </c>
      <c r="E52">
        <v>0</v>
      </c>
      <c r="F52">
        <v>0.36559314500001899</v>
      </c>
      <c r="G52">
        <v>1</v>
      </c>
      <c r="H52">
        <v>1</v>
      </c>
    </row>
    <row r="53" spans="1:8" x14ac:dyDescent="0.2">
      <c r="A53" t="s">
        <v>158</v>
      </c>
      <c r="B53">
        <v>36</v>
      </c>
      <c r="C53">
        <v>5</v>
      </c>
      <c r="D53">
        <v>17</v>
      </c>
      <c r="E53">
        <v>0</v>
      </c>
      <c r="F53">
        <v>5.3664326999978501E-2</v>
      </c>
      <c r="G53">
        <v>1</v>
      </c>
      <c r="H53">
        <v>1</v>
      </c>
    </row>
    <row r="54" spans="1:8" x14ac:dyDescent="0.2">
      <c r="A54" t="s">
        <v>160</v>
      </c>
      <c r="B54">
        <v>37</v>
      </c>
      <c r="C54">
        <v>6</v>
      </c>
      <c r="D54">
        <v>17</v>
      </c>
      <c r="E54">
        <v>0</v>
      </c>
      <c r="F54">
        <v>4.4398245000024802E-2</v>
      </c>
      <c r="G54">
        <v>1</v>
      </c>
      <c r="H54">
        <v>1</v>
      </c>
    </row>
    <row r="55" spans="1:8" x14ac:dyDescent="0.2">
      <c r="A55" t="s">
        <v>162</v>
      </c>
      <c r="B55">
        <v>38</v>
      </c>
      <c r="C55">
        <v>3</v>
      </c>
      <c r="D55">
        <v>21</v>
      </c>
      <c r="E55">
        <v>0</v>
      </c>
      <c r="F55">
        <v>3.3681468999986898E-2</v>
      </c>
      <c r="G55">
        <v>1</v>
      </c>
      <c r="H55">
        <v>1</v>
      </c>
    </row>
    <row r="56" spans="1:8" x14ac:dyDescent="0.2">
      <c r="A56" t="s">
        <v>164</v>
      </c>
      <c r="B56">
        <v>39</v>
      </c>
      <c r="C56">
        <v>7</v>
      </c>
      <c r="D56">
        <v>17</v>
      </c>
      <c r="E56">
        <v>0</v>
      </c>
      <c r="F56">
        <v>7.3845882999989898E-2</v>
      </c>
      <c r="G56">
        <v>1</v>
      </c>
      <c r="H56">
        <v>1</v>
      </c>
    </row>
    <row r="57" spans="1:8" x14ac:dyDescent="0.2">
      <c r="A57" t="s">
        <v>166</v>
      </c>
      <c r="B57">
        <v>40</v>
      </c>
      <c r="C57">
        <v>13</v>
      </c>
      <c r="D57">
        <v>13</v>
      </c>
      <c r="E57">
        <v>0</v>
      </c>
      <c r="F57">
        <v>1.370655886</v>
      </c>
      <c r="G57">
        <v>1</v>
      </c>
      <c r="H57">
        <v>1</v>
      </c>
    </row>
    <row r="58" spans="1:8" x14ac:dyDescent="0.2">
      <c r="A58" t="s">
        <v>168</v>
      </c>
      <c r="B58">
        <v>41</v>
      </c>
      <c r="C58">
        <v>8</v>
      </c>
      <c r="D58">
        <v>17</v>
      </c>
      <c r="E58">
        <v>0</v>
      </c>
      <c r="F58">
        <v>0.14415507000000999</v>
      </c>
      <c r="G58">
        <v>1</v>
      </c>
      <c r="H58">
        <v>1</v>
      </c>
    </row>
    <row r="59" spans="1:8" x14ac:dyDescent="0.2">
      <c r="A59" t="s">
        <v>170</v>
      </c>
      <c r="B59">
        <v>42</v>
      </c>
      <c r="C59">
        <v>9</v>
      </c>
      <c r="D59">
        <v>17</v>
      </c>
      <c r="E59">
        <v>0</v>
      </c>
      <c r="F59">
        <v>0.24467955199997901</v>
      </c>
      <c r="G59">
        <v>1</v>
      </c>
      <c r="H59">
        <v>1</v>
      </c>
    </row>
    <row r="60" spans="1:8" x14ac:dyDescent="0.2">
      <c r="A60" t="s">
        <v>172</v>
      </c>
      <c r="B60">
        <v>43</v>
      </c>
      <c r="C60">
        <v>22</v>
      </c>
      <c r="D60">
        <v>9</v>
      </c>
      <c r="E60">
        <v>0</v>
      </c>
      <c r="F60">
        <v>3.78611333200001</v>
      </c>
      <c r="G60">
        <v>1</v>
      </c>
      <c r="H60">
        <v>1</v>
      </c>
    </row>
    <row r="61" spans="1:8" x14ac:dyDescent="0.2">
      <c r="A61" t="s">
        <v>174</v>
      </c>
      <c r="B61">
        <v>44</v>
      </c>
      <c r="C61">
        <v>23</v>
      </c>
      <c r="D61">
        <v>9</v>
      </c>
      <c r="E61">
        <v>0</v>
      </c>
      <c r="F61">
        <v>5.1656917450000002</v>
      </c>
      <c r="G61">
        <v>1</v>
      </c>
      <c r="H61">
        <v>1</v>
      </c>
    </row>
    <row r="62" spans="1:8" x14ac:dyDescent="0.2">
      <c r="A62" t="s">
        <v>176</v>
      </c>
      <c r="B62">
        <v>45</v>
      </c>
      <c r="C62">
        <v>24</v>
      </c>
      <c r="D62">
        <v>9</v>
      </c>
      <c r="E62">
        <v>0</v>
      </c>
      <c r="F62">
        <v>5.7592573429999998</v>
      </c>
      <c r="G62">
        <v>1</v>
      </c>
      <c r="H62">
        <v>1</v>
      </c>
    </row>
    <row r="63" spans="1:8" x14ac:dyDescent="0.2">
      <c r="A63" t="s">
        <v>178</v>
      </c>
      <c r="B63">
        <v>46</v>
      </c>
      <c r="C63">
        <v>15</v>
      </c>
      <c r="D63">
        <v>15</v>
      </c>
      <c r="E63">
        <v>0</v>
      </c>
      <c r="F63">
        <v>10.4978505739999</v>
      </c>
      <c r="G63">
        <v>1</v>
      </c>
      <c r="H63">
        <v>1</v>
      </c>
    </row>
    <row r="64" spans="1:8" x14ac:dyDescent="0.2">
      <c r="A64" t="s">
        <v>180</v>
      </c>
      <c r="B64">
        <v>47</v>
      </c>
      <c r="C64">
        <v>25</v>
      </c>
      <c r="D64">
        <v>9</v>
      </c>
      <c r="E64">
        <v>0</v>
      </c>
      <c r="F64">
        <v>7.5205127700000096</v>
      </c>
      <c r="G64">
        <v>1</v>
      </c>
      <c r="H64">
        <v>1</v>
      </c>
    </row>
    <row r="65" spans="1:8" x14ac:dyDescent="0.2">
      <c r="A65" t="s">
        <v>182</v>
      </c>
      <c r="B65">
        <v>48</v>
      </c>
      <c r="C65">
        <v>26</v>
      </c>
      <c r="D65">
        <v>9</v>
      </c>
      <c r="E65">
        <v>0</v>
      </c>
      <c r="F65">
        <v>8.3355168850000005</v>
      </c>
      <c r="G65">
        <v>1</v>
      </c>
      <c r="H65">
        <v>1</v>
      </c>
    </row>
    <row r="66" spans="1:8" x14ac:dyDescent="0.2">
      <c r="A66" t="s">
        <v>184</v>
      </c>
      <c r="B66">
        <v>49</v>
      </c>
      <c r="C66">
        <v>4</v>
      </c>
      <c r="D66">
        <v>25</v>
      </c>
      <c r="E66">
        <v>0</v>
      </c>
      <c r="F66">
        <v>7.4578011999989202E-2</v>
      </c>
      <c r="G66">
        <v>1</v>
      </c>
      <c r="H66">
        <v>1</v>
      </c>
    </row>
    <row r="67" spans="1:8" x14ac:dyDescent="0.2">
      <c r="A67" t="s">
        <v>186</v>
      </c>
      <c r="B67">
        <v>50</v>
      </c>
      <c r="C67">
        <v>19</v>
      </c>
      <c r="D67">
        <v>13</v>
      </c>
      <c r="E67">
        <v>0</v>
      </c>
      <c r="F67">
        <v>26.024489638999899</v>
      </c>
      <c r="G67">
        <v>1</v>
      </c>
      <c r="H67">
        <v>1</v>
      </c>
    </row>
    <row r="68" spans="1:8" x14ac:dyDescent="0.2">
      <c r="A68" t="s">
        <v>188</v>
      </c>
      <c r="B68">
        <v>51</v>
      </c>
      <c r="C68">
        <v>28</v>
      </c>
      <c r="D68">
        <v>9</v>
      </c>
      <c r="E68">
        <v>0</v>
      </c>
      <c r="F68">
        <v>10.601583121000001</v>
      </c>
      <c r="G68">
        <v>1</v>
      </c>
      <c r="H68">
        <v>1</v>
      </c>
    </row>
    <row r="69" spans="1:8" x14ac:dyDescent="0.2">
      <c r="A69" t="s">
        <v>190</v>
      </c>
      <c r="B69">
        <v>52</v>
      </c>
      <c r="C69">
        <v>15</v>
      </c>
      <c r="D69">
        <v>17</v>
      </c>
      <c r="E69">
        <v>0</v>
      </c>
      <c r="F69">
        <v>11.356907555999999</v>
      </c>
      <c r="G69">
        <v>1</v>
      </c>
      <c r="H69">
        <v>1</v>
      </c>
    </row>
    <row r="70" spans="1:8" x14ac:dyDescent="0.2">
      <c r="A70" t="s">
        <v>192</v>
      </c>
      <c r="B70">
        <v>53</v>
      </c>
      <c r="C70">
        <v>16</v>
      </c>
      <c r="D70">
        <v>17</v>
      </c>
      <c r="E70">
        <v>0</v>
      </c>
      <c r="F70">
        <v>23.3871824789999</v>
      </c>
      <c r="G70">
        <v>1</v>
      </c>
      <c r="H70">
        <v>1</v>
      </c>
    </row>
    <row r="71" spans="1:8" x14ac:dyDescent="0.2">
      <c r="A71" t="s">
        <v>194</v>
      </c>
      <c r="B71">
        <v>54</v>
      </c>
      <c r="C71">
        <v>31</v>
      </c>
      <c r="D71">
        <v>9</v>
      </c>
      <c r="E71">
        <v>0</v>
      </c>
      <c r="F71">
        <v>40.125280463000003</v>
      </c>
      <c r="G71">
        <v>1</v>
      </c>
      <c r="H71">
        <v>1</v>
      </c>
    </row>
    <row r="72" spans="1:8" x14ac:dyDescent="0.2">
      <c r="A72" t="s">
        <v>196</v>
      </c>
      <c r="B72">
        <v>55</v>
      </c>
      <c r="C72">
        <v>23</v>
      </c>
      <c r="D72">
        <v>13</v>
      </c>
      <c r="E72">
        <v>0</v>
      </c>
      <c r="F72">
        <v>110.369698566</v>
      </c>
      <c r="G72">
        <v>1</v>
      </c>
      <c r="H72">
        <v>1</v>
      </c>
    </row>
    <row r="73" spans="1:8" x14ac:dyDescent="0.2">
      <c r="A73" t="s">
        <v>198</v>
      </c>
      <c r="B73">
        <v>56</v>
      </c>
      <c r="C73">
        <v>17</v>
      </c>
      <c r="D73">
        <v>17</v>
      </c>
      <c r="E73">
        <v>0</v>
      </c>
      <c r="F73">
        <v>37.862207137999903</v>
      </c>
      <c r="G73">
        <v>1</v>
      </c>
      <c r="H73">
        <v>1</v>
      </c>
    </row>
    <row r="74" spans="1:8" x14ac:dyDescent="0.2">
      <c r="A74" t="s">
        <v>200</v>
      </c>
      <c r="B74">
        <v>57</v>
      </c>
      <c r="C74">
        <v>18</v>
      </c>
      <c r="D74">
        <v>17</v>
      </c>
      <c r="E74">
        <v>0</v>
      </c>
      <c r="F74">
        <v>66.096517974999898</v>
      </c>
      <c r="G74">
        <v>1</v>
      </c>
      <c r="H74">
        <v>1</v>
      </c>
    </row>
    <row r="75" spans="1:8" x14ac:dyDescent="0.2">
      <c r="A75" t="s">
        <v>202</v>
      </c>
      <c r="B75">
        <v>58</v>
      </c>
      <c r="C75">
        <v>3</v>
      </c>
      <c r="D75">
        <v>32</v>
      </c>
      <c r="E75">
        <v>0</v>
      </c>
      <c r="F75">
        <v>3.7155938000012101E-2</v>
      </c>
      <c r="G75">
        <v>1</v>
      </c>
      <c r="H75">
        <v>1</v>
      </c>
    </row>
    <row r="76" spans="1:8" x14ac:dyDescent="0.2">
      <c r="A76" t="s">
        <v>204</v>
      </c>
      <c r="B76">
        <v>59</v>
      </c>
      <c r="C76">
        <v>19</v>
      </c>
      <c r="D76">
        <v>17</v>
      </c>
      <c r="E76">
        <v>0</v>
      </c>
      <c r="F76">
        <v>111.174472851</v>
      </c>
      <c r="G76">
        <v>1</v>
      </c>
      <c r="H76">
        <v>1</v>
      </c>
    </row>
    <row r="77" spans="1:8" x14ac:dyDescent="0.2">
      <c r="A77" t="s">
        <v>206</v>
      </c>
      <c r="B77">
        <v>60</v>
      </c>
      <c r="C77">
        <v>20</v>
      </c>
      <c r="D77">
        <v>17</v>
      </c>
      <c r="E77">
        <v>0</v>
      </c>
      <c r="F77">
        <v>55.8427160459999</v>
      </c>
      <c r="G77">
        <v>1</v>
      </c>
      <c r="H77">
        <v>1</v>
      </c>
    </row>
    <row r="78" spans="1:8" x14ac:dyDescent="0.2">
      <c r="A78" t="s">
        <v>208</v>
      </c>
      <c r="B78">
        <v>61</v>
      </c>
      <c r="C78">
        <v>18</v>
      </c>
      <c r="D78">
        <v>19</v>
      </c>
      <c r="E78">
        <v>0</v>
      </c>
      <c r="F78">
        <v>150.14066758800001</v>
      </c>
      <c r="G78">
        <v>1</v>
      </c>
      <c r="H78">
        <v>1</v>
      </c>
    </row>
    <row r="79" spans="1:8" x14ac:dyDescent="0.2">
      <c r="A79" t="s">
        <v>210</v>
      </c>
      <c r="B79">
        <v>62</v>
      </c>
      <c r="C79">
        <v>21</v>
      </c>
      <c r="D79">
        <v>17</v>
      </c>
      <c r="E79">
        <v>0</v>
      </c>
      <c r="F79">
        <v>245.34418115699901</v>
      </c>
      <c r="G79">
        <v>1</v>
      </c>
      <c r="H79">
        <v>1</v>
      </c>
    </row>
    <row r="80" spans="1:8" x14ac:dyDescent="0.2">
      <c r="A80" t="s">
        <v>212</v>
      </c>
      <c r="B80">
        <v>63</v>
      </c>
      <c r="C80">
        <v>23</v>
      </c>
      <c r="D80">
        <v>16</v>
      </c>
      <c r="E80">
        <v>0</v>
      </c>
      <c r="F80">
        <v>354.05574255499999</v>
      </c>
      <c r="G80">
        <v>1</v>
      </c>
      <c r="H80">
        <v>1</v>
      </c>
    </row>
    <row r="81" spans="1:8" x14ac:dyDescent="0.2">
      <c r="A81" t="s">
        <v>214</v>
      </c>
      <c r="B81">
        <v>64</v>
      </c>
      <c r="C81">
        <v>24</v>
      </c>
      <c r="D81">
        <v>16</v>
      </c>
      <c r="E81">
        <v>0</v>
      </c>
      <c r="F81">
        <v>610.85780330299895</v>
      </c>
      <c r="G81">
        <v>1</v>
      </c>
      <c r="H81">
        <v>1</v>
      </c>
    </row>
    <row r="82" spans="1:8" x14ac:dyDescent="0.2">
      <c r="A82" t="s">
        <v>216</v>
      </c>
      <c r="B82">
        <v>65</v>
      </c>
      <c r="C82">
        <v>31</v>
      </c>
      <c r="D82">
        <v>13</v>
      </c>
      <c r="E82">
        <v>0</v>
      </c>
      <c r="F82">
        <v>868.91470208400006</v>
      </c>
      <c r="G82">
        <v>1</v>
      </c>
      <c r="H82">
        <v>1</v>
      </c>
    </row>
    <row r="83" spans="1:8" x14ac:dyDescent="0.2">
      <c r="A83" t="s">
        <v>218</v>
      </c>
      <c r="B83">
        <v>66</v>
      </c>
      <c r="C83">
        <v>32</v>
      </c>
      <c r="D83">
        <v>13</v>
      </c>
      <c r="E83">
        <v>0</v>
      </c>
      <c r="F83">
        <v>1026.7491033609999</v>
      </c>
      <c r="G83">
        <v>1</v>
      </c>
      <c r="H83">
        <v>1</v>
      </c>
    </row>
    <row r="84" spans="1:8" x14ac:dyDescent="0.2">
      <c r="A84" t="s">
        <v>220</v>
      </c>
      <c r="B84">
        <v>67</v>
      </c>
      <c r="C84">
        <v>33</v>
      </c>
      <c r="D84">
        <v>13</v>
      </c>
      <c r="E84">
        <v>0</v>
      </c>
      <c r="F84">
        <v>1345.7162154079999</v>
      </c>
      <c r="G84">
        <v>1</v>
      </c>
      <c r="H84">
        <v>1</v>
      </c>
    </row>
    <row r="85" spans="1:8" x14ac:dyDescent="0.2">
      <c r="A85" t="s">
        <v>222</v>
      </c>
      <c r="B85">
        <v>68</v>
      </c>
      <c r="C85">
        <v>34</v>
      </c>
      <c r="D85">
        <v>13</v>
      </c>
      <c r="E85">
        <v>0</v>
      </c>
      <c r="F85">
        <v>2994.636917372</v>
      </c>
      <c r="G85">
        <v>1</v>
      </c>
      <c r="H85">
        <v>1</v>
      </c>
    </row>
    <row r="86" spans="1:8" x14ac:dyDescent="0.2">
      <c r="A86" t="s">
        <v>224</v>
      </c>
      <c r="B86">
        <v>69</v>
      </c>
      <c r="C86">
        <v>35</v>
      </c>
      <c r="D86">
        <v>13</v>
      </c>
      <c r="E86">
        <v>0</v>
      </c>
      <c r="F86">
        <v>3925.5830660759898</v>
      </c>
      <c r="G86">
        <v>1</v>
      </c>
      <c r="H86">
        <v>1</v>
      </c>
    </row>
    <row r="87" spans="1:8" x14ac:dyDescent="0.2">
      <c r="A87" t="s">
        <v>226</v>
      </c>
      <c r="B87">
        <v>70</v>
      </c>
      <c r="C87">
        <v>36</v>
      </c>
      <c r="D87">
        <v>13</v>
      </c>
      <c r="E87">
        <v>0</v>
      </c>
      <c r="F87">
        <v>3919.194732082</v>
      </c>
      <c r="G87">
        <v>1</v>
      </c>
      <c r="H87">
        <v>1</v>
      </c>
    </row>
    <row r="88" spans="1:8" x14ac:dyDescent="0.2">
      <c r="A88" t="s">
        <v>228</v>
      </c>
      <c r="B88">
        <v>71</v>
      </c>
      <c r="C88">
        <v>12</v>
      </c>
      <c r="D88">
        <v>29</v>
      </c>
      <c r="E88">
        <v>0</v>
      </c>
      <c r="F88">
        <v>5.0985279140004396</v>
      </c>
      <c r="G88">
        <v>1</v>
      </c>
      <c r="H88">
        <v>1</v>
      </c>
    </row>
    <row r="89" spans="1:8" x14ac:dyDescent="0.2">
      <c r="A89" t="s">
        <v>230</v>
      </c>
      <c r="B89">
        <v>72</v>
      </c>
      <c r="C89">
        <v>37</v>
      </c>
      <c r="D89">
        <v>13</v>
      </c>
      <c r="E89">
        <v>0</v>
      </c>
      <c r="F89">
        <v>8271.1062536459995</v>
      </c>
      <c r="G89">
        <v>1</v>
      </c>
      <c r="H89">
        <v>1</v>
      </c>
    </row>
    <row r="90" spans="1:8" x14ac:dyDescent="0.2">
      <c r="A90" t="s">
        <v>232</v>
      </c>
      <c r="B90">
        <v>73</v>
      </c>
      <c r="C90">
        <v>38</v>
      </c>
      <c r="D90">
        <v>13</v>
      </c>
      <c r="E90">
        <v>0</v>
      </c>
      <c r="F90">
        <v>16237.0491383509</v>
      </c>
      <c r="G90">
        <v>1</v>
      </c>
      <c r="H90">
        <v>1</v>
      </c>
    </row>
    <row r="91" spans="1:8" x14ac:dyDescent="0.2">
      <c r="A91" t="s">
        <v>234</v>
      </c>
      <c r="B91">
        <v>74</v>
      </c>
      <c r="C91">
        <v>9</v>
      </c>
      <c r="D91">
        <v>32</v>
      </c>
      <c r="E91">
        <v>0</v>
      </c>
      <c r="F91">
        <v>0.53943949600216001</v>
      </c>
      <c r="G91">
        <v>1</v>
      </c>
      <c r="H91">
        <v>1</v>
      </c>
    </row>
    <row r="92" spans="1:8" x14ac:dyDescent="0.2">
      <c r="A92" t="s">
        <v>236</v>
      </c>
      <c r="B92">
        <v>75</v>
      </c>
      <c r="C92">
        <v>28</v>
      </c>
      <c r="D92">
        <v>19</v>
      </c>
      <c r="E92">
        <v>0</v>
      </c>
      <c r="F92">
        <v>15410.416043705</v>
      </c>
      <c r="G92">
        <v>1</v>
      </c>
      <c r="H92">
        <v>1</v>
      </c>
    </row>
    <row r="93" spans="1:8" x14ac:dyDescent="0.2">
      <c r="A93" t="s">
        <v>238</v>
      </c>
      <c r="B93">
        <v>76</v>
      </c>
      <c r="C93">
        <v>40</v>
      </c>
      <c r="D93">
        <v>12</v>
      </c>
      <c r="E93">
        <v>0</v>
      </c>
      <c r="F93">
        <v>4784.5909319849898</v>
      </c>
      <c r="G93">
        <v>1</v>
      </c>
      <c r="H93">
        <v>1</v>
      </c>
    </row>
    <row r="94" spans="1:8" x14ac:dyDescent="0.2">
      <c r="A94" t="s">
        <v>240</v>
      </c>
      <c r="B94">
        <v>77</v>
      </c>
      <c r="C94">
        <v>40</v>
      </c>
      <c r="D94">
        <v>13</v>
      </c>
      <c r="E94">
        <v>0</v>
      </c>
      <c r="F94">
        <v>23703.070268923999</v>
      </c>
      <c r="G94">
        <v>1</v>
      </c>
      <c r="H94">
        <v>1</v>
      </c>
    </row>
    <row r="95" spans="1:8" x14ac:dyDescent="0.2">
      <c r="A95" t="s">
        <v>242</v>
      </c>
      <c r="B95">
        <v>78</v>
      </c>
      <c r="C95">
        <v>29</v>
      </c>
      <c r="D95">
        <v>19</v>
      </c>
      <c r="E95">
        <v>0</v>
      </c>
      <c r="F95">
        <v>28822.660385587002</v>
      </c>
      <c r="G95">
        <v>1</v>
      </c>
      <c r="H95">
        <v>1</v>
      </c>
    </row>
    <row r="96" spans="1:8" x14ac:dyDescent="0.2">
      <c r="A96" t="s">
        <v>244</v>
      </c>
      <c r="B96">
        <v>79</v>
      </c>
      <c r="C96">
        <v>20</v>
      </c>
      <c r="D96">
        <v>24</v>
      </c>
      <c r="E96">
        <v>0</v>
      </c>
      <c r="F96">
        <v>1418.2379013049899</v>
      </c>
      <c r="G96">
        <v>1</v>
      </c>
      <c r="H96">
        <v>1</v>
      </c>
    </row>
    <row r="97" spans="1:8" x14ac:dyDescent="0.2">
      <c r="A97" t="s">
        <v>246</v>
      </c>
      <c r="B97">
        <v>80</v>
      </c>
      <c r="C97">
        <v>47</v>
      </c>
      <c r="D97">
        <v>11</v>
      </c>
      <c r="E97">
        <v>0</v>
      </c>
      <c r="F97">
        <v>6117.5773403909898</v>
      </c>
      <c r="G97">
        <v>1</v>
      </c>
      <c r="H97">
        <v>1</v>
      </c>
    </row>
    <row r="98" spans="1:8" x14ac:dyDescent="0.2">
      <c r="A98" t="s">
        <v>248</v>
      </c>
      <c r="B98">
        <v>81</v>
      </c>
      <c r="C98">
        <v>48</v>
      </c>
      <c r="D98">
        <v>11</v>
      </c>
      <c r="E98">
        <v>0</v>
      </c>
      <c r="F98">
        <v>6792.5744380680098</v>
      </c>
      <c r="G98">
        <v>1</v>
      </c>
      <c r="H98">
        <v>1</v>
      </c>
    </row>
    <row r="99" spans="1:8" x14ac:dyDescent="0.2">
      <c r="A99" t="s">
        <v>250</v>
      </c>
      <c r="B99">
        <v>82</v>
      </c>
      <c r="C99">
        <v>43</v>
      </c>
      <c r="D99">
        <v>13</v>
      </c>
      <c r="E99">
        <v>0</v>
      </c>
      <c r="F99">
        <v>28823.207549696901</v>
      </c>
      <c r="G99">
        <v>1</v>
      </c>
      <c r="H99">
        <v>1</v>
      </c>
    </row>
    <row r="100" spans="1:8" x14ac:dyDescent="0.2">
      <c r="A100" t="s">
        <v>252</v>
      </c>
      <c r="B100">
        <v>83</v>
      </c>
      <c r="C100">
        <v>41</v>
      </c>
      <c r="D100">
        <v>15</v>
      </c>
      <c r="E100">
        <v>0</v>
      </c>
      <c r="F100">
        <v>28875.419264220101</v>
      </c>
      <c r="G100">
        <v>1</v>
      </c>
      <c r="H100">
        <v>1</v>
      </c>
    </row>
    <row r="101" spans="1:8" x14ac:dyDescent="0.2">
      <c r="A101" t="s">
        <v>254</v>
      </c>
      <c r="B101">
        <v>84</v>
      </c>
      <c r="C101">
        <v>42</v>
      </c>
      <c r="D101">
        <v>15</v>
      </c>
      <c r="E101">
        <v>0</v>
      </c>
      <c r="F101">
        <v>28883.922912824899</v>
      </c>
      <c r="G101">
        <v>1</v>
      </c>
      <c r="H101">
        <v>1</v>
      </c>
    </row>
    <row r="102" spans="1:8" x14ac:dyDescent="0.2">
      <c r="A102" t="s">
        <v>256</v>
      </c>
      <c r="B102">
        <v>85</v>
      </c>
      <c r="C102">
        <v>23</v>
      </c>
      <c r="D102">
        <v>24</v>
      </c>
      <c r="E102">
        <v>0</v>
      </c>
      <c r="F102">
        <v>3050.9262208719701</v>
      </c>
      <c r="G102">
        <v>1</v>
      </c>
      <c r="H102">
        <v>1</v>
      </c>
    </row>
    <row r="103" spans="1:8" x14ac:dyDescent="0.2">
      <c r="A103" t="s">
        <v>258</v>
      </c>
      <c r="B103">
        <v>86</v>
      </c>
      <c r="C103">
        <v>23</v>
      </c>
      <c r="D103">
        <v>25</v>
      </c>
      <c r="E103">
        <v>0</v>
      </c>
      <c r="F103">
        <v>2330.6861149799001</v>
      </c>
      <c r="G103">
        <v>1</v>
      </c>
      <c r="H103">
        <v>1</v>
      </c>
    </row>
    <row r="104" spans="1:8" x14ac:dyDescent="0.2">
      <c r="A104" t="s">
        <v>260</v>
      </c>
      <c r="B104">
        <v>87</v>
      </c>
      <c r="C104">
        <v>45</v>
      </c>
      <c r="D104">
        <v>15</v>
      </c>
      <c r="E104">
        <v>0</v>
      </c>
      <c r="F104">
        <v>28908.270549119901</v>
      </c>
      <c r="G104">
        <v>1</v>
      </c>
      <c r="H104">
        <v>1</v>
      </c>
    </row>
    <row r="105" spans="1:8" x14ac:dyDescent="0.2">
      <c r="A105" t="s">
        <v>262</v>
      </c>
      <c r="B105">
        <v>88</v>
      </c>
      <c r="C105">
        <v>49</v>
      </c>
      <c r="D105">
        <v>13</v>
      </c>
      <c r="E105">
        <v>0</v>
      </c>
      <c r="F105">
        <v>28884.283814435301</v>
      </c>
      <c r="G105">
        <v>1</v>
      </c>
      <c r="H105">
        <v>1</v>
      </c>
    </row>
    <row r="106" spans="1:8" x14ac:dyDescent="0.2">
      <c r="A106" t="s">
        <v>264</v>
      </c>
      <c r="B106">
        <v>89</v>
      </c>
      <c r="C106">
        <v>32</v>
      </c>
      <c r="D106">
        <v>21</v>
      </c>
      <c r="E106">
        <v>0</v>
      </c>
      <c r="F106">
        <v>28892.2211597147</v>
      </c>
      <c r="G106">
        <v>1</v>
      </c>
      <c r="H106">
        <v>1</v>
      </c>
    </row>
    <row r="107" spans="1:8" x14ac:dyDescent="0.2">
      <c r="A107" t="s">
        <v>266</v>
      </c>
      <c r="B107">
        <v>90</v>
      </c>
      <c r="C107">
        <v>33</v>
      </c>
      <c r="D107">
        <v>21</v>
      </c>
      <c r="E107">
        <v>0</v>
      </c>
      <c r="F107">
        <v>28927.714732781002</v>
      </c>
      <c r="G107">
        <v>1</v>
      </c>
      <c r="H107">
        <v>1</v>
      </c>
    </row>
    <row r="108" spans="1:8" x14ac:dyDescent="0.2">
      <c r="A108" t="s">
        <v>268</v>
      </c>
      <c r="B108">
        <v>91</v>
      </c>
      <c r="C108">
        <v>26</v>
      </c>
      <c r="D108">
        <v>25</v>
      </c>
      <c r="E108">
        <v>0</v>
      </c>
      <c r="F108">
        <v>28846.163336277001</v>
      </c>
      <c r="G108">
        <v>1</v>
      </c>
      <c r="H108">
        <v>1</v>
      </c>
    </row>
    <row r="109" spans="1:8" x14ac:dyDescent="0.2">
      <c r="A109" t="s">
        <v>270</v>
      </c>
      <c r="B109">
        <v>92</v>
      </c>
      <c r="C109">
        <v>52</v>
      </c>
      <c r="D109">
        <v>13</v>
      </c>
      <c r="E109">
        <v>0</v>
      </c>
      <c r="F109">
        <v>28893.601485371499</v>
      </c>
      <c r="G109">
        <v>1</v>
      </c>
      <c r="H109">
        <v>1</v>
      </c>
    </row>
    <row r="110" spans="1:8" x14ac:dyDescent="0.2">
      <c r="A110" t="s">
        <v>272</v>
      </c>
      <c r="B110">
        <v>93</v>
      </c>
      <c r="C110">
        <v>53</v>
      </c>
      <c r="D110">
        <v>13</v>
      </c>
      <c r="E110">
        <v>0</v>
      </c>
      <c r="F110">
        <v>28892.718680799</v>
      </c>
      <c r="G110">
        <v>1</v>
      </c>
      <c r="H110">
        <v>1</v>
      </c>
    </row>
    <row r="111" spans="1:8" x14ac:dyDescent="0.2">
      <c r="A111" t="s">
        <v>274</v>
      </c>
      <c r="B111">
        <v>94</v>
      </c>
      <c r="C111">
        <v>54</v>
      </c>
      <c r="D111">
        <v>13</v>
      </c>
      <c r="E111">
        <v>0</v>
      </c>
      <c r="F111">
        <v>28891.357033096199</v>
      </c>
      <c r="G111">
        <v>1</v>
      </c>
      <c r="H111">
        <v>1</v>
      </c>
    </row>
    <row r="112" spans="1:8" x14ac:dyDescent="0.2">
      <c r="A112" t="s">
        <v>276</v>
      </c>
      <c r="B112">
        <v>95</v>
      </c>
      <c r="C112">
        <v>46</v>
      </c>
      <c r="D112">
        <v>17</v>
      </c>
      <c r="E112">
        <v>0</v>
      </c>
      <c r="F112">
        <v>28907.7467968612</v>
      </c>
      <c r="G112">
        <v>1</v>
      </c>
      <c r="H112">
        <v>1</v>
      </c>
    </row>
    <row r="113" spans="1:8" x14ac:dyDescent="0.2">
      <c r="A113" t="s">
        <v>278</v>
      </c>
      <c r="B113">
        <v>96</v>
      </c>
      <c r="C113">
        <v>48</v>
      </c>
      <c r="D113">
        <v>16</v>
      </c>
      <c r="E113">
        <v>0</v>
      </c>
      <c r="F113">
        <v>28874.521128445798</v>
      </c>
      <c r="G113">
        <v>1</v>
      </c>
      <c r="H113">
        <v>1</v>
      </c>
    </row>
    <row r="114" spans="1:8" x14ac:dyDescent="0.2">
      <c r="A114" t="s">
        <v>280</v>
      </c>
      <c r="B114">
        <v>97</v>
      </c>
      <c r="C114">
        <v>50</v>
      </c>
      <c r="D114">
        <v>15</v>
      </c>
      <c r="E114">
        <v>0</v>
      </c>
      <c r="F114">
        <v>28873.819852948101</v>
      </c>
      <c r="G114">
        <v>1</v>
      </c>
      <c r="H114">
        <v>1</v>
      </c>
    </row>
    <row r="115" spans="1:8" x14ac:dyDescent="0.2">
      <c r="A115" t="s">
        <v>282</v>
      </c>
      <c r="B115">
        <v>98</v>
      </c>
      <c r="C115">
        <v>51</v>
      </c>
      <c r="D115">
        <v>15</v>
      </c>
      <c r="E115">
        <v>0</v>
      </c>
      <c r="F115">
        <v>28878.584303379001</v>
      </c>
      <c r="G115">
        <v>1</v>
      </c>
      <c r="H115">
        <v>1</v>
      </c>
    </row>
    <row r="116" spans="1:8" x14ac:dyDescent="0.2">
      <c r="A116" t="s">
        <v>284</v>
      </c>
      <c r="B116">
        <v>99</v>
      </c>
      <c r="C116">
        <v>52</v>
      </c>
      <c r="D116">
        <v>15</v>
      </c>
      <c r="E116">
        <v>0</v>
      </c>
      <c r="F116">
        <v>28880.485087104102</v>
      </c>
      <c r="G116">
        <v>1</v>
      </c>
      <c r="H116">
        <v>1</v>
      </c>
    </row>
    <row r="117" spans="1:8" x14ac:dyDescent="0.2">
      <c r="A117" t="s">
        <v>286</v>
      </c>
      <c r="B117">
        <v>100</v>
      </c>
      <c r="C117">
        <v>52</v>
      </c>
      <c r="D117">
        <v>16</v>
      </c>
      <c r="E117">
        <v>0</v>
      </c>
      <c r="F117">
        <v>28911.2964423339</v>
      </c>
      <c r="G117">
        <v>1</v>
      </c>
      <c r="H117">
        <v>1</v>
      </c>
    </row>
    <row r="118" spans="1:8" x14ac:dyDescent="0.2">
      <c r="A118" t="s">
        <v>288</v>
      </c>
      <c r="B118">
        <v>101</v>
      </c>
      <c r="C118">
        <v>53</v>
      </c>
      <c r="D118">
        <v>15</v>
      </c>
      <c r="E118">
        <v>0</v>
      </c>
      <c r="F118">
        <v>28905.367173163999</v>
      </c>
      <c r="G118">
        <v>1</v>
      </c>
      <c r="H118">
        <v>1</v>
      </c>
    </row>
    <row r="119" spans="1:8" x14ac:dyDescent="0.2">
      <c r="A119" t="s">
        <v>290</v>
      </c>
      <c r="B119">
        <v>102</v>
      </c>
      <c r="C119">
        <v>54</v>
      </c>
      <c r="D119">
        <v>15</v>
      </c>
      <c r="E119">
        <v>0</v>
      </c>
      <c r="F119">
        <v>28883.862584250001</v>
      </c>
      <c r="G119">
        <v>1</v>
      </c>
      <c r="H119">
        <v>1</v>
      </c>
    </row>
    <row r="120" spans="1:8" x14ac:dyDescent="0.2">
      <c r="A120" t="s">
        <v>292</v>
      </c>
      <c r="B120">
        <v>103</v>
      </c>
      <c r="C120">
        <v>34</v>
      </c>
      <c r="D120">
        <v>25</v>
      </c>
      <c r="E120">
        <v>0</v>
      </c>
      <c r="F120">
        <v>28933.417087218</v>
      </c>
      <c r="G120">
        <v>1</v>
      </c>
      <c r="H120">
        <v>1</v>
      </c>
    </row>
    <row r="121" spans="1:8" x14ac:dyDescent="0.2">
      <c r="A121" t="s">
        <v>294</v>
      </c>
      <c r="B121">
        <v>104</v>
      </c>
      <c r="C121">
        <v>28</v>
      </c>
      <c r="D121">
        <v>29</v>
      </c>
      <c r="E121">
        <v>0</v>
      </c>
      <c r="F121">
        <v>28874.568781345999</v>
      </c>
      <c r="G121">
        <v>1</v>
      </c>
      <c r="H121">
        <v>1</v>
      </c>
    </row>
    <row r="122" spans="1:8" x14ac:dyDescent="0.2">
      <c r="A122" t="s">
        <v>296</v>
      </c>
      <c r="B122">
        <v>105</v>
      </c>
      <c r="C122">
        <v>54</v>
      </c>
      <c r="D122">
        <v>17</v>
      </c>
      <c r="E122">
        <v>0</v>
      </c>
      <c r="F122">
        <v>28957.882298275999</v>
      </c>
      <c r="G122">
        <v>1</v>
      </c>
      <c r="H122">
        <v>1</v>
      </c>
    </row>
    <row r="123" spans="1:8" x14ac:dyDescent="0.2">
      <c r="A123" t="s">
        <v>298</v>
      </c>
      <c r="B123">
        <v>106</v>
      </c>
      <c r="C123">
        <v>44</v>
      </c>
      <c r="D123">
        <v>21</v>
      </c>
      <c r="E123">
        <v>0</v>
      </c>
      <c r="F123">
        <v>28939.663593371999</v>
      </c>
      <c r="G123">
        <v>1</v>
      </c>
      <c r="H123">
        <v>1</v>
      </c>
    </row>
    <row r="124" spans="1:8" x14ac:dyDescent="0.2">
      <c r="A124" t="s">
        <v>300</v>
      </c>
      <c r="B124">
        <v>107</v>
      </c>
      <c r="C124">
        <v>45</v>
      </c>
      <c r="D124">
        <v>21</v>
      </c>
      <c r="E124">
        <v>0</v>
      </c>
      <c r="F124">
        <v>28924.150134643001</v>
      </c>
      <c r="G124">
        <v>1</v>
      </c>
      <c r="H124">
        <v>1</v>
      </c>
    </row>
    <row r="125" spans="1:8" x14ac:dyDescent="0.2">
      <c r="A125" t="s">
        <v>302</v>
      </c>
      <c r="B125">
        <v>108</v>
      </c>
      <c r="C125">
        <v>55</v>
      </c>
      <c r="D125">
        <v>17</v>
      </c>
      <c r="E125">
        <v>0</v>
      </c>
      <c r="F125">
        <v>28911.293125730899</v>
      </c>
      <c r="G125">
        <v>1</v>
      </c>
      <c r="H125">
        <v>1</v>
      </c>
    </row>
    <row r="126" spans="1:8" x14ac:dyDescent="0.2">
      <c r="A126" t="s">
        <v>304</v>
      </c>
      <c r="B126">
        <v>109</v>
      </c>
      <c r="C126">
        <v>37</v>
      </c>
      <c r="D126">
        <v>25</v>
      </c>
      <c r="E126">
        <v>0</v>
      </c>
      <c r="F126">
        <v>28940.409093804901</v>
      </c>
      <c r="G126">
        <v>1</v>
      </c>
      <c r="H126">
        <v>1</v>
      </c>
    </row>
    <row r="127" spans="1:8" x14ac:dyDescent="0.2">
      <c r="A127" t="s">
        <v>306</v>
      </c>
      <c r="B127">
        <v>110</v>
      </c>
      <c r="C127">
        <v>33</v>
      </c>
      <c r="D127">
        <v>28</v>
      </c>
      <c r="E127">
        <v>0</v>
      </c>
      <c r="F127">
        <v>28911.609277278101</v>
      </c>
      <c r="G127">
        <v>1</v>
      </c>
      <c r="H127">
        <v>1</v>
      </c>
    </row>
    <row r="128" spans="1:8" x14ac:dyDescent="0.2">
      <c r="A128" t="s">
        <v>308</v>
      </c>
      <c r="B128">
        <v>111</v>
      </c>
      <c r="C128">
        <v>57</v>
      </c>
      <c r="D128">
        <v>17</v>
      </c>
      <c r="E128">
        <v>0</v>
      </c>
      <c r="F128">
        <v>28902.054175428999</v>
      </c>
      <c r="G128">
        <v>1</v>
      </c>
      <c r="H128">
        <v>1</v>
      </c>
    </row>
    <row r="129" spans="1:8" x14ac:dyDescent="0.2">
      <c r="A129" t="s">
        <v>310</v>
      </c>
      <c r="B129">
        <v>112</v>
      </c>
      <c r="C129">
        <v>36</v>
      </c>
      <c r="D129">
        <v>27</v>
      </c>
      <c r="E129">
        <v>0</v>
      </c>
      <c r="F129">
        <v>28933.182339548999</v>
      </c>
      <c r="G129">
        <v>1</v>
      </c>
      <c r="H129">
        <v>1</v>
      </c>
    </row>
    <row r="130" spans="1:8" x14ac:dyDescent="0.2">
      <c r="A130" t="s">
        <v>312</v>
      </c>
      <c r="B130">
        <v>113</v>
      </c>
      <c r="C130">
        <v>26</v>
      </c>
      <c r="D130">
        <v>34</v>
      </c>
      <c r="E130">
        <v>0</v>
      </c>
      <c r="F130">
        <v>28873.291169799799</v>
      </c>
      <c r="G130">
        <v>1</v>
      </c>
      <c r="H130">
        <v>1</v>
      </c>
    </row>
    <row r="131" spans="1:8" x14ac:dyDescent="0.2">
      <c r="A131" t="s">
        <v>314</v>
      </c>
      <c r="B131">
        <v>114</v>
      </c>
      <c r="C131">
        <v>27</v>
      </c>
      <c r="D131">
        <v>34</v>
      </c>
      <c r="E131">
        <v>0</v>
      </c>
      <c r="F131">
        <v>28890.8215420097</v>
      </c>
      <c r="G131">
        <v>1</v>
      </c>
      <c r="H131">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dimension ref="A1:I124"/>
  <sheetViews>
    <sheetView workbookViewId="0"/>
  </sheetViews>
  <sheetFormatPr baseColWidth="10" defaultColWidth="11" defaultRowHeight="16" x14ac:dyDescent="0.2"/>
  <sheetData>
    <row r="1" spans="1:1" x14ac:dyDescent="0.2">
      <c r="A1" t="s">
        <v>70</v>
      </c>
    </row>
    <row r="2" spans="1:1" x14ac:dyDescent="0.2">
      <c r="A2" t="s">
        <v>71</v>
      </c>
    </row>
    <row r="3" spans="1:1" x14ac:dyDescent="0.2">
      <c r="A3" t="s">
        <v>73</v>
      </c>
    </row>
    <row r="4" spans="1:1" x14ac:dyDescent="0.2">
      <c r="A4" s="21" t="s">
        <v>74</v>
      </c>
    </row>
    <row r="5" spans="1:1" x14ac:dyDescent="0.2">
      <c r="A5" s="21" t="s">
        <v>901</v>
      </c>
    </row>
    <row r="6" spans="1:1" x14ac:dyDescent="0.2">
      <c r="A6" t="s">
        <v>76</v>
      </c>
    </row>
    <row r="7" spans="1:1" x14ac:dyDescent="0.2">
      <c r="A7" t="s">
        <v>345</v>
      </c>
    </row>
    <row r="8" spans="1:1" x14ac:dyDescent="0.2">
      <c r="A8" s="21" t="s">
        <v>78</v>
      </c>
    </row>
    <row r="9" spans="1:1" x14ac:dyDescent="0.2">
      <c r="A9" t="s">
        <v>79</v>
      </c>
    </row>
    <row r="10" spans="1:1" x14ac:dyDescent="0.2">
      <c r="A10" t="s">
        <v>80</v>
      </c>
    </row>
    <row r="11" spans="1:1" x14ac:dyDescent="0.2">
      <c r="A11" t="s">
        <v>81</v>
      </c>
    </row>
    <row r="12" spans="1:1" x14ac:dyDescent="0.2">
      <c r="A12" t="s">
        <v>82</v>
      </c>
    </row>
    <row r="13" spans="1:1" x14ac:dyDescent="0.2">
      <c r="A13" t="s">
        <v>83</v>
      </c>
    </row>
    <row r="14" spans="1:1" x14ac:dyDescent="0.2">
      <c r="A14" t="s">
        <v>84</v>
      </c>
    </row>
    <row r="15" spans="1:1" x14ac:dyDescent="0.2">
      <c r="A15" t="s">
        <v>85</v>
      </c>
    </row>
    <row r="16" spans="1:1" x14ac:dyDescent="0.2">
      <c r="A16" t="s">
        <v>86</v>
      </c>
    </row>
    <row r="17" spans="1:9" x14ac:dyDescent="0.2">
      <c r="A17" t="s">
        <v>87</v>
      </c>
    </row>
    <row r="18" spans="1:9" x14ac:dyDescent="0.2">
      <c r="A18" t="s">
        <v>346</v>
      </c>
    </row>
    <row r="19" spans="1:9" x14ac:dyDescent="0.2">
      <c r="A19" t="s">
        <v>89</v>
      </c>
    </row>
    <row r="20" spans="1:9" x14ac:dyDescent="0.2">
      <c r="A20" t="s">
        <v>92</v>
      </c>
    </row>
    <row r="21" spans="1:9" x14ac:dyDescent="0.2">
      <c r="A21" t="s">
        <v>902</v>
      </c>
    </row>
    <row r="22" spans="1:9" x14ac:dyDescent="0.2">
      <c r="A22" t="s">
        <v>93</v>
      </c>
    </row>
    <row r="23" spans="1:9" x14ac:dyDescent="0.2">
      <c r="A23" t="s">
        <v>903</v>
      </c>
    </row>
    <row r="24" spans="1:9" x14ac:dyDescent="0.2">
      <c r="A24" t="s">
        <v>95</v>
      </c>
    </row>
    <row r="25" spans="1:9" x14ac:dyDescent="0.2">
      <c r="A25" t="s">
        <v>96</v>
      </c>
      <c r="B25" t="s">
        <v>61</v>
      </c>
      <c r="C25" t="s">
        <v>97</v>
      </c>
      <c r="D25" t="s">
        <v>98</v>
      </c>
      <c r="E25" t="s">
        <v>99</v>
      </c>
      <c r="F25" t="s">
        <v>100</v>
      </c>
      <c r="G25" t="s">
        <v>58</v>
      </c>
      <c r="H25" t="s">
        <v>59</v>
      </c>
      <c r="I25" t="s">
        <v>101</v>
      </c>
    </row>
    <row r="26" spans="1:9" x14ac:dyDescent="0.2">
      <c r="A26" t="s">
        <v>102</v>
      </c>
      <c r="B26">
        <v>5</v>
      </c>
      <c r="C26">
        <v>3</v>
      </c>
      <c r="D26">
        <v>2</v>
      </c>
      <c r="E26">
        <v>0</v>
      </c>
      <c r="F26">
        <v>1.3091833999993601E-2</v>
      </c>
      <c r="G26">
        <v>1</v>
      </c>
      <c r="H26">
        <v>1</v>
      </c>
      <c r="I26" t="s">
        <v>904</v>
      </c>
    </row>
    <row r="27" spans="1:9" x14ac:dyDescent="0.2">
      <c r="A27" t="s">
        <v>104</v>
      </c>
      <c r="B27">
        <v>6</v>
      </c>
      <c r="C27">
        <v>3</v>
      </c>
      <c r="D27">
        <v>3</v>
      </c>
      <c r="E27">
        <v>0</v>
      </c>
      <c r="F27">
        <v>0.26379550300001098</v>
      </c>
      <c r="G27">
        <v>1</v>
      </c>
      <c r="H27">
        <v>1</v>
      </c>
      <c r="I27" t="s">
        <v>905</v>
      </c>
    </row>
    <row r="28" spans="1:9" x14ac:dyDescent="0.2">
      <c r="A28" t="s">
        <v>106</v>
      </c>
      <c r="B28">
        <v>7</v>
      </c>
      <c r="C28">
        <v>3</v>
      </c>
      <c r="D28">
        <v>4</v>
      </c>
      <c r="E28">
        <v>0</v>
      </c>
      <c r="F28">
        <v>3.6521911999983503E-2</v>
      </c>
      <c r="G28">
        <v>1</v>
      </c>
      <c r="H28">
        <v>1</v>
      </c>
      <c r="I28" t="s">
        <v>906</v>
      </c>
    </row>
    <row r="29" spans="1:9" x14ac:dyDescent="0.2">
      <c r="A29" t="s">
        <v>108</v>
      </c>
      <c r="B29">
        <v>8</v>
      </c>
      <c r="C29">
        <v>3</v>
      </c>
      <c r="D29">
        <v>4</v>
      </c>
      <c r="E29">
        <v>0</v>
      </c>
      <c r="F29">
        <v>9.8388170000021005E-3</v>
      </c>
      <c r="G29">
        <v>1</v>
      </c>
      <c r="H29">
        <v>1</v>
      </c>
      <c r="I29" t="s">
        <v>907</v>
      </c>
    </row>
    <row r="30" spans="1:9" x14ac:dyDescent="0.2">
      <c r="A30" t="s">
        <v>110</v>
      </c>
      <c r="B30">
        <v>9</v>
      </c>
      <c r="C30">
        <v>5</v>
      </c>
      <c r="D30">
        <v>3</v>
      </c>
      <c r="E30">
        <v>0</v>
      </c>
      <c r="F30">
        <v>1.42623640000181E-2</v>
      </c>
      <c r="G30">
        <v>1</v>
      </c>
      <c r="H30">
        <v>1</v>
      </c>
      <c r="I30" t="s">
        <v>908</v>
      </c>
    </row>
    <row r="31" spans="1:9" x14ac:dyDescent="0.2">
      <c r="A31" t="s">
        <v>112</v>
      </c>
      <c r="B31">
        <v>10</v>
      </c>
      <c r="C31">
        <v>3</v>
      </c>
      <c r="D31">
        <v>5</v>
      </c>
      <c r="E31">
        <v>0</v>
      </c>
      <c r="F31">
        <v>8.1748810000021807E-3</v>
      </c>
      <c r="G31">
        <v>1</v>
      </c>
      <c r="H31">
        <v>1</v>
      </c>
      <c r="I31" t="s">
        <v>909</v>
      </c>
    </row>
    <row r="32" spans="1:9" x14ac:dyDescent="0.2">
      <c r="A32" t="s">
        <v>114</v>
      </c>
      <c r="B32">
        <v>11</v>
      </c>
      <c r="C32">
        <v>3</v>
      </c>
      <c r="D32">
        <v>6</v>
      </c>
      <c r="E32">
        <v>0</v>
      </c>
      <c r="F32">
        <v>1.3085722999989001E-2</v>
      </c>
      <c r="G32">
        <v>1</v>
      </c>
      <c r="H32">
        <v>1</v>
      </c>
      <c r="I32" t="s">
        <v>910</v>
      </c>
    </row>
    <row r="33" spans="1:9" x14ac:dyDescent="0.2">
      <c r="A33" t="s">
        <v>116</v>
      </c>
      <c r="B33">
        <v>12</v>
      </c>
      <c r="C33">
        <v>3</v>
      </c>
      <c r="D33">
        <v>6</v>
      </c>
      <c r="E33">
        <v>0</v>
      </c>
      <c r="F33">
        <v>2.2878967999986299E-2</v>
      </c>
      <c r="G33">
        <v>1</v>
      </c>
      <c r="H33">
        <v>1</v>
      </c>
      <c r="I33" t="s">
        <v>911</v>
      </c>
    </row>
    <row r="34" spans="1:9" x14ac:dyDescent="0.2">
      <c r="A34" t="s">
        <v>118</v>
      </c>
      <c r="B34">
        <v>13</v>
      </c>
      <c r="C34">
        <v>5</v>
      </c>
      <c r="D34">
        <v>5</v>
      </c>
      <c r="E34">
        <v>0</v>
      </c>
      <c r="F34">
        <v>4.113399000002E-2</v>
      </c>
      <c r="G34">
        <v>1</v>
      </c>
      <c r="H34">
        <v>1</v>
      </c>
      <c r="I34" t="s">
        <v>912</v>
      </c>
    </row>
    <row r="35" spans="1:9" x14ac:dyDescent="0.2">
      <c r="A35" t="s">
        <v>120</v>
      </c>
      <c r="B35">
        <v>14</v>
      </c>
      <c r="C35">
        <v>6</v>
      </c>
      <c r="D35">
        <v>5</v>
      </c>
      <c r="E35">
        <v>0</v>
      </c>
      <c r="F35">
        <v>1.86365819999991E-2</v>
      </c>
      <c r="G35">
        <v>1</v>
      </c>
      <c r="H35">
        <v>1</v>
      </c>
      <c r="I35" t="s">
        <v>913</v>
      </c>
    </row>
    <row r="36" spans="1:9" x14ac:dyDescent="0.2">
      <c r="A36" t="s">
        <v>122</v>
      </c>
      <c r="B36">
        <v>15</v>
      </c>
      <c r="C36">
        <v>7</v>
      </c>
      <c r="D36">
        <v>5</v>
      </c>
      <c r="E36">
        <v>0</v>
      </c>
      <c r="F36">
        <v>2.2761113999990801E-2</v>
      </c>
      <c r="G36">
        <v>1</v>
      </c>
      <c r="H36">
        <v>1</v>
      </c>
      <c r="I36" t="s">
        <v>914</v>
      </c>
    </row>
    <row r="37" spans="1:9" x14ac:dyDescent="0.2">
      <c r="A37" t="s">
        <v>124</v>
      </c>
      <c r="B37">
        <v>16</v>
      </c>
      <c r="C37">
        <v>8</v>
      </c>
      <c r="D37">
        <v>5</v>
      </c>
      <c r="E37">
        <v>0</v>
      </c>
      <c r="F37">
        <v>3.6844545999997501E-2</v>
      </c>
      <c r="G37">
        <v>1</v>
      </c>
      <c r="H37">
        <v>1</v>
      </c>
      <c r="I37" t="s">
        <v>915</v>
      </c>
    </row>
    <row r="38" spans="1:9" x14ac:dyDescent="0.2">
      <c r="A38" t="s">
        <v>126</v>
      </c>
      <c r="B38">
        <v>20</v>
      </c>
      <c r="C38">
        <v>5</v>
      </c>
      <c r="D38">
        <v>9</v>
      </c>
      <c r="E38">
        <v>0</v>
      </c>
      <c r="F38">
        <v>0.102639059000011</v>
      </c>
      <c r="G38">
        <v>1</v>
      </c>
      <c r="H38">
        <v>1</v>
      </c>
      <c r="I38" t="s">
        <v>916</v>
      </c>
    </row>
    <row r="39" spans="1:9" x14ac:dyDescent="0.2">
      <c r="A39" t="s">
        <v>128</v>
      </c>
      <c r="B39">
        <v>21</v>
      </c>
      <c r="C39">
        <v>5</v>
      </c>
      <c r="D39">
        <v>10</v>
      </c>
      <c r="E39">
        <v>0</v>
      </c>
      <c r="F39">
        <v>4.6229745000004999E-2</v>
      </c>
      <c r="G39">
        <v>1</v>
      </c>
      <c r="H39">
        <v>1</v>
      </c>
      <c r="I39" t="s">
        <v>917</v>
      </c>
    </row>
    <row r="40" spans="1:9" x14ac:dyDescent="0.2">
      <c r="A40" t="s">
        <v>130</v>
      </c>
      <c r="B40">
        <v>22</v>
      </c>
      <c r="C40">
        <v>6</v>
      </c>
      <c r="D40">
        <v>9</v>
      </c>
      <c r="E40">
        <v>0</v>
      </c>
      <c r="F40">
        <v>0.108746168999999</v>
      </c>
      <c r="G40">
        <v>1</v>
      </c>
      <c r="H40">
        <v>1</v>
      </c>
      <c r="I40" t="s">
        <v>918</v>
      </c>
    </row>
    <row r="41" spans="1:9" x14ac:dyDescent="0.2">
      <c r="A41" t="s">
        <v>132</v>
      </c>
      <c r="B41">
        <v>23</v>
      </c>
      <c r="C41">
        <v>7</v>
      </c>
      <c r="D41">
        <v>9</v>
      </c>
      <c r="E41">
        <v>0</v>
      </c>
      <c r="F41">
        <v>0.111502882999985</v>
      </c>
      <c r="G41">
        <v>1</v>
      </c>
      <c r="H41">
        <v>1</v>
      </c>
      <c r="I41" t="s">
        <v>919</v>
      </c>
    </row>
    <row r="42" spans="1:9" x14ac:dyDescent="0.2">
      <c r="A42" t="s">
        <v>134</v>
      </c>
      <c r="B42">
        <v>24</v>
      </c>
      <c r="C42">
        <v>3</v>
      </c>
      <c r="D42">
        <v>13</v>
      </c>
      <c r="E42">
        <v>0</v>
      </c>
      <c r="F42">
        <v>4.8861657000003299E-2</v>
      </c>
      <c r="G42">
        <v>1</v>
      </c>
      <c r="H42">
        <v>1</v>
      </c>
      <c r="I42" t="s">
        <v>920</v>
      </c>
    </row>
    <row r="43" spans="1:9" x14ac:dyDescent="0.2">
      <c r="A43" t="s">
        <v>136</v>
      </c>
      <c r="B43">
        <v>25</v>
      </c>
      <c r="C43">
        <v>15</v>
      </c>
      <c r="D43">
        <v>5</v>
      </c>
      <c r="E43">
        <v>0</v>
      </c>
      <c r="F43">
        <v>0.152609635999994</v>
      </c>
      <c r="G43">
        <v>1</v>
      </c>
      <c r="H43">
        <v>1</v>
      </c>
      <c r="I43" t="s">
        <v>921</v>
      </c>
    </row>
    <row r="44" spans="1:9" x14ac:dyDescent="0.2">
      <c r="A44" t="s">
        <v>138</v>
      </c>
      <c r="B44">
        <v>26</v>
      </c>
      <c r="C44">
        <v>9</v>
      </c>
      <c r="D44">
        <v>9</v>
      </c>
      <c r="E44">
        <v>0</v>
      </c>
      <c r="F44">
        <v>0.29362409500001202</v>
      </c>
      <c r="G44">
        <v>1</v>
      </c>
      <c r="H44">
        <v>1</v>
      </c>
      <c r="I44" t="s">
        <v>922</v>
      </c>
    </row>
    <row r="45" spans="1:9" x14ac:dyDescent="0.2">
      <c r="A45" t="s">
        <v>140</v>
      </c>
      <c r="B45">
        <v>27</v>
      </c>
      <c r="C45">
        <v>10</v>
      </c>
      <c r="D45">
        <v>9</v>
      </c>
      <c r="E45">
        <v>0</v>
      </c>
      <c r="F45">
        <v>0.45211913099998902</v>
      </c>
      <c r="G45">
        <v>1</v>
      </c>
      <c r="H45">
        <v>1</v>
      </c>
      <c r="I45" t="s">
        <v>923</v>
      </c>
    </row>
    <row r="46" spans="1:9" x14ac:dyDescent="0.2">
      <c r="A46" t="s">
        <v>142</v>
      </c>
      <c r="B46">
        <v>28</v>
      </c>
      <c r="C46">
        <v>18</v>
      </c>
      <c r="D46">
        <v>5</v>
      </c>
      <c r="E46">
        <v>0</v>
      </c>
      <c r="F46">
        <v>0.180053212000018</v>
      </c>
      <c r="G46">
        <v>1</v>
      </c>
      <c r="H46">
        <v>1</v>
      </c>
      <c r="I46" t="s">
        <v>924</v>
      </c>
    </row>
    <row r="47" spans="1:9" x14ac:dyDescent="0.2">
      <c r="A47" t="s">
        <v>144</v>
      </c>
      <c r="B47">
        <v>29</v>
      </c>
      <c r="C47">
        <v>6</v>
      </c>
      <c r="D47">
        <v>13</v>
      </c>
      <c r="E47">
        <v>0</v>
      </c>
      <c r="F47">
        <v>0.20848557899998299</v>
      </c>
      <c r="G47">
        <v>1</v>
      </c>
      <c r="H47">
        <v>1</v>
      </c>
      <c r="I47" t="s">
        <v>925</v>
      </c>
    </row>
    <row r="48" spans="1:9" x14ac:dyDescent="0.2">
      <c r="A48" t="s">
        <v>146</v>
      </c>
      <c r="B48">
        <v>30</v>
      </c>
      <c r="C48">
        <v>6</v>
      </c>
      <c r="D48">
        <v>14</v>
      </c>
      <c r="E48">
        <v>0</v>
      </c>
      <c r="F48">
        <v>0.22005441600000999</v>
      </c>
      <c r="G48">
        <v>1</v>
      </c>
      <c r="H48">
        <v>1</v>
      </c>
      <c r="I48" t="s">
        <v>926</v>
      </c>
    </row>
    <row r="49" spans="1:9" x14ac:dyDescent="0.2">
      <c r="A49" t="s">
        <v>148</v>
      </c>
      <c r="B49">
        <v>31</v>
      </c>
      <c r="C49">
        <v>3</v>
      </c>
      <c r="D49">
        <v>17</v>
      </c>
      <c r="E49">
        <v>0</v>
      </c>
      <c r="F49">
        <v>5.7198543999987798E-2</v>
      </c>
      <c r="G49">
        <v>1</v>
      </c>
      <c r="H49">
        <v>1</v>
      </c>
      <c r="I49" t="s">
        <v>927</v>
      </c>
    </row>
    <row r="50" spans="1:9" x14ac:dyDescent="0.2">
      <c r="A50" t="s">
        <v>150</v>
      </c>
      <c r="B50">
        <v>32</v>
      </c>
      <c r="C50">
        <v>8</v>
      </c>
      <c r="D50">
        <v>13</v>
      </c>
      <c r="E50">
        <v>0</v>
      </c>
      <c r="F50">
        <v>0.52079960500000699</v>
      </c>
      <c r="G50">
        <v>1</v>
      </c>
      <c r="H50">
        <v>1</v>
      </c>
      <c r="I50" t="s">
        <v>928</v>
      </c>
    </row>
    <row r="51" spans="1:9" x14ac:dyDescent="0.2">
      <c r="A51" t="s">
        <v>152</v>
      </c>
      <c r="B51">
        <v>33</v>
      </c>
      <c r="C51">
        <v>18</v>
      </c>
      <c r="D51">
        <v>7</v>
      </c>
      <c r="E51">
        <v>0</v>
      </c>
      <c r="F51">
        <v>0.97787918800000195</v>
      </c>
      <c r="G51">
        <v>1</v>
      </c>
      <c r="H51">
        <v>1</v>
      </c>
      <c r="I51" t="s">
        <v>929</v>
      </c>
    </row>
    <row r="52" spans="1:9" x14ac:dyDescent="0.2">
      <c r="A52" t="s">
        <v>154</v>
      </c>
      <c r="B52">
        <v>34</v>
      </c>
      <c r="C52">
        <v>4</v>
      </c>
      <c r="D52">
        <v>17</v>
      </c>
      <c r="E52">
        <v>0</v>
      </c>
      <c r="F52">
        <v>8.5984198999994904E-2</v>
      </c>
      <c r="G52">
        <v>1</v>
      </c>
      <c r="H52">
        <v>1</v>
      </c>
      <c r="I52" t="s">
        <v>930</v>
      </c>
    </row>
    <row r="53" spans="1:9" x14ac:dyDescent="0.2">
      <c r="A53" t="s">
        <v>156</v>
      </c>
      <c r="B53">
        <v>35</v>
      </c>
      <c r="C53">
        <v>20</v>
      </c>
      <c r="D53">
        <v>7</v>
      </c>
      <c r="E53">
        <v>0</v>
      </c>
      <c r="F53">
        <v>1.40822610199998</v>
      </c>
      <c r="G53">
        <v>1</v>
      </c>
      <c r="H53">
        <v>1</v>
      </c>
      <c r="I53" t="s">
        <v>931</v>
      </c>
    </row>
    <row r="54" spans="1:9" x14ac:dyDescent="0.2">
      <c r="A54" t="s">
        <v>158</v>
      </c>
      <c r="B54">
        <v>36</v>
      </c>
      <c r="C54">
        <v>5</v>
      </c>
      <c r="D54">
        <v>17</v>
      </c>
      <c r="E54">
        <v>0</v>
      </c>
      <c r="F54">
        <v>0.147193634000018</v>
      </c>
      <c r="G54">
        <v>1</v>
      </c>
      <c r="H54">
        <v>1</v>
      </c>
      <c r="I54" t="s">
        <v>932</v>
      </c>
    </row>
    <row r="55" spans="1:9" x14ac:dyDescent="0.2">
      <c r="A55" t="s">
        <v>160</v>
      </c>
      <c r="B55">
        <v>37</v>
      </c>
      <c r="C55">
        <v>6</v>
      </c>
      <c r="D55">
        <v>17</v>
      </c>
      <c r="E55">
        <v>0</v>
      </c>
      <c r="F55">
        <v>0.26095995200000699</v>
      </c>
      <c r="G55">
        <v>1</v>
      </c>
      <c r="H55">
        <v>1</v>
      </c>
      <c r="I55" t="s">
        <v>933</v>
      </c>
    </row>
    <row r="56" spans="1:9" x14ac:dyDescent="0.2">
      <c r="A56" t="s">
        <v>162</v>
      </c>
      <c r="B56">
        <v>38</v>
      </c>
      <c r="C56">
        <v>3</v>
      </c>
      <c r="D56">
        <v>21</v>
      </c>
      <c r="E56">
        <v>0</v>
      </c>
      <c r="F56">
        <v>5.7191941999974398E-2</v>
      </c>
      <c r="G56">
        <v>1</v>
      </c>
      <c r="H56">
        <v>1</v>
      </c>
      <c r="I56" t="s">
        <v>934</v>
      </c>
    </row>
    <row r="57" spans="1:9" x14ac:dyDescent="0.2">
      <c r="A57" t="s">
        <v>164</v>
      </c>
      <c r="B57">
        <v>39</v>
      </c>
      <c r="C57">
        <v>7</v>
      </c>
      <c r="D57">
        <v>17</v>
      </c>
      <c r="E57">
        <v>0</v>
      </c>
      <c r="F57">
        <v>0.48068314200000301</v>
      </c>
      <c r="G57">
        <v>1</v>
      </c>
      <c r="H57">
        <v>1</v>
      </c>
      <c r="I57" t="s">
        <v>935</v>
      </c>
    </row>
    <row r="58" spans="1:9" x14ac:dyDescent="0.2">
      <c r="A58" t="s">
        <v>166</v>
      </c>
      <c r="B58">
        <v>40</v>
      </c>
      <c r="C58">
        <v>13</v>
      </c>
      <c r="D58">
        <v>13</v>
      </c>
      <c r="E58">
        <v>0</v>
      </c>
      <c r="F58">
        <v>4.2709355919999998</v>
      </c>
      <c r="G58">
        <v>1</v>
      </c>
      <c r="H58">
        <v>1</v>
      </c>
      <c r="I58" t="s">
        <v>936</v>
      </c>
    </row>
    <row r="59" spans="1:9" x14ac:dyDescent="0.2">
      <c r="A59" t="s">
        <v>168</v>
      </c>
      <c r="B59">
        <v>41</v>
      </c>
      <c r="C59">
        <v>8</v>
      </c>
      <c r="D59">
        <v>17</v>
      </c>
      <c r="E59">
        <v>0</v>
      </c>
      <c r="F59">
        <v>0.66253385100000595</v>
      </c>
      <c r="G59">
        <v>1</v>
      </c>
      <c r="H59">
        <v>1</v>
      </c>
      <c r="I59" t="s">
        <v>937</v>
      </c>
    </row>
    <row r="60" spans="1:9" x14ac:dyDescent="0.2">
      <c r="A60" t="s">
        <v>170</v>
      </c>
      <c r="B60">
        <v>42</v>
      </c>
      <c r="C60">
        <v>9</v>
      </c>
      <c r="D60">
        <v>17</v>
      </c>
      <c r="E60">
        <v>0</v>
      </c>
      <c r="F60">
        <v>1.0426757609999899</v>
      </c>
      <c r="G60">
        <v>1</v>
      </c>
      <c r="H60">
        <v>1</v>
      </c>
      <c r="I60" t="s">
        <v>938</v>
      </c>
    </row>
    <row r="61" spans="1:9" x14ac:dyDescent="0.2">
      <c r="A61" t="s">
        <v>172</v>
      </c>
      <c r="B61">
        <v>43</v>
      </c>
      <c r="C61">
        <v>22</v>
      </c>
      <c r="D61">
        <v>9</v>
      </c>
      <c r="E61">
        <v>0</v>
      </c>
      <c r="F61">
        <v>12.805042587000001</v>
      </c>
      <c r="G61">
        <v>1</v>
      </c>
      <c r="H61">
        <v>1</v>
      </c>
      <c r="I61" t="s">
        <v>939</v>
      </c>
    </row>
    <row r="62" spans="1:9" x14ac:dyDescent="0.2">
      <c r="A62" t="s">
        <v>174</v>
      </c>
      <c r="B62">
        <v>44</v>
      </c>
      <c r="C62">
        <v>23</v>
      </c>
      <c r="D62">
        <v>9</v>
      </c>
      <c r="E62">
        <v>0</v>
      </c>
      <c r="F62">
        <v>16.912995155000001</v>
      </c>
      <c r="G62">
        <v>1</v>
      </c>
      <c r="H62">
        <v>1</v>
      </c>
      <c r="I62" t="s">
        <v>940</v>
      </c>
    </row>
    <row r="63" spans="1:9" x14ac:dyDescent="0.2">
      <c r="A63" t="s">
        <v>176</v>
      </c>
      <c r="B63">
        <v>45</v>
      </c>
      <c r="C63">
        <v>24</v>
      </c>
      <c r="D63">
        <v>9</v>
      </c>
      <c r="E63">
        <v>0</v>
      </c>
      <c r="F63">
        <v>21.359444230000001</v>
      </c>
      <c r="G63">
        <v>1</v>
      </c>
      <c r="H63">
        <v>1</v>
      </c>
      <c r="I63" t="s">
        <v>941</v>
      </c>
    </row>
    <row r="64" spans="1:9" x14ac:dyDescent="0.2">
      <c r="A64" t="s">
        <v>178</v>
      </c>
      <c r="B64">
        <v>46</v>
      </c>
      <c r="C64">
        <v>15</v>
      </c>
      <c r="D64">
        <v>15</v>
      </c>
      <c r="E64">
        <v>0</v>
      </c>
      <c r="F64">
        <v>25.5154301409999</v>
      </c>
      <c r="G64">
        <v>1</v>
      </c>
      <c r="H64">
        <v>1</v>
      </c>
      <c r="I64" t="s">
        <v>942</v>
      </c>
    </row>
    <row r="65" spans="1:9" x14ac:dyDescent="0.2">
      <c r="A65" t="s">
        <v>180</v>
      </c>
      <c r="B65">
        <v>47</v>
      </c>
      <c r="C65">
        <v>25</v>
      </c>
      <c r="D65">
        <v>9</v>
      </c>
      <c r="E65">
        <v>0</v>
      </c>
      <c r="F65">
        <v>23.182038046999899</v>
      </c>
      <c r="G65">
        <v>1</v>
      </c>
      <c r="H65">
        <v>1</v>
      </c>
      <c r="I65" t="s">
        <v>943</v>
      </c>
    </row>
    <row r="66" spans="1:9" x14ac:dyDescent="0.2">
      <c r="A66" t="s">
        <v>182</v>
      </c>
      <c r="B66">
        <v>48</v>
      </c>
      <c r="C66">
        <v>26</v>
      </c>
      <c r="D66">
        <v>9</v>
      </c>
      <c r="E66">
        <v>0</v>
      </c>
      <c r="F66">
        <v>30.479699176</v>
      </c>
      <c r="G66">
        <v>1</v>
      </c>
      <c r="H66">
        <v>1</v>
      </c>
      <c r="I66" t="s">
        <v>944</v>
      </c>
    </row>
    <row r="67" spans="1:9" x14ac:dyDescent="0.2">
      <c r="A67" t="s">
        <v>184</v>
      </c>
      <c r="B67">
        <v>49</v>
      </c>
      <c r="C67">
        <v>4</v>
      </c>
      <c r="D67">
        <v>25</v>
      </c>
      <c r="E67">
        <v>0</v>
      </c>
      <c r="F67">
        <v>0.26291152499999199</v>
      </c>
      <c r="G67">
        <v>1</v>
      </c>
      <c r="H67">
        <v>1</v>
      </c>
      <c r="I67" t="s">
        <v>945</v>
      </c>
    </row>
    <row r="68" spans="1:9" x14ac:dyDescent="0.2">
      <c r="A68" t="s">
        <v>186</v>
      </c>
      <c r="B68">
        <v>50</v>
      </c>
      <c r="C68">
        <v>19</v>
      </c>
      <c r="D68">
        <v>13</v>
      </c>
      <c r="E68">
        <v>0</v>
      </c>
      <c r="F68">
        <v>76.035392927999894</v>
      </c>
      <c r="G68">
        <v>1</v>
      </c>
      <c r="H68">
        <v>1</v>
      </c>
      <c r="I68" t="s">
        <v>946</v>
      </c>
    </row>
    <row r="69" spans="1:9" x14ac:dyDescent="0.2">
      <c r="A69" t="s">
        <v>188</v>
      </c>
      <c r="B69">
        <v>51</v>
      </c>
      <c r="C69">
        <v>28</v>
      </c>
      <c r="D69">
        <v>9</v>
      </c>
      <c r="E69">
        <v>0</v>
      </c>
      <c r="F69">
        <v>42.591046566999999</v>
      </c>
      <c r="G69">
        <v>1</v>
      </c>
      <c r="H69">
        <v>1</v>
      </c>
      <c r="I69" t="s">
        <v>947</v>
      </c>
    </row>
    <row r="70" spans="1:9" x14ac:dyDescent="0.2">
      <c r="A70" t="s">
        <v>190</v>
      </c>
      <c r="B70">
        <v>52</v>
      </c>
      <c r="C70">
        <v>15</v>
      </c>
      <c r="D70">
        <v>17</v>
      </c>
      <c r="E70">
        <v>0</v>
      </c>
      <c r="F70">
        <v>34.796535921999897</v>
      </c>
      <c r="G70">
        <v>1</v>
      </c>
      <c r="H70">
        <v>1</v>
      </c>
      <c r="I70" t="s">
        <v>948</v>
      </c>
    </row>
    <row r="71" spans="1:9" x14ac:dyDescent="0.2">
      <c r="A71" t="s">
        <v>192</v>
      </c>
      <c r="B71">
        <v>53</v>
      </c>
      <c r="C71">
        <v>16</v>
      </c>
      <c r="D71">
        <v>17</v>
      </c>
      <c r="E71">
        <v>0</v>
      </c>
      <c r="F71">
        <v>86.759684759999999</v>
      </c>
      <c r="G71">
        <v>1</v>
      </c>
      <c r="H71">
        <v>1</v>
      </c>
      <c r="I71" t="s">
        <v>949</v>
      </c>
    </row>
    <row r="72" spans="1:9" x14ac:dyDescent="0.2">
      <c r="A72" t="s">
        <v>194</v>
      </c>
      <c r="B72">
        <v>54</v>
      </c>
      <c r="C72">
        <v>31</v>
      </c>
      <c r="D72">
        <v>9</v>
      </c>
      <c r="E72">
        <v>0</v>
      </c>
      <c r="F72">
        <v>76.062365305999904</v>
      </c>
      <c r="G72">
        <v>1</v>
      </c>
      <c r="H72">
        <v>1</v>
      </c>
      <c r="I72" t="s">
        <v>950</v>
      </c>
    </row>
    <row r="73" spans="1:9" x14ac:dyDescent="0.2">
      <c r="A73" t="s">
        <v>196</v>
      </c>
      <c r="B73">
        <v>55</v>
      </c>
      <c r="C73">
        <v>23</v>
      </c>
      <c r="D73">
        <v>13</v>
      </c>
      <c r="E73">
        <v>0</v>
      </c>
      <c r="F73">
        <v>411.50003692799999</v>
      </c>
      <c r="G73">
        <v>1</v>
      </c>
      <c r="H73">
        <v>1</v>
      </c>
      <c r="I73" t="s">
        <v>951</v>
      </c>
    </row>
    <row r="74" spans="1:9" x14ac:dyDescent="0.2">
      <c r="A74" t="s">
        <v>198</v>
      </c>
      <c r="B74">
        <v>56</v>
      </c>
      <c r="C74">
        <v>17</v>
      </c>
      <c r="D74">
        <v>17</v>
      </c>
      <c r="E74">
        <v>0</v>
      </c>
      <c r="F74">
        <v>89.839479001000001</v>
      </c>
      <c r="G74">
        <v>1</v>
      </c>
      <c r="H74">
        <v>1</v>
      </c>
      <c r="I74" t="s">
        <v>952</v>
      </c>
    </row>
    <row r="75" spans="1:9" x14ac:dyDescent="0.2">
      <c r="A75" t="s">
        <v>200</v>
      </c>
      <c r="B75">
        <v>57</v>
      </c>
      <c r="C75">
        <v>18</v>
      </c>
      <c r="D75">
        <v>17</v>
      </c>
      <c r="E75">
        <v>0</v>
      </c>
      <c r="F75">
        <v>219.39458145200001</v>
      </c>
      <c r="G75">
        <v>1</v>
      </c>
      <c r="H75">
        <v>1</v>
      </c>
      <c r="I75" t="s">
        <v>953</v>
      </c>
    </row>
    <row r="76" spans="1:9" x14ac:dyDescent="0.2">
      <c r="A76" t="s">
        <v>202</v>
      </c>
      <c r="B76">
        <v>58</v>
      </c>
      <c r="C76">
        <v>3</v>
      </c>
      <c r="D76">
        <v>32</v>
      </c>
      <c r="E76">
        <v>0</v>
      </c>
      <c r="F76">
        <v>8.3425056999885699E-2</v>
      </c>
      <c r="G76">
        <v>1</v>
      </c>
      <c r="H76">
        <v>1</v>
      </c>
      <c r="I76" t="s">
        <v>954</v>
      </c>
    </row>
    <row r="77" spans="1:9" x14ac:dyDescent="0.2">
      <c r="A77" t="s">
        <v>204</v>
      </c>
      <c r="B77">
        <v>59</v>
      </c>
      <c r="C77">
        <v>19</v>
      </c>
      <c r="D77">
        <v>17</v>
      </c>
      <c r="E77">
        <v>0</v>
      </c>
      <c r="F77">
        <v>434.38555357299998</v>
      </c>
      <c r="G77">
        <v>1</v>
      </c>
      <c r="H77">
        <v>1</v>
      </c>
      <c r="I77" t="s">
        <v>955</v>
      </c>
    </row>
    <row r="78" spans="1:9" x14ac:dyDescent="0.2">
      <c r="A78" t="s">
        <v>206</v>
      </c>
      <c r="B78">
        <v>60</v>
      </c>
      <c r="C78">
        <v>20</v>
      </c>
      <c r="D78">
        <v>17</v>
      </c>
      <c r="E78">
        <v>0</v>
      </c>
      <c r="F78">
        <v>983.13078872400001</v>
      </c>
      <c r="G78">
        <v>1</v>
      </c>
      <c r="H78">
        <v>1</v>
      </c>
      <c r="I78" t="s">
        <v>956</v>
      </c>
    </row>
    <row r="79" spans="1:9" x14ac:dyDescent="0.2">
      <c r="A79" t="s">
        <v>208</v>
      </c>
      <c r="B79">
        <v>61</v>
      </c>
      <c r="C79">
        <v>18</v>
      </c>
      <c r="D79">
        <v>19</v>
      </c>
      <c r="E79">
        <v>0</v>
      </c>
      <c r="F79">
        <v>614.00113995799904</v>
      </c>
      <c r="G79">
        <v>1</v>
      </c>
      <c r="H79">
        <v>1</v>
      </c>
      <c r="I79" t="s">
        <v>957</v>
      </c>
    </row>
    <row r="80" spans="1:9" x14ac:dyDescent="0.2">
      <c r="A80" t="s">
        <v>210</v>
      </c>
      <c r="B80">
        <v>62</v>
      </c>
      <c r="C80">
        <v>21</v>
      </c>
      <c r="D80">
        <v>17</v>
      </c>
      <c r="E80">
        <v>0</v>
      </c>
      <c r="F80">
        <v>2072.6879365929999</v>
      </c>
      <c r="G80">
        <v>1</v>
      </c>
      <c r="H80">
        <v>1</v>
      </c>
      <c r="I80" t="s">
        <v>958</v>
      </c>
    </row>
    <row r="81" spans="1:9" x14ac:dyDescent="0.2">
      <c r="A81" t="s">
        <v>212</v>
      </c>
      <c r="B81">
        <v>63</v>
      </c>
      <c r="C81">
        <v>23</v>
      </c>
      <c r="D81">
        <v>16</v>
      </c>
      <c r="E81">
        <v>0</v>
      </c>
      <c r="F81">
        <v>2259.6344822789902</v>
      </c>
      <c r="G81">
        <v>1</v>
      </c>
      <c r="H81">
        <v>1</v>
      </c>
      <c r="I81" t="s">
        <v>959</v>
      </c>
    </row>
    <row r="82" spans="1:9" x14ac:dyDescent="0.2">
      <c r="A82" t="s">
        <v>214</v>
      </c>
      <c r="B82">
        <v>64</v>
      </c>
      <c r="C82">
        <v>24</v>
      </c>
      <c r="D82">
        <v>16</v>
      </c>
      <c r="E82">
        <v>0</v>
      </c>
      <c r="F82">
        <v>3941.0216531880001</v>
      </c>
      <c r="G82">
        <v>1</v>
      </c>
      <c r="H82">
        <v>1</v>
      </c>
      <c r="I82" t="s">
        <v>960</v>
      </c>
    </row>
    <row r="83" spans="1:9" x14ac:dyDescent="0.2">
      <c r="A83" t="s">
        <v>216</v>
      </c>
      <c r="B83">
        <v>65</v>
      </c>
      <c r="C83">
        <v>31</v>
      </c>
      <c r="D83">
        <v>13</v>
      </c>
      <c r="E83">
        <v>0</v>
      </c>
      <c r="F83">
        <v>3049.0530629519999</v>
      </c>
      <c r="G83">
        <v>1</v>
      </c>
      <c r="H83">
        <v>1</v>
      </c>
      <c r="I83" t="s">
        <v>961</v>
      </c>
    </row>
    <row r="84" spans="1:9" x14ac:dyDescent="0.2">
      <c r="A84" t="s">
        <v>218</v>
      </c>
      <c r="B84">
        <v>66</v>
      </c>
      <c r="C84">
        <v>32</v>
      </c>
      <c r="D84">
        <v>13</v>
      </c>
      <c r="E84">
        <v>0</v>
      </c>
      <c r="F84">
        <v>5917.1166403129901</v>
      </c>
      <c r="G84">
        <v>1</v>
      </c>
      <c r="H84">
        <v>1</v>
      </c>
      <c r="I84" t="s">
        <v>962</v>
      </c>
    </row>
    <row r="85" spans="1:9" x14ac:dyDescent="0.2">
      <c r="A85" t="s">
        <v>220</v>
      </c>
      <c r="B85">
        <v>67</v>
      </c>
      <c r="C85">
        <v>33</v>
      </c>
      <c r="D85">
        <v>13</v>
      </c>
      <c r="E85">
        <v>0</v>
      </c>
      <c r="F85">
        <v>7134.193378379</v>
      </c>
      <c r="G85">
        <v>1</v>
      </c>
      <c r="H85">
        <v>1</v>
      </c>
      <c r="I85" t="s">
        <v>963</v>
      </c>
    </row>
    <row r="86" spans="1:9" x14ac:dyDescent="0.2">
      <c r="A86" t="s">
        <v>222</v>
      </c>
      <c r="B86">
        <v>68</v>
      </c>
      <c r="C86">
        <v>34</v>
      </c>
      <c r="D86">
        <v>13</v>
      </c>
      <c r="E86">
        <v>0</v>
      </c>
      <c r="F86">
        <v>9960.3739932959998</v>
      </c>
      <c r="G86">
        <v>1</v>
      </c>
      <c r="H86">
        <v>1</v>
      </c>
      <c r="I86" t="s">
        <v>964</v>
      </c>
    </row>
    <row r="87" spans="1:9" x14ac:dyDescent="0.2">
      <c r="A87" t="s">
        <v>224</v>
      </c>
      <c r="B87">
        <v>69</v>
      </c>
      <c r="C87">
        <v>35</v>
      </c>
      <c r="D87">
        <v>13</v>
      </c>
      <c r="E87">
        <v>0</v>
      </c>
      <c r="F87">
        <v>22760.018945541899</v>
      </c>
      <c r="G87">
        <v>1</v>
      </c>
      <c r="H87">
        <v>1</v>
      </c>
      <c r="I87" t="s">
        <v>965</v>
      </c>
    </row>
    <row r="88" spans="1:9" x14ac:dyDescent="0.2">
      <c r="A88" t="s">
        <v>226</v>
      </c>
      <c r="B88">
        <v>70</v>
      </c>
      <c r="C88">
        <v>36</v>
      </c>
      <c r="D88">
        <v>13</v>
      </c>
      <c r="E88">
        <v>0</v>
      </c>
      <c r="F88">
        <v>22065.4265554579</v>
      </c>
      <c r="G88">
        <v>1</v>
      </c>
      <c r="H88">
        <v>1</v>
      </c>
      <c r="I88" t="s">
        <v>966</v>
      </c>
    </row>
    <row r="89" spans="1:9" x14ac:dyDescent="0.2">
      <c r="A89" t="s">
        <v>228</v>
      </c>
      <c r="B89">
        <v>71</v>
      </c>
      <c r="C89">
        <v>12</v>
      </c>
      <c r="D89">
        <v>29</v>
      </c>
      <c r="E89">
        <v>0</v>
      </c>
      <c r="F89">
        <v>15.5075021160009</v>
      </c>
      <c r="G89">
        <v>1</v>
      </c>
      <c r="H89">
        <v>1</v>
      </c>
      <c r="I89" t="s">
        <v>967</v>
      </c>
    </row>
    <row r="90" spans="1:9" x14ac:dyDescent="0.2">
      <c r="A90" t="s">
        <v>230</v>
      </c>
      <c r="B90">
        <v>72</v>
      </c>
      <c r="C90">
        <v>37</v>
      </c>
      <c r="D90">
        <v>13</v>
      </c>
      <c r="E90">
        <v>0</v>
      </c>
      <c r="F90">
        <v>28826.069682504</v>
      </c>
      <c r="G90">
        <v>1</v>
      </c>
      <c r="H90">
        <v>1</v>
      </c>
      <c r="I90" t="s">
        <v>968</v>
      </c>
    </row>
    <row r="91" spans="1:9" x14ac:dyDescent="0.2">
      <c r="A91" t="s">
        <v>232</v>
      </c>
      <c r="B91">
        <v>73</v>
      </c>
      <c r="C91">
        <v>38</v>
      </c>
      <c r="D91">
        <v>13</v>
      </c>
      <c r="E91">
        <v>0</v>
      </c>
      <c r="F91">
        <v>28815.336437580001</v>
      </c>
      <c r="G91">
        <v>1</v>
      </c>
      <c r="H91">
        <v>1</v>
      </c>
      <c r="I91" t="s">
        <v>969</v>
      </c>
    </row>
    <row r="92" spans="1:9" x14ac:dyDescent="0.2">
      <c r="A92" t="s">
        <v>234</v>
      </c>
      <c r="B92">
        <v>74</v>
      </c>
      <c r="C92">
        <v>9</v>
      </c>
      <c r="D92">
        <v>32</v>
      </c>
      <c r="E92">
        <v>0</v>
      </c>
      <c r="F92">
        <v>1.8813370589923499</v>
      </c>
      <c r="G92">
        <v>1</v>
      </c>
      <c r="H92">
        <v>1</v>
      </c>
      <c r="I92" t="s">
        <v>970</v>
      </c>
    </row>
    <row r="93" spans="1:9" x14ac:dyDescent="0.2">
      <c r="A93" t="s">
        <v>236</v>
      </c>
      <c r="B93">
        <v>75</v>
      </c>
      <c r="C93">
        <v>28</v>
      </c>
      <c r="D93">
        <v>19</v>
      </c>
      <c r="E93">
        <v>0</v>
      </c>
      <c r="F93">
        <v>28816.518483004002</v>
      </c>
      <c r="G93">
        <v>1</v>
      </c>
      <c r="H93">
        <v>1</v>
      </c>
      <c r="I93" t="s">
        <v>971</v>
      </c>
    </row>
    <row r="94" spans="1:9" x14ac:dyDescent="0.2">
      <c r="A94" t="s">
        <v>238</v>
      </c>
      <c r="B94">
        <v>76</v>
      </c>
      <c r="C94">
        <v>40</v>
      </c>
      <c r="D94">
        <v>12</v>
      </c>
      <c r="E94">
        <v>0</v>
      </c>
      <c r="F94">
        <v>22673.835022968698</v>
      </c>
      <c r="G94">
        <v>1</v>
      </c>
      <c r="H94">
        <v>1</v>
      </c>
      <c r="I94" t="s">
        <v>972</v>
      </c>
    </row>
    <row r="95" spans="1:9" x14ac:dyDescent="0.2">
      <c r="A95" t="s">
        <v>240</v>
      </c>
      <c r="B95">
        <v>77</v>
      </c>
      <c r="C95">
        <v>40</v>
      </c>
      <c r="D95">
        <v>13</v>
      </c>
      <c r="E95">
        <v>0</v>
      </c>
      <c r="F95">
        <v>28828.1355330222</v>
      </c>
      <c r="G95">
        <v>1</v>
      </c>
      <c r="H95">
        <v>1</v>
      </c>
      <c r="I95" t="s">
        <v>973</v>
      </c>
    </row>
    <row r="96" spans="1:9" x14ac:dyDescent="0.2">
      <c r="A96" t="s">
        <v>242</v>
      </c>
      <c r="B96">
        <v>78</v>
      </c>
      <c r="C96">
        <v>29</v>
      </c>
      <c r="D96">
        <v>19</v>
      </c>
      <c r="E96">
        <v>0</v>
      </c>
      <c r="F96">
        <v>28821.075144475701</v>
      </c>
      <c r="G96">
        <v>1</v>
      </c>
      <c r="H96">
        <v>1</v>
      </c>
      <c r="I96" t="s">
        <v>974</v>
      </c>
    </row>
    <row r="97" spans="1:9" x14ac:dyDescent="0.2">
      <c r="A97" t="s">
        <v>244</v>
      </c>
      <c r="B97">
        <v>79</v>
      </c>
      <c r="C97">
        <v>20</v>
      </c>
      <c r="D97">
        <v>24</v>
      </c>
      <c r="E97">
        <v>0</v>
      </c>
      <c r="F97">
        <v>28802.386514535101</v>
      </c>
      <c r="G97">
        <v>1</v>
      </c>
      <c r="H97">
        <v>1</v>
      </c>
      <c r="I97" t="s">
        <v>975</v>
      </c>
    </row>
    <row r="98" spans="1:9" x14ac:dyDescent="0.2">
      <c r="A98" t="s">
        <v>246</v>
      </c>
      <c r="B98">
        <v>80</v>
      </c>
      <c r="C98">
        <v>47</v>
      </c>
      <c r="D98">
        <v>11</v>
      </c>
      <c r="E98">
        <v>0</v>
      </c>
      <c r="F98">
        <v>24570.8367157666</v>
      </c>
      <c r="G98">
        <v>1</v>
      </c>
      <c r="H98">
        <v>1</v>
      </c>
      <c r="I98" t="s">
        <v>976</v>
      </c>
    </row>
    <row r="99" spans="1:9" x14ac:dyDescent="0.2">
      <c r="A99" t="s">
        <v>248</v>
      </c>
      <c r="B99">
        <v>81</v>
      </c>
      <c r="C99">
        <v>48</v>
      </c>
      <c r="D99">
        <v>11</v>
      </c>
      <c r="E99">
        <v>0</v>
      </c>
      <c r="F99">
        <v>28818.461626759199</v>
      </c>
      <c r="G99">
        <v>1</v>
      </c>
      <c r="H99">
        <v>1</v>
      </c>
      <c r="I99" t="s">
        <v>977</v>
      </c>
    </row>
    <row r="100" spans="1:9" x14ac:dyDescent="0.2">
      <c r="A100" t="s">
        <v>250</v>
      </c>
      <c r="B100">
        <v>82</v>
      </c>
      <c r="C100">
        <v>43</v>
      </c>
      <c r="D100">
        <v>13</v>
      </c>
      <c r="E100">
        <v>0</v>
      </c>
      <c r="F100">
        <v>28824.732220128099</v>
      </c>
      <c r="G100">
        <v>1</v>
      </c>
      <c r="H100">
        <v>1</v>
      </c>
      <c r="I100" t="s">
        <v>978</v>
      </c>
    </row>
    <row r="101" spans="1:9" x14ac:dyDescent="0.2">
      <c r="A101" t="s">
        <v>252</v>
      </c>
      <c r="B101">
        <v>83</v>
      </c>
      <c r="C101">
        <v>41</v>
      </c>
      <c r="D101">
        <v>15</v>
      </c>
      <c r="E101">
        <v>0</v>
      </c>
      <c r="F101">
        <v>28814.6434307247</v>
      </c>
      <c r="G101">
        <v>1</v>
      </c>
      <c r="H101">
        <v>1</v>
      </c>
      <c r="I101" t="s">
        <v>979</v>
      </c>
    </row>
    <row r="102" spans="1:9" x14ac:dyDescent="0.2">
      <c r="A102" t="s">
        <v>254</v>
      </c>
      <c r="B102">
        <v>84</v>
      </c>
      <c r="C102">
        <v>42</v>
      </c>
      <c r="D102">
        <v>15</v>
      </c>
      <c r="E102">
        <v>0</v>
      </c>
      <c r="F102">
        <v>28817.5965781062</v>
      </c>
      <c r="G102">
        <v>1</v>
      </c>
      <c r="H102">
        <v>1</v>
      </c>
      <c r="I102" t="s">
        <v>980</v>
      </c>
    </row>
    <row r="103" spans="1:9" x14ac:dyDescent="0.2">
      <c r="A103" t="s">
        <v>256</v>
      </c>
      <c r="B103">
        <v>85</v>
      </c>
      <c r="C103">
        <v>23</v>
      </c>
      <c r="D103">
        <v>24</v>
      </c>
      <c r="E103">
        <v>0</v>
      </c>
      <c r="F103">
        <v>28819.8682390004</v>
      </c>
      <c r="G103">
        <v>1</v>
      </c>
      <c r="H103">
        <v>1</v>
      </c>
      <c r="I103" t="s">
        <v>981</v>
      </c>
    </row>
    <row r="104" spans="1:9" x14ac:dyDescent="0.2">
      <c r="A104" t="s">
        <v>258</v>
      </c>
      <c r="B104">
        <v>86</v>
      </c>
      <c r="C104">
        <v>23</v>
      </c>
      <c r="D104">
        <v>25</v>
      </c>
      <c r="E104">
        <v>0</v>
      </c>
      <c r="F104">
        <v>28817.328226670601</v>
      </c>
      <c r="G104">
        <v>1</v>
      </c>
      <c r="H104">
        <v>1</v>
      </c>
      <c r="I104" t="s">
        <v>982</v>
      </c>
    </row>
    <row r="105" spans="1:9" x14ac:dyDescent="0.2">
      <c r="A105" t="s">
        <v>260</v>
      </c>
      <c r="B105">
        <v>87</v>
      </c>
      <c r="C105">
        <v>45</v>
      </c>
      <c r="D105">
        <v>15</v>
      </c>
      <c r="E105">
        <v>0</v>
      </c>
      <c r="F105">
        <v>28817.704166196199</v>
      </c>
      <c r="G105">
        <v>1</v>
      </c>
      <c r="H105">
        <v>1</v>
      </c>
      <c r="I105" t="s">
        <v>983</v>
      </c>
    </row>
    <row r="106" spans="1:9" x14ac:dyDescent="0.2">
      <c r="A106" t="s">
        <v>262</v>
      </c>
      <c r="B106">
        <v>88</v>
      </c>
      <c r="C106">
        <v>49</v>
      </c>
      <c r="D106">
        <v>13</v>
      </c>
      <c r="E106">
        <v>0</v>
      </c>
      <c r="F106">
        <v>28824.454012751499</v>
      </c>
      <c r="G106">
        <v>1</v>
      </c>
      <c r="H106">
        <v>1</v>
      </c>
      <c r="I106" t="s">
        <v>984</v>
      </c>
    </row>
    <row r="107" spans="1:9" x14ac:dyDescent="0.2">
      <c r="A107" t="s">
        <v>264</v>
      </c>
      <c r="B107">
        <v>89</v>
      </c>
      <c r="C107">
        <v>32</v>
      </c>
      <c r="D107">
        <v>21</v>
      </c>
      <c r="E107">
        <v>0</v>
      </c>
      <c r="F107">
        <v>28812.779710352399</v>
      </c>
      <c r="G107">
        <v>1</v>
      </c>
      <c r="H107">
        <v>1</v>
      </c>
      <c r="I107" t="s">
        <v>985</v>
      </c>
    </row>
    <row r="108" spans="1:9" x14ac:dyDescent="0.2">
      <c r="A108" t="s">
        <v>266</v>
      </c>
      <c r="B108">
        <v>90</v>
      </c>
      <c r="C108">
        <v>33</v>
      </c>
      <c r="D108">
        <v>21</v>
      </c>
      <c r="E108">
        <v>0</v>
      </c>
      <c r="F108">
        <v>28812.710071831902</v>
      </c>
      <c r="G108">
        <v>1</v>
      </c>
      <c r="H108">
        <v>1</v>
      </c>
      <c r="I108" t="s">
        <v>986</v>
      </c>
    </row>
    <row r="109" spans="1:9" x14ac:dyDescent="0.2">
      <c r="A109" t="s">
        <v>268</v>
      </c>
      <c r="B109">
        <v>91</v>
      </c>
      <c r="C109">
        <v>26</v>
      </c>
      <c r="D109">
        <v>25</v>
      </c>
      <c r="E109">
        <v>0</v>
      </c>
      <c r="F109">
        <v>28815.112289920398</v>
      </c>
      <c r="G109">
        <v>1</v>
      </c>
      <c r="H109">
        <v>1</v>
      </c>
      <c r="I109" t="s">
        <v>987</v>
      </c>
    </row>
    <row r="110" spans="1:9" x14ac:dyDescent="0.2">
      <c r="A110" t="s">
        <v>270</v>
      </c>
      <c r="B110">
        <v>92</v>
      </c>
      <c r="C110">
        <v>52</v>
      </c>
      <c r="D110">
        <v>13</v>
      </c>
      <c r="E110">
        <v>0</v>
      </c>
      <c r="F110">
        <v>28815.851118210001</v>
      </c>
      <c r="G110">
        <v>1</v>
      </c>
      <c r="H110">
        <v>1</v>
      </c>
      <c r="I110" t="s">
        <v>988</v>
      </c>
    </row>
    <row r="111" spans="1:9" x14ac:dyDescent="0.2">
      <c r="A111" t="s">
        <v>272</v>
      </c>
      <c r="B111">
        <v>93</v>
      </c>
      <c r="C111">
        <v>53</v>
      </c>
      <c r="D111">
        <v>13</v>
      </c>
      <c r="E111">
        <v>0</v>
      </c>
      <c r="F111">
        <v>28813.977631521</v>
      </c>
      <c r="G111">
        <v>1</v>
      </c>
      <c r="H111">
        <v>1</v>
      </c>
      <c r="I111" t="s">
        <v>989</v>
      </c>
    </row>
    <row r="112" spans="1:9" x14ac:dyDescent="0.2">
      <c r="A112" t="s">
        <v>274</v>
      </c>
      <c r="B112">
        <v>94</v>
      </c>
      <c r="C112">
        <v>54</v>
      </c>
      <c r="D112">
        <v>13</v>
      </c>
      <c r="E112">
        <v>0</v>
      </c>
      <c r="F112">
        <v>28809.917966458001</v>
      </c>
      <c r="G112">
        <v>1</v>
      </c>
      <c r="H112">
        <v>1</v>
      </c>
      <c r="I112" t="s">
        <v>990</v>
      </c>
    </row>
    <row r="113" spans="1:9" x14ac:dyDescent="0.2">
      <c r="A113" t="s">
        <v>276</v>
      </c>
      <c r="B113">
        <v>95</v>
      </c>
      <c r="C113">
        <v>46</v>
      </c>
      <c r="D113">
        <v>17</v>
      </c>
      <c r="E113">
        <v>0</v>
      </c>
      <c r="F113">
        <v>28808.576118772002</v>
      </c>
      <c r="G113">
        <v>1</v>
      </c>
      <c r="H113">
        <v>1</v>
      </c>
      <c r="I113" t="s">
        <v>991</v>
      </c>
    </row>
    <row r="114" spans="1:9" x14ac:dyDescent="0.2">
      <c r="A114" t="s">
        <v>278</v>
      </c>
      <c r="B114">
        <v>96</v>
      </c>
      <c r="C114">
        <v>48</v>
      </c>
      <c r="D114">
        <v>16</v>
      </c>
      <c r="E114">
        <v>0</v>
      </c>
      <c r="F114">
        <v>28814.234375625001</v>
      </c>
      <c r="G114">
        <v>1</v>
      </c>
      <c r="H114">
        <v>1</v>
      </c>
      <c r="I114" t="s">
        <v>992</v>
      </c>
    </row>
    <row r="115" spans="1:9" x14ac:dyDescent="0.2">
      <c r="A115" t="s">
        <v>280</v>
      </c>
      <c r="B115">
        <v>97</v>
      </c>
      <c r="C115">
        <v>50</v>
      </c>
      <c r="D115">
        <v>15</v>
      </c>
      <c r="E115">
        <v>0</v>
      </c>
      <c r="F115">
        <v>28811.650343998899</v>
      </c>
      <c r="G115">
        <v>1</v>
      </c>
      <c r="H115">
        <v>1</v>
      </c>
      <c r="I115" t="s">
        <v>993</v>
      </c>
    </row>
    <row r="116" spans="1:9" x14ac:dyDescent="0.2">
      <c r="A116" t="s">
        <v>282</v>
      </c>
      <c r="B116">
        <v>98</v>
      </c>
      <c r="C116">
        <v>51</v>
      </c>
      <c r="D116">
        <v>15</v>
      </c>
      <c r="E116">
        <v>0</v>
      </c>
      <c r="F116">
        <v>28808.9755260239</v>
      </c>
      <c r="G116">
        <v>1</v>
      </c>
      <c r="H116">
        <v>1</v>
      </c>
      <c r="I116" t="s">
        <v>994</v>
      </c>
    </row>
    <row r="117" spans="1:9" x14ac:dyDescent="0.2">
      <c r="A117" t="s">
        <v>284</v>
      </c>
      <c r="B117">
        <v>99</v>
      </c>
      <c r="C117">
        <v>52</v>
      </c>
      <c r="D117">
        <v>15</v>
      </c>
      <c r="E117">
        <v>0</v>
      </c>
      <c r="F117">
        <v>28811.282057088902</v>
      </c>
      <c r="G117">
        <v>1</v>
      </c>
      <c r="H117">
        <v>1</v>
      </c>
      <c r="I117" t="s">
        <v>1235</v>
      </c>
    </row>
    <row r="118" spans="1:9" x14ac:dyDescent="0.2">
      <c r="A118" t="s">
        <v>286</v>
      </c>
      <c r="B118">
        <v>100</v>
      </c>
      <c r="C118">
        <v>52</v>
      </c>
      <c r="D118">
        <v>16</v>
      </c>
      <c r="E118">
        <v>0</v>
      </c>
      <c r="F118">
        <v>28809.889142769</v>
      </c>
      <c r="G118">
        <v>1</v>
      </c>
      <c r="H118">
        <v>1</v>
      </c>
      <c r="I118" t="s">
        <v>1236</v>
      </c>
    </row>
    <row r="119" spans="1:9" x14ac:dyDescent="0.2">
      <c r="A119" t="s">
        <v>288</v>
      </c>
      <c r="B119">
        <v>101</v>
      </c>
      <c r="C119">
        <v>53</v>
      </c>
      <c r="D119">
        <v>15</v>
      </c>
      <c r="E119">
        <v>0</v>
      </c>
      <c r="F119">
        <v>28811.789687146898</v>
      </c>
      <c r="G119">
        <v>1</v>
      </c>
      <c r="H119">
        <v>1</v>
      </c>
      <c r="I119" t="s">
        <v>1237</v>
      </c>
    </row>
    <row r="120" spans="1:9" x14ac:dyDescent="0.2">
      <c r="A120" t="s">
        <v>290</v>
      </c>
      <c r="B120">
        <v>102</v>
      </c>
      <c r="C120">
        <v>54</v>
      </c>
      <c r="D120">
        <v>15</v>
      </c>
      <c r="E120">
        <v>0</v>
      </c>
      <c r="F120">
        <v>28809.8429442569</v>
      </c>
      <c r="G120">
        <v>1</v>
      </c>
      <c r="H120">
        <v>1</v>
      </c>
      <c r="I120" t="s">
        <v>1246</v>
      </c>
    </row>
    <row r="121" spans="1:9" x14ac:dyDescent="0.2">
      <c r="A121" t="s">
        <v>292</v>
      </c>
      <c r="B121">
        <v>103</v>
      </c>
      <c r="C121">
        <v>34</v>
      </c>
      <c r="D121">
        <v>25</v>
      </c>
      <c r="E121">
        <v>0</v>
      </c>
      <c r="F121">
        <v>28808.131019085598</v>
      </c>
      <c r="G121">
        <v>1</v>
      </c>
      <c r="H121">
        <v>1</v>
      </c>
      <c r="I121" t="s">
        <v>1247</v>
      </c>
    </row>
    <row r="122" spans="1:9" x14ac:dyDescent="0.2">
      <c r="A122" t="s">
        <v>294</v>
      </c>
      <c r="B122">
        <v>104</v>
      </c>
      <c r="C122">
        <v>28</v>
      </c>
      <c r="D122">
        <v>29</v>
      </c>
      <c r="E122">
        <v>0</v>
      </c>
      <c r="F122">
        <v>28811.862039625601</v>
      </c>
      <c r="G122">
        <v>1</v>
      </c>
      <c r="H122">
        <v>1</v>
      </c>
      <c r="I122" t="s">
        <v>1248</v>
      </c>
    </row>
    <row r="123" spans="1:9" x14ac:dyDescent="0.2">
      <c r="A123" t="s">
        <v>296</v>
      </c>
      <c r="B123">
        <v>105</v>
      </c>
      <c r="C123">
        <v>54</v>
      </c>
      <c r="D123">
        <v>17</v>
      </c>
      <c r="E123">
        <v>0</v>
      </c>
      <c r="F123">
        <v>28810.914840690701</v>
      </c>
      <c r="G123">
        <v>1</v>
      </c>
      <c r="H123">
        <v>1</v>
      </c>
      <c r="I123" t="s">
        <v>1249</v>
      </c>
    </row>
    <row r="124" spans="1:9" x14ac:dyDescent="0.2">
      <c r="A124" t="s">
        <v>298</v>
      </c>
      <c r="B124">
        <v>106</v>
      </c>
      <c r="C124">
        <v>44</v>
      </c>
      <c r="D124">
        <v>21</v>
      </c>
      <c r="E124">
        <v>0</v>
      </c>
      <c r="F124">
        <v>28809.1267814561</v>
      </c>
      <c r="G124">
        <v>1</v>
      </c>
      <c r="H124">
        <v>1</v>
      </c>
      <c r="I124" t="s">
        <v>1250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FD23-2671-CB45-B947-E2776D6C94D3}">
  <dimension ref="A1:I145"/>
  <sheetViews>
    <sheetView topLeftCell="A111" workbookViewId="0">
      <selection activeCell="F25" sqref="F25:F145"/>
    </sheetView>
  </sheetViews>
  <sheetFormatPr baseColWidth="10" defaultColWidth="11" defaultRowHeight="16" x14ac:dyDescent="0.2"/>
  <sheetData>
    <row r="1" spans="1:1" x14ac:dyDescent="0.2">
      <c r="A1" t="s">
        <v>70</v>
      </c>
    </row>
    <row r="2" spans="1:1" x14ac:dyDescent="0.2">
      <c r="A2" t="s">
        <v>71</v>
      </c>
    </row>
    <row r="3" spans="1:1" x14ac:dyDescent="0.2">
      <c r="A3" t="s">
        <v>73</v>
      </c>
    </row>
    <row r="4" spans="1:1" x14ac:dyDescent="0.2">
      <c r="A4" s="21" t="s">
        <v>74</v>
      </c>
    </row>
    <row r="5" spans="1:1" x14ac:dyDescent="0.2">
      <c r="A5" s="21" t="s">
        <v>995</v>
      </c>
    </row>
    <row r="6" spans="1:1" x14ac:dyDescent="0.2">
      <c r="A6" t="s">
        <v>76</v>
      </c>
    </row>
    <row r="7" spans="1:1" x14ac:dyDescent="0.2">
      <c r="A7" t="s">
        <v>77</v>
      </c>
    </row>
    <row r="8" spans="1:1" x14ac:dyDescent="0.2">
      <c r="A8" s="21" t="s">
        <v>78</v>
      </c>
    </row>
    <row r="9" spans="1:1" x14ac:dyDescent="0.2">
      <c r="A9" t="s">
        <v>79</v>
      </c>
    </row>
    <row r="10" spans="1:1" x14ac:dyDescent="0.2">
      <c r="A10" t="s">
        <v>80</v>
      </c>
    </row>
    <row r="11" spans="1:1" x14ac:dyDescent="0.2">
      <c r="A11" t="s">
        <v>81</v>
      </c>
    </row>
    <row r="12" spans="1:1" x14ac:dyDescent="0.2">
      <c r="A12" t="s">
        <v>82</v>
      </c>
    </row>
    <row r="13" spans="1:1" x14ac:dyDescent="0.2">
      <c r="A13" t="s">
        <v>83</v>
      </c>
    </row>
    <row r="14" spans="1:1" x14ac:dyDescent="0.2">
      <c r="A14" t="s">
        <v>84</v>
      </c>
    </row>
    <row r="15" spans="1:1" x14ac:dyDescent="0.2">
      <c r="A15" t="s">
        <v>85</v>
      </c>
    </row>
    <row r="16" spans="1:1" x14ac:dyDescent="0.2">
      <c r="A16" t="s">
        <v>86</v>
      </c>
    </row>
    <row r="17" spans="1:9" x14ac:dyDescent="0.2">
      <c r="A17" t="s">
        <v>87</v>
      </c>
    </row>
    <row r="18" spans="1:9" x14ac:dyDescent="0.2">
      <c r="A18" t="s">
        <v>346</v>
      </c>
    </row>
    <row r="19" spans="1:9" x14ac:dyDescent="0.2">
      <c r="A19" t="s">
        <v>89</v>
      </c>
    </row>
    <row r="20" spans="1:9" x14ac:dyDescent="0.2">
      <c r="A20" t="s">
        <v>92</v>
      </c>
    </row>
    <row r="21" spans="1:9" x14ac:dyDescent="0.2">
      <c r="A21" t="s">
        <v>93</v>
      </c>
    </row>
    <row r="22" spans="1:9" x14ac:dyDescent="0.2">
      <c r="A22" t="s">
        <v>996</v>
      </c>
    </row>
    <row r="23" spans="1:9" x14ac:dyDescent="0.2">
      <c r="A23" t="s">
        <v>95</v>
      </c>
    </row>
    <row r="24" spans="1:9" x14ac:dyDescent="0.2">
      <c r="A24" t="s">
        <v>96</v>
      </c>
      <c r="B24" t="s">
        <v>61</v>
      </c>
      <c r="C24" t="s">
        <v>97</v>
      </c>
      <c r="D24" t="s">
        <v>98</v>
      </c>
      <c r="E24" t="s">
        <v>99</v>
      </c>
      <c r="F24" t="s">
        <v>100</v>
      </c>
      <c r="G24" t="s">
        <v>58</v>
      </c>
      <c r="H24" t="s">
        <v>59</v>
      </c>
      <c r="I24" t="s">
        <v>101</v>
      </c>
    </row>
    <row r="25" spans="1:9" x14ac:dyDescent="0.2">
      <c r="A25" t="s">
        <v>102</v>
      </c>
      <c r="B25">
        <v>5</v>
      </c>
      <c r="C25">
        <v>3</v>
      </c>
      <c r="D25">
        <v>2</v>
      </c>
      <c r="E25">
        <v>0</v>
      </c>
      <c r="F25">
        <v>1.6132411882281299</v>
      </c>
      <c r="G25">
        <v>10000</v>
      </c>
      <c r="H25">
        <v>10000</v>
      </c>
      <c r="I25" t="s">
        <v>997</v>
      </c>
    </row>
    <row r="26" spans="1:9" x14ac:dyDescent="0.2">
      <c r="A26" t="s">
        <v>104</v>
      </c>
      <c r="B26">
        <v>6</v>
      </c>
      <c r="C26">
        <v>3</v>
      </c>
      <c r="D26">
        <v>3</v>
      </c>
      <c r="E26">
        <v>0</v>
      </c>
      <c r="F26">
        <v>1.7196425646543501</v>
      </c>
      <c r="G26">
        <v>10000</v>
      </c>
      <c r="H26">
        <v>10000</v>
      </c>
      <c r="I26" t="s">
        <v>998</v>
      </c>
    </row>
    <row r="27" spans="1:9" x14ac:dyDescent="0.2">
      <c r="A27" t="s">
        <v>106</v>
      </c>
      <c r="B27">
        <v>7</v>
      </c>
      <c r="C27">
        <v>3</v>
      </c>
      <c r="D27">
        <v>4</v>
      </c>
      <c r="E27">
        <v>0</v>
      </c>
      <c r="F27">
        <v>1.81885278224945</v>
      </c>
      <c r="G27">
        <v>10000</v>
      </c>
      <c r="H27">
        <v>10000</v>
      </c>
      <c r="I27" t="s">
        <v>999</v>
      </c>
    </row>
    <row r="28" spans="1:9" x14ac:dyDescent="0.2">
      <c r="A28" t="s">
        <v>108</v>
      </c>
      <c r="B28">
        <v>8</v>
      </c>
      <c r="C28">
        <v>3</v>
      </c>
      <c r="D28">
        <v>4</v>
      </c>
      <c r="E28">
        <v>0</v>
      </c>
      <c r="F28">
        <v>1.9694222360849301</v>
      </c>
      <c r="G28">
        <v>10000</v>
      </c>
      <c r="H28">
        <v>10000</v>
      </c>
      <c r="I28" t="s">
        <v>999</v>
      </c>
    </row>
    <row r="29" spans="1:9" x14ac:dyDescent="0.2">
      <c r="A29" t="s">
        <v>110</v>
      </c>
      <c r="B29">
        <v>9</v>
      </c>
      <c r="C29">
        <v>5</v>
      </c>
      <c r="D29">
        <v>3</v>
      </c>
      <c r="E29">
        <v>0</v>
      </c>
      <c r="F29">
        <v>2.0508302971720598</v>
      </c>
      <c r="G29">
        <v>9501</v>
      </c>
      <c r="H29">
        <v>10000</v>
      </c>
      <c r="I29" t="s">
        <v>1000</v>
      </c>
    </row>
    <row r="30" spans="1:9" x14ac:dyDescent="0.2">
      <c r="A30" t="s">
        <v>112</v>
      </c>
      <c r="B30">
        <v>10</v>
      </c>
      <c r="C30">
        <v>3</v>
      </c>
      <c r="D30">
        <v>5</v>
      </c>
      <c r="E30">
        <v>0</v>
      </c>
      <c r="F30">
        <v>2.1933588534593502</v>
      </c>
      <c r="G30">
        <v>10000</v>
      </c>
      <c r="H30">
        <v>10000</v>
      </c>
      <c r="I30" t="s">
        <v>1001</v>
      </c>
    </row>
    <row r="31" spans="1:9" x14ac:dyDescent="0.2">
      <c r="A31" t="s">
        <v>114</v>
      </c>
      <c r="B31">
        <v>11</v>
      </c>
      <c r="C31">
        <v>3</v>
      </c>
      <c r="D31">
        <v>6</v>
      </c>
      <c r="E31">
        <v>0</v>
      </c>
      <c r="F31">
        <v>2.3558823317289299</v>
      </c>
      <c r="G31">
        <v>10000</v>
      </c>
      <c r="H31">
        <v>10000</v>
      </c>
      <c r="I31" t="s">
        <v>1002</v>
      </c>
    </row>
    <row r="32" spans="1:9" x14ac:dyDescent="0.2">
      <c r="A32" t="s">
        <v>116</v>
      </c>
      <c r="B32">
        <v>12</v>
      </c>
      <c r="C32">
        <v>3</v>
      </c>
      <c r="D32">
        <v>6</v>
      </c>
      <c r="E32">
        <v>0</v>
      </c>
      <c r="F32">
        <v>2.47356786578893</v>
      </c>
      <c r="G32">
        <v>10000</v>
      </c>
      <c r="H32">
        <v>10000</v>
      </c>
      <c r="I32" t="s">
        <v>1002</v>
      </c>
    </row>
    <row r="33" spans="1:9" x14ac:dyDescent="0.2">
      <c r="A33" t="s">
        <v>118</v>
      </c>
      <c r="B33">
        <v>13</v>
      </c>
      <c r="C33">
        <v>5</v>
      </c>
      <c r="D33">
        <v>5</v>
      </c>
      <c r="E33">
        <v>0</v>
      </c>
      <c r="F33">
        <v>2.58595962077379</v>
      </c>
      <c r="G33">
        <v>9968</v>
      </c>
      <c r="H33">
        <v>10000</v>
      </c>
      <c r="I33" t="s">
        <v>1003</v>
      </c>
    </row>
    <row r="34" spans="1:9" x14ac:dyDescent="0.2">
      <c r="A34" t="s">
        <v>120</v>
      </c>
      <c r="B34">
        <v>14</v>
      </c>
      <c r="C34">
        <v>6</v>
      </c>
      <c r="D34">
        <v>5</v>
      </c>
      <c r="E34">
        <v>0</v>
      </c>
      <c r="F34">
        <v>2.7139655128121301</v>
      </c>
      <c r="G34">
        <v>9974</v>
      </c>
      <c r="H34">
        <v>10000</v>
      </c>
      <c r="I34" t="s">
        <v>1004</v>
      </c>
    </row>
    <row r="35" spans="1:9" x14ac:dyDescent="0.2">
      <c r="A35" t="s">
        <v>122</v>
      </c>
      <c r="B35">
        <v>15</v>
      </c>
      <c r="C35">
        <v>7</v>
      </c>
      <c r="D35">
        <v>5</v>
      </c>
      <c r="E35">
        <v>0</v>
      </c>
      <c r="F35">
        <v>2.8678256794810202</v>
      </c>
      <c r="G35">
        <v>9989</v>
      </c>
      <c r="H35">
        <v>10000</v>
      </c>
      <c r="I35" t="s">
        <v>1005</v>
      </c>
    </row>
    <row r="36" spans="1:9" x14ac:dyDescent="0.2">
      <c r="A36" t="s">
        <v>124</v>
      </c>
      <c r="B36">
        <v>16</v>
      </c>
      <c r="C36">
        <v>8</v>
      </c>
      <c r="D36">
        <v>5</v>
      </c>
      <c r="E36">
        <v>0</v>
      </c>
      <c r="F36">
        <v>3.01149132102727</v>
      </c>
      <c r="G36">
        <v>10000</v>
      </c>
      <c r="H36">
        <v>10000</v>
      </c>
      <c r="I36" t="s">
        <v>1006</v>
      </c>
    </row>
    <row r="37" spans="1:9" x14ac:dyDescent="0.2">
      <c r="A37" t="s">
        <v>126</v>
      </c>
      <c r="B37">
        <v>20</v>
      </c>
      <c r="C37">
        <v>5</v>
      </c>
      <c r="D37">
        <v>9</v>
      </c>
      <c r="E37">
        <v>0</v>
      </c>
      <c r="F37">
        <v>3.54383363574743</v>
      </c>
      <c r="G37">
        <v>9889</v>
      </c>
      <c r="H37">
        <v>10000</v>
      </c>
      <c r="I37" t="s">
        <v>1007</v>
      </c>
    </row>
    <row r="38" spans="1:9" x14ac:dyDescent="0.2">
      <c r="A38" t="s">
        <v>128</v>
      </c>
      <c r="B38">
        <v>21</v>
      </c>
      <c r="C38">
        <v>5</v>
      </c>
      <c r="D38">
        <v>10</v>
      </c>
      <c r="E38">
        <v>0</v>
      </c>
      <c r="F38">
        <v>3.7959422543644901</v>
      </c>
      <c r="G38">
        <v>9994</v>
      </c>
      <c r="H38">
        <v>10000</v>
      </c>
      <c r="I38" t="s">
        <v>1008</v>
      </c>
    </row>
    <row r="39" spans="1:9" x14ac:dyDescent="0.2">
      <c r="A39" t="s">
        <v>130</v>
      </c>
      <c r="B39">
        <v>22</v>
      </c>
      <c r="C39">
        <v>6</v>
      </c>
      <c r="D39">
        <v>9</v>
      </c>
      <c r="E39">
        <v>0</v>
      </c>
      <c r="F39">
        <v>3.8346629217267001</v>
      </c>
      <c r="G39">
        <v>9844</v>
      </c>
      <c r="H39">
        <v>10000</v>
      </c>
      <c r="I39" t="s">
        <v>1009</v>
      </c>
    </row>
    <row r="40" spans="1:9" x14ac:dyDescent="0.2">
      <c r="A40" t="s">
        <v>132</v>
      </c>
      <c r="B40">
        <v>23</v>
      </c>
      <c r="C40">
        <v>7</v>
      </c>
      <c r="D40">
        <v>9</v>
      </c>
      <c r="E40">
        <v>0</v>
      </c>
      <c r="F40">
        <v>4.0047231465577999</v>
      </c>
      <c r="G40">
        <v>9843</v>
      </c>
      <c r="H40">
        <v>10000</v>
      </c>
      <c r="I40" t="s">
        <v>1010</v>
      </c>
    </row>
    <row r="41" spans="1:9" x14ac:dyDescent="0.2">
      <c r="A41" t="s">
        <v>134</v>
      </c>
      <c r="B41">
        <v>24</v>
      </c>
      <c r="C41">
        <v>3</v>
      </c>
      <c r="D41">
        <v>13</v>
      </c>
      <c r="E41">
        <v>0</v>
      </c>
      <c r="F41">
        <v>4.0817145183682397</v>
      </c>
      <c r="G41">
        <v>9860</v>
      </c>
      <c r="H41">
        <v>10000</v>
      </c>
      <c r="I41" t="s">
        <v>1011</v>
      </c>
    </row>
    <row r="42" spans="1:9" x14ac:dyDescent="0.2">
      <c r="A42" t="s">
        <v>136</v>
      </c>
      <c r="B42">
        <v>25</v>
      </c>
      <c r="C42">
        <v>15</v>
      </c>
      <c r="D42">
        <v>5</v>
      </c>
      <c r="E42">
        <v>0</v>
      </c>
      <c r="F42">
        <v>4.2806541472673398</v>
      </c>
      <c r="G42">
        <v>9901</v>
      </c>
      <c r="H42">
        <v>10000</v>
      </c>
      <c r="I42" t="s">
        <v>1012</v>
      </c>
    </row>
    <row r="43" spans="1:9" x14ac:dyDescent="0.2">
      <c r="A43" t="s">
        <v>138</v>
      </c>
      <c r="B43">
        <v>26</v>
      </c>
      <c r="C43">
        <v>9</v>
      </c>
      <c r="D43">
        <v>9</v>
      </c>
      <c r="E43">
        <v>0</v>
      </c>
      <c r="F43">
        <v>4.4467568919062597</v>
      </c>
      <c r="G43">
        <v>9946</v>
      </c>
      <c r="H43">
        <v>10000</v>
      </c>
      <c r="I43" t="s">
        <v>1013</v>
      </c>
    </row>
    <row r="44" spans="1:9" x14ac:dyDescent="0.2">
      <c r="A44" t="s">
        <v>140</v>
      </c>
      <c r="B44">
        <v>27</v>
      </c>
      <c r="C44">
        <v>10</v>
      </c>
      <c r="D44">
        <v>9</v>
      </c>
      <c r="E44">
        <v>0</v>
      </c>
      <c r="F44">
        <v>4.6330721303820601</v>
      </c>
      <c r="G44">
        <v>9965</v>
      </c>
      <c r="H44">
        <v>10000</v>
      </c>
      <c r="I44" t="s">
        <v>1014</v>
      </c>
    </row>
    <row r="45" spans="1:9" x14ac:dyDescent="0.2">
      <c r="A45" t="s">
        <v>142</v>
      </c>
      <c r="B45">
        <v>28</v>
      </c>
      <c r="C45">
        <v>18</v>
      </c>
      <c r="D45">
        <v>5</v>
      </c>
      <c r="E45">
        <v>0</v>
      </c>
      <c r="F45">
        <v>4.7381077930331204</v>
      </c>
      <c r="G45">
        <v>9993</v>
      </c>
      <c r="H45">
        <v>10000</v>
      </c>
      <c r="I45" t="s">
        <v>1015</v>
      </c>
    </row>
    <row r="46" spans="1:9" x14ac:dyDescent="0.2">
      <c r="A46" t="s">
        <v>144</v>
      </c>
      <c r="B46">
        <v>29</v>
      </c>
      <c r="C46">
        <v>6</v>
      </c>
      <c r="D46">
        <v>13</v>
      </c>
      <c r="E46">
        <v>0</v>
      </c>
      <c r="F46">
        <v>4.87118427455425</v>
      </c>
      <c r="G46">
        <v>7964</v>
      </c>
      <c r="H46">
        <v>10000</v>
      </c>
      <c r="I46" t="s">
        <v>1016</v>
      </c>
    </row>
    <row r="47" spans="1:9" x14ac:dyDescent="0.2">
      <c r="A47" t="s">
        <v>146</v>
      </c>
      <c r="B47">
        <v>30</v>
      </c>
      <c r="C47">
        <v>6</v>
      </c>
      <c r="D47">
        <v>14</v>
      </c>
      <c r="E47">
        <v>0</v>
      </c>
      <c r="F47">
        <v>5.0695305392146102</v>
      </c>
      <c r="G47">
        <v>9732</v>
      </c>
      <c r="H47">
        <v>10000</v>
      </c>
      <c r="I47" t="s">
        <v>1017</v>
      </c>
    </row>
    <row r="48" spans="1:9" x14ac:dyDescent="0.2">
      <c r="A48" t="s">
        <v>148</v>
      </c>
      <c r="B48">
        <v>31</v>
      </c>
      <c r="C48">
        <v>3</v>
      </c>
      <c r="D48">
        <v>17</v>
      </c>
      <c r="E48">
        <v>0</v>
      </c>
      <c r="F48">
        <v>5.09812535345554</v>
      </c>
      <c r="G48">
        <v>9847</v>
      </c>
      <c r="H48">
        <v>10000</v>
      </c>
      <c r="I48" t="s">
        <v>1018</v>
      </c>
    </row>
    <row r="49" spans="1:9" x14ac:dyDescent="0.2">
      <c r="A49" t="s">
        <v>150</v>
      </c>
      <c r="B49">
        <v>32</v>
      </c>
      <c r="C49">
        <v>8</v>
      </c>
      <c r="D49">
        <v>13</v>
      </c>
      <c r="E49">
        <v>0</v>
      </c>
      <c r="F49">
        <v>5.3835450783371899</v>
      </c>
      <c r="G49">
        <v>9967</v>
      </c>
      <c r="H49">
        <v>10000</v>
      </c>
      <c r="I49" t="s">
        <v>1019</v>
      </c>
    </row>
    <row r="50" spans="1:9" x14ac:dyDescent="0.2">
      <c r="A50" t="s">
        <v>152</v>
      </c>
      <c r="B50">
        <v>33</v>
      </c>
      <c r="C50">
        <v>18</v>
      </c>
      <c r="D50">
        <v>7</v>
      </c>
      <c r="E50">
        <v>0</v>
      </c>
      <c r="F50">
        <v>5.46861027181148</v>
      </c>
      <c r="G50">
        <v>7467</v>
      </c>
      <c r="H50">
        <v>10000</v>
      </c>
      <c r="I50" t="s">
        <v>1020</v>
      </c>
    </row>
    <row r="51" spans="1:9" x14ac:dyDescent="0.2">
      <c r="A51" t="s">
        <v>154</v>
      </c>
      <c r="B51">
        <v>34</v>
      </c>
      <c r="C51">
        <v>4</v>
      </c>
      <c r="D51">
        <v>17</v>
      </c>
      <c r="E51">
        <v>0</v>
      </c>
      <c r="F51">
        <v>5.5698731318116099</v>
      </c>
      <c r="G51">
        <v>9456</v>
      </c>
      <c r="H51">
        <v>10000</v>
      </c>
      <c r="I51" t="s">
        <v>1021</v>
      </c>
    </row>
    <row r="52" spans="1:9" x14ac:dyDescent="0.2">
      <c r="A52" t="s">
        <v>156</v>
      </c>
      <c r="B52">
        <v>35</v>
      </c>
      <c r="C52">
        <v>20</v>
      </c>
      <c r="D52">
        <v>7</v>
      </c>
      <c r="E52">
        <v>0</v>
      </c>
      <c r="F52">
        <v>5.7443703860044399</v>
      </c>
      <c r="G52">
        <v>9653</v>
      </c>
      <c r="H52">
        <v>10000</v>
      </c>
      <c r="I52" t="s">
        <v>1022</v>
      </c>
    </row>
    <row r="53" spans="1:9" x14ac:dyDescent="0.2">
      <c r="A53" t="s">
        <v>158</v>
      </c>
      <c r="B53">
        <v>36</v>
      </c>
      <c r="C53">
        <v>5</v>
      </c>
      <c r="D53">
        <v>17</v>
      </c>
      <c r="E53">
        <v>0</v>
      </c>
      <c r="F53">
        <v>5.96391765773296</v>
      </c>
      <c r="G53">
        <v>9764</v>
      </c>
      <c r="H53">
        <v>10000</v>
      </c>
      <c r="I53" t="s">
        <v>1023</v>
      </c>
    </row>
    <row r="54" spans="1:9" x14ac:dyDescent="0.2">
      <c r="A54" t="s">
        <v>160</v>
      </c>
      <c r="B54">
        <v>37</v>
      </c>
      <c r="C54">
        <v>6</v>
      </c>
      <c r="D54">
        <v>17</v>
      </c>
      <c r="E54">
        <v>0</v>
      </c>
      <c r="F54">
        <v>6.1556188613176301</v>
      </c>
      <c r="G54">
        <v>9192</v>
      </c>
      <c r="H54">
        <v>10000</v>
      </c>
      <c r="I54" t="s">
        <v>1024</v>
      </c>
    </row>
    <row r="55" spans="1:9" x14ac:dyDescent="0.2">
      <c r="A55" t="s">
        <v>162</v>
      </c>
      <c r="B55">
        <v>38</v>
      </c>
      <c r="C55">
        <v>3</v>
      </c>
      <c r="D55">
        <v>21</v>
      </c>
      <c r="E55">
        <v>0</v>
      </c>
      <c r="F55">
        <v>6.2431285604834503</v>
      </c>
      <c r="G55">
        <v>9848</v>
      </c>
      <c r="H55">
        <v>10000</v>
      </c>
      <c r="I55" t="s">
        <v>1025</v>
      </c>
    </row>
    <row r="56" spans="1:9" x14ac:dyDescent="0.2">
      <c r="A56" t="s">
        <v>164</v>
      </c>
      <c r="B56">
        <v>39</v>
      </c>
      <c r="C56">
        <v>7</v>
      </c>
      <c r="D56">
        <v>17</v>
      </c>
      <c r="E56">
        <v>0</v>
      </c>
      <c r="F56">
        <v>6.5340672209858797</v>
      </c>
      <c r="G56">
        <v>9738</v>
      </c>
      <c r="H56">
        <v>10000</v>
      </c>
      <c r="I56" t="s">
        <v>1026</v>
      </c>
    </row>
    <row r="57" spans="1:9" x14ac:dyDescent="0.2">
      <c r="A57" t="s">
        <v>166</v>
      </c>
      <c r="B57">
        <v>40</v>
      </c>
      <c r="C57">
        <v>13</v>
      </c>
      <c r="D57">
        <v>13</v>
      </c>
      <c r="E57">
        <v>0</v>
      </c>
      <c r="F57">
        <v>6.7015552669763503</v>
      </c>
      <c r="G57">
        <v>9682</v>
      </c>
      <c r="H57">
        <v>10000</v>
      </c>
      <c r="I57" t="s">
        <v>1027</v>
      </c>
    </row>
    <row r="58" spans="1:9" x14ac:dyDescent="0.2">
      <c r="A58" t="s">
        <v>168</v>
      </c>
      <c r="B58">
        <v>41</v>
      </c>
      <c r="C58">
        <v>8</v>
      </c>
      <c r="D58">
        <v>17</v>
      </c>
      <c r="E58">
        <v>0</v>
      </c>
      <c r="F58">
        <v>6.9013112261891303</v>
      </c>
      <c r="G58">
        <v>9629</v>
      </c>
      <c r="H58">
        <v>10000</v>
      </c>
      <c r="I58" t="s">
        <v>1028</v>
      </c>
    </row>
    <row r="59" spans="1:9" x14ac:dyDescent="0.2">
      <c r="A59" t="s">
        <v>170</v>
      </c>
      <c r="B59">
        <v>42</v>
      </c>
      <c r="C59">
        <v>9</v>
      </c>
      <c r="D59">
        <v>17</v>
      </c>
      <c r="E59">
        <v>0</v>
      </c>
      <c r="F59">
        <v>7.0586177855730003</v>
      </c>
      <c r="G59">
        <v>9836</v>
      </c>
      <c r="H59">
        <v>10000</v>
      </c>
      <c r="I59" t="s">
        <v>1029</v>
      </c>
    </row>
    <row r="60" spans="1:9" x14ac:dyDescent="0.2">
      <c r="A60" t="s">
        <v>172</v>
      </c>
      <c r="B60">
        <v>43</v>
      </c>
      <c r="C60">
        <v>22</v>
      </c>
      <c r="D60">
        <v>9</v>
      </c>
      <c r="E60">
        <v>0</v>
      </c>
      <c r="F60">
        <v>7.0085001364350301</v>
      </c>
      <c r="G60">
        <v>7431</v>
      </c>
      <c r="H60">
        <v>10000</v>
      </c>
      <c r="I60" t="s">
        <v>1030</v>
      </c>
    </row>
    <row r="61" spans="1:9" x14ac:dyDescent="0.2">
      <c r="A61" t="s">
        <v>174</v>
      </c>
      <c r="B61">
        <v>44</v>
      </c>
      <c r="C61">
        <v>23</v>
      </c>
      <c r="D61">
        <v>9</v>
      </c>
      <c r="E61">
        <v>0</v>
      </c>
      <c r="F61">
        <v>7.1922717019915501</v>
      </c>
      <c r="G61">
        <v>7543</v>
      </c>
      <c r="H61">
        <v>10000</v>
      </c>
      <c r="I61" t="s">
        <v>1031</v>
      </c>
    </row>
    <row r="62" spans="1:9" x14ac:dyDescent="0.2">
      <c r="A62" t="s">
        <v>176</v>
      </c>
      <c r="B62">
        <v>45</v>
      </c>
      <c r="C62">
        <v>24</v>
      </c>
      <c r="D62">
        <v>9</v>
      </c>
      <c r="E62">
        <v>0</v>
      </c>
      <c r="F62">
        <v>7.3600405231118202</v>
      </c>
      <c r="G62">
        <v>7734</v>
      </c>
      <c r="H62">
        <v>10000</v>
      </c>
      <c r="I62" t="s">
        <v>1032</v>
      </c>
    </row>
    <row r="63" spans="1:9" x14ac:dyDescent="0.2">
      <c r="A63" t="s">
        <v>178</v>
      </c>
      <c r="B63">
        <v>46</v>
      </c>
      <c r="C63">
        <v>15</v>
      </c>
      <c r="D63">
        <v>15</v>
      </c>
      <c r="E63">
        <v>0</v>
      </c>
      <c r="F63">
        <v>7.8910678327083499</v>
      </c>
      <c r="G63">
        <v>8956</v>
      </c>
      <c r="H63">
        <v>10000</v>
      </c>
      <c r="I63" t="s">
        <v>1033</v>
      </c>
    </row>
    <row r="64" spans="1:9" x14ac:dyDescent="0.2">
      <c r="A64" t="s">
        <v>180</v>
      </c>
      <c r="B64">
        <v>47</v>
      </c>
      <c r="C64">
        <v>25</v>
      </c>
      <c r="D64">
        <v>9</v>
      </c>
      <c r="E64">
        <v>0</v>
      </c>
      <c r="F64">
        <v>7.7095176577568001</v>
      </c>
      <c r="G64">
        <v>8019</v>
      </c>
      <c r="H64">
        <v>10000</v>
      </c>
      <c r="I64" t="s">
        <v>1034</v>
      </c>
    </row>
    <row r="65" spans="1:9" x14ac:dyDescent="0.2">
      <c r="A65" t="s">
        <v>182</v>
      </c>
      <c r="B65">
        <v>48</v>
      </c>
      <c r="C65">
        <v>26</v>
      </c>
      <c r="D65">
        <v>9</v>
      </c>
      <c r="E65">
        <v>0</v>
      </c>
      <c r="F65">
        <v>7.8766589090228001</v>
      </c>
      <c r="G65">
        <v>8365</v>
      </c>
      <c r="H65">
        <v>10000</v>
      </c>
      <c r="I65" t="s">
        <v>1035</v>
      </c>
    </row>
    <row r="66" spans="1:9" x14ac:dyDescent="0.2">
      <c r="A66" t="s">
        <v>184</v>
      </c>
      <c r="B66">
        <v>49</v>
      </c>
      <c r="C66">
        <v>4</v>
      </c>
      <c r="D66">
        <v>25</v>
      </c>
      <c r="E66">
        <v>0</v>
      </c>
      <c r="F66">
        <v>8.1782673895359004</v>
      </c>
      <c r="G66">
        <v>9422</v>
      </c>
      <c r="H66">
        <v>10000</v>
      </c>
      <c r="I66" t="s">
        <v>1036</v>
      </c>
    </row>
    <row r="67" spans="1:9" x14ac:dyDescent="0.2">
      <c r="A67" t="s">
        <v>186</v>
      </c>
      <c r="B67">
        <v>50</v>
      </c>
      <c r="C67">
        <v>19</v>
      </c>
      <c r="D67">
        <v>13</v>
      </c>
      <c r="E67">
        <v>0</v>
      </c>
      <c r="F67">
        <v>8.4361247792840004</v>
      </c>
      <c r="G67">
        <v>9264</v>
      </c>
      <c r="H67">
        <v>10000</v>
      </c>
      <c r="I67" t="s">
        <v>1037</v>
      </c>
    </row>
    <row r="68" spans="1:9" x14ac:dyDescent="0.2">
      <c r="A68" t="s">
        <v>188</v>
      </c>
      <c r="B68">
        <v>51</v>
      </c>
      <c r="C68">
        <v>28</v>
      </c>
      <c r="D68">
        <v>9</v>
      </c>
      <c r="E68">
        <v>0</v>
      </c>
      <c r="F68">
        <v>8.5135665982961601</v>
      </c>
      <c r="G68">
        <v>6049</v>
      </c>
      <c r="H68">
        <v>10000</v>
      </c>
      <c r="I68" t="s">
        <v>1038</v>
      </c>
    </row>
    <row r="69" spans="1:9" x14ac:dyDescent="0.2">
      <c r="A69" t="s">
        <v>190</v>
      </c>
      <c r="B69">
        <v>52</v>
      </c>
      <c r="C69">
        <v>15</v>
      </c>
      <c r="D69">
        <v>17</v>
      </c>
      <c r="E69">
        <v>0</v>
      </c>
      <c r="F69">
        <v>8.8385498970746994</v>
      </c>
      <c r="G69">
        <v>6612</v>
      </c>
      <c r="H69">
        <v>10000</v>
      </c>
      <c r="I69" t="s">
        <v>1039</v>
      </c>
    </row>
    <row r="70" spans="1:9" x14ac:dyDescent="0.2">
      <c r="A70" t="s">
        <v>192</v>
      </c>
      <c r="B70">
        <v>53</v>
      </c>
      <c r="C70">
        <v>16</v>
      </c>
      <c r="D70">
        <v>17</v>
      </c>
      <c r="E70">
        <v>0</v>
      </c>
      <c r="F70">
        <v>8.9850763976573909</v>
      </c>
      <c r="G70">
        <v>6726</v>
      </c>
      <c r="H70">
        <v>10000</v>
      </c>
      <c r="I70" t="s">
        <v>1040</v>
      </c>
    </row>
    <row r="71" spans="1:9" x14ac:dyDescent="0.2">
      <c r="A71" t="s">
        <v>194</v>
      </c>
      <c r="B71">
        <v>54</v>
      </c>
      <c r="C71">
        <v>31</v>
      </c>
      <c r="D71">
        <v>9</v>
      </c>
      <c r="E71">
        <v>0</v>
      </c>
      <c r="F71">
        <v>8.8735876083374006</v>
      </c>
      <c r="G71">
        <v>8190</v>
      </c>
      <c r="H71">
        <v>10000</v>
      </c>
      <c r="I71" t="s">
        <v>1041</v>
      </c>
    </row>
    <row r="72" spans="1:9" x14ac:dyDescent="0.2">
      <c r="A72" t="s">
        <v>196</v>
      </c>
      <c r="B72">
        <v>55</v>
      </c>
      <c r="C72">
        <v>23</v>
      </c>
      <c r="D72">
        <v>13</v>
      </c>
      <c r="E72">
        <v>0</v>
      </c>
      <c r="F72">
        <v>9.3080488741397804</v>
      </c>
      <c r="G72">
        <v>8960</v>
      </c>
      <c r="H72">
        <v>10000</v>
      </c>
      <c r="I72" t="s">
        <v>1042</v>
      </c>
    </row>
    <row r="73" spans="1:9" x14ac:dyDescent="0.2">
      <c r="A73" t="s">
        <v>198</v>
      </c>
      <c r="B73">
        <v>56</v>
      </c>
      <c r="C73">
        <v>17</v>
      </c>
      <c r="D73">
        <v>17</v>
      </c>
      <c r="E73">
        <v>0</v>
      </c>
      <c r="F73">
        <v>9.5546520277857692</v>
      </c>
      <c r="G73">
        <v>6811</v>
      </c>
      <c r="H73">
        <v>10000</v>
      </c>
      <c r="I73" t="s">
        <v>1043</v>
      </c>
    </row>
    <row r="74" spans="1:9" x14ac:dyDescent="0.2">
      <c r="A74" t="s">
        <v>200</v>
      </c>
      <c r="B74">
        <v>57</v>
      </c>
      <c r="C74">
        <v>18</v>
      </c>
      <c r="D74">
        <v>17</v>
      </c>
      <c r="E74">
        <v>0</v>
      </c>
      <c r="F74">
        <v>9.7008472457528097</v>
      </c>
      <c r="G74">
        <v>6713</v>
      </c>
      <c r="H74">
        <v>10000</v>
      </c>
      <c r="I74" t="s">
        <v>1044</v>
      </c>
    </row>
    <row r="75" spans="1:9" x14ac:dyDescent="0.2">
      <c r="A75" t="s">
        <v>202</v>
      </c>
      <c r="B75">
        <v>58</v>
      </c>
      <c r="C75">
        <v>3</v>
      </c>
      <c r="D75">
        <v>32</v>
      </c>
      <c r="E75">
        <v>0</v>
      </c>
      <c r="F75">
        <v>9.8215538188815099</v>
      </c>
      <c r="G75">
        <v>8654</v>
      </c>
      <c r="H75">
        <v>10000</v>
      </c>
      <c r="I75" t="s">
        <v>1045</v>
      </c>
    </row>
    <row r="76" spans="1:9" x14ac:dyDescent="0.2">
      <c r="A76" t="s">
        <v>204</v>
      </c>
      <c r="B76">
        <v>59</v>
      </c>
      <c r="C76">
        <v>19</v>
      </c>
      <c r="D76">
        <v>17</v>
      </c>
      <c r="E76">
        <v>0</v>
      </c>
      <c r="F76">
        <v>10.178100608289199</v>
      </c>
      <c r="G76">
        <v>7895</v>
      </c>
      <c r="H76">
        <v>10000</v>
      </c>
      <c r="I76" t="s">
        <v>1046</v>
      </c>
    </row>
    <row r="77" spans="1:9" x14ac:dyDescent="0.2">
      <c r="A77" t="s">
        <v>206</v>
      </c>
      <c r="B77">
        <v>60</v>
      </c>
      <c r="C77">
        <v>20</v>
      </c>
      <c r="D77">
        <v>17</v>
      </c>
      <c r="E77">
        <v>0</v>
      </c>
      <c r="F77">
        <v>10.3367368951439</v>
      </c>
      <c r="G77">
        <v>8061</v>
      </c>
      <c r="H77">
        <v>10000</v>
      </c>
      <c r="I77" t="s">
        <v>1047</v>
      </c>
    </row>
    <row r="78" spans="1:9" x14ac:dyDescent="0.2">
      <c r="A78" t="s">
        <v>208</v>
      </c>
      <c r="B78">
        <v>61</v>
      </c>
      <c r="C78">
        <v>18</v>
      </c>
      <c r="D78">
        <v>19</v>
      </c>
      <c r="E78">
        <v>0</v>
      </c>
      <c r="F78">
        <v>10.6233858391642</v>
      </c>
      <c r="G78">
        <v>5014</v>
      </c>
      <c r="H78">
        <v>10000</v>
      </c>
      <c r="I78" t="s">
        <v>1048</v>
      </c>
    </row>
    <row r="79" spans="1:9" x14ac:dyDescent="0.2">
      <c r="A79" t="s">
        <v>210</v>
      </c>
      <c r="B79">
        <v>62</v>
      </c>
      <c r="C79">
        <v>21</v>
      </c>
      <c r="D79">
        <v>17</v>
      </c>
      <c r="E79">
        <v>0</v>
      </c>
      <c r="F79">
        <v>10.7440591678023</v>
      </c>
      <c r="G79">
        <v>7423</v>
      </c>
      <c r="H79">
        <v>10000</v>
      </c>
      <c r="I79" t="s">
        <v>1049</v>
      </c>
    </row>
    <row r="80" spans="1:9" x14ac:dyDescent="0.2">
      <c r="A80" t="s">
        <v>212</v>
      </c>
      <c r="B80">
        <v>63</v>
      </c>
      <c r="C80">
        <v>23</v>
      </c>
      <c r="D80">
        <v>16</v>
      </c>
      <c r="E80">
        <v>0</v>
      </c>
      <c r="F80">
        <v>10.882518373429701</v>
      </c>
      <c r="G80">
        <v>5257</v>
      </c>
      <c r="H80">
        <v>10000</v>
      </c>
      <c r="I80" t="s">
        <v>1050</v>
      </c>
    </row>
    <row r="81" spans="1:9" x14ac:dyDescent="0.2">
      <c r="A81" t="s">
        <v>214</v>
      </c>
      <c r="B81">
        <v>64</v>
      </c>
      <c r="C81">
        <v>24</v>
      </c>
      <c r="D81">
        <v>16</v>
      </c>
      <c r="E81">
        <v>0</v>
      </c>
      <c r="F81">
        <v>11.052516050636701</v>
      </c>
      <c r="G81">
        <v>6874</v>
      </c>
      <c r="H81">
        <v>10000</v>
      </c>
      <c r="I81" t="s">
        <v>1051</v>
      </c>
    </row>
    <row r="82" spans="1:9" x14ac:dyDescent="0.2">
      <c r="A82" t="s">
        <v>216</v>
      </c>
      <c r="B82">
        <v>65</v>
      </c>
      <c r="C82">
        <v>31</v>
      </c>
      <c r="D82">
        <v>13</v>
      </c>
      <c r="E82">
        <v>0</v>
      </c>
      <c r="F82">
        <v>11.142213560640799</v>
      </c>
      <c r="G82">
        <v>4658</v>
      </c>
      <c r="H82">
        <v>10000</v>
      </c>
      <c r="I82" t="s">
        <v>1052</v>
      </c>
    </row>
    <row r="83" spans="1:9" x14ac:dyDescent="0.2">
      <c r="A83" t="s">
        <v>218</v>
      </c>
      <c r="B83">
        <v>66</v>
      </c>
      <c r="C83">
        <v>32</v>
      </c>
      <c r="D83">
        <v>13</v>
      </c>
      <c r="E83">
        <v>0</v>
      </c>
      <c r="F83">
        <v>11.3622491881251</v>
      </c>
      <c r="G83">
        <v>4801</v>
      </c>
      <c r="H83">
        <v>10000</v>
      </c>
      <c r="I83" t="s">
        <v>1053</v>
      </c>
    </row>
    <row r="84" spans="1:9" x14ac:dyDescent="0.2">
      <c r="A84" t="s">
        <v>220</v>
      </c>
      <c r="B84">
        <v>67</v>
      </c>
      <c r="C84">
        <v>33</v>
      </c>
      <c r="D84">
        <v>13</v>
      </c>
      <c r="E84">
        <v>0</v>
      </c>
      <c r="F84">
        <v>11.5779556259512</v>
      </c>
      <c r="G84">
        <v>4947</v>
      </c>
      <c r="H84">
        <v>10000</v>
      </c>
      <c r="I84" t="s">
        <v>1054</v>
      </c>
    </row>
    <row r="85" spans="1:9" x14ac:dyDescent="0.2">
      <c r="A85" t="s">
        <v>222</v>
      </c>
      <c r="B85">
        <v>68</v>
      </c>
      <c r="C85">
        <v>34</v>
      </c>
      <c r="D85">
        <v>13</v>
      </c>
      <c r="E85">
        <v>0</v>
      </c>
      <c r="F85">
        <v>11.713428705930699</v>
      </c>
      <c r="G85">
        <v>4914</v>
      </c>
      <c r="H85">
        <v>10000</v>
      </c>
      <c r="I85" t="s">
        <v>1055</v>
      </c>
    </row>
    <row r="86" spans="1:9" x14ac:dyDescent="0.2">
      <c r="A86" t="s">
        <v>224</v>
      </c>
      <c r="B86">
        <v>69</v>
      </c>
      <c r="C86">
        <v>35</v>
      </c>
      <c r="D86">
        <v>13</v>
      </c>
      <c r="E86">
        <v>0</v>
      </c>
      <c r="F86">
        <v>11.9964635670185</v>
      </c>
      <c r="G86">
        <v>5063</v>
      </c>
      <c r="H86">
        <v>10000</v>
      </c>
      <c r="I86" t="s">
        <v>1056</v>
      </c>
    </row>
    <row r="87" spans="1:9" x14ac:dyDescent="0.2">
      <c r="A87" t="s">
        <v>226</v>
      </c>
      <c r="B87">
        <v>70</v>
      </c>
      <c r="C87">
        <v>36</v>
      </c>
      <c r="D87">
        <v>13</v>
      </c>
      <c r="E87">
        <v>0</v>
      </c>
      <c r="F87">
        <v>12.075374282896499</v>
      </c>
      <c r="G87">
        <v>5129</v>
      </c>
      <c r="H87">
        <v>10000</v>
      </c>
      <c r="I87" t="s">
        <v>1057</v>
      </c>
    </row>
    <row r="88" spans="1:9" x14ac:dyDescent="0.2">
      <c r="A88" t="s">
        <v>228</v>
      </c>
      <c r="B88">
        <v>71</v>
      </c>
      <c r="C88">
        <v>12</v>
      </c>
      <c r="D88">
        <v>29</v>
      </c>
      <c r="E88">
        <v>0</v>
      </c>
      <c r="F88">
        <v>12.7910391911864</v>
      </c>
      <c r="G88">
        <v>5954</v>
      </c>
      <c r="H88">
        <v>10000</v>
      </c>
      <c r="I88" t="s">
        <v>1058</v>
      </c>
    </row>
    <row r="89" spans="1:9" x14ac:dyDescent="0.2">
      <c r="A89" t="s">
        <v>230</v>
      </c>
      <c r="B89">
        <v>72</v>
      </c>
      <c r="C89">
        <v>37</v>
      </c>
      <c r="D89">
        <v>13</v>
      </c>
      <c r="E89">
        <v>0</v>
      </c>
      <c r="F89">
        <v>12.371697686612601</v>
      </c>
      <c r="G89">
        <v>6015</v>
      </c>
      <c r="H89">
        <v>10000</v>
      </c>
      <c r="I89" t="s">
        <v>1059</v>
      </c>
    </row>
    <row r="90" spans="1:9" x14ac:dyDescent="0.2">
      <c r="A90" t="s">
        <v>232</v>
      </c>
      <c r="B90">
        <v>73</v>
      </c>
      <c r="C90">
        <v>38</v>
      </c>
      <c r="D90">
        <v>13</v>
      </c>
      <c r="E90">
        <v>0</v>
      </c>
      <c r="F90">
        <v>12.606128714978601</v>
      </c>
      <c r="G90">
        <v>5971</v>
      </c>
      <c r="H90">
        <v>10000</v>
      </c>
      <c r="I90" t="s">
        <v>1060</v>
      </c>
    </row>
    <row r="91" spans="1:9" x14ac:dyDescent="0.2">
      <c r="A91" t="s">
        <v>234</v>
      </c>
      <c r="B91">
        <v>74</v>
      </c>
      <c r="C91">
        <v>9</v>
      </c>
      <c r="D91">
        <v>32</v>
      </c>
      <c r="E91">
        <v>0</v>
      </c>
      <c r="F91">
        <v>13.3386386856436</v>
      </c>
      <c r="G91">
        <v>5362</v>
      </c>
      <c r="H91">
        <v>10000</v>
      </c>
      <c r="I91" t="s">
        <v>1061</v>
      </c>
    </row>
    <row r="92" spans="1:9" x14ac:dyDescent="0.2">
      <c r="A92" t="s">
        <v>236</v>
      </c>
      <c r="B92">
        <v>75</v>
      </c>
      <c r="C92">
        <v>28</v>
      </c>
      <c r="D92">
        <v>19</v>
      </c>
      <c r="E92">
        <v>0</v>
      </c>
      <c r="F92">
        <v>13.658524751663199</v>
      </c>
      <c r="G92">
        <v>3142</v>
      </c>
      <c r="H92">
        <v>10000</v>
      </c>
      <c r="I92" t="s">
        <v>1062</v>
      </c>
    </row>
    <row r="93" spans="1:9" x14ac:dyDescent="0.2">
      <c r="A93" t="s">
        <v>238</v>
      </c>
      <c r="B93">
        <v>76</v>
      </c>
      <c r="C93">
        <v>40</v>
      </c>
      <c r="D93">
        <v>12</v>
      </c>
      <c r="E93">
        <v>0</v>
      </c>
      <c r="F93">
        <v>13.228344887495</v>
      </c>
      <c r="G93">
        <v>5340</v>
      </c>
      <c r="H93">
        <v>10000</v>
      </c>
      <c r="I93" t="s">
        <v>1063</v>
      </c>
    </row>
    <row r="94" spans="1:9" x14ac:dyDescent="0.2">
      <c r="A94" t="s">
        <v>240</v>
      </c>
      <c r="B94">
        <v>77</v>
      </c>
      <c r="C94">
        <v>40</v>
      </c>
      <c r="D94">
        <v>13</v>
      </c>
      <c r="E94">
        <v>0</v>
      </c>
      <c r="F94">
        <v>13.381490066647499</v>
      </c>
      <c r="G94">
        <v>2479</v>
      </c>
      <c r="H94">
        <v>10000</v>
      </c>
      <c r="I94" t="s">
        <v>1064</v>
      </c>
    </row>
    <row r="95" spans="1:9" x14ac:dyDescent="0.2">
      <c r="A95" t="s">
        <v>242</v>
      </c>
      <c r="B95">
        <v>78</v>
      </c>
      <c r="C95">
        <v>29</v>
      </c>
      <c r="D95">
        <v>19</v>
      </c>
      <c r="E95">
        <v>0</v>
      </c>
      <c r="F95">
        <v>14.5070512667298</v>
      </c>
      <c r="G95">
        <v>2931</v>
      </c>
      <c r="H95">
        <v>10000</v>
      </c>
      <c r="I95" t="s">
        <v>1065</v>
      </c>
    </row>
    <row r="96" spans="1:9" x14ac:dyDescent="0.2">
      <c r="A96" t="s">
        <v>244</v>
      </c>
      <c r="B96">
        <v>79</v>
      </c>
      <c r="C96">
        <v>20</v>
      </c>
      <c r="D96">
        <v>24</v>
      </c>
      <c r="E96">
        <v>0</v>
      </c>
      <c r="F96">
        <v>14.517365396022701</v>
      </c>
      <c r="G96">
        <v>3055</v>
      </c>
      <c r="H96">
        <v>10000</v>
      </c>
      <c r="I96" t="s">
        <v>1066</v>
      </c>
    </row>
    <row r="97" spans="1:9" x14ac:dyDescent="0.2">
      <c r="A97" t="s">
        <v>246</v>
      </c>
      <c r="B97">
        <v>80</v>
      </c>
      <c r="C97">
        <v>47</v>
      </c>
      <c r="D97">
        <v>11</v>
      </c>
      <c r="E97">
        <v>0</v>
      </c>
      <c r="F97">
        <v>13.805185906588999</v>
      </c>
      <c r="G97">
        <v>4643</v>
      </c>
      <c r="H97">
        <v>10000</v>
      </c>
      <c r="I97" t="s">
        <v>1067</v>
      </c>
    </row>
    <row r="98" spans="1:9" x14ac:dyDescent="0.2">
      <c r="A98" t="s">
        <v>248</v>
      </c>
      <c r="B98">
        <v>81</v>
      </c>
      <c r="C98">
        <v>48</v>
      </c>
      <c r="D98">
        <v>11</v>
      </c>
      <c r="E98">
        <v>0</v>
      </c>
      <c r="F98">
        <v>13.9652227833867</v>
      </c>
      <c r="G98">
        <v>4693</v>
      </c>
      <c r="H98">
        <v>10000</v>
      </c>
      <c r="I98" t="s">
        <v>1068</v>
      </c>
    </row>
    <row r="99" spans="1:9" x14ac:dyDescent="0.2">
      <c r="A99" t="s">
        <v>250</v>
      </c>
      <c r="B99">
        <v>82</v>
      </c>
      <c r="C99">
        <v>43</v>
      </c>
      <c r="D99">
        <v>13</v>
      </c>
      <c r="E99">
        <v>0</v>
      </c>
      <c r="F99">
        <v>14.370872937142799</v>
      </c>
      <c r="G99">
        <v>2987</v>
      </c>
      <c r="H99">
        <v>10000</v>
      </c>
      <c r="I99" t="s">
        <v>1069</v>
      </c>
    </row>
    <row r="100" spans="1:9" x14ac:dyDescent="0.2">
      <c r="A100" t="s">
        <v>252</v>
      </c>
      <c r="B100">
        <v>83</v>
      </c>
      <c r="C100">
        <v>41</v>
      </c>
      <c r="D100">
        <v>15</v>
      </c>
      <c r="E100">
        <v>0</v>
      </c>
      <c r="F100">
        <v>14.767654381692401</v>
      </c>
      <c r="G100">
        <v>1681</v>
      </c>
      <c r="H100">
        <v>10000</v>
      </c>
      <c r="I100" t="s">
        <v>1070</v>
      </c>
    </row>
    <row r="101" spans="1:9" x14ac:dyDescent="0.2">
      <c r="A101" t="s">
        <v>254</v>
      </c>
      <c r="B101">
        <v>84</v>
      </c>
      <c r="C101">
        <v>42</v>
      </c>
      <c r="D101">
        <v>15</v>
      </c>
      <c r="E101">
        <v>0</v>
      </c>
      <c r="F101">
        <v>14.952692955732299</v>
      </c>
      <c r="G101">
        <v>1650</v>
      </c>
      <c r="H101">
        <v>10000</v>
      </c>
      <c r="I101" t="s">
        <v>1071</v>
      </c>
    </row>
    <row r="102" spans="1:9" x14ac:dyDescent="0.2">
      <c r="A102" t="s">
        <v>256</v>
      </c>
      <c r="B102">
        <v>85</v>
      </c>
      <c r="C102">
        <v>23</v>
      </c>
      <c r="D102">
        <v>24</v>
      </c>
      <c r="E102">
        <v>0</v>
      </c>
      <c r="F102">
        <v>15.885064825415601</v>
      </c>
      <c r="G102">
        <v>625</v>
      </c>
      <c r="H102">
        <v>10000</v>
      </c>
      <c r="I102" t="s">
        <v>1072</v>
      </c>
    </row>
    <row r="103" spans="1:9" x14ac:dyDescent="0.2">
      <c r="A103" t="s">
        <v>258</v>
      </c>
      <c r="B103">
        <v>86</v>
      </c>
      <c r="C103">
        <v>23</v>
      </c>
      <c r="D103">
        <v>25</v>
      </c>
      <c r="E103">
        <v>0</v>
      </c>
      <c r="F103">
        <v>16.177246235310999</v>
      </c>
      <c r="G103">
        <v>1138</v>
      </c>
      <c r="H103">
        <v>10000</v>
      </c>
      <c r="I103" t="s">
        <v>1073</v>
      </c>
    </row>
    <row r="104" spans="1:9" x14ac:dyDescent="0.2">
      <c r="A104" t="s">
        <v>260</v>
      </c>
      <c r="B104">
        <v>87</v>
      </c>
      <c r="C104">
        <v>45</v>
      </c>
      <c r="D104">
        <v>15</v>
      </c>
      <c r="E104">
        <v>0</v>
      </c>
      <c r="F104">
        <v>15.6507615894079</v>
      </c>
      <c r="G104">
        <v>1744</v>
      </c>
      <c r="H104">
        <v>10000</v>
      </c>
      <c r="I104" t="s">
        <v>1074</v>
      </c>
    </row>
    <row r="105" spans="1:9" x14ac:dyDescent="0.2">
      <c r="A105" t="s">
        <v>262</v>
      </c>
      <c r="B105">
        <v>88</v>
      </c>
      <c r="C105">
        <v>49</v>
      </c>
      <c r="D105">
        <v>13</v>
      </c>
      <c r="E105">
        <v>0</v>
      </c>
      <c r="F105">
        <v>15.3293076232075</v>
      </c>
      <c r="G105">
        <v>3288</v>
      </c>
      <c r="H105">
        <v>10000</v>
      </c>
      <c r="I105" t="s">
        <v>1075</v>
      </c>
    </row>
    <row r="106" spans="1:9" x14ac:dyDescent="0.2">
      <c r="A106" t="s">
        <v>264</v>
      </c>
      <c r="B106">
        <v>89</v>
      </c>
      <c r="C106">
        <v>32</v>
      </c>
      <c r="D106">
        <v>21</v>
      </c>
      <c r="E106">
        <v>0</v>
      </c>
      <c r="F106">
        <v>16.120971590280501</v>
      </c>
      <c r="G106">
        <v>2874</v>
      </c>
      <c r="H106">
        <v>10000</v>
      </c>
      <c r="I106" t="s">
        <v>1076</v>
      </c>
    </row>
    <row r="107" spans="1:9" x14ac:dyDescent="0.2">
      <c r="A107" t="s">
        <v>266</v>
      </c>
      <c r="B107">
        <v>90</v>
      </c>
      <c r="C107">
        <v>33</v>
      </c>
      <c r="D107">
        <v>21</v>
      </c>
      <c r="E107">
        <v>0</v>
      </c>
      <c r="F107">
        <v>16.4007036685943</v>
      </c>
      <c r="G107">
        <v>2995</v>
      </c>
      <c r="H107">
        <v>10000</v>
      </c>
      <c r="I107" t="s">
        <v>1077</v>
      </c>
    </row>
    <row r="108" spans="1:9" x14ac:dyDescent="0.2">
      <c r="A108" t="s">
        <v>268</v>
      </c>
      <c r="B108">
        <v>91</v>
      </c>
      <c r="C108">
        <v>26</v>
      </c>
      <c r="D108">
        <v>25</v>
      </c>
      <c r="E108">
        <v>0</v>
      </c>
      <c r="F108">
        <v>16.938093289732901</v>
      </c>
      <c r="G108">
        <v>1404</v>
      </c>
      <c r="H108">
        <v>10000</v>
      </c>
      <c r="I108" t="s">
        <v>1078</v>
      </c>
    </row>
    <row r="109" spans="1:9" x14ac:dyDescent="0.2">
      <c r="A109" t="s">
        <v>270</v>
      </c>
      <c r="B109">
        <v>92</v>
      </c>
      <c r="C109">
        <v>52</v>
      </c>
      <c r="D109">
        <v>13</v>
      </c>
      <c r="E109">
        <v>0</v>
      </c>
      <c r="F109">
        <v>16.200467772781799</v>
      </c>
      <c r="G109">
        <v>123</v>
      </c>
      <c r="H109">
        <v>10000</v>
      </c>
      <c r="I109" t="s">
        <v>1079</v>
      </c>
    </row>
    <row r="110" spans="1:9" x14ac:dyDescent="0.2">
      <c r="A110" t="s">
        <v>272</v>
      </c>
      <c r="B110">
        <v>93</v>
      </c>
      <c r="C110">
        <v>53</v>
      </c>
      <c r="D110">
        <v>13</v>
      </c>
      <c r="E110">
        <v>0</v>
      </c>
      <c r="F110">
        <v>16.401702076196599</v>
      </c>
      <c r="G110">
        <v>223</v>
      </c>
      <c r="H110">
        <v>10000</v>
      </c>
      <c r="I110" t="s">
        <v>1080</v>
      </c>
    </row>
    <row r="111" spans="1:9" x14ac:dyDescent="0.2">
      <c r="A111" t="s">
        <v>274</v>
      </c>
      <c r="B111">
        <v>94</v>
      </c>
      <c r="C111">
        <v>54</v>
      </c>
      <c r="D111">
        <v>13</v>
      </c>
      <c r="E111">
        <v>0</v>
      </c>
      <c r="F111">
        <v>16.9519573822617</v>
      </c>
      <c r="G111">
        <v>288</v>
      </c>
      <c r="H111">
        <v>10000</v>
      </c>
      <c r="I111" t="s">
        <v>1081</v>
      </c>
    </row>
    <row r="112" spans="1:9" x14ac:dyDescent="0.2">
      <c r="A112" t="s">
        <v>276</v>
      </c>
      <c r="B112">
        <v>95</v>
      </c>
      <c r="C112">
        <v>46</v>
      </c>
      <c r="D112">
        <v>17</v>
      </c>
      <c r="E112">
        <v>0</v>
      </c>
      <c r="F112">
        <v>17.731362424790799</v>
      </c>
      <c r="G112">
        <v>1454</v>
      </c>
      <c r="H112">
        <v>10000</v>
      </c>
      <c r="I112" t="s">
        <v>1082</v>
      </c>
    </row>
    <row r="113" spans="1:9" x14ac:dyDescent="0.2">
      <c r="A113" t="s">
        <v>278</v>
      </c>
      <c r="B113">
        <v>96</v>
      </c>
      <c r="C113">
        <v>48</v>
      </c>
      <c r="D113">
        <v>16</v>
      </c>
      <c r="E113">
        <v>0</v>
      </c>
      <c r="F113">
        <v>17.730395175516598</v>
      </c>
      <c r="G113">
        <v>519</v>
      </c>
      <c r="H113">
        <v>10000</v>
      </c>
      <c r="I113" t="s">
        <v>1083</v>
      </c>
    </row>
    <row r="114" spans="1:9" x14ac:dyDescent="0.2">
      <c r="A114" t="s">
        <v>280</v>
      </c>
      <c r="B114">
        <v>97</v>
      </c>
      <c r="C114">
        <v>50</v>
      </c>
      <c r="D114">
        <v>15</v>
      </c>
      <c r="E114">
        <v>0</v>
      </c>
      <c r="F114">
        <v>17.8450380042195</v>
      </c>
      <c r="G114">
        <v>191</v>
      </c>
      <c r="H114">
        <v>10000</v>
      </c>
      <c r="I114" t="s">
        <v>1084</v>
      </c>
    </row>
    <row r="115" spans="1:9" x14ac:dyDescent="0.2">
      <c r="A115" t="s">
        <v>282</v>
      </c>
      <c r="B115">
        <v>98</v>
      </c>
      <c r="C115">
        <v>51</v>
      </c>
      <c r="D115">
        <v>15</v>
      </c>
      <c r="E115">
        <v>0</v>
      </c>
      <c r="F115">
        <v>18.100781373679599</v>
      </c>
      <c r="G115">
        <v>154</v>
      </c>
      <c r="H115">
        <v>10000</v>
      </c>
      <c r="I115" t="s">
        <v>1085</v>
      </c>
    </row>
    <row r="116" spans="1:9" x14ac:dyDescent="0.2">
      <c r="A116" t="s">
        <v>284</v>
      </c>
      <c r="B116">
        <v>99</v>
      </c>
      <c r="C116">
        <v>52</v>
      </c>
      <c r="D116">
        <v>15</v>
      </c>
      <c r="E116">
        <v>0</v>
      </c>
      <c r="F116">
        <v>18.3445115610957</v>
      </c>
      <c r="G116">
        <v>190</v>
      </c>
      <c r="H116">
        <v>10000</v>
      </c>
      <c r="I116" t="s">
        <v>1086</v>
      </c>
    </row>
    <row r="117" spans="1:9" x14ac:dyDescent="0.2">
      <c r="A117" t="s">
        <v>286</v>
      </c>
      <c r="B117">
        <v>100</v>
      </c>
      <c r="C117">
        <v>52</v>
      </c>
      <c r="D117">
        <v>16</v>
      </c>
      <c r="E117">
        <v>0</v>
      </c>
      <c r="F117">
        <v>18.5867596492171</v>
      </c>
      <c r="G117">
        <v>552</v>
      </c>
      <c r="H117">
        <v>10000</v>
      </c>
      <c r="I117" t="s">
        <v>1087</v>
      </c>
    </row>
    <row r="118" spans="1:9" x14ac:dyDescent="0.2">
      <c r="A118" t="s">
        <v>288</v>
      </c>
      <c r="B118">
        <v>101</v>
      </c>
      <c r="C118">
        <v>53</v>
      </c>
      <c r="D118">
        <v>15</v>
      </c>
      <c r="E118">
        <v>0</v>
      </c>
      <c r="F118">
        <v>18.8181653916835</v>
      </c>
      <c r="G118">
        <v>1088</v>
      </c>
      <c r="H118">
        <v>10000</v>
      </c>
      <c r="I118" t="s">
        <v>1088</v>
      </c>
    </row>
    <row r="119" spans="1:9" x14ac:dyDescent="0.2">
      <c r="A119" t="s">
        <v>290</v>
      </c>
      <c r="B119">
        <v>102</v>
      </c>
      <c r="C119">
        <v>54</v>
      </c>
      <c r="D119">
        <v>15</v>
      </c>
      <c r="E119">
        <v>0</v>
      </c>
      <c r="F119">
        <v>18.9787153601646</v>
      </c>
      <c r="G119">
        <v>1133</v>
      </c>
      <c r="H119">
        <v>10000</v>
      </c>
      <c r="I119" t="s">
        <v>1089</v>
      </c>
    </row>
    <row r="120" spans="1:9" x14ac:dyDescent="0.2">
      <c r="A120" t="s">
        <v>292</v>
      </c>
      <c r="B120">
        <v>103</v>
      </c>
      <c r="C120">
        <v>34</v>
      </c>
      <c r="D120">
        <v>25</v>
      </c>
      <c r="E120">
        <v>0</v>
      </c>
      <c r="F120">
        <v>20.220312289893599</v>
      </c>
      <c r="G120">
        <v>873</v>
      </c>
      <c r="H120">
        <v>10000</v>
      </c>
      <c r="I120" t="s">
        <v>1090</v>
      </c>
    </row>
    <row r="121" spans="1:9" x14ac:dyDescent="0.2">
      <c r="A121" t="s">
        <v>294</v>
      </c>
      <c r="B121">
        <v>104</v>
      </c>
      <c r="C121">
        <v>28</v>
      </c>
      <c r="D121">
        <v>29</v>
      </c>
      <c r="E121">
        <v>0</v>
      </c>
      <c r="F121">
        <v>20.542146734893301</v>
      </c>
      <c r="G121">
        <v>315</v>
      </c>
      <c r="H121">
        <v>10000</v>
      </c>
      <c r="I121" t="s">
        <v>1091</v>
      </c>
    </row>
    <row r="122" spans="1:9" x14ac:dyDescent="0.2">
      <c r="A122" t="s">
        <v>296</v>
      </c>
      <c r="B122">
        <v>105</v>
      </c>
      <c r="C122">
        <v>54</v>
      </c>
      <c r="D122">
        <v>17</v>
      </c>
      <c r="E122">
        <v>0</v>
      </c>
      <c r="F122">
        <v>19.809863947331898</v>
      </c>
      <c r="G122">
        <v>514</v>
      </c>
      <c r="H122">
        <v>10000</v>
      </c>
      <c r="I122" t="s">
        <v>1092</v>
      </c>
    </row>
    <row r="123" spans="1:9" x14ac:dyDescent="0.2">
      <c r="A123" t="s">
        <v>298</v>
      </c>
      <c r="B123">
        <v>106</v>
      </c>
      <c r="C123">
        <v>44</v>
      </c>
      <c r="D123">
        <v>21</v>
      </c>
      <c r="E123">
        <v>0</v>
      </c>
      <c r="F123">
        <v>20.366538330912501</v>
      </c>
      <c r="G123">
        <v>1010</v>
      </c>
      <c r="H123">
        <v>10000</v>
      </c>
      <c r="I123" t="s">
        <v>1093</v>
      </c>
    </row>
    <row r="124" spans="1:9" x14ac:dyDescent="0.2">
      <c r="A124" t="s">
        <v>300</v>
      </c>
      <c r="B124">
        <v>107</v>
      </c>
      <c r="C124">
        <v>45</v>
      </c>
      <c r="D124">
        <v>21</v>
      </c>
      <c r="E124">
        <v>0</v>
      </c>
      <c r="F124">
        <v>20.5817027688026</v>
      </c>
      <c r="G124">
        <v>999</v>
      </c>
      <c r="H124">
        <v>10000</v>
      </c>
      <c r="I124" t="s">
        <v>1094</v>
      </c>
    </row>
    <row r="125" spans="1:9" x14ac:dyDescent="0.2">
      <c r="A125" t="s">
        <v>302</v>
      </c>
      <c r="B125">
        <v>108</v>
      </c>
      <c r="C125">
        <v>55</v>
      </c>
      <c r="D125">
        <v>17</v>
      </c>
      <c r="E125">
        <v>0</v>
      </c>
      <c r="F125">
        <v>20.3589247241616</v>
      </c>
      <c r="G125">
        <v>441</v>
      </c>
      <c r="H125">
        <v>10000</v>
      </c>
      <c r="I125" t="s">
        <v>1095</v>
      </c>
    </row>
    <row r="126" spans="1:9" x14ac:dyDescent="0.2">
      <c r="A126" t="s">
        <v>304</v>
      </c>
      <c r="B126">
        <v>109</v>
      </c>
      <c r="C126">
        <v>37</v>
      </c>
      <c r="D126">
        <v>25</v>
      </c>
      <c r="E126">
        <v>0</v>
      </c>
      <c r="F126">
        <v>21.4376890957355</v>
      </c>
      <c r="G126">
        <v>352</v>
      </c>
      <c r="H126">
        <v>10000</v>
      </c>
      <c r="I126" t="s">
        <v>1096</v>
      </c>
    </row>
    <row r="127" spans="1:9" x14ac:dyDescent="0.2">
      <c r="A127" t="s">
        <v>306</v>
      </c>
      <c r="B127">
        <v>110</v>
      </c>
      <c r="C127">
        <v>33</v>
      </c>
      <c r="D127">
        <v>28</v>
      </c>
      <c r="E127">
        <v>0</v>
      </c>
      <c r="F127">
        <v>21.961728833615702</v>
      </c>
      <c r="G127">
        <v>298</v>
      </c>
      <c r="H127">
        <v>10000</v>
      </c>
      <c r="I127" t="s">
        <v>1097</v>
      </c>
    </row>
    <row r="128" spans="1:9" x14ac:dyDescent="0.2">
      <c r="A128" t="s">
        <v>308</v>
      </c>
      <c r="B128">
        <v>111</v>
      </c>
      <c r="C128">
        <v>57</v>
      </c>
      <c r="D128">
        <v>17</v>
      </c>
      <c r="E128">
        <v>0</v>
      </c>
      <c r="F128">
        <v>21.124545171856798</v>
      </c>
      <c r="G128">
        <v>279</v>
      </c>
      <c r="H128">
        <v>10000</v>
      </c>
      <c r="I128" t="s">
        <v>1098</v>
      </c>
    </row>
    <row r="129" spans="1:9" x14ac:dyDescent="0.2">
      <c r="A129" t="s">
        <v>310</v>
      </c>
      <c r="B129">
        <v>112</v>
      </c>
      <c r="C129">
        <v>36</v>
      </c>
      <c r="D129">
        <v>27</v>
      </c>
      <c r="E129">
        <v>0</v>
      </c>
      <c r="F129">
        <v>22.197183996438898</v>
      </c>
      <c r="G129">
        <v>118</v>
      </c>
      <c r="H129">
        <v>10000</v>
      </c>
      <c r="I129" t="s">
        <v>1099</v>
      </c>
    </row>
    <row r="130" spans="1:9" x14ac:dyDescent="0.2">
      <c r="A130" t="s">
        <v>312</v>
      </c>
      <c r="B130">
        <v>113</v>
      </c>
      <c r="C130">
        <v>26</v>
      </c>
      <c r="D130">
        <v>34</v>
      </c>
      <c r="E130">
        <v>0</v>
      </c>
      <c r="F130">
        <v>22.9068423658609</v>
      </c>
      <c r="G130">
        <v>207</v>
      </c>
      <c r="H130">
        <v>10000</v>
      </c>
      <c r="I130" t="s">
        <v>1100</v>
      </c>
    </row>
    <row r="131" spans="1:9" x14ac:dyDescent="0.2">
      <c r="A131" t="s">
        <v>314</v>
      </c>
      <c r="B131">
        <v>114</v>
      </c>
      <c r="C131">
        <v>27</v>
      </c>
      <c r="D131">
        <v>34</v>
      </c>
      <c r="E131">
        <v>0</v>
      </c>
      <c r="F131">
        <v>23.439911454916</v>
      </c>
      <c r="G131">
        <v>202</v>
      </c>
      <c r="H131">
        <v>10000</v>
      </c>
      <c r="I131" t="s">
        <v>1101</v>
      </c>
    </row>
    <row r="132" spans="1:9" x14ac:dyDescent="0.2">
      <c r="A132" t="s">
        <v>316</v>
      </c>
      <c r="B132">
        <v>115</v>
      </c>
      <c r="C132">
        <v>29</v>
      </c>
      <c r="D132">
        <v>33</v>
      </c>
      <c r="E132">
        <v>0</v>
      </c>
      <c r="F132">
        <v>23.6940534859895</v>
      </c>
      <c r="G132">
        <v>62</v>
      </c>
      <c r="H132">
        <v>10000</v>
      </c>
      <c r="I132" t="s">
        <v>1102</v>
      </c>
    </row>
    <row r="133" spans="1:9" x14ac:dyDescent="0.2">
      <c r="A133" t="s">
        <v>318</v>
      </c>
      <c r="B133">
        <v>116</v>
      </c>
      <c r="C133">
        <v>28</v>
      </c>
      <c r="D133">
        <v>34</v>
      </c>
      <c r="E133">
        <v>0</v>
      </c>
      <c r="F133">
        <v>23.950698889791902</v>
      </c>
      <c r="G133">
        <v>118</v>
      </c>
      <c r="H133">
        <v>10000</v>
      </c>
      <c r="I133" t="s">
        <v>1103</v>
      </c>
    </row>
    <row r="134" spans="1:9" x14ac:dyDescent="0.2">
      <c r="A134" t="s">
        <v>320</v>
      </c>
      <c r="B134">
        <v>117</v>
      </c>
      <c r="C134">
        <v>29</v>
      </c>
      <c r="D134">
        <v>34</v>
      </c>
      <c r="E134">
        <v>0</v>
      </c>
      <c r="F134">
        <v>24.380226738750899</v>
      </c>
      <c r="G134">
        <v>37</v>
      </c>
      <c r="H134">
        <v>10000</v>
      </c>
      <c r="I134" t="s">
        <v>1104</v>
      </c>
    </row>
    <row r="135" spans="1:9" x14ac:dyDescent="0.2">
      <c r="A135" t="s">
        <v>322</v>
      </c>
      <c r="B135">
        <v>118</v>
      </c>
      <c r="C135">
        <v>29</v>
      </c>
      <c r="D135">
        <v>35</v>
      </c>
      <c r="E135">
        <v>0</v>
      </c>
      <c r="F135">
        <v>24.709172159433301</v>
      </c>
      <c r="G135">
        <v>103</v>
      </c>
      <c r="H135">
        <v>10000</v>
      </c>
      <c r="I135" t="s">
        <v>1105</v>
      </c>
    </row>
    <row r="136" spans="1:9" x14ac:dyDescent="0.2">
      <c r="A136" t="s">
        <v>324</v>
      </c>
      <c r="B136">
        <v>119</v>
      </c>
      <c r="C136">
        <v>28</v>
      </c>
      <c r="D136">
        <v>36</v>
      </c>
      <c r="E136">
        <v>0</v>
      </c>
      <c r="F136">
        <v>24.886780589818901</v>
      </c>
      <c r="G136">
        <v>54</v>
      </c>
      <c r="H136">
        <v>10000</v>
      </c>
      <c r="I136" t="s">
        <v>1106</v>
      </c>
    </row>
    <row r="137" spans="1:9" x14ac:dyDescent="0.2">
      <c r="A137" t="s">
        <v>326</v>
      </c>
      <c r="B137">
        <v>120</v>
      </c>
      <c r="C137">
        <v>29</v>
      </c>
      <c r="D137">
        <v>36</v>
      </c>
      <c r="E137">
        <v>0</v>
      </c>
      <c r="F137">
        <v>24.7316446527838</v>
      </c>
      <c r="G137">
        <v>70</v>
      </c>
      <c r="H137">
        <v>10000</v>
      </c>
      <c r="I137" t="s">
        <v>1107</v>
      </c>
    </row>
    <row r="138" spans="1:9" x14ac:dyDescent="0.2">
      <c r="A138" t="s">
        <v>328</v>
      </c>
      <c r="B138">
        <v>121</v>
      </c>
      <c r="C138">
        <v>29</v>
      </c>
      <c r="D138">
        <v>37</v>
      </c>
      <c r="E138">
        <v>0</v>
      </c>
      <c r="F138">
        <v>25.477134987711899</v>
      </c>
      <c r="G138">
        <v>122</v>
      </c>
      <c r="H138">
        <v>10000</v>
      </c>
      <c r="I138" t="s">
        <v>1108</v>
      </c>
    </row>
    <row r="139" spans="1:9" x14ac:dyDescent="0.2">
      <c r="A139" t="s">
        <v>330</v>
      </c>
      <c r="B139">
        <v>122</v>
      </c>
      <c r="C139">
        <v>47</v>
      </c>
      <c r="D139">
        <v>25</v>
      </c>
      <c r="E139">
        <v>0</v>
      </c>
      <c r="F139">
        <v>24.948237292468502</v>
      </c>
      <c r="G139">
        <v>189</v>
      </c>
      <c r="H139">
        <v>10000</v>
      </c>
      <c r="I139" t="s">
        <v>1109</v>
      </c>
    </row>
    <row r="140" spans="1:9" x14ac:dyDescent="0.2">
      <c r="A140" t="s">
        <v>332</v>
      </c>
      <c r="B140">
        <v>123</v>
      </c>
      <c r="C140">
        <v>48</v>
      </c>
      <c r="D140">
        <v>25</v>
      </c>
      <c r="E140">
        <v>0</v>
      </c>
      <c r="F140">
        <v>25.320407390594401</v>
      </c>
      <c r="G140">
        <v>178</v>
      </c>
      <c r="H140">
        <v>10000</v>
      </c>
      <c r="I140" t="s">
        <v>1110</v>
      </c>
    </row>
    <row r="141" spans="1:9" x14ac:dyDescent="0.2">
      <c r="A141" t="s">
        <v>334</v>
      </c>
      <c r="B141">
        <v>124</v>
      </c>
      <c r="C141">
        <v>49</v>
      </c>
      <c r="D141">
        <v>25</v>
      </c>
      <c r="E141">
        <v>0</v>
      </c>
      <c r="F141">
        <v>25.714369863271699</v>
      </c>
      <c r="G141">
        <v>179</v>
      </c>
      <c r="H141">
        <v>10000</v>
      </c>
      <c r="I141" t="s">
        <v>1111</v>
      </c>
    </row>
    <row r="142" spans="1:9" x14ac:dyDescent="0.2">
      <c r="A142" t="s">
        <v>336</v>
      </c>
      <c r="B142">
        <v>125</v>
      </c>
      <c r="C142">
        <v>50</v>
      </c>
      <c r="D142">
        <v>25</v>
      </c>
      <c r="E142">
        <v>0</v>
      </c>
      <c r="F142">
        <v>26.1056070849299</v>
      </c>
      <c r="G142">
        <v>181</v>
      </c>
      <c r="H142">
        <v>10000</v>
      </c>
      <c r="I142" t="s">
        <v>1112</v>
      </c>
    </row>
    <row r="143" spans="1:9" x14ac:dyDescent="0.2">
      <c r="A143" t="s">
        <v>338</v>
      </c>
      <c r="B143">
        <v>126</v>
      </c>
      <c r="C143">
        <v>50</v>
      </c>
      <c r="D143">
        <v>26</v>
      </c>
      <c r="E143">
        <v>0</v>
      </c>
      <c r="F143">
        <v>26.239722207188599</v>
      </c>
      <c r="G143">
        <v>565</v>
      </c>
      <c r="H143">
        <v>10000</v>
      </c>
      <c r="I143" t="s">
        <v>1113</v>
      </c>
    </row>
    <row r="144" spans="1:9" x14ac:dyDescent="0.2">
      <c r="A144" t="s">
        <v>340</v>
      </c>
      <c r="B144">
        <v>127</v>
      </c>
      <c r="C144">
        <v>30</v>
      </c>
      <c r="D144">
        <v>37</v>
      </c>
      <c r="E144">
        <v>0</v>
      </c>
      <c r="F144">
        <v>27.237629599869202</v>
      </c>
      <c r="G144">
        <v>130</v>
      </c>
      <c r="H144">
        <v>10000</v>
      </c>
      <c r="I144" t="s">
        <v>1114</v>
      </c>
    </row>
    <row r="145" spans="1:9" x14ac:dyDescent="0.2">
      <c r="A145" t="s">
        <v>342</v>
      </c>
      <c r="B145">
        <v>128</v>
      </c>
      <c r="C145">
        <v>44</v>
      </c>
      <c r="D145">
        <v>29</v>
      </c>
      <c r="E145">
        <v>0</v>
      </c>
      <c r="F145">
        <v>26.785077199339799</v>
      </c>
      <c r="G145">
        <v>521</v>
      </c>
      <c r="H145">
        <v>10000</v>
      </c>
      <c r="I145" t="s">
        <v>1115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DBA4-687B-3846-9C29-47876F75007D}">
  <dimension ref="A1:I154"/>
  <sheetViews>
    <sheetView tabSelected="1" workbookViewId="0">
      <selection activeCell="C10" sqref="C10"/>
    </sheetView>
  </sheetViews>
  <sheetFormatPr baseColWidth="10" defaultRowHeight="16" x14ac:dyDescent="0.2"/>
  <sheetData>
    <row r="1" spans="1:1" x14ac:dyDescent="0.2">
      <c r="A1" t="s">
        <v>70</v>
      </c>
    </row>
    <row r="2" spans="1:1" x14ac:dyDescent="0.2">
      <c r="A2" t="s">
        <v>71</v>
      </c>
    </row>
    <row r="3" spans="1:1" x14ac:dyDescent="0.2">
      <c r="A3" t="s">
        <v>72</v>
      </c>
    </row>
    <row r="4" spans="1:1" x14ac:dyDescent="0.2">
      <c r="A4" t="s">
        <v>1528</v>
      </c>
    </row>
    <row r="5" spans="1:1" x14ac:dyDescent="0.2">
      <c r="A5" t="s">
        <v>73</v>
      </c>
    </row>
    <row r="6" spans="1:1" x14ac:dyDescent="0.2">
      <c r="A6" t="s">
        <v>74</v>
      </c>
    </row>
    <row r="7" spans="1:1" x14ac:dyDescent="0.2">
      <c r="A7" t="s">
        <v>995</v>
      </c>
    </row>
    <row r="8" spans="1:1" x14ac:dyDescent="0.2">
      <c r="A8" t="s">
        <v>76</v>
      </c>
    </row>
    <row r="9" spans="1:1" x14ac:dyDescent="0.2">
      <c r="A9" t="s">
        <v>77</v>
      </c>
    </row>
    <row r="10" spans="1:1" x14ac:dyDescent="0.2">
      <c r="A10" t="s">
        <v>1253</v>
      </c>
    </row>
    <row r="11" spans="1:1" x14ac:dyDescent="0.2">
      <c r="A11" t="s">
        <v>1254</v>
      </c>
    </row>
    <row r="12" spans="1:1" x14ac:dyDescent="0.2">
      <c r="A12" t="s">
        <v>78</v>
      </c>
    </row>
    <row r="13" spans="1:1" x14ac:dyDescent="0.2">
      <c r="A13" t="s">
        <v>79</v>
      </c>
    </row>
    <row r="14" spans="1:1" x14ac:dyDescent="0.2">
      <c r="A14" t="s">
        <v>80</v>
      </c>
    </row>
    <row r="15" spans="1:1" x14ac:dyDescent="0.2">
      <c r="A15" t="s">
        <v>81</v>
      </c>
    </row>
    <row r="16" spans="1:1" x14ac:dyDescent="0.2">
      <c r="A16" t="s">
        <v>82</v>
      </c>
    </row>
    <row r="17" spans="1:1" x14ac:dyDescent="0.2">
      <c r="A17" t="s">
        <v>1392</v>
      </c>
    </row>
    <row r="18" spans="1:1" x14ac:dyDescent="0.2">
      <c r="A18" t="s">
        <v>1256</v>
      </c>
    </row>
    <row r="19" spans="1:1" x14ac:dyDescent="0.2">
      <c r="A19" t="s">
        <v>83</v>
      </c>
    </row>
    <row r="20" spans="1:1" x14ac:dyDescent="0.2">
      <c r="A20" t="s">
        <v>87</v>
      </c>
    </row>
    <row r="21" spans="1:1" x14ac:dyDescent="0.2">
      <c r="A21" t="s">
        <v>88</v>
      </c>
    </row>
    <row r="22" spans="1:1" x14ac:dyDescent="0.2">
      <c r="A22" t="s">
        <v>89</v>
      </c>
    </row>
    <row r="23" spans="1:1" x14ac:dyDescent="0.2">
      <c r="A23" t="s">
        <v>90</v>
      </c>
    </row>
    <row r="24" spans="1:1" x14ac:dyDescent="0.2">
      <c r="A24" t="s">
        <v>1393</v>
      </c>
    </row>
    <row r="25" spans="1:1" x14ac:dyDescent="0.2">
      <c r="A25" t="s">
        <v>1394</v>
      </c>
    </row>
    <row r="26" spans="1:1" x14ac:dyDescent="0.2">
      <c r="A26" t="s">
        <v>1395</v>
      </c>
    </row>
    <row r="27" spans="1:1" x14ac:dyDescent="0.2">
      <c r="A27" t="s">
        <v>1396</v>
      </c>
    </row>
    <row r="28" spans="1:1" x14ac:dyDescent="0.2">
      <c r="A28" t="s">
        <v>1529</v>
      </c>
    </row>
    <row r="29" spans="1:1" x14ac:dyDescent="0.2">
      <c r="A29" t="s">
        <v>730</v>
      </c>
    </row>
    <row r="30" spans="1:1" x14ac:dyDescent="0.2">
      <c r="A30" t="s">
        <v>93</v>
      </c>
    </row>
    <row r="31" spans="1:1" x14ac:dyDescent="0.2">
      <c r="A31" t="s">
        <v>1530</v>
      </c>
    </row>
    <row r="32" spans="1:1" x14ac:dyDescent="0.2">
      <c r="A32" t="s">
        <v>95</v>
      </c>
    </row>
    <row r="33" spans="1:9" x14ac:dyDescent="0.2">
      <c r="A33" t="s">
        <v>96</v>
      </c>
      <c r="B33" t="s">
        <v>61</v>
      </c>
      <c r="C33" t="s">
        <v>97</v>
      </c>
      <c r="D33" t="s">
        <v>98</v>
      </c>
      <c r="E33" t="s">
        <v>99</v>
      </c>
      <c r="F33" t="s">
        <v>100</v>
      </c>
      <c r="G33" t="s">
        <v>58</v>
      </c>
      <c r="H33" t="s">
        <v>59</v>
      </c>
      <c r="I33" t="s">
        <v>101</v>
      </c>
    </row>
    <row r="34" spans="1:9" x14ac:dyDescent="0.2">
      <c r="A34" t="s">
        <v>102</v>
      </c>
      <c r="B34">
        <v>5</v>
      </c>
      <c r="C34">
        <v>3</v>
      </c>
      <c r="D34">
        <v>2</v>
      </c>
      <c r="E34">
        <v>0</v>
      </c>
      <c r="F34">
        <v>1.27079537231475</v>
      </c>
      <c r="G34">
        <v>10000</v>
      </c>
      <c r="H34">
        <v>10000</v>
      </c>
      <c r="I34" t="s">
        <v>1397</v>
      </c>
    </row>
    <row r="35" spans="1:9" x14ac:dyDescent="0.2">
      <c r="A35" t="s">
        <v>104</v>
      </c>
      <c r="B35">
        <v>6</v>
      </c>
      <c r="C35">
        <v>3</v>
      </c>
      <c r="D35">
        <v>3</v>
      </c>
      <c r="E35">
        <v>0</v>
      </c>
      <c r="F35">
        <v>1.29493954870849</v>
      </c>
      <c r="G35">
        <v>10000</v>
      </c>
      <c r="H35">
        <v>10000</v>
      </c>
      <c r="I35" t="s">
        <v>1398</v>
      </c>
    </row>
    <row r="36" spans="1:9" x14ac:dyDescent="0.2">
      <c r="A36" t="s">
        <v>106</v>
      </c>
      <c r="B36">
        <v>7</v>
      </c>
      <c r="C36">
        <v>3</v>
      </c>
      <c r="D36">
        <v>4</v>
      </c>
      <c r="E36">
        <v>0</v>
      </c>
      <c r="F36">
        <v>1.32207112479954</v>
      </c>
      <c r="G36">
        <v>10000</v>
      </c>
      <c r="H36">
        <v>10000</v>
      </c>
      <c r="I36" t="s">
        <v>1399</v>
      </c>
    </row>
    <row r="37" spans="1:9" x14ac:dyDescent="0.2">
      <c r="A37" t="s">
        <v>108</v>
      </c>
      <c r="B37">
        <v>8</v>
      </c>
      <c r="C37">
        <v>3</v>
      </c>
      <c r="D37">
        <v>4</v>
      </c>
      <c r="E37">
        <v>0</v>
      </c>
      <c r="F37">
        <v>1.3385189101099899</v>
      </c>
      <c r="G37">
        <v>10000</v>
      </c>
      <c r="H37">
        <v>10000</v>
      </c>
      <c r="I37" t="s">
        <v>1399</v>
      </c>
    </row>
    <row r="38" spans="1:9" x14ac:dyDescent="0.2">
      <c r="A38" t="s">
        <v>110</v>
      </c>
      <c r="B38">
        <v>9</v>
      </c>
      <c r="C38">
        <v>5</v>
      </c>
      <c r="D38">
        <v>3</v>
      </c>
      <c r="E38">
        <v>0</v>
      </c>
      <c r="F38">
        <v>1.3304079007357299</v>
      </c>
      <c r="G38">
        <v>9752</v>
      </c>
      <c r="H38">
        <v>10000</v>
      </c>
      <c r="I38" t="s">
        <v>1531</v>
      </c>
    </row>
    <row r="39" spans="1:9" x14ac:dyDescent="0.2">
      <c r="A39" t="s">
        <v>112</v>
      </c>
      <c r="B39">
        <v>10</v>
      </c>
      <c r="C39">
        <v>3</v>
      </c>
      <c r="D39">
        <v>5</v>
      </c>
      <c r="E39">
        <v>0</v>
      </c>
      <c r="F39">
        <v>1.36724140308797</v>
      </c>
      <c r="G39">
        <v>10000</v>
      </c>
      <c r="H39">
        <v>10000</v>
      </c>
      <c r="I39" t="s">
        <v>1400</v>
      </c>
    </row>
    <row r="40" spans="1:9" x14ac:dyDescent="0.2">
      <c r="A40" t="s">
        <v>114</v>
      </c>
      <c r="B40">
        <v>11</v>
      </c>
      <c r="C40">
        <v>3</v>
      </c>
      <c r="D40">
        <v>6</v>
      </c>
      <c r="E40">
        <v>0</v>
      </c>
      <c r="F40">
        <v>1.40701152384281</v>
      </c>
      <c r="G40">
        <v>10000</v>
      </c>
      <c r="H40">
        <v>10000</v>
      </c>
      <c r="I40" t="s">
        <v>1401</v>
      </c>
    </row>
    <row r="41" spans="1:9" x14ac:dyDescent="0.2">
      <c r="A41" t="s">
        <v>116</v>
      </c>
      <c r="B41">
        <v>12</v>
      </c>
      <c r="C41">
        <v>3</v>
      </c>
      <c r="D41">
        <v>6</v>
      </c>
      <c r="E41">
        <v>0</v>
      </c>
      <c r="F41">
        <v>1.41772810742259</v>
      </c>
      <c r="G41">
        <v>10000</v>
      </c>
      <c r="H41">
        <v>10000</v>
      </c>
      <c r="I41" t="s">
        <v>1401</v>
      </c>
    </row>
    <row r="42" spans="1:9" x14ac:dyDescent="0.2">
      <c r="A42" t="s">
        <v>118</v>
      </c>
      <c r="B42">
        <v>13</v>
      </c>
      <c r="C42">
        <v>5</v>
      </c>
      <c r="D42">
        <v>5</v>
      </c>
      <c r="E42">
        <v>0</v>
      </c>
      <c r="F42">
        <v>1.4412590712308799</v>
      </c>
      <c r="G42">
        <v>9999</v>
      </c>
      <c r="H42">
        <v>10000</v>
      </c>
      <c r="I42" t="s">
        <v>1532</v>
      </c>
    </row>
    <row r="43" spans="1:9" x14ac:dyDescent="0.2">
      <c r="A43" t="s">
        <v>120</v>
      </c>
      <c r="B43">
        <v>14</v>
      </c>
      <c r="C43">
        <v>6</v>
      </c>
      <c r="D43">
        <v>5</v>
      </c>
      <c r="E43">
        <v>0</v>
      </c>
      <c r="F43">
        <v>1.47144455183297</v>
      </c>
      <c r="G43">
        <v>10000</v>
      </c>
      <c r="H43">
        <v>10000</v>
      </c>
      <c r="I43" t="s">
        <v>1523</v>
      </c>
    </row>
    <row r="44" spans="1:9" x14ac:dyDescent="0.2">
      <c r="A44" t="s">
        <v>122</v>
      </c>
      <c r="B44">
        <v>15</v>
      </c>
      <c r="C44">
        <v>7</v>
      </c>
      <c r="D44">
        <v>5</v>
      </c>
      <c r="E44">
        <v>0</v>
      </c>
      <c r="F44">
        <v>1.4998495215550001</v>
      </c>
      <c r="G44">
        <v>10000</v>
      </c>
      <c r="H44">
        <v>10000</v>
      </c>
      <c r="I44" t="s">
        <v>1524</v>
      </c>
    </row>
    <row r="45" spans="1:9" x14ac:dyDescent="0.2">
      <c r="A45" t="s">
        <v>124</v>
      </c>
      <c r="B45">
        <v>16</v>
      </c>
      <c r="C45">
        <v>8</v>
      </c>
      <c r="D45">
        <v>5</v>
      </c>
      <c r="E45">
        <v>0</v>
      </c>
      <c r="F45">
        <v>1.5145156141370499</v>
      </c>
      <c r="G45">
        <v>10000</v>
      </c>
      <c r="H45">
        <v>10000</v>
      </c>
      <c r="I45" t="s">
        <v>1525</v>
      </c>
    </row>
    <row r="46" spans="1:9" x14ac:dyDescent="0.2">
      <c r="A46" t="s">
        <v>126</v>
      </c>
      <c r="B46">
        <v>20</v>
      </c>
      <c r="C46">
        <v>5</v>
      </c>
      <c r="D46">
        <v>9</v>
      </c>
      <c r="E46">
        <v>0</v>
      </c>
      <c r="F46">
        <v>1.5796494046226099</v>
      </c>
      <c r="G46">
        <v>9991</v>
      </c>
      <c r="H46">
        <v>10000</v>
      </c>
      <c r="I46" t="s">
        <v>1533</v>
      </c>
    </row>
    <row r="47" spans="1:9" x14ac:dyDescent="0.2">
      <c r="A47" t="s">
        <v>128</v>
      </c>
      <c r="B47">
        <v>21</v>
      </c>
      <c r="C47">
        <v>5</v>
      </c>
      <c r="D47">
        <v>10</v>
      </c>
      <c r="E47">
        <v>0</v>
      </c>
      <c r="F47">
        <v>1.6765731079503801</v>
      </c>
      <c r="G47">
        <v>10000</v>
      </c>
      <c r="H47">
        <v>10000</v>
      </c>
      <c r="I47" t="s">
        <v>1526</v>
      </c>
    </row>
    <row r="48" spans="1:9" x14ac:dyDescent="0.2">
      <c r="A48" t="s">
        <v>130</v>
      </c>
      <c r="B48">
        <v>22</v>
      </c>
      <c r="C48">
        <v>6</v>
      </c>
      <c r="D48">
        <v>9</v>
      </c>
      <c r="E48">
        <v>0</v>
      </c>
      <c r="F48">
        <v>1.63768767472356</v>
      </c>
      <c r="G48">
        <v>9995</v>
      </c>
      <c r="H48">
        <v>10000</v>
      </c>
      <c r="I48" t="s">
        <v>1534</v>
      </c>
    </row>
    <row r="49" spans="1:9" x14ac:dyDescent="0.2">
      <c r="A49" t="s">
        <v>132</v>
      </c>
      <c r="B49">
        <v>23</v>
      </c>
      <c r="C49">
        <v>7</v>
      </c>
      <c r="D49">
        <v>9</v>
      </c>
      <c r="E49">
        <v>0</v>
      </c>
      <c r="F49">
        <v>1.6714522242545999</v>
      </c>
      <c r="G49">
        <v>9998</v>
      </c>
      <c r="H49">
        <v>10000</v>
      </c>
      <c r="I49" t="s">
        <v>1535</v>
      </c>
    </row>
    <row r="50" spans="1:9" x14ac:dyDescent="0.2">
      <c r="A50" t="s">
        <v>134</v>
      </c>
      <c r="B50">
        <v>24</v>
      </c>
      <c r="C50">
        <v>3</v>
      </c>
      <c r="D50">
        <v>13</v>
      </c>
      <c r="E50">
        <v>0</v>
      </c>
      <c r="F50">
        <v>1.6248113065958001</v>
      </c>
      <c r="G50">
        <v>9988</v>
      </c>
      <c r="H50">
        <v>10000</v>
      </c>
      <c r="I50" t="s">
        <v>1536</v>
      </c>
    </row>
    <row r="51" spans="1:9" x14ac:dyDescent="0.2">
      <c r="A51" t="s">
        <v>136</v>
      </c>
      <c r="B51">
        <v>25</v>
      </c>
      <c r="C51">
        <v>15</v>
      </c>
      <c r="D51">
        <v>5</v>
      </c>
      <c r="E51">
        <v>0</v>
      </c>
      <c r="F51">
        <v>1.77794704213738</v>
      </c>
      <c r="G51">
        <v>9999</v>
      </c>
      <c r="H51">
        <v>10000</v>
      </c>
      <c r="I51" t="s">
        <v>1537</v>
      </c>
    </row>
    <row r="52" spans="1:9" x14ac:dyDescent="0.2">
      <c r="A52" t="s">
        <v>138</v>
      </c>
      <c r="B52">
        <v>26</v>
      </c>
      <c r="C52">
        <v>9</v>
      </c>
      <c r="D52">
        <v>9</v>
      </c>
      <c r="E52">
        <v>0</v>
      </c>
      <c r="F52">
        <v>1.7803841037675701</v>
      </c>
      <c r="G52">
        <v>9999</v>
      </c>
      <c r="H52">
        <v>10000</v>
      </c>
      <c r="I52" t="s">
        <v>1538</v>
      </c>
    </row>
    <row r="53" spans="1:9" x14ac:dyDescent="0.2">
      <c r="A53" t="s">
        <v>140</v>
      </c>
      <c r="B53">
        <v>27</v>
      </c>
      <c r="C53">
        <v>10</v>
      </c>
      <c r="D53">
        <v>9</v>
      </c>
      <c r="E53">
        <v>0</v>
      </c>
      <c r="F53">
        <v>1.7972811339423</v>
      </c>
      <c r="G53">
        <v>10000</v>
      </c>
      <c r="H53">
        <v>10000</v>
      </c>
      <c r="I53" t="s">
        <v>1539</v>
      </c>
    </row>
    <row r="54" spans="1:9" x14ac:dyDescent="0.2">
      <c r="A54" t="s">
        <v>142</v>
      </c>
      <c r="B54">
        <v>28</v>
      </c>
      <c r="C54">
        <v>18</v>
      </c>
      <c r="D54">
        <v>5</v>
      </c>
      <c r="E54">
        <v>0</v>
      </c>
      <c r="F54">
        <v>1.8363927789032399</v>
      </c>
      <c r="G54">
        <v>9999</v>
      </c>
      <c r="H54">
        <v>10000</v>
      </c>
      <c r="I54" t="s">
        <v>1540</v>
      </c>
    </row>
    <row r="55" spans="1:9" x14ac:dyDescent="0.2">
      <c r="A55" t="s">
        <v>144</v>
      </c>
      <c r="B55">
        <v>29</v>
      </c>
      <c r="C55">
        <v>6</v>
      </c>
      <c r="D55">
        <v>13</v>
      </c>
      <c r="E55">
        <v>0</v>
      </c>
      <c r="F55">
        <v>1.74628542177379</v>
      </c>
      <c r="G55">
        <v>9701</v>
      </c>
      <c r="H55">
        <v>10000</v>
      </c>
      <c r="I55" t="s">
        <v>1541</v>
      </c>
    </row>
    <row r="56" spans="1:9" x14ac:dyDescent="0.2">
      <c r="A56" t="s">
        <v>146</v>
      </c>
      <c r="B56">
        <v>30</v>
      </c>
      <c r="C56">
        <v>6</v>
      </c>
      <c r="D56">
        <v>14</v>
      </c>
      <c r="E56">
        <v>0</v>
      </c>
      <c r="F56">
        <v>1.8567468225955901</v>
      </c>
      <c r="G56">
        <v>9947</v>
      </c>
      <c r="H56">
        <v>10000</v>
      </c>
      <c r="I56" t="s">
        <v>1542</v>
      </c>
    </row>
    <row r="57" spans="1:9" x14ac:dyDescent="0.2">
      <c r="A57" t="s">
        <v>148</v>
      </c>
      <c r="B57">
        <v>31</v>
      </c>
      <c r="C57">
        <v>3</v>
      </c>
      <c r="D57">
        <v>17</v>
      </c>
      <c r="E57">
        <v>0</v>
      </c>
      <c r="F57">
        <v>1.8118116334080601</v>
      </c>
      <c r="G57">
        <v>9992</v>
      </c>
      <c r="H57">
        <v>10000</v>
      </c>
      <c r="I57" t="s">
        <v>1543</v>
      </c>
    </row>
    <row r="58" spans="1:9" x14ac:dyDescent="0.2">
      <c r="A58" t="s">
        <v>150</v>
      </c>
      <c r="B58">
        <v>32</v>
      </c>
      <c r="C58">
        <v>8</v>
      </c>
      <c r="D58">
        <v>13</v>
      </c>
      <c r="E58">
        <v>0</v>
      </c>
      <c r="F58">
        <v>1.9360116338357301</v>
      </c>
      <c r="G58">
        <v>9997</v>
      </c>
      <c r="H58">
        <v>10000</v>
      </c>
      <c r="I58" t="s">
        <v>1544</v>
      </c>
    </row>
    <row r="59" spans="1:9" x14ac:dyDescent="0.2">
      <c r="A59" t="s">
        <v>152</v>
      </c>
      <c r="B59">
        <v>33</v>
      </c>
      <c r="C59">
        <v>18</v>
      </c>
      <c r="D59">
        <v>7</v>
      </c>
      <c r="E59">
        <v>0</v>
      </c>
      <c r="F59">
        <v>1.8455176623538101</v>
      </c>
      <c r="G59">
        <v>9828</v>
      </c>
      <c r="H59">
        <v>10000</v>
      </c>
      <c r="I59" t="s">
        <v>1545</v>
      </c>
    </row>
    <row r="60" spans="1:9" x14ac:dyDescent="0.2">
      <c r="A60" t="s">
        <v>154</v>
      </c>
      <c r="B60">
        <v>34</v>
      </c>
      <c r="C60">
        <v>4</v>
      </c>
      <c r="D60">
        <v>17</v>
      </c>
      <c r="E60">
        <v>0</v>
      </c>
      <c r="F60">
        <v>1.9109597671777001</v>
      </c>
      <c r="G60">
        <v>9980</v>
      </c>
      <c r="H60">
        <v>10000</v>
      </c>
      <c r="I60" t="s">
        <v>1546</v>
      </c>
    </row>
    <row r="61" spans="1:9" x14ac:dyDescent="0.2">
      <c r="A61" t="s">
        <v>156</v>
      </c>
      <c r="B61">
        <v>35</v>
      </c>
      <c r="C61">
        <v>20</v>
      </c>
      <c r="D61">
        <v>7</v>
      </c>
      <c r="E61">
        <v>0</v>
      </c>
      <c r="F61">
        <v>1.95955629367381</v>
      </c>
      <c r="G61">
        <v>9978</v>
      </c>
      <c r="H61">
        <v>10000</v>
      </c>
      <c r="I61" t="s">
        <v>1547</v>
      </c>
    </row>
    <row r="62" spans="1:9" x14ac:dyDescent="0.2">
      <c r="A62" t="s">
        <v>158</v>
      </c>
      <c r="B62">
        <v>36</v>
      </c>
      <c r="C62">
        <v>5</v>
      </c>
      <c r="D62">
        <v>17</v>
      </c>
      <c r="E62">
        <v>0</v>
      </c>
      <c r="F62">
        <v>2.0590294152498201</v>
      </c>
      <c r="G62">
        <v>9989</v>
      </c>
      <c r="H62">
        <v>10000</v>
      </c>
      <c r="I62" t="s">
        <v>1548</v>
      </c>
    </row>
    <row r="63" spans="1:9" x14ac:dyDescent="0.2">
      <c r="A63" t="s">
        <v>160</v>
      </c>
      <c r="B63">
        <v>37</v>
      </c>
      <c r="C63">
        <v>6</v>
      </c>
      <c r="D63">
        <v>17</v>
      </c>
      <c r="E63">
        <v>0</v>
      </c>
      <c r="F63">
        <v>2.1448203828185699</v>
      </c>
      <c r="G63">
        <v>9977</v>
      </c>
      <c r="H63">
        <v>10000</v>
      </c>
      <c r="I63" t="s">
        <v>1549</v>
      </c>
    </row>
    <row r="64" spans="1:9" x14ac:dyDescent="0.2">
      <c r="A64" t="s">
        <v>162</v>
      </c>
      <c r="B64">
        <v>38</v>
      </c>
      <c r="C64">
        <v>3</v>
      </c>
      <c r="D64">
        <v>21</v>
      </c>
      <c r="E64">
        <v>0</v>
      </c>
      <c r="F64">
        <v>1.96057149115949</v>
      </c>
      <c r="G64">
        <v>9992</v>
      </c>
      <c r="H64">
        <v>10000</v>
      </c>
      <c r="I64" t="s">
        <v>1527</v>
      </c>
    </row>
    <row r="65" spans="1:9" x14ac:dyDescent="0.2">
      <c r="A65" t="s">
        <v>164</v>
      </c>
      <c r="B65">
        <v>39</v>
      </c>
      <c r="C65">
        <v>7</v>
      </c>
      <c r="D65">
        <v>17</v>
      </c>
      <c r="E65">
        <v>0</v>
      </c>
      <c r="F65">
        <v>2.15305385552346</v>
      </c>
      <c r="G65">
        <v>9993</v>
      </c>
      <c r="H65">
        <v>10000</v>
      </c>
      <c r="I65" t="s">
        <v>1550</v>
      </c>
    </row>
    <row r="66" spans="1:9" x14ac:dyDescent="0.2">
      <c r="A66" t="s">
        <v>166</v>
      </c>
      <c r="B66">
        <v>40</v>
      </c>
      <c r="C66">
        <v>13</v>
      </c>
      <c r="D66">
        <v>13</v>
      </c>
      <c r="E66">
        <v>0</v>
      </c>
      <c r="F66">
        <v>2.2009681202471199</v>
      </c>
      <c r="G66">
        <v>9996</v>
      </c>
      <c r="H66">
        <v>10000</v>
      </c>
      <c r="I66" t="s">
        <v>1551</v>
      </c>
    </row>
    <row r="67" spans="1:9" x14ac:dyDescent="0.2">
      <c r="A67" t="s">
        <v>168</v>
      </c>
      <c r="B67">
        <v>41</v>
      </c>
      <c r="C67">
        <v>8</v>
      </c>
      <c r="D67">
        <v>17</v>
      </c>
      <c r="E67">
        <v>0</v>
      </c>
      <c r="F67">
        <v>2.2287898054346398</v>
      </c>
      <c r="G67">
        <v>9988</v>
      </c>
      <c r="H67">
        <v>10000</v>
      </c>
      <c r="I67" t="s">
        <v>1552</v>
      </c>
    </row>
    <row r="68" spans="1:9" x14ac:dyDescent="0.2">
      <c r="A68" t="s">
        <v>170</v>
      </c>
      <c r="B68">
        <v>42</v>
      </c>
      <c r="C68">
        <v>9</v>
      </c>
      <c r="D68">
        <v>17</v>
      </c>
      <c r="E68">
        <v>0</v>
      </c>
      <c r="F68">
        <v>2.2894786298274901</v>
      </c>
      <c r="G68">
        <v>9999</v>
      </c>
      <c r="H68">
        <v>10000</v>
      </c>
      <c r="I68" t="s">
        <v>1553</v>
      </c>
    </row>
    <row r="69" spans="1:9" x14ac:dyDescent="0.2">
      <c r="A69" t="s">
        <v>172</v>
      </c>
      <c r="B69">
        <v>43</v>
      </c>
      <c r="C69">
        <v>22</v>
      </c>
      <c r="D69">
        <v>9</v>
      </c>
      <c r="E69">
        <v>0</v>
      </c>
      <c r="F69">
        <v>2.01022544503211</v>
      </c>
      <c r="G69">
        <v>8377</v>
      </c>
      <c r="H69">
        <v>10000</v>
      </c>
      <c r="I69" t="s">
        <v>1554</v>
      </c>
    </row>
    <row r="70" spans="1:9" x14ac:dyDescent="0.2">
      <c r="A70" t="s">
        <v>174</v>
      </c>
      <c r="B70">
        <v>44</v>
      </c>
      <c r="C70">
        <v>23</v>
      </c>
      <c r="D70">
        <v>9</v>
      </c>
      <c r="E70">
        <v>0</v>
      </c>
      <c r="F70">
        <v>1.99583167955279</v>
      </c>
      <c r="G70">
        <v>9329</v>
      </c>
      <c r="H70">
        <v>10000</v>
      </c>
      <c r="I70" t="s">
        <v>1555</v>
      </c>
    </row>
    <row r="71" spans="1:9" x14ac:dyDescent="0.2">
      <c r="A71" t="s">
        <v>176</v>
      </c>
      <c r="B71">
        <v>45</v>
      </c>
      <c r="C71">
        <v>24</v>
      </c>
      <c r="D71">
        <v>9</v>
      </c>
      <c r="E71">
        <v>0</v>
      </c>
      <c r="F71">
        <v>2.0191825833171602</v>
      </c>
      <c r="G71">
        <v>9461</v>
      </c>
      <c r="H71">
        <v>10000</v>
      </c>
      <c r="I71" t="s">
        <v>1556</v>
      </c>
    </row>
    <row r="72" spans="1:9" x14ac:dyDescent="0.2">
      <c r="A72" t="s">
        <v>178</v>
      </c>
      <c r="B72">
        <v>46</v>
      </c>
      <c r="C72">
        <v>15</v>
      </c>
      <c r="D72">
        <v>15</v>
      </c>
      <c r="E72">
        <v>0</v>
      </c>
      <c r="F72">
        <v>2.4542747335508399</v>
      </c>
      <c r="G72">
        <v>9939</v>
      </c>
      <c r="H72">
        <v>10000</v>
      </c>
      <c r="I72" t="s">
        <v>1557</v>
      </c>
    </row>
    <row r="73" spans="1:9" x14ac:dyDescent="0.2">
      <c r="A73" t="s">
        <v>180</v>
      </c>
      <c r="B73">
        <v>47</v>
      </c>
      <c r="C73">
        <v>25</v>
      </c>
      <c r="D73">
        <v>9</v>
      </c>
      <c r="E73">
        <v>0</v>
      </c>
      <c r="F73">
        <v>2.0996490865945798</v>
      </c>
      <c r="G73">
        <v>9710</v>
      </c>
      <c r="H73">
        <v>10000</v>
      </c>
      <c r="I73" t="s">
        <v>1558</v>
      </c>
    </row>
    <row r="74" spans="1:9" x14ac:dyDescent="0.2">
      <c r="A74" t="s">
        <v>182</v>
      </c>
      <c r="B74">
        <v>48</v>
      </c>
      <c r="C74">
        <v>26</v>
      </c>
      <c r="D74">
        <v>9</v>
      </c>
      <c r="E74">
        <v>0</v>
      </c>
      <c r="F74">
        <v>2.0748025653883801</v>
      </c>
      <c r="G74">
        <v>9597</v>
      </c>
      <c r="H74">
        <v>10000</v>
      </c>
      <c r="I74" t="s">
        <v>1559</v>
      </c>
    </row>
    <row r="75" spans="1:9" x14ac:dyDescent="0.2">
      <c r="A75" t="s">
        <v>184</v>
      </c>
      <c r="B75">
        <v>49</v>
      </c>
      <c r="C75">
        <v>4</v>
      </c>
      <c r="D75">
        <v>25</v>
      </c>
      <c r="E75">
        <v>0</v>
      </c>
      <c r="F75">
        <v>2.2740674065425899</v>
      </c>
      <c r="G75">
        <v>9979</v>
      </c>
      <c r="H75">
        <v>10000</v>
      </c>
      <c r="I75" t="s">
        <v>1560</v>
      </c>
    </row>
    <row r="76" spans="1:9" x14ac:dyDescent="0.2">
      <c r="A76" t="s">
        <v>186</v>
      </c>
      <c r="B76">
        <v>50</v>
      </c>
      <c r="C76">
        <v>19</v>
      </c>
      <c r="D76">
        <v>13</v>
      </c>
      <c r="E76">
        <v>0</v>
      </c>
      <c r="F76">
        <v>2.5276685049757299</v>
      </c>
      <c r="G76">
        <v>9940</v>
      </c>
      <c r="H76">
        <v>10000</v>
      </c>
      <c r="I76" t="s">
        <v>1561</v>
      </c>
    </row>
    <row r="77" spans="1:9" x14ac:dyDescent="0.2">
      <c r="A77" t="s">
        <v>188</v>
      </c>
      <c r="B77">
        <v>51</v>
      </c>
      <c r="C77">
        <v>28</v>
      </c>
      <c r="D77">
        <v>9</v>
      </c>
      <c r="E77">
        <v>0</v>
      </c>
      <c r="F77">
        <v>2.2442030888050701</v>
      </c>
      <c r="G77">
        <v>8225</v>
      </c>
      <c r="H77">
        <v>10000</v>
      </c>
      <c r="I77" t="s">
        <v>1562</v>
      </c>
    </row>
    <row r="78" spans="1:9" x14ac:dyDescent="0.2">
      <c r="A78" t="s">
        <v>190</v>
      </c>
      <c r="B78">
        <v>52</v>
      </c>
      <c r="C78">
        <v>15</v>
      </c>
      <c r="D78">
        <v>17</v>
      </c>
      <c r="E78">
        <v>0</v>
      </c>
      <c r="F78">
        <v>2.3767848862335001</v>
      </c>
      <c r="G78">
        <v>8998</v>
      </c>
      <c r="H78">
        <v>10000</v>
      </c>
      <c r="I78" t="s">
        <v>1563</v>
      </c>
    </row>
    <row r="79" spans="1:9" x14ac:dyDescent="0.2">
      <c r="A79" t="s">
        <v>192</v>
      </c>
      <c r="B79">
        <v>53</v>
      </c>
      <c r="C79">
        <v>16</v>
      </c>
      <c r="D79">
        <v>17</v>
      </c>
      <c r="E79">
        <v>0</v>
      </c>
      <c r="F79">
        <v>2.45792733877897</v>
      </c>
      <c r="G79">
        <v>9070</v>
      </c>
      <c r="H79">
        <v>10000</v>
      </c>
      <c r="I79" t="s">
        <v>1564</v>
      </c>
    </row>
    <row r="80" spans="1:9" x14ac:dyDescent="0.2">
      <c r="A80" t="s">
        <v>194</v>
      </c>
      <c r="B80">
        <v>54</v>
      </c>
      <c r="C80">
        <v>31</v>
      </c>
      <c r="D80">
        <v>9</v>
      </c>
      <c r="E80">
        <v>0</v>
      </c>
      <c r="F80">
        <v>2.28305309452116</v>
      </c>
      <c r="G80">
        <v>8985</v>
      </c>
      <c r="H80">
        <v>10000</v>
      </c>
      <c r="I80" t="s">
        <v>1565</v>
      </c>
    </row>
    <row r="81" spans="1:9" x14ac:dyDescent="0.2">
      <c r="A81" t="s">
        <v>196</v>
      </c>
      <c r="B81">
        <v>55</v>
      </c>
      <c r="C81">
        <v>23</v>
      </c>
      <c r="D81">
        <v>13</v>
      </c>
      <c r="E81">
        <v>0</v>
      </c>
      <c r="F81">
        <v>2.68159877229481</v>
      </c>
      <c r="G81">
        <v>9952</v>
      </c>
      <c r="H81">
        <v>10000</v>
      </c>
      <c r="I81" t="s">
        <v>1566</v>
      </c>
    </row>
    <row r="82" spans="1:9" x14ac:dyDescent="0.2">
      <c r="A82" t="s">
        <v>198</v>
      </c>
      <c r="B82">
        <v>56</v>
      </c>
      <c r="C82">
        <v>17</v>
      </c>
      <c r="D82">
        <v>17</v>
      </c>
      <c r="E82">
        <v>0</v>
      </c>
      <c r="F82">
        <v>2.5301069617271401</v>
      </c>
      <c r="G82">
        <v>9068</v>
      </c>
      <c r="H82">
        <v>10000</v>
      </c>
      <c r="I82" t="s">
        <v>1567</v>
      </c>
    </row>
    <row r="83" spans="1:9" x14ac:dyDescent="0.2">
      <c r="A83" t="s">
        <v>200</v>
      </c>
      <c r="B83">
        <v>57</v>
      </c>
      <c r="C83">
        <v>18</v>
      </c>
      <c r="D83">
        <v>17</v>
      </c>
      <c r="E83">
        <v>0</v>
      </c>
      <c r="F83">
        <v>2.7972889374941499</v>
      </c>
      <c r="G83">
        <v>9867</v>
      </c>
      <c r="H83">
        <v>10000</v>
      </c>
      <c r="I83" t="s">
        <v>1568</v>
      </c>
    </row>
    <row r="84" spans="1:9" x14ac:dyDescent="0.2">
      <c r="A84" t="s">
        <v>202</v>
      </c>
      <c r="B84">
        <v>58</v>
      </c>
      <c r="C84">
        <v>3</v>
      </c>
      <c r="D84">
        <v>32</v>
      </c>
      <c r="E84">
        <v>0</v>
      </c>
      <c r="F84">
        <v>2.5064396886155</v>
      </c>
      <c r="G84">
        <v>9708</v>
      </c>
      <c r="H84">
        <v>10000</v>
      </c>
      <c r="I84" t="s">
        <v>1569</v>
      </c>
    </row>
    <row r="85" spans="1:9" x14ac:dyDescent="0.2">
      <c r="A85" t="s">
        <v>204</v>
      </c>
      <c r="B85">
        <v>59</v>
      </c>
      <c r="C85">
        <v>19</v>
      </c>
      <c r="D85">
        <v>17</v>
      </c>
      <c r="E85">
        <v>0</v>
      </c>
      <c r="F85">
        <v>2.7567402282729701</v>
      </c>
      <c r="G85">
        <v>9838</v>
      </c>
      <c r="H85">
        <v>10000</v>
      </c>
      <c r="I85" t="s">
        <v>1570</v>
      </c>
    </row>
    <row r="86" spans="1:9" x14ac:dyDescent="0.2">
      <c r="A86" t="s">
        <v>206</v>
      </c>
      <c r="B86">
        <v>60</v>
      </c>
      <c r="C86">
        <v>20</v>
      </c>
      <c r="D86">
        <v>17</v>
      </c>
      <c r="E86">
        <v>0</v>
      </c>
      <c r="F86">
        <v>2.7357661426067299</v>
      </c>
      <c r="G86">
        <v>9774</v>
      </c>
      <c r="H86">
        <v>10000</v>
      </c>
      <c r="I86" t="s">
        <v>1571</v>
      </c>
    </row>
    <row r="87" spans="1:9" x14ac:dyDescent="0.2">
      <c r="A87" t="s">
        <v>208</v>
      </c>
      <c r="B87">
        <v>61</v>
      </c>
      <c r="C87">
        <v>18</v>
      </c>
      <c r="D87">
        <v>19</v>
      </c>
      <c r="E87">
        <v>0</v>
      </c>
      <c r="F87">
        <v>2.76612128783017</v>
      </c>
      <c r="G87">
        <v>8312</v>
      </c>
      <c r="H87">
        <v>10000</v>
      </c>
      <c r="I87" t="s">
        <v>1572</v>
      </c>
    </row>
    <row r="88" spans="1:9" x14ac:dyDescent="0.2">
      <c r="A88" t="s">
        <v>210</v>
      </c>
      <c r="B88">
        <v>62</v>
      </c>
      <c r="C88">
        <v>21</v>
      </c>
      <c r="D88">
        <v>17</v>
      </c>
      <c r="E88">
        <v>0</v>
      </c>
      <c r="F88">
        <v>2.7506240913644402</v>
      </c>
      <c r="G88">
        <v>9331</v>
      </c>
      <c r="H88">
        <v>10000</v>
      </c>
      <c r="I88" t="s">
        <v>1573</v>
      </c>
    </row>
    <row r="89" spans="1:9" x14ac:dyDescent="0.2">
      <c r="A89" t="s">
        <v>212</v>
      </c>
      <c r="B89">
        <v>63</v>
      </c>
      <c r="C89">
        <v>23</v>
      </c>
      <c r="D89">
        <v>16</v>
      </c>
      <c r="E89">
        <v>0</v>
      </c>
      <c r="F89">
        <v>2.74361443053931</v>
      </c>
      <c r="G89">
        <v>8877</v>
      </c>
      <c r="H89">
        <v>10000</v>
      </c>
      <c r="I89" t="s">
        <v>1574</v>
      </c>
    </row>
    <row r="90" spans="1:9" x14ac:dyDescent="0.2">
      <c r="A90" t="s">
        <v>214</v>
      </c>
      <c r="B90">
        <v>64</v>
      </c>
      <c r="C90">
        <v>24</v>
      </c>
      <c r="D90">
        <v>16</v>
      </c>
      <c r="E90">
        <v>0</v>
      </c>
      <c r="F90">
        <v>2.7325310045853199</v>
      </c>
      <c r="G90">
        <v>9264</v>
      </c>
      <c r="H90">
        <v>10000</v>
      </c>
      <c r="I90" t="s">
        <v>1575</v>
      </c>
    </row>
    <row r="91" spans="1:9" x14ac:dyDescent="0.2">
      <c r="A91" t="s">
        <v>216</v>
      </c>
      <c r="B91">
        <v>65</v>
      </c>
      <c r="C91">
        <v>31</v>
      </c>
      <c r="D91">
        <v>13</v>
      </c>
      <c r="E91">
        <v>0</v>
      </c>
      <c r="F91">
        <v>2.6566396029666</v>
      </c>
      <c r="G91">
        <v>8758</v>
      </c>
      <c r="H91">
        <v>10000</v>
      </c>
      <c r="I91" t="s">
        <v>1576</v>
      </c>
    </row>
    <row r="92" spans="1:9" x14ac:dyDescent="0.2">
      <c r="A92" t="s">
        <v>218</v>
      </c>
      <c r="B92">
        <v>66</v>
      </c>
      <c r="C92">
        <v>32</v>
      </c>
      <c r="D92">
        <v>13</v>
      </c>
      <c r="E92">
        <v>0</v>
      </c>
      <c r="F92">
        <v>2.6408768985420399</v>
      </c>
      <c r="G92">
        <v>8414</v>
      </c>
      <c r="H92">
        <v>10000</v>
      </c>
      <c r="I92" t="s">
        <v>1577</v>
      </c>
    </row>
    <row r="93" spans="1:9" x14ac:dyDescent="0.2">
      <c r="A93" t="s">
        <v>220</v>
      </c>
      <c r="B93">
        <v>67</v>
      </c>
      <c r="C93">
        <v>33</v>
      </c>
      <c r="D93">
        <v>13</v>
      </c>
      <c r="E93">
        <v>0</v>
      </c>
      <c r="F93">
        <v>2.6815870795398902</v>
      </c>
      <c r="G93">
        <v>7966</v>
      </c>
      <c r="H93">
        <v>10000</v>
      </c>
      <c r="I93" t="s">
        <v>1578</v>
      </c>
    </row>
    <row r="94" spans="1:9" x14ac:dyDescent="0.2">
      <c r="A94" t="s">
        <v>222</v>
      </c>
      <c r="B94">
        <v>68</v>
      </c>
      <c r="C94">
        <v>34</v>
      </c>
      <c r="D94">
        <v>13</v>
      </c>
      <c r="E94">
        <v>0</v>
      </c>
      <c r="F94">
        <v>2.6916811512783099</v>
      </c>
      <c r="G94">
        <v>8813</v>
      </c>
      <c r="H94">
        <v>10000</v>
      </c>
      <c r="I94" t="s">
        <v>1579</v>
      </c>
    </row>
    <row r="95" spans="1:9" x14ac:dyDescent="0.2">
      <c r="A95" t="s">
        <v>224</v>
      </c>
      <c r="B95">
        <v>69</v>
      </c>
      <c r="C95">
        <v>35</v>
      </c>
      <c r="D95">
        <v>13</v>
      </c>
      <c r="E95">
        <v>0</v>
      </c>
      <c r="F95">
        <v>2.6925266478210599</v>
      </c>
      <c r="G95">
        <v>8209</v>
      </c>
      <c r="H95">
        <v>10000</v>
      </c>
      <c r="I95" t="s">
        <v>1580</v>
      </c>
    </row>
    <row r="96" spans="1:9" x14ac:dyDescent="0.2">
      <c r="A96" t="s">
        <v>226</v>
      </c>
      <c r="B96">
        <v>70</v>
      </c>
      <c r="C96">
        <v>36</v>
      </c>
      <c r="D96">
        <v>13</v>
      </c>
      <c r="E96">
        <v>0</v>
      </c>
      <c r="F96">
        <v>2.7627187967300402</v>
      </c>
      <c r="G96">
        <v>8064</v>
      </c>
      <c r="H96">
        <v>10000</v>
      </c>
      <c r="I96" t="s">
        <v>1581</v>
      </c>
    </row>
    <row r="97" spans="1:9" x14ac:dyDescent="0.2">
      <c r="A97" t="s">
        <v>228</v>
      </c>
      <c r="B97">
        <v>71</v>
      </c>
      <c r="C97">
        <v>12</v>
      </c>
      <c r="D97">
        <v>29</v>
      </c>
      <c r="E97">
        <v>0</v>
      </c>
      <c r="F97">
        <v>3.4067022129893298</v>
      </c>
      <c r="G97">
        <v>8668</v>
      </c>
      <c r="H97">
        <v>10000</v>
      </c>
      <c r="I97" t="s">
        <v>1582</v>
      </c>
    </row>
    <row r="98" spans="1:9" x14ac:dyDescent="0.2">
      <c r="A98" t="s">
        <v>230</v>
      </c>
      <c r="B98">
        <v>72</v>
      </c>
      <c r="C98">
        <v>37</v>
      </c>
      <c r="D98">
        <v>13</v>
      </c>
      <c r="E98">
        <v>0</v>
      </c>
      <c r="F98">
        <v>2.8049633232876601</v>
      </c>
      <c r="G98">
        <v>9067</v>
      </c>
      <c r="H98">
        <v>10000</v>
      </c>
      <c r="I98" t="s">
        <v>1583</v>
      </c>
    </row>
    <row r="99" spans="1:9" x14ac:dyDescent="0.2">
      <c r="A99" t="s">
        <v>232</v>
      </c>
      <c r="B99">
        <v>73</v>
      </c>
      <c r="C99">
        <v>38</v>
      </c>
      <c r="D99">
        <v>13</v>
      </c>
      <c r="E99">
        <v>0</v>
      </c>
      <c r="F99">
        <v>2.8219969794154101</v>
      </c>
      <c r="G99">
        <v>9010</v>
      </c>
      <c r="H99">
        <v>10000</v>
      </c>
      <c r="I99" t="s">
        <v>1584</v>
      </c>
    </row>
    <row r="100" spans="1:9" x14ac:dyDescent="0.2">
      <c r="A100" t="s">
        <v>234</v>
      </c>
      <c r="B100">
        <v>74</v>
      </c>
      <c r="C100">
        <v>9</v>
      </c>
      <c r="D100">
        <v>32</v>
      </c>
      <c r="E100">
        <v>0</v>
      </c>
      <c r="F100">
        <v>3.3060481818392802</v>
      </c>
      <c r="G100">
        <v>8645</v>
      </c>
      <c r="H100">
        <v>10000</v>
      </c>
      <c r="I100" t="s">
        <v>1585</v>
      </c>
    </row>
    <row r="101" spans="1:9" x14ac:dyDescent="0.2">
      <c r="A101" t="s">
        <v>236</v>
      </c>
      <c r="B101">
        <v>75</v>
      </c>
      <c r="C101">
        <v>28</v>
      </c>
      <c r="D101">
        <v>19</v>
      </c>
      <c r="E101">
        <v>0</v>
      </c>
      <c r="F101">
        <v>3.4130425220355298</v>
      </c>
      <c r="G101">
        <v>5626</v>
      </c>
      <c r="H101">
        <v>10000</v>
      </c>
      <c r="I101" t="s">
        <v>1586</v>
      </c>
    </row>
    <row r="102" spans="1:9" x14ac:dyDescent="0.2">
      <c r="A102" t="s">
        <v>238</v>
      </c>
      <c r="B102">
        <v>76</v>
      </c>
      <c r="C102">
        <v>40</v>
      </c>
      <c r="D102">
        <v>12</v>
      </c>
      <c r="E102">
        <v>0</v>
      </c>
      <c r="F102">
        <v>2.9102308787405402</v>
      </c>
      <c r="G102">
        <v>9225</v>
      </c>
      <c r="H102">
        <v>10000</v>
      </c>
      <c r="I102" t="s">
        <v>1587</v>
      </c>
    </row>
    <row r="103" spans="1:9" x14ac:dyDescent="0.2">
      <c r="A103" t="s">
        <v>240</v>
      </c>
      <c r="B103">
        <v>77</v>
      </c>
      <c r="C103">
        <v>40</v>
      </c>
      <c r="D103">
        <v>13</v>
      </c>
      <c r="E103">
        <v>0</v>
      </c>
      <c r="F103">
        <v>2.8836934166028998</v>
      </c>
      <c r="G103">
        <v>6958</v>
      </c>
      <c r="H103">
        <v>10000</v>
      </c>
      <c r="I103" t="s">
        <v>1588</v>
      </c>
    </row>
    <row r="104" spans="1:9" x14ac:dyDescent="0.2">
      <c r="A104" t="s">
        <v>242</v>
      </c>
      <c r="B104">
        <v>78</v>
      </c>
      <c r="C104">
        <v>29</v>
      </c>
      <c r="D104">
        <v>19</v>
      </c>
      <c r="E104">
        <v>0</v>
      </c>
      <c r="F104">
        <v>3.7143194200470999</v>
      </c>
      <c r="G104">
        <v>5383</v>
      </c>
      <c r="H104">
        <v>10000</v>
      </c>
      <c r="I104" t="s">
        <v>1589</v>
      </c>
    </row>
    <row r="105" spans="1:9" x14ac:dyDescent="0.2">
      <c r="A105" t="s">
        <v>244</v>
      </c>
      <c r="B105">
        <v>79</v>
      </c>
      <c r="C105">
        <v>20</v>
      </c>
      <c r="D105">
        <v>24</v>
      </c>
      <c r="E105">
        <v>0</v>
      </c>
      <c r="F105">
        <v>3.6226105904206598</v>
      </c>
      <c r="G105">
        <v>6949</v>
      </c>
      <c r="H105">
        <v>10000</v>
      </c>
      <c r="I105" t="s">
        <v>1590</v>
      </c>
    </row>
    <row r="106" spans="1:9" x14ac:dyDescent="0.2">
      <c r="A106" t="s">
        <v>246</v>
      </c>
      <c r="B106">
        <v>80</v>
      </c>
      <c r="C106">
        <v>47</v>
      </c>
      <c r="D106">
        <v>11</v>
      </c>
      <c r="E106">
        <v>0</v>
      </c>
      <c r="F106">
        <v>2.7176798721775399</v>
      </c>
      <c r="G106">
        <v>8413</v>
      </c>
      <c r="H106">
        <v>10000</v>
      </c>
      <c r="I106" t="s">
        <v>1591</v>
      </c>
    </row>
    <row r="107" spans="1:9" x14ac:dyDescent="0.2">
      <c r="A107" t="s">
        <v>248</v>
      </c>
      <c r="B107">
        <v>81</v>
      </c>
      <c r="C107">
        <v>48</v>
      </c>
      <c r="D107">
        <v>11</v>
      </c>
      <c r="E107">
        <v>0</v>
      </c>
      <c r="F107">
        <v>2.8268416775390501</v>
      </c>
      <c r="G107">
        <v>8668</v>
      </c>
      <c r="H107">
        <v>10000</v>
      </c>
      <c r="I107" t="s">
        <v>1592</v>
      </c>
    </row>
    <row r="108" spans="1:9" x14ac:dyDescent="0.2">
      <c r="A108" t="s">
        <v>250</v>
      </c>
      <c r="B108">
        <v>82</v>
      </c>
      <c r="C108">
        <v>43</v>
      </c>
      <c r="D108">
        <v>13</v>
      </c>
      <c r="E108">
        <v>0</v>
      </c>
      <c r="F108">
        <v>3.0539791584014799</v>
      </c>
      <c r="G108">
        <v>7854</v>
      </c>
      <c r="H108">
        <v>10000</v>
      </c>
      <c r="I108" t="s">
        <v>1593</v>
      </c>
    </row>
    <row r="109" spans="1:9" x14ac:dyDescent="0.2">
      <c r="A109" t="s">
        <v>252</v>
      </c>
      <c r="B109">
        <v>83</v>
      </c>
      <c r="C109">
        <v>41</v>
      </c>
      <c r="D109">
        <v>15</v>
      </c>
      <c r="E109">
        <v>0</v>
      </c>
      <c r="F109">
        <v>3.1142780175432501</v>
      </c>
      <c r="G109">
        <v>6829</v>
      </c>
      <c r="H109">
        <v>10000</v>
      </c>
      <c r="I109" t="s">
        <v>1594</v>
      </c>
    </row>
    <row r="110" spans="1:9" x14ac:dyDescent="0.2">
      <c r="A110" t="s">
        <v>254</v>
      </c>
      <c r="B110">
        <v>84</v>
      </c>
      <c r="C110">
        <v>42</v>
      </c>
      <c r="D110">
        <v>15</v>
      </c>
      <c r="E110">
        <v>0</v>
      </c>
      <c r="F110">
        <v>3.1798346228897501</v>
      </c>
      <c r="G110">
        <v>6465</v>
      </c>
      <c r="H110">
        <v>10000</v>
      </c>
      <c r="I110" t="s">
        <v>1595</v>
      </c>
    </row>
    <row r="111" spans="1:9" x14ac:dyDescent="0.2">
      <c r="A111" t="s">
        <v>256</v>
      </c>
      <c r="B111">
        <v>85</v>
      </c>
      <c r="C111">
        <v>23</v>
      </c>
      <c r="D111">
        <v>24</v>
      </c>
      <c r="E111">
        <v>0</v>
      </c>
      <c r="F111">
        <v>3.7064480250701299</v>
      </c>
      <c r="G111">
        <v>5372</v>
      </c>
      <c r="H111">
        <v>10000</v>
      </c>
      <c r="I111" t="s">
        <v>1596</v>
      </c>
    </row>
    <row r="112" spans="1:9" x14ac:dyDescent="0.2">
      <c r="A112" t="s">
        <v>258</v>
      </c>
      <c r="B112">
        <v>86</v>
      </c>
      <c r="C112">
        <v>23</v>
      </c>
      <c r="D112">
        <v>25</v>
      </c>
      <c r="E112">
        <v>0</v>
      </c>
      <c r="F112">
        <v>3.8932320866733701</v>
      </c>
      <c r="G112">
        <v>5405</v>
      </c>
      <c r="H112">
        <v>10000</v>
      </c>
      <c r="I112" t="s">
        <v>1597</v>
      </c>
    </row>
    <row r="113" spans="1:9" x14ac:dyDescent="0.2">
      <c r="A113" t="s">
        <v>260</v>
      </c>
      <c r="B113">
        <v>87</v>
      </c>
      <c r="C113">
        <v>45</v>
      </c>
      <c r="D113">
        <v>15</v>
      </c>
      <c r="E113">
        <v>0</v>
      </c>
      <c r="F113">
        <v>3.28613169025629</v>
      </c>
      <c r="G113">
        <v>6240</v>
      </c>
      <c r="H113">
        <v>10000</v>
      </c>
      <c r="I113" t="s">
        <v>1598</v>
      </c>
    </row>
    <row r="114" spans="1:9" x14ac:dyDescent="0.2">
      <c r="A114" t="s">
        <v>262</v>
      </c>
      <c r="B114">
        <v>88</v>
      </c>
      <c r="C114">
        <v>49</v>
      </c>
      <c r="D114">
        <v>13</v>
      </c>
      <c r="E114">
        <v>0</v>
      </c>
      <c r="F114">
        <v>3.0615687575191202</v>
      </c>
      <c r="G114">
        <v>6773</v>
      </c>
      <c r="H114">
        <v>10000</v>
      </c>
      <c r="I114" t="s">
        <v>1599</v>
      </c>
    </row>
    <row r="115" spans="1:9" x14ac:dyDescent="0.2">
      <c r="A115" t="s">
        <v>264</v>
      </c>
      <c r="B115">
        <v>89</v>
      </c>
      <c r="C115">
        <v>32</v>
      </c>
      <c r="D115">
        <v>21</v>
      </c>
      <c r="E115">
        <v>0</v>
      </c>
      <c r="F115">
        <v>3.8135551139712298</v>
      </c>
      <c r="G115">
        <v>6727</v>
      </c>
      <c r="H115">
        <v>10000</v>
      </c>
      <c r="I115" t="s">
        <v>1600</v>
      </c>
    </row>
    <row r="116" spans="1:9" x14ac:dyDescent="0.2">
      <c r="A116" t="s">
        <v>266</v>
      </c>
      <c r="B116">
        <v>90</v>
      </c>
      <c r="C116">
        <v>33</v>
      </c>
      <c r="D116">
        <v>21</v>
      </c>
      <c r="E116">
        <v>0</v>
      </c>
      <c r="F116">
        <v>3.8373561445623601</v>
      </c>
      <c r="G116">
        <v>7065</v>
      </c>
      <c r="H116">
        <v>10000</v>
      </c>
      <c r="I116" t="s">
        <v>1601</v>
      </c>
    </row>
    <row r="117" spans="1:9" x14ac:dyDescent="0.2">
      <c r="A117" t="s">
        <v>268</v>
      </c>
      <c r="B117">
        <v>91</v>
      </c>
      <c r="C117">
        <v>26</v>
      </c>
      <c r="D117">
        <v>25</v>
      </c>
      <c r="E117">
        <v>0</v>
      </c>
      <c r="F117">
        <v>4.0884237661957696</v>
      </c>
      <c r="G117">
        <v>6075</v>
      </c>
      <c r="H117">
        <v>10000</v>
      </c>
      <c r="I117" t="s">
        <v>1602</v>
      </c>
    </row>
    <row r="118" spans="1:9" x14ac:dyDescent="0.2">
      <c r="A118" t="s">
        <v>270</v>
      </c>
      <c r="B118">
        <v>92</v>
      </c>
      <c r="C118">
        <v>52</v>
      </c>
      <c r="D118">
        <v>13</v>
      </c>
      <c r="E118">
        <v>0</v>
      </c>
      <c r="F118">
        <v>3.1266151964664401</v>
      </c>
      <c r="G118">
        <v>5507</v>
      </c>
      <c r="H118">
        <v>10000</v>
      </c>
      <c r="I118" t="s">
        <v>1603</v>
      </c>
    </row>
    <row r="119" spans="1:9" x14ac:dyDescent="0.2">
      <c r="A119" t="s">
        <v>272</v>
      </c>
      <c r="B119">
        <v>93</v>
      </c>
      <c r="C119">
        <v>53</v>
      </c>
      <c r="D119">
        <v>13</v>
      </c>
      <c r="E119">
        <v>0</v>
      </c>
      <c r="F119">
        <v>3.1702031074091699</v>
      </c>
      <c r="G119">
        <v>5483</v>
      </c>
      <c r="H119">
        <v>10000</v>
      </c>
      <c r="I119" t="s">
        <v>1604</v>
      </c>
    </row>
    <row r="120" spans="1:9" x14ac:dyDescent="0.2">
      <c r="A120" t="s">
        <v>274</v>
      </c>
      <c r="B120">
        <v>94</v>
      </c>
      <c r="C120">
        <v>54</v>
      </c>
      <c r="D120">
        <v>13</v>
      </c>
      <c r="E120">
        <v>0</v>
      </c>
      <c r="F120">
        <v>3.2714650621637702</v>
      </c>
      <c r="G120">
        <v>6003</v>
      </c>
      <c r="H120">
        <v>10000</v>
      </c>
      <c r="I120" t="s">
        <v>1605</v>
      </c>
    </row>
    <row r="121" spans="1:9" x14ac:dyDescent="0.2">
      <c r="A121" t="s">
        <v>276</v>
      </c>
      <c r="B121">
        <v>95</v>
      </c>
      <c r="C121">
        <v>46</v>
      </c>
      <c r="D121">
        <v>17</v>
      </c>
      <c r="E121">
        <v>0</v>
      </c>
      <c r="F121">
        <v>3.6539229284971899</v>
      </c>
      <c r="G121">
        <v>5827</v>
      </c>
      <c r="H121">
        <v>10000</v>
      </c>
      <c r="I121" t="s">
        <v>1606</v>
      </c>
    </row>
    <row r="122" spans="1:9" x14ac:dyDescent="0.2">
      <c r="A122" t="s">
        <v>278</v>
      </c>
      <c r="B122">
        <v>96</v>
      </c>
      <c r="C122">
        <v>48</v>
      </c>
      <c r="D122">
        <v>16</v>
      </c>
      <c r="E122">
        <v>0</v>
      </c>
      <c r="F122">
        <v>3.4415840394794901</v>
      </c>
      <c r="G122">
        <v>5359</v>
      </c>
      <c r="H122">
        <v>10000</v>
      </c>
      <c r="I122" t="s">
        <v>1607</v>
      </c>
    </row>
    <row r="123" spans="1:9" x14ac:dyDescent="0.2">
      <c r="A123" t="s">
        <v>280</v>
      </c>
      <c r="B123">
        <v>97</v>
      </c>
      <c r="C123">
        <v>50</v>
      </c>
      <c r="D123">
        <v>15</v>
      </c>
      <c r="E123">
        <v>0</v>
      </c>
      <c r="F123">
        <v>3.5377956647425801</v>
      </c>
      <c r="G123">
        <v>6084</v>
      </c>
      <c r="H123">
        <v>10000</v>
      </c>
      <c r="I123" t="s">
        <v>1608</v>
      </c>
    </row>
    <row r="124" spans="1:9" x14ac:dyDescent="0.2">
      <c r="A124" t="s">
        <v>282</v>
      </c>
      <c r="B124">
        <v>98</v>
      </c>
      <c r="C124">
        <v>51</v>
      </c>
      <c r="D124">
        <v>15</v>
      </c>
      <c r="E124">
        <v>0</v>
      </c>
      <c r="F124">
        <v>3.5540177579969101</v>
      </c>
      <c r="G124">
        <v>5233</v>
      </c>
      <c r="H124">
        <v>10000</v>
      </c>
      <c r="I124" t="s">
        <v>1609</v>
      </c>
    </row>
    <row r="125" spans="1:9" x14ac:dyDescent="0.2">
      <c r="A125" t="s">
        <v>284</v>
      </c>
      <c r="B125">
        <v>99</v>
      </c>
      <c r="C125">
        <v>52</v>
      </c>
      <c r="D125">
        <v>15</v>
      </c>
      <c r="E125">
        <v>0</v>
      </c>
      <c r="F125">
        <v>3.5837877355515899</v>
      </c>
      <c r="G125">
        <v>5393</v>
      </c>
      <c r="H125">
        <v>10000</v>
      </c>
      <c r="I125" t="s">
        <v>1610</v>
      </c>
    </row>
    <row r="126" spans="1:9" x14ac:dyDescent="0.2">
      <c r="A126" t="s">
        <v>286</v>
      </c>
      <c r="B126">
        <v>100</v>
      </c>
      <c r="C126">
        <v>52</v>
      </c>
      <c r="D126">
        <v>16</v>
      </c>
      <c r="E126">
        <v>0</v>
      </c>
      <c r="F126">
        <v>3.6876384448259998</v>
      </c>
      <c r="G126">
        <v>5290</v>
      </c>
      <c r="H126">
        <v>10000</v>
      </c>
      <c r="I126" t="s">
        <v>1611</v>
      </c>
    </row>
    <row r="127" spans="1:9" x14ac:dyDescent="0.2">
      <c r="A127" t="s">
        <v>288</v>
      </c>
      <c r="B127">
        <v>101</v>
      </c>
      <c r="C127">
        <v>53</v>
      </c>
      <c r="D127">
        <v>15</v>
      </c>
      <c r="E127">
        <v>0</v>
      </c>
      <c r="F127">
        <v>3.7600974338129101</v>
      </c>
      <c r="G127">
        <v>5853</v>
      </c>
      <c r="H127">
        <v>10000</v>
      </c>
      <c r="I127" t="s">
        <v>1612</v>
      </c>
    </row>
    <row r="128" spans="1:9" x14ac:dyDescent="0.2">
      <c r="A128" t="s">
        <v>290</v>
      </c>
      <c r="B128">
        <v>102</v>
      </c>
      <c r="C128">
        <v>54</v>
      </c>
      <c r="D128">
        <v>15</v>
      </c>
      <c r="E128">
        <v>0</v>
      </c>
      <c r="F128">
        <v>3.75729282293468</v>
      </c>
      <c r="G128">
        <v>6235</v>
      </c>
      <c r="H128">
        <v>10000</v>
      </c>
      <c r="I128" t="s">
        <v>1613</v>
      </c>
    </row>
    <row r="129" spans="1:9" x14ac:dyDescent="0.2">
      <c r="A129" t="s">
        <v>292</v>
      </c>
      <c r="B129">
        <v>103</v>
      </c>
      <c r="C129">
        <v>34</v>
      </c>
      <c r="D129">
        <v>25</v>
      </c>
      <c r="E129">
        <v>0</v>
      </c>
      <c r="F129">
        <v>4.64792793802917</v>
      </c>
      <c r="G129">
        <v>5526</v>
      </c>
      <c r="H129">
        <v>10000</v>
      </c>
      <c r="I129" t="s">
        <v>1614</v>
      </c>
    </row>
    <row r="130" spans="1:9" x14ac:dyDescent="0.2">
      <c r="A130" t="s">
        <v>294</v>
      </c>
      <c r="B130">
        <v>104</v>
      </c>
      <c r="C130">
        <v>28</v>
      </c>
      <c r="D130">
        <v>29</v>
      </c>
      <c r="E130">
        <v>0</v>
      </c>
      <c r="F130">
        <v>4.77907897904515</v>
      </c>
      <c r="G130">
        <v>4423</v>
      </c>
      <c r="H130">
        <v>10000</v>
      </c>
      <c r="I130" t="s">
        <v>1615</v>
      </c>
    </row>
    <row r="131" spans="1:9" x14ac:dyDescent="0.2">
      <c r="A131" t="s">
        <v>296</v>
      </c>
      <c r="B131">
        <v>105</v>
      </c>
      <c r="C131">
        <v>54</v>
      </c>
      <c r="D131">
        <v>17</v>
      </c>
      <c r="E131">
        <v>0</v>
      </c>
      <c r="F131">
        <v>3.8947116388007998</v>
      </c>
      <c r="G131">
        <v>5305</v>
      </c>
      <c r="H131">
        <v>10000</v>
      </c>
      <c r="I131" t="s">
        <v>1616</v>
      </c>
    </row>
    <row r="132" spans="1:9" x14ac:dyDescent="0.2">
      <c r="A132" t="s">
        <v>298</v>
      </c>
      <c r="B132">
        <v>106</v>
      </c>
      <c r="C132">
        <v>44</v>
      </c>
      <c r="D132">
        <v>21</v>
      </c>
      <c r="E132">
        <v>0</v>
      </c>
      <c r="F132">
        <v>4.4656589338555897</v>
      </c>
      <c r="G132">
        <v>5767</v>
      </c>
      <c r="H132">
        <v>10000</v>
      </c>
      <c r="I132" t="s">
        <v>1617</v>
      </c>
    </row>
    <row r="133" spans="1:9" x14ac:dyDescent="0.2">
      <c r="A133" t="s">
        <v>300</v>
      </c>
      <c r="B133">
        <v>107</v>
      </c>
      <c r="C133">
        <v>45</v>
      </c>
      <c r="D133">
        <v>21</v>
      </c>
      <c r="E133">
        <v>0</v>
      </c>
      <c r="F133">
        <v>4.5300379879772601</v>
      </c>
      <c r="G133">
        <v>5467</v>
      </c>
      <c r="H133">
        <v>10000</v>
      </c>
      <c r="I133" t="s">
        <v>1618</v>
      </c>
    </row>
    <row r="134" spans="1:9" x14ac:dyDescent="0.2">
      <c r="A134" t="s">
        <v>302</v>
      </c>
      <c r="B134">
        <v>108</v>
      </c>
      <c r="C134">
        <v>55</v>
      </c>
      <c r="D134">
        <v>17</v>
      </c>
      <c r="E134">
        <v>0</v>
      </c>
      <c r="F134">
        <v>4.0208467869088</v>
      </c>
      <c r="G134">
        <v>5495</v>
      </c>
      <c r="H134">
        <v>10000</v>
      </c>
      <c r="I134" t="s">
        <v>1619</v>
      </c>
    </row>
    <row r="135" spans="1:9" x14ac:dyDescent="0.2">
      <c r="A135" t="s">
        <v>304</v>
      </c>
      <c r="B135">
        <v>109</v>
      </c>
      <c r="C135">
        <v>37</v>
      </c>
      <c r="D135">
        <v>25</v>
      </c>
      <c r="E135">
        <v>0</v>
      </c>
      <c r="F135">
        <v>4.8896592687815401</v>
      </c>
      <c r="G135">
        <v>5282</v>
      </c>
      <c r="H135">
        <v>10000</v>
      </c>
      <c r="I135" t="s">
        <v>1620</v>
      </c>
    </row>
    <row r="136" spans="1:9" x14ac:dyDescent="0.2">
      <c r="A136" t="s">
        <v>306</v>
      </c>
      <c r="B136">
        <v>110</v>
      </c>
      <c r="C136">
        <v>33</v>
      </c>
      <c r="D136">
        <v>28</v>
      </c>
      <c r="E136">
        <v>0</v>
      </c>
      <c r="F136">
        <v>5.20628475770354</v>
      </c>
      <c r="G136">
        <v>4956</v>
      </c>
      <c r="H136">
        <v>10000</v>
      </c>
      <c r="I136" t="s">
        <v>1621</v>
      </c>
    </row>
    <row r="137" spans="1:9" x14ac:dyDescent="0.2">
      <c r="A137" t="s">
        <v>308</v>
      </c>
      <c r="B137">
        <v>111</v>
      </c>
      <c r="C137">
        <v>57</v>
      </c>
      <c r="D137">
        <v>17</v>
      </c>
      <c r="E137">
        <v>0</v>
      </c>
      <c r="F137">
        <v>4.2250823313370303</v>
      </c>
      <c r="G137">
        <v>5982</v>
      </c>
      <c r="H137">
        <v>10000</v>
      </c>
      <c r="I137" t="s">
        <v>1622</v>
      </c>
    </row>
    <row r="138" spans="1:9" x14ac:dyDescent="0.2">
      <c r="A138" t="s">
        <v>310</v>
      </c>
      <c r="B138">
        <v>112</v>
      </c>
      <c r="C138">
        <v>36</v>
      </c>
      <c r="D138">
        <v>27</v>
      </c>
      <c r="E138">
        <v>0</v>
      </c>
      <c r="F138">
        <v>5.0518092578276903</v>
      </c>
      <c r="G138">
        <v>4813</v>
      </c>
      <c r="H138">
        <v>10000</v>
      </c>
      <c r="I138" t="s">
        <v>1623</v>
      </c>
    </row>
    <row r="139" spans="1:9" x14ac:dyDescent="0.2">
      <c r="A139" t="s">
        <v>312</v>
      </c>
      <c r="B139">
        <v>113</v>
      </c>
      <c r="C139">
        <v>26</v>
      </c>
      <c r="D139">
        <v>34</v>
      </c>
      <c r="E139">
        <v>0</v>
      </c>
      <c r="F139">
        <v>5.6779419379308802</v>
      </c>
      <c r="G139">
        <v>4372</v>
      </c>
      <c r="H139">
        <v>10000</v>
      </c>
      <c r="I139" t="s">
        <v>1624</v>
      </c>
    </row>
    <row r="140" spans="1:9" x14ac:dyDescent="0.2">
      <c r="A140" t="s">
        <v>314</v>
      </c>
      <c r="B140">
        <v>114</v>
      </c>
      <c r="C140">
        <v>27</v>
      </c>
      <c r="D140">
        <v>34</v>
      </c>
      <c r="E140">
        <v>0</v>
      </c>
      <c r="F140">
        <v>5.7445004349574402</v>
      </c>
      <c r="G140">
        <v>4735</v>
      </c>
      <c r="H140">
        <v>10000</v>
      </c>
      <c r="I140" t="s">
        <v>1625</v>
      </c>
    </row>
    <row r="141" spans="1:9" x14ac:dyDescent="0.2">
      <c r="A141" t="s">
        <v>316</v>
      </c>
      <c r="B141">
        <v>115</v>
      </c>
      <c r="C141">
        <v>29</v>
      </c>
      <c r="D141">
        <v>33</v>
      </c>
      <c r="E141">
        <v>0</v>
      </c>
      <c r="F141">
        <v>5.8406392838805896</v>
      </c>
      <c r="G141">
        <v>4163</v>
      </c>
      <c r="H141">
        <v>10000</v>
      </c>
      <c r="I141" t="s">
        <v>1626</v>
      </c>
    </row>
    <row r="142" spans="1:9" x14ac:dyDescent="0.2">
      <c r="A142" t="s">
        <v>318</v>
      </c>
      <c r="B142">
        <v>116</v>
      </c>
      <c r="C142">
        <v>28</v>
      </c>
      <c r="D142">
        <v>34</v>
      </c>
      <c r="E142">
        <v>0</v>
      </c>
      <c r="F142">
        <v>5.7508676778525096</v>
      </c>
      <c r="G142">
        <v>4520</v>
      </c>
      <c r="H142">
        <v>10000</v>
      </c>
      <c r="I142" t="s">
        <v>1627</v>
      </c>
    </row>
    <row r="143" spans="1:9" x14ac:dyDescent="0.2">
      <c r="A143" t="s">
        <v>320</v>
      </c>
      <c r="B143">
        <v>117</v>
      </c>
      <c r="C143">
        <v>29</v>
      </c>
      <c r="D143">
        <v>34</v>
      </c>
      <c r="E143">
        <v>0</v>
      </c>
      <c r="F143">
        <v>5.9418830126523901</v>
      </c>
      <c r="G143">
        <v>4344</v>
      </c>
      <c r="H143">
        <v>10000</v>
      </c>
      <c r="I143" t="s">
        <v>1628</v>
      </c>
    </row>
    <row r="144" spans="1:9" x14ac:dyDescent="0.2">
      <c r="A144" t="s">
        <v>322</v>
      </c>
      <c r="B144">
        <v>118</v>
      </c>
      <c r="C144">
        <v>29</v>
      </c>
      <c r="D144">
        <v>35</v>
      </c>
      <c r="E144">
        <v>0</v>
      </c>
      <c r="F144">
        <v>5.8725354084744996</v>
      </c>
      <c r="G144">
        <v>4343</v>
      </c>
      <c r="H144">
        <v>10000</v>
      </c>
      <c r="I144" t="s">
        <v>1629</v>
      </c>
    </row>
    <row r="145" spans="1:9" x14ac:dyDescent="0.2">
      <c r="A145" t="s">
        <v>324</v>
      </c>
      <c r="B145">
        <v>119</v>
      </c>
      <c r="C145">
        <v>28</v>
      </c>
      <c r="D145">
        <v>36</v>
      </c>
      <c r="E145">
        <v>0</v>
      </c>
      <c r="F145">
        <v>5.7421031733974797</v>
      </c>
      <c r="G145">
        <v>3948</v>
      </c>
      <c r="H145">
        <v>10000</v>
      </c>
      <c r="I145" t="s">
        <v>1630</v>
      </c>
    </row>
    <row r="146" spans="1:9" x14ac:dyDescent="0.2">
      <c r="A146" t="s">
        <v>326</v>
      </c>
      <c r="B146">
        <v>120</v>
      </c>
      <c r="C146">
        <v>29</v>
      </c>
      <c r="D146">
        <v>36</v>
      </c>
      <c r="E146">
        <v>0</v>
      </c>
      <c r="F146">
        <v>5.6542988596484003</v>
      </c>
      <c r="G146">
        <v>3890</v>
      </c>
      <c r="H146">
        <v>10000</v>
      </c>
      <c r="I146" t="s">
        <v>1631</v>
      </c>
    </row>
    <row r="147" spans="1:9" x14ac:dyDescent="0.2">
      <c r="A147" t="s">
        <v>328</v>
      </c>
      <c r="B147">
        <v>121</v>
      </c>
      <c r="C147">
        <v>29</v>
      </c>
      <c r="D147">
        <v>37</v>
      </c>
      <c r="E147">
        <v>0</v>
      </c>
      <c r="F147">
        <v>6.2413677703589201</v>
      </c>
      <c r="G147">
        <v>4382</v>
      </c>
      <c r="H147">
        <v>10000</v>
      </c>
      <c r="I147" t="s">
        <v>1632</v>
      </c>
    </row>
    <row r="148" spans="1:9" x14ac:dyDescent="0.2">
      <c r="A148" t="s">
        <v>330</v>
      </c>
      <c r="B148">
        <v>122</v>
      </c>
      <c r="C148">
        <v>47</v>
      </c>
      <c r="D148">
        <v>25</v>
      </c>
      <c r="E148">
        <v>0</v>
      </c>
      <c r="F148">
        <v>5.4597419975325403</v>
      </c>
      <c r="G148">
        <v>4503</v>
      </c>
      <c r="H148">
        <v>10000</v>
      </c>
      <c r="I148" t="s">
        <v>1633</v>
      </c>
    </row>
    <row r="149" spans="1:9" x14ac:dyDescent="0.2">
      <c r="A149" t="s">
        <v>332</v>
      </c>
      <c r="B149">
        <v>123</v>
      </c>
      <c r="C149">
        <v>48</v>
      </c>
      <c r="D149">
        <v>25</v>
      </c>
      <c r="E149">
        <v>0</v>
      </c>
      <c r="F149">
        <v>5.5878119105473099</v>
      </c>
      <c r="G149">
        <v>4706</v>
      </c>
      <c r="H149">
        <v>10000</v>
      </c>
      <c r="I149" t="s">
        <v>1634</v>
      </c>
    </row>
    <row r="150" spans="1:9" x14ac:dyDescent="0.2">
      <c r="A150" t="s">
        <v>334</v>
      </c>
      <c r="B150">
        <v>124</v>
      </c>
      <c r="C150">
        <v>49</v>
      </c>
      <c r="D150">
        <v>25</v>
      </c>
      <c r="E150">
        <v>0</v>
      </c>
      <c r="F150">
        <v>5.7720044720917896</v>
      </c>
      <c r="G150">
        <v>4588</v>
      </c>
      <c r="H150">
        <v>10000</v>
      </c>
      <c r="I150" t="s">
        <v>1635</v>
      </c>
    </row>
    <row r="151" spans="1:9" x14ac:dyDescent="0.2">
      <c r="A151" t="s">
        <v>336</v>
      </c>
      <c r="B151">
        <v>125</v>
      </c>
      <c r="C151">
        <v>50</v>
      </c>
      <c r="D151">
        <v>25</v>
      </c>
      <c r="E151">
        <v>0</v>
      </c>
      <c r="F151">
        <v>5.5670920256525198</v>
      </c>
      <c r="G151">
        <v>4647</v>
      </c>
      <c r="H151">
        <v>10000</v>
      </c>
      <c r="I151" t="s">
        <v>1636</v>
      </c>
    </row>
    <row r="152" spans="1:9" x14ac:dyDescent="0.2">
      <c r="A152" t="s">
        <v>338</v>
      </c>
      <c r="B152">
        <v>126</v>
      </c>
      <c r="C152">
        <v>50</v>
      </c>
      <c r="D152">
        <v>26</v>
      </c>
      <c r="E152">
        <v>0</v>
      </c>
      <c r="F152">
        <v>5.7278402866795597</v>
      </c>
      <c r="G152">
        <v>4861</v>
      </c>
      <c r="H152">
        <v>10000</v>
      </c>
      <c r="I152" t="s">
        <v>1637</v>
      </c>
    </row>
    <row r="153" spans="1:9" x14ac:dyDescent="0.2">
      <c r="A153" t="s">
        <v>340</v>
      </c>
      <c r="B153">
        <v>127</v>
      </c>
      <c r="C153">
        <v>30</v>
      </c>
      <c r="D153">
        <v>37</v>
      </c>
      <c r="E153">
        <v>0</v>
      </c>
      <c r="F153">
        <v>6.5308073442429304</v>
      </c>
      <c r="G153">
        <v>3940</v>
      </c>
      <c r="H153">
        <v>10000</v>
      </c>
      <c r="I153" t="s">
        <v>1638</v>
      </c>
    </row>
    <row r="154" spans="1:9" x14ac:dyDescent="0.2">
      <c r="A154" t="s">
        <v>342</v>
      </c>
      <c r="B154">
        <v>128</v>
      </c>
      <c r="C154">
        <v>44</v>
      </c>
      <c r="D154">
        <v>29</v>
      </c>
      <c r="E154">
        <v>0</v>
      </c>
      <c r="F154">
        <v>5.7494479892775399</v>
      </c>
      <c r="G154">
        <v>4389</v>
      </c>
      <c r="H154">
        <v>10000</v>
      </c>
      <c r="I154" t="s">
        <v>1639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D758-EFE7-5540-8BEC-C3C6E7E8BACC}">
  <dimension ref="A1:I145"/>
  <sheetViews>
    <sheetView topLeftCell="A111" workbookViewId="0">
      <selection activeCell="G129" sqref="G129"/>
    </sheetView>
  </sheetViews>
  <sheetFormatPr baseColWidth="10" defaultColWidth="11" defaultRowHeight="16" x14ac:dyDescent="0.2"/>
  <sheetData>
    <row r="1" spans="1:1" x14ac:dyDescent="0.2">
      <c r="A1" t="s">
        <v>70</v>
      </c>
    </row>
    <row r="2" spans="1:1" x14ac:dyDescent="0.2">
      <c r="A2" t="s">
        <v>71</v>
      </c>
    </row>
    <row r="3" spans="1:1" x14ac:dyDescent="0.2">
      <c r="A3" t="s">
        <v>73</v>
      </c>
    </row>
    <row r="4" spans="1:1" x14ac:dyDescent="0.2">
      <c r="A4" s="21" t="s">
        <v>74</v>
      </c>
    </row>
    <row r="5" spans="1:1" x14ac:dyDescent="0.2">
      <c r="A5" s="21" t="s">
        <v>1116</v>
      </c>
    </row>
    <row r="6" spans="1:1" x14ac:dyDescent="0.2">
      <c r="A6" t="s">
        <v>76</v>
      </c>
    </row>
    <row r="7" spans="1:1" x14ac:dyDescent="0.2">
      <c r="A7" t="s">
        <v>77</v>
      </c>
    </row>
    <row r="8" spans="1:1" x14ac:dyDescent="0.2">
      <c r="A8" s="21" t="s">
        <v>78</v>
      </c>
    </row>
    <row r="9" spans="1:1" x14ac:dyDescent="0.2">
      <c r="A9" t="s">
        <v>79</v>
      </c>
    </row>
    <row r="10" spans="1:1" x14ac:dyDescent="0.2">
      <c r="A10" t="s">
        <v>80</v>
      </c>
    </row>
    <row r="11" spans="1:1" x14ac:dyDescent="0.2">
      <c r="A11" t="s">
        <v>81</v>
      </c>
    </row>
    <row r="12" spans="1:1" x14ac:dyDescent="0.2">
      <c r="A12" t="s">
        <v>82</v>
      </c>
    </row>
    <row r="13" spans="1:1" x14ac:dyDescent="0.2">
      <c r="A13" t="s">
        <v>83</v>
      </c>
    </row>
    <row r="14" spans="1:1" x14ac:dyDescent="0.2">
      <c r="A14" t="s">
        <v>84</v>
      </c>
    </row>
    <row r="15" spans="1:1" x14ac:dyDescent="0.2">
      <c r="A15" t="s">
        <v>85</v>
      </c>
    </row>
    <row r="16" spans="1:1" x14ac:dyDescent="0.2">
      <c r="A16" t="s">
        <v>86</v>
      </c>
    </row>
    <row r="17" spans="1:9" x14ac:dyDescent="0.2">
      <c r="A17" t="s">
        <v>87</v>
      </c>
    </row>
    <row r="18" spans="1:9" x14ac:dyDescent="0.2">
      <c r="A18" t="s">
        <v>346</v>
      </c>
    </row>
    <row r="19" spans="1:9" x14ac:dyDescent="0.2">
      <c r="A19" t="s">
        <v>89</v>
      </c>
    </row>
    <row r="20" spans="1:9" x14ac:dyDescent="0.2">
      <c r="A20" t="s">
        <v>92</v>
      </c>
    </row>
    <row r="21" spans="1:9" x14ac:dyDescent="0.2">
      <c r="A21" t="s">
        <v>93</v>
      </c>
    </row>
    <row r="22" spans="1:9" x14ac:dyDescent="0.2">
      <c r="A22" t="s">
        <v>1117</v>
      </c>
    </row>
    <row r="23" spans="1:9" x14ac:dyDescent="0.2">
      <c r="A23" t="s">
        <v>95</v>
      </c>
    </row>
    <row r="24" spans="1:9" x14ac:dyDescent="0.2">
      <c r="A24" t="s">
        <v>96</v>
      </c>
      <c r="B24" t="s">
        <v>61</v>
      </c>
      <c r="C24" t="s">
        <v>97</v>
      </c>
      <c r="D24" t="s">
        <v>98</v>
      </c>
      <c r="E24" t="s">
        <v>99</v>
      </c>
      <c r="F24" t="s">
        <v>100</v>
      </c>
      <c r="G24" t="s">
        <v>58</v>
      </c>
      <c r="H24" t="s">
        <v>59</v>
      </c>
      <c r="I24" t="s">
        <v>101</v>
      </c>
    </row>
    <row r="25" spans="1:9" x14ac:dyDescent="0.2">
      <c r="A25" t="s">
        <v>102</v>
      </c>
      <c r="B25">
        <v>5</v>
      </c>
      <c r="C25">
        <v>3</v>
      </c>
      <c r="D25">
        <v>2</v>
      </c>
      <c r="E25">
        <v>0</v>
      </c>
      <c r="F25">
        <v>0.85240846872329701</v>
      </c>
      <c r="G25">
        <v>10000</v>
      </c>
      <c r="H25">
        <v>10000</v>
      </c>
      <c r="I25" t="s">
        <v>449</v>
      </c>
    </row>
    <row r="26" spans="1:9" x14ac:dyDescent="0.2">
      <c r="A26" t="s">
        <v>104</v>
      </c>
      <c r="B26">
        <v>6</v>
      </c>
      <c r="C26">
        <v>3</v>
      </c>
      <c r="D26">
        <v>3</v>
      </c>
      <c r="E26">
        <v>0</v>
      </c>
      <c r="F26">
        <v>0.895518258213996</v>
      </c>
      <c r="G26">
        <v>10000</v>
      </c>
      <c r="H26">
        <v>10000</v>
      </c>
      <c r="I26" t="s">
        <v>1118</v>
      </c>
    </row>
    <row r="27" spans="1:9" x14ac:dyDescent="0.2">
      <c r="A27" t="s">
        <v>106</v>
      </c>
      <c r="B27">
        <v>7</v>
      </c>
      <c r="C27">
        <v>3</v>
      </c>
      <c r="D27">
        <v>4</v>
      </c>
      <c r="E27">
        <v>0</v>
      </c>
      <c r="F27">
        <v>0.88097905367612805</v>
      </c>
      <c r="G27">
        <v>10000</v>
      </c>
      <c r="H27">
        <v>10000</v>
      </c>
      <c r="I27" t="s">
        <v>451</v>
      </c>
    </row>
    <row r="28" spans="1:9" x14ac:dyDescent="0.2">
      <c r="A28" t="s">
        <v>108</v>
      </c>
      <c r="B28">
        <v>8</v>
      </c>
      <c r="C28">
        <v>3</v>
      </c>
      <c r="D28">
        <v>4</v>
      </c>
      <c r="E28">
        <v>0</v>
      </c>
      <c r="F28">
        <v>0.92777940630912703</v>
      </c>
      <c r="G28">
        <v>10000</v>
      </c>
      <c r="H28">
        <v>10000</v>
      </c>
      <c r="I28" t="s">
        <v>451</v>
      </c>
    </row>
    <row r="29" spans="1:9" x14ac:dyDescent="0.2">
      <c r="A29" t="s">
        <v>110</v>
      </c>
      <c r="B29">
        <v>9</v>
      </c>
      <c r="C29">
        <v>5</v>
      </c>
      <c r="D29">
        <v>3</v>
      </c>
      <c r="E29">
        <v>0</v>
      </c>
      <c r="F29">
        <v>0.90215790271759</v>
      </c>
      <c r="G29">
        <v>9195</v>
      </c>
      <c r="H29">
        <v>10000</v>
      </c>
      <c r="I29" t="s">
        <v>1119</v>
      </c>
    </row>
    <row r="30" spans="1:9" x14ac:dyDescent="0.2">
      <c r="A30" t="s">
        <v>112</v>
      </c>
      <c r="B30">
        <v>10</v>
      </c>
      <c r="C30">
        <v>3</v>
      </c>
      <c r="D30">
        <v>5</v>
      </c>
      <c r="E30">
        <v>0</v>
      </c>
      <c r="F30">
        <v>0.96841658651828699</v>
      </c>
      <c r="G30">
        <v>10000</v>
      </c>
      <c r="H30">
        <v>10000</v>
      </c>
      <c r="I30" t="s">
        <v>1120</v>
      </c>
    </row>
    <row r="31" spans="1:9" x14ac:dyDescent="0.2">
      <c r="A31" t="s">
        <v>114</v>
      </c>
      <c r="B31">
        <v>11</v>
      </c>
      <c r="C31">
        <v>3</v>
      </c>
      <c r="D31">
        <v>6</v>
      </c>
      <c r="E31">
        <v>0</v>
      </c>
      <c r="F31">
        <v>1.00760895013809</v>
      </c>
      <c r="G31">
        <v>10000</v>
      </c>
      <c r="H31">
        <v>10000</v>
      </c>
      <c r="I31" t="s">
        <v>574</v>
      </c>
    </row>
    <row r="32" spans="1:9" x14ac:dyDescent="0.2">
      <c r="A32" t="s">
        <v>116</v>
      </c>
      <c r="B32">
        <v>12</v>
      </c>
      <c r="C32">
        <v>3</v>
      </c>
      <c r="D32">
        <v>6</v>
      </c>
      <c r="E32">
        <v>0</v>
      </c>
      <c r="F32">
        <v>0.98461331427097298</v>
      </c>
      <c r="G32">
        <v>10000</v>
      </c>
      <c r="H32">
        <v>10000</v>
      </c>
      <c r="I32" t="s">
        <v>574</v>
      </c>
    </row>
    <row r="33" spans="1:9" x14ac:dyDescent="0.2">
      <c r="A33" t="s">
        <v>118</v>
      </c>
      <c r="B33">
        <v>13</v>
      </c>
      <c r="C33">
        <v>5</v>
      </c>
      <c r="D33">
        <v>5</v>
      </c>
      <c r="E33">
        <v>0</v>
      </c>
      <c r="F33">
        <v>1.0274299383163401</v>
      </c>
      <c r="G33">
        <v>9848</v>
      </c>
      <c r="H33">
        <v>10000</v>
      </c>
      <c r="I33" t="s">
        <v>1121</v>
      </c>
    </row>
    <row r="34" spans="1:9" x14ac:dyDescent="0.2">
      <c r="A34" t="s">
        <v>120</v>
      </c>
      <c r="B34">
        <v>14</v>
      </c>
      <c r="C34">
        <v>6</v>
      </c>
      <c r="D34">
        <v>5</v>
      </c>
      <c r="E34">
        <v>0</v>
      </c>
      <c r="F34">
        <v>1.02871987968683</v>
      </c>
      <c r="G34">
        <v>9900</v>
      </c>
      <c r="H34">
        <v>10000</v>
      </c>
      <c r="I34" t="s">
        <v>1122</v>
      </c>
    </row>
    <row r="35" spans="1:9" x14ac:dyDescent="0.2">
      <c r="A35" t="s">
        <v>122</v>
      </c>
      <c r="B35">
        <v>15</v>
      </c>
      <c r="C35">
        <v>7</v>
      </c>
      <c r="D35">
        <v>5</v>
      </c>
      <c r="E35">
        <v>0</v>
      </c>
      <c r="F35">
        <v>1.0919931232929201</v>
      </c>
      <c r="G35">
        <v>9989</v>
      </c>
      <c r="H35">
        <v>10000</v>
      </c>
      <c r="I35" t="s">
        <v>1123</v>
      </c>
    </row>
    <row r="36" spans="1:9" x14ac:dyDescent="0.2">
      <c r="A36" t="s">
        <v>124</v>
      </c>
      <c r="B36">
        <v>16</v>
      </c>
      <c r="C36">
        <v>8</v>
      </c>
      <c r="D36">
        <v>5</v>
      </c>
      <c r="E36">
        <v>0</v>
      </c>
      <c r="F36">
        <v>1.09233973175287</v>
      </c>
      <c r="G36">
        <v>9999</v>
      </c>
      <c r="H36">
        <v>10000</v>
      </c>
      <c r="I36" t="s">
        <v>578</v>
      </c>
    </row>
    <row r="37" spans="1:9" x14ac:dyDescent="0.2">
      <c r="A37" t="s">
        <v>126</v>
      </c>
      <c r="B37">
        <v>20</v>
      </c>
      <c r="C37">
        <v>5</v>
      </c>
      <c r="D37">
        <v>9</v>
      </c>
      <c r="E37">
        <v>0</v>
      </c>
      <c r="F37">
        <v>1.2019523531198499</v>
      </c>
      <c r="G37">
        <v>9529</v>
      </c>
      <c r="H37">
        <v>10000</v>
      </c>
      <c r="I37" t="s">
        <v>1124</v>
      </c>
    </row>
    <row r="38" spans="1:9" x14ac:dyDescent="0.2">
      <c r="A38" t="s">
        <v>128</v>
      </c>
      <c r="B38">
        <v>21</v>
      </c>
      <c r="C38">
        <v>5</v>
      </c>
      <c r="D38">
        <v>10</v>
      </c>
      <c r="E38">
        <v>0</v>
      </c>
      <c r="F38">
        <v>1.2747274860739699</v>
      </c>
      <c r="G38">
        <v>9992</v>
      </c>
      <c r="H38">
        <v>10000</v>
      </c>
      <c r="I38" t="s">
        <v>1125</v>
      </c>
    </row>
    <row r="39" spans="1:9" x14ac:dyDescent="0.2">
      <c r="A39" t="s">
        <v>130</v>
      </c>
      <c r="B39">
        <v>22</v>
      </c>
      <c r="C39">
        <v>6</v>
      </c>
      <c r="D39">
        <v>9</v>
      </c>
      <c r="E39">
        <v>0</v>
      </c>
      <c r="F39">
        <v>1.2126405090093599</v>
      </c>
      <c r="G39">
        <v>9583</v>
      </c>
      <c r="H39">
        <v>10000</v>
      </c>
      <c r="I39" t="s">
        <v>1126</v>
      </c>
    </row>
    <row r="40" spans="1:9" x14ac:dyDescent="0.2">
      <c r="A40" t="s">
        <v>132</v>
      </c>
      <c r="B40">
        <v>23</v>
      </c>
      <c r="C40">
        <v>7</v>
      </c>
      <c r="D40">
        <v>9</v>
      </c>
      <c r="E40">
        <v>0</v>
      </c>
      <c r="F40">
        <v>1.2271002158522599</v>
      </c>
      <c r="G40">
        <v>9705</v>
      </c>
      <c r="H40">
        <v>10000</v>
      </c>
      <c r="I40" t="s">
        <v>1127</v>
      </c>
    </row>
    <row r="41" spans="1:9" x14ac:dyDescent="0.2">
      <c r="A41" t="s">
        <v>134</v>
      </c>
      <c r="B41">
        <v>24</v>
      </c>
      <c r="C41">
        <v>3</v>
      </c>
      <c r="D41">
        <v>13</v>
      </c>
      <c r="E41">
        <v>0</v>
      </c>
      <c r="F41">
        <v>1.21756020933389</v>
      </c>
      <c r="G41">
        <v>9366</v>
      </c>
      <c r="H41">
        <v>10000</v>
      </c>
      <c r="I41" t="s">
        <v>1128</v>
      </c>
    </row>
    <row r="42" spans="1:9" x14ac:dyDescent="0.2">
      <c r="A42" t="s">
        <v>136</v>
      </c>
      <c r="B42">
        <v>25</v>
      </c>
      <c r="C42">
        <v>15</v>
      </c>
      <c r="D42">
        <v>5</v>
      </c>
      <c r="E42">
        <v>0</v>
      </c>
      <c r="F42">
        <v>1.2102046608924799</v>
      </c>
      <c r="G42">
        <v>9794</v>
      </c>
      <c r="H42">
        <v>10000</v>
      </c>
      <c r="I42" t="s">
        <v>1129</v>
      </c>
    </row>
    <row r="43" spans="1:9" x14ac:dyDescent="0.2">
      <c r="A43" t="s">
        <v>138</v>
      </c>
      <c r="B43">
        <v>26</v>
      </c>
      <c r="C43">
        <v>9</v>
      </c>
      <c r="D43">
        <v>9</v>
      </c>
      <c r="E43">
        <v>0</v>
      </c>
      <c r="F43">
        <v>1.3169051334261801</v>
      </c>
      <c r="G43">
        <v>9931</v>
      </c>
      <c r="H43">
        <v>10000</v>
      </c>
      <c r="I43" t="s">
        <v>1130</v>
      </c>
    </row>
    <row r="44" spans="1:9" x14ac:dyDescent="0.2">
      <c r="A44" t="s">
        <v>140</v>
      </c>
      <c r="B44">
        <v>27</v>
      </c>
      <c r="C44">
        <v>10</v>
      </c>
      <c r="D44">
        <v>9</v>
      </c>
      <c r="E44">
        <v>0</v>
      </c>
      <c r="F44">
        <v>1.3381137698888701</v>
      </c>
      <c r="G44">
        <v>9952</v>
      </c>
      <c r="H44">
        <v>10000</v>
      </c>
      <c r="I44" t="s">
        <v>1131</v>
      </c>
    </row>
    <row r="45" spans="1:9" x14ac:dyDescent="0.2">
      <c r="A45" t="s">
        <v>142</v>
      </c>
      <c r="B45">
        <v>28</v>
      </c>
      <c r="C45">
        <v>18</v>
      </c>
      <c r="D45">
        <v>5</v>
      </c>
      <c r="E45">
        <v>0</v>
      </c>
      <c r="F45">
        <v>1.3444889560341799</v>
      </c>
      <c r="G45">
        <v>9988</v>
      </c>
      <c r="H45">
        <v>10000</v>
      </c>
      <c r="I45" t="s">
        <v>1132</v>
      </c>
    </row>
    <row r="46" spans="1:9" x14ac:dyDescent="0.2">
      <c r="A46" t="s">
        <v>144</v>
      </c>
      <c r="B46">
        <v>29</v>
      </c>
      <c r="C46">
        <v>6</v>
      </c>
      <c r="D46">
        <v>13</v>
      </c>
      <c r="E46">
        <v>0</v>
      </c>
      <c r="F46">
        <v>1.3710170090198499</v>
      </c>
      <c r="G46">
        <v>7588</v>
      </c>
      <c r="H46">
        <v>10000</v>
      </c>
      <c r="I46" t="s">
        <v>1133</v>
      </c>
    </row>
    <row r="47" spans="1:9" x14ac:dyDescent="0.2">
      <c r="A47" t="s">
        <v>146</v>
      </c>
      <c r="B47">
        <v>30</v>
      </c>
      <c r="C47">
        <v>6</v>
      </c>
      <c r="D47">
        <v>14</v>
      </c>
      <c r="E47">
        <v>0</v>
      </c>
      <c r="F47">
        <v>1.45755868405103</v>
      </c>
      <c r="G47">
        <v>9689</v>
      </c>
      <c r="H47">
        <v>10000</v>
      </c>
      <c r="I47" t="s">
        <v>1134</v>
      </c>
    </row>
    <row r="48" spans="1:9" x14ac:dyDescent="0.2">
      <c r="A48" t="s">
        <v>148</v>
      </c>
      <c r="B48">
        <v>31</v>
      </c>
      <c r="C48">
        <v>3</v>
      </c>
      <c r="D48">
        <v>17</v>
      </c>
      <c r="E48">
        <v>0</v>
      </c>
      <c r="F48">
        <v>1.4418147802352901</v>
      </c>
      <c r="G48">
        <v>9223</v>
      </c>
      <c r="H48">
        <v>10000</v>
      </c>
      <c r="I48" t="s">
        <v>1135</v>
      </c>
    </row>
    <row r="49" spans="1:9" x14ac:dyDescent="0.2">
      <c r="A49" t="s">
        <v>150</v>
      </c>
      <c r="B49">
        <v>32</v>
      </c>
      <c r="C49">
        <v>8</v>
      </c>
      <c r="D49">
        <v>13</v>
      </c>
      <c r="E49">
        <v>0</v>
      </c>
      <c r="F49">
        <v>1.5170264020562101</v>
      </c>
      <c r="G49">
        <v>9932</v>
      </c>
      <c r="H49">
        <v>10000</v>
      </c>
      <c r="I49" t="s">
        <v>1136</v>
      </c>
    </row>
    <row r="50" spans="1:9" x14ac:dyDescent="0.2">
      <c r="A50" t="s">
        <v>152</v>
      </c>
      <c r="B50">
        <v>33</v>
      </c>
      <c r="C50">
        <v>18</v>
      </c>
      <c r="D50">
        <v>7</v>
      </c>
      <c r="E50">
        <v>0</v>
      </c>
      <c r="F50">
        <v>1.6284781172871501</v>
      </c>
      <c r="G50">
        <v>6415</v>
      </c>
      <c r="H50">
        <v>10000</v>
      </c>
      <c r="I50" t="s">
        <v>1137</v>
      </c>
    </row>
    <row r="51" spans="1:9" x14ac:dyDescent="0.2">
      <c r="A51" t="s">
        <v>154</v>
      </c>
      <c r="B51">
        <v>34</v>
      </c>
      <c r="C51">
        <v>4</v>
      </c>
      <c r="D51">
        <v>17</v>
      </c>
      <c r="E51">
        <v>0</v>
      </c>
      <c r="F51">
        <v>1.49324465543031</v>
      </c>
      <c r="G51">
        <v>8338</v>
      </c>
      <c r="H51">
        <v>10000</v>
      </c>
      <c r="I51" t="s">
        <v>593</v>
      </c>
    </row>
    <row r="52" spans="1:9" x14ac:dyDescent="0.2">
      <c r="A52" t="s">
        <v>156</v>
      </c>
      <c r="B52">
        <v>35</v>
      </c>
      <c r="C52">
        <v>20</v>
      </c>
      <c r="D52">
        <v>7</v>
      </c>
      <c r="E52">
        <v>0</v>
      </c>
      <c r="F52">
        <v>1.51643975079059</v>
      </c>
      <c r="G52">
        <v>9472</v>
      </c>
      <c r="H52">
        <v>10000</v>
      </c>
      <c r="I52" t="s">
        <v>1138</v>
      </c>
    </row>
    <row r="53" spans="1:9" x14ac:dyDescent="0.2">
      <c r="A53" t="s">
        <v>158</v>
      </c>
      <c r="B53">
        <v>36</v>
      </c>
      <c r="C53">
        <v>5</v>
      </c>
      <c r="D53">
        <v>17</v>
      </c>
      <c r="E53">
        <v>0</v>
      </c>
      <c r="F53">
        <v>1.6073556244373299</v>
      </c>
      <c r="G53">
        <v>9205</v>
      </c>
      <c r="H53">
        <v>10000</v>
      </c>
      <c r="I53" t="s">
        <v>1139</v>
      </c>
    </row>
    <row r="54" spans="1:9" x14ac:dyDescent="0.2">
      <c r="A54" t="s">
        <v>160</v>
      </c>
      <c r="B54">
        <v>37</v>
      </c>
      <c r="C54">
        <v>6</v>
      </c>
      <c r="D54">
        <v>17</v>
      </c>
      <c r="E54">
        <v>0</v>
      </c>
      <c r="F54">
        <v>1.62676432728767</v>
      </c>
      <c r="G54">
        <v>8241</v>
      </c>
      <c r="H54">
        <v>10000</v>
      </c>
      <c r="I54" t="s">
        <v>1140</v>
      </c>
    </row>
    <row r="55" spans="1:9" x14ac:dyDescent="0.2">
      <c r="A55" t="s">
        <v>162</v>
      </c>
      <c r="B55">
        <v>38</v>
      </c>
      <c r="C55">
        <v>3</v>
      </c>
      <c r="D55">
        <v>21</v>
      </c>
      <c r="E55">
        <v>0</v>
      </c>
      <c r="F55">
        <v>1.5309956595301599</v>
      </c>
      <c r="G55">
        <v>9228</v>
      </c>
      <c r="H55">
        <v>10000</v>
      </c>
      <c r="I55" t="s">
        <v>1141</v>
      </c>
    </row>
    <row r="56" spans="1:9" x14ac:dyDescent="0.2">
      <c r="A56" t="s">
        <v>164</v>
      </c>
      <c r="B56">
        <v>39</v>
      </c>
      <c r="C56">
        <v>7</v>
      </c>
      <c r="D56">
        <v>17</v>
      </c>
      <c r="E56">
        <v>0</v>
      </c>
      <c r="F56">
        <v>1.7135312333703001</v>
      </c>
      <c r="G56">
        <v>9578</v>
      </c>
      <c r="H56">
        <v>10000</v>
      </c>
      <c r="I56" t="s">
        <v>1142</v>
      </c>
    </row>
    <row r="57" spans="1:9" x14ac:dyDescent="0.2">
      <c r="A57" t="s">
        <v>166</v>
      </c>
      <c r="B57">
        <v>40</v>
      </c>
      <c r="C57">
        <v>13</v>
      </c>
      <c r="D57">
        <v>13</v>
      </c>
      <c r="E57">
        <v>0</v>
      </c>
      <c r="F57">
        <v>1.7185864448547301</v>
      </c>
      <c r="G57">
        <v>9620</v>
      </c>
      <c r="H57">
        <v>10000</v>
      </c>
      <c r="I57" t="s">
        <v>1143</v>
      </c>
    </row>
    <row r="58" spans="1:9" x14ac:dyDescent="0.2">
      <c r="A58" t="s">
        <v>168</v>
      </c>
      <c r="B58">
        <v>41</v>
      </c>
      <c r="C58">
        <v>8</v>
      </c>
      <c r="D58">
        <v>17</v>
      </c>
      <c r="E58">
        <v>0</v>
      </c>
      <c r="F58">
        <v>1.7440072000026701</v>
      </c>
      <c r="G58">
        <v>9386</v>
      </c>
      <c r="H58">
        <v>10000</v>
      </c>
      <c r="I58" t="s">
        <v>1144</v>
      </c>
    </row>
    <row r="59" spans="1:9" x14ac:dyDescent="0.2">
      <c r="A59" t="s">
        <v>170</v>
      </c>
      <c r="B59">
        <v>42</v>
      </c>
      <c r="C59">
        <v>9</v>
      </c>
      <c r="D59">
        <v>17</v>
      </c>
      <c r="E59">
        <v>0</v>
      </c>
      <c r="F59">
        <v>1.8657305240631099</v>
      </c>
      <c r="G59">
        <v>9790</v>
      </c>
      <c r="H59">
        <v>10000</v>
      </c>
      <c r="I59" t="s">
        <v>1145</v>
      </c>
    </row>
    <row r="60" spans="1:9" x14ac:dyDescent="0.2">
      <c r="A60" t="s">
        <v>172</v>
      </c>
      <c r="B60">
        <v>43</v>
      </c>
      <c r="C60">
        <v>22</v>
      </c>
      <c r="D60">
        <v>9</v>
      </c>
      <c r="E60">
        <v>0</v>
      </c>
      <c r="F60">
        <v>1.7348268553614601</v>
      </c>
      <c r="G60">
        <v>7444</v>
      </c>
      <c r="H60">
        <v>10000</v>
      </c>
      <c r="I60" t="s">
        <v>1146</v>
      </c>
    </row>
    <row r="61" spans="1:9" x14ac:dyDescent="0.2">
      <c r="A61" t="s">
        <v>174</v>
      </c>
      <c r="B61">
        <v>44</v>
      </c>
      <c r="C61">
        <v>23</v>
      </c>
      <c r="D61">
        <v>9</v>
      </c>
      <c r="E61">
        <v>0</v>
      </c>
      <c r="F61">
        <v>1.70689740031957</v>
      </c>
      <c r="G61">
        <v>7610</v>
      </c>
      <c r="H61">
        <v>10000</v>
      </c>
      <c r="I61" t="s">
        <v>1147</v>
      </c>
    </row>
    <row r="62" spans="1:9" x14ac:dyDescent="0.2">
      <c r="A62" t="s">
        <v>176</v>
      </c>
      <c r="B62">
        <v>45</v>
      </c>
      <c r="C62">
        <v>24</v>
      </c>
      <c r="D62">
        <v>9</v>
      </c>
      <c r="E62">
        <v>0</v>
      </c>
      <c r="F62">
        <v>1.71974170953035</v>
      </c>
      <c r="G62">
        <v>7662</v>
      </c>
      <c r="H62">
        <v>10000</v>
      </c>
      <c r="I62" t="s">
        <v>1148</v>
      </c>
    </row>
    <row r="63" spans="1:9" x14ac:dyDescent="0.2">
      <c r="A63" t="s">
        <v>178</v>
      </c>
      <c r="B63">
        <v>46</v>
      </c>
      <c r="C63">
        <v>15</v>
      </c>
      <c r="D63">
        <v>15</v>
      </c>
      <c r="E63">
        <v>0</v>
      </c>
      <c r="F63">
        <v>2.0999033525586102</v>
      </c>
      <c r="G63">
        <v>8582</v>
      </c>
      <c r="H63">
        <v>10000</v>
      </c>
      <c r="I63" t="s">
        <v>1149</v>
      </c>
    </row>
    <row r="64" spans="1:9" x14ac:dyDescent="0.2">
      <c r="A64" t="s">
        <v>180</v>
      </c>
      <c r="B64">
        <v>47</v>
      </c>
      <c r="C64">
        <v>25</v>
      </c>
      <c r="D64">
        <v>9</v>
      </c>
      <c r="E64">
        <v>0</v>
      </c>
      <c r="F64">
        <v>1.76985062658786</v>
      </c>
      <c r="G64">
        <v>8001</v>
      </c>
      <c r="H64">
        <v>10000</v>
      </c>
      <c r="I64" t="s">
        <v>1150</v>
      </c>
    </row>
    <row r="65" spans="1:9" x14ac:dyDescent="0.2">
      <c r="A65" t="s">
        <v>182</v>
      </c>
      <c r="B65">
        <v>48</v>
      </c>
      <c r="C65">
        <v>26</v>
      </c>
      <c r="D65">
        <v>9</v>
      </c>
      <c r="E65">
        <v>0</v>
      </c>
      <c r="F65">
        <v>1.7460251972079199</v>
      </c>
      <c r="G65">
        <v>8362</v>
      </c>
      <c r="H65">
        <v>10000</v>
      </c>
      <c r="I65" t="s">
        <v>1151</v>
      </c>
    </row>
    <row r="66" spans="1:9" x14ac:dyDescent="0.2">
      <c r="A66" t="s">
        <v>184</v>
      </c>
      <c r="B66">
        <v>49</v>
      </c>
      <c r="C66">
        <v>4</v>
      </c>
      <c r="D66">
        <v>25</v>
      </c>
      <c r="E66">
        <v>0</v>
      </c>
      <c r="F66">
        <v>1.86307894438505</v>
      </c>
      <c r="G66">
        <v>8135</v>
      </c>
      <c r="H66">
        <v>10000</v>
      </c>
      <c r="I66" t="s">
        <v>1152</v>
      </c>
    </row>
    <row r="67" spans="1:9" x14ac:dyDescent="0.2">
      <c r="A67" t="s">
        <v>186</v>
      </c>
      <c r="B67">
        <v>50</v>
      </c>
      <c r="C67">
        <v>19</v>
      </c>
      <c r="D67">
        <v>13</v>
      </c>
      <c r="E67">
        <v>0</v>
      </c>
      <c r="F67">
        <v>1.9918918386101701</v>
      </c>
      <c r="G67">
        <v>9016</v>
      </c>
      <c r="H67">
        <v>10000</v>
      </c>
      <c r="I67" t="s">
        <v>1153</v>
      </c>
    </row>
    <row r="68" spans="1:9" x14ac:dyDescent="0.2">
      <c r="A68" t="s">
        <v>188</v>
      </c>
      <c r="B68">
        <v>51</v>
      </c>
      <c r="C68">
        <v>28</v>
      </c>
      <c r="D68">
        <v>9</v>
      </c>
      <c r="E68">
        <v>0</v>
      </c>
      <c r="F68">
        <v>1.89982578158378</v>
      </c>
      <c r="G68">
        <v>5657</v>
      </c>
      <c r="H68">
        <v>10000</v>
      </c>
      <c r="I68" t="s">
        <v>1154</v>
      </c>
    </row>
    <row r="69" spans="1:9" x14ac:dyDescent="0.2">
      <c r="A69" t="s">
        <v>190</v>
      </c>
      <c r="B69">
        <v>52</v>
      </c>
      <c r="C69">
        <v>15</v>
      </c>
      <c r="D69">
        <v>17</v>
      </c>
      <c r="E69">
        <v>0</v>
      </c>
      <c r="F69">
        <v>2.1566491797566401</v>
      </c>
      <c r="G69">
        <v>6374</v>
      </c>
      <c r="H69">
        <v>10000</v>
      </c>
      <c r="I69" t="s">
        <v>1155</v>
      </c>
    </row>
    <row r="70" spans="1:9" x14ac:dyDescent="0.2">
      <c r="A70" t="s">
        <v>192</v>
      </c>
      <c r="B70">
        <v>53</v>
      </c>
      <c r="C70">
        <v>16</v>
      </c>
      <c r="D70">
        <v>17</v>
      </c>
      <c r="E70">
        <v>0</v>
      </c>
      <c r="F70">
        <v>2.17265307903289</v>
      </c>
      <c r="G70">
        <v>6763</v>
      </c>
      <c r="H70">
        <v>10000</v>
      </c>
      <c r="I70" t="s">
        <v>1156</v>
      </c>
    </row>
    <row r="71" spans="1:9" x14ac:dyDescent="0.2">
      <c r="A71" t="s">
        <v>194</v>
      </c>
      <c r="B71">
        <v>54</v>
      </c>
      <c r="C71">
        <v>31</v>
      </c>
      <c r="D71">
        <v>9</v>
      </c>
      <c r="E71">
        <v>0</v>
      </c>
      <c r="F71">
        <v>1.9462271407246501</v>
      </c>
      <c r="G71">
        <v>8210</v>
      </c>
      <c r="H71">
        <v>10000</v>
      </c>
      <c r="I71" t="s">
        <v>1157</v>
      </c>
    </row>
    <row r="72" spans="1:9" x14ac:dyDescent="0.2">
      <c r="A72" t="s">
        <v>196</v>
      </c>
      <c r="B72">
        <v>55</v>
      </c>
      <c r="C72">
        <v>23</v>
      </c>
      <c r="D72">
        <v>13</v>
      </c>
      <c r="E72">
        <v>0</v>
      </c>
      <c r="F72">
        <v>2.1570475324988299</v>
      </c>
      <c r="G72">
        <v>8915</v>
      </c>
      <c r="H72">
        <v>10000</v>
      </c>
      <c r="I72" t="s">
        <v>1158</v>
      </c>
    </row>
    <row r="73" spans="1:9" x14ac:dyDescent="0.2">
      <c r="A73" t="s">
        <v>198</v>
      </c>
      <c r="B73">
        <v>56</v>
      </c>
      <c r="C73">
        <v>17</v>
      </c>
      <c r="D73">
        <v>17</v>
      </c>
      <c r="E73">
        <v>0</v>
      </c>
      <c r="F73">
        <v>2.2218630015850001</v>
      </c>
      <c r="G73">
        <v>6625</v>
      </c>
      <c r="H73">
        <v>10000</v>
      </c>
      <c r="I73" t="s">
        <v>1159</v>
      </c>
    </row>
    <row r="74" spans="1:9" x14ac:dyDescent="0.2">
      <c r="A74" t="s">
        <v>200</v>
      </c>
      <c r="B74">
        <v>57</v>
      </c>
      <c r="C74">
        <v>18</v>
      </c>
      <c r="D74">
        <v>17</v>
      </c>
      <c r="E74">
        <v>0</v>
      </c>
      <c r="F74">
        <v>2.2347625195980001</v>
      </c>
      <c r="G74">
        <v>6463</v>
      </c>
      <c r="H74">
        <v>10000</v>
      </c>
      <c r="I74" t="s">
        <v>1160</v>
      </c>
    </row>
    <row r="75" spans="1:9" x14ac:dyDescent="0.2">
      <c r="A75" t="s">
        <v>202</v>
      </c>
      <c r="B75">
        <v>58</v>
      </c>
      <c r="C75">
        <v>3</v>
      </c>
      <c r="D75">
        <v>32</v>
      </c>
      <c r="E75">
        <v>0</v>
      </c>
      <c r="F75">
        <v>2.0964594632387099</v>
      </c>
      <c r="G75">
        <v>7475</v>
      </c>
      <c r="H75">
        <v>10000</v>
      </c>
      <c r="I75" t="s">
        <v>498</v>
      </c>
    </row>
    <row r="76" spans="1:9" x14ac:dyDescent="0.2">
      <c r="A76" t="s">
        <v>204</v>
      </c>
      <c r="B76">
        <v>59</v>
      </c>
      <c r="C76">
        <v>19</v>
      </c>
      <c r="D76">
        <v>17</v>
      </c>
      <c r="E76">
        <v>0</v>
      </c>
      <c r="F76">
        <v>2.3284558653831402</v>
      </c>
      <c r="G76">
        <v>7784</v>
      </c>
      <c r="H76">
        <v>10000</v>
      </c>
      <c r="I76" t="s">
        <v>1161</v>
      </c>
    </row>
    <row r="77" spans="1:9" x14ac:dyDescent="0.2">
      <c r="A77" t="s">
        <v>206</v>
      </c>
      <c r="B77">
        <v>60</v>
      </c>
      <c r="C77">
        <v>20</v>
      </c>
      <c r="D77">
        <v>17</v>
      </c>
      <c r="E77">
        <v>0</v>
      </c>
      <c r="F77">
        <v>2.31763631105422</v>
      </c>
      <c r="G77">
        <v>7946</v>
      </c>
      <c r="H77">
        <v>10000</v>
      </c>
      <c r="I77" t="s">
        <v>1162</v>
      </c>
    </row>
    <row r="78" spans="1:9" x14ac:dyDescent="0.2">
      <c r="A78" t="s">
        <v>208</v>
      </c>
      <c r="B78">
        <v>61</v>
      </c>
      <c r="C78">
        <v>18</v>
      </c>
      <c r="D78">
        <v>19</v>
      </c>
      <c r="E78">
        <v>0</v>
      </c>
      <c r="F78">
        <v>2.4679697975516302</v>
      </c>
      <c r="G78">
        <v>4819</v>
      </c>
      <c r="H78">
        <v>10000</v>
      </c>
      <c r="I78" t="s">
        <v>1163</v>
      </c>
    </row>
    <row r="79" spans="1:9" x14ac:dyDescent="0.2">
      <c r="A79" t="s">
        <v>210</v>
      </c>
      <c r="B79">
        <v>62</v>
      </c>
      <c r="C79">
        <v>21</v>
      </c>
      <c r="D79">
        <v>17</v>
      </c>
      <c r="E79">
        <v>0</v>
      </c>
      <c r="F79">
        <v>2.4503109455108598</v>
      </c>
      <c r="G79">
        <v>7371</v>
      </c>
      <c r="H79">
        <v>10000</v>
      </c>
      <c r="I79" t="s">
        <v>1164</v>
      </c>
    </row>
    <row r="80" spans="1:9" x14ac:dyDescent="0.2">
      <c r="A80" t="s">
        <v>212</v>
      </c>
      <c r="B80">
        <v>63</v>
      </c>
      <c r="C80">
        <v>23</v>
      </c>
      <c r="D80">
        <v>16</v>
      </c>
      <c r="E80">
        <v>0</v>
      </c>
      <c r="F80">
        <v>2.4037782624363899</v>
      </c>
      <c r="G80">
        <v>5062</v>
      </c>
      <c r="H80">
        <v>10000</v>
      </c>
      <c r="I80" t="s">
        <v>1165</v>
      </c>
    </row>
    <row r="81" spans="1:9" x14ac:dyDescent="0.2">
      <c r="A81" t="s">
        <v>214</v>
      </c>
      <c r="B81">
        <v>64</v>
      </c>
      <c r="C81">
        <v>24</v>
      </c>
      <c r="D81">
        <v>16</v>
      </c>
      <c r="E81">
        <v>0</v>
      </c>
      <c r="F81">
        <v>2.37362912297248</v>
      </c>
      <c r="G81">
        <v>6691</v>
      </c>
      <c r="H81">
        <v>10000</v>
      </c>
      <c r="I81" t="s">
        <v>1166</v>
      </c>
    </row>
    <row r="82" spans="1:9" x14ac:dyDescent="0.2">
      <c r="A82" t="s">
        <v>216</v>
      </c>
      <c r="B82">
        <v>65</v>
      </c>
      <c r="C82">
        <v>31</v>
      </c>
      <c r="D82">
        <v>13</v>
      </c>
      <c r="E82">
        <v>0</v>
      </c>
      <c r="F82">
        <v>2.2770692333579001</v>
      </c>
      <c r="G82">
        <v>4430</v>
      </c>
      <c r="H82">
        <v>10000</v>
      </c>
      <c r="I82" t="s">
        <v>1167</v>
      </c>
    </row>
    <row r="83" spans="1:9" x14ac:dyDescent="0.2">
      <c r="A83" t="s">
        <v>218</v>
      </c>
      <c r="B83">
        <v>66</v>
      </c>
      <c r="C83">
        <v>32</v>
      </c>
      <c r="D83">
        <v>13</v>
      </c>
      <c r="E83">
        <v>0</v>
      </c>
      <c r="F83">
        <v>2.2719094976782799</v>
      </c>
      <c r="G83">
        <v>4609</v>
      </c>
      <c r="H83">
        <v>10000</v>
      </c>
      <c r="I83" t="s">
        <v>1168</v>
      </c>
    </row>
    <row r="84" spans="1:9" x14ac:dyDescent="0.2">
      <c r="A84" t="s">
        <v>220</v>
      </c>
      <c r="B84">
        <v>67</v>
      </c>
      <c r="C84">
        <v>33</v>
      </c>
      <c r="D84">
        <v>13</v>
      </c>
      <c r="E84">
        <v>0</v>
      </c>
      <c r="F84">
        <v>2.3284398242831199</v>
      </c>
      <c r="G84">
        <v>4618</v>
      </c>
      <c r="H84">
        <v>10000</v>
      </c>
      <c r="I84" t="s">
        <v>1169</v>
      </c>
    </row>
    <row r="85" spans="1:9" x14ac:dyDescent="0.2">
      <c r="A85" t="s">
        <v>222</v>
      </c>
      <c r="B85">
        <v>68</v>
      </c>
      <c r="C85">
        <v>34</v>
      </c>
      <c r="D85">
        <v>13</v>
      </c>
      <c r="E85">
        <v>0</v>
      </c>
      <c r="F85">
        <v>2.3368372172117202</v>
      </c>
      <c r="G85">
        <v>4720</v>
      </c>
      <c r="H85">
        <v>10000</v>
      </c>
      <c r="I85" t="s">
        <v>1170</v>
      </c>
    </row>
    <row r="86" spans="1:9" x14ac:dyDescent="0.2">
      <c r="A86" t="s">
        <v>224</v>
      </c>
      <c r="B86">
        <v>69</v>
      </c>
      <c r="C86">
        <v>35</v>
      </c>
      <c r="D86">
        <v>13</v>
      </c>
      <c r="E86">
        <v>0</v>
      </c>
      <c r="F86">
        <v>2.4101983606815298</v>
      </c>
      <c r="G86">
        <v>4910</v>
      </c>
      <c r="H86">
        <v>10000</v>
      </c>
      <c r="I86" t="s">
        <v>1171</v>
      </c>
    </row>
    <row r="87" spans="1:9" x14ac:dyDescent="0.2">
      <c r="A87" t="s">
        <v>226</v>
      </c>
      <c r="B87">
        <v>70</v>
      </c>
      <c r="C87">
        <v>36</v>
      </c>
      <c r="D87">
        <v>13</v>
      </c>
      <c r="E87">
        <v>0</v>
      </c>
      <c r="F87">
        <v>2.4696567878127098</v>
      </c>
      <c r="G87">
        <v>5070</v>
      </c>
      <c r="H87">
        <v>10000</v>
      </c>
      <c r="I87" t="s">
        <v>1172</v>
      </c>
    </row>
    <row r="88" spans="1:9" x14ac:dyDescent="0.2">
      <c r="A88" t="s">
        <v>228</v>
      </c>
      <c r="B88">
        <v>71</v>
      </c>
      <c r="C88">
        <v>12</v>
      </c>
      <c r="D88">
        <v>29</v>
      </c>
      <c r="E88">
        <v>0</v>
      </c>
      <c r="F88">
        <v>3.00360672920942</v>
      </c>
      <c r="G88">
        <v>5424</v>
      </c>
      <c r="H88">
        <v>10000</v>
      </c>
      <c r="I88" t="s">
        <v>1173</v>
      </c>
    </row>
    <row r="89" spans="1:9" x14ac:dyDescent="0.2">
      <c r="A89" t="s">
        <v>230</v>
      </c>
      <c r="B89">
        <v>72</v>
      </c>
      <c r="C89">
        <v>37</v>
      </c>
      <c r="D89">
        <v>13</v>
      </c>
      <c r="E89">
        <v>0</v>
      </c>
      <c r="F89">
        <v>2.37822092324495</v>
      </c>
      <c r="G89">
        <v>5620</v>
      </c>
      <c r="H89">
        <v>10000</v>
      </c>
      <c r="I89" t="s">
        <v>1174</v>
      </c>
    </row>
    <row r="90" spans="1:9" x14ac:dyDescent="0.2">
      <c r="A90" t="s">
        <v>232</v>
      </c>
      <c r="B90">
        <v>73</v>
      </c>
      <c r="C90">
        <v>38</v>
      </c>
      <c r="D90">
        <v>13</v>
      </c>
      <c r="E90">
        <v>0</v>
      </c>
      <c r="F90">
        <v>2.4485230669379199</v>
      </c>
      <c r="G90">
        <v>5652</v>
      </c>
      <c r="H90">
        <v>10000</v>
      </c>
      <c r="I90" t="s">
        <v>1175</v>
      </c>
    </row>
    <row r="91" spans="1:9" x14ac:dyDescent="0.2">
      <c r="A91" t="s">
        <v>234</v>
      </c>
      <c r="B91">
        <v>74</v>
      </c>
      <c r="C91">
        <v>9</v>
      </c>
      <c r="D91">
        <v>32</v>
      </c>
      <c r="E91">
        <v>0</v>
      </c>
      <c r="F91">
        <v>2.9711542800068802</v>
      </c>
      <c r="G91">
        <v>4317</v>
      </c>
      <c r="H91">
        <v>10000</v>
      </c>
      <c r="I91" t="s">
        <v>1176</v>
      </c>
    </row>
    <row r="92" spans="1:9" x14ac:dyDescent="0.2">
      <c r="A92" t="s">
        <v>236</v>
      </c>
      <c r="B92">
        <v>75</v>
      </c>
      <c r="C92">
        <v>28</v>
      </c>
      <c r="D92">
        <v>19</v>
      </c>
      <c r="E92">
        <v>0</v>
      </c>
      <c r="F92">
        <v>3.25821657478809</v>
      </c>
      <c r="G92">
        <v>2467</v>
      </c>
      <c r="H92">
        <v>10000</v>
      </c>
      <c r="I92" t="s">
        <v>1177</v>
      </c>
    </row>
    <row r="93" spans="1:9" x14ac:dyDescent="0.2">
      <c r="A93" t="s">
        <v>238</v>
      </c>
      <c r="B93">
        <v>76</v>
      </c>
      <c r="C93">
        <v>40</v>
      </c>
      <c r="D93">
        <v>12</v>
      </c>
      <c r="E93">
        <v>0</v>
      </c>
      <c r="F93">
        <v>2.5697526559233599</v>
      </c>
      <c r="G93">
        <v>5289</v>
      </c>
      <c r="H93">
        <v>10000</v>
      </c>
      <c r="I93" t="s">
        <v>1178</v>
      </c>
    </row>
    <row r="94" spans="1:9" x14ac:dyDescent="0.2">
      <c r="A94" t="s">
        <v>240</v>
      </c>
      <c r="B94">
        <v>77</v>
      </c>
      <c r="C94">
        <v>40</v>
      </c>
      <c r="D94">
        <v>13</v>
      </c>
      <c r="E94">
        <v>0</v>
      </c>
      <c r="F94">
        <v>2.58335127681493</v>
      </c>
      <c r="G94">
        <v>2432</v>
      </c>
      <c r="H94">
        <v>10000</v>
      </c>
      <c r="I94" t="s">
        <v>1179</v>
      </c>
    </row>
    <row r="95" spans="1:9" x14ac:dyDescent="0.2">
      <c r="A95" t="s">
        <v>242</v>
      </c>
      <c r="B95">
        <v>78</v>
      </c>
      <c r="C95">
        <v>29</v>
      </c>
      <c r="D95">
        <v>19</v>
      </c>
      <c r="E95">
        <v>0</v>
      </c>
      <c r="F95">
        <v>3.43153346329927</v>
      </c>
      <c r="G95">
        <v>2627</v>
      </c>
      <c r="H95">
        <v>10000</v>
      </c>
      <c r="I95" t="s">
        <v>1180</v>
      </c>
    </row>
    <row r="96" spans="1:9" x14ac:dyDescent="0.2">
      <c r="A96" t="s">
        <v>244</v>
      </c>
      <c r="B96">
        <v>79</v>
      </c>
      <c r="C96">
        <v>20</v>
      </c>
      <c r="D96">
        <v>24</v>
      </c>
      <c r="E96">
        <v>0</v>
      </c>
      <c r="F96">
        <v>3.2651684656739199</v>
      </c>
      <c r="G96">
        <v>2789</v>
      </c>
      <c r="H96">
        <v>10000</v>
      </c>
      <c r="I96" t="s">
        <v>1181</v>
      </c>
    </row>
    <row r="97" spans="1:9" x14ac:dyDescent="0.2">
      <c r="A97" t="s">
        <v>246</v>
      </c>
      <c r="B97">
        <v>80</v>
      </c>
      <c r="C97">
        <v>47</v>
      </c>
      <c r="D97">
        <v>11</v>
      </c>
      <c r="E97">
        <v>0</v>
      </c>
      <c r="F97">
        <v>2.3975086063146498</v>
      </c>
      <c r="G97">
        <v>4647</v>
      </c>
      <c r="H97">
        <v>10000</v>
      </c>
      <c r="I97" t="s">
        <v>1182</v>
      </c>
    </row>
    <row r="98" spans="1:9" x14ac:dyDescent="0.2">
      <c r="A98" t="s">
        <v>248</v>
      </c>
      <c r="B98">
        <v>81</v>
      </c>
      <c r="C98">
        <v>48</v>
      </c>
      <c r="D98">
        <v>11</v>
      </c>
      <c r="E98">
        <v>0</v>
      </c>
      <c r="F98">
        <v>2.4604155197739601</v>
      </c>
      <c r="G98">
        <v>4544</v>
      </c>
      <c r="H98">
        <v>10000</v>
      </c>
      <c r="I98" t="s">
        <v>1183</v>
      </c>
    </row>
    <row r="99" spans="1:9" x14ac:dyDescent="0.2">
      <c r="A99" t="s">
        <v>250</v>
      </c>
      <c r="B99">
        <v>82</v>
      </c>
      <c r="C99">
        <v>43</v>
      </c>
      <c r="D99">
        <v>13</v>
      </c>
      <c r="E99">
        <v>0</v>
      </c>
      <c r="F99">
        <v>2.6183424815535501</v>
      </c>
      <c r="G99">
        <v>2812</v>
      </c>
      <c r="H99">
        <v>10000</v>
      </c>
      <c r="I99" t="s">
        <v>1184</v>
      </c>
    </row>
    <row r="100" spans="1:9" x14ac:dyDescent="0.2">
      <c r="A100" t="s">
        <v>252</v>
      </c>
      <c r="B100">
        <v>83</v>
      </c>
      <c r="C100">
        <v>41</v>
      </c>
      <c r="D100">
        <v>15</v>
      </c>
      <c r="E100">
        <v>0</v>
      </c>
      <c r="F100">
        <v>2.8844401389360401</v>
      </c>
      <c r="G100">
        <v>1570</v>
      </c>
      <c r="H100">
        <v>10000</v>
      </c>
      <c r="I100" t="s">
        <v>1185</v>
      </c>
    </row>
    <row r="101" spans="1:9" x14ac:dyDescent="0.2">
      <c r="A101" t="s">
        <v>254</v>
      </c>
      <c r="B101">
        <v>84</v>
      </c>
      <c r="C101">
        <v>42</v>
      </c>
      <c r="D101">
        <v>15</v>
      </c>
      <c r="E101">
        <v>0</v>
      </c>
      <c r="F101">
        <v>2.8182476460933601</v>
      </c>
      <c r="G101">
        <v>1536</v>
      </c>
      <c r="H101">
        <v>10000</v>
      </c>
      <c r="I101" t="s">
        <v>1186</v>
      </c>
    </row>
    <row r="102" spans="1:9" x14ac:dyDescent="0.2">
      <c r="A102" t="s">
        <v>256</v>
      </c>
      <c r="B102">
        <v>85</v>
      </c>
      <c r="C102">
        <v>23</v>
      </c>
      <c r="D102">
        <v>24</v>
      </c>
      <c r="E102">
        <v>0</v>
      </c>
      <c r="F102">
        <v>3.5075537636876102</v>
      </c>
      <c r="G102">
        <v>428</v>
      </c>
      <c r="H102">
        <v>10000</v>
      </c>
      <c r="I102" t="s">
        <v>1187</v>
      </c>
    </row>
    <row r="103" spans="1:9" x14ac:dyDescent="0.2">
      <c r="A103" t="s">
        <v>258</v>
      </c>
      <c r="B103">
        <v>86</v>
      </c>
      <c r="C103">
        <v>23</v>
      </c>
      <c r="D103">
        <v>25</v>
      </c>
      <c r="E103">
        <v>0</v>
      </c>
      <c r="F103">
        <v>3.6393835097551301</v>
      </c>
      <c r="G103">
        <v>939</v>
      </c>
      <c r="H103">
        <v>10000</v>
      </c>
      <c r="I103" t="s">
        <v>1188</v>
      </c>
    </row>
    <row r="104" spans="1:9" x14ac:dyDescent="0.2">
      <c r="A104" t="s">
        <v>260</v>
      </c>
      <c r="B104">
        <v>87</v>
      </c>
      <c r="C104">
        <v>45</v>
      </c>
      <c r="D104">
        <v>15</v>
      </c>
      <c r="E104">
        <v>0</v>
      </c>
      <c r="F104">
        <v>2.94058381021022</v>
      </c>
      <c r="G104">
        <v>1633</v>
      </c>
      <c r="H104">
        <v>10000</v>
      </c>
      <c r="I104" t="s">
        <v>1189</v>
      </c>
    </row>
    <row r="105" spans="1:9" x14ac:dyDescent="0.2">
      <c r="A105" t="s">
        <v>262</v>
      </c>
      <c r="B105">
        <v>88</v>
      </c>
      <c r="C105">
        <v>49</v>
      </c>
      <c r="D105">
        <v>13</v>
      </c>
      <c r="E105">
        <v>0</v>
      </c>
      <c r="F105">
        <v>2.71522767096757</v>
      </c>
      <c r="G105">
        <v>3158</v>
      </c>
      <c r="H105">
        <v>10000</v>
      </c>
      <c r="I105" t="s">
        <v>1190</v>
      </c>
    </row>
    <row r="106" spans="1:9" x14ac:dyDescent="0.2">
      <c r="A106" t="s">
        <v>264</v>
      </c>
      <c r="B106">
        <v>89</v>
      </c>
      <c r="C106">
        <v>32</v>
      </c>
      <c r="D106">
        <v>21</v>
      </c>
      <c r="E106">
        <v>0</v>
      </c>
      <c r="F106">
        <v>3.4784619659185401</v>
      </c>
      <c r="G106">
        <v>2785</v>
      </c>
      <c r="H106">
        <v>10000</v>
      </c>
      <c r="I106" t="s">
        <v>1191</v>
      </c>
    </row>
    <row r="107" spans="1:9" x14ac:dyDescent="0.2">
      <c r="A107" t="s">
        <v>266</v>
      </c>
      <c r="B107">
        <v>90</v>
      </c>
      <c r="C107">
        <v>33</v>
      </c>
      <c r="D107">
        <v>21</v>
      </c>
      <c r="E107">
        <v>0</v>
      </c>
      <c r="F107">
        <v>3.4999010860919899</v>
      </c>
      <c r="G107">
        <v>2738</v>
      </c>
      <c r="H107">
        <v>10000</v>
      </c>
      <c r="I107" t="s">
        <v>1192</v>
      </c>
    </row>
    <row r="108" spans="1:9" x14ac:dyDescent="0.2">
      <c r="A108" t="s">
        <v>268</v>
      </c>
      <c r="B108">
        <v>91</v>
      </c>
      <c r="C108">
        <v>26</v>
      </c>
      <c r="D108">
        <v>25</v>
      </c>
      <c r="E108">
        <v>0</v>
      </c>
      <c r="F108">
        <v>3.83918122202157</v>
      </c>
      <c r="G108">
        <v>1154</v>
      </c>
      <c r="H108">
        <v>10000</v>
      </c>
      <c r="I108" t="s">
        <v>1193</v>
      </c>
    </row>
    <row r="109" spans="1:9" x14ac:dyDescent="0.2">
      <c r="A109" t="s">
        <v>270</v>
      </c>
      <c r="B109">
        <v>92</v>
      </c>
      <c r="C109">
        <v>52</v>
      </c>
      <c r="D109">
        <v>13</v>
      </c>
      <c r="E109">
        <v>0</v>
      </c>
      <c r="F109">
        <v>2.9345162287354398</v>
      </c>
      <c r="G109">
        <v>111</v>
      </c>
      <c r="H109">
        <v>10000</v>
      </c>
      <c r="I109" t="s">
        <v>1194</v>
      </c>
    </row>
    <row r="110" spans="1:9" x14ac:dyDescent="0.2">
      <c r="A110" t="s">
        <v>272</v>
      </c>
      <c r="B110">
        <v>93</v>
      </c>
      <c r="C110">
        <v>53</v>
      </c>
      <c r="D110">
        <v>13</v>
      </c>
      <c r="E110">
        <v>0</v>
      </c>
      <c r="F110">
        <v>2.9002459421753799</v>
      </c>
      <c r="G110">
        <v>200</v>
      </c>
      <c r="H110">
        <v>10000</v>
      </c>
      <c r="I110" t="s">
        <v>1195</v>
      </c>
    </row>
    <row r="111" spans="1:9" x14ac:dyDescent="0.2">
      <c r="A111" t="s">
        <v>274</v>
      </c>
      <c r="B111">
        <v>94</v>
      </c>
      <c r="C111">
        <v>54</v>
      </c>
      <c r="D111">
        <v>13</v>
      </c>
      <c r="E111">
        <v>0</v>
      </c>
      <c r="F111">
        <v>2.9730176851153298</v>
      </c>
      <c r="G111">
        <v>230</v>
      </c>
      <c r="H111">
        <v>10000</v>
      </c>
      <c r="I111" t="s">
        <v>1196</v>
      </c>
    </row>
    <row r="112" spans="1:9" x14ac:dyDescent="0.2">
      <c r="A112" t="s">
        <v>276</v>
      </c>
      <c r="B112">
        <v>95</v>
      </c>
      <c r="C112">
        <v>46</v>
      </c>
      <c r="D112">
        <v>17</v>
      </c>
      <c r="E112">
        <v>0</v>
      </c>
      <c r="F112">
        <v>3.3683097437024099</v>
      </c>
      <c r="G112">
        <v>1349</v>
      </c>
      <c r="H112">
        <v>10000</v>
      </c>
      <c r="I112" t="s">
        <v>1197</v>
      </c>
    </row>
    <row r="113" spans="1:9" x14ac:dyDescent="0.2">
      <c r="A113" t="s">
        <v>278</v>
      </c>
      <c r="B113">
        <v>96</v>
      </c>
      <c r="C113">
        <v>48</v>
      </c>
      <c r="D113">
        <v>16</v>
      </c>
      <c r="E113">
        <v>0</v>
      </c>
      <c r="F113">
        <v>3.1972035020589802</v>
      </c>
      <c r="G113">
        <v>438</v>
      </c>
      <c r="H113">
        <v>10000</v>
      </c>
      <c r="I113" t="s">
        <v>1198</v>
      </c>
    </row>
    <row r="114" spans="1:9" x14ac:dyDescent="0.2">
      <c r="A114" t="s">
        <v>280</v>
      </c>
      <c r="B114">
        <v>97</v>
      </c>
      <c r="C114">
        <v>50</v>
      </c>
      <c r="D114">
        <v>15</v>
      </c>
      <c r="E114">
        <v>0</v>
      </c>
      <c r="F114">
        <v>3.23697978258132</v>
      </c>
      <c r="G114">
        <v>151</v>
      </c>
      <c r="H114">
        <v>10000</v>
      </c>
      <c r="I114" t="s">
        <v>1199</v>
      </c>
    </row>
    <row r="115" spans="1:9" x14ac:dyDescent="0.2">
      <c r="A115" t="s">
        <v>282</v>
      </c>
      <c r="B115">
        <v>98</v>
      </c>
      <c r="C115">
        <v>51</v>
      </c>
      <c r="D115">
        <v>15</v>
      </c>
      <c r="E115">
        <v>0</v>
      </c>
      <c r="F115">
        <v>3.3257383704185401</v>
      </c>
      <c r="G115">
        <v>166</v>
      </c>
      <c r="H115">
        <v>10000</v>
      </c>
      <c r="I115" t="s">
        <v>1200</v>
      </c>
    </row>
    <row r="116" spans="1:9" x14ac:dyDescent="0.2">
      <c r="A116" t="s">
        <v>284</v>
      </c>
      <c r="B116">
        <v>99</v>
      </c>
      <c r="C116">
        <v>52</v>
      </c>
      <c r="D116">
        <v>15</v>
      </c>
      <c r="E116">
        <v>0</v>
      </c>
      <c r="F116">
        <v>3.33411012589931</v>
      </c>
      <c r="G116">
        <v>172</v>
      </c>
      <c r="H116">
        <v>10000</v>
      </c>
      <c r="I116" t="s">
        <v>1201</v>
      </c>
    </row>
    <row r="117" spans="1:9" x14ac:dyDescent="0.2">
      <c r="A117" t="s">
        <v>286</v>
      </c>
      <c r="B117">
        <v>100</v>
      </c>
      <c r="C117">
        <v>52</v>
      </c>
      <c r="D117">
        <v>16</v>
      </c>
      <c r="E117">
        <v>0</v>
      </c>
      <c r="F117">
        <v>3.3631578385829899</v>
      </c>
      <c r="G117">
        <v>517</v>
      </c>
      <c r="H117">
        <v>10000</v>
      </c>
      <c r="I117" t="s">
        <v>1202</v>
      </c>
    </row>
    <row r="118" spans="1:9" x14ac:dyDescent="0.2">
      <c r="A118" t="s">
        <v>288</v>
      </c>
      <c r="B118">
        <v>101</v>
      </c>
      <c r="C118">
        <v>53</v>
      </c>
      <c r="D118">
        <v>15</v>
      </c>
      <c r="E118">
        <v>0</v>
      </c>
      <c r="F118">
        <v>3.39186536520719</v>
      </c>
      <c r="G118">
        <v>975</v>
      </c>
      <c r="H118">
        <v>10000</v>
      </c>
      <c r="I118" t="s">
        <v>1203</v>
      </c>
    </row>
    <row r="119" spans="1:9" x14ac:dyDescent="0.2">
      <c r="A119" t="s">
        <v>290</v>
      </c>
      <c r="B119">
        <v>102</v>
      </c>
      <c r="C119">
        <v>54</v>
      </c>
      <c r="D119">
        <v>15</v>
      </c>
      <c r="E119">
        <v>0</v>
      </c>
      <c r="F119">
        <v>3.3813909962773301</v>
      </c>
      <c r="G119">
        <v>1043</v>
      </c>
      <c r="H119">
        <v>10000</v>
      </c>
      <c r="I119" t="s">
        <v>1204</v>
      </c>
    </row>
    <row r="120" spans="1:9" x14ac:dyDescent="0.2">
      <c r="A120" t="s">
        <v>292</v>
      </c>
      <c r="B120">
        <v>103</v>
      </c>
      <c r="C120">
        <v>34</v>
      </c>
      <c r="D120">
        <v>25</v>
      </c>
      <c r="E120">
        <v>0</v>
      </c>
      <c r="F120">
        <v>4.5142422467470098</v>
      </c>
      <c r="G120">
        <v>676</v>
      </c>
      <c r="H120">
        <v>10000</v>
      </c>
      <c r="I120" t="s">
        <v>1205</v>
      </c>
    </row>
    <row r="121" spans="1:9" x14ac:dyDescent="0.2">
      <c r="A121" t="s">
        <v>294</v>
      </c>
      <c r="B121">
        <v>104</v>
      </c>
      <c r="C121">
        <v>28</v>
      </c>
      <c r="D121">
        <v>29</v>
      </c>
      <c r="E121">
        <v>0</v>
      </c>
      <c r="F121">
        <v>4.5610111653804699</v>
      </c>
      <c r="G121">
        <v>316</v>
      </c>
      <c r="H121">
        <v>10000</v>
      </c>
      <c r="I121" t="s">
        <v>1206</v>
      </c>
    </row>
    <row r="122" spans="1:9" x14ac:dyDescent="0.2">
      <c r="A122" t="s">
        <v>296</v>
      </c>
      <c r="B122">
        <v>105</v>
      </c>
      <c r="C122">
        <v>54</v>
      </c>
      <c r="D122">
        <v>17</v>
      </c>
      <c r="E122">
        <v>0</v>
      </c>
      <c r="F122">
        <v>3.5575425550341602</v>
      </c>
      <c r="G122">
        <v>508</v>
      </c>
      <c r="H122">
        <v>10000</v>
      </c>
      <c r="I122" t="s">
        <v>1207</v>
      </c>
    </row>
    <row r="123" spans="1:9" x14ac:dyDescent="0.2">
      <c r="A123" t="s">
        <v>298</v>
      </c>
      <c r="B123">
        <v>106</v>
      </c>
      <c r="C123">
        <v>44</v>
      </c>
      <c r="D123">
        <v>21</v>
      </c>
      <c r="E123">
        <v>0</v>
      </c>
      <c r="F123">
        <v>4.17204073071479</v>
      </c>
      <c r="G123">
        <v>964</v>
      </c>
      <c r="H123">
        <v>10000</v>
      </c>
      <c r="I123" t="s">
        <v>1208</v>
      </c>
    </row>
    <row r="124" spans="1:9" x14ac:dyDescent="0.2">
      <c r="A124" t="s">
        <v>300</v>
      </c>
      <c r="B124">
        <v>107</v>
      </c>
      <c r="C124">
        <v>45</v>
      </c>
      <c r="D124">
        <v>21</v>
      </c>
      <c r="E124">
        <v>0</v>
      </c>
      <c r="F124">
        <v>4.2141593694686801</v>
      </c>
      <c r="G124">
        <v>883</v>
      </c>
      <c r="H124">
        <v>10000</v>
      </c>
      <c r="I124" t="s">
        <v>1209</v>
      </c>
    </row>
    <row r="125" spans="1:9" x14ac:dyDescent="0.2">
      <c r="A125" t="s">
        <v>302</v>
      </c>
      <c r="B125">
        <v>108</v>
      </c>
      <c r="C125">
        <v>55</v>
      </c>
      <c r="D125">
        <v>17</v>
      </c>
      <c r="E125">
        <v>0</v>
      </c>
      <c r="F125">
        <v>3.85464395582675</v>
      </c>
      <c r="G125">
        <v>429</v>
      </c>
      <c r="H125">
        <v>10000</v>
      </c>
      <c r="I125" t="s">
        <v>1210</v>
      </c>
    </row>
    <row r="126" spans="1:9" x14ac:dyDescent="0.2">
      <c r="A126" t="s">
        <v>304</v>
      </c>
      <c r="B126">
        <v>109</v>
      </c>
      <c r="C126">
        <v>37</v>
      </c>
      <c r="D126">
        <v>25</v>
      </c>
      <c r="E126">
        <v>0</v>
      </c>
      <c r="F126">
        <v>4.7638631165027601</v>
      </c>
      <c r="G126">
        <v>316</v>
      </c>
      <c r="H126">
        <v>10000</v>
      </c>
      <c r="I126" t="s">
        <v>1211</v>
      </c>
    </row>
    <row r="127" spans="1:9" x14ac:dyDescent="0.2">
      <c r="A127" t="s">
        <v>306</v>
      </c>
      <c r="B127">
        <v>110</v>
      </c>
      <c r="C127">
        <v>33</v>
      </c>
      <c r="D127">
        <v>28</v>
      </c>
      <c r="E127">
        <v>0</v>
      </c>
      <c r="F127">
        <v>4.98570616543293</v>
      </c>
      <c r="G127">
        <v>281</v>
      </c>
      <c r="H127">
        <v>10000</v>
      </c>
      <c r="I127" t="s">
        <v>1212</v>
      </c>
    </row>
    <row r="128" spans="1:9" x14ac:dyDescent="0.2">
      <c r="A128" t="s">
        <v>308</v>
      </c>
      <c r="B128">
        <v>111</v>
      </c>
      <c r="C128">
        <v>57</v>
      </c>
      <c r="D128">
        <v>17</v>
      </c>
      <c r="E128">
        <v>0</v>
      </c>
      <c r="F128">
        <v>3.8282014876604</v>
      </c>
      <c r="G128">
        <v>266</v>
      </c>
      <c r="H128">
        <v>10000</v>
      </c>
      <c r="I128" t="s">
        <v>1213</v>
      </c>
    </row>
    <row r="129" spans="1:9" x14ac:dyDescent="0.2">
      <c r="A129" t="s">
        <v>310</v>
      </c>
      <c r="B129">
        <v>112</v>
      </c>
      <c r="C129">
        <v>36</v>
      </c>
      <c r="D129">
        <v>27</v>
      </c>
      <c r="E129">
        <v>0</v>
      </c>
      <c r="F129">
        <v>4.8187214434146801</v>
      </c>
      <c r="G129">
        <v>120</v>
      </c>
      <c r="H129">
        <v>10000</v>
      </c>
      <c r="I129" t="s">
        <v>1214</v>
      </c>
    </row>
    <row r="130" spans="1:9" x14ac:dyDescent="0.2">
      <c r="A130" t="s">
        <v>312</v>
      </c>
      <c r="B130">
        <v>113</v>
      </c>
      <c r="C130">
        <v>26</v>
      </c>
      <c r="D130">
        <v>34</v>
      </c>
      <c r="E130">
        <v>0</v>
      </c>
      <c r="F130">
        <v>5.27932590991258</v>
      </c>
      <c r="G130">
        <v>178</v>
      </c>
      <c r="H130">
        <v>10000</v>
      </c>
      <c r="I130" t="s">
        <v>1215</v>
      </c>
    </row>
    <row r="131" spans="1:9" x14ac:dyDescent="0.2">
      <c r="A131" t="s">
        <v>314</v>
      </c>
      <c r="B131">
        <v>114</v>
      </c>
      <c r="C131">
        <v>27</v>
      </c>
      <c r="D131">
        <v>34</v>
      </c>
      <c r="E131">
        <v>0</v>
      </c>
      <c r="F131">
        <v>5.4268780276179296</v>
      </c>
      <c r="G131">
        <v>146</v>
      </c>
      <c r="H131">
        <v>10000</v>
      </c>
      <c r="I131" t="s">
        <v>1216</v>
      </c>
    </row>
    <row r="132" spans="1:9" x14ac:dyDescent="0.2">
      <c r="A132" t="s">
        <v>316</v>
      </c>
      <c r="B132">
        <v>115</v>
      </c>
      <c r="C132">
        <v>29</v>
      </c>
      <c r="D132">
        <v>33</v>
      </c>
      <c r="E132">
        <v>0</v>
      </c>
      <c r="F132">
        <v>5.5180937051773</v>
      </c>
      <c r="G132">
        <v>68</v>
      </c>
      <c r="H132">
        <v>10000</v>
      </c>
      <c r="I132" t="s">
        <v>1217</v>
      </c>
    </row>
    <row r="133" spans="1:9" x14ac:dyDescent="0.2">
      <c r="A133" t="s">
        <v>318</v>
      </c>
      <c r="B133">
        <v>116</v>
      </c>
      <c r="C133">
        <v>28</v>
      </c>
      <c r="D133">
        <v>34</v>
      </c>
      <c r="E133">
        <v>0</v>
      </c>
      <c r="F133">
        <v>5.6739276871085096</v>
      </c>
      <c r="G133">
        <v>76</v>
      </c>
      <c r="H133">
        <v>10000</v>
      </c>
      <c r="I133" t="s">
        <v>1218</v>
      </c>
    </row>
    <row r="134" spans="1:9" x14ac:dyDescent="0.2">
      <c r="A134" t="s">
        <v>320</v>
      </c>
      <c r="B134">
        <v>117</v>
      </c>
      <c r="C134">
        <v>29</v>
      </c>
      <c r="D134">
        <v>34</v>
      </c>
      <c r="E134">
        <v>0</v>
      </c>
      <c r="F134">
        <v>5.6514761298894802</v>
      </c>
      <c r="G134">
        <v>25</v>
      </c>
      <c r="H134">
        <v>10000</v>
      </c>
      <c r="I134" t="s">
        <v>1219</v>
      </c>
    </row>
    <row r="135" spans="1:9" x14ac:dyDescent="0.2">
      <c r="A135" t="s">
        <v>322</v>
      </c>
      <c r="B135">
        <v>118</v>
      </c>
      <c r="C135">
        <v>29</v>
      </c>
      <c r="D135">
        <v>35</v>
      </c>
      <c r="E135">
        <v>0</v>
      </c>
      <c r="F135">
        <v>5.8442282676696697</v>
      </c>
      <c r="G135">
        <v>95</v>
      </c>
      <c r="H135">
        <v>10000</v>
      </c>
      <c r="I135" t="s">
        <v>1220</v>
      </c>
    </row>
    <row r="136" spans="1:9" x14ac:dyDescent="0.2">
      <c r="A136" t="s">
        <v>324</v>
      </c>
      <c r="B136">
        <v>119</v>
      </c>
      <c r="C136">
        <v>28</v>
      </c>
      <c r="D136">
        <v>36</v>
      </c>
      <c r="E136">
        <v>0</v>
      </c>
      <c r="F136">
        <v>6.0344136357307399</v>
      </c>
      <c r="G136">
        <v>40</v>
      </c>
      <c r="H136">
        <v>10000</v>
      </c>
      <c r="I136" t="s">
        <v>1221</v>
      </c>
    </row>
    <row r="137" spans="1:9" x14ac:dyDescent="0.2">
      <c r="A137" t="s">
        <v>326</v>
      </c>
      <c r="B137">
        <v>120</v>
      </c>
      <c r="C137">
        <v>29</v>
      </c>
      <c r="D137">
        <v>36</v>
      </c>
      <c r="E137">
        <v>0</v>
      </c>
      <c r="F137">
        <v>5.7072931751608804</v>
      </c>
      <c r="G137">
        <v>49</v>
      </c>
      <c r="H137">
        <v>10000</v>
      </c>
      <c r="I137" t="s">
        <v>1222</v>
      </c>
    </row>
    <row r="138" spans="1:9" x14ac:dyDescent="0.2">
      <c r="A138" t="s">
        <v>328</v>
      </c>
      <c r="B138">
        <v>121</v>
      </c>
      <c r="C138">
        <v>29</v>
      </c>
      <c r="D138">
        <v>37</v>
      </c>
      <c r="E138">
        <v>0</v>
      </c>
      <c r="F138">
        <v>6.1828569993376696</v>
      </c>
      <c r="G138">
        <v>133</v>
      </c>
      <c r="H138">
        <v>10000</v>
      </c>
      <c r="I138" t="s">
        <v>1223</v>
      </c>
    </row>
    <row r="139" spans="1:9" x14ac:dyDescent="0.2">
      <c r="A139" t="s">
        <v>330</v>
      </c>
      <c r="B139">
        <v>122</v>
      </c>
      <c r="C139">
        <v>47</v>
      </c>
      <c r="D139">
        <v>25</v>
      </c>
      <c r="E139">
        <v>0</v>
      </c>
      <c r="F139">
        <v>5.6091217547655097</v>
      </c>
      <c r="G139">
        <v>167</v>
      </c>
      <c r="H139">
        <v>10000</v>
      </c>
      <c r="I139" t="s">
        <v>1224</v>
      </c>
    </row>
    <row r="140" spans="1:9" x14ac:dyDescent="0.2">
      <c r="A140" t="s">
        <v>332</v>
      </c>
      <c r="B140">
        <v>123</v>
      </c>
      <c r="C140">
        <v>48</v>
      </c>
      <c r="D140">
        <v>25</v>
      </c>
      <c r="E140">
        <v>0</v>
      </c>
      <c r="F140">
        <v>5.6235537156462598</v>
      </c>
      <c r="G140">
        <v>178</v>
      </c>
      <c r="H140">
        <v>10000</v>
      </c>
      <c r="I140" t="s">
        <v>1225</v>
      </c>
    </row>
    <row r="141" spans="1:9" x14ac:dyDescent="0.2">
      <c r="A141" t="s">
        <v>334</v>
      </c>
      <c r="B141">
        <v>124</v>
      </c>
      <c r="C141">
        <v>49</v>
      </c>
      <c r="D141">
        <v>25</v>
      </c>
      <c r="E141">
        <v>0</v>
      </c>
      <c r="F141">
        <v>5.6024512648582396</v>
      </c>
      <c r="G141">
        <v>207</v>
      </c>
      <c r="H141">
        <v>10000</v>
      </c>
      <c r="I141" t="s">
        <v>1226</v>
      </c>
    </row>
    <row r="142" spans="1:9" x14ac:dyDescent="0.2">
      <c r="A142" t="s">
        <v>336</v>
      </c>
      <c r="B142">
        <v>125</v>
      </c>
      <c r="C142">
        <v>50</v>
      </c>
      <c r="D142">
        <v>25</v>
      </c>
      <c r="E142">
        <v>0</v>
      </c>
      <c r="F142">
        <v>5.7536639422178197</v>
      </c>
      <c r="G142">
        <v>197</v>
      </c>
      <c r="H142">
        <v>10000</v>
      </c>
      <c r="I142" t="s">
        <v>1227</v>
      </c>
    </row>
    <row r="143" spans="1:9" x14ac:dyDescent="0.2">
      <c r="A143" t="s">
        <v>338</v>
      </c>
      <c r="B143">
        <v>126</v>
      </c>
      <c r="C143">
        <v>50</v>
      </c>
      <c r="D143">
        <v>26</v>
      </c>
      <c r="E143">
        <v>0</v>
      </c>
      <c r="F143">
        <v>6.2010701149702001</v>
      </c>
      <c r="G143">
        <v>537</v>
      </c>
      <c r="H143">
        <v>10000</v>
      </c>
      <c r="I143" t="s">
        <v>1228</v>
      </c>
    </row>
    <row r="144" spans="1:9" x14ac:dyDescent="0.2">
      <c r="A144" t="s">
        <v>340</v>
      </c>
      <c r="B144">
        <v>127</v>
      </c>
      <c r="C144">
        <v>30</v>
      </c>
      <c r="D144">
        <v>37</v>
      </c>
      <c r="E144">
        <v>0</v>
      </c>
      <c r="F144">
        <v>8.6293798312544805</v>
      </c>
      <c r="G144">
        <v>114</v>
      </c>
      <c r="H144">
        <v>10000</v>
      </c>
      <c r="I144" t="s">
        <v>1229</v>
      </c>
    </row>
    <row r="145" spans="1:9" x14ac:dyDescent="0.2">
      <c r="A145" t="s">
        <v>342</v>
      </c>
      <c r="B145">
        <v>128</v>
      </c>
      <c r="C145">
        <v>44</v>
      </c>
      <c r="D145">
        <v>29</v>
      </c>
      <c r="E145">
        <v>0</v>
      </c>
      <c r="F145">
        <v>6.2861281111836398</v>
      </c>
      <c r="G145">
        <v>476</v>
      </c>
      <c r="H145">
        <v>10000</v>
      </c>
      <c r="I145" t="s">
        <v>1230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9D7F8-23C9-2947-A9D6-AC426EEA0847}">
  <dimension ref="A1:I152"/>
  <sheetViews>
    <sheetView workbookViewId="0">
      <selection sqref="A1:I153"/>
    </sheetView>
  </sheetViews>
  <sheetFormatPr baseColWidth="10" defaultRowHeight="16" x14ac:dyDescent="0.2"/>
  <sheetData>
    <row r="1" spans="1:1" x14ac:dyDescent="0.2">
      <c r="A1" t="s">
        <v>70</v>
      </c>
    </row>
    <row r="2" spans="1:1" x14ac:dyDescent="0.2">
      <c r="A2" t="s">
        <v>71</v>
      </c>
    </row>
    <row r="3" spans="1:1" x14ac:dyDescent="0.2">
      <c r="A3" t="s">
        <v>72</v>
      </c>
    </row>
    <row r="4" spans="1:1" x14ac:dyDescent="0.2">
      <c r="A4" t="s">
        <v>73</v>
      </c>
    </row>
    <row r="5" spans="1:1" x14ac:dyDescent="0.2">
      <c r="A5" t="s">
        <v>74</v>
      </c>
    </row>
    <row r="6" spans="1:1" x14ac:dyDescent="0.2">
      <c r="A6" t="s">
        <v>1116</v>
      </c>
    </row>
    <row r="7" spans="1:1" x14ac:dyDescent="0.2">
      <c r="A7" t="s">
        <v>76</v>
      </c>
    </row>
    <row r="8" spans="1:1" x14ac:dyDescent="0.2">
      <c r="A8" t="s">
        <v>77</v>
      </c>
    </row>
    <row r="9" spans="1:1" x14ac:dyDescent="0.2">
      <c r="A9" t="s">
        <v>1253</v>
      </c>
    </row>
    <row r="10" spans="1:1" x14ac:dyDescent="0.2">
      <c r="A10" t="s">
        <v>1254</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1392</v>
      </c>
    </row>
    <row r="17" spans="1:9" x14ac:dyDescent="0.2">
      <c r="A17" t="s">
        <v>1256</v>
      </c>
    </row>
    <row r="18" spans="1:9" x14ac:dyDescent="0.2">
      <c r="A18" t="s">
        <v>83</v>
      </c>
    </row>
    <row r="19" spans="1:9" x14ac:dyDescent="0.2">
      <c r="A19" t="s">
        <v>87</v>
      </c>
    </row>
    <row r="20" spans="1:9" x14ac:dyDescent="0.2">
      <c r="A20" t="s">
        <v>88</v>
      </c>
    </row>
    <row r="21" spans="1:9" x14ac:dyDescent="0.2">
      <c r="A21" t="s">
        <v>89</v>
      </c>
    </row>
    <row r="22" spans="1:9" x14ac:dyDescent="0.2">
      <c r="A22" t="s">
        <v>1408</v>
      </c>
    </row>
    <row r="23" spans="1:9" x14ac:dyDescent="0.2">
      <c r="A23" t="s">
        <v>1393</v>
      </c>
    </row>
    <row r="24" spans="1:9" x14ac:dyDescent="0.2">
      <c r="A24" t="s">
        <v>1394</v>
      </c>
    </row>
    <row r="25" spans="1:9" x14ac:dyDescent="0.2">
      <c r="A25" t="s">
        <v>1395</v>
      </c>
    </row>
    <row r="26" spans="1:9" x14ac:dyDescent="0.2">
      <c r="A26" t="s">
        <v>1396</v>
      </c>
    </row>
    <row r="27" spans="1:9" x14ac:dyDescent="0.2">
      <c r="A27" t="s">
        <v>730</v>
      </c>
    </row>
    <row r="28" spans="1:9" x14ac:dyDescent="0.2">
      <c r="A28" t="s">
        <v>93</v>
      </c>
    </row>
    <row r="29" spans="1:9" x14ac:dyDescent="0.2">
      <c r="A29" t="s">
        <v>1409</v>
      </c>
    </row>
    <row r="30" spans="1:9" x14ac:dyDescent="0.2">
      <c r="A30" t="s">
        <v>95</v>
      </c>
    </row>
    <row r="31" spans="1:9" x14ac:dyDescent="0.2">
      <c r="A31" t="s">
        <v>96</v>
      </c>
      <c r="B31" t="s">
        <v>61</v>
      </c>
      <c r="C31" t="s">
        <v>97</v>
      </c>
      <c r="D31" t="s">
        <v>98</v>
      </c>
      <c r="E31" t="s">
        <v>99</v>
      </c>
      <c r="F31" t="s">
        <v>100</v>
      </c>
      <c r="G31" t="s">
        <v>58</v>
      </c>
      <c r="H31" t="s">
        <v>59</v>
      </c>
      <c r="I31" t="s">
        <v>101</v>
      </c>
    </row>
    <row r="32" spans="1:9" x14ac:dyDescent="0.2">
      <c r="A32" t="s">
        <v>102</v>
      </c>
      <c r="B32">
        <v>5</v>
      </c>
      <c r="C32">
        <v>3</v>
      </c>
      <c r="D32">
        <v>2</v>
      </c>
      <c r="E32">
        <v>0</v>
      </c>
      <c r="F32">
        <v>0.71865071542560999</v>
      </c>
      <c r="G32">
        <v>10000</v>
      </c>
      <c r="H32">
        <v>10000</v>
      </c>
      <c r="I32" t="s">
        <v>1402</v>
      </c>
    </row>
    <row r="33" spans="1:9" x14ac:dyDescent="0.2">
      <c r="A33" t="s">
        <v>104</v>
      </c>
      <c r="B33">
        <v>6</v>
      </c>
      <c r="C33">
        <v>3</v>
      </c>
      <c r="D33">
        <v>3</v>
      </c>
      <c r="E33">
        <v>0</v>
      </c>
      <c r="F33">
        <v>0.72665463667362895</v>
      </c>
      <c r="G33">
        <v>10000</v>
      </c>
      <c r="H33">
        <v>10000</v>
      </c>
      <c r="I33" t="s">
        <v>1403</v>
      </c>
    </row>
    <row r="34" spans="1:9" x14ac:dyDescent="0.2">
      <c r="A34" t="s">
        <v>106</v>
      </c>
      <c r="B34">
        <v>7</v>
      </c>
      <c r="C34">
        <v>3</v>
      </c>
      <c r="D34">
        <v>4</v>
      </c>
      <c r="E34">
        <v>0</v>
      </c>
      <c r="F34">
        <v>0.758124397136271</v>
      </c>
      <c r="G34">
        <v>10000</v>
      </c>
      <c r="H34">
        <v>10000</v>
      </c>
      <c r="I34" t="s">
        <v>1404</v>
      </c>
    </row>
    <row r="35" spans="1:9" x14ac:dyDescent="0.2">
      <c r="A35" t="s">
        <v>108</v>
      </c>
      <c r="B35">
        <v>8</v>
      </c>
      <c r="C35">
        <v>3</v>
      </c>
      <c r="D35">
        <v>4</v>
      </c>
      <c r="E35">
        <v>0</v>
      </c>
      <c r="F35">
        <v>0.77960081398487002</v>
      </c>
      <c r="G35">
        <v>10000</v>
      </c>
      <c r="H35">
        <v>10000</v>
      </c>
      <c r="I35" t="s">
        <v>1404</v>
      </c>
    </row>
    <row r="36" spans="1:9" x14ac:dyDescent="0.2">
      <c r="A36" t="s">
        <v>110</v>
      </c>
      <c r="B36">
        <v>9</v>
      </c>
      <c r="C36">
        <v>5</v>
      </c>
      <c r="D36">
        <v>3</v>
      </c>
      <c r="E36">
        <v>0</v>
      </c>
      <c r="F36">
        <v>0.75405388418584995</v>
      </c>
      <c r="G36">
        <v>9194</v>
      </c>
      <c r="H36">
        <v>10000</v>
      </c>
      <c r="I36" t="s">
        <v>1410</v>
      </c>
    </row>
    <row r="37" spans="1:9" x14ac:dyDescent="0.2">
      <c r="A37" t="s">
        <v>112</v>
      </c>
      <c r="B37">
        <v>10</v>
      </c>
      <c r="C37">
        <v>3</v>
      </c>
      <c r="D37">
        <v>5</v>
      </c>
      <c r="E37">
        <v>0</v>
      </c>
      <c r="F37">
        <v>0.79541027173399903</v>
      </c>
      <c r="G37">
        <v>10000</v>
      </c>
      <c r="H37">
        <v>10000</v>
      </c>
      <c r="I37" t="s">
        <v>1405</v>
      </c>
    </row>
    <row r="38" spans="1:9" x14ac:dyDescent="0.2">
      <c r="A38" t="s">
        <v>114</v>
      </c>
      <c r="B38">
        <v>11</v>
      </c>
      <c r="C38">
        <v>3</v>
      </c>
      <c r="D38">
        <v>6</v>
      </c>
      <c r="E38">
        <v>0</v>
      </c>
      <c r="F38">
        <v>0.83369372040033296</v>
      </c>
      <c r="G38">
        <v>10000</v>
      </c>
      <c r="H38">
        <v>10000</v>
      </c>
      <c r="I38" t="s">
        <v>1406</v>
      </c>
    </row>
    <row r="39" spans="1:9" x14ac:dyDescent="0.2">
      <c r="A39" t="s">
        <v>116</v>
      </c>
      <c r="B39">
        <v>12</v>
      </c>
      <c r="C39">
        <v>3</v>
      </c>
      <c r="D39">
        <v>6</v>
      </c>
      <c r="E39">
        <v>0</v>
      </c>
      <c r="F39">
        <v>0.84820074308663596</v>
      </c>
      <c r="G39">
        <v>10000</v>
      </c>
      <c r="H39">
        <v>10000</v>
      </c>
      <c r="I39" t="s">
        <v>1406</v>
      </c>
    </row>
    <row r="40" spans="1:9" x14ac:dyDescent="0.2">
      <c r="A40" t="s">
        <v>118</v>
      </c>
      <c r="B40">
        <v>13</v>
      </c>
      <c r="C40">
        <v>5</v>
      </c>
      <c r="D40">
        <v>5</v>
      </c>
      <c r="E40">
        <v>0</v>
      </c>
      <c r="F40">
        <v>0.84561738371849005</v>
      </c>
      <c r="G40">
        <v>9854</v>
      </c>
      <c r="H40">
        <v>10000</v>
      </c>
      <c r="I40" t="s">
        <v>1411</v>
      </c>
    </row>
    <row r="41" spans="1:9" x14ac:dyDescent="0.2">
      <c r="A41" t="s">
        <v>120</v>
      </c>
      <c r="B41">
        <v>14</v>
      </c>
      <c r="C41">
        <v>6</v>
      </c>
      <c r="D41">
        <v>5</v>
      </c>
      <c r="E41">
        <v>0</v>
      </c>
      <c r="F41">
        <v>0.86663134675472897</v>
      </c>
      <c r="G41">
        <v>9882</v>
      </c>
      <c r="H41">
        <v>10000</v>
      </c>
      <c r="I41" t="s">
        <v>1412</v>
      </c>
    </row>
    <row r="42" spans="1:9" x14ac:dyDescent="0.2">
      <c r="A42" t="s">
        <v>122</v>
      </c>
      <c r="B42">
        <v>15</v>
      </c>
      <c r="C42">
        <v>7</v>
      </c>
      <c r="D42">
        <v>5</v>
      </c>
      <c r="E42">
        <v>0</v>
      </c>
      <c r="F42">
        <v>0.90083430055528801</v>
      </c>
      <c r="G42">
        <v>9988</v>
      </c>
      <c r="H42">
        <v>10000</v>
      </c>
      <c r="I42" t="s">
        <v>1413</v>
      </c>
    </row>
    <row r="43" spans="1:9" x14ac:dyDescent="0.2">
      <c r="A43" t="s">
        <v>124</v>
      </c>
      <c r="B43">
        <v>16</v>
      </c>
      <c r="C43">
        <v>8</v>
      </c>
      <c r="D43">
        <v>5</v>
      </c>
      <c r="E43">
        <v>0</v>
      </c>
      <c r="F43">
        <v>0.92428915575146597</v>
      </c>
      <c r="G43">
        <v>9998</v>
      </c>
      <c r="H43">
        <v>10000</v>
      </c>
      <c r="I43" t="s">
        <v>1414</v>
      </c>
    </row>
    <row r="44" spans="1:9" x14ac:dyDescent="0.2">
      <c r="A44" t="s">
        <v>126</v>
      </c>
      <c r="B44">
        <v>20</v>
      </c>
      <c r="C44">
        <v>5</v>
      </c>
      <c r="D44">
        <v>9</v>
      </c>
      <c r="E44">
        <v>0</v>
      </c>
      <c r="F44">
        <v>0.97183930967003096</v>
      </c>
      <c r="G44">
        <v>9567</v>
      </c>
      <c r="H44">
        <v>10000</v>
      </c>
      <c r="I44" t="s">
        <v>1415</v>
      </c>
    </row>
    <row r="45" spans="1:9" x14ac:dyDescent="0.2">
      <c r="A45" t="s">
        <v>128</v>
      </c>
      <c r="B45">
        <v>21</v>
      </c>
      <c r="C45">
        <v>5</v>
      </c>
      <c r="D45">
        <v>10</v>
      </c>
      <c r="E45">
        <v>0</v>
      </c>
      <c r="F45">
        <v>1.08169533777982</v>
      </c>
      <c r="G45">
        <v>9985</v>
      </c>
      <c r="H45">
        <v>10000</v>
      </c>
      <c r="I45" t="s">
        <v>1416</v>
      </c>
    </row>
    <row r="46" spans="1:9" x14ac:dyDescent="0.2">
      <c r="A46" t="s">
        <v>130</v>
      </c>
      <c r="B46">
        <v>22</v>
      </c>
      <c r="C46">
        <v>6</v>
      </c>
      <c r="D46">
        <v>9</v>
      </c>
      <c r="E46">
        <v>0</v>
      </c>
      <c r="F46">
        <v>1.0187999503687</v>
      </c>
      <c r="G46">
        <v>9576</v>
      </c>
      <c r="H46">
        <v>10000</v>
      </c>
      <c r="I46" t="s">
        <v>1417</v>
      </c>
    </row>
    <row r="47" spans="1:9" x14ac:dyDescent="0.2">
      <c r="A47" t="s">
        <v>132</v>
      </c>
      <c r="B47">
        <v>23</v>
      </c>
      <c r="C47">
        <v>7</v>
      </c>
      <c r="D47">
        <v>9</v>
      </c>
      <c r="E47">
        <v>0</v>
      </c>
      <c r="F47">
        <v>1.0461937710642799</v>
      </c>
      <c r="G47">
        <v>9701</v>
      </c>
      <c r="H47">
        <v>10000</v>
      </c>
      <c r="I47" t="s">
        <v>1418</v>
      </c>
    </row>
    <row r="48" spans="1:9" x14ac:dyDescent="0.2">
      <c r="A48" t="s">
        <v>134</v>
      </c>
      <c r="B48">
        <v>24</v>
      </c>
      <c r="C48">
        <v>3</v>
      </c>
      <c r="D48">
        <v>13</v>
      </c>
      <c r="E48">
        <v>0</v>
      </c>
      <c r="F48">
        <v>1.0415456807240799</v>
      </c>
      <c r="G48">
        <v>9304</v>
      </c>
      <c r="H48">
        <v>10000</v>
      </c>
      <c r="I48" t="s">
        <v>1419</v>
      </c>
    </row>
    <row r="49" spans="1:9" x14ac:dyDescent="0.2">
      <c r="A49" t="s">
        <v>136</v>
      </c>
      <c r="B49">
        <v>25</v>
      </c>
      <c r="C49">
        <v>15</v>
      </c>
      <c r="D49">
        <v>5</v>
      </c>
      <c r="E49">
        <v>0</v>
      </c>
      <c r="F49">
        <v>1.06333400309085</v>
      </c>
      <c r="G49">
        <v>9749</v>
      </c>
      <c r="H49">
        <v>10000</v>
      </c>
      <c r="I49" t="s">
        <v>1420</v>
      </c>
    </row>
    <row r="50" spans="1:9" x14ac:dyDescent="0.2">
      <c r="A50" t="s">
        <v>138</v>
      </c>
      <c r="B50">
        <v>26</v>
      </c>
      <c r="C50">
        <v>9</v>
      </c>
      <c r="D50">
        <v>9</v>
      </c>
      <c r="E50">
        <v>0</v>
      </c>
      <c r="F50">
        <v>1.12526394613087</v>
      </c>
      <c r="G50">
        <v>9933</v>
      </c>
      <c r="H50">
        <v>10000</v>
      </c>
      <c r="I50" t="s">
        <v>1421</v>
      </c>
    </row>
    <row r="51" spans="1:9" x14ac:dyDescent="0.2">
      <c r="A51" t="s">
        <v>140</v>
      </c>
      <c r="B51">
        <v>27</v>
      </c>
      <c r="C51">
        <v>10</v>
      </c>
      <c r="D51">
        <v>9</v>
      </c>
      <c r="E51">
        <v>0</v>
      </c>
      <c r="F51">
        <v>1.16153620835393</v>
      </c>
      <c r="G51">
        <v>9957</v>
      </c>
      <c r="H51">
        <v>10000</v>
      </c>
      <c r="I51" t="s">
        <v>1422</v>
      </c>
    </row>
    <row r="52" spans="1:9" x14ac:dyDescent="0.2">
      <c r="A52" t="s">
        <v>142</v>
      </c>
      <c r="B52">
        <v>28</v>
      </c>
      <c r="C52">
        <v>18</v>
      </c>
      <c r="D52">
        <v>5</v>
      </c>
      <c r="E52">
        <v>0</v>
      </c>
      <c r="F52">
        <v>1.14312657341361</v>
      </c>
      <c r="G52">
        <v>9987</v>
      </c>
      <c r="H52">
        <v>10000</v>
      </c>
      <c r="I52" t="s">
        <v>1423</v>
      </c>
    </row>
    <row r="53" spans="1:9" x14ac:dyDescent="0.2">
      <c r="A53" t="s">
        <v>144</v>
      </c>
      <c r="B53">
        <v>29</v>
      </c>
      <c r="C53">
        <v>6</v>
      </c>
      <c r="D53">
        <v>13</v>
      </c>
      <c r="E53">
        <v>0</v>
      </c>
      <c r="F53">
        <v>1.17815053462982</v>
      </c>
      <c r="G53">
        <v>7585</v>
      </c>
      <c r="H53">
        <v>10000</v>
      </c>
      <c r="I53" t="s">
        <v>1424</v>
      </c>
    </row>
    <row r="54" spans="1:9" x14ac:dyDescent="0.2">
      <c r="A54" t="s">
        <v>146</v>
      </c>
      <c r="B54">
        <v>30</v>
      </c>
      <c r="C54">
        <v>6</v>
      </c>
      <c r="D54">
        <v>14</v>
      </c>
      <c r="E54">
        <v>0</v>
      </c>
      <c r="F54">
        <v>1.2241698382422299</v>
      </c>
      <c r="G54">
        <v>9686</v>
      </c>
      <c r="H54">
        <v>10000</v>
      </c>
      <c r="I54" t="s">
        <v>1425</v>
      </c>
    </row>
    <row r="55" spans="1:9" x14ac:dyDescent="0.2">
      <c r="A55" t="s">
        <v>148</v>
      </c>
      <c r="B55">
        <v>31</v>
      </c>
      <c r="C55">
        <v>3</v>
      </c>
      <c r="D55">
        <v>17</v>
      </c>
      <c r="E55">
        <v>0</v>
      </c>
      <c r="F55">
        <v>1.2025557830929701</v>
      </c>
      <c r="G55">
        <v>9244</v>
      </c>
      <c r="H55">
        <v>10000</v>
      </c>
      <c r="I55" t="s">
        <v>1426</v>
      </c>
    </row>
    <row r="56" spans="1:9" x14ac:dyDescent="0.2">
      <c r="A56" t="s">
        <v>150</v>
      </c>
      <c r="B56">
        <v>32</v>
      </c>
      <c r="C56">
        <v>8</v>
      </c>
      <c r="D56">
        <v>13</v>
      </c>
      <c r="E56">
        <v>0</v>
      </c>
      <c r="F56">
        <v>1.30315696913748</v>
      </c>
      <c r="G56">
        <v>9935</v>
      </c>
      <c r="H56">
        <v>10000</v>
      </c>
      <c r="I56" t="s">
        <v>1427</v>
      </c>
    </row>
    <row r="57" spans="1:9" x14ac:dyDescent="0.2">
      <c r="A57" t="s">
        <v>152</v>
      </c>
      <c r="B57">
        <v>33</v>
      </c>
      <c r="C57">
        <v>18</v>
      </c>
      <c r="D57">
        <v>7</v>
      </c>
      <c r="E57">
        <v>0</v>
      </c>
      <c r="F57">
        <v>1.3025953825563099</v>
      </c>
      <c r="G57">
        <v>6465</v>
      </c>
      <c r="H57">
        <v>10000</v>
      </c>
      <c r="I57" t="s">
        <v>1428</v>
      </c>
    </row>
    <row r="58" spans="1:9" x14ac:dyDescent="0.2">
      <c r="A58" t="s">
        <v>154</v>
      </c>
      <c r="B58">
        <v>34</v>
      </c>
      <c r="C58">
        <v>4</v>
      </c>
      <c r="D58">
        <v>17</v>
      </c>
      <c r="E58">
        <v>0</v>
      </c>
      <c r="F58">
        <v>1.2718675984069701</v>
      </c>
      <c r="G58">
        <v>8310</v>
      </c>
      <c r="H58">
        <v>10000</v>
      </c>
      <c r="I58" t="s">
        <v>1429</v>
      </c>
    </row>
    <row r="59" spans="1:9" x14ac:dyDescent="0.2">
      <c r="A59" t="s">
        <v>156</v>
      </c>
      <c r="B59">
        <v>35</v>
      </c>
      <c r="C59">
        <v>20</v>
      </c>
      <c r="D59">
        <v>7</v>
      </c>
      <c r="E59">
        <v>0</v>
      </c>
      <c r="F59">
        <v>1.25507182907313</v>
      </c>
      <c r="G59">
        <v>9510</v>
      </c>
      <c r="H59">
        <v>10000</v>
      </c>
      <c r="I59" t="s">
        <v>1430</v>
      </c>
    </row>
    <row r="60" spans="1:9" x14ac:dyDescent="0.2">
      <c r="A60" t="s">
        <v>158</v>
      </c>
      <c r="B60">
        <v>36</v>
      </c>
      <c r="C60">
        <v>5</v>
      </c>
      <c r="D60">
        <v>17</v>
      </c>
      <c r="E60">
        <v>0</v>
      </c>
      <c r="F60">
        <v>1.3571297265589199</v>
      </c>
      <c r="G60">
        <v>9243</v>
      </c>
      <c r="H60">
        <v>10000</v>
      </c>
      <c r="I60" t="s">
        <v>1431</v>
      </c>
    </row>
    <row r="61" spans="1:9" x14ac:dyDescent="0.2">
      <c r="A61" t="s">
        <v>160</v>
      </c>
      <c r="B61">
        <v>37</v>
      </c>
      <c r="C61">
        <v>6</v>
      </c>
      <c r="D61">
        <v>17</v>
      </c>
      <c r="E61">
        <v>0</v>
      </c>
      <c r="F61">
        <v>1.38959992583841</v>
      </c>
      <c r="G61">
        <v>8188</v>
      </c>
      <c r="H61">
        <v>10000</v>
      </c>
      <c r="I61" t="s">
        <v>1432</v>
      </c>
    </row>
    <row r="62" spans="1:9" x14ac:dyDescent="0.2">
      <c r="A62" t="s">
        <v>162</v>
      </c>
      <c r="B62">
        <v>38</v>
      </c>
      <c r="C62">
        <v>3</v>
      </c>
      <c r="D62">
        <v>21</v>
      </c>
      <c r="E62">
        <v>0</v>
      </c>
      <c r="F62">
        <v>1.3754872800782301</v>
      </c>
      <c r="G62">
        <v>9187</v>
      </c>
      <c r="H62">
        <v>10000</v>
      </c>
      <c r="I62" t="s">
        <v>1433</v>
      </c>
    </row>
    <row r="63" spans="1:9" x14ac:dyDescent="0.2">
      <c r="A63" t="s">
        <v>164</v>
      </c>
      <c r="B63">
        <v>39</v>
      </c>
      <c r="C63">
        <v>7</v>
      </c>
      <c r="D63">
        <v>17</v>
      </c>
      <c r="E63">
        <v>0</v>
      </c>
      <c r="F63">
        <v>1.49489397648721</v>
      </c>
      <c r="G63">
        <v>9563</v>
      </c>
      <c r="H63">
        <v>10000</v>
      </c>
      <c r="I63" t="s">
        <v>1407</v>
      </c>
    </row>
    <row r="64" spans="1:9" x14ac:dyDescent="0.2">
      <c r="A64" t="s">
        <v>166</v>
      </c>
      <c r="B64">
        <v>40</v>
      </c>
      <c r="C64">
        <v>13</v>
      </c>
      <c r="D64">
        <v>13</v>
      </c>
      <c r="E64">
        <v>0</v>
      </c>
      <c r="F64">
        <v>1.4756115134805401</v>
      </c>
      <c r="G64">
        <v>9602</v>
      </c>
      <c r="H64">
        <v>10000</v>
      </c>
      <c r="I64" t="s">
        <v>1434</v>
      </c>
    </row>
    <row r="65" spans="1:9" x14ac:dyDescent="0.2">
      <c r="A65" t="s">
        <v>168</v>
      </c>
      <c r="B65">
        <v>41</v>
      </c>
      <c r="C65">
        <v>8</v>
      </c>
      <c r="D65">
        <v>17</v>
      </c>
      <c r="E65">
        <v>0</v>
      </c>
      <c r="F65">
        <v>1.5390508566051699</v>
      </c>
      <c r="G65">
        <v>9351</v>
      </c>
      <c r="H65">
        <v>10000</v>
      </c>
      <c r="I65" t="s">
        <v>1435</v>
      </c>
    </row>
    <row r="66" spans="1:9" x14ac:dyDescent="0.2">
      <c r="A66" t="s">
        <v>170</v>
      </c>
      <c r="B66">
        <v>42</v>
      </c>
      <c r="C66">
        <v>9</v>
      </c>
      <c r="D66">
        <v>17</v>
      </c>
      <c r="E66">
        <v>0</v>
      </c>
      <c r="F66">
        <v>1.5938838617876101</v>
      </c>
      <c r="G66">
        <v>9784</v>
      </c>
      <c r="H66">
        <v>10000</v>
      </c>
      <c r="I66" t="s">
        <v>1436</v>
      </c>
    </row>
    <row r="67" spans="1:9" x14ac:dyDescent="0.2">
      <c r="A67" t="s">
        <v>172</v>
      </c>
      <c r="B67">
        <v>43</v>
      </c>
      <c r="C67">
        <v>22</v>
      </c>
      <c r="D67">
        <v>9</v>
      </c>
      <c r="E67">
        <v>0</v>
      </c>
      <c r="F67">
        <v>1.4254927691072199</v>
      </c>
      <c r="G67">
        <v>7398</v>
      </c>
      <c r="H67">
        <v>10000</v>
      </c>
      <c r="I67" t="s">
        <v>1437</v>
      </c>
    </row>
    <row r="68" spans="1:9" x14ac:dyDescent="0.2">
      <c r="A68" t="s">
        <v>174</v>
      </c>
      <c r="B68">
        <v>44</v>
      </c>
      <c r="C68">
        <v>23</v>
      </c>
      <c r="D68">
        <v>9</v>
      </c>
      <c r="E68">
        <v>0</v>
      </c>
      <c r="F68">
        <v>1.4287149542942601</v>
      </c>
      <c r="G68">
        <v>7495</v>
      </c>
      <c r="H68">
        <v>10000</v>
      </c>
      <c r="I68" t="s">
        <v>1438</v>
      </c>
    </row>
    <row r="69" spans="1:9" x14ac:dyDescent="0.2">
      <c r="A69" t="s">
        <v>176</v>
      </c>
      <c r="B69">
        <v>45</v>
      </c>
      <c r="C69">
        <v>24</v>
      </c>
      <c r="D69">
        <v>9</v>
      </c>
      <c r="E69">
        <v>0</v>
      </c>
      <c r="F69">
        <v>1.4582311352714801</v>
      </c>
      <c r="G69">
        <v>7662</v>
      </c>
      <c r="H69">
        <v>10000</v>
      </c>
      <c r="I69" t="s">
        <v>1439</v>
      </c>
    </row>
    <row r="70" spans="1:9" x14ac:dyDescent="0.2">
      <c r="A70" t="s">
        <v>178</v>
      </c>
      <c r="B70">
        <v>46</v>
      </c>
      <c r="C70">
        <v>15</v>
      </c>
      <c r="D70">
        <v>15</v>
      </c>
      <c r="E70">
        <v>0</v>
      </c>
      <c r="F70">
        <v>1.7970878165215201</v>
      </c>
      <c r="G70">
        <v>8596</v>
      </c>
      <c r="H70">
        <v>10000</v>
      </c>
      <c r="I70" t="s">
        <v>1440</v>
      </c>
    </row>
    <row r="71" spans="1:9" x14ac:dyDescent="0.2">
      <c r="A71" t="s">
        <v>180</v>
      </c>
      <c r="B71">
        <v>47</v>
      </c>
      <c r="C71">
        <v>25</v>
      </c>
      <c r="D71">
        <v>9</v>
      </c>
      <c r="E71">
        <v>0</v>
      </c>
      <c r="F71">
        <v>1.5131366383284299</v>
      </c>
      <c r="G71">
        <v>8049</v>
      </c>
      <c r="H71">
        <v>10000</v>
      </c>
      <c r="I71" t="s">
        <v>1441</v>
      </c>
    </row>
    <row r="72" spans="1:9" x14ac:dyDescent="0.2">
      <c r="A72" t="s">
        <v>182</v>
      </c>
      <c r="B72">
        <v>48</v>
      </c>
      <c r="C72">
        <v>26</v>
      </c>
      <c r="D72">
        <v>9</v>
      </c>
      <c r="E72">
        <v>0</v>
      </c>
      <c r="F72">
        <v>1.5013753371313201</v>
      </c>
      <c r="G72">
        <v>8368</v>
      </c>
      <c r="H72">
        <v>10000</v>
      </c>
      <c r="I72" t="s">
        <v>1442</v>
      </c>
    </row>
    <row r="73" spans="1:9" x14ac:dyDescent="0.2">
      <c r="A73" t="s">
        <v>184</v>
      </c>
      <c r="B73">
        <v>49</v>
      </c>
      <c r="C73">
        <v>4</v>
      </c>
      <c r="D73">
        <v>25</v>
      </c>
      <c r="E73">
        <v>0</v>
      </c>
      <c r="F73">
        <v>1.6768594151362699</v>
      </c>
      <c r="G73">
        <v>8193</v>
      </c>
      <c r="H73">
        <v>10000</v>
      </c>
      <c r="I73" t="s">
        <v>1443</v>
      </c>
    </row>
    <row r="74" spans="1:9" x14ac:dyDescent="0.2">
      <c r="A74" t="s">
        <v>186</v>
      </c>
      <c r="B74">
        <v>50</v>
      </c>
      <c r="C74">
        <v>19</v>
      </c>
      <c r="D74">
        <v>13</v>
      </c>
      <c r="E74">
        <v>0</v>
      </c>
      <c r="F74">
        <v>1.7549127275124099</v>
      </c>
      <c r="G74">
        <v>8989</v>
      </c>
      <c r="H74">
        <v>10000</v>
      </c>
      <c r="I74" t="s">
        <v>1444</v>
      </c>
    </row>
    <row r="75" spans="1:9" x14ac:dyDescent="0.2">
      <c r="A75" t="s">
        <v>188</v>
      </c>
      <c r="B75">
        <v>51</v>
      </c>
      <c r="C75">
        <v>28</v>
      </c>
      <c r="D75">
        <v>9</v>
      </c>
      <c r="E75">
        <v>0</v>
      </c>
      <c r="F75">
        <v>1.6486332071945</v>
      </c>
      <c r="G75">
        <v>5641</v>
      </c>
      <c r="H75">
        <v>10000</v>
      </c>
      <c r="I75" t="s">
        <v>1445</v>
      </c>
    </row>
    <row r="76" spans="1:9" x14ac:dyDescent="0.2">
      <c r="A76" t="s">
        <v>190</v>
      </c>
      <c r="B76">
        <v>52</v>
      </c>
      <c r="C76">
        <v>15</v>
      </c>
      <c r="D76">
        <v>17</v>
      </c>
      <c r="E76">
        <v>0</v>
      </c>
      <c r="F76">
        <v>1.8520049732178401</v>
      </c>
      <c r="G76">
        <v>6404</v>
      </c>
      <c r="H76">
        <v>10000</v>
      </c>
      <c r="I76" t="s">
        <v>1446</v>
      </c>
    </row>
    <row r="77" spans="1:9" x14ac:dyDescent="0.2">
      <c r="A77" t="s">
        <v>192</v>
      </c>
      <c r="B77">
        <v>53</v>
      </c>
      <c r="C77">
        <v>16</v>
      </c>
      <c r="D77">
        <v>17</v>
      </c>
      <c r="E77">
        <v>0</v>
      </c>
      <c r="F77">
        <v>1.90011703781783</v>
      </c>
      <c r="G77">
        <v>6687</v>
      </c>
      <c r="H77">
        <v>10000</v>
      </c>
      <c r="I77" t="s">
        <v>1447</v>
      </c>
    </row>
    <row r="78" spans="1:9" x14ac:dyDescent="0.2">
      <c r="A78" t="s">
        <v>194</v>
      </c>
      <c r="B78">
        <v>54</v>
      </c>
      <c r="C78">
        <v>31</v>
      </c>
      <c r="D78">
        <v>9</v>
      </c>
      <c r="E78">
        <v>0</v>
      </c>
      <c r="F78">
        <v>1.62230683397501</v>
      </c>
      <c r="G78">
        <v>8223</v>
      </c>
      <c r="H78">
        <v>10000</v>
      </c>
      <c r="I78" t="s">
        <v>1448</v>
      </c>
    </row>
    <row r="79" spans="1:9" x14ac:dyDescent="0.2">
      <c r="A79" t="s">
        <v>196</v>
      </c>
      <c r="B79">
        <v>55</v>
      </c>
      <c r="C79">
        <v>23</v>
      </c>
      <c r="D79">
        <v>13</v>
      </c>
      <c r="E79">
        <v>0</v>
      </c>
      <c r="F79">
        <v>1.85029657464474</v>
      </c>
      <c r="G79">
        <v>8910</v>
      </c>
      <c r="H79">
        <v>10000</v>
      </c>
      <c r="I79" t="s">
        <v>1449</v>
      </c>
    </row>
    <row r="80" spans="1:9" x14ac:dyDescent="0.2">
      <c r="A80" t="s">
        <v>198</v>
      </c>
      <c r="B80">
        <v>56</v>
      </c>
      <c r="C80">
        <v>17</v>
      </c>
      <c r="D80">
        <v>17</v>
      </c>
      <c r="E80">
        <v>0</v>
      </c>
      <c r="F80">
        <v>1.95778650324791</v>
      </c>
      <c r="G80">
        <v>6677</v>
      </c>
      <c r="H80">
        <v>10000</v>
      </c>
      <c r="I80" t="s">
        <v>1450</v>
      </c>
    </row>
    <row r="81" spans="1:9" x14ac:dyDescent="0.2">
      <c r="A81" t="s">
        <v>200</v>
      </c>
      <c r="B81">
        <v>57</v>
      </c>
      <c r="C81">
        <v>18</v>
      </c>
      <c r="D81">
        <v>17</v>
      </c>
      <c r="E81">
        <v>0</v>
      </c>
      <c r="F81">
        <v>1.9876541541889301</v>
      </c>
      <c r="G81">
        <v>6373</v>
      </c>
      <c r="H81">
        <v>10000</v>
      </c>
      <c r="I81" t="s">
        <v>1451</v>
      </c>
    </row>
    <row r="82" spans="1:9" x14ac:dyDescent="0.2">
      <c r="A82" t="s">
        <v>202</v>
      </c>
      <c r="B82">
        <v>58</v>
      </c>
      <c r="C82">
        <v>3</v>
      </c>
      <c r="D82">
        <v>32</v>
      </c>
      <c r="E82">
        <v>0</v>
      </c>
      <c r="F82">
        <v>1.91122625488787</v>
      </c>
      <c r="G82">
        <v>7506</v>
      </c>
      <c r="H82">
        <v>10000</v>
      </c>
      <c r="I82" t="s">
        <v>1452</v>
      </c>
    </row>
    <row r="83" spans="1:9" x14ac:dyDescent="0.2">
      <c r="A83" t="s">
        <v>204</v>
      </c>
      <c r="B83">
        <v>59</v>
      </c>
      <c r="C83">
        <v>19</v>
      </c>
      <c r="D83">
        <v>17</v>
      </c>
      <c r="E83">
        <v>0</v>
      </c>
      <c r="F83">
        <v>2.0677396655082698</v>
      </c>
      <c r="G83">
        <v>7783</v>
      </c>
      <c r="H83">
        <v>10000</v>
      </c>
      <c r="I83" t="s">
        <v>1453</v>
      </c>
    </row>
    <row r="84" spans="1:9" x14ac:dyDescent="0.2">
      <c r="A84" t="s">
        <v>206</v>
      </c>
      <c r="B84">
        <v>60</v>
      </c>
      <c r="C84">
        <v>20</v>
      </c>
      <c r="D84">
        <v>17</v>
      </c>
      <c r="E84">
        <v>0</v>
      </c>
      <c r="F84">
        <v>2.0751088894903602</v>
      </c>
      <c r="G84">
        <v>8019</v>
      </c>
      <c r="H84">
        <v>10000</v>
      </c>
      <c r="I84" t="s">
        <v>1454</v>
      </c>
    </row>
    <row r="85" spans="1:9" x14ac:dyDescent="0.2">
      <c r="A85" t="s">
        <v>208</v>
      </c>
      <c r="B85">
        <v>61</v>
      </c>
      <c r="C85">
        <v>18</v>
      </c>
      <c r="D85">
        <v>19</v>
      </c>
      <c r="E85">
        <v>0</v>
      </c>
      <c r="F85">
        <v>2.18774504493922</v>
      </c>
      <c r="G85">
        <v>4825</v>
      </c>
      <c r="H85">
        <v>10000</v>
      </c>
      <c r="I85" t="s">
        <v>1455</v>
      </c>
    </row>
    <row r="86" spans="1:9" x14ac:dyDescent="0.2">
      <c r="A86" t="s">
        <v>210</v>
      </c>
      <c r="B86">
        <v>62</v>
      </c>
      <c r="C86">
        <v>21</v>
      </c>
      <c r="D86">
        <v>17</v>
      </c>
      <c r="E86">
        <v>0</v>
      </c>
      <c r="F86">
        <v>2.1522152908146301</v>
      </c>
      <c r="G86">
        <v>7284</v>
      </c>
      <c r="H86">
        <v>10000</v>
      </c>
      <c r="I86" t="s">
        <v>1456</v>
      </c>
    </row>
    <row r="87" spans="1:9" x14ac:dyDescent="0.2">
      <c r="A87" t="s">
        <v>212</v>
      </c>
      <c r="B87">
        <v>63</v>
      </c>
      <c r="C87">
        <v>23</v>
      </c>
      <c r="D87">
        <v>16</v>
      </c>
      <c r="E87">
        <v>0</v>
      </c>
      <c r="F87">
        <v>2.15170919056981</v>
      </c>
      <c r="G87">
        <v>4967</v>
      </c>
      <c r="H87">
        <v>10000</v>
      </c>
      <c r="I87" t="s">
        <v>1457</v>
      </c>
    </row>
    <row r="88" spans="1:9" x14ac:dyDescent="0.2">
      <c r="A88" t="s">
        <v>214</v>
      </c>
      <c r="B88">
        <v>64</v>
      </c>
      <c r="C88">
        <v>24</v>
      </c>
      <c r="D88">
        <v>16</v>
      </c>
      <c r="E88">
        <v>0</v>
      </c>
      <c r="F88">
        <v>2.1056247716769501</v>
      </c>
      <c r="G88">
        <v>6554</v>
      </c>
      <c r="H88">
        <v>10000</v>
      </c>
      <c r="I88" t="s">
        <v>1458</v>
      </c>
    </row>
    <row r="89" spans="1:9" x14ac:dyDescent="0.2">
      <c r="A89" t="s">
        <v>216</v>
      </c>
      <c r="B89">
        <v>65</v>
      </c>
      <c r="C89">
        <v>31</v>
      </c>
      <c r="D89">
        <v>13</v>
      </c>
      <c r="E89">
        <v>0</v>
      </c>
      <c r="F89">
        <v>2.0234725084155798</v>
      </c>
      <c r="G89">
        <v>4508</v>
      </c>
      <c r="H89">
        <v>10000</v>
      </c>
      <c r="I89" t="s">
        <v>1459</v>
      </c>
    </row>
    <row r="90" spans="1:9" x14ac:dyDescent="0.2">
      <c r="A90" t="s">
        <v>218</v>
      </c>
      <c r="B90">
        <v>66</v>
      </c>
      <c r="C90">
        <v>32</v>
      </c>
      <c r="D90">
        <v>13</v>
      </c>
      <c r="E90">
        <v>0</v>
      </c>
      <c r="F90">
        <v>2.0551175521686602</v>
      </c>
      <c r="G90">
        <v>4583</v>
      </c>
      <c r="H90">
        <v>10000</v>
      </c>
      <c r="I90" t="s">
        <v>1460</v>
      </c>
    </row>
    <row r="91" spans="1:9" x14ac:dyDescent="0.2">
      <c r="A91" t="s">
        <v>220</v>
      </c>
      <c r="B91">
        <v>67</v>
      </c>
      <c r="C91">
        <v>33</v>
      </c>
      <c r="D91">
        <v>13</v>
      </c>
      <c r="E91">
        <v>0</v>
      </c>
      <c r="F91">
        <v>2.07984027918428</v>
      </c>
      <c r="G91">
        <v>4691</v>
      </c>
      <c r="H91">
        <v>10000</v>
      </c>
      <c r="I91" t="s">
        <v>1461</v>
      </c>
    </row>
    <row r="92" spans="1:9" x14ac:dyDescent="0.2">
      <c r="A92" t="s">
        <v>222</v>
      </c>
      <c r="B92">
        <v>68</v>
      </c>
      <c r="C92">
        <v>34</v>
      </c>
      <c r="D92">
        <v>13</v>
      </c>
      <c r="E92">
        <v>0</v>
      </c>
      <c r="F92">
        <v>2.0958527941256699</v>
      </c>
      <c r="G92">
        <v>4636</v>
      </c>
      <c r="H92">
        <v>10000</v>
      </c>
      <c r="I92" t="s">
        <v>1462</v>
      </c>
    </row>
    <row r="93" spans="1:9" x14ac:dyDescent="0.2">
      <c r="A93" t="s">
        <v>224</v>
      </c>
      <c r="B93">
        <v>69</v>
      </c>
      <c r="C93">
        <v>35</v>
      </c>
      <c r="D93">
        <v>13</v>
      </c>
      <c r="E93">
        <v>0</v>
      </c>
      <c r="F93">
        <v>2.12236450985074</v>
      </c>
      <c r="G93">
        <v>4842</v>
      </c>
      <c r="H93">
        <v>10000</v>
      </c>
      <c r="I93" t="s">
        <v>1463</v>
      </c>
    </row>
    <row r="94" spans="1:9" x14ac:dyDescent="0.2">
      <c r="A94" t="s">
        <v>226</v>
      </c>
      <c r="B94">
        <v>70</v>
      </c>
      <c r="C94">
        <v>36</v>
      </c>
      <c r="D94">
        <v>13</v>
      </c>
      <c r="E94">
        <v>0</v>
      </c>
      <c r="F94">
        <v>2.1339829200878699</v>
      </c>
      <c r="G94">
        <v>5023</v>
      </c>
      <c r="H94">
        <v>10000</v>
      </c>
      <c r="I94" t="s">
        <v>1464</v>
      </c>
    </row>
    <row r="95" spans="1:9" x14ac:dyDescent="0.2">
      <c r="A95" t="s">
        <v>228</v>
      </c>
      <c r="B95">
        <v>71</v>
      </c>
      <c r="C95">
        <v>12</v>
      </c>
      <c r="D95">
        <v>29</v>
      </c>
      <c r="E95">
        <v>0</v>
      </c>
      <c r="F95">
        <v>2.73673174995929</v>
      </c>
      <c r="G95">
        <v>5508</v>
      </c>
      <c r="H95">
        <v>10000</v>
      </c>
      <c r="I95" t="s">
        <v>1465</v>
      </c>
    </row>
    <row r="96" spans="1:9" x14ac:dyDescent="0.2">
      <c r="A96" t="s">
        <v>230</v>
      </c>
      <c r="B96">
        <v>72</v>
      </c>
      <c r="C96">
        <v>37</v>
      </c>
      <c r="D96">
        <v>13</v>
      </c>
      <c r="E96">
        <v>0</v>
      </c>
      <c r="F96">
        <v>2.1284595979377601</v>
      </c>
      <c r="G96">
        <v>5606</v>
      </c>
      <c r="H96">
        <v>10000</v>
      </c>
      <c r="I96" t="s">
        <v>1466</v>
      </c>
    </row>
    <row r="97" spans="1:9" x14ac:dyDescent="0.2">
      <c r="A97" t="s">
        <v>232</v>
      </c>
      <c r="B97">
        <v>73</v>
      </c>
      <c r="C97">
        <v>38</v>
      </c>
      <c r="D97">
        <v>13</v>
      </c>
      <c r="E97">
        <v>0</v>
      </c>
      <c r="F97">
        <v>2.1516770934685998</v>
      </c>
      <c r="G97">
        <v>5555</v>
      </c>
      <c r="H97">
        <v>10000</v>
      </c>
      <c r="I97" t="s">
        <v>1467</v>
      </c>
    </row>
    <row r="98" spans="1:9" x14ac:dyDescent="0.2">
      <c r="A98" t="s">
        <v>234</v>
      </c>
      <c r="B98">
        <v>74</v>
      </c>
      <c r="C98">
        <v>9</v>
      </c>
      <c r="D98">
        <v>32</v>
      </c>
      <c r="E98">
        <v>0</v>
      </c>
      <c r="F98">
        <v>2.7508162455633198</v>
      </c>
      <c r="G98">
        <v>4302</v>
      </c>
      <c r="H98">
        <v>10000</v>
      </c>
      <c r="I98" t="s">
        <v>1468</v>
      </c>
    </row>
    <row r="99" spans="1:9" x14ac:dyDescent="0.2">
      <c r="A99" t="s">
        <v>236</v>
      </c>
      <c r="B99">
        <v>75</v>
      </c>
      <c r="C99">
        <v>28</v>
      </c>
      <c r="D99">
        <v>19</v>
      </c>
      <c r="E99">
        <v>0</v>
      </c>
      <c r="F99">
        <v>2.9364733686670599</v>
      </c>
      <c r="G99">
        <v>2405</v>
      </c>
      <c r="H99">
        <v>10000</v>
      </c>
      <c r="I99" t="s">
        <v>1469</v>
      </c>
    </row>
    <row r="100" spans="1:9" x14ac:dyDescent="0.2">
      <c r="A100" t="s">
        <v>238</v>
      </c>
      <c r="B100">
        <v>76</v>
      </c>
      <c r="C100">
        <v>40</v>
      </c>
      <c r="D100">
        <v>12</v>
      </c>
      <c r="E100">
        <v>0</v>
      </c>
      <c r="F100">
        <v>2.2545405114069501</v>
      </c>
      <c r="G100">
        <v>5243</v>
      </c>
      <c r="H100">
        <v>10000</v>
      </c>
      <c r="I100" t="s">
        <v>1470</v>
      </c>
    </row>
    <row r="101" spans="1:9" x14ac:dyDescent="0.2">
      <c r="A101" t="s">
        <v>240</v>
      </c>
      <c r="B101">
        <v>77</v>
      </c>
      <c r="C101">
        <v>40</v>
      </c>
      <c r="D101">
        <v>13</v>
      </c>
      <c r="E101">
        <v>0</v>
      </c>
      <c r="F101">
        <v>2.3129581296816402</v>
      </c>
      <c r="G101">
        <v>2431</v>
      </c>
      <c r="H101">
        <v>10000</v>
      </c>
      <c r="I101" t="s">
        <v>1471</v>
      </c>
    </row>
    <row r="102" spans="1:9" x14ac:dyDescent="0.2">
      <c r="A102" t="s">
        <v>242</v>
      </c>
      <c r="B102">
        <v>78</v>
      </c>
      <c r="C102">
        <v>29</v>
      </c>
      <c r="D102">
        <v>19</v>
      </c>
      <c r="E102">
        <v>0</v>
      </c>
      <c r="F102">
        <v>3.0853186668828099</v>
      </c>
      <c r="G102">
        <v>2635</v>
      </c>
      <c r="H102">
        <v>10000</v>
      </c>
      <c r="I102" t="s">
        <v>1472</v>
      </c>
    </row>
    <row r="103" spans="1:9" x14ac:dyDescent="0.2">
      <c r="A103" t="s">
        <v>244</v>
      </c>
      <c r="B103">
        <v>79</v>
      </c>
      <c r="C103">
        <v>20</v>
      </c>
      <c r="D103">
        <v>24</v>
      </c>
      <c r="E103">
        <v>0</v>
      </c>
      <c r="F103">
        <v>3.0235110325738699</v>
      </c>
      <c r="G103">
        <v>2805</v>
      </c>
      <c r="H103">
        <v>10000</v>
      </c>
      <c r="I103" t="s">
        <v>1473</v>
      </c>
    </row>
    <row r="104" spans="1:9" x14ac:dyDescent="0.2">
      <c r="A104" t="s">
        <v>246</v>
      </c>
      <c r="B104">
        <v>80</v>
      </c>
      <c r="C104">
        <v>47</v>
      </c>
      <c r="D104">
        <v>11</v>
      </c>
      <c r="E104">
        <v>0</v>
      </c>
      <c r="F104">
        <v>2.1205947427079002</v>
      </c>
      <c r="G104">
        <v>4532</v>
      </c>
      <c r="H104">
        <v>10000</v>
      </c>
      <c r="I104" t="s">
        <v>1474</v>
      </c>
    </row>
    <row r="105" spans="1:9" x14ac:dyDescent="0.2">
      <c r="A105" t="s">
        <v>248</v>
      </c>
      <c r="B105">
        <v>81</v>
      </c>
      <c r="C105">
        <v>48</v>
      </c>
      <c r="D105">
        <v>11</v>
      </c>
      <c r="E105">
        <v>0</v>
      </c>
      <c r="F105">
        <v>2.1416911203414202</v>
      </c>
      <c r="G105">
        <v>4560</v>
      </c>
      <c r="H105">
        <v>10000</v>
      </c>
      <c r="I105" t="s">
        <v>1475</v>
      </c>
    </row>
    <row r="106" spans="1:9" x14ac:dyDescent="0.2">
      <c r="A106" t="s">
        <v>250</v>
      </c>
      <c r="B106">
        <v>82</v>
      </c>
      <c r="C106">
        <v>43</v>
      </c>
      <c r="D106">
        <v>13</v>
      </c>
      <c r="E106">
        <v>0</v>
      </c>
      <c r="F106">
        <v>2.37379047553986</v>
      </c>
      <c r="G106">
        <v>2905</v>
      </c>
      <c r="H106">
        <v>10000</v>
      </c>
      <c r="I106" t="s">
        <v>1476</v>
      </c>
    </row>
    <row r="107" spans="1:9" x14ac:dyDescent="0.2">
      <c r="A107" t="s">
        <v>252</v>
      </c>
      <c r="B107">
        <v>83</v>
      </c>
      <c r="C107">
        <v>41</v>
      </c>
      <c r="D107">
        <v>15</v>
      </c>
      <c r="E107">
        <v>0</v>
      </c>
      <c r="F107">
        <v>2.5438732421025598</v>
      </c>
      <c r="G107">
        <v>1513</v>
      </c>
      <c r="H107">
        <v>10000</v>
      </c>
      <c r="I107" t="s">
        <v>1477</v>
      </c>
    </row>
    <row r="108" spans="1:9" x14ac:dyDescent="0.2">
      <c r="A108" t="s">
        <v>254</v>
      </c>
      <c r="B108">
        <v>84</v>
      </c>
      <c r="C108">
        <v>42</v>
      </c>
      <c r="D108">
        <v>15</v>
      </c>
      <c r="E108">
        <v>0</v>
      </c>
      <c r="F108">
        <v>2.5431750649586302</v>
      </c>
      <c r="G108">
        <v>1553</v>
      </c>
      <c r="H108">
        <v>10000</v>
      </c>
      <c r="I108" t="s">
        <v>1478</v>
      </c>
    </row>
    <row r="109" spans="1:9" x14ac:dyDescent="0.2">
      <c r="A109" t="s">
        <v>256</v>
      </c>
      <c r="B109">
        <v>85</v>
      </c>
      <c r="C109">
        <v>23</v>
      </c>
      <c r="D109">
        <v>24</v>
      </c>
      <c r="E109">
        <v>0</v>
      </c>
      <c r="F109">
        <v>3.2598702153190899</v>
      </c>
      <c r="G109">
        <v>382</v>
      </c>
      <c r="H109">
        <v>10000</v>
      </c>
      <c r="I109" t="s">
        <v>1479</v>
      </c>
    </row>
    <row r="110" spans="1:9" x14ac:dyDescent="0.2">
      <c r="A110" t="s">
        <v>258</v>
      </c>
      <c r="B110">
        <v>86</v>
      </c>
      <c r="C110">
        <v>23</v>
      </c>
      <c r="D110">
        <v>25</v>
      </c>
      <c r="E110">
        <v>0</v>
      </c>
      <c r="F110">
        <v>3.34530739858746</v>
      </c>
      <c r="G110">
        <v>970</v>
      </c>
      <c r="H110">
        <v>10000</v>
      </c>
      <c r="I110" t="s">
        <v>1480</v>
      </c>
    </row>
    <row r="111" spans="1:9" x14ac:dyDescent="0.2">
      <c r="A111" t="s">
        <v>260</v>
      </c>
      <c r="B111">
        <v>87</v>
      </c>
      <c r="C111">
        <v>45</v>
      </c>
      <c r="D111">
        <v>15</v>
      </c>
      <c r="E111">
        <v>0</v>
      </c>
      <c r="F111">
        <v>2.6435915799811398</v>
      </c>
      <c r="G111">
        <v>1616</v>
      </c>
      <c r="H111">
        <v>10000</v>
      </c>
      <c r="I111" t="s">
        <v>1481</v>
      </c>
    </row>
    <row r="112" spans="1:9" x14ac:dyDescent="0.2">
      <c r="A112" t="s">
        <v>262</v>
      </c>
      <c r="B112">
        <v>88</v>
      </c>
      <c r="C112">
        <v>49</v>
      </c>
      <c r="D112">
        <v>13</v>
      </c>
      <c r="E112">
        <v>0</v>
      </c>
      <c r="F112">
        <v>2.4421197101473799</v>
      </c>
      <c r="G112">
        <v>3180</v>
      </c>
      <c r="H112">
        <v>10000</v>
      </c>
      <c r="I112" t="s">
        <v>1482</v>
      </c>
    </row>
    <row r="113" spans="1:9" x14ac:dyDescent="0.2">
      <c r="A113" t="s">
        <v>264</v>
      </c>
      <c r="B113">
        <v>89</v>
      </c>
      <c r="C113">
        <v>32</v>
      </c>
      <c r="D113">
        <v>21</v>
      </c>
      <c r="E113">
        <v>0</v>
      </c>
      <c r="F113">
        <v>3.1628933884203398</v>
      </c>
      <c r="G113">
        <v>2755</v>
      </c>
      <c r="H113">
        <v>10000</v>
      </c>
      <c r="I113" t="s">
        <v>1483</v>
      </c>
    </row>
    <row r="114" spans="1:9" x14ac:dyDescent="0.2">
      <c r="A114" t="s">
        <v>266</v>
      </c>
      <c r="B114">
        <v>90</v>
      </c>
      <c r="C114">
        <v>33</v>
      </c>
      <c r="D114">
        <v>21</v>
      </c>
      <c r="E114">
        <v>0</v>
      </c>
      <c r="F114">
        <v>3.2120686760172199</v>
      </c>
      <c r="G114">
        <v>2791</v>
      </c>
      <c r="H114">
        <v>10000</v>
      </c>
      <c r="I114" t="s">
        <v>1484</v>
      </c>
    </row>
    <row r="115" spans="1:9" x14ac:dyDescent="0.2">
      <c r="A115" t="s">
        <v>268</v>
      </c>
      <c r="B115">
        <v>91</v>
      </c>
      <c r="C115">
        <v>26</v>
      </c>
      <c r="D115">
        <v>25</v>
      </c>
      <c r="E115">
        <v>0</v>
      </c>
      <c r="F115">
        <v>3.5290865851566098</v>
      </c>
      <c r="G115">
        <v>1182</v>
      </c>
      <c r="H115">
        <v>10000</v>
      </c>
      <c r="I115" t="s">
        <v>1485</v>
      </c>
    </row>
    <row r="116" spans="1:9" x14ac:dyDescent="0.2">
      <c r="A116" t="s">
        <v>270</v>
      </c>
      <c r="B116">
        <v>92</v>
      </c>
      <c r="C116">
        <v>52</v>
      </c>
      <c r="D116">
        <v>13</v>
      </c>
      <c r="E116">
        <v>0</v>
      </c>
      <c r="F116">
        <v>2.63153023831546</v>
      </c>
      <c r="G116">
        <v>126</v>
      </c>
      <c r="H116">
        <v>10000</v>
      </c>
      <c r="I116" t="s">
        <v>1486</v>
      </c>
    </row>
    <row r="117" spans="1:9" x14ac:dyDescent="0.2">
      <c r="A117" t="s">
        <v>272</v>
      </c>
      <c r="B117">
        <v>93</v>
      </c>
      <c r="C117">
        <v>53</v>
      </c>
      <c r="D117">
        <v>13</v>
      </c>
      <c r="E117">
        <v>0</v>
      </c>
      <c r="F117">
        <v>2.6421226020902302</v>
      </c>
      <c r="G117">
        <v>189</v>
      </c>
      <c r="H117">
        <v>10000</v>
      </c>
      <c r="I117" t="s">
        <v>1487</v>
      </c>
    </row>
    <row r="118" spans="1:9" x14ac:dyDescent="0.2">
      <c r="A118" t="s">
        <v>274</v>
      </c>
      <c r="B118">
        <v>94</v>
      </c>
      <c r="C118">
        <v>54</v>
      </c>
      <c r="D118">
        <v>13</v>
      </c>
      <c r="E118">
        <v>0</v>
      </c>
      <c r="F118">
        <v>2.6669071996584499</v>
      </c>
      <c r="G118">
        <v>264</v>
      </c>
      <c r="H118">
        <v>10000</v>
      </c>
      <c r="I118" t="s">
        <v>1488</v>
      </c>
    </row>
    <row r="119" spans="1:9" x14ac:dyDescent="0.2">
      <c r="A119" t="s">
        <v>276</v>
      </c>
      <c r="B119">
        <v>95</v>
      </c>
      <c r="C119">
        <v>46</v>
      </c>
      <c r="D119">
        <v>17</v>
      </c>
      <c r="E119">
        <v>0</v>
      </c>
      <c r="F119">
        <v>3.0960950059816201</v>
      </c>
      <c r="G119">
        <v>1316</v>
      </c>
      <c r="H119">
        <v>10000</v>
      </c>
      <c r="I119" t="s">
        <v>1489</v>
      </c>
    </row>
    <row r="120" spans="1:9" x14ac:dyDescent="0.2">
      <c r="A120" t="s">
        <v>278</v>
      </c>
      <c r="B120">
        <v>96</v>
      </c>
      <c r="C120">
        <v>48</v>
      </c>
      <c r="D120">
        <v>16</v>
      </c>
      <c r="E120">
        <v>0</v>
      </c>
      <c r="F120">
        <v>2.9199475152418</v>
      </c>
      <c r="G120">
        <v>493</v>
      </c>
      <c r="H120">
        <v>10000</v>
      </c>
      <c r="I120" t="s">
        <v>1490</v>
      </c>
    </row>
    <row r="121" spans="1:9" x14ac:dyDescent="0.2">
      <c r="A121" t="s">
        <v>280</v>
      </c>
      <c r="B121">
        <v>97</v>
      </c>
      <c r="C121">
        <v>50</v>
      </c>
      <c r="D121">
        <v>15</v>
      </c>
      <c r="E121">
        <v>0</v>
      </c>
      <c r="F121">
        <v>2.9350005611777301</v>
      </c>
      <c r="G121">
        <v>152</v>
      </c>
      <c r="H121">
        <v>10000</v>
      </c>
      <c r="I121" t="s">
        <v>1491</v>
      </c>
    </row>
    <row r="122" spans="1:9" x14ac:dyDescent="0.2">
      <c r="A122" t="s">
        <v>282</v>
      </c>
      <c r="B122">
        <v>98</v>
      </c>
      <c r="C122">
        <v>51</v>
      </c>
      <c r="D122">
        <v>15</v>
      </c>
      <c r="E122">
        <v>0</v>
      </c>
      <c r="F122">
        <v>2.9960854444652698</v>
      </c>
      <c r="G122">
        <v>138</v>
      </c>
      <c r="H122">
        <v>10000</v>
      </c>
      <c r="I122" t="s">
        <v>1492</v>
      </c>
    </row>
    <row r="123" spans="1:9" x14ac:dyDescent="0.2">
      <c r="A123" t="s">
        <v>284</v>
      </c>
      <c r="B123">
        <v>99</v>
      </c>
      <c r="C123">
        <v>52</v>
      </c>
      <c r="D123">
        <v>15</v>
      </c>
      <c r="E123">
        <v>0</v>
      </c>
      <c r="F123">
        <v>3.0099147139117099</v>
      </c>
      <c r="G123">
        <v>165</v>
      </c>
      <c r="H123">
        <v>10000</v>
      </c>
      <c r="I123" t="s">
        <v>1493</v>
      </c>
    </row>
    <row r="124" spans="1:9" x14ac:dyDescent="0.2">
      <c r="A124" t="s">
        <v>286</v>
      </c>
      <c r="B124">
        <v>100</v>
      </c>
      <c r="C124">
        <v>52</v>
      </c>
      <c r="D124">
        <v>16</v>
      </c>
      <c r="E124">
        <v>0</v>
      </c>
      <c r="F124">
        <v>3.0624292679131</v>
      </c>
      <c r="G124">
        <v>495</v>
      </c>
      <c r="H124">
        <v>10000</v>
      </c>
      <c r="I124" t="s">
        <v>1494</v>
      </c>
    </row>
    <row r="125" spans="1:9" x14ac:dyDescent="0.2">
      <c r="A125" t="s">
        <v>288</v>
      </c>
      <c r="B125">
        <v>101</v>
      </c>
      <c r="C125">
        <v>53</v>
      </c>
      <c r="D125">
        <v>15</v>
      </c>
      <c r="E125">
        <v>0</v>
      </c>
      <c r="F125">
        <v>3.0900672515854199</v>
      </c>
      <c r="G125">
        <v>1004</v>
      </c>
      <c r="H125">
        <v>10000</v>
      </c>
      <c r="I125" t="s">
        <v>1495</v>
      </c>
    </row>
    <row r="126" spans="1:9" x14ac:dyDescent="0.2">
      <c r="A126" t="s">
        <v>290</v>
      </c>
      <c r="B126">
        <v>102</v>
      </c>
      <c r="C126">
        <v>54</v>
      </c>
      <c r="D126">
        <v>15</v>
      </c>
      <c r="E126">
        <v>0</v>
      </c>
      <c r="F126">
        <v>3.1221501585096099</v>
      </c>
      <c r="G126">
        <v>1036</v>
      </c>
      <c r="H126">
        <v>10000</v>
      </c>
      <c r="I126" t="s">
        <v>1496</v>
      </c>
    </row>
    <row r="127" spans="1:9" x14ac:dyDescent="0.2">
      <c r="A127" t="s">
        <v>292</v>
      </c>
      <c r="B127">
        <v>103</v>
      </c>
      <c r="C127">
        <v>34</v>
      </c>
      <c r="D127">
        <v>25</v>
      </c>
      <c r="E127">
        <v>0</v>
      </c>
      <c r="F127">
        <v>4.1169797554612098</v>
      </c>
      <c r="G127">
        <v>608</v>
      </c>
      <c r="H127">
        <v>10000</v>
      </c>
      <c r="I127" t="s">
        <v>1497</v>
      </c>
    </row>
    <row r="128" spans="1:9" x14ac:dyDescent="0.2">
      <c r="A128" t="s">
        <v>294</v>
      </c>
      <c r="B128">
        <v>104</v>
      </c>
      <c r="C128">
        <v>28</v>
      </c>
      <c r="D128">
        <v>29</v>
      </c>
      <c r="E128">
        <v>0</v>
      </c>
      <c r="F128">
        <v>4.2094037095084698</v>
      </c>
      <c r="G128">
        <v>292</v>
      </c>
      <c r="H128">
        <v>10000</v>
      </c>
      <c r="I128" t="s">
        <v>1498</v>
      </c>
    </row>
    <row r="129" spans="1:9" x14ac:dyDescent="0.2">
      <c r="A129" t="s">
        <v>296</v>
      </c>
      <c r="B129">
        <v>105</v>
      </c>
      <c r="C129">
        <v>54</v>
      </c>
      <c r="D129">
        <v>17</v>
      </c>
      <c r="E129">
        <v>0</v>
      </c>
      <c r="F129">
        <v>3.2783024096861402</v>
      </c>
      <c r="G129">
        <v>504</v>
      </c>
      <c r="H129">
        <v>10000</v>
      </c>
      <c r="I129" t="s">
        <v>1499</v>
      </c>
    </row>
    <row r="130" spans="1:9" x14ac:dyDescent="0.2">
      <c r="A130" t="s">
        <v>298</v>
      </c>
      <c r="B130">
        <v>106</v>
      </c>
      <c r="C130">
        <v>44</v>
      </c>
      <c r="D130">
        <v>21</v>
      </c>
      <c r="E130">
        <v>0</v>
      </c>
      <c r="F130">
        <v>3.81215770449489</v>
      </c>
      <c r="G130">
        <v>957</v>
      </c>
      <c r="H130">
        <v>10000</v>
      </c>
      <c r="I130" t="s">
        <v>1500</v>
      </c>
    </row>
    <row r="131" spans="1:9" x14ac:dyDescent="0.2">
      <c r="A131" t="s">
        <v>300</v>
      </c>
      <c r="B131">
        <v>107</v>
      </c>
      <c r="C131">
        <v>45</v>
      </c>
      <c r="D131">
        <v>21</v>
      </c>
      <c r="E131">
        <v>0</v>
      </c>
      <c r="F131">
        <v>3.9079771218821402</v>
      </c>
      <c r="G131">
        <v>937</v>
      </c>
      <c r="H131">
        <v>10000</v>
      </c>
      <c r="I131" t="s">
        <v>1501</v>
      </c>
    </row>
    <row r="132" spans="1:9" x14ac:dyDescent="0.2">
      <c r="A132" t="s">
        <v>302</v>
      </c>
      <c r="B132">
        <v>108</v>
      </c>
      <c r="C132">
        <v>55</v>
      </c>
      <c r="D132">
        <v>17</v>
      </c>
      <c r="E132">
        <v>0</v>
      </c>
      <c r="F132">
        <v>3.46818369347602</v>
      </c>
      <c r="G132">
        <v>478</v>
      </c>
      <c r="H132">
        <v>10000</v>
      </c>
      <c r="I132" t="s">
        <v>1502</v>
      </c>
    </row>
    <row r="133" spans="1:9" x14ac:dyDescent="0.2">
      <c r="A133" t="s">
        <v>304</v>
      </c>
      <c r="B133">
        <v>109</v>
      </c>
      <c r="C133">
        <v>37</v>
      </c>
      <c r="D133">
        <v>25</v>
      </c>
      <c r="E133">
        <v>0</v>
      </c>
      <c r="F133">
        <v>4.3735027005895901</v>
      </c>
      <c r="G133">
        <v>281</v>
      </c>
      <c r="H133">
        <v>10000</v>
      </c>
      <c r="I133" t="s">
        <v>1503</v>
      </c>
    </row>
    <row r="134" spans="1:9" x14ac:dyDescent="0.2">
      <c r="A134" t="s">
        <v>306</v>
      </c>
      <c r="B134">
        <v>110</v>
      </c>
      <c r="C134">
        <v>33</v>
      </c>
      <c r="D134">
        <v>28</v>
      </c>
      <c r="E134">
        <v>0</v>
      </c>
      <c r="F134">
        <v>4.6210558619350097</v>
      </c>
      <c r="G134">
        <v>263</v>
      </c>
      <c r="H134">
        <v>10000</v>
      </c>
      <c r="I134" t="s">
        <v>1504</v>
      </c>
    </row>
    <row r="135" spans="1:9" x14ac:dyDescent="0.2">
      <c r="A135" t="s">
        <v>308</v>
      </c>
      <c r="B135">
        <v>111</v>
      </c>
      <c r="C135">
        <v>57</v>
      </c>
      <c r="D135">
        <v>17</v>
      </c>
      <c r="E135">
        <v>0</v>
      </c>
      <c r="F135">
        <v>3.6199086280539601</v>
      </c>
      <c r="G135">
        <v>241</v>
      </c>
      <c r="H135">
        <v>10000</v>
      </c>
      <c r="I135" t="s">
        <v>1505</v>
      </c>
    </row>
    <row r="136" spans="1:9" x14ac:dyDescent="0.2">
      <c r="A136" t="s">
        <v>310</v>
      </c>
      <c r="B136">
        <v>112</v>
      </c>
      <c r="C136">
        <v>36</v>
      </c>
      <c r="D136">
        <v>27</v>
      </c>
      <c r="E136">
        <v>0</v>
      </c>
      <c r="F136">
        <v>4.5214198436587996</v>
      </c>
      <c r="G136">
        <v>100</v>
      </c>
      <c r="H136">
        <v>10000</v>
      </c>
      <c r="I136" t="s">
        <v>1506</v>
      </c>
    </row>
    <row r="137" spans="1:9" x14ac:dyDescent="0.2">
      <c r="A137" t="s">
        <v>312</v>
      </c>
      <c r="B137">
        <v>113</v>
      </c>
      <c r="C137">
        <v>26</v>
      </c>
      <c r="D137">
        <v>34</v>
      </c>
      <c r="E137">
        <v>0</v>
      </c>
      <c r="F137">
        <v>4.9374203300103501</v>
      </c>
      <c r="G137">
        <v>176</v>
      </c>
      <c r="H137">
        <v>10000</v>
      </c>
      <c r="I137" t="s">
        <v>1507</v>
      </c>
    </row>
    <row r="138" spans="1:9" x14ac:dyDescent="0.2">
      <c r="A138" t="s">
        <v>314</v>
      </c>
      <c r="B138">
        <v>114</v>
      </c>
      <c r="C138">
        <v>27</v>
      </c>
      <c r="D138">
        <v>34</v>
      </c>
      <c r="E138">
        <v>0</v>
      </c>
      <c r="F138">
        <v>5.0615977849811298</v>
      </c>
      <c r="G138">
        <v>180</v>
      </c>
      <c r="H138">
        <v>10000</v>
      </c>
      <c r="I138" t="s">
        <v>1508</v>
      </c>
    </row>
    <row r="139" spans="1:9" x14ac:dyDescent="0.2">
      <c r="A139" t="s">
        <v>316</v>
      </c>
      <c r="B139">
        <v>115</v>
      </c>
      <c r="C139">
        <v>29</v>
      </c>
      <c r="D139">
        <v>33</v>
      </c>
      <c r="E139">
        <v>0</v>
      </c>
      <c r="F139">
        <v>5.1022430062293997</v>
      </c>
      <c r="G139">
        <v>61</v>
      </c>
      <c r="H139">
        <v>10000</v>
      </c>
      <c r="I139" t="s">
        <v>1509</v>
      </c>
    </row>
    <row r="140" spans="1:9" x14ac:dyDescent="0.2">
      <c r="A140" t="s">
        <v>318</v>
      </c>
      <c r="B140">
        <v>116</v>
      </c>
      <c r="C140">
        <v>28</v>
      </c>
      <c r="D140">
        <v>34</v>
      </c>
      <c r="E140">
        <v>0</v>
      </c>
      <c r="F140">
        <v>5.1531060747802204</v>
      </c>
      <c r="G140">
        <v>74</v>
      </c>
      <c r="H140">
        <v>10000</v>
      </c>
      <c r="I140" t="s">
        <v>1510</v>
      </c>
    </row>
    <row r="141" spans="1:9" x14ac:dyDescent="0.2">
      <c r="A141" t="s">
        <v>320</v>
      </c>
      <c r="B141">
        <v>117</v>
      </c>
      <c r="C141">
        <v>29</v>
      </c>
      <c r="D141">
        <v>34</v>
      </c>
      <c r="E141">
        <v>0</v>
      </c>
      <c r="F141">
        <v>5.2667366331443102</v>
      </c>
      <c r="G141">
        <v>32</v>
      </c>
      <c r="H141">
        <v>10000</v>
      </c>
      <c r="I141" t="s">
        <v>1511</v>
      </c>
    </row>
    <row r="142" spans="1:9" x14ac:dyDescent="0.2">
      <c r="A142" t="s">
        <v>322</v>
      </c>
      <c r="B142">
        <v>118</v>
      </c>
      <c r="C142">
        <v>29</v>
      </c>
      <c r="D142">
        <v>35</v>
      </c>
      <c r="E142">
        <v>0</v>
      </c>
      <c r="F142">
        <v>5.37326742894947</v>
      </c>
      <c r="G142">
        <v>75</v>
      </c>
      <c r="H142">
        <v>10000</v>
      </c>
      <c r="I142" t="s">
        <v>1512</v>
      </c>
    </row>
    <row r="143" spans="1:9" x14ac:dyDescent="0.2">
      <c r="A143" t="s">
        <v>324</v>
      </c>
      <c r="B143">
        <v>119</v>
      </c>
      <c r="C143">
        <v>28</v>
      </c>
      <c r="D143">
        <v>36</v>
      </c>
      <c r="E143">
        <v>0</v>
      </c>
      <c r="F143">
        <v>5.53941777534782</v>
      </c>
      <c r="G143">
        <v>46</v>
      </c>
      <c r="H143">
        <v>10000</v>
      </c>
      <c r="I143" t="s">
        <v>1513</v>
      </c>
    </row>
    <row r="144" spans="1:9" x14ac:dyDescent="0.2">
      <c r="A144" t="s">
        <v>326</v>
      </c>
      <c r="B144">
        <v>120</v>
      </c>
      <c r="C144">
        <v>29</v>
      </c>
      <c r="D144">
        <v>36</v>
      </c>
      <c r="E144">
        <v>0</v>
      </c>
      <c r="F144">
        <v>5.4022238962352196</v>
      </c>
      <c r="G144">
        <v>44</v>
      </c>
      <c r="H144">
        <v>10000</v>
      </c>
      <c r="I144" t="s">
        <v>1514</v>
      </c>
    </row>
    <row r="145" spans="1:9" x14ac:dyDescent="0.2">
      <c r="A145" t="s">
        <v>328</v>
      </c>
      <c r="B145">
        <v>121</v>
      </c>
      <c r="C145">
        <v>29</v>
      </c>
      <c r="D145">
        <v>37</v>
      </c>
      <c r="E145">
        <v>0</v>
      </c>
      <c r="F145">
        <v>6.0329362135380498</v>
      </c>
      <c r="G145">
        <v>121</v>
      </c>
      <c r="H145">
        <v>10000</v>
      </c>
      <c r="I145" t="s">
        <v>1515</v>
      </c>
    </row>
    <row r="146" spans="1:9" x14ac:dyDescent="0.2">
      <c r="A146" t="s">
        <v>330</v>
      </c>
      <c r="B146">
        <v>122</v>
      </c>
      <c r="C146">
        <v>47</v>
      </c>
      <c r="D146">
        <v>25</v>
      </c>
      <c r="E146">
        <v>0</v>
      </c>
      <c r="F146">
        <v>5.3804177716374397</v>
      </c>
      <c r="G146">
        <v>197</v>
      </c>
      <c r="H146">
        <v>10000</v>
      </c>
      <c r="I146" t="s">
        <v>1516</v>
      </c>
    </row>
    <row r="147" spans="1:9" x14ac:dyDescent="0.2">
      <c r="A147" t="s">
        <v>332</v>
      </c>
      <c r="B147">
        <v>123</v>
      </c>
      <c r="C147">
        <v>48</v>
      </c>
      <c r="D147">
        <v>25</v>
      </c>
      <c r="E147">
        <v>0</v>
      </c>
      <c r="F147">
        <v>5.4708530958741903</v>
      </c>
      <c r="G147">
        <v>173</v>
      </c>
      <c r="H147">
        <v>10000</v>
      </c>
      <c r="I147" t="s">
        <v>1517</v>
      </c>
    </row>
    <row r="148" spans="1:9" x14ac:dyDescent="0.2">
      <c r="A148" t="s">
        <v>334</v>
      </c>
      <c r="B148">
        <v>124</v>
      </c>
      <c r="C148">
        <v>49</v>
      </c>
      <c r="D148">
        <v>25</v>
      </c>
      <c r="E148">
        <v>0</v>
      </c>
      <c r="F148">
        <v>5.4663151176646299</v>
      </c>
      <c r="G148">
        <v>182</v>
      </c>
      <c r="H148">
        <v>10000</v>
      </c>
      <c r="I148" t="s">
        <v>1518</v>
      </c>
    </row>
    <row r="149" spans="1:9" x14ac:dyDescent="0.2">
      <c r="A149" t="s">
        <v>336</v>
      </c>
      <c r="B149">
        <v>125</v>
      </c>
      <c r="C149">
        <v>50</v>
      </c>
      <c r="D149">
        <v>25</v>
      </c>
      <c r="E149">
        <v>0</v>
      </c>
      <c r="F149">
        <v>5.5815570093691296</v>
      </c>
      <c r="G149">
        <v>182</v>
      </c>
      <c r="H149">
        <v>10000</v>
      </c>
      <c r="I149" t="s">
        <v>1519</v>
      </c>
    </row>
    <row r="150" spans="1:9" x14ac:dyDescent="0.2">
      <c r="A150" t="s">
        <v>338</v>
      </c>
      <c r="B150">
        <v>126</v>
      </c>
      <c r="C150">
        <v>50</v>
      </c>
      <c r="D150">
        <v>26</v>
      </c>
      <c r="E150">
        <v>0</v>
      </c>
      <c r="F150">
        <v>5.7125003412365896</v>
      </c>
      <c r="G150">
        <v>541</v>
      </c>
      <c r="H150">
        <v>10000</v>
      </c>
      <c r="I150" t="s">
        <v>1520</v>
      </c>
    </row>
    <row r="151" spans="1:9" x14ac:dyDescent="0.2">
      <c r="A151" t="s">
        <v>340</v>
      </c>
      <c r="B151">
        <v>127</v>
      </c>
      <c r="C151">
        <v>30</v>
      </c>
      <c r="D151">
        <v>37</v>
      </c>
      <c r="E151">
        <v>0</v>
      </c>
      <c r="F151">
        <v>6.6595298526808602</v>
      </c>
      <c r="G151">
        <v>133</v>
      </c>
      <c r="H151">
        <v>10000</v>
      </c>
      <c r="I151" t="s">
        <v>1521</v>
      </c>
    </row>
    <row r="152" spans="1:9" x14ac:dyDescent="0.2">
      <c r="A152" t="s">
        <v>342</v>
      </c>
      <c r="B152">
        <v>128</v>
      </c>
      <c r="C152">
        <v>44</v>
      </c>
      <c r="D152">
        <v>29</v>
      </c>
      <c r="E152">
        <v>0</v>
      </c>
      <c r="F152">
        <v>5.7815597699955097</v>
      </c>
      <c r="G152">
        <v>513</v>
      </c>
      <c r="H152">
        <v>10000</v>
      </c>
      <c r="I152" t="s">
        <v>1522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dimension ref="A1:I150"/>
  <sheetViews>
    <sheetView topLeftCell="A149" workbookViewId="0">
      <selection activeCell="C179" sqref="C179"/>
    </sheetView>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s="22" t="s">
        <v>73</v>
      </c>
    </row>
    <row r="5" spans="1:1" x14ac:dyDescent="0.2">
      <c r="A5" s="21" t="s">
        <v>74</v>
      </c>
    </row>
    <row r="6" spans="1:1" x14ac:dyDescent="0.2">
      <c r="A6" s="6" t="s">
        <v>1252</v>
      </c>
    </row>
    <row r="7" spans="1:1" x14ac:dyDescent="0.2">
      <c r="A7" t="s">
        <v>76</v>
      </c>
    </row>
    <row r="8" spans="1:1" x14ac:dyDescent="0.2">
      <c r="A8" s="22" t="s">
        <v>77</v>
      </c>
    </row>
    <row r="9" spans="1:1" x14ac:dyDescent="0.2">
      <c r="A9" s="6" t="s">
        <v>1253</v>
      </c>
    </row>
    <row r="10" spans="1:1" x14ac:dyDescent="0.2">
      <c r="A10" t="s">
        <v>1254</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1255</v>
      </c>
    </row>
    <row r="17" spans="1:9" x14ac:dyDescent="0.2">
      <c r="A17" t="s">
        <v>1256</v>
      </c>
    </row>
    <row r="18" spans="1:9" x14ac:dyDescent="0.2">
      <c r="A18" t="s">
        <v>83</v>
      </c>
    </row>
    <row r="19" spans="1:9" x14ac:dyDescent="0.2">
      <c r="A19" t="s">
        <v>87</v>
      </c>
    </row>
    <row r="20" spans="1:9" x14ac:dyDescent="0.2">
      <c r="A20" t="s">
        <v>88</v>
      </c>
    </row>
    <row r="21" spans="1:9" x14ac:dyDescent="0.2">
      <c r="A21" t="s">
        <v>89</v>
      </c>
    </row>
    <row r="22" spans="1:9" x14ac:dyDescent="0.2">
      <c r="A22" t="s">
        <v>90</v>
      </c>
    </row>
    <row r="23" spans="1:9" x14ac:dyDescent="0.2">
      <c r="A23" t="s">
        <v>91</v>
      </c>
    </row>
    <row r="24" spans="1:9" x14ac:dyDescent="0.2">
      <c r="A24" t="s">
        <v>730</v>
      </c>
    </row>
    <row r="25" spans="1:9" x14ac:dyDescent="0.2">
      <c r="A25" t="s">
        <v>93</v>
      </c>
      <c r="F25" s="1"/>
    </row>
    <row r="26" spans="1:9" x14ac:dyDescent="0.2">
      <c r="A26" t="s">
        <v>1320</v>
      </c>
    </row>
    <row r="27" spans="1:9" x14ac:dyDescent="0.2">
      <c r="A27" t="s">
        <v>95</v>
      </c>
    </row>
    <row r="28" spans="1:9" x14ac:dyDescent="0.2">
      <c r="A28" t="s">
        <v>96</v>
      </c>
      <c r="B28" t="s">
        <v>61</v>
      </c>
      <c r="C28" t="s">
        <v>97</v>
      </c>
      <c r="D28" t="s">
        <v>98</v>
      </c>
      <c r="E28" t="s">
        <v>99</v>
      </c>
      <c r="F28" s="1" t="s">
        <v>100</v>
      </c>
      <c r="G28" t="s">
        <v>58</v>
      </c>
      <c r="H28" t="s">
        <v>59</v>
      </c>
      <c r="I28" t="s">
        <v>101</v>
      </c>
    </row>
    <row r="29" spans="1:9" x14ac:dyDescent="0.2">
      <c r="A29" t="s">
        <v>102</v>
      </c>
      <c r="B29">
        <v>5</v>
      </c>
      <c r="C29">
        <v>3</v>
      </c>
      <c r="D29">
        <v>2</v>
      </c>
      <c r="E29">
        <v>0</v>
      </c>
      <c r="F29">
        <v>2.3830961436033201E-3</v>
      </c>
      <c r="G29">
        <v>2</v>
      </c>
      <c r="H29">
        <v>2</v>
      </c>
      <c r="I29" t="s">
        <v>1321</v>
      </c>
    </row>
    <row r="30" spans="1:9" x14ac:dyDescent="0.2">
      <c r="A30" t="s">
        <v>104</v>
      </c>
      <c r="B30">
        <v>6</v>
      </c>
      <c r="C30">
        <v>3</v>
      </c>
      <c r="D30">
        <v>3</v>
      </c>
      <c r="E30">
        <v>0</v>
      </c>
      <c r="F30" s="1">
        <v>1.96157116442918E-3</v>
      </c>
      <c r="G30">
        <v>2</v>
      </c>
      <c r="H30">
        <v>2</v>
      </c>
      <c r="I30" t="s">
        <v>1322</v>
      </c>
    </row>
    <row r="31" spans="1:9" x14ac:dyDescent="0.2">
      <c r="A31" t="s">
        <v>106</v>
      </c>
      <c r="B31">
        <v>7</v>
      </c>
      <c r="C31">
        <v>3</v>
      </c>
      <c r="D31">
        <v>4</v>
      </c>
      <c r="E31">
        <v>0</v>
      </c>
      <c r="F31">
        <v>2.1020770072936999E-3</v>
      </c>
      <c r="G31">
        <v>2</v>
      </c>
      <c r="H31">
        <v>2</v>
      </c>
      <c r="I31" t="s">
        <v>1323</v>
      </c>
    </row>
    <row r="32" spans="1:9" x14ac:dyDescent="0.2">
      <c r="A32" t="s">
        <v>108</v>
      </c>
      <c r="B32">
        <v>8</v>
      </c>
      <c r="C32">
        <v>3</v>
      </c>
      <c r="D32">
        <v>4</v>
      </c>
      <c r="E32">
        <v>0</v>
      </c>
      <c r="F32">
        <v>2.22827773541212E-3</v>
      </c>
      <c r="G32">
        <v>2</v>
      </c>
      <c r="H32">
        <v>2</v>
      </c>
      <c r="I32" t="s">
        <v>1324</v>
      </c>
    </row>
    <row r="33" spans="1:9" x14ac:dyDescent="0.2">
      <c r="A33" t="s">
        <v>110</v>
      </c>
      <c r="B33">
        <v>9</v>
      </c>
      <c r="C33">
        <v>5</v>
      </c>
      <c r="D33">
        <v>3</v>
      </c>
      <c r="E33">
        <v>0</v>
      </c>
      <c r="F33" s="1">
        <v>3.2621910795569398E-3</v>
      </c>
      <c r="G33">
        <v>2</v>
      </c>
      <c r="H33">
        <v>3</v>
      </c>
      <c r="I33" t="s">
        <v>1325</v>
      </c>
    </row>
    <row r="34" spans="1:9" x14ac:dyDescent="0.2">
      <c r="A34" t="s">
        <v>112</v>
      </c>
      <c r="B34">
        <v>10</v>
      </c>
      <c r="C34">
        <v>3</v>
      </c>
      <c r="D34">
        <v>5</v>
      </c>
      <c r="E34">
        <v>0</v>
      </c>
      <c r="F34" s="1">
        <v>2.55550816655159E-3</v>
      </c>
      <c r="G34">
        <v>2</v>
      </c>
      <c r="H34">
        <v>3</v>
      </c>
      <c r="I34" t="s">
        <v>1326</v>
      </c>
    </row>
    <row r="35" spans="1:9" x14ac:dyDescent="0.2">
      <c r="A35" t="s">
        <v>114</v>
      </c>
      <c r="B35">
        <v>11</v>
      </c>
      <c r="C35">
        <v>3</v>
      </c>
      <c r="D35">
        <v>6</v>
      </c>
      <c r="E35">
        <v>0</v>
      </c>
      <c r="F35" s="1">
        <v>2.8052432462572999E-3</v>
      </c>
      <c r="G35">
        <v>2</v>
      </c>
      <c r="H35">
        <v>4</v>
      </c>
      <c r="I35" t="s">
        <v>1327</v>
      </c>
    </row>
    <row r="36" spans="1:9" x14ac:dyDescent="0.2">
      <c r="A36" t="s">
        <v>116</v>
      </c>
      <c r="B36">
        <v>12</v>
      </c>
      <c r="C36">
        <v>3</v>
      </c>
      <c r="D36">
        <v>6</v>
      </c>
      <c r="E36">
        <v>0</v>
      </c>
      <c r="F36" s="1">
        <v>2.7892123907804398E-3</v>
      </c>
      <c r="G36">
        <v>2</v>
      </c>
      <c r="H36">
        <v>4</v>
      </c>
      <c r="I36" t="s">
        <v>1328</v>
      </c>
    </row>
    <row r="37" spans="1:9" x14ac:dyDescent="0.2">
      <c r="A37" t="s">
        <v>118</v>
      </c>
      <c r="B37">
        <v>13</v>
      </c>
      <c r="C37">
        <v>5</v>
      </c>
      <c r="D37">
        <v>5</v>
      </c>
      <c r="E37">
        <v>0</v>
      </c>
      <c r="F37" s="1">
        <v>3.0308943241834601E-3</v>
      </c>
      <c r="G37">
        <v>2</v>
      </c>
      <c r="H37">
        <v>3</v>
      </c>
      <c r="I37" t="s">
        <v>1329</v>
      </c>
    </row>
    <row r="38" spans="1:9" x14ac:dyDescent="0.2">
      <c r="A38" t="s">
        <v>120</v>
      </c>
      <c r="B38">
        <v>14</v>
      </c>
      <c r="C38">
        <v>6</v>
      </c>
      <c r="D38">
        <v>5</v>
      </c>
      <c r="E38">
        <v>0</v>
      </c>
      <c r="F38" s="1">
        <v>3.4420760348439199E-3</v>
      </c>
      <c r="G38">
        <v>2</v>
      </c>
      <c r="H38">
        <v>3</v>
      </c>
      <c r="I38" t="s">
        <v>1329</v>
      </c>
    </row>
    <row r="39" spans="1:9" x14ac:dyDescent="0.2">
      <c r="A39" t="s">
        <v>122</v>
      </c>
      <c r="B39">
        <v>15</v>
      </c>
      <c r="C39">
        <v>7</v>
      </c>
      <c r="D39">
        <v>5</v>
      </c>
      <c r="E39">
        <v>0</v>
      </c>
      <c r="F39" s="1">
        <v>4.9996450543403599E-3</v>
      </c>
      <c r="G39">
        <v>2</v>
      </c>
      <c r="H39">
        <v>3</v>
      </c>
      <c r="I39" t="s">
        <v>1329</v>
      </c>
    </row>
    <row r="40" spans="1:9" x14ac:dyDescent="0.2">
      <c r="A40" t="s">
        <v>124</v>
      </c>
      <c r="B40">
        <v>16</v>
      </c>
      <c r="C40">
        <v>8</v>
      </c>
      <c r="D40">
        <v>5</v>
      </c>
      <c r="E40">
        <v>0</v>
      </c>
      <c r="F40" s="1">
        <v>4.3059838935732798E-3</v>
      </c>
      <c r="G40">
        <v>2</v>
      </c>
      <c r="H40">
        <v>3</v>
      </c>
      <c r="I40" t="s">
        <v>1329</v>
      </c>
    </row>
    <row r="41" spans="1:9" x14ac:dyDescent="0.2">
      <c r="A41" t="s">
        <v>126</v>
      </c>
      <c r="B41">
        <v>20</v>
      </c>
      <c r="C41">
        <v>5</v>
      </c>
      <c r="D41">
        <v>9</v>
      </c>
      <c r="E41">
        <v>0</v>
      </c>
      <c r="F41" s="1">
        <v>9.2577263712882996E-3</v>
      </c>
      <c r="G41">
        <v>2</v>
      </c>
      <c r="H41">
        <v>7</v>
      </c>
      <c r="I41" t="s">
        <v>1330</v>
      </c>
    </row>
    <row r="42" spans="1:9" x14ac:dyDescent="0.2">
      <c r="A42" t="s">
        <v>128</v>
      </c>
      <c r="B42">
        <v>21</v>
      </c>
      <c r="C42">
        <v>5</v>
      </c>
      <c r="D42">
        <v>10</v>
      </c>
      <c r="E42">
        <v>0</v>
      </c>
      <c r="F42" s="1">
        <v>1.8651376478374001E-2</v>
      </c>
      <c r="G42">
        <v>2</v>
      </c>
      <c r="H42">
        <v>8</v>
      </c>
      <c r="I42" t="s">
        <v>1331</v>
      </c>
    </row>
    <row r="43" spans="1:9" x14ac:dyDescent="0.2">
      <c r="A43" t="s">
        <v>130</v>
      </c>
      <c r="B43">
        <v>22</v>
      </c>
      <c r="C43">
        <v>6</v>
      </c>
      <c r="D43">
        <v>9</v>
      </c>
      <c r="E43">
        <v>0</v>
      </c>
      <c r="F43" s="1">
        <v>1.5809680335223598E-2</v>
      </c>
      <c r="G43">
        <v>2</v>
      </c>
      <c r="H43">
        <v>7</v>
      </c>
      <c r="I43" t="s">
        <v>1332</v>
      </c>
    </row>
    <row r="44" spans="1:9" x14ac:dyDescent="0.2">
      <c r="A44" t="s">
        <v>132</v>
      </c>
      <c r="B44">
        <v>23</v>
      </c>
      <c r="C44">
        <v>7</v>
      </c>
      <c r="D44">
        <v>9</v>
      </c>
      <c r="E44">
        <v>0</v>
      </c>
      <c r="F44" s="1">
        <v>3.7444883026182603E-2</v>
      </c>
      <c r="G44">
        <v>2</v>
      </c>
      <c r="H44">
        <v>7</v>
      </c>
      <c r="I44" t="s">
        <v>1332</v>
      </c>
    </row>
    <row r="45" spans="1:9" x14ac:dyDescent="0.2">
      <c r="A45" t="s">
        <v>134</v>
      </c>
      <c r="B45">
        <v>24</v>
      </c>
      <c r="C45">
        <v>3</v>
      </c>
      <c r="D45">
        <v>0</v>
      </c>
      <c r="E45">
        <v>-13</v>
      </c>
      <c r="F45" s="1">
        <v>4.8030121251940701E-3</v>
      </c>
      <c r="G45">
        <v>9</v>
      </c>
      <c r="H45">
        <v>9</v>
      </c>
      <c r="I45" t="s">
        <v>1333</v>
      </c>
    </row>
    <row r="46" spans="1:9" x14ac:dyDescent="0.2">
      <c r="A46" t="s">
        <v>136</v>
      </c>
      <c r="B46">
        <v>25</v>
      </c>
      <c r="C46">
        <v>15</v>
      </c>
      <c r="D46">
        <v>5</v>
      </c>
      <c r="E46">
        <v>0</v>
      </c>
      <c r="F46" s="1">
        <v>6.4278813078999502E-3</v>
      </c>
      <c r="G46">
        <v>2</v>
      </c>
      <c r="H46">
        <v>3</v>
      </c>
      <c r="I46" t="s">
        <v>1334</v>
      </c>
    </row>
    <row r="47" spans="1:9" x14ac:dyDescent="0.2">
      <c r="A47" t="s">
        <v>138</v>
      </c>
      <c r="B47">
        <v>26</v>
      </c>
      <c r="C47">
        <v>9</v>
      </c>
      <c r="D47">
        <v>9</v>
      </c>
      <c r="E47">
        <v>0</v>
      </c>
      <c r="F47" s="1">
        <v>6.2413899227976799E-2</v>
      </c>
      <c r="G47">
        <v>2</v>
      </c>
      <c r="H47">
        <v>7</v>
      </c>
      <c r="I47" t="s">
        <v>1335</v>
      </c>
    </row>
    <row r="48" spans="1:9" x14ac:dyDescent="0.2">
      <c r="A48" t="s">
        <v>140</v>
      </c>
      <c r="B48">
        <v>27</v>
      </c>
      <c r="C48">
        <v>10</v>
      </c>
      <c r="D48">
        <v>9</v>
      </c>
      <c r="E48">
        <v>0</v>
      </c>
      <c r="F48" s="1">
        <v>0.12823204882442901</v>
      </c>
      <c r="G48">
        <v>2</v>
      </c>
      <c r="H48">
        <v>7</v>
      </c>
      <c r="I48" t="s">
        <v>1335</v>
      </c>
    </row>
    <row r="49" spans="1:9" x14ac:dyDescent="0.2">
      <c r="A49" t="s">
        <v>142</v>
      </c>
      <c r="B49">
        <v>28</v>
      </c>
      <c r="C49">
        <v>18</v>
      </c>
      <c r="D49">
        <v>5</v>
      </c>
      <c r="E49">
        <v>0</v>
      </c>
      <c r="F49" s="1">
        <v>8.9348489418625797E-3</v>
      </c>
      <c r="G49">
        <v>2</v>
      </c>
      <c r="H49">
        <v>3</v>
      </c>
      <c r="I49" t="s">
        <v>1334</v>
      </c>
    </row>
    <row r="50" spans="1:9" x14ac:dyDescent="0.2">
      <c r="A50" t="s">
        <v>144</v>
      </c>
      <c r="B50">
        <v>29</v>
      </c>
      <c r="C50">
        <v>6</v>
      </c>
      <c r="D50">
        <v>0</v>
      </c>
      <c r="E50">
        <v>-13</v>
      </c>
      <c r="F50" s="1">
        <v>5.41835278272628E-3</v>
      </c>
      <c r="G50">
        <v>9</v>
      </c>
      <c r="H50">
        <v>9</v>
      </c>
      <c r="I50" t="s">
        <v>1336</v>
      </c>
    </row>
    <row r="51" spans="1:9" x14ac:dyDescent="0.2">
      <c r="A51" t="s">
        <v>146</v>
      </c>
      <c r="B51">
        <v>30</v>
      </c>
      <c r="C51">
        <v>6</v>
      </c>
      <c r="D51">
        <v>0</v>
      </c>
      <c r="E51">
        <v>-14</v>
      </c>
      <c r="F51" s="1">
        <v>5.5812038481235504E-3</v>
      </c>
      <c r="G51">
        <v>9</v>
      </c>
      <c r="H51">
        <v>9</v>
      </c>
      <c r="I51" t="s">
        <v>1337</v>
      </c>
    </row>
    <row r="52" spans="1:9" x14ac:dyDescent="0.2">
      <c r="A52" t="s">
        <v>148</v>
      </c>
      <c r="B52">
        <v>31</v>
      </c>
      <c r="C52">
        <v>3</v>
      </c>
      <c r="D52">
        <v>0</v>
      </c>
      <c r="E52">
        <v>-17</v>
      </c>
      <c r="F52" s="1">
        <v>5.1650144159793802E-3</v>
      </c>
      <c r="G52">
        <v>9</v>
      </c>
      <c r="H52">
        <v>9</v>
      </c>
      <c r="I52" t="s">
        <v>1338</v>
      </c>
    </row>
    <row r="53" spans="1:9" x14ac:dyDescent="0.2">
      <c r="A53" t="s">
        <v>150</v>
      </c>
      <c r="B53">
        <v>32</v>
      </c>
      <c r="C53">
        <v>8</v>
      </c>
      <c r="D53">
        <v>0</v>
      </c>
      <c r="E53">
        <v>-13</v>
      </c>
      <c r="F53" s="1">
        <v>6.1704264953732404E-3</v>
      </c>
      <c r="G53">
        <v>9</v>
      </c>
      <c r="H53">
        <v>9</v>
      </c>
      <c r="I53" t="s">
        <v>1337</v>
      </c>
    </row>
    <row r="54" spans="1:9" x14ac:dyDescent="0.2">
      <c r="A54" t="s">
        <v>152</v>
      </c>
      <c r="B54">
        <v>33</v>
      </c>
      <c r="C54">
        <v>18</v>
      </c>
      <c r="D54">
        <v>7</v>
      </c>
      <c r="E54">
        <v>0</v>
      </c>
      <c r="F54" s="1">
        <v>4.6182076446712003E-2</v>
      </c>
      <c r="G54">
        <v>2</v>
      </c>
      <c r="H54">
        <v>5</v>
      </c>
      <c r="I54" t="s">
        <v>1339</v>
      </c>
    </row>
    <row r="55" spans="1:9" x14ac:dyDescent="0.2">
      <c r="A55" t="s">
        <v>154</v>
      </c>
      <c r="B55">
        <v>34</v>
      </c>
      <c r="C55">
        <v>4</v>
      </c>
      <c r="D55">
        <v>0</v>
      </c>
      <c r="E55">
        <v>-17</v>
      </c>
      <c r="F55" s="1">
        <v>6.3796378672122903E-3</v>
      </c>
      <c r="G55">
        <v>9</v>
      </c>
      <c r="H55">
        <v>9</v>
      </c>
      <c r="I55" t="s">
        <v>1340</v>
      </c>
    </row>
    <row r="56" spans="1:9" x14ac:dyDescent="0.2">
      <c r="A56" t="s">
        <v>156</v>
      </c>
      <c r="B56">
        <v>35</v>
      </c>
      <c r="C56">
        <v>20</v>
      </c>
      <c r="D56">
        <v>7</v>
      </c>
      <c r="E56">
        <v>0</v>
      </c>
      <c r="F56" s="1">
        <v>0.16858493071049399</v>
      </c>
      <c r="G56">
        <v>2</v>
      </c>
      <c r="H56">
        <v>5</v>
      </c>
      <c r="I56" t="s">
        <v>1339</v>
      </c>
    </row>
    <row r="57" spans="1:9" x14ac:dyDescent="0.2">
      <c r="A57" t="s">
        <v>158</v>
      </c>
      <c r="B57">
        <v>36</v>
      </c>
      <c r="C57">
        <v>5</v>
      </c>
      <c r="D57">
        <v>0</v>
      </c>
      <c r="E57">
        <v>-17</v>
      </c>
      <c r="F57" s="1">
        <v>7.9100178554654104E-3</v>
      </c>
      <c r="G57">
        <v>9</v>
      </c>
      <c r="H57">
        <v>9</v>
      </c>
      <c r="I57" t="s">
        <v>1341</v>
      </c>
    </row>
    <row r="58" spans="1:9" x14ac:dyDescent="0.2">
      <c r="A58" t="s">
        <v>160</v>
      </c>
      <c r="B58">
        <v>37</v>
      </c>
      <c r="C58">
        <v>6</v>
      </c>
      <c r="D58">
        <v>0</v>
      </c>
      <c r="E58">
        <v>-17</v>
      </c>
      <c r="F58" s="1">
        <v>6.6789072006940798E-3</v>
      </c>
      <c r="G58">
        <v>9</v>
      </c>
      <c r="H58">
        <v>9</v>
      </c>
      <c r="I58" t="s">
        <v>1341</v>
      </c>
    </row>
    <row r="59" spans="1:9" x14ac:dyDescent="0.2">
      <c r="A59" t="s">
        <v>162</v>
      </c>
      <c r="B59">
        <v>38</v>
      </c>
      <c r="C59">
        <v>3</v>
      </c>
      <c r="D59">
        <v>0</v>
      </c>
      <c r="E59">
        <v>-21</v>
      </c>
      <c r="F59" s="1">
        <v>6.2644360587000803E-3</v>
      </c>
      <c r="G59">
        <v>9</v>
      </c>
      <c r="H59">
        <v>9</v>
      </c>
      <c r="I59" t="s">
        <v>1342</v>
      </c>
    </row>
    <row r="60" spans="1:9" x14ac:dyDescent="0.2">
      <c r="A60" t="s">
        <v>164</v>
      </c>
      <c r="B60">
        <v>39</v>
      </c>
      <c r="C60">
        <v>7</v>
      </c>
      <c r="D60">
        <v>0</v>
      </c>
      <c r="E60">
        <v>-17</v>
      </c>
      <c r="F60" s="1">
        <v>7.1825059130787797E-3</v>
      </c>
      <c r="G60">
        <v>9</v>
      </c>
      <c r="H60">
        <v>9</v>
      </c>
      <c r="I60" t="s">
        <v>1343</v>
      </c>
    </row>
    <row r="61" spans="1:9" x14ac:dyDescent="0.2">
      <c r="A61" t="s">
        <v>166</v>
      </c>
      <c r="B61">
        <v>40</v>
      </c>
      <c r="C61">
        <v>13</v>
      </c>
      <c r="D61">
        <v>0</v>
      </c>
      <c r="E61">
        <v>-13</v>
      </c>
      <c r="F61" s="1">
        <v>8.0975946038961393E-3</v>
      </c>
      <c r="G61">
        <v>9</v>
      </c>
      <c r="H61">
        <v>9</v>
      </c>
      <c r="I61" t="s">
        <v>1344</v>
      </c>
    </row>
    <row r="62" spans="1:9" x14ac:dyDescent="0.2">
      <c r="A62" t="s">
        <v>168</v>
      </c>
      <c r="B62">
        <v>41</v>
      </c>
      <c r="C62">
        <v>8</v>
      </c>
      <c r="D62">
        <v>0</v>
      </c>
      <c r="E62">
        <v>-17</v>
      </c>
      <c r="F62" s="1">
        <v>7.8357793390750798E-3</v>
      </c>
      <c r="G62">
        <v>9</v>
      </c>
      <c r="H62">
        <v>9</v>
      </c>
      <c r="I62" t="s">
        <v>1345</v>
      </c>
    </row>
    <row r="63" spans="1:9" x14ac:dyDescent="0.2">
      <c r="A63" t="s">
        <v>170</v>
      </c>
      <c r="B63">
        <v>42</v>
      </c>
      <c r="C63">
        <v>9</v>
      </c>
      <c r="D63">
        <v>0</v>
      </c>
      <c r="E63">
        <v>-17</v>
      </c>
      <c r="F63" s="1">
        <v>8.0320388078689506E-3</v>
      </c>
      <c r="G63">
        <v>9</v>
      </c>
      <c r="H63">
        <v>9</v>
      </c>
      <c r="I63" t="s">
        <v>1345</v>
      </c>
    </row>
    <row r="64" spans="1:9" x14ac:dyDescent="0.2">
      <c r="A64" t="s">
        <v>172</v>
      </c>
      <c r="B64">
        <v>43</v>
      </c>
      <c r="C64">
        <v>22</v>
      </c>
      <c r="D64">
        <v>9</v>
      </c>
      <c r="E64">
        <v>0</v>
      </c>
      <c r="F64" s="1">
        <v>0.29170740768313402</v>
      </c>
      <c r="G64">
        <v>2</v>
      </c>
      <c r="H64">
        <v>7</v>
      </c>
      <c r="I64" t="s">
        <v>1346</v>
      </c>
    </row>
    <row r="65" spans="1:9" x14ac:dyDescent="0.2">
      <c r="A65" t="s">
        <v>174</v>
      </c>
      <c r="B65">
        <v>44</v>
      </c>
      <c r="C65">
        <v>23</v>
      </c>
      <c r="D65">
        <v>9</v>
      </c>
      <c r="E65">
        <v>0</v>
      </c>
      <c r="F65" s="1">
        <v>0.36121255438774802</v>
      </c>
      <c r="G65">
        <v>2</v>
      </c>
      <c r="H65">
        <v>7</v>
      </c>
      <c r="I65" t="s">
        <v>1346</v>
      </c>
    </row>
    <row r="66" spans="1:9" x14ac:dyDescent="0.2">
      <c r="A66" t="s">
        <v>176</v>
      </c>
      <c r="B66">
        <v>45</v>
      </c>
      <c r="C66">
        <v>24</v>
      </c>
      <c r="D66">
        <v>9</v>
      </c>
      <c r="E66">
        <v>0</v>
      </c>
      <c r="F66" s="1">
        <v>0.73875012435019005</v>
      </c>
      <c r="G66">
        <v>2</v>
      </c>
      <c r="H66">
        <v>7</v>
      </c>
      <c r="I66" t="s">
        <v>1346</v>
      </c>
    </row>
    <row r="67" spans="1:9" x14ac:dyDescent="0.2">
      <c r="A67" t="s">
        <v>178</v>
      </c>
      <c r="B67">
        <v>46</v>
      </c>
      <c r="C67">
        <v>15</v>
      </c>
      <c r="D67">
        <v>0</v>
      </c>
      <c r="E67">
        <v>-15</v>
      </c>
      <c r="F67" s="1">
        <v>1.0825841687619599E-2</v>
      </c>
      <c r="G67">
        <v>9</v>
      </c>
      <c r="H67">
        <v>9</v>
      </c>
      <c r="I67" t="s">
        <v>1341</v>
      </c>
    </row>
    <row r="68" spans="1:9" x14ac:dyDescent="0.2">
      <c r="A68" t="s">
        <v>180</v>
      </c>
      <c r="B68">
        <v>47</v>
      </c>
      <c r="C68">
        <v>25</v>
      </c>
      <c r="D68">
        <v>9</v>
      </c>
      <c r="E68">
        <v>0</v>
      </c>
      <c r="F68" s="1">
        <v>0.13474245928227899</v>
      </c>
      <c r="G68">
        <v>2</v>
      </c>
      <c r="H68">
        <v>7</v>
      </c>
      <c r="I68" t="s">
        <v>1347</v>
      </c>
    </row>
    <row r="69" spans="1:9" x14ac:dyDescent="0.2">
      <c r="A69" t="s">
        <v>182</v>
      </c>
      <c r="B69">
        <v>48</v>
      </c>
      <c r="C69">
        <v>26</v>
      </c>
      <c r="D69">
        <v>9</v>
      </c>
      <c r="E69">
        <v>0</v>
      </c>
      <c r="F69" s="1">
        <v>0.20751009695231901</v>
      </c>
      <c r="G69">
        <v>2</v>
      </c>
      <c r="H69">
        <v>7</v>
      </c>
      <c r="I69" t="s">
        <v>1347</v>
      </c>
    </row>
    <row r="70" spans="1:9" x14ac:dyDescent="0.2">
      <c r="A70" t="s">
        <v>184</v>
      </c>
      <c r="B70">
        <v>49</v>
      </c>
      <c r="C70">
        <v>4</v>
      </c>
      <c r="D70">
        <v>0</v>
      </c>
      <c r="E70">
        <v>-25</v>
      </c>
      <c r="F70" s="1">
        <v>8.2095963880419696E-3</v>
      </c>
      <c r="G70">
        <v>9</v>
      </c>
      <c r="H70">
        <v>9</v>
      </c>
      <c r="I70" t="s">
        <v>1348</v>
      </c>
    </row>
    <row r="71" spans="1:9" x14ac:dyDescent="0.2">
      <c r="A71" t="s">
        <v>186</v>
      </c>
      <c r="B71">
        <v>50</v>
      </c>
      <c r="C71">
        <v>19</v>
      </c>
      <c r="D71">
        <v>0</v>
      </c>
      <c r="E71">
        <v>-13</v>
      </c>
      <c r="F71" s="1">
        <v>1.1270497925579499E-2</v>
      </c>
      <c r="G71">
        <v>9</v>
      </c>
      <c r="H71">
        <v>9</v>
      </c>
      <c r="I71" t="s">
        <v>1341</v>
      </c>
    </row>
    <row r="72" spans="1:9" x14ac:dyDescent="0.2">
      <c r="A72" t="s">
        <v>188</v>
      </c>
      <c r="B72">
        <v>51</v>
      </c>
      <c r="C72">
        <v>28</v>
      </c>
      <c r="D72">
        <v>9</v>
      </c>
      <c r="E72">
        <v>0</v>
      </c>
      <c r="F72" s="1">
        <v>7.0126235485076904E-2</v>
      </c>
      <c r="G72">
        <v>2</v>
      </c>
      <c r="H72">
        <v>7</v>
      </c>
      <c r="I72" t="s">
        <v>1349</v>
      </c>
    </row>
    <row r="73" spans="1:9" x14ac:dyDescent="0.2">
      <c r="A73" t="s">
        <v>190</v>
      </c>
      <c r="B73">
        <v>52</v>
      </c>
      <c r="C73">
        <v>15</v>
      </c>
      <c r="D73">
        <v>0</v>
      </c>
      <c r="E73">
        <v>-17</v>
      </c>
      <c r="F73" s="1">
        <v>1.1028458364307801E-2</v>
      </c>
      <c r="G73">
        <v>9</v>
      </c>
      <c r="H73">
        <v>9</v>
      </c>
      <c r="I73" t="s">
        <v>1350</v>
      </c>
    </row>
    <row r="74" spans="1:9" x14ac:dyDescent="0.2">
      <c r="A74" t="s">
        <v>192</v>
      </c>
      <c r="B74">
        <v>53</v>
      </c>
      <c r="C74">
        <v>16</v>
      </c>
      <c r="D74">
        <v>0</v>
      </c>
      <c r="E74">
        <v>-17</v>
      </c>
      <c r="F74" s="1">
        <v>1.1411239393055401E-2</v>
      </c>
      <c r="G74">
        <v>9</v>
      </c>
      <c r="H74">
        <v>9</v>
      </c>
      <c r="I74" t="s">
        <v>1350</v>
      </c>
    </row>
    <row r="75" spans="1:9" x14ac:dyDescent="0.2">
      <c r="A75" t="s">
        <v>194</v>
      </c>
      <c r="B75">
        <v>54</v>
      </c>
      <c r="C75">
        <v>31</v>
      </c>
      <c r="D75">
        <v>9</v>
      </c>
      <c r="E75">
        <v>0</v>
      </c>
      <c r="F75" s="1">
        <v>9.9193476140499101E-2</v>
      </c>
      <c r="G75">
        <v>2</v>
      </c>
      <c r="H75">
        <v>7</v>
      </c>
      <c r="I75" t="s">
        <v>1349</v>
      </c>
    </row>
    <row r="76" spans="1:9" x14ac:dyDescent="0.2">
      <c r="A76" t="s">
        <v>196</v>
      </c>
      <c r="B76">
        <v>55</v>
      </c>
      <c r="C76">
        <v>23</v>
      </c>
      <c r="D76">
        <v>0</v>
      </c>
      <c r="E76">
        <v>-13</v>
      </c>
      <c r="F76" s="1">
        <v>1.28740314394235E-2</v>
      </c>
      <c r="G76">
        <v>9</v>
      </c>
      <c r="H76">
        <v>9</v>
      </c>
      <c r="I76" t="s">
        <v>1343</v>
      </c>
    </row>
    <row r="77" spans="1:9" x14ac:dyDescent="0.2">
      <c r="A77" t="s">
        <v>198</v>
      </c>
      <c r="B77">
        <v>56</v>
      </c>
      <c r="C77">
        <v>17</v>
      </c>
      <c r="D77">
        <v>0</v>
      </c>
      <c r="E77">
        <v>-17</v>
      </c>
      <c r="F77" s="1">
        <v>1.2288149446249E-2</v>
      </c>
      <c r="G77">
        <v>9</v>
      </c>
      <c r="H77">
        <v>9</v>
      </c>
      <c r="I77" t="s">
        <v>1351</v>
      </c>
    </row>
    <row r="78" spans="1:9" x14ac:dyDescent="0.2">
      <c r="A78" t="s">
        <v>200</v>
      </c>
      <c r="B78">
        <v>57</v>
      </c>
      <c r="C78">
        <v>18</v>
      </c>
      <c r="D78">
        <v>0</v>
      </c>
      <c r="E78">
        <v>-17</v>
      </c>
      <c r="F78" s="1">
        <v>1.22591666877269E-2</v>
      </c>
      <c r="G78">
        <v>9</v>
      </c>
      <c r="H78">
        <v>9</v>
      </c>
      <c r="I78" t="s">
        <v>1351</v>
      </c>
    </row>
    <row r="79" spans="1:9" x14ac:dyDescent="0.2">
      <c r="A79" t="s">
        <v>202</v>
      </c>
      <c r="B79">
        <v>58</v>
      </c>
      <c r="C79">
        <v>3</v>
      </c>
      <c r="D79">
        <v>0</v>
      </c>
      <c r="E79">
        <v>-32</v>
      </c>
      <c r="F79" s="1">
        <v>8.9770462363958307E-3</v>
      </c>
      <c r="G79">
        <v>9</v>
      </c>
      <c r="H79">
        <v>9</v>
      </c>
      <c r="I79" t="s">
        <v>1352</v>
      </c>
    </row>
    <row r="80" spans="1:9" x14ac:dyDescent="0.2">
      <c r="A80" t="s">
        <v>204</v>
      </c>
      <c r="B80">
        <v>59</v>
      </c>
      <c r="C80">
        <v>19</v>
      </c>
      <c r="D80">
        <v>0</v>
      </c>
      <c r="E80">
        <v>-17</v>
      </c>
      <c r="F80" s="1">
        <v>1.3078583404421799E-2</v>
      </c>
      <c r="G80">
        <v>9</v>
      </c>
      <c r="H80">
        <v>9</v>
      </c>
      <c r="I80" t="s">
        <v>1353</v>
      </c>
    </row>
    <row r="81" spans="1:9" x14ac:dyDescent="0.2">
      <c r="A81" t="s">
        <v>206</v>
      </c>
      <c r="B81">
        <v>60</v>
      </c>
      <c r="C81">
        <v>20</v>
      </c>
      <c r="D81">
        <v>0</v>
      </c>
      <c r="E81">
        <v>-17</v>
      </c>
      <c r="F81" s="1">
        <v>1.32807744666934E-2</v>
      </c>
      <c r="G81">
        <v>9</v>
      </c>
      <c r="H81">
        <v>9</v>
      </c>
      <c r="I81" t="s">
        <v>1353</v>
      </c>
    </row>
    <row r="82" spans="1:9" x14ac:dyDescent="0.2">
      <c r="A82" t="s">
        <v>208</v>
      </c>
      <c r="B82">
        <v>61</v>
      </c>
      <c r="C82">
        <v>18</v>
      </c>
      <c r="D82">
        <v>0</v>
      </c>
      <c r="E82">
        <v>-19</v>
      </c>
      <c r="F82" s="1">
        <v>1.34729854762554E-2</v>
      </c>
      <c r="G82">
        <v>9</v>
      </c>
      <c r="H82">
        <v>9</v>
      </c>
      <c r="I82" t="s">
        <v>1354</v>
      </c>
    </row>
    <row r="83" spans="1:9" x14ac:dyDescent="0.2">
      <c r="A83" t="s">
        <v>210</v>
      </c>
      <c r="B83">
        <v>62</v>
      </c>
      <c r="C83">
        <v>21</v>
      </c>
      <c r="D83">
        <v>0</v>
      </c>
      <c r="E83">
        <v>-17</v>
      </c>
      <c r="F83" s="1">
        <v>1.4205299317836701E-2</v>
      </c>
      <c r="G83">
        <v>9</v>
      </c>
      <c r="H83">
        <v>9</v>
      </c>
      <c r="I83" t="s">
        <v>1355</v>
      </c>
    </row>
    <row r="84" spans="1:9" x14ac:dyDescent="0.2">
      <c r="A84" t="s">
        <v>212</v>
      </c>
      <c r="B84">
        <v>63</v>
      </c>
      <c r="C84">
        <v>23</v>
      </c>
      <c r="D84">
        <v>0</v>
      </c>
      <c r="E84">
        <v>-16</v>
      </c>
      <c r="F84" s="1">
        <v>1.47208552807569E-2</v>
      </c>
      <c r="G84">
        <v>9</v>
      </c>
      <c r="H84">
        <v>9</v>
      </c>
      <c r="I84" t="s">
        <v>1353</v>
      </c>
    </row>
    <row r="85" spans="1:9" x14ac:dyDescent="0.2">
      <c r="A85" t="s">
        <v>214</v>
      </c>
      <c r="B85">
        <v>64</v>
      </c>
      <c r="C85">
        <v>24</v>
      </c>
      <c r="D85">
        <v>0</v>
      </c>
      <c r="E85">
        <v>-16</v>
      </c>
      <c r="F85" s="1">
        <v>1.50051629170775E-2</v>
      </c>
      <c r="G85">
        <v>9</v>
      </c>
      <c r="H85">
        <v>9</v>
      </c>
      <c r="I85" t="s">
        <v>1353</v>
      </c>
    </row>
    <row r="86" spans="1:9" x14ac:dyDescent="0.2">
      <c r="A86" t="s">
        <v>216</v>
      </c>
      <c r="B86">
        <v>65</v>
      </c>
      <c r="C86">
        <v>31</v>
      </c>
      <c r="D86">
        <v>0</v>
      </c>
      <c r="E86">
        <v>-13</v>
      </c>
      <c r="F86" s="1">
        <v>1.5831920318305399E-2</v>
      </c>
      <c r="G86">
        <v>9</v>
      </c>
      <c r="H86">
        <v>9</v>
      </c>
      <c r="I86" t="s">
        <v>1356</v>
      </c>
    </row>
    <row r="87" spans="1:9" x14ac:dyDescent="0.2">
      <c r="A87" t="s">
        <v>218</v>
      </c>
      <c r="B87">
        <v>66</v>
      </c>
      <c r="C87">
        <v>32</v>
      </c>
      <c r="D87">
        <v>0</v>
      </c>
      <c r="E87">
        <v>-13</v>
      </c>
      <c r="F87" s="1">
        <v>1.5987695194780799E-2</v>
      </c>
      <c r="G87">
        <v>9</v>
      </c>
      <c r="H87">
        <v>9</v>
      </c>
      <c r="I87" t="s">
        <v>1356</v>
      </c>
    </row>
    <row r="88" spans="1:9" x14ac:dyDescent="0.2">
      <c r="A88" t="s">
        <v>220</v>
      </c>
      <c r="B88">
        <v>67</v>
      </c>
      <c r="C88">
        <v>33</v>
      </c>
      <c r="D88">
        <v>0</v>
      </c>
      <c r="E88">
        <v>-13</v>
      </c>
      <c r="F88" s="1">
        <v>1.6900085844099501E-2</v>
      </c>
      <c r="G88">
        <v>9</v>
      </c>
      <c r="H88">
        <v>9</v>
      </c>
      <c r="I88" t="s">
        <v>1356</v>
      </c>
    </row>
    <row r="89" spans="1:9" x14ac:dyDescent="0.2">
      <c r="A89" t="s">
        <v>222</v>
      </c>
      <c r="B89">
        <v>68</v>
      </c>
      <c r="C89">
        <v>34</v>
      </c>
      <c r="D89">
        <v>0</v>
      </c>
      <c r="E89">
        <v>-13</v>
      </c>
      <c r="F89" s="1">
        <v>1.7333247698843399E-2</v>
      </c>
      <c r="G89">
        <v>9</v>
      </c>
      <c r="H89">
        <v>9</v>
      </c>
      <c r="I89" t="s">
        <v>1356</v>
      </c>
    </row>
    <row r="90" spans="1:9" x14ac:dyDescent="0.2">
      <c r="A90" t="s">
        <v>224</v>
      </c>
      <c r="B90">
        <v>69</v>
      </c>
      <c r="C90">
        <v>35</v>
      </c>
      <c r="D90">
        <v>0</v>
      </c>
      <c r="E90">
        <v>-13</v>
      </c>
      <c r="F90" s="1">
        <v>1.70629117637872E-2</v>
      </c>
      <c r="G90">
        <v>9</v>
      </c>
      <c r="H90">
        <v>9</v>
      </c>
      <c r="I90" t="s">
        <v>1356</v>
      </c>
    </row>
    <row r="91" spans="1:9" x14ac:dyDescent="0.2">
      <c r="A91" t="s">
        <v>226</v>
      </c>
      <c r="B91">
        <v>70</v>
      </c>
      <c r="C91">
        <v>36</v>
      </c>
      <c r="D91">
        <v>0</v>
      </c>
      <c r="E91">
        <v>-13</v>
      </c>
      <c r="F91" s="1">
        <v>1.7202991060912599E-2</v>
      </c>
      <c r="G91">
        <v>9</v>
      </c>
      <c r="H91">
        <v>9</v>
      </c>
      <c r="I91" t="s">
        <v>1356</v>
      </c>
    </row>
    <row r="92" spans="1:9" x14ac:dyDescent="0.2">
      <c r="A92" t="s">
        <v>228</v>
      </c>
      <c r="B92">
        <v>71</v>
      </c>
      <c r="C92">
        <v>12</v>
      </c>
      <c r="D92">
        <v>0</v>
      </c>
      <c r="E92">
        <v>-29</v>
      </c>
      <c r="F92" s="1">
        <v>1.37551100924611E-2</v>
      </c>
      <c r="G92">
        <v>9</v>
      </c>
      <c r="H92">
        <v>9</v>
      </c>
      <c r="I92" t="s">
        <v>1357</v>
      </c>
    </row>
    <row r="93" spans="1:9" x14ac:dyDescent="0.2">
      <c r="A93" t="s">
        <v>230</v>
      </c>
      <c r="B93">
        <v>72</v>
      </c>
      <c r="C93">
        <v>37</v>
      </c>
      <c r="D93">
        <v>0</v>
      </c>
      <c r="E93">
        <v>-13</v>
      </c>
      <c r="F93" s="1">
        <v>1.8434856086969299E-2</v>
      </c>
      <c r="G93">
        <v>9</v>
      </c>
      <c r="H93">
        <v>9</v>
      </c>
      <c r="I93" t="s">
        <v>1342</v>
      </c>
    </row>
    <row r="94" spans="1:9" x14ac:dyDescent="0.2">
      <c r="A94" t="s">
        <v>232</v>
      </c>
      <c r="B94">
        <v>73</v>
      </c>
      <c r="C94">
        <v>38</v>
      </c>
      <c r="D94">
        <v>0</v>
      </c>
      <c r="E94">
        <v>-13</v>
      </c>
      <c r="F94" s="1">
        <v>1.8653704784810501E-2</v>
      </c>
      <c r="G94">
        <v>9</v>
      </c>
      <c r="H94">
        <v>9</v>
      </c>
      <c r="I94" t="s">
        <v>1342</v>
      </c>
    </row>
    <row r="95" spans="1:9" x14ac:dyDescent="0.2">
      <c r="A95" t="s">
        <v>234</v>
      </c>
      <c r="B95">
        <v>74</v>
      </c>
      <c r="C95">
        <v>9</v>
      </c>
      <c r="D95">
        <v>0</v>
      </c>
      <c r="E95">
        <v>-32</v>
      </c>
      <c r="F95" s="1">
        <v>1.34263262152671E-2</v>
      </c>
      <c r="G95">
        <v>9</v>
      </c>
      <c r="H95">
        <v>9</v>
      </c>
      <c r="I95" t="s">
        <v>1358</v>
      </c>
    </row>
    <row r="96" spans="1:9" x14ac:dyDescent="0.2">
      <c r="A96" t="s">
        <v>236</v>
      </c>
      <c r="B96">
        <v>75</v>
      </c>
      <c r="C96">
        <v>28</v>
      </c>
      <c r="D96">
        <v>0</v>
      </c>
      <c r="E96">
        <v>-19</v>
      </c>
      <c r="F96" s="1">
        <v>1.8821706064045401E-2</v>
      </c>
      <c r="G96">
        <v>9</v>
      </c>
      <c r="H96">
        <v>9</v>
      </c>
      <c r="I96" t="s">
        <v>1359</v>
      </c>
    </row>
    <row r="97" spans="1:9" x14ac:dyDescent="0.2">
      <c r="A97" t="s">
        <v>238</v>
      </c>
      <c r="B97">
        <v>76</v>
      </c>
      <c r="C97">
        <v>40</v>
      </c>
      <c r="D97">
        <v>12</v>
      </c>
      <c r="E97">
        <v>0</v>
      </c>
      <c r="F97" s="1">
        <v>2.44812415912747E-2</v>
      </c>
      <c r="G97">
        <v>1</v>
      </c>
      <c r="H97">
        <v>9</v>
      </c>
      <c r="I97" t="s">
        <v>1360</v>
      </c>
    </row>
    <row r="98" spans="1:9" x14ac:dyDescent="0.2">
      <c r="A98" t="s">
        <v>240</v>
      </c>
      <c r="B98">
        <v>77</v>
      </c>
      <c r="C98">
        <v>40</v>
      </c>
      <c r="D98">
        <v>0</v>
      </c>
      <c r="E98">
        <v>-13</v>
      </c>
      <c r="F98" s="1">
        <v>2.0788979716598901E-2</v>
      </c>
      <c r="G98">
        <v>9</v>
      </c>
      <c r="H98">
        <v>9</v>
      </c>
      <c r="I98" t="s">
        <v>1350</v>
      </c>
    </row>
    <row r="99" spans="1:9" x14ac:dyDescent="0.2">
      <c r="A99" t="s">
        <v>242</v>
      </c>
      <c r="B99">
        <v>78</v>
      </c>
      <c r="C99">
        <v>29</v>
      </c>
      <c r="D99">
        <v>0</v>
      </c>
      <c r="E99">
        <v>-19</v>
      </c>
      <c r="F99" s="1">
        <v>2.02885270118713E-2</v>
      </c>
      <c r="G99">
        <v>9</v>
      </c>
      <c r="H99">
        <v>9</v>
      </c>
      <c r="I99" t="s">
        <v>1361</v>
      </c>
    </row>
    <row r="100" spans="1:9" x14ac:dyDescent="0.2">
      <c r="A100" t="s">
        <v>244</v>
      </c>
      <c r="B100">
        <v>79</v>
      </c>
      <c r="C100">
        <v>20</v>
      </c>
      <c r="D100">
        <v>0</v>
      </c>
      <c r="E100">
        <v>-24</v>
      </c>
      <c r="F100" s="1">
        <v>1.7350950278341701E-2</v>
      </c>
      <c r="G100">
        <v>9</v>
      </c>
      <c r="H100">
        <v>9</v>
      </c>
      <c r="I100" t="s">
        <v>1357</v>
      </c>
    </row>
    <row r="101" spans="1:9" x14ac:dyDescent="0.2">
      <c r="A101" t="s">
        <v>246</v>
      </c>
      <c r="B101">
        <v>80</v>
      </c>
      <c r="C101">
        <v>47</v>
      </c>
      <c r="D101">
        <v>11</v>
      </c>
      <c r="E101">
        <v>0</v>
      </c>
      <c r="F101" s="1">
        <v>7.2210431098937905E-2</v>
      </c>
      <c r="G101">
        <v>2</v>
      </c>
      <c r="H101">
        <v>9</v>
      </c>
      <c r="I101" t="s">
        <v>1362</v>
      </c>
    </row>
    <row r="102" spans="1:9" x14ac:dyDescent="0.2">
      <c r="A102" t="s">
        <v>248</v>
      </c>
      <c r="B102">
        <v>81</v>
      </c>
      <c r="C102">
        <v>48</v>
      </c>
      <c r="D102">
        <v>11</v>
      </c>
      <c r="E102">
        <v>0</v>
      </c>
      <c r="F102" s="1">
        <v>7.4710420332848998E-2</v>
      </c>
      <c r="G102">
        <v>2</v>
      </c>
      <c r="H102">
        <v>9</v>
      </c>
      <c r="I102" t="s">
        <v>1362</v>
      </c>
    </row>
    <row r="103" spans="1:9" x14ac:dyDescent="0.2">
      <c r="A103" t="s">
        <v>250</v>
      </c>
      <c r="B103">
        <v>82</v>
      </c>
      <c r="C103">
        <v>43</v>
      </c>
      <c r="D103">
        <v>0</v>
      </c>
      <c r="E103">
        <v>-13</v>
      </c>
      <c r="F103" s="1">
        <v>2.2646688856184399E-2</v>
      </c>
      <c r="G103">
        <v>9</v>
      </c>
      <c r="H103">
        <v>9</v>
      </c>
      <c r="I103" t="s">
        <v>1351</v>
      </c>
    </row>
    <row r="104" spans="1:9" x14ac:dyDescent="0.2">
      <c r="A104" t="s">
        <v>252</v>
      </c>
      <c r="B104">
        <v>83</v>
      </c>
      <c r="C104">
        <v>41</v>
      </c>
      <c r="D104">
        <v>0</v>
      </c>
      <c r="E104">
        <v>-15</v>
      </c>
      <c r="F104" s="1">
        <v>2.28203805163502E-2</v>
      </c>
      <c r="G104">
        <v>9</v>
      </c>
      <c r="H104">
        <v>9</v>
      </c>
      <c r="I104" t="s">
        <v>1363</v>
      </c>
    </row>
    <row r="105" spans="1:9" x14ac:dyDescent="0.2">
      <c r="A105" t="s">
        <v>254</v>
      </c>
      <c r="B105">
        <v>84</v>
      </c>
      <c r="C105">
        <v>42</v>
      </c>
      <c r="D105">
        <v>0</v>
      </c>
      <c r="E105">
        <v>-15</v>
      </c>
      <c r="F105" s="1">
        <v>2.3414174094796101E-2</v>
      </c>
      <c r="G105">
        <v>9</v>
      </c>
      <c r="H105">
        <v>9</v>
      </c>
      <c r="I105" t="s">
        <v>1363</v>
      </c>
    </row>
    <row r="106" spans="1:9" x14ac:dyDescent="0.2">
      <c r="A106" t="s">
        <v>256</v>
      </c>
      <c r="B106">
        <v>85</v>
      </c>
      <c r="C106">
        <v>23</v>
      </c>
      <c r="D106">
        <v>0</v>
      </c>
      <c r="E106">
        <v>-24</v>
      </c>
      <c r="F106" s="1">
        <v>1.9130593165755199E-2</v>
      </c>
      <c r="G106">
        <v>9</v>
      </c>
      <c r="H106">
        <v>9</v>
      </c>
      <c r="I106" t="s">
        <v>1364</v>
      </c>
    </row>
    <row r="107" spans="1:9" x14ac:dyDescent="0.2">
      <c r="A107" t="s">
        <v>258</v>
      </c>
      <c r="B107">
        <v>86</v>
      </c>
      <c r="C107">
        <v>23</v>
      </c>
      <c r="D107">
        <v>0</v>
      </c>
      <c r="E107">
        <v>-25</v>
      </c>
      <c r="F107" s="1">
        <v>1.9358798861503601E-2</v>
      </c>
      <c r="G107">
        <v>9</v>
      </c>
      <c r="H107">
        <v>9</v>
      </c>
      <c r="I107" t="s">
        <v>1365</v>
      </c>
    </row>
    <row r="108" spans="1:9" x14ac:dyDescent="0.2">
      <c r="A108" t="s">
        <v>260</v>
      </c>
      <c r="B108">
        <v>87</v>
      </c>
      <c r="C108">
        <v>45</v>
      </c>
      <c r="D108">
        <v>0</v>
      </c>
      <c r="E108">
        <v>-15</v>
      </c>
      <c r="F108" s="1">
        <v>2.5435240939259501E-2</v>
      </c>
      <c r="G108">
        <v>9</v>
      </c>
      <c r="H108">
        <v>9</v>
      </c>
      <c r="I108" t="s">
        <v>1363</v>
      </c>
    </row>
    <row r="109" spans="1:9" x14ac:dyDescent="0.2">
      <c r="A109" t="s">
        <v>262</v>
      </c>
      <c r="B109">
        <v>88</v>
      </c>
      <c r="C109">
        <v>49</v>
      </c>
      <c r="D109">
        <v>0</v>
      </c>
      <c r="E109">
        <v>-13</v>
      </c>
      <c r="F109" s="1">
        <v>2.48117698356509E-2</v>
      </c>
      <c r="G109">
        <v>9</v>
      </c>
      <c r="H109">
        <v>9</v>
      </c>
      <c r="I109" t="s">
        <v>1351</v>
      </c>
    </row>
    <row r="110" spans="1:9" x14ac:dyDescent="0.2">
      <c r="A110" t="s">
        <v>264</v>
      </c>
      <c r="B110">
        <v>89</v>
      </c>
      <c r="C110">
        <v>32</v>
      </c>
      <c r="D110">
        <v>0</v>
      </c>
      <c r="E110">
        <v>-21</v>
      </c>
      <c r="F110" s="1">
        <v>2.2389640100300302E-2</v>
      </c>
      <c r="G110">
        <v>9</v>
      </c>
      <c r="H110">
        <v>9</v>
      </c>
      <c r="I110" t="s">
        <v>1366</v>
      </c>
    </row>
    <row r="111" spans="1:9" x14ac:dyDescent="0.2">
      <c r="A111" t="s">
        <v>266</v>
      </c>
      <c r="B111">
        <v>90</v>
      </c>
      <c r="C111">
        <v>33</v>
      </c>
      <c r="D111">
        <v>0</v>
      </c>
      <c r="E111">
        <v>-21</v>
      </c>
      <c r="F111" s="1">
        <v>2.2574227303266501E-2</v>
      </c>
      <c r="G111">
        <v>9</v>
      </c>
      <c r="H111">
        <v>9</v>
      </c>
      <c r="I111" t="s">
        <v>1366</v>
      </c>
    </row>
    <row r="112" spans="1:9" x14ac:dyDescent="0.2">
      <c r="A112" t="s">
        <v>268</v>
      </c>
      <c r="B112">
        <v>91</v>
      </c>
      <c r="C112">
        <v>26</v>
      </c>
      <c r="D112">
        <v>0</v>
      </c>
      <c r="E112">
        <v>-25</v>
      </c>
      <c r="F112" s="1">
        <v>2.1792066283524002E-2</v>
      </c>
      <c r="G112">
        <v>9</v>
      </c>
      <c r="H112">
        <v>9</v>
      </c>
      <c r="I112" t="s">
        <v>1358</v>
      </c>
    </row>
    <row r="113" spans="1:9" x14ac:dyDescent="0.2">
      <c r="A113" t="s">
        <v>270</v>
      </c>
      <c r="B113">
        <v>92</v>
      </c>
      <c r="C113">
        <v>52</v>
      </c>
      <c r="D113">
        <v>0</v>
      </c>
      <c r="E113">
        <v>-13</v>
      </c>
      <c r="F113" s="1">
        <v>2.69667906686663E-2</v>
      </c>
      <c r="G113">
        <v>9</v>
      </c>
      <c r="H113">
        <v>9</v>
      </c>
      <c r="I113" t="s">
        <v>1353</v>
      </c>
    </row>
    <row r="114" spans="1:9" x14ac:dyDescent="0.2">
      <c r="A114" t="s">
        <v>272</v>
      </c>
      <c r="B114">
        <v>93</v>
      </c>
      <c r="C114">
        <v>53</v>
      </c>
      <c r="D114">
        <v>0</v>
      </c>
      <c r="E114">
        <v>-13</v>
      </c>
      <c r="F114" s="1">
        <v>2.7124621905386399E-2</v>
      </c>
      <c r="G114">
        <v>9</v>
      </c>
      <c r="H114">
        <v>9</v>
      </c>
      <c r="I114" t="s">
        <v>1353</v>
      </c>
    </row>
    <row r="115" spans="1:9" x14ac:dyDescent="0.2">
      <c r="A115" t="s">
        <v>274</v>
      </c>
      <c r="B115">
        <v>94</v>
      </c>
      <c r="C115">
        <v>54</v>
      </c>
      <c r="D115">
        <v>0</v>
      </c>
      <c r="E115">
        <v>-13</v>
      </c>
      <c r="F115" s="1">
        <v>2.7254845015704601E-2</v>
      </c>
      <c r="G115">
        <v>9</v>
      </c>
      <c r="H115">
        <v>9</v>
      </c>
      <c r="I115" t="s">
        <v>1353</v>
      </c>
    </row>
    <row r="116" spans="1:9" x14ac:dyDescent="0.2">
      <c r="A116" t="s">
        <v>276</v>
      </c>
      <c r="B116">
        <v>95</v>
      </c>
      <c r="C116">
        <v>46</v>
      </c>
      <c r="D116">
        <v>0</v>
      </c>
      <c r="E116">
        <v>-17</v>
      </c>
      <c r="F116" s="1">
        <v>2.7487412095069799E-2</v>
      </c>
      <c r="G116">
        <v>9</v>
      </c>
      <c r="H116">
        <v>9</v>
      </c>
      <c r="I116" t="s">
        <v>1361</v>
      </c>
    </row>
    <row r="117" spans="1:9" x14ac:dyDescent="0.2">
      <c r="A117" t="s">
        <v>278</v>
      </c>
      <c r="B117">
        <v>96</v>
      </c>
      <c r="C117">
        <v>48</v>
      </c>
      <c r="D117">
        <v>0</v>
      </c>
      <c r="E117">
        <v>-16</v>
      </c>
      <c r="F117" s="1">
        <v>2.8546096757054301E-2</v>
      </c>
      <c r="G117">
        <v>9</v>
      </c>
      <c r="H117">
        <v>9</v>
      </c>
      <c r="I117" t="s">
        <v>1367</v>
      </c>
    </row>
    <row r="118" spans="1:9" x14ac:dyDescent="0.2">
      <c r="A118" t="s">
        <v>280</v>
      </c>
      <c r="B118">
        <v>97</v>
      </c>
      <c r="C118">
        <v>50</v>
      </c>
      <c r="D118">
        <v>0</v>
      </c>
      <c r="E118">
        <v>-15</v>
      </c>
      <c r="F118" s="1">
        <v>2.87251016125082E-2</v>
      </c>
      <c r="G118">
        <v>9</v>
      </c>
      <c r="H118">
        <v>9</v>
      </c>
      <c r="I118" t="s">
        <v>1359</v>
      </c>
    </row>
    <row r="119" spans="1:9" x14ac:dyDescent="0.2">
      <c r="A119" t="s">
        <v>282</v>
      </c>
      <c r="B119">
        <v>98</v>
      </c>
      <c r="C119">
        <v>51</v>
      </c>
      <c r="D119">
        <v>0</v>
      </c>
      <c r="E119">
        <v>-15</v>
      </c>
      <c r="F119" s="1">
        <v>2.9286187142133699E-2</v>
      </c>
      <c r="G119">
        <v>9</v>
      </c>
      <c r="H119">
        <v>9</v>
      </c>
      <c r="I119" t="s">
        <v>1359</v>
      </c>
    </row>
    <row r="120" spans="1:9" x14ac:dyDescent="0.2">
      <c r="A120" t="s">
        <v>284</v>
      </c>
      <c r="B120">
        <v>99</v>
      </c>
      <c r="C120">
        <v>52</v>
      </c>
      <c r="D120">
        <v>0</v>
      </c>
      <c r="E120">
        <v>-15</v>
      </c>
      <c r="F120" s="1">
        <v>2.9266626574099001E-2</v>
      </c>
      <c r="G120">
        <v>9</v>
      </c>
      <c r="H120">
        <v>9</v>
      </c>
      <c r="I120" t="s">
        <v>1359</v>
      </c>
    </row>
    <row r="121" spans="1:9" x14ac:dyDescent="0.2">
      <c r="A121" t="s">
        <v>286</v>
      </c>
      <c r="B121">
        <v>100</v>
      </c>
      <c r="C121">
        <v>52</v>
      </c>
      <c r="D121">
        <v>0</v>
      </c>
      <c r="E121">
        <v>-16</v>
      </c>
      <c r="F121" s="1">
        <v>2.9586694203317099E-2</v>
      </c>
      <c r="G121">
        <v>9</v>
      </c>
      <c r="H121">
        <v>9</v>
      </c>
      <c r="I121" t="s">
        <v>1367</v>
      </c>
    </row>
    <row r="122" spans="1:9" x14ac:dyDescent="0.2">
      <c r="A122" t="s">
        <v>288</v>
      </c>
      <c r="B122">
        <v>101</v>
      </c>
      <c r="C122">
        <v>53</v>
      </c>
      <c r="D122">
        <v>0</v>
      </c>
      <c r="E122">
        <v>-15</v>
      </c>
      <c r="F122" s="1">
        <v>3.1251741573214503E-2</v>
      </c>
      <c r="G122">
        <v>9</v>
      </c>
      <c r="H122">
        <v>9</v>
      </c>
      <c r="I122" t="s">
        <v>1367</v>
      </c>
    </row>
    <row r="123" spans="1:9" x14ac:dyDescent="0.2">
      <c r="A123" t="s">
        <v>290</v>
      </c>
      <c r="B123">
        <v>102</v>
      </c>
      <c r="C123">
        <v>54</v>
      </c>
      <c r="D123">
        <v>0</v>
      </c>
      <c r="E123">
        <v>-15</v>
      </c>
      <c r="F123" s="1">
        <v>3.1610080040991299E-2</v>
      </c>
      <c r="G123">
        <v>9</v>
      </c>
      <c r="H123">
        <v>9</v>
      </c>
      <c r="I123" t="s">
        <v>1367</v>
      </c>
    </row>
    <row r="124" spans="1:9" x14ac:dyDescent="0.2">
      <c r="A124" t="s">
        <v>292</v>
      </c>
      <c r="B124">
        <v>103</v>
      </c>
      <c r="C124">
        <v>34</v>
      </c>
      <c r="D124">
        <v>0</v>
      </c>
      <c r="E124">
        <v>-25</v>
      </c>
      <c r="F124" s="1">
        <v>2.72696502506732E-2</v>
      </c>
      <c r="G124">
        <v>9</v>
      </c>
      <c r="H124">
        <v>9</v>
      </c>
      <c r="I124" t="s">
        <v>1368</v>
      </c>
    </row>
    <row r="125" spans="1:9" x14ac:dyDescent="0.2">
      <c r="A125" t="s">
        <v>294</v>
      </c>
      <c r="B125">
        <v>104</v>
      </c>
      <c r="C125">
        <v>28</v>
      </c>
      <c r="D125">
        <v>0</v>
      </c>
      <c r="E125">
        <v>-29</v>
      </c>
      <c r="F125" s="1">
        <v>2.52371970564126E-2</v>
      </c>
      <c r="G125">
        <v>9</v>
      </c>
      <c r="H125">
        <v>9</v>
      </c>
      <c r="I125" t="s">
        <v>1369</v>
      </c>
    </row>
    <row r="126" spans="1:9" x14ac:dyDescent="0.2">
      <c r="A126" t="s">
        <v>296</v>
      </c>
      <c r="B126">
        <v>105</v>
      </c>
      <c r="C126">
        <v>54</v>
      </c>
      <c r="D126">
        <v>0</v>
      </c>
      <c r="E126">
        <v>-17</v>
      </c>
      <c r="F126" s="1">
        <v>3.3030775375664199E-2</v>
      </c>
      <c r="G126">
        <v>9</v>
      </c>
      <c r="H126">
        <v>9</v>
      </c>
      <c r="I126" t="s">
        <v>1370</v>
      </c>
    </row>
    <row r="127" spans="1:9" x14ac:dyDescent="0.2">
      <c r="A127" t="s">
        <v>298</v>
      </c>
      <c r="B127">
        <v>106</v>
      </c>
      <c r="C127">
        <v>44</v>
      </c>
      <c r="D127">
        <v>0</v>
      </c>
      <c r="E127">
        <v>-21</v>
      </c>
      <c r="F127" s="1">
        <v>3.1322521157562698E-2</v>
      </c>
      <c r="G127">
        <v>9</v>
      </c>
      <c r="H127">
        <v>9</v>
      </c>
      <c r="I127" t="s">
        <v>1364</v>
      </c>
    </row>
    <row r="128" spans="1:9" x14ac:dyDescent="0.2">
      <c r="A128" t="s">
        <v>300</v>
      </c>
      <c r="B128">
        <v>107</v>
      </c>
      <c r="C128">
        <v>45</v>
      </c>
      <c r="D128">
        <v>0</v>
      </c>
      <c r="E128">
        <v>-21</v>
      </c>
      <c r="F128" s="1">
        <v>3.1641180627048002E-2</v>
      </c>
      <c r="G128">
        <v>9</v>
      </c>
      <c r="H128">
        <v>9</v>
      </c>
      <c r="I128" t="s">
        <v>1364</v>
      </c>
    </row>
    <row r="129" spans="1:9" x14ac:dyDescent="0.2">
      <c r="A129" t="s">
        <v>302</v>
      </c>
      <c r="B129">
        <v>108</v>
      </c>
      <c r="C129">
        <v>55</v>
      </c>
      <c r="D129">
        <v>0</v>
      </c>
      <c r="E129">
        <v>-17</v>
      </c>
      <c r="F129" s="1">
        <v>3.4451507031917503E-2</v>
      </c>
      <c r="G129">
        <v>9</v>
      </c>
      <c r="H129">
        <v>9</v>
      </c>
      <c r="I129" t="s">
        <v>1371</v>
      </c>
    </row>
    <row r="130" spans="1:9" x14ac:dyDescent="0.2">
      <c r="A130" t="s">
        <v>304</v>
      </c>
      <c r="B130">
        <v>109</v>
      </c>
      <c r="C130">
        <v>37</v>
      </c>
      <c r="D130">
        <v>0</v>
      </c>
      <c r="E130">
        <v>-25</v>
      </c>
      <c r="F130" s="1">
        <v>3.01125589758157E-2</v>
      </c>
      <c r="G130">
        <v>9</v>
      </c>
      <c r="H130">
        <v>9</v>
      </c>
      <c r="I130" t="s">
        <v>1372</v>
      </c>
    </row>
    <row r="131" spans="1:9" x14ac:dyDescent="0.2">
      <c r="A131" t="s">
        <v>306</v>
      </c>
      <c r="B131">
        <v>110</v>
      </c>
      <c r="C131">
        <v>33</v>
      </c>
      <c r="D131">
        <v>0</v>
      </c>
      <c r="E131">
        <v>-28</v>
      </c>
      <c r="F131" s="1">
        <v>2.94116828590631E-2</v>
      </c>
      <c r="G131">
        <v>9</v>
      </c>
      <c r="H131">
        <v>9</v>
      </c>
      <c r="I131" t="s">
        <v>1373</v>
      </c>
    </row>
    <row r="132" spans="1:9" x14ac:dyDescent="0.2">
      <c r="A132" t="s">
        <v>308</v>
      </c>
      <c r="B132">
        <v>111</v>
      </c>
      <c r="C132">
        <v>57</v>
      </c>
      <c r="D132">
        <v>0</v>
      </c>
      <c r="E132">
        <v>-17</v>
      </c>
      <c r="F132" s="1">
        <v>3.4948329441249301E-2</v>
      </c>
      <c r="G132">
        <v>9</v>
      </c>
      <c r="H132">
        <v>9</v>
      </c>
      <c r="I132" t="s">
        <v>1374</v>
      </c>
    </row>
    <row r="133" spans="1:9" x14ac:dyDescent="0.2">
      <c r="A133" t="s">
        <v>310</v>
      </c>
      <c r="B133">
        <v>112</v>
      </c>
      <c r="C133">
        <v>36</v>
      </c>
      <c r="D133">
        <v>0</v>
      </c>
      <c r="E133">
        <v>-27</v>
      </c>
      <c r="F133" s="1">
        <v>3.0542202293872799E-2</v>
      </c>
      <c r="G133">
        <v>9</v>
      </c>
      <c r="H133">
        <v>9</v>
      </c>
      <c r="I133" t="s">
        <v>1369</v>
      </c>
    </row>
    <row r="134" spans="1:9" x14ac:dyDescent="0.2">
      <c r="A134" t="s">
        <v>312</v>
      </c>
      <c r="B134">
        <v>113</v>
      </c>
      <c r="C134">
        <v>26</v>
      </c>
      <c r="D134">
        <v>0</v>
      </c>
      <c r="E134">
        <v>-34</v>
      </c>
      <c r="F134" s="1">
        <v>2.7706778608262501E-2</v>
      </c>
      <c r="G134">
        <v>9</v>
      </c>
      <c r="H134">
        <v>9</v>
      </c>
      <c r="I134" t="s">
        <v>1375</v>
      </c>
    </row>
    <row r="135" spans="1:9" x14ac:dyDescent="0.2">
      <c r="A135" t="s">
        <v>314</v>
      </c>
      <c r="B135">
        <v>114</v>
      </c>
      <c r="C135">
        <v>27</v>
      </c>
      <c r="D135">
        <v>0</v>
      </c>
      <c r="E135">
        <v>-34</v>
      </c>
      <c r="F135" s="1">
        <v>2.8285159729421101E-2</v>
      </c>
      <c r="G135">
        <v>9</v>
      </c>
      <c r="H135">
        <v>9</v>
      </c>
      <c r="I135" t="s">
        <v>1375</v>
      </c>
    </row>
    <row r="136" spans="1:9" x14ac:dyDescent="0.2">
      <c r="A136" t="s">
        <v>316</v>
      </c>
      <c r="B136">
        <v>115</v>
      </c>
      <c r="C136">
        <v>29</v>
      </c>
      <c r="D136">
        <v>0</v>
      </c>
      <c r="E136">
        <v>-33</v>
      </c>
      <c r="F136" s="1">
        <v>2.92086275294423E-2</v>
      </c>
      <c r="G136">
        <v>9</v>
      </c>
      <c r="H136">
        <v>9</v>
      </c>
      <c r="I136" t="s">
        <v>1376</v>
      </c>
    </row>
    <row r="137" spans="1:9" x14ac:dyDescent="0.2">
      <c r="A137" t="s">
        <v>318</v>
      </c>
      <c r="B137">
        <v>116</v>
      </c>
      <c r="C137">
        <v>28</v>
      </c>
      <c r="D137">
        <v>0</v>
      </c>
      <c r="E137">
        <v>-34</v>
      </c>
      <c r="F137" s="1">
        <v>2.9203453101217702E-2</v>
      </c>
      <c r="G137">
        <v>9</v>
      </c>
      <c r="H137">
        <v>9</v>
      </c>
      <c r="I137" t="s">
        <v>1377</v>
      </c>
    </row>
    <row r="138" spans="1:9" x14ac:dyDescent="0.2">
      <c r="A138" t="s">
        <v>320</v>
      </c>
      <c r="B138">
        <v>117</v>
      </c>
      <c r="C138">
        <v>29</v>
      </c>
      <c r="D138">
        <v>0</v>
      </c>
      <c r="E138">
        <v>-34</v>
      </c>
      <c r="F138" s="1">
        <v>2.9739206656813601E-2</v>
      </c>
      <c r="G138">
        <v>9</v>
      </c>
      <c r="H138">
        <v>9</v>
      </c>
      <c r="I138" t="s">
        <v>1377</v>
      </c>
    </row>
    <row r="139" spans="1:9" x14ac:dyDescent="0.2">
      <c r="A139" t="s">
        <v>322</v>
      </c>
      <c r="B139">
        <v>118</v>
      </c>
      <c r="C139">
        <v>29</v>
      </c>
      <c r="D139">
        <v>0</v>
      </c>
      <c r="E139">
        <v>-35</v>
      </c>
      <c r="F139" s="1">
        <v>3.0050889588892401E-2</v>
      </c>
      <c r="G139">
        <v>9</v>
      </c>
      <c r="H139">
        <v>9</v>
      </c>
      <c r="I139" t="s">
        <v>1378</v>
      </c>
    </row>
    <row r="140" spans="1:9" x14ac:dyDescent="0.2">
      <c r="A140" t="s">
        <v>324</v>
      </c>
      <c r="B140">
        <v>119</v>
      </c>
      <c r="C140">
        <v>28</v>
      </c>
      <c r="D140">
        <v>0</v>
      </c>
      <c r="E140">
        <v>-36</v>
      </c>
      <c r="F140" s="1">
        <v>3.0196397565305198E-2</v>
      </c>
      <c r="G140">
        <v>9</v>
      </c>
      <c r="H140">
        <v>9</v>
      </c>
      <c r="I140" t="s">
        <v>1379</v>
      </c>
    </row>
    <row r="141" spans="1:9" x14ac:dyDescent="0.2">
      <c r="A141" t="s">
        <v>326</v>
      </c>
      <c r="B141">
        <v>120</v>
      </c>
      <c r="C141">
        <v>29</v>
      </c>
      <c r="D141">
        <v>0</v>
      </c>
      <c r="E141">
        <v>-36</v>
      </c>
      <c r="F141" s="1">
        <v>3.0888427048921498E-2</v>
      </c>
      <c r="G141">
        <v>9</v>
      </c>
      <c r="H141">
        <v>9</v>
      </c>
      <c r="I141" t="s">
        <v>1379</v>
      </c>
    </row>
    <row r="142" spans="1:9" x14ac:dyDescent="0.2">
      <c r="A142" t="s">
        <v>328</v>
      </c>
      <c r="B142">
        <v>121</v>
      </c>
      <c r="C142">
        <v>29</v>
      </c>
      <c r="D142">
        <v>0</v>
      </c>
      <c r="E142">
        <v>-37</v>
      </c>
      <c r="F142" s="1">
        <v>3.1265523284673601E-2</v>
      </c>
      <c r="G142">
        <v>9</v>
      </c>
      <c r="H142">
        <v>9</v>
      </c>
      <c r="I142" t="s">
        <v>1380</v>
      </c>
    </row>
    <row r="143" spans="1:9" x14ac:dyDescent="0.2">
      <c r="A143" t="s">
        <v>330</v>
      </c>
      <c r="B143">
        <v>122</v>
      </c>
      <c r="C143">
        <v>47</v>
      </c>
      <c r="D143">
        <v>0</v>
      </c>
      <c r="E143">
        <v>-25</v>
      </c>
      <c r="F143" s="1">
        <v>3.8506014272570603E-2</v>
      </c>
      <c r="G143">
        <v>9</v>
      </c>
      <c r="H143">
        <v>9</v>
      </c>
      <c r="I143" t="s">
        <v>1381</v>
      </c>
    </row>
    <row r="144" spans="1:9" x14ac:dyDescent="0.2">
      <c r="A144" t="s">
        <v>332</v>
      </c>
      <c r="B144">
        <v>123</v>
      </c>
      <c r="C144">
        <v>48</v>
      </c>
      <c r="D144">
        <v>0</v>
      </c>
      <c r="E144">
        <v>-25</v>
      </c>
      <c r="F144" s="1">
        <v>3.9464589208364403E-2</v>
      </c>
      <c r="G144">
        <v>9</v>
      </c>
      <c r="H144">
        <v>9</v>
      </c>
      <c r="I144" t="s">
        <v>1381</v>
      </c>
    </row>
    <row r="145" spans="1:9" x14ac:dyDescent="0.2">
      <c r="A145" t="s">
        <v>334</v>
      </c>
      <c r="B145">
        <v>124</v>
      </c>
      <c r="C145">
        <v>49</v>
      </c>
      <c r="D145">
        <v>0</v>
      </c>
      <c r="E145">
        <v>-25</v>
      </c>
      <c r="F145" s="1">
        <v>4.0217582136392503E-2</v>
      </c>
      <c r="G145">
        <v>9</v>
      </c>
      <c r="H145">
        <v>9</v>
      </c>
      <c r="I145" t="s">
        <v>1381</v>
      </c>
    </row>
    <row r="146" spans="1:9" x14ac:dyDescent="0.2">
      <c r="A146" t="s">
        <v>336</v>
      </c>
      <c r="B146">
        <v>125</v>
      </c>
      <c r="C146">
        <v>50</v>
      </c>
      <c r="D146">
        <v>0</v>
      </c>
      <c r="E146">
        <v>-25</v>
      </c>
      <c r="F146" s="1">
        <v>4.0688867680728401E-2</v>
      </c>
      <c r="G146">
        <v>9</v>
      </c>
      <c r="H146">
        <v>9</v>
      </c>
      <c r="I146" t="s">
        <v>1381</v>
      </c>
    </row>
    <row r="147" spans="1:9" x14ac:dyDescent="0.2">
      <c r="A147" t="s">
        <v>338</v>
      </c>
      <c r="B147">
        <v>126</v>
      </c>
      <c r="C147">
        <v>50</v>
      </c>
      <c r="D147">
        <v>0</v>
      </c>
      <c r="E147">
        <v>-26</v>
      </c>
      <c r="F147" s="1">
        <v>4.1062057018280002E-2</v>
      </c>
      <c r="G147">
        <v>9</v>
      </c>
      <c r="H147">
        <v>9</v>
      </c>
      <c r="I147" t="s">
        <v>1369</v>
      </c>
    </row>
    <row r="148" spans="1:9" x14ac:dyDescent="0.2">
      <c r="A148" t="s">
        <v>340</v>
      </c>
      <c r="B148">
        <v>127</v>
      </c>
      <c r="C148">
        <v>30</v>
      </c>
      <c r="D148">
        <v>0</v>
      </c>
      <c r="E148">
        <v>-37</v>
      </c>
      <c r="F148" s="1">
        <v>3.2541208900511202E-2</v>
      </c>
      <c r="G148">
        <v>9</v>
      </c>
      <c r="H148">
        <v>9</v>
      </c>
      <c r="I148" t="s">
        <v>1382</v>
      </c>
    </row>
    <row r="149" spans="1:9" x14ac:dyDescent="0.2">
      <c r="A149" t="s">
        <v>342</v>
      </c>
      <c r="B149">
        <v>128</v>
      </c>
      <c r="C149">
        <v>44</v>
      </c>
      <c r="D149">
        <v>0</v>
      </c>
      <c r="E149">
        <v>-29</v>
      </c>
      <c r="F149" s="1">
        <v>3.8334789685904903E-2</v>
      </c>
      <c r="G149">
        <v>9</v>
      </c>
      <c r="H149">
        <v>9</v>
      </c>
      <c r="I149" t="s">
        <v>1383</v>
      </c>
    </row>
    <row r="150" spans="1:9" x14ac:dyDescent="0.2">
      <c r="F15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analysis</vt:lpstr>
      <vt:lpstr>best</vt:lpstr>
      <vt:lpstr>magma</vt:lpstr>
      <vt:lpstr>magmaMinWeight</vt:lpstr>
      <vt:lpstr>CLISAT</vt:lpstr>
      <vt:lpstr>CCStim</vt:lpstr>
      <vt:lpstr>bposd</vt:lpstr>
      <vt:lpstr>bposdO8I10</vt:lpstr>
      <vt:lpstr>m4ri_CC-start1</vt:lpstr>
      <vt:lpstr>m4ri_CC</vt:lpstr>
      <vt:lpstr>m4ri_RW</vt:lpstr>
      <vt:lpstr>GEStim</vt:lpstr>
      <vt:lpstr>Gurobi</vt:lpstr>
      <vt:lpstr>MIP-SCIP</vt:lpstr>
      <vt:lpstr>QDistEvol20251221</vt:lpstr>
      <vt:lpstr>QDistEvol</vt:lpstr>
      <vt:lpstr>QDistRndMW20251221</vt:lpstr>
      <vt:lpstr>QDistRndMW</vt:lpstr>
      <vt:lpstr>UEStim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Webster</dc:creator>
  <cp:keywords/>
  <dc:description/>
  <cp:lastModifiedBy>Mark Webster</cp:lastModifiedBy>
  <cp:revision/>
  <dcterms:created xsi:type="dcterms:W3CDTF">2025-12-23T14:15:23Z</dcterms:created>
  <dcterms:modified xsi:type="dcterms:W3CDTF">2026-02-21T07:06:12Z</dcterms:modified>
  <cp:category/>
  <cp:contentStatus/>
</cp:coreProperties>
</file>