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webster/Dropbox/QuantumComputing/QEC Projects/distance benchmarking/results 20251223/"/>
    </mc:Choice>
  </mc:AlternateContent>
  <xr:revisionPtr revIDLastSave="0" documentId="13_ncr:1_{A13801A3-C343-3445-A199-9ABCD4CE4262}" xr6:coauthVersionLast="47" xr6:coauthVersionMax="47" xr10:uidLastSave="{00000000-0000-0000-0000-000000000000}"/>
  <bookViews>
    <workbookView xWindow="0" yWindow="720" windowWidth="29400" windowHeight="18400" xr2:uid="{700A3A22-2678-764F-9191-E84A3008AA27}"/>
  </bookViews>
  <sheets>
    <sheet name="analysis" sheetId="32" r:id="rId1"/>
    <sheet name="Sheet3" sheetId="3" r:id="rId2"/>
    <sheet name="Sheet4" sheetId="4" r:id="rId3"/>
    <sheet name="Sheet5" sheetId="5" r:id="rId4"/>
    <sheet name="Sheet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32" l="1"/>
  <c r="A41" i="32"/>
  <c r="F30" i="32" a="1"/>
  <c r="D36" i="32" a="1"/>
  <c r="C37" i="32" a="1"/>
  <c r="E32" i="32" a="1"/>
  <c r="C30" i="32" a="1"/>
  <c r="E30" i="32" a="1"/>
  <c r="F33" i="32" a="1"/>
  <c r="C35" i="32" a="1"/>
  <c r="C34" i="32" a="1"/>
  <c r="C31" i="32" a="1"/>
  <c r="F35" i="32" a="1"/>
  <c r="F36" i="32" a="1"/>
  <c r="D34" i="32" a="1"/>
  <c r="E29" i="32" a="1"/>
  <c r="D30" i="32" a="1"/>
  <c r="F31" i="32" a="1"/>
  <c r="D37" i="32" a="1"/>
  <c r="F34" i="32" a="1"/>
  <c r="C36" i="32" a="1"/>
  <c r="E33" i="32" a="1"/>
  <c r="F37" i="32" a="1"/>
  <c r="F29" i="32" a="1"/>
  <c r="D35" i="32" a="1"/>
  <c r="E37" i="32" a="1"/>
  <c r="E36" i="32" a="1"/>
  <c r="C32" i="32" a="1"/>
  <c r="D29" i="32" a="1"/>
  <c r="F32" i="32" a="1"/>
  <c r="C33" i="32" a="1"/>
  <c r="C29" i="32" a="1"/>
  <c r="E34" i="32" a="1"/>
  <c r="E31" i="32" a="1"/>
  <c r="D31" i="32" a="1"/>
  <c r="C3" i="32" a="1"/>
  <c r="D33" i="32" a="1"/>
  <c r="E35" i="32" a="1"/>
  <c r="D32" i="32" a="1"/>
  <c r="D29" i="32" l="1"/>
  <c r="D30" i="32"/>
  <c r="C31" i="32"/>
  <c r="E33" i="32"/>
  <c r="E41" i="32" s="1"/>
  <c r="E35" i="32"/>
  <c r="E29" i="32"/>
  <c r="D31" i="32"/>
  <c r="C32" i="32"/>
  <c r="C36" i="32"/>
  <c r="E30" i="32"/>
  <c r="D32" i="32"/>
  <c r="E31" i="32"/>
  <c r="E36" i="32"/>
  <c r="E34" i="32"/>
  <c r="C30" i="32"/>
  <c r="C34" i="32"/>
  <c r="E32" i="32"/>
  <c r="C29" i="32"/>
  <c r="C33" i="32"/>
  <c r="C41" i="32" s="1"/>
  <c r="C35" i="32"/>
  <c r="E37" i="32"/>
  <c r="C37" i="32"/>
  <c r="D33" i="32"/>
  <c r="D41" i="32" s="1"/>
  <c r="D34" i="32"/>
  <c r="D35" i="32"/>
  <c r="D36" i="32"/>
  <c r="D37" i="32"/>
  <c r="F29" i="32"/>
  <c r="F30" i="32"/>
  <c r="F31" i="32"/>
  <c r="F32" i="32"/>
  <c r="F33" i="32"/>
  <c r="F41" i="32" s="1"/>
  <c r="F34" i="32"/>
  <c r="F35" i="32"/>
  <c r="F36" i="32"/>
  <c r="F37" i="32"/>
  <c r="C3" i="32"/>
  <c r="D3" i="32" a="1"/>
  <c r="D3" i="32" l="1"/>
  <c r="D52" i="32"/>
  <c r="C6" i="32" a="1"/>
  <c r="C8" i="32" a="1"/>
  <c r="C10" i="32" a="1"/>
  <c r="C12" i="32" a="1"/>
  <c r="C16" i="32" a="1"/>
  <c r="C18" i="32" a="1"/>
  <c r="C22" i="32" a="1"/>
  <c r="C26" i="32" a="1"/>
  <c r="C28" i="32" a="1"/>
  <c r="C53" i="32"/>
  <c r="D48" i="32"/>
  <c r="D4" i="32" a="1"/>
  <c r="D8" i="32" a="1"/>
  <c r="D12" i="32" a="1"/>
  <c r="D16" i="32" a="1"/>
  <c r="D20" i="32" a="1"/>
  <c r="D24" i="32" a="1"/>
  <c r="D28" i="32" a="1"/>
  <c r="C54" i="32"/>
  <c r="C9" i="32" a="1"/>
  <c r="C13" i="32" a="1"/>
  <c r="C19" i="32" a="1"/>
  <c r="C25" i="32" a="1"/>
  <c r="C51" i="32"/>
  <c r="D5" i="32" a="1"/>
  <c r="D11" i="32" a="1"/>
  <c r="D17" i="32" a="1"/>
  <c r="D23" i="32" a="1"/>
  <c r="D38" i="32" a="1"/>
  <c r="C4" i="32" a="1"/>
  <c r="C14" i="32" a="1"/>
  <c r="C20" i="32" a="1"/>
  <c r="C24" i="32" a="1"/>
  <c r="C48" i="32"/>
  <c r="D53" i="32"/>
  <c r="D6" i="32" a="1"/>
  <c r="D10" i="32" a="1"/>
  <c r="D14" i="32" a="1"/>
  <c r="D18" i="32" a="1"/>
  <c r="D22" i="32" a="1"/>
  <c r="D26" i="32" a="1"/>
  <c r="C49" i="32"/>
  <c r="D54" i="32"/>
  <c r="C11" i="32" a="1"/>
  <c r="C15" i="32" a="1"/>
  <c r="C21" i="32" a="1"/>
  <c r="C27" i="32" a="1"/>
  <c r="D51" i="32"/>
  <c r="D9" i="32" a="1"/>
  <c r="D15" i="32" a="1"/>
  <c r="D21" i="32" a="1"/>
  <c r="D27" i="32" a="1"/>
  <c r="D49" i="32"/>
  <c r="C7" i="32" a="1"/>
  <c r="C17" i="32" a="1"/>
  <c r="C23" i="32" a="1"/>
  <c r="C38" i="32" a="1"/>
  <c r="D7" i="32" a="1"/>
  <c r="D13" i="32" a="1"/>
  <c r="D19" i="32" a="1"/>
  <c r="D25" i="32" a="1"/>
  <c r="C52" i="32"/>
  <c r="C5" i="32" a="1"/>
  <c r="C5" i="32" l="1"/>
  <c r="D25" i="32"/>
  <c r="D19" i="32"/>
  <c r="D13" i="32"/>
  <c r="D7" i="32"/>
  <c r="C38" i="32"/>
  <c r="C23" i="32"/>
  <c r="C17" i="32"/>
  <c r="C7" i="32"/>
  <c r="D27" i="32"/>
  <c r="D21" i="32"/>
  <c r="D15" i="32"/>
  <c r="D9" i="32"/>
  <c r="C27" i="32"/>
  <c r="C21" i="32"/>
  <c r="C15" i="32"/>
  <c r="C11" i="32"/>
  <c r="D26" i="32"/>
  <c r="D22" i="32"/>
  <c r="D18" i="32"/>
  <c r="D14" i="32"/>
  <c r="D10" i="32"/>
  <c r="D6" i="32"/>
  <c r="C24" i="32"/>
  <c r="C20" i="32"/>
  <c r="C14" i="32"/>
  <c r="C4" i="32"/>
  <c r="D38" i="32"/>
  <c r="D23" i="32"/>
  <c r="D17" i="32"/>
  <c r="D11" i="32"/>
  <c r="D5" i="32"/>
  <c r="C25" i="32"/>
  <c r="C19" i="32"/>
  <c r="C13" i="32"/>
  <c r="C9" i="32"/>
  <c r="D28" i="32"/>
  <c r="D24" i="32"/>
  <c r="D20" i="32"/>
  <c r="D16" i="32"/>
  <c r="D12" i="32"/>
  <c r="D8" i="32"/>
  <c r="D4" i="32"/>
  <c r="C28" i="32"/>
  <c r="C26" i="32"/>
  <c r="C22" i="32"/>
  <c r="C18" i="32"/>
  <c r="C16" i="32"/>
  <c r="C12" i="32"/>
  <c r="C10" i="32"/>
  <c r="C8" i="32"/>
  <c r="C6" i="32"/>
  <c r="D50" i="32"/>
  <c r="C50" i="32"/>
  <c r="E22" i="32" a="1"/>
  <c r="E8" i="32" a="1"/>
  <c r="E10" i="32" a="1"/>
  <c r="E25" i="32" a="1"/>
  <c r="E24" i="32" a="1"/>
  <c r="E4" i="32" a="1"/>
  <c r="E19" i="32" a="1"/>
  <c r="E26" i="32" a="1"/>
  <c r="E6" i="32" a="1"/>
  <c r="E14" i="32" a="1"/>
  <c r="E28" i="32" a="1"/>
  <c r="E12" i="32" a="1"/>
  <c r="E3" i="32" a="1"/>
  <c r="E49" i="32"/>
  <c r="E20" i="32" a="1"/>
  <c r="E16" i="32" a="1"/>
  <c r="E21" i="32" a="1"/>
  <c r="E17" i="32" a="1"/>
  <c r="E5" i="32" a="1"/>
  <c r="E11" i="32" a="1"/>
  <c r="E7" i="32" a="1"/>
  <c r="E27" i="32" a="1"/>
  <c r="E38" i="32" a="1"/>
  <c r="E15" i="32" a="1"/>
  <c r="E18" i="32" a="1"/>
  <c r="E9" i="32" a="1"/>
  <c r="E13" i="32" a="1"/>
  <c r="E23" i="32" a="1"/>
  <c r="E20" i="32" l="1"/>
  <c r="E10" i="32"/>
  <c r="E19" i="32"/>
  <c r="E5" i="32"/>
  <c r="E7" i="32"/>
  <c r="E4" i="32"/>
  <c r="E3" i="32"/>
  <c r="E8" i="32"/>
  <c r="E13" i="32"/>
  <c r="E9" i="32"/>
  <c r="E15" i="32"/>
  <c r="E18" i="32"/>
  <c r="E27" i="32"/>
  <c r="E14" i="32"/>
  <c r="E17" i="32"/>
  <c r="E25" i="32"/>
  <c r="E12" i="32"/>
  <c r="E6" i="32"/>
  <c r="E26" i="32"/>
  <c r="E11" i="32"/>
  <c r="E24" i="32"/>
  <c r="E21" i="32"/>
  <c r="E16" i="32"/>
  <c r="E22" i="32"/>
  <c r="E23" i="32"/>
  <c r="E38" i="32"/>
  <c r="E28" i="32"/>
  <c r="B42" i="32"/>
  <c r="B41" i="32"/>
  <c r="F27" i="32" a="1"/>
  <c r="F51" i="32"/>
  <c r="F7" i="32" a="1"/>
  <c r="E52" i="32"/>
  <c r="F23" i="32" a="1"/>
  <c r="F10" i="32" a="1"/>
  <c r="F9" i="32" a="1"/>
  <c r="F11" i="32" a="1"/>
  <c r="F13" i="32" a="1"/>
  <c r="F38" i="32" a="1"/>
  <c r="F3" i="32" a="1"/>
  <c r="F20" i="32" a="1"/>
  <c r="F26" i="32" a="1"/>
  <c r="F25" i="32" a="1"/>
  <c r="F22" i="32" a="1"/>
  <c r="F49" i="32"/>
  <c r="F48" i="32"/>
  <c r="F6" i="32" a="1"/>
  <c r="F52" i="32"/>
  <c r="F21" i="32" a="1"/>
  <c r="F19" i="32" a="1"/>
  <c r="F17" i="32" a="1"/>
  <c r="F24" i="32" a="1"/>
  <c r="F8" i="32" a="1"/>
  <c r="F16" i="32" a="1"/>
  <c r="F54" i="32"/>
  <c r="E53" i="32"/>
  <c r="E48" i="32"/>
  <c r="F15" i="32" a="1"/>
  <c r="F53" i="32"/>
  <c r="F28" i="32" a="1"/>
  <c r="F5" i="32" a="1"/>
  <c r="E54" i="32"/>
  <c r="F12" i="32" a="1"/>
  <c r="F4" i="32" a="1"/>
  <c r="E51" i="32"/>
  <c r="F14" i="32" a="1"/>
  <c r="F18" i="32" a="1"/>
  <c r="C42" i="32" l="1"/>
  <c r="C43" i="32" s="1"/>
  <c r="F42" i="32"/>
  <c r="F43" i="32" s="1"/>
  <c r="D42" i="32"/>
  <c r="D43" i="32" s="1"/>
  <c r="E42" i="32"/>
  <c r="E43" i="32" s="1"/>
  <c r="F12" i="32"/>
  <c r="F15" i="32"/>
  <c r="F3" i="32"/>
  <c r="F19" i="32"/>
  <c r="F11" i="32"/>
  <c r="F17" i="32"/>
  <c r="F7" i="32"/>
  <c r="F24" i="32"/>
  <c r="F28" i="32"/>
  <c r="F13" i="32"/>
  <c r="F27" i="32"/>
  <c r="F10" i="32"/>
  <c r="F9" i="32"/>
  <c r="F5" i="32"/>
  <c r="F25" i="32"/>
  <c r="F16" i="32"/>
  <c r="F18" i="32"/>
  <c r="F20" i="32"/>
  <c r="F26" i="32"/>
  <c r="F8" i="32"/>
  <c r="F23" i="32"/>
  <c r="F38" i="32"/>
  <c r="F22" i="32"/>
  <c r="F4" i="32"/>
  <c r="F21" i="32"/>
  <c r="F14" i="32"/>
  <c r="F6" i="32"/>
  <c r="F50" i="32"/>
  <c r="E50" i="32"/>
  <c r="I61" i="32" l="1"/>
  <c r="H61" i="32"/>
  <c r="I60" i="32"/>
  <c r="H60" i="32"/>
  <c r="C60" i="32"/>
  <c r="D61" i="32"/>
  <c r="D60" i="32"/>
  <c r="C61" i="32"/>
  <c r="N60" i="32" l="1"/>
  <c r="M60" i="32"/>
  <c r="M61" i="32"/>
  <c r="N61" i="3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<sst xmlns="http://schemas.openxmlformats.org/spreadsheetml/2006/main" count="1012" uniqueCount="453">
  <si>
    <t>runMode: serial</t>
  </si>
  <si>
    <t>maxCount: 10000</t>
  </si>
  <si>
    <t>ignoreTrivialCodes: 1</t>
  </si>
  <si>
    <t>resume: 0</t>
  </si>
  <si>
    <t>iterCount: 10000</t>
  </si>
  <si>
    <t>maxTime: 28800</t>
  </si>
  <si>
    <t>nThreads: 1</t>
  </si>
  <si>
    <t>verbose: False</t>
  </si>
  <si>
    <t>maxErr: -1</t>
  </si>
  <si>
    <t>regroupPerm: 1</t>
  </si>
  <si>
    <t>filterCircuit: 1</t>
  </si>
  <si>
    <t>HL: 0</t>
  </si>
  <si>
    <t>offspring: 10</t>
  </si>
  <si>
    <t>pMut: 2.0</t>
  </si>
  <si>
    <t>CCstart: -1</t>
  </si>
  <si>
    <t>addStabs: 0</t>
  </si>
  <si>
    <t>#########################################</t>
  </si>
  <si>
    <t>name</t>
  </si>
  <si>
    <t>n</t>
  </si>
  <si>
    <t>k</t>
  </si>
  <si>
    <t>d</t>
  </si>
  <si>
    <t>delta d</t>
  </si>
  <si>
    <t>Time</t>
  </si>
  <si>
    <t>R</t>
  </si>
  <si>
    <t>T</t>
  </si>
  <si>
    <t>Progress</t>
  </si>
  <si>
    <t>genCount: 100</t>
  </si>
  <si>
    <t>swapPivot: 1</t>
  </si>
  <si>
    <t>Default</t>
  </si>
  <si>
    <t>dMin</t>
  </si>
  <si>
    <t>dMax</t>
  </si>
  <si>
    <t>dAvg</t>
  </si>
  <si>
    <t>count</t>
  </si>
  <si>
    <t>tAvg</t>
  </si>
  <si>
    <t>GF4blockRep: 2</t>
  </si>
  <si>
    <t>sMut: 0.2</t>
  </si>
  <si>
    <t>tabuLength: 0</t>
  </si>
  <si>
    <t>swapBlockorder: 0</t>
  </si>
  <si>
    <t>Success Rate</t>
  </si>
  <si>
    <t>LOCheck: 0</t>
  </si>
  <si>
    <t>dataset: codeTables</t>
  </si>
  <si>
    <t>datafile: QECC_sample.txt</t>
  </si>
  <si>
    <t>pMutScale: 50</t>
  </si>
  <si>
    <t>permuteDEM: 0</t>
  </si>
  <si>
    <t>dActual</t>
  </si>
  <si>
    <t>permuteDEM: 1</t>
  </si>
  <si>
    <t>repeat: 100</t>
  </si>
  <si>
    <t>method: decoderDist</t>
  </si>
  <si>
    <t>nMin: 48</t>
  </si>
  <si>
    <t>nMax: 48</t>
  </si>
  <si>
    <t>decoder: bposd</t>
  </si>
  <si>
    <t>addStabs: 1</t>
  </si>
  <si>
    <t>bp_method: product_sum</t>
  </si>
  <si>
    <t>bp_schedule: parallel</t>
  </si>
  <si>
    <t>bp_max_iter: 100</t>
  </si>
  <si>
    <t>osd_method: OSD_CS</t>
  </si>
  <si>
    <t>osd_order: 1</t>
  </si>
  <si>
    <t>[[48,5,10]]</t>
  </si>
  <si>
    <t>Trial:0 w:16; Trial:3 w:15; Trial:6 w:14; Trial:41 w:13; Trial:42 w:12; Trial:403 w:11; Trial:3273 w:10; pErr:0.0202, weight 10 CW found:1725</t>
  </si>
  <si>
    <t>Trial:0 w:15; Trial:4 w:14; Trial:34 w:13; Trial:35 w:12; Trial:122 w:11; pErr:0.0165, weight 11 CW found:2408</t>
  </si>
  <si>
    <t>Trial:0 w:14; Trial:13 w:12; Trial:904 w:11; Trial:8528 w:10; pErr:0.0469, weight 10 CW found:481</t>
  </si>
  <si>
    <t>Trial:0 w:15; Trial:8 w:14; Trial:32 w:13; Trial:55 w:12; Trial:820 w:11; Trial:4839 w:10; pErr:0.0200, weight 10 CW found:1319</t>
  </si>
  <si>
    <t>Trial:0 w:15; Trial:6 w:14; Trial:80 w:13; Trial:243 w:12; Trial:1870 w:11; Trial:6130 w:10; pErr:0.0233, weight 10 CW found:1029</t>
  </si>
  <si>
    <t>Trial:0 w:15; Trial:1 w:14; Trial:9 w:13; Trial:14 w:12; Trial:79 w:11; Trial:1931 w:10; pErr:0.0170, weight 10 CW found:1980</t>
  </si>
  <si>
    <t>Trial:0 w:17; Trial:1 w:16; Trial:5 w:12; Trial:80 w:11; pErr:0.0145, weight 11 CW found:2343</t>
  </si>
  <si>
    <t>Trial:0 w:12; Trial:1140 w:11; Trial:1310 w:10; pErr:0.0175, weight 10 CW found:2148</t>
  </si>
  <si>
    <t>Trial:0 w:17; Trial:2 w:15; Trial:7 w:14; Trial:44 w:12; Trial:445 w:11; Trial:519 w:10; pErr:0.0156, weight 10 CW found:2279</t>
  </si>
  <si>
    <t>Trial:0 w:15; Trial:2 w:14; Trial:8 w:12; Trial:424 w:11; pErr:0.0187, weight 11 CW found:2405</t>
  </si>
  <si>
    <t>Trial:0 w:17; Trial:2 w:14; Trial:19 w:12; Trial:641 w:10; pErr:0.0164, weight 10 CW found:2276</t>
  </si>
  <si>
    <t>Trial:0 w:18; Trial:1 w:14; Trial:2 w:13; Trial:14 w:12; Trial:714 w:11; pErr:0.0167, weight 11 CW found:2269</t>
  </si>
  <si>
    <t>Trial:0 w:14; Trial:3 w:13; Trial:17 w:12; Trial:33 w:11; Trial:4611 w:10; pErr:0.0208, weight 10 CW found:1392</t>
  </si>
  <si>
    <t>Trial:0 w:14; Trial:9 w:13; Trial:133 w:12; Trial:200 w:10; pErr:0.0164, weight 10 CW found:2384</t>
  </si>
  <si>
    <t>Trial:0 w:16; Trial:3 w:14; Trial:4 w:13; Trial:41 w:12; Trial:48 w:11; pErr:0.0181, weight 11 CW found:2481</t>
  </si>
  <si>
    <t>Trial:0 w:14; Trial:15 w:13; Trial:61 w:12; Trial:863 w:11; pErr:0.0179, weight 11 CW found:2271</t>
  </si>
  <si>
    <t>Trial:0 w:13; Trial:79 w:12; Trial:405 w:11; pErr:0.0170, weight 11 CW found:2355</t>
  </si>
  <si>
    <t>Trial:0 w:15; Trial:3 w:14; Trial:5 w:13; Trial:28 w:12; Trial:79 w:11; pErr:0.0197, weight 11 CW found:2527</t>
  </si>
  <si>
    <t>Trial:0 w:14; Trial:4 w:13; Trial:20 w:12; Trial:497 w:11; pErr:0.0158, weight 11 CW found:2292</t>
  </si>
  <si>
    <t>Trial:0 w:16; Trial:1 w:12; pErr:0.0000, weight 12 CW found:961</t>
  </si>
  <si>
    <t>Trial:0 w:14; Trial:2 w:12; pErr:0.0000, weight 12 CW found:961</t>
  </si>
  <si>
    <t>Trial:0 w:14; Trial:4 w:12; pErr:0.0000, weight 12 CW found:960</t>
  </si>
  <si>
    <t>Trial:0 w:16; Trial:1 w:14; Trial:10 w:12; pErr:0.0000, weight 12 CW found:961</t>
  </si>
  <si>
    <t>Trial:0 w:12; pErr:0.0000, weight 12 CW found:960</t>
  </si>
  <si>
    <t>Trial:0 w:16; Trial:1 w:15; Trial:2 w:13; Trial:27 w:12; Trial:1645 w:11; Trial:6462 w:10; pErr:0.0248, weight 10 CW found:957</t>
  </si>
  <si>
    <t>Trial:0 w:14; Trial:36 w:12; Trial:352 w:11; Trial:840 w:10; pErr:0.0172, weight 10 CW found:2256</t>
  </si>
  <si>
    <t>Trial:0 w:16; Trial:4 w:15; Trial:5 w:14; Trial:6 w:12; Trial:327 w:11; Trial:797 w:10; pErr:0.0184, weight 10 CW found:2303</t>
  </si>
  <si>
    <t>Trial:0 w:16; Trial:1 w:14; Trial:6 w:12; Trial:90 w:11; Trial:5086 w:10; pErr:0.0213, weight 10 CW found:1277</t>
  </si>
  <si>
    <t>Trial:0 w:17; Trial:1 w:16; Trial:2 w:12; Trial:3266 w:11; pErr:0.0176, weight 11 CW found:1666</t>
  </si>
  <si>
    <t>Trial:0 w:14; Trial:27 w:13; Trial:130 w:12; Trial:300 w:11; pErr:0.0158, weight 11 CW found:2338</t>
  </si>
  <si>
    <t>Trial:0 w:12; Trial:2 w:11; Trial:3080 w:10; pErr:0.0195, weight 10 CW found:1758</t>
  </si>
  <si>
    <t>Trial:0 w:15; Trial:6 w:14; Trial:13 w:13; Trial:84 w:11; Trial:3317 w:10; pErr:0.0182, weight 10 CW found:1669</t>
  </si>
  <si>
    <t>Trial:0 w:15; Trial:3 w:13; Trial:40 w:11; pErr:0.0181, weight 11 CW found:2482</t>
  </si>
  <si>
    <t>Trial:0 w:12; pErr:0.0000, weight 12 CW found:962</t>
  </si>
  <si>
    <t>Trial:0 w:16; Trial:1 w:14; Trial:9 w:12; pErr:0.0000, weight 12 CW found:961</t>
  </si>
  <si>
    <t>Trial:0 w:14; Trial:9 w:12; pErr:0.0000, weight 12 CW found:959</t>
  </si>
  <si>
    <t>Trial:0 w:12; pErr:0.0000, weight 12 CW found:961</t>
  </si>
  <si>
    <t>Trial:0 w:16; Trial:1 w:14; Trial:12 w:12; pErr:0.0000, weight 12 CW found:962</t>
  </si>
  <si>
    <t>Trial:0 w:16; Trial:2 w:14; Trial:10 w:12; pErr:0.0000, weight 12 CW found:960</t>
  </si>
  <si>
    <t>Trial:0 w:16; Trial:2 w:12; pErr:0.0000, weight 12 CW found:962</t>
  </si>
  <si>
    <t>Trial:0 w:14; Trial:9 w:12; pErr:0.0000, weight 12 CW found:961</t>
  </si>
  <si>
    <t>Trial:0 w:14; Trial:10 w:12; pErr:0.0000, weight 12 CW found:959</t>
  </si>
  <si>
    <t>Trial:0 w:16; Trial:3 w:12; pErr:0.0000, weight 12 CW found:962</t>
  </si>
  <si>
    <t>Trial:0 w:14; Trial:2 w:12; pErr:0.0000, weight 12 CW found:960</t>
  </si>
  <si>
    <t>addStabs: x</t>
  </si>
  <si>
    <t>permuteDEM: x</t>
  </si>
  <si>
    <t>addStabs:</t>
  </si>
  <si>
    <t>permuteDEM:</t>
  </si>
  <si>
    <t>Count</t>
  </si>
  <si>
    <t>outfile: /home/ucapmwe/dist-benchmark/results/codeTables-QECC_sample.txt-decoderDist-bposd-20260224_130303.767197_85062422.txt</t>
  </si>
  <si>
    <t>Trial:0 w:16; Trial:1 w:14; Trial:6 w:12; pErr:0.0000, weight 12 CW found:960</t>
  </si>
  <si>
    <t>Trial:0 w:16; Trial:1 w:14; Trial:2 w:12; pErr:0.0000, weight 12 CW found:961</t>
  </si>
  <si>
    <t>Trial:0 w:14; Trial:1 w:12; pErr:0.0000, weight 12 CW found:960</t>
  </si>
  <si>
    <t>Trial:0 w:18; Trial:1 w:16; Trial:2 w:14; Trial:3 w:13; Trial:6 w:12; pErr:0.0000, weight 12 CW found:960</t>
  </si>
  <si>
    <t>Trial:0 w:17; Trial:1 w:16; Trial:2 w:14; Trial:11 w:12; pErr:0.0000, weight 12 CW found:958</t>
  </si>
  <si>
    <t>Trial:0 w:15; Trial:5 w:14; Trial:11 w:13; Trial:49 w:12; pErr:0.0000, weight 12 CW found:959</t>
  </si>
  <si>
    <t>Trial:0 w:14; Trial:19 w:12; pErr:0.0000, weight 12 CW found:961</t>
  </si>
  <si>
    <t>Trial:0 w:18; Trial:1 w:14; Trial:8 w:13; Trial:22 w:12; pErr:0.0000, weight 12 CW found:963</t>
  </si>
  <si>
    <t>Trial:0 w:16; Trial:1 w:14; Trial:4 w:13; Trial:11 w:12; pErr:0.0000, weight 12 CW found:962</t>
  </si>
  <si>
    <t>Trial:0 w:14; Trial:6 w:12; pErr:0.0000, weight 12 CW found:961</t>
  </si>
  <si>
    <t>Trial:0 w:15; Trial:4 w:14; Trial:14 w:12; pErr:0.0000, weight 12 CW found:963</t>
  </si>
  <si>
    <t>Trial:0 w:14; Trial:19 w:13; Trial:23 w:12; pErr:0.0000, weight 12 CW found:961</t>
  </si>
  <si>
    <t>Trial:0 w:16; Trial:1 w:15; Trial:2 w:12; pErr:0.0000, weight 12 CW found:957</t>
  </si>
  <si>
    <t>Trial:0 w:15; Trial:2 w:14; Trial:29 w:13; Trial:31 w:12; pErr:0.0000, weight 12 CW found:962</t>
  </si>
  <si>
    <t>Trial:0 w:16; Trial:2 w:14; Trial:5 w:13; Trial:26 w:12; pErr:0.0000, weight 12 CW found:962</t>
  </si>
  <si>
    <t>Trial:0 w:14; Trial:18 w:12; pErr:0.0000, weight 12 CW found:961</t>
  </si>
  <si>
    <t>Trial:0 w:17; Trial:2 w:16; Trial:3 w:14; Trial:26 w:12; pErr:0.0000, weight 12 CW found:959</t>
  </si>
  <si>
    <t>Trial:0 w:17; Trial:1 w:16; Trial:2 w:14; Trial:11 w:12; pErr:0.0000, weight 12 CW found:957</t>
  </si>
  <si>
    <t>Trial:0 w:16; Trial:2 w:14; Trial:12 w:13; Trial:17 w:12; pErr:0.0000, weight 12 CW found:960</t>
  </si>
  <si>
    <t>Trial:0 w:16; Trial:2 w:14; Trial:8 w:13; Trial:10 w:12; pErr:0.0000, weight 12 CW found:962</t>
  </si>
  <si>
    <t>Trial:0 w:16; Trial:1 w:13; Trial:52 w:12; pErr:0.0000, weight 12 CW found:961</t>
  </si>
  <si>
    <t>Trial:0 w:13; Trial:1 w:12; pErr:0.0000, weight 12 CW found:959</t>
  </si>
  <si>
    <t>Trial:0 w:17; Trial:1 w:14; Trial:6 w:12; pErr:0.0000, weight 12 CW found:962</t>
  </si>
  <si>
    <t>Trial:0 w:16; Trial:3 w:15; Trial:11 w:13; Trial:24 w:12; pErr:0.0000, weight 12 CW found:961</t>
  </si>
  <si>
    <t>Trial:0 w:18; Trial:1 w:17; Trial:2 w:16; Trial:6 w:12; pErr:0.0000, weight 12 CW found:961</t>
  </si>
  <si>
    <t>Trial:0 w:16; Trial:2 w:14; Trial:23 w:12; pErr:0.0000, weight 12 CW found:960</t>
  </si>
  <si>
    <t>Trial:0 w:18; Trial:1 w:12; pErr:0.0000, weight 12 CW found:961</t>
  </si>
  <si>
    <t>Trial:0 w:16; Trial:2 w:14; Trial:26 w:13; Trial:27 w:12; pErr:0.0000, weight 12 CW found:962</t>
  </si>
  <si>
    <t>Trial:0 w:16; Trial:1 w:14; Trial:7 w:12; pErr:0.0000, weight 12 CW found:962</t>
  </si>
  <si>
    <t>Trial:0 w:16; Trial:1 w:14; Trial:9 w:13; Trial:10 w:12; pErr:0.0000, weight 12 CW found:961</t>
  </si>
  <si>
    <t>Trial:0 w:16; Trial:1 w:14; Trial:13 w:13; Trial:28 w:12; pErr:0.0000, weight 12 CW found:963</t>
  </si>
  <si>
    <t>Trial:0 w:14; Trial:5 w:12; pErr:0.0000, weight 12 CW found:962</t>
  </si>
  <si>
    <t>Trial:0 w:15; Trial:1 w:14; Trial:7 w:12; pErr:0.0000, weight 12 CW found:961</t>
  </si>
  <si>
    <t>Trial:0 w:16; Trial:2 w:15; Trial:4 w:14; Trial:25 w:12; pErr:0.0000, weight 12 CW found:963</t>
  </si>
  <si>
    <t>Trial:0 w:16; Trial:1 w:14; Trial:10 w:13; Trial:17 w:12; pErr:0.0000, weight 12 CW found:958</t>
  </si>
  <si>
    <t>Trial:0 w:15; Trial:4 w:14; Trial:9 w:12; pErr:0.0000, weight 12 CW found:960</t>
  </si>
  <si>
    <t>Trial:0 w:14; Trial:1 w:13; Trial:18 w:12; pErr:0.0000, weight 12 CW found:961</t>
  </si>
  <si>
    <t>Trial:0 w:14; Trial:13 w:12; pErr:0.0000, weight 12 CW found:960</t>
  </si>
  <si>
    <t>Trial:0 w:15; Trial:1 w:14; Trial:11 w:12; pErr:0.0000, weight 12 CW found:960</t>
  </si>
  <si>
    <t>Trial:0 w:14; Trial:7 w:12; pErr:0.0000, weight 12 CW found:959</t>
  </si>
  <si>
    <t>Trial:0 w:18; Trial:1 w:14; Trial:2 w:12; pErr:0.0000, weight 12 CW found:962</t>
  </si>
  <si>
    <t>Trial:0 w:14; Trial:1 w:13; Trial:19 w:12; pErr:0.0000, weight 12 CW found:963</t>
  </si>
  <si>
    <t>Trial:0 w:15; Trial:1 w:14; Trial:10 w:13; Trial:16 w:12; pErr:0.0000, weight 12 CW found:961</t>
  </si>
  <si>
    <t>Trial:0 w:14; Trial:12 w:13; Trial:21 w:12; pErr:0.0000, weight 12 CW found:957</t>
  </si>
  <si>
    <t>Trial:0 w:16; Trial:1 w:14; Trial:5 w:12; pErr:0.0000, weight 12 CW found:960</t>
  </si>
  <si>
    <t>Trial:0 w:16; Trial:4 w:14; Trial:8 w:12; pErr:0.0000, weight 12 CW found:960</t>
  </si>
  <si>
    <t>Trial:0 w:15; Trial:5 w:13; Trial:12 w:12; pErr:0.0000, weight 12 CW found:961</t>
  </si>
  <si>
    <t>Trial:0 w:14; Trial:19 w:12; pErr:0.0000, weight 12 CW found:963</t>
  </si>
  <si>
    <t>Trial:0 w:16; Trial:1 w:15; Trial:4 w:12; pErr:0.0000, weight 12 CW found:962</t>
  </si>
  <si>
    <t>Trial:0 w:13; Trial:24 w:12; pErr:0.0000, weight 12 CW found:963</t>
  </si>
  <si>
    <t>Trial:0 w:16; Trial:2 w:14; Trial:8 w:13; Trial:31 w:12; pErr:0.0000, weight 12 CW found:963</t>
  </si>
  <si>
    <t>Trial:0 w:14; Trial:8 w:12; pErr:0.0000, weight 12 CW found:963</t>
  </si>
  <si>
    <t>Trial:0 w:16; Trial:1 w:14; Trial:6 w:12; pErr:0.0000, weight 12 CW found:958</t>
  </si>
  <si>
    <t>Trial:0 w:15; Trial:3 w:14; Trial:20 w:13; Trial:60 w:12; pErr:0.0000, weight 12 CW found:959</t>
  </si>
  <si>
    <t>Trial:0 w:16; Trial:1 w:14; Trial:7 w:13; Trial:25 w:12; pErr:0.0000, weight 12 CW found:960</t>
  </si>
  <si>
    <t>Trial:0 w:16; Trial:1 w:15; Trial:6 w:14; Trial:12 w:12; pErr:0.0000, weight 12 CW found:961</t>
  </si>
  <si>
    <t>Trial:0 w:14; Trial:6 w:12; pErr:0.0000, weight 12 CW found:960</t>
  </si>
  <si>
    <t>Trial:0 w:18; Trial:1 w:14; Trial:3 w:13; Trial:22 w:12; pErr:0.0000, weight 12 CW found:960</t>
  </si>
  <si>
    <t>Trial:0 w:13; Trial:6 w:12; pErr:0.0000, weight 12 CW found:961</t>
  </si>
  <si>
    <t>Trial:0 w:15; Trial:1 w:14; Trial:5 w:12; pErr:0.0000, weight 12 CW found:959</t>
  </si>
  <si>
    <t>Trial:0 w:14; Trial:1 w:13; Trial:14 w:12; pErr:0.0000, weight 12 CW found:961</t>
  </si>
  <si>
    <t>Trial:0 w:15; Trial:2 w:13; Trial:4 w:12; pErr:0.0000, weight 12 CW found:960</t>
  </si>
  <si>
    <t>Trial:0 w:14; Trial:1 w:13; Trial:13 w:12; pErr:0.0000, weight 12 CW found:959</t>
  </si>
  <si>
    <t>Trial:0 w:18; Trial:1 w:14; Trial:4 w:13; Trial:19 w:12; pErr:0.0000, weight 12 CW found:961</t>
  </si>
  <si>
    <t>Trial:0 w:14; Trial:30 w:13; Trial:34 w:12; pErr:0.0000, weight 12 CW found:962</t>
  </si>
  <si>
    <t>Trial:0 w:18; Trial:1 w:14; Trial:4 w:12; pErr:0.0000, weight 12 CW found:961</t>
  </si>
  <si>
    <t>Trial:0 w:15; Trial:1 w:14; Trial:8 w:12; pErr:0.0000, weight 12 CW found:957</t>
  </si>
  <si>
    <t>Trial:0 w:16; Trial:2 w:12; pErr:0.0000, weight 12 CW found:958</t>
  </si>
  <si>
    <t>Trial:0 w:14; Trial:16 w:12; pErr:0.0000, weight 12 CW found:962</t>
  </si>
  <si>
    <t>Trial:0 w:16; Trial:2 w:14; Trial:6 w:12; pErr:0.0000, weight 12 CW found:959</t>
  </si>
  <si>
    <t>outfile: /home/ucapmwe/dist-benchmark/results/codeTables-QECC_sample.txt-decoderDist-bposd-20260224_130303.767198_85062422.txt</t>
  </si>
  <si>
    <t>Trial:0 w:14; Trial:3 w:12; pErr:0.2268, weight 12 CW found:6738</t>
  </si>
  <si>
    <t>Trial:0 w:16; Trial:1 w:15; Trial:2 w:14; Trial:11 w:12; pErr:0.2238, weight 12 CW found:6672</t>
  </si>
  <si>
    <t>Trial:0 w:13; Trial:84 w:12; pErr:0.2242, weight 12 CW found:6631</t>
  </si>
  <si>
    <t>Trial:0 w:16; Trial:5 w:14; Trial:21 w:12; pErr:0.2271, weight 12 CW found:6732</t>
  </si>
  <si>
    <t>Trial:0 w:16; Trial:2 w:14; Trial:18 w:12; pErr:0.2227, weight 12 CW found:6646</t>
  </si>
  <si>
    <t>Trial:0 w:14; Trial:6 w:13; Trial:9 w:12; pErr:0.2249, weight 12 CW found:6695</t>
  </si>
  <si>
    <t>Trial:0 w:16; Trial:1 w:14; Trial:23 w:13; Trial:28 w:12; pErr:0.2197, weight 12 CW found:6581</t>
  </si>
  <si>
    <t>Trial:0 w:16; Trial:1 w:14; Trial:17 w:13; Trial:26 w:12; pErr:0.2227, weight 12 CW found:6641</t>
  </si>
  <si>
    <t>Trial:0 w:14; Trial:9 w:12; pErr:0.2258, weight 12 CW found:6714</t>
  </si>
  <si>
    <t>Trial:0 w:16; Trial:1 w:15; Trial:2 w:14; Trial:15 w:13; Trial:42 w:12; pErr:0.2234, weight 12 CW found:6644</t>
  </si>
  <si>
    <t>Trial:0 w:16; Trial:4 w:14; Trial:11 w:12; pErr:0.2206, weight 12 CW found:6610</t>
  </si>
  <si>
    <t>Trial:0 w:14; Trial:9 w:13; Trial:11 w:12; pErr:0.2246, weight 12 CW found:6689</t>
  </si>
  <si>
    <t>Trial:0 w:16; Trial:1 w:13; Trial:4 w:12; pErr:0.2196, weight 12 CW found:6593</t>
  </si>
  <si>
    <t>Trial:0 w:16; Trial:4 w:14; Trial:28 w:12; pErr:0.2210, weight 12 CW found:6606</t>
  </si>
  <si>
    <t>Trial:0 w:16; Trial:2 w:15; Trial:4 w:14; Trial:35 w:12; pErr:0.2206, weight 12 CW found:6593</t>
  </si>
  <si>
    <t>Trial:0 w:16; Trial:1 w:14; Trial:12 w:12; pErr:0.2235, weight 12 CW found:6667</t>
  </si>
  <si>
    <t>Trial:0 w:14; Trial:8 w:12; pErr:0.2249, weight 12 CW found:6697</t>
  </si>
  <si>
    <t>Trial:0 w:14; Trial:8 w:13; Trial:31 w:12; pErr:0.2248, weight 12 CW found:6679</t>
  </si>
  <si>
    <t>Trial:0 w:14; Trial:5 w:12; pErr:0.2246, weight 12 CW found:6692</t>
  </si>
  <si>
    <t>Trial:0 w:17; Trial:1 w:14; Trial:4 w:12; pErr:0.2251, weight 12 CW found:6704</t>
  </si>
  <si>
    <t>Trial:0 w:16; Trial:1 w:14; Trial:34 w:12; pErr:0.2211, weight 12 CW found:6604</t>
  </si>
  <si>
    <t>Trial:0 w:16; Trial:2 w:14; Trial:14 w:12; pErr:0.2224, weight 12 CW found:6642</t>
  </si>
  <si>
    <t>Trial:0 w:16; Trial:4 w:14; Trial:6 w:12; pErr:0.2241, weight 12 CW found:6681</t>
  </si>
  <si>
    <t>Trial:0 w:15; Trial:1 w:14; Trial:3 w:12; pErr:0.2247, weight 12 CW found:6696</t>
  </si>
  <si>
    <t>Trial:0 w:14; Trial:1 w:12; pErr:0.2263, weight 12 CW found:6729</t>
  </si>
  <si>
    <t>Trial:0 w:15; Trial:2 w:14; Trial:3 w:12; pErr:0.2253, weight 12 CW found:6707</t>
  </si>
  <si>
    <t>Trial:0 w:17; Trial:1 w:16; Trial:2 w:15; Trial:4 w:14; Trial:24 w:12; pErr:0.2239, weight 12 CW found:6665</t>
  </si>
  <si>
    <t>Trial:0 w:16; Trial:1 w:13; Trial:5 w:12; pErr:0.2212, weight 12 CW found:6624</t>
  </si>
  <si>
    <t>Trial:0 w:16; Trial:1 w:14; Trial:15 w:12; pErr:0.2248, weight 12 CW found:6690</t>
  </si>
  <si>
    <t>Trial:0 w:14; Trial:10 w:12; pErr:0.2250, weight 12 CW found:6697</t>
  </si>
  <si>
    <t>Trial:0 w:14; Trial:5 w:12; pErr:0.2266, weight 12 CW found:6733</t>
  </si>
  <si>
    <t>Trial:0 w:18; Trial:1 w:14; Trial:7 w:13; Trial:63 w:12; pErr:0.2234, weight 12 CW found:6630</t>
  </si>
  <si>
    <t>Trial:0 w:14; Trial:26 w:12; pErr:0.2211, weight 12 CW found:6609</t>
  </si>
  <si>
    <t>Trial:0 w:14; Trial:7 w:12; pErr:0.2208, weight 12 CW found:6616</t>
  </si>
  <si>
    <t>Trial:0 w:15; Trial:1 w:14; Trial:4 w:12; pErr:0.2221, weight 12 CW found:6643</t>
  </si>
  <si>
    <t>Trial:0 w:16; Trial:2 w:12; pErr:0.2230, weight 12 CW found:6662</t>
  </si>
  <si>
    <t>Trial:0 w:14; Trial:28 w:12; pErr:0.2230, weight 12 CW found:6645</t>
  </si>
  <si>
    <t>Trial:0 w:14; Trial:29 w:13; Trial:45 w:12; pErr:0.2219, weight 12 CW found:6613</t>
  </si>
  <si>
    <t>Trial:0 w:16; Trial:2 w:14; Trial:19 w:13; Trial:57 w:12; pErr:0.2237, weight 12 CW found:6639</t>
  </si>
  <si>
    <t>Trial:0 w:16; Trial:1 w:14; Trial:9 w:12; pErr:0.2241, weight 12 CW found:6680</t>
  </si>
  <si>
    <t>Trial:0 w:15; Trial:3 w:14; Trial:7 w:13; Trial:38 w:12; pErr:0.2229, weight 12 CW found:6637</t>
  </si>
  <si>
    <t>Trial:0 w:14; Trial:4 w:12; pErr:0.2227, weight 12 CW found:6655</t>
  </si>
  <si>
    <t>Trial:0 w:16; Trial:2 w:15; Trial:15 w:14; Trial:23 w:13; Trial:49 w:12; pErr:0.2245, weight 12 CW found:6662</t>
  </si>
  <si>
    <t>Trial:0 w:16; Trial:1 w:13; Trial:19 w:12; pErr:0.2257, weight 12 CW found:6706</t>
  </si>
  <si>
    <t>Trial:0 w:13; Trial:35 w:12; pErr:0.2244, weight 12 CW found:6669</t>
  </si>
  <si>
    <t>Trial:0 w:14; Trial:2 w:12; pErr:0.2208, weight 12 CW found:6620</t>
  </si>
  <si>
    <t>Trial:0 w:16; Trial:1 w:14; Trial:15 w:13; Trial:46 w:12; pErr:0.2234, weight 12 CW found:6641</t>
  </si>
  <si>
    <t>Trial:0 w:16; Trial:4 w:12; pErr:0.2269, weight 12 CW found:6739</t>
  </si>
  <si>
    <t>Trial:0 w:16; Trial:4 w:14; Trial:10 w:12; pErr:0.2214, weight 12 CW found:6625</t>
  </si>
  <si>
    <t>Trial:0 w:16; Trial:3 w:13; Trial:112 w:12; pErr:0.2246, weight 12 CW found:6621</t>
  </si>
  <si>
    <t>Trial:0 w:16; Trial:7 w:13; Trial:25 w:12; pErr:0.2233, weight 12 CW found:6654</t>
  </si>
  <si>
    <t>Trial:0 w:17; Trial:1 w:16; Trial:2 w:14; Trial:11 w:12; pErr:0.2201, weight 12 CW found:6600</t>
  </si>
  <si>
    <t>Trial:0 w:12; pErr:0.2208, weight 12 CW found:6620</t>
  </si>
  <si>
    <t>Trial:0 w:13; Trial:1 w:12; pErr:0.2233, weight 12 CW found:6670</t>
  </si>
  <si>
    <t>Trial:0 w:14; Trial:2 w:12; pErr:0.2222, weight 12 CW found:6647</t>
  </si>
  <si>
    <t>Trial:0 w:17; Trial:1 w:12; pErr:0.2252, weight 12 CW found:6708</t>
  </si>
  <si>
    <t>Trial:0 w:16; Trial:2 w:15; Trial:4 w:14; Trial:14 w:13; Trial:31 w:12; pErr:0.2258, weight 12 CW found:6700</t>
  </si>
  <si>
    <t>Trial:0 w:16; Trial:6 w:15; Trial:8 w:14; Trial:10 w:13; Trial:23 w:12; pErr:0.2240, weight 12 CW found:6669</t>
  </si>
  <si>
    <t>Trial:0 w:15; Trial:4 w:13; Trial:51 w:12; pErr:0.2232, weight 12 CW found:6635</t>
  </si>
  <si>
    <t>Trial:0 w:15; Trial:1 w:14; Trial:6 w:13; Trial:7 w:12; pErr:0.2233, weight 12 CW found:6666</t>
  </si>
  <si>
    <t>Trial:0 w:16; Trial:1 w:15; Trial:2 w:14; Trial:27 w:12; pErr:0.2218, weight 12 CW found:6623</t>
  </si>
  <si>
    <t>Trial:0 w:14; Trial:14 w:12; pErr:0.2235, weight 12 CW found:6665</t>
  </si>
  <si>
    <t>Trial:0 w:16; Trial:1 w:14; Trial:4 w:13; Trial:83 w:12; pErr:0.2265, weight 12 CW found:6679</t>
  </si>
  <si>
    <t>Trial:0 w:13; Trial:2 w:12; pErr:0.2264, weight 12 CW found:6730</t>
  </si>
  <si>
    <t>Trial:0 w:14; Trial:3 w:12; pErr:0.2198, weight 12 CW found:6598</t>
  </si>
  <si>
    <t>Trial:0 w:16; Trial:1 w:14; Trial:18 w:12; pErr:0.2260, weight 12 CW found:6711</t>
  </si>
  <si>
    <t>Trial:0 w:15; Trial:2 w:14; Trial:31 w:12; pErr:0.2261, weight 12 CW found:6705</t>
  </si>
  <si>
    <t>Trial:0 w:16; Trial:1 w:15; Trial:4 w:14; Trial:14 w:12; pErr:0.2225, weight 12 CW found:6644</t>
  </si>
  <si>
    <t>Trial:0 w:15; Trial:4 w:14; Trial:8 w:13; Trial:20 w:12; pErr:0.2262, weight 12 CW found:6714</t>
  </si>
  <si>
    <t>Trial:0 w:18; Trial:1 w:17; Trial:2 w:14; Trial:23 w:13; Trial:54 w:12; pErr:0.2280, weight 12 CW found:6728</t>
  </si>
  <si>
    <t>Trial:0 w:14; Trial:2 w:12; pErr:0.2276, weight 12 CW found:6755</t>
  </si>
  <si>
    <t>Trial:0 w:14; Trial:11 w:12; pErr:0.2263, weight 12 CW found:6722</t>
  </si>
  <si>
    <t>Trial:0 w:16; Trial:3 w:14; Trial:36 w:13; Trial:40 w:12; pErr:0.2234, weight 12 CW found:6645</t>
  </si>
  <si>
    <t>Trial:0 w:14; Trial:2 w:12; pErr:0.2206, weight 12 CW found:6615</t>
  </si>
  <si>
    <t>Trial:0 w:16; Trial:1 w:14; Trial:12 w:12; pErr:0.2268, weight 12 CW found:6732</t>
  </si>
  <si>
    <t>Trial:0 w:16; Trial:1 w:14; Trial:5 w:12; pErr:0.2262, weight 12 CW found:6724</t>
  </si>
  <si>
    <t>Trial:0 w:16; Trial:1 w:12; pErr:0.2227, weight 12 CW found:6658</t>
  </si>
  <si>
    <t>Trial:0 w:16; Trial:1 w:14; Trial:9 w:13; Trial:13 w:12; pErr:0.2255, weight 12 CW found:6706</t>
  </si>
  <si>
    <t>Trial:0 w:14; Trial:52 w:12; pErr:0.2212, weight 12 CW found:6594</t>
  </si>
  <si>
    <t>Trial:0 w:14; Trial:10 w:13; Trial:15 w:12; pErr:0.2245, weight 12 CW found:6683</t>
  </si>
  <si>
    <t>Trial:0 w:16; Trial:1 w:14; Trial:3 w:13; Trial:33 w:12; pErr:0.2254, weight 12 CW found:6689</t>
  </si>
  <si>
    <t>Trial:0 w:16; Trial:1 w:14; Trial:17 w:12; pErr:0.2247, weight 12 CW found:6686</t>
  </si>
  <si>
    <t>Trial:0 w:16; Trial:1 w:15; Trial:3 w:14; Trial:18 w:12; pErr:0.2236, weight 12 CW found:6665</t>
  </si>
  <si>
    <t>Trial:0 w:14; Trial:3 w:13; Trial:6 w:12; pErr:0.2245, weight 12 CW found:6690</t>
  </si>
  <si>
    <t>Trial:0 w:14; Trial:20 w:12; pErr:0.2254, weight 12 CW found:6699</t>
  </si>
  <si>
    <t>Trial:0 w:14; Trial:5 w:13; Trial:6 w:12; pErr:0.2242, weight 12 CW found:6683</t>
  </si>
  <si>
    <t>Trial:0 w:16; Trial:1 w:14; Trial:11 w:12; pErr:0.2226, weight 12 CW found:6649</t>
  </si>
  <si>
    <t>Trial:0 w:14; Trial:1 w:12; pErr:0.2263, weight 12 CW found:6730</t>
  </si>
  <si>
    <t>Trial:0 w:16; Trial:1 w:15; Trial:4 w:14; Trial:6 w:13; Trial:13 w:12; pErr:0.2266, weight 12 CW found:6728</t>
  </si>
  <si>
    <t>Trial:0 w:14; Trial:8 w:12; pErr:0.2224, weight 12 CW found:6646</t>
  </si>
  <si>
    <t>Trial:0 w:16; Trial:1 w:14; Trial:3 w:12; pErr:0.2238, weight 12 CW found:6679</t>
  </si>
  <si>
    <t>Trial:0 w:13; Trial:8 w:12; pErr:0.2218, weight 12 CW found:6634</t>
  </si>
  <si>
    <t>Trial:0 w:12; pErr:0.2280, weight 12 CW found:6764</t>
  </si>
  <si>
    <t>Trial:0 w:17; Trial:1 w:14; Trial:26 w:12; pErr:0.2245, weight 12 CW found:6677</t>
  </si>
  <si>
    <t>Trial:0 w:15; Trial:1 w:14; Trial:3 w:13; Trial:18 w:12; pErr:0.2233, weight 12 CW found:6659</t>
  </si>
  <si>
    <t>Trial:0 w:18; Trial:1 w:16; Trial:8 w:12; pErr:0.2242, weight 12 CW found:6683</t>
  </si>
  <si>
    <t>Trial:0 w:16; Trial:3 w:14; Trial:15 w:12; pErr:0.2256, weight 12 CW found:6705</t>
  </si>
  <si>
    <t>Trial:0 w:16; Trial:2 w:15; Trial:6 w:14; Trial:8 w:13; Trial:20 w:12; pErr:0.2239, weight 12 CW found:6668</t>
  </si>
  <si>
    <t>Trial:0 w:14; Trial:4 w:12; pErr:0.2273, weight 12 CW found:6748</t>
  </si>
  <si>
    <t>Trial:0 w:17; Trial:2 w:12; pErr:0.2224, weight 12 CW found:6651</t>
  </si>
  <si>
    <t>outfile: /home/ucapmwe/dist-benchmark/results/codeTables-QECC_sample.txt-decoderDist-bposd-20260224_130303.769129_85062422.txt</t>
  </si>
  <si>
    <t>Trial:0 w:15; Trial:4 w:14; Trial:26 w:13; Trial:57 w:12; Trial:86 w:11; pErr:0.0146, weight 11 CW found:2346</t>
  </si>
  <si>
    <t>Trial:0 w:12; Trial:163 w:11; Trial:2674 w:10; pErr:0.0217, weight 10 CW found:1912</t>
  </si>
  <si>
    <t>Trial:0 w:14; Trial:8 w:13; Trial:21 w:12; Trial:344 w:11; pErr:0.0180, weight 11 CW found:2403</t>
  </si>
  <si>
    <t>Trial:0 w:15; Trial:9 w:14; Trial:16 w:12; Trial:913 w:11; pErr:0.0183, weight 11 CW found:2272</t>
  </si>
  <si>
    <t>Trial:0 w:17; Trial:1 w:15; Trial:7 w:14; Trial:11 w:12; Trial:230 w:11; Trial:7649 w:10; pErr:0.0272, weight 10 CW found:652</t>
  </si>
  <si>
    <t>Trial:0 w:16; Trial:1 w:14; Trial:6 w:12; Trial:1934 w:11; pErr:0.0175, weight 11 CW found:1994</t>
  </si>
  <si>
    <t>Trial:0 w:15; Trial:5 w:14; Trial:13 w:12; Trial:694 w:11; pErr:0.0174, weight 11 CW found:2296</t>
  </si>
  <si>
    <t>Trial:0 w:16; Trial:1 w:14; Trial:31 w:13; Trial:75 w:12; Trial:1147 w:11; pErr:0.0159, weight 11 CW found:2139</t>
  </si>
  <si>
    <t>Trial:0 w:15; Trial:1 w:14; Trial:5 w:12; Trial:90 w:11; pErr:0.0201, weight 11 CW found:2537</t>
  </si>
  <si>
    <t>Trial:0 w:14; Trial:7 w:12; Trial:153 w:11; Trial:1829 w:10; pErr:0.0173, weight 10 CW found:2015</t>
  </si>
  <si>
    <t>Trial:0 w:17; Trial:1 w:16; Trial:2 w:14; Trial:11 w:12; Trial:803 w:11; pErr:0.0157, weight 11 CW found:2214</t>
  </si>
  <si>
    <t>Trial:0 w:17; Trial:1 w:14; Trial:12 w:13; Trial:65 w:11; pErr:0.0159, weight 11 CW found:2400</t>
  </si>
  <si>
    <t>Trial:0 w:15; Trial:1 w:13; Trial:5 w:12; Trial:149 w:11; pErr:0.0177, weight 11 CW found:2442</t>
  </si>
  <si>
    <t>Trial:0 w:14; Trial:1 w:13; Trial:51 w:12; Trial:532 w:11; Trial:4528 w:10; pErr:0.0210, weight 10 CW found:1416</t>
  </si>
  <si>
    <t>Trial:0 w:16; Trial:2 w:15; Trial:9 w:14; Trial:36 w:13; Trial:76 w:12; Trial:762 w:11; pErr:0.0180, weight 11 CW found:2298</t>
  </si>
  <si>
    <t>Trial:0 w:15; Trial:3 w:12; Trial:608 w:11; pErr:0.0171, weight 11 CW found:2308</t>
  </si>
  <si>
    <t>Trial:0 w:14; Trial:15 w:13; Trial:38 w:12; Trial:76 w:11; pErr:0.0162, weight 11 CW found:2406</t>
  </si>
  <si>
    <t>Trial:0 w:14; Trial:14 w:12; Trial:47 w:11; Trial:5235 w:10; pErr:0.0208, weight 10 CW found:1231</t>
  </si>
  <si>
    <t>Trial:0 w:15; Trial:1 w:14; Trial:8 w:13; Trial:10 w:12; Trial:226 w:11; Trial:7364 w:10; pErr:0.0323, weight 10 CW found:768</t>
  </si>
  <si>
    <t>Trial:0 w:15; Trial:7 w:14; Trial:24 w:13; Trial:149 w:12; Trial:247 w:11; Trial:3816 w:10; pErr:0.0212, weight 10 CW found:1605</t>
  </si>
  <si>
    <t>Trial:0 w:15; Trial:11 w:14; Trial:21 w:12; Trial:1230 w:11; Trial:5639 w:10; pErr:0.0210, weight 10 CW found:1129</t>
  </si>
  <si>
    <t>Trial:0 w:18; Trial:1 w:15; Trial:2 w:14; Trial:5 w:13; Trial:20 w:12; Trial:42 w:11; pErr:0.0166, weight 11 CW found:2429</t>
  </si>
  <si>
    <t>Trial:0 w:14; Trial:5 w:12; Trial:39 w:11; Trial:335 w:10; pErr:0.0153, weight 10 CW found:2313</t>
  </si>
  <si>
    <t>Trial:0 w:15; Trial:2 w:14; Trial:5 w:12; Trial:323 w:11; pErr:0.0163, weight 11 CW found:2351</t>
  </si>
  <si>
    <t>Trial:0 w:14; Trial:19 w:13; Trial:105 w:12; Trial:287 w:11; pErr:0.0144, weight 11 CW found:2289</t>
  </si>
  <si>
    <t>Trial:0 w:17; Trial:1 w:16; Trial:2 w:15; Trial:3 w:14; Trial:51 w:13; Trial:104 w:12; Trial:668 w:11; pErr:0.0165, weight 11 CW found:2275</t>
  </si>
  <si>
    <t>Trial:0 w:15; Trial:8 w:14; Trial:33 w:13; Trial:43 w:12; Trial:158 w:11; Trial:7394 w:10; pErr:0.0265, weight 10 CW found:718</t>
  </si>
  <si>
    <t>Trial:0 w:12; Trial:549 w:11; pErr:0.0167, weight 11 CW found:2308</t>
  </si>
  <si>
    <t>Trial:0 w:16; Trial:1 w:12; Trial:4101 w:11; Trial:6796 w:10; pErr:0.0248, weight 10 CW found:867</t>
  </si>
  <si>
    <t>Trial:0 w:15; Trial:15 w:14; Trial:87 w:12; Trial:2203 w:11; pErr:0.0206, weight 11 CW found:2008</t>
  </si>
  <si>
    <t>Trial:0 w:12; Trial:1378 w:11; Trial:1647 w:10; pErr:0.0180, weight 10 CW found:2080</t>
  </si>
  <si>
    <t>Trial:0 w:14; Trial:6 w:13; Trial:63 w:11; Trial:6793 w:10; pErr:0.0283, weight 10 CW found:900</t>
  </si>
  <si>
    <t>Trial:0 w:15; Trial:2 w:13; Trial:6 w:12; Trial:35 w:11; Trial:9942 w:10; pErr:0.1725, weight 10 CW found:33</t>
  </si>
  <si>
    <t>Trial:0 w:15; Trial:3 w:14; Trial:78 w:12; Trial:165 w:11; pErr:0.0175, weight 11 CW found:2432</t>
  </si>
  <si>
    <t>Trial:0 w:15; Trial:1 w:14; Trial:15 w:12; Trial:156 w:11; pErr:0.0166, weight 11 CW found:2401</t>
  </si>
  <si>
    <t>Trial:0 w:15; Trial:6 w:12; Trial:1275 w:10; pErr:0.0184, weight 10 CW found:2183</t>
  </si>
  <si>
    <t>Trial:0 w:14; Trial:33 w:12; Trial:62 w:11; Trial:8382 w:10; pErr:0.0356, weight 10 CW found:485</t>
  </si>
  <si>
    <t>Trial:0 w:14; Trial:10 w:12; Trial:297 w:11; Trial:2463 w:10; pErr:0.0175, weight 10 CW found:1864</t>
  </si>
  <si>
    <t>Trial:0 w:17; Trial:1 w:15; Trial:4 w:14; Trial:7 w:13; Trial:17 w:12; Trial:393 w:11; Trial:533 w:10; pErr:0.0176, weight 10 CW found:2343</t>
  </si>
  <si>
    <t>Trial:0 w:14; Trial:19 w:12; Trial:650 w:11; pErr:0.0165, weight 11 CW found:2278</t>
  </si>
  <si>
    <t>Trial:0 w:17; Trial:1 w:15; Trial:4 w:13; Trial:33 w:12; Trial:134 w:10; pErr:0.0161, weight 10 CW found:2389</t>
  </si>
  <si>
    <t>Trial:0 w:15; Trial:2 w:14; Trial:60 w:13; Trial:172 w:12; Trial:747 w:11; pErr:0.0170, weight 11 CW found:2270</t>
  </si>
  <si>
    <t>Trial:0 w:14; Trial:69 w:12; Trial:728 w:11; Trial:5684 w:10; pErr:0.0218, weight 10 CW found:1128</t>
  </si>
  <si>
    <t>Trial:0 w:15; Trial:11 w:14; Trial:77 w:12; Trial:571 w:11; pErr:0.0183, weight 11 CW found:2356</t>
  </si>
  <si>
    <t>Trial:0 w:16; Trial:1 w:14; Trial:21 w:13; Trial:71 w:12; Trial:691 w:11; Trial:2857 w:10; pErr:0.0181, weight 10 CW found:1780</t>
  </si>
  <si>
    <t>Trial:0 w:14; Trial:5 w:13; Trial:53 w:12; Trial:341 w:11; pErr:0.0143, weight 11 CW found:2274</t>
  </si>
  <si>
    <t>Trial:0 w:14; Trial:9 w:11; Trial:3322 w:10; pErr:0.0197, weight 10 CW found:1701</t>
  </si>
  <si>
    <t>Trial:0 w:15; Trial:1 w:14; Trial:49 w:12; Trial:137 w:11; Trial:2244 w:10; pErr:0.0181, weight 10 CW found:1934</t>
  </si>
  <si>
    <t>Trial:0 w:12; Trial:1337 w:11; pErr:0.0167, weight 11 CW found:2118</t>
  </si>
  <si>
    <t>Trial:0 w:17; Trial:1 w:13; Trial:249 w:12; Trial:336 w:11; Trial:2526 w:10; pErr:0.0180, weight 10 CW found:1861</t>
  </si>
  <si>
    <t>Trial:0 w:15; Trial:5 w:14; Trial:13 w:12; Trial:337 w:11; pErr:0.0167, weight 11 CW found:2362</t>
  </si>
  <si>
    <t>Trial:0 w:17; Trial:2 w:14; Trial:40 w:13; Trial:95 w:11; pErr:0.0157, weight 11 CW found:2386</t>
  </si>
  <si>
    <t>Trial:0 w:15; Trial:2 w:14; Trial:15 w:13; Trial:52 w:12; Trial:245 w:11; Trial:4084 w:10; pErr:0.0184, weight 10 CW found:1481</t>
  </si>
  <si>
    <t>Trial:0 w:14; Trial:6 w:12; Trial:1177 w:11; pErr:0.0177, weight 11 CW found:2186</t>
  </si>
  <si>
    <t>Trial:0 w:14; Trial:38 w:12; Trial:788 w:11; pErr:0.0163, weight 11 CW found:2237</t>
  </si>
  <si>
    <t>Trial:0 w:14; Trial:9 w:13; Trial:20 w:12; Trial:1240 w:10; pErr:0.0181, weight 10 CW found:2184</t>
  </si>
  <si>
    <t>Trial:0 w:16; Trial:3 w:15; Trial:10 w:14; Trial:37 w:13; Trial:54 w:12; Trial:188 w:11; pErr:0.0156, weight 11 CW found:2358</t>
  </si>
  <si>
    <t>Trial:0 w:16; Trial:1 w:15; Trial:3 w:14; Trial:11 w:13; Trial:24 w:12; Trial:66 w:11; Trial:2864 w:10; pErr:0.0168, weight 10 CW found:1746</t>
  </si>
  <si>
    <t>Trial:0 w:14; Trial:6 w:12; Trial:365 w:11; pErr:0.0169, weight 11 CW found:2360</t>
  </si>
  <si>
    <t>Trial:0 w:15; Trial:3 w:14; Trial:16 w:13; Trial:19 w:11; Trial:9823 w:10; pErr:0.0915, weight 10 CW found:74</t>
  </si>
  <si>
    <t>Trial:0 w:14; Trial:16 w:13; Trial:45 w:12; Trial:1178 w:11; Trial:4344 w:10; pErr:0.0204, weight 10 CW found:1453</t>
  </si>
  <si>
    <t>Trial:0 w:14; Trial:9 w:13; Trial:56 w:12; Trial:2418 w:11; pErr:0.0183, weight 11 CW found:1895</t>
  </si>
  <si>
    <t>Trial:0 w:15; Trial:5 w:14; Trial:22 w:12; Trial:1844 w:11; Trial:2250 w:10; pErr:0.0173, weight 10 CW found:1910</t>
  </si>
  <si>
    <t>Trial:0 w:16; Trial:1 w:12; Trial:9 w:11; Trial:752 w:10; pErr:0.0167, weight 10 CW found:2261</t>
  </si>
  <si>
    <t>Trial:0 w:17; Trial:1 w:16; Trial:2 w:14; Trial:10 w:12; Trial:1984 w:11; pErr:0.0158, weight 11 CW found:1932</t>
  </si>
  <si>
    <t>Trial:0 w:16; Trial:1 w:14; Trial:47 w:13; Trial:111 w:12; Trial:244 w:11; pErr:0.0183, weight 11 CW found:2438</t>
  </si>
  <si>
    <t>Trial:0 w:15; Trial:1 w:14; Trial:52 w:12; Trial:2942 w:11; Trial:7218 w:10; pErr:0.0244, weight 10 CW found:749</t>
  </si>
  <si>
    <t>Trial:0 w:17; Trial:1 w:13; Trial:33 w:12; Trial:183 w:11; pErr:0.0175, weight 11 CW found:2427</t>
  </si>
  <si>
    <t>Trial:0 w:14; Trial:8 w:12; Trial:104 w:11; pErr:0.0151, weight 11 CW found:2359</t>
  </si>
  <si>
    <t>Trial:0 w:14; Trial:39 w:13; Trial:65 w:12; Trial:292 w:11; Trial:7728 w:10; pErr:0.0325, weight 10 CW found:663</t>
  </si>
  <si>
    <t>Trial:0 w:15; Trial:2 w:14; Trial:3 w:12; Trial:197 w:11; pErr:0.0183, weight 11 CW found:2449</t>
  </si>
  <si>
    <t>Trial:0 w:18; Trial:1 w:14; Trial:18 w:13; Trial:47 w:12; Trial:629 w:11; Trial:1687 w:10; pErr:0.0163, weight 10 CW found:2019</t>
  </si>
  <si>
    <t>outfile: /home/ucapmwe/dist-benchmark/results/codeTables-QECC_sample.txt-decoderDist-bposd-20260224_130303.769140_85062422.txt</t>
  </si>
  <si>
    <t>Trial:0 w:14; Trial:1 w:13; Trial:57 w:12; Trial:91 w:11; Trial:230 w:10; pErr:0.3321, weight 10 CW found:8863</t>
  </si>
  <si>
    <t>Trial:0 w:14; Trial:2 w:11; Trial:90 w:10; pErr:0.3291, weight 10 CW found:8917</t>
  </si>
  <si>
    <t>Trial:0 w:16; Trial:2 w:15; Trial:3 w:12; Trial:284 w:11; Trial:450 w:10; pErr:0.3297, weight 10 CW found:8607</t>
  </si>
  <si>
    <t>Trial:0 w:16; Trial:2 w:13; Trial:20 w:12; Trial:108 w:11; Trial:721 w:10; pErr:0.3287, weight 10 CW found:8340</t>
  </si>
  <si>
    <t>Trial:0 w:16; Trial:1 w:13; Trial:41 w:12; Trial:120 w:11; Trial:695 w:10; pErr:0.3287, weight 10 CW found:8364</t>
  </si>
  <si>
    <t>Trial:0 w:12; Trial:108 w:11; Trial:382 w:10; pErr:0.3316, weight 10 CW found:8713</t>
  </si>
  <si>
    <t>Trial:0 w:17; Trial:2 w:13; Trial:35 w:12; Trial:78 w:11; Trial:135 w:10; pErr:0.3297, weight 10 CW found:8891</t>
  </si>
  <si>
    <t>Trial:0 w:16; Trial:1 w:15; Trial:2 w:14; Trial:6 w:13; Trial:13 w:12; Trial:80 w:11; Trial:3114 w:10; pErr:0.3291, weight 10 CW found:6196</t>
  </si>
  <si>
    <t>Trial:0 w:13; Trial:75 w:12; Trial:139 w:11; Trial:406 w:10; pErr:0.3296, weight 10 CW found:8645</t>
  </si>
  <si>
    <t>Trial:0 w:16; Trial:1 w:12; Trial:40 w:11; Trial:1396 w:10; pErr:0.3295, weight 10 CW found:7751</t>
  </si>
  <si>
    <t>Trial:0 w:17; Trial:1 w:14; Trial:4 w:13; Trial:17 w:12; Trial:113 w:11; Trial:329 w:10; pErr:0.3283, weight 10 CW found:8682</t>
  </si>
  <si>
    <t>Trial:0 w:16; Trial:2 w:15; Trial:3 w:12; Trial:38 w:11; Trial:595 w:10; pErr:0.3284, weight 10 CW found:8446</t>
  </si>
  <si>
    <t>Trial:0 w:13; Trial:8 w:11; Trial:1056 w:10; pErr:0.3273, weight 10 CW found:8008</t>
  </si>
  <si>
    <t>Trial:0 w:16; Trial:1 w:14; Trial:5 w:13; Trial:8 w:12; Trial:11 w:10; pErr:0.3264, weight 10 CW found:8922</t>
  </si>
  <si>
    <t>Trial:0 w:15; Trial:5 w:14; Trial:6 w:12; Trial:25 w:10; pErr:0.3268, weight 10 CW found:8920</t>
  </si>
  <si>
    <t>Trial:0 w:13; Trial:1 w:12; Trial:70 w:11; Trial:2456 w:10; pErr:0.3287, weight 10 CW found:6780</t>
  </si>
  <si>
    <t>Trial:0 w:16; Trial:1 w:14; Trial:7 w:12; Trial:64 w:11; Trial:230 w:10; pErr:0.3290, weight 10 CW found:8789</t>
  </si>
  <si>
    <t>Trial:0 w:14; Trial:2 w:12; Trial:135 w:11; Trial:882 w:10; pErr:0.3302, weight 10 CW found:8228</t>
  </si>
  <si>
    <t>Trial:0 w:14; Trial:12 w:13; Trial:21 w:12; Trial:41 w:11; Trial:732 w:10; pErr:0.3283, weight 10 CW found:8321</t>
  </si>
  <si>
    <t>Trial:0 w:15; Trial:1 w:13; Trial:18 w:12; Trial:40 w:11; Trial:744 w:10; pErr:0.3284, weight 10 CW found:8313</t>
  </si>
  <si>
    <t>Trial:0 w:121; Trial:1 w:13; Trial:28 w:12; Trial:31 w:11; Trial:48 w:10; pErr:0.3281, weight 10 CW found:8929</t>
  </si>
  <si>
    <t>Trial:0 w:14; Trial:1 w:12; Trial:35 w:11; Trial:1311 w:10; pErr:0.3301, weight 10 CW found:7839</t>
  </si>
  <si>
    <t>Trial:0 w:15; Trial:1 w:13; Trial:15 w:12; Trial:29 w:10; pErr:0.3272, weight 10 CW found:8924</t>
  </si>
  <si>
    <t>Trial:0 w:15; Trial:1 w:13; Trial:10 w:12; Trial:38 w:11; Trial:2139 w:10; pErr:0.3310, weight 10 CW found:7109</t>
  </si>
  <si>
    <t>Trial:0 w:12; Trial:97 w:11; Trial:543 w:10; pErr:0.3299, weight 10 CW found:8528</t>
  </si>
  <si>
    <t>Trial:0 w:15; Trial:4 w:14; Trial:27 w:13; Trial:38 w:12; Trial:67 w:11; Trial:157 w:10; pErr:0.3294, weight 10 CW found:8864</t>
  </si>
  <si>
    <t>Trial:0 w:14; Trial:7 w:12; Trial:106 w:10; pErr:0.3298, weight 10 CW found:8920</t>
  </si>
  <si>
    <t>Trial:0 w:17; Trial:1 w:14; Trial:3 w:13; Trial:37 w:12; Trial:86 w:10; pErr:0.3264, weight 10 CW found:8854</t>
  </si>
  <si>
    <t>Trial:0 w:12; Trial:185 w:11; Trial:770 w:10; pErr:0.3279, weight 10 CW found:8278</t>
  </si>
  <si>
    <t>Trial:0 w:14; Trial:10 w:12; Trial:33 w:10; pErr:0.3315, weight 10 CW found:9026</t>
  </si>
  <si>
    <t>Trial:0 w:16; Trial:1 w:14; Trial:4 w:13; Trial:8 w:12; Trial:93 w:11; Trial:495 w:10; pErr:0.3274, weight 10 CW found:8512</t>
  </si>
  <si>
    <t>Trial:0 w:16; Trial:1 w:15; Trial:2 w:12; Trial:93 w:11; Trial:1072 w:10; pErr:0.3276, weight 10 CW found:8000</t>
  </si>
  <si>
    <t>Trial:0 w:15; Trial:1 w:14; Trial:2 w:12; Trial:3 w:11; Trial:640 w:10; pErr:0.3298, weight 10 CW found:8439</t>
  </si>
  <si>
    <t>Trial:0 w:16; Trial:1 w:14; Trial:8 w:12; Trial:45 w:11; Trial:238 w:10; pErr:0.3282, weight 10 CW found:8763</t>
  </si>
  <si>
    <t>Trial:0 w:16; Trial:1 w:15; Trial:13 w:14; Trial:16 w:13; Trial:45 w:12; Trial:49 w:11; Trial:1323 w:10; pErr:0.3296, weight 10 CW found:7817</t>
  </si>
  <si>
    <t>Trial:0 w:15; Trial:6 w:13; Trial:22 w:11; Trial:112 w:10; pErr:0.3282, weight 10 CW found:8875</t>
  </si>
  <si>
    <t>Trial:0 w:12; Trial:79 w:11; Trial:257 w:10; pErr:0.3277, weight 10 CW found:8733</t>
  </si>
  <si>
    <t>Trial:0 w:16; Trial:1 w:14; Trial:5 w:13; Trial:36 w:12; Trial:62 w:11; Trial:66 w:10; pErr:0.3281, weight 10 CW found:8914</t>
  </si>
  <si>
    <t>Trial:0 w:14; Trial:4 w:13; Trial:32 w:11; Trial:1391 w:10; pErr:0.3300, weight 10 CW found:7765</t>
  </si>
  <si>
    <t>Trial:0 w:15; Trial:1 w:12; Trial:32 w:11; Trial:673 w:10; pErr:0.3290, weight 10 CW found:8389</t>
  </si>
  <si>
    <t>Trial:0 w:17; Trial:1 w:14; Trial:6 w:13; Trial:11 w:12; Trial:172 w:11; Trial:532 w:10; pErr:0.3287, weight 10 CW found:8510</t>
  </si>
  <si>
    <t>Trial:0 w:13; Trial:2 w:12; Trial:43 w:11; Trial:480 w:10; pErr:0.3295, weight 10 CW found:8575</t>
  </si>
  <si>
    <t>Trial:0 w:17; Trial:2 w:13; Trial:32 w:12; Trial:36 w:11; Trial:2850 w:10; pErr:0.3320, weight 10 CW found:6484</t>
  </si>
  <si>
    <t>Trial:0 w:15; Trial:3 w:13; Trial:69 w:11; Trial:703 w:10; pErr:0.3273, weight 10 CW found:8324</t>
  </si>
  <si>
    <t>Trial:0 w:15; Trial:4 w:14; Trial:26 w:13; Trial:38 w:12; Trial:93 w:11; Trial:1153 w:10; pErr:0.3302, weight 10 CW found:7984</t>
  </si>
  <si>
    <t>Trial:0 w:15; Trial:1 w:14; Trial:35 w:13; Trial:49 w:12; Trial:99 w:11; Trial:741 w:10; pErr:0.3287, weight 10 CW found:8323</t>
  </si>
  <si>
    <t>Trial:0 w:15; Trial:5 w:13; Trial:14 w:12; Trial:75 w:11; Trial:2079 w:10; pErr:0.3292, weight 10 CW found:7129</t>
  </si>
  <si>
    <t>Trial:0 w:14; Trial:1 w:13; Trial:45 w:12; Trial:150 w:11; Trial:2800 w:10; pErr:0.3298, weight 10 CW found:6490</t>
  </si>
  <si>
    <t>Trial:0 w:17; Trial:1 w:15; Trial:7 w:13; Trial:9 w:12; Trial:144 w:11; Trial:738 w:10; pErr:0.3291, weight 10 CW found:8333</t>
  </si>
  <si>
    <t>Trial:0 w:16; Trial:1 w:14; Trial:12 w:13; Trial:19 w:12; Trial:28 w:11; Trial:350 w:10; pErr:0.3307, weight 10 CW found:8722</t>
  </si>
  <si>
    <t>Trial:0 w:17; Trial:1 w:15; Trial:4 w:14; Trial:33 w:13; Trial:56 w:12; Trial:309 w:11; Trial:1020 w:10; pErr:0.3288, weight 10 CW found:8073</t>
  </si>
  <si>
    <t>Trial:0 w:15; Trial:5 w:14; Trial:21 w:13; Trial:24 w:12; Trial:57 w:11; Trial:346 w:10; pErr:0.3293, weight 10 CW found:8692</t>
  </si>
  <si>
    <t>Trial:0 w:18; Trial:1 w:14; Trial:3 w:12; Trial:147 w:11; Trial:1007 w:10; pErr:0.3261, weight 10 CW found:8026</t>
  </si>
  <si>
    <t>Trial:0 w:17; Trial:1 w:13; Trial:6 w:12; Trial:78 w:11; Trial:269 w:10; pErr:0.3270, weight 10 CW found:8706</t>
  </si>
  <si>
    <t>Trial:0 w:13; Trial:36 w:12; Trial:94 w:11; Trial:211 w:10; pErr:0.3281, weight 10 CW found:8785</t>
  </si>
  <si>
    <t>Trial:0 w:11; Trial:164 w:10; pErr:0.3278, weight 10 CW found:8819</t>
  </si>
  <si>
    <t>Trial:0 w:17; Trial:1 w:12; Trial:144 w:11; Trial:583 w:10; pErr:0.3292, weight 10 CW found:8476</t>
  </si>
  <si>
    <t>Trial:0 w:14; Trial:5 w:12; Trial:31 w:11; Trial:915 w:10; pErr:0.3329, weight 10 CW found:8259</t>
  </si>
  <si>
    <t>Trial:0 w:16; Trial:1 w:13; Trial:3 w:12; Trial:4 w:11; Trial:1119 w:10; pErr:0.3290, weight 10 CW found:7989</t>
  </si>
  <si>
    <t>Trial:0 w:15; Trial:2 w:14; Trial:3 w:12; Trial:32 w:11; Trial:2511 w:10; pErr:0.3304, weight 10 CW found:6762</t>
  </si>
  <si>
    <t>Trial:0 w:16; Trial:2 w:15; Trial:3 w:14; Trial:4 w:13; Trial:14 w:12; Trial:101 w:11; Trial:523 w:10; pErr:0.3308, weight 10 CW found:8568</t>
  </si>
  <si>
    <t>Trial:0 w:16; Trial:1 w:15; Trial:5 w:13; Trial:35 w:12; Trial:134 w:11; Trial:414 w:10; pErr:0.3286, weight 10 CW found:8614</t>
  </si>
  <si>
    <t>Trial:0 w:15; Trial:1 w:14; Trial:17 w:12; Trial:68 w:11; Trial:796 w:10; pErr:0.3317, weight 10 CW found:8340</t>
  </si>
  <si>
    <t>Trial:0 w:12; Trial:51 w:11; Trial:468 w:10; pErr:0.3285, weight 10 CW found:8562</t>
  </si>
  <si>
    <t>Trial:0 w:16; Trial:2 w:14; Trial:11 w:13; Trial:25 w:12; Trial:258 w:11; Trial:575 w:10; pErr:0.3292, weight 10 CW found:8483</t>
  </si>
  <si>
    <t>Trial:0 w:15; Trial:2 w:12; Trial:46 w:11; Trial:775 w:10; pErr:0.3297, weight 10 CW found:8315</t>
  </si>
  <si>
    <t>Trial:0 w:17; Trial:1 w:15; Trial:2 w:13; Trial:13 w:12; Trial:95 w:11; Trial:335 w:10; pErr:0.3283, weight 10 CW found:8678</t>
  </si>
  <si>
    <t>Trial:0 w:15; Trial:2 w:14; Trial:12 w:12; Trial:50 w:11; Trial:171 w:10; pErr:0.3277, weight 10 CW found:8809</t>
  </si>
  <si>
    <t>Trial:0 w:11; Trial:1208 w:10; pErr:0.3282, weight 10 CW found:7891</t>
  </si>
  <si>
    <t>Trial:0 w:12; Trial:96 w:11; Trial:555 w:10; pErr:0.3287, weight 10 CW found:8489</t>
  </si>
  <si>
    <t>Trial:0 w:14; Trial:8 w:13; Trial:17 w:11; Trial:627 w:10; pErr:0.3269, weight 10 CW found:8382</t>
  </si>
  <si>
    <t>Trial:0 w:15; Trial:1 w:14; Trial:5 w:13; Trial:23 w:12; Trial:152 w:10; pErr:0.3292, weight 10 CW found:8864</t>
  </si>
  <si>
    <t>Trial:0 w:14; Trial:1 w:13; Trial:25 w:12; Trial:69 w:10; pErr:0.3270, weight 10 CW found:8884</t>
  </si>
  <si>
    <t>Trial:0 w:18; Trial:1 w:15; Trial:3 w:13; Trial:19 w:12; Trial:90 w:10; pErr:0.3287, weight 10 CW found:8908</t>
  </si>
  <si>
    <t>Trial:0 w:15; Trial:2 w:14; Trial:6 w:12; Trial:123 w:11; Trial:2518 w:10; pErr:0.3281, weight 10 CW found:6714</t>
  </si>
  <si>
    <t>Trial:0 w:14; Trial:3 w:13; Trial:9 w:12; Trial:121 w:11; Trial:346 w:10; pErr:0.3289, weight 10 CW found:8682</t>
  </si>
  <si>
    <t>Trial:0 w:11; Trial:1014 w:10; pErr:0.3281, weight 10 CW found:8063</t>
  </si>
  <si>
    <t>Trial:0 w:15; Trial:1 w:14; Trial:7 w:11; Trial:835 w:10; pErr:0.3283, weight 10 CW found:8229</t>
  </si>
  <si>
    <t>Trial:0 w:15; Trial:3 w:14; Trial:13 w:12; Trial:21 w:11; Trial:326 w:10; pErr:0.3269, weight 10 CW found:8651</t>
  </si>
  <si>
    <t>Trial:0 w:14; Trial:6 w:11; Trial:255 w:10; pErr:0.3295, weight 10 CW found:8778</t>
  </si>
  <si>
    <t>Trial:0 w:14; Trial:29 w:13; Trial:33 w:12; Trial:238 w:11; Trial:476 w:10; pErr:0.3301, weight 10 CW found:8594</t>
  </si>
  <si>
    <t>Trial:0 w:14; Trial:2 w:13; Trial:7 w:12; Trial:34 w:11; Trial:1477 w:10; pErr:0.3290, weight 10 CW found:7667</t>
  </si>
  <si>
    <t>Trial:0 w:17; Trial:1 w:12; Trial:56 w:11; Trial:647 w:10; pErr:0.3296, weight 10 CW found:8426</t>
  </si>
  <si>
    <t>Trial:0 w:16; Trial:1 w:15; Trial:3 w:14; Trial:17 w:12; Trial:129 w:11; Trial:745 w:10; pErr:0.3301, weight 10 CW found:8350</t>
  </si>
  <si>
    <t>Trial:0 w:17; Trial:2 w:14; Trial:4 w:13; Trial:16 w:11; Trial:748 w:10; pErr:0.3274, weight 10 CW found:8286</t>
  </si>
  <si>
    <t>Trial:0 w:16; Trial:2 w:14; Trial:25 w:13; Trial:47 w:11; Trial:155 w:10; pErr:0.3307, weight 10 CW found:8897</t>
  </si>
  <si>
    <t>Trial:0 w:15; Trial:3 w:12; Trial:184 w:11; Trial:684 w:10; pErr:0.3271, weight 10 CW found:8337</t>
  </si>
  <si>
    <t>Trial:0 w:14; Trial:10 w:12; Trial:31 w:11; Trial:351 w:10; pErr:0.3296, weight 10 CW found:8693</t>
  </si>
  <si>
    <t>Trial:0 w:13; Trial:15 w:12; Trial:272 w:10; pErr:0.3269, weight 10 CW found:8701</t>
  </si>
  <si>
    <t>Trial:0 w:16; Trial:3 w:15; Trial:4 w:14; Trial:6 w:13; Trial:32 w:11; Trial:298 w:10; pErr:0.3307, weight 10 CW found:8769</t>
  </si>
  <si>
    <t>Trial:0 w:14; Trial:1 w:13; Trial:14 w:11; Trial:503 w:10; pErr:0.3305, weight 10 CW found:8579</t>
  </si>
  <si>
    <t>Trial:0 w:14; Trial:2 w:12; Trial:24 w:11; Trial:275 w:10; pErr:0.3285, weight 10 CW found:8735</t>
  </si>
  <si>
    <t>Trial:0 w:16; Trial:1 w:14; Trial:2 w:13; Trial:13 w:12; Trial:174 w:11; Trial:395 w:10; pErr:0.3318, weight 10 CW found:8706</t>
  </si>
  <si>
    <t>Trial:0 w:15; Trial:3 w:14; Trial:11 w:13; Trial:21 w:12; Trial:182 w:11; Trial:734 w:10; pErr:0.3307, weight 10 CW found:8373</t>
  </si>
  <si>
    <t>Trial:0 w:16; Trial:2 w:13; Trial:6 w:12; Trial:12 w:11; Trial:492 w:10; pErr:0.3282, weight 10 CW found:8533</t>
  </si>
  <si>
    <t>Trial:0 w:17; Trial:1 w:16; Trial:2 w:15; Trial:4 w:13; Trial:26 w:11; Trial:450 w:10; pErr:0.3289, weight 10 CW found:8588</t>
  </si>
  <si>
    <t>Trial:0 w:15; Trial:1 w:13; Trial:2 w:11; Trial:754 w:10; pErr:0.3280, weight 10 CW found:8294</t>
  </si>
  <si>
    <t>Trial:0 w:15; Trial:2 w:11; Trial:98 w:10; pErr:0.3273, weight 10 CW found:8865</t>
  </si>
  <si>
    <t>Trial:0 w:15; Trial:5 w:14; Trial:7 w:13; Trial:12 w:11; Trial:946 w:10; pErr:0.3293, weight 10 CW found:8150</t>
  </si>
  <si>
    <t>Trial:0 w:13; Trial:96 w:12; Trial:138 w:11; Trial:193 w:10; pErr:0.3303, weight 10 CW found:8852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</si>
</sst>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A9FB-C56E-774A-8B42-B71CB5E49142}">
  <dimension ref="A2:AQ84"/>
  <sheetViews>
    <sheetView tabSelected="1" topLeftCell="A26" workbookViewId="0">
      <selection activeCell="E33" sqref="E33"/>
    </sheetView>
  </sheetViews>
  <sheetFormatPr baseColWidth="10" defaultRowHeight="16" x14ac:dyDescent="0.2"/>
  <cols>
    <col min="3" max="5" width="22.83203125" bestFit="1" customWidth="1"/>
    <col min="6" max="6" width="22.83203125" style="4" bestFit="1" customWidth="1"/>
    <col min="7" max="15" width="12.33203125" customWidth="1"/>
    <col min="16" max="17" width="5.33203125" customWidth="1"/>
    <col min="18" max="18" width="6" style="2" bestFit="1" customWidth="1"/>
    <col min="19" max="20" width="10" style="2" customWidth="1"/>
    <col min="21" max="24" width="10" customWidth="1"/>
    <col min="25" max="25" width="10" style="2" customWidth="1"/>
    <col min="26" max="27" width="10" customWidth="1"/>
    <col min="28" max="28" width="10" style="2" customWidth="1"/>
    <col min="29" max="29" width="10" customWidth="1"/>
    <col min="30" max="33" width="5.33203125" customWidth="1"/>
    <col min="34" max="34" width="5.33203125" style="4" customWidth="1"/>
    <col min="35" max="36" width="5.33203125" customWidth="1"/>
    <col min="37" max="37" width="5.33203125" style="2" customWidth="1"/>
    <col min="38" max="38" width="5.33203125" customWidth="1"/>
    <col min="39" max="39" width="5.33203125" style="2" customWidth="1"/>
    <col min="40" max="40" width="5.33203125" customWidth="1"/>
    <col min="41" max="41" width="5.33203125" style="2" customWidth="1"/>
    <col min="42" max="43" width="5.33203125" customWidth="1"/>
  </cols>
  <sheetData>
    <row r="2" spans="1:39" x14ac:dyDescent="0.2">
      <c r="A2" t="s">
        <v>28</v>
      </c>
      <c r="C2">
        <v>3</v>
      </c>
      <c r="D2">
        <v>4</v>
      </c>
      <c r="E2">
        <v>5</v>
      </c>
      <c r="F2">
        <v>6</v>
      </c>
      <c r="R2"/>
      <c r="S2"/>
      <c r="T2"/>
      <c r="Y2"/>
      <c r="AB2"/>
      <c r="AH2"/>
      <c r="AK2"/>
      <c r="AM2"/>
    </row>
    <row r="3" spans="1:39" x14ac:dyDescent="0.2">
      <c r="C3" t="str" cm="1">
        <f t="array" aca="1" ref="C3" ca="1">INDIRECT("Sheet"&amp;C$2&amp;"!a1")</f>
        <v>runMode: serial</v>
      </c>
      <c r="D3" t="str" cm="1">
        <f t="array" aca="1" ref="D3" ca="1">INDIRECT("Sheet"&amp;D$2&amp;"!a1")</f>
        <v>runMode: serial</v>
      </c>
      <c r="E3" t="str" cm="1">
        <f t="array" aca="1" ref="E3" ca="1">INDIRECT("Sheet"&amp;E$2&amp;"!a1")</f>
        <v>runMode: serial</v>
      </c>
      <c r="F3" t="str" cm="1">
        <f t="array" aca="1" ref="F3" ca="1">INDIRECT("Sheet"&amp;F$2&amp;"!a1")</f>
        <v>runMode: serial</v>
      </c>
      <c r="L3" s="2"/>
      <c r="N3" s="2"/>
      <c r="Q3" s="4"/>
      <c r="R3"/>
      <c r="S3"/>
      <c r="T3"/>
      <c r="Y3"/>
      <c r="AB3"/>
      <c r="AH3"/>
      <c r="AI3" s="2"/>
      <c r="AK3"/>
      <c r="AL3" s="4"/>
      <c r="AM3"/>
    </row>
    <row r="4" spans="1:39" x14ac:dyDescent="0.2">
      <c r="C4" t="str" cm="1">
        <f t="array" aca="1" ref="C4" ca="1">INDIRECT("Sheet"&amp;C$2&amp;"!a"&amp;ROW($A4)-2)</f>
        <v>maxCount: 10000</v>
      </c>
      <c r="D4" t="str" cm="1">
        <f t="array" aca="1" ref="D4" ca="1">INDIRECT("Sheet"&amp;D$2&amp;"!a"&amp;ROW($A4)-2)</f>
        <v>maxCount: 10000</v>
      </c>
      <c r="E4" t="str" cm="1">
        <f t="array" aca="1" ref="E4" ca="1">INDIRECT("Sheet"&amp;E$2&amp;"!a"&amp;ROW($A4)-2)</f>
        <v>maxCount: 10000</v>
      </c>
      <c r="F4" t="str" cm="1">
        <f t="array" aca="1" ref="F4" ca="1">INDIRECT("Sheet"&amp;F$2&amp;"!a"&amp;ROW($A4)-2)</f>
        <v>maxCount: 10000</v>
      </c>
      <c r="L4" s="2"/>
      <c r="N4" s="2"/>
      <c r="Q4" s="4"/>
      <c r="R4"/>
      <c r="S4"/>
      <c r="T4"/>
      <c r="Y4"/>
      <c r="AB4"/>
      <c r="AH4"/>
      <c r="AI4" s="2"/>
      <c r="AK4"/>
      <c r="AL4" s="4"/>
      <c r="AM4"/>
    </row>
    <row r="5" spans="1:39" x14ac:dyDescent="0.2">
      <c r="C5" t="str" cm="1">
        <f t="array" aca="1" ref="C5" ca="1">INDIRECT("Sheet"&amp;C$2&amp;"!a"&amp;ROW($A5)-2)</f>
        <v>repeat: 100</v>
      </c>
      <c r="D5" t="str" cm="1">
        <f t="array" aca="1" ref="D5" ca="1">INDIRECT("Sheet"&amp;D$2&amp;"!a"&amp;ROW($A5)-2)</f>
        <v>repeat: 100</v>
      </c>
      <c r="E5" t="str" cm="1">
        <f t="array" aca="1" ref="E5" ca="1">INDIRECT("Sheet"&amp;E$2&amp;"!a"&amp;ROW($A5)-2)</f>
        <v>repeat: 100</v>
      </c>
      <c r="F5" t="str" cm="1">
        <f t="array" aca="1" ref="F5" ca="1">INDIRECT("Sheet"&amp;F$2&amp;"!a"&amp;ROW($A5)-2)</f>
        <v>repeat: 100</v>
      </c>
      <c r="L5" s="2"/>
      <c r="N5" s="2"/>
      <c r="Q5" s="4"/>
      <c r="R5"/>
      <c r="S5"/>
      <c r="T5"/>
      <c r="Y5"/>
      <c r="AB5"/>
      <c r="AH5"/>
      <c r="AI5" s="2"/>
      <c r="AK5"/>
      <c r="AL5" s="4"/>
      <c r="AM5"/>
    </row>
    <row r="6" spans="1:39" x14ac:dyDescent="0.2">
      <c r="C6" t="str" cm="1">
        <f t="array" aca="1" ref="C6" ca="1">INDIRECT("Sheet"&amp;C$2&amp;"!a"&amp;ROW($A6)-2)</f>
        <v>LOCheck: 0</v>
      </c>
      <c r="D6" t="str" cm="1">
        <f t="array" aca="1" ref="D6" ca="1">INDIRECT("Sheet"&amp;D$2&amp;"!a"&amp;ROW($A6)-2)</f>
        <v>LOCheck: 0</v>
      </c>
      <c r="E6" t="str" cm="1">
        <f t="array" aca="1" ref="E6" ca="1">INDIRECT("Sheet"&amp;E$2&amp;"!a"&amp;ROW($A6)-2)</f>
        <v>LOCheck: 0</v>
      </c>
      <c r="F6" t="str" cm="1">
        <f t="array" aca="1" ref="F6" ca="1">INDIRECT("Sheet"&amp;F$2&amp;"!a"&amp;ROW($A6)-2)</f>
        <v>LOCheck: 0</v>
      </c>
      <c r="L6" s="2"/>
      <c r="N6" s="2"/>
      <c r="Q6" s="4"/>
      <c r="R6"/>
      <c r="S6"/>
      <c r="T6"/>
      <c r="Y6"/>
      <c r="AB6"/>
      <c r="AH6"/>
      <c r="AI6" s="2"/>
      <c r="AK6"/>
      <c r="AL6" s="4"/>
      <c r="AM6"/>
    </row>
    <row r="7" spans="1:39" x14ac:dyDescent="0.2">
      <c r="C7" t="str" cm="1">
        <f t="array" aca="1" ref="C7" ca="1">INDIRECT("Sheet"&amp;C$2&amp;"!a"&amp;ROW($A7)-2)</f>
        <v>dataset: codeTables</v>
      </c>
      <c r="D7" t="str" cm="1">
        <f t="array" aca="1" ref="D7" ca="1">INDIRECT("Sheet"&amp;D$2&amp;"!a"&amp;ROW($A7)-2)</f>
        <v>dataset: codeTables</v>
      </c>
      <c r="E7" t="str" cm="1">
        <f t="array" aca="1" ref="E7" ca="1">INDIRECT("Sheet"&amp;E$2&amp;"!a"&amp;ROW($A7)-2)</f>
        <v>dataset: codeTables</v>
      </c>
      <c r="F7" t="str" cm="1">
        <f t="array" aca="1" ref="F7" ca="1">INDIRECT("Sheet"&amp;F$2&amp;"!a"&amp;ROW($A7)-2)</f>
        <v>dataset: codeTables</v>
      </c>
      <c r="L7" s="2"/>
      <c r="N7" s="2"/>
      <c r="Q7" s="4"/>
      <c r="R7"/>
      <c r="S7"/>
      <c r="T7"/>
      <c r="Y7"/>
      <c r="AB7"/>
      <c r="AH7"/>
      <c r="AI7" s="2"/>
      <c r="AK7"/>
      <c r="AL7" s="4"/>
      <c r="AM7"/>
    </row>
    <row r="8" spans="1:39" x14ac:dyDescent="0.2">
      <c r="C8" t="str" cm="1">
        <f t="array" aca="1" ref="C8" ca="1">INDIRECT("Sheet"&amp;C$2&amp;"!a"&amp;ROW($A8)-2)</f>
        <v>datafile: QECC_sample.txt</v>
      </c>
      <c r="D8" t="str" cm="1">
        <f t="array" aca="1" ref="D8" ca="1">INDIRECT("Sheet"&amp;D$2&amp;"!a"&amp;ROW($A8)-2)</f>
        <v>datafile: QECC_sample.txt</v>
      </c>
      <c r="E8" t="str" cm="1">
        <f t="array" aca="1" ref="E8" ca="1">INDIRECT("Sheet"&amp;E$2&amp;"!a"&amp;ROW($A8)-2)</f>
        <v>datafile: QECC_sample.txt</v>
      </c>
      <c r="F8" t="str" cm="1">
        <f t="array" aca="1" ref="F8" ca="1">INDIRECT("Sheet"&amp;F$2&amp;"!a"&amp;ROW($A8)-2)</f>
        <v>datafile: QECC_sample.txt</v>
      </c>
      <c r="L8" s="2"/>
      <c r="N8" s="2"/>
      <c r="Q8" s="4"/>
      <c r="R8"/>
      <c r="S8"/>
      <c r="T8"/>
      <c r="Y8"/>
      <c r="AB8"/>
      <c r="AH8"/>
      <c r="AI8" s="2"/>
      <c r="AK8"/>
      <c r="AL8" s="4"/>
      <c r="AM8"/>
    </row>
    <row r="9" spans="1:39" x14ac:dyDescent="0.2">
      <c r="C9" t="str" cm="1">
        <f t="array" aca="1" ref="C9" ca="1">INDIRECT("Sheet"&amp;C$2&amp;"!a"&amp;ROW($A9)-2)</f>
        <v>method: decoderDist</v>
      </c>
      <c r="D9" t="str" cm="1">
        <f t="array" aca="1" ref="D9" ca="1">INDIRECT("Sheet"&amp;D$2&amp;"!a"&amp;ROW($A9)-2)</f>
        <v>method: decoderDist</v>
      </c>
      <c r="E9" t="str" cm="1">
        <f t="array" aca="1" ref="E9" ca="1">INDIRECT("Sheet"&amp;E$2&amp;"!a"&amp;ROW($A9)-2)</f>
        <v>method: decoderDist</v>
      </c>
      <c r="F9" t="str" cm="1">
        <f t="array" aca="1" ref="F9" ca="1">INDIRECT("Sheet"&amp;F$2&amp;"!a"&amp;ROW($A9)-2)</f>
        <v>method: decoderDist</v>
      </c>
      <c r="L9" s="2"/>
      <c r="N9" s="2"/>
      <c r="Q9" s="4"/>
      <c r="R9"/>
      <c r="S9"/>
      <c r="T9"/>
      <c r="Y9"/>
      <c r="AB9"/>
      <c r="AH9"/>
      <c r="AI9" s="2"/>
      <c r="AK9"/>
      <c r="AL9" s="4"/>
      <c r="AM9"/>
    </row>
    <row r="10" spans="1:39" x14ac:dyDescent="0.2">
      <c r="C10" t="str" cm="1">
        <f t="array" aca="1" ref="C10" ca="1">INDIRECT("Sheet"&amp;C$2&amp;"!a"&amp;ROW($A10)-2)</f>
        <v>ignoreTrivialCodes: 1</v>
      </c>
      <c r="D10" t="str" cm="1">
        <f t="array" aca="1" ref="D10" ca="1">INDIRECT("Sheet"&amp;D$2&amp;"!a"&amp;ROW($A10)-2)</f>
        <v>ignoreTrivialCodes: 1</v>
      </c>
      <c r="E10" t="str" cm="1">
        <f t="array" aca="1" ref="E10" ca="1">INDIRECT("Sheet"&amp;E$2&amp;"!a"&amp;ROW($A10)-2)</f>
        <v>ignoreTrivialCodes: 1</v>
      </c>
      <c r="F10" t="str" cm="1">
        <f t="array" aca="1" ref="F10" ca="1">INDIRECT("Sheet"&amp;F$2&amp;"!a"&amp;ROW($A10)-2)</f>
        <v>ignoreTrivialCodes: 1</v>
      </c>
      <c r="L10" s="2"/>
      <c r="N10" s="2"/>
      <c r="Q10" s="4"/>
      <c r="R10"/>
      <c r="S10"/>
      <c r="T10"/>
      <c r="Y10"/>
      <c r="AB10"/>
      <c r="AH10"/>
      <c r="AI10" s="2"/>
      <c r="AK10"/>
      <c r="AL10" s="4"/>
      <c r="AM10"/>
    </row>
    <row r="11" spans="1:39" x14ac:dyDescent="0.2">
      <c r="C11" t="str" cm="1">
        <f t="array" aca="1" ref="C11" ca="1">INDIRECT("Sheet"&amp;C$2&amp;"!a"&amp;ROW($A11)-2)</f>
        <v>resume: 0</v>
      </c>
      <c r="D11" t="str" cm="1">
        <f t="array" aca="1" ref="D11" ca="1">INDIRECT("Sheet"&amp;D$2&amp;"!a"&amp;ROW($A11)-2)</f>
        <v>resume: 0</v>
      </c>
      <c r="E11" t="str" cm="1">
        <f t="array" aca="1" ref="E11" ca="1">INDIRECT("Sheet"&amp;E$2&amp;"!a"&amp;ROW($A11)-2)</f>
        <v>resume: 0</v>
      </c>
      <c r="F11" t="str" cm="1">
        <f t="array" aca="1" ref="F11" ca="1">INDIRECT("Sheet"&amp;F$2&amp;"!a"&amp;ROW($A11)-2)</f>
        <v>resume: 0</v>
      </c>
      <c r="L11" s="2"/>
      <c r="N11" s="2"/>
      <c r="Q11" s="4"/>
      <c r="R11"/>
      <c r="S11"/>
      <c r="T11"/>
      <c r="Y11"/>
      <c r="AB11"/>
      <c r="AH11"/>
      <c r="AI11" s="2"/>
      <c r="AK11"/>
      <c r="AL11" s="4"/>
      <c r="AM11"/>
    </row>
    <row r="12" spans="1:39" x14ac:dyDescent="0.2">
      <c r="C12" t="str" cm="1">
        <f t="array" aca="1" ref="C12" ca="1">INDIRECT("Sheet"&amp;C$2&amp;"!a"&amp;ROW($A12)-2)</f>
        <v>nMin: 48</v>
      </c>
      <c r="D12" t="str" cm="1">
        <f t="array" aca="1" ref="D12" ca="1">INDIRECT("Sheet"&amp;D$2&amp;"!a"&amp;ROW($A12)-2)</f>
        <v>nMin: 48</v>
      </c>
      <c r="E12" t="str" cm="1">
        <f t="array" aca="1" ref="E12" ca="1">INDIRECT("Sheet"&amp;E$2&amp;"!a"&amp;ROW($A12)-2)</f>
        <v>nMin: 48</v>
      </c>
      <c r="F12" t="str" cm="1">
        <f t="array" aca="1" ref="F12" ca="1">INDIRECT("Sheet"&amp;F$2&amp;"!a"&amp;ROW($A12)-2)</f>
        <v>nMin: 48</v>
      </c>
      <c r="L12" s="2"/>
      <c r="N12" s="2"/>
      <c r="Q12" s="4"/>
      <c r="R12"/>
      <c r="S12"/>
      <c r="T12"/>
      <c r="Y12"/>
      <c r="AB12"/>
      <c r="AH12"/>
      <c r="AI12" s="2"/>
      <c r="AK12"/>
      <c r="AL12" s="4"/>
      <c r="AM12"/>
    </row>
    <row r="13" spans="1:39" x14ac:dyDescent="0.2">
      <c r="C13" t="str" cm="1">
        <f t="array" aca="1" ref="C13" ca="1">INDIRECT("Sheet"&amp;C$2&amp;"!a"&amp;ROW($A13)-2)</f>
        <v>nMax: 48</v>
      </c>
      <c r="D13" t="str" cm="1">
        <f t="array" aca="1" ref="D13" ca="1">INDIRECT("Sheet"&amp;D$2&amp;"!a"&amp;ROW($A13)-2)</f>
        <v>nMax: 48</v>
      </c>
      <c r="E13" t="str" cm="1">
        <f t="array" aca="1" ref="E13" ca="1">INDIRECT("Sheet"&amp;E$2&amp;"!a"&amp;ROW($A13)-2)</f>
        <v>nMax: 48</v>
      </c>
      <c r="F13" t="str" cm="1">
        <f t="array" aca="1" ref="F13" ca="1">INDIRECT("Sheet"&amp;F$2&amp;"!a"&amp;ROW($A13)-2)</f>
        <v>nMax: 48</v>
      </c>
      <c r="L13" s="2"/>
      <c r="N13" s="2"/>
      <c r="Q13" s="4"/>
      <c r="R13"/>
      <c r="S13"/>
      <c r="T13"/>
      <c r="Y13"/>
      <c r="AB13"/>
      <c r="AH13"/>
      <c r="AI13" s="2"/>
      <c r="AK13"/>
      <c r="AL13" s="4"/>
      <c r="AM13"/>
    </row>
    <row r="14" spans="1:39" x14ac:dyDescent="0.2">
      <c r="C14" t="str" cm="1">
        <f t="array" aca="1" ref="C14" ca="1">INDIRECT("Sheet"&amp;C$2&amp;"!a"&amp;ROW($A14)-2)</f>
        <v>iterCount: 10000</v>
      </c>
      <c r="D14" t="str" cm="1">
        <f t="array" aca="1" ref="D14" ca="1">INDIRECT("Sheet"&amp;D$2&amp;"!a"&amp;ROW($A14)-2)</f>
        <v>iterCount: 10000</v>
      </c>
      <c r="E14" t="str" cm="1">
        <f t="array" aca="1" ref="E14" ca="1">INDIRECT("Sheet"&amp;E$2&amp;"!a"&amp;ROW($A14)-2)</f>
        <v>iterCount: 10000</v>
      </c>
      <c r="F14" t="str" cm="1">
        <f t="array" aca="1" ref="F14" ca="1">INDIRECT("Sheet"&amp;F$2&amp;"!a"&amp;ROW($A14)-2)</f>
        <v>iterCount: 10000</v>
      </c>
      <c r="L14" s="2"/>
      <c r="N14" s="2"/>
      <c r="Q14" s="4"/>
      <c r="R14"/>
      <c r="S14"/>
      <c r="T14"/>
      <c r="Y14"/>
      <c r="AB14"/>
      <c r="AH14"/>
      <c r="AI14" s="2"/>
      <c r="AK14"/>
      <c r="AL14" s="4"/>
      <c r="AM14"/>
    </row>
    <row r="15" spans="1:39" x14ac:dyDescent="0.2">
      <c r="C15" t="str" cm="1">
        <f t="array" aca="1" ref="C15" ca="1">INDIRECT("Sheet"&amp;C$2&amp;"!a"&amp;ROW($A15)-2)</f>
        <v>maxTime: 28800</v>
      </c>
      <c r="D15" t="str" cm="1">
        <f t="array" aca="1" ref="D15" ca="1">INDIRECT("Sheet"&amp;D$2&amp;"!a"&amp;ROW($A15)-2)</f>
        <v>maxTime: 28800</v>
      </c>
      <c r="E15" t="str" cm="1">
        <f t="array" aca="1" ref="E15" ca="1">INDIRECT("Sheet"&amp;E$2&amp;"!a"&amp;ROW($A15)-2)</f>
        <v>maxTime: 28800</v>
      </c>
      <c r="F15" t="str" cm="1">
        <f t="array" aca="1" ref="F15" ca="1">INDIRECT("Sheet"&amp;F$2&amp;"!a"&amp;ROW($A15)-2)</f>
        <v>maxTime: 28800</v>
      </c>
      <c r="L15" s="2"/>
      <c r="N15" s="2"/>
      <c r="Q15" s="4"/>
      <c r="R15"/>
      <c r="S15"/>
      <c r="T15"/>
      <c r="Y15"/>
      <c r="AB15"/>
      <c r="AH15"/>
      <c r="AI15" s="2"/>
      <c r="AK15"/>
      <c r="AL15" s="4"/>
      <c r="AM15"/>
    </row>
    <row r="16" spans="1:39" x14ac:dyDescent="0.2">
      <c r="C16" t="str" cm="1">
        <f t="array" aca="1" ref="C16" ca="1">INDIRECT("Sheet"&amp;C$2&amp;"!a"&amp;ROW($A16)-2)</f>
        <v>nThreads: 1</v>
      </c>
      <c r="D16" t="str" cm="1">
        <f t="array" aca="1" ref="D16" ca="1">INDIRECT("Sheet"&amp;D$2&amp;"!a"&amp;ROW($A16)-2)</f>
        <v>nThreads: 1</v>
      </c>
      <c r="E16" t="str" cm="1">
        <f t="array" aca="1" ref="E16" ca="1">INDIRECT("Sheet"&amp;E$2&amp;"!a"&amp;ROW($A16)-2)</f>
        <v>nThreads: 1</v>
      </c>
      <c r="F16" t="str" cm="1">
        <f t="array" aca="1" ref="F16" ca="1">INDIRECT("Sheet"&amp;F$2&amp;"!a"&amp;ROW($A16)-2)</f>
        <v>nThreads: 1</v>
      </c>
      <c r="L16" s="2"/>
      <c r="N16" s="2"/>
      <c r="Q16" s="4"/>
      <c r="R16"/>
      <c r="S16"/>
      <c r="T16"/>
      <c r="Y16"/>
      <c r="AB16"/>
      <c r="AH16"/>
      <c r="AI16" s="2"/>
      <c r="AK16"/>
      <c r="AL16" s="4"/>
      <c r="AM16"/>
    </row>
    <row r="17" spans="3:39" x14ac:dyDescent="0.2">
      <c r="C17" t="str" cm="1">
        <f t="array" aca="1" ref="C17" ca="1">INDIRECT("Sheet"&amp;C$2&amp;"!a"&amp;ROW($A17)-2)</f>
        <v>verbose: False</v>
      </c>
      <c r="D17" t="str" cm="1">
        <f t="array" aca="1" ref="D17" ca="1">INDIRECT("Sheet"&amp;D$2&amp;"!a"&amp;ROW($A17)-2)</f>
        <v>verbose: False</v>
      </c>
      <c r="E17" t="str" cm="1">
        <f t="array" aca="1" ref="E17" ca="1">INDIRECT("Sheet"&amp;E$2&amp;"!a"&amp;ROW($A17)-2)</f>
        <v>verbose: False</v>
      </c>
      <c r="F17" t="str" cm="1">
        <f t="array" aca="1" ref="F17" ca="1">INDIRECT("Sheet"&amp;F$2&amp;"!a"&amp;ROW($A17)-2)</f>
        <v>verbose: False</v>
      </c>
      <c r="L17" s="2"/>
      <c r="N17" s="2"/>
      <c r="Q17" s="4"/>
      <c r="R17"/>
      <c r="S17"/>
      <c r="T17"/>
      <c r="Y17"/>
      <c r="AB17"/>
      <c r="AH17"/>
      <c r="AI17" s="2"/>
      <c r="AK17"/>
      <c r="AL17" s="4"/>
      <c r="AM17"/>
    </row>
    <row r="18" spans="3:39" x14ac:dyDescent="0.2">
      <c r="C18" t="str" cm="1">
        <f t="array" aca="1" ref="C18" ca="1">INDIRECT("Sheet"&amp;C$2&amp;"!a"&amp;ROW($A18)-2)</f>
        <v>maxErr: -1</v>
      </c>
      <c r="D18" t="str" cm="1">
        <f t="array" aca="1" ref="D18" ca="1">INDIRECT("Sheet"&amp;D$2&amp;"!a"&amp;ROW($A18)-2)</f>
        <v>maxErr: -1</v>
      </c>
      <c r="E18" t="str" cm="1">
        <f t="array" aca="1" ref="E18" ca="1">INDIRECT("Sheet"&amp;E$2&amp;"!a"&amp;ROW($A18)-2)</f>
        <v>maxErr: -1</v>
      </c>
      <c r="F18" t="str" cm="1">
        <f t="array" aca="1" ref="F18" ca="1">INDIRECT("Sheet"&amp;F$2&amp;"!a"&amp;ROW($A18)-2)</f>
        <v>maxErr: -1</v>
      </c>
      <c r="L18" s="2"/>
      <c r="N18" s="2"/>
      <c r="Q18" s="4"/>
      <c r="R18"/>
      <c r="S18"/>
      <c r="T18"/>
      <c r="Y18"/>
      <c r="AB18"/>
      <c r="AH18"/>
      <c r="AI18" s="2"/>
      <c r="AK18"/>
      <c r="AL18" s="4"/>
      <c r="AM18"/>
    </row>
    <row r="19" spans="3:39" x14ac:dyDescent="0.2">
      <c r="C19" t="str" cm="1">
        <f t="array" aca="1" ref="C19" ca="1">INDIRECT("Sheet"&amp;C$2&amp;"!a"&amp;ROW($A19)-2)</f>
        <v>GF4blockRep: 2</v>
      </c>
      <c r="D19" t="str" cm="1">
        <f t="array" aca="1" ref="D19" ca="1">INDIRECT("Sheet"&amp;D$2&amp;"!a"&amp;ROW($A19)-2)</f>
        <v>GF4blockRep: 2</v>
      </c>
      <c r="E19" t="str" cm="1">
        <f t="array" aca="1" ref="E19" ca="1">INDIRECT("Sheet"&amp;E$2&amp;"!a"&amp;ROW($A19)-2)</f>
        <v>GF4blockRep: 2</v>
      </c>
      <c r="F19" t="str" cm="1">
        <f t="array" aca="1" ref="F19" ca="1">INDIRECT("Sheet"&amp;F$2&amp;"!a"&amp;ROW($A19)-2)</f>
        <v>GF4blockRep: 2</v>
      </c>
      <c r="L19" s="2"/>
      <c r="N19" s="2"/>
      <c r="Q19" s="4"/>
      <c r="R19"/>
      <c r="S19"/>
      <c r="T19"/>
      <c r="Y19"/>
      <c r="AB19"/>
      <c r="AH19"/>
      <c r="AI19" s="2"/>
      <c r="AK19"/>
      <c r="AL19" s="4"/>
      <c r="AM19"/>
    </row>
    <row r="20" spans="3:39" x14ac:dyDescent="0.2">
      <c r="C20" t="str" cm="1">
        <f t="array" aca="1" ref="C20" ca="1">INDIRECT("Sheet"&amp;C$2&amp;"!a"&amp;ROW($A20)-2)</f>
        <v>regroupPerm: 1</v>
      </c>
      <c r="D20" t="str" cm="1">
        <f t="array" aca="1" ref="D20" ca="1">INDIRECT("Sheet"&amp;D$2&amp;"!a"&amp;ROW($A20)-2)</f>
        <v>regroupPerm: 1</v>
      </c>
      <c r="E20" t="str" cm="1">
        <f t="array" aca="1" ref="E20" ca="1">INDIRECT("Sheet"&amp;E$2&amp;"!a"&amp;ROW($A20)-2)</f>
        <v>regroupPerm: 1</v>
      </c>
      <c r="F20" t="str" cm="1">
        <f t="array" aca="1" ref="F20" ca="1">INDIRECT("Sheet"&amp;F$2&amp;"!a"&amp;ROW($A20)-2)</f>
        <v>regroupPerm: 1</v>
      </c>
      <c r="L20" s="2"/>
      <c r="N20" s="2"/>
      <c r="Q20" s="4"/>
      <c r="R20"/>
      <c r="S20"/>
      <c r="T20"/>
      <c r="Y20"/>
      <c r="AB20"/>
      <c r="AH20"/>
      <c r="AI20" s="2"/>
      <c r="AK20"/>
      <c r="AL20" s="4"/>
      <c r="AM20"/>
    </row>
    <row r="21" spans="3:39" x14ac:dyDescent="0.2">
      <c r="C21" t="str" cm="1">
        <f t="array" aca="1" ref="C21" ca="1">INDIRECT("Sheet"&amp;C$2&amp;"!a"&amp;ROW($A21)-2)</f>
        <v>filterCircuit: 1</v>
      </c>
      <c r="D21" t="str" cm="1">
        <f t="array" aca="1" ref="D21" ca="1">INDIRECT("Sheet"&amp;D$2&amp;"!a"&amp;ROW($A21)-2)</f>
        <v>filterCircuit: 1</v>
      </c>
      <c r="E21" t="str" cm="1">
        <f t="array" aca="1" ref="E21" ca="1">INDIRECT("Sheet"&amp;E$2&amp;"!a"&amp;ROW($A21)-2)</f>
        <v>filterCircuit: 1</v>
      </c>
      <c r="F21" t="str" cm="1">
        <f t="array" aca="1" ref="F21" ca="1">INDIRECT("Sheet"&amp;F$2&amp;"!a"&amp;ROW($A21)-2)</f>
        <v>filterCircuit: 1</v>
      </c>
      <c r="L21" s="2"/>
      <c r="N21" s="2"/>
      <c r="Q21" s="4"/>
      <c r="R21"/>
      <c r="S21"/>
      <c r="T21"/>
      <c r="Y21"/>
      <c r="AB21"/>
      <c r="AH21"/>
      <c r="AI21" s="2"/>
      <c r="AK21"/>
      <c r="AL21" s="4"/>
      <c r="AM21"/>
    </row>
    <row r="22" spans="3:39" x14ac:dyDescent="0.2">
      <c r="C22" t="str" cm="1">
        <f t="array" aca="1" ref="C22" ca="1">INDIRECT("Sheet"&amp;C$2&amp;"!a"&amp;ROW($A22)-2)</f>
        <v>HL: 0</v>
      </c>
      <c r="D22" t="str" cm="1">
        <f t="array" aca="1" ref="D22" ca="1">INDIRECT("Sheet"&amp;D$2&amp;"!a"&amp;ROW($A22)-2)</f>
        <v>HL: 0</v>
      </c>
      <c r="E22" t="str" cm="1">
        <f t="array" aca="1" ref="E22" ca="1">INDIRECT("Sheet"&amp;E$2&amp;"!a"&amp;ROW($A22)-2)</f>
        <v>HL: 0</v>
      </c>
      <c r="F22" t="str" cm="1">
        <f t="array" aca="1" ref="F22" ca="1">INDIRECT("Sheet"&amp;F$2&amp;"!a"&amp;ROW($A22)-2)</f>
        <v>HL: 0</v>
      </c>
      <c r="R22"/>
      <c r="S22"/>
      <c r="T22"/>
      <c r="Y22"/>
      <c r="AB22"/>
      <c r="AH22"/>
      <c r="AK22"/>
      <c r="AM22"/>
    </row>
    <row r="23" spans="3:39" x14ac:dyDescent="0.2">
      <c r="C23" t="str" cm="1">
        <f t="array" aca="1" ref="C23" ca="1">INDIRECT("Sheet"&amp;C$2&amp;"!a"&amp;ROW($A23)-2)</f>
        <v>genCount: 100</v>
      </c>
      <c r="D23" t="str" cm="1">
        <f t="array" aca="1" ref="D23" ca="1">INDIRECT("Sheet"&amp;D$2&amp;"!a"&amp;ROW($A23)-2)</f>
        <v>genCount: 100</v>
      </c>
      <c r="E23" t="str" cm="1">
        <f t="array" aca="1" ref="E23" ca="1">INDIRECT("Sheet"&amp;E$2&amp;"!a"&amp;ROW($A23)-2)</f>
        <v>genCount: 100</v>
      </c>
      <c r="F23" t="str" cm="1">
        <f t="array" aca="1" ref="F23" ca="1">INDIRECT("Sheet"&amp;F$2&amp;"!a"&amp;ROW($A23)-2)</f>
        <v>genCount: 100</v>
      </c>
      <c r="R23"/>
      <c r="S23"/>
      <c r="T23"/>
      <c r="Y23"/>
      <c r="AB23"/>
      <c r="AH23"/>
      <c r="AK23"/>
      <c r="AM23"/>
    </row>
    <row r="24" spans="3:39" x14ac:dyDescent="0.2">
      <c r="C24" t="str" cm="1">
        <f t="array" aca="1" ref="C24" ca="1">INDIRECT("Sheet"&amp;C$2&amp;"!a"&amp;ROW($A24)-2)</f>
        <v>offspring: 10</v>
      </c>
      <c r="D24" t="str" cm="1">
        <f t="array" aca="1" ref="D24" ca="1">INDIRECT("Sheet"&amp;D$2&amp;"!a"&amp;ROW($A24)-2)</f>
        <v>offspring: 10</v>
      </c>
      <c r="E24" t="str" cm="1">
        <f t="array" aca="1" ref="E24" ca="1">INDIRECT("Sheet"&amp;E$2&amp;"!a"&amp;ROW($A24)-2)</f>
        <v>offspring: 10</v>
      </c>
      <c r="F24" t="str" cm="1">
        <f t="array" aca="1" ref="F24" ca="1">INDIRECT("Sheet"&amp;F$2&amp;"!a"&amp;ROW($A24)-2)</f>
        <v>offspring: 10</v>
      </c>
      <c r="R24"/>
      <c r="S24"/>
      <c r="T24"/>
      <c r="Y24"/>
      <c r="AB24"/>
      <c r="AH24"/>
      <c r="AK24"/>
      <c r="AM24"/>
    </row>
    <row r="25" spans="3:39" x14ac:dyDescent="0.2">
      <c r="C25" t="str" cm="1">
        <f t="array" aca="1" ref="C25" ca="1">INDIRECT("Sheet"&amp;C$2&amp;"!a"&amp;ROW($A25)-2)</f>
        <v>pMut: 2.0</v>
      </c>
      <c r="D25" t="str" cm="1">
        <f t="array" aca="1" ref="D25" ca="1">INDIRECT("Sheet"&amp;D$2&amp;"!a"&amp;ROW($A25)-2)</f>
        <v>pMut: 2.0</v>
      </c>
      <c r="E25" t="str" cm="1">
        <f t="array" aca="1" ref="E25" ca="1">INDIRECT("Sheet"&amp;E$2&amp;"!a"&amp;ROW($A25)-2)</f>
        <v>pMut: 2.0</v>
      </c>
      <c r="F25" t="str" cm="1">
        <f t="array" aca="1" ref="F25" ca="1">INDIRECT("Sheet"&amp;F$2&amp;"!a"&amp;ROW($A25)-2)</f>
        <v>pMut: 2.0</v>
      </c>
      <c r="R25"/>
      <c r="S25"/>
      <c r="T25"/>
      <c r="Y25"/>
      <c r="AB25"/>
      <c r="AH25"/>
      <c r="AK25"/>
      <c r="AM25"/>
    </row>
    <row r="26" spans="3:39" x14ac:dyDescent="0.2">
      <c r="C26" t="str" cm="1">
        <f t="array" aca="1" ref="C26" ca="1">INDIRECT("Sheet"&amp;C$2&amp;"!a"&amp;ROW($A26)-2)</f>
        <v>sMut: 0.2</v>
      </c>
      <c r="D26" t="str" cm="1">
        <f t="array" aca="1" ref="D26" ca="1">INDIRECT("Sheet"&amp;D$2&amp;"!a"&amp;ROW($A26)-2)</f>
        <v>sMut: 0.2</v>
      </c>
      <c r="E26" t="str" cm="1">
        <f t="array" aca="1" ref="E26" ca="1">INDIRECT("Sheet"&amp;E$2&amp;"!a"&amp;ROW($A26)-2)</f>
        <v>sMut: 0.2</v>
      </c>
      <c r="F26" t="str" cm="1">
        <f t="array" aca="1" ref="F26" ca="1">INDIRECT("Sheet"&amp;F$2&amp;"!a"&amp;ROW($A26)-2)</f>
        <v>sMut: 0.2</v>
      </c>
      <c r="R26"/>
      <c r="S26"/>
      <c r="T26"/>
      <c r="Y26"/>
      <c r="AB26"/>
      <c r="AH26"/>
      <c r="AK26"/>
      <c r="AM26"/>
    </row>
    <row r="27" spans="3:39" x14ac:dyDescent="0.2">
      <c r="C27" t="str" cm="1">
        <f t="array" aca="1" ref="C27" ca="1">INDIRECT("Sheet"&amp;C$2&amp;"!a"&amp;ROW($A27)-2)</f>
        <v>tabuLength: 0</v>
      </c>
      <c r="D27" t="str" cm="1">
        <f t="array" aca="1" ref="D27" ca="1">INDIRECT("Sheet"&amp;D$2&amp;"!a"&amp;ROW($A27)-2)</f>
        <v>tabuLength: 0</v>
      </c>
      <c r="E27" t="str" cm="1">
        <f t="array" aca="1" ref="E27" ca="1">INDIRECT("Sheet"&amp;E$2&amp;"!a"&amp;ROW($A27)-2)</f>
        <v>tabuLength: 0</v>
      </c>
      <c r="F27" t="str" cm="1">
        <f t="array" aca="1" ref="F27" ca="1">INDIRECT("Sheet"&amp;F$2&amp;"!a"&amp;ROW($A27)-2)</f>
        <v>tabuLength: 0</v>
      </c>
      <c r="R27"/>
      <c r="S27"/>
      <c r="T27"/>
      <c r="Y27"/>
      <c r="AB27"/>
      <c r="AH27"/>
      <c r="AK27"/>
      <c r="AM27"/>
    </row>
    <row r="28" spans="3:39" x14ac:dyDescent="0.2">
      <c r="C28" t="str" cm="1">
        <f t="array" aca="1" ref="C28" ca="1">INDIRECT("Sheet"&amp;C$2&amp;"!a"&amp;ROW($A28)-2)</f>
        <v>swapPivot: 1</v>
      </c>
      <c r="D28" t="str" cm="1">
        <f t="array" aca="1" ref="D28" ca="1">INDIRECT("Sheet"&amp;D$2&amp;"!a"&amp;ROW($A28)-2)</f>
        <v>swapPivot: 1</v>
      </c>
      <c r="E28" t="str" cm="1">
        <f t="array" aca="1" ref="E28" ca="1">INDIRECT("Sheet"&amp;E$2&amp;"!a"&amp;ROW($A28)-2)</f>
        <v>swapPivot: 1</v>
      </c>
      <c r="F28" t="str" cm="1">
        <f t="array" aca="1" ref="F28" ca="1">INDIRECT("Sheet"&amp;F$2&amp;"!a"&amp;ROW($A28)-2)</f>
        <v>swapPivot: 1</v>
      </c>
      <c r="R28"/>
      <c r="S28"/>
      <c r="T28"/>
      <c r="Y28"/>
      <c r="AB28"/>
      <c r="AH28"/>
      <c r="AK28"/>
      <c r="AM28"/>
    </row>
    <row r="29" spans="3:39" x14ac:dyDescent="0.2">
      <c r="C29" t="str" cm="1">
        <f t="array" aca="1" ref="C29" ca="1">INDIRECT("Sheet"&amp;C$2&amp;"!a"&amp;ROW($A29)-2)</f>
        <v>swapBlockorder: 0</v>
      </c>
      <c r="D29" t="str" cm="1">
        <f t="array" aca="1" ref="D29" ca="1">INDIRECT("Sheet"&amp;D$2&amp;"!a"&amp;ROW($A29)-2)</f>
        <v>swapBlockorder: 0</v>
      </c>
      <c r="E29" t="str" cm="1">
        <f t="array" aca="1" ref="E29" ca="1">INDIRECT("Sheet"&amp;E$2&amp;"!a"&amp;ROW($A29)-2)</f>
        <v>swapBlockorder: 0</v>
      </c>
      <c r="F29" t="str" cm="1">
        <f t="array" aca="1" ref="F29" ca="1">INDIRECT("Sheet"&amp;F$2&amp;"!a"&amp;ROW($A29)-2)</f>
        <v>swapBlockorder: 0</v>
      </c>
      <c r="R29"/>
      <c r="S29"/>
      <c r="T29"/>
      <c r="Y29"/>
      <c r="AB29"/>
      <c r="AH29"/>
      <c r="AK29"/>
      <c r="AM29"/>
    </row>
    <row r="30" spans="3:39" x14ac:dyDescent="0.2">
      <c r="C30" t="str" cm="1">
        <f t="array" aca="1" ref="C30" ca="1">INDIRECT("Sheet"&amp;C$2&amp;"!a"&amp;ROW($A30)-2)</f>
        <v>pMutScale: 50</v>
      </c>
      <c r="D30" t="str" cm="1">
        <f t="array" aca="1" ref="D30" ca="1">INDIRECT("Sheet"&amp;D$2&amp;"!a"&amp;ROW($A30)-2)</f>
        <v>pMutScale: 50</v>
      </c>
      <c r="E30" t="str" cm="1">
        <f t="array" aca="1" ref="E30" ca="1">INDIRECT("Sheet"&amp;E$2&amp;"!a"&amp;ROW($A30)-2)</f>
        <v>pMutScale: 50</v>
      </c>
      <c r="F30" t="str" cm="1">
        <f t="array" aca="1" ref="F30" ca="1">INDIRECT("Sheet"&amp;F$2&amp;"!a"&amp;ROW($A30)-2)</f>
        <v>pMutScale: 50</v>
      </c>
      <c r="R30"/>
      <c r="S30"/>
      <c r="T30"/>
      <c r="Y30"/>
      <c r="AB30"/>
      <c r="AH30"/>
      <c r="AK30"/>
      <c r="AM30"/>
    </row>
    <row r="31" spans="3:39" x14ac:dyDescent="0.2">
      <c r="C31" t="str" cm="1">
        <f t="array" aca="1" ref="C31" ca="1">INDIRECT("Sheet"&amp;C$2&amp;"!a"&amp;ROW($A31)-2)</f>
        <v>CCstart: -1</v>
      </c>
      <c r="D31" t="str" cm="1">
        <f t="array" aca="1" ref="D31" ca="1">INDIRECT("Sheet"&amp;D$2&amp;"!a"&amp;ROW($A31)-2)</f>
        <v>CCstart: -1</v>
      </c>
      <c r="E31" t="str" cm="1">
        <f t="array" aca="1" ref="E31" ca="1">INDIRECT("Sheet"&amp;E$2&amp;"!a"&amp;ROW($A31)-2)</f>
        <v>CCstart: -1</v>
      </c>
      <c r="F31" t="str" cm="1">
        <f t="array" aca="1" ref="F31" ca="1">INDIRECT("Sheet"&amp;F$2&amp;"!a"&amp;ROW($A31)-2)</f>
        <v>CCstart: -1</v>
      </c>
      <c r="R31"/>
      <c r="S31"/>
      <c r="T31"/>
      <c r="Y31"/>
      <c r="AB31"/>
      <c r="AH31"/>
      <c r="AK31"/>
      <c r="AM31"/>
    </row>
    <row r="32" spans="3:39" x14ac:dyDescent="0.2">
      <c r="C32" t="str" cm="1">
        <f t="array" aca="1" ref="C32" ca="1">INDIRECT("Sheet"&amp;C$2&amp;"!a"&amp;ROW($A32)-2)</f>
        <v>decoder: bposd</v>
      </c>
      <c r="D32" t="str" cm="1">
        <f t="array" aca="1" ref="D32" ca="1">INDIRECT("Sheet"&amp;D$2&amp;"!a"&amp;ROW($A32)-2)</f>
        <v>decoder: bposd</v>
      </c>
      <c r="E32" t="str" cm="1">
        <f t="array" aca="1" ref="E32" ca="1">INDIRECT("Sheet"&amp;E$2&amp;"!a"&amp;ROW($A32)-2)</f>
        <v>decoder: bposd</v>
      </c>
      <c r="F32" t="str" cm="1">
        <f t="array" aca="1" ref="F32" ca="1">INDIRECT("Sheet"&amp;F$2&amp;"!a"&amp;ROW($A32)-2)</f>
        <v>decoder: bposd</v>
      </c>
      <c r="R32"/>
      <c r="S32"/>
      <c r="T32"/>
      <c r="Y32"/>
      <c r="AB32"/>
      <c r="AH32"/>
      <c r="AK32"/>
      <c r="AM32"/>
    </row>
    <row r="33" spans="1:41" x14ac:dyDescent="0.2">
      <c r="A33" t="s">
        <v>102</v>
      </c>
      <c r="C33" t="str" cm="1">
        <f t="array" aca="1" ref="C33" ca="1">INDIRECT("Sheet"&amp;C$2&amp;"!a"&amp;ROW($A33)-2)</f>
        <v>addStabs: 0</v>
      </c>
      <c r="D33" t="str" cm="1">
        <f t="array" aca="1" ref="D33" ca="1">INDIRECT("Sheet"&amp;D$2&amp;"!a"&amp;ROW($A33)-2)</f>
        <v>addStabs: 0</v>
      </c>
      <c r="E33" t="str" cm="1">
        <f t="array" aca="1" ref="E33" ca="1">INDIRECT("Sheet"&amp;E$2&amp;"!a"&amp;ROW($A33)-2)</f>
        <v>addStabs: 1</v>
      </c>
      <c r="F33" t="str" cm="1">
        <f t="array" aca="1" ref="F33" ca="1">INDIRECT("Sheet"&amp;F$2&amp;"!a"&amp;ROW($A33)-2)</f>
        <v>addStabs: 1</v>
      </c>
      <c r="R33"/>
      <c r="S33"/>
      <c r="T33"/>
      <c r="Y33"/>
      <c r="AB33"/>
      <c r="AH33"/>
      <c r="AK33"/>
      <c r="AM33"/>
    </row>
    <row r="34" spans="1:41" x14ac:dyDescent="0.2">
      <c r="A34" t="s">
        <v>103</v>
      </c>
      <c r="C34" t="str" cm="1">
        <f t="array" aca="1" ref="C34" ca="1">INDIRECT("Sheet"&amp;C$2&amp;"!a"&amp;ROW($A34)-2)</f>
        <v>permuteDEM: 0</v>
      </c>
      <c r="D34" t="str" cm="1">
        <f t="array" aca="1" ref="D34" ca="1">INDIRECT("Sheet"&amp;D$2&amp;"!a"&amp;ROW($A34)-2)</f>
        <v>permuteDEM: 1</v>
      </c>
      <c r="E34" t="str" cm="1">
        <f t="array" aca="1" ref="E34" ca="1">INDIRECT("Sheet"&amp;E$2&amp;"!a"&amp;ROW($A34)-2)</f>
        <v>permuteDEM: 0</v>
      </c>
      <c r="F34" t="str" cm="1">
        <f t="array" aca="1" ref="F34" ca="1">INDIRECT("Sheet"&amp;F$2&amp;"!a"&amp;ROW($A34)-2)</f>
        <v>permuteDEM: 1</v>
      </c>
      <c r="R34"/>
      <c r="S34"/>
      <c r="T34"/>
      <c r="Y34"/>
      <c r="AB34"/>
      <c r="AH34"/>
      <c r="AK34"/>
      <c r="AM34"/>
    </row>
    <row r="35" spans="1:41" x14ac:dyDescent="0.2">
      <c r="C35" t="str" cm="1">
        <f t="array" aca="1" ref="C35" ca="1">INDIRECT("Sheet"&amp;C$2&amp;"!a"&amp;ROW($A35)-2)</f>
        <v>bp_method: product_sum</v>
      </c>
      <c r="D35" t="str" cm="1">
        <f t="array" aca="1" ref="D35" ca="1">INDIRECT("Sheet"&amp;D$2&amp;"!a"&amp;ROW($A35)-2)</f>
        <v>bp_method: product_sum</v>
      </c>
      <c r="E35" t="str" cm="1">
        <f t="array" aca="1" ref="E35" ca="1">INDIRECT("Sheet"&amp;E$2&amp;"!a"&amp;ROW($A35)-2)</f>
        <v>bp_method: product_sum</v>
      </c>
      <c r="F35" t="str" cm="1">
        <f t="array" aca="1" ref="F35" ca="1">INDIRECT("Sheet"&amp;F$2&amp;"!a"&amp;ROW($A35)-2)</f>
        <v>bp_method: product_sum</v>
      </c>
      <c r="R35"/>
      <c r="S35"/>
      <c r="T35"/>
      <c r="Y35"/>
      <c r="AB35"/>
      <c r="AH35"/>
      <c r="AK35"/>
      <c r="AM35"/>
    </row>
    <row r="36" spans="1:41" x14ac:dyDescent="0.2">
      <c r="C36" t="str" cm="1">
        <f t="array" aca="1" ref="C36" ca="1">INDIRECT("Sheet"&amp;C$2&amp;"!a"&amp;ROW($A36)-2)</f>
        <v>bp_schedule: parallel</v>
      </c>
      <c r="D36" t="str" cm="1">
        <f t="array" aca="1" ref="D36" ca="1">INDIRECT("Sheet"&amp;D$2&amp;"!a"&amp;ROW($A36)-2)</f>
        <v>bp_schedule: parallel</v>
      </c>
      <c r="E36" t="str" cm="1">
        <f t="array" aca="1" ref="E36" ca="1">INDIRECT("Sheet"&amp;E$2&amp;"!a"&amp;ROW($A36)-2)</f>
        <v>bp_schedule: parallel</v>
      </c>
      <c r="F36" t="str" cm="1">
        <f t="array" aca="1" ref="F36" ca="1">INDIRECT("Sheet"&amp;F$2&amp;"!a"&amp;ROW($A36)-2)</f>
        <v>bp_schedule: parallel</v>
      </c>
      <c r="R36"/>
      <c r="S36"/>
      <c r="T36"/>
      <c r="Y36"/>
      <c r="AB36"/>
      <c r="AH36"/>
      <c r="AK36"/>
      <c r="AM36"/>
    </row>
    <row r="37" spans="1:41" x14ac:dyDescent="0.2">
      <c r="C37" t="str" cm="1">
        <f t="array" aca="1" ref="C37" ca="1">INDIRECT("Sheet"&amp;C$2&amp;"!a"&amp;ROW($A37)-2)</f>
        <v>bp_max_iter: 100</v>
      </c>
      <c r="D37" t="str" cm="1">
        <f t="array" aca="1" ref="D37" ca="1">INDIRECT("Sheet"&amp;D$2&amp;"!a"&amp;ROW($A37)-2)</f>
        <v>bp_max_iter: 100</v>
      </c>
      <c r="E37" t="str" cm="1">
        <f t="array" aca="1" ref="E37" ca="1">INDIRECT("Sheet"&amp;E$2&amp;"!a"&amp;ROW($A37)-2)</f>
        <v>bp_max_iter: 100</v>
      </c>
      <c r="F37" t="str" cm="1">
        <f t="array" aca="1" ref="F37" ca="1">INDIRECT("Sheet"&amp;F$2&amp;"!a"&amp;ROW($A37)-2)</f>
        <v>bp_max_iter: 100</v>
      </c>
      <c r="R37"/>
      <c r="S37"/>
      <c r="T37"/>
      <c r="Y37"/>
      <c r="AB37"/>
      <c r="AH37"/>
      <c r="AK37"/>
      <c r="AM37"/>
    </row>
    <row r="38" spans="1:41" x14ac:dyDescent="0.2">
      <c r="C38" t="str" cm="1">
        <f t="array" aca="1" ref="C38" ca="1">INDIRECT("Sheet"&amp;C$2&amp;"!a"&amp;ROW($A38)-2)</f>
        <v>osd_method: OSD_CS</v>
      </c>
      <c r="D38" t="str" cm="1">
        <f t="array" aca="1" ref="D38" ca="1">INDIRECT("Sheet"&amp;D$2&amp;"!a"&amp;ROW($A38)-2)</f>
        <v>osd_method: OSD_CS</v>
      </c>
      <c r="E38" t="str" cm="1">
        <f t="array" aca="1" ref="E38" ca="1">INDIRECT("Sheet"&amp;E$2&amp;"!a"&amp;ROW($A38)-2)</f>
        <v>osd_method: OSD_CS</v>
      </c>
      <c r="F38" t="str" cm="1">
        <f t="array" aca="1" ref="F38" ca="1">INDIRECT("Sheet"&amp;F$2&amp;"!a"&amp;ROW($A38)-2)</f>
        <v>osd_method: OSD_CS</v>
      </c>
      <c r="R38"/>
      <c r="S38"/>
      <c r="T38"/>
      <c r="Y38"/>
      <c r="AB38"/>
      <c r="AH38"/>
      <c r="AK38"/>
      <c r="AM38"/>
    </row>
    <row r="39" spans="1:41" x14ac:dyDescent="0.2">
      <c r="F39"/>
      <c r="R39"/>
      <c r="S39"/>
      <c r="T39"/>
      <c r="Y39"/>
      <c r="AB39"/>
      <c r="AH39"/>
      <c r="AK39"/>
      <c r="AM39"/>
    </row>
    <row r="40" spans="1:41" x14ac:dyDescent="0.2">
      <c r="F40"/>
      <c r="R40"/>
      <c r="S40"/>
      <c r="T40"/>
      <c r="Y40"/>
      <c r="AB40"/>
      <c r="AH40"/>
      <c r="AK40"/>
      <c r="AM40"/>
    </row>
    <row r="41" spans="1:41" x14ac:dyDescent="0.2">
      <c r="A41" t="str">
        <f>LEFT(A33,FIND(":",A33))</f>
        <v>addStabs:</v>
      </c>
      <c r="B41">
        <f>LEN(A41)+1</f>
        <v>10</v>
      </c>
      <c r="C41">
        <f ca="1">IF(C33=$A33,"",RIGHT(C33,LEN(C33)-$B41)*1)</f>
        <v>0</v>
      </c>
      <c r="D41">
        <f t="shared" ref="D41:V41" ca="1" si="0">IF(D33=$A33,"",RIGHT(D33,LEN(D33)-$B41)*1)</f>
        <v>0</v>
      </c>
      <c r="E41">
        <f t="shared" ca="1" si="0"/>
        <v>1</v>
      </c>
      <c r="F41">
        <f t="shared" ca="1" si="0"/>
        <v>1</v>
      </c>
      <c r="R41"/>
      <c r="S41"/>
      <c r="T41"/>
      <c r="Y41"/>
      <c r="AB41"/>
      <c r="AH41"/>
      <c r="AK41"/>
      <c r="AM41"/>
      <c r="AO41"/>
    </row>
    <row r="42" spans="1:41" x14ac:dyDescent="0.2">
      <c r="A42" t="str">
        <f>LEFT(A34,FIND(":",A34))</f>
        <v>permuteDEM:</v>
      </c>
      <c r="B42">
        <f t="shared" ref="B42" si="1">LEN(A42)+1</f>
        <v>12</v>
      </c>
      <c r="C42">
        <f ca="1">IF(C34=$A34,"",RIGHT(C34,LEN(C34)-$B42)*1)</f>
        <v>0</v>
      </c>
      <c r="D42">
        <f t="shared" ref="D42:V42" ca="1" si="2">IF(D34=$A34,"",RIGHT(D34,LEN(D34)-$B42)*1)</f>
        <v>1</v>
      </c>
      <c r="E42">
        <f t="shared" ca="1" si="2"/>
        <v>0</v>
      </c>
      <c r="F42">
        <f t="shared" ca="1" si="2"/>
        <v>1</v>
      </c>
      <c r="R42"/>
      <c r="S42"/>
      <c r="T42"/>
      <c r="Y42"/>
      <c r="AB42"/>
      <c r="AH42"/>
      <c r="AK42"/>
      <c r="AM42"/>
      <c r="AO42"/>
    </row>
    <row r="43" spans="1:41" x14ac:dyDescent="0.2">
      <c r="C43" t="str">
        <f ca="1">C41&amp;C42</f>
        <v>00</v>
      </c>
      <c r="D43" t="str">
        <f t="shared" ref="D43:V43" ca="1" si="3">D41&amp;D42</f>
        <v>01</v>
      </c>
      <c r="E43" t="str">
        <f t="shared" ca="1" si="3"/>
        <v>10</v>
      </c>
      <c r="F43" t="str">
        <f t="shared" ca="1" si="3"/>
        <v>11</v>
      </c>
      <c r="R43"/>
      <c r="S43"/>
      <c r="T43"/>
      <c r="Y43"/>
      <c r="AB43"/>
      <c r="AH43"/>
      <c r="AK43"/>
      <c r="AM43"/>
      <c r="AO43"/>
    </row>
    <row r="44" spans="1:41" x14ac:dyDescent="0.2">
      <c r="F44"/>
      <c r="R44"/>
      <c r="S44"/>
      <c r="T44"/>
      <c r="Y44"/>
      <c r="AB44"/>
      <c r="AH44"/>
      <c r="AK44"/>
      <c r="AM44"/>
      <c r="AO44"/>
    </row>
    <row r="45" spans="1:41" x14ac:dyDescent="0.2">
      <c r="F45"/>
      <c r="R45"/>
      <c r="S45"/>
      <c r="T45"/>
      <c r="Y45"/>
      <c r="AB45"/>
      <c r="AH45"/>
      <c r="AK45"/>
      <c r="AM45"/>
      <c r="AO45"/>
    </row>
    <row r="46" spans="1:41" x14ac:dyDescent="0.2">
      <c r="F46"/>
      <c r="R46"/>
      <c r="S46"/>
      <c r="T46"/>
      <c r="Y46"/>
      <c r="AB46"/>
      <c r="AH46"/>
      <c r="AK46"/>
      <c r="AM46"/>
      <c r="AO46"/>
    </row>
    <row r="47" spans="1:41" x14ac:dyDescent="0.2">
      <c r="A47" t="s">
        <v>44</v>
      </c>
      <c r="B47">
        <v>10</v>
      </c>
      <c r="F47"/>
      <c r="R47"/>
      <c r="S47"/>
      <c r="T47"/>
      <c r="Y47"/>
      <c r="AB47"/>
      <c r="AH47"/>
      <c r="AK47"/>
      <c r="AM47"/>
      <c r="AO47"/>
    </row>
    <row r="48" spans="1:41" x14ac:dyDescent="0.2">
      <c r="A48" t="s">
        <v>32</v>
      </c>
      <c r="C48">
        <f t="shared" ref="C48:V48" ca="1" si="4">COUNTIF(INDIRECT("Sheet"&amp;C$2&amp;"!d:d"),"&gt;0")</f>
        <v>100</v>
      </c>
      <c r="D48">
        <f t="shared" ca="1" si="4"/>
        <v>100</v>
      </c>
      <c r="E48">
        <f t="shared" ca="1" si="4"/>
        <v>100</v>
      </c>
      <c r="F48">
        <f t="shared" ca="1" si="4"/>
        <v>100</v>
      </c>
      <c r="R48"/>
      <c r="S48"/>
      <c r="T48"/>
      <c r="Y48"/>
      <c r="AB48"/>
      <c r="AH48"/>
      <c r="AK48"/>
      <c r="AM48"/>
    </row>
    <row r="49" spans="1:43" x14ac:dyDescent="0.2">
      <c r="A49" t="s">
        <v>23</v>
      </c>
      <c r="C49">
        <f t="shared" ref="C49:V49" ca="1" si="5">COUNTIF(INDIRECT("Sheet"&amp;C$2&amp;"!d:d"),$B$47)</f>
        <v>0</v>
      </c>
      <c r="D49">
        <f t="shared" ca="1" si="5"/>
        <v>0</v>
      </c>
      <c r="E49">
        <f t="shared" ca="1" si="5"/>
        <v>50</v>
      </c>
      <c r="F49">
        <f t="shared" ca="1" si="5"/>
        <v>100</v>
      </c>
      <c r="R49"/>
      <c r="S49"/>
      <c r="T49"/>
      <c r="Y49"/>
      <c r="AB49"/>
      <c r="AH49"/>
      <c r="AK49"/>
      <c r="AM49"/>
    </row>
    <row r="50" spans="1:43" x14ac:dyDescent="0.2">
      <c r="A50" t="s">
        <v>38</v>
      </c>
      <c r="C50" s="5">
        <f t="shared" ref="C50:V50" ca="1" si="6">C49/C48</f>
        <v>0</v>
      </c>
      <c r="D50" s="5">
        <f t="shared" ca="1" si="6"/>
        <v>0</v>
      </c>
      <c r="E50" s="5">
        <f t="shared" ca="1" si="6"/>
        <v>0.5</v>
      </c>
      <c r="F50" s="5">
        <f t="shared" ca="1" si="6"/>
        <v>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43" x14ac:dyDescent="0.2">
      <c r="A51" t="s">
        <v>29</v>
      </c>
      <c r="C51">
        <f t="shared" ref="C51:V51" ca="1" si="7">MIN(INDIRECT("Sheet"&amp;C$2&amp;"!d:d"))</f>
        <v>12</v>
      </c>
      <c r="D51">
        <f t="shared" ca="1" si="7"/>
        <v>12</v>
      </c>
      <c r="E51">
        <f t="shared" ca="1" si="7"/>
        <v>10</v>
      </c>
      <c r="F51">
        <f t="shared" ca="1" si="7"/>
        <v>10</v>
      </c>
      <c r="R51"/>
      <c r="S51"/>
      <c r="T51"/>
      <c r="Y51"/>
      <c r="AB51"/>
      <c r="AH51"/>
      <c r="AK51"/>
      <c r="AM51"/>
    </row>
    <row r="52" spans="1:43" x14ac:dyDescent="0.2">
      <c r="A52" t="s">
        <v>30</v>
      </c>
      <c r="C52">
        <f t="shared" ref="C52:V52" ca="1" si="8">MAX(INDIRECT("Sheet"&amp;C$2&amp;"!d:d"))</f>
        <v>12</v>
      </c>
      <c r="D52">
        <f t="shared" ca="1" si="8"/>
        <v>12</v>
      </c>
      <c r="E52">
        <f t="shared" ca="1" si="8"/>
        <v>11</v>
      </c>
      <c r="F52">
        <f t="shared" ca="1" si="8"/>
        <v>10</v>
      </c>
      <c r="R52"/>
      <c r="S52"/>
      <c r="T52"/>
      <c r="Y52"/>
      <c r="AB52"/>
      <c r="AH52"/>
      <c r="AK52"/>
      <c r="AM52"/>
    </row>
    <row r="53" spans="1:43" x14ac:dyDescent="0.2">
      <c r="A53" t="s">
        <v>31</v>
      </c>
      <c r="C53" s="1">
        <f t="shared" ref="C53:V53" ca="1" si="9">AVERAGE(INDIRECT("Sheet"&amp;C$2&amp;"!d:d"))</f>
        <v>12</v>
      </c>
      <c r="D53" s="1">
        <f t="shared" ca="1" si="9"/>
        <v>12</v>
      </c>
      <c r="E53" s="1">
        <f t="shared" ca="1" si="9"/>
        <v>10.5</v>
      </c>
      <c r="F53" s="1">
        <f t="shared" ca="1" si="9"/>
        <v>10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3"/>
      <c r="AP53" s="1"/>
      <c r="AQ53" s="1"/>
    </row>
    <row r="54" spans="1:43" x14ac:dyDescent="0.2">
      <c r="A54" t="s">
        <v>33</v>
      </c>
      <c r="C54">
        <f t="shared" ref="C54:V54" ca="1" si="10">AVERAGE(INDIRECT("Sheet"&amp;C$2&amp;"!f:f"))</f>
        <v>134.97281452841051</v>
      </c>
      <c r="D54">
        <f t="shared" ca="1" si="10"/>
        <v>164.39879890439963</v>
      </c>
      <c r="E54">
        <f t="shared" ca="1" si="10"/>
        <v>138.01386786953199</v>
      </c>
      <c r="F54">
        <f t="shared" ca="1" si="10"/>
        <v>163.8673382805797</v>
      </c>
      <c r="R54"/>
      <c r="S54"/>
      <c r="T54"/>
      <c r="Y54"/>
      <c r="AB54"/>
      <c r="AH54"/>
      <c r="AK54"/>
      <c r="AM54"/>
      <c r="AO54"/>
    </row>
    <row r="58" spans="1:43" x14ac:dyDescent="0.2">
      <c r="C58" t="s">
        <v>104</v>
      </c>
      <c r="E58" s="4"/>
      <c r="F58"/>
      <c r="H58" t="s">
        <v>104</v>
      </c>
      <c r="M58" t="s">
        <v>104</v>
      </c>
    </row>
    <row r="59" spans="1:43" x14ac:dyDescent="0.2">
      <c r="B59" t="s">
        <v>106</v>
      </c>
      <c r="C59">
        <v>0</v>
      </c>
      <c r="D59">
        <v>1</v>
      </c>
      <c r="E59" s="4"/>
      <c r="F59"/>
      <c r="G59" t="s">
        <v>23</v>
      </c>
      <c r="H59">
        <v>0</v>
      </c>
      <c r="I59">
        <v>1</v>
      </c>
      <c r="L59" t="s">
        <v>38</v>
      </c>
      <c r="M59">
        <v>0</v>
      </c>
      <c r="N59">
        <v>1</v>
      </c>
    </row>
    <row r="60" spans="1:43" x14ac:dyDescent="0.2">
      <c r="A60" t="s">
        <v>105</v>
      </c>
      <c r="B60">
        <v>0</v>
      </c>
      <c r="C60">
        <f ca="1">SUMIF($43:$43,C$59&amp;$B60,$48:$48)</f>
        <v>100</v>
      </c>
      <c r="D60">
        <f t="shared" ref="D60:D61" ca="1" si="11">SUMIF($43:$43,D$59&amp;$B60,$48:$48)</f>
        <v>100</v>
      </c>
      <c r="F60" t="s">
        <v>105</v>
      </c>
      <c r="G60">
        <v>0</v>
      </c>
      <c r="H60">
        <f ca="1">SUMIF($43:$43,H$59&amp;$B60,$49:$49)</f>
        <v>0</v>
      </c>
      <c r="I60">
        <f t="shared" ref="I60:I61" ca="1" si="12">SUMIF($43:$43,I$59&amp;$B60,$49:$49)</f>
        <v>50</v>
      </c>
      <c r="K60" t="s">
        <v>105</v>
      </c>
      <c r="L60">
        <v>0</v>
      </c>
      <c r="M60" s="6">
        <f ca="1">H60/C60</f>
        <v>0</v>
      </c>
      <c r="N60" s="6">
        <f t="shared" ref="N60:N61" ca="1" si="13">I60/D60</f>
        <v>0.5</v>
      </c>
    </row>
    <row r="61" spans="1:43" x14ac:dyDescent="0.2">
      <c r="B61">
        <v>1</v>
      </c>
      <c r="C61">
        <f t="shared" ref="C61" ca="1" si="14">SUMIF($43:$43,C$59&amp;$B61,$48:$48)</f>
        <v>100</v>
      </c>
      <c r="D61">
        <f t="shared" ca="1" si="11"/>
        <v>100</v>
      </c>
      <c r="E61" s="5"/>
      <c r="F61"/>
      <c r="G61">
        <v>1</v>
      </c>
      <c r="H61">
        <f t="shared" ref="H61" ca="1" si="15">SUMIF($43:$43,H$59&amp;$B61,$49:$49)</f>
        <v>0</v>
      </c>
      <c r="I61">
        <f t="shared" ca="1" si="12"/>
        <v>100</v>
      </c>
      <c r="L61">
        <v>1</v>
      </c>
      <c r="M61" s="6">
        <f t="shared" ref="M61" ca="1" si="16">H61/C61</f>
        <v>0</v>
      </c>
      <c r="N61" s="6">
        <f t="shared" ca="1" si="13"/>
        <v>1</v>
      </c>
    </row>
    <row r="62" spans="1:43" x14ac:dyDescent="0.2">
      <c r="D62" s="5"/>
      <c r="E62" s="5"/>
      <c r="F62" s="5"/>
      <c r="G62" s="5"/>
      <c r="K62" s="5"/>
      <c r="L62" s="5"/>
      <c r="M62" s="5"/>
      <c r="N62" s="5"/>
      <c r="O62" s="5"/>
    </row>
    <row r="63" spans="1:43" x14ac:dyDescent="0.2">
      <c r="D63" s="5"/>
      <c r="E63" s="5"/>
      <c r="F63" s="5"/>
      <c r="G63" s="5"/>
      <c r="K63" s="5"/>
      <c r="L63" s="5"/>
      <c r="M63" s="5"/>
      <c r="N63" s="5"/>
      <c r="O63" s="5"/>
    </row>
    <row r="64" spans="1:43" x14ac:dyDescent="0.2">
      <c r="M64" s="4"/>
    </row>
    <row r="65" spans="8:13" x14ac:dyDescent="0.2">
      <c r="M65" s="4"/>
    </row>
    <row r="66" spans="8:13" x14ac:dyDescent="0.2">
      <c r="M66" s="4"/>
    </row>
    <row r="67" spans="8:13" x14ac:dyDescent="0.2">
      <c r="H67" s="4"/>
      <c r="M67" s="4"/>
    </row>
    <row r="68" spans="8:13" x14ac:dyDescent="0.2">
      <c r="H68" s="4"/>
      <c r="M68" s="4"/>
    </row>
    <row r="69" spans="8:13" x14ac:dyDescent="0.2">
      <c r="M69" s="4"/>
    </row>
    <row r="70" spans="8:13" x14ac:dyDescent="0.2">
      <c r="M70" s="4"/>
    </row>
    <row r="71" spans="8:13" x14ac:dyDescent="0.2">
      <c r="M71" s="4"/>
    </row>
    <row r="72" spans="8:13" x14ac:dyDescent="0.2">
      <c r="M72" s="4"/>
    </row>
    <row r="73" spans="8:13" x14ac:dyDescent="0.2">
      <c r="M73" s="4"/>
    </row>
    <row r="74" spans="8:13" x14ac:dyDescent="0.2">
      <c r="M74" s="4"/>
    </row>
    <row r="75" spans="8:13" x14ac:dyDescent="0.2">
      <c r="M75" s="4"/>
    </row>
    <row r="76" spans="8:13" x14ac:dyDescent="0.2">
      <c r="M76" s="4"/>
    </row>
    <row r="77" spans="8:13" x14ac:dyDescent="0.2">
      <c r="M77" s="4"/>
    </row>
    <row r="78" spans="8:13" x14ac:dyDescent="0.2">
      <c r="M78" s="4"/>
    </row>
    <row r="79" spans="8:13" x14ac:dyDescent="0.2">
      <c r="M79" s="4"/>
    </row>
    <row r="80" spans="8:13" x14ac:dyDescent="0.2">
      <c r="M80" s="4"/>
    </row>
    <row r="81" spans="13:13" x14ac:dyDescent="0.2">
      <c r="M81" s="4"/>
    </row>
    <row r="82" spans="13:13" x14ac:dyDescent="0.2">
      <c r="M82" s="4"/>
    </row>
    <row r="83" spans="13:13" x14ac:dyDescent="0.2">
      <c r="M83" s="4"/>
    </row>
    <row r="84" spans="13:13" x14ac:dyDescent="0.2">
      <c r="M84" s="4"/>
    </row>
  </sheetData>
  <sortState xmlns:xlrd2="http://schemas.microsoft.com/office/spreadsheetml/2017/richdata2" columnSort="1" ref="C2:AC54">
    <sortCondition ref="C41:AC41"/>
    <sortCondition ref="C42:AC42"/>
    <sortCondition ref="C43:AC43"/>
    <sortCondition ref="C44:AC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B517-405F-6F48-AD7B-7D519453AE79}">
  <dimension ref="A1:I140"/>
  <sheetViews>
    <sheetView topLeftCell="A102" workbookViewId="0">
      <selection activeCell="A140" sqref="A140:XFD14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46</v>
      </c>
    </row>
    <row r="4" spans="1:1" x14ac:dyDescent="0.2">
      <c r="A4" t="s">
        <v>39</v>
      </c>
    </row>
    <row r="5" spans="1:1" x14ac:dyDescent="0.2">
      <c r="A5" t="s">
        <v>40</v>
      </c>
    </row>
    <row r="6" spans="1:1" x14ac:dyDescent="0.2">
      <c r="A6" t="s">
        <v>41</v>
      </c>
    </row>
    <row r="7" spans="1:1" x14ac:dyDescent="0.2">
      <c r="A7" t="s">
        <v>47</v>
      </c>
    </row>
    <row r="8" spans="1:1" x14ac:dyDescent="0.2">
      <c r="A8" t="s">
        <v>2</v>
      </c>
    </row>
    <row r="9" spans="1:1" x14ac:dyDescent="0.2">
      <c r="A9" t="s">
        <v>3</v>
      </c>
    </row>
    <row r="10" spans="1:1" x14ac:dyDescent="0.2">
      <c r="A10" t="s">
        <v>48</v>
      </c>
    </row>
    <row r="11" spans="1:1" x14ac:dyDescent="0.2">
      <c r="A11" t="s">
        <v>49</v>
      </c>
    </row>
    <row r="12" spans="1:1" x14ac:dyDescent="0.2">
      <c r="A12" t="s">
        <v>4</v>
      </c>
    </row>
    <row r="13" spans="1:1" x14ac:dyDescent="0.2">
      <c r="A13" t="s">
        <v>5</v>
      </c>
    </row>
    <row r="14" spans="1:1" x14ac:dyDescent="0.2">
      <c r="A14" t="s">
        <v>6</v>
      </c>
    </row>
    <row r="15" spans="1:1" x14ac:dyDescent="0.2">
      <c r="A15" t="s">
        <v>7</v>
      </c>
    </row>
    <row r="16" spans="1:1" x14ac:dyDescent="0.2">
      <c r="A16" t="s">
        <v>8</v>
      </c>
    </row>
    <row r="17" spans="1:1" x14ac:dyDescent="0.2">
      <c r="A17" t="s">
        <v>34</v>
      </c>
    </row>
    <row r="18" spans="1:1" x14ac:dyDescent="0.2">
      <c r="A18" t="s">
        <v>9</v>
      </c>
    </row>
    <row r="19" spans="1:1" x14ac:dyDescent="0.2">
      <c r="A19" t="s">
        <v>10</v>
      </c>
    </row>
    <row r="20" spans="1:1" x14ac:dyDescent="0.2">
      <c r="A20" t="s">
        <v>11</v>
      </c>
    </row>
    <row r="21" spans="1:1" x14ac:dyDescent="0.2">
      <c r="A21" t="s">
        <v>26</v>
      </c>
    </row>
    <row r="22" spans="1:1" x14ac:dyDescent="0.2">
      <c r="A22" t="s">
        <v>12</v>
      </c>
    </row>
    <row r="23" spans="1:1" x14ac:dyDescent="0.2">
      <c r="A23" t="s">
        <v>13</v>
      </c>
    </row>
    <row r="24" spans="1:1" x14ac:dyDescent="0.2">
      <c r="A24" t="s">
        <v>35</v>
      </c>
    </row>
    <row r="25" spans="1:1" x14ac:dyDescent="0.2">
      <c r="A25" t="s">
        <v>36</v>
      </c>
    </row>
    <row r="26" spans="1:1" x14ac:dyDescent="0.2">
      <c r="A26" t="s">
        <v>27</v>
      </c>
    </row>
    <row r="27" spans="1:1" x14ac:dyDescent="0.2">
      <c r="A27" t="s">
        <v>37</v>
      </c>
    </row>
    <row r="28" spans="1:1" x14ac:dyDescent="0.2">
      <c r="A28" t="s">
        <v>42</v>
      </c>
    </row>
    <row r="29" spans="1:1" x14ac:dyDescent="0.2">
      <c r="A29" t="s">
        <v>14</v>
      </c>
    </row>
    <row r="30" spans="1:1" x14ac:dyDescent="0.2">
      <c r="A30" t="s">
        <v>50</v>
      </c>
    </row>
    <row r="31" spans="1:1" x14ac:dyDescent="0.2">
      <c r="A31" t="s">
        <v>15</v>
      </c>
    </row>
    <row r="32" spans="1:1" x14ac:dyDescent="0.2">
      <c r="A32" t="s">
        <v>43</v>
      </c>
    </row>
    <row r="33" spans="1:9" x14ac:dyDescent="0.2">
      <c r="A33" t="s">
        <v>52</v>
      </c>
    </row>
    <row r="34" spans="1:9" x14ac:dyDescent="0.2">
      <c r="A34" t="s">
        <v>53</v>
      </c>
    </row>
    <row r="35" spans="1:9" x14ac:dyDescent="0.2">
      <c r="A35" t="s">
        <v>54</v>
      </c>
    </row>
    <row r="36" spans="1:9" x14ac:dyDescent="0.2">
      <c r="A36" t="s">
        <v>55</v>
      </c>
    </row>
    <row r="37" spans="1:9" x14ac:dyDescent="0.2">
      <c r="A37" t="s">
        <v>56</v>
      </c>
    </row>
    <row r="38" spans="1:9" x14ac:dyDescent="0.2">
      <c r="A38" t="s">
        <v>107</v>
      </c>
    </row>
    <row r="39" spans="1:9" x14ac:dyDescent="0.2">
      <c r="A39" t="s">
        <v>16</v>
      </c>
    </row>
    <row r="40" spans="1:9" x14ac:dyDescent="0.2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</row>
    <row r="41" spans="1:9" x14ac:dyDescent="0.2">
      <c r="A41" t="s">
        <v>57</v>
      </c>
      <c r="B41">
        <v>48</v>
      </c>
      <c r="C41">
        <v>5</v>
      </c>
      <c r="D41">
        <v>12</v>
      </c>
      <c r="E41">
        <v>2</v>
      </c>
      <c r="F41">
        <v>133.070851801</v>
      </c>
      <c r="G41">
        <v>744</v>
      </c>
      <c r="H41">
        <v>10000</v>
      </c>
      <c r="I41" t="s">
        <v>108</v>
      </c>
    </row>
    <row r="42" spans="1:9" x14ac:dyDescent="0.2">
      <c r="A42" t="s">
        <v>57</v>
      </c>
      <c r="B42">
        <v>48</v>
      </c>
      <c r="C42">
        <v>5</v>
      </c>
      <c r="D42">
        <v>12</v>
      </c>
      <c r="E42">
        <v>2</v>
      </c>
      <c r="F42">
        <v>132.96178555199899</v>
      </c>
      <c r="G42">
        <v>727</v>
      </c>
      <c r="H42">
        <v>10000</v>
      </c>
      <c r="I42" t="s">
        <v>109</v>
      </c>
    </row>
    <row r="43" spans="1:9" x14ac:dyDescent="0.2">
      <c r="A43" t="s">
        <v>57</v>
      </c>
      <c r="B43">
        <v>48</v>
      </c>
      <c r="C43">
        <v>5</v>
      </c>
      <c r="D43">
        <v>12</v>
      </c>
      <c r="E43">
        <v>2</v>
      </c>
      <c r="F43">
        <v>132.983107864</v>
      </c>
      <c r="G43">
        <v>752</v>
      </c>
      <c r="H43">
        <v>10000</v>
      </c>
      <c r="I43" t="s">
        <v>110</v>
      </c>
    </row>
    <row r="44" spans="1:9" x14ac:dyDescent="0.2">
      <c r="A44" t="s">
        <v>57</v>
      </c>
      <c r="B44">
        <v>48</v>
      </c>
      <c r="C44">
        <v>5</v>
      </c>
      <c r="D44">
        <v>12</v>
      </c>
      <c r="E44">
        <v>2</v>
      </c>
      <c r="F44">
        <v>133.129535272</v>
      </c>
      <c r="G44">
        <v>779</v>
      </c>
      <c r="H44">
        <v>10000</v>
      </c>
      <c r="I44" t="s">
        <v>111</v>
      </c>
    </row>
    <row r="45" spans="1:9" x14ac:dyDescent="0.2">
      <c r="A45" t="s">
        <v>57</v>
      </c>
      <c r="B45">
        <v>48</v>
      </c>
      <c r="C45">
        <v>5</v>
      </c>
      <c r="D45">
        <v>12</v>
      </c>
      <c r="E45">
        <v>2</v>
      </c>
      <c r="F45">
        <v>134.86964032499901</v>
      </c>
      <c r="G45">
        <v>727</v>
      </c>
      <c r="H45">
        <v>10000</v>
      </c>
      <c r="I45" t="s">
        <v>112</v>
      </c>
    </row>
    <row r="46" spans="1:9" x14ac:dyDescent="0.2">
      <c r="A46" t="s">
        <v>57</v>
      </c>
      <c r="B46">
        <v>48</v>
      </c>
      <c r="C46">
        <v>5</v>
      </c>
      <c r="D46">
        <v>12</v>
      </c>
      <c r="E46">
        <v>2</v>
      </c>
      <c r="F46">
        <v>134.14775623399899</v>
      </c>
      <c r="G46">
        <v>715</v>
      </c>
      <c r="H46">
        <v>10000</v>
      </c>
      <c r="I46" t="s">
        <v>98</v>
      </c>
    </row>
    <row r="47" spans="1:9" x14ac:dyDescent="0.2">
      <c r="A47" t="s">
        <v>57</v>
      </c>
      <c r="B47">
        <v>48</v>
      </c>
      <c r="C47">
        <v>5</v>
      </c>
      <c r="D47">
        <v>12</v>
      </c>
      <c r="E47">
        <v>2</v>
      </c>
      <c r="F47">
        <v>134.73202505399999</v>
      </c>
      <c r="G47">
        <v>746</v>
      </c>
      <c r="H47">
        <v>10000</v>
      </c>
      <c r="I47" t="s">
        <v>113</v>
      </c>
    </row>
    <row r="48" spans="1:9" x14ac:dyDescent="0.2">
      <c r="A48" t="s">
        <v>57</v>
      </c>
      <c r="B48">
        <v>48</v>
      </c>
      <c r="C48">
        <v>5</v>
      </c>
      <c r="D48">
        <v>12</v>
      </c>
      <c r="E48">
        <v>2</v>
      </c>
      <c r="F48">
        <v>135.02605982</v>
      </c>
      <c r="G48">
        <v>740</v>
      </c>
      <c r="H48">
        <v>10000</v>
      </c>
      <c r="I48" t="s">
        <v>95</v>
      </c>
    </row>
    <row r="49" spans="1:9" x14ac:dyDescent="0.2">
      <c r="A49" t="s">
        <v>57</v>
      </c>
      <c r="B49">
        <v>48</v>
      </c>
      <c r="C49">
        <v>5</v>
      </c>
      <c r="D49">
        <v>12</v>
      </c>
      <c r="E49">
        <v>2</v>
      </c>
      <c r="F49">
        <v>135.082901469999</v>
      </c>
      <c r="G49">
        <v>742</v>
      </c>
      <c r="H49">
        <v>10000</v>
      </c>
      <c r="I49" t="s">
        <v>114</v>
      </c>
    </row>
    <row r="50" spans="1:9" x14ac:dyDescent="0.2">
      <c r="A50" t="s">
        <v>57</v>
      </c>
      <c r="B50">
        <v>48</v>
      </c>
      <c r="C50">
        <v>5</v>
      </c>
      <c r="D50">
        <v>12</v>
      </c>
      <c r="E50">
        <v>2</v>
      </c>
      <c r="F50">
        <v>135.18229332999999</v>
      </c>
      <c r="G50">
        <v>781</v>
      </c>
      <c r="H50">
        <v>10000</v>
      </c>
      <c r="I50" t="s">
        <v>115</v>
      </c>
    </row>
    <row r="51" spans="1:9" x14ac:dyDescent="0.2">
      <c r="A51" t="s">
        <v>57</v>
      </c>
      <c r="B51">
        <v>48</v>
      </c>
      <c r="C51">
        <v>5</v>
      </c>
      <c r="D51">
        <v>12</v>
      </c>
      <c r="E51">
        <v>2</v>
      </c>
      <c r="F51">
        <v>134.083565523</v>
      </c>
      <c r="G51">
        <v>716</v>
      </c>
      <c r="H51">
        <v>10000</v>
      </c>
      <c r="I51" t="s">
        <v>92</v>
      </c>
    </row>
    <row r="52" spans="1:9" x14ac:dyDescent="0.2">
      <c r="A52" t="s">
        <v>57</v>
      </c>
      <c r="B52">
        <v>48</v>
      </c>
      <c r="C52">
        <v>5</v>
      </c>
      <c r="D52">
        <v>12</v>
      </c>
      <c r="E52">
        <v>2</v>
      </c>
      <c r="F52">
        <v>138.735892167999</v>
      </c>
      <c r="G52">
        <v>763</v>
      </c>
      <c r="H52">
        <v>10000</v>
      </c>
      <c r="I52" t="s">
        <v>116</v>
      </c>
    </row>
    <row r="53" spans="1:9" x14ac:dyDescent="0.2">
      <c r="A53" t="s">
        <v>57</v>
      </c>
      <c r="B53">
        <v>48</v>
      </c>
      <c r="C53">
        <v>5</v>
      </c>
      <c r="D53">
        <v>12</v>
      </c>
      <c r="E53">
        <v>2</v>
      </c>
      <c r="F53">
        <v>133.31088704199999</v>
      </c>
      <c r="G53">
        <v>785</v>
      </c>
      <c r="H53">
        <v>10000</v>
      </c>
      <c r="I53" t="s">
        <v>117</v>
      </c>
    </row>
    <row r="54" spans="1:9" x14ac:dyDescent="0.2">
      <c r="A54" t="s">
        <v>57</v>
      </c>
      <c r="B54">
        <v>48</v>
      </c>
      <c r="C54">
        <v>5</v>
      </c>
      <c r="D54">
        <v>12</v>
      </c>
      <c r="E54">
        <v>2</v>
      </c>
      <c r="F54">
        <v>133.025670171999</v>
      </c>
      <c r="G54">
        <v>732</v>
      </c>
      <c r="H54">
        <v>10000</v>
      </c>
      <c r="I54" t="s">
        <v>118</v>
      </c>
    </row>
    <row r="55" spans="1:9" x14ac:dyDescent="0.2">
      <c r="A55" t="s">
        <v>57</v>
      </c>
      <c r="B55">
        <v>48</v>
      </c>
      <c r="C55">
        <v>5</v>
      </c>
      <c r="D55">
        <v>12</v>
      </c>
      <c r="E55">
        <v>2</v>
      </c>
      <c r="F55">
        <v>132.90624001099999</v>
      </c>
      <c r="G55">
        <v>724</v>
      </c>
      <c r="H55">
        <v>10000</v>
      </c>
      <c r="I55" t="s">
        <v>97</v>
      </c>
    </row>
    <row r="56" spans="1:9" x14ac:dyDescent="0.2">
      <c r="A56" t="s">
        <v>57</v>
      </c>
      <c r="B56">
        <v>48</v>
      </c>
      <c r="C56">
        <v>5</v>
      </c>
      <c r="D56">
        <v>12</v>
      </c>
      <c r="E56">
        <v>2</v>
      </c>
      <c r="F56">
        <v>132.99632587299899</v>
      </c>
      <c r="G56">
        <v>703</v>
      </c>
      <c r="H56">
        <v>10000</v>
      </c>
      <c r="I56" t="s">
        <v>119</v>
      </c>
    </row>
    <row r="57" spans="1:9" x14ac:dyDescent="0.2">
      <c r="A57" t="s">
        <v>57</v>
      </c>
      <c r="B57">
        <v>48</v>
      </c>
      <c r="C57">
        <v>5</v>
      </c>
      <c r="D57">
        <v>12</v>
      </c>
      <c r="E57">
        <v>2</v>
      </c>
      <c r="F57">
        <v>133.32432779300001</v>
      </c>
      <c r="G57">
        <v>762</v>
      </c>
      <c r="H57">
        <v>10000</v>
      </c>
      <c r="I57" t="s">
        <v>100</v>
      </c>
    </row>
    <row r="58" spans="1:9" x14ac:dyDescent="0.2">
      <c r="A58" t="s">
        <v>57</v>
      </c>
      <c r="B58">
        <v>48</v>
      </c>
      <c r="C58">
        <v>5</v>
      </c>
      <c r="D58">
        <v>12</v>
      </c>
      <c r="E58">
        <v>2</v>
      </c>
      <c r="F58">
        <v>133.930631221</v>
      </c>
      <c r="G58">
        <v>730</v>
      </c>
      <c r="H58">
        <v>10000</v>
      </c>
      <c r="I58" t="s">
        <v>97</v>
      </c>
    </row>
    <row r="59" spans="1:9" x14ac:dyDescent="0.2">
      <c r="A59" t="s">
        <v>57</v>
      </c>
      <c r="B59">
        <v>48</v>
      </c>
      <c r="C59">
        <v>5</v>
      </c>
      <c r="D59">
        <v>12</v>
      </c>
      <c r="E59">
        <v>2</v>
      </c>
      <c r="F59">
        <v>134.01877093599899</v>
      </c>
      <c r="G59">
        <v>704</v>
      </c>
      <c r="H59">
        <v>10000</v>
      </c>
      <c r="I59" t="s">
        <v>120</v>
      </c>
    </row>
    <row r="60" spans="1:9" x14ac:dyDescent="0.2">
      <c r="A60" t="s">
        <v>57</v>
      </c>
      <c r="B60">
        <v>48</v>
      </c>
      <c r="C60">
        <v>5</v>
      </c>
      <c r="D60">
        <v>12</v>
      </c>
      <c r="E60">
        <v>2</v>
      </c>
      <c r="F60">
        <v>133.34888352300001</v>
      </c>
      <c r="G60">
        <v>726</v>
      </c>
      <c r="H60">
        <v>10000</v>
      </c>
      <c r="I60" t="s">
        <v>121</v>
      </c>
    </row>
    <row r="61" spans="1:9" x14ac:dyDescent="0.2">
      <c r="A61" t="s">
        <v>57</v>
      </c>
      <c r="B61">
        <v>48</v>
      </c>
      <c r="C61">
        <v>5</v>
      </c>
      <c r="D61">
        <v>12</v>
      </c>
      <c r="E61">
        <v>2</v>
      </c>
      <c r="F61">
        <v>133.99607078</v>
      </c>
      <c r="G61">
        <v>757</v>
      </c>
      <c r="H61">
        <v>10000</v>
      </c>
      <c r="I61" t="s">
        <v>122</v>
      </c>
    </row>
    <row r="62" spans="1:9" x14ac:dyDescent="0.2">
      <c r="A62" t="s">
        <v>57</v>
      </c>
      <c r="B62">
        <v>48</v>
      </c>
      <c r="C62">
        <v>5</v>
      </c>
      <c r="D62">
        <v>12</v>
      </c>
      <c r="E62">
        <v>2</v>
      </c>
      <c r="F62">
        <v>133.56049577799999</v>
      </c>
      <c r="G62">
        <v>695</v>
      </c>
      <c r="H62">
        <v>10000</v>
      </c>
      <c r="I62" t="s">
        <v>123</v>
      </c>
    </row>
    <row r="63" spans="1:9" x14ac:dyDescent="0.2">
      <c r="A63" t="s">
        <v>57</v>
      </c>
      <c r="B63">
        <v>48</v>
      </c>
      <c r="C63">
        <v>5</v>
      </c>
      <c r="D63">
        <v>12</v>
      </c>
      <c r="E63">
        <v>2</v>
      </c>
      <c r="F63">
        <v>133.33755656999901</v>
      </c>
      <c r="G63">
        <v>707</v>
      </c>
      <c r="H63">
        <v>10000</v>
      </c>
      <c r="I63" t="s">
        <v>124</v>
      </c>
    </row>
    <row r="64" spans="1:9" x14ac:dyDescent="0.2">
      <c r="A64" t="s">
        <v>57</v>
      </c>
      <c r="B64">
        <v>48</v>
      </c>
      <c r="C64">
        <v>5</v>
      </c>
      <c r="D64">
        <v>12</v>
      </c>
      <c r="E64">
        <v>2</v>
      </c>
      <c r="F64">
        <v>133.88914546199999</v>
      </c>
      <c r="G64">
        <v>723</v>
      </c>
      <c r="H64">
        <v>10000</v>
      </c>
      <c r="I64" t="s">
        <v>125</v>
      </c>
    </row>
    <row r="65" spans="1:9" x14ac:dyDescent="0.2">
      <c r="A65" t="s">
        <v>57</v>
      </c>
      <c r="B65">
        <v>48</v>
      </c>
      <c r="C65">
        <v>5</v>
      </c>
      <c r="D65">
        <v>12</v>
      </c>
      <c r="E65">
        <v>2</v>
      </c>
      <c r="F65">
        <v>133.84762055100001</v>
      </c>
      <c r="G65">
        <v>722</v>
      </c>
      <c r="H65">
        <v>10000</v>
      </c>
      <c r="I65" t="s">
        <v>126</v>
      </c>
    </row>
    <row r="66" spans="1:9" x14ac:dyDescent="0.2">
      <c r="A66" t="s">
        <v>57</v>
      </c>
      <c r="B66">
        <v>48</v>
      </c>
      <c r="C66">
        <v>5</v>
      </c>
      <c r="D66">
        <v>12</v>
      </c>
      <c r="E66">
        <v>2</v>
      </c>
      <c r="F66">
        <v>133.95527294299899</v>
      </c>
      <c r="G66">
        <v>744</v>
      </c>
      <c r="H66">
        <v>10000</v>
      </c>
      <c r="I66" t="s">
        <v>127</v>
      </c>
    </row>
    <row r="67" spans="1:9" x14ac:dyDescent="0.2">
      <c r="A67" t="s">
        <v>57</v>
      </c>
      <c r="B67">
        <v>48</v>
      </c>
      <c r="C67">
        <v>5</v>
      </c>
      <c r="D67">
        <v>12</v>
      </c>
      <c r="E67">
        <v>2</v>
      </c>
      <c r="F67">
        <v>133.69458883900001</v>
      </c>
      <c r="G67">
        <v>772</v>
      </c>
      <c r="H67">
        <v>10000</v>
      </c>
      <c r="I67" t="s">
        <v>128</v>
      </c>
    </row>
    <row r="68" spans="1:9" x14ac:dyDescent="0.2">
      <c r="A68" t="s">
        <v>57</v>
      </c>
      <c r="B68">
        <v>48</v>
      </c>
      <c r="C68">
        <v>5</v>
      </c>
      <c r="D68">
        <v>12</v>
      </c>
      <c r="E68">
        <v>2</v>
      </c>
      <c r="F68">
        <v>133.99500019000001</v>
      </c>
      <c r="G68">
        <v>767</v>
      </c>
      <c r="H68">
        <v>10000</v>
      </c>
      <c r="I68" t="s">
        <v>94</v>
      </c>
    </row>
    <row r="69" spans="1:9" x14ac:dyDescent="0.2">
      <c r="A69" t="s">
        <v>57</v>
      </c>
      <c r="B69">
        <v>48</v>
      </c>
      <c r="C69">
        <v>5</v>
      </c>
      <c r="D69">
        <v>12</v>
      </c>
      <c r="E69">
        <v>2</v>
      </c>
      <c r="F69">
        <v>134.050140629</v>
      </c>
      <c r="G69">
        <v>751</v>
      </c>
      <c r="H69">
        <v>10000</v>
      </c>
      <c r="I69" t="s">
        <v>129</v>
      </c>
    </row>
    <row r="70" spans="1:9" x14ac:dyDescent="0.2">
      <c r="A70" t="s">
        <v>57</v>
      </c>
      <c r="B70">
        <v>48</v>
      </c>
      <c r="C70">
        <v>5</v>
      </c>
      <c r="D70">
        <v>12</v>
      </c>
      <c r="E70">
        <v>2</v>
      </c>
      <c r="F70">
        <v>133.82442260699901</v>
      </c>
      <c r="G70">
        <v>768</v>
      </c>
      <c r="H70">
        <v>10000</v>
      </c>
      <c r="I70" t="s">
        <v>93</v>
      </c>
    </row>
    <row r="71" spans="1:9" x14ac:dyDescent="0.2">
      <c r="A71" t="s">
        <v>57</v>
      </c>
      <c r="B71">
        <v>48</v>
      </c>
      <c r="C71">
        <v>5</v>
      </c>
      <c r="D71">
        <v>12</v>
      </c>
      <c r="E71">
        <v>2</v>
      </c>
      <c r="F71">
        <v>133.395331368999</v>
      </c>
      <c r="G71">
        <v>726</v>
      </c>
      <c r="H71">
        <v>10000</v>
      </c>
      <c r="I71" t="s">
        <v>110</v>
      </c>
    </row>
    <row r="72" spans="1:9" x14ac:dyDescent="0.2">
      <c r="A72" t="s">
        <v>57</v>
      </c>
      <c r="B72">
        <v>48</v>
      </c>
      <c r="C72">
        <v>5</v>
      </c>
      <c r="D72">
        <v>12</v>
      </c>
      <c r="E72">
        <v>2</v>
      </c>
      <c r="F72">
        <v>133.87731405700001</v>
      </c>
      <c r="G72">
        <v>719</v>
      </c>
      <c r="H72">
        <v>10000</v>
      </c>
      <c r="I72" t="s">
        <v>130</v>
      </c>
    </row>
    <row r="73" spans="1:9" x14ac:dyDescent="0.2">
      <c r="A73" t="s">
        <v>57</v>
      </c>
      <c r="B73">
        <v>48</v>
      </c>
      <c r="C73">
        <v>5</v>
      </c>
      <c r="D73">
        <v>12</v>
      </c>
      <c r="E73">
        <v>2</v>
      </c>
      <c r="F73">
        <v>134.57544743</v>
      </c>
      <c r="G73">
        <v>771</v>
      </c>
      <c r="H73">
        <v>10000</v>
      </c>
      <c r="I73" t="s">
        <v>110</v>
      </c>
    </row>
    <row r="74" spans="1:9" x14ac:dyDescent="0.2">
      <c r="A74" t="s">
        <v>57</v>
      </c>
      <c r="B74">
        <v>48</v>
      </c>
      <c r="C74">
        <v>5</v>
      </c>
      <c r="D74">
        <v>12</v>
      </c>
      <c r="E74">
        <v>2</v>
      </c>
      <c r="F74">
        <v>134.54649370599901</v>
      </c>
      <c r="G74">
        <v>717</v>
      </c>
      <c r="H74">
        <v>10000</v>
      </c>
      <c r="I74" t="s">
        <v>131</v>
      </c>
    </row>
    <row r="75" spans="1:9" x14ac:dyDescent="0.2">
      <c r="A75" t="s">
        <v>57</v>
      </c>
      <c r="B75">
        <v>48</v>
      </c>
      <c r="C75">
        <v>5</v>
      </c>
      <c r="D75">
        <v>12</v>
      </c>
      <c r="E75">
        <v>2</v>
      </c>
      <c r="F75">
        <v>134.58742718299999</v>
      </c>
      <c r="G75">
        <v>753</v>
      </c>
      <c r="H75">
        <v>10000</v>
      </c>
      <c r="I75" t="s">
        <v>109</v>
      </c>
    </row>
    <row r="76" spans="1:9" x14ac:dyDescent="0.2">
      <c r="A76" t="s">
        <v>57</v>
      </c>
      <c r="B76">
        <v>48</v>
      </c>
      <c r="C76">
        <v>5</v>
      </c>
      <c r="D76">
        <v>12</v>
      </c>
      <c r="E76">
        <v>2</v>
      </c>
      <c r="F76">
        <v>134.386822738999</v>
      </c>
      <c r="G76">
        <v>730</v>
      </c>
      <c r="H76">
        <v>10000</v>
      </c>
      <c r="I76" t="s">
        <v>132</v>
      </c>
    </row>
    <row r="77" spans="1:9" x14ac:dyDescent="0.2">
      <c r="A77" t="s">
        <v>57</v>
      </c>
      <c r="B77">
        <v>48</v>
      </c>
      <c r="C77">
        <v>5</v>
      </c>
      <c r="D77">
        <v>12</v>
      </c>
      <c r="E77">
        <v>2</v>
      </c>
      <c r="F77">
        <v>134.723793279999</v>
      </c>
      <c r="G77">
        <v>754</v>
      </c>
      <c r="H77">
        <v>10000</v>
      </c>
      <c r="I77" t="s">
        <v>133</v>
      </c>
    </row>
    <row r="78" spans="1:9" x14ac:dyDescent="0.2">
      <c r="A78" t="s">
        <v>57</v>
      </c>
      <c r="B78">
        <v>48</v>
      </c>
      <c r="C78">
        <v>5</v>
      </c>
      <c r="D78">
        <v>12</v>
      </c>
      <c r="E78">
        <v>2</v>
      </c>
      <c r="F78">
        <v>134.640460265</v>
      </c>
      <c r="G78">
        <v>801</v>
      </c>
      <c r="H78">
        <v>10000</v>
      </c>
      <c r="I78" t="s">
        <v>80</v>
      </c>
    </row>
    <row r="79" spans="1:9" x14ac:dyDescent="0.2">
      <c r="A79" t="s">
        <v>57</v>
      </c>
      <c r="B79">
        <v>48</v>
      </c>
      <c r="C79">
        <v>5</v>
      </c>
      <c r="D79">
        <v>12</v>
      </c>
      <c r="E79">
        <v>2</v>
      </c>
      <c r="F79">
        <v>134.646156372999</v>
      </c>
      <c r="G79">
        <v>757</v>
      </c>
      <c r="H79">
        <v>10000</v>
      </c>
      <c r="I79" t="s">
        <v>134</v>
      </c>
    </row>
    <row r="80" spans="1:9" x14ac:dyDescent="0.2">
      <c r="A80" t="s">
        <v>57</v>
      </c>
      <c r="B80">
        <v>48</v>
      </c>
      <c r="C80">
        <v>5</v>
      </c>
      <c r="D80">
        <v>12</v>
      </c>
      <c r="E80">
        <v>2</v>
      </c>
      <c r="F80">
        <v>134.54783415099999</v>
      </c>
      <c r="G80">
        <v>694</v>
      </c>
      <c r="H80">
        <v>10000</v>
      </c>
      <c r="I80" t="s">
        <v>94</v>
      </c>
    </row>
    <row r="81" spans="1:9" x14ac:dyDescent="0.2">
      <c r="A81" t="s">
        <v>57</v>
      </c>
      <c r="B81">
        <v>48</v>
      </c>
      <c r="C81">
        <v>5</v>
      </c>
      <c r="D81">
        <v>12</v>
      </c>
      <c r="E81">
        <v>2</v>
      </c>
      <c r="F81">
        <v>134.22079030999899</v>
      </c>
      <c r="G81">
        <v>770</v>
      </c>
      <c r="H81">
        <v>10000</v>
      </c>
      <c r="I81" t="s">
        <v>99</v>
      </c>
    </row>
    <row r="82" spans="1:9" x14ac:dyDescent="0.2">
      <c r="A82" t="s">
        <v>57</v>
      </c>
      <c r="B82">
        <v>48</v>
      </c>
      <c r="C82">
        <v>5</v>
      </c>
      <c r="D82">
        <v>12</v>
      </c>
      <c r="E82">
        <v>2</v>
      </c>
      <c r="F82">
        <v>134.693231580999</v>
      </c>
      <c r="G82">
        <v>769</v>
      </c>
      <c r="H82">
        <v>10000</v>
      </c>
      <c r="I82" t="s">
        <v>135</v>
      </c>
    </row>
    <row r="83" spans="1:9" x14ac:dyDescent="0.2">
      <c r="A83" t="s">
        <v>57</v>
      </c>
      <c r="B83">
        <v>48</v>
      </c>
      <c r="C83">
        <v>5</v>
      </c>
      <c r="D83">
        <v>12</v>
      </c>
      <c r="E83">
        <v>2</v>
      </c>
      <c r="F83">
        <v>135.25642267999999</v>
      </c>
      <c r="G83">
        <v>721</v>
      </c>
      <c r="H83">
        <v>10000</v>
      </c>
      <c r="I83" t="s">
        <v>136</v>
      </c>
    </row>
    <row r="84" spans="1:9" x14ac:dyDescent="0.2">
      <c r="A84" t="s">
        <v>57</v>
      </c>
      <c r="B84">
        <v>48</v>
      </c>
      <c r="C84">
        <v>5</v>
      </c>
      <c r="D84">
        <v>12</v>
      </c>
      <c r="E84">
        <v>2</v>
      </c>
      <c r="F84">
        <v>134.88973528499901</v>
      </c>
      <c r="G84">
        <v>753</v>
      </c>
      <c r="H84">
        <v>10000</v>
      </c>
      <c r="I84" t="s">
        <v>137</v>
      </c>
    </row>
    <row r="85" spans="1:9" x14ac:dyDescent="0.2">
      <c r="A85" t="s">
        <v>57</v>
      </c>
      <c r="B85">
        <v>48</v>
      </c>
      <c r="C85">
        <v>5</v>
      </c>
      <c r="D85">
        <v>12</v>
      </c>
      <c r="E85">
        <v>2</v>
      </c>
      <c r="F85">
        <v>134.82901275199899</v>
      </c>
      <c r="G85">
        <v>805</v>
      </c>
      <c r="H85">
        <v>10000</v>
      </c>
      <c r="I85" t="s">
        <v>96</v>
      </c>
    </row>
    <row r="86" spans="1:9" x14ac:dyDescent="0.2">
      <c r="A86" t="s">
        <v>57</v>
      </c>
      <c r="B86">
        <v>48</v>
      </c>
      <c r="C86">
        <v>5</v>
      </c>
      <c r="D86">
        <v>12</v>
      </c>
      <c r="E86">
        <v>2</v>
      </c>
      <c r="F86">
        <v>135.44452374899899</v>
      </c>
      <c r="G86">
        <v>681</v>
      </c>
      <c r="H86">
        <v>10000</v>
      </c>
      <c r="I86" t="s">
        <v>138</v>
      </c>
    </row>
    <row r="87" spans="1:9" x14ac:dyDescent="0.2">
      <c r="A87" t="s">
        <v>57</v>
      </c>
      <c r="B87">
        <v>48</v>
      </c>
      <c r="C87">
        <v>5</v>
      </c>
      <c r="D87">
        <v>12</v>
      </c>
      <c r="E87">
        <v>2</v>
      </c>
      <c r="F87">
        <v>135.835382584999</v>
      </c>
      <c r="G87">
        <v>707</v>
      </c>
      <c r="H87">
        <v>10000</v>
      </c>
      <c r="I87" t="s">
        <v>139</v>
      </c>
    </row>
    <row r="88" spans="1:9" x14ac:dyDescent="0.2">
      <c r="A88" t="s">
        <v>57</v>
      </c>
      <c r="B88">
        <v>48</v>
      </c>
      <c r="C88">
        <v>5</v>
      </c>
      <c r="D88">
        <v>12</v>
      </c>
      <c r="E88">
        <v>2</v>
      </c>
      <c r="F88">
        <v>135.220471554</v>
      </c>
      <c r="G88">
        <v>664</v>
      </c>
      <c r="H88">
        <v>10000</v>
      </c>
      <c r="I88" t="s">
        <v>140</v>
      </c>
    </row>
    <row r="89" spans="1:9" x14ac:dyDescent="0.2">
      <c r="A89" t="s">
        <v>57</v>
      </c>
      <c r="B89">
        <v>48</v>
      </c>
      <c r="C89">
        <v>5</v>
      </c>
      <c r="D89">
        <v>12</v>
      </c>
      <c r="E89">
        <v>2</v>
      </c>
      <c r="F89">
        <v>135.278376923</v>
      </c>
      <c r="G89">
        <v>742</v>
      </c>
      <c r="H89">
        <v>10000</v>
      </c>
      <c r="I89" t="s">
        <v>141</v>
      </c>
    </row>
    <row r="90" spans="1:9" x14ac:dyDescent="0.2">
      <c r="A90" t="s">
        <v>57</v>
      </c>
      <c r="B90">
        <v>48</v>
      </c>
      <c r="C90">
        <v>5</v>
      </c>
      <c r="D90">
        <v>12</v>
      </c>
      <c r="E90">
        <v>2</v>
      </c>
      <c r="F90">
        <v>135.738579294</v>
      </c>
      <c r="G90">
        <v>730</v>
      </c>
      <c r="H90">
        <v>10000</v>
      </c>
      <c r="I90" t="s">
        <v>142</v>
      </c>
    </row>
    <row r="91" spans="1:9" x14ac:dyDescent="0.2">
      <c r="A91" t="s">
        <v>57</v>
      </c>
      <c r="B91">
        <v>48</v>
      </c>
      <c r="C91">
        <v>5</v>
      </c>
      <c r="D91">
        <v>12</v>
      </c>
      <c r="E91">
        <v>2</v>
      </c>
      <c r="F91">
        <v>135.63704589699901</v>
      </c>
      <c r="G91">
        <v>764</v>
      </c>
      <c r="H91">
        <v>10000</v>
      </c>
      <c r="I91" t="s">
        <v>143</v>
      </c>
    </row>
    <row r="92" spans="1:9" x14ac:dyDescent="0.2">
      <c r="A92" t="s">
        <v>57</v>
      </c>
      <c r="B92">
        <v>48</v>
      </c>
      <c r="C92">
        <v>5</v>
      </c>
      <c r="D92">
        <v>12</v>
      </c>
      <c r="E92">
        <v>2</v>
      </c>
      <c r="F92">
        <v>135.64045315000001</v>
      </c>
      <c r="G92">
        <v>748</v>
      </c>
      <c r="H92">
        <v>10000</v>
      </c>
      <c r="I92" t="s">
        <v>144</v>
      </c>
    </row>
    <row r="93" spans="1:9" x14ac:dyDescent="0.2">
      <c r="A93" t="s">
        <v>57</v>
      </c>
      <c r="B93">
        <v>48</v>
      </c>
      <c r="C93">
        <v>5</v>
      </c>
      <c r="D93">
        <v>12</v>
      </c>
      <c r="E93">
        <v>2</v>
      </c>
      <c r="F93">
        <v>135.055616302</v>
      </c>
      <c r="G93">
        <v>701</v>
      </c>
      <c r="H93">
        <v>10000</v>
      </c>
      <c r="I93" t="s">
        <v>145</v>
      </c>
    </row>
    <row r="94" spans="1:9" x14ac:dyDescent="0.2">
      <c r="A94" t="s">
        <v>57</v>
      </c>
      <c r="B94">
        <v>48</v>
      </c>
      <c r="C94">
        <v>5</v>
      </c>
      <c r="D94">
        <v>12</v>
      </c>
      <c r="E94">
        <v>2</v>
      </c>
      <c r="F94">
        <v>134.95751465000001</v>
      </c>
      <c r="G94">
        <v>697</v>
      </c>
      <c r="H94">
        <v>10000</v>
      </c>
      <c r="I94" t="s">
        <v>146</v>
      </c>
    </row>
    <row r="95" spans="1:9" x14ac:dyDescent="0.2">
      <c r="A95" t="s">
        <v>57</v>
      </c>
      <c r="B95">
        <v>48</v>
      </c>
      <c r="C95">
        <v>5</v>
      </c>
      <c r="D95">
        <v>12</v>
      </c>
      <c r="E95">
        <v>2</v>
      </c>
      <c r="F95">
        <v>135.60615269199999</v>
      </c>
      <c r="G95">
        <v>745</v>
      </c>
      <c r="H95">
        <v>10000</v>
      </c>
      <c r="I95" t="s">
        <v>147</v>
      </c>
    </row>
    <row r="96" spans="1:9" x14ac:dyDescent="0.2">
      <c r="A96" t="s">
        <v>57</v>
      </c>
      <c r="B96">
        <v>48</v>
      </c>
      <c r="C96">
        <v>5</v>
      </c>
      <c r="D96">
        <v>12</v>
      </c>
      <c r="E96">
        <v>2</v>
      </c>
      <c r="F96">
        <v>136.05780317499901</v>
      </c>
      <c r="G96">
        <v>769</v>
      </c>
      <c r="H96">
        <v>10000</v>
      </c>
      <c r="I96" t="s">
        <v>148</v>
      </c>
    </row>
    <row r="97" spans="1:9" x14ac:dyDescent="0.2">
      <c r="A97" t="s">
        <v>57</v>
      </c>
      <c r="B97">
        <v>48</v>
      </c>
      <c r="C97">
        <v>5</v>
      </c>
      <c r="D97">
        <v>12</v>
      </c>
      <c r="E97">
        <v>2</v>
      </c>
      <c r="F97">
        <v>136.06493793000001</v>
      </c>
      <c r="G97">
        <v>747</v>
      </c>
      <c r="H97">
        <v>10000</v>
      </c>
      <c r="I97" t="s">
        <v>78</v>
      </c>
    </row>
    <row r="98" spans="1:9" x14ac:dyDescent="0.2">
      <c r="A98" t="s">
        <v>57</v>
      </c>
      <c r="B98">
        <v>48</v>
      </c>
      <c r="C98">
        <v>5</v>
      </c>
      <c r="D98">
        <v>12</v>
      </c>
      <c r="E98">
        <v>2</v>
      </c>
      <c r="F98">
        <v>135.96623980499999</v>
      </c>
      <c r="G98">
        <v>752</v>
      </c>
      <c r="H98">
        <v>10000</v>
      </c>
      <c r="I98" t="s">
        <v>149</v>
      </c>
    </row>
    <row r="99" spans="1:9" x14ac:dyDescent="0.2">
      <c r="A99" t="s">
        <v>57</v>
      </c>
      <c r="B99">
        <v>48</v>
      </c>
      <c r="C99">
        <v>5</v>
      </c>
      <c r="D99">
        <v>12</v>
      </c>
      <c r="E99">
        <v>2</v>
      </c>
      <c r="F99">
        <v>136.01932131299901</v>
      </c>
      <c r="G99">
        <v>779</v>
      </c>
      <c r="H99">
        <v>10000</v>
      </c>
      <c r="I99" t="s">
        <v>150</v>
      </c>
    </row>
    <row r="100" spans="1:9" x14ac:dyDescent="0.2">
      <c r="A100" t="s">
        <v>57</v>
      </c>
      <c r="B100">
        <v>48</v>
      </c>
      <c r="C100">
        <v>5</v>
      </c>
      <c r="D100">
        <v>12</v>
      </c>
      <c r="E100">
        <v>2</v>
      </c>
      <c r="F100">
        <v>135.550539657999</v>
      </c>
      <c r="G100">
        <v>750</v>
      </c>
      <c r="H100">
        <v>10000</v>
      </c>
      <c r="I100" t="s">
        <v>151</v>
      </c>
    </row>
    <row r="101" spans="1:9" x14ac:dyDescent="0.2">
      <c r="A101" t="s">
        <v>57</v>
      </c>
      <c r="B101">
        <v>48</v>
      </c>
      <c r="C101">
        <v>5</v>
      </c>
      <c r="D101">
        <v>12</v>
      </c>
      <c r="E101">
        <v>2</v>
      </c>
      <c r="F101">
        <v>135.386353503001</v>
      </c>
      <c r="G101">
        <v>751</v>
      </c>
      <c r="H101">
        <v>10000</v>
      </c>
      <c r="I101" t="s">
        <v>152</v>
      </c>
    </row>
    <row r="102" spans="1:9" x14ac:dyDescent="0.2">
      <c r="A102" t="s">
        <v>57</v>
      </c>
      <c r="B102">
        <v>48</v>
      </c>
      <c r="C102">
        <v>5</v>
      </c>
      <c r="D102">
        <v>12</v>
      </c>
      <c r="E102">
        <v>2</v>
      </c>
      <c r="F102">
        <v>136.19091810200001</v>
      </c>
      <c r="G102">
        <v>749</v>
      </c>
      <c r="H102">
        <v>10000</v>
      </c>
      <c r="I102" t="s">
        <v>153</v>
      </c>
    </row>
    <row r="103" spans="1:9" x14ac:dyDescent="0.2">
      <c r="A103" t="s">
        <v>57</v>
      </c>
      <c r="B103">
        <v>48</v>
      </c>
      <c r="C103">
        <v>5</v>
      </c>
      <c r="D103">
        <v>12</v>
      </c>
      <c r="E103">
        <v>2</v>
      </c>
      <c r="F103">
        <v>136.37075784499899</v>
      </c>
      <c r="G103">
        <v>728</v>
      </c>
      <c r="H103">
        <v>10000</v>
      </c>
      <c r="I103" t="s">
        <v>93</v>
      </c>
    </row>
    <row r="104" spans="1:9" x14ac:dyDescent="0.2">
      <c r="A104" t="s">
        <v>57</v>
      </c>
      <c r="B104">
        <v>48</v>
      </c>
      <c r="C104">
        <v>5</v>
      </c>
      <c r="D104">
        <v>12</v>
      </c>
      <c r="E104">
        <v>2</v>
      </c>
      <c r="F104">
        <v>136.44943782999999</v>
      </c>
      <c r="G104">
        <v>710</v>
      </c>
      <c r="H104">
        <v>10000</v>
      </c>
      <c r="I104" t="s">
        <v>154</v>
      </c>
    </row>
    <row r="105" spans="1:9" x14ac:dyDescent="0.2">
      <c r="A105" t="s">
        <v>57</v>
      </c>
      <c r="B105">
        <v>48</v>
      </c>
      <c r="C105">
        <v>5</v>
      </c>
      <c r="D105">
        <v>12</v>
      </c>
      <c r="E105">
        <v>2</v>
      </c>
      <c r="F105">
        <v>136.29860755299799</v>
      </c>
      <c r="G105">
        <v>736</v>
      </c>
      <c r="H105">
        <v>10000</v>
      </c>
      <c r="I105" t="s">
        <v>136</v>
      </c>
    </row>
    <row r="106" spans="1:9" x14ac:dyDescent="0.2">
      <c r="A106" t="s">
        <v>57</v>
      </c>
      <c r="B106">
        <v>48</v>
      </c>
      <c r="C106">
        <v>5</v>
      </c>
      <c r="D106">
        <v>12</v>
      </c>
      <c r="E106">
        <v>2</v>
      </c>
      <c r="F106">
        <v>136.15786220499999</v>
      </c>
      <c r="G106">
        <v>754</v>
      </c>
      <c r="H106">
        <v>10000</v>
      </c>
      <c r="I106" t="s">
        <v>155</v>
      </c>
    </row>
    <row r="107" spans="1:9" x14ac:dyDescent="0.2">
      <c r="A107" t="s">
        <v>57</v>
      </c>
      <c r="B107">
        <v>48</v>
      </c>
      <c r="C107">
        <v>5</v>
      </c>
      <c r="D107">
        <v>12</v>
      </c>
      <c r="E107">
        <v>2</v>
      </c>
      <c r="F107">
        <v>135.57365484100001</v>
      </c>
      <c r="G107">
        <v>735</v>
      </c>
      <c r="H107">
        <v>10000</v>
      </c>
      <c r="I107" t="s">
        <v>156</v>
      </c>
    </row>
    <row r="108" spans="1:9" x14ac:dyDescent="0.2">
      <c r="A108" t="s">
        <v>57</v>
      </c>
      <c r="B108">
        <v>48</v>
      </c>
      <c r="C108">
        <v>5</v>
      </c>
      <c r="D108">
        <v>12</v>
      </c>
      <c r="E108">
        <v>2</v>
      </c>
      <c r="F108">
        <v>135.593653587999</v>
      </c>
      <c r="G108">
        <v>740</v>
      </c>
      <c r="H108">
        <v>10000</v>
      </c>
      <c r="I108" t="s">
        <v>157</v>
      </c>
    </row>
    <row r="109" spans="1:9" x14ac:dyDescent="0.2">
      <c r="A109" t="s">
        <v>57</v>
      </c>
      <c r="B109">
        <v>48</v>
      </c>
      <c r="C109">
        <v>5</v>
      </c>
      <c r="D109">
        <v>12</v>
      </c>
      <c r="E109">
        <v>2</v>
      </c>
      <c r="F109">
        <v>135.99732695</v>
      </c>
      <c r="G109">
        <v>750</v>
      </c>
      <c r="H109">
        <v>10000</v>
      </c>
      <c r="I109" t="s">
        <v>158</v>
      </c>
    </row>
    <row r="110" spans="1:9" x14ac:dyDescent="0.2">
      <c r="A110" t="s">
        <v>57</v>
      </c>
      <c r="B110">
        <v>48</v>
      </c>
      <c r="C110">
        <v>5</v>
      </c>
      <c r="D110">
        <v>12</v>
      </c>
      <c r="E110">
        <v>2</v>
      </c>
      <c r="F110">
        <v>135.58775953400001</v>
      </c>
      <c r="G110">
        <v>766</v>
      </c>
      <c r="H110">
        <v>10000</v>
      </c>
      <c r="I110" t="s">
        <v>159</v>
      </c>
    </row>
    <row r="111" spans="1:9" x14ac:dyDescent="0.2">
      <c r="A111" t="s">
        <v>57</v>
      </c>
      <c r="B111">
        <v>48</v>
      </c>
      <c r="C111">
        <v>5</v>
      </c>
      <c r="D111">
        <v>12</v>
      </c>
      <c r="E111">
        <v>2</v>
      </c>
      <c r="F111">
        <v>136.09998452899799</v>
      </c>
      <c r="G111">
        <v>777</v>
      </c>
      <c r="H111">
        <v>10000</v>
      </c>
      <c r="I111" t="s">
        <v>160</v>
      </c>
    </row>
    <row r="112" spans="1:9" x14ac:dyDescent="0.2">
      <c r="A112" t="s">
        <v>57</v>
      </c>
      <c r="B112">
        <v>48</v>
      </c>
      <c r="C112">
        <v>5</v>
      </c>
      <c r="D112">
        <v>12</v>
      </c>
      <c r="E112">
        <v>2</v>
      </c>
      <c r="F112">
        <v>153.916623103999</v>
      </c>
      <c r="G112">
        <v>714</v>
      </c>
      <c r="H112">
        <v>10000</v>
      </c>
      <c r="I112" t="s">
        <v>77</v>
      </c>
    </row>
    <row r="113" spans="1:9" x14ac:dyDescent="0.2">
      <c r="A113" t="s">
        <v>57</v>
      </c>
      <c r="B113">
        <v>48</v>
      </c>
      <c r="C113">
        <v>5</v>
      </c>
      <c r="D113">
        <v>12</v>
      </c>
      <c r="E113">
        <v>2</v>
      </c>
      <c r="F113">
        <v>134.47798749499901</v>
      </c>
      <c r="G113">
        <v>714</v>
      </c>
      <c r="H113">
        <v>10000</v>
      </c>
      <c r="I113" t="s">
        <v>81</v>
      </c>
    </row>
    <row r="114" spans="1:9" x14ac:dyDescent="0.2">
      <c r="A114" t="s">
        <v>57</v>
      </c>
      <c r="B114">
        <v>48</v>
      </c>
      <c r="C114">
        <v>5</v>
      </c>
      <c r="D114">
        <v>12</v>
      </c>
      <c r="E114">
        <v>2</v>
      </c>
      <c r="F114">
        <v>134.224226907001</v>
      </c>
      <c r="G114">
        <v>714</v>
      </c>
      <c r="H114">
        <v>10000</v>
      </c>
      <c r="I114" t="s">
        <v>161</v>
      </c>
    </row>
    <row r="115" spans="1:9" x14ac:dyDescent="0.2">
      <c r="A115" t="s">
        <v>57</v>
      </c>
      <c r="B115">
        <v>48</v>
      </c>
      <c r="C115">
        <v>5</v>
      </c>
      <c r="D115">
        <v>12</v>
      </c>
      <c r="E115">
        <v>2</v>
      </c>
      <c r="F115">
        <v>134.16922833599801</v>
      </c>
      <c r="G115">
        <v>721</v>
      </c>
      <c r="H115">
        <v>10000</v>
      </c>
      <c r="I115" t="s">
        <v>98</v>
      </c>
    </row>
    <row r="116" spans="1:9" x14ac:dyDescent="0.2">
      <c r="A116" t="s">
        <v>57</v>
      </c>
      <c r="B116">
        <v>48</v>
      </c>
      <c r="C116">
        <v>5</v>
      </c>
      <c r="D116">
        <v>12</v>
      </c>
      <c r="E116">
        <v>2</v>
      </c>
      <c r="F116">
        <v>134.08464079500101</v>
      </c>
      <c r="G116">
        <v>731</v>
      </c>
      <c r="H116">
        <v>10000</v>
      </c>
      <c r="I116" t="s">
        <v>79</v>
      </c>
    </row>
    <row r="117" spans="1:9" x14ac:dyDescent="0.2">
      <c r="A117" t="s">
        <v>57</v>
      </c>
      <c r="B117">
        <v>48</v>
      </c>
      <c r="C117">
        <v>5</v>
      </c>
      <c r="D117">
        <v>12</v>
      </c>
      <c r="E117">
        <v>2</v>
      </c>
      <c r="F117">
        <v>134.09637549899799</v>
      </c>
      <c r="G117">
        <v>789</v>
      </c>
      <c r="H117">
        <v>10000</v>
      </c>
      <c r="I117" t="s">
        <v>117</v>
      </c>
    </row>
    <row r="118" spans="1:9" x14ac:dyDescent="0.2">
      <c r="A118" t="s">
        <v>57</v>
      </c>
      <c r="B118">
        <v>48</v>
      </c>
      <c r="C118">
        <v>5</v>
      </c>
      <c r="D118">
        <v>12</v>
      </c>
      <c r="E118">
        <v>2</v>
      </c>
      <c r="F118">
        <v>139.27614551299999</v>
      </c>
      <c r="G118">
        <v>719</v>
      </c>
      <c r="H118">
        <v>10000</v>
      </c>
      <c r="I118" t="s">
        <v>101</v>
      </c>
    </row>
    <row r="119" spans="1:9" x14ac:dyDescent="0.2">
      <c r="A119" t="s">
        <v>57</v>
      </c>
      <c r="B119">
        <v>48</v>
      </c>
      <c r="C119">
        <v>5</v>
      </c>
      <c r="D119">
        <v>12</v>
      </c>
      <c r="E119">
        <v>2</v>
      </c>
      <c r="F119">
        <v>134.386462394999</v>
      </c>
      <c r="G119">
        <v>737</v>
      </c>
      <c r="H119">
        <v>10000</v>
      </c>
      <c r="I119" t="s">
        <v>162</v>
      </c>
    </row>
    <row r="120" spans="1:9" x14ac:dyDescent="0.2">
      <c r="A120" t="s">
        <v>57</v>
      </c>
      <c r="B120">
        <v>48</v>
      </c>
      <c r="C120">
        <v>5</v>
      </c>
      <c r="D120">
        <v>12</v>
      </c>
      <c r="E120">
        <v>2</v>
      </c>
      <c r="F120">
        <v>134.16426411900099</v>
      </c>
      <c r="G120">
        <v>730</v>
      </c>
      <c r="H120">
        <v>10000</v>
      </c>
      <c r="I120" t="s">
        <v>163</v>
      </c>
    </row>
    <row r="121" spans="1:9" x14ac:dyDescent="0.2">
      <c r="A121" t="s">
        <v>57</v>
      </c>
      <c r="B121">
        <v>48</v>
      </c>
      <c r="C121">
        <v>5</v>
      </c>
      <c r="D121">
        <v>12</v>
      </c>
      <c r="E121">
        <v>2</v>
      </c>
      <c r="F121">
        <v>134.12555547100001</v>
      </c>
      <c r="G121">
        <v>745</v>
      </c>
      <c r="H121">
        <v>10000</v>
      </c>
      <c r="I121" t="s">
        <v>164</v>
      </c>
    </row>
    <row r="122" spans="1:9" x14ac:dyDescent="0.2">
      <c r="A122" t="s">
        <v>57</v>
      </c>
      <c r="B122">
        <v>48</v>
      </c>
      <c r="C122">
        <v>5</v>
      </c>
      <c r="D122">
        <v>12</v>
      </c>
      <c r="E122">
        <v>2</v>
      </c>
      <c r="F122">
        <v>134.185931275998</v>
      </c>
      <c r="G122">
        <v>684</v>
      </c>
      <c r="H122">
        <v>10000</v>
      </c>
      <c r="I122" t="s">
        <v>165</v>
      </c>
    </row>
    <row r="123" spans="1:9" x14ac:dyDescent="0.2">
      <c r="A123" t="s">
        <v>57</v>
      </c>
      <c r="B123">
        <v>48</v>
      </c>
      <c r="C123">
        <v>5</v>
      </c>
      <c r="D123">
        <v>12</v>
      </c>
      <c r="E123">
        <v>2</v>
      </c>
      <c r="F123">
        <v>134.220739645001</v>
      </c>
      <c r="G123">
        <v>766</v>
      </c>
      <c r="H123">
        <v>10000</v>
      </c>
      <c r="I123" t="s">
        <v>166</v>
      </c>
    </row>
    <row r="124" spans="1:9" x14ac:dyDescent="0.2">
      <c r="A124" t="s">
        <v>57</v>
      </c>
      <c r="B124">
        <v>48</v>
      </c>
      <c r="C124">
        <v>5</v>
      </c>
      <c r="D124">
        <v>12</v>
      </c>
      <c r="E124">
        <v>2</v>
      </c>
      <c r="F124">
        <v>134.30310204499901</v>
      </c>
      <c r="G124">
        <v>711</v>
      </c>
      <c r="H124">
        <v>10000</v>
      </c>
      <c r="I124" t="s">
        <v>167</v>
      </c>
    </row>
    <row r="125" spans="1:9" x14ac:dyDescent="0.2">
      <c r="A125" t="s">
        <v>57</v>
      </c>
      <c r="B125">
        <v>48</v>
      </c>
      <c r="C125">
        <v>5</v>
      </c>
      <c r="D125">
        <v>12</v>
      </c>
      <c r="E125">
        <v>2</v>
      </c>
      <c r="F125">
        <v>134.18341647099899</v>
      </c>
      <c r="G125">
        <v>770</v>
      </c>
      <c r="H125">
        <v>10000</v>
      </c>
      <c r="I125" t="s">
        <v>94</v>
      </c>
    </row>
    <row r="126" spans="1:9" x14ac:dyDescent="0.2">
      <c r="A126" t="s">
        <v>57</v>
      </c>
      <c r="B126">
        <v>48</v>
      </c>
      <c r="C126">
        <v>5</v>
      </c>
      <c r="D126">
        <v>12</v>
      </c>
      <c r="E126">
        <v>2</v>
      </c>
      <c r="F126">
        <v>134.61695839799901</v>
      </c>
      <c r="G126">
        <v>740</v>
      </c>
      <c r="H126">
        <v>10000</v>
      </c>
      <c r="I126" t="s">
        <v>168</v>
      </c>
    </row>
    <row r="127" spans="1:9" x14ac:dyDescent="0.2">
      <c r="A127" t="s">
        <v>57</v>
      </c>
      <c r="B127">
        <v>48</v>
      </c>
      <c r="C127">
        <v>5</v>
      </c>
      <c r="D127">
        <v>12</v>
      </c>
      <c r="E127">
        <v>2</v>
      </c>
      <c r="F127">
        <v>135.07240181199899</v>
      </c>
      <c r="G127">
        <v>744</v>
      </c>
      <c r="H127">
        <v>10000</v>
      </c>
      <c r="I127" t="s">
        <v>169</v>
      </c>
    </row>
    <row r="128" spans="1:9" x14ac:dyDescent="0.2">
      <c r="A128" t="s">
        <v>57</v>
      </c>
      <c r="B128">
        <v>48</v>
      </c>
      <c r="C128">
        <v>5</v>
      </c>
      <c r="D128">
        <v>12</v>
      </c>
      <c r="E128">
        <v>2</v>
      </c>
      <c r="F128">
        <v>134.84210492299999</v>
      </c>
      <c r="G128">
        <v>716</v>
      </c>
      <c r="H128">
        <v>10000</v>
      </c>
      <c r="I128" t="s">
        <v>170</v>
      </c>
    </row>
    <row r="129" spans="1:9" x14ac:dyDescent="0.2">
      <c r="A129" t="s">
        <v>57</v>
      </c>
      <c r="B129">
        <v>48</v>
      </c>
      <c r="C129">
        <v>5</v>
      </c>
      <c r="D129">
        <v>12</v>
      </c>
      <c r="E129">
        <v>2</v>
      </c>
      <c r="F129">
        <v>134.892033833</v>
      </c>
      <c r="G129">
        <v>724</v>
      </c>
      <c r="H129">
        <v>10000</v>
      </c>
      <c r="I129" t="s">
        <v>171</v>
      </c>
    </row>
    <row r="130" spans="1:9" x14ac:dyDescent="0.2">
      <c r="A130" t="s">
        <v>57</v>
      </c>
      <c r="B130">
        <v>48</v>
      </c>
      <c r="C130">
        <v>5</v>
      </c>
      <c r="D130">
        <v>12</v>
      </c>
      <c r="E130">
        <v>2</v>
      </c>
      <c r="F130">
        <v>134.67371182900001</v>
      </c>
      <c r="G130">
        <v>738</v>
      </c>
      <c r="H130">
        <v>10000</v>
      </c>
      <c r="I130" t="s">
        <v>172</v>
      </c>
    </row>
    <row r="131" spans="1:9" x14ac:dyDescent="0.2">
      <c r="A131" t="s">
        <v>57</v>
      </c>
      <c r="B131">
        <v>48</v>
      </c>
      <c r="C131">
        <v>5</v>
      </c>
      <c r="D131">
        <v>12</v>
      </c>
      <c r="E131">
        <v>2</v>
      </c>
      <c r="F131">
        <v>134.75799207499901</v>
      </c>
      <c r="G131">
        <v>710</v>
      </c>
      <c r="H131">
        <v>10000</v>
      </c>
      <c r="I131" t="s">
        <v>173</v>
      </c>
    </row>
    <row r="132" spans="1:9" x14ac:dyDescent="0.2">
      <c r="A132" t="s">
        <v>57</v>
      </c>
      <c r="B132">
        <v>48</v>
      </c>
      <c r="C132">
        <v>5</v>
      </c>
      <c r="D132">
        <v>12</v>
      </c>
      <c r="E132">
        <v>2</v>
      </c>
      <c r="F132">
        <v>134.884131873999</v>
      </c>
      <c r="G132">
        <v>782</v>
      </c>
      <c r="H132">
        <v>10000</v>
      </c>
      <c r="I132" t="s">
        <v>164</v>
      </c>
    </row>
    <row r="133" spans="1:9" x14ac:dyDescent="0.2">
      <c r="A133" t="s">
        <v>57</v>
      </c>
      <c r="B133">
        <v>48</v>
      </c>
      <c r="C133">
        <v>5</v>
      </c>
      <c r="D133">
        <v>12</v>
      </c>
      <c r="E133">
        <v>2</v>
      </c>
      <c r="F133">
        <v>134.85572519799999</v>
      </c>
      <c r="G133">
        <v>732</v>
      </c>
      <c r="H133">
        <v>10000</v>
      </c>
      <c r="I133" t="s">
        <v>91</v>
      </c>
    </row>
    <row r="134" spans="1:9" x14ac:dyDescent="0.2">
      <c r="A134" t="s">
        <v>57</v>
      </c>
      <c r="B134">
        <v>48</v>
      </c>
      <c r="C134">
        <v>5</v>
      </c>
      <c r="D134">
        <v>12</v>
      </c>
      <c r="E134">
        <v>2</v>
      </c>
      <c r="F134">
        <v>134.83990267799999</v>
      </c>
      <c r="G134">
        <v>753</v>
      </c>
      <c r="H134">
        <v>10000</v>
      </c>
      <c r="I134" t="s">
        <v>139</v>
      </c>
    </row>
    <row r="135" spans="1:9" x14ac:dyDescent="0.2">
      <c r="A135" t="s">
        <v>57</v>
      </c>
      <c r="B135">
        <v>48</v>
      </c>
      <c r="C135">
        <v>5</v>
      </c>
      <c r="D135">
        <v>12</v>
      </c>
      <c r="E135">
        <v>2</v>
      </c>
      <c r="F135">
        <v>134.91711297199899</v>
      </c>
      <c r="G135">
        <v>722</v>
      </c>
      <c r="H135">
        <v>10000</v>
      </c>
      <c r="I135" t="s">
        <v>81</v>
      </c>
    </row>
    <row r="136" spans="1:9" x14ac:dyDescent="0.2">
      <c r="A136" t="s">
        <v>57</v>
      </c>
      <c r="B136">
        <v>48</v>
      </c>
      <c r="C136">
        <v>5</v>
      </c>
      <c r="D136">
        <v>12</v>
      </c>
      <c r="E136">
        <v>2</v>
      </c>
      <c r="F136">
        <v>134.902905349999</v>
      </c>
      <c r="G136">
        <v>772</v>
      </c>
      <c r="H136">
        <v>10000</v>
      </c>
      <c r="I136" t="s">
        <v>174</v>
      </c>
    </row>
    <row r="137" spans="1:9" x14ac:dyDescent="0.2">
      <c r="A137" t="s">
        <v>57</v>
      </c>
      <c r="B137">
        <v>48</v>
      </c>
      <c r="C137">
        <v>5</v>
      </c>
      <c r="D137">
        <v>12</v>
      </c>
      <c r="E137">
        <v>2</v>
      </c>
      <c r="F137">
        <v>134.97950684699899</v>
      </c>
      <c r="G137">
        <v>712</v>
      </c>
      <c r="H137">
        <v>10000</v>
      </c>
      <c r="I137" t="s">
        <v>175</v>
      </c>
    </row>
    <row r="138" spans="1:9" x14ac:dyDescent="0.2">
      <c r="A138" t="s">
        <v>57</v>
      </c>
      <c r="B138">
        <v>48</v>
      </c>
      <c r="C138">
        <v>5</v>
      </c>
      <c r="D138">
        <v>12</v>
      </c>
      <c r="E138">
        <v>2</v>
      </c>
      <c r="F138">
        <v>134.902661029</v>
      </c>
      <c r="G138">
        <v>691</v>
      </c>
      <c r="H138">
        <v>10000</v>
      </c>
      <c r="I138" t="s">
        <v>176</v>
      </c>
    </row>
    <row r="139" spans="1:9" x14ac:dyDescent="0.2">
      <c r="A139" t="s">
        <v>57</v>
      </c>
      <c r="B139">
        <v>48</v>
      </c>
      <c r="C139">
        <v>5</v>
      </c>
      <c r="D139">
        <v>12</v>
      </c>
      <c r="E139">
        <v>2</v>
      </c>
      <c r="F139">
        <v>134.89168326900099</v>
      </c>
      <c r="G139">
        <v>716</v>
      </c>
      <c r="H139">
        <v>10000</v>
      </c>
      <c r="I139" t="s">
        <v>177</v>
      </c>
    </row>
    <row r="140" spans="1:9" x14ac:dyDescent="0.2">
      <c r="A140" t="s">
        <v>57</v>
      </c>
      <c r="B140">
        <v>48</v>
      </c>
      <c r="C140">
        <v>5</v>
      </c>
      <c r="D140">
        <v>12</v>
      </c>
      <c r="E140">
        <v>2</v>
      </c>
      <c r="F140">
        <v>138.82490803208199</v>
      </c>
      <c r="G140">
        <v>748</v>
      </c>
      <c r="H140">
        <v>10000</v>
      </c>
      <c r="I140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C9CC-B096-9042-B832-9EB03AD723C0}">
  <dimension ref="A1:I140"/>
  <sheetViews>
    <sheetView workbookViewId="0">
      <selection sqref="A1:I14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46</v>
      </c>
    </row>
    <row r="4" spans="1:1" x14ac:dyDescent="0.2">
      <c r="A4" t="s">
        <v>39</v>
      </c>
    </row>
    <row r="5" spans="1:1" x14ac:dyDescent="0.2">
      <c r="A5" t="s">
        <v>40</v>
      </c>
    </row>
    <row r="6" spans="1:1" x14ac:dyDescent="0.2">
      <c r="A6" t="s">
        <v>41</v>
      </c>
    </row>
    <row r="7" spans="1:1" x14ac:dyDescent="0.2">
      <c r="A7" t="s">
        <v>47</v>
      </c>
    </row>
    <row r="8" spans="1:1" x14ac:dyDescent="0.2">
      <c r="A8" t="s">
        <v>2</v>
      </c>
    </row>
    <row r="9" spans="1:1" x14ac:dyDescent="0.2">
      <c r="A9" t="s">
        <v>3</v>
      </c>
    </row>
    <row r="10" spans="1:1" x14ac:dyDescent="0.2">
      <c r="A10" t="s">
        <v>48</v>
      </c>
    </row>
    <row r="11" spans="1:1" x14ac:dyDescent="0.2">
      <c r="A11" t="s">
        <v>49</v>
      </c>
    </row>
    <row r="12" spans="1:1" x14ac:dyDescent="0.2">
      <c r="A12" t="s">
        <v>4</v>
      </c>
    </row>
    <row r="13" spans="1:1" x14ac:dyDescent="0.2">
      <c r="A13" t="s">
        <v>5</v>
      </c>
    </row>
    <row r="14" spans="1:1" x14ac:dyDescent="0.2">
      <c r="A14" t="s">
        <v>6</v>
      </c>
    </row>
    <row r="15" spans="1:1" x14ac:dyDescent="0.2">
      <c r="A15" t="s">
        <v>7</v>
      </c>
    </row>
    <row r="16" spans="1:1" x14ac:dyDescent="0.2">
      <c r="A16" t="s">
        <v>8</v>
      </c>
    </row>
    <row r="17" spans="1:1" x14ac:dyDescent="0.2">
      <c r="A17" t="s">
        <v>34</v>
      </c>
    </row>
    <row r="18" spans="1:1" x14ac:dyDescent="0.2">
      <c r="A18" t="s">
        <v>9</v>
      </c>
    </row>
    <row r="19" spans="1:1" x14ac:dyDescent="0.2">
      <c r="A19" t="s">
        <v>10</v>
      </c>
    </row>
    <row r="20" spans="1:1" x14ac:dyDescent="0.2">
      <c r="A20" t="s">
        <v>11</v>
      </c>
    </row>
    <row r="21" spans="1:1" x14ac:dyDescent="0.2">
      <c r="A21" t="s">
        <v>26</v>
      </c>
    </row>
    <row r="22" spans="1:1" x14ac:dyDescent="0.2">
      <c r="A22" t="s">
        <v>12</v>
      </c>
    </row>
    <row r="23" spans="1:1" x14ac:dyDescent="0.2">
      <c r="A23" t="s">
        <v>13</v>
      </c>
    </row>
    <row r="24" spans="1:1" x14ac:dyDescent="0.2">
      <c r="A24" t="s">
        <v>35</v>
      </c>
    </row>
    <row r="25" spans="1:1" x14ac:dyDescent="0.2">
      <c r="A25" t="s">
        <v>36</v>
      </c>
    </row>
    <row r="26" spans="1:1" x14ac:dyDescent="0.2">
      <c r="A26" t="s">
        <v>27</v>
      </c>
    </row>
    <row r="27" spans="1:1" x14ac:dyDescent="0.2">
      <c r="A27" t="s">
        <v>37</v>
      </c>
    </row>
    <row r="28" spans="1:1" x14ac:dyDescent="0.2">
      <c r="A28" t="s">
        <v>42</v>
      </c>
    </row>
    <row r="29" spans="1:1" x14ac:dyDescent="0.2">
      <c r="A29" t="s">
        <v>14</v>
      </c>
    </row>
    <row r="30" spans="1:1" x14ac:dyDescent="0.2">
      <c r="A30" t="s">
        <v>50</v>
      </c>
    </row>
    <row r="31" spans="1:1" x14ac:dyDescent="0.2">
      <c r="A31" t="s">
        <v>15</v>
      </c>
    </row>
    <row r="32" spans="1:1" x14ac:dyDescent="0.2">
      <c r="A32" t="s">
        <v>45</v>
      </c>
    </row>
    <row r="33" spans="1:9" x14ac:dyDescent="0.2">
      <c r="A33" t="s">
        <v>52</v>
      </c>
    </row>
    <row r="34" spans="1:9" x14ac:dyDescent="0.2">
      <c r="A34" t="s">
        <v>53</v>
      </c>
    </row>
    <row r="35" spans="1:9" x14ac:dyDescent="0.2">
      <c r="A35" t="s">
        <v>54</v>
      </c>
    </row>
    <row r="36" spans="1:9" x14ac:dyDescent="0.2">
      <c r="A36" t="s">
        <v>55</v>
      </c>
    </row>
    <row r="37" spans="1:9" x14ac:dyDescent="0.2">
      <c r="A37" t="s">
        <v>56</v>
      </c>
    </row>
    <row r="38" spans="1:9" x14ac:dyDescent="0.2">
      <c r="A38" t="s">
        <v>178</v>
      </c>
    </row>
    <row r="39" spans="1:9" x14ac:dyDescent="0.2">
      <c r="A39" t="s">
        <v>16</v>
      </c>
    </row>
    <row r="40" spans="1:9" x14ac:dyDescent="0.2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</row>
    <row r="41" spans="1:9" x14ac:dyDescent="0.2">
      <c r="A41" t="s">
        <v>57</v>
      </c>
      <c r="B41">
        <v>48</v>
      </c>
      <c r="C41">
        <v>5</v>
      </c>
      <c r="D41">
        <v>12</v>
      </c>
      <c r="E41">
        <v>2</v>
      </c>
      <c r="F41">
        <v>161.953273206999</v>
      </c>
      <c r="G41">
        <v>512</v>
      </c>
      <c r="H41">
        <v>10000</v>
      </c>
      <c r="I41" t="s">
        <v>179</v>
      </c>
    </row>
    <row r="42" spans="1:9" x14ac:dyDescent="0.2">
      <c r="A42" t="s">
        <v>57</v>
      </c>
      <c r="B42">
        <v>48</v>
      </c>
      <c r="C42">
        <v>5</v>
      </c>
      <c r="D42">
        <v>12</v>
      </c>
      <c r="E42">
        <v>2</v>
      </c>
      <c r="F42">
        <v>161.968525234</v>
      </c>
      <c r="G42">
        <v>542</v>
      </c>
      <c r="H42">
        <v>10000</v>
      </c>
      <c r="I42" t="s">
        <v>180</v>
      </c>
    </row>
    <row r="43" spans="1:9" x14ac:dyDescent="0.2">
      <c r="A43" t="s">
        <v>57</v>
      </c>
      <c r="B43">
        <v>48</v>
      </c>
      <c r="C43">
        <v>5</v>
      </c>
      <c r="D43">
        <v>12</v>
      </c>
      <c r="E43">
        <v>2</v>
      </c>
      <c r="F43">
        <v>161.52103237399899</v>
      </c>
      <c r="G43">
        <v>527</v>
      </c>
      <c r="H43">
        <v>10000</v>
      </c>
      <c r="I43" t="s">
        <v>181</v>
      </c>
    </row>
    <row r="44" spans="1:9" x14ac:dyDescent="0.2">
      <c r="A44" t="s">
        <v>57</v>
      </c>
      <c r="B44">
        <v>48</v>
      </c>
      <c r="C44">
        <v>5</v>
      </c>
      <c r="D44">
        <v>12</v>
      </c>
      <c r="E44">
        <v>2</v>
      </c>
      <c r="F44">
        <v>164.17814846499999</v>
      </c>
      <c r="G44">
        <v>554</v>
      </c>
      <c r="H44">
        <v>10000</v>
      </c>
      <c r="I44" t="s">
        <v>182</v>
      </c>
    </row>
    <row r="45" spans="1:9" x14ac:dyDescent="0.2">
      <c r="A45" t="s">
        <v>57</v>
      </c>
      <c r="B45">
        <v>48</v>
      </c>
      <c r="C45">
        <v>5</v>
      </c>
      <c r="D45">
        <v>12</v>
      </c>
      <c r="E45">
        <v>2</v>
      </c>
      <c r="F45">
        <v>165.46412649599901</v>
      </c>
      <c r="G45">
        <v>599</v>
      </c>
      <c r="H45">
        <v>10000</v>
      </c>
      <c r="I45" t="s">
        <v>183</v>
      </c>
    </row>
    <row r="46" spans="1:9" x14ac:dyDescent="0.2">
      <c r="A46" t="s">
        <v>57</v>
      </c>
      <c r="B46">
        <v>48</v>
      </c>
      <c r="C46">
        <v>5</v>
      </c>
      <c r="D46">
        <v>12</v>
      </c>
      <c r="E46">
        <v>2</v>
      </c>
      <c r="F46">
        <v>173.09190669899999</v>
      </c>
      <c r="G46">
        <v>558</v>
      </c>
      <c r="H46">
        <v>10000</v>
      </c>
      <c r="I46" t="s">
        <v>184</v>
      </c>
    </row>
    <row r="47" spans="1:9" x14ac:dyDescent="0.2">
      <c r="A47" t="s">
        <v>57</v>
      </c>
      <c r="B47">
        <v>48</v>
      </c>
      <c r="C47">
        <v>5</v>
      </c>
      <c r="D47">
        <v>12</v>
      </c>
      <c r="E47">
        <v>2</v>
      </c>
      <c r="F47">
        <v>173.559932572999</v>
      </c>
      <c r="G47">
        <v>544</v>
      </c>
      <c r="H47">
        <v>10000</v>
      </c>
      <c r="I47" t="s">
        <v>185</v>
      </c>
    </row>
    <row r="48" spans="1:9" x14ac:dyDescent="0.2">
      <c r="A48" t="s">
        <v>57</v>
      </c>
      <c r="B48">
        <v>48</v>
      </c>
      <c r="C48">
        <v>5</v>
      </c>
      <c r="D48">
        <v>12</v>
      </c>
      <c r="E48">
        <v>2</v>
      </c>
      <c r="F48">
        <v>174.46635391799899</v>
      </c>
      <c r="G48">
        <v>512</v>
      </c>
      <c r="H48">
        <v>10000</v>
      </c>
      <c r="I48" t="s">
        <v>186</v>
      </c>
    </row>
    <row r="49" spans="1:9" x14ac:dyDescent="0.2">
      <c r="A49" t="s">
        <v>57</v>
      </c>
      <c r="B49">
        <v>48</v>
      </c>
      <c r="C49">
        <v>5</v>
      </c>
      <c r="D49">
        <v>12</v>
      </c>
      <c r="E49">
        <v>2</v>
      </c>
      <c r="F49">
        <v>166.23672960100001</v>
      </c>
      <c r="G49">
        <v>570</v>
      </c>
      <c r="H49">
        <v>10000</v>
      </c>
      <c r="I49" t="s">
        <v>187</v>
      </c>
    </row>
    <row r="50" spans="1:9" x14ac:dyDescent="0.2">
      <c r="A50" t="s">
        <v>57</v>
      </c>
      <c r="B50">
        <v>48</v>
      </c>
      <c r="C50">
        <v>5</v>
      </c>
      <c r="D50">
        <v>12</v>
      </c>
      <c r="E50">
        <v>2</v>
      </c>
      <c r="F50">
        <v>167.321008212999</v>
      </c>
      <c r="G50">
        <v>549</v>
      </c>
      <c r="H50">
        <v>10000</v>
      </c>
      <c r="I50" t="s">
        <v>188</v>
      </c>
    </row>
    <row r="51" spans="1:9" x14ac:dyDescent="0.2">
      <c r="A51" t="s">
        <v>57</v>
      </c>
      <c r="B51">
        <v>48</v>
      </c>
      <c r="C51">
        <v>5</v>
      </c>
      <c r="D51">
        <v>12</v>
      </c>
      <c r="E51">
        <v>2</v>
      </c>
      <c r="F51">
        <v>161.851178933</v>
      </c>
      <c r="G51">
        <v>490</v>
      </c>
      <c r="H51">
        <v>10000</v>
      </c>
      <c r="I51" t="s">
        <v>189</v>
      </c>
    </row>
    <row r="52" spans="1:9" x14ac:dyDescent="0.2">
      <c r="A52" t="s">
        <v>57</v>
      </c>
      <c r="B52">
        <v>48</v>
      </c>
      <c r="C52">
        <v>5</v>
      </c>
      <c r="D52">
        <v>12</v>
      </c>
      <c r="E52">
        <v>2</v>
      </c>
      <c r="F52">
        <v>161.58536210999901</v>
      </c>
      <c r="G52">
        <v>542</v>
      </c>
      <c r="H52">
        <v>10000</v>
      </c>
      <c r="I52" t="s">
        <v>190</v>
      </c>
    </row>
    <row r="53" spans="1:9" x14ac:dyDescent="0.2">
      <c r="A53" t="s">
        <v>57</v>
      </c>
      <c r="B53">
        <v>48</v>
      </c>
      <c r="C53">
        <v>5</v>
      </c>
      <c r="D53">
        <v>12</v>
      </c>
      <c r="E53">
        <v>2</v>
      </c>
      <c r="F53">
        <v>161.64007860300001</v>
      </c>
      <c r="G53">
        <v>617</v>
      </c>
      <c r="H53">
        <v>10000</v>
      </c>
      <c r="I53" t="s">
        <v>191</v>
      </c>
    </row>
    <row r="54" spans="1:9" x14ac:dyDescent="0.2">
      <c r="A54" t="s">
        <v>57</v>
      </c>
      <c r="B54">
        <v>48</v>
      </c>
      <c r="C54">
        <v>5</v>
      </c>
      <c r="D54">
        <v>12</v>
      </c>
      <c r="E54">
        <v>2</v>
      </c>
      <c r="F54">
        <v>161.937844506999</v>
      </c>
      <c r="G54">
        <v>544</v>
      </c>
      <c r="H54">
        <v>10000</v>
      </c>
      <c r="I54" t="s">
        <v>192</v>
      </c>
    </row>
    <row r="55" spans="1:9" x14ac:dyDescent="0.2">
      <c r="A55" t="s">
        <v>57</v>
      </c>
      <c r="B55">
        <v>48</v>
      </c>
      <c r="C55">
        <v>5</v>
      </c>
      <c r="D55">
        <v>12</v>
      </c>
      <c r="E55">
        <v>2</v>
      </c>
      <c r="F55">
        <v>162.61282495200001</v>
      </c>
      <c r="G55">
        <v>574</v>
      </c>
      <c r="H55">
        <v>10000</v>
      </c>
      <c r="I55" t="s">
        <v>193</v>
      </c>
    </row>
    <row r="56" spans="1:9" x14ac:dyDescent="0.2">
      <c r="A56" t="s">
        <v>57</v>
      </c>
      <c r="B56">
        <v>48</v>
      </c>
      <c r="C56">
        <v>5</v>
      </c>
      <c r="D56">
        <v>12</v>
      </c>
      <c r="E56">
        <v>2</v>
      </c>
      <c r="F56">
        <v>162.26424853499901</v>
      </c>
      <c r="G56">
        <v>552</v>
      </c>
      <c r="H56">
        <v>10000</v>
      </c>
      <c r="I56" t="s">
        <v>194</v>
      </c>
    </row>
    <row r="57" spans="1:9" x14ac:dyDescent="0.2">
      <c r="A57" t="s">
        <v>57</v>
      </c>
      <c r="B57">
        <v>48</v>
      </c>
      <c r="C57">
        <v>5</v>
      </c>
      <c r="D57">
        <v>12</v>
      </c>
      <c r="E57">
        <v>2</v>
      </c>
      <c r="F57">
        <v>162.38829932299899</v>
      </c>
      <c r="G57">
        <v>582</v>
      </c>
      <c r="H57">
        <v>10000</v>
      </c>
      <c r="I57" t="s">
        <v>195</v>
      </c>
    </row>
    <row r="58" spans="1:9" x14ac:dyDescent="0.2">
      <c r="A58" t="s">
        <v>57</v>
      </c>
      <c r="B58">
        <v>48</v>
      </c>
      <c r="C58">
        <v>5</v>
      </c>
      <c r="D58">
        <v>12</v>
      </c>
      <c r="E58">
        <v>2</v>
      </c>
      <c r="F58">
        <v>161.972947984</v>
      </c>
      <c r="G58">
        <v>527</v>
      </c>
      <c r="H58">
        <v>10000</v>
      </c>
      <c r="I58" t="s">
        <v>196</v>
      </c>
    </row>
    <row r="59" spans="1:9" x14ac:dyDescent="0.2">
      <c r="A59" t="s">
        <v>57</v>
      </c>
      <c r="B59">
        <v>48</v>
      </c>
      <c r="C59">
        <v>5</v>
      </c>
      <c r="D59">
        <v>12</v>
      </c>
      <c r="E59">
        <v>2</v>
      </c>
      <c r="F59">
        <v>161.942610526999</v>
      </c>
      <c r="G59">
        <v>523</v>
      </c>
      <c r="H59">
        <v>10000</v>
      </c>
      <c r="I59" t="s">
        <v>197</v>
      </c>
    </row>
    <row r="60" spans="1:9" x14ac:dyDescent="0.2">
      <c r="A60" t="s">
        <v>57</v>
      </c>
      <c r="B60">
        <v>48</v>
      </c>
      <c r="C60">
        <v>5</v>
      </c>
      <c r="D60">
        <v>12</v>
      </c>
      <c r="E60">
        <v>2</v>
      </c>
      <c r="F60">
        <v>162.470226457</v>
      </c>
      <c r="G60">
        <v>510</v>
      </c>
      <c r="H60">
        <v>10000</v>
      </c>
      <c r="I60" t="s">
        <v>198</v>
      </c>
    </row>
    <row r="61" spans="1:9" x14ac:dyDescent="0.2">
      <c r="A61" t="s">
        <v>57</v>
      </c>
      <c r="B61">
        <v>48</v>
      </c>
      <c r="C61">
        <v>5</v>
      </c>
      <c r="D61">
        <v>12</v>
      </c>
      <c r="E61">
        <v>2</v>
      </c>
      <c r="F61">
        <v>162.18453498899899</v>
      </c>
      <c r="G61">
        <v>543</v>
      </c>
      <c r="H61">
        <v>10000</v>
      </c>
      <c r="I61" t="s">
        <v>199</v>
      </c>
    </row>
    <row r="62" spans="1:9" x14ac:dyDescent="0.2">
      <c r="A62" t="s">
        <v>57</v>
      </c>
      <c r="B62">
        <v>48</v>
      </c>
      <c r="C62">
        <v>5</v>
      </c>
      <c r="D62">
        <v>12</v>
      </c>
      <c r="E62">
        <v>2</v>
      </c>
      <c r="F62">
        <v>162.07267144399901</v>
      </c>
      <c r="G62">
        <v>546</v>
      </c>
      <c r="H62">
        <v>10000</v>
      </c>
      <c r="I62" t="s">
        <v>200</v>
      </c>
    </row>
    <row r="63" spans="1:9" x14ac:dyDescent="0.2">
      <c r="A63" t="s">
        <v>57</v>
      </c>
      <c r="B63">
        <v>48</v>
      </c>
      <c r="C63">
        <v>5</v>
      </c>
      <c r="D63">
        <v>12</v>
      </c>
      <c r="E63">
        <v>2</v>
      </c>
      <c r="F63">
        <v>162.43127855899999</v>
      </c>
      <c r="G63">
        <v>572</v>
      </c>
      <c r="H63">
        <v>10000</v>
      </c>
      <c r="I63" t="s">
        <v>201</v>
      </c>
    </row>
    <row r="64" spans="1:9" x14ac:dyDescent="0.2">
      <c r="A64" t="s">
        <v>57</v>
      </c>
      <c r="B64">
        <v>48</v>
      </c>
      <c r="C64">
        <v>5</v>
      </c>
      <c r="D64">
        <v>12</v>
      </c>
      <c r="E64">
        <v>2</v>
      </c>
      <c r="F64">
        <v>162.37611045099999</v>
      </c>
      <c r="G64">
        <v>532</v>
      </c>
      <c r="H64">
        <v>10000</v>
      </c>
      <c r="I64" t="s">
        <v>202</v>
      </c>
    </row>
    <row r="65" spans="1:9" x14ac:dyDescent="0.2">
      <c r="A65" t="s">
        <v>57</v>
      </c>
      <c r="B65">
        <v>48</v>
      </c>
      <c r="C65">
        <v>5</v>
      </c>
      <c r="D65">
        <v>12</v>
      </c>
      <c r="E65">
        <v>2</v>
      </c>
      <c r="F65">
        <v>161.623515972999</v>
      </c>
      <c r="G65">
        <v>570</v>
      </c>
      <c r="H65">
        <v>10000</v>
      </c>
      <c r="I65" t="s">
        <v>203</v>
      </c>
    </row>
    <row r="66" spans="1:9" x14ac:dyDescent="0.2">
      <c r="A66" t="s">
        <v>57</v>
      </c>
      <c r="B66">
        <v>48</v>
      </c>
      <c r="C66">
        <v>5</v>
      </c>
      <c r="D66">
        <v>12</v>
      </c>
      <c r="E66">
        <v>2</v>
      </c>
      <c r="F66">
        <v>161.94327375500001</v>
      </c>
      <c r="G66">
        <v>529</v>
      </c>
      <c r="H66">
        <v>10000</v>
      </c>
      <c r="I66" t="s">
        <v>204</v>
      </c>
    </row>
    <row r="67" spans="1:9" x14ac:dyDescent="0.2">
      <c r="A67" t="s">
        <v>57</v>
      </c>
      <c r="B67">
        <v>48</v>
      </c>
      <c r="C67">
        <v>5</v>
      </c>
      <c r="D67">
        <v>12</v>
      </c>
      <c r="E67">
        <v>2</v>
      </c>
      <c r="F67">
        <v>162.72741079899899</v>
      </c>
      <c r="G67">
        <v>563</v>
      </c>
      <c r="H67">
        <v>10000</v>
      </c>
      <c r="I67" t="s">
        <v>205</v>
      </c>
    </row>
    <row r="68" spans="1:9" x14ac:dyDescent="0.2">
      <c r="A68" t="s">
        <v>57</v>
      </c>
      <c r="B68">
        <v>48</v>
      </c>
      <c r="C68">
        <v>5</v>
      </c>
      <c r="D68">
        <v>12</v>
      </c>
      <c r="E68">
        <v>2</v>
      </c>
      <c r="F68">
        <v>162.843380279</v>
      </c>
      <c r="G68">
        <v>538</v>
      </c>
      <c r="H68">
        <v>10000</v>
      </c>
      <c r="I68" t="s">
        <v>206</v>
      </c>
    </row>
    <row r="69" spans="1:9" x14ac:dyDescent="0.2">
      <c r="A69" t="s">
        <v>57</v>
      </c>
      <c r="B69">
        <v>48</v>
      </c>
      <c r="C69">
        <v>5</v>
      </c>
      <c r="D69">
        <v>12</v>
      </c>
      <c r="E69">
        <v>2</v>
      </c>
      <c r="F69">
        <v>162.814024184999</v>
      </c>
      <c r="G69">
        <v>554</v>
      </c>
      <c r="H69">
        <v>10000</v>
      </c>
      <c r="I69" t="s">
        <v>207</v>
      </c>
    </row>
    <row r="70" spans="1:9" x14ac:dyDescent="0.2">
      <c r="A70" t="s">
        <v>57</v>
      </c>
      <c r="B70">
        <v>48</v>
      </c>
      <c r="C70">
        <v>5</v>
      </c>
      <c r="D70">
        <v>12</v>
      </c>
      <c r="E70">
        <v>2</v>
      </c>
      <c r="F70">
        <v>162.94406194899901</v>
      </c>
      <c r="G70">
        <v>534</v>
      </c>
      <c r="H70">
        <v>10000</v>
      </c>
      <c r="I70" t="s">
        <v>208</v>
      </c>
    </row>
    <row r="71" spans="1:9" x14ac:dyDescent="0.2">
      <c r="A71" t="s">
        <v>57</v>
      </c>
      <c r="B71">
        <v>48</v>
      </c>
      <c r="C71">
        <v>5</v>
      </c>
      <c r="D71">
        <v>12</v>
      </c>
      <c r="E71">
        <v>2</v>
      </c>
      <c r="F71">
        <v>162.85852908800001</v>
      </c>
      <c r="G71">
        <v>560</v>
      </c>
      <c r="H71">
        <v>10000</v>
      </c>
      <c r="I71" t="s">
        <v>209</v>
      </c>
    </row>
    <row r="72" spans="1:9" x14ac:dyDescent="0.2">
      <c r="A72" t="s">
        <v>57</v>
      </c>
      <c r="B72">
        <v>48</v>
      </c>
      <c r="C72">
        <v>5</v>
      </c>
      <c r="D72">
        <v>12</v>
      </c>
      <c r="E72">
        <v>2</v>
      </c>
      <c r="F72">
        <v>162.96324390800001</v>
      </c>
      <c r="G72">
        <v>536</v>
      </c>
      <c r="H72">
        <v>10000</v>
      </c>
      <c r="I72" t="s">
        <v>210</v>
      </c>
    </row>
    <row r="73" spans="1:9" x14ac:dyDescent="0.2">
      <c r="A73" t="s">
        <v>57</v>
      </c>
      <c r="B73">
        <v>48</v>
      </c>
      <c r="C73">
        <v>5</v>
      </c>
      <c r="D73">
        <v>12</v>
      </c>
      <c r="E73">
        <v>2</v>
      </c>
      <c r="F73">
        <v>162.730609444999</v>
      </c>
      <c r="G73">
        <v>503</v>
      </c>
      <c r="H73">
        <v>10000</v>
      </c>
      <c r="I73" t="s">
        <v>211</v>
      </c>
    </row>
    <row r="74" spans="1:9" x14ac:dyDescent="0.2">
      <c r="A74" t="s">
        <v>57</v>
      </c>
      <c r="B74">
        <v>48</v>
      </c>
      <c r="C74">
        <v>5</v>
      </c>
      <c r="D74">
        <v>12</v>
      </c>
      <c r="E74">
        <v>2</v>
      </c>
      <c r="F74">
        <v>162.51948972399899</v>
      </c>
      <c r="G74">
        <v>560</v>
      </c>
      <c r="H74">
        <v>10000</v>
      </c>
      <c r="I74" t="s">
        <v>212</v>
      </c>
    </row>
    <row r="75" spans="1:9" x14ac:dyDescent="0.2">
      <c r="A75" t="s">
        <v>57</v>
      </c>
      <c r="B75">
        <v>48</v>
      </c>
      <c r="C75">
        <v>5</v>
      </c>
      <c r="D75">
        <v>12</v>
      </c>
      <c r="E75">
        <v>2</v>
      </c>
      <c r="F75">
        <v>163.38628024499999</v>
      </c>
      <c r="G75">
        <v>510</v>
      </c>
      <c r="H75">
        <v>10000</v>
      </c>
      <c r="I75" t="s">
        <v>213</v>
      </c>
    </row>
    <row r="76" spans="1:9" x14ac:dyDescent="0.2">
      <c r="A76" t="s">
        <v>57</v>
      </c>
      <c r="B76">
        <v>48</v>
      </c>
      <c r="C76">
        <v>5</v>
      </c>
      <c r="D76">
        <v>12</v>
      </c>
      <c r="E76">
        <v>2</v>
      </c>
      <c r="F76">
        <v>163.40187808100001</v>
      </c>
      <c r="G76">
        <v>539</v>
      </c>
      <c r="H76">
        <v>10000</v>
      </c>
      <c r="I76" t="s">
        <v>214</v>
      </c>
    </row>
    <row r="77" spans="1:9" x14ac:dyDescent="0.2">
      <c r="A77" t="s">
        <v>57</v>
      </c>
      <c r="B77">
        <v>48</v>
      </c>
      <c r="C77">
        <v>5</v>
      </c>
      <c r="D77">
        <v>12</v>
      </c>
      <c r="E77">
        <v>2</v>
      </c>
      <c r="F77">
        <v>163.329332467999</v>
      </c>
      <c r="G77">
        <v>546</v>
      </c>
      <c r="H77">
        <v>10000</v>
      </c>
      <c r="I77" t="s">
        <v>215</v>
      </c>
    </row>
    <row r="78" spans="1:9" x14ac:dyDescent="0.2">
      <c r="A78" t="s">
        <v>57</v>
      </c>
      <c r="B78">
        <v>48</v>
      </c>
      <c r="C78">
        <v>5</v>
      </c>
      <c r="D78">
        <v>12</v>
      </c>
      <c r="E78">
        <v>2</v>
      </c>
      <c r="F78">
        <v>164.09379032899901</v>
      </c>
      <c r="G78">
        <v>558</v>
      </c>
      <c r="H78">
        <v>10000</v>
      </c>
      <c r="I78" t="s">
        <v>216</v>
      </c>
    </row>
    <row r="79" spans="1:9" x14ac:dyDescent="0.2">
      <c r="A79" t="s">
        <v>57</v>
      </c>
      <c r="B79">
        <v>48</v>
      </c>
      <c r="C79">
        <v>5</v>
      </c>
      <c r="D79">
        <v>12</v>
      </c>
      <c r="E79">
        <v>2</v>
      </c>
      <c r="F79">
        <v>163.85678962399999</v>
      </c>
      <c r="G79">
        <v>538</v>
      </c>
      <c r="H79">
        <v>10000</v>
      </c>
      <c r="I79" t="s">
        <v>217</v>
      </c>
    </row>
    <row r="80" spans="1:9" x14ac:dyDescent="0.2">
      <c r="A80" t="s">
        <v>57</v>
      </c>
      <c r="B80">
        <v>48</v>
      </c>
      <c r="C80">
        <v>5</v>
      </c>
      <c r="D80">
        <v>12</v>
      </c>
      <c r="E80">
        <v>2</v>
      </c>
      <c r="F80">
        <v>163.613281148</v>
      </c>
      <c r="G80">
        <v>526</v>
      </c>
      <c r="H80">
        <v>10000</v>
      </c>
      <c r="I80" t="s">
        <v>218</v>
      </c>
    </row>
    <row r="81" spans="1:9" x14ac:dyDescent="0.2">
      <c r="A81" t="s">
        <v>57</v>
      </c>
      <c r="B81">
        <v>48</v>
      </c>
      <c r="C81">
        <v>5</v>
      </c>
      <c r="D81">
        <v>12</v>
      </c>
      <c r="E81">
        <v>2</v>
      </c>
      <c r="F81">
        <v>164.19932952299999</v>
      </c>
      <c r="G81">
        <v>537</v>
      </c>
      <c r="H81">
        <v>10000</v>
      </c>
      <c r="I81" t="s">
        <v>219</v>
      </c>
    </row>
    <row r="82" spans="1:9" x14ac:dyDescent="0.2">
      <c r="A82" t="s">
        <v>57</v>
      </c>
      <c r="B82">
        <v>48</v>
      </c>
      <c r="C82">
        <v>5</v>
      </c>
      <c r="D82">
        <v>12</v>
      </c>
      <c r="E82">
        <v>2</v>
      </c>
      <c r="F82">
        <v>164.13008362699901</v>
      </c>
      <c r="G82">
        <v>588</v>
      </c>
      <c r="H82">
        <v>10000</v>
      </c>
      <c r="I82" t="s">
        <v>220</v>
      </c>
    </row>
    <row r="83" spans="1:9" x14ac:dyDescent="0.2">
      <c r="A83" t="s">
        <v>57</v>
      </c>
      <c r="B83">
        <v>48</v>
      </c>
      <c r="C83">
        <v>5</v>
      </c>
      <c r="D83">
        <v>12</v>
      </c>
      <c r="E83">
        <v>2</v>
      </c>
      <c r="F83">
        <v>163.623563203</v>
      </c>
      <c r="G83">
        <v>539</v>
      </c>
      <c r="H83">
        <v>10000</v>
      </c>
      <c r="I83" t="s">
        <v>221</v>
      </c>
    </row>
    <row r="84" spans="1:9" x14ac:dyDescent="0.2">
      <c r="A84" t="s">
        <v>57</v>
      </c>
      <c r="B84">
        <v>48</v>
      </c>
      <c r="C84">
        <v>5</v>
      </c>
      <c r="D84">
        <v>12</v>
      </c>
      <c r="E84">
        <v>2</v>
      </c>
      <c r="F84">
        <v>163.286289831</v>
      </c>
      <c r="G84">
        <v>551</v>
      </c>
      <c r="H84">
        <v>10000</v>
      </c>
      <c r="I84" t="s">
        <v>222</v>
      </c>
    </row>
    <row r="85" spans="1:9" x14ac:dyDescent="0.2">
      <c r="A85" t="s">
        <v>57</v>
      </c>
      <c r="B85">
        <v>48</v>
      </c>
      <c r="C85">
        <v>5</v>
      </c>
      <c r="D85">
        <v>12</v>
      </c>
      <c r="E85">
        <v>2</v>
      </c>
      <c r="F85">
        <v>163.805395365999</v>
      </c>
      <c r="G85">
        <v>538</v>
      </c>
      <c r="H85">
        <v>10000</v>
      </c>
      <c r="I85" t="s">
        <v>223</v>
      </c>
    </row>
    <row r="86" spans="1:9" x14ac:dyDescent="0.2">
      <c r="A86" t="s">
        <v>57</v>
      </c>
      <c r="B86">
        <v>48</v>
      </c>
      <c r="C86">
        <v>5</v>
      </c>
      <c r="D86">
        <v>12</v>
      </c>
      <c r="E86">
        <v>2</v>
      </c>
      <c r="F86">
        <v>164.60088269299999</v>
      </c>
      <c r="G86">
        <v>549</v>
      </c>
      <c r="H86">
        <v>10000</v>
      </c>
      <c r="I86" t="s">
        <v>224</v>
      </c>
    </row>
    <row r="87" spans="1:9" x14ac:dyDescent="0.2">
      <c r="A87" t="s">
        <v>57</v>
      </c>
      <c r="B87">
        <v>48</v>
      </c>
      <c r="C87">
        <v>5</v>
      </c>
      <c r="D87">
        <v>12</v>
      </c>
      <c r="E87">
        <v>2</v>
      </c>
      <c r="F87">
        <v>164.692726475</v>
      </c>
      <c r="G87">
        <v>562</v>
      </c>
      <c r="H87">
        <v>10000</v>
      </c>
      <c r="I87" t="s">
        <v>225</v>
      </c>
    </row>
    <row r="88" spans="1:9" x14ac:dyDescent="0.2">
      <c r="A88" t="s">
        <v>57</v>
      </c>
      <c r="B88">
        <v>48</v>
      </c>
      <c r="C88">
        <v>5</v>
      </c>
      <c r="D88">
        <v>12</v>
      </c>
      <c r="E88">
        <v>2</v>
      </c>
      <c r="F88">
        <v>165.50678489799901</v>
      </c>
      <c r="G88">
        <v>565</v>
      </c>
      <c r="H88">
        <v>10000</v>
      </c>
      <c r="I88" t="s">
        <v>226</v>
      </c>
    </row>
    <row r="89" spans="1:9" x14ac:dyDescent="0.2">
      <c r="A89" t="s">
        <v>57</v>
      </c>
      <c r="B89">
        <v>48</v>
      </c>
      <c r="C89">
        <v>5</v>
      </c>
      <c r="D89">
        <v>12</v>
      </c>
      <c r="E89">
        <v>2</v>
      </c>
      <c r="F89">
        <v>165.367876099</v>
      </c>
      <c r="G89">
        <v>565</v>
      </c>
      <c r="H89">
        <v>10000</v>
      </c>
      <c r="I89" t="s">
        <v>227</v>
      </c>
    </row>
    <row r="90" spans="1:9" x14ac:dyDescent="0.2">
      <c r="A90" t="s">
        <v>57</v>
      </c>
      <c r="B90">
        <v>48</v>
      </c>
      <c r="C90">
        <v>5</v>
      </c>
      <c r="D90">
        <v>12</v>
      </c>
      <c r="E90">
        <v>2</v>
      </c>
      <c r="F90">
        <v>165.10178264800001</v>
      </c>
      <c r="G90">
        <v>549</v>
      </c>
      <c r="H90">
        <v>10000</v>
      </c>
      <c r="I90" t="s">
        <v>228</v>
      </c>
    </row>
    <row r="91" spans="1:9" x14ac:dyDescent="0.2">
      <c r="A91" t="s">
        <v>57</v>
      </c>
      <c r="B91">
        <v>48</v>
      </c>
      <c r="C91">
        <v>5</v>
      </c>
      <c r="D91">
        <v>12</v>
      </c>
      <c r="E91">
        <v>2</v>
      </c>
      <c r="F91">
        <v>165.745791015999</v>
      </c>
      <c r="G91">
        <v>548</v>
      </c>
      <c r="H91">
        <v>10000</v>
      </c>
      <c r="I91" t="s">
        <v>229</v>
      </c>
    </row>
    <row r="92" spans="1:9" x14ac:dyDescent="0.2">
      <c r="A92" t="s">
        <v>57</v>
      </c>
      <c r="B92">
        <v>48</v>
      </c>
      <c r="C92">
        <v>5</v>
      </c>
      <c r="D92">
        <v>12</v>
      </c>
      <c r="E92">
        <v>2</v>
      </c>
      <c r="F92">
        <v>166.21636573199899</v>
      </c>
      <c r="G92">
        <v>550</v>
      </c>
      <c r="H92">
        <v>10000</v>
      </c>
      <c r="I92" t="s">
        <v>230</v>
      </c>
    </row>
    <row r="93" spans="1:9" x14ac:dyDescent="0.2">
      <c r="A93" t="s">
        <v>57</v>
      </c>
      <c r="B93">
        <v>48</v>
      </c>
      <c r="C93">
        <v>5</v>
      </c>
      <c r="D93">
        <v>12</v>
      </c>
      <c r="E93">
        <v>2</v>
      </c>
      <c r="F93">
        <v>165.97091378600001</v>
      </c>
      <c r="G93">
        <v>593</v>
      </c>
      <c r="H93">
        <v>10000</v>
      </c>
      <c r="I93" t="s">
        <v>231</v>
      </c>
    </row>
    <row r="94" spans="1:9" x14ac:dyDescent="0.2">
      <c r="A94" t="s">
        <v>57</v>
      </c>
      <c r="B94">
        <v>48</v>
      </c>
      <c r="C94">
        <v>5</v>
      </c>
      <c r="D94">
        <v>12</v>
      </c>
      <c r="E94">
        <v>2</v>
      </c>
      <c r="F94">
        <v>165.87430269699999</v>
      </c>
      <c r="G94">
        <v>555</v>
      </c>
      <c r="H94">
        <v>10000</v>
      </c>
      <c r="I94" t="s">
        <v>232</v>
      </c>
    </row>
    <row r="95" spans="1:9" x14ac:dyDescent="0.2">
      <c r="A95" t="s">
        <v>57</v>
      </c>
      <c r="B95">
        <v>48</v>
      </c>
      <c r="C95">
        <v>5</v>
      </c>
      <c r="D95">
        <v>12</v>
      </c>
      <c r="E95">
        <v>2</v>
      </c>
      <c r="F95">
        <v>165.12678791100001</v>
      </c>
      <c r="G95">
        <v>534</v>
      </c>
      <c r="H95">
        <v>10000</v>
      </c>
      <c r="I95" t="s">
        <v>233</v>
      </c>
    </row>
    <row r="96" spans="1:9" x14ac:dyDescent="0.2">
      <c r="A96" t="s">
        <v>57</v>
      </c>
      <c r="B96">
        <v>48</v>
      </c>
      <c r="C96">
        <v>5</v>
      </c>
      <c r="D96">
        <v>12</v>
      </c>
      <c r="E96">
        <v>2</v>
      </c>
      <c r="F96">
        <v>165.05387037099899</v>
      </c>
      <c r="G96">
        <v>560</v>
      </c>
      <c r="H96">
        <v>10000</v>
      </c>
      <c r="I96" t="s">
        <v>234</v>
      </c>
    </row>
    <row r="97" spans="1:9" x14ac:dyDescent="0.2">
      <c r="A97" t="s">
        <v>57</v>
      </c>
      <c r="B97">
        <v>48</v>
      </c>
      <c r="C97">
        <v>5</v>
      </c>
      <c r="D97">
        <v>12</v>
      </c>
      <c r="E97">
        <v>2</v>
      </c>
      <c r="F97">
        <v>165.47376031900001</v>
      </c>
      <c r="G97">
        <v>610</v>
      </c>
      <c r="H97">
        <v>10000</v>
      </c>
      <c r="I97" t="s">
        <v>235</v>
      </c>
    </row>
    <row r="98" spans="1:9" x14ac:dyDescent="0.2">
      <c r="A98" t="s">
        <v>57</v>
      </c>
      <c r="B98">
        <v>48</v>
      </c>
      <c r="C98">
        <v>5</v>
      </c>
      <c r="D98">
        <v>12</v>
      </c>
      <c r="E98">
        <v>2</v>
      </c>
      <c r="F98">
        <v>165.25872398999999</v>
      </c>
      <c r="G98">
        <v>525</v>
      </c>
      <c r="H98">
        <v>10000</v>
      </c>
      <c r="I98" t="s">
        <v>236</v>
      </c>
    </row>
    <row r="99" spans="1:9" x14ac:dyDescent="0.2">
      <c r="A99" t="s">
        <v>57</v>
      </c>
      <c r="B99">
        <v>48</v>
      </c>
      <c r="C99">
        <v>5</v>
      </c>
      <c r="D99">
        <v>12</v>
      </c>
      <c r="E99">
        <v>2</v>
      </c>
      <c r="F99">
        <v>186.18808951699901</v>
      </c>
      <c r="G99">
        <v>558</v>
      </c>
      <c r="H99">
        <v>10000</v>
      </c>
      <c r="I99" t="s">
        <v>237</v>
      </c>
    </row>
    <row r="100" spans="1:9" x14ac:dyDescent="0.2">
      <c r="A100" t="s">
        <v>57</v>
      </c>
      <c r="B100">
        <v>48</v>
      </c>
      <c r="C100">
        <v>5</v>
      </c>
      <c r="D100">
        <v>12</v>
      </c>
      <c r="E100">
        <v>2</v>
      </c>
      <c r="F100">
        <v>162.472460101998</v>
      </c>
      <c r="G100">
        <v>556</v>
      </c>
      <c r="H100">
        <v>10000</v>
      </c>
      <c r="I100" t="s">
        <v>238</v>
      </c>
    </row>
    <row r="101" spans="1:9" x14ac:dyDescent="0.2">
      <c r="A101" t="s">
        <v>57</v>
      </c>
      <c r="B101">
        <v>48</v>
      </c>
      <c r="C101">
        <v>5</v>
      </c>
      <c r="D101">
        <v>12</v>
      </c>
      <c r="E101">
        <v>2</v>
      </c>
      <c r="F101">
        <v>161.83606821100099</v>
      </c>
      <c r="G101">
        <v>553</v>
      </c>
      <c r="H101">
        <v>10000</v>
      </c>
      <c r="I101" t="s">
        <v>239</v>
      </c>
    </row>
    <row r="102" spans="1:9" x14ac:dyDescent="0.2">
      <c r="A102" t="s">
        <v>57</v>
      </c>
      <c r="B102">
        <v>48</v>
      </c>
      <c r="C102">
        <v>5</v>
      </c>
      <c r="D102">
        <v>12</v>
      </c>
      <c r="E102">
        <v>2</v>
      </c>
      <c r="F102">
        <v>161.74898278499799</v>
      </c>
      <c r="G102">
        <v>552</v>
      </c>
      <c r="H102">
        <v>10000</v>
      </c>
      <c r="I102" t="s">
        <v>240</v>
      </c>
    </row>
    <row r="103" spans="1:9" x14ac:dyDescent="0.2">
      <c r="A103" t="s">
        <v>57</v>
      </c>
      <c r="B103">
        <v>48</v>
      </c>
      <c r="C103">
        <v>5</v>
      </c>
      <c r="D103">
        <v>12</v>
      </c>
      <c r="E103">
        <v>2</v>
      </c>
      <c r="F103">
        <v>161.807872245</v>
      </c>
      <c r="G103">
        <v>529</v>
      </c>
      <c r="H103">
        <v>10000</v>
      </c>
      <c r="I103" t="s">
        <v>241</v>
      </c>
    </row>
    <row r="104" spans="1:9" x14ac:dyDescent="0.2">
      <c r="A104" t="s">
        <v>57</v>
      </c>
      <c r="B104">
        <v>48</v>
      </c>
      <c r="C104">
        <v>5</v>
      </c>
      <c r="D104">
        <v>12</v>
      </c>
      <c r="E104">
        <v>2</v>
      </c>
      <c r="F104">
        <v>161.85173436199801</v>
      </c>
      <c r="G104">
        <v>546</v>
      </c>
      <c r="H104">
        <v>10000</v>
      </c>
      <c r="I104" t="s">
        <v>242</v>
      </c>
    </row>
    <row r="105" spans="1:9" x14ac:dyDescent="0.2">
      <c r="A105" t="s">
        <v>57</v>
      </c>
      <c r="B105">
        <v>48</v>
      </c>
      <c r="C105">
        <v>5</v>
      </c>
      <c r="D105">
        <v>12</v>
      </c>
      <c r="E105">
        <v>2</v>
      </c>
      <c r="F105">
        <v>162.11311186</v>
      </c>
      <c r="G105">
        <v>549</v>
      </c>
      <c r="H105">
        <v>10000</v>
      </c>
      <c r="I105" t="s">
        <v>243</v>
      </c>
    </row>
    <row r="106" spans="1:9" x14ac:dyDescent="0.2">
      <c r="A106" t="s">
        <v>57</v>
      </c>
      <c r="B106">
        <v>48</v>
      </c>
      <c r="C106">
        <v>5</v>
      </c>
      <c r="D106">
        <v>12</v>
      </c>
      <c r="E106">
        <v>2</v>
      </c>
      <c r="F106">
        <v>161.80337499699999</v>
      </c>
      <c r="G106">
        <v>492</v>
      </c>
      <c r="H106">
        <v>10000</v>
      </c>
      <c r="I106" t="s">
        <v>244</v>
      </c>
    </row>
    <row r="107" spans="1:9" x14ac:dyDescent="0.2">
      <c r="A107" t="s">
        <v>57</v>
      </c>
      <c r="B107">
        <v>48</v>
      </c>
      <c r="C107">
        <v>5</v>
      </c>
      <c r="D107">
        <v>12</v>
      </c>
      <c r="E107">
        <v>2</v>
      </c>
      <c r="F107">
        <v>161.792159091</v>
      </c>
      <c r="G107">
        <v>527</v>
      </c>
      <c r="H107">
        <v>10000</v>
      </c>
      <c r="I107" t="s">
        <v>245</v>
      </c>
    </row>
    <row r="108" spans="1:9" x14ac:dyDescent="0.2">
      <c r="A108" t="s">
        <v>57</v>
      </c>
      <c r="B108">
        <v>48</v>
      </c>
      <c r="C108">
        <v>5</v>
      </c>
      <c r="D108">
        <v>12</v>
      </c>
      <c r="E108">
        <v>2</v>
      </c>
      <c r="F108">
        <v>161.965831460998</v>
      </c>
      <c r="G108">
        <v>526</v>
      </c>
      <c r="H108">
        <v>10000</v>
      </c>
      <c r="I108" t="s">
        <v>246</v>
      </c>
    </row>
    <row r="109" spans="1:9" x14ac:dyDescent="0.2">
      <c r="A109" t="s">
        <v>57</v>
      </c>
      <c r="B109">
        <v>48</v>
      </c>
      <c r="C109">
        <v>5</v>
      </c>
      <c r="D109">
        <v>12</v>
      </c>
      <c r="E109">
        <v>2</v>
      </c>
      <c r="F109">
        <v>162.03158154299999</v>
      </c>
      <c r="G109">
        <v>531</v>
      </c>
      <c r="H109">
        <v>10000</v>
      </c>
      <c r="I109" t="s">
        <v>247</v>
      </c>
    </row>
    <row r="110" spans="1:9" x14ac:dyDescent="0.2">
      <c r="A110" t="s">
        <v>57</v>
      </c>
      <c r="B110">
        <v>48</v>
      </c>
      <c r="C110">
        <v>5</v>
      </c>
      <c r="D110">
        <v>12</v>
      </c>
      <c r="E110">
        <v>2</v>
      </c>
      <c r="F110">
        <v>162.02982567900099</v>
      </c>
      <c r="G110">
        <v>557</v>
      </c>
      <c r="H110">
        <v>10000</v>
      </c>
      <c r="I110" t="s">
        <v>248</v>
      </c>
    </row>
    <row r="111" spans="1:9" x14ac:dyDescent="0.2">
      <c r="A111" t="s">
        <v>57</v>
      </c>
      <c r="B111">
        <v>48</v>
      </c>
      <c r="C111">
        <v>5</v>
      </c>
      <c r="D111">
        <v>12</v>
      </c>
      <c r="E111">
        <v>2</v>
      </c>
      <c r="F111">
        <v>162.77439602399801</v>
      </c>
      <c r="G111">
        <v>504</v>
      </c>
      <c r="H111">
        <v>10000</v>
      </c>
      <c r="I111" t="s">
        <v>249</v>
      </c>
    </row>
    <row r="112" spans="1:9" x14ac:dyDescent="0.2">
      <c r="A112" t="s">
        <v>57</v>
      </c>
      <c r="B112">
        <v>48</v>
      </c>
      <c r="C112">
        <v>5</v>
      </c>
      <c r="D112">
        <v>12</v>
      </c>
      <c r="E112">
        <v>2</v>
      </c>
      <c r="F112">
        <v>162.64063303099999</v>
      </c>
      <c r="G112">
        <v>529</v>
      </c>
      <c r="H112">
        <v>10000</v>
      </c>
      <c r="I112" t="s">
        <v>250</v>
      </c>
    </row>
    <row r="113" spans="1:9" x14ac:dyDescent="0.2">
      <c r="A113" t="s">
        <v>57</v>
      </c>
      <c r="B113">
        <v>48</v>
      </c>
      <c r="C113">
        <v>5</v>
      </c>
      <c r="D113">
        <v>12</v>
      </c>
      <c r="E113">
        <v>2</v>
      </c>
      <c r="F113">
        <v>162.86539654399999</v>
      </c>
      <c r="G113">
        <v>552</v>
      </c>
      <c r="H113">
        <v>10000</v>
      </c>
      <c r="I113" t="s">
        <v>251</v>
      </c>
    </row>
    <row r="114" spans="1:9" x14ac:dyDescent="0.2">
      <c r="A114" t="s">
        <v>57</v>
      </c>
      <c r="B114">
        <v>48</v>
      </c>
      <c r="C114">
        <v>5</v>
      </c>
      <c r="D114">
        <v>12</v>
      </c>
      <c r="E114">
        <v>2</v>
      </c>
      <c r="F114">
        <v>162.65446996199799</v>
      </c>
      <c r="G114">
        <v>556</v>
      </c>
      <c r="H114">
        <v>10000</v>
      </c>
      <c r="I114" t="s">
        <v>252</v>
      </c>
    </row>
    <row r="115" spans="1:9" x14ac:dyDescent="0.2">
      <c r="A115" t="s">
        <v>57</v>
      </c>
      <c r="B115">
        <v>48</v>
      </c>
      <c r="C115">
        <v>5</v>
      </c>
      <c r="D115">
        <v>12</v>
      </c>
      <c r="E115">
        <v>2</v>
      </c>
      <c r="F115">
        <v>162.763046908999</v>
      </c>
      <c r="G115">
        <v>525</v>
      </c>
      <c r="H115">
        <v>10000</v>
      </c>
      <c r="I115" t="s">
        <v>253</v>
      </c>
    </row>
    <row r="116" spans="1:9" x14ac:dyDescent="0.2">
      <c r="A116" t="s">
        <v>57</v>
      </c>
      <c r="B116">
        <v>48</v>
      </c>
      <c r="C116">
        <v>5</v>
      </c>
      <c r="D116">
        <v>12</v>
      </c>
      <c r="E116">
        <v>2</v>
      </c>
      <c r="F116">
        <v>162.862564566001</v>
      </c>
      <c r="G116">
        <v>540</v>
      </c>
      <c r="H116">
        <v>10000</v>
      </c>
      <c r="I116" t="s">
        <v>254</v>
      </c>
    </row>
    <row r="117" spans="1:9" x14ac:dyDescent="0.2">
      <c r="A117" t="s">
        <v>57</v>
      </c>
      <c r="B117">
        <v>48</v>
      </c>
      <c r="C117">
        <v>5</v>
      </c>
      <c r="D117">
        <v>12</v>
      </c>
      <c r="E117">
        <v>2</v>
      </c>
      <c r="F117">
        <v>162.91053589799901</v>
      </c>
      <c r="G117">
        <v>554</v>
      </c>
      <c r="H117">
        <v>10000</v>
      </c>
      <c r="I117" t="s">
        <v>255</v>
      </c>
    </row>
    <row r="118" spans="1:9" x14ac:dyDescent="0.2">
      <c r="A118" t="s">
        <v>57</v>
      </c>
      <c r="B118">
        <v>48</v>
      </c>
      <c r="C118">
        <v>5</v>
      </c>
      <c r="D118">
        <v>12</v>
      </c>
      <c r="E118">
        <v>2</v>
      </c>
      <c r="F118">
        <v>162.81077387699901</v>
      </c>
      <c r="G118">
        <v>535</v>
      </c>
      <c r="H118">
        <v>10000</v>
      </c>
      <c r="I118" t="s">
        <v>256</v>
      </c>
    </row>
    <row r="119" spans="1:9" x14ac:dyDescent="0.2">
      <c r="A119" t="s">
        <v>57</v>
      </c>
      <c r="B119">
        <v>48</v>
      </c>
      <c r="C119">
        <v>5</v>
      </c>
      <c r="D119">
        <v>12</v>
      </c>
      <c r="E119">
        <v>2</v>
      </c>
      <c r="F119">
        <v>162.86418692500001</v>
      </c>
      <c r="G119">
        <v>520</v>
      </c>
      <c r="H119">
        <v>10000</v>
      </c>
      <c r="I119" t="s">
        <v>257</v>
      </c>
    </row>
    <row r="120" spans="1:9" x14ac:dyDescent="0.2">
      <c r="A120" t="s">
        <v>57</v>
      </c>
      <c r="B120">
        <v>48</v>
      </c>
      <c r="C120">
        <v>5</v>
      </c>
      <c r="D120">
        <v>12</v>
      </c>
      <c r="E120">
        <v>2</v>
      </c>
      <c r="F120">
        <v>163.037262906</v>
      </c>
      <c r="G120">
        <v>526</v>
      </c>
      <c r="H120">
        <v>10000</v>
      </c>
      <c r="I120" t="s">
        <v>258</v>
      </c>
    </row>
    <row r="121" spans="1:9" x14ac:dyDescent="0.2">
      <c r="A121" t="s">
        <v>57</v>
      </c>
      <c r="B121">
        <v>48</v>
      </c>
      <c r="C121">
        <v>5</v>
      </c>
      <c r="D121">
        <v>12</v>
      </c>
      <c r="E121">
        <v>2</v>
      </c>
      <c r="F121">
        <v>162.887737418999</v>
      </c>
      <c r="G121">
        <v>533</v>
      </c>
      <c r="H121">
        <v>10000</v>
      </c>
      <c r="I121" t="s">
        <v>259</v>
      </c>
    </row>
    <row r="122" spans="1:9" x14ac:dyDescent="0.2">
      <c r="A122" t="s">
        <v>57</v>
      </c>
      <c r="B122">
        <v>48</v>
      </c>
      <c r="C122">
        <v>5</v>
      </c>
      <c r="D122">
        <v>12</v>
      </c>
      <c r="E122">
        <v>2</v>
      </c>
      <c r="F122">
        <v>318.43833880300002</v>
      </c>
      <c r="G122">
        <v>490</v>
      </c>
      <c r="H122">
        <v>10000</v>
      </c>
      <c r="I122" t="s">
        <v>260</v>
      </c>
    </row>
    <row r="123" spans="1:9" x14ac:dyDescent="0.2">
      <c r="A123" t="s">
        <v>57</v>
      </c>
      <c r="B123">
        <v>48</v>
      </c>
      <c r="C123">
        <v>5</v>
      </c>
      <c r="D123">
        <v>12</v>
      </c>
      <c r="E123">
        <v>2</v>
      </c>
      <c r="F123">
        <v>163.13248329599901</v>
      </c>
      <c r="G123">
        <v>553</v>
      </c>
      <c r="H123">
        <v>10000</v>
      </c>
      <c r="I123" t="s">
        <v>261</v>
      </c>
    </row>
    <row r="124" spans="1:9" x14ac:dyDescent="0.2">
      <c r="A124" t="s">
        <v>57</v>
      </c>
      <c r="B124">
        <v>48</v>
      </c>
      <c r="C124">
        <v>5</v>
      </c>
      <c r="D124">
        <v>12</v>
      </c>
      <c r="E124">
        <v>2</v>
      </c>
      <c r="F124">
        <v>157.896201270999</v>
      </c>
      <c r="G124">
        <v>551</v>
      </c>
      <c r="H124">
        <v>10000</v>
      </c>
      <c r="I124" t="s">
        <v>262</v>
      </c>
    </row>
    <row r="125" spans="1:9" x14ac:dyDescent="0.2">
      <c r="A125" t="s">
        <v>57</v>
      </c>
      <c r="B125">
        <v>48</v>
      </c>
      <c r="C125">
        <v>5</v>
      </c>
      <c r="D125">
        <v>12</v>
      </c>
      <c r="E125">
        <v>2</v>
      </c>
      <c r="F125">
        <v>157.981445331</v>
      </c>
      <c r="G125">
        <v>536</v>
      </c>
      <c r="H125">
        <v>10000</v>
      </c>
      <c r="I125" t="s">
        <v>263</v>
      </c>
    </row>
    <row r="126" spans="1:9" x14ac:dyDescent="0.2">
      <c r="A126" t="s">
        <v>57</v>
      </c>
      <c r="B126">
        <v>48</v>
      </c>
      <c r="C126">
        <v>5</v>
      </c>
      <c r="D126">
        <v>12</v>
      </c>
      <c r="E126">
        <v>2</v>
      </c>
      <c r="F126">
        <v>157.22326250499799</v>
      </c>
      <c r="G126">
        <v>585</v>
      </c>
      <c r="H126">
        <v>10000</v>
      </c>
      <c r="I126" t="s">
        <v>264</v>
      </c>
    </row>
    <row r="127" spans="1:9" x14ac:dyDescent="0.2">
      <c r="A127" t="s">
        <v>57</v>
      </c>
      <c r="B127">
        <v>48</v>
      </c>
      <c r="C127">
        <v>5</v>
      </c>
      <c r="D127">
        <v>12</v>
      </c>
      <c r="E127">
        <v>2</v>
      </c>
      <c r="F127">
        <v>158.20141357700001</v>
      </c>
      <c r="G127">
        <v>537</v>
      </c>
      <c r="H127">
        <v>10000</v>
      </c>
      <c r="I127" t="s">
        <v>265</v>
      </c>
    </row>
    <row r="128" spans="1:9" x14ac:dyDescent="0.2">
      <c r="A128" t="s">
        <v>57</v>
      </c>
      <c r="B128">
        <v>48</v>
      </c>
      <c r="C128">
        <v>5</v>
      </c>
      <c r="D128">
        <v>12</v>
      </c>
      <c r="E128">
        <v>2</v>
      </c>
      <c r="F128">
        <v>158.12437186599999</v>
      </c>
      <c r="G128">
        <v>532</v>
      </c>
      <c r="H128">
        <v>10000</v>
      </c>
      <c r="I128" t="s">
        <v>266</v>
      </c>
    </row>
    <row r="129" spans="1:9" x14ac:dyDescent="0.2">
      <c r="A129" t="s">
        <v>57</v>
      </c>
      <c r="B129">
        <v>48</v>
      </c>
      <c r="C129">
        <v>5</v>
      </c>
      <c r="D129">
        <v>12</v>
      </c>
      <c r="E129">
        <v>2</v>
      </c>
      <c r="F129">
        <v>157.469122295999</v>
      </c>
      <c r="G129">
        <v>546</v>
      </c>
      <c r="H129">
        <v>10000</v>
      </c>
      <c r="I129" t="s">
        <v>267</v>
      </c>
    </row>
    <row r="130" spans="1:9" x14ac:dyDescent="0.2">
      <c r="A130" t="s">
        <v>57</v>
      </c>
      <c r="B130">
        <v>48</v>
      </c>
      <c r="C130">
        <v>5</v>
      </c>
      <c r="D130">
        <v>12</v>
      </c>
      <c r="E130">
        <v>2</v>
      </c>
      <c r="F130">
        <v>158.01576804000001</v>
      </c>
      <c r="G130">
        <v>543</v>
      </c>
      <c r="H130">
        <v>10000</v>
      </c>
      <c r="I130" t="s">
        <v>268</v>
      </c>
    </row>
    <row r="131" spans="1:9" x14ac:dyDescent="0.2">
      <c r="A131" t="s">
        <v>57</v>
      </c>
      <c r="B131">
        <v>48</v>
      </c>
      <c r="C131">
        <v>5</v>
      </c>
      <c r="D131">
        <v>12</v>
      </c>
      <c r="E131">
        <v>2</v>
      </c>
      <c r="F131">
        <v>158.39775853899999</v>
      </c>
      <c r="G131">
        <v>553</v>
      </c>
      <c r="H131">
        <v>10000</v>
      </c>
      <c r="I131" t="s">
        <v>269</v>
      </c>
    </row>
    <row r="132" spans="1:9" x14ac:dyDescent="0.2">
      <c r="A132" t="s">
        <v>57</v>
      </c>
      <c r="B132">
        <v>48</v>
      </c>
      <c r="C132">
        <v>5</v>
      </c>
      <c r="D132">
        <v>12</v>
      </c>
      <c r="E132">
        <v>2</v>
      </c>
      <c r="F132">
        <v>156.87589043200001</v>
      </c>
      <c r="G132">
        <v>522</v>
      </c>
      <c r="H132">
        <v>10000</v>
      </c>
      <c r="I132" t="s">
        <v>270</v>
      </c>
    </row>
    <row r="133" spans="1:9" x14ac:dyDescent="0.2">
      <c r="A133" t="s">
        <v>57</v>
      </c>
      <c r="B133">
        <v>48</v>
      </c>
      <c r="C133">
        <v>5</v>
      </c>
      <c r="D133">
        <v>12</v>
      </c>
      <c r="E133">
        <v>2</v>
      </c>
      <c r="F133">
        <v>158.14249207200001</v>
      </c>
      <c r="G133">
        <v>542</v>
      </c>
      <c r="H133">
        <v>10000</v>
      </c>
      <c r="I133" t="s">
        <v>271</v>
      </c>
    </row>
    <row r="134" spans="1:9" x14ac:dyDescent="0.2">
      <c r="A134" t="s">
        <v>57</v>
      </c>
      <c r="B134">
        <v>48</v>
      </c>
      <c r="C134">
        <v>5</v>
      </c>
      <c r="D134">
        <v>12</v>
      </c>
      <c r="E134">
        <v>2</v>
      </c>
      <c r="F134">
        <v>157.84321986199899</v>
      </c>
      <c r="G134">
        <v>531</v>
      </c>
      <c r="H134">
        <v>10000</v>
      </c>
      <c r="I134" t="s">
        <v>272</v>
      </c>
    </row>
    <row r="135" spans="1:9" x14ac:dyDescent="0.2">
      <c r="A135" t="s">
        <v>57</v>
      </c>
      <c r="B135">
        <v>48</v>
      </c>
      <c r="C135">
        <v>5</v>
      </c>
      <c r="D135">
        <v>12</v>
      </c>
      <c r="E135">
        <v>2</v>
      </c>
      <c r="F135">
        <v>157.95578422700001</v>
      </c>
      <c r="G135">
        <v>576</v>
      </c>
      <c r="H135">
        <v>10000</v>
      </c>
      <c r="I135" t="s">
        <v>273</v>
      </c>
    </row>
    <row r="136" spans="1:9" x14ac:dyDescent="0.2">
      <c r="A136" t="s">
        <v>57</v>
      </c>
      <c r="B136">
        <v>48</v>
      </c>
      <c r="C136">
        <v>5</v>
      </c>
      <c r="D136">
        <v>12</v>
      </c>
      <c r="E136">
        <v>2</v>
      </c>
      <c r="F136">
        <v>157.943659357999</v>
      </c>
      <c r="G136">
        <v>533</v>
      </c>
      <c r="H136">
        <v>10000</v>
      </c>
      <c r="I136" t="s">
        <v>274</v>
      </c>
    </row>
    <row r="137" spans="1:9" x14ac:dyDescent="0.2">
      <c r="A137" t="s">
        <v>57</v>
      </c>
      <c r="B137">
        <v>48</v>
      </c>
      <c r="C137">
        <v>5</v>
      </c>
      <c r="D137">
        <v>12</v>
      </c>
      <c r="E137">
        <v>2</v>
      </c>
      <c r="F137">
        <v>157.91645996400001</v>
      </c>
      <c r="G137">
        <v>581</v>
      </c>
      <c r="H137">
        <v>10000</v>
      </c>
      <c r="I137" t="s">
        <v>275</v>
      </c>
    </row>
    <row r="138" spans="1:9" x14ac:dyDescent="0.2">
      <c r="A138" t="s">
        <v>57</v>
      </c>
      <c r="B138">
        <v>48</v>
      </c>
      <c r="C138">
        <v>5</v>
      </c>
      <c r="D138">
        <v>12</v>
      </c>
      <c r="E138">
        <v>2</v>
      </c>
      <c r="F138">
        <v>158.35715610399799</v>
      </c>
      <c r="G138">
        <v>572</v>
      </c>
      <c r="H138">
        <v>10000</v>
      </c>
      <c r="I138" t="s">
        <v>276</v>
      </c>
    </row>
    <row r="139" spans="1:9" x14ac:dyDescent="0.2">
      <c r="A139" t="s">
        <v>57</v>
      </c>
      <c r="B139">
        <v>48</v>
      </c>
      <c r="C139">
        <v>5</v>
      </c>
      <c r="D139">
        <v>12</v>
      </c>
      <c r="E139">
        <v>2</v>
      </c>
      <c r="F139">
        <v>157.214498534001</v>
      </c>
      <c r="G139">
        <v>520</v>
      </c>
      <c r="H139">
        <v>10000</v>
      </c>
      <c r="I139" t="s">
        <v>277</v>
      </c>
    </row>
    <row r="140" spans="1:9" x14ac:dyDescent="0.2">
      <c r="A140" t="s">
        <v>57</v>
      </c>
      <c r="B140">
        <v>48</v>
      </c>
      <c r="C140">
        <v>5</v>
      </c>
      <c r="D140">
        <v>12</v>
      </c>
      <c r="E140">
        <v>2</v>
      </c>
      <c r="F140">
        <v>157.86309310999701</v>
      </c>
      <c r="G140">
        <v>578</v>
      </c>
      <c r="H140">
        <v>10000</v>
      </c>
      <c r="I140" t="s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2C52-A392-0B45-BD3B-D835CC02E763}">
  <dimension ref="A1:I140"/>
  <sheetViews>
    <sheetView topLeftCell="A94" workbookViewId="0">
      <selection activeCell="A132" sqref="A132:XFD14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46</v>
      </c>
    </row>
    <row r="4" spans="1:1" x14ac:dyDescent="0.2">
      <c r="A4" t="s">
        <v>39</v>
      </c>
    </row>
    <row r="5" spans="1:1" x14ac:dyDescent="0.2">
      <c r="A5" t="s">
        <v>40</v>
      </c>
    </row>
    <row r="6" spans="1:1" x14ac:dyDescent="0.2">
      <c r="A6" t="s">
        <v>41</v>
      </c>
    </row>
    <row r="7" spans="1:1" x14ac:dyDescent="0.2">
      <c r="A7" t="s">
        <v>47</v>
      </c>
    </row>
    <row r="8" spans="1:1" x14ac:dyDescent="0.2">
      <c r="A8" t="s">
        <v>2</v>
      </c>
    </row>
    <row r="9" spans="1:1" x14ac:dyDescent="0.2">
      <c r="A9" t="s">
        <v>3</v>
      </c>
    </row>
    <row r="10" spans="1:1" x14ac:dyDescent="0.2">
      <c r="A10" t="s">
        <v>48</v>
      </c>
    </row>
    <row r="11" spans="1:1" x14ac:dyDescent="0.2">
      <c r="A11" t="s">
        <v>49</v>
      </c>
    </row>
    <row r="12" spans="1:1" x14ac:dyDescent="0.2">
      <c r="A12" t="s">
        <v>4</v>
      </c>
    </row>
    <row r="13" spans="1:1" x14ac:dyDescent="0.2">
      <c r="A13" t="s">
        <v>5</v>
      </c>
    </row>
    <row r="14" spans="1:1" x14ac:dyDescent="0.2">
      <c r="A14" t="s">
        <v>6</v>
      </c>
    </row>
    <row r="15" spans="1:1" x14ac:dyDescent="0.2">
      <c r="A15" t="s">
        <v>7</v>
      </c>
    </row>
    <row r="16" spans="1:1" x14ac:dyDescent="0.2">
      <c r="A16" t="s">
        <v>8</v>
      </c>
    </row>
    <row r="17" spans="1:1" x14ac:dyDescent="0.2">
      <c r="A17" t="s">
        <v>34</v>
      </c>
    </row>
    <row r="18" spans="1:1" x14ac:dyDescent="0.2">
      <c r="A18" t="s">
        <v>9</v>
      </c>
    </row>
    <row r="19" spans="1:1" x14ac:dyDescent="0.2">
      <c r="A19" t="s">
        <v>10</v>
      </c>
    </row>
    <row r="20" spans="1:1" x14ac:dyDescent="0.2">
      <c r="A20" t="s">
        <v>11</v>
      </c>
    </row>
    <row r="21" spans="1:1" x14ac:dyDescent="0.2">
      <c r="A21" t="s">
        <v>26</v>
      </c>
    </row>
    <row r="22" spans="1:1" x14ac:dyDescent="0.2">
      <c r="A22" t="s">
        <v>12</v>
      </c>
    </row>
    <row r="23" spans="1:1" x14ac:dyDescent="0.2">
      <c r="A23" t="s">
        <v>13</v>
      </c>
    </row>
    <row r="24" spans="1:1" x14ac:dyDescent="0.2">
      <c r="A24" t="s">
        <v>35</v>
      </c>
    </row>
    <row r="25" spans="1:1" x14ac:dyDescent="0.2">
      <c r="A25" t="s">
        <v>36</v>
      </c>
    </row>
    <row r="26" spans="1:1" x14ac:dyDescent="0.2">
      <c r="A26" t="s">
        <v>27</v>
      </c>
    </row>
    <row r="27" spans="1:1" x14ac:dyDescent="0.2">
      <c r="A27" t="s">
        <v>37</v>
      </c>
    </row>
    <row r="28" spans="1:1" x14ac:dyDescent="0.2">
      <c r="A28" t="s">
        <v>42</v>
      </c>
    </row>
    <row r="29" spans="1:1" x14ac:dyDescent="0.2">
      <c r="A29" t="s">
        <v>14</v>
      </c>
    </row>
    <row r="30" spans="1:1" x14ac:dyDescent="0.2">
      <c r="A30" t="s">
        <v>50</v>
      </c>
    </row>
    <row r="31" spans="1:1" x14ac:dyDescent="0.2">
      <c r="A31" t="s">
        <v>51</v>
      </c>
    </row>
    <row r="32" spans="1:1" x14ac:dyDescent="0.2">
      <c r="A32" t="s">
        <v>43</v>
      </c>
    </row>
    <row r="33" spans="1:9" x14ac:dyDescent="0.2">
      <c r="A33" t="s">
        <v>52</v>
      </c>
    </row>
    <row r="34" spans="1:9" x14ac:dyDescent="0.2">
      <c r="A34" t="s">
        <v>53</v>
      </c>
    </row>
    <row r="35" spans="1:9" x14ac:dyDescent="0.2">
      <c r="A35" t="s">
        <v>54</v>
      </c>
    </row>
    <row r="36" spans="1:9" x14ac:dyDescent="0.2">
      <c r="A36" t="s">
        <v>55</v>
      </c>
    </row>
    <row r="37" spans="1:9" x14ac:dyDescent="0.2">
      <c r="A37" t="s">
        <v>56</v>
      </c>
    </row>
    <row r="38" spans="1:9" x14ac:dyDescent="0.2">
      <c r="A38" t="s">
        <v>279</v>
      </c>
    </row>
    <row r="39" spans="1:9" x14ac:dyDescent="0.2">
      <c r="A39" t="s">
        <v>16</v>
      </c>
    </row>
    <row r="40" spans="1:9" x14ac:dyDescent="0.2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</row>
    <row r="41" spans="1:9" x14ac:dyDescent="0.2">
      <c r="A41" t="s">
        <v>57</v>
      </c>
      <c r="B41">
        <v>48</v>
      </c>
      <c r="C41">
        <v>5</v>
      </c>
      <c r="D41">
        <v>11</v>
      </c>
      <c r="E41">
        <v>1</v>
      </c>
      <c r="F41">
        <v>130.293224509</v>
      </c>
      <c r="G41">
        <v>13</v>
      </c>
      <c r="H41">
        <v>10000</v>
      </c>
      <c r="I41" t="s">
        <v>280</v>
      </c>
    </row>
    <row r="42" spans="1:9" x14ac:dyDescent="0.2">
      <c r="A42" t="s">
        <v>57</v>
      </c>
      <c r="B42">
        <v>48</v>
      </c>
      <c r="C42">
        <v>5</v>
      </c>
      <c r="D42">
        <v>10</v>
      </c>
      <c r="E42">
        <v>0</v>
      </c>
      <c r="F42">
        <v>132.37346086099899</v>
      </c>
      <c r="G42">
        <v>3</v>
      </c>
      <c r="H42">
        <v>10000</v>
      </c>
      <c r="I42" t="s">
        <v>281</v>
      </c>
    </row>
    <row r="43" spans="1:9" x14ac:dyDescent="0.2">
      <c r="A43" t="s">
        <v>57</v>
      </c>
      <c r="B43">
        <v>48</v>
      </c>
      <c r="C43">
        <v>5</v>
      </c>
      <c r="D43">
        <v>11</v>
      </c>
      <c r="E43">
        <v>1</v>
      </c>
      <c r="F43">
        <v>131.45392824199999</v>
      </c>
      <c r="G43">
        <v>17</v>
      </c>
      <c r="H43">
        <v>10000</v>
      </c>
      <c r="I43" t="s">
        <v>282</v>
      </c>
    </row>
    <row r="44" spans="1:9" x14ac:dyDescent="0.2">
      <c r="A44" t="s">
        <v>57</v>
      </c>
      <c r="B44">
        <v>48</v>
      </c>
      <c r="C44">
        <v>5</v>
      </c>
      <c r="D44">
        <v>11</v>
      </c>
      <c r="E44">
        <v>1</v>
      </c>
      <c r="F44">
        <v>131.57049421199901</v>
      </c>
      <c r="G44">
        <v>19</v>
      </c>
      <c r="H44">
        <v>10000</v>
      </c>
      <c r="I44" t="s">
        <v>283</v>
      </c>
    </row>
    <row r="45" spans="1:9" x14ac:dyDescent="0.2">
      <c r="A45" t="s">
        <v>57</v>
      </c>
      <c r="B45">
        <v>48</v>
      </c>
      <c r="C45">
        <v>5</v>
      </c>
      <c r="D45">
        <v>10</v>
      </c>
      <c r="E45">
        <v>0</v>
      </c>
      <c r="F45">
        <v>132.13814799299999</v>
      </c>
      <c r="G45">
        <v>1</v>
      </c>
      <c r="H45">
        <v>10000</v>
      </c>
      <c r="I45" t="s">
        <v>284</v>
      </c>
    </row>
    <row r="46" spans="1:9" x14ac:dyDescent="0.2">
      <c r="A46" t="s">
        <v>57</v>
      </c>
      <c r="B46">
        <v>48</v>
      </c>
      <c r="C46">
        <v>5</v>
      </c>
      <c r="D46">
        <v>11</v>
      </c>
      <c r="E46">
        <v>1</v>
      </c>
      <c r="F46">
        <v>131.212350092999</v>
      </c>
      <c r="G46">
        <v>13</v>
      </c>
      <c r="H46">
        <v>10000</v>
      </c>
      <c r="I46" t="s">
        <v>285</v>
      </c>
    </row>
    <row r="47" spans="1:9" x14ac:dyDescent="0.2">
      <c r="A47" t="s">
        <v>57</v>
      </c>
      <c r="B47">
        <v>48</v>
      </c>
      <c r="C47">
        <v>5</v>
      </c>
      <c r="D47">
        <v>11</v>
      </c>
      <c r="E47">
        <v>1</v>
      </c>
      <c r="F47">
        <v>132.509882089999</v>
      </c>
      <c r="G47">
        <v>18</v>
      </c>
      <c r="H47">
        <v>10000</v>
      </c>
      <c r="I47" t="s">
        <v>286</v>
      </c>
    </row>
    <row r="48" spans="1:9" x14ac:dyDescent="0.2">
      <c r="A48" t="s">
        <v>57</v>
      </c>
      <c r="B48">
        <v>48</v>
      </c>
      <c r="C48">
        <v>5</v>
      </c>
      <c r="D48">
        <v>11</v>
      </c>
      <c r="E48">
        <v>1</v>
      </c>
      <c r="F48">
        <v>133.20352180099999</v>
      </c>
      <c r="G48">
        <v>15</v>
      </c>
      <c r="H48">
        <v>10000</v>
      </c>
      <c r="I48" t="s">
        <v>287</v>
      </c>
    </row>
    <row r="49" spans="1:9" x14ac:dyDescent="0.2">
      <c r="A49" t="s">
        <v>57</v>
      </c>
      <c r="B49">
        <v>48</v>
      </c>
      <c r="C49">
        <v>5</v>
      </c>
      <c r="D49">
        <v>11</v>
      </c>
      <c r="E49">
        <v>1</v>
      </c>
      <c r="F49">
        <v>134.36452496999999</v>
      </c>
      <c r="G49">
        <v>13</v>
      </c>
      <c r="H49">
        <v>10000</v>
      </c>
      <c r="I49" t="s">
        <v>288</v>
      </c>
    </row>
    <row r="50" spans="1:9" x14ac:dyDescent="0.2">
      <c r="A50" t="s">
        <v>57</v>
      </c>
      <c r="B50">
        <v>48</v>
      </c>
      <c r="C50">
        <v>5</v>
      </c>
      <c r="D50">
        <v>10</v>
      </c>
      <c r="E50">
        <v>0</v>
      </c>
      <c r="F50">
        <v>133.569664972</v>
      </c>
      <c r="G50">
        <v>2</v>
      </c>
      <c r="H50">
        <v>10000</v>
      </c>
      <c r="I50" t="s">
        <v>289</v>
      </c>
    </row>
    <row r="51" spans="1:9" x14ac:dyDescent="0.2">
      <c r="A51" t="s">
        <v>57</v>
      </c>
      <c r="B51">
        <v>48</v>
      </c>
      <c r="C51">
        <v>5</v>
      </c>
      <c r="D51">
        <v>11</v>
      </c>
      <c r="E51">
        <v>1</v>
      </c>
      <c r="F51">
        <v>131.203671159999</v>
      </c>
      <c r="G51">
        <v>15</v>
      </c>
      <c r="H51">
        <v>10000</v>
      </c>
      <c r="I51" t="s">
        <v>290</v>
      </c>
    </row>
    <row r="52" spans="1:9" x14ac:dyDescent="0.2">
      <c r="A52" t="s">
        <v>57</v>
      </c>
      <c r="B52">
        <v>48</v>
      </c>
      <c r="C52">
        <v>5</v>
      </c>
      <c r="D52">
        <v>11</v>
      </c>
      <c r="E52">
        <v>1</v>
      </c>
      <c r="F52">
        <v>131.65628158899901</v>
      </c>
      <c r="G52">
        <v>14</v>
      </c>
      <c r="H52">
        <v>10000</v>
      </c>
      <c r="I52" t="s">
        <v>291</v>
      </c>
    </row>
    <row r="53" spans="1:9" x14ac:dyDescent="0.2">
      <c r="A53" t="s">
        <v>57</v>
      </c>
      <c r="B53">
        <v>48</v>
      </c>
      <c r="C53">
        <v>5</v>
      </c>
      <c r="D53">
        <v>11</v>
      </c>
      <c r="E53">
        <v>1</v>
      </c>
      <c r="F53">
        <v>132.119301057</v>
      </c>
      <c r="G53">
        <v>11</v>
      </c>
      <c r="H53">
        <v>10000</v>
      </c>
      <c r="I53" t="s">
        <v>292</v>
      </c>
    </row>
    <row r="54" spans="1:9" x14ac:dyDescent="0.2">
      <c r="A54" t="s">
        <v>57</v>
      </c>
      <c r="B54">
        <v>48</v>
      </c>
      <c r="C54">
        <v>5</v>
      </c>
      <c r="D54">
        <v>10</v>
      </c>
      <c r="E54">
        <v>0</v>
      </c>
      <c r="F54">
        <v>131.01534696299899</v>
      </c>
      <c r="G54">
        <v>2</v>
      </c>
      <c r="H54">
        <v>10000</v>
      </c>
      <c r="I54" t="s">
        <v>293</v>
      </c>
    </row>
    <row r="55" spans="1:9" x14ac:dyDescent="0.2">
      <c r="A55" t="s">
        <v>57</v>
      </c>
      <c r="B55">
        <v>48</v>
      </c>
      <c r="C55">
        <v>5</v>
      </c>
      <c r="D55">
        <v>11</v>
      </c>
      <c r="E55">
        <v>1</v>
      </c>
      <c r="F55">
        <v>132.054660146</v>
      </c>
      <c r="G55">
        <v>16</v>
      </c>
      <c r="H55">
        <v>10000</v>
      </c>
      <c r="I55" t="s">
        <v>294</v>
      </c>
    </row>
    <row r="56" spans="1:9" x14ac:dyDescent="0.2">
      <c r="A56" t="s">
        <v>57</v>
      </c>
      <c r="B56">
        <v>48</v>
      </c>
      <c r="C56">
        <v>5</v>
      </c>
      <c r="D56">
        <v>11</v>
      </c>
      <c r="E56">
        <v>1</v>
      </c>
      <c r="F56">
        <v>130.90142985899999</v>
      </c>
      <c r="G56">
        <v>16</v>
      </c>
      <c r="H56">
        <v>10000</v>
      </c>
      <c r="I56" t="s">
        <v>295</v>
      </c>
    </row>
    <row r="57" spans="1:9" x14ac:dyDescent="0.2">
      <c r="A57" t="s">
        <v>57</v>
      </c>
      <c r="B57">
        <v>48</v>
      </c>
      <c r="C57">
        <v>5</v>
      </c>
      <c r="D57">
        <v>11</v>
      </c>
      <c r="E57">
        <v>1</v>
      </c>
      <c r="F57">
        <v>130.73162146199999</v>
      </c>
      <c r="G57">
        <v>23</v>
      </c>
      <c r="H57">
        <v>10000</v>
      </c>
      <c r="I57" t="s">
        <v>296</v>
      </c>
    </row>
    <row r="58" spans="1:9" x14ac:dyDescent="0.2">
      <c r="A58" t="s">
        <v>57</v>
      </c>
      <c r="B58">
        <v>48</v>
      </c>
      <c r="C58">
        <v>5</v>
      </c>
      <c r="D58">
        <v>10</v>
      </c>
      <c r="E58">
        <v>0</v>
      </c>
      <c r="F58">
        <v>132.283282482</v>
      </c>
      <c r="G58">
        <v>3</v>
      </c>
      <c r="H58">
        <v>10000</v>
      </c>
      <c r="I58" t="s">
        <v>297</v>
      </c>
    </row>
    <row r="59" spans="1:9" x14ac:dyDescent="0.2">
      <c r="A59" t="s">
        <v>57</v>
      </c>
      <c r="B59">
        <v>48</v>
      </c>
      <c r="C59">
        <v>5</v>
      </c>
      <c r="D59">
        <v>10</v>
      </c>
      <c r="E59">
        <v>0</v>
      </c>
      <c r="F59">
        <v>131.43066982399901</v>
      </c>
      <c r="G59">
        <v>1</v>
      </c>
      <c r="H59">
        <v>10000</v>
      </c>
      <c r="I59" t="s">
        <v>298</v>
      </c>
    </row>
    <row r="60" spans="1:9" x14ac:dyDescent="0.2">
      <c r="A60" t="s">
        <v>57</v>
      </c>
      <c r="B60">
        <v>48</v>
      </c>
      <c r="C60">
        <v>5</v>
      </c>
      <c r="D60">
        <v>10</v>
      </c>
      <c r="E60">
        <v>0</v>
      </c>
      <c r="F60">
        <v>131.89055385199899</v>
      </c>
      <c r="G60">
        <v>1</v>
      </c>
      <c r="H60">
        <v>10000</v>
      </c>
      <c r="I60" t="s">
        <v>299</v>
      </c>
    </row>
    <row r="61" spans="1:9" x14ac:dyDescent="0.2">
      <c r="A61" t="s">
        <v>57</v>
      </c>
      <c r="B61">
        <v>48</v>
      </c>
      <c r="C61">
        <v>5</v>
      </c>
      <c r="D61">
        <v>10</v>
      </c>
      <c r="E61">
        <v>0</v>
      </c>
      <c r="F61">
        <v>132.08178902</v>
      </c>
      <c r="G61">
        <v>1</v>
      </c>
      <c r="H61">
        <v>10000</v>
      </c>
      <c r="I61" t="s">
        <v>300</v>
      </c>
    </row>
    <row r="62" spans="1:9" x14ac:dyDescent="0.2">
      <c r="A62" t="s">
        <v>57</v>
      </c>
      <c r="B62">
        <v>48</v>
      </c>
      <c r="C62">
        <v>5</v>
      </c>
      <c r="D62">
        <v>11</v>
      </c>
      <c r="E62">
        <v>1</v>
      </c>
      <c r="F62">
        <v>132.07378254599999</v>
      </c>
      <c r="G62">
        <v>13</v>
      </c>
      <c r="H62">
        <v>10000</v>
      </c>
      <c r="I62" t="s">
        <v>301</v>
      </c>
    </row>
    <row r="63" spans="1:9" x14ac:dyDescent="0.2">
      <c r="A63" t="s">
        <v>57</v>
      </c>
      <c r="B63">
        <v>48</v>
      </c>
      <c r="C63">
        <v>5</v>
      </c>
      <c r="D63">
        <v>10</v>
      </c>
      <c r="E63">
        <v>0</v>
      </c>
      <c r="F63">
        <v>131.41101539499999</v>
      </c>
      <c r="G63">
        <v>1</v>
      </c>
      <c r="H63">
        <v>10000</v>
      </c>
      <c r="I63" t="s">
        <v>302</v>
      </c>
    </row>
    <row r="64" spans="1:9" x14ac:dyDescent="0.2">
      <c r="A64" t="s">
        <v>57</v>
      </c>
      <c r="B64">
        <v>48</v>
      </c>
      <c r="C64">
        <v>5</v>
      </c>
      <c r="D64">
        <v>11</v>
      </c>
      <c r="E64">
        <v>1</v>
      </c>
      <c r="F64">
        <v>132.864026086</v>
      </c>
      <c r="G64">
        <v>17</v>
      </c>
      <c r="H64">
        <v>10000</v>
      </c>
      <c r="I64" t="s">
        <v>303</v>
      </c>
    </row>
    <row r="65" spans="1:9" x14ac:dyDescent="0.2">
      <c r="A65" t="s">
        <v>57</v>
      </c>
      <c r="B65">
        <v>48</v>
      </c>
      <c r="C65">
        <v>5</v>
      </c>
      <c r="D65">
        <v>11</v>
      </c>
      <c r="E65">
        <v>1</v>
      </c>
      <c r="F65">
        <v>130.999801897</v>
      </c>
      <c r="G65">
        <v>15</v>
      </c>
      <c r="H65">
        <v>10000</v>
      </c>
      <c r="I65" t="s">
        <v>304</v>
      </c>
    </row>
    <row r="66" spans="1:9" x14ac:dyDescent="0.2">
      <c r="A66" t="s">
        <v>57</v>
      </c>
      <c r="B66">
        <v>48</v>
      </c>
      <c r="C66">
        <v>5</v>
      </c>
      <c r="D66">
        <v>11</v>
      </c>
      <c r="E66">
        <v>1</v>
      </c>
      <c r="F66">
        <v>131.87188159399901</v>
      </c>
      <c r="G66">
        <v>11</v>
      </c>
      <c r="H66">
        <v>10000</v>
      </c>
      <c r="I66" t="s">
        <v>305</v>
      </c>
    </row>
    <row r="67" spans="1:9" x14ac:dyDescent="0.2">
      <c r="A67" t="s">
        <v>57</v>
      </c>
      <c r="B67">
        <v>48</v>
      </c>
      <c r="C67">
        <v>5</v>
      </c>
      <c r="D67">
        <v>10</v>
      </c>
      <c r="E67">
        <v>0</v>
      </c>
      <c r="F67">
        <v>132.882039230999</v>
      </c>
      <c r="G67">
        <v>1</v>
      </c>
      <c r="H67">
        <v>10000</v>
      </c>
      <c r="I67" t="s">
        <v>306</v>
      </c>
    </row>
    <row r="68" spans="1:9" x14ac:dyDescent="0.2">
      <c r="A68" t="s">
        <v>57</v>
      </c>
      <c r="B68">
        <v>48</v>
      </c>
      <c r="C68">
        <v>5</v>
      </c>
      <c r="D68">
        <v>11</v>
      </c>
      <c r="E68">
        <v>1</v>
      </c>
      <c r="F68">
        <v>131.99537837</v>
      </c>
      <c r="G68">
        <v>12</v>
      </c>
      <c r="H68">
        <v>10000</v>
      </c>
      <c r="I68" t="s">
        <v>307</v>
      </c>
    </row>
    <row r="69" spans="1:9" x14ac:dyDescent="0.2">
      <c r="A69" t="s">
        <v>57</v>
      </c>
      <c r="B69">
        <v>48</v>
      </c>
      <c r="C69">
        <v>5</v>
      </c>
      <c r="D69">
        <v>10</v>
      </c>
      <c r="E69">
        <v>0</v>
      </c>
      <c r="F69">
        <v>132.26954287799899</v>
      </c>
      <c r="G69">
        <v>1</v>
      </c>
      <c r="H69">
        <v>10000</v>
      </c>
      <c r="I69" t="s">
        <v>308</v>
      </c>
    </row>
    <row r="70" spans="1:9" x14ac:dyDescent="0.2">
      <c r="A70" t="s">
        <v>57</v>
      </c>
      <c r="B70">
        <v>48</v>
      </c>
      <c r="C70">
        <v>5</v>
      </c>
      <c r="D70">
        <v>11</v>
      </c>
      <c r="E70">
        <v>1</v>
      </c>
      <c r="F70">
        <v>132.252246386</v>
      </c>
      <c r="G70">
        <v>18</v>
      </c>
      <c r="H70">
        <v>10000</v>
      </c>
      <c r="I70" t="s">
        <v>309</v>
      </c>
    </row>
    <row r="71" spans="1:9" x14ac:dyDescent="0.2">
      <c r="A71" t="s">
        <v>57</v>
      </c>
      <c r="B71">
        <v>48</v>
      </c>
      <c r="C71">
        <v>5</v>
      </c>
      <c r="D71">
        <v>10</v>
      </c>
      <c r="E71">
        <v>0</v>
      </c>
      <c r="F71">
        <v>132.08127940999901</v>
      </c>
      <c r="G71">
        <v>1</v>
      </c>
      <c r="H71">
        <v>10000</v>
      </c>
      <c r="I71" t="s">
        <v>310</v>
      </c>
    </row>
    <row r="72" spans="1:9" x14ac:dyDescent="0.2">
      <c r="A72" t="s">
        <v>57</v>
      </c>
      <c r="B72">
        <v>48</v>
      </c>
      <c r="C72">
        <v>5</v>
      </c>
      <c r="D72">
        <v>10</v>
      </c>
      <c r="E72">
        <v>0</v>
      </c>
      <c r="F72">
        <v>132.014374941</v>
      </c>
      <c r="G72">
        <v>1</v>
      </c>
      <c r="H72">
        <v>10000</v>
      </c>
      <c r="I72" t="s">
        <v>311</v>
      </c>
    </row>
    <row r="73" spans="1:9" x14ac:dyDescent="0.2">
      <c r="A73" t="s">
        <v>57</v>
      </c>
      <c r="B73">
        <v>48</v>
      </c>
      <c r="C73">
        <v>5</v>
      </c>
      <c r="D73">
        <v>10</v>
      </c>
      <c r="E73">
        <v>0</v>
      </c>
      <c r="F73">
        <v>133.016368255999</v>
      </c>
      <c r="G73">
        <v>1</v>
      </c>
      <c r="H73">
        <v>10000</v>
      </c>
      <c r="I73" t="s">
        <v>312</v>
      </c>
    </row>
    <row r="74" spans="1:9" x14ac:dyDescent="0.2">
      <c r="A74" t="s">
        <v>57</v>
      </c>
      <c r="B74">
        <v>48</v>
      </c>
      <c r="C74">
        <v>5</v>
      </c>
      <c r="D74">
        <v>11</v>
      </c>
      <c r="E74">
        <v>1</v>
      </c>
      <c r="F74">
        <v>132.04519388099999</v>
      </c>
      <c r="G74">
        <v>15</v>
      </c>
      <c r="H74">
        <v>10000</v>
      </c>
      <c r="I74" t="s">
        <v>313</v>
      </c>
    </row>
    <row r="75" spans="1:9" x14ac:dyDescent="0.2">
      <c r="A75" t="s">
        <v>57</v>
      </c>
      <c r="B75">
        <v>48</v>
      </c>
      <c r="C75">
        <v>5</v>
      </c>
      <c r="D75">
        <v>11</v>
      </c>
      <c r="E75">
        <v>1</v>
      </c>
      <c r="F75">
        <v>132.97041056699899</v>
      </c>
      <c r="G75">
        <v>18</v>
      </c>
      <c r="H75">
        <v>10000</v>
      </c>
      <c r="I75" t="s">
        <v>314</v>
      </c>
    </row>
    <row r="76" spans="1:9" x14ac:dyDescent="0.2">
      <c r="A76" t="s">
        <v>57</v>
      </c>
      <c r="B76">
        <v>48</v>
      </c>
      <c r="C76">
        <v>5</v>
      </c>
      <c r="D76">
        <v>10</v>
      </c>
      <c r="E76">
        <v>0</v>
      </c>
      <c r="F76">
        <v>132.636766636</v>
      </c>
      <c r="G76">
        <v>1</v>
      </c>
      <c r="H76">
        <v>10000</v>
      </c>
      <c r="I76" t="s">
        <v>315</v>
      </c>
    </row>
    <row r="77" spans="1:9" x14ac:dyDescent="0.2">
      <c r="A77" t="s">
        <v>57</v>
      </c>
      <c r="B77">
        <v>48</v>
      </c>
      <c r="C77">
        <v>5</v>
      </c>
      <c r="D77">
        <v>10</v>
      </c>
      <c r="E77">
        <v>0</v>
      </c>
      <c r="F77">
        <v>132.93801188299901</v>
      </c>
      <c r="G77">
        <v>1</v>
      </c>
      <c r="H77">
        <v>10000</v>
      </c>
      <c r="I77" t="s">
        <v>316</v>
      </c>
    </row>
    <row r="78" spans="1:9" x14ac:dyDescent="0.2">
      <c r="A78" t="s">
        <v>57</v>
      </c>
      <c r="B78">
        <v>48</v>
      </c>
      <c r="C78">
        <v>5</v>
      </c>
      <c r="D78">
        <v>10</v>
      </c>
      <c r="E78">
        <v>0</v>
      </c>
      <c r="F78">
        <v>132.48084345799899</v>
      </c>
      <c r="G78">
        <v>1</v>
      </c>
      <c r="H78">
        <v>10000</v>
      </c>
      <c r="I78" t="s">
        <v>317</v>
      </c>
    </row>
    <row r="79" spans="1:9" x14ac:dyDescent="0.2">
      <c r="A79" t="s">
        <v>57</v>
      </c>
      <c r="B79">
        <v>48</v>
      </c>
      <c r="C79">
        <v>5</v>
      </c>
      <c r="D79">
        <v>10</v>
      </c>
      <c r="E79">
        <v>0</v>
      </c>
      <c r="F79">
        <v>133.74566971499999</v>
      </c>
      <c r="G79">
        <v>4</v>
      </c>
      <c r="H79">
        <v>10000</v>
      </c>
      <c r="I79" t="s">
        <v>318</v>
      </c>
    </row>
    <row r="80" spans="1:9" x14ac:dyDescent="0.2">
      <c r="A80" t="s">
        <v>57</v>
      </c>
      <c r="B80">
        <v>48</v>
      </c>
      <c r="C80">
        <v>5</v>
      </c>
      <c r="D80">
        <v>11</v>
      </c>
      <c r="E80">
        <v>1</v>
      </c>
      <c r="F80">
        <v>132.76562073700001</v>
      </c>
      <c r="G80">
        <v>11</v>
      </c>
      <c r="H80">
        <v>10000</v>
      </c>
      <c r="I80" t="s">
        <v>319</v>
      </c>
    </row>
    <row r="81" spans="1:9" x14ac:dyDescent="0.2">
      <c r="A81" t="s">
        <v>57</v>
      </c>
      <c r="B81">
        <v>48</v>
      </c>
      <c r="C81">
        <v>5</v>
      </c>
      <c r="D81">
        <v>10</v>
      </c>
      <c r="E81">
        <v>0</v>
      </c>
      <c r="F81">
        <v>132.44840696499901</v>
      </c>
      <c r="G81">
        <v>4</v>
      </c>
      <c r="H81">
        <v>10000</v>
      </c>
      <c r="I81" t="s">
        <v>320</v>
      </c>
    </row>
    <row r="82" spans="1:9" x14ac:dyDescent="0.2">
      <c r="A82" t="s">
        <v>57</v>
      </c>
      <c r="B82">
        <v>48</v>
      </c>
      <c r="C82">
        <v>5</v>
      </c>
      <c r="D82">
        <v>11</v>
      </c>
      <c r="E82">
        <v>1</v>
      </c>
      <c r="F82">
        <v>133.54384195700001</v>
      </c>
      <c r="G82">
        <v>16</v>
      </c>
      <c r="H82">
        <v>10000</v>
      </c>
      <c r="I82" t="s">
        <v>321</v>
      </c>
    </row>
    <row r="83" spans="1:9" x14ac:dyDescent="0.2">
      <c r="A83" t="s">
        <v>57</v>
      </c>
      <c r="B83">
        <v>48</v>
      </c>
      <c r="C83">
        <v>5</v>
      </c>
      <c r="D83">
        <v>10</v>
      </c>
      <c r="E83">
        <v>0</v>
      </c>
      <c r="F83">
        <v>133.516506677</v>
      </c>
      <c r="G83">
        <v>1</v>
      </c>
      <c r="H83">
        <v>10000</v>
      </c>
      <c r="I83" t="s">
        <v>322</v>
      </c>
    </row>
    <row r="84" spans="1:9" x14ac:dyDescent="0.2">
      <c r="A84" t="s">
        <v>57</v>
      </c>
      <c r="B84">
        <v>48</v>
      </c>
      <c r="C84">
        <v>5</v>
      </c>
      <c r="D84">
        <v>11</v>
      </c>
      <c r="E84">
        <v>1</v>
      </c>
      <c r="F84">
        <v>133.75532506399901</v>
      </c>
      <c r="G84">
        <v>13</v>
      </c>
      <c r="H84">
        <v>10000</v>
      </c>
      <c r="I84" t="s">
        <v>323</v>
      </c>
    </row>
    <row r="85" spans="1:9" x14ac:dyDescent="0.2">
      <c r="A85" t="s">
        <v>57</v>
      </c>
      <c r="B85">
        <v>48</v>
      </c>
      <c r="C85">
        <v>5</v>
      </c>
      <c r="D85">
        <v>10</v>
      </c>
      <c r="E85">
        <v>0</v>
      </c>
      <c r="F85">
        <v>132.691959564</v>
      </c>
      <c r="G85">
        <v>1</v>
      </c>
      <c r="H85">
        <v>10000</v>
      </c>
      <c r="I85" t="s">
        <v>324</v>
      </c>
    </row>
    <row r="86" spans="1:9" x14ac:dyDescent="0.2">
      <c r="A86" t="s">
        <v>57</v>
      </c>
      <c r="B86">
        <v>48</v>
      </c>
      <c r="C86">
        <v>5</v>
      </c>
      <c r="D86">
        <v>11</v>
      </c>
      <c r="E86">
        <v>1</v>
      </c>
      <c r="F86">
        <v>131.94513149799999</v>
      </c>
      <c r="G86">
        <v>22</v>
      </c>
      <c r="H86">
        <v>10000</v>
      </c>
      <c r="I86" t="s">
        <v>325</v>
      </c>
    </row>
    <row r="87" spans="1:9" x14ac:dyDescent="0.2">
      <c r="A87" t="s">
        <v>57</v>
      </c>
      <c r="B87">
        <v>48</v>
      </c>
      <c r="C87">
        <v>5</v>
      </c>
      <c r="D87">
        <v>10</v>
      </c>
      <c r="E87">
        <v>0</v>
      </c>
      <c r="F87">
        <v>133.51372276299901</v>
      </c>
      <c r="G87">
        <v>1</v>
      </c>
      <c r="H87">
        <v>10000</v>
      </c>
      <c r="I87" t="s">
        <v>326</v>
      </c>
    </row>
    <row r="88" spans="1:9" x14ac:dyDescent="0.2">
      <c r="A88" t="s">
        <v>57</v>
      </c>
      <c r="B88">
        <v>48</v>
      </c>
      <c r="C88">
        <v>5</v>
      </c>
      <c r="D88">
        <v>10</v>
      </c>
      <c r="E88">
        <v>0</v>
      </c>
      <c r="F88">
        <v>134.51178152</v>
      </c>
      <c r="G88">
        <v>1</v>
      </c>
      <c r="H88">
        <v>10000</v>
      </c>
      <c r="I88" t="s">
        <v>327</v>
      </c>
    </row>
    <row r="89" spans="1:9" x14ac:dyDescent="0.2">
      <c r="A89" t="s">
        <v>57</v>
      </c>
      <c r="B89">
        <v>48</v>
      </c>
      <c r="C89">
        <v>5</v>
      </c>
      <c r="D89">
        <v>11</v>
      </c>
      <c r="E89">
        <v>1</v>
      </c>
      <c r="F89">
        <v>133.03684348299899</v>
      </c>
      <c r="G89">
        <v>18</v>
      </c>
      <c r="H89">
        <v>10000</v>
      </c>
      <c r="I89" t="s">
        <v>328</v>
      </c>
    </row>
    <row r="90" spans="1:9" x14ac:dyDescent="0.2">
      <c r="A90" t="s">
        <v>57</v>
      </c>
      <c r="B90">
        <v>48</v>
      </c>
      <c r="C90">
        <v>5</v>
      </c>
      <c r="D90">
        <v>10</v>
      </c>
      <c r="E90">
        <v>0</v>
      </c>
      <c r="F90">
        <v>133.61089942999999</v>
      </c>
      <c r="G90">
        <v>2</v>
      </c>
      <c r="H90">
        <v>10000</v>
      </c>
      <c r="I90" t="s">
        <v>329</v>
      </c>
    </row>
    <row r="91" spans="1:9" x14ac:dyDescent="0.2">
      <c r="A91" t="s">
        <v>57</v>
      </c>
      <c r="B91">
        <v>48</v>
      </c>
      <c r="C91">
        <v>5</v>
      </c>
      <c r="D91">
        <v>11</v>
      </c>
      <c r="E91">
        <v>1</v>
      </c>
      <c r="F91">
        <v>133.86175125699901</v>
      </c>
      <c r="G91">
        <v>16</v>
      </c>
      <c r="H91">
        <v>10000</v>
      </c>
      <c r="I91" t="s">
        <v>330</v>
      </c>
    </row>
    <row r="92" spans="1:9" x14ac:dyDescent="0.2">
      <c r="A92" t="s">
        <v>57</v>
      </c>
      <c r="B92">
        <v>48</v>
      </c>
      <c r="C92">
        <v>5</v>
      </c>
      <c r="D92">
        <v>11</v>
      </c>
      <c r="E92">
        <v>1</v>
      </c>
      <c r="F92">
        <v>133.117549991</v>
      </c>
      <c r="G92">
        <v>13</v>
      </c>
      <c r="H92">
        <v>10000</v>
      </c>
      <c r="I92" t="s">
        <v>331</v>
      </c>
    </row>
    <row r="93" spans="1:9" x14ac:dyDescent="0.2">
      <c r="A93" t="s">
        <v>57</v>
      </c>
      <c r="B93">
        <v>48</v>
      </c>
      <c r="C93">
        <v>5</v>
      </c>
      <c r="D93">
        <v>10</v>
      </c>
      <c r="E93">
        <v>0</v>
      </c>
      <c r="F93">
        <v>132.90297237799899</v>
      </c>
      <c r="G93">
        <v>4</v>
      </c>
      <c r="H93">
        <v>10000</v>
      </c>
      <c r="I93" t="s">
        <v>332</v>
      </c>
    </row>
    <row r="94" spans="1:9" x14ac:dyDescent="0.2">
      <c r="A94" t="s">
        <v>57</v>
      </c>
      <c r="B94">
        <v>48</v>
      </c>
      <c r="C94">
        <v>5</v>
      </c>
      <c r="D94">
        <v>11</v>
      </c>
      <c r="E94">
        <v>1</v>
      </c>
      <c r="F94">
        <v>132.732106391</v>
      </c>
      <c r="G94">
        <v>6</v>
      </c>
      <c r="H94">
        <v>10000</v>
      </c>
      <c r="I94" t="s">
        <v>333</v>
      </c>
    </row>
    <row r="95" spans="1:9" x14ac:dyDescent="0.2">
      <c r="A95" t="s">
        <v>57</v>
      </c>
      <c r="B95">
        <v>48</v>
      </c>
      <c r="C95">
        <v>5</v>
      </c>
      <c r="D95">
        <v>11</v>
      </c>
      <c r="E95">
        <v>1</v>
      </c>
      <c r="F95">
        <v>133.250515409999</v>
      </c>
      <c r="G95">
        <v>13</v>
      </c>
      <c r="H95">
        <v>10000</v>
      </c>
      <c r="I95" t="s">
        <v>334</v>
      </c>
    </row>
    <row r="96" spans="1:9" x14ac:dyDescent="0.2">
      <c r="A96" t="s">
        <v>57</v>
      </c>
      <c r="B96">
        <v>48</v>
      </c>
      <c r="C96">
        <v>5</v>
      </c>
      <c r="D96">
        <v>10</v>
      </c>
      <c r="E96">
        <v>0</v>
      </c>
      <c r="F96">
        <v>133.56137547399899</v>
      </c>
      <c r="G96">
        <v>1</v>
      </c>
      <c r="H96">
        <v>10000</v>
      </c>
      <c r="I96" t="s">
        <v>335</v>
      </c>
    </row>
    <row r="97" spans="1:9" x14ac:dyDescent="0.2">
      <c r="A97" t="s">
        <v>57</v>
      </c>
      <c r="B97">
        <v>48</v>
      </c>
      <c r="C97">
        <v>5</v>
      </c>
      <c r="D97">
        <v>11</v>
      </c>
      <c r="E97">
        <v>1</v>
      </c>
      <c r="F97">
        <v>134.05815523000001</v>
      </c>
      <c r="G97">
        <v>17</v>
      </c>
      <c r="H97">
        <v>10000</v>
      </c>
      <c r="I97" t="s">
        <v>336</v>
      </c>
    </row>
    <row r="98" spans="1:9" x14ac:dyDescent="0.2">
      <c r="A98" t="s">
        <v>57</v>
      </c>
      <c r="B98">
        <v>48</v>
      </c>
      <c r="C98">
        <v>5</v>
      </c>
      <c r="D98">
        <v>10</v>
      </c>
      <c r="E98">
        <v>0</v>
      </c>
      <c r="F98">
        <v>133.80279372199999</v>
      </c>
      <c r="G98">
        <v>2</v>
      </c>
      <c r="H98">
        <v>10000</v>
      </c>
      <c r="I98" t="s">
        <v>337</v>
      </c>
    </row>
    <row r="99" spans="1:9" x14ac:dyDescent="0.2">
      <c r="A99" t="s">
        <v>57</v>
      </c>
      <c r="B99">
        <v>48</v>
      </c>
      <c r="C99">
        <v>5</v>
      </c>
      <c r="D99">
        <v>11</v>
      </c>
      <c r="E99">
        <v>1</v>
      </c>
      <c r="F99">
        <v>134.35443027899899</v>
      </c>
      <c r="G99">
        <v>12</v>
      </c>
      <c r="H99">
        <v>10000</v>
      </c>
      <c r="I99" t="s">
        <v>338</v>
      </c>
    </row>
    <row r="100" spans="1:9" x14ac:dyDescent="0.2">
      <c r="A100" t="s">
        <v>57</v>
      </c>
      <c r="B100">
        <v>48</v>
      </c>
      <c r="C100">
        <v>5</v>
      </c>
      <c r="D100">
        <v>10</v>
      </c>
      <c r="E100">
        <v>0</v>
      </c>
      <c r="F100">
        <v>134.697560313</v>
      </c>
      <c r="G100">
        <v>1</v>
      </c>
      <c r="H100">
        <v>10000</v>
      </c>
      <c r="I100" t="s">
        <v>339</v>
      </c>
    </row>
    <row r="101" spans="1:9" x14ac:dyDescent="0.2">
      <c r="A101" t="s">
        <v>57</v>
      </c>
      <c r="B101">
        <v>48</v>
      </c>
      <c r="C101">
        <v>5</v>
      </c>
      <c r="D101">
        <v>10</v>
      </c>
      <c r="E101">
        <v>0</v>
      </c>
      <c r="F101">
        <v>133.82508071999899</v>
      </c>
      <c r="G101">
        <v>1</v>
      </c>
      <c r="H101">
        <v>10000</v>
      </c>
      <c r="I101" t="s">
        <v>340</v>
      </c>
    </row>
    <row r="102" spans="1:9" x14ac:dyDescent="0.2">
      <c r="A102" t="s">
        <v>57</v>
      </c>
      <c r="B102">
        <v>48</v>
      </c>
      <c r="C102">
        <v>5</v>
      </c>
      <c r="D102">
        <v>11</v>
      </c>
      <c r="E102">
        <v>1</v>
      </c>
      <c r="F102">
        <v>133.14194548200001</v>
      </c>
      <c r="G102">
        <v>11</v>
      </c>
      <c r="H102">
        <v>10000</v>
      </c>
      <c r="I102" t="s">
        <v>341</v>
      </c>
    </row>
    <row r="103" spans="1:9" x14ac:dyDescent="0.2">
      <c r="A103" t="s">
        <v>57</v>
      </c>
      <c r="B103">
        <v>48</v>
      </c>
      <c r="C103">
        <v>5</v>
      </c>
      <c r="D103">
        <v>10</v>
      </c>
      <c r="E103">
        <v>0</v>
      </c>
      <c r="F103">
        <v>134.25694016099899</v>
      </c>
      <c r="G103">
        <v>3</v>
      </c>
      <c r="H103">
        <v>10000</v>
      </c>
      <c r="I103" t="s">
        <v>342</v>
      </c>
    </row>
    <row r="104" spans="1:9" x14ac:dyDescent="0.2">
      <c r="A104" t="s">
        <v>57</v>
      </c>
      <c r="B104">
        <v>48</v>
      </c>
      <c r="C104">
        <v>5</v>
      </c>
      <c r="D104">
        <v>10</v>
      </c>
      <c r="E104">
        <v>0</v>
      </c>
      <c r="F104">
        <v>133.554470434</v>
      </c>
      <c r="G104">
        <v>1</v>
      </c>
      <c r="H104">
        <v>10000</v>
      </c>
      <c r="I104" t="s">
        <v>343</v>
      </c>
    </row>
    <row r="105" spans="1:9" x14ac:dyDescent="0.2">
      <c r="A105" t="s">
        <v>57</v>
      </c>
      <c r="B105">
        <v>48</v>
      </c>
      <c r="C105">
        <v>5</v>
      </c>
      <c r="D105">
        <v>11</v>
      </c>
      <c r="E105">
        <v>1</v>
      </c>
      <c r="F105">
        <v>134.123907602999</v>
      </c>
      <c r="G105">
        <v>16</v>
      </c>
      <c r="H105">
        <v>10000</v>
      </c>
      <c r="I105" t="s">
        <v>344</v>
      </c>
    </row>
    <row r="106" spans="1:9" x14ac:dyDescent="0.2">
      <c r="A106" t="s">
        <v>57</v>
      </c>
      <c r="B106">
        <v>48</v>
      </c>
      <c r="C106">
        <v>5</v>
      </c>
      <c r="D106">
        <v>11</v>
      </c>
      <c r="E106">
        <v>1</v>
      </c>
      <c r="F106">
        <v>134.97631063399899</v>
      </c>
      <c r="G106">
        <v>15</v>
      </c>
      <c r="H106">
        <v>10000</v>
      </c>
      <c r="I106" t="s">
        <v>345</v>
      </c>
    </row>
    <row r="107" spans="1:9" x14ac:dyDescent="0.2">
      <c r="A107" t="s">
        <v>57</v>
      </c>
      <c r="B107">
        <v>48</v>
      </c>
      <c r="C107">
        <v>5</v>
      </c>
      <c r="D107">
        <v>10</v>
      </c>
      <c r="E107">
        <v>0</v>
      </c>
      <c r="F107">
        <v>133.17452015299901</v>
      </c>
      <c r="G107">
        <v>1</v>
      </c>
      <c r="H107">
        <v>10000</v>
      </c>
      <c r="I107" t="s">
        <v>346</v>
      </c>
    </row>
    <row r="108" spans="1:9" x14ac:dyDescent="0.2">
      <c r="A108" t="s">
        <v>57</v>
      </c>
      <c r="B108">
        <v>48</v>
      </c>
      <c r="C108">
        <v>5</v>
      </c>
      <c r="D108">
        <v>11</v>
      </c>
      <c r="E108">
        <v>1</v>
      </c>
      <c r="F108">
        <v>134.013373204999</v>
      </c>
      <c r="G108">
        <v>22</v>
      </c>
      <c r="H108">
        <v>10000</v>
      </c>
      <c r="I108" t="s">
        <v>347</v>
      </c>
    </row>
    <row r="109" spans="1:9" x14ac:dyDescent="0.2">
      <c r="A109" t="s">
        <v>57</v>
      </c>
      <c r="B109">
        <v>48</v>
      </c>
      <c r="C109">
        <v>5</v>
      </c>
      <c r="D109">
        <v>11</v>
      </c>
      <c r="E109">
        <v>1</v>
      </c>
      <c r="F109">
        <v>133.618907468</v>
      </c>
      <c r="G109">
        <v>10</v>
      </c>
      <c r="H109">
        <v>10000</v>
      </c>
      <c r="I109" t="s">
        <v>348</v>
      </c>
    </row>
    <row r="110" spans="1:9" x14ac:dyDescent="0.2">
      <c r="A110" t="s">
        <v>57</v>
      </c>
      <c r="B110">
        <v>48</v>
      </c>
      <c r="C110">
        <v>5</v>
      </c>
      <c r="D110">
        <v>10</v>
      </c>
      <c r="E110">
        <v>0</v>
      </c>
      <c r="F110">
        <v>133.847792003</v>
      </c>
      <c r="G110">
        <v>1</v>
      </c>
      <c r="H110">
        <v>10000</v>
      </c>
      <c r="I110" t="s">
        <v>349</v>
      </c>
    </row>
    <row r="111" spans="1:9" x14ac:dyDescent="0.2">
      <c r="A111" t="s">
        <v>57</v>
      </c>
      <c r="B111">
        <v>48</v>
      </c>
      <c r="C111">
        <v>5</v>
      </c>
      <c r="D111">
        <v>11</v>
      </c>
      <c r="E111">
        <v>1</v>
      </c>
      <c r="F111">
        <v>133.99773226400001</v>
      </c>
      <c r="G111">
        <v>14</v>
      </c>
      <c r="H111">
        <v>10000</v>
      </c>
      <c r="I111" t="s">
        <v>350</v>
      </c>
    </row>
    <row r="112" spans="1:9" x14ac:dyDescent="0.2">
      <c r="A112" t="s">
        <v>57</v>
      </c>
      <c r="B112">
        <v>48</v>
      </c>
      <c r="C112">
        <v>5</v>
      </c>
      <c r="D112">
        <v>10</v>
      </c>
      <c r="E112">
        <v>0</v>
      </c>
      <c r="F112">
        <v>133.404991747</v>
      </c>
      <c r="G112">
        <v>1</v>
      </c>
      <c r="H112">
        <v>10000</v>
      </c>
      <c r="I112" t="s">
        <v>351</v>
      </c>
    </row>
    <row r="113" spans="1:9" x14ac:dyDescent="0.2">
      <c r="A113" t="s">
        <v>57</v>
      </c>
      <c r="B113">
        <v>48</v>
      </c>
      <c r="C113">
        <v>5</v>
      </c>
      <c r="D113">
        <v>10</v>
      </c>
      <c r="E113">
        <v>0</v>
      </c>
      <c r="F113">
        <v>150.38629865739401</v>
      </c>
      <c r="G113">
        <v>1</v>
      </c>
      <c r="H113">
        <v>10000</v>
      </c>
      <c r="I113" t="s">
        <v>58</v>
      </c>
    </row>
    <row r="114" spans="1:9" x14ac:dyDescent="0.2">
      <c r="A114" t="s">
        <v>57</v>
      </c>
      <c r="B114">
        <v>48</v>
      </c>
      <c r="C114">
        <v>5</v>
      </c>
      <c r="D114">
        <v>11</v>
      </c>
      <c r="E114">
        <v>1</v>
      </c>
      <c r="F114">
        <v>150.35283122584201</v>
      </c>
      <c r="G114">
        <v>17</v>
      </c>
      <c r="H114">
        <v>10000</v>
      </c>
      <c r="I114" t="s">
        <v>59</v>
      </c>
    </row>
    <row r="115" spans="1:9" x14ac:dyDescent="0.2">
      <c r="A115" t="s">
        <v>57</v>
      </c>
      <c r="B115">
        <v>48</v>
      </c>
      <c r="C115">
        <v>5</v>
      </c>
      <c r="D115">
        <v>10</v>
      </c>
      <c r="E115">
        <v>0</v>
      </c>
      <c r="F115">
        <v>150.32646453287401</v>
      </c>
      <c r="G115">
        <v>1</v>
      </c>
      <c r="H115">
        <v>10000</v>
      </c>
      <c r="I115" t="s">
        <v>60</v>
      </c>
    </row>
    <row r="116" spans="1:9" x14ac:dyDescent="0.2">
      <c r="A116" t="s">
        <v>57</v>
      </c>
      <c r="B116">
        <v>48</v>
      </c>
      <c r="C116">
        <v>5</v>
      </c>
      <c r="D116">
        <v>10</v>
      </c>
      <c r="E116">
        <v>0</v>
      </c>
      <c r="F116">
        <v>150.11852546967501</v>
      </c>
      <c r="G116">
        <v>3</v>
      </c>
      <c r="H116">
        <v>10000</v>
      </c>
      <c r="I116" t="s">
        <v>61</v>
      </c>
    </row>
    <row r="117" spans="1:9" x14ac:dyDescent="0.2">
      <c r="A117" t="s">
        <v>57</v>
      </c>
      <c r="B117">
        <v>48</v>
      </c>
      <c r="C117">
        <v>5</v>
      </c>
      <c r="D117">
        <v>10</v>
      </c>
      <c r="E117">
        <v>0</v>
      </c>
      <c r="F117">
        <v>154.86765828635501</v>
      </c>
      <c r="G117">
        <v>1</v>
      </c>
      <c r="H117">
        <v>10000</v>
      </c>
      <c r="I117" t="s">
        <v>62</v>
      </c>
    </row>
    <row r="118" spans="1:9" x14ac:dyDescent="0.2">
      <c r="A118" t="s">
        <v>57</v>
      </c>
      <c r="B118">
        <v>48</v>
      </c>
      <c r="C118">
        <v>5</v>
      </c>
      <c r="D118">
        <v>10</v>
      </c>
      <c r="E118">
        <v>0</v>
      </c>
      <c r="F118">
        <v>150.04313490353499</v>
      </c>
      <c r="G118">
        <v>1</v>
      </c>
      <c r="H118">
        <v>10000</v>
      </c>
      <c r="I118" t="s">
        <v>63</v>
      </c>
    </row>
    <row r="119" spans="1:9" x14ac:dyDescent="0.2">
      <c r="A119" t="s">
        <v>57</v>
      </c>
      <c r="B119">
        <v>48</v>
      </c>
      <c r="C119">
        <v>5</v>
      </c>
      <c r="D119">
        <v>11</v>
      </c>
      <c r="E119">
        <v>1</v>
      </c>
      <c r="F119">
        <v>150.22874291986199</v>
      </c>
      <c r="G119">
        <v>10</v>
      </c>
      <c r="H119">
        <v>10000</v>
      </c>
      <c r="I119" t="s">
        <v>64</v>
      </c>
    </row>
    <row r="120" spans="1:9" x14ac:dyDescent="0.2">
      <c r="A120" t="s">
        <v>57</v>
      </c>
      <c r="B120">
        <v>48</v>
      </c>
      <c r="C120">
        <v>5</v>
      </c>
      <c r="D120">
        <v>10</v>
      </c>
      <c r="E120">
        <v>0</v>
      </c>
      <c r="F120">
        <v>151.650084382854</v>
      </c>
      <c r="G120">
        <v>1</v>
      </c>
      <c r="H120">
        <v>10000</v>
      </c>
      <c r="I120" t="s">
        <v>65</v>
      </c>
    </row>
    <row r="121" spans="1:9" x14ac:dyDescent="0.2">
      <c r="A121" t="s">
        <v>57</v>
      </c>
      <c r="B121">
        <v>48</v>
      </c>
      <c r="C121">
        <v>5</v>
      </c>
      <c r="D121">
        <v>10</v>
      </c>
      <c r="E121">
        <v>0</v>
      </c>
      <c r="F121">
        <v>150.963355808518</v>
      </c>
      <c r="G121">
        <v>2</v>
      </c>
      <c r="H121">
        <v>10000</v>
      </c>
      <c r="I121" t="s">
        <v>66</v>
      </c>
    </row>
    <row r="122" spans="1:9" x14ac:dyDescent="0.2">
      <c r="A122" t="s">
        <v>57</v>
      </c>
      <c r="B122">
        <v>48</v>
      </c>
      <c r="C122">
        <v>5</v>
      </c>
      <c r="D122">
        <v>11</v>
      </c>
      <c r="E122">
        <v>1</v>
      </c>
      <c r="F122">
        <v>151.488896482624</v>
      </c>
      <c r="G122">
        <v>16</v>
      </c>
      <c r="H122">
        <v>10000</v>
      </c>
      <c r="I122" t="s">
        <v>67</v>
      </c>
    </row>
    <row r="123" spans="1:9" x14ac:dyDescent="0.2">
      <c r="A123" t="s">
        <v>57</v>
      </c>
      <c r="B123">
        <v>48</v>
      </c>
      <c r="C123">
        <v>5</v>
      </c>
      <c r="D123">
        <v>10</v>
      </c>
      <c r="E123">
        <v>0</v>
      </c>
      <c r="F123">
        <v>150.07777741272</v>
      </c>
      <c r="G123">
        <v>1</v>
      </c>
      <c r="H123">
        <v>10000</v>
      </c>
      <c r="I123" t="s">
        <v>68</v>
      </c>
    </row>
    <row r="124" spans="1:9" x14ac:dyDescent="0.2">
      <c r="A124" t="s">
        <v>57</v>
      </c>
      <c r="B124">
        <v>48</v>
      </c>
      <c r="C124">
        <v>5</v>
      </c>
      <c r="D124">
        <v>11</v>
      </c>
      <c r="E124">
        <v>1</v>
      </c>
      <c r="F124">
        <v>150.802963394671</v>
      </c>
      <c r="G124">
        <v>11</v>
      </c>
      <c r="H124">
        <v>10000</v>
      </c>
      <c r="I124" t="s">
        <v>69</v>
      </c>
    </row>
    <row r="125" spans="1:9" x14ac:dyDescent="0.2">
      <c r="A125" t="s">
        <v>57</v>
      </c>
      <c r="B125">
        <v>48</v>
      </c>
      <c r="C125">
        <v>5</v>
      </c>
      <c r="D125">
        <v>10</v>
      </c>
      <c r="E125">
        <v>0</v>
      </c>
      <c r="F125">
        <v>151.53989596851099</v>
      </c>
      <c r="G125">
        <v>1</v>
      </c>
      <c r="H125">
        <v>10000</v>
      </c>
      <c r="I125" t="s">
        <v>70</v>
      </c>
    </row>
    <row r="126" spans="1:9" x14ac:dyDescent="0.2">
      <c r="A126" t="s">
        <v>57</v>
      </c>
      <c r="B126">
        <v>48</v>
      </c>
      <c r="C126">
        <v>5</v>
      </c>
      <c r="D126">
        <v>10</v>
      </c>
      <c r="E126">
        <v>0</v>
      </c>
      <c r="F126">
        <v>151.54334390629</v>
      </c>
      <c r="G126">
        <v>1</v>
      </c>
      <c r="H126">
        <v>10000</v>
      </c>
      <c r="I126" t="s">
        <v>71</v>
      </c>
    </row>
    <row r="127" spans="1:9" x14ac:dyDescent="0.2">
      <c r="A127" t="s">
        <v>57</v>
      </c>
      <c r="B127">
        <v>48</v>
      </c>
      <c r="C127">
        <v>5</v>
      </c>
      <c r="D127">
        <v>11</v>
      </c>
      <c r="E127">
        <v>1</v>
      </c>
      <c r="F127">
        <v>159.890436286106</v>
      </c>
      <c r="G127">
        <v>18</v>
      </c>
      <c r="H127">
        <v>10000</v>
      </c>
      <c r="I127" t="s">
        <v>72</v>
      </c>
    </row>
    <row r="128" spans="1:9" x14ac:dyDescent="0.2">
      <c r="A128" t="s">
        <v>57</v>
      </c>
      <c r="B128">
        <v>48</v>
      </c>
      <c r="C128">
        <v>5</v>
      </c>
      <c r="D128">
        <v>11</v>
      </c>
      <c r="E128">
        <v>1</v>
      </c>
      <c r="F128">
        <v>156.26099589839501</v>
      </c>
      <c r="G128">
        <v>13</v>
      </c>
      <c r="H128">
        <v>10000</v>
      </c>
      <c r="I128" t="s">
        <v>73</v>
      </c>
    </row>
    <row r="129" spans="1:9" x14ac:dyDescent="0.2">
      <c r="A129" t="s">
        <v>57</v>
      </c>
      <c r="B129">
        <v>48</v>
      </c>
      <c r="C129">
        <v>5</v>
      </c>
      <c r="D129">
        <v>11</v>
      </c>
      <c r="E129">
        <v>1</v>
      </c>
      <c r="F129">
        <v>155.31417811941299</v>
      </c>
      <c r="G129">
        <v>16</v>
      </c>
      <c r="H129">
        <v>10000</v>
      </c>
      <c r="I129" t="s">
        <v>74</v>
      </c>
    </row>
    <row r="130" spans="1:9" x14ac:dyDescent="0.2">
      <c r="A130" t="s">
        <v>57</v>
      </c>
      <c r="B130">
        <v>48</v>
      </c>
      <c r="C130">
        <v>5</v>
      </c>
      <c r="D130">
        <v>11</v>
      </c>
      <c r="E130">
        <v>1</v>
      </c>
      <c r="F130">
        <v>154.12597140762901</v>
      </c>
      <c r="G130">
        <v>16</v>
      </c>
      <c r="H130">
        <v>10000</v>
      </c>
      <c r="I130" t="s">
        <v>75</v>
      </c>
    </row>
    <row r="131" spans="1:9" x14ac:dyDescent="0.2">
      <c r="A131" t="s">
        <v>57</v>
      </c>
      <c r="B131">
        <v>48</v>
      </c>
      <c r="C131">
        <v>5</v>
      </c>
      <c r="D131">
        <v>11</v>
      </c>
      <c r="E131">
        <v>1</v>
      </c>
      <c r="F131">
        <v>142.43013601470699</v>
      </c>
      <c r="G131">
        <v>13</v>
      </c>
      <c r="H131">
        <v>10000</v>
      </c>
      <c r="I131" t="s">
        <v>76</v>
      </c>
    </row>
    <row r="132" spans="1:9" x14ac:dyDescent="0.2">
      <c r="A132" t="s">
        <v>57</v>
      </c>
      <c r="B132">
        <v>48</v>
      </c>
      <c r="C132">
        <v>5</v>
      </c>
      <c r="D132">
        <v>10</v>
      </c>
      <c r="E132">
        <v>0</v>
      </c>
      <c r="F132">
        <v>148.80388721916799</v>
      </c>
      <c r="G132">
        <v>1</v>
      </c>
      <c r="H132">
        <v>10000</v>
      </c>
      <c r="I132" t="s">
        <v>82</v>
      </c>
    </row>
    <row r="133" spans="1:9" x14ac:dyDescent="0.2">
      <c r="A133" t="s">
        <v>57</v>
      </c>
      <c r="B133">
        <v>48</v>
      </c>
      <c r="C133">
        <v>5</v>
      </c>
      <c r="D133">
        <v>10</v>
      </c>
      <c r="E133">
        <v>0</v>
      </c>
      <c r="F133">
        <v>149.61506050080001</v>
      </c>
      <c r="G133">
        <v>2</v>
      </c>
      <c r="H133">
        <v>10000</v>
      </c>
      <c r="I133" t="s">
        <v>83</v>
      </c>
    </row>
    <row r="134" spans="1:9" x14ac:dyDescent="0.2">
      <c r="A134" t="s">
        <v>57</v>
      </c>
      <c r="B134">
        <v>48</v>
      </c>
      <c r="C134">
        <v>5</v>
      </c>
      <c r="D134">
        <v>10</v>
      </c>
      <c r="E134">
        <v>0</v>
      </c>
      <c r="F134">
        <v>150.81483839172799</v>
      </c>
      <c r="G134">
        <v>1</v>
      </c>
      <c r="H134">
        <v>10000</v>
      </c>
      <c r="I134" t="s">
        <v>84</v>
      </c>
    </row>
    <row r="135" spans="1:9" x14ac:dyDescent="0.2">
      <c r="A135" t="s">
        <v>57</v>
      </c>
      <c r="B135">
        <v>48</v>
      </c>
      <c r="C135">
        <v>5</v>
      </c>
      <c r="D135">
        <v>10</v>
      </c>
      <c r="E135">
        <v>0</v>
      </c>
      <c r="F135">
        <v>149.72253763582501</v>
      </c>
      <c r="G135">
        <v>1</v>
      </c>
      <c r="H135">
        <v>10000</v>
      </c>
      <c r="I135" t="s">
        <v>85</v>
      </c>
    </row>
    <row r="136" spans="1:9" x14ac:dyDescent="0.2">
      <c r="A136" t="s">
        <v>57</v>
      </c>
      <c r="B136">
        <v>48</v>
      </c>
      <c r="C136">
        <v>5</v>
      </c>
      <c r="D136">
        <v>11</v>
      </c>
      <c r="E136">
        <v>1</v>
      </c>
      <c r="F136">
        <v>149.822168277576</v>
      </c>
      <c r="G136">
        <v>16</v>
      </c>
      <c r="H136">
        <v>10000</v>
      </c>
      <c r="I136" t="s">
        <v>86</v>
      </c>
    </row>
    <row r="137" spans="1:9" x14ac:dyDescent="0.2">
      <c r="A137" t="s">
        <v>57</v>
      </c>
      <c r="B137">
        <v>48</v>
      </c>
      <c r="C137">
        <v>5</v>
      </c>
      <c r="D137">
        <v>11</v>
      </c>
      <c r="E137">
        <v>1</v>
      </c>
      <c r="F137">
        <v>150.29764630552299</v>
      </c>
      <c r="G137">
        <v>10</v>
      </c>
      <c r="H137">
        <v>10000</v>
      </c>
      <c r="I137" t="s">
        <v>87</v>
      </c>
    </row>
    <row r="138" spans="1:9" x14ac:dyDescent="0.2">
      <c r="A138" t="s">
        <v>57</v>
      </c>
      <c r="B138">
        <v>48</v>
      </c>
      <c r="C138">
        <v>5</v>
      </c>
      <c r="D138">
        <v>10</v>
      </c>
      <c r="E138">
        <v>0</v>
      </c>
      <c r="F138">
        <v>150.872312860563</v>
      </c>
      <c r="G138">
        <v>2</v>
      </c>
      <c r="H138">
        <v>10000</v>
      </c>
      <c r="I138" t="s">
        <v>88</v>
      </c>
    </row>
    <row r="139" spans="1:9" x14ac:dyDescent="0.2">
      <c r="A139" t="s">
        <v>57</v>
      </c>
      <c r="B139">
        <v>48</v>
      </c>
      <c r="C139">
        <v>5</v>
      </c>
      <c r="D139">
        <v>10</v>
      </c>
      <c r="E139">
        <v>0</v>
      </c>
      <c r="F139">
        <v>149.898856090381</v>
      </c>
      <c r="G139">
        <v>1</v>
      </c>
      <c r="H139">
        <v>10000</v>
      </c>
      <c r="I139" t="s">
        <v>89</v>
      </c>
    </row>
    <row r="140" spans="1:9" x14ac:dyDescent="0.2">
      <c r="A140" t="s">
        <v>57</v>
      </c>
      <c r="B140">
        <v>48</v>
      </c>
      <c r="C140">
        <v>5</v>
      </c>
      <c r="D140">
        <v>11</v>
      </c>
      <c r="E140">
        <v>1</v>
      </c>
      <c r="F140">
        <v>158.906126329675</v>
      </c>
      <c r="G140">
        <v>12</v>
      </c>
      <c r="H140">
        <v>10000</v>
      </c>
      <c r="I140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A00A5-43B2-3B47-AE5E-7AC8A046703F}">
  <dimension ref="A1:I140"/>
  <sheetViews>
    <sheetView workbookViewId="0">
      <selection sqref="A1:I14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46</v>
      </c>
    </row>
    <row r="4" spans="1:1" x14ac:dyDescent="0.2">
      <c r="A4" t="s">
        <v>39</v>
      </c>
    </row>
    <row r="5" spans="1:1" x14ac:dyDescent="0.2">
      <c r="A5" t="s">
        <v>40</v>
      </c>
    </row>
    <row r="6" spans="1:1" x14ac:dyDescent="0.2">
      <c r="A6" t="s">
        <v>41</v>
      </c>
    </row>
    <row r="7" spans="1:1" x14ac:dyDescent="0.2">
      <c r="A7" t="s">
        <v>47</v>
      </c>
    </row>
    <row r="8" spans="1:1" x14ac:dyDescent="0.2">
      <c r="A8" t="s">
        <v>2</v>
      </c>
    </row>
    <row r="9" spans="1:1" x14ac:dyDescent="0.2">
      <c r="A9" t="s">
        <v>3</v>
      </c>
    </row>
    <row r="10" spans="1:1" x14ac:dyDescent="0.2">
      <c r="A10" t="s">
        <v>48</v>
      </c>
    </row>
    <row r="11" spans="1:1" x14ac:dyDescent="0.2">
      <c r="A11" t="s">
        <v>49</v>
      </c>
    </row>
    <row r="12" spans="1:1" x14ac:dyDescent="0.2">
      <c r="A12" t="s">
        <v>4</v>
      </c>
    </row>
    <row r="13" spans="1:1" x14ac:dyDescent="0.2">
      <c r="A13" t="s">
        <v>5</v>
      </c>
    </row>
    <row r="14" spans="1:1" x14ac:dyDescent="0.2">
      <c r="A14" t="s">
        <v>6</v>
      </c>
    </row>
    <row r="15" spans="1:1" x14ac:dyDescent="0.2">
      <c r="A15" t="s">
        <v>7</v>
      </c>
    </row>
    <row r="16" spans="1:1" x14ac:dyDescent="0.2">
      <c r="A16" t="s">
        <v>8</v>
      </c>
    </row>
    <row r="17" spans="1:1" x14ac:dyDescent="0.2">
      <c r="A17" t="s">
        <v>34</v>
      </c>
    </row>
    <row r="18" spans="1:1" x14ac:dyDescent="0.2">
      <c r="A18" t="s">
        <v>9</v>
      </c>
    </row>
    <row r="19" spans="1:1" x14ac:dyDescent="0.2">
      <c r="A19" t="s">
        <v>10</v>
      </c>
    </row>
    <row r="20" spans="1:1" x14ac:dyDescent="0.2">
      <c r="A20" t="s">
        <v>11</v>
      </c>
    </row>
    <row r="21" spans="1:1" x14ac:dyDescent="0.2">
      <c r="A21" t="s">
        <v>26</v>
      </c>
    </row>
    <row r="22" spans="1:1" x14ac:dyDescent="0.2">
      <c r="A22" t="s">
        <v>12</v>
      </c>
    </row>
    <row r="23" spans="1:1" x14ac:dyDescent="0.2">
      <c r="A23" t="s">
        <v>13</v>
      </c>
    </row>
    <row r="24" spans="1:1" x14ac:dyDescent="0.2">
      <c r="A24" t="s">
        <v>35</v>
      </c>
    </row>
    <row r="25" spans="1:1" x14ac:dyDescent="0.2">
      <c r="A25" t="s">
        <v>36</v>
      </c>
    </row>
    <row r="26" spans="1:1" x14ac:dyDescent="0.2">
      <c r="A26" t="s">
        <v>27</v>
      </c>
    </row>
    <row r="27" spans="1:1" x14ac:dyDescent="0.2">
      <c r="A27" t="s">
        <v>37</v>
      </c>
    </row>
    <row r="28" spans="1:1" x14ac:dyDescent="0.2">
      <c r="A28" t="s">
        <v>42</v>
      </c>
    </row>
    <row r="29" spans="1:1" x14ac:dyDescent="0.2">
      <c r="A29" t="s">
        <v>14</v>
      </c>
    </row>
    <row r="30" spans="1:1" x14ac:dyDescent="0.2">
      <c r="A30" t="s">
        <v>50</v>
      </c>
    </row>
    <row r="31" spans="1:1" x14ac:dyDescent="0.2">
      <c r="A31" t="s">
        <v>51</v>
      </c>
    </row>
    <row r="32" spans="1:1" x14ac:dyDescent="0.2">
      <c r="A32" t="s">
        <v>45</v>
      </c>
    </row>
    <row r="33" spans="1:9" x14ac:dyDescent="0.2">
      <c r="A33" t="s">
        <v>52</v>
      </c>
    </row>
    <row r="34" spans="1:9" x14ac:dyDescent="0.2">
      <c r="A34" t="s">
        <v>53</v>
      </c>
    </row>
    <row r="35" spans="1:9" x14ac:dyDescent="0.2">
      <c r="A35" t="s">
        <v>54</v>
      </c>
    </row>
    <row r="36" spans="1:9" x14ac:dyDescent="0.2">
      <c r="A36" t="s">
        <v>55</v>
      </c>
    </row>
    <row r="37" spans="1:9" x14ac:dyDescent="0.2">
      <c r="A37" t="s">
        <v>56</v>
      </c>
    </row>
    <row r="38" spans="1:9" x14ac:dyDescent="0.2">
      <c r="A38" t="s">
        <v>352</v>
      </c>
    </row>
    <row r="39" spans="1:9" x14ac:dyDescent="0.2">
      <c r="A39" t="s">
        <v>16</v>
      </c>
    </row>
    <row r="40" spans="1:9" x14ac:dyDescent="0.2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</row>
    <row r="41" spans="1:9" x14ac:dyDescent="0.2">
      <c r="A41" t="s">
        <v>57</v>
      </c>
      <c r="B41">
        <v>48</v>
      </c>
      <c r="C41">
        <v>5</v>
      </c>
      <c r="D41">
        <v>10</v>
      </c>
      <c r="E41">
        <v>0</v>
      </c>
      <c r="F41">
        <v>161.20896000799999</v>
      </c>
      <c r="G41">
        <v>17</v>
      </c>
      <c r="H41">
        <v>10000</v>
      </c>
      <c r="I41" t="s">
        <v>353</v>
      </c>
    </row>
    <row r="42" spans="1:9" x14ac:dyDescent="0.2">
      <c r="A42" t="s">
        <v>57</v>
      </c>
      <c r="B42">
        <v>48</v>
      </c>
      <c r="C42">
        <v>5</v>
      </c>
      <c r="D42">
        <v>10</v>
      </c>
      <c r="E42">
        <v>0</v>
      </c>
      <c r="F42">
        <v>161.95454328</v>
      </c>
      <c r="G42">
        <v>19</v>
      </c>
      <c r="H42">
        <v>10000</v>
      </c>
      <c r="I42" t="s">
        <v>354</v>
      </c>
    </row>
    <row r="43" spans="1:9" x14ac:dyDescent="0.2">
      <c r="A43" t="s">
        <v>57</v>
      </c>
      <c r="B43">
        <v>48</v>
      </c>
      <c r="C43">
        <v>5</v>
      </c>
      <c r="D43">
        <v>10</v>
      </c>
      <c r="E43">
        <v>0</v>
      </c>
      <c r="F43">
        <v>161.969057609</v>
      </c>
      <c r="G43">
        <v>23</v>
      </c>
      <c r="H43">
        <v>10000</v>
      </c>
      <c r="I43" t="s">
        <v>355</v>
      </c>
    </row>
    <row r="44" spans="1:9" x14ac:dyDescent="0.2">
      <c r="A44" t="s">
        <v>57</v>
      </c>
      <c r="B44">
        <v>48</v>
      </c>
      <c r="C44">
        <v>5</v>
      </c>
      <c r="D44">
        <v>10</v>
      </c>
      <c r="E44">
        <v>0</v>
      </c>
      <c r="F44">
        <v>164.963116216</v>
      </c>
      <c r="G44">
        <v>19</v>
      </c>
      <c r="H44">
        <v>10000</v>
      </c>
      <c r="I44" t="s">
        <v>356</v>
      </c>
    </row>
    <row r="45" spans="1:9" x14ac:dyDescent="0.2">
      <c r="A45" t="s">
        <v>57</v>
      </c>
      <c r="B45">
        <v>48</v>
      </c>
      <c r="C45">
        <v>5</v>
      </c>
      <c r="D45">
        <v>10</v>
      </c>
      <c r="E45">
        <v>0</v>
      </c>
      <c r="F45">
        <v>163.25058721699901</v>
      </c>
      <c r="G45">
        <v>14</v>
      </c>
      <c r="H45">
        <v>10000</v>
      </c>
      <c r="I45" t="s">
        <v>357</v>
      </c>
    </row>
    <row r="46" spans="1:9" x14ac:dyDescent="0.2">
      <c r="A46" t="s">
        <v>57</v>
      </c>
      <c r="B46">
        <v>48</v>
      </c>
      <c r="C46">
        <v>5</v>
      </c>
      <c r="D46">
        <v>10</v>
      </c>
      <c r="E46">
        <v>0</v>
      </c>
      <c r="F46">
        <v>163.97337156499901</v>
      </c>
      <c r="G46">
        <v>15</v>
      </c>
      <c r="H46">
        <v>10000</v>
      </c>
      <c r="I46" t="s">
        <v>358</v>
      </c>
    </row>
    <row r="47" spans="1:9" x14ac:dyDescent="0.2">
      <c r="A47" t="s">
        <v>57</v>
      </c>
      <c r="B47">
        <v>48</v>
      </c>
      <c r="C47">
        <v>5</v>
      </c>
      <c r="D47">
        <v>10</v>
      </c>
      <c r="E47">
        <v>0</v>
      </c>
      <c r="F47">
        <v>164.276286387</v>
      </c>
      <c r="G47">
        <v>17</v>
      </c>
      <c r="H47">
        <v>10000</v>
      </c>
      <c r="I47" t="s">
        <v>359</v>
      </c>
    </row>
    <row r="48" spans="1:9" x14ac:dyDescent="0.2">
      <c r="A48" t="s">
        <v>57</v>
      </c>
      <c r="B48">
        <v>48</v>
      </c>
      <c r="C48">
        <v>5</v>
      </c>
      <c r="D48">
        <v>10</v>
      </c>
      <c r="E48">
        <v>0</v>
      </c>
      <c r="F48">
        <v>165.28095375799899</v>
      </c>
      <c r="G48">
        <v>11</v>
      </c>
      <c r="H48">
        <v>10000</v>
      </c>
      <c r="I48" t="s">
        <v>360</v>
      </c>
    </row>
    <row r="49" spans="1:9" x14ac:dyDescent="0.2">
      <c r="A49" t="s">
        <v>57</v>
      </c>
      <c r="B49">
        <v>48</v>
      </c>
      <c r="C49">
        <v>5</v>
      </c>
      <c r="D49">
        <v>10</v>
      </c>
      <c r="E49">
        <v>0</v>
      </c>
      <c r="F49">
        <v>163.98901722900001</v>
      </c>
      <c r="G49">
        <v>8</v>
      </c>
      <c r="H49">
        <v>10000</v>
      </c>
      <c r="I49" t="s">
        <v>361</v>
      </c>
    </row>
    <row r="50" spans="1:9" x14ac:dyDescent="0.2">
      <c r="A50" t="s">
        <v>57</v>
      </c>
      <c r="B50">
        <v>48</v>
      </c>
      <c r="C50">
        <v>5</v>
      </c>
      <c r="D50">
        <v>10</v>
      </c>
      <c r="E50">
        <v>0</v>
      </c>
      <c r="F50">
        <v>162.525498991999</v>
      </c>
      <c r="G50">
        <v>13</v>
      </c>
      <c r="H50">
        <v>10000</v>
      </c>
      <c r="I50" t="s">
        <v>362</v>
      </c>
    </row>
    <row r="51" spans="1:9" x14ac:dyDescent="0.2">
      <c r="A51" t="s">
        <v>57</v>
      </c>
      <c r="B51">
        <v>48</v>
      </c>
      <c r="C51">
        <v>5</v>
      </c>
      <c r="D51">
        <v>10</v>
      </c>
      <c r="E51">
        <v>0</v>
      </c>
      <c r="F51">
        <v>161.130084906999</v>
      </c>
      <c r="G51">
        <v>19</v>
      </c>
      <c r="H51">
        <v>10000</v>
      </c>
      <c r="I51" t="s">
        <v>363</v>
      </c>
    </row>
    <row r="52" spans="1:9" x14ac:dyDescent="0.2">
      <c r="A52" t="s">
        <v>57</v>
      </c>
      <c r="B52">
        <v>48</v>
      </c>
      <c r="C52">
        <v>5</v>
      </c>
      <c r="D52">
        <v>10</v>
      </c>
      <c r="E52">
        <v>0</v>
      </c>
      <c r="F52">
        <v>161.238980763999</v>
      </c>
      <c r="G52">
        <v>15</v>
      </c>
      <c r="H52">
        <v>10000</v>
      </c>
      <c r="I52" t="s">
        <v>364</v>
      </c>
    </row>
    <row r="53" spans="1:9" x14ac:dyDescent="0.2">
      <c r="A53" t="s">
        <v>57</v>
      </c>
      <c r="B53">
        <v>48</v>
      </c>
      <c r="C53">
        <v>5</v>
      </c>
      <c r="D53">
        <v>10</v>
      </c>
      <c r="E53">
        <v>0</v>
      </c>
      <c r="F53">
        <v>161.96033656700001</v>
      </c>
      <c r="G53">
        <v>15</v>
      </c>
      <c r="H53">
        <v>10000</v>
      </c>
      <c r="I53" t="s">
        <v>365</v>
      </c>
    </row>
    <row r="54" spans="1:9" x14ac:dyDescent="0.2">
      <c r="A54" t="s">
        <v>57</v>
      </c>
      <c r="B54">
        <v>48</v>
      </c>
      <c r="C54">
        <v>5</v>
      </c>
      <c r="D54">
        <v>10</v>
      </c>
      <c r="E54">
        <v>0</v>
      </c>
      <c r="F54">
        <v>162.31608413399999</v>
      </c>
      <c r="G54">
        <v>15</v>
      </c>
      <c r="H54">
        <v>10000</v>
      </c>
      <c r="I54" t="s">
        <v>366</v>
      </c>
    </row>
    <row r="55" spans="1:9" x14ac:dyDescent="0.2">
      <c r="A55" t="s">
        <v>57</v>
      </c>
      <c r="B55">
        <v>48</v>
      </c>
      <c r="C55">
        <v>5</v>
      </c>
      <c r="D55">
        <v>10</v>
      </c>
      <c r="E55">
        <v>0</v>
      </c>
      <c r="F55">
        <v>163.46112959800001</v>
      </c>
      <c r="G55">
        <v>13</v>
      </c>
      <c r="H55">
        <v>10000</v>
      </c>
      <c r="I55" t="s">
        <v>367</v>
      </c>
    </row>
    <row r="56" spans="1:9" x14ac:dyDescent="0.2">
      <c r="A56" t="s">
        <v>57</v>
      </c>
      <c r="B56">
        <v>48</v>
      </c>
      <c r="C56">
        <v>5</v>
      </c>
      <c r="D56">
        <v>10</v>
      </c>
      <c r="E56">
        <v>0</v>
      </c>
      <c r="F56">
        <v>163.44620938199901</v>
      </c>
      <c r="G56">
        <v>9</v>
      </c>
      <c r="H56">
        <v>10000</v>
      </c>
      <c r="I56" t="s">
        <v>368</v>
      </c>
    </row>
    <row r="57" spans="1:9" x14ac:dyDescent="0.2">
      <c r="A57" t="s">
        <v>57</v>
      </c>
      <c r="B57">
        <v>48</v>
      </c>
      <c r="C57">
        <v>5</v>
      </c>
      <c r="D57">
        <v>10</v>
      </c>
      <c r="E57">
        <v>0</v>
      </c>
      <c r="F57">
        <v>162.511060079999</v>
      </c>
      <c r="G57">
        <v>16</v>
      </c>
      <c r="H57">
        <v>10000</v>
      </c>
      <c r="I57" t="s">
        <v>369</v>
      </c>
    </row>
    <row r="58" spans="1:9" x14ac:dyDescent="0.2">
      <c r="A58" t="s">
        <v>57</v>
      </c>
      <c r="B58">
        <v>48</v>
      </c>
      <c r="C58">
        <v>5</v>
      </c>
      <c r="D58">
        <v>10</v>
      </c>
      <c r="E58">
        <v>0</v>
      </c>
      <c r="F58">
        <v>162.87421161099999</v>
      </c>
      <c r="G58">
        <v>9</v>
      </c>
      <c r="H58">
        <v>10000</v>
      </c>
      <c r="I58" t="s">
        <v>370</v>
      </c>
    </row>
    <row r="59" spans="1:9" x14ac:dyDescent="0.2">
      <c r="A59" t="s">
        <v>57</v>
      </c>
      <c r="B59">
        <v>48</v>
      </c>
      <c r="C59">
        <v>5</v>
      </c>
      <c r="D59">
        <v>10</v>
      </c>
      <c r="E59">
        <v>0</v>
      </c>
      <c r="F59">
        <v>161.93682091900001</v>
      </c>
      <c r="G59">
        <v>11</v>
      </c>
      <c r="H59">
        <v>10000</v>
      </c>
      <c r="I59" t="s">
        <v>371</v>
      </c>
    </row>
    <row r="60" spans="1:9" x14ac:dyDescent="0.2">
      <c r="A60" t="s">
        <v>57</v>
      </c>
      <c r="B60">
        <v>48</v>
      </c>
      <c r="C60">
        <v>5</v>
      </c>
      <c r="D60">
        <v>10</v>
      </c>
      <c r="E60">
        <v>0</v>
      </c>
      <c r="F60">
        <v>162.96156545599899</v>
      </c>
      <c r="G60">
        <v>15</v>
      </c>
      <c r="H60">
        <v>10000</v>
      </c>
      <c r="I60" t="s">
        <v>372</v>
      </c>
    </row>
    <row r="61" spans="1:9" x14ac:dyDescent="0.2">
      <c r="A61" t="s">
        <v>57</v>
      </c>
      <c r="B61">
        <v>48</v>
      </c>
      <c r="C61">
        <v>5</v>
      </c>
      <c r="D61">
        <v>10</v>
      </c>
      <c r="E61">
        <v>0</v>
      </c>
      <c r="F61">
        <v>161.55368840599999</v>
      </c>
      <c r="G61">
        <v>10</v>
      </c>
      <c r="H61">
        <v>10000</v>
      </c>
      <c r="I61" t="s">
        <v>373</v>
      </c>
    </row>
    <row r="62" spans="1:9" x14ac:dyDescent="0.2">
      <c r="A62" t="s">
        <v>57</v>
      </c>
      <c r="B62">
        <v>48</v>
      </c>
      <c r="C62">
        <v>5</v>
      </c>
      <c r="D62">
        <v>10</v>
      </c>
      <c r="E62">
        <v>0</v>
      </c>
      <c r="F62">
        <v>161.61833309999901</v>
      </c>
      <c r="G62">
        <v>18</v>
      </c>
      <c r="H62">
        <v>10000</v>
      </c>
      <c r="I62" t="s">
        <v>374</v>
      </c>
    </row>
    <row r="63" spans="1:9" x14ac:dyDescent="0.2">
      <c r="A63" t="s">
        <v>57</v>
      </c>
      <c r="B63">
        <v>48</v>
      </c>
      <c r="C63">
        <v>5</v>
      </c>
      <c r="D63">
        <v>10</v>
      </c>
      <c r="E63">
        <v>0</v>
      </c>
      <c r="F63">
        <v>163.10241183599999</v>
      </c>
      <c r="G63">
        <v>9</v>
      </c>
      <c r="H63">
        <v>10000</v>
      </c>
      <c r="I63" t="s">
        <v>375</v>
      </c>
    </row>
    <row r="64" spans="1:9" x14ac:dyDescent="0.2">
      <c r="A64" t="s">
        <v>57</v>
      </c>
      <c r="B64">
        <v>48</v>
      </c>
      <c r="C64">
        <v>5</v>
      </c>
      <c r="D64">
        <v>10</v>
      </c>
      <c r="E64">
        <v>0</v>
      </c>
      <c r="F64">
        <v>161.75022537199899</v>
      </c>
      <c r="G64">
        <v>12</v>
      </c>
      <c r="H64">
        <v>10000</v>
      </c>
      <c r="I64" t="s">
        <v>376</v>
      </c>
    </row>
    <row r="65" spans="1:9" x14ac:dyDescent="0.2">
      <c r="A65" t="s">
        <v>57</v>
      </c>
      <c r="B65">
        <v>48</v>
      </c>
      <c r="C65">
        <v>5</v>
      </c>
      <c r="D65">
        <v>10</v>
      </c>
      <c r="E65">
        <v>0</v>
      </c>
      <c r="F65">
        <v>161.79174246599999</v>
      </c>
      <c r="G65">
        <v>14</v>
      </c>
      <c r="H65">
        <v>10000</v>
      </c>
      <c r="I65" t="s">
        <v>377</v>
      </c>
    </row>
    <row r="66" spans="1:9" x14ac:dyDescent="0.2">
      <c r="A66" t="s">
        <v>57</v>
      </c>
      <c r="B66">
        <v>48</v>
      </c>
      <c r="C66">
        <v>5</v>
      </c>
      <c r="D66">
        <v>10</v>
      </c>
      <c r="E66">
        <v>0</v>
      </c>
      <c r="F66">
        <v>161.980938586999</v>
      </c>
      <c r="G66">
        <v>16</v>
      </c>
      <c r="H66">
        <v>10000</v>
      </c>
      <c r="I66" t="s">
        <v>378</v>
      </c>
    </row>
    <row r="67" spans="1:9" x14ac:dyDescent="0.2">
      <c r="A67" t="s">
        <v>57</v>
      </c>
      <c r="B67">
        <v>48</v>
      </c>
      <c r="C67">
        <v>5</v>
      </c>
      <c r="D67">
        <v>10</v>
      </c>
      <c r="E67">
        <v>0</v>
      </c>
      <c r="F67">
        <v>162.71136306700001</v>
      </c>
      <c r="G67">
        <v>12</v>
      </c>
      <c r="H67">
        <v>10000</v>
      </c>
      <c r="I67" t="s">
        <v>379</v>
      </c>
    </row>
    <row r="68" spans="1:9" x14ac:dyDescent="0.2">
      <c r="A68" t="s">
        <v>57</v>
      </c>
      <c r="B68">
        <v>48</v>
      </c>
      <c r="C68">
        <v>5</v>
      </c>
      <c r="D68">
        <v>10</v>
      </c>
      <c r="E68">
        <v>0</v>
      </c>
      <c r="F68">
        <v>163.899298133</v>
      </c>
      <c r="G68">
        <v>15</v>
      </c>
      <c r="H68">
        <v>10000</v>
      </c>
      <c r="I68" t="s">
        <v>380</v>
      </c>
    </row>
    <row r="69" spans="1:9" x14ac:dyDescent="0.2">
      <c r="A69" t="s">
        <v>57</v>
      </c>
      <c r="B69">
        <v>48</v>
      </c>
      <c r="C69">
        <v>5</v>
      </c>
      <c r="D69">
        <v>10</v>
      </c>
      <c r="E69">
        <v>0</v>
      </c>
      <c r="F69">
        <v>163.38963025699999</v>
      </c>
      <c r="G69">
        <v>15</v>
      </c>
      <c r="H69">
        <v>10000</v>
      </c>
      <c r="I69" t="s">
        <v>381</v>
      </c>
    </row>
    <row r="70" spans="1:9" x14ac:dyDescent="0.2">
      <c r="A70" t="s">
        <v>57</v>
      </c>
      <c r="B70">
        <v>48</v>
      </c>
      <c r="C70">
        <v>5</v>
      </c>
      <c r="D70">
        <v>10</v>
      </c>
      <c r="E70">
        <v>0</v>
      </c>
      <c r="F70">
        <v>162.663501867999</v>
      </c>
      <c r="G70">
        <v>20</v>
      </c>
      <c r="H70">
        <v>10000</v>
      </c>
      <c r="I70" t="s">
        <v>382</v>
      </c>
    </row>
    <row r="71" spans="1:9" x14ac:dyDescent="0.2">
      <c r="A71" t="s">
        <v>57</v>
      </c>
      <c r="B71">
        <v>48</v>
      </c>
      <c r="C71">
        <v>5</v>
      </c>
      <c r="D71">
        <v>10</v>
      </c>
      <c r="E71">
        <v>0</v>
      </c>
      <c r="F71">
        <v>163.22768349199899</v>
      </c>
      <c r="G71">
        <v>18</v>
      </c>
      <c r="H71">
        <v>10000</v>
      </c>
      <c r="I71" t="s">
        <v>383</v>
      </c>
    </row>
    <row r="72" spans="1:9" x14ac:dyDescent="0.2">
      <c r="A72" t="s">
        <v>57</v>
      </c>
      <c r="B72">
        <v>48</v>
      </c>
      <c r="C72">
        <v>5</v>
      </c>
      <c r="D72">
        <v>10</v>
      </c>
      <c r="E72">
        <v>0</v>
      </c>
      <c r="F72">
        <v>163.03779465599999</v>
      </c>
      <c r="G72">
        <v>24</v>
      </c>
      <c r="H72">
        <v>10000</v>
      </c>
      <c r="I72" t="s">
        <v>384</v>
      </c>
    </row>
    <row r="73" spans="1:9" x14ac:dyDescent="0.2">
      <c r="A73" t="s">
        <v>57</v>
      </c>
      <c r="B73">
        <v>48</v>
      </c>
      <c r="C73">
        <v>5</v>
      </c>
      <c r="D73">
        <v>10</v>
      </c>
      <c r="E73">
        <v>0</v>
      </c>
      <c r="F73">
        <v>162.98459063999999</v>
      </c>
      <c r="G73">
        <v>8</v>
      </c>
      <c r="H73">
        <v>10000</v>
      </c>
      <c r="I73" t="s">
        <v>385</v>
      </c>
    </row>
    <row r="74" spans="1:9" x14ac:dyDescent="0.2">
      <c r="A74" t="s">
        <v>57</v>
      </c>
      <c r="B74">
        <v>48</v>
      </c>
      <c r="C74">
        <v>5</v>
      </c>
      <c r="D74">
        <v>10</v>
      </c>
      <c r="E74">
        <v>0</v>
      </c>
      <c r="F74">
        <v>163.280531271999</v>
      </c>
      <c r="G74">
        <v>21</v>
      </c>
      <c r="H74">
        <v>10000</v>
      </c>
      <c r="I74" t="s">
        <v>386</v>
      </c>
    </row>
    <row r="75" spans="1:9" x14ac:dyDescent="0.2">
      <c r="A75" t="s">
        <v>57</v>
      </c>
      <c r="B75">
        <v>48</v>
      </c>
      <c r="C75">
        <v>5</v>
      </c>
      <c r="D75">
        <v>10</v>
      </c>
      <c r="E75">
        <v>0</v>
      </c>
      <c r="F75">
        <v>163.66479421299999</v>
      </c>
      <c r="G75">
        <v>17</v>
      </c>
      <c r="H75">
        <v>10000</v>
      </c>
      <c r="I75" t="s">
        <v>387</v>
      </c>
    </row>
    <row r="76" spans="1:9" x14ac:dyDescent="0.2">
      <c r="A76" t="s">
        <v>57</v>
      </c>
      <c r="B76">
        <v>48</v>
      </c>
      <c r="C76">
        <v>5</v>
      </c>
      <c r="D76">
        <v>10</v>
      </c>
      <c r="E76">
        <v>0</v>
      </c>
      <c r="F76">
        <v>162.733763006</v>
      </c>
      <c r="G76">
        <v>13</v>
      </c>
      <c r="H76">
        <v>10000</v>
      </c>
      <c r="I76" t="s">
        <v>388</v>
      </c>
    </row>
    <row r="77" spans="1:9" x14ac:dyDescent="0.2">
      <c r="A77" t="s">
        <v>57</v>
      </c>
      <c r="B77">
        <v>48</v>
      </c>
      <c r="C77">
        <v>5</v>
      </c>
      <c r="D77">
        <v>10</v>
      </c>
      <c r="E77">
        <v>0</v>
      </c>
      <c r="F77">
        <v>162.710366325</v>
      </c>
      <c r="G77">
        <v>12</v>
      </c>
      <c r="H77">
        <v>10000</v>
      </c>
      <c r="I77" t="s">
        <v>389</v>
      </c>
    </row>
    <row r="78" spans="1:9" x14ac:dyDescent="0.2">
      <c r="A78" t="s">
        <v>57</v>
      </c>
      <c r="B78">
        <v>48</v>
      </c>
      <c r="C78">
        <v>5</v>
      </c>
      <c r="D78">
        <v>10</v>
      </c>
      <c r="E78">
        <v>0</v>
      </c>
      <c r="F78">
        <v>163.34888227900001</v>
      </c>
      <c r="G78">
        <v>14</v>
      </c>
      <c r="H78">
        <v>10000</v>
      </c>
      <c r="I78" t="s">
        <v>390</v>
      </c>
    </row>
    <row r="79" spans="1:9" x14ac:dyDescent="0.2">
      <c r="A79" t="s">
        <v>57</v>
      </c>
      <c r="B79">
        <v>48</v>
      </c>
      <c r="C79">
        <v>5</v>
      </c>
      <c r="D79">
        <v>10</v>
      </c>
      <c r="E79">
        <v>0</v>
      </c>
      <c r="F79">
        <v>163.85186003499899</v>
      </c>
      <c r="G79">
        <v>16</v>
      </c>
      <c r="H79">
        <v>10000</v>
      </c>
      <c r="I79" t="s">
        <v>391</v>
      </c>
    </row>
    <row r="80" spans="1:9" x14ac:dyDescent="0.2">
      <c r="A80" t="s">
        <v>57</v>
      </c>
      <c r="B80">
        <v>48</v>
      </c>
      <c r="C80">
        <v>5</v>
      </c>
      <c r="D80">
        <v>10</v>
      </c>
      <c r="E80">
        <v>0</v>
      </c>
      <c r="F80">
        <v>162.94509188999899</v>
      </c>
      <c r="G80">
        <v>24</v>
      </c>
      <c r="H80">
        <v>10000</v>
      </c>
      <c r="I80" t="s">
        <v>392</v>
      </c>
    </row>
    <row r="81" spans="1:9" x14ac:dyDescent="0.2">
      <c r="A81" t="s">
        <v>57</v>
      </c>
      <c r="B81">
        <v>48</v>
      </c>
      <c r="C81">
        <v>5</v>
      </c>
      <c r="D81">
        <v>10</v>
      </c>
      <c r="E81">
        <v>0</v>
      </c>
      <c r="F81">
        <v>164.05015458599999</v>
      </c>
      <c r="G81">
        <v>12</v>
      </c>
      <c r="H81">
        <v>10000</v>
      </c>
      <c r="I81" t="s">
        <v>393</v>
      </c>
    </row>
    <row r="82" spans="1:9" x14ac:dyDescent="0.2">
      <c r="A82" t="s">
        <v>57</v>
      </c>
      <c r="B82">
        <v>48</v>
      </c>
      <c r="C82">
        <v>5</v>
      </c>
      <c r="D82">
        <v>10</v>
      </c>
      <c r="E82">
        <v>0</v>
      </c>
      <c r="F82">
        <v>163.40106456000001</v>
      </c>
      <c r="G82">
        <v>22</v>
      </c>
      <c r="H82">
        <v>10000</v>
      </c>
      <c r="I82" t="s">
        <v>394</v>
      </c>
    </row>
    <row r="83" spans="1:9" x14ac:dyDescent="0.2">
      <c r="A83" t="s">
        <v>57</v>
      </c>
      <c r="B83">
        <v>48</v>
      </c>
      <c r="C83">
        <v>5</v>
      </c>
      <c r="D83">
        <v>10</v>
      </c>
      <c r="E83">
        <v>0</v>
      </c>
      <c r="F83">
        <v>162.991178775999</v>
      </c>
      <c r="G83">
        <v>14</v>
      </c>
      <c r="H83">
        <v>10000</v>
      </c>
      <c r="I83" t="s">
        <v>395</v>
      </c>
    </row>
    <row r="84" spans="1:9" x14ac:dyDescent="0.2">
      <c r="A84" t="s">
        <v>57</v>
      </c>
      <c r="B84">
        <v>48</v>
      </c>
      <c r="C84">
        <v>5</v>
      </c>
      <c r="D84">
        <v>10</v>
      </c>
      <c r="E84">
        <v>0</v>
      </c>
      <c r="F84">
        <v>163.24913492900001</v>
      </c>
      <c r="G84">
        <v>16</v>
      </c>
      <c r="H84">
        <v>10000</v>
      </c>
      <c r="I84" t="s">
        <v>396</v>
      </c>
    </row>
    <row r="85" spans="1:9" x14ac:dyDescent="0.2">
      <c r="A85" t="s">
        <v>57</v>
      </c>
      <c r="B85">
        <v>48</v>
      </c>
      <c r="C85">
        <v>5</v>
      </c>
      <c r="D85">
        <v>10</v>
      </c>
      <c r="E85">
        <v>0</v>
      </c>
      <c r="F85">
        <v>163.238511813</v>
      </c>
      <c r="G85">
        <v>16</v>
      </c>
      <c r="H85">
        <v>10000</v>
      </c>
      <c r="I85" t="s">
        <v>397</v>
      </c>
    </row>
    <row r="86" spans="1:9" x14ac:dyDescent="0.2">
      <c r="A86" t="s">
        <v>57</v>
      </c>
      <c r="B86">
        <v>48</v>
      </c>
      <c r="C86">
        <v>5</v>
      </c>
      <c r="D86">
        <v>10</v>
      </c>
      <c r="E86">
        <v>0</v>
      </c>
      <c r="F86">
        <v>164.29279840199899</v>
      </c>
      <c r="G86">
        <v>16</v>
      </c>
      <c r="H86">
        <v>10000</v>
      </c>
      <c r="I86" t="s">
        <v>398</v>
      </c>
    </row>
    <row r="87" spans="1:9" x14ac:dyDescent="0.2">
      <c r="A87" t="s">
        <v>57</v>
      </c>
      <c r="B87">
        <v>48</v>
      </c>
      <c r="C87">
        <v>5</v>
      </c>
      <c r="D87">
        <v>10</v>
      </c>
      <c r="E87">
        <v>0</v>
      </c>
      <c r="F87">
        <v>165.082741919</v>
      </c>
      <c r="G87">
        <v>15</v>
      </c>
      <c r="H87">
        <v>10000</v>
      </c>
      <c r="I87" t="s">
        <v>399</v>
      </c>
    </row>
    <row r="88" spans="1:9" x14ac:dyDescent="0.2">
      <c r="A88" t="s">
        <v>57</v>
      </c>
      <c r="B88">
        <v>48</v>
      </c>
      <c r="C88">
        <v>5</v>
      </c>
      <c r="D88">
        <v>10</v>
      </c>
      <c r="E88">
        <v>0</v>
      </c>
      <c r="F88">
        <v>164.71619209999901</v>
      </c>
      <c r="G88">
        <v>12</v>
      </c>
      <c r="H88">
        <v>10000</v>
      </c>
      <c r="I88" t="s">
        <v>400</v>
      </c>
    </row>
    <row r="89" spans="1:9" x14ac:dyDescent="0.2">
      <c r="A89" t="s">
        <v>57</v>
      </c>
      <c r="B89">
        <v>48</v>
      </c>
      <c r="C89">
        <v>5</v>
      </c>
      <c r="D89">
        <v>10</v>
      </c>
      <c r="E89">
        <v>0</v>
      </c>
      <c r="F89">
        <v>164.851183644</v>
      </c>
      <c r="G89">
        <v>20</v>
      </c>
      <c r="H89">
        <v>10000</v>
      </c>
      <c r="I89" t="s">
        <v>401</v>
      </c>
    </row>
    <row r="90" spans="1:9" x14ac:dyDescent="0.2">
      <c r="A90" t="s">
        <v>57</v>
      </c>
      <c r="B90">
        <v>48</v>
      </c>
      <c r="C90">
        <v>5</v>
      </c>
      <c r="D90">
        <v>10</v>
      </c>
      <c r="E90">
        <v>0</v>
      </c>
      <c r="F90">
        <v>163.682939428</v>
      </c>
      <c r="G90">
        <v>17</v>
      </c>
      <c r="H90">
        <v>10000</v>
      </c>
      <c r="I90" t="s">
        <v>402</v>
      </c>
    </row>
    <row r="91" spans="1:9" x14ac:dyDescent="0.2">
      <c r="A91" t="s">
        <v>57</v>
      </c>
      <c r="B91">
        <v>48</v>
      </c>
      <c r="C91">
        <v>5</v>
      </c>
      <c r="D91">
        <v>10</v>
      </c>
      <c r="E91">
        <v>0</v>
      </c>
      <c r="F91">
        <v>164.63313342199899</v>
      </c>
      <c r="G91">
        <v>17</v>
      </c>
      <c r="H91">
        <v>10000</v>
      </c>
      <c r="I91" t="s">
        <v>403</v>
      </c>
    </row>
    <row r="92" spans="1:9" x14ac:dyDescent="0.2">
      <c r="A92" t="s">
        <v>57</v>
      </c>
      <c r="B92">
        <v>48</v>
      </c>
      <c r="C92">
        <v>5</v>
      </c>
      <c r="D92">
        <v>10</v>
      </c>
      <c r="E92">
        <v>0</v>
      </c>
      <c r="F92">
        <v>165.356943406</v>
      </c>
      <c r="G92">
        <v>14</v>
      </c>
      <c r="H92">
        <v>10000</v>
      </c>
      <c r="I92" t="s">
        <v>404</v>
      </c>
    </row>
    <row r="93" spans="1:9" x14ac:dyDescent="0.2">
      <c r="A93" t="s">
        <v>57</v>
      </c>
      <c r="B93">
        <v>48</v>
      </c>
      <c r="C93">
        <v>5</v>
      </c>
      <c r="D93">
        <v>10</v>
      </c>
      <c r="E93">
        <v>0</v>
      </c>
      <c r="F93">
        <v>165.68394236799901</v>
      </c>
      <c r="G93">
        <v>14</v>
      </c>
      <c r="H93">
        <v>10000</v>
      </c>
      <c r="I93" t="s">
        <v>405</v>
      </c>
    </row>
    <row r="94" spans="1:9" x14ac:dyDescent="0.2">
      <c r="A94" t="s">
        <v>57</v>
      </c>
      <c r="B94">
        <v>48</v>
      </c>
      <c r="C94">
        <v>5</v>
      </c>
      <c r="D94">
        <v>10</v>
      </c>
      <c r="E94">
        <v>0</v>
      </c>
      <c r="F94">
        <v>165.007985676</v>
      </c>
      <c r="G94">
        <v>27</v>
      </c>
      <c r="H94">
        <v>10000</v>
      </c>
      <c r="I94" t="s">
        <v>406</v>
      </c>
    </row>
    <row r="95" spans="1:9" x14ac:dyDescent="0.2">
      <c r="A95" t="s">
        <v>57</v>
      </c>
      <c r="B95">
        <v>48</v>
      </c>
      <c r="C95">
        <v>5</v>
      </c>
      <c r="D95">
        <v>10</v>
      </c>
      <c r="E95">
        <v>0</v>
      </c>
      <c r="F95">
        <v>164.98778354299901</v>
      </c>
      <c r="G95">
        <v>22</v>
      </c>
      <c r="H95">
        <v>10000</v>
      </c>
      <c r="I95" t="s">
        <v>407</v>
      </c>
    </row>
    <row r="96" spans="1:9" x14ac:dyDescent="0.2">
      <c r="A96" t="s">
        <v>57</v>
      </c>
      <c r="B96">
        <v>48</v>
      </c>
      <c r="C96">
        <v>5</v>
      </c>
      <c r="D96">
        <v>10</v>
      </c>
      <c r="E96">
        <v>0</v>
      </c>
      <c r="F96">
        <v>163.405423332998</v>
      </c>
      <c r="G96">
        <v>31</v>
      </c>
      <c r="H96">
        <v>10000</v>
      </c>
      <c r="I96" t="s">
        <v>408</v>
      </c>
    </row>
    <row r="97" spans="1:9" x14ac:dyDescent="0.2">
      <c r="A97" t="s">
        <v>57</v>
      </c>
      <c r="B97">
        <v>48</v>
      </c>
      <c r="C97">
        <v>5</v>
      </c>
      <c r="D97">
        <v>10</v>
      </c>
      <c r="E97">
        <v>0</v>
      </c>
      <c r="F97">
        <v>164.264289031001</v>
      </c>
      <c r="G97">
        <v>15</v>
      </c>
      <c r="H97">
        <v>10000</v>
      </c>
      <c r="I97" t="s">
        <v>409</v>
      </c>
    </row>
    <row r="98" spans="1:9" x14ac:dyDescent="0.2">
      <c r="A98" t="s">
        <v>57</v>
      </c>
      <c r="B98">
        <v>48</v>
      </c>
      <c r="C98">
        <v>5</v>
      </c>
      <c r="D98">
        <v>10</v>
      </c>
      <c r="E98">
        <v>0</v>
      </c>
      <c r="F98">
        <v>163.57501708099801</v>
      </c>
      <c r="G98">
        <v>14</v>
      </c>
      <c r="H98">
        <v>10000</v>
      </c>
      <c r="I98" t="s">
        <v>410</v>
      </c>
    </row>
    <row r="99" spans="1:9" x14ac:dyDescent="0.2">
      <c r="A99" t="s">
        <v>57</v>
      </c>
      <c r="B99">
        <v>48</v>
      </c>
      <c r="C99">
        <v>5</v>
      </c>
      <c r="D99">
        <v>10</v>
      </c>
      <c r="E99">
        <v>0</v>
      </c>
      <c r="F99">
        <v>166.19181621600001</v>
      </c>
      <c r="G99">
        <v>11</v>
      </c>
      <c r="H99">
        <v>10000</v>
      </c>
      <c r="I99" t="s">
        <v>411</v>
      </c>
    </row>
    <row r="100" spans="1:9" x14ac:dyDescent="0.2">
      <c r="A100" t="s">
        <v>57</v>
      </c>
      <c r="B100">
        <v>48</v>
      </c>
      <c r="C100">
        <v>5</v>
      </c>
      <c r="D100">
        <v>10</v>
      </c>
      <c r="E100">
        <v>0</v>
      </c>
      <c r="F100">
        <v>179.87611038199901</v>
      </c>
      <c r="G100">
        <v>15</v>
      </c>
      <c r="H100">
        <v>10000</v>
      </c>
      <c r="I100" t="s">
        <v>412</v>
      </c>
    </row>
    <row r="101" spans="1:9" x14ac:dyDescent="0.2">
      <c r="A101" t="s">
        <v>57</v>
      </c>
      <c r="B101">
        <v>48</v>
      </c>
      <c r="C101">
        <v>5</v>
      </c>
      <c r="D101">
        <v>10</v>
      </c>
      <c r="E101">
        <v>0</v>
      </c>
      <c r="F101">
        <v>161.35149185</v>
      </c>
      <c r="G101">
        <v>18</v>
      </c>
      <c r="H101">
        <v>10000</v>
      </c>
      <c r="I101" t="s">
        <v>413</v>
      </c>
    </row>
    <row r="102" spans="1:9" x14ac:dyDescent="0.2">
      <c r="A102" t="s">
        <v>57</v>
      </c>
      <c r="B102">
        <v>48</v>
      </c>
      <c r="C102">
        <v>5</v>
      </c>
      <c r="D102">
        <v>10</v>
      </c>
      <c r="E102">
        <v>0</v>
      </c>
      <c r="F102">
        <v>162.24603711699999</v>
      </c>
      <c r="G102">
        <v>9</v>
      </c>
      <c r="H102">
        <v>10000</v>
      </c>
      <c r="I102" t="s">
        <v>414</v>
      </c>
    </row>
    <row r="103" spans="1:9" x14ac:dyDescent="0.2">
      <c r="A103" t="s">
        <v>57</v>
      </c>
      <c r="B103">
        <v>48</v>
      </c>
      <c r="C103">
        <v>5</v>
      </c>
      <c r="D103">
        <v>10</v>
      </c>
      <c r="E103">
        <v>0</v>
      </c>
      <c r="F103">
        <v>160.77573189500001</v>
      </c>
      <c r="G103">
        <v>13</v>
      </c>
      <c r="H103">
        <v>10000</v>
      </c>
      <c r="I103" t="s">
        <v>415</v>
      </c>
    </row>
    <row r="104" spans="1:9" x14ac:dyDescent="0.2">
      <c r="A104" t="s">
        <v>57</v>
      </c>
      <c r="B104">
        <v>48</v>
      </c>
      <c r="C104">
        <v>5</v>
      </c>
      <c r="D104">
        <v>10</v>
      </c>
      <c r="E104">
        <v>0</v>
      </c>
      <c r="F104">
        <v>161.56456660299901</v>
      </c>
      <c r="G104">
        <v>18</v>
      </c>
      <c r="H104">
        <v>10000</v>
      </c>
      <c r="I104" t="s">
        <v>416</v>
      </c>
    </row>
    <row r="105" spans="1:9" x14ac:dyDescent="0.2">
      <c r="A105" t="s">
        <v>57</v>
      </c>
      <c r="B105">
        <v>48</v>
      </c>
      <c r="C105">
        <v>5</v>
      </c>
      <c r="D105">
        <v>10</v>
      </c>
      <c r="E105">
        <v>0</v>
      </c>
      <c r="F105">
        <v>161.31954382199899</v>
      </c>
      <c r="G105">
        <v>24</v>
      </c>
      <c r="H105">
        <v>10000</v>
      </c>
      <c r="I105" t="s">
        <v>417</v>
      </c>
    </row>
    <row r="106" spans="1:9" x14ac:dyDescent="0.2">
      <c r="A106" t="s">
        <v>57</v>
      </c>
      <c r="B106">
        <v>48</v>
      </c>
      <c r="C106">
        <v>5</v>
      </c>
      <c r="D106">
        <v>10</v>
      </c>
      <c r="E106">
        <v>0</v>
      </c>
      <c r="F106">
        <v>161.974181579</v>
      </c>
      <c r="G106">
        <v>17</v>
      </c>
      <c r="H106">
        <v>10000</v>
      </c>
      <c r="I106" t="s">
        <v>418</v>
      </c>
    </row>
    <row r="107" spans="1:9" x14ac:dyDescent="0.2">
      <c r="A107" t="s">
        <v>57</v>
      </c>
      <c r="B107">
        <v>48</v>
      </c>
      <c r="C107">
        <v>5</v>
      </c>
      <c r="D107">
        <v>10</v>
      </c>
      <c r="E107">
        <v>0</v>
      </c>
      <c r="F107">
        <v>162.02960694800001</v>
      </c>
      <c r="G107">
        <v>22</v>
      </c>
      <c r="H107">
        <v>10000</v>
      </c>
      <c r="I107" t="s">
        <v>419</v>
      </c>
    </row>
    <row r="108" spans="1:9" x14ac:dyDescent="0.2">
      <c r="A108" t="s">
        <v>57</v>
      </c>
      <c r="B108">
        <v>48</v>
      </c>
      <c r="C108">
        <v>5</v>
      </c>
      <c r="D108">
        <v>10</v>
      </c>
      <c r="E108">
        <v>0</v>
      </c>
      <c r="F108">
        <v>161.41032985499899</v>
      </c>
      <c r="G108">
        <v>18</v>
      </c>
      <c r="H108">
        <v>10000</v>
      </c>
      <c r="I108" t="s">
        <v>420</v>
      </c>
    </row>
    <row r="109" spans="1:9" x14ac:dyDescent="0.2">
      <c r="A109" t="s">
        <v>57</v>
      </c>
      <c r="B109">
        <v>48</v>
      </c>
      <c r="C109">
        <v>5</v>
      </c>
      <c r="D109">
        <v>10</v>
      </c>
      <c r="E109">
        <v>0</v>
      </c>
      <c r="F109">
        <v>162.09621802000001</v>
      </c>
      <c r="G109">
        <v>22</v>
      </c>
      <c r="H109">
        <v>10000</v>
      </c>
      <c r="I109" t="s">
        <v>421</v>
      </c>
    </row>
    <row r="110" spans="1:9" x14ac:dyDescent="0.2">
      <c r="A110" t="s">
        <v>57</v>
      </c>
      <c r="B110">
        <v>48</v>
      </c>
      <c r="C110">
        <v>5</v>
      </c>
      <c r="D110">
        <v>10</v>
      </c>
      <c r="E110">
        <v>0</v>
      </c>
      <c r="F110">
        <v>161.60119340799901</v>
      </c>
      <c r="G110">
        <v>20</v>
      </c>
      <c r="H110">
        <v>10000</v>
      </c>
      <c r="I110" t="s">
        <v>422</v>
      </c>
    </row>
    <row r="111" spans="1:9" x14ac:dyDescent="0.2">
      <c r="A111" t="s">
        <v>57</v>
      </c>
      <c r="B111">
        <v>48</v>
      </c>
      <c r="C111">
        <v>5</v>
      </c>
      <c r="D111">
        <v>10</v>
      </c>
      <c r="E111">
        <v>0</v>
      </c>
      <c r="F111">
        <v>161.919705706999</v>
      </c>
      <c r="G111">
        <v>11</v>
      </c>
      <c r="H111">
        <v>10000</v>
      </c>
      <c r="I111" t="s">
        <v>423</v>
      </c>
    </row>
    <row r="112" spans="1:9" x14ac:dyDescent="0.2">
      <c r="A112" t="s">
        <v>57</v>
      </c>
      <c r="B112">
        <v>48</v>
      </c>
      <c r="C112">
        <v>5</v>
      </c>
      <c r="D112">
        <v>10</v>
      </c>
      <c r="E112">
        <v>0</v>
      </c>
      <c r="F112">
        <v>163.34822886199899</v>
      </c>
      <c r="G112">
        <v>19</v>
      </c>
      <c r="H112">
        <v>10000</v>
      </c>
      <c r="I112" t="s">
        <v>424</v>
      </c>
    </row>
    <row r="113" spans="1:9" x14ac:dyDescent="0.2">
      <c r="A113" t="s">
        <v>57</v>
      </c>
      <c r="B113">
        <v>48</v>
      </c>
      <c r="C113">
        <v>5</v>
      </c>
      <c r="D113">
        <v>10</v>
      </c>
      <c r="E113">
        <v>0</v>
      </c>
      <c r="F113">
        <v>162.756676733999</v>
      </c>
      <c r="G113">
        <v>17</v>
      </c>
      <c r="H113">
        <v>10000</v>
      </c>
      <c r="I113" t="s">
        <v>425</v>
      </c>
    </row>
    <row r="114" spans="1:9" x14ac:dyDescent="0.2">
      <c r="A114" t="s">
        <v>57</v>
      </c>
      <c r="B114">
        <v>48</v>
      </c>
      <c r="C114">
        <v>5</v>
      </c>
      <c r="D114">
        <v>10</v>
      </c>
      <c r="E114">
        <v>0</v>
      </c>
      <c r="F114">
        <v>163.328507452</v>
      </c>
      <c r="G114">
        <v>15</v>
      </c>
      <c r="H114">
        <v>10000</v>
      </c>
      <c r="I114" t="s">
        <v>426</v>
      </c>
    </row>
    <row r="115" spans="1:9" x14ac:dyDescent="0.2">
      <c r="A115" t="s">
        <v>57</v>
      </c>
      <c r="B115">
        <v>48</v>
      </c>
      <c r="C115">
        <v>5</v>
      </c>
      <c r="D115">
        <v>10</v>
      </c>
      <c r="E115">
        <v>0</v>
      </c>
      <c r="F115">
        <v>163.22972480600001</v>
      </c>
      <c r="G115">
        <v>13</v>
      </c>
      <c r="H115">
        <v>10000</v>
      </c>
      <c r="I115" t="s">
        <v>427</v>
      </c>
    </row>
    <row r="116" spans="1:9" x14ac:dyDescent="0.2">
      <c r="A116" t="s">
        <v>57</v>
      </c>
      <c r="B116">
        <v>48</v>
      </c>
      <c r="C116">
        <v>5</v>
      </c>
      <c r="D116">
        <v>10</v>
      </c>
      <c r="E116">
        <v>0</v>
      </c>
      <c r="F116">
        <v>163.18604512099901</v>
      </c>
      <c r="G116">
        <v>15</v>
      </c>
      <c r="H116">
        <v>10000</v>
      </c>
      <c r="I116" t="s">
        <v>428</v>
      </c>
    </row>
    <row r="117" spans="1:9" x14ac:dyDescent="0.2">
      <c r="A117" t="s">
        <v>57</v>
      </c>
      <c r="B117">
        <v>48</v>
      </c>
      <c r="C117">
        <v>5</v>
      </c>
      <c r="D117">
        <v>10</v>
      </c>
      <c r="E117">
        <v>0</v>
      </c>
      <c r="F117">
        <v>162.924224786</v>
      </c>
      <c r="G117">
        <v>15</v>
      </c>
      <c r="H117">
        <v>10000</v>
      </c>
      <c r="I117" t="s">
        <v>429</v>
      </c>
    </row>
    <row r="118" spans="1:9" x14ac:dyDescent="0.2">
      <c r="A118" t="s">
        <v>57</v>
      </c>
      <c r="B118">
        <v>48</v>
      </c>
      <c r="C118">
        <v>5</v>
      </c>
      <c r="D118">
        <v>10</v>
      </c>
      <c r="E118">
        <v>0</v>
      </c>
      <c r="F118">
        <v>163.26143194999801</v>
      </c>
      <c r="G118">
        <v>14</v>
      </c>
      <c r="H118">
        <v>10000</v>
      </c>
      <c r="I118" t="s">
        <v>430</v>
      </c>
    </row>
    <row r="119" spans="1:9" x14ac:dyDescent="0.2">
      <c r="A119" t="s">
        <v>57</v>
      </c>
      <c r="B119">
        <v>48</v>
      </c>
      <c r="C119">
        <v>5</v>
      </c>
      <c r="D119">
        <v>10</v>
      </c>
      <c r="E119">
        <v>0</v>
      </c>
      <c r="F119">
        <v>162.91679086900101</v>
      </c>
      <c r="G119">
        <v>13</v>
      </c>
      <c r="H119">
        <v>10000</v>
      </c>
      <c r="I119" t="s">
        <v>431</v>
      </c>
    </row>
    <row r="120" spans="1:9" x14ac:dyDescent="0.2">
      <c r="A120" t="s">
        <v>57</v>
      </c>
      <c r="B120">
        <v>48</v>
      </c>
      <c r="C120">
        <v>5</v>
      </c>
      <c r="D120">
        <v>10</v>
      </c>
      <c r="E120">
        <v>0</v>
      </c>
      <c r="F120">
        <v>163.72361485699901</v>
      </c>
      <c r="G120">
        <v>20</v>
      </c>
      <c r="H120">
        <v>10000</v>
      </c>
      <c r="I120" t="s">
        <v>432</v>
      </c>
    </row>
    <row r="121" spans="1:9" x14ac:dyDescent="0.2">
      <c r="A121" t="s">
        <v>57</v>
      </c>
      <c r="B121">
        <v>48</v>
      </c>
      <c r="C121">
        <v>5</v>
      </c>
      <c r="D121">
        <v>10</v>
      </c>
      <c r="E121">
        <v>0</v>
      </c>
      <c r="F121">
        <v>162.845223398</v>
      </c>
      <c r="G121">
        <v>18</v>
      </c>
      <c r="H121">
        <v>10000</v>
      </c>
      <c r="I121" t="s">
        <v>433</v>
      </c>
    </row>
    <row r="122" spans="1:9" x14ac:dyDescent="0.2">
      <c r="A122" t="s">
        <v>57</v>
      </c>
      <c r="B122">
        <v>48</v>
      </c>
      <c r="C122">
        <v>5</v>
      </c>
      <c r="D122">
        <v>10</v>
      </c>
      <c r="E122">
        <v>0</v>
      </c>
      <c r="F122">
        <v>163.563601627</v>
      </c>
      <c r="G122">
        <v>17</v>
      </c>
      <c r="H122">
        <v>10000</v>
      </c>
      <c r="I122" t="s">
        <v>434</v>
      </c>
    </row>
    <row r="123" spans="1:9" x14ac:dyDescent="0.2">
      <c r="A123" t="s">
        <v>57</v>
      </c>
      <c r="B123">
        <v>48</v>
      </c>
      <c r="C123">
        <v>5</v>
      </c>
      <c r="D123">
        <v>10</v>
      </c>
      <c r="E123">
        <v>0</v>
      </c>
      <c r="F123">
        <v>314.44196857299897</v>
      </c>
      <c r="G123">
        <v>10</v>
      </c>
      <c r="H123">
        <v>10000</v>
      </c>
      <c r="I123" t="s">
        <v>435</v>
      </c>
    </row>
    <row r="124" spans="1:9" x14ac:dyDescent="0.2">
      <c r="A124" t="s">
        <v>57</v>
      </c>
      <c r="B124">
        <v>48</v>
      </c>
      <c r="C124">
        <v>5</v>
      </c>
      <c r="D124">
        <v>10</v>
      </c>
      <c r="E124">
        <v>0</v>
      </c>
      <c r="F124">
        <v>157.65897143900099</v>
      </c>
      <c r="G124">
        <v>23</v>
      </c>
      <c r="H124">
        <v>10000</v>
      </c>
      <c r="I124" t="s">
        <v>436</v>
      </c>
    </row>
    <row r="125" spans="1:9" x14ac:dyDescent="0.2">
      <c r="A125" t="s">
        <v>57</v>
      </c>
      <c r="B125">
        <v>48</v>
      </c>
      <c r="C125">
        <v>5</v>
      </c>
      <c r="D125">
        <v>10</v>
      </c>
      <c r="E125">
        <v>0</v>
      </c>
      <c r="F125">
        <v>158.37560856299899</v>
      </c>
      <c r="G125">
        <v>14</v>
      </c>
      <c r="H125">
        <v>10000</v>
      </c>
      <c r="I125" t="s">
        <v>437</v>
      </c>
    </row>
    <row r="126" spans="1:9" x14ac:dyDescent="0.2">
      <c r="A126" t="s">
        <v>57</v>
      </c>
      <c r="B126">
        <v>48</v>
      </c>
      <c r="C126">
        <v>5</v>
      </c>
      <c r="D126">
        <v>10</v>
      </c>
      <c r="E126">
        <v>0</v>
      </c>
      <c r="F126">
        <v>156.59573616499901</v>
      </c>
      <c r="G126">
        <v>11</v>
      </c>
      <c r="H126">
        <v>10000</v>
      </c>
      <c r="I126" t="s">
        <v>438</v>
      </c>
    </row>
    <row r="127" spans="1:9" x14ac:dyDescent="0.2">
      <c r="A127" t="s">
        <v>57</v>
      </c>
      <c r="B127">
        <v>48</v>
      </c>
      <c r="C127">
        <v>5</v>
      </c>
      <c r="D127">
        <v>10</v>
      </c>
      <c r="E127">
        <v>0</v>
      </c>
      <c r="F127">
        <v>158.910540384</v>
      </c>
      <c r="G127">
        <v>12</v>
      </c>
      <c r="H127">
        <v>10000</v>
      </c>
      <c r="I127" t="s">
        <v>439</v>
      </c>
    </row>
    <row r="128" spans="1:9" x14ac:dyDescent="0.2">
      <c r="A128" t="s">
        <v>57</v>
      </c>
      <c r="B128">
        <v>48</v>
      </c>
      <c r="C128">
        <v>5</v>
      </c>
      <c r="D128">
        <v>10</v>
      </c>
      <c r="E128">
        <v>0</v>
      </c>
      <c r="F128">
        <v>157.468580683</v>
      </c>
      <c r="G128">
        <v>16</v>
      </c>
      <c r="H128">
        <v>10000</v>
      </c>
      <c r="I128" t="s">
        <v>440</v>
      </c>
    </row>
    <row r="129" spans="1:9" x14ac:dyDescent="0.2">
      <c r="A129" t="s">
        <v>57</v>
      </c>
      <c r="B129">
        <v>48</v>
      </c>
      <c r="C129">
        <v>5</v>
      </c>
      <c r="D129">
        <v>10</v>
      </c>
      <c r="E129">
        <v>0</v>
      </c>
      <c r="F129">
        <v>157.314606873998</v>
      </c>
      <c r="G129">
        <v>12</v>
      </c>
      <c r="H129">
        <v>10000</v>
      </c>
      <c r="I129" t="s">
        <v>441</v>
      </c>
    </row>
    <row r="130" spans="1:9" x14ac:dyDescent="0.2">
      <c r="A130" t="s">
        <v>57</v>
      </c>
      <c r="B130">
        <v>48</v>
      </c>
      <c r="C130">
        <v>5</v>
      </c>
      <c r="D130">
        <v>10</v>
      </c>
      <c r="E130">
        <v>0</v>
      </c>
      <c r="F130">
        <v>157.798109737001</v>
      </c>
      <c r="G130">
        <v>18</v>
      </c>
      <c r="H130">
        <v>10000</v>
      </c>
      <c r="I130" t="s">
        <v>442</v>
      </c>
    </row>
    <row r="131" spans="1:9" x14ac:dyDescent="0.2">
      <c r="A131" t="s">
        <v>57</v>
      </c>
      <c r="B131">
        <v>48</v>
      </c>
      <c r="C131">
        <v>5</v>
      </c>
      <c r="D131">
        <v>10</v>
      </c>
      <c r="E131">
        <v>0</v>
      </c>
      <c r="F131">
        <v>158.46298178999999</v>
      </c>
      <c r="G131">
        <v>18</v>
      </c>
      <c r="H131">
        <v>10000</v>
      </c>
      <c r="I131" t="s">
        <v>443</v>
      </c>
    </row>
    <row r="132" spans="1:9" x14ac:dyDescent="0.2">
      <c r="A132" t="s">
        <v>57</v>
      </c>
      <c r="B132">
        <v>48</v>
      </c>
      <c r="C132">
        <v>5</v>
      </c>
      <c r="D132">
        <v>10</v>
      </c>
      <c r="E132">
        <v>0</v>
      </c>
      <c r="F132">
        <v>157.653351966999</v>
      </c>
      <c r="G132">
        <v>16</v>
      </c>
      <c r="H132">
        <v>10000</v>
      </c>
      <c r="I132" t="s">
        <v>444</v>
      </c>
    </row>
    <row r="133" spans="1:9" x14ac:dyDescent="0.2">
      <c r="A133" t="s">
        <v>57</v>
      </c>
      <c r="B133">
        <v>48</v>
      </c>
      <c r="C133">
        <v>5</v>
      </c>
      <c r="D133">
        <v>10</v>
      </c>
      <c r="E133">
        <v>0</v>
      </c>
      <c r="F133">
        <v>157.01265188099899</v>
      </c>
      <c r="G133">
        <v>15</v>
      </c>
      <c r="H133">
        <v>10000</v>
      </c>
      <c r="I133" t="s">
        <v>445</v>
      </c>
    </row>
    <row r="134" spans="1:9" x14ac:dyDescent="0.2">
      <c r="A134" t="s">
        <v>57</v>
      </c>
      <c r="B134">
        <v>48</v>
      </c>
      <c r="C134">
        <v>5</v>
      </c>
      <c r="D134">
        <v>10</v>
      </c>
      <c r="E134">
        <v>0</v>
      </c>
      <c r="F134">
        <v>157.05164893700001</v>
      </c>
      <c r="G134">
        <v>21</v>
      </c>
      <c r="H134">
        <v>10000</v>
      </c>
      <c r="I134" t="s">
        <v>446</v>
      </c>
    </row>
    <row r="135" spans="1:9" x14ac:dyDescent="0.2">
      <c r="A135" t="s">
        <v>57</v>
      </c>
      <c r="B135">
        <v>48</v>
      </c>
      <c r="C135">
        <v>5</v>
      </c>
      <c r="D135">
        <v>10</v>
      </c>
      <c r="E135">
        <v>0</v>
      </c>
      <c r="F135">
        <v>158.67066620200001</v>
      </c>
      <c r="G135">
        <v>16</v>
      </c>
      <c r="H135">
        <v>10000</v>
      </c>
      <c r="I135" t="s">
        <v>447</v>
      </c>
    </row>
    <row r="136" spans="1:9" x14ac:dyDescent="0.2">
      <c r="A136" t="s">
        <v>57</v>
      </c>
      <c r="B136">
        <v>48</v>
      </c>
      <c r="C136">
        <v>5</v>
      </c>
      <c r="D136">
        <v>10</v>
      </c>
      <c r="E136">
        <v>0</v>
      </c>
      <c r="F136">
        <v>158.972566903999</v>
      </c>
      <c r="G136">
        <v>18</v>
      </c>
      <c r="H136">
        <v>10000</v>
      </c>
      <c r="I136" t="s">
        <v>448</v>
      </c>
    </row>
    <row r="137" spans="1:9" x14ac:dyDescent="0.2">
      <c r="A137" t="s">
        <v>57</v>
      </c>
      <c r="B137">
        <v>48</v>
      </c>
      <c r="C137">
        <v>5</v>
      </c>
      <c r="D137">
        <v>10</v>
      </c>
      <c r="E137">
        <v>0</v>
      </c>
      <c r="F137">
        <v>157.356552716999</v>
      </c>
      <c r="G137">
        <v>19</v>
      </c>
      <c r="H137">
        <v>10000</v>
      </c>
      <c r="I137" t="s">
        <v>449</v>
      </c>
    </row>
    <row r="138" spans="1:9" x14ac:dyDescent="0.2">
      <c r="A138" t="s">
        <v>57</v>
      </c>
      <c r="B138">
        <v>48</v>
      </c>
      <c r="C138">
        <v>5</v>
      </c>
      <c r="D138">
        <v>10</v>
      </c>
      <c r="E138">
        <v>0</v>
      </c>
      <c r="F138">
        <v>158.09511402699999</v>
      </c>
      <c r="G138">
        <v>9</v>
      </c>
      <c r="H138">
        <v>10000</v>
      </c>
      <c r="I138" t="s">
        <v>450</v>
      </c>
    </row>
    <row r="139" spans="1:9" x14ac:dyDescent="0.2">
      <c r="A139" t="s">
        <v>57</v>
      </c>
      <c r="B139">
        <v>48</v>
      </c>
      <c r="C139">
        <v>5</v>
      </c>
      <c r="D139">
        <v>10</v>
      </c>
      <c r="E139">
        <v>0</v>
      </c>
      <c r="F139">
        <v>158.388806364</v>
      </c>
      <c r="G139">
        <v>15</v>
      </c>
      <c r="H139">
        <v>10000</v>
      </c>
      <c r="I139" t="s">
        <v>451</v>
      </c>
    </row>
    <row r="140" spans="1:9" x14ac:dyDescent="0.2">
      <c r="A140" t="s">
        <v>57</v>
      </c>
      <c r="B140">
        <v>48</v>
      </c>
      <c r="C140">
        <v>5</v>
      </c>
      <c r="D140">
        <v>10</v>
      </c>
      <c r="E140">
        <v>0</v>
      </c>
      <c r="F140">
        <v>157.11997639099701</v>
      </c>
      <c r="G140">
        <v>16</v>
      </c>
      <c r="H140">
        <v>10000</v>
      </c>
      <c r="I140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Webster</dc:creator>
  <cp:lastModifiedBy>Mark Webster</cp:lastModifiedBy>
  <dcterms:created xsi:type="dcterms:W3CDTF">2026-02-11T20:08:38Z</dcterms:created>
  <dcterms:modified xsi:type="dcterms:W3CDTF">2026-02-24T17:57:56Z</dcterms:modified>
</cp:coreProperties>
</file>