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9207F114-BA90-5E45-AC37-AECCBD5EFD77}" xr6:coauthVersionLast="47" xr6:coauthVersionMax="47" xr10:uidLastSave="{00000000-0000-0000-0000-000000000000}"/>
  <bookViews>
    <workbookView xWindow="140" yWindow="900" windowWidth="14480" windowHeight="17040" xr2:uid="{C3ADB0BE-7A80-7F44-999C-93B5C5D7E48D}"/>
  </bookViews>
  <sheets>
    <sheet name="analysis" sheetId="23" r:id="rId1"/>
    <sheet name="best" sheetId="20" r:id="rId2"/>
    <sheet name="magma" sheetId="15" r:id="rId3"/>
    <sheet name="CLISAT" sheetId="1" r:id="rId4"/>
    <sheet name="CCStim" sheetId="2" r:id="rId5"/>
    <sheet name="bposdO8I10" sheetId="14" r:id="rId6"/>
    <sheet name="bposd" sheetId="3" r:id="rId7"/>
    <sheet name="m4ri_CC-start1" sheetId="4" r:id="rId8"/>
    <sheet name="m4ri_CC" sheetId="18" r:id="rId9"/>
    <sheet name="GEStim" sheetId="6" r:id="rId10"/>
    <sheet name="m4ri_RW" sheetId="5" r:id="rId11"/>
    <sheet name="Gurobi" sheetId="7" r:id="rId12"/>
    <sheet name="MIP-SCIP" sheetId="8" r:id="rId13"/>
    <sheet name="QDistEvol" sheetId="9" r:id="rId14"/>
    <sheet name="QDistRndMW" sheetId="10" r:id="rId15"/>
    <sheet name="UEStim" sheetId="11" r:id="rId16"/>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3" l="1"/>
  <c r="HM67" i="23"/>
  <c r="HL67" i="23"/>
  <c r="HF67" i="23"/>
  <c r="HE67" i="23"/>
  <c r="HD67" i="23"/>
  <c r="HC67" i="23"/>
  <c r="HB67" i="23"/>
  <c r="GZ67" i="23"/>
  <c r="GY67" i="23"/>
  <c r="GX67" i="23"/>
  <c r="GW67" i="23"/>
  <c r="HK67" i="23" s="1"/>
  <c r="GV67" i="23"/>
  <c r="HJ67" i="23" s="1"/>
  <c r="GU67" i="23"/>
  <c r="HI67" i="23" s="1"/>
  <c r="GT67" i="23"/>
  <c r="HH67" i="23" s="1"/>
  <c r="GS67" i="23"/>
  <c r="HG67" i="23" s="1"/>
  <c r="GR67" i="23"/>
  <c r="GQ67" i="23"/>
  <c r="GP67" i="23"/>
  <c r="GO67" i="23"/>
  <c r="FZ67" i="23"/>
  <c r="DL67" i="23"/>
  <c r="CP67" i="23"/>
  <c r="DG67" i="23" s="1"/>
  <c r="DX67" i="23" s="1"/>
  <c r="EO67" i="23" s="1"/>
  <c r="FF67" i="23" s="1"/>
  <c r="CD67" i="23"/>
  <c r="CU67" i="23" s="1"/>
  <c r="CB67" i="23"/>
  <c r="CS67" i="23" s="1"/>
  <c r="DJ67" i="23" s="1"/>
  <c r="CA67" i="23"/>
  <c r="CR67" i="23" s="1"/>
  <c r="BV67" i="23"/>
  <c r="CM67" i="23" s="1"/>
  <c r="DD67" i="23" s="1"/>
  <c r="DU67" i="23" s="1"/>
  <c r="EL67" i="23" s="1"/>
  <c r="FC67" i="23" s="1"/>
  <c r="BU67" i="23"/>
  <c r="CL67" i="23" s="1"/>
  <c r="DC67" i="23" s="1"/>
  <c r="DT67" i="23" s="1"/>
  <c r="EK67" i="23" s="1"/>
  <c r="FB67" i="23" s="1"/>
  <c r="BJ67" i="23"/>
  <c r="BI67" i="23"/>
  <c r="BH67" i="23"/>
  <c r="BY67" i="23" s="1"/>
  <c r="BF67" i="23"/>
  <c r="BW67" i="23" s="1"/>
  <c r="CN67" i="23" s="1"/>
  <c r="DE67" i="23" s="1"/>
  <c r="DV67" i="23" s="1"/>
  <c r="EM67" i="23" s="1"/>
  <c r="FD67" i="23" s="1"/>
  <c r="AX67" i="23"/>
  <c r="AW67" i="23"/>
  <c r="AV67" i="23"/>
  <c r="AQ67" i="23"/>
  <c r="AZ67" i="23" s="1"/>
  <c r="AP67" i="23"/>
  <c r="AY67" i="23" s="1"/>
  <c r="AO67" i="23"/>
  <c r="AN67" i="23"/>
  <c r="AM67" i="23"/>
  <c r="AG67" i="23"/>
  <c r="BO67" i="23" s="1"/>
  <c r="AF67" i="23"/>
  <c r="BN67" i="23" s="1"/>
  <c r="AE67" i="23"/>
  <c r="BM67" i="23" s="1"/>
  <c r="AD67" i="23"/>
  <c r="BL67" i="23" s="1"/>
  <c r="CC67" i="23" s="1"/>
  <c r="CT67" i="23" s="1"/>
  <c r="AC67" i="23"/>
  <c r="BK67" i="23" s="1"/>
  <c r="AB67" i="23"/>
  <c r="AA67" i="23"/>
  <c r="Z67" i="23"/>
  <c r="Y67" i="23"/>
  <c r="BG67" i="23" s="1"/>
  <c r="BX67" i="23" s="1"/>
  <c r="CO67" i="23" s="1"/>
  <c r="DF67" i="23" s="1"/>
  <c r="DW67" i="23" s="1"/>
  <c r="EN67" i="23" s="1"/>
  <c r="FE67" i="23" s="1"/>
  <c r="X67" i="23"/>
  <c r="W67" i="23"/>
  <c r="BE67" i="23" s="1"/>
  <c r="V67" i="23"/>
  <c r="BD67" i="23" s="1"/>
  <c r="FT66" i="23"/>
  <c r="FT65" i="23"/>
  <c r="A55" i="23"/>
  <c r="M54" i="23"/>
  <c r="A54" i="23"/>
  <c r="M53" i="23"/>
  <c r="A53" i="23"/>
  <c r="M52" i="23"/>
  <c r="A52" i="23"/>
  <c r="M51" i="23"/>
  <c r="A51" i="23"/>
  <c r="M50" i="23"/>
  <c r="A50" i="23"/>
  <c r="M49" i="23"/>
  <c r="A49" i="23"/>
  <c r="M48" i="23"/>
  <c r="A48" i="23"/>
  <c r="M47" i="23"/>
  <c r="A47" i="23"/>
  <c r="M46" i="23"/>
  <c r="A46" i="23"/>
  <c r="R45" i="23"/>
  <c r="Q45" i="23"/>
  <c r="P45" i="23" s="1"/>
  <c r="O45" i="23" s="1"/>
  <c r="N45" i="23" s="1"/>
  <c r="M45" i="23"/>
  <c r="H45" i="23"/>
  <c r="G45" i="23"/>
  <c r="F45" i="23" s="1"/>
  <c r="E45" i="23" s="1"/>
  <c r="D45" i="23" s="1"/>
  <c r="C45" i="23"/>
  <c r="B45" i="23"/>
  <c r="A45" i="23"/>
  <c r="FX38" i="23"/>
  <c r="FX37" i="23"/>
  <c r="FX36" i="23"/>
  <c r="FX35" i="23"/>
  <c r="FX34" i="23"/>
  <c r="U15" i="23"/>
  <c r="N3" i="23"/>
  <c r="A1" i="23" a="1"/>
  <c r="A1" i="23" s="1"/>
  <c r="B64" i="23"/>
  <c r="DK67" i="23" l="1"/>
  <c r="CE67" i="23"/>
  <c r="CV67" i="23" s="1"/>
  <c r="CF67" i="23"/>
  <c r="CW67" i="23" s="1"/>
  <c r="EA67" i="23"/>
  <c r="BZ67" i="23"/>
  <c r="CQ67" i="23" s="1"/>
  <c r="EC67" i="23"/>
  <c r="DI67" i="23"/>
  <c r="A77" i="23" a="1"/>
  <c r="B74" i="23" a="1"/>
  <c r="B76" i="23" a="1"/>
  <c r="B85" i="23" a="1"/>
  <c r="B77" i="23" a="1"/>
  <c r="A73" i="23" a="1"/>
  <c r="A83" i="23" a="1"/>
  <c r="B79" i="23" a="1"/>
  <c r="B83" i="23" a="1"/>
  <c r="B80" i="23" a="1"/>
  <c r="B81" i="23" a="1"/>
  <c r="B68" i="23" a="1"/>
  <c r="A72" i="23" a="1"/>
  <c r="A85" i="23" a="1"/>
  <c r="B69" i="23" a="1"/>
  <c r="B72" i="23" a="1"/>
  <c r="B71" i="23" a="1"/>
  <c r="A78" i="23" a="1"/>
  <c r="A68" i="23" a="1"/>
  <c r="A86" i="23" a="1"/>
  <c r="B84" i="23" a="1"/>
  <c r="B86" i="23" a="1"/>
  <c r="A81" i="23" a="1"/>
  <c r="B82" i="23" a="1"/>
  <c r="B70" i="23" a="1"/>
  <c r="A70" i="23" a="1"/>
  <c r="A79" i="23" a="1"/>
  <c r="A76" i="23" a="1"/>
  <c r="B73" i="23" a="1"/>
  <c r="B75" i="23" a="1"/>
  <c r="A69" i="23" a="1"/>
  <c r="A80" i="23" a="1"/>
  <c r="A74" i="23" a="1"/>
  <c r="A82" i="23" a="1"/>
  <c r="A75" i="23" a="1"/>
  <c r="A84" i="23" a="1"/>
  <c r="A71" i="23" a="1"/>
  <c r="B78" i="23" a="1"/>
  <c r="A77" i="23" l="1"/>
  <c r="A83" i="23"/>
  <c r="A79" i="23"/>
  <c r="A70" i="23"/>
  <c r="B79" i="23"/>
  <c r="B75" i="23"/>
  <c r="A69" i="23"/>
  <c r="B68" i="23"/>
  <c r="A72" i="23"/>
  <c r="B70" i="23"/>
  <c r="A82" i="23"/>
  <c r="A74" i="23"/>
  <c r="A78" i="23"/>
  <c r="B71" i="23"/>
  <c r="A84" i="23"/>
  <c r="B83" i="23"/>
  <c r="B86" i="23"/>
  <c r="A81" i="23"/>
  <c r="A85" i="23"/>
  <c r="B77" i="23"/>
  <c r="A73" i="23"/>
  <c r="B81" i="23"/>
  <c r="B82" i="23"/>
  <c r="B78" i="23"/>
  <c r="A75" i="23"/>
  <c r="B72" i="23"/>
  <c r="A86" i="23"/>
  <c r="B84" i="23"/>
  <c r="B74" i="23"/>
  <c r="A71" i="23"/>
  <c r="B76" i="23"/>
  <c r="B69" i="23"/>
  <c r="A80" i="23"/>
  <c r="B80" i="23"/>
  <c r="A68" i="23"/>
  <c r="A76" i="23"/>
  <c r="B73" i="23"/>
  <c r="B85" i="23"/>
  <c r="DM67" i="23"/>
  <c r="EB67" i="23"/>
  <c r="ET67" i="23"/>
  <c r="FK67" i="23" s="1"/>
  <c r="ER67" i="23"/>
  <c r="FI67" i="23" s="1"/>
  <c r="DH67" i="23"/>
  <c r="DZ67" i="23"/>
  <c r="DN67" i="23"/>
  <c r="FS73" i="23" l="1"/>
  <c r="GN73" i="23"/>
  <c r="FS72" i="23"/>
  <c r="GN72" i="23"/>
  <c r="FS77" i="23"/>
  <c r="GN77" i="23"/>
  <c r="FS85" i="23"/>
  <c r="GN85" i="23"/>
  <c r="FS80" i="23"/>
  <c r="GN80" i="23"/>
  <c r="FS84" i="23"/>
  <c r="GN84" i="23"/>
  <c r="ED67" i="23"/>
  <c r="FS82" i="23"/>
  <c r="GN82" i="23"/>
  <c r="FS86" i="23"/>
  <c r="GN86" i="23"/>
  <c r="FS68" i="23"/>
  <c r="GN68" i="23"/>
  <c r="D3" i="23"/>
  <c r="N4" i="23" s="1"/>
  <c r="F3" i="23"/>
  <c r="GN75" i="23"/>
  <c r="FS75" i="23"/>
  <c r="EQ67" i="23"/>
  <c r="FH67" i="23" s="1"/>
  <c r="FS69" i="23"/>
  <c r="GN69" i="23"/>
  <c r="FS70" i="23"/>
  <c r="GN70" i="23"/>
  <c r="GN76" i="23"/>
  <c r="FS76" i="23"/>
  <c r="FS71" i="23"/>
  <c r="GN71" i="23"/>
  <c r="GN74" i="23"/>
  <c r="FS74" i="23"/>
  <c r="FS81" i="23"/>
  <c r="GN81" i="23"/>
  <c r="FS83" i="23"/>
  <c r="GN83" i="23"/>
  <c r="DY67" i="23"/>
  <c r="EP67" i="23" s="1"/>
  <c r="FG67" i="23" s="1"/>
  <c r="ES67" i="23"/>
  <c r="FJ67" i="23" s="1"/>
  <c r="FS78" i="23"/>
  <c r="GN78" i="23"/>
  <c r="EE67" i="23"/>
  <c r="FS79" i="23"/>
  <c r="GN79" i="23"/>
  <c r="J68" i="23"/>
  <c r="E79" i="23"/>
  <c r="K72" i="23"/>
  <c r="P84" i="23"/>
  <c r="L79" i="23"/>
  <c r="K71" i="23"/>
  <c r="L68" i="23"/>
  <c r="M84" i="23"/>
  <c r="K81" i="23"/>
  <c r="F75" i="23"/>
  <c r="M68" i="23"/>
  <c r="I73" i="23"/>
  <c r="L69" i="23"/>
  <c r="P85" i="23"/>
  <c r="O78" i="23"/>
  <c r="H77" i="23"/>
  <c r="I75" i="23"/>
  <c r="J78" i="23"/>
  <c r="J76" i="23"/>
  <c r="O69" i="23"/>
  <c r="K82" i="23"/>
  <c r="F77" i="23"/>
  <c r="O81" i="23"/>
  <c r="H68" i="23"/>
  <c r="G75" i="23"/>
  <c r="F86" i="23"/>
  <c r="K78" i="23"/>
  <c r="P69" i="23"/>
  <c r="L84" i="23"/>
  <c r="H81" i="23"/>
  <c r="G68" i="23"/>
  <c r="P72" i="23"/>
  <c r="M69" i="23"/>
  <c r="J80" i="23"/>
  <c r="I69" i="23"/>
  <c r="L76" i="23"/>
  <c r="N81" i="23"/>
  <c r="L70" i="23"/>
  <c r="H73" i="23"/>
  <c r="P76" i="23"/>
  <c r="F72" i="23"/>
  <c r="L78" i="23"/>
  <c r="G74" i="23"/>
  <c r="E76" i="23"/>
  <c r="M76" i="23"/>
  <c r="I77" i="23"/>
  <c r="G80" i="23"/>
  <c r="F85" i="23"/>
  <c r="M86" i="23"/>
  <c r="N79" i="23"/>
  <c r="P75" i="23"/>
  <c r="H71" i="23"/>
  <c r="M70" i="23"/>
  <c r="E80" i="23"/>
  <c r="G81" i="23"/>
  <c r="K73" i="23"/>
  <c r="H86" i="23"/>
  <c r="G85" i="23"/>
  <c r="J72" i="23"/>
  <c r="E77" i="23"/>
  <c r="E73" i="23"/>
  <c r="O82" i="23"/>
  <c r="I74" i="23"/>
  <c r="P68" i="23"/>
  <c r="L71" i="23"/>
  <c r="I79" i="23"/>
  <c r="P86" i="23"/>
  <c r="J83" i="23"/>
  <c r="J77" i="23"/>
  <c r="N72" i="23"/>
  <c r="E83" i="23"/>
  <c r="M83" i="23"/>
  <c r="E71" i="23"/>
  <c r="H83" i="23"/>
  <c r="N69" i="23"/>
  <c r="E81" i="23"/>
  <c r="H85" i="23"/>
  <c r="F68" i="23"/>
  <c r="F80" i="23"/>
  <c r="L85" i="23"/>
  <c r="I71" i="23"/>
  <c r="F81" i="23"/>
  <c r="E78" i="23"/>
  <c r="G76" i="23"/>
  <c r="P78" i="23"/>
  <c r="I86" i="23"/>
  <c r="K79" i="23"/>
  <c r="G77" i="23"/>
  <c r="I70" i="23"/>
  <c r="N74" i="23"/>
  <c r="H78" i="23"/>
  <c r="H80" i="23"/>
  <c r="M79" i="23"/>
  <c r="M80" i="23"/>
  <c r="O72" i="23"/>
  <c r="O70" i="23"/>
  <c r="P71" i="23"/>
  <c r="I82" i="23"/>
  <c r="J79" i="23"/>
  <c r="N68" i="23"/>
  <c r="K74" i="23"/>
  <c r="N70" i="23"/>
  <c r="I78" i="23"/>
  <c r="N78" i="23"/>
  <c r="J75" i="23"/>
  <c r="M72" i="23"/>
  <c r="F78" i="23"/>
  <c r="L74" i="23"/>
  <c r="N82" i="23"/>
  <c r="I72" i="23"/>
  <c r="L72" i="23"/>
  <c r="F74" i="23"/>
  <c r="O71" i="23"/>
  <c r="F79" i="23"/>
  <c r="O86" i="23"/>
  <c r="O80" i="23"/>
  <c r="I83" i="23"/>
  <c r="J86" i="23"/>
  <c r="F83" i="23"/>
  <c r="J70" i="23"/>
  <c r="E86" i="23"/>
  <c r="J73" i="23"/>
  <c r="I80" i="23"/>
  <c r="E72" i="23"/>
  <c r="P70" i="23"/>
  <c r="G79" i="23"/>
  <c r="N73" i="23"/>
  <c r="G70" i="23"/>
  <c r="G72" i="23"/>
  <c r="O75" i="23"/>
  <c r="M73" i="23"/>
  <c r="L82" i="23"/>
  <c r="K77" i="23"/>
  <c r="F84" i="23"/>
  <c r="P73" i="23"/>
  <c r="L86" i="23"/>
  <c r="E85" i="23"/>
  <c r="I68" i="23"/>
  <c r="L73" i="23"/>
  <c r="H82" i="23"/>
  <c r="H74" i="23"/>
  <c r="E84" i="23"/>
  <c r="P79" i="23"/>
  <c r="P80" i="23"/>
  <c r="N80" i="23"/>
  <c r="F70" i="23"/>
  <c r="K76" i="23"/>
  <c r="N71" i="23"/>
  <c r="H76" i="23"/>
  <c r="H84" i="23"/>
  <c r="E75" i="23"/>
  <c r="J82" i="23"/>
  <c r="P74" i="23"/>
  <c r="G71" i="23"/>
  <c r="N84" i="23"/>
  <c r="M75" i="23"/>
  <c r="K70" i="23"/>
  <c r="N76" i="23"/>
  <c r="P83" i="23"/>
  <c r="G86" i="23"/>
  <c r="I76" i="23"/>
  <c r="G84" i="23"/>
  <c r="M82" i="23"/>
  <c r="P81" i="23"/>
  <c r="O77" i="23"/>
  <c r="P82" i="23"/>
  <c r="K85" i="23"/>
  <c r="L77" i="23"/>
  <c r="J85" i="23"/>
  <c r="H79" i="23"/>
  <c r="J74" i="23"/>
  <c r="L80" i="23"/>
  <c r="I81" i="23"/>
  <c r="L81" i="23"/>
  <c r="F76" i="23"/>
  <c r="M77" i="23"/>
  <c r="G78" i="23"/>
  <c r="F82" i="23"/>
  <c r="M78" i="23"/>
  <c r="N85" i="23"/>
  <c r="J84" i="23"/>
  <c r="I85" i="23"/>
  <c r="P77" i="23"/>
  <c r="O68" i="23"/>
  <c r="H75" i="23"/>
  <c r="G83" i="23"/>
  <c r="F73" i="23"/>
  <c r="E68" i="23"/>
  <c r="O79" i="23"/>
  <c r="N86" i="23"/>
  <c r="K83" i="23"/>
  <c r="K75" i="23"/>
  <c r="G69" i="23"/>
  <c r="J81" i="23"/>
  <c r="O83" i="23"/>
  <c r="H70" i="23"/>
  <c r="O73" i="23"/>
  <c r="O85" i="23"/>
  <c r="M71" i="23"/>
  <c r="K84" i="23"/>
  <c r="I84" i="23"/>
  <c r="E82" i="23"/>
  <c r="H72" i="23"/>
  <c r="M85" i="23"/>
  <c r="K86" i="23"/>
  <c r="N77" i="23"/>
  <c r="K68" i="23"/>
  <c r="H69" i="23"/>
  <c r="L83" i="23"/>
  <c r="J71" i="23"/>
  <c r="E69" i="23"/>
  <c r="M81" i="23"/>
  <c r="E74" i="23"/>
  <c r="O84" i="23"/>
  <c r="E70" i="23"/>
  <c r="G73" i="23"/>
  <c r="J69" i="23"/>
  <c r="O74" i="23"/>
  <c r="L75" i="23"/>
  <c r="O76" i="23"/>
  <c r="F69" i="23"/>
  <c r="G82" i="23"/>
  <c r="F71" i="23"/>
  <c r="N83" i="23"/>
  <c r="M74" i="23"/>
  <c r="N75" i="23"/>
  <c r="K80" i="23"/>
  <c r="K69" i="23"/>
  <c r="FJ81" i="23" l="1" a="1"/>
  <c r="FJ81" i="23" s="1"/>
  <c r="HK81" i="23" s="1"/>
  <c r="ES81" i="23" a="1"/>
  <c r="ES81" i="23" s="1"/>
  <c r="AD81" i="23" a="1"/>
  <c r="AD81" i="23" s="1"/>
  <c r="BL81" i="23" s="1"/>
  <c r="DK81" i="23" a="1"/>
  <c r="DK81" i="23" s="1"/>
  <c r="EV80" i="23" a="1"/>
  <c r="EV80" i="23" s="1"/>
  <c r="DN80" i="23" a="1"/>
  <c r="DN80" i="23" s="1"/>
  <c r="FM80" i="23" a="1"/>
  <c r="FM80" i="23" s="1"/>
  <c r="HN80" i="23" s="1"/>
  <c r="AG80" i="23" a="1"/>
  <c r="AG80" i="23" s="1"/>
  <c r="BO80" i="23" s="1"/>
  <c r="FM79" i="23" a="1"/>
  <c r="FM79" i="23" s="1"/>
  <c r="HN79" i="23" s="1"/>
  <c r="AG79" i="23" a="1"/>
  <c r="AG79" i="23" s="1"/>
  <c r="BO79" i="23" s="1"/>
  <c r="EV79" i="23" a="1"/>
  <c r="EV79" i="23" s="1"/>
  <c r="DN79" i="23" a="1"/>
  <c r="DN79" i="23" s="1"/>
  <c r="FJ84" i="23" a="1"/>
  <c r="FJ84" i="23" s="1"/>
  <c r="HK84" i="23" s="1"/>
  <c r="ES84" i="23" a="1"/>
  <c r="ES84" i="23" s="1"/>
  <c r="AD84" i="23" a="1"/>
  <c r="AD84" i="23" s="1"/>
  <c r="BL84" i="23" s="1"/>
  <c r="DK84" i="23" a="1"/>
  <c r="DK84" i="23" s="1"/>
  <c r="FM85" i="23" a="1"/>
  <c r="FM85" i="23" s="1"/>
  <c r="HN85" i="23" s="1"/>
  <c r="EV85" i="23" a="1"/>
  <c r="EV85" i="23" s="1"/>
  <c r="AG85" i="23" a="1"/>
  <c r="AG85" i="23" s="1"/>
  <c r="BO85" i="23" s="1"/>
  <c r="DN85" i="23" a="1"/>
  <c r="DN85" i="23" s="1"/>
  <c r="FJ80" i="23" a="1"/>
  <c r="FJ80" i="23" s="1"/>
  <c r="HK80" i="23" s="1"/>
  <c r="ES80" i="23" a="1"/>
  <c r="ES80" i="23" s="1"/>
  <c r="AD80" i="23" a="1"/>
  <c r="AD80" i="23" s="1"/>
  <c r="BL80" i="23" s="1"/>
  <c r="DK80" i="23" a="1"/>
  <c r="DK80" i="23" s="1"/>
  <c r="FM77" i="23" a="1"/>
  <c r="FM77" i="23" s="1"/>
  <c r="HN77" i="23" s="1"/>
  <c r="AG77" i="23" a="1"/>
  <c r="AG77" i="23" s="1"/>
  <c r="BO77" i="23" s="1"/>
  <c r="EV77" i="23" a="1"/>
  <c r="EV77" i="23" s="1"/>
  <c r="DN77" i="23" a="1"/>
  <c r="DN77" i="23" s="1"/>
  <c r="FM83" i="23" a="1"/>
  <c r="FM83" i="23" s="1"/>
  <c r="HN83" i="23" s="1"/>
  <c r="EV83" i="23" a="1"/>
  <c r="EV83" i="23" s="1"/>
  <c r="DN83" i="23" a="1"/>
  <c r="DN83" i="23" s="1"/>
  <c r="AG83" i="23" a="1"/>
  <c r="AG83" i="23" s="1"/>
  <c r="BO83" i="23" s="1"/>
  <c r="FJ82" i="23" a="1"/>
  <c r="FJ82" i="23" s="1"/>
  <c r="HK82" i="23" s="1"/>
  <c r="ES82" i="23" a="1"/>
  <c r="ES82" i="23" s="1"/>
  <c r="AD82" i="23" a="1"/>
  <c r="AD82" i="23" s="1"/>
  <c r="BL82" i="23" s="1"/>
  <c r="DK82" i="23" a="1"/>
  <c r="DK82" i="23" s="1"/>
  <c r="FM84" i="23" a="1"/>
  <c r="FM84" i="23" s="1"/>
  <c r="HN84" i="23" s="1"/>
  <c r="EV84" i="23" a="1"/>
  <c r="EV84" i="23" s="1"/>
  <c r="AG84" i="23" a="1"/>
  <c r="AG84" i="23" s="1"/>
  <c r="BO84" i="23" s="1"/>
  <c r="DN84" i="23" a="1"/>
  <c r="DN84" i="23" s="1"/>
  <c r="FM82" i="23" a="1"/>
  <c r="FM82" i="23" s="1"/>
  <c r="HN82" i="23" s="1"/>
  <c r="EV82" i="23" a="1"/>
  <c r="EV82" i="23" s="1"/>
  <c r="DN82" i="23" a="1"/>
  <c r="DN82" i="23" s="1"/>
  <c r="AG82" i="23" a="1"/>
  <c r="AG82" i="23" s="1"/>
  <c r="BO82" i="23" s="1"/>
  <c r="EV78" i="23" a="1"/>
  <c r="EV78" i="23" s="1"/>
  <c r="DN78" i="23" a="1"/>
  <c r="DN78" i="23" s="1"/>
  <c r="FM78" i="23" a="1"/>
  <c r="FM78" i="23" s="1"/>
  <c r="HN78" i="23" s="1"/>
  <c r="AG78" i="23" a="1"/>
  <c r="AG78" i="23" s="1"/>
  <c r="BO78" i="23" s="1"/>
  <c r="FM81" i="23" a="1"/>
  <c r="FM81" i="23" s="1"/>
  <c r="HN81" i="23" s="1"/>
  <c r="EV81" i="23" a="1"/>
  <c r="EV81" i="23" s="1"/>
  <c r="AG81" i="23" a="1"/>
  <c r="AG81" i="23" s="1"/>
  <c r="BO81" i="23" s="1"/>
  <c r="DN81" i="23" a="1"/>
  <c r="DN81" i="23" s="1"/>
  <c r="FM86" i="23" a="1"/>
  <c r="FM86" i="23" s="1"/>
  <c r="HN86" i="23" s="1"/>
  <c r="EV86" i="23" a="1"/>
  <c r="EV86" i="23" s="1"/>
  <c r="DN86" i="23" a="1"/>
  <c r="DN86" i="23" s="1"/>
  <c r="AG86" i="23" a="1"/>
  <c r="AG86" i="23" s="1"/>
  <c r="BO86" i="23" s="1"/>
  <c r="FJ86" i="23" a="1"/>
  <c r="FJ86" i="23" s="1"/>
  <c r="HK86" i="23" s="1"/>
  <c r="ES86" i="23" a="1"/>
  <c r="ES86" i="23" s="1"/>
  <c r="AD86" i="23" a="1"/>
  <c r="AD86" i="23" s="1"/>
  <c r="BL86" i="23" s="1"/>
  <c r="DK86" i="23" a="1"/>
  <c r="DK86" i="23" s="1"/>
  <c r="FJ83" i="23" a="1"/>
  <c r="FJ83" i="23" s="1"/>
  <c r="HK83" i="23" s="1"/>
  <c r="ES83" i="23" a="1"/>
  <c r="ES83" i="23" s="1"/>
  <c r="AD83" i="23" a="1"/>
  <c r="AD83" i="23" s="1"/>
  <c r="BL83" i="23" s="1"/>
  <c r="DK83" i="23" a="1"/>
  <c r="DK83" i="23" s="1"/>
  <c r="FJ85" i="23" a="1"/>
  <c r="FJ85" i="23" s="1"/>
  <c r="HK85" i="23" s="1"/>
  <c r="ES85" i="23" a="1"/>
  <c r="ES85" i="23" s="1"/>
  <c r="AD85" i="23" a="1"/>
  <c r="AD85" i="23" s="1"/>
  <c r="BL85" i="23" s="1"/>
  <c r="DK85" i="23" a="1"/>
  <c r="DK85" i="23" s="1"/>
  <c r="EV67" i="23"/>
  <c r="FM67" i="23" s="1"/>
  <c r="FZ74" i="23"/>
  <c r="HB74" i="23"/>
  <c r="FZ76" i="23"/>
  <c r="HB76" i="23"/>
  <c r="P4" i="23"/>
  <c r="FZ68" i="23"/>
  <c r="HB68" i="23"/>
  <c r="HB80" i="23"/>
  <c r="FZ80" i="23"/>
  <c r="HB85" i="23"/>
  <c r="FZ85" i="23"/>
  <c r="HB77" i="23"/>
  <c r="FZ77" i="23"/>
  <c r="FZ70" i="23"/>
  <c r="HB70" i="23"/>
  <c r="HB81" i="23"/>
  <c r="FZ81" i="23"/>
  <c r="FZ71" i="23"/>
  <c r="HB71" i="23"/>
  <c r="HB78" i="23"/>
  <c r="FZ78" i="23"/>
  <c r="FZ69" i="23"/>
  <c r="HB69" i="23"/>
  <c r="HB86" i="23"/>
  <c r="FZ86" i="23"/>
  <c r="HB84" i="23"/>
  <c r="FZ84" i="23"/>
  <c r="FZ72" i="23"/>
  <c r="HB72" i="23"/>
  <c r="FZ75" i="23"/>
  <c r="HB75" i="23"/>
  <c r="EU67" i="23"/>
  <c r="FL67" i="23" s="1"/>
  <c r="HB83" i="23"/>
  <c r="FZ83" i="23"/>
  <c r="HB79" i="23"/>
  <c r="FZ79" i="23"/>
  <c r="HB82" i="23"/>
  <c r="FZ82" i="23"/>
  <c r="FZ73" i="23"/>
  <c r="HB73" i="23"/>
  <c r="CF78" i="23" l="1"/>
  <c r="GL78" i="23"/>
  <c r="CF86" i="23"/>
  <c r="GL86" i="23"/>
  <c r="CF83" i="23"/>
  <c r="GL83" i="23"/>
  <c r="GI85" i="23"/>
  <c r="CC85" i="23"/>
  <c r="GI82" i="23"/>
  <c r="CC82" i="23"/>
  <c r="GI84" i="23"/>
  <c r="CC84" i="23"/>
  <c r="CC81" i="23"/>
  <c r="GI81" i="23"/>
  <c r="GL77" i="23"/>
  <c r="CF77" i="23"/>
  <c r="GL80" i="23"/>
  <c r="CF80" i="23"/>
  <c r="GI86" i="23"/>
  <c r="CC86" i="23"/>
  <c r="CF81" i="23"/>
  <c r="GL81" i="23"/>
  <c r="CF84" i="23"/>
  <c r="GL84" i="23"/>
  <c r="CC80" i="23"/>
  <c r="GI80" i="23"/>
  <c r="CF85" i="23"/>
  <c r="GL85" i="23"/>
  <c r="GI83" i="23"/>
  <c r="CC83" i="23"/>
  <c r="CF79" i="23"/>
  <c r="GL79" i="23"/>
  <c r="CF82" i="23"/>
  <c r="GL82" i="23"/>
  <c r="W75" i="23" a="1"/>
  <c r="Y78" i="23" a="1"/>
  <c r="Z86" i="23" a="1"/>
  <c r="FJ70" i="23" a="1"/>
  <c r="DF79" i="23" a="1"/>
  <c r="X75" i="23" a="1"/>
  <c r="FC82" i="23" a="1"/>
  <c r="DJ84" i="23" a="1"/>
  <c r="FG77" i="23" a="1"/>
  <c r="DG82" i="23" a="1"/>
  <c r="FK79" i="23" a="1"/>
  <c r="FE79" i="23" a="1"/>
  <c r="FF77" i="23" a="1"/>
  <c r="W85" i="23" a="1"/>
  <c r="FK77" i="23" a="1"/>
  <c r="DF69" i="23" a="1"/>
  <c r="DG83" i="23" a="1"/>
  <c r="FH69" i="23" a="1"/>
  <c r="DJ83" i="23" a="1"/>
  <c r="AC75" i="23" a="1"/>
  <c r="DD70" i="23" a="1"/>
  <c r="DJ77" i="23" a="1"/>
  <c r="AG73" i="23" a="1"/>
  <c r="FB69" i="23" a="1"/>
  <c r="FB74" i="23" a="1"/>
  <c r="DI79" i="23" a="1"/>
  <c r="DL74" i="23" a="1"/>
  <c r="DF74" i="23" a="1"/>
  <c r="Z76" i="23" a="1"/>
  <c r="DH71" i="23" a="1"/>
  <c r="Y72" i="23" a="1"/>
  <c r="FH83" i="23" a="1"/>
  <c r="DE71" i="23" a="1"/>
  <c r="AE84" i="23" a="1"/>
  <c r="AD68" i="23" a="1"/>
  <c r="DF81" i="23" a="1"/>
  <c r="DM74" i="23" a="1"/>
  <c r="X68" i="23" a="1"/>
  <c r="X71" i="23" a="1"/>
  <c r="FF81" i="23" a="1"/>
  <c r="AA83" i="23" a="1"/>
  <c r="DM78" i="23" a="1"/>
  <c r="FH70" i="23" a="1"/>
  <c r="DN74" i="23" a="1"/>
  <c r="FD85" i="23" a="1"/>
  <c r="DD74" i="23" a="1"/>
  <c r="AE82" i="23" a="1"/>
  <c r="DG72" i="23" a="1"/>
  <c r="FI75" i="23" a="1"/>
  <c r="AB77" i="23" a="1"/>
  <c r="FI86" i="23" a="1"/>
  <c r="AC81" i="23" a="1"/>
  <c r="AA81" i="23" a="1"/>
  <c r="FB71" i="23" a="1"/>
  <c r="FG79" i="23" a="1"/>
  <c r="DC71" i="23" a="1"/>
  <c r="DK77" i="23" a="1"/>
  <c r="FH68" i="23" a="1"/>
  <c r="AG70" i="23" a="1"/>
  <c r="DM75" i="23" a="1"/>
  <c r="DH72" i="23" a="1"/>
  <c r="FG71" i="23" a="1"/>
  <c r="AC70" i="23" a="1"/>
  <c r="DD68" i="23" a="1"/>
  <c r="DH77" i="23" a="1"/>
  <c r="FF74" i="23" a="1"/>
  <c r="FC74" i="23" a="1"/>
  <c r="Z75" i="23" a="1"/>
  <c r="DJ71" i="23" a="1"/>
  <c r="DF73" i="23" a="1"/>
  <c r="FD77" i="23" a="1"/>
  <c r="DF71" i="23" a="1"/>
  <c r="DM73" i="23" a="1"/>
  <c r="Y71" i="23" a="1"/>
  <c r="V70" i="23" a="1"/>
  <c r="DI83" i="23" a="1"/>
  <c r="DM76" i="23" a="1"/>
  <c r="FH80" i="23" a="1"/>
  <c r="DH74" i="23" a="1"/>
  <c r="FH85" i="23" a="1"/>
  <c r="DH69" i="23" a="1"/>
  <c r="DG69" i="23" a="1"/>
  <c r="AE85" i="23" a="1"/>
  <c r="FL83" i="23" a="1"/>
  <c r="DK79" i="23" a="1"/>
  <c r="DL76" i="23" a="1"/>
  <c r="FC84" i="23" a="1"/>
  <c r="FL71" i="23" a="1"/>
  <c r="AE79" i="23" a="1"/>
  <c r="W76" i="23" a="1"/>
  <c r="DG71" i="23" a="1"/>
  <c r="FJ69" i="23" a="1"/>
  <c r="DC72" i="23" a="1"/>
  <c r="DJ72" i="23" a="1"/>
  <c r="X81" i="23" a="1"/>
  <c r="FK73" i="23" a="1"/>
  <c r="AB84" i="23" a="1"/>
  <c r="FG82" i="23" a="1"/>
  <c r="FL85" i="23" a="1"/>
  <c r="AF71" i="23" a="1"/>
  <c r="FF86" i="23" a="1"/>
  <c r="FH86" i="23" a="1"/>
  <c r="AG72" i="23" a="1"/>
  <c r="Z79" i="23" a="1"/>
  <c r="W77" i="23" a="1"/>
  <c r="DM71" i="23" a="1"/>
  <c r="DK75" i="23" a="1"/>
  <c r="V79" i="23" a="1"/>
  <c r="Z72" i="23" a="1"/>
  <c r="AE69" i="23" a="1"/>
  <c r="AE71" i="23" a="1"/>
  <c r="FD70" i="23" a="1"/>
  <c r="FH77" i="23" a="1"/>
  <c r="FC70" i="23" a="1"/>
  <c r="DE86" i="23" a="1"/>
  <c r="DE75" i="23" a="1"/>
  <c r="FK78" i="23" a="1"/>
  <c r="DH84" i="23" a="1"/>
  <c r="DJ68" i="23" a="1"/>
  <c r="DG84" i="23" a="1"/>
  <c r="DG81" i="23" a="1"/>
  <c r="AC79" i="23" a="1"/>
  <c r="AD70" i="23" a="1"/>
  <c r="FD81" i="23" a="1"/>
  <c r="FD75" i="23" a="1"/>
  <c r="DF84" i="23" a="1"/>
  <c r="AD77" i="23" a="1"/>
  <c r="FL84" i="23" a="1"/>
  <c r="AF70" i="23" a="1"/>
  <c r="FD84" i="23" a="1"/>
  <c r="DH76" i="23" a="1"/>
  <c r="W84" i="23" a="1"/>
  <c r="AD69" i="23" a="1"/>
  <c r="FF84" i="23" a="1"/>
  <c r="FL79" i="23" a="1"/>
  <c r="FL82" i="23" a="1"/>
  <c r="FM75" i="23" a="1"/>
  <c r="DJ75" i="23" a="1"/>
  <c r="DC81" i="23" a="1"/>
  <c r="DK68" i="23" a="1"/>
  <c r="AC82" i="23" a="1"/>
  <c r="FB78" i="23" a="1"/>
  <c r="AD74" i="23" a="1"/>
  <c r="FB80" i="23" a="1"/>
  <c r="DC74" i="23" a="1"/>
  <c r="AB79" i="23" a="1"/>
  <c r="FK71" i="23" a="1"/>
  <c r="FH81" i="23" a="1"/>
  <c r="FD86" i="23" a="1"/>
  <c r="DM81" i="23" a="1"/>
  <c r="DJ81" i="23" a="1"/>
  <c r="Y69" i="23" a="1"/>
  <c r="DC70" i="23" a="1"/>
  <c r="AG74" i="23" a="1"/>
  <c r="FF71" i="23" a="1"/>
  <c r="DC73" i="23" a="1"/>
  <c r="AC84" i="23" a="1"/>
  <c r="AC69" i="23" a="1"/>
  <c r="AF69" i="23" a="1"/>
  <c r="DF82" i="23" a="1"/>
  <c r="DI84" i="23" a="1"/>
  <c r="X69" i="23" a="1"/>
  <c r="FI73" i="23" a="1"/>
  <c r="AA72" i="23" a="1"/>
  <c r="FE76" i="23" a="1"/>
  <c r="DI70" i="23" a="1"/>
  <c r="DC82" i="23" a="1"/>
  <c r="FC81" i="23" a="1"/>
  <c r="FM73" i="23" a="1"/>
  <c r="FI83" i="23" a="1"/>
  <c r="FB83" i="23" a="1"/>
  <c r="FI79" i="23" a="1"/>
  <c r="AE77" i="23" a="1"/>
  <c r="FJ74" i="23" a="1"/>
  <c r="FJ73" i="23" a="1"/>
  <c r="DC84" i="23" a="1"/>
  <c r="AE75" i="23" a="1"/>
  <c r="FG70" i="23" a="1"/>
  <c r="Z82" i="23" a="1"/>
  <c r="FH74" i="23" a="1"/>
  <c r="X80" i="23" a="1"/>
  <c r="AG75" i="23" a="1"/>
  <c r="AE78" i="23" a="1"/>
  <c r="Y75" i="23" a="1"/>
  <c r="Y70" i="23" a="1"/>
  <c r="AF82" i="23" a="1"/>
  <c r="FC76" i="23" a="1"/>
  <c r="AC85" i="23" a="1"/>
  <c r="AA82" i="23" a="1"/>
  <c r="DI68" i="23" a="1"/>
  <c r="Z78" i="23" a="1"/>
  <c r="DC69" i="23" a="1"/>
  <c r="FL86" i="23" a="1"/>
  <c r="DD86" i="23" a="1"/>
  <c r="V82" i="23" a="1"/>
  <c r="DJ86" i="23" a="1"/>
  <c r="FB84" i="23" a="1"/>
  <c r="Z77" i="23" a="1"/>
  <c r="FG80" i="23" a="1"/>
  <c r="DI86" i="23" a="1"/>
  <c r="X86" i="23" a="1"/>
  <c r="FG74" i="23" a="1"/>
  <c r="FG83" i="23" a="1"/>
  <c r="Y83" i="23" a="1"/>
  <c r="DJ85" i="23" a="1"/>
  <c r="AE72" i="23" a="1"/>
  <c r="X83" i="23" a="1"/>
  <c r="DM72" i="23" a="1"/>
  <c r="FM72" i="23" a="1"/>
  <c r="X74" i="23" a="1"/>
  <c r="AF73" i="23" a="1"/>
  <c r="X70" i="23" a="1"/>
  <c r="FE71" i="23" a="1"/>
  <c r="AC76" i="23" a="1"/>
  <c r="AE70" i="23" a="1"/>
  <c r="FB77" i="23" a="1"/>
  <c r="DJ73" i="23" a="1"/>
  <c r="AF83" i="23" a="1"/>
  <c r="DD83" i="23" a="1"/>
  <c r="Z71" i="23" a="1"/>
  <c r="FI78" i="23" a="1"/>
  <c r="DM86" i="23" a="1"/>
  <c r="FC80" i="23" a="1"/>
  <c r="FH76" i="23" a="1"/>
  <c r="FJ75" i="23" a="1"/>
  <c r="FH79" i="23" a="1"/>
  <c r="AB82" i="23" a="1"/>
  <c r="FI84" i="23" a="1"/>
  <c r="FL81" i="23" a="1"/>
  <c r="W86" i="23" a="1"/>
  <c r="FJ79" i="23" a="1"/>
  <c r="DD73" i="23" a="1"/>
  <c r="DF80" i="23" a="1"/>
  <c r="X84" i="23" a="1"/>
  <c r="AD71" i="23" a="1"/>
  <c r="DI69" i="23" a="1"/>
  <c r="FL72" i="23" a="1"/>
  <c r="Y76" i="23" a="1"/>
  <c r="FK85" i="23" a="1"/>
  <c r="DE80" i="23" a="1"/>
  <c r="V76" i="23" a="1"/>
  <c r="FE69" i="23" a="1"/>
  <c r="FK69" i="23" a="1"/>
  <c r="AE76" i="23" a="1"/>
  <c r="DH82" i="23" a="1"/>
  <c r="FI70" i="23" a="1"/>
  <c r="DL85" i="23" a="1"/>
  <c r="DN71" i="23" a="1"/>
  <c r="AA80" i="23" a="1"/>
  <c r="DE81" i="23" a="1"/>
  <c r="DM80" i="23" a="1"/>
  <c r="AF77" i="23" a="1"/>
  <c r="DF72" i="23" a="1"/>
  <c r="FF76" i="23" a="1"/>
  <c r="DE72" i="23" a="1"/>
  <c r="FJ77" i="23" a="1"/>
  <c r="X82" i="23" a="1"/>
  <c r="FE86" i="23" a="1"/>
  <c r="FL80" i="23" a="1"/>
  <c r="DD75" i="23" a="1"/>
  <c r="AB78" i="23" a="1"/>
  <c r="DE77" i="23" a="1"/>
  <c r="AA73" i="23" a="1"/>
  <c r="DG74" i="23" a="1"/>
  <c r="AD76" i="23" a="1"/>
  <c r="AA77" i="23" a="1"/>
  <c r="DH68" i="23" a="1"/>
  <c r="AA68" i="23" a="1"/>
  <c r="Z84" i="23" a="1"/>
  <c r="FD76" i="23" a="1"/>
  <c r="FD71" i="23" a="1"/>
  <c r="FD68" i="23" a="1"/>
  <c r="FF78" i="23" a="1"/>
  <c r="DC75" i="23" a="1"/>
  <c r="AB74" i="23" a="1"/>
  <c r="FG84" i="23" a="1"/>
  <c r="FK75" i="23" a="1"/>
  <c r="FI74" i="23" a="1"/>
  <c r="DC80" i="23" a="1"/>
  <c r="AB69" i="23" a="1"/>
  <c r="DE78" i="23" a="1"/>
  <c r="Y73" i="23" a="1"/>
  <c r="FK70" i="23" a="1"/>
  <c r="DJ74" i="23" a="1"/>
  <c r="DE83" i="23" a="1"/>
  <c r="AB70" i="23" a="1"/>
  <c r="X85" i="23" a="1"/>
  <c r="V69" i="23" a="1"/>
  <c r="DH78" i="23" a="1"/>
  <c r="AG76" i="23" a="1"/>
  <c r="DF78" i="23" a="1"/>
  <c r="FK81" i="23" a="1"/>
  <c r="Z70" i="23" a="1"/>
  <c r="V84" i="23" a="1"/>
  <c r="DG73" i="23" a="1"/>
  <c r="DM68" i="23" a="1"/>
  <c r="AB73" i="23" a="1"/>
  <c r="FM68" i="23" a="1"/>
  <c r="DL68" i="23" a="1"/>
  <c r="FJ76" i="23" a="1"/>
  <c r="V83" i="23" a="1"/>
  <c r="AA86" i="23" a="1"/>
  <c r="DG86" i="23" a="1"/>
  <c r="DD78" i="23" a="1"/>
  <c r="FJ71" i="23" a="1"/>
  <c r="AC86" i="23" a="1"/>
  <c r="FD74" i="23" a="1"/>
  <c r="FM69" i="23" a="1"/>
  <c r="FD72" i="23" a="1"/>
  <c r="FE78" i="23" a="1"/>
  <c r="FB86" i="23" a="1"/>
  <c r="DE85" i="23" a="1"/>
  <c r="FI69" i="23" a="1"/>
  <c r="DF76" i="23" a="1"/>
  <c r="X77" i="23" a="1"/>
  <c r="FM70" i="23" a="1"/>
  <c r="FB73" i="23" a="1"/>
  <c r="FK76" i="23" a="1"/>
  <c r="FI77" i="23" a="1"/>
  <c r="FE82" i="23" a="1"/>
  <c r="DL69" i="23" a="1"/>
  <c r="FB82" i="23" a="1"/>
  <c r="Y68" i="23" a="1"/>
  <c r="DE84" i="23" a="1"/>
  <c r="Z81" i="23" a="1"/>
  <c r="V71" i="23" a="1"/>
  <c r="DL81" i="23" a="1"/>
  <c r="AF80" i="23" a="1"/>
  <c r="FD83" i="23" a="1"/>
  <c r="DM70" i="23" a="1"/>
  <c r="AA84" i="23" a="1"/>
  <c r="FI85" i="23" a="1"/>
  <c r="DI72" i="23" a="1"/>
  <c r="DK76" i="23" a="1"/>
  <c r="V75" i="23" a="1"/>
  <c r="DC86" i="23" a="1"/>
  <c r="AB80" i="23" a="1"/>
  <c r="AE86" i="23" a="1"/>
  <c r="FH82" i="23" a="1"/>
  <c r="DM79" i="23" a="1"/>
  <c r="FE73" i="23" a="1"/>
  <c r="DH80" i="23" a="1"/>
  <c r="AB86" i="23" a="1"/>
  <c r="DL86" i="23" a="1"/>
  <c r="DC77" i="23" a="1"/>
  <c r="AF84" i="23" a="1"/>
  <c r="DL83" i="23" a="1"/>
  <c r="AC77" i="23" a="1"/>
  <c r="Y77" i="23" a="1"/>
  <c r="FG81" i="23" a="1"/>
  <c r="FG75" i="23" a="1"/>
  <c r="FC78" i="23" a="1"/>
  <c r="W72" i="23" a="1"/>
  <c r="DJ70" i="23" a="1"/>
  <c r="FH75" i="23" a="1"/>
  <c r="DI85" i="23" a="1"/>
  <c r="X72" i="23" a="1"/>
  <c r="FC86" i="23" a="1"/>
  <c r="Z83" i="23" a="1"/>
  <c r="DN69" i="23" a="1"/>
  <c r="DF77" i="23" a="1"/>
  <c r="DH83" i="23" a="1"/>
  <c r="W71" i="23" a="1"/>
  <c r="W68" i="23" a="1"/>
  <c r="FG68" i="23" a="1"/>
  <c r="V81" i="23" a="1"/>
  <c r="FG85" i="23" a="1"/>
  <c r="DC78" i="23" a="1"/>
  <c r="DL78" i="23" a="1"/>
  <c r="FF73" i="23" a="1"/>
  <c r="Z74" i="23" a="1"/>
  <c r="DI74" i="23" a="1"/>
  <c r="FH84" i="23" a="1"/>
  <c r="DN76" i="23" a="1"/>
  <c r="DJ80" i="23" a="1"/>
  <c r="DH79" i="23" a="1"/>
  <c r="W80" i="23" a="1"/>
  <c r="AB83" i="23" a="1"/>
  <c r="W70" i="23" a="1"/>
  <c r="FJ68" i="23" a="1"/>
  <c r="FF72" i="23" a="1"/>
  <c r="V85" i="23" a="1"/>
  <c r="DI77" i="23" a="1"/>
  <c r="V72" i="23" a="1"/>
  <c r="DD71" i="23" a="1"/>
  <c r="Y74" i="23" a="1"/>
  <c r="AB68" i="23" a="1"/>
  <c r="X73" i="23" a="1"/>
  <c r="V80" i="23" a="1"/>
  <c r="DF83" i="23" a="1"/>
  <c r="DL84" i="23" a="1"/>
  <c r="AA70" i="23" a="1"/>
  <c r="DI80" i="23" a="1"/>
  <c r="FM74" i="23" a="1"/>
  <c r="W78" i="23" a="1"/>
  <c r="DD84" i="23" a="1"/>
  <c r="FB75" i="23" a="1"/>
  <c r="AB72" i="23" a="1"/>
  <c r="DI82" i="23" a="1"/>
  <c r="FE75" i="23" a="1"/>
  <c r="V73" i="23" a="1"/>
  <c r="AG68" i="23" a="1"/>
  <c r="FF83" i="23" a="1"/>
  <c r="DI71" i="23" a="1"/>
  <c r="V74" i="23" a="1"/>
  <c r="FM71" i="23" a="1"/>
  <c r="Z69" i="23" a="1"/>
  <c r="FK86" i="23" a="1"/>
  <c r="AA76" i="23" a="1"/>
  <c r="DH70" i="23" a="1"/>
  <c r="DH86" i="23" a="1"/>
  <c r="DN70" i="23" a="1"/>
  <c r="AF68" i="23" a="1"/>
  <c r="DC85" i="23" a="1"/>
  <c r="DI76" i="23" a="1"/>
  <c r="FC85" i="23" a="1"/>
  <c r="FF75" i="23" a="1"/>
  <c r="AG71" i="23" a="1"/>
  <c r="DG77" i="23" a="1"/>
  <c r="FE77" i="23" a="1"/>
  <c r="DF75" i="23" a="1"/>
  <c r="DE74" i="23" a="1"/>
  <c r="DK73" i="23" a="1"/>
  <c r="DG76" i="23" a="1"/>
  <c r="FE68" i="23" a="1"/>
  <c r="FE70" i="23" a="1"/>
  <c r="FH78" i="23" a="1"/>
  <c r="DI81" i="23" a="1"/>
  <c r="FL70" i="23" a="1"/>
  <c r="FF70" i="23" a="1"/>
  <c r="V68" i="23" a="1"/>
  <c r="FB72" i="23" a="1"/>
  <c r="V77" i="23" a="1"/>
  <c r="FG86" i="23" a="1"/>
  <c r="FF82" i="23" a="1"/>
  <c r="FD73" i="23" a="1"/>
  <c r="DN73" i="23" a="1"/>
  <c r="FK82" i="23" a="1"/>
  <c r="DE68" i="23" a="1"/>
  <c r="FC77" i="23" a="1"/>
  <c r="DG79" i="23" a="1"/>
  <c r="FK74" i="23" a="1"/>
  <c r="AA69" i="23" a="1"/>
  <c r="FG76" i="23" a="1"/>
  <c r="FI68" i="23" a="1"/>
  <c r="FL75" i="23" a="1"/>
  <c r="DE69" i="23" a="1"/>
  <c r="FE84" i="23" a="1"/>
  <c r="FE85" i="23" a="1"/>
  <c r="DM82" i="23" a="1"/>
  <c r="AB85" i="23" a="1"/>
  <c r="AA71" i="23" a="1"/>
  <c r="FD82" i="23" a="1"/>
  <c r="FM76" i="23" a="1"/>
  <c r="AE73" i="23" a="1"/>
  <c r="AF74" i="23" a="1"/>
  <c r="AD73" i="23" a="1"/>
  <c r="FF69" i="23" a="1"/>
  <c r="AB76" i="23" a="1"/>
  <c r="X79" i="23" a="1"/>
  <c r="DC68" i="23" a="1"/>
  <c r="DL82" i="23" a="1"/>
  <c r="DD82" i="23" a="1"/>
  <c r="AA85" i="23" a="1"/>
  <c r="FB79" i="23" a="1"/>
  <c r="Z85" i="23" a="1"/>
  <c r="FC73" i="23" a="1"/>
  <c r="FH72" i="23" a="1"/>
  <c r="DK71" i="23" a="1"/>
  <c r="DM83" i="23" a="1"/>
  <c r="Y82" i="23" a="1"/>
  <c r="DH75" i="23" a="1"/>
  <c r="FF79" i="23" a="1"/>
  <c r="AF76" i="23" a="1"/>
  <c r="W69" i="23" a="1"/>
  <c r="AC74" i="23" a="1"/>
  <c r="DF70" i="23" a="1"/>
  <c r="FC69" i="23" a="1"/>
  <c r="AE74" i="23" a="1"/>
  <c r="AC78" i="23" a="1"/>
  <c r="AF72" i="23" a="1"/>
  <c r="DM77" i="23" a="1"/>
  <c r="FK84" i="23" a="1"/>
  <c r="DL73" i="23" a="1"/>
  <c r="W79" i="23" a="1"/>
  <c r="DJ69" i="23" a="1"/>
  <c r="DD72" i="23" a="1"/>
  <c r="FH71" i="23" a="1"/>
  <c r="AC73" i="23" a="1"/>
  <c r="FD69" i="23" a="1"/>
  <c r="DJ82" i="23" a="1"/>
  <c r="Y84" i="23" a="1"/>
  <c r="Y80" i="23" a="1"/>
  <c r="FB76" i="23" a="1"/>
  <c r="FE81" i="23" a="1"/>
  <c r="FG78" i="23" a="1"/>
  <c r="AF75" i="23" a="1"/>
  <c r="AD72" i="23" a="1"/>
  <c r="DL75" i="23" a="1"/>
  <c r="DK74" i="23" a="1"/>
  <c r="FE72" i="23" a="1"/>
  <c r="DI78" i="23" a="1"/>
  <c r="FL77" i="23" a="1"/>
  <c r="W81" i="23" a="1"/>
  <c r="DN72" i="23" a="1"/>
  <c r="AA74" i="23" a="1"/>
  <c r="AC71" i="23" a="1"/>
  <c r="FI72" i="23" a="1"/>
  <c r="AF86" i="23" a="1"/>
  <c r="DN75" i="23" a="1"/>
  <c r="DN68" i="23" a="1"/>
  <c r="FL76" i="23" a="1"/>
  <c r="DM84" i="23" a="1"/>
  <c r="DL70" i="23" a="1"/>
  <c r="DL79" i="23" a="1"/>
  <c r="FE74" i="23" a="1"/>
  <c r="AB71" i="23" a="1"/>
  <c r="FG73" i="23" a="1"/>
  <c r="DC76" i="23" a="1"/>
  <c r="W83" i="23" a="1"/>
  <c r="Y81" i="23" a="1"/>
  <c r="AD75" i="23" a="1"/>
  <c r="FD79" i="23" a="1"/>
  <c r="FE80" i="23" a="1"/>
  <c r="AF81" i="23" a="1"/>
  <c r="AC72" i="23" a="1"/>
  <c r="FI82" i="23" a="1"/>
  <c r="DJ76" i="23" a="1"/>
  <c r="FF85" i="23" a="1"/>
  <c r="DG68" i="23" a="1"/>
  <c r="FL69" i="23" a="1"/>
  <c r="FD78" i="23" a="1"/>
  <c r="DC79" i="23" a="1"/>
  <c r="DG78" i="23" a="1"/>
  <c r="Y86" i="23" a="1"/>
  <c r="FI76" i="23" a="1"/>
  <c r="FD80" i="23" a="1"/>
  <c r="DD69" i="23" a="1"/>
  <c r="DJ79" i="23" a="1"/>
  <c r="DM69" i="23" a="1"/>
  <c r="Y85" i="23" a="1"/>
  <c r="DD77" i="23" a="1"/>
  <c r="FI80" i="23" a="1"/>
  <c r="FC68" i="23" a="1"/>
  <c r="FK80" i="23" a="1"/>
  <c r="AA75" i="23" a="1"/>
  <c r="AA78" i="23" a="1"/>
  <c r="AF79" i="23" a="1"/>
  <c r="DE82" i="23" a="1"/>
  <c r="FL73" i="23" a="1"/>
  <c r="DE79" i="23" a="1"/>
  <c r="DD79" i="23" a="1"/>
  <c r="X78" i="23" a="1"/>
  <c r="FK72" i="23" a="1"/>
  <c r="DG70" i="23" a="1"/>
  <c r="FI81" i="23" a="1"/>
  <c r="DF85" i="23" a="1"/>
  <c r="FB85" i="23" a="1"/>
  <c r="AA79" i="23" a="1"/>
  <c r="AE80" i="23" a="1"/>
  <c r="DF86" i="23" a="1"/>
  <c r="Z80" i="23" a="1"/>
  <c r="DL72" i="23" a="1"/>
  <c r="DC83" i="23" a="1"/>
  <c r="W73" i="23" a="1"/>
  <c r="FF68" i="23" a="1"/>
  <c r="AE81" i="23" a="1"/>
  <c r="DH73" i="23" a="1"/>
  <c r="Z73" i="23" a="1"/>
  <c r="FB81" i="23" a="1"/>
  <c r="DF68" i="23" a="1"/>
  <c r="AC80" i="23" a="1"/>
  <c r="W82" i="23" a="1"/>
  <c r="FC79" i="23" a="1"/>
  <c r="FK83" i="23" a="1"/>
  <c r="FE83" i="23" a="1"/>
  <c r="V78" i="23" a="1"/>
  <c r="DE76" i="23" a="1"/>
  <c r="DG80" i="23" a="1"/>
  <c r="DD76" i="23" a="1"/>
  <c r="V86" i="23" a="1"/>
  <c r="DK78" i="23" a="1"/>
  <c r="DJ78" i="23" a="1"/>
  <c r="DK70" i="23" a="1"/>
  <c r="DK69" i="23" a="1"/>
  <c r="FC75" i="23" a="1"/>
  <c r="FJ78" i="23" a="1"/>
  <c r="DD81" i="23" a="1"/>
  <c r="FF80" i="23" a="1"/>
  <c r="DI73" i="23" a="1"/>
  <c r="DH81" i="23" a="1"/>
  <c r="FC83" i="23" a="1"/>
  <c r="X76" i="23" a="1"/>
  <c r="DG85" i="23" a="1"/>
  <c r="AB75" i="23" a="1"/>
  <c r="FG69" i="23" a="1"/>
  <c r="AD79" i="23" a="1"/>
  <c r="DE70" i="23" a="1"/>
  <c r="DL77" i="23" a="1"/>
  <c r="FL78" i="23" a="1"/>
  <c r="DM85" i="23" a="1"/>
  <c r="FB68" i="23" a="1"/>
  <c r="AC68" i="23" a="1"/>
  <c r="AF78" i="23" a="1"/>
  <c r="FI71" i="23" a="1"/>
  <c r="DE73" i="23" a="1"/>
  <c r="DG75" i="23" a="1"/>
  <c r="FH73" i="23" a="1"/>
  <c r="AE83" i="23" a="1"/>
  <c r="DD80" i="23" a="1"/>
  <c r="DK72" i="23" a="1"/>
  <c r="FJ72" i="23" a="1"/>
  <c r="W74" i="23" a="1"/>
  <c r="AB81" i="23" a="1"/>
  <c r="AC83" i="23" a="1"/>
  <c r="DL80" i="23" a="1"/>
  <c r="FG72" i="23" a="1"/>
  <c r="FC71" i="23" a="1"/>
  <c r="AE68" i="23" a="1"/>
  <c r="DI75" i="23" a="1"/>
  <c r="AG69" i="23" a="1"/>
  <c r="AD78" i="23" a="1"/>
  <c r="DL71" i="23" a="1"/>
  <c r="FL68" i="23" a="1"/>
  <c r="FB70" i="23" a="1"/>
  <c r="DD85" i="23" a="1"/>
  <c r="FK68" i="23" a="1"/>
  <c r="DH85" i="23" a="1"/>
  <c r="FL74" i="23" a="1"/>
  <c r="AF85" i="23" a="1"/>
  <c r="FC72" i="23" a="1"/>
  <c r="Z68" i="23" a="1"/>
  <c r="Y79" i="23" a="1"/>
  <c r="DF70" i="23" l="1"/>
  <c r="DD78" i="23"/>
  <c r="AN78" i="23" s="1"/>
  <c r="DL81" i="23"/>
  <c r="FK83" i="23"/>
  <c r="AC72" i="23"/>
  <c r="BK72" i="23" s="1"/>
  <c r="CB72" i="23" s="1"/>
  <c r="DK78" i="23"/>
  <c r="DG71" i="23"/>
  <c r="AQ71" i="23" s="1"/>
  <c r="AZ71" i="23" s="1"/>
  <c r="FK70" i="23"/>
  <c r="FB74" i="23"/>
  <c r="V75" i="23"/>
  <c r="BD75" i="23" s="1"/>
  <c r="BU75" i="23" s="1"/>
  <c r="DF81" i="23"/>
  <c r="AP81" i="23" s="1"/>
  <c r="DH78" i="23"/>
  <c r="AD79" i="23"/>
  <c r="BL79" i="23" s="1"/>
  <c r="CC79" i="23" s="1"/>
  <c r="FK72" i="23"/>
  <c r="AG72" i="23"/>
  <c r="BO72" i="23" s="1"/>
  <c r="CF72" i="23" s="1"/>
  <c r="AB76" i="23"/>
  <c r="BJ76" i="23" s="1"/>
  <c r="CA76" i="23" s="1"/>
  <c r="DD83" i="23"/>
  <c r="AN83" i="23" s="1"/>
  <c r="AA68" i="23"/>
  <c r="BI68" i="23" s="1"/>
  <c r="AC80" i="23"/>
  <c r="BK80" i="23" s="1"/>
  <c r="CB80" i="23" s="1"/>
  <c r="DK71" i="23"/>
  <c r="FJ79" i="23"/>
  <c r="FB77" i="23"/>
  <c r="FF79" i="23"/>
  <c r="DH68" i="23"/>
  <c r="FE75" i="23"/>
  <c r="FD76" i="23"/>
  <c r="DC76" i="23"/>
  <c r="AM76" i="23" s="1"/>
  <c r="AV76" i="23" s="1"/>
  <c r="DD74" i="23"/>
  <c r="AN74" i="23" s="1"/>
  <c r="AW74" i="23" s="1"/>
  <c r="AG69" i="23"/>
  <c r="BO69" i="23" s="1"/>
  <c r="CF69" i="23" s="1"/>
  <c r="Y81" i="23"/>
  <c r="BG81" i="23" s="1"/>
  <c r="GD81" i="23" s="1"/>
  <c r="Y78" i="23"/>
  <c r="BG78" i="23" s="1"/>
  <c r="GD78" i="23" s="1"/>
  <c r="AA77" i="23"/>
  <c r="BI77" i="23" s="1"/>
  <c r="BZ77" i="23" s="1"/>
  <c r="DN76" i="23"/>
  <c r="FC73" i="23"/>
  <c r="X81" i="23"/>
  <c r="BF81" i="23" s="1"/>
  <c r="FH70" i="23"/>
  <c r="FV70" i="23" s="1"/>
  <c r="AC76" i="23"/>
  <c r="BK76" i="23" s="1"/>
  <c r="CB76" i="23" s="1"/>
  <c r="DL84" i="23"/>
  <c r="AE81" i="23"/>
  <c r="BM81" i="23" s="1"/>
  <c r="GJ81" i="23" s="1"/>
  <c r="DI70" i="23"/>
  <c r="FT70" i="23" s="1"/>
  <c r="FF83" i="23"/>
  <c r="AE75" i="23"/>
  <c r="BM75" i="23" s="1"/>
  <c r="CD75" i="23" s="1"/>
  <c r="DF72" i="23"/>
  <c r="AD77" i="23"/>
  <c r="BL77" i="23" s="1"/>
  <c r="CC77" i="23" s="1"/>
  <c r="AE82" i="23"/>
  <c r="BM82" i="23" s="1"/>
  <c r="CD82" i="23" s="1"/>
  <c r="AB83" i="23"/>
  <c r="BJ83" i="23" s="1"/>
  <c r="CA83" i="23" s="1"/>
  <c r="DK79" i="23"/>
  <c r="Z82" i="23"/>
  <c r="BH82" i="23" s="1"/>
  <c r="BY82" i="23" s="1"/>
  <c r="AB71" i="23"/>
  <c r="BJ71" i="23" s="1"/>
  <c r="Y75" i="23"/>
  <c r="BG75" i="23" s="1"/>
  <c r="BX75" i="23" s="1"/>
  <c r="Y72" i="23"/>
  <c r="BG72" i="23" s="1"/>
  <c r="BX72" i="23" s="1"/>
  <c r="FH86" i="23"/>
  <c r="FV86" i="23" s="1"/>
  <c r="DN72" i="23"/>
  <c r="W70" i="23"/>
  <c r="BE70" i="23" s="1"/>
  <c r="W68" i="23"/>
  <c r="BE68" i="23" s="1"/>
  <c r="BV68" i="23" s="1"/>
  <c r="AF83" i="23"/>
  <c r="BN83" i="23" s="1"/>
  <c r="CE83" i="23" s="1"/>
  <c r="FE71" i="23"/>
  <c r="DC78" i="23"/>
  <c r="AM78" i="23" s="1"/>
  <c r="DI78" i="23"/>
  <c r="FT78" i="23" s="1"/>
  <c r="FB83" i="23"/>
  <c r="AD73" i="23"/>
  <c r="BL73" i="23" s="1"/>
  <c r="CC73" i="23" s="1"/>
  <c r="DE86" i="23"/>
  <c r="AO86" i="23" s="1"/>
  <c r="AX86" i="23" s="1"/>
  <c r="DL74" i="23"/>
  <c r="DE71" i="23"/>
  <c r="FM74" i="23"/>
  <c r="AF68" i="23"/>
  <c r="BN68" i="23" s="1"/>
  <c r="CE68" i="23" s="1"/>
  <c r="DN73" i="23"/>
  <c r="FF69" i="23"/>
  <c r="DK75" i="23"/>
  <c r="DJ78" i="23"/>
  <c r="AE73" i="23"/>
  <c r="BM73" i="23" s="1"/>
  <c r="GJ73" i="23" s="1"/>
  <c r="AA78" i="23"/>
  <c r="BI78" i="23" s="1"/>
  <c r="BZ78" i="23" s="1"/>
  <c r="X83" i="23"/>
  <c r="BF83" i="23" s="1"/>
  <c r="BW83" i="23" s="1"/>
  <c r="DI72" i="23"/>
  <c r="FT72" i="23" s="1"/>
  <c r="FI71" i="23"/>
  <c r="DH73" i="23"/>
  <c r="DD68" i="23"/>
  <c r="DL75" i="23"/>
  <c r="FF81" i="23"/>
  <c r="FF68" i="23"/>
  <c r="W80" i="23"/>
  <c r="BE80" i="23" s="1"/>
  <c r="DC71" i="23"/>
  <c r="DC73" i="23"/>
  <c r="FC86" i="23"/>
  <c r="AB81" i="23"/>
  <c r="BJ81" i="23" s="1"/>
  <c r="CA81" i="23" s="1"/>
  <c r="FK69" i="23"/>
  <c r="DC86" i="23"/>
  <c r="AM86" i="23" s="1"/>
  <c r="AV86" i="23" s="1"/>
  <c r="AD78" i="23"/>
  <c r="BL78" i="23" s="1"/>
  <c r="CC78" i="23" s="1"/>
  <c r="AG74" i="23"/>
  <c r="BO74" i="23" s="1"/>
  <c r="CF74" i="23" s="1"/>
  <c r="FG71" i="23"/>
  <c r="FH79" i="23"/>
  <c r="FV79" i="23" s="1"/>
  <c r="DH70" i="23"/>
  <c r="DI82" i="23"/>
  <c r="FT82" i="23" s="1"/>
  <c r="DM76" i="23"/>
  <c r="AG73" i="23"/>
  <c r="BO73" i="23" s="1"/>
  <c r="CF73" i="23" s="1"/>
  <c r="FC81" i="23"/>
  <c r="FF77" i="23"/>
  <c r="DJ71" i="23"/>
  <c r="DN71" i="23"/>
  <c r="Z78" i="23"/>
  <c r="BH78" i="23" s="1"/>
  <c r="BY78" i="23" s="1"/>
  <c r="V85" i="23"/>
  <c r="BD85" i="23" s="1"/>
  <c r="BU85" i="23" s="1"/>
  <c r="FG75" i="23"/>
  <c r="FB69" i="23"/>
  <c r="FE83" i="23"/>
  <c r="FG83" i="23"/>
  <c r="FC69" i="23"/>
  <c r="DI76" i="23"/>
  <c r="FT76" i="23" s="1"/>
  <c r="DF76" i="23"/>
  <c r="AP76" i="23" s="1"/>
  <c r="AY76" i="23" s="1"/>
  <c r="DF74" i="23"/>
  <c r="AP74" i="23" s="1"/>
  <c r="AY74" i="23" s="1"/>
  <c r="DJ76" i="23"/>
  <c r="Z84" i="23"/>
  <c r="BH84" i="23" s="1"/>
  <c r="BY84" i="23" s="1"/>
  <c r="FH85" i="23"/>
  <c r="FV85" i="23" s="1"/>
  <c r="FD85" i="23"/>
  <c r="Y80" i="23"/>
  <c r="BG80" i="23" s="1"/>
  <c r="GD80" i="23" s="1"/>
  <c r="V69" i="23"/>
  <c r="BD69" i="23" s="1"/>
  <c r="DI85" i="23"/>
  <c r="FT85" i="23" s="1"/>
  <c r="W78" i="23"/>
  <c r="BE78" i="23" s="1"/>
  <c r="BV78" i="23" s="1"/>
  <c r="DK74" i="23"/>
  <c r="FK73" i="23"/>
  <c r="W69" i="23"/>
  <c r="BE69" i="23" s="1"/>
  <c r="BV69" i="23" s="1"/>
  <c r="Z75" i="23"/>
  <c r="BH75" i="23" s="1"/>
  <c r="AF71" i="23"/>
  <c r="BN71" i="23" s="1"/>
  <c r="CE71" i="23" s="1"/>
  <c r="DF73" i="23"/>
  <c r="AB73" i="23"/>
  <c r="BJ73" i="23" s="1"/>
  <c r="CA73" i="23" s="1"/>
  <c r="FD86" i="23"/>
  <c r="FF76" i="23"/>
  <c r="FG81" i="23"/>
  <c r="Y73" i="23"/>
  <c r="BG73" i="23" s="1"/>
  <c r="FK76" i="23"/>
  <c r="FC76" i="23"/>
  <c r="FF73" i="23"/>
  <c r="DD82" i="23"/>
  <c r="AN82" i="23" s="1"/>
  <c r="AW82" i="23" s="1"/>
  <c r="FB84" i="23"/>
  <c r="X75" i="23"/>
  <c r="BF75" i="23" s="1"/>
  <c r="BW75" i="23" s="1"/>
  <c r="DE77" i="23"/>
  <c r="AO77" i="23" s="1"/>
  <c r="AX77" i="23" s="1"/>
  <c r="DD70" i="23"/>
  <c r="FI84" i="23"/>
  <c r="FE68" i="23"/>
  <c r="AD74" i="23"/>
  <c r="BL74" i="23" s="1"/>
  <c r="CC74" i="23" s="1"/>
  <c r="DM77" i="23"/>
  <c r="FF70" i="23"/>
  <c r="DE68" i="23"/>
  <c r="Y69" i="23"/>
  <c r="BG69" i="23" s="1"/>
  <c r="BX69" i="23" s="1"/>
  <c r="FG70" i="23"/>
  <c r="DG77" i="23"/>
  <c r="AQ77" i="23" s="1"/>
  <c r="DC81" i="23"/>
  <c r="AM81" i="23" s="1"/>
  <c r="AV81" i="23" s="1"/>
  <c r="DF80" i="23"/>
  <c r="AP80" i="23" s="1"/>
  <c r="AY80" i="23" s="1"/>
  <c r="FD69" i="23"/>
  <c r="Z86" i="23"/>
  <c r="BH86" i="23" s="1"/>
  <c r="BY86" i="23" s="1"/>
  <c r="AB79" i="23"/>
  <c r="BJ79" i="23" s="1"/>
  <c r="CA79" i="23" s="1"/>
  <c r="DH84" i="23"/>
  <c r="DH85" i="23"/>
  <c r="FI81" i="23"/>
  <c r="DI79" i="23"/>
  <c r="FT79" i="23" s="1"/>
  <c r="AD72" i="23"/>
  <c r="BL72" i="23" s="1"/>
  <c r="DJ80" i="23"/>
  <c r="FC82" i="23"/>
  <c r="DL82" i="23"/>
  <c r="AA84" i="23"/>
  <c r="BI84" i="23" s="1"/>
  <c r="BZ84" i="23" s="1"/>
  <c r="AC75" i="23"/>
  <c r="BK75" i="23" s="1"/>
  <c r="CB75" i="23" s="1"/>
  <c r="X77" i="23"/>
  <c r="BF77" i="23" s="1"/>
  <c r="AG75" i="23"/>
  <c r="BO75" i="23" s="1"/>
  <c r="CF75" i="23" s="1"/>
  <c r="DE75" i="23"/>
  <c r="AO75" i="23" s="1"/>
  <c r="AX75" i="23" s="1"/>
  <c r="FK74" i="23"/>
  <c r="FD73" i="23"/>
  <c r="AA76" i="23"/>
  <c r="BI76" i="23" s="1"/>
  <c r="BZ76" i="23" s="1"/>
  <c r="DL83" i="23"/>
  <c r="FB71" i="23"/>
  <c r="AA74" i="23"/>
  <c r="BI74" i="23" s="1"/>
  <c r="FF72" i="23"/>
  <c r="Z68" i="23"/>
  <c r="BH68" i="23" s="1"/>
  <c r="DF68" i="23"/>
  <c r="FE86" i="23"/>
  <c r="AD75" i="23"/>
  <c r="BL75" i="23" s="1"/>
  <c r="CC75" i="23" s="1"/>
  <c r="DE79" i="23"/>
  <c r="AO79" i="23" s="1"/>
  <c r="AX79" i="23" s="1"/>
  <c r="DE78" i="23"/>
  <c r="AO78" i="23" s="1"/>
  <c r="AX78" i="23" s="1"/>
  <c r="FI80" i="23"/>
  <c r="DL73" i="23"/>
  <c r="DE82" i="23"/>
  <c r="AO82" i="23" s="1"/>
  <c r="AB84" i="23"/>
  <c r="BJ84" i="23" s="1"/>
  <c r="CA84" i="23" s="1"/>
  <c r="FC80" i="23"/>
  <c r="DK70" i="23"/>
  <c r="DJ72" i="23"/>
  <c r="AF85" i="23"/>
  <c r="BN85" i="23" s="1"/>
  <c r="CE85" i="23" s="1"/>
  <c r="AC69" i="23"/>
  <c r="BK69" i="23" s="1"/>
  <c r="V74" i="23"/>
  <c r="BD74" i="23" s="1"/>
  <c r="BU74" i="23" s="1"/>
  <c r="FE80" i="23"/>
  <c r="DL71" i="23"/>
  <c r="AB74" i="23"/>
  <c r="BJ74" i="23" s="1"/>
  <c r="CA74" i="23" s="1"/>
  <c r="DD79" i="23"/>
  <c r="AN79" i="23" s="1"/>
  <c r="AW79" i="23" s="1"/>
  <c r="FC75" i="23"/>
  <c r="DH77" i="23"/>
  <c r="FG74" i="23"/>
  <c r="FH83" i="23"/>
  <c r="FV83" i="23" s="1"/>
  <c r="FG73" i="23"/>
  <c r="FC72" i="23"/>
  <c r="FH74" i="23"/>
  <c r="FV74" i="23" s="1"/>
  <c r="X74" i="23"/>
  <c r="BF74" i="23" s="1"/>
  <c r="BW74" i="23" s="1"/>
  <c r="DN75" i="23"/>
  <c r="DL77" i="23"/>
  <c r="AC77" i="23"/>
  <c r="BK77" i="23" s="1"/>
  <c r="AE74" i="23"/>
  <c r="BM74" i="23" s="1"/>
  <c r="GJ74" i="23" s="1"/>
  <c r="DE84" i="23"/>
  <c r="AO84" i="23" s="1"/>
  <c r="AX84" i="23" s="1"/>
  <c r="FE76" i="23"/>
  <c r="DE70" i="23"/>
  <c r="V72" i="23"/>
  <c r="BD72" i="23" s="1"/>
  <c r="BU72" i="23" s="1"/>
  <c r="DM68" i="23"/>
  <c r="DM70" i="23"/>
  <c r="AE80" i="23"/>
  <c r="BM80" i="23" s="1"/>
  <c r="V70" i="23"/>
  <c r="BD70" i="23" s="1"/>
  <c r="AA81" i="23"/>
  <c r="BI81" i="23" s="1"/>
  <c r="BZ81" i="23" s="1"/>
  <c r="DD69" i="23"/>
  <c r="X69" i="23"/>
  <c r="BF69" i="23" s="1"/>
  <c r="BW69" i="23" s="1"/>
  <c r="DH79" i="23"/>
  <c r="DF84" i="23"/>
  <c r="AP84" i="23" s="1"/>
  <c r="AY84" i="23" s="1"/>
  <c r="FC74" i="23"/>
  <c r="Y76" i="23"/>
  <c r="BG76" i="23" s="1"/>
  <c r="Y77" i="23"/>
  <c r="BG77" i="23" s="1"/>
  <c r="FJ72" i="23"/>
  <c r="AD69" i="23"/>
  <c r="BL69" i="23" s="1"/>
  <c r="CC69" i="23" s="1"/>
  <c r="AA85" i="23"/>
  <c r="BI85" i="23" s="1"/>
  <c r="BZ85" i="23" s="1"/>
  <c r="FI76" i="23"/>
  <c r="DG85" i="23"/>
  <c r="AQ85" i="23" s="1"/>
  <c r="AZ85" i="23" s="1"/>
  <c r="AB86" i="23"/>
  <c r="BJ86" i="23" s="1"/>
  <c r="CA86" i="23" s="1"/>
  <c r="AA82" i="23"/>
  <c r="BI82" i="23" s="1"/>
  <c r="DM85" i="23"/>
  <c r="DG74" i="23"/>
  <c r="AQ74" i="23" s="1"/>
  <c r="AZ74" i="23" s="1"/>
  <c r="AC73" i="23"/>
  <c r="BK73" i="23" s="1"/>
  <c r="CB73" i="23" s="1"/>
  <c r="AC84" i="23"/>
  <c r="BK84" i="23" s="1"/>
  <c r="CB84" i="23" s="1"/>
  <c r="Y68" i="23"/>
  <c r="BG68" i="23" s="1"/>
  <c r="BX68" i="23" s="1"/>
  <c r="Z85" i="23"/>
  <c r="BH85" i="23" s="1"/>
  <c r="BY85" i="23" s="1"/>
  <c r="FK82" i="23"/>
  <c r="Z79" i="23"/>
  <c r="BH79" i="23" s="1"/>
  <c r="FG76" i="23"/>
  <c r="FD79" i="23"/>
  <c r="FK75" i="23"/>
  <c r="FE81" i="23"/>
  <c r="FB81" i="23"/>
  <c r="FI74" i="23"/>
  <c r="W83" i="23"/>
  <c r="BE83" i="23" s="1"/>
  <c r="BV83" i="23" s="1"/>
  <c r="V71" i="23"/>
  <c r="BD71" i="23" s="1"/>
  <c r="FI75" i="23"/>
  <c r="FE70" i="23"/>
  <c r="DI74" i="23"/>
  <c r="FT74" i="23" s="1"/>
  <c r="DE73" i="23"/>
  <c r="AB75" i="23"/>
  <c r="BJ75" i="23" s="1"/>
  <c r="CA75" i="23" s="1"/>
  <c r="DI81" i="23"/>
  <c r="FT81" i="23" s="1"/>
  <c r="FI79" i="23"/>
  <c r="FK84" i="23"/>
  <c r="DI75" i="23"/>
  <c r="FT75" i="23" s="1"/>
  <c r="FB68" i="23"/>
  <c r="FI72" i="23"/>
  <c r="AE76" i="23"/>
  <c r="BM76" i="23" s="1"/>
  <c r="CD76" i="23" s="1"/>
  <c r="AF75" i="23"/>
  <c r="BN75" i="23" s="1"/>
  <c r="GK75" i="23" s="1"/>
  <c r="Y71" i="23"/>
  <c r="BG71" i="23" s="1"/>
  <c r="BX71" i="23" s="1"/>
  <c r="FD81" i="23"/>
  <c r="AF69" i="23"/>
  <c r="BN69" i="23" s="1"/>
  <c r="AB82" i="23"/>
  <c r="BJ82" i="23" s="1"/>
  <c r="CA82" i="23" s="1"/>
  <c r="X85" i="23"/>
  <c r="BF85" i="23" s="1"/>
  <c r="GC85" i="23" s="1"/>
  <c r="AB69" i="23"/>
  <c r="BJ69" i="23" s="1"/>
  <c r="CA69" i="23" s="1"/>
  <c r="Y84" i="23"/>
  <c r="BG84" i="23" s="1"/>
  <c r="GD84" i="23" s="1"/>
  <c r="AE70" i="23"/>
  <c r="BM70" i="23" s="1"/>
  <c r="CD70" i="23" s="1"/>
  <c r="W73" i="23"/>
  <c r="BE73" i="23" s="1"/>
  <c r="BV73" i="23" s="1"/>
  <c r="DM74" i="23"/>
  <c r="AA80" i="23"/>
  <c r="BI80" i="23" s="1"/>
  <c r="DM78" i="23"/>
  <c r="DE76" i="23"/>
  <c r="AO76" i="23" s="1"/>
  <c r="AX76" i="23" s="1"/>
  <c r="DJ79" i="23"/>
  <c r="DD71" i="23"/>
  <c r="X80" i="23"/>
  <c r="BF80" i="23" s="1"/>
  <c r="GC80" i="23" s="1"/>
  <c r="DF75" i="23"/>
  <c r="AP75" i="23" s="1"/>
  <c r="AY75" i="23" s="1"/>
  <c r="AC71" i="23"/>
  <c r="BK71" i="23" s="1"/>
  <c r="CB71" i="23" s="1"/>
  <c r="DF69" i="23"/>
  <c r="FH68" i="23"/>
  <c r="X76" i="23"/>
  <c r="BF76" i="23" s="1"/>
  <c r="BW76" i="23" s="1"/>
  <c r="FE78" i="23"/>
  <c r="DJ84" i="23"/>
  <c r="FB72" i="23"/>
  <c r="DK76" i="23"/>
  <c r="FJ74" i="23"/>
  <c r="DI86" i="23"/>
  <c r="FT86" i="23" s="1"/>
  <c r="Y86" i="23"/>
  <c r="BG86" i="23" s="1"/>
  <c r="BX86" i="23" s="1"/>
  <c r="FI85" i="23"/>
  <c r="FI86" i="23"/>
  <c r="DI73" i="23"/>
  <c r="FT73" i="23" s="1"/>
  <c r="FI82" i="23"/>
  <c r="FB80" i="23"/>
  <c r="FB79" i="23"/>
  <c r="W79" i="23"/>
  <c r="BE79" i="23" s="1"/>
  <c r="BV79" i="23" s="1"/>
  <c r="FH81" i="23"/>
  <c r="FV81" i="23" s="1"/>
  <c r="W85" i="23"/>
  <c r="BE85" i="23" s="1"/>
  <c r="BV85" i="23" s="1"/>
  <c r="FD84" i="23"/>
  <c r="AB70" i="23"/>
  <c r="BJ70" i="23" s="1"/>
  <c r="CA70" i="23" s="1"/>
  <c r="FG84" i="23"/>
  <c r="AF79" i="23"/>
  <c r="BN79" i="23" s="1"/>
  <c r="GK79" i="23" s="1"/>
  <c r="AE71" i="23"/>
  <c r="BM71" i="23" s="1"/>
  <c r="GJ71" i="23" s="1"/>
  <c r="FH75" i="23"/>
  <c r="DC82" i="23"/>
  <c r="AM82" i="23" s="1"/>
  <c r="AE78" i="23"/>
  <c r="BM78" i="23" s="1"/>
  <c r="GJ78" i="23" s="1"/>
  <c r="X70" i="23"/>
  <c r="BF70" i="23" s="1"/>
  <c r="BW70" i="23" s="1"/>
  <c r="AF70" i="23"/>
  <c r="BN70" i="23" s="1"/>
  <c r="CE70" i="23" s="1"/>
  <c r="V82" i="23"/>
  <c r="BD82" i="23" s="1"/>
  <c r="BU82" i="23" s="1"/>
  <c r="AF86" i="23"/>
  <c r="BN86" i="23" s="1"/>
  <c r="GK86" i="23" s="1"/>
  <c r="DM81" i="23"/>
  <c r="DD81" i="23"/>
  <c r="AN81" i="23" s="1"/>
  <c r="DH75" i="23"/>
  <c r="AA79" i="23"/>
  <c r="BI79" i="23" s="1"/>
  <c r="BZ79" i="23" s="1"/>
  <c r="AC85" i="23"/>
  <c r="BK85" i="23" s="1"/>
  <c r="CB85" i="23" s="1"/>
  <c r="DK73" i="23"/>
  <c r="DG80" i="23"/>
  <c r="AQ80" i="23" s="1"/>
  <c r="AZ80" i="23" s="1"/>
  <c r="AF81" i="23"/>
  <c r="BN81" i="23" s="1"/>
  <c r="CE81" i="23" s="1"/>
  <c r="AC83" i="23"/>
  <c r="BK83" i="23" s="1"/>
  <c r="CB83" i="23" s="1"/>
  <c r="DK77" i="23"/>
  <c r="DF83" i="23"/>
  <c r="AP83" i="23" s="1"/>
  <c r="DJ81" i="23"/>
  <c r="FE79" i="23"/>
  <c r="AC70" i="23"/>
  <c r="BK70" i="23" s="1"/>
  <c r="CB70" i="23" s="1"/>
  <c r="DG83" i="23"/>
  <c r="AQ83" i="23" s="1"/>
  <c r="AZ83" i="23" s="1"/>
  <c r="FK71" i="23"/>
  <c r="FF75" i="23"/>
  <c r="FG86" i="23"/>
  <c r="V81" i="23"/>
  <c r="BD81" i="23" s="1"/>
  <c r="BU81" i="23" s="1"/>
  <c r="FH80" i="23"/>
  <c r="FK85" i="23"/>
  <c r="DM75" i="23"/>
  <c r="FH69" i="23"/>
  <c r="FV69" i="23" s="1"/>
  <c r="AE69" i="23"/>
  <c r="BM69" i="23" s="1"/>
  <c r="CD69" i="23" s="1"/>
  <c r="DL86" i="23"/>
  <c r="V76" i="23"/>
  <c r="BD76" i="23" s="1"/>
  <c r="AD70" i="23"/>
  <c r="BL70" i="23" s="1"/>
  <c r="CC70" i="23" s="1"/>
  <c r="DI80" i="23"/>
  <c r="FT80" i="23" s="1"/>
  <c r="FI69" i="23"/>
  <c r="Z71" i="23"/>
  <c r="BH71" i="23" s="1"/>
  <c r="BY71" i="23" s="1"/>
  <c r="DH71" i="23"/>
  <c r="DK68" i="23"/>
  <c r="V79" i="23"/>
  <c r="BD79" i="23" s="1"/>
  <c r="BU79" i="23" s="1"/>
  <c r="AF77" i="23"/>
  <c r="BN77" i="23" s="1"/>
  <c r="FL80" i="23"/>
  <c r="Z77" i="23"/>
  <c r="BH77" i="23" s="1"/>
  <c r="BY77" i="23" s="1"/>
  <c r="V68" i="23"/>
  <c r="BD68" i="23" s="1"/>
  <c r="BU68" i="23" s="1"/>
  <c r="DD75" i="23"/>
  <c r="AN75" i="23" s="1"/>
  <c r="AW75" i="23" s="1"/>
  <c r="DG69" i="23"/>
  <c r="FC84" i="23"/>
  <c r="DC80" i="23"/>
  <c r="AM80" i="23" s="1"/>
  <c r="AV80" i="23" s="1"/>
  <c r="FH72" i="23"/>
  <c r="V83" i="23"/>
  <c r="BD83" i="23" s="1"/>
  <c r="BU83" i="23" s="1"/>
  <c r="V78" i="23"/>
  <c r="BD78" i="23" s="1"/>
  <c r="BU78" i="23" s="1"/>
  <c r="X79" i="23"/>
  <c r="BF79" i="23" s="1"/>
  <c r="BW79" i="23" s="1"/>
  <c r="X72" i="23"/>
  <c r="BF72" i="23" s="1"/>
  <c r="BW72" i="23" s="1"/>
  <c r="FD78" i="23"/>
  <c r="AF84" i="23"/>
  <c r="BN84" i="23" s="1"/>
  <c r="CE84" i="23" s="1"/>
  <c r="DC79" i="23"/>
  <c r="AM79" i="23" s="1"/>
  <c r="AV79" i="23" s="1"/>
  <c r="FK68" i="23"/>
  <c r="FC85" i="23"/>
  <c r="AC74" i="23"/>
  <c r="BK74" i="23" s="1"/>
  <c r="CB74" i="23" s="1"/>
  <c r="DF82" i="23"/>
  <c r="AP82" i="23" s="1"/>
  <c r="AY82" i="23" s="1"/>
  <c r="FD70" i="23"/>
  <c r="FJ71" i="23"/>
  <c r="DD84" i="23"/>
  <c r="AN84" i="23" s="1"/>
  <c r="AW84" i="23" s="1"/>
  <c r="DH83" i="23"/>
  <c r="W72" i="23"/>
  <c r="BE72" i="23" s="1"/>
  <c r="FJ68" i="23"/>
  <c r="AE68" i="23"/>
  <c r="BM68" i="23" s="1"/>
  <c r="GJ68" i="23" s="1"/>
  <c r="V73" i="23"/>
  <c r="BD73" i="23" s="1"/>
  <c r="DD77" i="23"/>
  <c r="AN77" i="23" s="1"/>
  <c r="AW77" i="23" s="1"/>
  <c r="AG71" i="23"/>
  <c r="BO71" i="23" s="1"/>
  <c r="DJ77" i="23"/>
  <c r="DE80" i="23"/>
  <c r="AO80" i="23" s="1"/>
  <c r="AX80" i="23" s="1"/>
  <c r="FE73" i="23"/>
  <c r="DH72" i="23"/>
  <c r="DL72" i="23"/>
  <c r="FB78" i="23"/>
  <c r="FI77" i="23"/>
  <c r="AD76" i="23"/>
  <c r="BL76" i="23" s="1"/>
  <c r="CC76" i="23" s="1"/>
  <c r="DD72" i="23"/>
  <c r="AN72" i="23" s="1"/>
  <c r="Z74" i="23"/>
  <c r="BH74" i="23" s="1"/>
  <c r="BY74" i="23" s="1"/>
  <c r="AD68" i="23"/>
  <c r="BL68" i="23" s="1"/>
  <c r="FF85" i="23"/>
  <c r="FE72" i="23"/>
  <c r="AA70" i="23"/>
  <c r="BI70" i="23" s="1"/>
  <c r="BZ70" i="23" s="1"/>
  <c r="W74" i="23"/>
  <c r="BE74" i="23" s="1"/>
  <c r="BV74" i="23" s="1"/>
  <c r="FH76" i="23"/>
  <c r="FV76" i="23" s="1"/>
  <c r="DE81" i="23"/>
  <c r="AO81" i="23" s="1"/>
  <c r="AX81" i="23" s="1"/>
  <c r="FH78" i="23"/>
  <c r="FV78" i="23" s="1"/>
  <c r="AC82" i="23"/>
  <c r="BK82" i="23" s="1"/>
  <c r="CB82" i="23" s="1"/>
  <c r="FG82" i="23"/>
  <c r="AF80" i="23"/>
  <c r="BN80" i="23" s="1"/>
  <c r="W77" i="23"/>
  <c r="BE77" i="23" s="1"/>
  <c r="BV77" i="23" s="1"/>
  <c r="W75" i="23"/>
  <c r="BE75" i="23" s="1"/>
  <c r="BV75" i="23" s="1"/>
  <c r="AF73" i="23"/>
  <c r="BN73" i="23" s="1"/>
  <c r="GK73" i="23" s="1"/>
  <c r="DF77" i="23"/>
  <c r="AP77" i="23" s="1"/>
  <c r="AY77" i="23" s="1"/>
  <c r="DN74" i="23"/>
  <c r="FG85" i="23"/>
  <c r="FC78" i="23"/>
  <c r="Y85" i="23"/>
  <c r="BG85" i="23" s="1"/>
  <c r="FG79" i="23"/>
  <c r="FG77" i="23"/>
  <c r="AF74" i="23"/>
  <c r="BN74" i="23" s="1"/>
  <c r="CE74" i="23" s="1"/>
  <c r="AG76" i="23"/>
  <c r="BO76" i="23" s="1"/>
  <c r="CF76" i="23" s="1"/>
  <c r="Z83" i="23"/>
  <c r="BH83" i="23" s="1"/>
  <c r="BY83" i="23" s="1"/>
  <c r="FD68" i="23"/>
  <c r="FJ69" i="23"/>
  <c r="DH80" i="23"/>
  <c r="AA71" i="23"/>
  <c r="BI71" i="23" s="1"/>
  <c r="BZ71" i="23" s="1"/>
  <c r="FE77" i="23"/>
  <c r="AE84" i="23"/>
  <c r="BM84" i="23" s="1"/>
  <c r="GJ84" i="23" s="1"/>
  <c r="DL69" i="23"/>
  <c r="AE85" i="23"/>
  <c r="BM85" i="23" s="1"/>
  <c r="GJ85" i="23" s="1"/>
  <c r="AE86" i="23"/>
  <c r="BM86" i="23" s="1"/>
  <c r="DE69" i="23"/>
  <c r="FK79" i="23"/>
  <c r="AC68" i="23"/>
  <c r="BK68" i="23" s="1"/>
  <c r="DG72" i="23"/>
  <c r="AQ72" i="23" s="1"/>
  <c r="AZ72" i="23" s="1"/>
  <c r="FC77" i="23"/>
  <c r="FG78" i="23"/>
  <c r="DE74" i="23"/>
  <c r="AO74" i="23" s="1"/>
  <c r="AX74" i="23" s="1"/>
  <c r="AA86" i="23"/>
  <c r="BI86" i="23" s="1"/>
  <c r="BZ86" i="23" s="1"/>
  <c r="AB72" i="23"/>
  <c r="BJ72" i="23" s="1"/>
  <c r="CA72" i="23" s="1"/>
  <c r="FG68" i="23"/>
  <c r="DJ74" i="23"/>
  <c r="DF86" i="23"/>
  <c r="AP86" i="23" s="1"/>
  <c r="AY86" i="23" s="1"/>
  <c r="DN69" i="23"/>
  <c r="DG79" i="23"/>
  <c r="AQ79" i="23" s="1"/>
  <c r="AZ79" i="23" s="1"/>
  <c r="DJ75" i="23"/>
  <c r="FC68" i="23"/>
  <c r="AG70" i="23"/>
  <c r="BO70" i="23" s="1"/>
  <c r="CF70" i="23" s="1"/>
  <c r="AF76" i="23"/>
  <c r="BN76" i="23" s="1"/>
  <c r="DJ68" i="23"/>
  <c r="X84" i="23"/>
  <c r="BF84" i="23" s="1"/>
  <c r="BW84" i="23" s="1"/>
  <c r="W71" i="23"/>
  <c r="BE71" i="23" s="1"/>
  <c r="BV71" i="23" s="1"/>
  <c r="DC77" i="23"/>
  <c r="AM77" i="23" s="1"/>
  <c r="AV77" i="23" s="1"/>
  <c r="X86" i="23"/>
  <c r="BF86" i="23" s="1"/>
  <c r="BW86" i="23" s="1"/>
  <c r="AF82" i="23"/>
  <c r="BN82" i="23" s="1"/>
  <c r="CE82" i="23" s="1"/>
  <c r="AA72" i="23"/>
  <c r="BI72" i="23" s="1"/>
  <c r="FH73" i="23"/>
  <c r="FV73" i="23" s="1"/>
  <c r="FH71" i="23"/>
  <c r="FV71" i="23" s="1"/>
  <c r="DL80" i="23"/>
  <c r="DL79" i="23"/>
  <c r="DH81" i="23"/>
  <c r="DM80" i="23"/>
  <c r="W86" i="23"/>
  <c r="BE86" i="23" s="1"/>
  <c r="BV86" i="23" s="1"/>
  <c r="FC83" i="23"/>
  <c r="DN70" i="23"/>
  <c r="DL76" i="23"/>
  <c r="AE77" i="23"/>
  <c r="BM77" i="23" s="1"/>
  <c r="DI83" i="23"/>
  <c r="FT83" i="23" s="1"/>
  <c r="W84" i="23"/>
  <c r="BE84" i="23" s="1"/>
  <c r="BV84" i="23" s="1"/>
  <c r="DE83" i="23"/>
  <c r="AO83" i="23" s="1"/>
  <c r="AX83" i="23" s="1"/>
  <c r="AA83" i="23"/>
  <c r="BI83" i="23" s="1"/>
  <c r="DI71" i="23"/>
  <c r="FT71" i="23" s="1"/>
  <c r="DI68" i="23"/>
  <c r="FT68" i="23" s="1"/>
  <c r="FB85" i="23"/>
  <c r="AE79" i="23"/>
  <c r="BM79" i="23" s="1"/>
  <c r="DM83" i="23"/>
  <c r="DL68" i="23"/>
  <c r="FD74" i="23"/>
  <c r="DD80" i="23"/>
  <c r="AN80" i="23" s="1"/>
  <c r="W81" i="23"/>
  <c r="BE81" i="23" s="1"/>
  <c r="FJ78" i="23"/>
  <c r="DC72" i="23"/>
  <c r="X78" i="23"/>
  <c r="BF78" i="23" s="1"/>
  <c r="BW78" i="23" s="1"/>
  <c r="DC68" i="23"/>
  <c r="AA75" i="23"/>
  <c r="BI75" i="23" s="1"/>
  <c r="BZ75" i="23" s="1"/>
  <c r="DC84" i="23"/>
  <c r="AM84" i="23" s="1"/>
  <c r="AV84" i="23" s="1"/>
  <c r="DC69" i="23"/>
  <c r="DG84" i="23"/>
  <c r="AQ84" i="23" s="1"/>
  <c r="AZ84" i="23" s="1"/>
  <c r="DC74" i="23"/>
  <c r="AM74" i="23" s="1"/>
  <c r="AV74" i="23" s="1"/>
  <c r="AB80" i="23"/>
  <c r="BJ80" i="23" s="1"/>
  <c r="CA80" i="23" s="1"/>
  <c r="DJ69" i="23"/>
  <c r="DK72" i="23"/>
  <c r="DJ83" i="23"/>
  <c r="Y83" i="23"/>
  <c r="BG83" i="23" s="1"/>
  <c r="X82" i="23"/>
  <c r="BF82" i="23" s="1"/>
  <c r="FB75" i="23"/>
  <c r="DJ70" i="23"/>
  <c r="FH82" i="23"/>
  <c r="FV82" i="23" s="1"/>
  <c r="DH86" i="23"/>
  <c r="FJ70" i="23"/>
  <c r="DL85" i="23"/>
  <c r="AF78" i="23"/>
  <c r="BN78" i="23" s="1"/>
  <c r="CE78" i="23" s="1"/>
  <c r="DI69" i="23"/>
  <c r="FT69" i="23" s="1"/>
  <c r="Y79" i="23"/>
  <c r="BG79" i="23" s="1"/>
  <c r="GD79" i="23" s="1"/>
  <c r="FI70" i="23"/>
  <c r="FE84" i="23"/>
  <c r="DD73" i="23"/>
  <c r="FF80" i="23"/>
  <c r="AB77" i="23"/>
  <c r="BJ77" i="23" s="1"/>
  <c r="CA77" i="23" s="1"/>
  <c r="X71" i="23"/>
  <c r="BF71" i="23" s="1"/>
  <c r="BW71" i="23" s="1"/>
  <c r="X73" i="23"/>
  <c r="BF73" i="23" s="1"/>
  <c r="V84" i="23"/>
  <c r="BD84" i="23" s="1"/>
  <c r="BU84" i="23" s="1"/>
  <c r="DF78" i="23"/>
  <c r="AP78" i="23" s="1"/>
  <c r="AY78" i="23" s="1"/>
  <c r="DI84" i="23"/>
  <c r="FT84" i="23" s="1"/>
  <c r="FF84" i="23"/>
  <c r="FK77" i="23"/>
  <c r="DG78" i="23"/>
  <c r="AQ78" i="23" s="1"/>
  <c r="AZ78" i="23" s="1"/>
  <c r="FD80" i="23"/>
  <c r="AC86" i="23"/>
  <c r="BK86" i="23" s="1"/>
  <c r="FC70" i="23"/>
  <c r="FD83" i="23"/>
  <c r="FJ76" i="23"/>
  <c r="FI78" i="23"/>
  <c r="Y70" i="23"/>
  <c r="BG70" i="23" s="1"/>
  <c r="FH77" i="23"/>
  <c r="FV77" i="23" s="1"/>
  <c r="FD71" i="23"/>
  <c r="DL78" i="23"/>
  <c r="FK78" i="23"/>
  <c r="DJ73" i="23"/>
  <c r="AC78" i="23"/>
  <c r="BK78" i="23" s="1"/>
  <c r="CB78" i="23" s="1"/>
  <c r="AB78" i="23"/>
  <c r="BJ78" i="23" s="1"/>
  <c r="CA78" i="23" s="1"/>
  <c r="AF72" i="23"/>
  <c r="BN72" i="23" s="1"/>
  <c r="GK72" i="23" s="1"/>
  <c r="FJ73" i="23"/>
  <c r="FD72" i="23"/>
  <c r="FF74" i="23"/>
  <c r="AA69" i="23"/>
  <c r="BI69" i="23" s="1"/>
  <c r="BZ69" i="23" s="1"/>
  <c r="FC79" i="23"/>
  <c r="FE85" i="23"/>
  <c r="FJ77" i="23"/>
  <c r="FG72" i="23"/>
  <c r="FK80" i="23"/>
  <c r="AE83" i="23"/>
  <c r="BM83" i="23" s="1"/>
  <c r="GJ83" i="23" s="1"/>
  <c r="DH76" i="23"/>
  <c r="DM72" i="23"/>
  <c r="DD76" i="23"/>
  <c r="AN76" i="23" s="1"/>
  <c r="AW76" i="23" s="1"/>
  <c r="FE82" i="23"/>
  <c r="DM86" i="23"/>
  <c r="FF78" i="23"/>
  <c r="Z73" i="23"/>
  <c r="BH73" i="23" s="1"/>
  <c r="BY73" i="23" s="1"/>
  <c r="DM84" i="23"/>
  <c r="DI77" i="23"/>
  <c r="FT77" i="23" s="1"/>
  <c r="FB82" i="23"/>
  <c r="W82" i="23"/>
  <c r="BE82" i="23" s="1"/>
  <c r="BV82" i="23" s="1"/>
  <c r="FH84" i="23"/>
  <c r="FV84" i="23" s="1"/>
  <c r="DG75" i="23"/>
  <c r="AQ75" i="23" s="1"/>
  <c r="AZ75" i="23" s="1"/>
  <c r="Z70" i="23"/>
  <c r="BH70" i="23" s="1"/>
  <c r="BY70" i="23" s="1"/>
  <c r="DM73" i="23"/>
  <c r="DC83" i="23"/>
  <c r="AM83" i="23" s="1"/>
  <c r="AV83" i="23" s="1"/>
  <c r="DG73" i="23"/>
  <c r="AQ73" i="23" s="1"/>
  <c r="AZ73" i="23" s="1"/>
  <c r="FC71" i="23"/>
  <c r="DF85" i="23"/>
  <c r="AP85" i="23" s="1"/>
  <c r="AY85" i="23" s="1"/>
  <c r="DG68" i="23"/>
  <c r="DG70" i="23"/>
  <c r="DG86" i="23"/>
  <c r="AQ86" i="23" s="1"/>
  <c r="AZ86" i="23" s="1"/>
  <c r="DK69" i="23"/>
  <c r="AB85" i="23"/>
  <c r="BJ85" i="23" s="1"/>
  <c r="CA85" i="23" s="1"/>
  <c r="FG80" i="23"/>
  <c r="FK86" i="23"/>
  <c r="DF71" i="23"/>
  <c r="X68" i="23"/>
  <c r="BF68" i="23" s="1"/>
  <c r="BW68" i="23" s="1"/>
  <c r="AC81" i="23"/>
  <c r="BK81" i="23" s="1"/>
  <c r="CB81" i="23" s="1"/>
  <c r="DF79" i="23"/>
  <c r="AP79" i="23" s="1"/>
  <c r="AY79" i="23" s="1"/>
  <c r="Y74" i="23"/>
  <c r="BG74" i="23" s="1"/>
  <c r="GD74" i="23" s="1"/>
  <c r="V86" i="23"/>
  <c r="BD86" i="23" s="1"/>
  <c r="BU86" i="23" s="1"/>
  <c r="FD82" i="23"/>
  <c r="DC75" i="23"/>
  <c r="AM75" i="23" s="1"/>
  <c r="FF71" i="23"/>
  <c r="DD85" i="23"/>
  <c r="AN85" i="23" s="1"/>
  <c r="AW85" i="23" s="1"/>
  <c r="DL70" i="23"/>
  <c r="DM69" i="23"/>
  <c r="FE74" i="23"/>
  <c r="DM79" i="23"/>
  <c r="FB86" i="23"/>
  <c r="DC85" i="23"/>
  <c r="AM85" i="23" s="1"/>
  <c r="AV85" i="23" s="1"/>
  <c r="DC70" i="23"/>
  <c r="AM70" i="23" s="1"/>
  <c r="DG81" i="23"/>
  <c r="AQ81" i="23" s="1"/>
  <c r="AZ81" i="23" s="1"/>
  <c r="Z80" i="23"/>
  <c r="BH80" i="23" s="1"/>
  <c r="BY80" i="23" s="1"/>
  <c r="FB76" i="23"/>
  <c r="DD86" i="23"/>
  <c r="AN86" i="23" s="1"/>
  <c r="AW86" i="23" s="1"/>
  <c r="AC79" i="23"/>
  <c r="BK79" i="23" s="1"/>
  <c r="CB79" i="23" s="1"/>
  <c r="FF86" i="23"/>
  <c r="DJ86" i="23"/>
  <c r="AB68" i="23"/>
  <c r="BJ68" i="23" s="1"/>
  <c r="DJ85" i="23"/>
  <c r="V77" i="23"/>
  <c r="BD77" i="23" s="1"/>
  <c r="BU77" i="23" s="1"/>
  <c r="FJ75" i="23"/>
  <c r="Y82" i="23"/>
  <c r="BG82" i="23" s="1"/>
  <c r="BX82" i="23" s="1"/>
  <c r="DJ82" i="23"/>
  <c r="AG68" i="23"/>
  <c r="BO68" i="23" s="1"/>
  <c r="CF68" i="23" s="1"/>
  <c r="V80" i="23"/>
  <c r="BD80" i="23" s="1"/>
  <c r="BU80" i="23" s="1"/>
  <c r="FG69" i="23"/>
  <c r="Z81" i="23"/>
  <c r="BH81" i="23" s="1"/>
  <c r="BY81" i="23" s="1"/>
  <c r="FK81" i="23"/>
  <c r="FB73" i="23"/>
  <c r="W76" i="23"/>
  <c r="BE76" i="23" s="1"/>
  <c r="BV76" i="23" s="1"/>
  <c r="DN68" i="23"/>
  <c r="FD77" i="23"/>
  <c r="AE72" i="23"/>
  <c r="BM72" i="23" s="1"/>
  <c r="CD72" i="23" s="1"/>
  <c r="AA73" i="23"/>
  <c r="BI73" i="23" s="1"/>
  <c r="BZ73" i="23" s="1"/>
  <c r="FD75" i="23"/>
  <c r="DG76" i="23"/>
  <c r="AQ76" i="23" s="1"/>
  <c r="AZ76" i="23" s="1"/>
  <c r="FB70" i="23"/>
  <c r="DH82" i="23"/>
  <c r="FI83" i="23"/>
  <c r="DE85" i="23"/>
  <c r="AO85" i="23" s="1"/>
  <c r="AX85" i="23" s="1"/>
  <c r="DG82" i="23"/>
  <c r="AQ82" i="23" s="1"/>
  <c r="AZ82" i="23" s="1"/>
  <c r="Z69" i="23"/>
  <c r="BH69" i="23" s="1"/>
  <c r="BY69" i="23" s="1"/>
  <c r="DM82" i="23"/>
  <c r="AD71" i="23"/>
  <c r="BL71" i="23" s="1"/>
  <c r="CC71" i="23" s="1"/>
  <c r="FI73" i="23"/>
  <c r="FF82" i="23"/>
  <c r="DM71" i="23"/>
  <c r="FE69" i="23"/>
  <c r="DE72" i="23"/>
  <c r="DH74" i="23"/>
  <c r="Z76" i="23"/>
  <c r="BH76" i="23" s="1"/>
  <c r="BY76" i="23" s="1"/>
  <c r="DH69" i="23"/>
  <c r="FI68" i="23"/>
  <c r="Z72" i="23"/>
  <c r="BH72" i="23" s="1"/>
  <c r="BY72" i="23" s="1"/>
  <c r="FL72" i="23"/>
  <c r="FM76" i="23"/>
  <c r="FM75" i="23"/>
  <c r="FL76" i="23"/>
  <c r="FM69" i="23"/>
  <c r="FL70" i="23"/>
  <c r="FL77" i="23"/>
  <c r="FL74" i="23"/>
  <c r="FL85" i="23"/>
  <c r="FL68" i="23"/>
  <c r="FL75" i="23"/>
  <c r="FM73" i="23"/>
  <c r="FL86" i="23"/>
  <c r="FL71" i="23"/>
  <c r="FL84" i="23"/>
  <c r="FL81" i="23"/>
  <c r="FL69" i="23"/>
  <c r="FL78" i="23"/>
  <c r="FL82" i="23"/>
  <c r="FL79" i="23"/>
  <c r="FL73" i="23"/>
  <c r="FM72" i="23"/>
  <c r="FM68" i="23"/>
  <c r="FM70" i="23"/>
  <c r="FM71" i="23"/>
  <c r="FL83" i="23"/>
  <c r="CC68" i="23"/>
  <c r="CD68" i="23"/>
  <c r="BV72" i="23"/>
  <c r="FV72" i="23"/>
  <c r="GK77" i="23"/>
  <c r="CE77" i="23"/>
  <c r="BU76" i="23"/>
  <c r="FV80" i="23"/>
  <c r="AY83" i="23"/>
  <c r="AW81" i="23"/>
  <c r="BU71" i="23"/>
  <c r="GC83" i="23"/>
  <c r="BY79" i="23"/>
  <c r="BZ82" i="23"/>
  <c r="GD77" i="23"/>
  <c r="BX77" i="23"/>
  <c r="BX76" i="23"/>
  <c r="GD76" i="23"/>
  <c r="BV80" i="23"/>
  <c r="BU70" i="23"/>
  <c r="GJ80" i="23"/>
  <c r="CD80" i="23"/>
  <c r="AV78" i="23"/>
  <c r="CB77" i="23"/>
  <c r="CA71" i="23"/>
  <c r="AW78" i="23"/>
  <c r="CB69" i="23"/>
  <c r="BW81" i="23"/>
  <c r="AX82" i="23"/>
  <c r="AV75" i="23"/>
  <c r="CB86" i="23"/>
  <c r="BW73" i="23"/>
  <c r="BX79" i="23"/>
  <c r="BW82" i="23"/>
  <c r="BV81" i="23"/>
  <c r="AW80" i="23"/>
  <c r="BZ83" i="23"/>
  <c r="GB86" i="23"/>
  <c r="BZ72" i="23"/>
  <c r="GJ86" i="23"/>
  <c r="CD86" i="23"/>
  <c r="BY68" i="23"/>
  <c r="BZ74" i="23"/>
  <c r="BZ68" i="23"/>
  <c r="AW83" i="23"/>
  <c r="BW77" i="23"/>
  <c r="AV82" i="23"/>
  <c r="AY81" i="23"/>
  <c r="CC72" i="23"/>
  <c r="FV75" i="23"/>
  <c r="AZ77" i="23"/>
  <c r="FV68" i="23"/>
  <c r="BY75" i="23"/>
  <c r="BZ80" i="23"/>
  <c r="BU69" i="23"/>
  <c r="CE69" i="23"/>
  <c r="C69" i="23"/>
  <c r="C82" i="23"/>
  <c r="AM71" i="23" l="1"/>
  <c r="GJ72" i="23"/>
  <c r="GD75" i="23"/>
  <c r="AP73" i="23"/>
  <c r="BX80" i="23"/>
  <c r="AO73" i="23"/>
  <c r="AP72" i="23"/>
  <c r="BW85" i="23"/>
  <c r="CD78" i="23"/>
  <c r="AM73" i="23"/>
  <c r="CD74" i="23"/>
  <c r="AO69" i="23"/>
  <c r="AQ69" i="23"/>
  <c r="GJ82" i="23"/>
  <c r="AO70" i="23"/>
  <c r="BU73" i="23"/>
  <c r="C12" i="23"/>
  <c r="AM69" i="23"/>
  <c r="GK74" i="23"/>
  <c r="AN71" i="23"/>
  <c r="GK81" i="23"/>
  <c r="AN70" i="23"/>
  <c r="GK85" i="23"/>
  <c r="CD71" i="23"/>
  <c r="CD85" i="23"/>
  <c r="AN69" i="23"/>
  <c r="AP68" i="23"/>
  <c r="H17" i="23"/>
  <c r="GK83" i="23"/>
  <c r="O17" i="23"/>
  <c r="GC86" i="23"/>
  <c r="F17" i="23"/>
  <c r="GK78" i="23"/>
  <c r="BX73" i="23"/>
  <c r="BX84" i="23"/>
  <c r="GJ70" i="23"/>
  <c r="BV70" i="23"/>
  <c r="G17" i="23"/>
  <c r="C17" i="23"/>
  <c r="F11" i="23"/>
  <c r="BW80" i="23"/>
  <c r="G11" i="23"/>
  <c r="CE72" i="23"/>
  <c r="CE75" i="23"/>
  <c r="CE73" i="23"/>
  <c r="BX74" i="23"/>
  <c r="CD73" i="23"/>
  <c r="CD81" i="23"/>
  <c r="GK84" i="23"/>
  <c r="AQ70" i="23"/>
  <c r="AM72" i="23"/>
  <c r="O16" i="23"/>
  <c r="AP71" i="23"/>
  <c r="C11" i="23"/>
  <c r="H11" i="23"/>
  <c r="H50" i="23" s="1"/>
  <c r="E11" i="23"/>
  <c r="P17" i="23"/>
  <c r="BX81" i="23"/>
  <c r="CD84" i="23"/>
  <c r="GD82" i="23"/>
  <c r="BX78" i="23"/>
  <c r="AN68" i="23"/>
  <c r="GJ69" i="23"/>
  <c r="E17" i="23"/>
  <c r="H7" i="23"/>
  <c r="H46" i="23" s="1"/>
  <c r="AN73" i="23"/>
  <c r="CF71" i="23"/>
  <c r="D12" i="23"/>
  <c r="GJ76" i="23"/>
  <c r="B11" i="23"/>
  <c r="B17" i="23"/>
  <c r="CD77" i="23"/>
  <c r="GJ77" i="23"/>
  <c r="GC84" i="23"/>
  <c r="CE86" i="23"/>
  <c r="F7" i="23"/>
  <c r="R17" i="23"/>
  <c r="AQ68" i="23"/>
  <c r="R16" i="23"/>
  <c r="D11" i="23"/>
  <c r="D7" i="23"/>
  <c r="E7" i="23"/>
  <c r="B7" i="23"/>
  <c r="F12" i="23"/>
  <c r="BX83" i="23"/>
  <c r="GD83" i="23"/>
  <c r="CD79" i="23"/>
  <c r="GJ79" i="23"/>
  <c r="AO71" i="23"/>
  <c r="AP70" i="23"/>
  <c r="BX70" i="23"/>
  <c r="E12" i="23"/>
  <c r="N17" i="23"/>
  <c r="N16" i="23"/>
  <c r="AM68" i="23"/>
  <c r="CE76" i="23"/>
  <c r="GK76" i="23"/>
  <c r="GK80" i="23"/>
  <c r="CE80" i="23"/>
  <c r="CE79" i="23"/>
  <c r="GD85" i="23"/>
  <c r="BX85" i="23"/>
  <c r="Q17" i="23"/>
  <c r="CD83" i="23"/>
  <c r="B3" i="23"/>
  <c r="D8" i="23" s="1"/>
  <c r="Q16" i="23"/>
  <c r="G7" i="23"/>
  <c r="CB68" i="23"/>
  <c r="GD86" i="23"/>
  <c r="P16" i="23"/>
  <c r="D17" i="23"/>
  <c r="GK82" i="23"/>
  <c r="GJ75" i="23"/>
  <c r="AO68" i="23"/>
  <c r="AO72" i="23"/>
  <c r="AP69" i="23"/>
  <c r="CT82" i="23"/>
  <c r="EB82" i="23" s="1"/>
  <c r="GW82" i="23" s="1"/>
  <c r="GH82" i="23"/>
  <c r="GA82" i="23"/>
  <c r="GF82" i="23"/>
  <c r="GE82" i="23"/>
  <c r="CW82" i="23"/>
  <c r="EE82" i="23" s="1"/>
  <c r="GZ82" i="23" s="1"/>
  <c r="GD69" i="23"/>
  <c r="GE69" i="23"/>
  <c r="GC69" i="23"/>
  <c r="GF69" i="23"/>
  <c r="GI69" i="23"/>
  <c r="GA69" i="23"/>
  <c r="GL69" i="23"/>
  <c r="GK69" i="23"/>
  <c r="GB69" i="23"/>
  <c r="CU69" i="23"/>
  <c r="CP69" i="23"/>
  <c r="AZ69" i="23" s="1"/>
  <c r="CS69" i="23"/>
  <c r="CU82" i="23"/>
  <c r="CP82" i="23"/>
  <c r="H12" i="23"/>
  <c r="CN82" i="23"/>
  <c r="CM82" i="23"/>
  <c r="GH69" i="23"/>
  <c r="CQ69" i="23"/>
  <c r="GB82" i="23"/>
  <c r="CO82" i="23"/>
  <c r="CL82" i="23"/>
  <c r="CS82" i="23"/>
  <c r="CV82" i="23"/>
  <c r="CQ82" i="23"/>
  <c r="CR82" i="23"/>
  <c r="GG82" i="23"/>
  <c r="CN69" i="23"/>
  <c r="AX69" i="23" s="1"/>
  <c r="G12" i="23"/>
  <c r="CL69" i="23"/>
  <c r="CV69" i="23"/>
  <c r="CM69" i="23"/>
  <c r="CA68" i="23"/>
  <c r="C7" i="23"/>
  <c r="CW69" i="23"/>
  <c r="CR69" i="23"/>
  <c r="GG69" i="23"/>
  <c r="CO69" i="23"/>
  <c r="GC82" i="23"/>
  <c r="CT69" i="23"/>
  <c r="EL69" i="23" a="1"/>
  <c r="C77" i="23"/>
  <c r="ET82" i="23" a="1"/>
  <c r="C70" i="23"/>
  <c r="C79" i="23"/>
  <c r="C86" i="23"/>
  <c r="C73" i="23"/>
  <c r="C74" i="23"/>
  <c r="ER69" i="23" a="1"/>
  <c r="C76" i="23"/>
  <c r="ER82" i="23" a="1"/>
  <c r="C83" i="23"/>
  <c r="EO82" i="23" a="1"/>
  <c r="C72" i="23"/>
  <c r="EM82" i="23" a="1"/>
  <c r="EN82" i="23" a="1"/>
  <c r="EO69" i="23" a="1"/>
  <c r="EV69" i="23" a="1"/>
  <c r="C68" i="23"/>
  <c r="EU69" i="23" a="1"/>
  <c r="EQ82" i="23" a="1"/>
  <c r="EP82" i="23" a="1"/>
  <c r="EU82" i="23" a="1"/>
  <c r="C71" i="23"/>
  <c r="EQ69" i="23" a="1"/>
  <c r="C85" i="23"/>
  <c r="EK69" i="23" a="1"/>
  <c r="ET69" i="23" a="1"/>
  <c r="C80" i="23"/>
  <c r="EL82" i="23" a="1"/>
  <c r="EP69" i="23" a="1"/>
  <c r="C81" i="23"/>
  <c r="EM69" i="23" a="1"/>
  <c r="ES69" i="23" a="1"/>
  <c r="C84" i="23"/>
  <c r="C75" i="23"/>
  <c r="EK82" i="23" a="1"/>
  <c r="EN69" i="23" a="1"/>
  <c r="C78" i="23"/>
  <c r="G50" i="23" l="1"/>
  <c r="F50" i="23" s="1"/>
  <c r="E50" i="23" s="1"/>
  <c r="D50" i="23" s="1"/>
  <c r="C50" i="23" s="1"/>
  <c r="B50" i="23" s="1"/>
  <c r="C15" i="23"/>
  <c r="E15" i="23"/>
  <c r="E8" i="23"/>
  <c r="C8" i="23"/>
  <c r="F15" i="23"/>
  <c r="F8" i="23"/>
  <c r="D15" i="23"/>
  <c r="H8" i="23"/>
  <c r="H47" i="23" s="1"/>
  <c r="G8" i="23"/>
  <c r="GE78" i="23"/>
  <c r="GC78" i="23"/>
  <c r="CP78" i="23"/>
  <c r="DX78" i="23" s="1"/>
  <c r="CV78" i="23"/>
  <c r="ED78" i="23" s="1"/>
  <c r="CW78" i="23"/>
  <c r="EE78" i="23" s="1"/>
  <c r="GZ78" i="23" s="1"/>
  <c r="GG78" i="23"/>
  <c r="GF78" i="23"/>
  <c r="CL78" i="23"/>
  <c r="GB78" i="23"/>
  <c r="CS78" i="23"/>
  <c r="CO78" i="23"/>
  <c r="DW78" i="23" s="1"/>
  <c r="CT78" i="23"/>
  <c r="GA78" i="23"/>
  <c r="CR78" i="23"/>
  <c r="DZ78" i="23" s="1"/>
  <c r="GH78" i="23"/>
  <c r="CQ78" i="23"/>
  <c r="CU78" i="23"/>
  <c r="CN78" i="23"/>
  <c r="GI78" i="23"/>
  <c r="CM78" i="23"/>
  <c r="DU78" i="23" s="1"/>
  <c r="GB75" i="23"/>
  <c r="GI75" i="23"/>
  <c r="CV75" i="23"/>
  <c r="ED75" i="23" s="1"/>
  <c r="GL75" i="23"/>
  <c r="CM75" i="23"/>
  <c r="GE75" i="23"/>
  <c r="CN75" i="23"/>
  <c r="DV75" i="23" s="1"/>
  <c r="CT75" i="23"/>
  <c r="CQ75" i="23"/>
  <c r="CO75" i="23"/>
  <c r="DW75" i="23" s="1"/>
  <c r="CW75" i="23"/>
  <c r="GG75" i="23"/>
  <c r="GF75" i="23"/>
  <c r="GA75" i="23"/>
  <c r="CS75" i="23"/>
  <c r="CR75" i="23"/>
  <c r="CU75" i="23"/>
  <c r="EC75" i="23" s="1"/>
  <c r="GH75" i="23"/>
  <c r="GC75" i="23"/>
  <c r="CL75" i="23"/>
  <c r="CP75" i="23"/>
  <c r="GK71" i="23"/>
  <c r="CS71" i="23"/>
  <c r="GC71" i="23"/>
  <c r="GL71" i="23"/>
  <c r="GI71" i="23"/>
  <c r="CV71" i="23"/>
  <c r="ED71" i="23" s="1"/>
  <c r="GA71" i="23"/>
  <c r="GG71" i="23"/>
  <c r="CQ71" i="23"/>
  <c r="CM71" i="23"/>
  <c r="CP71" i="23"/>
  <c r="GD71" i="23"/>
  <c r="CW71" i="23"/>
  <c r="CT71" i="23"/>
  <c r="CR71" i="23"/>
  <c r="CN71" i="23"/>
  <c r="CO71" i="23"/>
  <c r="AY71" i="23" s="1"/>
  <c r="GF71" i="23"/>
  <c r="GH71" i="23"/>
  <c r="GB71" i="23"/>
  <c r="CL71" i="23"/>
  <c r="CU71" i="23"/>
  <c r="EC71" i="23" s="1"/>
  <c r="GE71" i="23"/>
  <c r="CV84" i="23"/>
  <c r="ED84" i="23" s="1"/>
  <c r="CQ84" i="23"/>
  <c r="DY84" i="23" s="1"/>
  <c r="GE84" i="23"/>
  <c r="GB84" i="23"/>
  <c r="GH84" i="23"/>
  <c r="CR84" i="23"/>
  <c r="CN84" i="23"/>
  <c r="DV84" i="23" s="1"/>
  <c r="CP84" i="23"/>
  <c r="DX84" i="23" s="1"/>
  <c r="CT84" i="23"/>
  <c r="EB84" i="23" s="1"/>
  <c r="GW84" i="23" s="1"/>
  <c r="GA84" i="23"/>
  <c r="CM84" i="23"/>
  <c r="CW84" i="23"/>
  <c r="EE84" i="23" s="1"/>
  <c r="GZ84" i="23" s="1"/>
  <c r="CL84" i="23"/>
  <c r="CS84" i="23"/>
  <c r="CO84" i="23"/>
  <c r="DW84" i="23" s="1"/>
  <c r="GF84" i="23"/>
  <c r="GG84" i="23"/>
  <c r="CU84" i="23"/>
  <c r="EC84" i="23" s="1"/>
  <c r="GD72" i="23"/>
  <c r="CM72" i="23"/>
  <c r="AW72" i="23" s="1"/>
  <c r="GC72" i="23"/>
  <c r="CL72" i="23"/>
  <c r="AV72" i="23" s="1"/>
  <c r="GG72" i="23"/>
  <c r="CP72" i="23"/>
  <c r="GL72" i="23"/>
  <c r="CS72" i="23"/>
  <c r="CN72" i="23"/>
  <c r="AX72" i="23" s="1"/>
  <c r="CV72" i="23"/>
  <c r="ED72" i="23" s="1"/>
  <c r="GF72" i="23"/>
  <c r="GE72" i="23"/>
  <c r="GH72" i="23"/>
  <c r="GI72" i="23"/>
  <c r="CT72" i="23"/>
  <c r="GB72" i="23"/>
  <c r="CU72" i="23"/>
  <c r="EC72" i="23" s="1"/>
  <c r="CR72" i="23"/>
  <c r="CO72" i="23"/>
  <c r="CQ72" i="23"/>
  <c r="GA72" i="23"/>
  <c r="CW72" i="23"/>
  <c r="GB81" i="23"/>
  <c r="CQ81" i="23"/>
  <c r="DY81" i="23" s="1"/>
  <c r="CV81" i="23"/>
  <c r="ED81" i="23" s="1"/>
  <c r="CP81" i="23"/>
  <c r="DX81" i="23" s="1"/>
  <c r="CR81" i="23"/>
  <c r="CN81" i="23"/>
  <c r="DV81" i="23" s="1"/>
  <c r="GC81" i="23"/>
  <c r="GE81" i="23"/>
  <c r="CS81" i="23"/>
  <c r="CW81" i="23"/>
  <c r="EE81" i="23" s="1"/>
  <c r="GZ81" i="23" s="1"/>
  <c r="CT81" i="23"/>
  <c r="EB81" i="23" s="1"/>
  <c r="GW81" i="23" s="1"/>
  <c r="CO81" i="23"/>
  <c r="DW81" i="23" s="1"/>
  <c r="CU81" i="23"/>
  <c r="EC81" i="23" s="1"/>
  <c r="CL81" i="23"/>
  <c r="GA81" i="23"/>
  <c r="CM81" i="23"/>
  <c r="GG81" i="23"/>
  <c r="GF81" i="23"/>
  <c r="GH81" i="23"/>
  <c r="CP73" i="23"/>
  <c r="CS73" i="23"/>
  <c r="CO73" i="23"/>
  <c r="GE73" i="23"/>
  <c r="GL73" i="23"/>
  <c r="GF73" i="23"/>
  <c r="CW73" i="23"/>
  <c r="GH73" i="23"/>
  <c r="GA73" i="23"/>
  <c r="GD73" i="23"/>
  <c r="GC73" i="23"/>
  <c r="CQ73" i="23"/>
  <c r="GB73" i="23"/>
  <c r="CU73" i="23"/>
  <c r="EC73" i="23" s="1"/>
  <c r="CN73" i="23"/>
  <c r="AX73" i="23" s="1"/>
  <c r="GI73" i="23"/>
  <c r="GG73" i="23"/>
  <c r="CL73" i="23"/>
  <c r="CM73" i="23"/>
  <c r="AW73" i="23" s="1"/>
  <c r="CR73" i="23"/>
  <c r="CT73" i="23"/>
  <c r="GG74" i="23"/>
  <c r="CW74" i="23"/>
  <c r="CS74" i="23"/>
  <c r="GA74" i="23"/>
  <c r="GC74" i="23"/>
  <c r="GB74" i="23"/>
  <c r="CR74" i="23"/>
  <c r="CP74" i="23"/>
  <c r="GE74" i="23"/>
  <c r="GF74" i="23"/>
  <c r="CV74" i="23"/>
  <c r="ED74" i="23" s="1"/>
  <c r="CN74" i="23"/>
  <c r="DV74" i="23" s="1"/>
  <c r="GI74" i="23"/>
  <c r="CL74" i="23"/>
  <c r="CM74" i="23"/>
  <c r="CO74" i="23"/>
  <c r="DW74" i="23" s="1"/>
  <c r="CU74" i="23"/>
  <c r="EC74" i="23" s="1"/>
  <c r="CQ74" i="23"/>
  <c r="GL74" i="23"/>
  <c r="CT74" i="23"/>
  <c r="GH74" i="23"/>
  <c r="CV73" i="23"/>
  <c r="ED73" i="23" s="1"/>
  <c r="G46" i="23"/>
  <c r="F46" i="23" s="1"/>
  <c r="E46" i="23" s="1"/>
  <c r="D46" i="23" s="1"/>
  <c r="C46" i="23" s="1"/>
  <c r="B46" i="23" s="1"/>
  <c r="B8" i="23"/>
  <c r="GE79" i="23"/>
  <c r="GC79" i="23"/>
  <c r="CN79" i="23"/>
  <c r="DV79" i="23" s="1"/>
  <c r="CL79" i="23"/>
  <c r="CQ79" i="23"/>
  <c r="CW79" i="23"/>
  <c r="EE79" i="23" s="1"/>
  <c r="GZ79" i="23" s="1"/>
  <c r="GA79" i="23"/>
  <c r="GI79" i="23"/>
  <c r="GF79" i="23"/>
  <c r="CS79" i="23"/>
  <c r="GH79" i="23"/>
  <c r="CT79" i="23"/>
  <c r="GB79" i="23"/>
  <c r="CM79" i="23"/>
  <c r="CR79" i="23"/>
  <c r="CP79" i="23"/>
  <c r="DX79" i="23" s="1"/>
  <c r="CO79" i="23"/>
  <c r="GG79" i="23"/>
  <c r="GG83" i="23"/>
  <c r="CP83" i="23"/>
  <c r="DX83" i="23" s="1"/>
  <c r="GF83" i="23"/>
  <c r="CM83" i="23"/>
  <c r="DU83" i="23" s="1"/>
  <c r="GA83" i="23"/>
  <c r="CW83" i="23"/>
  <c r="EE83" i="23" s="1"/>
  <c r="GZ83" i="23" s="1"/>
  <c r="GH83" i="23"/>
  <c r="CT83" i="23"/>
  <c r="EB83" i="23" s="1"/>
  <c r="GW83" i="23" s="1"/>
  <c r="CV83" i="23"/>
  <c r="ED83" i="23" s="1"/>
  <c r="CL83" i="23"/>
  <c r="CR83" i="23"/>
  <c r="GE83" i="23"/>
  <c r="CS83" i="23"/>
  <c r="CO83" i="23"/>
  <c r="DW83" i="23" s="1"/>
  <c r="CQ83" i="23"/>
  <c r="CN83" i="23"/>
  <c r="GB83" i="23"/>
  <c r="CU83" i="23"/>
  <c r="GF80" i="23"/>
  <c r="GB80" i="23"/>
  <c r="CS80" i="23"/>
  <c r="CT80" i="23"/>
  <c r="EB80" i="23" s="1"/>
  <c r="GW80" i="23" s="1"/>
  <c r="CU80" i="23"/>
  <c r="EC80" i="23" s="1"/>
  <c r="GA80" i="23"/>
  <c r="CN80" i="23"/>
  <c r="DV80" i="23" s="1"/>
  <c r="CM80" i="23"/>
  <c r="CP80" i="23"/>
  <c r="DX80" i="23" s="1"/>
  <c r="GE80" i="23"/>
  <c r="GG80" i="23"/>
  <c r="CW80" i="23"/>
  <c r="EE80" i="23" s="1"/>
  <c r="GZ80" i="23" s="1"/>
  <c r="CO80" i="23"/>
  <c r="DW80" i="23" s="1"/>
  <c r="CV80" i="23"/>
  <c r="ED80" i="23" s="1"/>
  <c r="CQ80" i="23"/>
  <c r="CR80" i="23"/>
  <c r="CL80" i="23"/>
  <c r="GH80" i="23"/>
  <c r="GH70" i="23"/>
  <c r="GI70" i="23"/>
  <c r="GC70" i="23"/>
  <c r="CV70" i="23"/>
  <c r="ED70" i="23" s="1"/>
  <c r="CT70" i="23"/>
  <c r="CL70" i="23"/>
  <c r="AV70" i="23" s="1"/>
  <c r="GL70" i="23"/>
  <c r="CM70" i="23"/>
  <c r="CS70" i="23"/>
  <c r="CP70" i="23"/>
  <c r="AZ70" i="23" s="1"/>
  <c r="GK70" i="23"/>
  <c r="GF70" i="23"/>
  <c r="GB70" i="23"/>
  <c r="GA70" i="23"/>
  <c r="GG70" i="23"/>
  <c r="CU70" i="23"/>
  <c r="CN70" i="23"/>
  <c r="AX70" i="23" s="1"/>
  <c r="GE70" i="23"/>
  <c r="CQ70" i="23"/>
  <c r="GD70" i="23"/>
  <c r="CR70" i="23"/>
  <c r="CW70" i="23"/>
  <c r="CN86" i="23"/>
  <c r="CS86" i="23"/>
  <c r="GH86" i="23"/>
  <c r="CL86" i="23"/>
  <c r="CP86" i="23"/>
  <c r="DX86" i="23" s="1"/>
  <c r="GA86" i="23"/>
  <c r="GE86" i="23"/>
  <c r="CR86" i="23"/>
  <c r="CO86" i="23"/>
  <c r="DW86" i="23" s="1"/>
  <c r="CQ86" i="23"/>
  <c r="CT86" i="23"/>
  <c r="EB86" i="23" s="1"/>
  <c r="GW86" i="23" s="1"/>
  <c r="CV86" i="23"/>
  <c r="ED86" i="23" s="1"/>
  <c r="CU86" i="23"/>
  <c r="GF86" i="23"/>
  <c r="GG86" i="23"/>
  <c r="CW86" i="23"/>
  <c r="EE86" i="23" s="1"/>
  <c r="GZ86" i="23" s="1"/>
  <c r="CM86" i="23"/>
  <c r="DU86" i="23" s="1"/>
  <c r="CM85" i="23"/>
  <c r="DU85" i="23" s="1"/>
  <c r="CN85" i="23"/>
  <c r="DV85" i="23" s="1"/>
  <c r="CU85" i="23"/>
  <c r="CS85" i="23"/>
  <c r="GA85" i="23"/>
  <c r="GH85" i="23"/>
  <c r="GF85" i="23"/>
  <c r="CQ85" i="23"/>
  <c r="CW85" i="23"/>
  <c r="EE85" i="23" s="1"/>
  <c r="GZ85" i="23" s="1"/>
  <c r="CL85" i="23"/>
  <c r="GB85" i="23"/>
  <c r="GG85" i="23"/>
  <c r="GE85" i="23"/>
  <c r="CV85" i="23"/>
  <c r="ED85" i="23" s="1"/>
  <c r="CR85" i="23"/>
  <c r="CT85" i="23"/>
  <c r="EB85" i="23" s="1"/>
  <c r="GW85" i="23" s="1"/>
  <c r="CP85" i="23"/>
  <c r="CO76" i="23"/>
  <c r="DW76" i="23" s="1"/>
  <c r="GF76" i="23"/>
  <c r="CM76" i="23"/>
  <c r="GB76" i="23"/>
  <c r="GA76" i="23"/>
  <c r="CQ76" i="23"/>
  <c r="CS76" i="23"/>
  <c r="GE76" i="23"/>
  <c r="GG76" i="23"/>
  <c r="GC76" i="23"/>
  <c r="CP76" i="23"/>
  <c r="GI76" i="23"/>
  <c r="GL76" i="23"/>
  <c r="CL76" i="23"/>
  <c r="CN76" i="23"/>
  <c r="DV76" i="23" s="1"/>
  <c r="CT76" i="23"/>
  <c r="CV76" i="23"/>
  <c r="ED76" i="23" s="1"/>
  <c r="CU76" i="23"/>
  <c r="GH76" i="23"/>
  <c r="CR76" i="23"/>
  <c r="CW76" i="23"/>
  <c r="CW77" i="23"/>
  <c r="EE77" i="23" s="1"/>
  <c r="GZ77" i="23" s="1"/>
  <c r="GF77" i="23"/>
  <c r="CP77" i="23"/>
  <c r="GC77" i="23"/>
  <c r="CL77" i="23"/>
  <c r="GH77" i="23"/>
  <c r="CV77" i="23"/>
  <c r="ED77" i="23" s="1"/>
  <c r="CN77" i="23"/>
  <c r="DV77" i="23" s="1"/>
  <c r="CU77" i="23"/>
  <c r="GE77" i="23"/>
  <c r="GG77" i="23"/>
  <c r="GI77" i="23"/>
  <c r="CM77" i="23"/>
  <c r="CR77" i="23"/>
  <c r="CO77" i="23"/>
  <c r="DW77" i="23" s="1"/>
  <c r="CQ77" i="23"/>
  <c r="GB77" i="23"/>
  <c r="CT77" i="23"/>
  <c r="CS77" i="23"/>
  <c r="GA77" i="23"/>
  <c r="CV79" i="23"/>
  <c r="ED79" i="23" s="1"/>
  <c r="CU79" i="23"/>
  <c r="EC79" i="23" s="1"/>
  <c r="CO70" i="23"/>
  <c r="CO85" i="23"/>
  <c r="DW85" i="23" s="1"/>
  <c r="EQ69" i="23"/>
  <c r="DZ69" i="23" s="1"/>
  <c r="EO82" i="23"/>
  <c r="DX82" i="23" s="1"/>
  <c r="H3" i="23"/>
  <c r="GL68" i="23"/>
  <c r="GC68" i="23"/>
  <c r="GE68" i="23"/>
  <c r="GI68" i="23"/>
  <c r="GD68" i="23"/>
  <c r="GH68" i="23"/>
  <c r="CO68" i="23"/>
  <c r="CS68" i="23"/>
  <c r="CP68" i="23"/>
  <c r="CN68" i="23"/>
  <c r="GB68" i="23"/>
  <c r="GK68" i="23"/>
  <c r="CU68" i="23"/>
  <c r="GF68" i="23"/>
  <c r="GA68" i="23"/>
  <c r="CV68" i="23"/>
  <c r="CQ68" i="23"/>
  <c r="CM68" i="23"/>
  <c r="CT68" i="23"/>
  <c r="CW68" i="23"/>
  <c r="CL68" i="23"/>
  <c r="EP69" i="23"/>
  <c r="DY69" i="23" s="1"/>
  <c r="EU82" i="23"/>
  <c r="ER82" i="23"/>
  <c r="EA82" i="23" s="1"/>
  <c r="EN82" i="23"/>
  <c r="ER69" i="23"/>
  <c r="EA69" i="23" s="1"/>
  <c r="ET69" i="23"/>
  <c r="EL82" i="23"/>
  <c r="EM82" i="23"/>
  <c r="EM69" i="23"/>
  <c r="DV69" i="23" s="1"/>
  <c r="EK82" i="23"/>
  <c r="DT82" i="23" s="1"/>
  <c r="ES69" i="23"/>
  <c r="EB69" i="23" s="1"/>
  <c r="EN69" i="23"/>
  <c r="DW69" i="23" s="1"/>
  <c r="EQ82" i="23"/>
  <c r="DZ82" i="23" s="1"/>
  <c r="EU69" i="23"/>
  <c r="ED69" i="23" s="1"/>
  <c r="ET82" i="23"/>
  <c r="EP82" i="23"/>
  <c r="DY82" i="23" s="1"/>
  <c r="EV69" i="23"/>
  <c r="EE69" i="23" s="1"/>
  <c r="EL69" i="23"/>
  <c r="DU69" i="23" s="1"/>
  <c r="EK69" i="23"/>
  <c r="DT69" i="23" s="1"/>
  <c r="EO69" i="23"/>
  <c r="DX69" i="23" s="1"/>
  <c r="G15" i="23"/>
  <c r="EC78" i="23"/>
  <c r="DV83" i="23"/>
  <c r="CR68" i="23"/>
  <c r="H51" i="23"/>
  <c r="G51" i="23" s="1"/>
  <c r="F51" i="23" s="1"/>
  <c r="E51" i="23" s="1"/>
  <c r="D51" i="23" s="1"/>
  <c r="C51" i="23" s="1"/>
  <c r="B51" i="23" s="1"/>
  <c r="H15" i="23"/>
  <c r="H54" i="23" s="1"/>
  <c r="GG68" i="23"/>
  <c r="ED82" i="23"/>
  <c r="DW82" i="23"/>
  <c r="EC69" i="23"/>
  <c r="DU82" i="23"/>
  <c r="DV82" i="23"/>
  <c r="EC86" i="23"/>
  <c r="DW79" i="23"/>
  <c r="AY69" i="23"/>
  <c r="DV78" i="23"/>
  <c r="EC82" i="23"/>
  <c r="AW69" i="23"/>
  <c r="AV69" i="23"/>
  <c r="ER84" i="23" a="1"/>
  <c r="EK86" i="23" a="1"/>
  <c r="EO83" i="23" a="1"/>
  <c r="EK74" i="23" a="1"/>
  <c r="EM73" i="23" a="1"/>
  <c r="EO77" i="23" a="1"/>
  <c r="EL81" i="23" a="1"/>
  <c r="EK73" i="23" a="1"/>
  <c r="EU68" i="23" a="1"/>
  <c r="EP80" i="23" a="1"/>
  <c r="EU79" i="23" a="1"/>
  <c r="EQ75" i="23" a="1"/>
  <c r="EO86" i="23" a="1"/>
  <c r="EQ76" i="23" a="1"/>
  <c r="EP79" i="23" a="1"/>
  <c r="EP78" i="23" a="1"/>
  <c r="EM70" i="23" a="1"/>
  <c r="EM83" i="23" a="1"/>
  <c r="EK85" i="23" a="1"/>
  <c r="EN84" i="23" a="1"/>
  <c r="EN70" i="23" a="1"/>
  <c r="EP85" i="23" a="1"/>
  <c r="EL80" i="23" a="1"/>
  <c r="EN74" i="23" a="1"/>
  <c r="EN75" i="23" a="1"/>
  <c r="ES74" i="23" a="1"/>
  <c r="EQ80" i="23" a="1"/>
  <c r="ES73" i="23" a="1"/>
  <c r="EU72" i="23" a="1"/>
  <c r="EO79" i="23" a="1"/>
  <c r="EL86" i="23" a="1"/>
  <c r="EK70" i="23" a="1"/>
  <c r="EL76" i="23" a="1"/>
  <c r="ET83" i="23" a="1"/>
  <c r="ER76" i="23" a="1"/>
  <c r="EV72" i="23" a="1"/>
  <c r="EO70" i="23" a="1"/>
  <c r="EQ73" i="23" a="1"/>
  <c r="EK81" i="23" a="1"/>
  <c r="ET84" i="23" a="1"/>
  <c r="EM74" i="23" a="1"/>
  <c r="EP75" i="23" a="1"/>
  <c r="ES79" i="23" a="1"/>
  <c r="EN68" i="23" a="1"/>
  <c r="EO73" i="23" a="1"/>
  <c r="ET73" i="23" a="1"/>
  <c r="EO76" i="23" a="1"/>
  <c r="ES71" i="23" a="1"/>
  <c r="EK84" i="23" a="1"/>
  <c r="ET75" i="23" a="1"/>
  <c r="ES75" i="23" a="1"/>
  <c r="EN71" i="23" a="1"/>
  <c r="EQ81" i="23" a="1"/>
  <c r="EQ72" i="23" a="1"/>
  <c r="EO74" i="23" a="1"/>
  <c r="EP81" i="23" a="1"/>
  <c r="EK78" i="23" a="1"/>
  <c r="EN83" i="23" a="1"/>
  <c r="EU73" i="23" a="1"/>
  <c r="EL78" i="23" a="1"/>
  <c r="EK75" i="23" a="1"/>
  <c r="ER71" i="23" a="1"/>
  <c r="ET81" i="23" a="1"/>
  <c r="EV75" i="23" a="1"/>
  <c r="ER81" i="23" a="1"/>
  <c r="EU85" i="23" a="1"/>
  <c r="ER72" i="23" a="1"/>
  <c r="EP76" i="23" a="1"/>
  <c r="EN73" i="23" a="1"/>
  <c r="ER80" i="23" a="1"/>
  <c r="EU75" i="23" a="1"/>
  <c r="EQ74" i="23" a="1"/>
  <c r="ET86" i="23" a="1"/>
  <c r="EO78" i="23" a="1"/>
  <c r="ET68" i="23" a="1"/>
  <c r="EM75" i="23" a="1"/>
  <c r="EU86" i="23" a="1"/>
  <c r="ES72" i="23" a="1"/>
  <c r="EP83" i="23" a="1"/>
  <c r="ET78" i="23" a="1"/>
  <c r="EK72" i="23" a="1"/>
  <c r="EN78" i="23" a="1"/>
  <c r="ET72" i="23" a="1"/>
  <c r="EU76" i="23" a="1"/>
  <c r="ES76" i="23" a="1"/>
  <c r="EU70" i="23" a="1"/>
  <c r="ER74" i="23" a="1"/>
  <c r="ER77" i="23" a="1"/>
  <c r="EM77" i="23" a="1"/>
  <c r="EP84" i="23" a="1"/>
  <c r="EL83" i="23" a="1"/>
  <c r="EM79" i="23" a="1"/>
  <c r="EV68" i="23" a="1"/>
  <c r="EU80" i="23" a="1"/>
  <c r="EP73" i="23" a="1"/>
  <c r="EM72" i="23" a="1"/>
  <c r="EV74" i="23" a="1"/>
  <c r="ES77" i="23" a="1"/>
  <c r="EN80" i="23" a="1"/>
  <c r="EU84" i="23" a="1"/>
  <c r="EQ83" i="23" a="1"/>
  <c r="EP74" i="23" a="1"/>
  <c r="EM68" i="23" a="1"/>
  <c r="EQ78" i="23" a="1"/>
  <c r="ET77" i="23" a="1"/>
  <c r="EP71" i="23" a="1"/>
  <c r="EO85" i="23" a="1"/>
  <c r="ER70" i="23" a="1"/>
  <c r="ET74" i="23" a="1"/>
  <c r="EQ85" i="23" a="1"/>
  <c r="EN77" i="23" a="1"/>
  <c r="EU71" i="23" a="1"/>
  <c r="EL73" i="23" a="1"/>
  <c r="ES68" i="23" a="1"/>
  <c r="EP77" i="23" a="1"/>
  <c r="ET79" i="23" a="1"/>
  <c r="EK83" i="23" a="1"/>
  <c r="EQ70" i="23" a="1"/>
  <c r="EO72" i="23" a="1"/>
  <c r="EU74" i="23" a="1"/>
  <c r="ER79" i="23" a="1"/>
  <c r="EN86" i="23" a="1"/>
  <c r="EM81" i="23" a="1"/>
  <c r="EN76" i="23" a="1"/>
  <c r="EO84" i="23" a="1"/>
  <c r="ES78" i="23" a="1"/>
  <c r="EP70" i="23" a="1"/>
  <c r="EQ84" i="23" a="1"/>
  <c r="EK71" i="23" a="1"/>
  <c r="EM80" i="23" a="1"/>
  <c r="EU81" i="23" a="1"/>
  <c r="ER78" i="23" a="1"/>
  <c r="EV76" i="23" a="1"/>
  <c r="ET71" i="23" a="1"/>
  <c r="EO71" i="23" a="1"/>
  <c r="EU83" i="23" a="1"/>
  <c r="ES70" i="23" a="1"/>
  <c r="EL79" i="23" a="1"/>
  <c r="EN72" i="23" a="1"/>
  <c r="EP86" i="23" a="1"/>
  <c r="EL75" i="23" a="1"/>
  <c r="EO80" i="23" a="1"/>
  <c r="EL74" i="23" a="1"/>
  <c r="EO68" i="23" a="1"/>
  <c r="EO75" i="23" a="1"/>
  <c r="ER83" i="23" a="1"/>
  <c r="ET85" i="23" a="1"/>
  <c r="ET76" i="23" a="1"/>
  <c r="EN79" i="23" a="1"/>
  <c r="EL77" i="23" a="1"/>
  <c r="EL68" i="23" a="1"/>
  <c r="EQ77" i="23" a="1"/>
  <c r="EM84" i="23" a="1"/>
  <c r="EV70" i="23" a="1"/>
  <c r="EL70" i="23" a="1"/>
  <c r="EU78" i="23" a="1"/>
  <c r="EQ71" i="23" a="1"/>
  <c r="EL85" i="23" a="1"/>
  <c r="EV73" i="23" a="1"/>
  <c r="EM71" i="23" a="1"/>
  <c r="EK68" i="23" a="1"/>
  <c r="EU77" i="23" a="1"/>
  <c r="ER86" i="23" a="1"/>
  <c r="EO81" i="23" a="1"/>
  <c r="EK80" i="23" a="1"/>
  <c r="EN81" i="23" a="1"/>
  <c r="EP68" i="23" a="1"/>
  <c r="EK79" i="23" a="1"/>
  <c r="EK76" i="23" a="1"/>
  <c r="EV71" i="23" a="1"/>
  <c r="ER73" i="23" a="1"/>
  <c r="ET80" i="23" a="1"/>
  <c r="EM78" i="23" a="1"/>
  <c r="ER85" i="23" a="1"/>
  <c r="ER75" i="23" a="1"/>
  <c r="EM76" i="23" a="1"/>
  <c r="EL71" i="23" a="1"/>
  <c r="EL72" i="23" a="1"/>
  <c r="EL84" i="23" a="1"/>
  <c r="EP72" i="23" a="1"/>
  <c r="EQ79" i="23" a="1"/>
  <c r="ET70" i="23" a="1"/>
  <c r="EN85" i="23" a="1"/>
  <c r="ER68" i="23" a="1"/>
  <c r="EQ86" i="23" a="1"/>
  <c r="EQ68" i="23" a="1"/>
  <c r="EK77" i="23" a="1"/>
  <c r="EM85" i="23" a="1"/>
  <c r="EM86" i="23" a="1"/>
  <c r="G47" i="23" l="1"/>
  <c r="F47" i="23" s="1"/>
  <c r="E47" i="23" s="1"/>
  <c r="D47" i="23" s="1"/>
  <c r="C47" i="23" s="1"/>
  <c r="B47" i="23" s="1"/>
  <c r="EN74" i="23"/>
  <c r="EO74" i="23"/>
  <c r="DX74" i="23" s="1"/>
  <c r="HG74" i="23" s="1"/>
  <c r="ES73" i="23"/>
  <c r="EB73" i="23" s="1"/>
  <c r="GW73" i="23" s="1"/>
  <c r="EL81" i="23"/>
  <c r="EV72" i="23"/>
  <c r="EE72" i="23" s="1"/>
  <c r="HN72" i="23" s="1"/>
  <c r="EO72" i="23"/>
  <c r="DX72" i="23" s="1"/>
  <c r="HG72" i="23" s="1"/>
  <c r="EO84" i="23"/>
  <c r="EQ71" i="23"/>
  <c r="DZ71" i="23" s="1"/>
  <c r="HI71" i="23" s="1"/>
  <c r="EK75" i="23"/>
  <c r="DT75" i="23" s="1"/>
  <c r="EP78" i="23"/>
  <c r="DY78" i="23" s="1"/>
  <c r="EK78" i="23"/>
  <c r="DT78" i="23" s="1"/>
  <c r="GO78" i="23" s="1"/>
  <c r="EL74" i="23"/>
  <c r="DU74" i="23" s="1"/>
  <c r="HD74" i="23" s="1"/>
  <c r="EQ74" i="23"/>
  <c r="DZ74" i="23" s="1"/>
  <c r="HI74" i="23" s="1"/>
  <c r="EQ73" i="23"/>
  <c r="DZ73" i="23" s="1"/>
  <c r="FU73" i="23" s="1"/>
  <c r="EP73" i="23"/>
  <c r="DY73" i="23" s="1"/>
  <c r="GT73" i="23" s="1"/>
  <c r="EN84" i="23"/>
  <c r="EM84" i="23"/>
  <c r="ET71" i="23"/>
  <c r="ES71" i="23"/>
  <c r="EB71" i="23" s="1"/>
  <c r="GW71" i="23" s="1"/>
  <c r="EU71" i="23"/>
  <c r="EV75" i="23"/>
  <c r="EE75" i="23" s="1"/>
  <c r="GZ75" i="23" s="1"/>
  <c r="EU75" i="23"/>
  <c r="EU73" i="23"/>
  <c r="EK74" i="23"/>
  <c r="DT74" i="23" s="1"/>
  <c r="HC74" i="23" s="1"/>
  <c r="EL73" i="23"/>
  <c r="DU73" i="23" s="1"/>
  <c r="EN73" i="23"/>
  <c r="DW73" i="23" s="1"/>
  <c r="GR73" i="23" s="1"/>
  <c r="EK81" i="23"/>
  <c r="DT81" i="23" s="1"/>
  <c r="HC81" i="23" s="1"/>
  <c r="EM81" i="23"/>
  <c r="EP72" i="23"/>
  <c r="DY72" i="23" s="1"/>
  <c r="GT72" i="23" s="1"/>
  <c r="EK72" i="23"/>
  <c r="DT72" i="23" s="1"/>
  <c r="HC72" i="23" s="1"/>
  <c r="ER84" i="23"/>
  <c r="EA84" i="23" s="1"/>
  <c r="EQ84" i="23"/>
  <c r="DZ84" i="23" s="1"/>
  <c r="GU84" i="23" s="1"/>
  <c r="EK71" i="23"/>
  <c r="DT71" i="23" s="1"/>
  <c r="EV71" i="23"/>
  <c r="EE71" i="23" s="1"/>
  <c r="HN71" i="23" s="1"/>
  <c r="EN75" i="23"/>
  <c r="EQ78" i="23"/>
  <c r="ER73" i="23"/>
  <c r="EA73" i="23" s="1"/>
  <c r="GV73" i="23" s="1"/>
  <c r="EN72" i="23"/>
  <c r="DW72" i="23" s="1"/>
  <c r="HF72" i="23" s="1"/>
  <c r="EK84" i="23"/>
  <c r="DT84" i="23" s="1"/>
  <c r="HC84" i="23" s="1"/>
  <c r="ET75" i="23"/>
  <c r="EP75" i="23"/>
  <c r="DY75" i="23" s="1"/>
  <c r="ET81" i="23"/>
  <c r="ES74" i="23"/>
  <c r="EB74" i="23" s="1"/>
  <c r="GW74" i="23" s="1"/>
  <c r="EM74" i="23"/>
  <c r="EO73" i="23"/>
  <c r="DX73" i="23" s="1"/>
  <c r="GS73" i="23" s="1"/>
  <c r="EN81" i="23"/>
  <c r="EO81" i="23"/>
  <c r="EQ72" i="23"/>
  <c r="DZ72" i="23" s="1"/>
  <c r="GU72" i="23" s="1"/>
  <c r="EU72" i="23"/>
  <c r="EL72" i="23"/>
  <c r="DU72" i="23" s="1"/>
  <c r="HD72" i="23" s="1"/>
  <c r="EO71" i="23"/>
  <c r="DX71" i="23" s="1"/>
  <c r="GS71" i="23" s="1"/>
  <c r="EQ75" i="23"/>
  <c r="DZ75" i="23" s="1"/>
  <c r="GU75" i="23" s="1"/>
  <c r="ES75" i="23"/>
  <c r="EB75" i="23" s="1"/>
  <c r="HK75" i="23" s="1"/>
  <c r="EL78" i="23"/>
  <c r="ES78" i="23"/>
  <c r="EB78" i="23" s="1"/>
  <c r="GW78" i="23" s="1"/>
  <c r="EU78" i="23"/>
  <c r="EU74" i="23"/>
  <c r="ER74" i="23"/>
  <c r="EA74" i="23" s="1"/>
  <c r="HJ74" i="23" s="1"/>
  <c r="EU81" i="23"/>
  <c r="ET72" i="23"/>
  <c r="EM72" i="23"/>
  <c r="DV72" i="23" s="1"/>
  <c r="HE72" i="23" s="1"/>
  <c r="EL84" i="23"/>
  <c r="DU84" i="23" s="1"/>
  <c r="HD84" i="23" s="1"/>
  <c r="EL71" i="23"/>
  <c r="DU71" i="23" s="1"/>
  <c r="HD71" i="23" s="1"/>
  <c r="ER71" i="23"/>
  <c r="EA71" i="23" s="1"/>
  <c r="GV71" i="23" s="1"/>
  <c r="ER75" i="23"/>
  <c r="EA75" i="23" s="1"/>
  <c r="EM75" i="23"/>
  <c r="EN78" i="23"/>
  <c r="EO78" i="23"/>
  <c r="EK73" i="23"/>
  <c r="DT73" i="23" s="1"/>
  <c r="HC73" i="23" s="1"/>
  <c r="EQ81" i="23"/>
  <c r="EP74" i="23"/>
  <c r="DY74" i="23" s="1"/>
  <c r="GT74" i="23" s="1"/>
  <c r="EV74" i="23"/>
  <c r="EE74" i="23" s="1"/>
  <c r="HN74" i="23" s="1"/>
  <c r="EM73" i="23"/>
  <c r="DV73" i="23" s="1"/>
  <c r="EV73" i="23"/>
  <c r="EE73" i="23" s="1"/>
  <c r="EP81" i="23"/>
  <c r="ER72" i="23"/>
  <c r="EA72" i="23" s="1"/>
  <c r="HJ72" i="23" s="1"/>
  <c r="ET84" i="23"/>
  <c r="EP84" i="23"/>
  <c r="EN71" i="23"/>
  <c r="DW71" i="23" s="1"/>
  <c r="HF71" i="23" s="1"/>
  <c r="EP71" i="23"/>
  <c r="DY71" i="23" s="1"/>
  <c r="GT71" i="23" s="1"/>
  <c r="EM78" i="23"/>
  <c r="ER78" i="23"/>
  <c r="EA78" i="23" s="1"/>
  <c r="GV78" i="23" s="1"/>
  <c r="ET74" i="23"/>
  <c r="ET73" i="23"/>
  <c r="ER81" i="23"/>
  <c r="EA81" i="23" s="1"/>
  <c r="HJ81" i="23" s="1"/>
  <c r="ES72" i="23"/>
  <c r="EB72" i="23" s="1"/>
  <c r="GW72" i="23" s="1"/>
  <c r="EU84" i="23"/>
  <c r="EM71" i="23"/>
  <c r="DV71" i="23" s="1"/>
  <c r="HE71" i="23" s="1"/>
  <c r="EO75" i="23"/>
  <c r="DX75" i="23" s="1"/>
  <c r="EL75" i="23"/>
  <c r="DU75" i="23" s="1"/>
  <c r="GP75" i="23" s="1"/>
  <c r="ET78" i="23"/>
  <c r="AY73" i="23"/>
  <c r="AV71" i="23"/>
  <c r="AY72" i="23"/>
  <c r="DU81" i="23"/>
  <c r="HD81" i="23" s="1"/>
  <c r="AW71" i="23"/>
  <c r="AV73" i="23"/>
  <c r="DZ81" i="23"/>
  <c r="AX71" i="23"/>
  <c r="ER77" i="23"/>
  <c r="EA77" i="23" s="1"/>
  <c r="EO77" i="23"/>
  <c r="ES76" i="23"/>
  <c r="EB76" i="23" s="1"/>
  <c r="GW76" i="23" s="1"/>
  <c r="EO85" i="23"/>
  <c r="EL85" i="23"/>
  <c r="EP86" i="23"/>
  <c r="DY86" i="23" s="1"/>
  <c r="ER86" i="23"/>
  <c r="EA86" i="23" s="1"/>
  <c r="ET70" i="23"/>
  <c r="EL70" i="23"/>
  <c r="DU70" i="23" s="1"/>
  <c r="EL79" i="23"/>
  <c r="EU79" i="23"/>
  <c r="EL77" i="23"/>
  <c r="DU77" i="23" s="1"/>
  <c r="HD77" i="23" s="1"/>
  <c r="EK77" i="23"/>
  <c r="DT77" i="23" s="1"/>
  <c r="GO77" i="23" s="1"/>
  <c r="ET76" i="23"/>
  <c r="ET85" i="23"/>
  <c r="EU86" i="23"/>
  <c r="EK86" i="23"/>
  <c r="DT86" i="23" s="1"/>
  <c r="HC86" i="23" s="1"/>
  <c r="EO70" i="23"/>
  <c r="DX70" i="23" s="1"/>
  <c r="HG70" i="23" s="1"/>
  <c r="EN83" i="23"/>
  <c r="EO79" i="23"/>
  <c r="EU76" i="23"/>
  <c r="EN76" i="23"/>
  <c r="EK85" i="23"/>
  <c r="DT85" i="23" s="1"/>
  <c r="HC85" i="23" s="1"/>
  <c r="EM85" i="23"/>
  <c r="EM70" i="23"/>
  <c r="DV70" i="23" s="1"/>
  <c r="HE70" i="23" s="1"/>
  <c r="ER70" i="23"/>
  <c r="EA70" i="23" s="1"/>
  <c r="GV70" i="23" s="1"/>
  <c r="ER80" i="23"/>
  <c r="EA80" i="23" s="1"/>
  <c r="HJ80" i="23" s="1"/>
  <c r="ER83" i="23"/>
  <c r="EA83" i="23" s="1"/>
  <c r="GV83" i="23" s="1"/>
  <c r="EQ79" i="23"/>
  <c r="DZ79" i="23" s="1"/>
  <c r="GU79" i="23" s="1"/>
  <c r="ES77" i="23"/>
  <c r="EM76" i="23"/>
  <c r="ER76" i="23"/>
  <c r="EA76" i="23" s="1"/>
  <c r="GV76" i="23" s="1"/>
  <c r="EP85" i="23"/>
  <c r="DY85" i="23" s="1"/>
  <c r="HH85" i="23" s="1"/>
  <c r="EL86" i="23"/>
  <c r="EN86" i="23"/>
  <c r="EM86" i="23"/>
  <c r="EK80" i="23"/>
  <c r="DT80" i="23" s="1"/>
  <c r="GO80" i="23" s="1"/>
  <c r="EO80" i="23"/>
  <c r="EQ83" i="23"/>
  <c r="DZ83" i="23" s="1"/>
  <c r="HI83" i="23" s="1"/>
  <c r="EP79" i="23"/>
  <c r="DY79" i="23" s="1"/>
  <c r="GT79" i="23" s="1"/>
  <c r="ET77" i="23"/>
  <c r="EK76" i="23"/>
  <c r="DT76" i="23" s="1"/>
  <c r="HC76" i="23" s="1"/>
  <c r="EP76" i="23"/>
  <c r="DY76" i="23" s="1"/>
  <c r="HH76" i="23" s="1"/>
  <c r="EQ85" i="23"/>
  <c r="DZ85" i="23" s="1"/>
  <c r="GU85" i="23" s="1"/>
  <c r="EQ86" i="23"/>
  <c r="DZ86" i="23" s="1"/>
  <c r="GU86" i="23" s="1"/>
  <c r="EV70" i="23"/>
  <c r="EE70" i="23" s="1"/>
  <c r="GZ70" i="23" s="1"/>
  <c r="EK70" i="23"/>
  <c r="DT70" i="23" s="1"/>
  <c r="EQ80" i="23"/>
  <c r="DZ80" i="23" s="1"/>
  <c r="HI80" i="23" s="1"/>
  <c r="EL80" i="23"/>
  <c r="DU80" i="23" s="1"/>
  <c r="HD80" i="23" s="1"/>
  <c r="ET83" i="23"/>
  <c r="EK83" i="23"/>
  <c r="DT83" i="23" s="1"/>
  <c r="GO83" i="23" s="1"/>
  <c r="EO83" i="23"/>
  <c r="ES79" i="23"/>
  <c r="EB79" i="23" s="1"/>
  <c r="GW79" i="23" s="1"/>
  <c r="EK79" i="23"/>
  <c r="DT79" i="23" s="1"/>
  <c r="EN85" i="23"/>
  <c r="EP77" i="23"/>
  <c r="DY77" i="23" s="1"/>
  <c r="GT77" i="23" s="1"/>
  <c r="EM77" i="23"/>
  <c r="EV76" i="23"/>
  <c r="EE76" i="23" s="1"/>
  <c r="GZ76" i="23" s="1"/>
  <c r="EU85" i="23"/>
  <c r="EQ70" i="23"/>
  <c r="DZ70" i="23" s="1"/>
  <c r="GU70" i="23" s="1"/>
  <c r="ES70" i="23"/>
  <c r="EB70" i="23" s="1"/>
  <c r="GW70" i="23" s="1"/>
  <c r="EP80" i="23"/>
  <c r="DY80" i="23" s="1"/>
  <c r="GT80" i="23" s="1"/>
  <c r="EM80" i="23"/>
  <c r="EU83" i="23"/>
  <c r="EM79" i="23"/>
  <c r="EN70" i="23"/>
  <c r="DW70" i="23" s="1"/>
  <c r="HF70" i="23" s="1"/>
  <c r="EN77" i="23"/>
  <c r="EU77" i="23"/>
  <c r="EQ76" i="23"/>
  <c r="DZ76" i="23" s="1"/>
  <c r="HI76" i="23" s="1"/>
  <c r="EU70" i="23"/>
  <c r="EU80" i="23"/>
  <c r="EM83" i="23"/>
  <c r="ER79" i="23"/>
  <c r="EA79" i="23" s="1"/>
  <c r="GV79" i="23" s="1"/>
  <c r="EL83" i="23"/>
  <c r="ET79" i="23"/>
  <c r="EQ77" i="23"/>
  <c r="DZ77" i="23" s="1"/>
  <c r="FU77" i="23" s="1"/>
  <c r="EO76" i="23"/>
  <c r="DX76" i="23" s="1"/>
  <c r="HG76" i="23" s="1"/>
  <c r="EL76" i="23"/>
  <c r="DU76" i="23" s="1"/>
  <c r="HD76" i="23" s="1"/>
  <c r="ER85" i="23"/>
  <c r="EA85" i="23" s="1"/>
  <c r="HJ85" i="23" s="1"/>
  <c r="ET86" i="23"/>
  <c r="EO86" i="23"/>
  <c r="EP70" i="23"/>
  <c r="DY70" i="23" s="1"/>
  <c r="HH70" i="23" s="1"/>
  <c r="EN80" i="23"/>
  <c r="ET80" i="23"/>
  <c r="EP83" i="23"/>
  <c r="DY83" i="23" s="1"/>
  <c r="GT83" i="23" s="1"/>
  <c r="EN79" i="23"/>
  <c r="AW70" i="23"/>
  <c r="DU79" i="23"/>
  <c r="GP79" i="23" s="1"/>
  <c r="EC70" i="23"/>
  <c r="GX70" i="23" s="1"/>
  <c r="EC76" i="23"/>
  <c r="GX76" i="23" s="1"/>
  <c r="EC85" i="23"/>
  <c r="GX85" i="23" s="1"/>
  <c r="DX85" i="23"/>
  <c r="HG85" i="23" s="1"/>
  <c r="DX77" i="23"/>
  <c r="HG77" i="23" s="1"/>
  <c r="EC83" i="23"/>
  <c r="GX83" i="23" s="1"/>
  <c r="EC77" i="23"/>
  <c r="GX77" i="23" s="1"/>
  <c r="EB77" i="23"/>
  <c r="GW77" i="23" s="1"/>
  <c r="DV86" i="23"/>
  <c r="HE86" i="23" s="1"/>
  <c r="AY70" i="23"/>
  <c r="EP68" i="23"/>
  <c r="DY68" i="23" s="1"/>
  <c r="EO68" i="23"/>
  <c r="DX68" i="23" s="1"/>
  <c r="EU68" i="23"/>
  <c r="ED68" i="23" s="1"/>
  <c r="ER68" i="23"/>
  <c r="EA68" i="23" s="1"/>
  <c r="EK68" i="23"/>
  <c r="DT68" i="23" s="1"/>
  <c r="ET68" i="23"/>
  <c r="EQ68" i="23"/>
  <c r="DZ68" i="23" s="1"/>
  <c r="EV68" i="23"/>
  <c r="EE68" i="23" s="1"/>
  <c r="EN68" i="23"/>
  <c r="DW68" i="23" s="1"/>
  <c r="ES68" i="23"/>
  <c r="EB68" i="23" s="1"/>
  <c r="EL68" i="23"/>
  <c r="DU68" i="23" s="1"/>
  <c r="EM68" i="23"/>
  <c r="GV69" i="23"/>
  <c r="HJ69" i="23"/>
  <c r="GV72" i="23"/>
  <c r="HH80" i="23"/>
  <c r="GZ73" i="23"/>
  <c r="HN73" i="23"/>
  <c r="HC71" i="23"/>
  <c r="GO71" i="23"/>
  <c r="GV85" i="23"/>
  <c r="HC69" i="23"/>
  <c r="GO69" i="23"/>
  <c r="GY69" i="23"/>
  <c r="HM69" i="23"/>
  <c r="HG75" i="23"/>
  <c r="GS75" i="23"/>
  <c r="HC75" i="23"/>
  <c r="GO75" i="23"/>
  <c r="HF86" i="23"/>
  <c r="GR86" i="23"/>
  <c r="GV75" i="23"/>
  <c r="HJ75" i="23"/>
  <c r="GX80" i="23"/>
  <c r="HL80" i="23"/>
  <c r="GT82" i="23"/>
  <c r="HH82" i="23"/>
  <c r="GX82" i="23"/>
  <c r="HL82" i="23"/>
  <c r="GY70" i="23"/>
  <c r="HM70" i="23"/>
  <c r="GP85" i="23"/>
  <c r="HD85" i="23"/>
  <c r="GT84" i="23"/>
  <c r="HH84" i="23"/>
  <c r="GS74" i="23"/>
  <c r="GV86" i="23"/>
  <c r="HJ86" i="23"/>
  <c r="GR79" i="23"/>
  <c r="HF79" i="23"/>
  <c r="GV82" i="23"/>
  <c r="HJ82" i="23"/>
  <c r="GT69" i="23"/>
  <c r="HH69" i="23"/>
  <c r="GY72" i="23"/>
  <c r="HM72" i="23"/>
  <c r="GS82" i="23"/>
  <c r="HG82" i="23"/>
  <c r="GY80" i="23"/>
  <c r="HM80" i="23"/>
  <c r="B9" i="23"/>
  <c r="AZ68" i="23"/>
  <c r="HD69" i="23"/>
  <c r="GP69" i="23"/>
  <c r="GX79" i="23"/>
  <c r="HL79" i="23"/>
  <c r="GQ81" i="23"/>
  <c r="HE81" i="23"/>
  <c r="GX71" i="23"/>
  <c r="HL71" i="23"/>
  <c r="GW69" i="23"/>
  <c r="HK69" i="23"/>
  <c r="GY84" i="23"/>
  <c r="HM84" i="23"/>
  <c r="HE74" i="23"/>
  <c r="GQ74" i="23"/>
  <c r="GV74" i="23"/>
  <c r="GY82" i="23"/>
  <c r="HM82" i="23"/>
  <c r="GY78" i="23"/>
  <c r="HM78" i="23"/>
  <c r="GX81" i="23"/>
  <c r="HL81" i="23"/>
  <c r="HD75" i="23"/>
  <c r="GQ76" i="23"/>
  <c r="HE76" i="23"/>
  <c r="HG78" i="23"/>
  <c r="GS78" i="23"/>
  <c r="HF81" i="23"/>
  <c r="GR81" i="23"/>
  <c r="G9" i="23"/>
  <c r="D9" i="23"/>
  <c r="C18" i="23"/>
  <c r="B18" i="23"/>
  <c r="E18" i="23"/>
  <c r="D18" i="23"/>
  <c r="H18" i="23"/>
  <c r="G18" i="23"/>
  <c r="F18" i="23"/>
  <c r="HE80" i="23"/>
  <c r="GQ80" i="23"/>
  <c r="GU83" i="23"/>
  <c r="FU83" i="23"/>
  <c r="GY85" i="23"/>
  <c r="HM85" i="23"/>
  <c r="GU82" i="23"/>
  <c r="FU82" i="23"/>
  <c r="HI82" i="23"/>
  <c r="HF78" i="23"/>
  <c r="GR78" i="23"/>
  <c r="GX69" i="23"/>
  <c r="HL69" i="23"/>
  <c r="HE73" i="23"/>
  <c r="GQ73" i="23"/>
  <c r="HG83" i="23"/>
  <c r="GS83" i="23"/>
  <c r="GX84" i="23"/>
  <c r="HL84" i="23"/>
  <c r="GY75" i="23"/>
  <c r="HM75" i="23"/>
  <c r="HE75" i="23"/>
  <c r="GQ75" i="23"/>
  <c r="GY76" i="23"/>
  <c r="HM76" i="23"/>
  <c r="GZ69" i="23"/>
  <c r="HN69" i="23"/>
  <c r="GX72" i="23"/>
  <c r="HL72" i="23"/>
  <c r="HG80" i="23"/>
  <c r="GS80" i="23"/>
  <c r="GP73" i="23"/>
  <c r="HD73" i="23"/>
  <c r="HF80" i="23"/>
  <c r="GR80" i="23"/>
  <c r="GY74" i="23"/>
  <c r="HM74" i="23"/>
  <c r="HG79" i="23"/>
  <c r="GS79" i="23"/>
  <c r="HE79" i="23"/>
  <c r="GQ79" i="23"/>
  <c r="GY73" i="23"/>
  <c r="HM73" i="23"/>
  <c r="GR82" i="23"/>
  <c r="HF82" i="23"/>
  <c r="GY77" i="23"/>
  <c r="HM77" i="23"/>
  <c r="HN70" i="23"/>
  <c r="GR74" i="23"/>
  <c r="HF74" i="23"/>
  <c r="GX78" i="23"/>
  <c r="HL78" i="23"/>
  <c r="GQ85" i="23"/>
  <c r="HE85" i="23"/>
  <c r="AV68" i="23"/>
  <c r="EC68" i="23"/>
  <c r="F9" i="23"/>
  <c r="HG69" i="23"/>
  <c r="GS69" i="23"/>
  <c r="GX75" i="23"/>
  <c r="HL75" i="23"/>
  <c r="HD86" i="23"/>
  <c r="GP86" i="23"/>
  <c r="GP78" i="23"/>
  <c r="HD78" i="23"/>
  <c r="HC82" i="23"/>
  <c r="GO82" i="23"/>
  <c r="GR76" i="23"/>
  <c r="HF76" i="23"/>
  <c r="HJ78" i="23"/>
  <c r="C9" i="23"/>
  <c r="GS84" i="23"/>
  <c r="HG84" i="23"/>
  <c r="GY79" i="23"/>
  <c r="HM79" i="23"/>
  <c r="H9" i="23"/>
  <c r="GQ78" i="23"/>
  <c r="HE78" i="23"/>
  <c r="GZ71" i="23"/>
  <c r="GR83" i="23"/>
  <c r="HF83" i="23"/>
  <c r="GX86" i="23"/>
  <c r="HL86" i="23"/>
  <c r="AY68" i="23"/>
  <c r="GY81" i="23"/>
  <c r="HM81" i="23"/>
  <c r="GT75" i="23"/>
  <c r="HH75" i="23"/>
  <c r="GO79" i="23"/>
  <c r="HC79" i="23"/>
  <c r="GY83" i="23"/>
  <c r="HM83" i="23"/>
  <c r="GS86" i="23"/>
  <c r="HG86" i="23"/>
  <c r="HE84" i="23"/>
  <c r="GQ84" i="23"/>
  <c r="GP82" i="23"/>
  <c r="HD82" i="23"/>
  <c r="GU81" i="23"/>
  <c r="FU81" i="23"/>
  <c r="HI81" i="23"/>
  <c r="GU78" i="23"/>
  <c r="FU78" i="23"/>
  <c r="HI78" i="23"/>
  <c r="GX74" i="23"/>
  <c r="HL74" i="23"/>
  <c r="HE83" i="23"/>
  <c r="GQ83" i="23"/>
  <c r="G54" i="23"/>
  <c r="F54" i="23" s="1"/>
  <c r="E54" i="23" s="1"/>
  <c r="D54" i="23" s="1"/>
  <c r="C54" i="23" s="1"/>
  <c r="B54" i="23" s="1"/>
  <c r="FU69" i="23"/>
  <c r="GU69" i="23"/>
  <c r="HI69" i="23"/>
  <c r="E9" i="23"/>
  <c r="GX73" i="23"/>
  <c r="HL73" i="23"/>
  <c r="GR77" i="23"/>
  <c r="HF77" i="23"/>
  <c r="GR85" i="23"/>
  <c r="HF85" i="23"/>
  <c r="HD83" i="23"/>
  <c r="GP83" i="23"/>
  <c r="GR84" i="23"/>
  <c r="HF84" i="23"/>
  <c r="GQ77" i="23"/>
  <c r="HE77" i="23"/>
  <c r="GR69" i="23"/>
  <c r="HF69" i="23"/>
  <c r="GT81" i="23"/>
  <c r="HH81" i="23"/>
  <c r="HE69" i="23"/>
  <c r="GQ69" i="23"/>
  <c r="HE82" i="23"/>
  <c r="GQ82" i="23"/>
  <c r="GY71" i="23"/>
  <c r="HM71" i="23"/>
  <c r="GY86" i="23"/>
  <c r="HM86" i="23"/>
  <c r="GR75" i="23"/>
  <c r="HF75" i="23"/>
  <c r="GS81" i="23"/>
  <c r="HG81" i="23"/>
  <c r="GP72" i="23"/>
  <c r="AW68" i="23"/>
  <c r="DV68" i="23"/>
  <c r="AX68" i="23"/>
  <c r="HC78" i="23" l="1"/>
  <c r="HK73" i="23"/>
  <c r="HK71" i="23"/>
  <c r="GO81" i="23"/>
  <c r="GP74" i="23"/>
  <c r="FU86" i="23"/>
  <c r="FW86" i="23" s="1"/>
  <c r="FU76" i="23"/>
  <c r="FW76" i="23" s="1"/>
  <c r="GU76" i="23"/>
  <c r="HC80" i="23"/>
  <c r="FU80" i="23"/>
  <c r="FX80" i="23" s="1"/>
  <c r="GS76" i="23"/>
  <c r="GU80" i="23"/>
  <c r="HC70" i="23"/>
  <c r="GO70" i="23"/>
  <c r="HF73" i="23"/>
  <c r="HG71" i="23"/>
  <c r="HD79" i="23"/>
  <c r="HK74" i="23"/>
  <c r="HI86" i="23"/>
  <c r="HH78" i="23"/>
  <c r="GT78" i="23"/>
  <c r="GW75" i="23"/>
  <c r="GQ72" i="23"/>
  <c r="HN75" i="23"/>
  <c r="GU71" i="23"/>
  <c r="HI75" i="23"/>
  <c r="HH73" i="23"/>
  <c r="HG73" i="23"/>
  <c r="FU75" i="23"/>
  <c r="FW75" i="23" s="1"/>
  <c r="HH79" i="23"/>
  <c r="FU74" i="23"/>
  <c r="FX74" i="23" s="1"/>
  <c r="HK72" i="23"/>
  <c r="GV81" i="23"/>
  <c r="GU74" i="23"/>
  <c r="GZ72" i="23"/>
  <c r="GS70" i="23"/>
  <c r="GR72" i="23"/>
  <c r="GU77" i="23"/>
  <c r="HI70" i="23"/>
  <c r="HJ73" i="23"/>
  <c r="HK78" i="23"/>
  <c r="GP77" i="23"/>
  <c r="GP71" i="23"/>
  <c r="GO73" i="23"/>
  <c r="GO86" i="23"/>
  <c r="HK77" i="23"/>
  <c r="FU70" i="23"/>
  <c r="FX70" i="23" s="1"/>
  <c r="HC83" i="23"/>
  <c r="GO84" i="23"/>
  <c r="GP84" i="23"/>
  <c r="GQ86" i="23"/>
  <c r="GO76" i="23"/>
  <c r="HJ83" i="23"/>
  <c r="GQ70" i="23"/>
  <c r="GV84" i="23"/>
  <c r="HJ84" i="23"/>
  <c r="GP70" i="23"/>
  <c r="HD70" i="23"/>
  <c r="HJ77" i="23"/>
  <c r="GV77" i="23"/>
  <c r="FU71" i="23"/>
  <c r="FW71" i="23" s="1"/>
  <c r="GZ74" i="23"/>
  <c r="HH71" i="23"/>
  <c r="HL77" i="23"/>
  <c r="GV80" i="23"/>
  <c r="GQ71" i="23"/>
  <c r="HK76" i="23"/>
  <c r="HL85" i="23"/>
  <c r="HH72" i="23"/>
  <c r="GP80" i="23"/>
  <c r="GT85" i="23"/>
  <c r="HI84" i="23"/>
  <c r="HI72" i="23"/>
  <c r="GT70" i="23"/>
  <c r="HJ71" i="23"/>
  <c r="HL83" i="23"/>
  <c r="HJ76" i="23"/>
  <c r="HH77" i="23"/>
  <c r="HI73" i="23"/>
  <c r="GS72" i="23"/>
  <c r="FU84" i="23"/>
  <c r="FW84" i="23" s="1"/>
  <c r="FU72" i="23"/>
  <c r="FW72" i="23" s="1"/>
  <c r="GO72" i="23"/>
  <c r="GT76" i="23"/>
  <c r="GR71" i="23"/>
  <c r="GR70" i="23"/>
  <c r="HJ79" i="23"/>
  <c r="HL76" i="23"/>
  <c r="HL70" i="23"/>
  <c r="HJ70" i="23"/>
  <c r="GU73" i="23"/>
  <c r="GO74" i="23"/>
  <c r="HN76" i="23"/>
  <c r="GP81" i="23"/>
  <c r="HH74" i="23"/>
  <c r="HI85" i="23"/>
  <c r="HH86" i="23"/>
  <c r="GT86" i="23"/>
  <c r="FU85" i="23"/>
  <c r="FX85" i="23" s="1"/>
  <c r="HI79" i="23"/>
  <c r="GP76" i="23"/>
  <c r="HC77" i="23"/>
  <c r="HK70" i="23"/>
  <c r="GO85" i="23"/>
  <c r="GS77" i="23"/>
  <c r="FU79" i="23"/>
  <c r="FX79" i="23" s="1"/>
  <c r="HK79" i="23"/>
  <c r="HH83" i="23"/>
  <c r="GS85" i="23"/>
  <c r="HI77" i="23"/>
  <c r="GZ68" i="23"/>
  <c r="H13" i="23"/>
  <c r="HN68" i="23"/>
  <c r="GW68" i="23"/>
  <c r="E13" i="23"/>
  <c r="HK68" i="23"/>
  <c r="D10" i="23"/>
  <c r="G10" i="23"/>
  <c r="FX73" i="23"/>
  <c r="FW73" i="23"/>
  <c r="GY68" i="23"/>
  <c r="G13" i="23"/>
  <c r="HM68" i="23"/>
  <c r="FX78" i="23"/>
  <c r="FW78" i="23"/>
  <c r="HG68" i="23"/>
  <c r="GS68" i="23"/>
  <c r="H10" i="23"/>
  <c r="H49" i="23" s="1"/>
  <c r="H48" i="23"/>
  <c r="G48" i="23" s="1"/>
  <c r="F48" i="23" s="1"/>
  <c r="E48" i="23" s="1"/>
  <c r="D48" i="23" s="1"/>
  <c r="C48" i="23" s="1"/>
  <c r="B48" i="23" s="1"/>
  <c r="B10" i="23"/>
  <c r="HD68" i="23"/>
  <c r="GP68" i="23"/>
  <c r="GT68" i="23"/>
  <c r="HH68" i="23"/>
  <c r="HF68" i="23"/>
  <c r="GR68" i="23"/>
  <c r="HC68" i="23"/>
  <c r="GO68" i="23"/>
  <c r="C10" i="23"/>
  <c r="FX82" i="23"/>
  <c r="FW82" i="23"/>
  <c r="HE68" i="23"/>
  <c r="GQ68" i="23"/>
  <c r="FX69" i="23"/>
  <c r="FW69" i="23"/>
  <c r="GU68" i="23"/>
  <c r="FU68" i="23"/>
  <c r="C13" i="23"/>
  <c r="HI68" i="23"/>
  <c r="F10" i="23"/>
  <c r="E10" i="23"/>
  <c r="FX81" i="23"/>
  <c r="FW81" i="23"/>
  <c r="GX68" i="23"/>
  <c r="F13" i="23"/>
  <c r="HL68" i="23"/>
  <c r="FX83" i="23"/>
  <c r="FW83" i="23"/>
  <c r="GV68" i="23"/>
  <c r="D13" i="23"/>
  <c r="HJ68" i="23"/>
  <c r="FX77" i="23"/>
  <c r="FW77" i="23"/>
  <c r="FX76" i="23" l="1"/>
  <c r="FX75" i="23"/>
  <c r="FX86" i="23"/>
  <c r="FW80" i="23"/>
  <c r="FW70" i="23"/>
  <c r="FW79" i="23"/>
  <c r="FW85" i="23"/>
  <c r="FW74" i="23"/>
  <c r="FX84" i="23"/>
  <c r="FX72" i="23"/>
  <c r="FX71" i="23"/>
  <c r="G49" i="23"/>
  <c r="F49" i="23" s="1"/>
  <c r="E49" i="23" s="1"/>
  <c r="D49" i="23" s="1"/>
  <c r="C49" i="23" s="1"/>
  <c r="B49" i="23" s="1"/>
  <c r="C16" i="23"/>
  <c r="C14" i="23"/>
  <c r="E14" i="23"/>
  <c r="E16" i="23"/>
  <c r="FX68" i="23"/>
  <c r="FW68" i="23"/>
  <c r="F16" i="23"/>
  <c r="F14" i="23"/>
  <c r="G14" i="23"/>
  <c r="G16" i="23"/>
  <c r="D16" i="23"/>
  <c r="D14" i="23"/>
  <c r="H14" i="23"/>
  <c r="H53" i="23" s="1"/>
  <c r="H16" i="23"/>
  <c r="H55" i="23" s="1"/>
  <c r="H52" i="23"/>
  <c r="G52" i="23" s="1"/>
  <c r="F52" i="23" s="1"/>
  <c r="E52" i="23" s="1"/>
  <c r="D52" i="23" s="1"/>
  <c r="C52" i="23" s="1"/>
  <c r="B52" i="23" s="1"/>
  <c r="G55" i="23" l="1"/>
  <c r="F55" i="23" s="1"/>
  <c r="E55" i="23" s="1"/>
  <c r="D55" i="23" s="1"/>
  <c r="C55" i="23" s="1"/>
  <c r="B55" i="23" s="1"/>
  <c r="G53" i="23"/>
  <c r="F53" i="23" s="1"/>
  <c r="E53" i="23" s="1"/>
  <c r="D53" i="23" s="1"/>
  <c r="C53" i="23" s="1"/>
  <c r="B53" i="23" s="1"/>
  <c r="O13" i="23" l="1"/>
  <c r="N11" i="23"/>
  <c r="Q13" i="23"/>
  <c r="N13" i="23"/>
  <c r="Q8" i="23"/>
  <c r="P7" i="23"/>
  <c r="N7" i="23"/>
  <c r="P13" i="23"/>
  <c r="Q11" i="23"/>
  <c r="R13" i="23"/>
  <c r="P8" i="23"/>
  <c r="O11" i="23"/>
  <c r="P11" i="23"/>
  <c r="R8" i="23"/>
  <c r="R47" i="23" s="1"/>
  <c r="O7" i="23"/>
  <c r="R11" i="23"/>
  <c r="N8" i="23"/>
  <c r="R7" i="23"/>
  <c r="O8" i="23"/>
  <c r="Q7" i="23"/>
  <c r="O9" i="23" l="1"/>
  <c r="O10" i="23"/>
  <c r="P12" i="23"/>
  <c r="P15" i="23"/>
  <c r="R50" i="23"/>
  <c r="Q50" i="23" s="1"/>
  <c r="P50" i="23" s="1"/>
  <c r="O50" i="23" s="1"/>
  <c r="N50" i="23" s="1"/>
  <c r="R15" i="23"/>
  <c r="R54" i="23" s="1"/>
  <c r="R12" i="23"/>
  <c r="R51" i="23" s="1"/>
  <c r="P14" i="23"/>
  <c r="N9" i="23"/>
  <c r="N10" i="23"/>
  <c r="P9" i="23"/>
  <c r="P10" i="23"/>
  <c r="Q47" i="23"/>
  <c r="P47" i="23" s="1"/>
  <c r="O47" i="23" s="1"/>
  <c r="N47" i="23" s="1"/>
  <c r="N14" i="23"/>
  <c r="Q9" i="23"/>
  <c r="Q10" i="23"/>
  <c r="Q14" i="23"/>
  <c r="O12" i="23"/>
  <c r="O15" i="23"/>
  <c r="R46" i="23"/>
  <c r="Q46" i="23" s="1"/>
  <c r="P46" i="23" s="1"/>
  <c r="O46" i="23" s="1"/>
  <c r="N46" i="23" s="1"/>
  <c r="R9" i="23"/>
  <c r="R48" i="23" s="1"/>
  <c r="R10" i="23"/>
  <c r="R49" i="23" s="1"/>
  <c r="R14" i="23"/>
  <c r="R53" i="23" s="1"/>
  <c r="R52" i="23"/>
  <c r="Q52" i="23" s="1"/>
  <c r="P52" i="23" s="1"/>
  <c r="O52" i="23" s="1"/>
  <c r="N52" i="23" s="1"/>
  <c r="N12" i="23"/>
  <c r="N15" i="23"/>
  <c r="Q15" i="23"/>
  <c r="Q12" i="23"/>
  <c r="O14" i="23"/>
  <c r="Q49" i="23" l="1"/>
  <c r="P49" i="23" s="1"/>
  <c r="O49" i="23" s="1"/>
  <c r="N49" i="23" s="1"/>
  <c r="Q51" i="23"/>
  <c r="P51" i="23" s="1"/>
  <c r="O51" i="23" s="1"/>
  <c r="N51" i="23" s="1"/>
  <c r="Q54" i="23"/>
  <c r="P54" i="23" s="1"/>
  <c r="O54" i="23" s="1"/>
  <c r="N54" i="23" s="1"/>
  <c r="Q48" i="23"/>
  <c r="P48" i="23" s="1"/>
  <c r="O48" i="23" s="1"/>
  <c r="N48" i="23" s="1"/>
  <c r="Q53" i="23"/>
  <c r="P53" i="23" s="1"/>
  <c r="O53" i="23" s="1"/>
  <c r="N53"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<sst xmlns="http://schemas.openxmlformats.org/spreadsheetml/2006/main" count="1258" uniqueCount="368">
  <si>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</si>
  <si>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</si>
  <si>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</si>
  <si>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</si>
  <si>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</si>
  <si>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</si>
  <si>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</si>
  <si>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</si>
  <si>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</si>
  <si>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</si>
  <si>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</si>
  <si>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</si>
  <si>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</si>
  <si>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</si>
  <si>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</si>
  <si>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</si>
  <si>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</si>
  <si>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</si>
  <si>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</si>
  <si>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</si>
  <si>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</si>
  <si>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</si>
  <si>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</si>
  <si>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</si>
  <si>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</si>
  <si>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</si>
  <si>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</si>
  <si>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</si>
  <si>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</si>
  <si>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</si>
  <si>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</si>
  <si>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</si>
  <si>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</si>
  <si>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</si>
  <si>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</si>
  <si>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</si>
  <si>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</si>
  <si>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</si>
  <si>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</si>
  <si>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</si>
  <si>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</si>
  <si>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</si>
  <si>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</si>
  <si>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</si>
  <si>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</si>
  <si>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</si>
  <si>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</si>
  <si>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</si>
  <si>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</si>
  <si>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</si>
  <si>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</si>
  <si>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</si>
  <si>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</si>
  <si>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</si>
  <si>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</si>
  <si>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</si>
  <si>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</si>
  <si>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</si>
  <si>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</si>
  <si>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</si>
  <si>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</si>
  <si>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</si>
  <si>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</si>
  <si>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</si>
  <si>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</si>
  <si>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</si>
  <si>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</si>
  <si>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</si>
  <si>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</si>
  <si>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</si>
  <si>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name</t>
  </si>
  <si>
    <t>k</t>
  </si>
  <si>
    <t>d</t>
  </si>
  <si>
    <t>AJ_01</t>
  </si>
  <si>
    <t>AJ_04</t>
  </si>
  <si>
    <t>AJ_07</t>
  </si>
  <si>
    <t>AJ_10</t>
  </si>
  <si>
    <t>AJ_13</t>
  </si>
  <si>
    <t>xu_16</t>
  </si>
  <si>
    <t>xu_21</t>
  </si>
  <si>
    <t>xu_30</t>
  </si>
  <si>
    <t>PK_31</t>
  </si>
  <si>
    <t>xu_42</t>
  </si>
  <si>
    <t>AJ_52</t>
  </si>
  <si>
    <t>AJ_58</t>
  </si>
  <si>
    <t>AJ_60</t>
  </si>
  <si>
    <t>AJ_61</t>
  </si>
  <si>
    <t>AJ_67</t>
  </si>
  <si>
    <t>AJ_73</t>
  </si>
  <si>
    <t>AJ_80</t>
  </si>
  <si>
    <t>AJ_85</t>
  </si>
  <si>
    <t>AJ_95</t>
  </si>
  <si>
    <t>runMode: serial</t>
  </si>
  <si>
    <t>maxCount: 10000</t>
  </si>
  <si>
    <t>repeat: 1</t>
  </si>
  <si>
    <t>dataset: lifted_product</t>
  </si>
  <si>
    <t xml:space="preserve">datafile: </t>
  </si>
  <si>
    <t>method: magmaMinWeight</t>
  </si>
  <si>
    <t>ignoreTrivialCodes: 1</t>
  </si>
  <si>
    <t>resume: 1</t>
  </si>
  <si>
    <t>iterCount: 10000</t>
  </si>
  <si>
    <t>maxTime: 28800</t>
  </si>
  <si>
    <t>nThreads: 1</t>
  </si>
  <si>
    <t>verbose: False</t>
  </si>
  <si>
    <t>maxErr: -1</t>
  </si>
  <si>
    <t>filterCircuit: 1</t>
  </si>
  <si>
    <t>PauliProductType: X</t>
  </si>
  <si>
    <t>SingleQubitPauliErrors: 1</t>
  </si>
  <si>
    <t>fourBlock: 1</t>
  </si>
  <si>
    <t>HL: 0</t>
  </si>
  <si>
    <t>genCount: 100</t>
  </si>
  <si>
    <t>offspring: 10</t>
  </si>
  <si>
    <t>pMut: 2.0</t>
  </si>
  <si>
    <t>sMut: 1.0</t>
  </si>
  <si>
    <t>CCstart: 1</t>
  </si>
  <si>
    <t>addStabs: 0</t>
  </si>
  <si>
    <t>outfile: /Users/markwebster/Dropbox/QuantumComputing/dev/codeDistance/results/lifted_product-magmaMinWeight-20260106_161225.797187_85062422.txt</t>
  </si>
  <si>
    <t>#########################################</t>
  </si>
  <si>
    <t>delta d</t>
  </si>
  <si>
    <t>Time</t>
  </si>
  <si>
    <t>Progress</t>
  </si>
  <si>
    <t>Magma V2.28-26    Tue Jan  6 2026 16:12:30 on Marks-MacBook-Air-2 [Seed = \n4174161286]\nType ? for help.  Type &lt;Ctrl&gt;-D to quit.\n[1 0 0 0 0 1 0 0 0 0 1 0 0 0 0 1 0 0 0 0 1 0 0 0 0 1 1 1 0 0 0 0 0 0 0 0 0 0 0 0\n    0 0 0 0 0 0 0 0 0 0 0 0 0 0 0 0 0 0 0 0 0 0 0 0 0 0 0 0]\n[0 1 0 0 0 0 1 0 0 0 0 1 0 0 0 0 1 0 0 0 0 1 0 0 0 1 1 1 0 0 0 0 0 0 0 0 0 0 0 0\n    0 0 0 0 0 0 0 0 0 0 0 0 0 0 0 0 0 0 0 0 0 0 0 0 0 0 0 0]\n[0 0 1 0 0 0 0 1 0 0 0 0 1 0 0 0 0 1 0 0 0 0 1 0 0 1 1 1 0 0 0 0 0 0 0 0 0 0 0 0\n    0 0 0 0 0 0 0 0 0 0 0 0 0 0 0 0 0 0 0 0 0 0 0 0 0 0 0 0]\n[0 0 0 1 0 0 0 0 1 0 0 0 0 1 0 0 0 0 1 0 0 0 0 1 0 1 1 1 0 0 0 0 0 0 0 0 0 0 0 0\n    0 0 0 0 0 0 0 0 0 0 0 0 0 0 0 0 0 0 0 0 0 0 0 0 0 0 0 0]\n[0 0 0 0 1 0 0 0 0 1 0 0 0 0 1 0 0 0 0 1 0 0 0 0 1 1 1 1 0 0 0 0 0 0 0 0 0 0 0 0\n    0 0 0 0 0 0 0 0 0 0 0 0 0 0 0 0 0 0 0 0 0 0 0 0 0 0 0 0]\n[1 0 0 0 0 1 0 0 0 0 1 0 0 0 0 1 0 0 0 0 1 0 0 0 0 0 0 0 1 1 1 0 0 0 0 0 0 0 0 0\n    0 0 0 0 0 0 0 0 0 0 0 0 0 0 0 0 0 0 0 0 0 0 0 0 0 0 0 0]\n[0 1 0 0 0 0 1 0 0 0 0 1 0 0 0 0 1 0 0 0 0 1 0 0 0 0 0 0 1 1 1 0 0 0 0 0 0 0 0 0\n    0 0 0 0 0 0 0 0 0 0 0 0 0 0 0 0 0 0 0 0 0 0 0 0 0 0 0 0]\n[0 0 1 0 0 0 0 1 0 0 0 0 1 0 0 0 0 1 0 0 0 0 1 0 0 0 0 0 1 1 1 0 0 0 0 0 0 0 0 0\n    0 0 0 0 0 0 0 0 0 0 0 0 0 0 0 0 0 0 0 0 0 0 0 0 0 0 0 0]\n[0 0 0 1 0 0 0 0 1 0 0 0 0 1 0 0 0 0 1 0 0 0 0 1 0 0 0 0 1 1 1 0 0 0 0 0 0 0 0 0\n    0 0 0 0 0 0 0 0 0 0 0 0 0 0 0 0 0 0 0 0 0 0 0 0 0 0 0 0]\n[0 0 0 0 1 0 0 0 0 1 0 0 0 0 1 0 0 0 0 1 0 0 0 0 1 0 0 0 1 1 1 0 0 0 0 0 0 0 0 0\n    0 0 0 0 0 0 0 0 0 0 0 0 0 0 0 0 0 0 0 0 0 0 0 0 0 0 0 0]\n[1 0 0 0 0 1 0 0 0 0 1 0 0 0 0 1 0 0 0 0 1 0 0 0 0 0 0 0 0 0 0 1 1 1 0 0 0 0 0 0\n    0 0 0 0 0 0 0 0 0 0 0 0 0 0 0 0 0 0 0 0 0 0 0 0 0 0 0 0]\n[0 1 0 0 0 0 1 0 0 0 0 1 0 0 0 0 1 0 0 0 0 1 0 0 0 0 0 0 0 0 0 1 1 1 0 0 0 0 0 0\n    0 0 0 0 0 0 0 0 0 0 0 0 0 0 0 0 0 0 0 0 0 0 0 0 0 0 0 0]\n[0 0 1 0 0 0 0 1 0 0 0 0 1 0 0 0 0 1 0 0 0 0 1 0 0 0 0 0 0 0 0 1 1 1 0 0 0 0 0 0\n    0 0 0 0 0 0 0 0 0 0 0 0 0 0 0 0 0 0 0 0 0 0 0 0 0 0 0 0]\n[0 0 0 1 0 0 0 0 1 0 0 0 0 1 0 0 0 0 1 0 0 0 0 1 0 0 0 0 0 0 0 1 1 1 0 0 0 0 0 0\n    0 0 0 0 0 0 0 0 0 0 0 0 0 0 0 0 0 0 0 0 0 0 0 0 0 0 0 0]\n[0 0 0 0 1 0 0 0 0 1 0 0 0 0 1 0 0 0 0 1 0 0 0 0 1 0 0 0 0 0 0 1 1 1 0 0 0 0 0 0\n    0 0 0 0 0 0 0 0 0 0 0 0 0 0 0 0 0 0 0 0 0 0 0 0 0 0 0 0]\n[0 0 0 0 0 0 0 0 0 0 0 0 0 0 0 0 0 0 0 0 0 0 0 0 0 0 0 0 0 0 0 0 0 0 1 1 1 1 1 1\n    1 1 1 1 0 0 0 0 0 0 0 0 0 0 0 0 0 0 0 0 0 0 0 0 0 0 0 0]\n[0 0 0 0 0 0 0 0 0 0 0 0 0 0 0 0 0 0 0 0 0 0 0 0 0 0 0 0 0 0 0 0 0 0 1 1 1 1 1 0\n    0 0 0 0 1 1 1 1 1 0 0 0 0 0 0 0 0 0 0 0 0 0 0 0 0 0 0 0]\n[0 0 0 0 0 0 0 0 0 0 0 0 0 0 0 0 0 0 0 0 0 0 0 0 0 0 0 0 0 0 0 0 0 0 1 1 1 1 1 0\n    0 0 0 0 0 0 0 0 0 1 1 1 1 1 0 0 0 0 0 0 0 0 0 0 0 0 0 0]\n[0 0 0 0 0 0 0 0 0 0 0 0 0 0 0 0 0 0 0 0 0 0 0 0 0 0 0 0 0 0 0 0 0 0 1 1 1 1 1 0\n    0 0 0 0 0 0 0 0 0 0 0 0 0 0 1 1 1 1 1 0 0 0 0 0 0 0 0 0]\n[0 0 0 0 0 0 0 0 0 0 0 0 0 0 0 0 0 0 0 0 0 0 0 0 0 0 0 0 0 0 0 0 0 0 1 1 1 1 1 0\n    0 0 0 0 0 0 0 0 0 0 0 0 0 0 0 0 0 0 0 1 0 0 1 0 0 1 0 0]\n[0 0 0 0 0 0 0 0 0 0 0 0 0 0 0 0 0 0 0 0 0 0 0 0 0 0 0 0 0 0 0 0 0 0 1 1 1 1 1 0\n    0 0 0 0 0 0 0 0 0 0 0 0 0 0 0 0 0 0 0 0 1 0 0 1 0 0 1 0]\n[0 0 0 0 0 0 0 0 0 0 0 0 0 0 0 0 0 0 0 0 0 0 0 0 0 0 0 0 0 0 0 0 0 0 1 1 1 1 1 0\n    0 0 0 0 0 0 0 0 0 0 0 0 0 0 0 0 0 0 0 0 0 1 0 0 1 0 0 1]\n[[34, 20]] quantum code over GF(2^2), stabilised by:\n[1 0 0 0 0 1 0 0 0 0 1 0 0 0 0 1 0 0 0 0 1 0 0 0 0 0 0 0 0 0 0 1 1 1]\n[$.1 $.1 $.1 $.1 $.1 0 0 0 0 0 0 0 0 0 0 0 0 0 0 0 0 0 0 0 0 0 0 $.1 0 0 $.1 0 0\n    $.1]\n[0 1 0 0 0 0 1 0 0 0 0 1 0 0 0 0 1 0 0 0 0 1 0 0 0 0 0 0 0 0 0 1 1 1]\n[0 0 1 0 0 0 0 1 0 0 0 0 1 0 0 0 0 1 0 0 0 0 1 0 0 0 0 0 0 0 0 1 1 1]\n[0 0 0 1 0 0 0 0 1 0 0 0 0 1 0 0 0 0 1 0 0 0 0 1 0 0 0 0 0 0 0 1 1 1]\n[0 0 0 0 1 0 0 0 0 1 0 0 0 0 1 0 0 0 0 1 0 0 0 0 1 0 0 0 0 0 0 1 1 1]\n[0 0 0 0 0 $.1 $.1 $.1 $.1 $.1 0 0 0 0 0 0 0 0 0 0 0 0 0 0 0 0 0 $.1 0 0 $.1 0 0\n    $.1]\n[0 0 0 0 0 0 0 0 0 0 $.1 $.1 $.1 $.1 $.1 0 0 0 0 0 0 0 0 0 0 0 0 $.1 0 0 $.1 0 0\n    $.1]\n[0 0 0 0 0 0 0 0 0 0 0 0 0 0 0 $.1 $.1 $.1 $.1 $.1 0 0 0 0 0 0 0 $.1 0 0 $.1 0 0\n    $.1]\n[0 0 0 0 0 0 0 0 0 0 0 0 0 0 0 0 0 0 0 0 $.1 $.1 $.1 $.1 $.1 0 0 $.1 0 0 $.1 0 0\n    $.1]\n[0 0 0 0 0 0 0 0 0 0 0 0 0 0 0 0 0 0 0 0 0 0 0 0 0 1 1 1 0 0 0 1 1 1]\n[0 0 0 0 0 0 0 0 0 0 0 0 0 0 0 0 0 0 0 0 0 0 0 0 0 $.1 0 $.1 $.1 0 $.1 $.1 0 \n    $.1]\n[0 0 0 0 0 0 0 0 0 0 0 0 0 0 0 0 0 0 0 0 0 0 0 0 0 0 $.1 $.1 0 $.1 $.1 0 $.1 \n    $.1]\n[0 0 0 0 0 0 0 0 0 0 0 0 0 0 0 0 0 0 0 0 0 0 0 0 0 0 0 0 1 1 1 1 1 1]\nQuantum GF(2)-Additive code over GF(4) of length 34 with 54 generators.\nLower Bound: 1, Upper Bound: 8\nConstructed 2 distinct generator matrices\nTotal Ranks:     29  29 \nRelative Ranks:  29   5 \n(4 4 4 4 4 4 4 4 4 4 4 4 4 4 4 4 4 4 4 4 4 4 4 4 2 2 4 2 2 )\n(4 4 4 4 4 4 4 4 4 4 4 4 4 4 4 4 4 4 4 4 4 4 2 4 2 4 2 2 4 )\n     Discarding non-contributing rank 5 matrix\n     New Total Ranks:     29 \n     New Relative Ranks:  29 \nTime Taken: 0.00\nStarting search for low weight codewords... (reset timings)\nEnumerating using 1 generator at a time:\n     New codeword identified of weight 2, time 0.00\n   Completed Matrix  1:  lower =  2, upper =  2. Elapsed: 0.00s\nComputation complete \nFinal Results: lower = 2, upper = 2,\nTotal CPU time: 0.00, real time: 0.005\n2\n\nTotal time: 0.019 seconds, Total memory usage: 32.09MB\n</t>
  </si>
  <si>
    <t xml:space="preserve">Magma V2.28-26    Tue Jan  6 2026 16:12:30 on Marks-MacBook-Air-2 [Seed = \n4274692992]\nType ? for help.  Type &lt;Ctrl&gt;-D to quit.\n[0 1 0 0 0 0 0 0 0 0 0 0 0 0 0 0 0 0 0 0 0 1 0 0 0 0 0 0 0 0 0 0 0 0 0 0 0 0 0 0\n    0 1 0 0 0 0 0 0 0 0 0 0 0 0 0 0 0 0 0 </t>
  </si>
  <si>
    <t xml:space="preserve">Magma V2.28-26    Tue Jan  6 2026 16:12:31 on Marks-MacBook-Air-2 [Seed = \n3838884251]\nType ? for help.  Type &lt;Ctrl&gt;-D to quit.\n[0 0 1 0 0 0 0 0 0 0 0 0 0 0 0 0 0 0 0 0 0 0 0 0 0 0 0 0 0 0 0 0 0 0 0 0 0 0 0 0\n    0 1 0 0 0 0 0 0 0 0 0 0 0 0 0 0 0 0 0 </t>
  </si>
  <si>
    <t>Magma V2.28-26    Tue Jan  6 2026 16:44:56 on Marks-MacBook-Air-2 [Seed = \n723484375]\nType ? for help.  Type &lt;Ctrl&gt;-D to quit.\n[0 0 0 1 0 0 0 0 0 0 0 0 0 0 0 0 0 0 0 0 0 0 0 0 0 0 0 0 0 0 0 0 0 0 0 0 0 0 0 0\n    0 0 0 0 0 0 0 0 0 0 0 0 0 0 0 1 0 0 0 0</t>
  </si>
  <si>
    <t xml:space="preserve">Magma V2.28-26    Wed Jan  7 2026 00:44:56 on Marks-MacBook-Air-2 [Seed = \n1683005444]\nType ? for help.  Type &lt;Ctrl&gt;-D to quit.\n[1 0 0 0 0 0 0 0 0 0 0 0 0 0 0 0 0 0 0 0 0 0 0 0 0 0 0 0 0 0 0 0 0 0 0 0 0 0 0 0\n    0 0 0 0 0 0 0 0 0 0 0 0 0 0 0 0 0 0 0 </t>
  </si>
  <si>
    <t xml:space="preserve">Magma V2.28-26    Wed Jan  7 2026 16:33:04 on Marks-MacBook-Air-2 [Seed = \n3254133305]\nType ? for help.  Type &lt;Ctrl&gt;-D to quit.\n[1 0 0 0 0 0 0 0 0 0 0 0 0 0 0 0 0 0 0 0 0 0 0 0 0 0 0 0 0 0 0 0 0 0 0 0 0 0 0 0\n    0 0 0 0 0 0 0 0 0 0 0 0 0 0 0 0 0 0 0 </t>
  </si>
  <si>
    <t xml:space="preserve">Magma V2.28-26    Thu Jan  8 2026 00:33:04 on Marks-MacBook-Air-2 [Seed = \n1600703951]\nType ? for help.  Type &lt;Ctrl&gt;-D to quit.\n[1 0 0 0 0 0 0 0 0 0 0 0 0 0 0 0 0 0 0 0 0 0 0 0 0 0 0 0 0 0 0 0 0 0 0 0 0 0 0 0\n    0 0 0 0 0 0 0 0 0 0 0 0 0 0 0 0 0 0 0 </t>
  </si>
  <si>
    <t>method: CLISATDist</t>
  </si>
  <si>
    <t>popSize: 100</t>
  </si>
  <si>
    <t>outfile: /home/ucapmwe/dist-benchmark/results/lifted_product-CLISATDist-20251224_094241.791153_85062422.txt</t>
  </si>
  <si>
    <t>c Parsing MaxSAT file...\nc ============================[  Problem Statistics ]============================\nc |  Number of variables:           144                                         |\nc |  Number of clauses:             471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104\nc conflicts              : 84             (8881 /sec)\nc decisions              : 377            (0.00 % random) (39860 /sec)\nc propagations           : 9880           (1044618 /sec)\nc conflict literals      : 1111           (4.14 % deleted)\nc =======================[ UWrMaxSat resources usage ]===========================\nc Memory used            : 26.00 MB\nc CPU time               : 0.009458 s\nc Wall clock time        : 0 s\nc OptExp Enc: Srt/BDD/Add: 3 0 0\nc _______________________________________________________________________________\nv 000000000000000000000000110000000000000000000000000000000000000000000000000000000000000000000000000000001110000000000000000000000100000010000000000000000000000\ns OPTIMUM FOUND\n</t>
  </si>
  <si>
    <t>c Parsing MaxSAT file...\nc ============================[  Problem Statistics ]============================\nc |  Number of variables:           852                                         |\nc |  Number of clauses:            2985                                         |\nc ===============================================================================\nc Using SCIP solver, version 7.0.3, https://www.scipopt.org\nc scip_time = 0.000000\nc Starting SCIP solver in a separate thread (with time-limit = 0s) ...\nc Using COMiniSatPS SAT solver by Chanseok Oh (2016)\no 30\no 6\no 4\nc _x001B_[1mOptimal solution: 4_x001B_[0m\nc _______________________________________________________________________________\nc \nc restarts               : 567\nc conflicts              : 3323           (15191 /sec)\nc decisions              : 5846           (0.00 % random) (26726 /sec)\nc propagations           : 602921         (2756324 /sec)\nc conflict literals      : 82001          (13.46 % deleted)\nc =======================[ UWrMaxSat resources usage ]===========================\nc Memory used            : 153.00 MB\nc CPU time               : 0.218741 s\nc Wall clock time        : 1 s\nc OptExp Enc: Srt/BDD/Add: 9 0 0\nc _______________________________________________________________________________\nv 000000000000000000000000000000000000101001010000000000000000000000000000000000000000000000000000000000000000000000000000000000000000000000000000000000000000000000000000000000000000000000000000000000000000000000000000000000000000000000000000000000000000000000000000000000000000000000000000000000000000000011111001100001100110000000000000000000000000000000000000000000000000000000000000000000000000011000000000000010000000000000000000001000000000000000000000100000000000000000000000000000000000000000000000000000000001000000000000000000000001000000000000000000000001100000000000000000000000000000000000000000000000001000000000000000000000000011000000000000000010000000000000000100000000000000000000000000000000000000000000000000000000000000000000001000000000000000000000000000000000000000000000000000000000000000010000000000000000000000000000000000000000000000000000000000010000000000000000000000000000000000000000\ns OPTIMUM FOUND\n</t>
  </si>
  <si>
    <t>c Parsing MaxSAT file...\nc ============================[  Problem Statistics ]============================\nc |  Number of variables:          1550                                         |\nc |  Number of clauses:            5459                                         |\nc ===============================================================================\nc Using SCIP solver, version 7.0.3, https://www.scipopt.org\nc scip_time = 0.000000\nc Starting SCIP solver in a separate thread (with time-limit = 0s) ...\nc Using COMiniSatPS SAT solver by Chanseok Oh (2016)\no 36\no 8\no 6\nc _x001B_[1mOptimal solution: 6_x001B_[0m\nc _______________________________________________________________________________\nc \nc restarts               : 1027\nc conflicts              : 33561          (8888 /sec)\nc decisions              : 58226          (0.00 % random) (15421 /sec)\nc propagations           : 7927345        (2099471 /sec)\nc conflict literals      : 1105195        (29.02 % deleted)\nc =======================[ UWrMaxSat resources usage ]===========================\nc Memory used            : 157.00 MB\nc CPU time               : 3.77588 s\nc Wall clock time        : 3 s\nc OptExp Enc: Srt/BDD/Add: 19 0 0\nc _______________________________________________________________________________\nv 000000000000000000000000000000000000000000000000000000000000000000000000000000000000000000000000000000000000000010010000000000001001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10101111111111111101000000100001100000000000011001000010011101111100111000001000000000010000000010110110011100001000010010000000001010000000000101110100001111000000000000000000000010101111110010010001000000000000000000000110000000010110101110000001010000000000000011110000000000110101001110000000000000000100000000011100000000000000110101001100000000000000000101000000000000000000111010110000000000000000101000000000000000110100110000000000001100000000000110100101000000000000000000000001110000000000010111100000010100000000000000100000000001101000000000010000000001000000100000000010111001100000100000000000000100000000000000000001011000000000000000000011111001100000000000010000000000000000010000000100000000000000000000000000111101010000000000001000000110000000000000000001000000000001111001000000000000000000100000000010000000000000100000000001110010100000000000000010000011000000001000000000000000100000000001111000001000000000000001000000001010000010\ns OPTIMUM FOUND\n</t>
  </si>
  <si>
    <t>c Parsing MaxSAT file...\nc ============================[  Problem Statistics ]============================\nc |  Number of variables:          2586                                         |\nc |  Number of clauses:            9285                                         |\nc ===============================================================================\nc Using SCIP solver, version 7.0.3, https://www.scipopt.org\nc scip_time = 0.000000\nc Starting SCIP solver in a separate thread (with time-limit = 0s) ...\nc Using COMiniSatPS SAT solver by Chanseok Oh (2016)\no 88\no 10\no 8\nc _x001B_[1mOptimal solution: 8_x001B_[0m\nc _______________________________________________________________________________\nc \nc restarts               : 1375\nc conflicts              : 106023         (5337 /sec)\nc decisions              : 201716         (0.00 % random) (10155 /sec)\nc propagations           : 34673425       (1745556 /sec)\nc conflict literals      : 4987061        (35.86 % deleted)\nc =======================[ UWrMaxSat resources usage ]===========================\nc Memory used            : 246.00 MB\nc CPU time               : 19.8638 s\nc Wall clock time        : 20 s\nc OptExp Enc: Srt/BDD/Add: 34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110000000000000101011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001001000000000000000011111100000000011001001101100110000010000000000000111100010010000001001011011010000011001101101111100010110100000000000000110100110011101001110010001000110100000100000000000011110100010001011010000000000000000000100110001000100110011000100111100100000111111111111101111000101101111111000000001001001100111000000000000011111000000100000111100101110010101111100000000100011011001100000000000001111100000011100000101111001010100101011111110000000000011100101010000000000001111111000000001110000000111001011011100001111000000000011100000110000000000001111100000011100000011100000101011010101111110000000000000011111001010011110000010111100000011110000000111100000010101011110100011110000000001111001101001110000010110000000111110000000111000000010111001100101111000000010111101011010011111100000000001110000000000001111000000011001100111000000000010011001110100111100000011100000011000000011110000000011101110000111000000010111101101110101110000000100000011111000000101100000000101100111011000000000101001001101111110000000111110000001000001111\ns OPTIMUM FOUND\n</t>
  </si>
  <si>
    <t>c Parsing MaxSAT file...\nc ============================[  Problem Statistics ]============================\nc |  Number of variables:          3570                                         |\nc |  Number of clauses:           12903                                         |\nc ===============================================================================\nc Using SCIP solver, version 7.0.3, https://www.scipopt.org\nc scip_time = 0.000000\nc Starting SCIP solver in a separate thread (with time-limit = 0s) ...\nc Using COMiniSatPS SAT solver by Chanseok Oh (2016)\no 124\no 18\no 10\nc _x001B_[1mOptimal solution: 10_x001B_[0m\nc _______________________________________________________________________________\nc \nc restarts               : 8240\nc conflicts              : 2720030        (2884 /sec)\nc decisions              : 3945691        (0.00 % random) (4183 /sec)\nc propagations           : 1446142280     (1533283 /sec)\nc conflict literals      : 113685771      (46.36 % deleted)\nc =======================[ UWrMaxSat resources usage ]===========================\nc Memory used            : 274.00 MB\nc CPU time               : 943.168 s\nc Wall clock time        : 945 s\nc OptExp Enc: Srt/BDD/Add: 45 0 0\nc _______________________________________________________________________________\nv 00000000000000000000000000000000000000000000000000000000000000000000000000000000000001010000000101000000000000000001010000000000011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110000000001000000000101100010000000010000100000000000101000000000001010000001111000010000000010100000010000000000000000100010111100000001000000000000001001001000000000000000000000000000000000000000000000000000000000000000000000000000000000000000000000000000000000000000000000000001100000000000000000000000000000000000001100000000000000000000000000000000000000000000000000000110000000000000000010010000000000000000000010100101000000000000000000001111000000000000000000100000011000111000000000000010000001010000000000011000000110000000000000010000001001010000000000000010010000010100000000000000000010000011100000000000000010000100000010110000000000000000000011110000000000010011000000000010000000001110000000000000000000001010010110000000000000000000001100000000001100000000000000110001010000000000000000000000000000000001000111000000000000000101001011000000000000010000010010100000110000000100010000011000000000000000001001000110000000000000000100000100000010000000000000000000000001000011000000000000000010000001010000000000000100000001010000000000000000000000010000101011100000000000000000000011000000000000000001000000100000000000000000000011100000000001001000011000000000000000001001000000000000000000010111000000000000000001000000010000000000000000000011000000000000000000100100011000000000000000000001000000000000000000000000000100000000000000001000101011000000000000000001000011000000001000000000100100010100000000000000000000000010000010000000000000010000000010000000000000000000100001011000001100000000000000000010000010000000000000001000000001100000000000000000000000010000000000000000000000000011100000000000000000000000000100000000000000000000001000000010000000001000000001100000000100000000000000000010000100101100000000000000100000101100000001100000000110000000110000000000000010000010000000000000000000000000110000000101100000001011100000000100000000000000000000001000000000000000000000000101000110000000000100000000110000000001100000000000001000000001011000000000000000000001000000110000000000111100000000110000000110000000000100001000000100000000000000000000000101100000001000000001011000000000000000000000010001100000000000000001001000001100000000000011000000001100000000110000000000000010001111100000000000000000000001000000000000000000000111000000000000011000000000000100000000100000000000000000010111100000000000001010000001000000010100000000000010000101000111000000000000000000000010110000000000001100000010000000100000000000000000000001100111100000110000000000000000000001011000000000001110000000000111100000000011000000000000000000010001000000000001000100000000000000000001110000000001010000000011000000000000000000011110000000000000001010000000101100000000000000001011100000001\ns OPTIMUM FOUND\n</t>
  </si>
  <si>
    <t>c Parsing MaxSAT file...\nc ============================[  Problem Statistics ]============================\nc |  Number of variables:          4838                                         |\nc |  Number of clauses:           17657                                         |\nc ===============================================================================\nc Using SCIP solver, version 7.0.3, https://www.scipopt.org\nc scip_time = 0.000000\nc Starting SCIP solver in a separate thread (with time-limit = 0s) ...\nc Using COMiniSatPS SAT solver by Chanseok Oh (2016)\no 126\no 14\no 12\nc _x001B_[1mOptimal solution: 12_x001B_[0m\nc _______________________________________________________________________________\nc \nc restarts               : 85624\nc conflicts              : 36856514       (1366 /sec)\nc decisions              : 51199374       (0.00 % random) (1897 /sec)\nc propagations           : 23504029774    (870839 /sec)\nc conflict literals      : 1698863023     (49.54 % deleted)\nc =======================[ UWrMaxSat resources usage ]===========================\nc Memory used            : 531.00 MB\nc CPU time               : 26990.1 s\nc Wall clock time        : 27062 s\nc OptExp Enc: Srt/BDD/Add: 56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1100000000101000000000001100000010001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10000000000000000000000111111110001100110000000000000000000100000000000000000000000000000110100000000000000000000000111010000000011010000000000000000000000010000000000000000000000000010001100100000000000000100110001100110010000000000000100010000000101000000000000000000000000010001000100000000000001100110100000000000000000000001000000000000000000000000001000010001000010000000000000010011001000000000000001000100000000000000000010000000000000000001010010000000000000000000000000000001100000000000000010000010100000000100000000100000000000000000000000000100011000000000000000000100110100000000000000010010000000111000000000000010000100000000001000000000000000000000000001010001000000000000100100000000000001011111111111111110110110110110000000000000000000000000010100000000000101110111000001100001111011100101100000110100010111111111111111111111111100010110000000000001001110010000000111100000000101110100001110010000000001100001101110100111110100111100000000000101001101000000100100101100011010001111100100111010010100000000100001010000000000000000001001100000101000110010011010000100011111111010001000000000101111110010000000000000000100011111000001011011100001110101010010000010111000010000100101000100011111011000000000000000100111011110000000000001111101111001100001001111111111001001000000000001011011110000011010000000100001010010110011101000101010111100000000000000000011110111100000010010111100000\ns OPTIMUM FOUND\n</t>
  </si>
  <si>
    <t>c Parsing MaxSAT file...\nc ============================[  Problem Statistics ]============================\nc |  Number of variables:          6496                                         |\nc |  Number of clauses:           23759                                         |\nc ===============================================================================\nc Using SCIP solver, version 7.0.3, https://www.scipopt.org\nc scip_time = 0.000000\nc Starting SCIP solver in a separate thread (with time-limit = 0s) ...\nc Using COMiniSatPS SAT solver by Chanseok Oh (2016)\no 110\no 34\n</t>
  </si>
  <si>
    <t>c Parsing MaxSAT file...\nc ============================[  Problem Statistics ]============================\nc |  Number of variables:         12810                                         |\nc |  Number of clauses:           48061                                         |\nc ===============================================================================\nc Using SCIP solver, version 7.0.3, https://www.scipopt.org\nc scip_time = 0.000000\nc Starting SCIP solver in a separate thread (with time-limit = 0s) ...\nc Using COMiniSatPS SAT solver by Chanseok Oh (2016)\no 170\n</t>
  </si>
  <si>
    <t>c Parsing MaxSAT file...\nc ============================[  Problem Statistics ]============================\nc |  Number of variables:         11812                                         |\nc |  Number of clauses:           43963                                         |\nc ===============================================================================\nc Using SCIP solver, version 7.0.3, https://www.scipopt.org\nc scip_time = 0.000000\nc Starting SCIP solver in a separate thread (with time-limit = 0s) ...\nc Using COMiniSatPS SAT solver by Chanseok Oh (2016)\no 316\no 242\n</t>
  </si>
  <si>
    <t>c Parsing MaxSAT file...\nc ============================[  Problem Statistics ]============================\nc |  Number of variables:         18736                                         |\nc |  Number of clauses:           70493                                         |\nc ===============================================================================\nc Using SCIP solver, version 7.0.3, https://www.scipopt.org\nc scip_time = 0.000000\nc Starting SCIP solver in a separate thread (with time-limit = 0s) ...\nc Using COMiniSatPS SAT solver by Chanseok Oh (2016)\no 250\n</t>
  </si>
  <si>
    <t>c Parsing MaxSAT file...\nc ============================[  Problem Statistics ]============================\nc |  Number of variables:         26690                                         |\nc |  Number of clauses:          101249                                         |\nc ===============================================================================\nc Using COMiniSatPS SAT solver by Chanseok Oh (2016)\no 496\no 288\no 62\n</t>
  </si>
  <si>
    <t>c Parsing MaxSAT file...\nc ============================[  Problem Statistics ]============================\nc |  Number of variables:         31970                                         |\nc |  Number of clauses:          121733                                         |\nc ===============================================================================\nc Using COMiniSatPS SAT solver by Chanseok Oh (2016)\no 548\no 350\no 72\n</t>
  </si>
  <si>
    <t>c Parsing MaxSAT file...\nc ============================[  Problem Statistics ]============================\nc |  Number of variables:         35848                                         |\nc |  Number of clauses:          137033                                         |\nc ===============================================================================\nc Using COMiniSatPS SAT solver by Chanseok Oh (2016)\n</t>
  </si>
  <si>
    <t>c Parsing MaxSAT file...\nc ============================[  Problem Statistics ]============================\nc |  Number of variables:         34480                                         |\nc |  Number of clauses:          131455                                         |\nc ===============================================================================\nc Using COMiniSatPS SAT solver by Chanseok Oh (2016)\no 536\no 428\n</t>
  </si>
  <si>
    <t>c Parsing MaxSAT file...\nc ============================[  Problem Statistics ]============================\nc |  Number of variables:         40314                                         |\nc |  Number of clauses:          154155                                         |\nc ===============================================================================\nc Using COMiniSatPS SAT solver by Chanseok Oh (2016)\no 664\no 112\n</t>
  </si>
  <si>
    <t>c Parsing MaxSAT file...\nc ============================[  Problem Statistics ]============================\nc |  Number of variables:         46716                                         |\nc |  Number of clauses:          179127                                         |\nc ===============================================================================\nc Using COMiniSatPS SAT solver by Chanseok Oh (2016)\n</t>
  </si>
  <si>
    <t>c Parsing MaxSAT file...\nc ============================[  Problem Statistics ]============================\nc |  Number of variables:         54764                                         |\nc |  Number of clauses:          210577                                         |\nc ===============================================================================\nc Using COMiniSatPS SAT solver by Chanseok Oh (2016)\n</t>
  </si>
  <si>
    <t>c Parsing MaxSAT file...\nc ============================[  Problem Statistics ]============================\nc |  Number of variables:         67464                                         |\nc |  Number of clauses:          260847                                         |\nc ===============================================================================\nc Using COMiniSatPS SAT solver by Chanseok Oh (2016)\n</t>
  </si>
  <si>
    <t>c Parsing MaxSAT file...\nc ============================[  Problem Statistics ]============================\nc |  Number of variables:         73538                                         |\nc |  Number of clauses:          284083                                         |\nc ===============================================================================\nc Using COMiniSatPS SAT solver by Chanseok Oh (2016)\n</t>
  </si>
  <si>
    <t>method: ColourCodeDistStim</t>
  </si>
  <si>
    <t>resume: 0</t>
  </si>
  <si>
    <t>outfile: /home/ucapmwe/dist-benchmark/results/lifted_product-ColourCodeDistStim-20260105_135845.157295_85062422.txt</t>
  </si>
  <si>
    <t>dont_explore_detection_event_sets_with_size_above=3,dont_explore_edges_with_degree_above=15; Found w:2</t>
  </si>
  <si>
    <t>dont_explore_detection_event_sets_with_size_above=3,dont_explore_edges_with_degree_above=60; Found w:4</t>
  </si>
  <si>
    <t>dont_explore_detection_event_sets_with_size_above=3,dont_explore_edges_with_degree_above=105; Found w:8</t>
  </si>
  <si>
    <t>dont_explore_detection_event_sets_with_size_above=3,dont_explore_edges_with_degree_above=150; Found w:10</t>
  </si>
  <si>
    <t>dont_explore_detection_event_sets_with_size_above=3,dont_explore_edges_with_degree_above=195; no lo found</t>
  </si>
  <si>
    <t>dont_explore_detection_event_sets_with_size_above=3,dont_explore_edges_with_degree_above=240; no lo found</t>
  </si>
  <si>
    <t>dont_explore_detection_event_sets_with_size_above=3,dont_explore_edges_with_degree_above=315; no lo found</t>
  </si>
  <si>
    <t>dont_explore_detection_event_sets_with_size_above=3,dont_explore_edges_with_degree_above=450; no lo found</t>
  </si>
  <si>
    <t>dont_explore_detection_event_sets_with_size_above=3,dont_explore_edges_with_degree_above=465; no lo found</t>
  </si>
  <si>
    <t>dont_explore_detection_event_sets_with_size_above=3,dont_explore_edges_with_degree_above=630; no lo found</t>
  </si>
  <si>
    <t>dont_explore_detection_event_sets_with_size_above=3,dont_explore_edges_with_degree_above=780; no lo found</t>
  </si>
  <si>
    <t>dont_explore_detection_event_sets_with_size_above=3,dont_explore_edges_with_degree_above=870; no lo found</t>
  </si>
  <si>
    <t>dont_explore_detection_event_sets_with_size_above=3,dont_explore_edges_with_degree_above=900; no lo found</t>
  </si>
  <si>
    <t>dont_explore_detection_event_sets_with_size_above=3,dont_explore_edges_with_degree_above=915; no lo found</t>
  </si>
  <si>
    <t>dont_explore_detection_event_sets_with_size_above=3,dont_explore_edges_with_degree_above=1005; no lo found</t>
  </si>
  <si>
    <t>dont_explore_detection_event_sets_with_size_above=3,dont_explore_edges_with_degree_above=1095; no lo found</t>
  </si>
  <si>
    <t>dont_explore_detection_event_sets_with_size_above=3,dont_explore_edges_with_degree_above=1200; no lo found</t>
  </si>
  <si>
    <t>dont_explore_detection_event_sets_with_size_above=3,dont_explore_edges_with_degree_above=1275; no lo found</t>
  </si>
  <si>
    <t>dont_explore_detection_event_sets_with_size_above=3,dont_explore_edges_with_degree_above=1425; no lo found</t>
  </si>
  <si>
    <t>method: decoderDist</t>
  </si>
  <si>
    <t>decoder: bposd</t>
  </si>
  <si>
    <t>bp_method: product_sum</t>
  </si>
  <si>
    <t>bp_schedule: parallel</t>
  </si>
  <si>
    <t>bp_max_iter: 10</t>
  </si>
  <si>
    <t>osd_method: OSD_CS</t>
  </si>
  <si>
    <t>osd_order: 8</t>
  </si>
  <si>
    <t>outfile: /home/ucapmwe/dist-benchmark/results/lifted_product-decoderDist-bposd-20251231_114522.403955_85062422.txt</t>
  </si>
  <si>
    <t>Trial:0 w:2; pErr:0.0000, weight 2 CW found:59</t>
  </si>
  <si>
    <t>Trial:0 w:4; pErr:0.0000, weight 4 CW found:64</t>
  </si>
  <si>
    <t>Trial:0 w:6; pErr:0.0001, weight 6 CW found:1124</t>
  </si>
  <si>
    <t>Trial:0 w:8; pErr:0.0082, weight 8 CW found:2080</t>
  </si>
  <si>
    <t>Trial:0 w:22; Trial:1 w:10; pErr:0.2253, weight 10 CW found:6709</t>
  </si>
  <si>
    <t>Trial:0 w:78; Trial:1 w:74; Trial:2 w:20; Trial:4 w:18; Trial:8 w:14; Trial:43 w:12; pErr:0.3407, weight 12 CW found:9247</t>
  </si>
  <si>
    <t>Trial:0 w:108; Trial:2 w:98; Trial:6 w:18; Trial:8 w:16; pErr:0.3673, weight 16 CW found:9977</t>
  </si>
  <si>
    <t>Trial:0 w:156; Trial:8 w:150; Trial:9 w:146; Trial:31 w:48; Trial:34 w:24; Trial:79 w:16; pErr:0.3677, weight 16 CW found:9917</t>
  </si>
  <si>
    <t>Trial:0 w:156; Trial:3 w:154; Trial:17 w:152; Trial:54 w:146; Trial:59 w:24; Trial:408 w:20; pErr:0.3679, weight 20 CW found:9592</t>
  </si>
  <si>
    <t>Trial:0 w:232; Trial:2 w:218; Trial:23 w:216; Trial:54 w:214; Trial:77 w:42; Trial:132 w:38; Trial:587 w:32; Trial:2734 w:30; Trial:6537 w:24; pErr:0.3679, weight 24 CW found:3463</t>
  </si>
  <si>
    <t>Trial:0 w:294; Trial:1 w:292; Trial:4 w:286; Trial:6 w:276; Trial:9 w:270; Trial:23 w:266; Trial:121 w:256; Trial:470 w:246; Trial:612 w:56; Trial:1704 w:28; Trial:5372 w:22; pErr:0.3679, weight 22 CW found:4628</t>
  </si>
  <si>
    <t>bp_max_iter: 100</t>
  </si>
  <si>
    <t>osd_order: 1</t>
  </si>
  <si>
    <t>outfile: /home/ucapmwe/dist-benchmark/results/lifted_product-decoderDist-bposd-20251229_101257.902090_85062422.txt</t>
  </si>
  <si>
    <t>Trial:0 w:4; pErr:0.0000, weight 4 CW found:286</t>
  </si>
  <si>
    <t>Trial:0 w:6; pErr:0.0010, weight 6 CW found:1442</t>
  </si>
  <si>
    <t>Trial:0 w:8; pErr:0.0163, weight 8 CW found:2430</t>
  </si>
  <si>
    <t>Trial:0 w:56; Trial:1 w:10; pErr:0.2358, weight 10 CW found:6920</t>
  </si>
  <si>
    <t>Trial:0 w:20; Trial:4 w:16; Trial:7 w:14; Trial:31 w:12; pErr:0.3425, weight 12 CW found:9304</t>
  </si>
  <si>
    <t>Trial:0 w:18; Trial:38 w:16; pErr:0.3670, weight 16 CW found:9937</t>
  </si>
  <si>
    <t>Trial:0 w:154; Trial:1 w:152; Trial:2 w:32; Trial:4 w:30; Trial:27 w:26; Trial:100 w:24; Trial:154 w:18; Trial:194 w:16; pErr:0.3675, weight 16 CW found:9796</t>
  </si>
  <si>
    <t>Trial:0 w:164; Trial:1 w:152; Trial:15 w:148; Trial:19 w:138; Trial:21 w:30; Trial:156 w:28; Trial:354 w:24; Trial:433 w:22; Trial:1047 w:20; pErr:0.3679, weight 20 CW found:8953</t>
  </si>
  <si>
    <t>Trial:0 w:214; Trial:7 w:212; Trial:26 w:208; Trial:35 w:202; Trial:839 w:194; Trial:862 w:50; Trial:1046 w:46; Trial:2234 w:40; Trial:3246 w:30; Trial:8007 w:26; pErr:0.3679, weight 26 CW found:1993</t>
  </si>
  <si>
    <t>Trial:0 w:284; Trial:1 w:276; Trial:22 w:258; Trial:92 w:252; Trial:107 w:22; pErr:0.3679, weight 22 CW found:9893</t>
  </si>
  <si>
    <t>Trial:0 w:310; Trial:3 w:304; Trial:27 w:286; Trial:2244 w:272; Trial:2446 w:20; pErr:0.3679, weight 20 CW found:7554</t>
  </si>
  <si>
    <t>method: dist_m4ri_CC</t>
  </si>
  <si>
    <t>outfile: /home/ucapmwe/dist-benchmark/results/lifted_product-dist_m4ri_CC-20251221_140932.892552_85062422.txt</t>
  </si>
  <si>
    <t># cluster algorithm failed to find a codeword up to wmax=1\n; # wmax=2 found cw of weight 2: [1 6]\n2\n</t>
  </si>
  <si>
    <t># cluster algorithm failed to find a codeword up to wmax=1\n; # cluster algorithm failed to find a codeword up to wmax=2\n; # cluster algorithm failed to find a codeword up to wmax=3\n; # wmax=4 found cw of weight 4: [1 62 63 80]\n4\n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</si>
  <si>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38 70 73 75 108]\n6\n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</si>
  <si>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50 53 105 109 155 205 209]\n8\n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</si>
  <si>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6 7 66 68 76 132 140 205 207]\n10\n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</si>
  <si>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wmax=12 found cw of weight 12: [1 7 8 81 85 89 167 173 249 325 328 333]\n12\n</t>
  </si>
  <si>
    <t>CCstart: -1</t>
  </si>
  <si>
    <t>outfile: /home/ucapmwe/dist-benchmark/results/lifted_product-dist_m4ri_CC-20260107_140323.813506_85062422.txt</t>
  </si>
  <si>
    <t># wmax=99 found cw of weight 2: [0 5]\n2\n</t>
  </si>
  <si>
    <t># wmax=99 found cw of weight 4: [0 61 62 83]\n4\n</t>
  </si>
  <si>
    <t># wmax=99 found cw of weight 6: [0 37 72 74 76 107]\n6\n</t>
  </si>
  <si>
    <t># wmax=99 found cw of weight 8: [0 52 59 104 108 154 204 208]\n8\n</t>
  </si>
  <si>
    <t># wmax=99 found cw of weight 10: [0 5 6 65 67 75 131 139 204 206]\n10\n</t>
  </si>
  <si>
    <t># wmax=99 found cw of weight 12: [0 6 7 80 84 88 166 172 248 324 327 332]\n12\n</t>
  </si>
  <si>
    <t>method: GraphLikeErrorStim</t>
  </si>
  <si>
    <t>outfile: /home/ucapmwe/dist-benchmark/results/lifted_product-GraphLikeErrorStim-20260105_135844.930277_85062422.txt</t>
  </si>
  <si>
    <t>dont_explore_detection_event_sets_with_size_above=2,dont_explore_edges_with_degree_above=2; no lo found</t>
  </si>
  <si>
    <t>method: dist_m4ri_RW</t>
  </si>
  <si>
    <t>outfile: /home/ucapmwe/dist-benchmark/results/lifted_product-dist_m4ri_RW-20251221_141128.414966_85062422.txt</t>
  </si>
  <si>
    <t># step=0 row=0 minW=35 found cw of W=2: [1 6]\n#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</si>
  <si>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minW=137 found cw of W=28: [1 2 3 13 17 22 23 24 28 32 35 40 47 51 53 58 74 75 80 83 84 93 101 107 109 110 114 115]\n# step=0 row=1 minW=28 found cw of W=4: [2 4 82 84]\n#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</si>
  <si>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minW=239 found cw of W=8: [1 4 36 72 106 112 143 144]\n# step=2 row=8 minW=8 found cw of W=6: [17 54 86 89 91 124]\n#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</si>
  <si>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minW=341 found cw of W=84: [1 3 8 11 14 16 36 40 47 51 53 54 55 60 64 73 79 87 88 90 92 101 102 103 106 109 116 121 122 126 131 132 133 137 138 142 145 148 154 155 156 164 166 167 187 188 200 203 205 206 212 215 217 218 219 222 224 228 230 234 245 247 248 255 260 262 265 266 268 272 273 278 284 292 294 301 304 305 307 325 326 335 338 339]\n# step=0 row=1 minW=84 found cw of W=78: [1 4 8 11 14 16 36 40 47 51 53 54 59 60 64 73 79 87 88 90 92 101 103 105 116 121 122 126 131 132 133 137 138 142 145 148 156 164 166 167 187 188 200 202 212 215 217 218 219 222 224 228 230 234 245 247 248 255 260 262 265 266 268 272 273 278 284 292 294 301 304 305 307 325 326 335 338 339]\n# step=0 row=2 minW=78 found cw of W=74: [1 6 11 14 16 36 40 47 52 53 60 64 73 79 87 88 90 92 102 107 109 116 121 122 126 131 132 133 137 138 142 145 148 154 164 166 167 187 188 200 212 215 217 218 219 222 224 228 230 234 245 247 248 255 260 262 265 266 268 272 273 278 284 292 294 301 304 305 307 325 326 335 338 339]\n# step=0 row=3 minW=74 found cw of W=12: [1 5 8 9 57 60 102 103 154 156 203 206]\n# step=0 row=4 minW=12 found cw of W=8: [5 8 10 51 57 156 203 205]\n#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</si>
  <si>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minW=443 found cw of W=82: [1 2 4 5 14 15 16 28 29 34 50 55 58 61 67 71 74 77 86 87 92 93 102 108 117 129 130 136 145 153 154 167 169 177 180 181 184 190 194 207 209 215 217 224 230 248 262 268 272 275 281 297 305 313 314 315 324 332 333 334 337 347 348 353 357 359 360 362 369 377 392 411 414 419 420 422 427 428 430 431 433 434]\n# step=0 row=2 minW=82 found cw of W=78: [4 6 15 24 27 28 53 55 58 64 71 72 74 77 81 87 101 102 116 119 125 129 132 138 149 153 154 157 167 174 175 183 194 205 207 209 212 215 217 224 228 229 240 253 254 265 268 272 281 283 287 297 300 305 310 314 315 318 325 353 356 358 365 369 377 381 386 390 403 408 411 412 413 414 420 422 433 437]\n# step=0 row=22 minW=78 found cw of W=62: [2 11 14 23 28 38 43 45 50 53 67 71 81 92 93 98 102 117 125 136 138 143 145 152 160 164 165 169 175 177 181 184 205 209 215 228 229 249 262 265 267 272 275 294 297 300 306 311 348 352 354 362 365 381 386 403 405 413 414 422 428 434]\n# step=0 row=30 minW=62 found cw of W=18: [53 54 58 119 125 129 183 190 191 249 252 253 259 260 315 318 321 324]\n# step=0 row=33 minW=18 found cw of W=10: [53 59 119 126 191 252 254 260 318 321]\n#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</si>
  <si>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row=1 minW=545 found cw of W=102: [1 3 15 17 19 23 27 40 43 50 54 56 59 62 65 67 77 81 83 86 95 100 117 118 120 133 134 144 145 148 150 155 157 163 164 172 173 180 188 193 202 209 215 227 228 237 240 244 249 251 255 257 266 267 283 286 288 292 295 326 330 336 343 347 353 354 359 364 366 367 370 378 386 388 391 395 406 410 416 427 429 435 438 441 444 447 455 461 466 477 479 486 505 506 512 513 517 522 528 531 532 542]\n# step=0 row=2 minW=102 found cw of W=22: [5 13 15 31 40 52 67 83 86 92 162 171 172 246 251 255 323 325 333 434 482 530]\n# step=0 row=131 minW=22 found cw of W=14: [67 148 150 155 226 235 237 239 307 386 388 390 397 399]\n# step=9 row=206 minW=14 found cw of W=12: [49 130 136 139 141 143 216 219 301 369 370 383]\n#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</si>
  <si>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minW=715 found cw of W=132: [1 15 21 34 41 44 46 50 65 79 89 90 93 104 105 110 111 113 116 118 121 122 126 133 134 142 143 144 148 150 162 172 173 178 180 187 205 206 217 218 219 221 234 236 250 254 257 263 279 280 284 296 311 314 317 318 320 324 325 326 328 332 334 335 336 340 346 348 360 364 365 384 392 393 395 403 425 432 445 459 461 464 477 487 488 491 498 513 516 524 527 530 532 535 536 537 541 544 545 549 552 561 563 567 568 584 592 594 596 601 602 604 614 616 619 625 633 640 642 648 656 664 671 673 681 684 685 691 697 704 709 710]\n# step=0 row=4 minW=132 found cw of W=102: [5 18 21 23 28 32 34 44 55 57 65 75 80 88 93 99 104 111 113 118 123 126 131 136 144 157 190 200 206 207 209 218 219 221 230 236 237 250 252 257 263 272 286 288 290 296 298 306 317 321 324 325 332 335 342 343 348 354 357 377 389 393 398 409 413 416 425 430 447 454 486 503 504 513 517 519 522 525 527 535 536 537 538 556 563 579 602 614 616 618 630 633 637 640 642 648 664 668 685 688 692 714]\n# step=0 row=5 minW=102 found cw of W=94: [6 15 19 21 33 34 44 57 58 65 75 83 93 96 107 111 116 122 141 143 150 154 156 163 179 180 199 200 201 209 217 219 225 250 254 255 261 266 272 275 280 288 296 298 301 302 306 313 316 317 318 324 326 334 336 342 353 361 365 372 389 403 409 420 423 428 432 448 461 464 481 498 502 532 533 537 544 545 563 565 568 587 602 604 613 616 618 627 635 642 649 664 688 692]\n# step=2 row=280 minW=94 found cw of W=26: [86 96 100 191 195 198 200 201 218 239 260 281 295 299 301 303 404 406 407 410 505 510 520 533 601 656]\n# step=5 row=139 minW=26 found cw of W=22: [24 27 31 34 42 130 133 136 139 141 143 232 245 337 339 342 343 350 353 445 456 462]\n# step=8 row=129 minW=22 found cw of W=20: [4 10 12 20 114 116 117 215 220 221 225 229 230 319 320 332 334 429 435 437]\n# step=16 row=146 minW=20 found cw of W=16: [72 73 83 171 176 177 180 275 278 281 285 380 383 388 486 503]\n#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</si>
  <si>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minW=1021 found cw of W=208: [1 4 5 8 11 13 22 26 29 33 49 53 58 59 65 70 71 74 96 99 103 104 107 108 113 114 115 117 124 128 130 135 138 140 151 153 159 165 181 182 192 204 207 208 210 214 215 217 219 220 221 223 224 227 234 237 240 247 248 257 259 271 272 275 278 283 287 290 293 294 299 300 303 304 310 312 313 315 321 322 323 326 328 330 333 350 357 360 365 372 374 379 385 387 403 411 412 416 438 441 450 451 453 460 461 468 471 482 483 485 497 501 514 521 522 530 532 540 543 546 551 580 588 589 592 593 595 601 602 606 609 610 611 612 619 621 633 639 648 652 657 667 670 680 682 691 709 713 717 720 721 724 725 727 732 733 737 739 741 743 768 777 779 780 782 783 799 803 805 807 815 816 818 820 821 831 835 838 844 853 857 862 867 887 894 895 896 903 905 908 910 915 916 918 937 949 963 969 973 981 985 992 994 998 1005 1009 1014 1019]\n# step=0 row=1 minW=208 found cw of W=170: [2 4 11 13 20 31 33 49 53 58 59 94 96 99 101 103 107 117 125 130 137 138 146 166 174 180 181 183 188 192 193 198 204 206 208 210 217 219 230 238 240 247 259 265 275 278 283 290 294 297 298 299 303 304 313 323 324 330 333 356 357 360 365 375 379 387 388 389 394 396 401 416 426 430 438 441 445 447 449 451 460 461 466 470 471 482 483 490 501 516 521 522 525 530 535 540 552 563 565 570 590 591 593 596 600 601 612 635 638 640 648 657 659 667 670 677 679 691 692 713 720 724 726 728 732 739 743 750 752 762 763 767 769 775 777 783 799 803 805 807 820 823 827 831 843 844 851 853 860 867 874 895 903 905 908 910 915 917 934 937 949 970 973 976 980 981 997 1009 1011 1020]\n# step=0 row=20 minW=170 found cw of W=168: [10 11 22 30 33 34 35 40 44 54 65 69 91 94 99 101 113 117 121 125 128 129 132 133 138 140 148 151 159 166 174 175 181 182 183 204 206 221 246 247 256 259 265 271 272 283 287 293 294 296 297 299 303 312 317 321 323 324 327 333 350 356 385 387 388 389 394 403 420 432 433 437 438 441 442 445 449 453 466 471 473 482 490 497 501 516 519 521 543 546 563 565 567 570 587 588 590 591 593 595 601 602 606 609 610 612 619 621 623 632 633 634 639 652 670 679 682 692 703 717 724 725 731 733 743 752 759 761 772 777 793 799 803 805 816 819 823 827 831 840 844 851 854 857 862 867 870 887 896 903 908 915 916 932 934 937 950 961 964 980 981 991 996 998 1005 1009 1011 1018]\n# step=0 row=36 minW=168 found cw of W=166: [4 13 20 22 31 35 60 70 71 86 98 99 107 111 113 125 129 130 135 138 141 155 159 164 174 182 183 184 193 194 196 198 204 207 210 215 234 237 247 248 257 262 272 275 278 283 293 297 304 310 312 321 322 324 327 332 333 360 375 387 389 412 416 420 429 433 438 444 445 449 450 453 470 471 482 485 490 497 522 525 543 546 552 560 563 567 580 582 592 599 609 610 611 621 632 634 635 638 639 640 641 646 648 657 674 679 685 696 703 709 717 728 731 732 733 737 741 743 761 762 763 769 775 780 783 790 794 799 807 815 820 831 835 840 843 844 853 854 860 862 867 877 887 894 903 904 908 915 917 918 932 934 947 950 951 961 963 970 973 985 991 998 1005 1011 1014 1020]\n# step=0 row=44 minW=166 found cw of W=162: [11 13 33 40 53 54 59 65 70 72 74 75 91 96 101 103 111 115 117 125 128 137 138 140 147 151 161 165 166 177 182 186 188 192 196 215 224 227 230 238 255 256 257 270 272 289 290 298 310 312 313 315 321 323 326 330 333 360 365 379 396 411 412 416 426 436 442 444 445 449 451 453 460 466 471 473 490 494 503 516 519 532 546 551 563 567 582 587 588 589 593 596 598 602 610 619 632 638 639 640 646 652 657 662 670 679 680 685 696 713 720 724 725 726 727 743 759 762 763 767 772 775 779 782 783 799 805 807 819 820 823 827 832 836 839 840 844 851 867 874 877 894 895 896 903 904 915 918 932 935 937 949 951 967 981 986 991 994 1009 1011 1017 1020]\n# step=0 row=302 minW=162 found cw of W=160: [4 13 22 26 29 30 35 47 48 53 58 70 86 96 103 107 113 121 124 125 129 130 133 135 138 140 146 151 153 165 166 175 177 184 188 192 196 206 208 219 221 223 227 230 237 247 256 272 275 278 287 290 297 299 304 310 322 323 326 327 330 333 356 357 372 375 388 403 426 430 433 441 442 443 450 451 461 465 466 483 485 490 501 503 516 519 521 525 535 538 552 565 582 591 592 595 596 598 600 609 611 612 621 634 635 639 640 641 646 648 659 679 680 696 709 713 717 721 726 728 743 759 762 767 775 777 779 783 790 793 803 807 827 831 849 853 854 862 867 870 881 887 894 895 896 903 916 932 947 949 950 961 963 967 980 986 994 998 1011 1014]\n# step=0 row=482 minW=160 found cw of W=158: [4 5 11 30 31 33 59 69 70 71 74 86 96 113 117 121 125 128 130 132 135 137 138 148 155 174 175 181 182 183 184 193 221 230 237 256 257 259 270 271 272 278 287 290 294 296 297 298 299 304 316 317 323 324 327 350 360 365 372 379 385 387 389 401 403 412 420 430 432 437 441 443 447 449 450 460 461 466 490 503 519 521 522 530 535 540 543 546 567 587 589 590 591 593 595 596 606 619 623 632 634 638 639 640 641 659 670 677 679 691 713 720 725 732 733 737 739 743 750 763 767 775 780 790 793 799 805 807 816 835 843 854 864 867 887 894 896 903 908 910 917 932 937 961 964 970 981 985 991 994 996 997 998 1005 1009 1014 1017 1018]\n# step=1 row=193 minW=158 found cw of W=140: [4 10 24 27 36 40 46 47 52 56 63 66 71 85 98 99 102 106 112 114 120 121 123 133 142 144 145 149 154 159 161 175 192 196 200 208 215 221 231 246 251 254 262 268 273 287 292 294 301 309 310 316 327 329 332 333 336 339 346 347 349 350 364 366 368 383 386 387 400 419 425 428 431 433 449 460 470 482 487 488 489 491 492 496 506 508 509 511 529 542 553 572 585 587 620 628 629 637 640 649 653 659 664 671 681 683 685 688 701 702 704 717 719 728 734 751 753 758 778 780 783 790 805 807 810 818 821 826 834 837 876 894 900 910 914 951 955 957 963 968]\n# step=7 row=22 minW=140 found cw of W=44: [32 37 38 42 48 50 57 60 194 195 198 199 205 209 210 332 334 335 337 338 344 346 354 355 357 484 486 495 498 499 501 502 508 509 635 636 642 646 648 650 651 652 654 658]\n# step=7 row=29 minW=44 found cw of W=36: [32 48 49 50 59 60 181 195 198 199 203 205 207 208 209 210 332 333 335 349 355 358 481 483 486 495 498 499 501 507 635 636 648 650 651 653]\n# step=7 row=176 minW=36 found cw of W=34: [32 33 38 44 52 57 60 181 191 194 207 210 332 333 334 338 341 354 455 481 483 484 499 504 515 545 575 633 635 649 652 755 869 949]\n# step=29 row=409 minW=34 found cw of W=24: [128 137 139 142 145 148 276 284 285 286 287 293 426 428 434 448 586 588 589 592 735 738 743 745]\n# step=41 row=360 minW=24 found cw of W=18: [39 40 49 52 188 199 338 355 490 503 504 506 639 652 653 654 655 656]\n# step=258 row=157 minW=18 found cw of W=16: [2 15 17 29 165 166 180 301 304 452 467 480 601 604 616 629]\n#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</si>
  <si>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minW=1055 found cw of W=210: [1 2 10 15 16 17 18 23 28 30 38 44 48 57 63 66 69 71 77 88 93 96 98 104 105 115 120 127 130 131 137 145 151 154 169 170 172 188 189 190 192 195 204 206 214 221 225 231 234 243 246 250 251 252 258 271 272 274 276 277 288 291 294 295 313 315 321 332 337 348 355 356 367 369 370 374 375 379 381 383 389 395 396 404 408 409 410 412 414 418 419 422 424 425 426 428 431 438 441 449 460 468 489 491 495 499 503 510 514 515 520 521 523 529 534 540 547 555 557 573 580 587 588 593 598 599 601 603 604 606 612 618 621 622 623 624 625 628 629 633 644 645 649 650 658 663 667 671 677 678 679 681 685 697 698 711 713 716 717 720 728 737 753 761 764 773 790 793 796 811 812 813 828 830 836 841 848 852 857 862 874 875 892 901 909 911 912 921 928 930 939 943 963 973 975 977 1001 1002 1011 1024 1027 1031 1032 1035 1038 1041 1047 1048 1053 1054]\n# step=0 row=4 minW=210 found cw of W=198: [3 8 23 25 28 29 33 39 55 57 66 67 75 76 77 79 88 91 97 115 118 119 120 127 131 132 143 145 146 154 155 156 162 164 170 171 180 187 188 191 194 195 202 206 216 231 249 250 252 260 269 278 285 293 295 303 304 325 327 329 340 341 344 347 348 349 352 353 355 361 367 370 372 385 390 393 396 404 408 412 414 415 419 420 425 431 432 436 445 448 449 453 455 456 460 461 466 468 469 485 486 488 489 500 510 514 515 516 520 521 534 538 553 562 566 568 569 573 580 585 593 599 604 606 607 611 621 622 626 628 631 644 645 653 656 657 663 665 667 675 702 711 713 716 717 720 724 730 740 741 750 754 755 763 769 792 797 798 801 804 806 811 812 836 841 843 847 850 854 857 872 875 894 901 912 914 921 923 928 932 956 964 973 981 1017 1019 1020 1025 1028 1030 1032 1035 1038 1041 1046 1047 1051 1053]\n# step=0 row=5 minW=198 found cw of W=190: [9 13 14 15 18 23 25 28 37 38 44 48 53 63 65 67 71 74 75 77 91 92 94 95 96 98 102 107 124 127 132 143 145 146 154 155 171 172 174 189 192 196 202 203 221 225 228 231 249 250 256 291 293 294 295 303 306 315 320 321 324 325 327 332 335 339 340 344 355 356 363 365 374 376 381 389 390 391 393 396 402 412 415 417 420 422 426 432 436 444 448 450 453 461 463 468 469 475 485 486 488 489 491 499 503 513 520 540 541 547 553 555 568 572 580 587 593 598 601 603 608 610 621 622 625 628 633 636 640 644 645 646 653 658 667 671 684 697 702 711 719 726 737 740 754 755 763 771 772 792 795 804 811 813 828 830 843 850 852 867 874 875 888 900 901 909 911 943 949 954 956 963 964 973 977 981 988 1019 1020 1021 1023 1024 1025 1027 1028 1030 1032 1041 1047 1053]\n# step=0 row=11 minW=190 found cw of W=184: [5 14 16 22 29 33 37 39 44 48 55 63 67 73 74 76 77 88 91 92 93 95 96 98 104 105 115 118 124 132 137 143 145 149 155 163 164 170 172 174 180 187 189 194 195 202 230 246 250 251 258 271 272 274 277 278 285 288 313 315 325 339 340 344 347 353 355 360 375 385 390 393 396 402 408 417 420 424 428 431 438 444 446 449 450 460 463 465 468 469 489 494 495 499 503 510 515 516 519 520 523 531 547 553 557 562 568 580 587 592 593 604 606 607 608 611 612 622 623 631 640 645 650 658 667 671 678 680 698 700 702 711 713 715 720 724 726 728 738 740 750 753 765 769 772 792 793 797 801 806 812 813 816 820 828 836 843 847 849 850 854 865 872 889 892 906 914 917 921 932 943 975 1002 1011 1020 1030 1031 1033 1035 1045 1048 1051 1053 1054]\n# step=0 row=28 minW=184 found cw of W=172: [1 13 14 18 23 48 50 55 57 63 65 67 69 73 75 79 88 91 92 96 97 98 104 115 119 127 131 132 145 146 151 154 162 163 171 180 188 189 190 191 202 203 214 216 225 246 250 251 252 258 260 274 278 285 288 291 313 315 324 325 344 355 356 361 365 367 370 374 376 383 389 390 393 395 410 415 419 422 424 431 432 453 455 465 468 469 485 489 495 499 500 513 514 515 521 523 531 534 538 540 551 555 562 566 573 593 599 601 603 612 625 628 631 636 645 646 650 658 662 667 671 677 685 702 711 713 715 717 726 730 740 741 753 763 765 769 772 797 801 804 811 813 828 836 843 845 848 862 874 875 888 892 894 901 906 909 912 923 943 964 1001 1011 1020 1021 1027 1030 1031 1035 1038 1041 1051 1053]\n# step=0 row=403 minW=172 found cw of W=168: [5 13 18 23 28 37 44 55 66 73 79 92 93 94 103 118 119 120 124 131 137 145 149 151 154 156 169 171 174 188 190 194 196 202 206 216 224 231 246 251 252 258 264 272 274 276 291 294 295 303 304 306 323 324 335 339 344 347 349 357 361 363 374 376 383 385 389 391 393 404 409 410 414 415 417 418 420 436 438 441 445 446 449 450 453 460 465 466 485 489 494 499 520 523 528 531 534 551 562 573 587 592 598 599 607 608 610 611 622 625 628 640 644 649 658 662 663 675 700 713 716 720 724 730 738 739 740 750 751 754 761 765 773 795 797 804 811 812 813 830 847 848 849 850 852 862 865 867 872 889 901 906 920 923 928 938 943 963 982 1001 1017 1019 1021 1023 1024 1032 1041 1051]\n# step=2 row=213 minW=168 found cw of W=164: [4 6 9 13 17 20 28 34 40 53 55 58 61 70 80 90 92 95 107 108 114 119 133 142 158 165 167 175 178 181 195 199 204 223 225 227 230 246 249 253 256 261 266 305 311 338 339 349 350 360 362 367 376 382 384 390 393 394 396 407 413 414 419 423 428 437 447 450 460 467 473 476 477 480 496 500 501 502 516 522 523 530 531 534 539 550 560 568 569 580 586 609 613 618 626 638 647 650 651 652 660 664 665 674 684 685 691 694 697 702 703 706 708 713 719 721 726 733 735 741 743 744 760 762 764 777 779 794 797 801 809 818 826 831 839 850 854 859 864 867 875 882 899 922 941 949 961 966 978 984 987 988 989 991 992 996 1004 1011 1021 1023 1032 1043 1045 1053]\n# step=3 row=42 minW=164 found cw of W=160: [6 7 9 14 20 22 41 43 53 61 65 66 68 71 72 76 78 88 101 103 105 106 113 119 120 121 122 125 129 142 144 150 153 175 178 185 190 199 203 207 214 215 222 225 232 243 247 252 253 256 257 259 262 272 274 275 279 297 300 306 315 321 330 335 336 344 358 359 366 367 369 370 373 394 396 408 410 415 424 426 433 436 441 442 444 481 482 485 488 491 494 496 498 508 510 513 528 554 558 570 573 598 604 605 613 614 629 632 633 639 642 654 656 663 664 668 671 677 705 720 730 738 740 743 755 773 790 797 810 814 817 821 836 840 845 853 854 862 863 866 880 881 888 894 902 904 908 910 919 931 950 955 956 957 989 996 999 1008 1016 1027]\n# step=6 row=379 minW=160 found cw of W=156: [3 11 25 28 34 39 44 59 62 74 83 85 90 92 98 109 124 132 139 149 151 158 165 172 178 189 199 213 222 233 235 236 237 243 245 246 250 251 261 268 270 275 276 277 281 283 284 285 286 297 312 314 337 341 355 358 374 383 392 399 408 418 426 435 436 446 453 457 458 460 462 463 469 483 489 529 534 538 545 548 549 553 556 559 565 570 574 579 587 598 607 610 614 619 624 641 646 656 663 666 667 671 675 676 682 686 691 692 693 697 700 703 705 710 718 727 736 742 746 748 755 760 771 773 787 795 797 805 811 816 820 823 832 836 839 840 851 863 881 882 916 948 954 957 970 980 985 995 1003 1005 1015 1026 1036 1045 1051 1054]\n# step=6 row=410 minW=156 found cw of W=150: [3 11 25 28 34 39 44 59 62 74 83 85 90 92 98 109 124 132 139 149 151 158 165 172 178 189 199 213 222 233 235 236 237 243 245 246 250 251 261 268 270 275 276 277 281 283 284 285 286 297 312 314 337 341 355 358 374 383 392 399 408 418 426 435 436 446 453 457 458 460 462 463 469 483 489 529 534 538 545 548 549 553 556 559 565 570 574 579 587 598 607 610 614 619 624 641 656 663 666 667 671 675 682 686 691 692 693 697 700 703 710 718 727 732 736 742 746 748 760 771 773 795 797 805 811 816 820 823 832 836 839 840 851 863 881 916 948 954 957 970 980 995 1003 1005 1015 1026 1036 1045 1051 1054]\n# step=11 row=291 minW=150 found cw of W=146: [2 4 20 22 27 33 41 42 47 48 49 68 73 74 85 102 103 104 109 118 121 132 151 177 207 209 211 216 223 229 233 242 246 251 256 258 259 270 274 283 302 304 308 329 344 345 353 354 361 364 368 369 377 379 380 394 400 406 417 428 430 433 438 444 453 454 462 472 491 500 502 504 513 522 526 541 542 545 550 553 557 564 576 589 602 610 613 620 621 632 637 649 650 654 657 659 665 686 687 688 690 696 697 700 710 714 715 721 722 729 735 751 758 761 770 773 783 787 788 791 797 807 816 818 822 826 843 845 848 855 858 864 877 878 900 903 921 931 943 949 979 1014 1021 1027 1033 1041]\n# step=18 row=143 minW=146 found cw of W=140: [6 7 8 13 18 19 25 34 36 54 56 77 81 87 93 94 95 106 110 117 120 130 134 145 162 169 190 193 198 200 202 204 208 219 237 243 250 256 266 274 281 282 286 293 304 306 307 315 317 319 325 327 332 334 350 353 362 367 369 372 378 384 391 436 458 460 463 473 477 496 498 503 517 525 542 547 554 582 584 586 594 597 604 605 619 630 639 645 653 660 661 664 671 672 675 678 680 688 693 710 718 728 730 733 734 738 742 746 752 761 764 768 787 789 804 815 821 838 840 845 852 857 873 892 896 898 899 933 942 945 949 952 963 975 981 986 991 995 1039 1046]\n# step=39 row=245 minW=140 found cw of W=32: [127 129 146 149 152 282 288 289 293 296 304 307 438 440 446 447 449 465 592 593 605 608 610 745 751 752 754 758 764 765 767 769]\n# step=41 row=397 minW=32 found cw of W=28: [64 67 68 73 86 88 93 225 232 247 248 380 381 385 398 399 401 529 543 544 546 549 556 690 697 700 704 710]\n# step=134 row=266 minW=28 found cw of W=20: [145 155 294 296 301 302 438 439 447 465 590 600 612 613 616 750 752 753 759 767]\n#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</si>
  <si>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minW=1429 found cw of W=270: [1 2 14 27 28 30 31 56 66 69 75 77 79 84 93 94 95 100 105 106 107 109 111 117 121 122 124 125 156 160 175 180 181 190 192 195 199 210 211 217 218 221 222 223 226 232 233 235 251 261 264 271 281 287 291 292 299 321 325 333 339 342 346 348 351 355 361 366 367 369 379 380 385 392 397 400 401 404 414 433 434 435 442 449 458 460 467 468 470 475 482 489 503 504 512 513 515 517 534 537 550 554 562 567 572 586 590 594 598 601 604 605 612 621 623 624 636 641 651 657 664 665 666 668 670 682 685 686 691 695 709 724 728 740 741 745 746 750 751 753 754 759 764 775 786 787 789 791 792 796 798 799 800 801 810 811 812 814 817 829 833 834 840 847 848 850 852 856 865 869 878 885 891 904 906 908 911 914 917 921 922 927 929 930 937 946 949 951 956 970 974 976 980 982 983 989 991 996 1000 1001 1004 1010 1016 1021 1022 1035 1043 1045 1046 1048 1053 1056 1058 1065 1073 1076 1085 1086 1088 1091 1094 1113 1118 1120 1137 1142 1144 1164 1165 1168 1179 1189 1197 1198 1201 1203 1213 1218 1221 1223 1231 1234 1243 1244 1256 1258 1264 1275 1276 1278 1279 1282 1305 1322 1324 1326 1327 1329 1334 1343 1357 1360 1362 1369 1371 1376 1383 1392 1407 1411]\n# step=0 row=4 minW=270 found cw of W=252: [2 6 16 19 30 56 58 71 77 82 83 84 90 92 94 95 111 112 116 122 125 134 136 139 142 152 156 158 160 175 176 180 181 182 185 190 195 199 204 207 210 211 221 222 223 226 230 231 232 233 251 261 262 264 281 286 287 316 325 328 338 345 348 351 355 361 366 367 369 378 379 380 384 385 389 394 400 401 407 408 414 421 434 435 456 458 460 461 470 472 478 489 491 510 513 514 517 525 534 537 542 545 548 554 555 557 562 567 569 572 590 594 601 612 615 619 621 624 625 643 647 653 654 679 686 697 698 699 711 719 724 728 737 741 747 754 759 761 764 775 780 787 789 791 794 798 809 810 812 814 818 822 823 829 834 837 840 850 852 854 859 862 869 885 887 891 897 904 911 914 917 921 924 927 930 937 947 952 955 956 965 970 973 976 979 980 983 986 991 1001 1004 1016 1021 1022 1023 1035 1053 1061 1065 1073 1091 1094 1105 1109 1113 1121 1132 1133 1137 1140 1144 1147 1154 1157 1158 1164 1170 1172 1182 1184 1186 1190 1203 1205 1209 1218 1221 1248 1258 1261 1266 1274 1276 1278 1281 1282 1288 1292 1305 1312 1322 1324 1329 1343 1359 1383 1391 1393 1404 1407 1413 1415]\n# step=0 row=27 minW=252 found cw of W=246: [11 14 16 27 28 30 31 41 46 53 54 69 75 84 93 95 100 105 106 107 116 117 121 122 124 125 134 138 139 152 158 169 175 176 180 181 184 185 192 204 207 217 218 221 223 226 231 232 233 235 251 259 260 261 281 286 292 305 316 328 333 339 345 346 351 355 356 369 379 380 384 385 396 397 398 402 406 407 408 429 433 435 442 443 449 454 456 458 460 467 470 472 474 475 489 503 504 512 513 515 529 534 535 537 542 550 554 557 569 572 597 604 609 615 616 619 621 623 624 625 637 641 643 647 653 654 657 664 665 666 668 682 685 686 697 711 724 728 741 746 747 751 763 772 780 786 787 789 798 800 804 810 811 815 819 833 837 839 852 853 854 865 869 878 885 886 892 893 897 904 908 911 914 921 927 930 949 951 955 974 976 979 980 982 985 986 996 1000 1016 1026 1033 1035 1043 1046 1048 1053 1059 1061 1065 1085 1091 1105 1109 1113 1120 1132 1133 1137 1142 1146 1147 1157 1158 1164 1165 1172 1187 1189 1197 1198 1218 1223 1231 1234 1261 1279 1281 1292 1293 1307 1313 1322 1324 1329 1343 1356 1362 1369 1371 1383 1391 1392 1405 1407 1423 1428]\n# step=0 row=28 minW=246 found cw of W=242: [7 9 17 27 28 31 42 46 56 58 66 69 75 77 84 93 94 96 103 106 108 115 116 117 125 135 139 140 142 146 156 163 184 192 198 217 223 230 231 232 233 252 260 263 270 281 299 306 316 325 338 339 342 345 367 369 378 384 394 400 406 407 414 428 431 433 442 443 445 449 450 454 456 459 460 461 467 468 475 482 491 503 510 514 534 536 537 542 545 548 555 568 583 585 589 590 594 598 605 609 616 619 624 637 641 643 651 652 657 662 664 670 679 683 685 686 698 699 724 729 746 754 761 764 780 781 789 798 800 801 804 811 812 815 818 819 821 822 823 829 833 847 853 858 871 878 885 886 891 893 897 898 900 904 906 914 917 930 943 947 948 970 974 979 982 985 995 1000 1004 1010 1016 1021 1022 1026 1035 1043 1045 1046 1048 1053 1056 1058 1059 1072 1073 1075 1088 1091 1098 1105 1109 1120 1121 1124 1131 1137 1147 1152 1154 1157 1164 1170 1182 1189 1198 1209 1215 1218 1223 1234 1235 1257 1261 1264 1269 1275 1278 1292 1293 1305 1312 1313 1319 1322 1326 1327 1329 1333 1356 1357 1360 1370 1391 1392 1400 1404 1405 1411 1415 1417 1423 1428]\n# step=0 row=76 minW=242 found cw of W=236: [2 16 17 27 53 54 56 58 74 75 84 90 93 94 96 105 106 107 108 124 125 130 132 139 140 146 149 152 156 158 163 169 181 182 185 210 217 222 223 241 251 258 259 261 262 264 265 271 281 288 292 299 302 306 310 321 324 328 337 344 346 348 350 357 378 392 394 414 418 428 440 445 449 450 454 456 470 474 475 489 491 504 510 512 514 517 527 529 536 540 562 567 568 572 583 585 586 604 609 636 637 647 651 652 654 657 662 664 666 679 691 693 695 697 699 703 728 745 753 761 763 764 768 772 775 780 781 786 787 792 794 804 809 811 812 817 818 819 821 829 834 840 854 856 865 886 891 892 893 897 904 914 917 922 927 930 947 948 951 955 956 970 973 974 976 979 986 996 1000 1004 1010 1016 1035 1043 1046 1056 1058 1071 1072 1073 1080 1086 1094 1102 1120 1124 1133 1144 1146 1147 1148 1154 1157 1158 1162 1163 1165 1170 1179 1180 1189 1190 1197 1206 1215 1223 1231 1234 1235 1244 1249 1257 1274 1276 1278 1279 1281 1292 1293 1305 1307 1319 1327 1333 1357 1379 1382 1383 1384 1392 1404 1407 1413 1415 1417 1423]\n# step=0 row=490 minW=236 found cw of W=234: [7 14 19 28 30 33 46 54 58 74 77 79 83 93 95 103 105 109 115 124 130 134 138 140 143 146 152 156 168 176 184 185 192 204 210 217 221 223 231 232 251 258 261 281 286 291 299 302 310 316 324 325 328 338 339 342 344 350 351 355 366 369 389 392 394 396 401 402 404 408 414 428 433 435 440 443 456 459 460 472 474 475 478 482 503 504 515 525 535 540 542 545 548 554 562 563 578 590 597 598 604 605 609 615 621 625 632 636 637 641 652 654 664 665 668 682 685 695 697 703 709 719 729 740 746 749 751 754 763 764 772 775 781 789 792 796 804 814 819 823 829 833 839 840 847 854 859 865 869 871 873 886 891 904 911 914 917 921 929 930 937 943 946 947 955 970 973 974 986 989 1001 1004 1010 1021 1023 1043 1045 1046 1056 1058 1065 1073 1075 1076 1080 1085 1086 1088 1094 1098 1113 1118 1131 1132 1133 1140 1154 1158 1162 1163 1165 1168 1179 1187 1197 1198 1201 1213 1221 1223 1231 1234 1235 1243 1249 1264 1273 1274 1277 1279 1322 1324 1333 1334 1370 1376 1379 1383 1391 1400 1404 1413 1417 1423]\n# step=0 row=557 minW=234 found cw of W=230: [11 14 16 28 46 53 54 66 69 74 83 90 95 96 103 115 121 124 125 130 135 142 149 152 156 176 184 190 192 207 210 217 218 221 223 230 231 241 258 260 264 265 276 281 286 288 302 306 317 325 333 337 342 345 348 356 357 361 375 378 380 389 392 394 398 400 406 418 428 429 431 433 442 445 454 458 460 475 482 491 493 503 504 515 525 529 535 536 540 545 550 554 555 562 568 572 585 589 594 597 598 605 609 615 616 621 623 636 641 651 653 654 662 664 665 666 668 682 686 693 697 698 699 703 719 728 745 746 747 751 754 789 792 798 799 800 809 812 815 817 818 821 822 823 829 834 837 839 840 847 850 852 854 856 858 868 869 871 878 891 893 897 908 917 924 943 949 955 985 996 999 1010 1016 1023 1033 1048 1056 1058 1059 1071 1072 1073 1075 1085 1086 1102 1113 1121 1124 1130 1132 1142 1146 1152 1154 1158 1180 1182 1187 1205 1209 1214 1215 1218 1231 1248 1256 1257 1258 1261 1276 1278 1287 1288 1305 1312 1324 1326 1333 1356 1360 1362 1369 1370 1371 1384 1392 1400 1405 1415]\n# step=2 row=456 minW=230 found cw of W=220: [3 11 16 18 19 27 35 40 44 45 55 62 65 70 75 93 122 135 145 147 157 165 172 177 179 180 184 189 199 213 217 222 225 229 239 258 261 269 274 275 282 291 297 307 308 324 330 339 356 357 359 365 375 382 387 389 394 400 407 413 441 442 444 447 449 452 455 475 476 482 483 488 505 506 513 517 540 541 550 561 569 571 575 578 583 590 597 604 617 618 625 634 641 644 648 659 675 676 679 686 690 694 697 705 711 716 717 720 734 752 753 759 760 761 770 775 776 784 800 810 814 818 826 836 847 849 852 855 856 862 864 872 880 884 886 889 898 903 905 910 912 919 925 932 940 941 944 955 963 965 971 981 997 1000 1001 1006 1015 1019 1028 1030 1046 1059 1087 1115 1116 1129 1138 1148 1155 1157 1158 1163 1178 1185 1187 1188 1191 1201 1205 1207 1212 1213 1241 1252 1256 1262 1264 1270 1275 1276 1279 1281 1300 1305 1313 1318 1319 1337 1339 1344 1345 1347 1349 1353 1354 1363 1369 1372 1379 1383 1384 1386 1393 1399 1401 1403 1414 1419 1422 1428]\n# step=3 row=706 minW=220 found cw of W=218: [4 5 9 12 21 26 31 39 55 64 74 77 79 87 92 104 105 117 120 124 128 131 133 134 137 142 161 162 171 194 195 196 201 210 213 217 218 219 233 251 252 264 267 268 274 276 285 287 291 295 304 314 331 334 341 345 351 366 374 377 394 396 406 413 415 428 432 438 451 462 467 473 478 479 493 494 497 505 506 515 530 534 537 540 542 550 553 556 557 561 570 573 575 581 586 588 592 598 600 603 605 613 620 627 628 633 634 635 657 659 660 667 674 675 684 687 693 716 731 741 745 752 762 766 768 770 773 778 782 785 791 793 797 798 821 827 830 834 847 859 866 879 881 884 885 887 894 897 907 915 927 942 945 947 955 968 970 972 982 987 992 1000 1001 1004 1012 1020 1024 1033 1043 1047 1067 1077 1087 1095 1103 1109 1110 1113 1122 1125 1137 1145 1153 1157 1163 1167 1181 1187 1195 1213 1223 1229 1232 1243 1245 1266 1281 1286 1291 1296 1311 1316 1318 1320 1329 1337 1342 1344 1345 1350 1351 1359 1375 1377 1400 1409 1418 1422]\n# step=7 row=756 minW=218 found cw of W=216: [2 13 18 24 29 30 33 47 51 56 59 62 71 75 77 78 79 90 94 105 111 112 121 129 132 134 165 174 177 179 184 199 207 211 214 216 227 233 253 257 267 274 281 293 296 313 323 326 328 339 341 344 348 351 353 357 363 368 374 375 379 385 389 391 394 399 433 434 436 443 446 452 460 464 466 468 469 477 479 480 483 484 495 497 505 506 507 515 518 526 531 536 537 538 557 566 583 587 588 594 602 606 611 613 629 634 656 660 663 665 669 674 682 687 689 699 708 715 725 739 767 768 769 772 785 791 792 797 811 846 849 861 865 892 897 905 908 911 914 919 921 941 943 957 961 963 964 965 967 971 980 981 992 1003 1008 1014 1015 1017 1020 1051 1056 1059 1064 1067 1071 1082 1089 1097 1098 1121 1127 1136 1139 1150 1152 1158 1159 1174 1183 1187 1197 1212 1224 1231 1236 1243 1257 1260 1265 1269 1270 1271 1272 1280 1284 1285 1295 1307 1316 1323 1335 1341 1348 1351 1363 1374 1377 1379 1383 1388 1393 1408 1417 1419 1424 1427]\n# step=22 row=65 minW=216 found cw of W=210: [10 28 29 38 39 41 46 56 64 66 75 90 92 97 98 105 108 117 119 121 122 124 126 127 128 136 144 146 150 158 175 177 178 185 186 189 190 200 230 232 268 273 274 280 284 285 289 299 304 333 339 342 348 375 388 399 418 426 439 444 445 450 454 464 466 469 471 473 477 482 513 535 539 543 551 563 577 586 587 602 609 611 623 624 633 640 645 651 652 659 660 661 662 669 674 681 683 684 685 688 700 701 703 706 712 713 714 716 720 721 723 725 733 739 746 757 807 809 812 816 819 820 825 830 831 832 843 850 865 866 867 876 880 887 889 891 893 903 912 916 918 919 926 928 929 931 934 937 943 949 957 966 984 986 987 1005 1009 1015 1026 1032 1044 1061 1074 1081 1082 1088 1090 1091 1098 1103 1107 1111 1112 1113 1118 1144 1161 1162 1168 1170 1182 1192 1196 1204 1208 1216 1217 1223 1228 1230 1232 1233 1255 1257 1258 1265 1276 1279 1280 1289 1290 1293 1299 1320 1342 1348 1351 1355 1364 1377]\n# step=22 row=445 minW=210 found cw of W=204: [10 16 20 28 29 39 41 46 56 59 65 66 82 92 97 109 116 119 124 127 129 142 143 155 163 170 173 177 190 198 202 216 221 233 234 237 238 248 255 258 266 269 274 280 281 286 287 289 296 300 304 333 339 346 362 365 375 377 389 399 418 425 439 443 451 457 458 461 466 469 473 474 481 499 504 510 513 514 515 563 572 574 586 587 590 593 609 611 617 624 633 648 649 655 657 659 662 667 669 675 681 683 693 700 703 706 707 712 718 723 731 738 746 749 762 764 776 780 784 799 807 812 814 815 816 820 829 832 843 845 846 855 856 858 876 880 887 889 903 905 911 916 918 924 926 929 935 937 942 949 960 961 968 974 976 981 986 987 1002 1005 1009 1022 1026 1032 1037 1038 1045 1047 1074 1081 1086 1090 1096 1103 1107 1117 1138 1144 1154 1166 1182 1202 1204 1216 1228 1230 1242 1253 1258 1276 1277 1280 1287 1299 1332 1342 1351 1362 1366 1369 1377 1380 1383 1416]\n# step=36 row=551 minW=204 found cw of W=202: [41 42 46 53 61 67 74 80 97 102 110 112 114 116 119 129 134 149 150 151 155 163 175 181 202 221 228 236 237 239 255 270 277 284 291 298 300 311 330 332 341 345 348 363 369 385 390 392 403 405 428 432 440 444 450 466 472 473 476 481 482 483 499 500 507 508 509 519 527 529 536 539 552 563 578 580 583 584 586 588 593 611 620 625 641 643 646 654 656 662 665 674 679 680 682 688 690 694 699 709 718 719 727 729 731 733 740 744 756 762 765 774 775 780 787 788 796 797 801 803 814 822 825 828 832 841 869 870 872 881 882 884 888 896 905 918 919 921 924 940 944 951 959 960 962 971 983 984 996 1004 1007 1011 1021 1022 1027 1034 1040 1058 1066 1069 1073 1075 1077 1092 1104 1105 1117 1134 1135 1152 1153 1154 1157 1169 1178 1194 1201 1202 1203 1206 1233 1240 1250 1255 1279 1284 1286 1289 1302 1307 1317 1336 1338 1347 1360 1366 1383 1388 1395 1399 1407 1427]\n# step=205 row=127 minW=202 found cw of W=200: [5 7 16 18 23 29 31 41 48 53 55 57 59 63 71 75 77 79 80 85 98 111 113 117 138 140 142 145 160 174 189 191 192 203 213 217 219 227 237 238 241 242 257 261 265 266 267 271 276 280 287 291 292 297 302 304 331 334 342 343 346 349 358 384 390 392 401 403 406 421 422 423 426 444 449 452 461 468 469 502 504 505 527 538 543 551 554 556 559 562 568 605 607 612 613 618 625 629 642 646 654 655 658 671 680 681 686 689 697 709 711 712 732 739 741 743 752 756 762 775 781 785 788 794 801 812 819 823 833 839 841 846 849 859 862 867 868 873 887 902 911 917 920 924 928 949 952 956 964 966 978 989 991 994 996 1001 1019 1025 1041 1046 1064 1078 1083 1088 1094 1106 1109 1117 1133 1139 1146 1152 1153 1156 1157 1172 1181 1194 1196 1205 1214 1217 1219 1238 1241 1243 1261 1266 1283 1291 1314 1327 1333 1341 1357 1364 1372 1380 1409 1414]\n# step=208 row=323 minW=200 found cw of W=44: [8 44 85 138 145 161 163 188 225 269 336 342 343 348 378 400 554 556 571 578 583 587 588 760 762 764 766 767 781 782 786 791 970 973 977 985 996 998 1100 1149 1226 1281 1352 1399]\n# step=544 row=240 minW=44 found cw of W=30: [174 183 187 190 195 207 386 387 391 400 407 417 648 690 732 774 804 806 811 817 824 1017 1023 1026 1034 1035 1037 1068 1203 1309]\n# round=1000 of 10000 minW=30\n# step=1720 row=265 minW=30 found cw of W=28: [55 62 67 81 253 279 282 294 466 475 480 482 486 487 504 673 674 676 678 694 696 702 884 888 900 904 909 921]\n# round=2000 of 10000 minW=28\n# step=2773 row=139 minW=28 found cw of W=26: [6 8 10 28 31 214 220 240 243 252 421 426 428 441 453 634 639 651 657 661 841 849 867 868 870 882]\n# round=3000 of 10000 minW=26\n# round=4000 of 10000 minW=26\n# round=5000 of 10000 minW=26\n# round=6000 of 10000 minW=26\n# round=7000 of 10000 minW=26\n# round=8000 of 10000 minW=26\n# round=9000 of 10000 minW=26\n# step=9658 row=301 minW=26 found cw of W=24: [131 132 148 342 344 346 352 355 358 377 551 553 556 587 764 767 772 775 784 788 973 977 994 998]\n# round=10000 of 10000 minW=24\nRW algorithm upper bound for the distance d=24\n</t>
  </si>
  <si>
    <t># step=0 row=0 minW=1769 found cw of W=340: [2 3 4 5 7 8 10 12 20 30 34 37 42 43 46 47 53 57 63 65 83 89 91 93 98 99 103 106 142 149 153 154 161 167 173 174 177 180 183 187 194 199 211 218 240 243 246 252 253 254 257 260 265 266 271 273 274 277 278 283 284 288 291 295 298 308 312 318 324 327 333 340 344 345 347 349 350 358 359 364 368 371 373 384 392 402 403 405 411 418 419 422 432 435 436 440 442 450 462 463 464 470 481 482 492 503 505 517 519 523 527 535 541 551 557 563 568 569 573 577 578 585 590 591 593 594 603 612 614 619 623 624 630 631 632 641 642 643 644 645 661 662 665 670 671 678 686 687 691 692 699 702 704 710 727 732 739 745 749 752 754 759 764 766 776 780 781 786 789 802 806 809 812 813 815 820 829 830 838 844 850 873 876 878 883 887 896 898 913 918 920 923 925 934 938 940 942 946 950 952 955 961 967 991 992 998 1007 1012 1020 1022 1025 1026 1030 1033 1047 1059 1073 1078 1082 1086 1087 1089 1092 1094 1099 1101 1102 1104 1106 1109 1122 1124 1128 1129 1139 1153 1155 1162 1170 1175 1178 1179 1182 1188 1199 1207 1210 1213 1215 1236 1238 1239 1250 1251 1260 1261 1265 1270 1272 1303 1306 1308 1311 1320 1321 1326 1328 1329 1330 1338 1343 1347 1350 1351 1366 1369 1390 1393 1398 1399 1412 1414 1427 1434 1443 1450 1452 1453 1455 1456 1463 1464 1469 1473 1479 1482 1485 1486 1488 1514 1525 1539 1542 1543 1551 1556 1560 1574 1581 1582 1585 1589 1600 1615 1624 1637 1639 1640 1647 1650 1656 1662 1682 1686 1689 1701 1704 1707 1708 1724 1729 1736 1741 1747 1750 1755 1757 1761 1764 1767]\n# step=0 row=1 minW=340 found cw of W=334: [3 6 8 11 12 16 20 30 34 39 42 43 46 47 63 65 66 68 75 78 89 91 99 102 103 116 117 120 130 142 149 153 154 155 166 167 171 177 182 184 187 194 197 209 226 227 252 253 265 267 268 274 277 279 283 284 290 291 303 304 308 312 313 318 319 327 331 340 347 358 364 368 371 373 388 389 392 396 398 411 418 422 424 432 435 439 440 447 450 455 458 466 470 471 488 495 500 502 505 516 517 523 535 541 544 549 551 553 557 559 570 573 598 603 607 614 619 621 624 627 631 640 642 644 661 671 674 678 686 692 699 700 702 706 716 720 721 723 728 739 754 755 759 766 768 776 793 795 798 806 809 810 817 820 827 829 830 831 834 837 838 847 850 862 865 881 882 883 887 893 896 898 913 918 920 929 933 936 938 943 961 963 976 978 988 991 992 994 1005 1007 1012 1015 1023 1026 1033 1050 1054 1059 1063 1066 1073 1074 1078 1089 1092 1094 1099 1101 1102 1106 1107 1108 1118 1122 1129 1140 1144 1156 1166 1167 1175 1179 1182 1199 1204 1207 1210 1219 1226 1231 1238 1239 1244 1256 1265 1270 1272 1290 1296 1298 1301 1303 1306 1308 1320 1321 1326 1330 1335 1338 1340 1341 1343 1347 1348 1351 1359 1369 1380 1381 1386 1390 1396 1398 1400 1404 1412 1413 1418 1429 1434 1436 1441 1443 1450 1452 1453 1455 1469 1470 1472 1473 1474 1477 1478 1479 1482 1485 1486 1487 1488 1504 1512 1514 1518 1519 1542 1543 1548 1553 1554 1560 1569 1578 1588 1594 1598 1609 1615 1623 1624 1646 1647 1650 1659 1682 1688 1689 1690 1691 1697 1698 1701 1704 1708 1718 1723 1724 1739 1741 1743 1746 1747 1751]\n# step=0 row=8 minW=334 found cw of W=326: [1 2 3 7 10 12 13 16 20 21 27 30 34 35 36 39 46 49 57 63 65 68 75 78 83 85 91 99 106 111 115 117 118 122 142 146 149 152 153 161 170 171 175 179 181 183 187 194 199 209 226 238 245 252 257 258 260 268 273 274 279 283 290 291 294 297 298 303 304 308 331 333 334 345 347 359 361 364 370 371 373 381 384 385 387 388 402 418 432 435 439 440 441 446 450 458 464 468 470 471 481 482 491 495 500 524 527 528 533 541 544 548 563 569 573 579 591 593 594 603 619 621 626 630 632 640 645 661 665 666 667 671 678 687 689 691 692 695 699 700 702 704 706 710 711 716 720 745 749 752 756 759 764 768 769 781 786 798 802 809 812 813 814 815 825 829 830 834 839 841 847 855 862 865 867 873 878 881 882 883 893 896 898 912 923 925 933 934 936 942 946 950 952 961 964 979 987 992 998 1000 1005 1012 1013 1019 1021 1026 1037 1050 1054 1064 1071 1073 1086 1087 1089 1090 1094 1099 1101 1106 1108 1115 1128 1144 1153 1155 1156 1167 1175 1188 1207 1210 1213 1215 1244 1245 1247 1261 1265 1272 1277 1298 1299 1303 1308 1311 1315 1320 1321 1330 1340 1341 1343 1347 1348 1350 1355 1358 1359 1369 1380 1390 1393 1397 1398 1399 1403 1412 1418 1421 1451 1452 1455 1456 1469 1470 1471 1472 1473 1477 1486 1488 1492 1512 1514 1518 1525 1531 1544 1545 1548 1551 1553 1556 1561 1569 1578 1581 1582 1588 1596 1605 1606 1621 1623 1639 1650 1686 1689 1691 1698 1701 1707 1710 1716 1718 1722 1723 1739 1745 1746 1747 1751 1755 1757 1766]\n# step=0 row=13 minW=326 found cw of W=324: [1 5 7 10 11 12 20 26 35 36 37 43 46 47 57 63 68 69 85 91 93 99 103 115 120 122 123 127 130 142 147 155 167 170 175 179 182 184 187 194 199 213 218 227 240 241 245 249 252 265 266 271 277 278 279 284 297 308 324 331 334 339 340 344 345 349 350 354 358 361 364 368 371 373 384 385 396 398 403 405 411 418 424 432 434 436 440 446 451 458 462 491 502 516 519 527 535 541 548 577 579 582 585 593 598 601 603 612 624 630 631 632 643 645 647 662 667 670 674 678 680 686 687 691 692 695 699 700 702 720 723 727 732 736 745 749 759 764 766 770 773 780 786 793 798 812 813 814 825 827 831 839 840 841 847 850 862 865 867 873 880 881 882 887 898 911 922 923 929 933 934 943 961 964 967 979 992 994 1000 1001 1007 1015 1020 1021 1022 1025 1026 1028 1030 1047 1059 1066 1078 1082 1086 1087 1099 1102 1104 1118 1120 1121 1128 1132 1144 1162 1166 1167 1175 1178 1195 1204 1207 1208 1210 1231 1239 1245 1247 1251 1256 1265 1270 1271 1272 1277 1285 1290 1299 1301 1303 1306 1308 1316 1320 1321 1328 1329 1335 1336 1338 1343 1347 1350 1351 1355 1363 1366 1380 1381 1386 1393 1398 1399 1400 1404 1405 1429 1436 1443 1451 1452 1455 1456 1462 1463 1464 1469 1470 1474 1477 1486 1488 1492 1504 1509 1512 1514 1515 1518 1544 1553 1556 1569 1573 1574 1588 1594 1596 1600 1605 1621 1626 1639 1646 1647 1650 1656 1659 1662 1671 1680 1682 1686 1688 1691 1707 1710 1713 1716 1717 1718 1722 1723 1727 1729 1736 1741 1743 1746 1747 1751 1761 1767]\n# step=0 row=15 minW=324 found cw of W=304: [1 2 8 11 12 29 34 43 47 55 57 63 65 66 71 75 89 91 99 102 106 115 117 120 122 123 127 130 142 146 149 153 154 161 163 167 177 179 191 197 213 226 227 238 240 241 246 253 254 258 265 283 288 290 294 295 298 312 313 318 331 339 345 347 350 368 370 371 373 381 384 387 389 396 398 402 411 419 434 435 439 440 442 446 447 451 455 458 464 468 471 482 492 500 502 505 516 523 527 528 543 544 550 551 557 574 576 582 585 590 593 601 603 614 621 623 630 632 641 647 661 662 666 667 670 674 680 695 700 711 716 745 749 752 759 766 767 769 781 782 789 793 798 802 810 813 820 825 827 829 831 832 834 839 844 847 850 855 862 865 867 873 880 881 882 898 911 912 913 922 964 979 986 994 996 998 1000 1001 1005 1013 1030 1037 1054 1059 1064 1073 1078 1086 1090 1091 1102 1104 1106 1109 1118 1124 1128 1132 1139 1140 1144 1153 1155 1162 1170 1175 1178 1179 1182 1195 1204 1208 1210 1213 1219 1239 1245 1250 1256 1261 1272 1277 1290 1296 1298 1303 1308 1316 1320 1338 1340 1341 1348 1350 1351 1380 1386 1393 1399 1402 1403 1405 1418 1450 1451 1455 1462 1463 1467 1469 1471 1473 1478 1481 1485 1486 1487 1488 1492 1509 1514 1515 1518 1542 1543 1545 1553 1556 1573 1578 1582 1585 1588 1603 1605 1615 1621 1624 1650 1656 1662 1680 1682 1686 1688 1691 1701 1707 1710 1714 1716 1718 1722 1724 1727 1736 1739 1741 1743 1746 1750 1764 1766 1767]\n# step=0 row=50 minW=304 found cw of W=300: [3 8 10 20 27 30 37 39 46 47 49 88 89 99 102 118 120 122 123 127 130 146 147 149 152 161 163 166 175 180 182 184 187 199 200 209 227 240 243 245 249 252 253 257 258 260 266 267 271 273 279 283 284 295 303 304 318 327 334 345 347 354 358 361 370 373 382 384 385 388 392 396 398 402 403 426 435 436 439 441 442 447 450 455 466 471 488 495 500 503 504 505 512 519 527 535 541 549 551 559 563 576 577 579 582 585 598 601 619 623 630 632 642 643 644 645 647 661 670 671 674 678 687 691 700 706 710 728 736 739 745 749 754 764 770 776 780 786 789 793 795 802 810 825 830 831 838 844 850 855 865 867 873 876 878 880 887 898 911 920 923 925 934 943 955 976 979 991 994 1000 1001 1007 1012 1021 1023 1025 1026 1033 1040 1047 1050 1054 1059 1066 1071 1092 1099 1101 1102 1106 1109 1115 1118 1124 1128 1132 1139 1151 1153 1162 1167 1178 1179 1180 1182 1188 1199 1214 1219 1236 1244 1245 1247 1251 1270 1271 1272 1279 1290 1298 1308 1316 1320 1326 1328 1329 1330 1335 1338 1341 1343 1350 1351 1358 1359 1363 1390 1398 1399 1400 1402 1403 1405 1414 1427 1429 1434 1436 1450 1451 1452 1455 1462 1464 1467 1469 1472 1477 1488 1509 1512 1514 1515 1518 1525 1531 1542 1544 1548 1551 1569 1573 1578 1585 1594 1596 1600 1603 1621 1624 1635 1637 1639 1640 1647 1650 1659 1662 1690 1691 1701 1710 1718 1729 1739 1743 1746 1751 1755 1766]\n# step=0 row=92 minW=300 found cw of W=286: [1 5 10 11 12 27 36 47 53 55 57 65 68 69 71 85 89 91 98 99 102 120 122 123 130 152 155 159 166 171 177 182 183 184 188 191 194 197 199 200 206 211 241 245 253 260 267 268 274 277 279 283 288 290 291 294 303 324 327 331 334 339 340 347 349 350 354 364 370 382 384 385 387 403 418 424 426 435 441 450 455 464 468 471 482 495 500 503 505 517 523 524 528 535 548 553 557 559 563 569 577 582 591 603 613 619 623 632 641 662 666 667 670 674 680 686 687 689 695 700 706 716 721 723 739 755 756 759 764 766 767 772 776 793 802 806 809 820 830 831 832 838 839 840 847 850 862 865 867 876 880 881 883 896 898 905 912 923 933 934 940 942 943 950 957 961 976 978 979 986 987 988 991 1000 1001 1015 1020 1022 1026 1030 1054 1059 1063 1064 1066 1071 1078 1086 1089 1092 1094 1096 1109 1120 1124 1128 1129 1144 1157 1162 1178 1182 1194 1199 1204 1214 1229 1231 1239 1245 1247 1250 1272 1277 1296 1298 1299 1301 1303 1308 1310 1311 1320 1321 1328 1329 1330 1335 1338 1341 1359 1363 1366 1369 1380 1381 1393 1398 1403 1404 1412 1418 1427 1429 1436 1455 1467 1470 1471 1479 1485 1488 1504 1509 1515 1518 1544 1545 1557 1560 1569 1573 1574 1578 1582 1596 1605 1615 1639 1646 1659 1662 1690 1707 1710 1717 1723 1724 1736 1741 1743 1745 1746 1761 1766 1767]\n# step=0 row=605 minW=286 found cw of W=282: [2 3 5 7 8 20 34 35 36 39 47 57 66 68 69 71 75 85 91 98 102 106 118 120 122 130 146 152 161 163 166 167 175 177 183 184 188 197 206 226 227 238 252 254 268 277 283 284 288 298 313 327 339 349 361 385 387 411 419 422 424 426 436 441 442 447 450 458 463 468 470 482 491 495 502 505 512 527 541 544 549 551 557 573 577 585 590 591 593 598 603 612 619 621 624 631 632 644 647 665 666 671 674 678 680 686 689 695 706 710 720 721 728 752 755 756 764 766 767 769 772 773 781 782 786 789 793 795 810 813 814 815 829 831 834 837 840 841 847 865 876 883 887 893 905 911 912 925 929 933 936 940 942 943 950 963 967 976 978 987 988 994 998 1000 1005 1012 1013 1021 1022 1037 1047 1059 1064 1066 1073 1075 1082 1090 1094 1101 1104 1107 1108 1109 1128 1140 1153 1155 1156 1175 1179 1182 1188 1194 1199 1204 1213 1219 1226 1229 1238 1244 1256 1261 1265 1272 1285 1290 1299 1303 1311 1328 1329 1335 1338 1340 1348 1351 1355 1358 1359 1366 1380 1390 1398 1400 1402 1403 1405 1412 1414 1429 1436 1450 1453 1456 1464 1469 1470 1471 1485 1512 1515 1518 1525 1539 1542 1544 1548 1551 1560 1561 1582 1600 1609 1615 1621 1623 1626 1647 1650 1659 1662 1680 1682 1686 1688 1689 1698 1704 1713 1717 1724 1729 1739 1741 1743 1745 1746 1757 1761 1764]\n# step=0 row=643 minW=282 found cw of W=280: [1 3 12 16 27 30 34 36 37 39 43 47 63 71 89 98 115 118 120 122 127 142 146 147 152 155 161 163 167 173 175 177 179 184 188 191 199 209 211 213 246 252 253 254 260 265 266 271 273 274 279 283 295 304 331 333 361 368 370 371 384 389 396 402 405 426 432 434 436 440 442 446 450 451 455 458 463 466 470 471 492 500 512 516 517 523 527 549 553 557 577 579 593 594 598 601 612 613 614 619 621 623 624 627 632 640 641 642 644 662 667 670 674 678 699 702 706 716 727 728 752 754 764 766 772 786 789 795 802 809 812 820 825 827 831 837 838 839 844 850 855 867 876 881 882 911 923 933 936 940 943 957 979 986 996 998 1000 1007 1012 1013 1015 1019 1020 1021 1026 1033 1037 1047 1050 1059 1066 1071 1078 1086 1096 1099 1104 1108 1109 1118 1121 1124 1129 1139 1144 1145 1151 1153 1162 1170 1175 1178 1180 1195 1199 1204 1207 1213 1214 1244 1247 1250 1256 1260 1261 1270 1285 1298 1299 1310 1316 1326 1328 1329 1330 1335 1341 1351 1358 1363 1380 1386 1393 1396 1402 1403 1405 1414 1418 1434 1436 1441 1462 1463 1464 1470 1473 1474 1479 1485 1486 1488 1492 1504 1512 1514 1519 1539 1544 1548 1557 1561 1569 1578 1585 1588 1589 1598 1600 1623 1626 1635 1637 1647 1656 1659 1680 1686 1688 1691 1698 1704 1710 1716 1718 1727 1729 1736 1746 1750]\n# step=5 row=402 minW=280 found cw of W=278: [3 8 14 22 29 31 40 47 49 54 56 59 67 70 78 89 93 95 103 108 109 112 123 129 143 144 154 158 163 165 189 191 195 198 207 209 212 214 215 220 229 230 233 235 241 243 250 251 253 278 281 285 292 297 300 304 310 313 317 318 323 326 332 335 356 366 376 382 384 392 418 422 433 442 444 449 451 452 453 454 462 471 475 480 481 484 488 494 497 501 505 513 521 524 538 548 549 571 583 597 618 627 630 634 657 658 668 676 677 678 685 686 691 697 703 708 710 717 726 735 744 752 766 770 772 782 794 807 808 812 813 816 817 832 834 837 845 853 854 857 862 869 890 893 906 908 920 943 944 945 948 949 956 965 967 981 982 987 994 996 997 1019 1020 1031 1035 1045 1049 1050 1053 1069 1070 1073 1079 1081 1084 1089 1106 1108 1112 1113 1116 1128 1131 1132 1145 1164 1167 1178 1197 1200 1204 1206 1207 1208 1211 1212 1218 1219 1229 1230 1233 1234 1239 1240 1243 1244 1253 1255 1279 1283 1288 1289 1299 1305 1309 1311 1312 1315 1325 1335 1353 1357 1369 1383 1384 1404 1413 1414 1417 1420 1436 1443 1451 1455 1468 1476 1478 1480 1481 1490 1498 1503 1505 1509 1513 1542 1546 1549 1552 1568 1574 1597 1604 1606 1611 1621 1632 1643 1654 1662 1672 1678 1696 1700 1701 1703 1706 1711 1715 1719 1720 1726 1737 1755 1757 1760 1763 1764]\n# step=16 row=215 minW=278 found cw of W=274: [4 6 19 21 29 32 33 47 51 56 62 67 71 81 82 83 89 92 93 98 108 111 113 119 137 145 151 153 155 157 158 159 166 175 179 186 190 195 200 201 205 216 231 235 249 255 264 272 273 285 287 289 294 306 308 309 313 322 323 343 371 380 385 386 390 398 402 407 414 416 417 420 428 430 433 434 442 447 454 458 473 477 497 498 507 513 527 534 535 546 550 568 605 608 610 629 630 632 635 639 640 642 647 657 659 660 666 667 674 677 681 683 685 691 692 694 696 708 711 715 725 732 734 738 739 747 751 755 767 775 776 780 782 785 792 794 804 813 818 822 834 864 868 887 890 891 898 904 925 927 929 933 938 940 944 945 946 955 956 958 965 967 970 978 979 980 982 984 986 990 1008 1015 1022 1025 1030 1042 1055 1057 1062 1063 1070 1074 1078 1081 1101 1105 1121 1127 1142 1146 1150 1159 1160 1162 1169 1173 1176 1179 1184 1187 1193 1198 1199 1203 1206 1213 1221 1226 1230 1232 1233 1248 1249 1262 1274 1285 1287 1299 1302 1313 1315 1327 1329 1340 1358 1368 1373 1375 1379 1380 1389 1391 1400 1407 1410 1423 1433 1434 1446 1454 1463 1465 1495 1497 1504 1511 1515 1522 1546 1547 1577 1606 1631 1650 1653 1654 1655 1664 1674 1675 1677 1681 1694 1695 1703 1710 1715 1716 1717 1727 1730 1732 1745 1749]\n# step=17 row=648 minW=274 found cw of W=56: [107 109 111 113 114 121 122 125 142 145 151 152 365 366 367 371 373 380 383 387 394 396 403 416 627 628 631 632 635 636 640 654 661 662 666 669 673 675 885 886 900 902 903 904 907 908 911 915 928 936 1166 1173 1174 1177 1181 1194]\n# step=250 row=547 minW=56 found cw of W=50: [158 171 176 179 182 187 188 189 194 418 419 432 435 439 440 442 447 448 455 677 680 688 694 703 709 719 721 944 946 954 975 985 1091 1134 1187 1198 1202 1204 1207 1210 1217 1227 1229 1230 1232 1233 1282 1371 1550 1714]\n# round=1000 of 10000 minW=50\n# step=1604 row=398 minW=50 found cw of W=34: [174 192 193 197 420 441 449 455 681 689 705 710 816 859 912 938 945 951 952 956 964 976 1007 1197 1208 1213 1227 1234 1241 1247 1248 1385 1519 1702]\n# round=2000 of 10000 minW=34\n# round=3000 of 10000 minW=34\n# step=3154 row=155 minW=34 found cw of W=32: [209 226 233 235 238 254 479 482 485 506 516 519 740 743 749 754 767 774 989 992 995 1012 1013 1017 1038 1040 1249 1258 1260 1265 1277 1282]\n# step=3359 row=491 minW=32 found cw of W=30: [128 131 133 149 151 152 374 380 400 404 405 407 409 414 641 645 652 663 664 666 668 670 886 890 910 919 1146 1151 1176 1182]\n# round=4000 of 10000 minW=30\n# step=4958 row=343 minW=30 found cw of W=22: [316 338 343 361 362 364 573 583 602 606 844 845 847 850 871 873 1110 1113 1133 1134 1141 1143]\n# round=5000 of 10000 minW=22\n# round=6000 of 10000 minW=22\n# round=7000 of 10000 minW=22\n# round=8000 of 10000 minW=22\n# round=9000 of 10000 minW=22\n# round=10000 of 10000 minW=22\nRW algorithm upper bound for the distance d=22\n</t>
  </si>
  <si>
    <t># step=0 row=0 minW=1973 found cw of W=384: [1 2 3 8 15 24 27 31 34 36 42 46 49 56 69 72 76 91 95 101 106 113 117 126 132 137 143 152 154 170 171 173 178 179 180 184 188 191 205 213 236 239 248 252 254 264 266 269 280 290 291 292 295 298 301 306 315 319 323 324 326 336 337 348 349 352 355 356 359 369 372 382 390 393 405 407 415 419 426 435 446 455 457 458 475 476 485 486 499 500 505 508 514 518 521 524 529 530 540 542 547 554 555 560 567 572 575 582 597 599 618 622 623 625 631 634 642 645 649 661 665 666 672 676 677 680 681 694 699 703 708 714 715 716 719 725 729 730 735 736 739 742 745 748 754 756 760 761 763 764 767 771 772 775 778 784 789 798 799 804 805 808 812 821 822 829 831 837 844 855 857 867 868 877 885 887 895 901 904 912 914 915 917 918 938 946 948 954 959 961 975 982 985 1014 1016 1025 1032 1034 1038 1043 1046 1054 1058 1063 1070 1080 1083 1088 1089 1090 1093 1102 1106 1116 1117 1119 1120 1121 1127 1133 1138 1144 1151 1157 1165 1177 1185 1187 1190 1192 1193 1194 1200 1206 1208 1209 1210 1213 1221 1229 1230 1231 1237 1243 1248 1250 1252 1255 1264 1266 1272 1273 1274 1275 1277 1281 1282 1291 1292 1293 1296 1301 1310 1326 1327 1329 1334 1336 1337 1359 1368 1374 1375 1385 1388 1389 1394 1396 1408 1412 1420 1422 1423 1428 1429 1430 1436 1438 1440 1441 1446 1449 1460 1468 1488 1492 1494 1498 1499 1524 1527 1529 1554 1562 1588 1591 1593 1595 1598 1600 1601 1606 1619 1623 1626 1628 1629 1635 1638 1643 1655 1662 1674 1676 1689 1706 1721 1742 1743 1748 1751 1756 1757 1763 1777 1783 1788 1792 1800 1802 1809 1815 1825 1826 1832 1833 1843 1844 1846 1853 1854 1861 1867 1877 1879 1881 1894 1897 1900 1905 1914 1916 1919 1920 1925 1928 1929 1930 1932 1933 1934 1936 1938 1939 1941 1942 1943 1949 1954 1955 1964 1966 1969 1971]\n# step=0 row=2 minW=384 found cw of W=374: [2 3 6 8 10 15 24 27 30 33 41 42 46 56 60 63 65 69 70 72 75 76 82 95 101 107 117 126 132 133 143 152 154 157 164 177 178 179 184 187 196 205 225 226 236 239 250 252 259 266 269 271 275 280 290 297 298 301 308 311 315 319 321 323 324 334 335 337 342 344 348 349 351 352 353 356 359 360 369 372 382 386 390 392 393 400 406 415 416 419 423 429 435 451 452 464 469 486 497 500 502 503 508 524 530 540 547 548 560 562 567 570 577 592 599 623 625 629 630 631 634 640 645 658 666 674 677 680 689 694 696 699 702 703 708 714 715 717 719 730 739 748 753 755 756 757 760 764 767 768 778 789 793 799 802 805 807 808 812 821 822 825 833 836 842 844 846 855 857 864 867 871 873 880 885 888 889 890 899 912 913 914 915 918 923 938 943 952 953 959 961 965 969 997 1000 1002 1016 1022 1025 1028 1038 1039 1040 1045 1051 1063 1070 1083 1088 1090 1093 1126 1127 1135 1139 1144 1151 1162 1165 1166 1168 1175 1180 1181 1190 1194 1195 1197 1206 1208 1209 1210 1217 1220 1224 1231 1237 1239 1241 1243 1248 1250 1254 1264 1270 1273 1274 1277 1281 1282 1289 1291 1293 1295 1297 1301 1310 1317 1325 1326 1327 1329 1334 1340 1346 1359 1366 1373 1374 1375 1376 1389 1391 1396 1409 1413 1430 1434 1440 1446 1447 1449 1453 1466 1468 1472 1478 1485 1488 1489 1492 1499 1527 1544 1552 1554 1564 1581 1584 1587 1588 1592 1593 1598 1604 1608 1618 1622 1623 1624 1628 1633 1635 1647 1650 1657 1674 1675 1676 1679 1680 1682 1706 1718 1719 1734 1741 1742 1748 1756 1757 1758 1783 1798 1802 1807 1816 1823 1843 1846 1853 1854 1857 1867 1870 1877 1888 1894 1897 1899 1900 1903 1907 1912 1913 1914 1916 1920 1925 1929 1933 1935 1936 1937 1939 1941 1942 1943 1945 1948 1949 1966 1969 1971]\n# step=0 row=3 minW=374 found cw of W=352: [2 3 7 8 27 31 42 46 49 61 63 66 75 76 95 101 106 117 121 126 128 132 152 154 173 180 184 200 213 224 227 232 236 252 269 275 291 295 297 298 301 311 318 319 323 340 343 348 349 352 353 356 359 360 377 382 386 392 393 394 407 411 416 419 426 442 457 458 470 486 491 492 497 502 505 506 509 518 530 537 539 540 542 547 554 558 560 562 570 571 583 586 597 599 618 619 625 629 630 631 640 659 661 666 671 672 676 677 680 681 683 688 689 694 695 699 702 703 707 708 719 728 729 730 735 738 742 745 748 754 755 756 760 761 763 764 767 770 771 775 784 793 799 802 804 805 806 807 808 812 833 842 844 846 853 855 869 871 875 880 883 887 888 895 914 924 943 945 946 948 952 954 959 961 965 969 972 975 982 983 985 1015 1016 1025 1040 1042 1044 1048 1053 1054 1058 1063 1065 1076 1078 1083 1088 1089 1090 1102 1106 1109 1110 1120 1121 1127 1130 1132 1139 1144 1162 1168 1170 1175 1178 1180 1185 1193 1202 1208 1209 1216 1217 1224 1229 1237 1251 1254 1266 1273 1274 1275 1277 1279 1281 1291 1296 1297 1301 1330 1336 1338 1340 1346 1358 1359 1366 1373 1374 1375 1384 1385 1389 1408 1409 1413 1421 1423 1430 1434 1435 1437 1447 1453 1457 1485 1489 1491 1492 1498 1527 1551 1559 1562 1564 1565 1570 1588 1591 1593 1598 1606 1608 1623 1626 1628 1633 1635 1638 1643 1648 1650 1655 1662 1665 1674 1675 1681 1682 1691 1712 1714 1719 1721 1726 1727 1732 1742 1747 1751 1756 1757 1770 1772 1773 1777 1784 1785 1788 1794 1795 1800 1802 1807 1815 1822 1825 1832 1844 1877 1878 1879 1889 1894 1897 1900 1907 1912 1913 1914 1919 1928 1929 1930 1932 1934 1935 1936 1938 1945 1958 1969]\n# step=0 row=56 minW=352 found cw of W=350: [2 3 8 27 31 42 46 49 61 63 66 75 76 95 97 101 106 117 121 126 128 132 152 154 173 174 179 180 184 200 213 224 227 232 236 252 269 291 295 297 298 301 311 318 319 323 340 343 348 349 352 353 356 359 360 377 382 386 392 393 394 407 411 416 419 426 442 457 458 470 486 491 492 497 502 505 506 509 518 530 537 539 540 542 547 554 558 560 562 570 571 583 586 597 599 618 619 625 629 630 631 640 659 661 666 671 672 676 677 680 681 683 688 689 694 695 699 702 703 707 708 719 728 729 730 735 738 742 745 748 754 755 756 760 761 763 764 767 770 771 775 784 793 799 802 804 805 806 807 808 812 833 842 844 846 853 855 869 871 875 880 883 887 888 895 914 924 943 945 946 948 952 954 959 961 965 969 972 975 982 983 985 1015 1016 1025 1040 1042 1044 1048 1053 1054 1058 1063 1065 1076 1078 1083 1088 1089 1090 1102 1106 1109 1110 1120 1121 1127 1130 1132 1139 1144 1162 1168 1170 1175 1178 1180 1185 1193 1202 1208 1209 1216 1217 1224 1229 1237 1251 1254 1266 1273 1274 1275 1277 1279 1281 1291 1296 1297 1301 1330 1336 1338 1340 1346 1358 1359 1366 1373 1374 1375 1384 1385 1389 1408 1409 1413 1421 1423 1430 1434 1435 1437 1447 1453 1457 1485 1489 1491 1492 1498 1527 1551 1559 1562 1564 1570 1588 1591 1593 1598 1606 1608 1623 1626 1628 1633 1635 1638 1643 1648 1650 1655 1662 1665 1674 1675 1681 1682 1691 1712 1714 1719 1721 1726 1732 1742 1747 1751 1756 1757 1770 1772 1773 1777 1784 1785 1788 1794 1795 1800 1802 1807 1815 1822 1825 1832 1844 1877 1879 1889 1894 1897 1900 1907 1912 1913 1914 1919 1928 1929 1930 1932 1934 1935 1936 1938 1945 1958 1969]\n# step=0 row=59 minW=350 found cw of W=346: [4 15 23 33 34 36 49 60 63 69 75 76 78 81 88 91 100 101 102 106 107 121 126 128 129 134 143 152 157 164 170 177 178 180 184 187 191 208 227 236 239 248 250 257 279 301 306 308 311 315 321 323 324 326 327 339 340 353 355 356 360 364 376 382 386 429 451 452 458 469 470 472 475 479 486 487 491 492 500 505 508 509 512 521 522 537 539 540 554 555 560 567 572 582 583 592 597 617 618 622 623 625 631 640 642 649 659 666 676 681 683 689 694 695 699 702 708 709 715 717 728 742 745 753 754 756 757 760 763 764 770 772 775 778 781 785 799 806 812 818 821 822 825 830 846 853 857 867 869 877 883 887 890 891 893 904 912 913 915 917 918 923 924 938 945 952 959 961 965 975 996 1000 1021 1022 1023 1038 1043 1046 1048 1054 1063 1065 1074 1076 1080 1083 1088 1089 1090 1116 1126 1135 1139 1144 1145 1162 1163 1165 1166 1168 1175 1180 1181 1185 1187 1190 1192 1193 1194 1198 1202 1205 1206 1209 1210 1219 1220 1224 1229 1237 1239 1241 1248 1252 1254 1274 1281 1282 1284 1291 1295 1296 1301 1310 1313 1317 1330 1337 1338 1340 1346 1358 1359 1367 1373 1374 1376 1385 1389 1391 1396 1408 1409 1412 1413 1422 1423 1428 1435 1446 1449 1469 1478 1485 1489 1498 1529 1534 1541 1544 1552 1554 1559 1562 1564 1565 1570 1587 1588 1591 1592 1593 1595 1598 1601 1606 1608 1609 1620 1624 1629 1633 1650 1663 1675 1679 1680 1689 1705 1718 1719 1729 1734 1741 1748 1751 1753 1755 1773 1777 1783 1785 1788 1800 1802 1809 1822 1823 1825 1832 1857 1878 1879 1882 1883 1888 1894 1899 1900 1905 1907 1914 1919 1920 1929 1935 1936 1937 1940 1948 1949 1954 1955 1958 1963 1966]\n# step=0 row=423 minW=346 found cw of W=344: [3 23 30 31 41 42 49 56 57 61 63 66 69 78 81 82 91 95 101 103 118 121 128 129 130 132 133 134 157 177 184 187 189 191 208 213 226 227 254 259 271 279 291 298 308 315 319 326 331 334 335 342 343 344 352 355 359 360 364 369 386 389 392 393 394 406 407 411 416 426 434 442 451 452 455 464 470 473 475 486 491 499 503 505 506 508 509 512 514 522 523 529 540 547 555 558 562 568 583 586 592 607 617 623 625 630 631 634 640 645 659 661 673 676 694 707 715 717 719 725 728 729 730 736 737 738 742 751 753 764 775 778 781 784 785 789 804 806 812 818 822 825 829 831 836 837 846 853 855 857 864 867 877 885 889 891 893 895 901 904 913 915 917 918 924 945 946 965 966 985 997 1014 1015 1016 1023 1025 1028 1030 1031 1039 1041 1042 1046 1051 1053 1058 1074 1078 1080 1089 1109 1114 1116 1117 1130 1132 1133 1139 1144 1145 1163 1168 1178 1180 1190 1192 1193 1198 1202 1205 1210 1213 1219 1224 1231 1237 1238 1239 1241 1243 1248 1250 1270 1279 1281 1282 1284 1290 1291 1296 1297 1317 1321 1327 1338 1341 1359 1369 1376 1384 1388 1394 1396 1413 1421 1423 1434 1436 1437 1447 1451 1457 1460 1466 1467 1468 1472 1480 1485 1489 1491 1498 1501 1524 1534 1544 1551 1555 1564 1570 1584 1588 1591 1600 1604 1606 1608 1618 1623 1624 1628 1635 1644 1647 1652 1657 1663 1676 1681 1706 1712 1724 1726 1727 1729 1734 1736 1741 1742 1747 1748 1751 1755 1765 1771 1775 1777 1783 1788 1795 1807 1809 1815 1816 1829 1832 1843 1844 1857 1867 1877 1878 1888 1889 1894 1897 1905 1912 1913 1914 1919 1928 1929 1930 1932 1933 1935 1936 1941 1948 1949 1954 1966 1971]\n# step=0 row=487 minW=344 found cw of W=338: [15 23 37 42 46 49 57 60 61 63 65 69 70 78 81 91 95 101 102 103 113 118 126 128 129 132 133 143 152 154 164 170 173 178 179 180 196 213 227 239 248 250 257 266 269 271 275 280 291 292 295 306 308 323 324 326 335 337 342 343 347 348 349 352 359 360 369 386 407 419 429 434 435 442 452 457 464 472 473 486 487 491 492 500 502 505 509 512 518 521 523 539 555 560 562 568 570 571 582 585 592 599 607 617 618 622 623 630 631 640 658 659 661 666 671 672 673 676 680 688 689 694 695 699 703 715 717 725 728 748 754 755 757 760 761 763 768 770 772 773 775 802 807 812 821 822 825 829 830 831 837 841 853 855 857 859 864 873 875 877 883 885 887 889 890 891 893 899 904 913 918 953 954 959 961 965 969 975 983 996 1000 1004 1014 1021 1022 1040 1041 1044 1045 1048 1051 1062 1063 1065 1070 1083 1089 1090 1114 1116 1120 1130 1132 1138 1139 1149 1166 1177 1181 1187 1198 1202 1206 1208 1209 1210 1219 1220 1229 1230 1238 1239 1241 1243 1250 1251 1254 1266 1274 1275 1279 1282 1284 1295 1296 1301 1310 1313 1329 1330 1338 1340 1341 1358 1366 1367 1373 1374 1384 1385 1394 1396 1408 1412 1416 1422 1424 1428 1429 1440 1446 1449 1453 1460 1466 1467 1469 1478 1480 1489 1501 1524 1534 1541 1552 1559 1564 1565 1570 1587 1592 1593 1598 1608 1628 1631 1643 1644 1650 1652 1662 1665 1674 1679 1680 1681 1682 1699 1724 1732 1734 1756 1763 1765 1772 1775 1777 1783 1794 1798 1800 1807 1809 1815 1822 1823 1825 1829 1832 1846 1867 1878 1879 1888 1900 1903 1913 1925 1930 1933 1934 1935 1940 1949 1955 1958 1966 1971]\n# step=0 row=1007 minW=338 found cw of W=334: [8 23 24 30 37 40 60 65 66 91 95 101 102 103 106 128 129 134 137 152 157 164 171 173 174 179 180 187 188 196 205 224 225 232 239 248 250 254 257 259 266 275 279 290 298 301 306 308 311 315 321 331 335 337 342 352 355 356 359 376 377 382 390 394 415 416 426 429 435 442 451 455 457 464 470 472 479 486 492 497 500 502 503 506 508 509 518 521 524 530 547 548 555 568 575 582 586 592 597 607 618 619 625 629 631 645 658 661 665 674 676 688 689 694 702 715 719 728 735 736 739 745 748 753 754 756 764 767 770 771 778 781 789 793 802 804 805 807 808 812 818 830 832 837 844 853 868 873 875 883 889 890 891 893 895 912 913 914 917 923 943 946 959 969 972 982 983 985 1000 1002 1016 1023 1025 1032 1051 1053 1065 1070 1078 1083 1090 1102 1106 1110 1114 1119 1120 1121 1126 1130 1138 1157 1163 1166 1175 1180 1181 1192 1193 1195 1201 1202 1210 1213 1216 1217 1220 1230 1241 1248 1250 1264 1266 1273 1274 1279 1282 1284 1289 1290 1295 1296 1297 1301 1310 1313 1317 1329 1330 1334 1336 1358 1359 1366 1367 1368 1373 1374 1375 1376 1384 1385 1396 1408 1409 1412 1421 1428 1429 1430 1434 1438 1451 1466 1467 1478 1488 1489 1491 1492 1494 1527 1534 1544 1551 1555 1562 1564 1581 1598 1608 1619 1620 1623 1628 1635 1644 1648 1663 1665 1680 1689 1691 1705 1706 1712 1714 1721 1727 1732 1734 1741 1747 1748 1751 1753 1755 1756 1763 1772 1777 1784 1785 1787 1792 1795 1800 1807 1809 1822 1825 1829 1832 1857 1861 1877 1879 1883 1889 1897 1900 1905 1907 1912 1914 1919 1928 1934 1937 1958 1963 1964 1966 1969]\n# step=1 row=532 minW=334 found cw of W=320: [13 21 28 34 37 52 59 61 86 89 95 96 98 115 130 136 140 143 146 149 154 168 170 178 180 182 194 199 202 203 212 221 235 238 245 249 251 252 258 268 272 285 301 312 330 334 339 341 364 366 369 372 373 374 375 383 397 401 404 405 412 414 420 432 438 443 447 448 454 457 465 470 476 477 486 489 490 496 500 503 517 520 535 539 549 550 553 555 559 562 566 567 570 574 591 598 600 606 625 634 635 636 637 639 644 654 656 659 666 672 678 680 683 688 715 716 722 723 727 738 739 759 762 764 765 770 779 784 787 795 805 809 813 818 821 828 830 839 844 846 852 858 864 865 866 868 892 896 902 906 907 928 943 954 956 963 966 969 975 976 992 993 1004 1021 1038 1048 1050 1053 1062 1067 1071 1082 1091 1093 1096 1100 1104 1119 1124 1133 1143 1144 1145 1147 1150 1165 1168 1185 1186 1191 1202 1203 1216 1219 1233 1238 1239 1241 1247 1253 1262 1266 1275 1277 1282 1283 1284 1311 1316 1317 1321 1322 1324 1365 1366 1374 1375 1376 1379 1383 1387 1389 1391 1394 1396 1398 1399 1403 1406 1407 1408 1411 1412 1413 1414 1423 1425 1431 1439 1452 1470 1472 1480 1481 1495 1498 1505 1506 1511 1518 1522 1527 1531 1534 1558 1566 1582 1586 1591 1611 1614 1618 1619 1621 1627 1628 1629 1634 1663 1669 1670 1678 1680 1683 1686 1687 1700 1701 1718 1722 1726 1727 1729 1731 1739 1751 1753 1758 1760 1763 1764 1772 1775 1785 1788 1800 1806 1808 1819 1825 1830 1836 1842 1852 1859 1862 1864 1867 1892 1899 1904 1906 1912 1920 1928 1933 1957 1962 1967 1971]\n# step=6 row=746 minW=320 found cw of W=314: [2 5 9 10 12 19 22 23 36 41 61 67 75 82 87 92 98 104 111 113 114 132 137 139 140 146 150 152 154 156 163 168 170 189 191 192 197 211 215 217 225 230 245 247 248 260 262 265 267 269 271 274 284 286 298 307 309 311 326 330 340 349 362 375 378 396 397 406 416 421 422 427 438 440 443 448 453 459 460 462 465 470 473 487 494 495 496 506 516 518 523 532 538 546 562 571 575 595 596 606 618 620 624 629 635 637 658 667 673 675 676 677 683 691 692 704 711 723 727 730 742 743 753 764 775 776 780 790 796 797 799 810 816 824 831 834 844 845 846 848 859 862 871 872 874 876 877 878 881 901 903 904 907 910 916 919 922 924 930 931 950 955 959 962 965 971 981 1005 1012 1020 1024 1027 1029 1041 1042 1046 1054 1061 1062 1064 1065 1067 1090 1101 1109 1117 1123 1129 1130 1133 1137 1140 1141 1165 1169 1172 1180 1182 1185 1186 1199 1200 1203 1208 1209 1234 1238 1252 1267 1278 1290 1292 1294 1296 1297 1308 1311 1312 1319 1322 1330 1337 1344 1359 1360 1361 1363 1371 1380 1382 1388 1390 1393 1396 1398 1400 1405 1406 1411 1417 1427 1434 1439 1445 1462 1473 1477 1481 1485 1488 1508 1511 1517 1526 1531 1532 1541 1543 1560 1562 1563 1567 1572 1574 1583 1587 1594 1598 1599 1603 1606 1613 1635 1643 1653 1657 1663 1668 1679 1692 1693 1697 1699 1701 1714 1721 1722 1727 1741 1751 1756 1773 1785 1798 1800 1804 1818 1824 1834 1847 1858 1862 1879 1892 1898 1921 1934 1936 1942 1952 1960 1963 1964 1972]\n# step=19 row=614 minW=314 found cw of W=308: [8 10 17 19 24 41 55 58 71 82 84 89 107 116 119 131 138 148 150 152 158 159 163 165 170 171 191 192 193 197 200 203 204 207 209 210 212 221 229 232 234 236 238 244 245 248 249 256 260 263 264 266 271 272 275 297 299 301 316 322 327 330 331 346 357 360 363 373 377 383 397 399 406 410 422 423 426 428 431 433 438 447 453 462 468 473 480 482 509 513 520 534 539 545 558 560 571 579 585 590 606 607 609 610 626 645 651 655 662 667 683 689 690 692 696 703 705 707 713 715 717 718 725 731 747 753 760 770 780 796 801 807 809 810 813 815 820 822 838 839 845 860 861 866 880 881 886 898 901 904 920 927 930 933 940 946 948 959 964 981 989 995 998 1001 1006 1007 1009 1022 1025 1031 1035 1037 1046 1052 1080 1081 1100 1108 1111 1115 1125 1131 1144 1155 1156 1160 1171 1173 1176 1179 1191 1193 1197 1212 1227 1229 1231 1242 1255 1257 1263 1267 1269 1282 1292 1300 1303 1309 1311 1314 1317 1330 1333 1354 1361 1367 1377 1383 1385 1394 1395 1397 1400 1402 1408 1409 1415 1419 1436 1438 1440 1446 1454 1462 1466 1470 1474 1485 1489 1491 1495 1519 1520 1531 1532 1535 1542 1551 1558 1562 1571 1577 1587 1593 1600 1601 1605 1607 1612 1616 1617 1621 1629 1632 1634 1635 1644 1660 1670 1690 1692 1700 1703 1711 1717 1729 1741 1746 1751 1752 1760 1765 1789 1796 1815 1818 1821 1832 1838 1851 1863 1864 1870 1879 1885 1895 1896 1900 1909 1910 1918 1925 1931 1935 1936 1937 1938 1957]\n# step=19 row=1052 minW=308 found cw of W=306: [8 10 17 19 24 41 55 58 71 82 84 89 107 116 119 131 138 148 150 152 158 159 163 165 170 171 191 192 193 197 200 203 204 207 209 210 212 221 229 232 234 236 238 244 245 248 249 256 260 263 264 266 271 272 275 297 299 301 316 322 327 330 331 346 357 360 363 373 377 383 397 399 406 410 422 423 426 428 431 433 438 447 453 462 468 473 480 482 509 513 520 534 539 545 558 560 571 579 585 590 606 607 609 610 626 645 651 655 662 667 683 689 690 692 696 703 705 707 713 715 717 718 725 731 747 753 760 770 780 796 801 807 809 810 813 815 820 822 838 839 845 860 861 866 880 881 886 901 904 920 927 933 940 946 948 959 964 981 989 995 998 1001 1006 1009 1022 1025 1031 1035 1037 1046 1052 1070 1080 1081 1100 1111 1115 1125 1131 1144 1155 1156 1160 1171 1173 1176 1179 1191 1193 1197 1212 1227 1229 1231 1242 1255 1257 1263 1267 1269 1282 1292 1300 1303 1309 1311 1314 1317 1330 1333 1354 1361 1367 1377 1383 1385 1394 1395 1397 1400 1402 1408 1409 1415 1419 1436 1438 1440 1446 1454 1462 1466 1470 1474 1485 1489 1491 1495 1519 1520 1528 1531 1532 1535 1542 1551 1558 1562 1571 1577 1587 1593 1600 1601 1605 1607 1612 1616 1617 1621 1629 1632 1634 1635 1644 1660 1670 1690 1700 1703 1711 1717 1729 1741 1746 1751 1752 1760 1765 1789 1796 1815 1818 1821 1832 1838 1851 1863 1864 1870 1879 1880 1885 1895 1896 1900 1909 1910 1918 1925 1931 1935 1936 1937 1938 1957]\n# step=80 row=233 minW=306 found cw of W=288: [14 18 20 25 28 33 34 43 44 48 65 71 72 77 80 82 84 105 123 128 129 137 138 145 149 155 160 162 165 168 172 176 183 189 194 218 226 235 247 248 252 261 263 267 271 276 284 287 308 316 317 321 325 326 338 340 341 362 367 368 372 378 387 391 392 394 399 402 406 407 414 420 455 456 461 464 505 516 521 525 529 533 535 546 547 553 570 571 573 575 593 595 596 600 602 609 614 616 618 621 626 634 640 642 655 662 675 685 690 696 698 706 710 712 722 733 734 737 740 750 758 776 780 782 783 791 794 800 802 804 822 823 824 834 841 846 857 861 863 866 879 882 884 890 899 904 905 907 928 929 933 938 939 940 954 966 976 993 996 997 1000 1003 1010 1011 1022 1042 1049 1052 1057 1068 1069 1071 1080 1081 1094 1110 1118 1120 1124 1127 1130 1133 1135 1141 1155 1158 1161 1172 1176 1183 1195 1198 1206 1210 1222 1224 1226 1227 1229 1236 1239 1243 1252 1258 1260 1262 1277 1281 1283 1284 1288 1292 1294 1328 1331 1365 1382 1399 1401 1403 1407 1414 1418 1427 1428 1433 1439 1449 1452 1459 1461 1469 1470 1487 1498 1504 1506 1517 1521 1527 1533 1538 1548 1551 1572 1576 1581 1594 1598 1609 1620 1622 1626 1627 1649 1652 1655 1681 1687 1689 1691 1699 1714 1734 1759 1762 1774 1783 1786 1791 1793 1796 1810 1817 1819 1830 1846 1847 1855 1857 1865 1891 1930 1934 1939 1956 1966 1967]\n# step=391 row=154 minW=288 found cw of W=46: [244 248 250 264 266 284 286 287 524 529 530 531 537 542 551 553 559 566 813 823 829 833 837 843 846 848 852 857 868 1104 1110 1135 1145 1146 1147 1157 1394 1403 1408 1413 1415 1424 1432 1436 1438 1444]\n# step=414 row=650 minW=46 found cw of W=20: [242 255 257 262 264 559 577 578 580 815 835 855 857 1105 1124 1132 1150 1395 1396 1422]\n#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</si>
  <si>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minW=2041 found cw of W=430: [1 3 7 12 17 19 21 31 42 43 44 45 50 56 57 60 62 67 68 69 71 73 75 79 81 86 88 92 93 94 96 104 108 120 121 124 126 127 129 137 143 148 149 152 154 161 162 169 170 177 182 195 204 209 214 215 218 219 221 231 238 240 241 242 252 262 263 269 274 280 282 291 293 297 301 303 306 307 310 315 317 322 327 329 332 337 340 344 349 357 358 365 367 371 375 379 386 388 392 398 401 406 412 413 415 418 421 423 428 442 450 468 472 492 493 496 497 498 519 526 534 545 547 549 551 555 558 571 573 577 581 600 601 602 603 613 615 621 622 634 636 642 649 650 653 659 662 664 666 669 673 685 695 707 710 711 713 746 748 754 757 760 761 763 767 769 771 774 776 777 778 783 792 795 798 806 809 811 812 817 822 829 830 831 843 844 846 851 858 866 873 882 889 890 891 894 895 905 906 910 915 921 922 935 937 938 943 944 946 948 950 953 957 974 979 986 992 996 998 1000 1001 1005 1009 1011 1014 1018 1020 1026 1035 1036 1038 1039 1042 1043 1044 1048 1049 1050 1056 1069 1070 1081 1089 1090 1095 1098 1110 1114 1122 1131 1132 1133 1134 1136 1137 1144 1147 1157 1159 1169 1172 1184 1186 1188 1194 1199 1200 1202 1203 1206 1207 1209 1214 1220 1221 1226 1229 1243 1252 1267 1268 1273 1275 1276 1301 1307 1313 1315 1316 1318 1323 1325 1330 1341 1343 1350 1353 1366 1375 1378 1381 1384 1386 1387 1390 1397 1405 1410 1414 1426 1430 1435 1437 1439 1444 1449 1452 1456 1458 1459 1465 1480 1481 1487 1494 1495 1499 1505 1521 1526 1531 1535 1540 1543 1546 1547 1558 1561 1568 1572 1577 1580 1589 1592 1593 1597 1598 1618 1631 1632 1636 1637 1639 1643 1651 1652 1653 1661 1665 1666 1667 1668 1669 1672 1684 1685 1686 1689 1690 1692 1700 1704 1712 1713 1725 1733 1738 1739 1743 1753 1765 1771 1778 1781 1784 1790 1792 1797 1800 1811 1827 1836 1840 1841 1844 1847 1849 1851 1855 1862 1869 1881 1895 1898 1899 1902 1904 1908 1910 1913 1918 1921 1926 1930 1936 1938 1940 1945 1957 1961 1964 1967 1969 1972 1977 1978 1981 1985 1993 2002]\n# step=0 row=1 minW=430 found cw of W=412: [2 3 7 10 19 29 42 44 50 56 57 60 63 67 68 71 74 79 82 85 86 87 92 94 96 99 111 120 121 124 126 127 129 132 137 143 148 152 161 169 170 175 184 192 202 208 209 218 219 237 239 240 245 250 256 268 269 282 291 295 296 297 298 300 301 306 309 315 320 322 323 327 329 331 334 337 339 340 344 345 354 358 373 376 379 380 382 384 386 391 406 412 415 418 421 422 423 430 445 451 461 465 468 469 487 493 494 496 497 499 500 502 504 512 513 527 533 534 547 549 555 571 573 575 577 582 591 595 600 601 603 615 617 621 622 625 629 634 635 637 642 648 649 657 659 663 669 670 674 677 678 685 689 691 693 710 715 723 725 729 739 742 753 754 757 758 760 763 768 773 775 783 785 793 798 799 809 811 812 813 817 819 822 828 835 837 838 839 844 861 873 880 883 887 889 890 894 895 898 905 906 913 921 936 937 938 940 944 946 950 953 956 959 962 972 974 979 986 1000 1006 1009 1010 1012 1013 1017 1026 1028 1032 1035 1038 1039 1040 1045 1050 1056 1069 1070 1081 1089 1090 1091 1095 1098 1106 1110 1114 1125 1126 1131 1133 1134 1136 1144 1159 1162 1169 1184 1186 1192 1198 1202 1203 1206 1220 1221 1226 1229 1235 1236 1245 1252 1256 1263 1267 1268 1270 1275 1276 1289 1300 1302 1315 1316 1318 1323 1334 1341 1343 1345 1350 1351 1367 1369 1378 1381 1390 1395 1396 1397 1405 1406 1410 1415 1424 1425 1426 1434 1435 1438 1439 1444 1453 1458 1464 1465 1481 1487 1495 1512 1518 1526 1528 1535 1540 1543 1544 1547 1555 1558 1561 1568 1580 1615 1624 1625 1632 1633 1637 1642 1643 1647 1652 1657 1665 1668 1672 1686 1688 1692 1700 1712 1716 1723 1728 1737 1738 1742 1747 1751 1758 1765 1766 1771 1774 1775 1776 1778 1781 1782 1789 1790 1793 1794 1811 1815 1816 1821 1831 1833 1835 1841 1844 1849 1855 1886 1888 1899 1904 1905 1906 1907 1910 1919 1921 1927 1932 1938 1940 1945 1957 1965 1972 1973 1976 1977 1985 1997 2002 2004 2018 2025 2035]\n# step=0 row=2 minW=412 found cw of W=376: [3 4 30 31 43 44 50 56 60 69 71 73 74 75 79 88 94 96 99 112 116 121 124 129 135 137 143 145 152 158 169 182 184 192 195 202 204 212 218 220 231 233 242 245 250 252 259 263 269 272 273 274 277 279 280 283 291 295 296 297 306 307 315 317 323 329 331 334 337 340 342 345 349 357 365 367 369 371 373 386 391 412 413 418 421 422 424 428 442 445 451 461 465 468 469 470 479 486 487 492 498 502 504 512 526 527 533 545 551 555 556 558 571 575 577 589 595 600 601 603 617 621 629 634 635 649 650 651 652 657 659 663 669 673 679 689 710 719 729 737 739 742 744 752 754 758 760 761 768 770 773 774 775 777 778 792 797 806 809 819 823 828 829 835 837 839 863 872 873 883 887 890 898 899 905 906 915 925 938 943 946 951 956 959 972 981 985 986 988 989 990 992 996 1001 1005 1006 1011 1013 1017 1020 1031 1036 1037 1038 1041 1044 1046 1047 1048 1049 1050 1056 1061 1074 1081 1090 1091 1093 1096 1098 1106 1113 1122 1126 1129 1131 1133 1136 1138 1144 1152 1159 1161 1172 1180 1182 1184 1188 1192 1202 1206 1209 1214 1220 1221 1223 1235 1242 1243 1251 1263 1268 1273 1275 1288 1301 1303 1316 1321 1323 1325 1330 1338 1339 1343 1345 1347 1349 1352 1358 1375 1381 1386 1390 1391 1395 1397 1400 1406 1414 1415 1423 1428 1430 1432 1433 1437 1438 1439 1453 1456 1480 1484 1494 1499 1509 1521 1531 1535 1536 1540 1543 1546 1548 1555 1558 1577 1580 1589 1590 1598 1607 1615 1636 1642 1643 1651 1652 1661 1668 1669 1672 1684 1686 1689 1700 1704 1712 1723 1737 1738 1739 1750 1753 1758 1777 1778 1781 1782 1787 1790 1791 1793 1794 1801 1811 1815 1816 1821 1836 1841 1849 1851 1854 1859 1863 1864 1895 1898 1902 1904 1910 1918 1919 1935 1938 1942 1950 1969 1973 1985 1988 1997 2002 2025 2035]\n# step=0 row=21 minW=376 found cw of W=368: [7 10 12 21 36 43 49 50 51 56 60 63 67 71 74 75 82 86 88 92 93 112 121 126 127 135 137 149 154 158 170 173 177 182 184 195 204 208 211 215 216 231 233 238 239 259 262 269 273 274 282 283 293 296 297 298 303 315 320 329 331 332 334 335 339 340 347 357 358 367 369 380 382 398 415 421 424 430 442 445 451 461 469 474 479 492 493 494 496 497 500 502 512 526 534 545 549 551 555 556 558 566 577 581 589 591 595 600 601 602 603 613 615 617 622 637 642 645 646 648 649 651 652 653 657 663 673 674 689 707 710 711 719 723 729 737 738 739 748 751 758 761 767 769 774 776 777 783 785 792 795 798 799 819 820 823 828 829 838 844 851 858 862 863 866 880 887 889 890 891 895 899 906 910 913 921 922 937 938 940 944 950 951 959 970 972 979 981 990 998 1005 1006 1012 1014 1017 1020 1026 1031 1038 1069 1070 1074 1081 1089 1091 1098 1114 1122 1124 1125 1129 1132 1134 1137 1138 1147 1150 1159 1161 1162 1173 1184 1188 1192 1200 1206 1214 1226 1228 1235 1242 1246 1251 1252 1263 1268 1273 1274 1285 1288 1289 1300 1303 1313 1316 1321 1323 1330 1338 1339 1341 1343 1345 1347 1349 1367 1377 1378 1381 1386 1395 1396 1397 1400 1405 1423 1424 1425 1426 1430 1432 1434 1435 1437 1439 1444 1445 1452 1459 1473 1486 1487 1509 1531 1544 1546 1547 1572 1580 1590 1598 1615 1618 1631 1633 1637 1639 1642 1651 1659 1661 1663 1667 1668 1684 1686 1689 1692 1697 1712 1713 1716 1723 1725 1742 1751 1765 1766 1775 1777 1778 1782 1787 1789 1791 1793 1800 1801 1811 1815 1816 1819 1827 1833 1836 1841 1842 1844 1847 1854 1855 1859 1862 1863 1865 1869 1881 1886 1889 1899 1932 1935 1936 1940 1942 1965 1967 1973 1977 1993 1996 1997 2002 2012 2013 2018 2025 2035]\n# step=0 row=41 minW=368 found cw of W=360: [17 24 43 44 45 50 57 60 62 63 68 69 71 72 73 74 75 85 86 87 93 94 108 111 112 116 120 121 132 143 149 152 158 169 170 173 182 196 202 208 215 216 218 219 221 238 241 242 251 259 263 268 279 280 282 293 296 297 298 301 303 307 310 315 317 322 327 331 339 344 345 347 365 367 369 375 376 379 386 388 392 401 415 418 421 422 427 428 430 450 455 468 470 474 477 478 479 486 487 492 493 496 498 499 500 502 512 513 519 521 526 533 545 549 556 575 581 595 600 609 613 615 621 622 626 637 646 652 653 657 660 662 663 673 677 679 685 689 695 707 711 713 715 737 738 742 748 753 758 760 763 767 771 776 777 778 783 798 799 806 809 812 819 822 828 829 830 837 838 843 844 846 861 862 863 872 873 883 890 891 894 895 898 905 910 940 948 950 956 957 981 986 988 989 990 1010 1017 1028 1038 1043 1049 1056 1069 1070 1083 1090 1093 1106 1113 1114 1116 1124 1126 1128 1129 1132 1133 1136 1137 1144 1147 1150 1152 1157 1159 1161 1178 1186 1192 1194 1199 1200 1203 1209 1214 1221 1226 1243 1245 1246 1256 1263 1267 1268 1273 1278 1285 1288 1325 1343 1347 1349 1351 1375 1377 1381 1387 1390 1415 1423 1424 1425 1432 1433 1434 1438 1439 1444 1456 1464 1480 1481 1484 1498 1499 1512 1521 1540 1544 1546 1558 1561 1589 1590 1593 1597 1598 1607 1615 1618 1625 1628 1631 1633 1636 1643 1652 1657 1659 1661 1665 1667 1686 1700 1712 1713 1722 1723 1725 1739 1747 1751 1758 1765 1766 1775 1778 1781 1784 1789 1790 1793 1797 1811 1815 1816 1819 1821 1831 1840 1841 1842 1847 1849 1855 1862 1864 1869 1888 1889 1895 1902 1907 1912 1913 1917 1919 1921 1940 1947 1950 1964 1968 1972 1976 1988 1996 2013 2018 2035]\n# step=0 row=296 minW=360 found cw of W=342: [10 12 17 19 21 29 34 42 43 57 67 69 71 73 75 79 82 87 88 93 108 111 121 124 126 129 145 148 149 170 175 177 182 184 195 196 204 208 209 211 219 233 237 238 239 251 252 256 259 263 268 274 279 280 293 296 298 301 309 315 320 323 331 335 339 342 344 349 357 358 369 371 376 380 384 392 401 406 418 424 445 451 469 470 472 479 486 487 497 498 499 500 502 504 521 524 526 533 534 545 556 558 573 575 577 579 581 595 601 615 617 622 625 626 629 637 642 648 650 651 652 657 660 662 669 679 689 691 693 714 715 719 737 738 739 742 751 752 753 754 760 761 767 768 770 778 795 797 798 812 820 823 830 861 862 872 873 880 887 889 905 913 918 935 936 937 940 944 950 956 957 959 962 972 974 980 986 992 996 1000 1005 1010 1011 1012 1017 1018 1028 1032 1040 1041 1044 1045 1047 1050 1056 1070 1083 1089 1091 1093 1095 1113 1116 1124 1125 1126 1128 1129 1134 1136 1140 1157 1161 1169 1172 1182 1184 1186 1200 1206 1207 1210 1214 1220 1227 1229 1242 1243 1244 1252 1261 1268 1274 1275 1276 1289 1297 1300 1303 1315 1316 1323 1378 1387 1390 1397 1400 1414 1415 1425 1426 1428 1430 1432 1444 1456 1458 1459 1464 1465 1484 1486 1487 1512 1521 1526 1540 1543 1546 1558 1580 1590 1592 1593 1597 1598 1625 1632 1636 1642 1643 1647 1651 1657 1663 1672 1684 1688 1692 1701 1716 1725 1728 1739 1742 1751 1753 1770 1774 1775 1777 1781 1782 1787 1791 1792 1793 1794 1800 1801 1811 1815 1816 1831 1833 1835 1836 1842 1844 1849 1851 1854 1855 1865 1869 1888 1895 1898 1899 1901 1906 1926 1927 1936 1938 1942 1957 1976 1997 2012 2025 2035]\n# step=0 row=308 minW=342 found cw of W=340: [3 7 17 30 31 42 43 44 49 50 57 60 68 69 75 79 82 87 88 92 93 96 99 108 112 116 126 145 149 152 169 173 184 192 195 202 208 209 212 216 218 221 237 238 250 251 252 256 259 262 269 283 293 295 296 298 303 309 315 317 320 322 323 331 335 344 345 358 365 369 371 373 375 379 380 384 391 392 398 401 403 406 412 421 428 445 451 461 465 470 472 474 478 486 487 494 497 502 509 527 533 541 547 553 571 573 575 577 591 600 609 615 617 621 622 625 629 642 648 652 662 663 669 674 677 678 685 691 693 710 714 719 729 737 739 748 752 753 757 769 773 775 793 798 806 809 811 819 837 839 851 863 866 873 875 880 891 894 895 899 905 906 910 918 935 936 950 953 957 959 962 970 981 988 989 992 1005 1010 1013 1014 1018 1020 1026 1028 1036 1045 1049 1070 1089 1090 1095 1116 1122 1124 1125 1126 1133 1134 1136 1138 1152 1159 1162 1173 1180 1186 1192 1200 1203 1206 1207 1209 1221 1223 1226 1227 1228 1243 1244 1245 1251 1261 1263 1267 1276 1278 1288 1289 1303 1307 1318 1323 1325 1334 1338 1339 1341 1343 1345 1349 1352 1353 1366 1377 1381 1384 1391 1395 1397 1405 1415 1423 1426 1428 1433 1437 1439 1449 1452 1465 1487 1495 1499 1507 1518 1521 1526 1536 1540 1543 1546 1547 1572 1577 1580 1590 1592 1597 1598 1615 1624 1625 1627 1628 1631 1632 1639 1642 1647 1652 1653 1665 1685 1686 1692 1701 1712 1713 1733 1738 1739 1750 1765 1777 1778 1781 1787 1791 1792 1801 1811 1815 1831 1833 1841 1844 1854 1862 1864 1865 1895 1901 1904 1905 1910 1917 1926 1927 1935 1947 1950 1957 1973 1976 1985 1991 2002 2006 2013 2025]\n# step=2 row=330 minW=340 found cw of W=320: [7 12 16 17 22 25 33 47 52 58 60 68 73 77 82 88 90 91 96 122 124 125 127 130 136 138 139 141 145 146 149 154 158 167 168 186 187 191 197 204 206 210 212 236 238 243 246 249 255 259 262 270 285 289 293 301 306 310 312 317 321 326 327 330 336 361 369 375 382 383 387 395 398 403 414 427 430 431 442 446 452 459 468 469 477 483 488 490 496 497 498 499 507 516 529 530 536 538 539 541 545 548 551 554 559 563 570 579 581 586 587 594 596 600 622 624 635 637 644 648 651 652 663 673 678 702 704 719 731 734 738 745 758 783 789 790 803 805 811 818 821 847 849 852 853 856 861 864 873 876 877 879 880 888 891 902 918 920 922 928 929 930 934 937 944 953 965 966 973 989 990 994 997 1000 1005 1007 1018 1027 1029 1031 1040 1065 1066 1068 1082 1092 1093 1096 1097 1099 1101 1114 1115 1118 1139 1144 1146 1148 1156 1160 1170 1174 1202 1213 1215 1218 1219 1222 1234 1236 1241 1256 1261 1272 1273 1275 1280 1288 1301 1302 1306 1327 1329 1336 1337 1355 1362 1363 1366 1372 1374 1383 1386 1390 1393 1401 1404 1421 1435 1440 1467 1469 1475 1492 1493 1500 1504 1506 1507 1510 1516 1533 1536 1540 1543 1559 1562 1565 1584 1587 1591 1597 1600 1603 1612 1615 1620 1624 1626 1638 1649 1652 1659 1662 1667 1673 1699 1705 1715 1719 1720 1722 1729 1730 1737 1740 1741 1750 1763 1786 1787 1829 1831 1848 1871 1874 1884 1887 1890 1898 1902 1906 1913 1927 1936 1938 1940 1943 1949 1965 1973 1977 1981 1990 2003 2020 2021 2027 2032 2033]\n# step=8 row=426 minW=320 found cw of W=318: [3 5 9 15 17 30 38 41 47 60 63 67 74 76 78 81 83 94 101 104 107 108 114 117 126 127 132 137 141 159 164 166 183 184 187 190 217 230 243 249 250 254 261 273 276 278 279 284 292 298 321 331 337 338 342 346 352 359 366 367 368 370 379 380 381 382 386 389 398 401 403 411 414 415 416 420 422 433 463 473 477 479 482 495 496 517 531 541 542 544 554 561 566 580 583 588 592 594 595 624 630 631 634 635 661 664 666 676 681 682 692 695 700 708 709 713 714 721 725 731 733 734 741 744 753 756 759 768 771 778 779 788 790 802 807 817 840 843 851 852 853 858 859 860 862 864 865 870 871 882 889 898 904 924 930 952 955 956 957 962 974 976 979 980 982 985 986 1004 1009 1030 1034 1035 1043 1047 1049 1052 1054 1064 1070 1084 1100 1103 1104 1110 1112 1120 1127 1136 1142 1144 1145 1147 1156 1157 1162 1176 1187 1190 1191 1194 1203 1204 1205 1209 1214 1224 1253 1256 1261 1272 1274 1275 1283 1284 1286 1289 1292 1296 1297 1317 1320 1337 1342 1344 1347 1349 1353 1354 1357 1385 1388 1391 1399 1402 1405 1411 1419 1421 1433 1441 1442 1448 1449 1453 1458 1477 1509 1517 1518 1563 1570 1573 1601 1604 1620 1623 1631 1635 1649 1667 1669 1680 1681 1683 1697 1698 1710 1716 1734 1744 1753 1763 1767 1768 1777 1793 1812 1823 1831 1840 1844 1847 1853 1855 1864 1867 1868 1873 1878 1879 1884 1886 1895 1898 1915 1935 1937 1944 1945 1948 1949 1951 1953 1956 1961 1966 1969 1982 1990 2009 2010 2019 2020 2023 2025 2026 2030 2040]\n# step=38 row=414 minW=318 found cw of W=316: [15 16 22 37 41 50 51 56 57 59 71 74 76 81 85 90 108 110 117 120 121 128 135 143 145 147 157 163 177 180 185 186 188 198 199 205 209 211 213 216 240 245 252 257 258 261 263 265 269 270 271 274 283 288 293 308 312 321 324 328 330 339 350 359 360 372 375 382 385 386 410 414 418 421 433 439 446 464 468 479 480 485 495 504 514 517 519 529 531 553 557 559 568 571 581 586 590 594 603 605 611 619 632 634 636 639 640 650 653 654 666 674 684 689 707 714 718 740 744 745 748 751 768 773 791 799 801 802 808 809 812 825 832 833 834 838 839 845 851 854 862 874 890 895 896 899 900 936 937 947 949 960 977 985 986 992 997 1002 1008 1011 1022 1025 1037 1038 1041 1042 1045 1052 1054 1064 1068 1079 1087 1097 1102 1103 1108 1109 1110 1134 1143 1144 1147 1150 1158 1164 1167 1170 1173 1174 1178 1184 1193 1199 1209 1216 1218 1230 1232 1239 1253 1263 1264 1266 1280 1286 1292 1304 1315 1318 1326 1348 1350 1354 1356 1359 1367 1369 1373 1381 1387 1388 1392 1397 1398 1401 1403 1409 1412 1415 1417 1432 1435 1441 1446 1451 1460 1462 1464 1465 1476 1479 1487 1498 1499 1500 1508 1509 1517 1519 1526 1527 1549 1555 1558 1561 1571 1590 1599 1604 1612 1620 1644 1647 1663 1665 1684 1695 1697 1701 1720 1724 1730 1736 1744 1748 1751 1752 1757 1761 1772 1777 1778 1784 1785 1802 1808 1809 1817 1832 1837 1844 1850 1859 1874 1884 1887 1892 1906 1910 1936 1937 1939 1944 1948 1962 1964 1979 1982 1988 1998 2008 2021 2029 2037 2039]\n# step=57 row=763 minW=316 found cw of W=314: [5 6 9 13 17 25 31 32 39 40 46 50 51 72 74 84 91 95 108 120 125 140 150 160 161 183 185 187 194 199 211 220 228 234 241 242 243 248 250 252 254 260 267 272 273 279 288 303 304 306 315 321 326 327 329 333 334 346 350 370 371 382 407 408 409 414 418 426 431 440 441 448 459 463 469 486 488 490 493 495 508 515 520 529 536 537 542 547 554 565 570 580 582 587 592 594 601 611 615 623 630 636 638 644 652 655 667 676 684 695 698 705 720 723 740 741 758 761 762 763 768 775 781 782 788 789 795 797 799 814 831 840 843 852 854 857 859 870 871 872 875 876 890 892 893 894 896 900 903 909 915 926 943 948 953 956 963 974 981 986 994 1008 1016 1022 1025 1036 1046 1047 1051 1054 1055 1058 1063 1067 1072 1073 1081 1084 1092 1098 1100 1105 1111 1123 1129 1131 1140 1143 1145 1148 1153 1155 1162 1165 1169 1170 1182 1194 1203 1211 1215 1219 1222 1223 1225 1230 1231 1238 1247 1258 1265 1270 1277 1281 1291 1299 1300 1309 1323 1331 1332 1335 1349 1354 1369 1371 1378 1379 1381 1382 1383 1392 1395 1397 1412 1420 1430 1440 1448 1453 1454 1459 1460 1466 1468 1472 1488 1492 1494 1498 1500 1501 1508 1512 1525 1535 1547 1567 1572 1585 1587 1592 1593 1609 1647 1649 1655 1661 1666 1679 1688 1691 1709 1728 1732 1741 1743 1759 1769 1780 1782 1790 1801 1815 1818 1823 1825 1846 1857 1870 1879 1888 1906 1910 1913 1914 1920 1926 1934 1955 1966 1969 1976 1980 1983 1984 1991 1993 2004 2009 2015 2022 2027 2029]\n# step=67 row=458 minW=314 found cw of W=312: [3 10 11 17 20 24 27 30 32 38 39 57 58 70 80 85 99 100 108 114 115 116 129 143 147 162 180 188 189 203 205 209 224 236 239 243 244 249 263 271 280 285 286 288 290 293 295 300 302 303 308 311 330 332 338 358 361 364 369 376 377 384 392 406 410 412 415 420 421 432 443 446 453 454 455 459 485 488 493 516 518 522 526 530 535 539 541 545 555 556 558 560 577 579 581 586 608 609 613 617 624 628 636 637 640 647 650 654 660 661 666 679 680 681 683 697 706 716 722 723 733 737 755 765 769 792 796 800 803 818 824 825 826 831 835 836 843 844 847 849 851 852 853 859 863 864 869 871 872 875 881 892 897 899 900 909 913 918 928 930 932 938 944 947 958 974 987 990 995 1001 1004 1024 1028 1061 1080 1084 1092 1093 1099 1102 1117 1137 1140 1147 1149 1156 1165 1168 1171 1180 1182 1186 1193 1194 1198 1205 1206 1210 1220 1223 1226 1230 1236 1250 1255 1256 1263 1266 1269 1273 1297 1304 1307 1308 1313 1341 1345 1365 1378 1379 1381 1405 1406 1416 1418 1421 1427 1437 1443 1446 1452 1458 1471 1482 1484 1487 1489 1514 1517 1520 1531 1535 1536 1539 1547 1558 1561 1563 1565 1573 1578 1583 1588 1625 1628 1630 1635 1658 1664 1666 1668 1676 1689 1694 1696 1704 1708 1712 1737 1738 1740 1741 1754 1759 1762 1766 1776 1778 1789 1795 1814 1815 1819 1828 1829 1838 1843 1862 1863 1869 1870 1877 1880 1890 1891 1897 1900 1924 1934 1937 1941 1947 1951 1953 1967 1985 2004 2009 2012 2020 2021 2029]\n# step=148 row=827 minW=312 found cw of W=306: [6 8 17 20 22 25 34 38 40 43 49 51 52 57 69 74 79 107 109 115 122 123 125 131 137 141 142 154 157 163 164 165 166 176 179 180 185 194 213 215 223 226 234 236 243 250 254 260 262 269 274 289 291 295 301 304 306 307 310 318 322 342 358 360 400 407 408 430 431 436 438 450 460 465 471 475 487 488 496 511 523 536 537 543 546 552 554 561 570 571 572 575 594 597 604 613 616 623 632 634 636 638 643 649 656 658 665 672 687 690 713 719 724 731 742 747 749 752 760 766 769 773 799 801 804 817 818 822 824 831 832 834 841 856 857 868 878 893 908 918 919 920 922 923 932 937 944 945 946 949 952 954 960 977 978 986 1020 1023 1036 1037 1040 1045 1050 1055 1056 1083 1097 1111 1120 1132 1148 1158 1160 1174 1175 1182 1192 1194 1197 1199 1209 1216 1221 1223 1227 1229 1233 1237 1243 1258 1260 1281 1287 1300 1303 1315 1323 1338 1341 1358 1360 1363 1373 1374 1375 1389 1391 1396 1400 1411 1412 1424 1425 1429 1439 1457 1472 1482 1494 1496 1502 1510 1511 1514 1519 1540 1546 1550 1556 1560 1575 1585 1586 1591 1592 1596 1600 1601 1602 1604 1620 1621 1625 1628 1630 1631 1637 1646 1658 1664 1671 1678 1681 1690 1714 1723 1726 1727 1731 1735 1741 1769 1771 1776 1782 1788 1801 1830 1844 1850 1854 1856 1861 1862 1866 1876 1882 1887 1895 1906 1911 1914 1915 1919 1922 1933 1941 1944 1953 1954 1957 1959 1960 1963 1967 1968 1972 1993 1995 2003 2005 2013 2020 2028 2035 2036]\n# step=296 row=1014 minW=306 found cw of W=294: [2 5 8 18 22 33 45 54 56 60 68 69 70 76 85 91 93 94 96 103 104 117 123 147 150 155 161 166 171 178 181 186 191 205 206 208 209 216 222 226 227 233 242 255 276 292 297 300 305 306 319 321 338 372 373 375 386 391 406 421 433 435 439 449 466 469 473 475 476 478 480 485 491 496 502 504 508 509 521 528 538 539 540 541 546 551 562 565 578 583 586 597 600 602 608 635 646 664 666 680 688 689 692 710 722 728 736 741 756 761 769 775 786 799 802 806 815 817 818 819 823 831 837 839 846 856 864 871 874 885 895 919 931 932 942 946 950 964 969 975 978 979 987 989 992 1000 1007 1008 1014 1015 1017 1019 1020 1021 1029 1033 1040 1048 1049 1052 1055 1057 1065 1082 1083 1089 1094 1108 1110 1111 1113 1116 1118 1119 1120 1122 1123 1124 1128 1135 1139 1141 1149 1153 1160 1166 1188 1189 1191 1201 1211 1218 1233 1236 1255 1263 1264 1265 1278 1280 1282 1283 1285 1292 1294 1296 1299 1306 1307 1310 1315 1322 1323 1337 1346 1354 1356 1359 1363 1380 1382 1387 1390 1400 1405 1409 1413 1419 1422 1427 1428 1433 1434 1435 1439 1444 1460 1491 1498 1509 1510 1513 1514 1529 1532 1545 1553 1557 1560 1568 1569 1572 1575 1596 1601 1608 1621 1657 1659 1666 1683 1687 1690 1704 1710 1712 1718 1726 1794 1801 1803 1810 1840 1849 1851 1853 1855 1866 1870 1880 1917 1923 1926 1939 1944 1962 1972 1980 1984 1992 1994 2001 2024 2040]\n# step=883 row=383 minW=294 found cw of W=30: [68 69 82 86 104 111 362 369 376 383 408 668 672 676 682 690 696 711 714 961 965 972 989 990 1007 1261 1262 1275 1282 1297]\n# round=1000 of 10000 minW=30\n# round=2000 of 10000 minW=30\n# step=2517 row=84 minW=30 found cw of W=20: [140 159 171 175 176 179 441 459 472 480 1033 1040 1061 1080 1333 1347 1348 1352 1364 1372]\n#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</si>
  <si>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minW=2075 found cw of W=438: [1 2 7 8 23 25 29 33 34 36 39 40 43 53 55 56 57 65 74 78 83 93 94 99 100 101 106 109 111 116 120 130 133 143 150 168 173 178 180 182 187 190 191 192 193 196 201 205 211 217 220 225 230 235 242 246 254 255 271 273 276 280 281 286 297 301 307 310 311 313 323 331 338 344 348 355 363 364 366 367 377 384 391 393 394 400 408 409 412 414 416 421 422 428 433 435 438 439 442 443 444 449 459 460 468 473 474 475 478 481 485 496 498 501 502 503 505 508 511 515 517 528 537 544 549 555 562 563 564 566 567 582 585 589 598 599 601 612 615 619 621 627 628 632 635 639 640 651 666 670 675 679 686 690 693 699 701 722 723 729 731 737 738 744 755 766 771 775 778 782 784 787 788 791 801 805 807 816 822 827 828 829 836 838 841 845 846 857 859 860 863 865 872 874 876 880 882 886 891 902 903 907 909 911 916 919 923 924 927 933 942 946 950 957 958 963 969 979 982 989 990 1013 1025 1028 1030 1036 1037 1038 1054 1057 1058 1059 1068 1071 1079 1083 1091 1096 1100 1102 1104 1111 1112 1113 1114 1118 1121 1141 1144 1153 1155 1156 1162 1165 1168 1170 1171 1174 1189 1190 1199 1202 1203 1209 1213 1215 1220 1223 1229 1233 1240 1244 1249 1254 1256 1259 1261 1263 1266 1267 1273 1275 1289 1290 1293 1294 1300 1310 1315 1320 1333 1338 1339 1341 1343 1344 1354 1364 1365 1366 1368 1373 1375 1380 1382 1387 1392 1399 1405 1408 1413 1425 1435 1436 1446 1450 1457 1463 1464 1465 1471 1477 1484 1488 1491 1494 1498 1499 1505 1508 1514 1517 1523 1528 1534 1541 1547 1550 1556 1572 1573 1585 1593 1594 1596 1605 1608 1613 1614 1617 1623 1624 1625 1643 1646 1649 1650 1656 1665 1670 1673 1682 1683 1708 1709 1713 1714 1716 1719 1727 1734 1754 1756 1759 1765 1776 1778 1780 1781 1787 1793 1805 1807 1818 1824 1828 1831 1832 1837 1838 1840 1847 1849 1853 1862 1868 1871 1880 1890 1894 1899 1902 1904 1905 1908 1918 1919 1921 1924 1936 1937 1938 1945 1948 1962 1965 1966 1968 1971 1972 1974 1977 1990 2004 2007 2016 2025 2028 2036 2041 2044 2046 2059 2067 2068 2069 2072 2074]\n# step=0 row=1 minW=438 found cw of W=380: [2 3 6 7 12 18 23 25 39 47 55 57 59 72 75 78 83 84 88 89 90 99 100 105 113 127 130 134 137 143 151 155 158 159 163 169 173 179 187 190 191 192 193 194 195 196 201 202 207 211 217 218 230 243 244 246 249 257 267 271 276 281 286 297 300 301 305 307 308 310 311 313 320 333 335 337 344 348 355 363 366 367 377 384 385 389 391 393 399 400 408 409 414 421 425 428 435 440 442 452 454 460 464 472 473 474 481 485 486 493 501 502 503 505 511 517 520 530 536 537 541 542 543 544 546 547 555 556 563 566 568 570 582 587 589 603 605 612 614 627 635 638 639 640 643 652 655 665 666 670 672 674 690 691 699 700 701 707 712 722 723 725 732 740 744 763 769 778 785 801 807 812 820 827 828 829 836 839 842 843 845 846 848 856 858 877 881 886 904 911 919 923 927 943 950 954 955 958 959 962 966 969 979 982 983 985 986 993 1002 1007 1011 1024 1030 1034 1035 1036 1040 1043 1047 1051 1057 1058 1078 1086 1092 1099 1100 1111 1112 1118 1120 1121 1156 1164 1170 1171 1174 1189 1199 1205 1209 1213 1221 1223 1234 1236 1240 1244 1246 1248 1252 1256 1257 1273 1275 1281 1293 1297 1298 1310 1315 1316 1326 1328 1333 1334 1338 1348 1349 1353 1362 1378 1379 1392 1403 1405 1425 1436 1437 1442 1449 1456 1457 1459 1463 1465 1480 1499 1500 1505 1508 1521 1539 1551 1553 1554 1555 1560 1572 1585 1586 1593 1594 1616 1634 1649 1653 1656 1663 1682 1687 1688 1692 1703 1709 1714 1718 1727 1734 1744 1746 1748 1760 1765 1784 1786 1787 1793 1799 1807 1812 1822 1828 1831 1832 1838 1841 1844 1847 1851 1862 1870 1871 1875 1877 1890 1892 1902 1904 1905 1908 1913 1917 1919 1920 1921 1924 1948 1962 1965 1968 1971 1972 1974 1976 1977 1990 1998 2010 2014 2025 2026 2041 2048 2059 2067 2068 2069 2072 2074]\n# step=0 row=34 minW=380 found cw of W=372: [2 7 8 18 29 30 36 43 47 55 61 65 72 78 84 88 89 90 94 101 103 105 106 109 111 113 129 133 143 151 152 168 169 171 173 175 179 180 190 194 196 201 207 208 209 211 217 223 235 242 244 245 246 255 257 269 275 276 280 288 298 301 305 306 311 320 323 331 332 333 338 348 349 351 353 355 363 364 366 367 377 384 389 391 393 399 400 408 409 421 425 429 433 439 440 443 449 454 467 473 474 475 477 481 487 492 493 496 498 502 503 505 508 515 517 542 549 555 566 570 587 598 605 612 614 619 621 627 651 652 655 665 666 674 686 693 696 707 712 722 725 738 739 740 766 784 805 816 824 827 828 831 845 846 848 852 859 861 868 872 876 880 885 891 902 904 907 916 924 946 950 952 957 958 962 963 969 979 982 983 985 986 993 994 996 1001 1002 1013 1028 1036 1040 1043 1047 1051 1059 1071 1083 1086 1087 1088 1091 1096 1099 1102 1104 1109 1111 1114 1135 1144 1151 1155 1156 1162 1164 1165 1168 1186 1189 1206 1209 1213 1215 1221 1233 1234 1240 1244 1248 1249 1254 1256 1259 1261 1289 1290 1291 1293 1294 1298 1300 1302 1310 1315 1316 1327 1333 1334 1338 1340 1343 1348 1354 1364 1368 1372 1373 1379 1380 1382 1387 1396 1399 1405 1407 1413 1421 1425 1437 1463 1464 1480 1484 1488 1491 1494 1500 1504 1514 1517 1521 1523 1528 1532 1547 1550 1551 1553 1554 1556 1560 1568 1572 1576 1579 1584 1593 1596 1623 1643 1646 1650 1653 1663 1678 1682 1683 1687 1692 1703 1713 1752 1765 1780 1781 1784 1785 1787 1790 1799 1818 1821 1822 1824 1831 1832 1833 1837 1838 1840 1841 1844 1851 1852 1853 1868 1877 1880 1882 1884 1892 1903 1908 1917 1920 1921 1934 1936 1937 1946 1962 1965 1971 1974 1977 1986 1990 1995 1999 2004 2010 2014 2042 2044 2045 2046 2052 2058 2059 2068 2069 2074]\n# step=0 row=43 minW=372 found cw of W=354: [2 7 8 25 27 29 39 43 47 56 57 64 72 73 81 83 84 91 93 94 99 100 106 109 120 135 151 152 168 169 178 180 182 189 190 194 195 205 217 221 223 225 246 247 249 257 265 276 286 298 300 301 304 307 311 313 331 338 348 349 355 367 369 379 385 389 391 393 394 399 408 409 412 414 421 425 429 439 444 454 459 460 467 468 472 477 481 485 486 493 494 496 498 501 502 503 506 517 520 528 530 536 537 549 555 567 570 587 589 601 615 628 632 635 638 643 651 655 657 660 663 666 672 686 693 696 699 700 712 722 731 737 738 739 740 752 755 770 771 775 784 785 787 788 806 816 820 822 827 834 836 841 843 865 872 873 874 876 877 879 880 881 886 891 916 919 941 952 957 958 959 969 985 986 990 993 996 1001 1002 1033 1035 1036 1038 1040 1047 1048 1049 1050 1051 1054 1057 1078 1079 1080 1087 1096 1100 1102 1103 1104 1109 1118 1123 1126 1151 1155 1162 1174 1186 1190 1205 1206 1209 1215 1220 1229 1230 1236 1240 1244 1249 1252 1254 1259 1293 1298 1302 1326 1327 1331 1333 1334 1338 1339 1340 1341 1354 1365 1368 1373 1375 1379 1396 1399 1405 1413 1436 1437 1444 1446 1449 1450 1463 1477 1484 1486 1488 1491 1494 1499 1517 1521 1528 1532 1535 1536 1546 1547 1550 1553 1554 1555 1556 1566 1568 1573 1576 1584 1593 1596 1613 1616 1617 1621 1625 1634 1637 1639 1645 1646 1649 1650 1672 1683 1686 1687 1692 1698 1709 1718 1734 1746 1748 1776 1781 1784 1790 1821 1822 1828 1832 1838 1845 1847 1851 1852 1853 1862 1868 1880 1882 1888 1894 1896 1904 1908 1909 1913 1919 1921 1936 1938 1945 1946 1948 1949 1965 1968 1974 1976 1984 1990 1999 2005 2007 2010 2016 2028 2036 2037 2041 2042 2046 2072]\n# step=1 row=523 minW=354 found cw of W=352: [2 8 14 15 16 17 30 32 33 37 42 44 60 62 64 65 67 68 71 72 74 75 78 82 92 96 99 108 109 115 119 122 123 126 138 139 142 151 153 154 156 159 168 170 174 185 197 199 200 205 215 216 233 248 251 258 264 266 278 289 296 304 306 311 320 321 328 333 348 359 363 365 379 381 392 393 394 401 405 406 413 414 416 423 424 426 427 433 442 444 450 453 456 459 460 463 478 492 493 496 498 505 519 525 527 542 547 550 559 560 561 566 569 570 571 575 579 580 583 588 594 637 646 654 661 663 667 675 679 688 689 694 701 702 712 716 728 734 741 742 749 751 755 769 772 776 778 781 790 793 798 807 814 821 829 831 845 853 859 860 868 871 875 880 881 886 887 888 898 904 905 915 921 929 930 932 933 936 939 940 943 946 947 957 958 959 965 968 984 987 993 994 995 1003 1009 1019 1021 1033 1037 1060 1065 1077 1084 1089 1098 1104 1124 1126 1129 1142 1146 1154 1161 1167 1171 1172 1180 1183 1184 1185 1186 1197 1212 1214 1223 1231 1232 1233 1258 1261 1263 1264 1271 1272 1284 1285 1291 1298 1301 1308 1321 1335 1346 1362 1367 1368 1373 1375 1381 1382 1400 1414 1441 1459 1461 1469 1473 1476 1478 1479 1480 1482 1491 1495 1500 1505 1512 1518 1519 1526 1527 1529 1533 1537 1556 1570 1571 1575 1582 1587 1588 1593 1600 1601 1614 1623 1639 1644 1653 1654 1656 1659 1660 1664 1688 1691 1695 1698 1709 1716 1739 1747 1748 1750 1753 1755 1763 1765 1768 1769 1778 1795 1808 1812 1817 1818 1819 1827 1835 1840 1846 1847 1853 1854 1856 1859 1862 1864 1868 1874 1875 1886 1891 1893 1900 1913 1914 1925 1926 1940 1990 1991 2004 2012 2032 2033 2038 2046 2048 2052 2056 2065]\n# step=2 row=576 minW=352 found cw of W=348: [1 4 6 11 13 17 19 23 30 31 33 35 36 46 50 53 57 65 73 76 79 88 89 92 95 115 117 119 121 125 126 130 135 139 143 147 152 155 165 167 175 177 182 196 198 227 235 237 243 245 253 255 257 261 270 271 274 279 282 292 307 310 319 331 339 356 364 365 388 389 393 397 410 411 413 418 422 431 434 436 459 469 471 480 490 501 508 512 514 520 521 524 529 534 537 550 557 558 561 567 570 574 579 587 593 600 601 617 620 625 628 629 630 640 643 659 668 669 670 671 685 693 694 699 712 722 723 725 726 729 735 737 738 742 745 750 755 761 777 782 790 793 794 812 814 820 827 828 830 837 852 855 858 868 869 871 879 885 899 904 907 910 911 926 928 944 949 955 959 963 972 975 978 980 984 990 997 1007 1009 1011 1025 1028 1037 1043 1047 1052 1054 1059 1060 1063 1066 1067 1068 1069 1071 1072 1080 1088 1095 1097 1103 1104 1105 1134 1135 1145 1150 1162 1168 1178 1184 1188 1197 1201 1205 1206 1218 1221 1222 1230 1232 1233 1244 1247 1252 1257 1261 1265 1266 1268 1279 1288 1319 1327 1337 1339 1343 1344 1346 1349 1352 1359 1371 1372 1375 1380 1387 1395 1400 1412 1430 1431 1437 1440 1443 1453 1457 1462 1464 1475 1481 1482 1485 1508 1513 1521 1522 1526 1530 1538 1547 1548 1552 1553 1556 1558 1566 1574 1576 1582 1597 1602 1604 1607 1609 1618 1636 1646 1660 1664 1673 1682 1685 1694 1696 1708 1710 1713 1719 1736 1739 1765 1777 1779 1786 1787 1795 1815 1817 1818 1831 1838 1842 1854 1863 1867 1868 1878 1885 1898 1899 1906 1907 1910 1917 1928 1932 1939 1949 1962 1964 1968 1970 1992 2009 2013 2017 2018 2020 2030 2031 2034 2037 2040 2045 2050 2066 2067]\n# step=2 row=983 minW=348 found cw of W=340: [3 14 16 17 19 26 27 30 31 35 36 43 46 50 52 57 73 76 79 88 89 90 95 105 119 121 126 130 143 155 160 165 166 168 180 182 193 198 205 207 215 223 225 226 235 237 249 251 260 261 269 271 279 282 286 299 302 305 307 310 316 324 326 333 337 341 356 365 375 378 382 383 395 404 409 413 422 431 434 441 450 460 480 500 508 514 516 517 518 519 521 525 529 531 533 557 561 564 574 577 588 590 593 598 600 601 605 607 608 629 630 635 640 647 648 651 656 662 671 681 682 685 687 694 699 719 726 728 729 731 738 742 743 745 750 753 755 768 770 796 804 807 814 820 827 829 830 836 841 855 863 869 874 894 899 907 910 911 924 926 927 945 947 963 966 967 978 981 983 997 1006 1007 1011 1021 1025 1028 1039 1042 1043 1047 1052 1054 1056 1067 1068 1069 1071 1079 1080 1095 1109 1112 1118 1120 1145 1150 1172 1180 1185 1188 1192 1194 1201 1209 1210 1218 1221 1233 1236 1241 1243 1246 1252 1257 1265 1272 1277 1278 1281 1283 1302 1319 1320 1330 1334 1340 1346 1352 1354 1359 1371 1372 1377 1379 1387 1390 1410 1418 1419 1430 1431 1437 1443 1450 1456 1457 1462 1469 1475 1476 1481 1483 1485 1512 1515 1520 1521 1527 1530 1534 1547 1563 1568 1579 1583 1587 1596 1602 1603 1608 1622 1633 1636 1646 1650 1654 1661 1664 1673 1693 1694 1696 1713 1719 1728 1730 1736 1738 1742 1751 1754 1765 1777 1780 1785 1787 1788 1791 1794 1795 1813 1815 1817 1818 1831 1833 1838 1849 1854 1864 1868 1875 1882 1885 1887 1893 1894 1910 1914 1916 1922 1934 1937 1949 1964 1968 1969 1978 1983 1995 1999 2012 2014 2016 2021 2040 2041 2044 2059 2060]\n# step=4 row=465 minW=340 found cw of W=336: [12 14 16 20 22 24 26 43 45 51 76 79 80 81 86 95 107 108 110 113 127 128 130 131 137 145 151 159 168 171 189 190 195 196 207 210 215 265 268 278 283 286 296 298 307 314 327 328 337 338 346 348 349 351 354 360 364 372 381 386 387 396 402 408 413 414 422 425 440 443 445 455 457 472 481 482 501 504 511 515 522 523 537 538 553 554 557 577 595 596 600 609 614 624 628 634 636 650 652 656 658 664 679 684 690 705 707 709 720 721 725 727 740 744 745 752 755 767 769 781 784 789 794 801 804 810 812 817 822 844 847 852 857 861 862 881 888 891 892 899 909 914 915 916 917 919 924 926 942 947 950 952 953 956 965 978 981 990 991 1000 1005 1006 1014 1019 1027 1029 1038 1052 1053 1072 1079 1082 1084 1088 1090 1092 1097 1105 1116 1119 1120 1121 1128 1133 1136 1141 1145 1147 1149 1150 1151 1152 1153 1162 1164 1169 1170 1171 1175 1199 1201 1204 1217 1220 1222 1244 1245 1246 1248 1255 1264 1275 1284 1292 1296 1301 1311 1315 1322 1323 1325 1329 1338 1346 1353 1354 1355 1356 1360 1362 1383 1386 1391 1396 1401 1405 1413 1420 1429 1438 1442 1447 1450 1452 1454 1459 1464 1468 1475 1476 1481 1483 1492 1493 1497 1499 1513 1516 1520 1521 1524 1534 1539 1552 1573 1575 1576 1581 1586 1590 1591 1592 1593 1603 1607 1622 1627 1635 1640 1666 1674 1675 1676 1699 1704 1707 1732 1736 1752 1755 1756 1758 1763 1774 1779 1791 1803 1804 1807 1812 1815 1817 1818 1831 1832 1843 1846 1847 1849 1850 1853 1858 1864 1865 1870 1872 1884 1901 1929 1932 1936 1938 1939 1940 1966 1972 1978 1983 1987 2019 2034 2054 2059 2066 2068 2073]\n# step=11 row=393 minW=336 found cw of W=332: [4 7 10 24 25 27 35 36 42 46 65 73 74 80 92 93 108 115 119 126 142 147 151 153 154 156 160 161 165 173 174 175 188 198 204 221 224 233 235 243 248 250 255 260 263 267 268 278 283 286 302 305 309 315 331 332 341 349 363 380 383 386 392 395 399 408 410 411 414 419 426 427 428 430 443 451 461 466 471 480 483 486 493 496 506 508 511 514 528 535 543 550 551 556 559 566 570 573 575 576 587 592 618 632 634 642 646 648 653 665 681 683 687 704 710 712 722 723 729 731 740 743 752 756 757 758 761 762 766 774 776 777 787 791 802 814 817 826 835 859 860 863 869 874 877 880 881 891 894 899 901 902 907 912 920 925 927 939 942 948 953 958 959 971 977 985 991 996 998 1018 1021 1028 1035 1036 1043 1048 1053 1074 1083 1085 1087 1097 1098 1099 1105 1109 1110 1111 1112 1139 1149 1165 1168 1172 1181 1188 1195 1200 1208 1210 1211 1215 1225 1238 1250 1253 1254 1261 1265 1277 1295 1297 1308 1313 1316 1319 1334 1352 1356 1359 1369 1372 1376 1389 1392 1393 1399 1401 1404 1408 1411 1418 1428 1437 1440 1443 1453 1454 1463 1467 1471 1473 1475 1481 1492 1494 1499 1504 1509 1511 1514 1519 1523 1539 1544 1555 1565 1569 1579 1585 1588 1595 1597 1606 1608 1617 1624 1626 1628 1629 1640 1647 1670 1671 1672 1682 1686 1694 1710 1711 1713 1724 1725 1729 1740 1741 1753 1756 1764 1772 1788 1797 1802 1805 1806 1815 1816 1826 1829 1833 1841 1846 1859 1861 1871 1872 1873 1880 1887 1900 1905 1910 1912 1913 1914 1915 1923 1950 1956 1957 1972 1974 1991 1993 2019 2021 2024 2039 2052 2057 2062 2066]\n# step=17 row=394 minW=332 found cw of W=330: [3 38 40 50 51 56 61 63 68 82 83 93 96 111 117 119 124 132 136 152 155 156 160 163 164 168 179 183 184 195 205 206 210 211 212 213 226 232 236 255 259 264 265 266 269 273 282 285 286 289 311 320 327 334 361 365 370 381 384 389 394 395 401 416 436 446 451 467 474 479 481 490 507 509 516 517 518 520 523 531 536 548 553 558 559 560 566 576 577 580 581 582 592 594 597 598 612 623 644 648 667 669 673 691 698 706 711 719 730 732 734 743 745 750 756 765 766 768 769 770 774 785 787 789 790 805 808 827 830 831 836 843 845 846 856 860 864 885 886 892 894 900 902 903 910 911 915 916 927 945 946 949 958 962 977 989 990 991 998 1002 1005 1008 1014 1019 1024 1030 1031 1046 1047 1058 1060 1065 1076 1077 1087 1091 1097 1098 1102 1107 1109 1119 1120 1122 1125 1135 1162 1165 1172 1181 1182 1189 1193 1194 1195 1196 1201 1202 1207 1209 1214 1216 1218 1221 1223 1230 1234 1242 1249 1267 1277 1278 1283 1284 1291 1293 1296 1307 1317 1329 1339 1357 1359 1361 1362 1374 1380 1381 1399 1412 1413 1420 1422 1428 1437 1439 1456 1460 1463 1476 1478 1490 1493 1494 1503 1509 1511 1515 1519 1529 1532 1536 1543 1560 1567 1572 1577 1588 1595 1604 1605 1612 1623 1626 1632 1636 1646 1657 1663 1679 1682 1687 1696 1700 1702 1703 1720 1721 1725 1735 1737 1743 1744 1746 1749 1750 1753 1763 1764 1777 1789 1791 1793 1797 1802 1803 1810 1832 1835 1850 1852 1854 1859 1870 1871 1872 1878 1882 1883 1887 1888 1900 1901 1913 1916 1919 1928 1929 1933 1950 1962 1970 1973 1988 2002 2007 2009 2019 2056 2061]\n# step=18 row=173 minW=330 found cw of W=328: [3 8 11 16 26 45 47 51 57 62 75 77 79 80 87 88 91 97 99 104 107 109 134 139 156 157 158 170 173 183 186 190 193 194 200 204 206 211 215 223 229 232 255 273 274 281 288 293 296 299 300 302 314 321 332 333 334 337 341 354 360 370 372 377 378 384 386 396 398 401 405 417 429 430 436 448 449 458 464 467 471 475 480 481 484 488 490 491 495 496 505 511 516 526 540 551 559 561 565 587 595 597 601 608 609 615 616 621 623 630 645 647 655 661 670 686 688 690 691 706 721 722 723 725 731 737 751 752 766 771 779 780 782 787 789 795 799 802 806 816 837 852 865 866 871 876 879 901 904 906 915 924 925 933 934 945 950 959 962 976 978 983 992 993 1007 1008 1018 1024 1028 1032 1034 1047 1057 1060 1061 1063 1085 1089 1103 1113 1119 1130 1141 1146 1154 1161 1162 1165 1166 1176 1182 1185 1188 1204 1215 1222 1227 1228 1234 1241 1246 1254 1256 1259 1273 1292 1297 1302 1304 1311 1313 1316 1317 1323 1329 1331 1341 1343 1348 1349 1355 1358 1360 1364 1366 1368 1369 1376 1377 1385 1401 1404 1422 1423 1440 1450 1453 1458 1461 1476 1480 1481 1482 1483 1486 1488 1506 1511 1519 1523 1524 1527 1533 1534 1537 1540 1543 1546 1555 1557 1572 1582 1594 1600 1602 1610 1626 1631 1632 1634 1635 1637 1639 1640 1651 1654 1657 1664 1666 1672 1675 1692 1698 1702 1707 1708 1716 1717 1726 1732 1754 1757 1761 1762 1768 1773 1791 1795 1802 1803 1808 1818 1820 1829 1831 1832 1835 1855 1885 1894 1898 1909 1912 1913 1918 1921 1925 1933 1934 1962 1983 2008 2012 2021 2026 2060 2070 2074]\n# step=24 row=409 minW=328 found cw of W=322: [10 11 25 30 33 36 39 41 44 54 59 60 84 88 98 99 100 101 109 110 116 120 122 132 137 138 147 150 154 165 181 187 189 190 203 204 215 218 222 226 236 239 242 244 273 276 280 282 287 290 297 300 306 312 318 319 321 325 328 332 333 341 358 388 405 411 416 419 421 424 435 443 456 460 466 467 474 476 480 488 509 517 518 519 520 527 538 539 540 541 544 563 567 575 580 582 590 594 595 602 605 611 613 623 629 637 640 642 643 676 682 690 695 705 723 730 754 770 772 790 791 804 811 820 829 837 839 845 847 854 860 862 872 879 882 890 894 904 905 919 920 921 923 924 927 933 937 938 941 947 955 961 975 981 984 989 1002 1004 1009 1011 1023 1050 1059 1066 1067 1072 1100 1102 1108 1110 1119 1121 1125 1126 1134 1150 1151 1155 1158 1178 1180 1183 1184 1189 1190 1192 1198 1201 1202 1213 1221 1223 1225 1226 1227 1229 1235 1237 1285 1286 1287 1300 1302 1309 1314 1322 1328 1331 1333 1336 1347 1355 1359 1362 1365 1379 1382 1386 1387 1394 1395 1400 1403 1405 1407 1411 1416 1424 1428 1433 1436 1439 1444 1447 1457 1458 1461 1462 1465 1473 1476 1479 1487 1490 1491 1500 1507 1513 1523 1537 1542 1549 1558 1565 1571 1575 1578 1579 1585 1590 1599 1609 1612 1616 1620 1621 1627 1641 1651 1666 1669 1671 1672 1698 1704 1707 1713 1719 1720 1723 1737 1745 1746 1761 1764 1766 1782 1784 1805 1807 1817 1820 1831 1854 1858 1872 1877 1878 1880 1885 1886 1893 1916 1917 1927 1981 1987 1994 1995 1998 2004 2012 2013 2015 2017 2018 2023 2041 2044 2048 2051 2070]\n# step=43 row=46 minW=322 found cw of W=320: [3 15 17 22 23 24 25 28 32 48 52 61 66 68 72 79 86 95 96 104 107 109 114 116 117 122 123 130 135 139 207 208 211 213 214 215 216 222 235 245 246 251 264 265 277 286 291 292 294 298 300 307 310 311 320 328 331 333 338 342 345 346 348 362 369 373 396 413 414 417 424 434 435 436 442 447 457 461 470 472 485 489 492 494 496 503 515 516 517 518 522 527 545 557 559 565 578 582 583 585 586 594 598 625 629 634 643 646 650 658 665 666 674 680 689 690 696 700 706 713 726 733 734 749 757 772 780 785 799 802 807 811 818 819 820 823 831 847 849 853 863 877 901 907 910 919 924 927 930 942 943 949 960 963 964 970 974 986 992 996 1006 1007 1008 1012 1025 1040 1048 1050 1078 1092 1101 1102 1125 1139 1156 1162 1167 1178 1186 1192 1199 1200 1207 1216 1217 1220 1227 1229 1233 1236 1237 1240 1243 1244 1245 1249 1254 1280 1292 1293 1294 1301 1306 1326 1331 1337 1354 1369 1372 1374 1378 1380 1384 1387 1390 1396 1399 1401 1404 1407 1438 1440 1441 1457 1469 1473 1477 1485 1486 1487 1491 1494 1500 1516 1518 1520 1537 1541 1548 1552 1553 1560 1563 1565 1584 1585 1589 1597 1602 1609 1623 1628 1636 1639 1645 1676 1684 1692 1694 1706 1709 1725 1737 1754 1768 1777 1785 1788 1789 1794 1797 1799 1814 1820 1833 1835 1841 1856 1863 1867 1868 1877 1879 1882 1887 1890 1900 1904 1912 1914 1929 1938 1939 1940 1943 1952 1955 1957 1965 1969 1971 1983 1987 1989 1990 1992 2003 2004 2011 2014 2016 2023 2030 2031 2044 2045 2063 2065 2070 2071]\n# step=134 row=108 minW=320 found cw of W=318: [9 18 25 46 48 53 56 59 66 72 76 78 94 115 121 124 133 140 152 155 162 165 167 168 173 176 182 190 196 197 198 203 206 209 212 215 219 220 229 232 237 239 241 244 245 253 256 262 279 285 289 291 293 298 300 305 307 314 321 324 332 336 351 353 354 355 365 382 383 385 395 412 417 423 444 453 461 473 499 506 510 524 529 530 531 533 536 558 580 581 583 596 600 607 609 614 627 631 633 634 635 647 651 663 670 674 676 682 685 686 688 694 717 734 739 744 745 749 756 759 761 762 765 766 771 774 779 795 797 799 806 812 822 829 830 838 842 843 849 852 853 854 860 865 866 879 881 884 896 900 907 926 928 947 950 964 969 991 999 1007 1008 1023 1026 1041 1049 1052 1060 1065 1070 1075 1078 1081 1084 1094 1095 1098 1099 1103 1114 1125 1137 1146 1151 1157 1159 1162 1163 1170 1171 1184 1186 1198 1199 1200 1202 1211 1231 1233 1243 1246 1247 1249 1250 1254 1264 1271 1277 1284 1286 1288 1290 1296 1305 1339 1341 1349 1356 1357 1358 1365 1376 1377 1385 1395 1405 1407 1408 1424 1432 1434 1435 1437 1444 1449 1450 1454 1468 1471 1477 1485 1490 1492 1509 1511 1535 1543 1550 1564 1568 1574 1578 1582 1588 1590 1599 1611 1627 1630 1637 1648 1664 1667 1673 1678 1683 1686 1688 1695 1696 1698 1702 1705 1720 1732 1738 1740 1761 1787 1793 1797 1807 1809 1823 1825 1830 1831 1836 1844 1852 1860 1861 1868 1871 1877 1879 1884 1886 1891 1926 1938 1944 1959 1969 1971 1975 1982 1986 1988 1996 2003 2023 2029 2034 2035 2051 2062 2068 2074]\n# step=158 row=618 minW=318 found cw of W=314: [7 18 23 24 27 33 36 38 39 41 45 54 55 75 77 81 82 89 111 123 125 128 130 132 145 146 159 160 161 162 164 166 178 182 185 192 205 212 221 233 240 245 255 267 268 274 285 292 307 325 337 338 344 351 352 353 354 356 360 362 376 388 391 394 397 409 412 421 441 447 467 473 476 480 489 499 502 505 506 519 525 539 542 553 554 556 561 573 575 583 595 612 617 625 632 638 642 649 651 653 656 659 666 667 668 683 684 685 687 695 697 700 707 708 716 721 722 725 729 732 733 739 751 759 762 766 767 770 792 802 803 804 813 817 823 825 839 848 850 856 858 863 878 883 884 886 888 899 912 916 920 931 933 937 943 946 947 955 957 964 979 989 990 1001 1002 1023 1034 1036 1040 1046 1047 1052 1055 1061 1067 1071 1072 1074 1079 1081 1082 1084 1095 1096 1097 1100 1105 1109 1117 1126 1138 1139 1143 1146 1168 1181 1187 1194 1208 1216 1221 1226 1227 1231 1234 1239 1244 1256 1257 1269 1273 1274 1276 1299 1303 1322 1323 1327 1329 1354 1363 1373 1382 1383 1391 1394 1400 1411 1413 1415 1416 1418 1429 1433 1445 1451 1452 1458 1462 1473 1475 1491 1494 1496 1498 1504 1513 1527 1542 1546 1550 1554 1557 1563 1570 1571 1584 1587 1604 1616 1627 1637 1645 1650 1662 1677 1681 1685 1694 1695 1701 1703 1722 1725 1736 1739 1746 1747 1755 1756 1760 1777 1789 1795 1800 1804 1805 1820 1830 1837 1839 1843 1845 1849 1851 1861 1868 1876 1883 1934 1938 1957 1961 1993 2001 2005 2013 2022 2032 2039 2046 2047 2059 2063]\n# step=160 row=442 minW=314 found cw of W=312: [2 5 7 15 18 20 25 35 36 67 83 93 101 125 142 143 145 149 150 161 163 166 168 170 179 192 209 210 215 228 241 244 245 262 263 264 269 276 277 282 283 286 292 293 298 301 316 321 324 333 334 343 347 359 361 364 366 368 371 388 389 405 406 409 410 417 419 427 428 429 431 432 443 447 452 457 469 492 511 513 515 530 539 545 548 566 570 571 573 576 579 581 594 600 602 606 607 608 612 613 616 619 632 633 639 641 649 663 673 676 677 702 705 720 721 736 744 750 755 757 766 767 786 789 800 801 808 825 830 843 845 847 848 849 854 872 876 878 879 880 881 883 885 894 899 900 906 910 927 948 949 959 961 962 976 981 982 988 989 992 993 1001 1011 1024 1029 1038 1045 1048 1056 1065 1072 1095 1097 1099 1117 1126 1129 1130 1133 1140 1144 1146 1149 1164 1175 1178 1182 1191 1194 1209 1220 1228 1246 1250 1255 1257 1259 1266 1282 1286 1291 1296 1300 1318 1325 1331 1338 1340 1348 1360 1371 1379 1386 1390 1391 1402 1404 1416 1418 1421 1426 1427 1431 1432 1446 1450 1454 1463 1467 1468 1470 1486 1488 1491 1492 1493 1509 1510 1512 1514 1519 1524 1539 1545 1547 1550 1552 1568 1582 1589 1599 1604 1606 1607 1608 1611 1638 1641 1645 1676 1679 1681 1682 1684 1686 1699 1701 1703 1710 1720 1722 1744 1757 1767 1779 1797 1801 1802 1805 1816 1824 1830 1835 1844 1845 1848 1850 1865 1871 1880 1897 1901 1908 1919 1941 1950 1955 1957 1997 1999 2002 2005 2010 2013 2018 2025 2028 2043 2052 2054 2071 2073]\n# step=394 row=506 minW=312 found cw of W=306: [1 2 9 10 25 26 30 39 45 46 47 53 57 62 64 67 70 74 83 86 87 107 108 116 127 129 133 139 152 157 162 177 186 208 210 217 219 222 226 227 237 238 244 250 252 284 292 295 298 301 305 310 312 326 329 332 341 343 344 354 358 371 372 373 377 381 387 406 408 409 414 416 432 460 468 475 483 486 492 507 520 524 531 535 538 547 552 556 580 583 587 598 600 609 611 615 616 617 626 654 655 658 664 673 677 680 683 691 696 697 705 729 731 737 762 764 765 770 773 789 798 799 807 823 831 833 844 856 860 868 869 876 891 892 894 895 896 898 905 914 915 918 972 973 974 983 988 990 991 993 1005 1023 1032 1035 1043 1048 1053 1054 1068 1069 1075 1092 1094 1101 1102 1108 1112 1114 1117 1119 1130 1132 1138 1148 1150 1186 1188 1190 1195 1197 1201 1203 1210 1214 1215 1219 1225 1229 1230 1232 1246 1275 1278 1283 1291 1299 1304 1321 1332 1333 1335 1357 1358 1369 1371 1372 1379 1388 1389 1402 1417 1429 1439 1447 1452 1453 1454 1458 1464 1465 1466 1467 1468 1483 1496 1508 1514 1518 1519 1520 1523 1527 1529 1532 1536 1537 1538 1551 1562 1570 1574 1581 1584 1609 1624 1631 1632 1635 1638 1643 1655 1657 1661 1662 1664 1667 1686 1695 1719 1733 1763 1764 1775 1794 1803 1824 1828 1831 1841 1850 1871 1873 1876 1888 1891 1899 1918 1924 1928 1930 1941 1944 1950 1955 1957 1959 1966 1974 1987 1992 1996 2005 2016 2021 2032 2034 2040 2041 2046 2054 2056 2057 2060 2063 2065 2071]\n# step=861 row=319 minW=306 found cw of W=302: [7 19 26 36 39 53 61 79 97 105 122 130 134 141 150 153 162 174 180 181 183 190 209 210 216 217 224 238 246 254 255 262 264 285 290 296 300 308 320 332 336 342 353 364 366 367 374 378 383 384 385 389 395 408 409 415 418 423 427 431 442 452 454 468 469 482 487 499 501 504 507 511 514 521 526 548 551 560 561 562 565 575 580 597 611 636 639 641 642 651 652 653 654 655 658 670 671 677 679 687 695 698 699 702 703 704 709 715 724 725 730 735 739 740 750 765 766 774 775 789 795 808 818 825 836 839 841 848 862 867 868 870 872 873 875 876 878 890 908 913 925 927 930 931 933 945 958 963 968 972 982 995 1006 1009 1019 1021 1030 1032 1039 1044 1051 1052 1061 1064 1071 1086 1088 1090 1093 1100 1115 1118 1148 1154 1155 1168 1176 1186 1187 1196 1201 1203 1205 1215 1218 1222 1223 1224 1235 1258 1260 1267 1270 1271 1273 1275 1283 1289 1291 1293 1295 1296 1297 1299 1303 1307 1310 1311 1314 1325 1335 1337 1340 1343 1352 1381 1385 1403 1409 1416 1421 1432 1436 1438 1454 1457 1462 1469 1472 1487 1525 1531 1536 1538 1577 1580 1581 1582 1589 1594 1602 1607 1608 1616 1617 1621 1622 1625 1633 1641 1643 1648 1652 1654 1664 1666 1667 1669 1673 1677 1681 1683 1686 1697 1705 1708 1738 1740 1775 1777 1784 1794 1800 1828 1836 1841 1849 1854 1865 1874 1887 1895 1897 1906 1923 1948 1951 1986 1997 2008 2011 2019 2040 2041 2042 2043 2047 2055 2059 2061 2067 2069]\n# round=1000 of 10000 minW=302\n# round=2000 of 10000 minW=302\n# step=2074 row=762 minW=302 found cw of W=66: [123 131 140 146 155 156 161 167 439 452 456 457 459 464 467 468 470 476 480 487 656 685 740 752 763 764 767 768 774 786 787 788 837 865 1042 1043 1050 1055 1063 1065 1071 1076 1077 1079 1082 1094 1343 1346 1348 1349 1353 1354 1366 1368 1371 1376 1377 1382 1383 1396 1400 1401 1402 1664 1885 2036]\n# round=3000 of 10000 minW=66\n# step=3048 row=764 minW=66 found cw of W=32: [152 154 156 158 162 464 466 472 477 480 481 734 735 764 770 772 777 781 784 788 790 1060 1063 1073 1074 1343 1345 1378 1382 1392 1393 1398]\n# round=4000 of 10000 minW=32\n# round=5000 of 10000 minW=32\n# round=6000 of 10000 minW=32\n# round=7000 of 10000 minW=32\n# round=8000 of 10000 minW=32\n# round=9000 of 10000 minW=32\n# round=10000 of 10000 minW=32\nRW algorithm upper bound for the distance d=32\n</t>
  </si>
  <si>
    <t># step=0 row=0 minW=2279 found cw of W=452: [3 4 23 25 48 57 63 64 75 77 82 86 87 102 103 108 109 110 112 119 121 122 124 127 128 129 133 148 158 160 161 165 166 181 191 195 196 201 202 205 214 215 220 221 223 228 232 237 238 244 253 255 256 261 266 270 281 285 288 293 295 296 301 307 309 310 316 319 323 339 341 345 346 351 353 354 359 360 363 365 368 373 388 391 392 408 413 417 426 427 439 440 445 449 454 455 460 468 476 485 487 489 496 498 502 513 519 524 525 526 528 529 530 533 540 553 554 563 565 566 568 587 591 610 614 616 621 623 628 629 634 635 642 646 647 648 650 662 665 667 668 675 676 682 684 696 698 700 705 713 718 720 726 728 732 746 755 761 763 764 766 770 779 799 810 815 818 826 835 839 842 843 848 849 862 864 865 873 876 885 889 893 897 900 904 915 921 935 946 965 970 977 984 985 992 994 997 998 1009 1010 1012 1015 1016 1028 1030 1040 1043 1045 1049 1053 1060 1065 1066 1067 1074 1077 1082 1099 1100 1102 1105 1123 1126 1129 1130 1132 1153 1158 1165 1177 1179 1182 1190 1198 1199 1204 1205 1207 1211 1215 1219 1220 1225 1234 1239 1243 1251 1254 1256 1259 1278 1281 1288 1304 1305 1308 1319 1320 1331 1334 1336 1338 1340 1349 1350 1351 1358 1359 1361 1364 1371 1372 1385 1388 1389 1391 1393 1395 1396 1397 1406 1408 1421 1423 1424 1430 1437 1441 1442 1445 1448 1461 1463 1468 1483 1492 1499 1505 1509 1510 1511 1512 1519 1523 1529 1530 1532 1537 1541 1543 1546 1549 1554 1555 1558 1565 1575 1583 1598 1605 1608 1614 1615 1626 1629 1631 1640 1649 1650 1651 1653 1657 1659 1660 1661 1664 1667 1670 1672 1675 1677 1706 1723 1732 1737 1745 1750 1753 1758 1759 1768 1771 1774 1775 1776 1779 1782 1797 1799 1803 1820 1824 1826 1843 1844 1847 1853 1854 1855 1859 1860 1865 1866 1872 1878 1879 1885 1889 1890 1905 1911 1912 1914 1917 1926 1928 1930 1933 1934 1939 1941 1945 1951 1953 1963 1965 1967 1979 1982 1985 1996 1997 1999 2009 2015 2016 2017 2020 2023 2026 2030 2034 2043 2048 2051 2055 2059 2062 2066 2069 2083 2084 2090 2096 2097 2099 2102 2106 2115 2117 2130 2134 2140 2143 2148 2150 2157 2166 2172 2174 2175 2188 2195 2199 2211 2217 2218 2226 2229 2237 2262 2271]\n# step=0 row=1 minW=452 found cw of W=450: [1 2 3 5 10 14 40 47 57 66 70 77 81 84 87 88 96 97 103 108 110 112 119 121 122 125 129 131 133 140 149 151 158 160 161 172 181 188 190 195 201 202 220 228 237 238 244 251 253 255 256 280 281 285 290 297 298 304 309 313 314 316 319 322 332 336 339 343 345 346 351 354 356 357 366 369 375 378 381 388 392 397 407 416 417 419 420 427 432 434 439 442 449 452 454 455 463 468 469 475 480 482 487 489 496 509 513 514 517 519 520 526 528 546 550 553 560 565 566 578 581 582 587 591 598 599 611 617 622 623 629 632 634 635 644 646 659 660 661 662 665 667 670 675 676 682 685 698 713 718 721 726 742 743 745 749 755 761 763 764 766 770 772 779 785 794 800 802 806 807 810 813 814 815 818 819 824 835 849 852 857 859 862 864 868 872 876 880 885 893 897 900 903 904 909 910 915 921 926 929 935 943 950 956 961 980 984 985 992 997 1004 1009 1010 1013 1015 1017 1023 1025 1026 1028 1031 1044 1045 1053 1060 1067 1074 1077 1083 1084 1100 1102 1116 1126 1128 1130 1131 1132 1141 1143 1158 1165 1172 1177 1178 1179 1184 1194 1199 1200 1205 1210 1211 1219 1234 1239 1255 1262 1278 1289 1293 1301 1305 1308 1313 1317 1324 1325 1331 1338 1340 1347 1349 1350 1351 1354 1358 1361 1364 1380 1385 1388 1391 1406 1408 1416 1423 1429 1430 1431 1441 1444 1445 1451 1461 1462 1463 1474 1483 1489 1492 1495 1496 1499 1500 1502 1505 1509 1510 1513 1516 1529 1534 1537 1538 1541 1546 1549 1554 1556 1558 1561 1565 1566 1580 1584 1591 1598 1600 1608 1624 1629 1631 1639 1640 1649 1651 1660 1661 1670 1673 1675 1680 1687 1693 1711 1717 1720 1726 1730 1732 1733 1745 1751 1759 1768 1769 1777 1782 1791 1795 1799 1809 1820 1824 1829 1836 1838 1844 1854 1865 1866 1872 1874 1879 1890 1891 1892 1894 1896 1903 1907 1911 1912 1923 1927 1933 1939 1944 1945 1946 1948 1949 1951 1962 1965 1969 1982 1983 1985 1995 1997 1999 2009 2015 2016 2017 2020 2024 2026 2030 2034 2038 2039 2041 2043 2046 2062 2069 2071 2085 2090 2093 2094 2103 2109 2116 2117 2127 2130 2137 2140 2142 2146 2148 2157 2162 2165 2166 2174 2175 2176 2183 2192 2206 2207 2213 2244 2246 2252]\n# step=0 row=2 minW=450 found cw of W=440: [1 2 3 7 8 14 23 26 53 57 63 64 66 68 70 75 77 84 87 91 97 98 102 103 104 109 110 119 121 125 131 133 138 149 160 165 181 190 191 195 196 202 205 215 220 221 223 225 238 245 246 251 253 266 270 277 280 286 289 290 293 295 297 298 301 307 310 313 314 322 323 332 346 348 350 352 357 360 363 366 368 369 373 374 378 388 397 419 420 424 426 428 432 434 445 452 460 462 464 473 480 487 493 496 509 513 514 524 525 526 528 533 534 546 553 554 566 577 611 612 616 622 628 632 634 635 644 647 648 656 659 666 668 670 671 676 682 683 705 713 715 720 728 732 743 746 749 755 757 761 762 763 769 776 778 779 794 797 800 802 806 810 819 826 834 841 843 848 849 851 859 860 864 865 872 883 885 889 899 902 909 915 921 924 926 929 940 950 956 966 977 985 992 1009 1010 1013 1016 1025 1026 1031 1033 1040 1044 1046 1053 1057 1062 1065 1074 1123 1128 1130 1131 1132 1133 1143 1146 1150 1153 1162 1164 1165 1166 1170 1177 1182 1184 1194 1198 1204 1210 1211 1220 1225 1229 1237 1251 1255 1260 1262 1268 1277 1278 1281 1288 1291 1293 1301 1304 1305 1313 1316 1318 1319 1320 1324 1325 1347 1350 1358 1361 1371 1372 1380 1384 1387 1389 1393 1395 1397 1412 1414 1424 1429 1430 1432 1441 1442 1444 1448 1462 1463 1467 1469 1471 1474 1476 1489 1492 1496 1500 1502 1505 1509 1510 1516 1518 1523 1529 1530 1534 1537 1538 1541 1543 1549 1554 1556 1561 1566 1580 1583 1598 1600 1605 1613 1615 1623 1624 1626 1631 1639 1644 1651 1653 1657 1660 1664 1673 1674 1680 1683 1687 1706 1708 1711 1717 1723 1730 1732 1737 1740 1758 1759 1767 1768 1771 1777 1779 1783 1798 1820 1829 1831 1843 1844 1847 1853 1854 1855 1872 1873 1878 1880 1885 1889 1891 1903 1905 1907 1913 1914 1916 1926 1927 1928 1930 1933 1936 1939 1944 1946 1949 1953 1956 1979 1982 1983 1985 1991 1994 1996 2002 2015 2017 2020 2021 2024 2039 2044 2051 2053 2063 2066 2070 2071 2083 2085 2089 2090 2094 2102 2106 2109 2115 2123 2133 2134 2140 2146 2165 2166 2174 2189 2192 2196 2203 2206 2217 2218 2221 2226 2228 2229 2230 2237 2248 2262 2271 2278]\n# step=0 row=13 minW=440 found cw of W=432: [2 6 10 14 22 23 43 63 64 70 75 77 81 87 88 102 103 104 109 110 124 125 128 131 138 140 144 149 150 161 164 165 172 176 187 188 190 195 205 214 216 220 223 226 228 240 244 251 254 255 256 261 266 276 285 286 288 289 293 296 297 298 310 314 316 319 322 323 332 339 341 343 345 348 351 357 359 360 365 366 369 372 378 389 391 392 416 417 419 420 424 427 442 445 449 454 460 462 463 469 480 482 496 502 509 514 519 525 526 530 534 540 553 565 587 591 599 600 603 608 610 621 622 623 624 629 632 635 642 644 645 647 650 660 661 662 665 667 675 676 682 683 684 685 705 713 718 720 733 742 745 755 757 761 766 776 778 785 797 799 802 806 807 808 811 814 815 816 818 819 824 826 828 835 841 842 849 859 862 865 868 872 874 883 888 889 890 893 904 915 926 927 929 938 940 946 956 961 977 984 1004 1013 1016 1025 1028 1030 1031 1043 1053 1055 1065 1066 1074 1077 1094 1097 1116 1118 1126 1128 1130 1131 1133 1143 1153 1154 1158 1166 1170 1177 1178 1179 1182 1204 1206 1215 1217 1220 1229 1234 1239 1243 1255 1256 1260 1262 1265 1268 1277 1283 1289 1291 1304 1305 1312 1313 1317 1320 1324 1330 1334 1336 1338 1347 1350 1351 1364 1370 1371 1379 1380 1384 1387 1388 1389 1392 1395 1396 1397 1416 1421 1442 1448 1451 1467 1468 1471 1476 1481 1483 1492 1496 1499 1502 1509 1512 1513 1516 1555 1556 1558 1561 1565 1575 1593 1596 1608 1613 1614 1615 1631 1634 1644 1651 1657 1661 1673 1675 1677 1680 1694 1723 1724 1726 1740 1742 1750 1751 1753 1758 1774 1775 1776 1777 1782 1795 1799 1803 1807 1820 1836 1843 1847 1859 1861 1865 1870 1873 1878 1879 1894 1898 1903 1907 1911 1914 1923 1926 1930 1932 1933 1939 1944 1945 1946 1948 1949 1953 1961 1965 1966 1969 1976 1979 1983 1985 1996 2002 2009 2011 2015 2016 2017 2021 2023 2024 2030 2034 2038 2041 2046 2051 2055 2063 2066 2074 2081 2084 2085 2090 2094 2096 2099 2103 2109 2112 2116 2123 2130 2137 2143 2146 2157 2165 2175 2176 2183 2189 2196 2206 2211 2217 2218 2221 2228 2240 2244 2246 2258 2264 2271 2278]\n# step=0 row=14 minW=432 found cw of W=416: [1 2 3 6 10 14 17 26 27 36 47 48 53 57 68 70 75 77 81 87 88 91 96 103 109 110 112 119 124 140 144 150 151 160 164 165 175 176 181 187 188 190 191 196 201 205 232 239 253 255 261 270 276 280 286 289 290 293 295 296 310 313 314 316 322 339 343 348 354 359 360 363 366 368 369 372 373 374 375 378 381 388 389 391 397 407 408 413 416 419 424 428 440 449 450 455 462 464 468 475 476 487 496 509 513 517 524 525 528 540 546 553 565 566 577 587 591 598 600 611 616 621 624 629 632 634 644 646 647 650 659 660 667 668 670 676 684 685 693 698 700 713 718 720 742 746 749 755 761 764 768 769 772 779 810 824 837 839 842 843 849 852 860 862 865 874 880 889 893 902 903 909 913 926 935 946 950 956 961 966 977 985 992 997 998 1010 1012 1015 1016 1025 1029 1030 1031 1033 1037 1040 1044 1045 1046 1053 1062 1067 1074 1083 1084 1094 1100 1126 1128 1141 1153 1158 1162 1170 1172 1178 1182 1184 1190 1198 1200 1205 1210 1220 1229 1237 1243 1251 1255 1256 1260 1262 1281 1283 1288 1289 1308 1313 1316 1317 1325 1327 1331 1339 1347 1350 1358 1359 1361 1372 1388 1389 1391 1396 1397 1408 1421 1423 1424 1429 1437 1442 1444 1461 1467 1471 1492 1495 1499 1500 1502 1505 1509 1512 1513 1516 1519 1534 1537 1538 1541 1543 1554 1555 1556 1558 1561 1562 1565 1566 1567 1584 1587 1593 1596 1600 1611 1614 1615 1623 1629 1631 1634 1639 1640 1650 1651 1657 1660 1661 1667 1672 1673 1687 1706 1708 1711 1723 1742 1745 1750 1758 1759 1768 1778 1782 1783 1791 1799 1809 1813 1826 1829 1836 1843 1845 1847 1854 1855 1864 1866 1870 1872 1874 1880 1889 1890 1896 1923 1927 1928 1930 1933 1939 1941 1944 1945 1946 1949 1951 1953 1956 1963 1965 1966 1967 1976 1979 1983 1985 1994 1995 1996 2009 2011 2017 2026 2029 2039 2048 2051 2055 2066 2069 2070 2089 2090 2093 2102 2106 2108 2109 2112 2127 2130 2131 2133 2137 2146 2150 2162 2165 2166 2174 2176 2183 2189 2196 2199 2203 2217 2218 2226 2228 2248 2273]\n# step=0 row=40 minW=416 found cw of W=404: [2 6 14 23 36 43 47 48 62 77 81 85 86 87 88 91 96 97 103 104 108 119 121 122 124 127 128 129 150 151 181 190 195 201 202 205 214 215 223 225 232 237 239 244 245 246 251 256 276 277 285 289 296 298 301 307 309 314 319 332 343 345 350 356 360 365 366 369 378 389 397 416 420 439 440 442 454 460 462 463 475 482 496 498 513 514 517 519 526 528 529 533 534 553 560 563 568 577 578 587 591 598 599 600 608 610 614 617 621 623 632 634 635 644 645 646 648 656 660 665 667 670 671 675 696 698 700 705 713 718 720 721 726 732 743 755 761 762 764 772 778 785 797 799 807 814 818 819 824 828 834 842 843 849 852 857 860 865 868 875 876 888 899 909 913 915 924 946 956 961 965 970 987 998 1008 1013 1015 1023 1025 1026 1028 1030 1031 1040 1043 1044 1046 1049 1053 1055 1066 1074 1097 1102 1123 1129 1130 1141 1150 1153 1165 1170 1172 1177 1179 1190 1192 1194 1199 1200 1205 1207 1219 1225 1234 1239 1243 1251 1254 1255 1259 1277 1278 1289 1291 1301 1312 1316 1318 1319 1325 1330 1334 1336 1338 1339 1340 1347 1349 1350 1351 1359 1361 1369 1372 1384 1388 1391 1395 1397 1406 1408 1410 1421 1424 1429 1430 1431 1437 1445 1457 1463 1469 1474 1476 1481 1492 1502 1505 1509 1511 1516 1518 1519 1523 1534 1537 1538 1541 1556 1561 1565 1566 1580 1587 1591 1598 1600 1605 1614 1615 1623 1624 1629 1631 1640 1649 1650 1657 1660 1661 1683 1693 1701 1706 1717 1726 1730 1740 1742 1758 1759 1769 1771 1775 1795 1807 1813 1824 1831 1843 1844 1853 1860 1872 1874 1889 1892 1896 1903 1905 1910 1912 1916 1923 1932 1933 1934 1939 1941 1948 1951 1967 1976 1982 1983 1985 1991 1995 1999 2002 2009 2016 2020 2023 2024 2034 2044 2051 2053 2070 2071 2074 2081 2094 2099 2103 2106 2109 2111 2115 2116 2117 2123 2127 2131 2133 2143 2146 2148 2150 2165 2166 2175 2183 2188 2192 2196 2206 2207 2211 2218 2221 2228 2237 2244 2246 2248 2252 2258 2264 2271 2273 2278]\n# step=0 row=126 minW=404 found cw of W=402: [2 3 10 17 26 47 57 63 68 70 84 96 103 104 108 112 121 124 128 151 158 160 164 165 176 181 188 190 195 213 214 215 216 223 226 228 240 245 251 254 256 276 280 281 286 289 293 298 304 309 310 313 314 332 339 345 356 357 359 365 368 369 372 373 375 388 392 397 419 439 443 449 464 476 482 487 498 509 513 519 524 526 529 530 534 546 550 553 554 560 563 569 577 581 582 587 591 599 603 611 612 621 628 629 632 635 648 650 659 662 675 683 684 693 698 700 705 713 721 726 728 733 743 749 755 757 762 766 772 778 799 800 806 807 814 824 828 837 841 843 848 852 859 862 864 868 872 883 888 890 893 897 903 904 910 927 940 946 950 961 965 968 970 980 987 992 994 997 1009 1010 1012 1015 1026 1028 1033 1043 1053 1060 1062 1065 1067 1077 1100 1102 1118 1126 1128 1132 1133 1141 1143 1146 1150 1153 1162 1165 1166 1170 1172 1179 1184 1190 1200 1204 1205 1207 1210 1211 1215 1217 1220 1234 1239 1251 1254 1255 1256 1260 1262 1277 1278 1281 1283 1289 1305 1308 1312 1316 1318 1319 1324 1325 1327 1334 1336 1340 1350 1351 1354 1369 1370 1371 1372 1384 1385 1387 1388 1391 1392 1395 1396 1406 1414 1421 1424 1431 1432 1439 1441 1444 1448 1451 1462 1463 1469 1481 1492 1495 1496 1500 1505 1511 1523 1532 1534 1537 1546 1549 1554 1555 1556 1558 1561 1566 1567 1583 1608 1611 1614 1623 1634 1639 1644 1649 1650 1651 1653 1657 1664 1667 1675 1677 1680 1683 1687 1694 1706 1711 1723 1724 1732 1733 1751 1753 1767 1768 1775 1776 1782 1783 1807 1809 1813 1820 1824 1838 1844 1853 1854 1859 1860 1873 1885 1889 1891 1905 1907 1911 1913 1916 1926 1927 1928 1930 1934 1936 1937 1939 1944 1956 1962 1967 1976 1979 1982 1983 1997 2015 2020 2021 2023 2026 2029 2030 2034 2038 2039 2044 2048 2055 2070 2071 2074 2084 2085 2090 2099 2102 2108 2109 2117 2118 2127 2130 2131 2133 2134 2142 2146 2157 2166 2174 2175 2189 2211 2213 2226 2229 2246 2248 2252 2262]\n# step=0 row=256 minW=402 found cw of W=400: [1 6 14 23 36 40 48 53 64 75 87 88 91 96 97 98 103 104 108 110 112 122 129 131 133 138 144 148 158 164 166 176 188 195 202 221 225 232 245 253 254 255 261 276 277 286 295 296 297 298 301 304 313 314 319 339 345 346 348 351 352 353 354 359 360 366 368 369 375 381 397 416 417 424 427 428 439 442 443 445 450 459 460 463 464 469 473 482 493 496 509 517 519 524 526 528 533 534 540 546 554 560 581 582 598 610 612 617 621 623 629 632 634 635 642 644 648 659 660 662 665 668 675 676 682 684 685 700 705 713 720 733 742 743 745 746 757 761 762 763 764 770 772 778 779 785 799 808 811 815 816 818 824 841 851 868 872 875 876 888 899 900 915 921 935 943 961 965 966 980 987 1009 1013 1016 1017 1023 1026 1028 1037 1045 1049 1055 1060 1066 1077 1084 1094 1099 1118 1133 1141 1143 1146 1147 1150 1154 1164 1165 1172 1178 1182 1190 1199 1200 1205 1206 1207 1210 1215 1219 1237 1255 1256 1288 1289 1293 1305 1312 1313 1319 1324 1325 1327 1338 1350 1358 1359 1361 1364 1369 1370 1385 1389 1392 1395 1396 1397 1408 1410 1414 1429 1430 1437 1439 1442 1444 1451 1457 1463 1467 1468 1469 1471 1474 1476 1492 1499 1500 1502 1505 1509 1519 1529 1530 1537 1538 1541 1543 1555 1558 1561 1562 1565 1566 1583 1591 1598 1600 1614 1623 1624 1629 1631 1651 1653 1659 1661 1664 1672 1674 1675 1680 1687 1711 1717 1720 1726 1730 1733 1737 1745 1759 1768 1774 1776 1778 1779 1782 1791 1795 1813 1826 1836 1838 1843 1845 1847 1854 1860 1861 1864 1870 1872 1874 1878 1879 1891 1892 1894 1896 1905 1907 1911 1912 1913 1916 1923 1933 1936 1939 1946 1948 1949 1951 1953 1962 1963 1979 1982 1985 1991 1997 2002 2011 2017 2024 2026 2039 2041 2043 2044 2051 2055 2062 2066 2069 2071 2083 2084 2085 2089 2102 2103 2111 2116 2127 2131 2133 2137 2142 2143 2146 2148 2157 2166 2172 2175 2176 2199 2207 2211 2217 2218 2226 2244 2246 2248 2264 2271 2273]\n# step=0 row=874 minW=400 found cw of W=394: [1 7 23 26 36 40 47 53 64 66 68 70 84 86 87 88 96 97 98 103 108 110 119 121 122 124 127 133 138 140 148 149 158 160 164 165 172 187 195 201 202 205 215 220 221 223 237 245 246 255 256 266 280 288 289 290 297 307 313 314 322 323 343 346 350 351 354 357 363 369 372 373 391 413 417 426 434 439 445 449 450 455 462 464 473 480 489 493 496 502 509 513 517 524 525 526 530 533 534 553 560 565 566 568 569 577 581 582 587 610 611 612 614 617 621 622 623 624 629 632 634 642 645 646 647 656 662 670 675 705 715 728 732 733 742 743 746 761 762 766 768 770 772 794 800 802 808 811 828 834 839 841 842 851 856 857 865 868 873 875 876 888 889 900 915 921 924 935 946 956 966 985 992 1008 1009 1013 1017 1023 1026 1030 1031 1033 1040 1043 1045 1049 1053 1055 1060 1062 1066 1094 1099 1100 1105 1128 1129 1133 1154 1158 1162 1164 1170 1172 1190 1192 1194 1199 1205 1206 1207 1210 1211 1217 1219 1225 1234 1237 1251 1255 1259 1260 1277 1278 1293 1301 1304 1305 1308 1316 1325 1327 1331 1338 1339 1340 1358 1361 1364 1369 1370 1380 1384 1388 1410 1414 1432 1437 1439 1442 1444 1448 1451 1457 1461 1462 1467 1468 1474 1476 1481 1483 1489 1495 1499 1500 1502 1510 1512 1513 1517 1530 1532 1537 1538 1542 1543 1549 1556 1561 1562 1566 1568 1591 1596 1598 1613 1615 1624 1626 1631 1634 1640 1649 1657 1660 1661 1664 1667 1674 1675 1683 1687 1694 1717 1732 1733 1740 1745 1750 1758 1759 1768 1771 1774 1776 1777 1778 1783 1799 1803 1813 1824 1831 1836 1847 1854 1860 1861 1864 1866 1872 1878 1880 1890 1892 1894 1898 1928 1933 1936 1944 1945 1948 1953 1962 1966 1982 1983 1985 1995 1999 2011 2017 2026 2038 2043 2044 2048 2059 2066 2069 2070 2083 2084 2089 2096 2106 2109 2112 2115 2131 2134 2143 2146 2148 2157 2162 2175 2183 2189 2192 2199 2203 2207 2211 2218 2226 2229 2246 2252 2262 2271 2273]\n# step=0 row=947 minW=394 found cw of W=376: [1 2 6 36 40 48 53 63 64 70 81 87 91 97 98 104 109 112 121 122 125 127 128 133 140 151 158 161 166 172 175 176 187 188 191 195 196 202 214 215 220 221 223 232 238 240 245 253 254 256 261 270 277 280 289 296 297 298 301 310 323 336 339 341 348 351 352 353 356 357 363 366 369 372 375 389 391 397 408 413 420 424 440 443 460 462 463 468 476 482 487 496 517 525 526 528 529 533 534 540 550 553 565 569 582 587 591 599 600 603 608 611 612 614 616 621 632 644 659 662 670 682 684 696 698 705 713 721 733 742 743 746 755 757 761 766 768 769 770 778 779 799 806 810 816 818 826 834 835 837 839 841 848 852 856 857 860 868 872 873 874 875 876 888 897 900 903 905 909 910 915 946 950 970 997 1008 1013 1017 1023 1026 1028 1030 1037 1044 1060 1065 1066 1067 1074 1082 1084 1097 1100 1123 1128 1129 1131 1132 1141 1146 1147 1153 1158 1172 1177 1182 1190 1192 1198 1199 1204 1207 1211 1219 1225 1229 1237 1251 1255 1260 1262 1268 1281 1291 1304 1308 1324 1338 1350 1351 1359 1364 1370 1371 1393 1397 1408 1414 1424 1439 1441 1442 1445 1469 1471 1489 1492 1500 1510 1516 1529 1530 1532 1537 1541 1546 1555 1561 1562 1567 1568 1593 1598 1613 1614 1615 1624 1626 1634 1639 1651 1663 1664 1667 1673 1674 1675 1680 1683 1706 1724 1726 1730 1733 1737 1751 1768 1769 1771 1776 1779 1782 1795 1807 1813 1826 1829 1836 1843 1844 1845 1847 1854 1855 1865 1874 1878 1879 1880 1889 1891 1896 1907 1916 1917 1928 1932 1933 1936 1939 1941 1945 1948 1949 1953 1962 1976 1982 1983 1985 1995 2002 2015 2024 2026 2038 2041 2043 2044 2048 2055 2059 2063 2066 2069 2081 2083 2084 2085 2094 2097 2106 2112 2116 2118 2123 2130 2131 2143 2148 2157 2162 2172 2176 2188 2189 2196 2199 2213 2217 2226 2244 2258 2271 2273 2278]\n# step=3 row=754 minW=376 found cw of W=370: [4 15 17 19 24 37 41 42 68 78 79 80 85 89 91 95 101 102 112 118 124 129 135 136 139 142 149 152 161 178 187 192 196 204 207 211 218 219 223 230 241 243 246 249 251 253 254 268 269 271 279 283 289 295 302 313 315 317 326 333 335 343 344 355 363 379 380 388 401 403 408 413 420 424 432 433 438 443 444 445 447 452 453 460 461 468 470 471 480 482 488 491 492 502 504 505 508 518 520 525 552 569 580 582 585 590 593 595 610 615 619 626 648 654 657 676 677 680 682 688 689 710 723 741 750 767 768 771 787 790 794 804 805 808 813 817 829 830 842 848 849 859 877 879 881 883 896 907 910 912 917 923 927 937 942 949 975 997 1005 1011 1014 1020 1021 1041 1043 1059 1062 1064 1068 1071 1073 1077 1079 1081 1084 1086 1103 1107 1111 1115 1126 1128 1136 1137 1143 1144 1154 1159 1160 1171 1172 1173 1180 1185 1187 1194 1196 1197 1205 1207 1209 1211 1222 1238 1239 1250 1251 1283 1285 1289 1290 1300 1307 1312 1314 1316 1317 1320 1322 1328 1332 1333 1338 1339 1347 1348 1350 1354 1371 1377 1381 1387 1392 1396 1401 1402 1408 1411 1413 1416 1418 1421 1424 1425 1430 1432 1433 1447 1448 1450 1453 1456 1462 1484 1486 1488 1498 1499 1506 1509 1512 1517 1544 1548 1552 1554 1559 1570 1576 1581 1582 1594 1596 1597 1599 1600 1601 1607 1609 1616 1621 1624 1629 1634 1635 1638 1641 1644 1662 1665 1667 1678 1688 1694 1702 1704 1708 1719 1723 1750 1751 1754 1760 1765 1777 1783 1787 1794 1797 1805 1807 1824 1829 1831 1834 1838 1845 1848 1852 1865 1878 1879 1882 1899 1907 1911 1914 1926 1928 1930 1934 1940 1946 1947 1951 1963 1967 1973 1979 1997 2003 2011 2014 2037 2040 2057 2058 2070 2076 2083 2108 2127 2135 2136 2146 2152 2174 2193 2194 2195 2202 2245 2248 2250 2255 2259 2260 2264 2273 2274]\n# step=5 row=938 minW=370 found cw of W=364: [1 9 12 23 31 41 56 67 80 81 83 95 104 110 111 136 143 157 161 162 163 170 173 179 187 189 194 205 210 211 212 225 228 230 241 250 255 258 266 267 278 281 284 285 287 289 293 294 297 299 301 318 328 331 334 347 356 358 367 370 372 376 383 385 387 388 400 403 404 405 408 434 440 450 457 463 473 476 488 489 493 507 512 522 533 535 541 544 554 555 582 587 589 590 599 605 624 634 639 649 657 660 661 667 674 676 682 693 706 711 721 726 728 732 738 756 768 769 771 772 788 789 795 809 810 820 825 837 846 850 858 863 866 869 888 897 898 899 909 910 916 934 935 943 945 949 951 953 954 958 966 973 974 981 983 984 986 995 997 998 1001 1006 1009 1013 1028 1042 1050 1057 1060 1063 1064 1085 1088 1094 1096 1108 1112 1116 1117 1120 1121 1124 1125 1143 1144 1159 1162 1166 1174 1181 1183 1198 1199 1200 1203 1209 1211 1212 1213 1217 1218 1223 1230 1232 1240 1244 1254 1257 1261 1266 1268 1269 1273 1280 1287 1291 1298 1301 1305 1312 1325 1326 1332 1336 1348 1350 1352 1356 1371 1372 1374 1380 1382 1386 1390 1396 1403 1409 1414 1415 1422 1425 1437 1440 1458 1459 1460 1470 1472 1484 1489 1490 1505 1517 1518 1519 1523 1535 1539 1562 1563 1570 1572 1583 1584 1590 1591 1593 1608 1611 1612 1620 1626 1639 1646 1651 1659 1660 1665 1670 1674 1680 1681 1684 1686 1691 1696 1706 1714 1717 1727 1729 1749 1778 1790 1791 1798 1800 1805 1820 1838 1839 1851 1865 1883 1885 1887 1902 1907 1921 1929 1931 1943 1945 1946 1950 1952 1953 1955 1958 1960 1970 1971 1980 1988 1992 2005 2008 2018 2046 2050 2051 2056 2066 2074 2083 2112 2120 2122 2135 2139 2143 2147 2152 2166 2167 2170 2187 2190 2197 2198 2202 2207 2215 2216 2218 2235 2241 2243 2244 2245 2251 2265 2274]\n# step=58 row=388 minW=364 found cw of W=354: [7 21 24 37 50 61 64 69 73 82 84 86 91 99 101 102 107 115 126 129 142 145 146 149 157 159 165 166 170 174 177 182 185 193 218 221 231 232 236 242 243 245 247 248 251 267 270 285 290 293 294 296 298 299 305 309 313 315 317 318 324 329 330 335 336 341 346 362 380 382 394 398 409 418 422 453 467 468 482 493 499 501 514 517 523 527 530 538 540 549 552 553 559 561 564 566 568 573 574 582 583 590 601 609 627 644 646 651 655 659 663 671 674 677 686 695 698 705 714 719 731 737 749 750 758 765 768 770 777 783 788 800 801 802 818 819 825 832 833 837 844 845 848 858 860 862 866 876 885 892 904 909 916 921 922 927 934 945 952 958 970 976 981 986 989 993 994 1011 1016 1017 1032 1044 1045 1047 1049 1051 1052 1057 1072 1083 1093 1098 1101 1117 1130 1132 1146 1147 1160 1165 1168 1179 1186 1187 1198 1200 1208 1209 1211 1212 1221 1236 1239 1242 1244 1250 1251 1262 1264 1265 1271 1288 1292 1295 1296 1298 1307 1314 1319 1331 1340 1348 1351 1354 1358 1368 1381 1412 1414 1417 1422 1431 1434 1438 1441 1453 1460 1465 1472 1476 1482 1485 1488 1494 1499 1512 1519 1520 1524 1525 1527 1531 1532 1545 1551 1560 1564 1570 1574 1578 1581 1595 1596 1597 1609 1617 1618 1622 1626 1630 1639 1640 1642 1644 1646 1649 1662 1668 1682 1683 1686 1691 1726 1727 1728 1731 1733 1742 1747 1750 1751 1757 1767 1771 1774 1777 1802 1808 1817 1827 1828 1839 1840 1845 1848 1849 1860 1865 1871 1875 1881 1890 1891 1903 1915 1918 1922 1925 1932 1942 1947 1957 1969 2003 2020 2027 2052 2053 2061 2065 2074 2076 2079 2093 2095 2098 2107 2124 2126 2137 2139 2140 2159 2163 2179 2180 2183 2195 2199 2204 2226 2245 2252 2266]\n# step=98 row=1106 minW=354 found cw of W=352: [6 18 23 39 48 60 62 71 82 89 94 98 101 107 114 116 117 125 127 131 143 144 152 154 157 180 183 189 194 198 199 209 210 216 217 218 221 222 224 240 242 264 272 280 285 289 290 302 304 312 325 344 345 353 358 375 376 381 383 399 408 409 416 420 423 437 447 458 470 472 479 483 485 486 492 496 505 508 522 526 529 531 532 536 545 555 556 567 568 571 572 582 590 597 598 599 603 617 620 622 631 632 646 647 650 654 660 661 664 696 701 708 711 714 718 725 731 735 741 745 751 759 764 774 784 799 807 823 824 828 833 841 842 846 851 854 856 864 866 867 870 873 875 879 891 963 970 978 987 994 995 999 1002 1003 1011 1012 1015 1016 1018 1021 1023 1025 1027 1030 1040 1042 1051 1061 1062 1065 1089 1095 1100 1117 1121 1123 1124 1143 1150 1155 1158 1160 1163 1172 1181 1184 1187 1189 1190 1200 1203 1208 1211 1218 1250 1259 1260 1261 1268 1269 1277 1288 1291 1292 1297 1301 1309 1310 1315 1325 1330 1335 1337 1338 1357 1360 1361 1367 1372 1374 1376 1387 1388 1394 1396 1400 1407 1412 1428 1429 1431 1432 1433 1440 1444 1464 1468 1476 1481 1483 1503 1504 1507 1521 1532 1535 1541 1547 1566 1568 1575 1582 1584 1592 1602 1605 1612 1616 1626 1629 1631 1640 1657 1658 1668 1673 1678 1679 1682 1695 1698 1701 1710 1730 1738 1749 1751 1754 1759 1763 1773 1774 1775 1777 1780 1804 1825 1826 1828 1836 1841 1842 1855 1869 1870 1873 1881 1882 1883 1889 1901 1902 1928 1939 1962 1965 1966 1977 1979 1984 1999 2008 2027 2030 2038 2043 2054 2055 2063 2070 2080 2083 2084 2093 2099 2103 2104 2110 2111 2113 2116 2123 2124 2127 2155 2156 2162 2169 2189 2192 2193 2196 2208 2211 2215 2226 2231 2232 2243 2248 2257 2271]\n# step=167 row=357 minW=352 found cw of W=346: [5 9 17 23 25 26 30 31 36 40 42 51 62 66 69 73 77 79 84 88 89 95 100 110 117 119 126 132 148 156 167 168 176 195 197 200 207 219 221 224 230 231 234 241 244 245 255 261 276 278 291 296 299 310 329 330 331 340 344 352 364 370 372 378 388 392 406 411 412 418 424 425 430 441 449 452 471 474 476 479 480 487 492 499 501 507 526 528 530 540 542 553 568 571 578 588 593 596 597 608 621 628 630 633 649 651 656 663 665 668 673 674 676 692 697 699 709 716 718 723 724 725 733 736 744 749 750 751 754 755 758 760 767 789 790 791 798 818 824 825 829 852 853 864 873 876 881 883 889 917 922 929 935 944 951 955 956 972 974 983 993 999 1007 1019 1027 1028 1035 1038 1043 1050 1052 1059 1094 1096 1098 1116 1117 1123 1124 1126 1137 1140 1145 1148 1152 1153 1154 1176 1192 1196 1211 1216 1217 1221 1232 1233 1240 1244 1246 1254 1260 1266 1268 1271 1275 1278 1283 1284 1292 1314 1315 1319 1331 1332 1336 1340 1341 1345 1346 1355 1359 1365 1368 1372 1378 1380 1382 1385 1386 1396 1400 1410 1427 1451 1452 1455 1467 1470 1474 1475 1478 1482 1484 1485 1489 1496 1505 1511 1517 1518 1524 1541 1548 1549 1550 1551 1552 1554 1563 1569 1575 1576 1577 1580 1591 1599 1600 1601 1605 1613 1620 1631 1634 1639 1651 1655 1669 1675 1677 1685 1687 1689 1702 1729 1732 1739 1746 1771 1773 1783 1786 1790 1792 1796 1797 1808 1821 1822 1830 1836 1839 1842 1850 1851 1866 1867 1891 1892 1894 1902 1913 1928 1952 1957 1991 1994 2003 2012 2038 2052 2067 2071 2074 2076 2086 2096 2104 2131 2136 2143 2158 2161 2170 2179 2193 2203 2205 2211 2222 2224 2234 2249 2253 2255 2267 2274]\n# step=345 row=764 minW=346 found cw of W=338: [3 7 9 12 25 28 33 39 41 42 53 55 59 67 72 82 84 100 107 109 112 115 116 118 119 122 126 128 130 139 142 151 158 173 175 181 187 198 201 208 217 225 234 238 246 248 262 264 267 277 279 281 282 293 296 302 305 317 318 326 329 337 338 345 348 351 352 353 354 358 378 383 384 390 400 406 411 413 417 437 438 446 452 453 455 456 460 464 469 470 472 475 482 487 489 495 498 503 513 524 528 532 534 559 567 571 573 574 575 582 599 610 613 623 627 632 648 660 662 664 665 674 683 692 694 702 709 717 727 738 741 744 749 753 757 773 788 798 800 802 804 807 808 812 815 816 818 820 822 830 838 846 852 857 859 866 871 892 899 900 902 922 926 931 960 965 969 976 984 987 988 1010 1014 1016 1023 1032 1035 1043 1050 1054 1060 1072 1074 1075 1081 1097 1107 1114 1118 1128 1130 1135 1152 1153 1183 1187 1200 1215 1225 1228 1240 1242 1249 1253 1258 1265 1278 1283 1309 1312 1315 1320 1332 1335 1337 1341 1350 1353 1358 1359 1388 1391 1396 1403 1410 1417 1420 1430 1432 1437 1440 1445 1448 1451 1454 1487 1507 1511 1516 1526 1545 1547 1550 1554 1555 1558 1559 1563 1575 1579 1586 1595 1596 1601 1612 1615 1618 1637 1646 1655 1672 1675 1681 1687 1688 1695 1704 1706 1713 1726 1727 1730 1737 1748 1756 1764 1773 1776 1777 1799 1801 1815 1816 1821 1829 1832 1834 1837 1852 1858 1870 1871 1883 1885 1902 1904 1928 1932 1935 1938 1953 1964 1968 1979 1992 1994 2002 2010 2014 2019 2030 2035 2047 2048 2050 2060 2065 2069 2073 2077 2088 2100 2101 2108 2138 2142 2157 2169 2173 2179 2184 2188 2193 2198 2207 2230 2233 2240]\n# step=719 row=908 minW=338 found cw of W=34: [276 281 297 298 301 309 318 323 628 630 632 634 647 650 664 940 943 973 977 983 985 992 999 1283 1300 1321 1325 1332 1622 1627 1636 1641 1647 1654]\n# round=1000 of 10000 minW=34\n# round=2000 of 10000 minW=34\n# round=3000 of 10000 minW=34\n# round=4000 of 10000 minW=34\n# round=5000 of 10000 minW=34\n# step=5033 row=652 minW=34 found cw of W=22: [470 509 524 528 812 818 821 825 852 868 1140 1149 1156 1161 1195 1199 1505 1517 1522 1529 1532 1537]\n# round=6000 of 10000 minW=22\n# round=7000 of 10000 minW=22\n# round=8000 of 10000 minW=22\n# round=9000 of 10000 minW=22\n# round=10000 of 10000 minW=22\nRW algorithm upper bound for the distance d=22\n</t>
  </si>
  <si>
    <t># step=0 row=0 minW=2483 found cw of W=480: [1 2 11 19 21 39 40 46 50 57 60 67 75 79 81 84 89 90 91 92 95 118 122 124 128 137 146 155 160 174 179 180 183 187 189 193 200 202 212 220 223 227 228 230 231 235 238 243 244 246 249 256 269 273 281 282 284 287 289 295 296 303 309 313 324 330 332 333 337 340 343 349 350 354 359 360 363 366 368 370 374 379 401 404 413 415 422 424 425 431 439 445 446 447 449 450 451 452 460 464 477 478 487 491 495 506 507 508 510 516 520 521 524 525 529 530 536 537 543 544 552 553 558 564 571 576 592 596 597 599 605 606 611 616 618 619 622 631 633 634 644 647 651 658 660 664 666 667 669 671 680 682 683 688 707 708 709 728 732 735 736 738 742 748 775 783 786 795 799 802 807 808 809 819 829 833 845 848 852 865 869 870 872 873 880 891 897 901 911 912 914 917 935 938 941 943 944 953 986 990 996 998 1001 1005 1010 1013 1021 1026 1027 1030 1032 1045 1049 1058 1064 1068 1085 1089 1093 1095 1098 1100 1105 1113 1115 1121 1122 1125 1133 1134 1135 1140 1146 1149 1151 1169 1179 1180 1185 1188 1189 1194 1211 1212 1215 1218 1219 1222 1226 1234 1236 1237 1239 1240 1242 1245 1249 1250 1253 1260 1261 1265 1267 1286 1294 1310 1312 1314 1317 1327 1328 1338 1342 1350 1352 1359 1365 1367 1369 1371 1374 1379 1382 1390 1403 1409 1414 1422 1423 1432 1435 1436 1440 1456 1462 1468 1489 1490 1495 1499 1502 1511 1514 1526 1534 1535 1537 1538 1540 1542 1551 1552 1559 1576 1581 1586 1597 1602 1604 1609 1613 1620 1627 1628 1634 1639 1648 1657 1662 1663 1670 1680 1684 1689 1693 1694 1699 1702 1709 1713 1722 1723 1725 1727 1730 1740 1741 1742 1750 1753 1759 1763 1764 1770 1773 1791 1793 1795 1800 1822 1833 1836 1851 1854 1859 1860 1865 1875 1876 1897 1901 1920 1923 1925 1928 1932 1938 1945 1956 1958 1962 1964 1984 1986 1990 1993 2000 2014 2019 2025 2029 2032 2035 2042 2045 2046 2051 2054 2065 2070 2075 2077 2085 2088 2089 2091 2094 2097 2101 2103 2105 2107 2113 2125 2139 2140 2145 2150 2152 2155 2156 2161 2163 2166 2168 2169 2170 2173 2175 2176 2179 2189 2199 2203 2208 2212 2217 2221 2240 2241 2249 2251 2257 2259 2271 2273 2277 2285 2286 2291 2293 2294 2303 2308 2315 2333 2341 2345 2348 2352 2356 2369 2372 2378 2387 2394 2395 2403 2407 2412 2417 2420 2424 2426 2443 2452 2461 2465 2477 2481]\n# step=0 row=1 minW=480 found cw of W=444: [2 3 11 19 23 29 40 43 44 46 53 56 68 77 79 86 87 92 117 124 133 137 139 141 146 153 160 169 171 174 181 184 187 193 195 208 212 220 227 228 229 230 235 238 239 249 250 251 273 274 276 282 287 289 296 309 312 315 319 324 325 332 333 340 349 350 352 353 354 360 363 366 367 368 370 374 379 392 397 399 401 404 412 415 417 425 446 448 451 452 453 455 461 469 470 483 488 498 502 505 506 507 514 517 521 530 536 537 544 553 563 568 571 592 596 605 616 618 619 625 633 642 645 647 660 664 668 682 686 688 693 697 699 713 728 732 735 738 742 744 757 759 780 786 787 790 795 800 802 808 818 829 836 840 841 844 848 852 865 867 871 875 877 880 907 912 914 918 927 932 935 938 946 958 962 970 973 991 998 1000 1005 1010 1013 1014 1016 1018 1021 1022 1030 1046 1049 1064 1065 1066 1073 1074 1089 1090 1095 1097 1098 1100 1113 1121 1122 1123 1125 1128 1130 1138 1149 1153 1159 1165 1170 1172 1176 1179 1194 1195 1200 1201 1206 1212 1215 1219 1221 1222 1223 1229 1236 1237 1240 1246 1250 1254 1257 1260 1261 1265 1267 1275 1286 1298 1299 1300 1310 1314 1316 1317 1321 1322 1327 1328 1352 1359 1365 1367 1369 1382 1384 1390 1403 1409 1414 1422 1423 1432 1435 1442 1445 1453 1456 1462 1464 1476 1480 1489 1490 1494 1495 1502 1508 1526 1534 1537 1538 1540 1553 1554 1559 1574 1577 1579 1581 1587 1588 1590 1602 1604 1613 1616 1620 1632 1634 1652 1656 1662 1663 1682 1684 1687 1689 1702 1722 1723 1727 1728 1730 1732 1734 1735 1737 1745 1749 1750 1751 1759 1763 1769 1770 1787 1791 1793 1797 1800 1801 1802 1805 1807 1817 1822 1836 1855 1859 1865 1879 1923 1924 1929 1932 1936 1943 1944 1952 1954 1955 1965 1972 1979 1984 1986 1990 1993 2000 2034 2036 2042 2046 2047 2051 2053 2063 2077 2085 2086 2088 2089 2091 2094 2105 2107 2119 2123 2125 2130 2137 2152 2156 2161 2164 2166 2168 2169 2177 2180 2189 2199 2203 2208 2212 2217 2226 2240 2241 2243 2248 2249 2251 2259 2285 2286 2293 2298 2303 2311 2313 2315 2327 2333 2335 2345 2356 2366 2369 2370 2371 2376 2380 2387 2395 2403 2412 2420 2424 2427 2439 2443 2444 2446 2447 2465 2467 2477]\n# step=0 row=4 minW=444 found cw of W=412: [6 11 21 22 40 44 53 60 68 87 92 100 103 119 123 128 169 180 181 183 184 208 212 238 244 249 256 260 269 274 280 281 286 287 289 292 295 296 303 306 309 312 313 322 332 333 340 349 352 353 366 367 370 371 374 401 406 410 416 417 419 424 425 426 435 437 445 446 449 453 455 457 461 464 466 470 477 478 483 487 498 505 508 516 517 524 525 530 536 541 544 564 571 597 599 605 606 611 616 617 619 620 621 622 625 639 642 644 647 651 665 677 682 683 685 700 708 709 713 718 736 739 757 759 768 776 780 783 786 790 799 807 808 810 818 819 826 827 836 839 840 841 844 849 852 863 864 869 872 880 891 912 932 938 939 944 961 967 969 970 973 990 992 996 1004 1005 1010 1018 1019 1020 1022 1023 1026 1046 1056 1058 1061 1065 1073 1074 1077 1085 1088 1095 1097 1113 1114 1125 1130 1133 1134 1138 1139 1140 1153 1166 1170 1176 1178 1179 1188 1189 1192 1194 1195 1200 1203 1206 1207 1211 1215 1218 1230 1234 1237 1242 1245 1246 1254 1260 1265 1268 1275 1300 1310 1312 1316 1317 1321 1328 1342 1346 1352 1354 1365 1367 1371 1374 1376 1394 1403 1409 1414 1422 1442 1445 1464 1467 1476 1479 1481 1489 1490 1494 1495 1508 1526 1537 1540 1544 1546 1547 1552 1553 1554 1559 1571 1574 1575 1576 1577 1581 1586 1588 1602 1613 1620 1622 1634 1635 1648 1654 1656 1658 1662 1682 1684 1685 1686 1689 1694 1699 1706 1713 1725 1727 1728 1730 1732 1734 1737 1740 1742 1745 1749 1750 1753 1763 1769 1789 1791 1792 1800 1801 1805 1833 1835 1836 1842 1854 1859 1873 1875 1876 1877 1879 1886 1895 1901 1909 1914 1920 1925 1928 1945 1946 1958 1965 1972 1984 1993 2000 2029 2032 2033 2034 2036 2037 2039 2042 2045 2046 2057 2084 2086 2091 2097 2103 2118 2120 2123 2126 2132 2139 2140 2141 2145 2150 2152 2155 2156 2163 2166 2168 2169 2177 2179 2189 2197 2199 2203 2212 2217 2221 2224 2226 2240 2241 2249 2264 2293 2297 2311 2318 2319 2345 2352 2353 2369 2370 2372 2376 2378 2403 2406 2415 2424 2431 2439 2443 2459 2477]\n# step=0 row=1284 minW=412 found cw of W=402: [12 19 20 21 23 29 35 40 44 50 53 57 60 68 74 75 84 92 98 100 112 114 118 119 122 124 131 133 137 140 153 160 171 174 178 179 202 208 212 220 224 230 243 245 246 256 269 273 276 280 284 289 295 296 303 309 312 319 340 350 352 353 359 360 363 368 370 371 374 379 397 401 411 412 414 417 420 421 422 424 425 426 431 437 439 445 447 448 451 452 453 460 464 466 469 488 495 510 516 521 536 537 539 542 544 553 563 568 576 597 599 603 605 616 617 618 633 639 642 648 649 650 667 669 671 680 686 690 693 709 713 728 732 736 745 765 770 776 790 791 795 807 826 827 829 833 835 847 860 863 864 870 872 875 877 886 901 902 907 912 918 921 941 943 946 953 957 967 970 986 988 991 996 1005 1013 1020 1021 1022 1023 1028 1031 1032 1045 1074 1083 1093 1098 1111 1114 1121 1122 1123 1133 1135 1138 1151 1153 1165 1166 1169 1176 1178 1179 1180 1188 1192 1194 1195 1200 1201 1203 1206 1212 1226 1228 1236 1237 1240 1242 1249 1250 1254 1260 1261 1264 1267 1270 1275 1280 1286 1292 1294 1299 1300 1312 1316 1319 1322 1328 1342 1350 1352 1360 1365 1371 1384 1403 1422 1442 1453 1485 1489 1490 1494 1502 1511 1514 1517 1538 1540 1541 1542 1545 1546 1551 1574 1576 1577 1579 1581 1586 1588 1590 1597 1600 1602 1604 1613 1616 1628 1635 1652 1656 1657 1658 1660 1661 1662 1680 1684 1687 1689 1694 1695 1700 1704 1706 1713 1723 1728 1732 1735 1740 1741 1743 1753 1769 1770 1773 1792 1801 1802 1809 1830 1843 1854 1859 1873 1875 1876 1886 1894 1895 1901 1914 1919 1923 1924 1936 1938 1946 1958 1972 1984 1985 1986 1990 1993 2000 2014 2019 2029 2033 2035 2039 2042 2047 2053 2054 2076 2077 2086 2088 2094 2119 2126 2136 2139 2150 2161 2173 2175 2176 2177 2203 2208 2226 2228 2259 2264 2271 2273 2280 2285 2293 2294 2298 2301 2303 2308 2313 2315 2318 2333 2348 2352 2353 2356 2366 2372 2378 2380 2395 2403 2421 2426 2439 2444 2465 2471 2481 2482]\n# step=8 row=1260 minW=402 found cw of W=400: [2 10 12 15 16 20 36 37 42 48 49 57 67 68 69 79 82 83 85 88 93 95 105 113 138 142 144 146 148 152 168 177 186 187 190 198 203 207 222 227 236 240 245 264 267 283 284 288 295 297 314 315 317 324 328 339 349 353 356 357 358 363 374 380 384 392 397 415 431 434 438 440 441 455 456 459 479 491 495 499 514 519 522 524 526 528 551 556 558 562 564 583 585 591 599 601 611 613 614 621 623 641 642 648 657 658 666 669 672 686 687 690 700 709 714 716 727 734 735 750 753 754 764 766 769 773 774 780 782 784 786 797 799 802 803 811 812 813 824 828 831 833 842 847 850 858 870 876 887 889 890 902 903 906 908 918 922 927 941 956 961 962 972 973 976 995 999 1009 1018 1033 1040 1041 1042 1043 1051 1060 1065 1074 1077 1078 1079 1080 1086 1089 1090 1095 1098 1121 1123 1126 1142 1143 1145 1146 1151 1155 1160 1170 1184 1186 1187 1196 1210 1212 1215 1216 1217 1239 1241 1242 1252 1265 1281 1283 1285 1288 1290 1297 1305 1315 1319 1324 1338 1340 1348 1354 1367 1377 1378 1382 1392 1397 1399 1403 1411 1418 1421 1428 1431 1446 1453 1462 1474 1476 1519 1526 1532 1536 1538 1542 1546 1555 1556 1580 1589 1593 1596 1608 1620 1623 1627 1635 1637 1649 1653 1655 1656 1659 1661 1693 1697 1711 1712 1717 1718 1721 1723 1730 1732 1733 1734 1751 1760 1763 1766 1771 1778 1783 1789 1792 1801 1805 1817 1819 1820 1833 1842 1844 1852 1854 1855 1867 1876 1879 1881 1885 1894 1901 1904 1905 1908 1910 1914 1915 1916 1926 1929 1934 1944 1947 1951 1957 1959 1973 1976 1977 1992 1993 1997 2002 2006 2028 2055 2056 2072 2074 2076 2082 2083 2098 2099 2104 2118 2121 2124 2126 2133 2135 2157 2166 2171 2173 2197 2201 2204 2206 2210 2218 2220 2243 2246 2249 2250 2253 2257 2258 2261 2269 2278 2295 2308 2315 2322 2323 2326 2327 2334 2344 2349 2355 2368 2369 2382 2387 2396 2398 2409 2410 2411 2414 2416 2418 2430 2446 2448 2455 2459 2463 2468 2469]\n# step=21 row=996 minW=400 found cw of W=392: [1 2 5 11 15 20 26 27 38 55 57 58 66 70 80 93 96 100 105 109 111 120 125 130 131 144 157 161 164 166 168 169 170 179 188 198 213 217 230 237 240 248 249 253 266 269 275 282 285 288 292 293 294 296 300 305 314 317 330 346 351 359 361 363 369 382 383 385 386 393 396 398 408 409 416 420 421 431 437 442 446 449 456 457 465 471 485 488 493 494 495 499 501 509 516 535 538 540 542 543 563 568 577 579 584 586 595 604 614 618 619 641 645 654 655 684 693 697 700 710 717 718 721 723 724 725 741 742 755 761 771 772 777 779 785 788 790 792 826 829 832 835 838 840 864 880 884 894 896 901 905 920 925 934 941 943 947 954 968 973 980 1016 1021 1031 1036 1042 1053 1057 1069 1072 1084 1088 1090 1091 1098 1106 1115 1124 1145 1148 1149 1166 1170 1174 1179 1184 1185 1213 1226 1227 1229 1248 1254 1261 1266 1275 1279 1284 1298 1303 1304 1317 1328 1331 1332 1335 1339 1350 1357 1364 1369 1374 1389 1391 1394 1395 1398 1400 1407 1410 1413 1420 1432 1433 1435 1439 1451 1452 1456 1459 1462 1464 1469 1484 1495 1515 1517 1523 1524 1527 1528 1531 1543 1547 1552 1565 1566 1572 1573 1574 1578 1580 1584 1585 1586 1600 1614 1618 1620 1625 1628 1633 1635 1644 1650 1651 1656 1660 1670 1675 1681 1686 1696 1698 1701 1715 1716 1732 1736 1738 1751 1753 1760 1764 1767 1784 1785 1787 1789 1792 1804 1808 1811 1816 1821 1834 1837 1840 1841 1845 1851 1859 1868 1881 1883 1885 1886 1891 1892 1899 1900 1908 1909 1910 1911 1915 1922 1923 1931 1933 1944 1958 1964 1968 1973 1980 1988 1997 2007 2008 2029 2042 2045 2053 2069 2072 2082 2083 2094 2098 2099 2108 2112 2131 2132 2147 2150 2155 2173 2179 2181 2184 2206 2215 2224 2230 2246 2248 2260 2269 2271 2274 2288 2291 2292 2295 2304 2308 2309 2315 2328 2332 2337 2340 2358 2361 2371 2378 2386 2387 2395 2412 2417 2418 2433 2438 2442 2445 2456 2462 2465 2473]\n# step=27 row=1187 minW=392 found cw of W=384: [3 4 9 12 15 16 25 30 34 40 41 42 44 47 54 59 65 77 84 87 93 97 98 101 114 119 121 122 130 134 136 153 156 161 164 179 182 191 200 208 213 214 217 237 238 241 242 246 251 257 269 282 284 295 301 305 309 311 312 321 325 334 352 353 356 365 371 372 380 382 383 384 386 390 395 400 413 414 418 428 435 436 443 445 452 455 458 460 461 464 466 468 472 476 479 481 494 497 509 510 511 512 517 518 524 527 529 532 556 578 588 600 609 611 622 626 635 645 652 655 670 677 681 683 693 695 701 709 710 723 725 726 729 735 739 744 747 755 758 768 795 800 802 811 815 817 825 828 833 847 852 861 872 882 883 886 887 888 908 911 915 920 937 947 950 952 956 966 970 971 972 985 990 1004 1005 1021 1025 1027 1029 1030 1040 1043 1048 1049 1051 1054 1058 1060 1080 1089 1107 1110 1114 1118 1123 1126 1128 1132 1145 1150 1151 1158 1174 1180 1181 1189 1192 1194 1195 1200 1202 1209 1214 1218 1220 1221 1222 1232 1237 1244 1246 1277 1279 1291 1299 1307 1317 1340 1343 1350 1355 1358 1359 1376 1378 1381 1383 1394 1401 1403 1410 1414 1415 1423 1427 1451 1456 1461 1464 1466 1479 1483 1485 1490 1500 1501 1514 1516 1517 1519 1534 1535 1540 1542 1549 1555 1568 1574 1580 1582 1583 1586 1587 1593 1594 1595 1597 1601 1620 1628 1647 1654 1661 1667 1669 1677 1679 1689 1691 1704 1717 1721 1725 1727 1730 1732 1736 1743 1748 1751 1755 1771 1785 1788 1789 1790 1809 1813 1831 1838 1840 1888 1889 1894 1895 1919 1920 1921 1924 1929 1974 1980 1981 1982 1999 2023 2053 2056 2062 2066 2069 2073 2074 2075 2084 2088 2104 2121 2122 2133 2139 2150 2155 2156 2173 2183 2186 2197 2207 2216 2220 2234 2248 2250 2264 2266 2267 2270 2275 2279 2283 2285 2295 2297 2316 2327 2332 2333 2357 2369 2388 2397 2402 2409 2410 2416 2420 2421 2424 2441 2449 2451 2454 2479]\n# step=30 row=1319 minW=384 found cw of W=380: [12 15 34 44 50 62 67 81 85 90 93 103 106 117 123 131 140 142 143 145 147 148 154 166 174 175 184 186 190 191 197 198 199 212 218 228 237 238 249 255 257 261 263 275 282 287 288 293 308 312 324 326 331 333 339 342 345 361 363 366 382 384 397 412 415 423 429 436 443 449 456 474 477 478 484 492 504 505 506 510 516 520 524 526 527 539 541 545 548 552 558 559 562 564 570 578 580 591 596 601 603 615 618 625 640 643 646 650 651 655 690 697 699 700 705 706 710 711 713 717 723 727 730 771 773 777 778 789 791 793 800 809 840 847 849 850 854 875 876 889 890 898 906 907 914 928 934 940 945 985 987 989 993 996 999 1029 1032 1033 1035 1049 1058 1065 1072 1093 1097 1099 1101 1107 1108 1111 1115 1125 1134 1144 1147 1154 1156 1184 1190 1193 1198 1206 1218 1221 1229 1245 1246 1249 1252 1261 1273 1279 1282 1284 1286 1288 1291 1297 1300 1301 1309 1313 1317 1320 1325 1328 1336 1340 1341 1344 1349 1350 1355 1364 1372 1384 1387 1394 1399 1406 1411 1420 1436 1437 1444 1445 1447 1458 1461 1465 1492 1493 1503 1508 1511 1513 1519 1520 1534 1535 1537 1548 1553 1560 1568 1574 1575 1578 1580 1588 1593 1598 1603 1606 1614 1616 1623 1634 1649 1653 1665 1667 1675 1679 1682 1686 1689 1696 1704 1705 1708 1716 1737 1753 1757 1766 1767 1769 1774 1775 1776 1781 1784 1795 1804 1823 1824 1826 1830 1843 1864 1870 1883 1885 1887 1895 1896 1912 1914 1915 1918 1932 1937 1940 1941 1944 1948 1955 1963 1964 1968 1974 1986 1993 1995 2010 2026 2037 2039 2041 2045 2053 2064 2071 2072 2078 2090 2095 2101 2102 2113 2116 2128 2138 2150 2161 2167 2169 2182 2194 2198 2206 2221 2225 2229 2249 2255 2256 2260 2270 2271 2285 2296 2297 2298 2317 2320 2337 2348 2350 2352 2378 2379 2380 2392 2393 2395 2400 2403 2412 2415 2423 2430 2445 2452 2454 2461 2468 2472 2481]\n# step=149 row=540 minW=380 found cw of W=378: [1 2 9 13 16 18 23 24 25 28 29 48 54 70 73 78 105 110 111 116 135 136 140 143 151 152 167 169 173 183 186 195 200 218 228 240 243 244 250 251 255 257 260 275 279 286 305 306 308 323 339 343 346 365 368 375 376 390 399 400 425 427 437 440 443 451 458 461 467 468 471 474 478 488 494 495 497 506 521 523 524 525 538 539 540 541 549 553 557 563 575 585 592 594 603 606 613 617 618 619 626 630 637 639 646 651 662 669 675 679 680 684 708 716 718 724 726 729 736 737 742 743 747 752 764 773 777 789 807 817 823 827 830 834 835 853 863 867 881 899 901 902 903 910 914 923 931 935 942 947 952 953 955 956 961 981 998 1001 1009 1015 1023 1025 1032 1033 1041 1045 1056 1060 1074 1089 1091 1097 1106 1112 1120 1123 1129 1139 1141 1152 1165 1182 1187 1189 1190 1200 1202 1205 1215 1225 1226 1238 1240 1265 1270 1271 1278 1281 1287 1288 1290 1294 1298 1313 1315 1321 1335 1340 1349 1350 1364 1369 1379 1380 1387 1390 1404 1411 1424 1436 1437 1438 1439 1442 1446 1448 1452 1482 1510 1511 1526 1528 1535 1536 1539 1552 1556 1570 1571 1597 1604 1611 1630 1632 1639 1648 1654 1655 1658 1662 1668 1669 1670 1674 1681 1684 1685 1688 1694 1695 1696 1706 1732 1737 1743 1755 1764 1774 1780 1781 1788 1801 1803 1811 1815 1842 1863 1866 1882 1886 1889 1894 1898 1904 1906 1911 1912 1914 1917 1926 1931 1932 1933 1934 1941 1949 1950 1952 1954 1964 1965 1973 1993 2013 2019 2040 2047 2050 2055 2068 2073 2074 2078 2083 2088 2089 2094 2097 2104 2115 2119 2133 2142 2149 2154 2160 2165 2175 2177 2178 2183 2186 2188 2219 2221 2222 2230 2232 2234 2238 2250 2257 2260 2265 2267 2271 2274 2278 2296 2302 2305 2307 2318 2332 2343 2347 2358 2362 2371 2377 2392 2393 2395 2396 2400 2412 2421 2426 2427 2432 2433 2439 2449 2462 2469 2471 2473 2477]\n# step=295 row=358 minW=378 found cw of W=364: [6 18 22 23 27 33 39 44 71 92 94 95 99 100 116 117 119 132 147 152 153 154 175 196 197 198 213 214 225 233 234 240 246 252 262 273 281 283 288 297 300 306 307 326 328 335 346 352 357 372 374 400 424 426 433 438 439 456 457 459 470 475 477 479 482 498 507 508 510 532 544 554 560 561 567 568 607 609 619 622 625 635 641 643 647 648 653 659 667 683 696 718 728 732 738 768 769 776 783 797 798 837 840 847 852 853 854 859 868 869 874 889 903 929 931 937 938 943 961 967 968 975 984 987 991 1003 1005 1015 1017 1018 1019 1020 1034 1039 1075 1076 1088 1091 1095 1103 1113 1124 1135 1136 1137 1140 1175 1180 1181 1191 1195 1197 1199 1203 1206 1210 1213 1222 1231 1234 1236 1253 1254 1256 1260 1266 1274 1275 1278 1283 1289 1297 1301 1306 1307 1308 1324 1335 1336 1337 1338 1345 1351 1354 1358 1363 1367 1377 1379 1381 1400 1407 1410 1411 1415 1427 1431 1436 1438 1446 1459 1485 1493 1501 1514 1515 1534 1537 1543 1555 1577 1588 1594 1600 1604 1611 1614 1616 1617 1618 1635 1640 1658 1660 1661 1663 1664 1676 1680 1683 1685 1686 1690 1692 1703 1708 1713 1725 1733 1735 1743 1745 1749 1752 1753 1762 1768 1773 1774 1778 1782 1786 1791 1795 1797 1798 1799 1805 1806 1808 1819 1820 1829 1831 1834 1839 1841 1842 1856 1867 1871 1882 1888 1891 1893 1897 1915 1923 1931 1932 1937 1942 1948 1956 1958 1963 1984 1994 2001 2002 2006 2015 2019 2036 2037 2039 2046 2062 2069 2080 2082 2083 2084 2087 2091 2095 2110 2127 2128 2133 2139 2153 2162 2163 2165 2168 2180 2184 2187 2206 2222 2231 2241 2243 2270 2284 2288 2289 2292 2294 2296 2297 2301 2306 2310 2319 2323 2325 2329 2335 2338 2339 2342 2350 2352 2354 2360 2363 2377 2378 2384 2390 2393 2402 2404 2411 2416 2453 2455 2459 2460 2468 2471 2480]\n# step=660 row=626 minW=364 found cw of W=68: [6 7 8 15 19 20 21 22 23 25 30 32 46 48 55 61 368 376 386 393 399 402 405 421 422 425 427 428 431 433 435 438 732 761 762 766 770 772 778 781 1109 1110 1115 1123 1124 1126 1131 1133 1134 1135 1141 1145 1148 1150 1151 1162 1165 1465 1471 1473 1475 1482 1484 1487 1495 1508 1515 1530]\n# round=1000 of 10000 minW=68\n# round=2000 of 10000 minW=68\n# step=2689 row=344 minW=68 found cw of W=24: [233 249 252 255 260 263 585 593 626 627 634 643 973 987 988 993 997 1016 1336 1356 1358 1367 1376 1387]\n# round=3000 of 10000 minW=24\n# round=4000 of 10000 minW=24\n# round=5000 of 10000 minW=24\n# round=6000 of 10000 minW=24\n# round=7000 of 10000 minW=24\n# round=8000 of 10000 minW=24\n# round=9000 of 10000 minW=24\n# round=10000 of 10000 minW=24\nRW algorithm upper bound for the distance d=24\n</t>
  </si>
  <si>
    <t xml:space="preserve"># step=0 row=0 minW=2721 found cw of W=534: [1 2 3 9 10 11 14 15 19 23 26 37 38 44 45 48 52 62 63 68 69 86 89 90 95 117 118 120 122 124 130 132 134 135 137 141 142 143 152 155 157 169 183 195 197 206 214 216 225 228 230 249 251 253 263 267 271 278 280 288 294 296 301 303 304 305 312 321 323 331 335 336 342 351 361 364 365 368 388 392 393 394 398 409 413 420 421 423 428 429 433 435 437 440 446 457 459 461 464 470 486 499 501 505 508 517 523 527 528 533 534 538 545 547 548 550 554 556 558 563 566 569 570 577 594 599 601 604 626 629 632 633 637 641 666 677 679 684 692 706 713 720 723 724 725 730 733 735 737 742 758 763 770 785 788 790 791 793 803 805 810 812 815 820 821 833 836 839 844 847 848 851 854 855 863 882 884 890 908 909 913 923 933 937 940 948 951 959 961 963 968 973 979 999 1016 1023 1027 1032 1038 1040 1042 1045 1052 1056 1059 1065 1068 1082 1083 1088 1090 1093 1095 1100 1105 1116 1118 1119 1125 1140 1151 1153 1155 1157 1159 1164 1166 1168 1173 1178 1179 1180 1181 1185 1186 1190 1192 1193 1195 1197 1201 1204 1208 1212 1219 1221 1225 1226 1229 1235 1238 1239 1240 1246 1252 1262 1263 1274 1278 1288 1290 1297 1301 1310 1319 1322 1323 1327 1333 1339 1342 1348 1352 1357 1360 1364 1370 1371 1374 1378 1385 1387 1388 1391 1398 1404 1409 1410 1412 1417 1418 1422 1429 1437 1439 1442 1451 1453 1454 1459 1465 1470 1493 1495 1504 1505 1508 1513 1520 1522 1523 1527 1536 1539 1541 1542 1543 1550 1559 1563 1572 1576 1579 1588 1598 1599 1601 1604 1610 1617 1618 1625 1627 1630 1632 1647 1651 1658 1664 1677 1690 1691 1694 1696 1698 1699 1705 1714 1722 1723 1737 1744 1747 1756 1775 1777 1785 1786 1793 1794 1799 1801 1806 1808 1811 1812 1813 1815 1821 1829 1838 1840 1853 1854 1860 1861 1868 1869 1872 1876 1882 1886 1891 1897 1900 1911 1919 1930 1932 1933 1943 1951 1958 1963 1964 1984 1988 1994 1997 2000 2003 2014 2015 2019 2022 2024 2025 2039 2045 2046 2047 2056 2059 2063 2064 2068 2069 2071 2073 2074 2081 2089 2100 2101 2108 2120 2121 2124 2126 2127 2131 2132 2141 2142 2148 2149 2157 2168 2176 2193 2198 2200 2201 2216 2220 2233 2242 2249 2252 2254 2260 2261 2266 2275 2282 2283 2301 2304 2305 2309 2311 2314 2315 2317 2318 2321 2322 2327 2334 2337 2338 2339 2340 2345 2349 2353 2361 2362 2368 2384 2388 2393 2398 2404 2415 2424 2436 2438 2439 2445 2447 2449 2454 2465 2472 2474 2482 2483 2488 2491 2494 2497 2513 2520 2531 2545 2546 2547 2548 2554 2565 2576 2582 2592 2594 2604 2605 2612 2613 2621 2622 2623 2646 2653 2654 2657 2662 2670 2703 2705 2708 2711 2713 2716]\n# step=0 row=1 minW=534 found cw of W=524: [4 10 11 14 15 22 23 24 26 27 32 38 44 45 48 52 54 56 62 63 69 86 95 98 103 106 108 118 119 120 122 123 131 132 134 135 140 143 157 170 177 179 197 199 201 214 216 218 219 224 228 235 239 242 248 249 251 256 260 279 299 301 302 303 310 312 316 323 329 331 335 336 337 341 342 359 361 363 382 383 388 392 398 402 409 421 423 428 433 437 439 443 451 452 457 460 470 486 504 517 520 531 533 536 537 538 547 552 553 554 556 558 560 563 566 575 586 587 594 599 601 604 607 612 615 620 626 629 630 636 638 641 657 660 666 684 695 701 704 706 720 724 725 742 744 757 758 763 770 773 783 785 790 791 800 802 805 806 810 812 815 818 824 828 836 847 861 862 874 884 890 900 908 909 913 920 921 923 926 928 931 935 940 942 951 957 959 961 962 967 968 972 973 990 992 997 998 1023 1027 1036 1038 1041 1042 1056 1059 1067 1068 1078 1079 1082 1083 1087 1093 1094 1095 1097 1100 1105 1111 1116 1125 1142 1146 1152 1155 1157 1158 1162 1164 1171 1173 1174 1178 1179 1181 1185 1186 1187 1190 1192 1197 1201 1218 1221 1223 1225 1226 1229 1237 1242 1249 1256 1260 1263 1266 1268 1274 1278 1280 1288 1290 1297 1301 1310 1314 1316 1318 1320 1323 1327 1332 1335 1337 1347 1348 1357 1370 1373 1374 1385 1387 1388 1398 1404 1416 1417 1431 1433 1439 1444 1448 1451 1453 1454 1458 1459 1470 1475 1476 1478 1488 1489 1494 1495 1496 1505 1506 1508 1517 1523 1526 1539 1541 1542 1550 1551 1559 1568 1571 1576 1579 1583 1587 1588 1599 1601 1605 1614 1615 1618 1626 1647 1659 1660 1664 1682 1690 1691 1705 1713 1721 1722 1723 1726 1727 1730 1744 1745 1747 1754 1756 1768 1770 1773 1776 1793 1795 1806 1810 1813 1822 1832 1838 1845 1846 1852 1853 1854 1866 1869 1872 1878 1883 1886 1889 1891 1894 1897 1919 1921 1926 1928 1930 1947 1950 1951 1961 1972 1984 1999 2000 2003 2004 2014 2015 2024 2031 2035 2039 2045 2048 2049 2054 2056 2067 2069 2071 2073 2074 2089 2094 2100 2111 2120 2121 2123 2128 2148 2162 2165 2169 2170 2176 2180 2196 2200 2201 2209 2216 2240 2242 2245 2246 2249 2250 2252 2254 2255 2256 2282 2286 2287 2288 2300 2301 2305 2307 2313 2314 2317 2318 2321 2324 2326 2327 2340 2350 2352 2353 2357 2360 2364 2366 2383 2384 2391 2393 2398 2400 2405 2406 2418 2419 2420 2429 2437 2439 2443 2445 2447 2454 2461 2465 2470 2475 2482 2491 2492 2493 2494 2507 2511 2513 2523 2531 2535 2540 2545 2547 2555 2566 2569 2579 2582 2588 2595 2597 2604 2605 2615 2618 2633 2645 2646 2653 2670 2677 2681 2688 2703 2704 2705 2713 2716]\n# step=0 row=3 minW=524 found cw of W=522: [3 6 9 12 13 15 19 22 27 38 45 46 47 48 50 54 63 68 69 85 86 98 103 106 117 118 119 123 124 130 134 148 152 155 157 159 165 169 177 183 191 199 203 206 213 218 219 224 230 239 241 247 249 251 254 257 260 271 275 278 279 280 301 303 310 316 321 326 330 335 337 345 350 361 364 370 379 380 383 385 392 393 398 413 415 429 433 437 446 456 459 464 467 470 471 499 501 504 505 508 512 513 518 520 523 528 531 536 537 539 544 545 547 550 552 553 554 558 560 561 569 577 596 599 601 604 607 612 614 615 629 630 633 636 637 642 645 656 657 659 660 661 666 677 679 684 693 695 701 705 706 724 725 730 732 737 744 755 758 763 770 774 787 788 793 802 803 821 833 847 848 851 854 855 862 863 872 882 885 900 911 920 921 923 931 935 937 942 945 948 951 959 962 964 972 973 979 981 988 992 994 996 997 999 1023 1037 1039 1040 1041 1045 1059 1079 1086 1095 1103 1118 1119 1139 1140 1146 1151 1153 1155 1157 1159 1162 1166 1173 1174 1178 1179 1182 1185 1192 1193 1197 1200 1202 1204 1208 1210 1212 1218 1219 1221 1229 1238 1239 1240 1242 1249 1256 1260 1278 1287 1288 1295 1297 1308 1318 1319 1322 1323 1327 1329 1337 1342 1346 1357 1360 1364 1371 1375 1377 1380 1381 1385 1391 1398 1404 1409 1412 1416 1418 1433 1436 1439 1442 1449 1451 1453 1454 1456 1459 1470 1475 1478 1480 1488 1495 1496 1504 1505 1506 1508 1513 1519 1523 1531 1534 1536 1539 1540 1541 1542 1550 1562 1576 1579 1580 1587 1597 1598 1599 1601 1603 1604 1614 1615 1617 1627 1628 1630 1632 1639 1644 1647 1651 1659 1660 1664 1672 1674 1682 1690 1698 1705 1719 1724 1726 1744 1749 1768 1769 1773 1775 1780 1786 1793 1794 1795 1799 1806 1810 1812 1821 1829 1840 1845 1852 1854 1860 1862 1866 1869 1870 1872 1874 1875 1886 1889 1891 1921 1932 1943 1947 1967 1983 1984 1988 1994 1997 2000 2004 2008 2014 2022 2024 2026 2031 2035 2045 2048 2049 2056 2063 2067 2071 2073 2074 2078 2080 2092 2120 2126 2128 2138 2141 2142 2143 2145 2162 2165 2168 2169 2170 2180 2182 2194 2209 2220 2231 2233 2240 2245 2249 2252 2254 2255 2261 2266 2278 2286 2287 2298 2300 2301 2304 2305 2309 2313 2318 2322 2327 2331 2345 2349 2350 2353 2359 2361 2366 2384 2389 2400 2405 2406 2429 2436 2437 2439 2448 2449 2453 2462 2465 2470 2475 2479 2482 2483 2488 2492 2493 2497 2507 2510 2513 2530 2540 2545 2546 2554 2555 2565 2566 2569 2571 2576 2579 2589 2592 2595 2597 2602 2613 2615 2619 2624 2630 2632 2646 2654 2662 2670 2680 2681 2688 2700 2703 2705 2717]\n# step=0 row=16 minW=522 found cw of W=494: [2 9 10 33 37 38 48 52 54 56 69 85 89 90 95 98 117 118 119 120 122 123 126 131 134 135 140 143 155 165 169 170 179 186 191 197 199 203 206 213 224 228 241 242 247 254 263 267 279 296 305 329 330 335 341 342 350 351 364 368 380 383 388 396 398 402 413 415 420 421 423 428 429 433 440 446 456 457 480 496 499 504 505 508 513 517 518 520 523 527 531 533 536 538 539 544 547 548 552 553 558 560 561 570 575 577 580 586 599 601 604 607 612 614 630 641 645 646 656 659 671 677 679 680 693 694 704 705 712 723 725 730 732 735 742 757 773 774 787 788 789 790 791 793 802 805 806 815 818 821 845 851 854 855 861 862 863 872 874 889 890 891 892 893 900 908 909 911 913 921 935 940 942 959 963 965 967 978 979 984 992 996 997 998 1012 1015 1016 1021 1022 1023 1027 1032 1036 1037 1040 1042 1052 1056 1063 1065 1068 1073 1075 1082 1086 1090 1093 1104 1105 1116 1118 1119 1124 1125 1129 1132 1140 1146 1152 1153 1157 1162 1168 1181 1185 1186 1187 1192 1193 1195 1197 1201 1218 1219 1221 1223 1225 1235 1237 1239 1240 1249 1260 1262 1271 1278 1290 1310 1318 1320 1321 1322 1329 1339 1342 1348 1370 1371 1373 1374 1375 1377 1380 1381 1387 1391 1404 1412 1431 1433 1437 1451 1456 1459 1478 1480 1488 1490 1493 1494 1499 1504 1513 1517 1519 1520 1522 1531 1533 1534 1536 1543 1544 1548 1549 1551 1562 1563 1576 1588 1593 1598 1601 1602 1603 1604 1613 1614 1617 1625 1628 1630 1634 1639 1664 1665 1677 1683 1690 1698 1699 1702 1712 1714 1719 1721 1722 1723 1724 1726 1730 1737 1749 1754 1756 1764 1769 1770 1775 1776 1785 1786 1797 1801 1808 1812 1813 1819 1822 1845 1846 1854 1860 1862 1866 1875 1876 1882 1883 1889 1891 1897 1900 1911 1926 1928 1930 1933 1943 1945 1946 1958 1963 1972 1982 1988 1994 1997 2003 2008 2019 2024 2047 2054 2059 2063 2064 2067 2068 2069 2073 2078 2081 2089 2100 2106 2111 2120 2121 2124 2126 2127 2139 2142 2165 2168 2176 2187 2193 2233 2242 2245 2246 2249 2252 2260 2266 2275 2278 2286 2300 2304 2311 2313 2317 2318 2326 2331 2334 2338 2340 2345 2349 2350 2360 2404 2406 2417 2419 2420 2425 2429 2438 2445 2448 2449 2453 2454 2461 2470 2475 2479 2482 2488 2492 2493 2507 2510 2511 2515 2540 2547 2548 2551 2565 2569 2578 2579 2588 2594 2602 2605 2613 2618 2620 2630 2638 2645 2646 2660 2662 2680 2681 2686 2694 2700 2703 2704 2708 2709 2711 2713 2716 2717]\n# step=0 row=69 minW=494 found cw of W=486: [11 13 15 23 26 27 32 38 44 45 46 50 52 56 81 85 86 90 108 114 119 123 124 126 130 132 134 137 148 152 169 170 179 197 201 206 218 224 230 242 248 251 254 267 275 279 280 291 299 301 302 310 326 329 330 335 337 342 345 364 379 383 385 393 394 396 402 410 421 423 435 440 451 452 467 470 496 497 501 504 505 508 520 527 536 538 550 553 560 566 570 572 584 587 599 604 607 612 614 615 620 641 646 659 660 666 677 679 680 684 693 695 701 706 713 715 723 725 735 744 755 763 770 774 783 787 791 800 802 805 806 810 812 815 820 833 844 845 861 889 891 892 893 911 913 920 921 928 933 942 954 956 959 961 964 967 968 973 979 981 988 990 997 998 1012 1015 1016 1018 1019 1021 1032 1042 1051 1059 1065 1067 1073 1082 1087 1088 1090 1094 1097 1118 1119 1125 1139 1140 1151 1153 1155 1157 1158 1159 1164 1168 1173 1180 1190 1192 1193 1195 1197 1202 1210 1225 1226 1229 1231 1235 1237 1238 1240 1249 1260 1263 1274 1278 1295 1297 1301 1316 1318 1320 1321 1346 1347 1348 1352 1360 1370 1373 1374 1375 1381 1385 1387 1404 1408 1410 1412 1417 1422 1429 1433 1437 1439 1442 1449 1451 1454 1459 1466 1476 1480 1493 1495 1499 1505 1508 1517 1519 1527 1534 1539 1540 1548 1549 1550 1551 1556 1559 1562 1563 1568 1576 1579 1580 1587 1598 1603 1604 1605 1608 1610 1614 1615 1618 1628 1632 1634 1639 1659 1665 1674 1683 1690 1696 1699 1702 1712 1714 1718 1721 1722 1726 1730 1737 1744 1764 1768 1769 1772 1777 1780 1785 1786 1792 1794 1797 1806 1811 1815 1822 1845 1853 1854 1859 1861 1862 1866 1870 1872 1874 1875 1878 1882 1883 1886 1889 1911 1919 1921 1928 1932 1933 1943 1945 1950 1951 1958 1959 1964 1967 1983 1984 2000 2004 2008 2015 2039 2045 2046 2047 2067 2068 2069 2071 2074 2075 2089 2092 2094 2106 2120 2126 2131 2138 2141 2145 2148 2149 2155 2162 2165 2169 2193 2196 2198 2220 2231 2240 2246 2249 2250 2260 2261 2266 2275 2286 2298 2300 2301 2309 2311 2313 2314 2315 2321 2322 2326 2334 2339 2345 2349 2350 2352 2353 2357 2358 2359 2360 2383 2384 2393 2398 2400 2404 2420 2429 2436 2437 2438 2439 2443 2448 2449 2453 2454 2462 2474 2475 2479 2482 2491 2493 2497 2510 2511 2515 2519 2520 2535 2540 2545 2548 2554 2569 2570 2576 2579 2582 2588 2589 2594 2597 2607 2612 2613 2614 2619 2622 2623 2630 2646 2653 2654 2660 2662 2674 2680 2681 2686 2703 2704 2713]\n# step=0 row=101 minW=486 found cw of W=480: [3 19 22 23 24 27 37 38 44 47 48 52 63 81 90 108 117 120 123 124 130 132 135 137 165 169 177 178 179 183 195 201 203 216 219 224 228 230 241 242 251 254 260 278 279 280 291 296 299 301 302 303 312 316 323 329 331 337 361 363 365 368 379 380 382 385 388 394 398 402 409 410 435 437 440 451 452 457 464 467 471 497 512 517 520 527 538 548 550 553 561 563 566 569 570 572 573 577 578 580 587 594 601 604 607 620 630 637 641 645 646 656 659 660 679 684 691 692 695 704 705 712 713 723 724 725 730 737 763 773 783 785 787 788 790 799 802 803 806 810 812 818 820 828 836 839 847 853 862 872 882 884 889 890 893 908 909 911 920 923 926 931 933 940 942 957 959 965 967 968 979 981 984 990 992 1016 1018 1019 1021 1022 1032 1036 1039 1041 1045 1065 1067 1078 1079 1082 1083 1086 1090 1093 1104 1124 1125 1132 1155 1166 1171 1174 1178 1179 1181 1182 1186 1187 1192 1195 1219 1223 1225 1228 1235 1237 1249 1254 1256 1262 1263 1266 1287 1288 1290 1297 1316 1318 1319 1322 1323 1327 1332 1335 1342 1352 1357 1378 1380 1388 1398 1410 1416 1417 1418 1422 1433 1437 1439 1442 1444 1449 1451 1453 1454 1456 1458 1467 1475 1478 1490 1493 1495 1499 1504 1513 1517 1523 1533 1534 1540 1541 1542 1548 1550 1551 1556 1563 1568 1571 1579 1583 1587 1588 1601 1602 1604 1608 1610 1614 1630 1632 1634 1647 1651 1658 1660 1664 1677 1683 1691 1694 1696 1698 1699 1705 1712 1713 1714 1718 1726 1730 1737 1744 1747 1768 1770 1772 1773 1776 1785 1792 1794 1808 1812 1821 1822 1829 1838 1846 1854 1861 1865 1876 1883 1900 1922 1926 1928 1930 1933 1943 1946 1947 1961 1964 1982 1983 1997 2000 2004 2019 2026 2035 2045 2047 2048 2049 2056 2059 2064 2068 2074 2075 2081 2089 2092 2106 2108 2111 2120 2128 2131 2132 2138 2143 2149 2157 2165 2169 2170 2176 2182 2196 2198 2200 2201 2231 2233 2240 2242 2245 2250 2252 2254 2255 2260 2261 2266 2275 2278 2283 2288 2298 2301 2304 2305 2309 2310 2314 2315 2321 2322 2327 2345 2358 2359 2362 2368 2383 2389 2391 2393 2404 2405 2415 2417 2438 2443 2447 2449 2451 2462 2470 2472 2474 2475 2479 2483 2491 2492 2494 2497 2513 2515 2520 2547 2551 2554 2555 2565 2566 2570 2576 2579 2589 2597 2604 2605 2613 2615 2618 2619 2620 2621 2622 2623 2624 2630 2638 2651 2653 2657 2662 2670 2674 2677 2681 2700 2716]\n# step=0 row=121 minW=480 found cw of W=466: [9 11 22 24 32 37 38 44 47 48 54 56 63 85 86 90 98 103 106 108 117 118 120 122 123 124 130 135 137 159 165 169 179 199 201 206 208 213 214 216 219 228 230 235 247 248 251 257 260 263 267 271 275 278 279 280 288 294 301 303 304 316 326 329 330 331 335 336 337 341 359 361 363 368 370 380 383 388 392 393 398 409 413 415 420 421 428 429 437 443 457 459 460 461 464 471 497 499 508 517 520 528 531 536 537 539 544 548 552 553 558 560 572 580 584 586 596 604 607 612 614 615 620 629 637 641 642 646 657 660 661 671 677 679 684 691 692 693 694 695 705 712 715 723 724 725 733 735 742 773 788 790 793 803 806 810 816 818 821 828 836 847 848 854 855 862 882 884 889 909 911 913 926 931 933 948 954 964 965 967 968 973 978 979 984 988 990 992 1015 1019 1021 1036 1040 1052 1056 1063 1068 1073 1075 1077 1086 1087 1088 1094 1104 1105 1111 1118 1119 1132 1142 1151 1159 1162 1174 1180 1182 1185 1192 1193 1195 1197 1200 1202 1204 1218 1219 1221 1223 1225 1238 1239 1246 1252 1263 1268 1288 1295 1297 1314 1316 1318 1322 1339 1352 1357 1370 1371 1374 1375 1377 1380 1381 1387 1398 1408 1412 1416 1417 1431 1437 1439 1449 1451 1453 1454 1458 1465 1475 1478 1480 1489 1490 1494 1495 1505 1513 1519 1526 1527 1533 1540 1544 1550 1551 1562 1571 1579 1597 1598 1599 1602 1603 1604 1605 1617 1627 1630 1634 1644 1647 1651 1658 1660 1664 1677 1682 1690 1699 1714 1721 1726 1727 1745 1754 1764 1768 1770 1773 1775 1776 1777 1792 1793 1794 1797 1806 1811 1813 1819 1821 1822 1838 1846 1852 1859 1860 1868 1869 1874 1875 1878 1882 1889 1894 1919 1926 1930 1943 1945 1946 1950 1958 1964 1972 1982 1983 1997 2000 2008 2015 2024 2046 2048 2049 2050 2059 2064 2071 2073 2080 2094 2101 2111 2123 2124 2127 2132 2139 2141 2149 2155 2157 2165 2168 2169 2176 2182 2187 2194 2199 2200 2209 2233 2242 2245 2249 2252 2256 2286 2298 2300 2301 2304 2307 2310 2313 2331 2340 2351 2357 2364 2388 2389 2400 2404 2405 2406 2417 2419 2424 2436 2438 2439 2443 2445 2453 2462 2470 2488 2491 2492 2493 2494 2523 2546 2549 2565 2566 2579 2588 2589 2592 2595 2597 2605 2607 2614 2618 2619 2620 2621 2645 2653 2657 2660 2670 2677 2680 2681 2686 2694 2704 2705 2713 2716]\n# step=1 row=563 minW=466 found cw of W=456: [3 18 20 24 30 34 47 48 51 63 68 80 81 95 103 107 111 114 115 128 132 138 143 149 151 157 170 182 191 201 218 220 228 230 239 243 244 248 251 267 268 283 293 296 298 304 311 319 321 326 331 332 338 349 353 355 363 365 369 372 374 398 404 407 416 418 420 422 427 445 448 450 458 459 474 477 478 481 482 495 500 513 519 527 530 531 532 534 537 542 543 553 559 561 564 568 569 576 580 596 604 608 611 612 619 624 627 629 631 633 638 650 652 663 665 670 673 682 684 685 686 696 704 705 708 710 712 725 727 729 733 738 739 743 754 777 788 792 794 799 800 809 813 823 830 832 833 837 848 860 865 870 873 884 888 892 898 903 911 917 922 925 941 947 960 965 973 978 989 994 997 1001 1003 1004 1023 1028 1030 1031 1033 1041 1045 1046 1056 1059 1067 1077 1086 1090 1107 1108 1112 1115 1120 1122 1124 1128 1130 1134 1135 1139 1140 1172 1179 1184 1185 1186 1193 1194 1195 1208 1222 1224 1225 1237 1243 1244 1245 1248 1257 1260 1275 1280 1291 1292 1294 1296 1303 1306 1320 1324 1325 1335 1338 1352 1353 1354 1355 1377 1380 1381 1383 1392 1397 1404 1416 1420 1421 1424 1426 1430 1433 1435 1436 1440 1442 1445 1447 1455 1459 1463 1470 1473 1477 1481 1482 1489 1491 1498 1499 1503 1511 1514 1519 1536 1537 1542 1544 1546 1550 1551 1554 1559 1561 1571 1573 1575 1578 1587 1590 1598 1610 1626 1631 1636 1643 1646 1652 1666 1667 1673 1674 1677 1679 1683 1684 1689 1693 1736 1748 1762 1769 1771 1775 1779 1787 1791 1804 1831 1838 1839 1848 1851 1853 1855 1859 1862 1866 1870 1876 1877 1888 1891 1904 1910 1914 1915 1916 1928 1930 1932 1935 1936 1937 1940 1942 1944 1947 1963 1975 2013 2018 2020 2024 2032 2035 2036 2051 2054 2066 2070 2077 2093 2098 2104 2113 2120 2122 2127 2130 2150 2159 2160 2174 2183 2195 2202 2203 2204 2206 2212 2214 2215 2223 2227 2234 2237 2248 2251 2259 2260 2269 2273 2286 2292 2297 2300 2304 2305 2319 2339 2343 2348 2349 2357 2366 2368 2371 2372 2379 2380 2383 2388 2390 2398 2401 2415 2431 2432 2440 2444 2456 2458 2463 2493 2495 2501 2504 2520 2537 2543 2554 2561 2565 2583 2598 2599 2603 2609 2611 2612 2613 2631 2632 2636 2648 2664 2670 2675 2683 2686 2688 2699 2704 2705 2713 2715]\n# step=1 row=961 minW=456 found cw of W=454: [10 18 30 35 37 39 43 44 48 49 54 65 73 74 81 93 95 98 109 111 114 115 128 132 157 179 182 184 186 191 202 208 218 234 243 245 247 253 254 257 267 268 270 275 280 282 283 293 298 300 302 303 311 314 315 321 325 326 331 332 349 351 353 354 357 358 361 363 369 370 372 383 420 422 427 429 436 438 443 452 454 456 461 474 475 478 480 482 483 500 503 513 526 530 531 532 534 535 543 560 561 562 564 570 572 575 576 598 601 611 617 619 621 624 627 636 638 648 650 664 682 685 693 700 705 707 708 719 725 737 739 744 759 761 768 771 792 794 795 797 802 804 807 808 835 837 838 844 859 860 865 882 887 889 909 911 913 922 923 939 941 942 943 950 954 956 959 960 987 1001 1010 1029 1030 1041 1045 1046 1056 1066 1067 1068 1072 1076 1082 1086 1087 1090 1099 1115 1116 1119 1125 1130 1131 1132 1133 1142 1148 1171 1172 1184 1194 1224 1229 1235 1243 1244 1252 1272 1273 1281 1284 1291 1303 1318 1320 1328 1330 1336 1339 1341 1352 1354 1355 1372 1380 1382 1393 1397 1399 1416 1423 1433 1442 1444 1450 1455 1465 1473 1482 1489 1494 1498 1508 1525 1529 1536 1550 1551 1559 1572 1573 1574 1578 1582 1593 1596 1598 1608 1615 1616 1621 1626 1630 1632 1636 1637 1647 1652 1657 1663 1667 1671 1673 1677 1679 1681 1683 1705 1709 1712 1713 1714 1724 1726 1727 1734 1746 1748 1752 1753 1756 1758 1778 1782 1785 1789 1790 1804 1807 1813 1824 1829 1838 1839 1846 1848 1853 1854 1889 1894 1896 1899 1901 1902 1904 1910 1911 1919 1928 1930 1936 1947 1961 1962 1963 1966 1967 1971 1974 1977 1980 1991 2011 2018 2020 2022 2024 2032 2035 2040 2051 2058 2075 2081 2087 2088 2096 2099 2100 2108 2123 2125 2128 2131 2132 2141 2147 2150 2159 2169 2172 2174 2179 2191 2195 2202 2203 2204 2212 2231 2234 2237 2241 2244 2246 2247 2259 2260 2269 2282 2283 2285 2297 2299 2306 2308 2325 2337 2350 2352 2353 2365 2366 2368 2369 2374 2380 2381 2399 2402 2405 2410 2415 2438 2441 2444 2460 2463 2464 2471 2481 2482 2484 2487 2493 2495 2496 2501 2504 2509 2510 2513 2518 2537 2543 2549 2556 2559 2564 2566 2568 2593 2596 2602 2611 2628 2643 2660 2661 2664 2675 2678 2680 2683 2686 2688 2692 2696 2699 2704 2710 2715 2718 2720]\n# step=3 row=257 minW=454 found cw of W=444: [1 5 21 22 34 38 52 54 61 63 65 70 72 81 82 94 99 108 120 136 138 144 146 150 154 156 161 170 173 174 184 185 186 194 204 212 233 237 245 247 255 262 265 273 283 285 288 297 299 300 302 306 311 317 322 328 329 334 342 346 350 354 361 362 365 379 392 397 398 406 408 414 415 420 443 446 449 454 466 468 469 472 483 484 494 507 517 523 527 531 536 539 542 545 563 588 593 598 609 627 641 647 663 690 691 692 697 699 701 703 705 707 710 716 724 727 728 733 746 750 767 768 772 776 790 791 802 804 807 817 820 823 825 827 828 829 843 850 851 865 867 869 871 882 883 885 889 897 900 909 919 921 937 938 942 945 948 958 959 968 969 971 976 977 978 989 1001 1009 1010 1021 1022 1025 1026 1035 1039 1040 1051 1058 1061 1072 1075 1084 1090 1101 1112 1115 1127 1141 1152 1156 1157 1161 1168 1173 1182 1185 1186 1203 1214 1228 1232 1233 1234 1243 1251 1256 1283 1284 1289 1303 1304 1307 1311 1317 1327 1344 1346 1347 1348 1369 1378 1382 1385 1387 1393 1394 1396 1397 1399 1403 1409 1415 1418 1421 1442 1444 1445 1451 1459 1460 1464 1466 1475 1512 1516 1517 1524 1525 1528 1529 1530 1542 1552 1554 1557 1562 1575 1579 1582 1596 1607 1608 1621 1626 1634 1637 1638 1640 1642 1643 1646 1650 1652 1653 1661 1672 1673 1674 1675 1682 1690 1695 1697 1711 1724 1729 1730 1735 1737 1745 1748 1752 1761 1762 1771 1787 1793 1799 1804 1808 1813 1821 1826 1827 1835 1837 1839 1842 1845 1847 1852 1857 1862 1863 1867 1884 1888 1890 1895 1901 1903 1915 1930 1934 1942 1944 1960 1976 1982 1984 1989 1991 1994 2008 2021 2022 2027 2028 2030 2040 2048 2065 2070 2075 2109 2121 2122 2123 2126 2133 2136 2138 2139 2143 2145 2147 2149 2155 2158 2162 2169 2186 2188 2192 2195 2214 2215 2218 2233 2235 2251 2258 2267 2272 2279 2285 2295 2307 2314 2315 2327 2333 2337 2338 2350 2360 2364 2366 2370 2372 2380 2382 2383 2386 2390 2395 2396 2401 2426 2439 2443 2450 2453 2454 2458 2461 2469 2470 2475 2490 2495 2500 2503 2522 2523 2535 2537 2540 2543 2557 2563 2564 2572 2574 2582 2583 2614 2615 2625 2632 2643 2648 2654 2663 2674 2677 2678 2681 2688 2690 2693 2704 2716 2719]\n# step=24 row=477 minW=444 found cw of W=442: [1 2 3 4 8 9 11 12 13 17 20 26 28 35 42 46 50 62 69 72 80 90 100 112 113 116 119 122 134 135 140 149 150 153 158 167 171 184 186 187 188 190 193 197 203 212 216 235 238 242 249 258 267 269 275 305 312 325 330 332 336 340 341 347 361 365 382 402 406 407 416 426 436 437 438 440 444 458 463 466 467 473 477 481 482 490 492 499 519 527 529 542 558 560 566 569 571 592 595 599 601 614 636 637 641 646 650 653 670 680 683 688 695 704 705 707 708 712 721 724 726 732 735 743 748 753 754 760 762 770 772 784 788 798 805 809 810 819 829 830 837 839 855 856 859 860 861 864 867 869 872 877 878 887 888 894 900 902 911 917 924 936 941 945 946 950 955 958 968 982 983 993 996 997 1001 1044 1078 1082 1089 1090 1092 1102 1105 1110 1118 1133 1157 1166 1169 1172 1173 1189 1192 1200 1205 1210 1221 1230 1234 1248 1249 1254 1260 1274 1279 1283 1288 1303 1311 1316 1319 1342 1348 1350 1360 1380 1382 1395 1397 1400 1401 1402 1405 1407 1409 1412 1414 1417 1430 1435 1436 1441 1456 1457 1458 1461 1464 1468 1477 1479 1481 1493 1500 1515 1529 1535 1546 1547 1555 1560 1561 1566 1575 1580 1601 1611 1612 1621 1623 1624 1626 1644 1645 1668 1674 1676 1680 1682 1689 1699 1701 1702 1705 1708 1716 1726 1728 1739 1745 1756 1758 1773 1774 1777 1780 1784 1793 1795 1805 1818 1826 1836 1838 1839 1842 1844 1850 1859 1863 1866 1867 1873 1874 1881 1882 1888 1896 1898 1907 1910 1919 1933 1947 1953 1954 1956 1960 1961 1974 1981 1982 1985 1988 1992 2007 2009 2013 2018 2020 2021 2022 2027 2037 2041 2047 2054 2056 2059 2080 2083 2086 2105 2129 2145 2149 2150 2153 2158 2160 2164 2169 2184 2189 2195 2196 2201 2202 2211 2212 2219 2227 2228 2245 2251 2262 2273 2277 2279 2285 2287 2291 2303 2305 2308 2321 2333 2344 2348 2349 2359 2360 2376 2377 2379 2381 2382 2384 2394 2396 2410 2427 2445 2458 2466 2487 2492 2507 2508 2511 2520 2521 2542 2549 2556 2557 2558 2563 2564 2569 2571 2575 2579 2584 2585 2586 2588 2589 2606 2617 2619 2621 2628 2634 2635 2639 2658 2660 2664 2666 2673 2675 2677 2685 2687 2688 2691 2696 2697 2699 2702 2705 2713]\n# step=52 row=891 minW=442 found cw of W=434: [9 21 28 41 51 92 107 130 142 147 149 161 165 175 184 204 205 206 217 219 224 229 230 244 245 254 258 271 285 308 312 317 318 324 327 328 334 340 341 346 348 350 351 380 384 391 396 409 413 414 421 422 424 436 440 442 445 446 456 459 460 465 472 494 495 505 510 512 526 528 529 532 535 556 580 581 586 588 597 620 624 627 633 637 664 667 676 677 678 679 690 692 696 697 698 705 714 727 731 733 734 736 743 749 756 757 763 771 774 776 781 790 798 806 809 810 816 825 838 841 844 850 852 855 859 866 867 871 879 880 896 905 911 914 917 921 927 937 940 941 945 947 952 957 958 963 966 967 973 977 982 986 987 994 1009 1012 1013 1019 1021 1030 1036 1039 1047 1056 1063 1066 1074 1081 1086 1087 1097 1100 1101 1105 1111 1114 1118 1119 1132 1133 1140 1141 1145 1148 1149 1150 1155 1156 1161 1166 1170 1173 1174 1177 1185 1192 1203 1213 1215 1222 1230 1259 1270 1274 1294 1301 1306 1315 1321 1322 1335 1337 1345 1348 1350 1359 1376 1383 1385 1399 1402 1411 1412 1420 1428 1430 1438 1441 1447 1451 1452 1460 1468 1481 1486 1487 1505 1506 1510 1515 1517 1539 1540 1542 1543 1545 1551 1555 1568 1574 1584 1585 1587 1589 1592 1598 1604 1610 1613 1614 1628 1637 1660 1664 1668 1670 1671 1678 1681 1684 1685 1699 1705 1710 1711 1713 1714 1715 1722 1725 1726 1752 1753 1759 1773 1789 1790 1794 1797 1800 1808 1809 1819 1820 1822 1829 1833 1838 1844 1845 1859 1860 1861 1870 1873 1877 1883 1885 1887 1894 1900 1905 1918 1919 1920 1921 1927 1928 1930 1933 1941 1947 1970 1971 1973 1976 1984 1988 2007 2015 2019 2020 2025 2028 2061 2063 2066 2072 2073 2081 2107 2108 2113 2141 2145 2155 2157 2158 2165 2167 2168 2171 2182 2185 2190 2192 2196 2212 2220 2221 2228 2230 2238 2240 2241 2245 2255 2261 2269 2271 2274 2276 2298 2300 2305 2309 2322 2339 2347 2362 2377 2379 2383 2392 2393 2398 2420 2427 2430 2438 2439 2445 2451 2455 2457 2459 2467 2469 2473 2474 2482 2489 2496 2498 2499 2506 2511 2512 2520 2525 2526 2528 2530 2541 2579 2580 2582 2597 2623 2627 2628 2629 2632 2637 2638 2657 2668 2670 2673 2675 2684 2694 2710 2718]\n# step=125 row=485 minW=434 found cw of W=432: [1 7 10 12 13 20 32 41 70 73 92 104 118 122 128 138 142 147 155 161 165 167 174 175 178 179 180 195 201 205 209 212 218 229 230 233 249 252 269 278 286 287 308 315 319 328 329 333 334 337 338 351 375 386 409 422 425 435 449 458 461 462 467 470 480 481 486 491 492 511 525 526 538 544 550 553 555 560 565 575 580 584 593 599 600 605 606 623 627 630 631 633 635 638 639 642 643 655 658 662 665 668 669 674 683 690 691 694 700 713 723 724 734 737 763 769 772 784 792 797 799 804 806 807 809 811 812 821 831 839 847 849 852 857 865 866 870 878 881 889 890 903 918 929 931 935 941 945 951 956 957 960 963 972 978 980 985 990 1003 1004 1010 1012 1015 1018 1024 1026 1027 1028 1036 1039 1047 1050 1052 1058 1075 1079 1080 1081 1085 1095 1097 1104 1122 1131 1140 1152 1161 1164 1173 1174 1182 1190 1196 1200 1206 1215 1218 1230 1231 1234 1235 1236 1237 1241 1255 1256 1258 1274 1282 1299 1306 1320 1321 1323 1329 1335 1338 1351 1352 1366 1367 1375 1376 1391 1409 1413 1414 1420 1424 1433 1434 1438 1443 1444 1450 1455 1475 1483 1494 1499 1505 1511 1515 1528 1549 1555 1568 1574 1575 1596 1602 1604 1613 1620 1626 1630 1634 1635 1647 1673 1684 1687 1695 1700 1706 1709 1711 1716 1721 1722 1727 1739 1750 1763 1775 1778 1779 1780 1789 1791 1797 1800 1810 1812 1813 1816 1821 1823 1825 1834 1842 1843 1861 1870 1872 1873 1878 1906 1912 1914 1916 1922 1932 1938 1943 1947 1960 1990 2001 2003 2006 2008 2019 2022 2026 2027 2029 2035 2038 2039 2042 2051 2052 2055 2061 2079 2082 2085 2090 2091 2103 2108 2112 2117 2118 2120 2128 2156 2158 2161 2163 2168 2171 2172 2175 2177 2195 2204 2205 2210 2213 2217 2220 2221 2250 2251 2254 2268 2273 2292 2305 2325 2333 2342 2344 2354 2356 2360 2369 2380 2382 2384 2388 2394 2398 2404 2405 2412 2417 2421 2423 2429 2430 2435 2438 2466 2473 2474 2495 2504 2513 2531 2538 2539 2540 2541 2542 2545 2551 2553 2554 2555 2562 2566 2574 2576 2583 2593 2594 2610 2615 2618 2630 2632 2633 2636 2639 2642 2654 2662 2666 2669 2670 2674 2678 2679 2680 2684 2692 2697 2702 2709]\n# step=153 row=547 minW=432 found cw of W=430: [11 37 42 44 51 52 57 68 76 87 92 98 102 105 111 114 119 121 131 140 154 167 176 180 183 192 199 209 217 226 249 250 255 258 260 264 265 272 273 280 281 303 309 310 317 325 326 327 334 340 344 351 355 356 362 373 375 390 393 411 412 418 423 425 440 442 451 456 457 467 474 483 484 487 491 493 495 503 504 509 512 530 539 541 543 544 551 552 560 566 573 575 579 584 590 593 596 601 608 620 630 639 645 646 654 659 660 662 671 675 686 689 691 704 706 708 710 712 713 714 753 754 757 766 768 769 776 779 784 786 788 790 803 813 816 819 825 846 857 858 862 863 865 883 887 894 901 904 906 911 917 921 927 928 933 934 936 938 948 951 952 968 969 972 976 987 989 998 1002 1029 1033 1035 1039 1053 1056 1060 1061 1063 1069 1071 1082 1094 1095 1105 1125 1129 1135 1136 1158 1175 1182 1193 1197 1199 1201 1214 1220 1221 1222 1227 1228 1233 1234 1237 1238 1248 1255 1274 1284 1290 1291 1297 1308 1315 1320 1325 1328 1330 1332 1335 1337 1339 1342 1344 1348 1354 1368 1387 1396 1400 1404 1413 1425 1431 1442 1444 1447 1451 1452 1453 1463 1486 1487 1488 1504 1522 1525 1527 1530 1532 1537 1544 1564 1568 1569 1571 1575 1578 1580 1584 1585 1588 1592 1595 1598 1603 1606 1627 1629 1640 1641 1657 1659 1666 1667 1678 1680 1691 1696 1704 1708 1714 1723 1727 1729 1739 1746 1749 1753 1757 1760 1773 1775 1784 1786 1797 1802 1832 1838 1850 1859 1865 1874 1887 1895 1902 1911 1912 1915 1919 1926 1939 1942 1967 1976 1977 1986 1990 2008 2023 2028 2041 2044 2045 2065 2086 2092 2096 2101 2112 2123 2127 2140 2143 2150 2154 2161 2163 2167 2168 2180 2182 2185 2191 2200 2207 2212 2213 2214 2215 2243 2248 2259 2264 2273 2274 2278 2284 2285 2293 2296 2305 2310 2314 2315 2316 2317 2328 2333 2335 2339 2345 2346 2349 2352 2356 2360 2361 2375 2379 2396 2411 2412 2417 2422 2426 2427 2444 2446 2447 2448 2451 2452 2466 2469 2477 2490 2495 2497 2498 2500 2503 2506 2511 2524 2541 2556 2560 2570 2578 2582 2587 2594 2601 2603 2608 2609 2626 2637 2640 2649 2650 2652 2660 2661 2696 2703 2713 2716 2719]\n# step=290 row=1131 minW=430 found cw of W=422: [5 19 20 22 31 33 40 53 61 65 71 74 76 83 94 103 113 119 123 124 126 129 134 153 157 178 191 196 204 214 215 225 239 260 261 263 264 286 295 321 322 324 328 330 332 350 351 353 354 357 363 372 375 379 381 383 396 402 414 423 432 439 442 443 445 448 455 456 487 490 505 517 518 519 523 539 540 545 549 551 554 567 570 578 598 600 607 610 614 630 632 642 644 656 664 679 683 699 701 705 707 712 719 727 728 730 731 735 737 740 743 755 762 768 769 797 800 806 812 815 824 826 844 848 851 852 856 867 868 869 873 874 877 880 886 895 901 902 905 906 916 918 926 928 931 933 939 948 955 960 962 976 993 1002 1010 1039 1053 1054 1080 1084 1090 1101 1103 1111 1128 1129 1134 1140 1146 1160 1161 1162 1165 1169 1174 1179 1180 1182 1186 1191 1197 1201 1204 1206 1213 1226 1237 1244 1247 1254 1255 1257 1261 1264 1268 1275 1284 1287 1299 1301 1315 1323 1329 1331 1335 1341 1342 1350 1365 1367 1368 1373 1377 1380 1383 1386 1422 1431 1443 1444 1445 1452 1462 1476 1504 1506 1522 1523 1525 1528 1540 1543 1548 1551 1558 1564 1565 1567 1571 1577 1578 1580 1585 1594 1596 1609 1621 1627 1635 1639 1644 1648 1650 1661 1666 1667 1673 1675 1676 1677 1684 1685 1691 1692 1699 1707 1720 1725 1729 1736 1737 1738 1742 1751 1761 1763 1768 1770 1792 1794 1802 1807 1812 1819 1826 1827 1831 1833 1834 1845 1849 1851 1857 1862 1866 1867 1871 1883 1885 1891 1897 1903 1913 1920 1923 1924 1925 1929 1933 1942 1948 1954 1956 1960 1962 1963 1967 1973 1974 1975 1988 1994 1997 2001 2007 2023 2032 2038 2043 2050 2058 2063 2070 2072 2080 2086 2087 2090 2091 2093 2109 2111 2112 2119 2136 2141 2146 2152 2157 2160 2164 2169 2177 2189 2191 2205 2220 2221 2223 2229 2234 2237 2241 2255 2258 2269 2293 2300 2301 2303 2313 2315 2317 2334 2352 2355 2357 2365 2379 2382 2394 2427 2437 2438 2450 2456 2459 2470 2471 </t>
  </si>
  <si>
    <t>2474 2477 2483 2490 2504 2509 2513 2521 2523 2530 2533 2535 2537 2540 2562 2569 2590 2601 2626 2632 2636 2639 2640 2652 2653 2654 2657 2664 2673 2677 2688 2715 2716]\n# round=1000 of 10000 minW=422\n# step=1390 row=393 minW=422 found cw of W=416: [6 7 9 37 41 46 48 51 56 68 71 74 86 90 93 99 104 107 134 136 145 151 158 159 163 167 170 171 172 176 177 185 187 199 200 203 207 211 212 229 231 233 246 257 260 265 287 291 294 301 308 313 322 327 328 330 333 337 342 343 346 352 354 355 357 371 390 392 396 397 406 408 412 422 428 431 433 439 443 447 448 452 466 490 493 495 496 506 519 520 522 523 529 530 532 534 542 547 556 557 558 561 564 570 587 590 595 602 604 606 614 619 621 630 633 634 667 668 689 696 705 711 712 715 716 731 735 737 750 752 755 761 766 767 771 773 775 783 790 792 796 815 825 830 834 835 845 855 863 889 905 908 921 923 927 931 932 935 938 939 941 943 945 949 960 969 975 976 987 988 993 996 1003 1012 1026 1029 1033 1053 1059 1064 1068 1076 1079 1098 1102 1110 1133 1144 1153 1158 1185 1189 1190 1191 1193 1200 1206 1214 1215 1231 1248 1249 1253 1261 1271 1276 1278 1280 1290 1296 1300 1303 1306 1313 1316 1340 1347 1351 1366 1375 1381 1383 1388 1392 1393 1401 1402 1405 1411 1418 1427 1436 1440 1442 1450 1453 1461 1468 1475 1486 1503 1516 1518 1524 1535 1536 1538 1542 1545 1579 1580 1582 1586 1587 1598 1604 1613 1621 1628 1629 1640 1642 1643 1644 1656 1658 1667 1688 1695 1699 1701 1702 1715 1718 1721 1727 1729 1737 1747 1748 1749 1752 1766 1773 1779 1788 1793 1797 1807 1825 1826 1834 1839 1845 1867 1870 1879 1882 1894 1896 1898 1916 1923 1927 1932 1939 1943 1960 1969 1970 1972 1986 1987 1993 1996 2005 2011 2012 2016 2021 2029 2035 2048 2053 2070 2071 2082 2086 2100 2102 2113 2114 2123 2128 2130 2132 2153 2154 2155 2181 2184 2187 2188 2197 2203 2206 2213 2214 2216 2227 2232 2233 2234 2240 2254 2274 2276 2281 2301 2304 2308 2326 2336 2387 2392 2395 2401 2416 2418 2421 2433 2436 2452 2464 2466 2472 2473 2475 2476 2482 2485 2486 2487 2499 2500 2517 2520 2538 2547 2550 2552 2553 2554 2578 2580 2581 2589 2591 2601 2607 2613 2631 2649 2654 2655 2656 2667 2673 2678 2680 2682 2694 2697 2713 2715 2720]\n# round=2000 of 10000 minW=416\n# step=2719 row=990 minW=416 found cw of W=400: [15 20 28 35 40 45 50 66 80 85 98 103 104 105 107 108 109 112 116 141 148 152 157 160 168 169 170 176 177 180 183 191 194 201 203 206 210 211 213 216 220 221 239 254 262 272 274 275 287 301 302 308 317 319 323 326 332 333 345 348 355 360 368 379 383 386 400 403 405 409 412 420 423 431 435 448 449 451 453 460 464 473 480 481 490 495 499 502 515 520 525 527 529 536 538 539 544 553 556 560 562 566 577 589 596 603 617 625 628 630 645 649 664 670 678 683 684 691 703 705 713 716 718 722 737 745 746 754 756 765 769 774 777 788 810 816 826 829 842 847 856 863 866 869 881 884 900 904 907 910 918 926 938 940 952 955 965 971 980 982 989 995 1005 1023 1038 1044 1065 1066 1075 1095 1096 1099 1112 1121 1125 1126 1128 1139 1141 1144 1157 1159 1169 1170 1174 1175 1210 1211 1214 1219 1223 1226 1231 1243 1276 1278 1283 1284 1285 1286 1293 1305 1317 1336 1340 1342 1343 1368 1382 1384 1385 1398 1406 1411 1414 1416 1428 1431 1435 1438 1441 1445 1450 1453 1468 1469 1473 1478 1479 1481 1482 1483 1489 1490 1499 1516 1517 1519 1528 1529 1530 1531 1540 1548 1549 1561 1586 1597 1599 1600 1606 1609 1619 1626 1637 1640 1646 1654 1655 1657 1663 1668 1670 1671 1682 1684 1698 1707 1721 1731 1754 1756 1768 1781 1785 1788 1794 1796 1801 1803 1804 1813 1823 1825 1848 1868 1876 1886 1888 1898 1914 1922 1924 1926 1939 1945 1958 1959 1960 1963 1965 1966 1967 1977 1985 1988 1992 2006 2010 2012 2013 2043 2052 2064 2065 2071 2085 2089 2109 2110 2112 2115 2119 2141 2151 2153 2156 2160 2161 2175 2201 2210 2254 2258 2266 2273 2278 2283 2284 2294 2310 2313 2315 2335 2337 2342 2348 2349 2350 2351 2354 2366 2382 2385 2389 2410 2411 2413 2418 2421 2428 2449 2452 2453 2459 2460 2473 2487 2494 2498 2503 2516 2517 2531 2534 2535 2568 2572 2585 2593 2608 2611 2612 2614 2626 2627 2640 2643 2646 2667 2670 2676 2681 2687 2688 2710 2711 2713 2716 2720]\n# round=3000 of 10000 minW=400\n# round=4000 of 10000 minW=400\n# round=5000 of 10000 minW=400\n# round=6000 of 10000 minW=400\n# round=7000 of 10000 minW=400\n# round=8000 of 10000 minW=400\n# step=8063 row=378 minW=400 found cw of W=24: [256 262 265 266 271 278 645 652 669 675 719 720 1051 1067 1102 1110 1111 1117 1477 1479 1480 1486 1500 1510]\n# round=9000 of 10000 minW=24\n# round=10000 of 10000 minW=24\nRW algorithm upper bound for the distance d=24\n</t>
  </si>
  <si>
    <t># step=0 row=0 minW=2891 found cw of W=538: [1 3 16 20 21 40 46 47 50 51 52 53 68 69 70 99 103 108 119 122 124 130 139 140 155 165 180 182 183 194 198 215 221 225 231 233 236 239 240 244 248 249 251 258 260 263 266 272 273 280 284 290 295 296 303 314 316 318 321 348 350 354 357 359 363 368 371 376 379 385 386 388 404 407 411 415 416 417 420 421 424 428 429 430 438 440 442 447 449 455 463 470 489 504 505 506 510 515 520 523 524 525 526 530 531 535 537 542 544 548 555 556 561 565 568 571 580 597 607 616 618 619 623 625 627 628 642 645 651 652 656 657 691 692 700 705 710 713 714 716 722 731 738 746 782 783 785 806 820 836 858 860 863 867 878 880 883 885 887 892 895 918 919 920 923 927 929 931 933 937 939 940 942 943 949 950 951 952 963 970 971 989 990 1003 1004 1006 1015 1020 1021 1029 1031 1036 1045 1047 1051 1057 1066 1070 1071 1096 1105 1107 1108 1109 1114 1127 1145 1149 1155 1165 1175 1179 1181 1188 1200 1203 1216 1221 1224 1226 1230 1231 1244 1255 1258 1259 1261 1269 1270 1273 1274 1276 1282 1294 1306 1307 1314 1315 1316 1332 1340 1347 1354 1356 1357 1367 1370 1380 1400 1403 1404 1405 1416 1426 1434 1445 1451 1453 1454 1456 1479 1484 1485 1486 1487 1490 1497 1498 1505 1506 1508 1513 1520 1525 1531 1532 1534 1540 1549 1552 1555 1556 1567 1569 1575 1584 1591 1595 1598 1600 1605 1610 1616 1623 1625 1626 1628 1629 1635 1641 1643 1645 1646 1651 1661 1664 1671 1675 1679 1682 1686 1687 1688 1689 1695 1713 1716 1732 1735 1738 1739 1741 1742 1744 1745 1747 1748 1765 1770 1779 1780 1783 1792 1793 1805 1806 1818 1828 1829 1833 1834 1835 1837 1840 1860 1864 1866 1870 1871 1877 1883 1885 1893 1894 1896 1899 1900 1902 1906 1908 1909 1911 1912 1917 1918 1925 1928 1930 1965 1969 1980 1981 1983 1985 1992 1995 2001 2007 2010 2011 2014 2020 2027 2036 2045 2051 2053 2056 2063 2068 2077 2078 2080 2090 2092 2109 2112 2113 2114 2116 2120 2132 2134 2140 2141 2144 2146 2153 2161 2168 2174 2176 2181 2183 2188 2215 2217 2220 2227 2241 2245 2253 2254 2258 2269 2271 2273 2277 2280 2281 2285 2295 2297 2313 2316 2319 2335 2338 2340 2346 2364 2373 2374 2376 2381 2385 2396 2399 2400 2404 2414 2416 2434 2435 2445 2446 2448 2452 2456 2457 2459 2466 2469 2471 2473 2475 2479 2481 2485 2493 2495 2502 2506 2510 2513 2528 2548 2549 2554 2556 2566 2570 2571 2574 2581 2591 2594 2595 2600 2604 2606 2623 2632 2637 2639 2646 2650 2651 2653 2658 2665 2669 2674 2675 2685 2691 2702 2703 2717 2720 2723 2726 2728 2738 2741 2742 2750 2754 2784 2788 2790 2798 2800 2802 2807 2809 2816 2820 2825 2826 2841 2844 2855 2859 2866 2867 2877 2881]\n# step=0 row=3 minW=538 found cw of W=536: [8 14 16 20 24 31 48 50 52 53 60 62 68 69 70 82 99 101 103 106 108 119 124 127 132 136 139 151 152 155 165 172 175 179 180 181 183 193 194 197 198 203 215 221 225 227 231 232 238 245 251 263 272 273 284 287 290 302 314 316 323 339 354 359 363 366 368 371 385 391 412 414 415 416 417 425 428 430 442 443 454 455 463 470 476 482 500 504 506 510 516 517 520 522 523 525 526 527 531 535 542 548 551 552 553 554 560 561 568 571 590 594 597 598 605 607 612 616 618 623 626 641 645 651 657 662 681 685 700 705 709 710 713 731 738 746 752 761 769 783 785 793 799 805 814 825 826 836 840 843 854 862 863 865 867 870 873 878 880 890 892 898 901 909 910 919 922 926 927 929 931 937 939 940 943 950 952 968 970 971 972 976 982 991 996 999 1003 1004 1006 1007 1010 1011 1012 1020 1021 1029 1045 1047 1049 1063 1090 1093 1100 1105 1107 1114 1118 1120 1122 1123 1127 1131 1135 1136 1140 1143 1145 1165 1170 1177 1178 1188 1200 1203 1206 1210 1224 1227 1230 1233 1237 1240 1255 1257 1259 1269 1270 1273 1280 1284 1285 1295 1299 1306 1307 1315 1316 1324 1334 1338 1349 1354 1361 1365 1373 1376 1380 1388 1397 1400 1403 1405 1416 1423 1425 1426 1431 1434 1435 1444 1448 1453 1454 1455 1464 1473 1479 1487 1490 1495 1497 1498 1508 1515 1519 1523 1527 1540 1552 1553 1556 1557 1569 1570 1575 1584 1591 1595 1598 1600 1602 1605 1611 1615 1618 1619 1620 1625 1626 1629 1635 1641 1643 1645 1647 1648 1650 1671 1675 1682 1683 1688 1696 1700 1703 1716 1730 1732 1734 1735 1738 1739 1744 1745 1747 1749 1752 1754 1755 1770 1771 1779 1789 1792 1793 1805 1812 1818 1828 1829 1833 1834 1847 1850 1856 1857 1859 1866 1870 1872 1873 1877 1888 1896 1900 1909 1925 1936 1955 1959 1973 1979 1980 1981 1989 1995 1999 2001 2006 2010 2011 2014 2015 2022 2036 2039 2043 2044 2050 2051 2054 2055 2056 2068 2072 2077 2080 2088 2108 2112 2120 2134 2139 2140 2143 2144 2153 2158 2167 2168 2174 2176 2178 2183 2211 2217 2219 2226 2240 2241 2254 2260 2266 2269 2273 2275 2277 2280 2285 2290 2295 2297 2302 2304 2308 2319 2320 2321 2324 2327 2330 2333 2335 2338 2364 2367 2374 2375 2399 2400 2406 2410 2430 2434 2438 2444 2445 2446 2451 2452 2456 2458 2459 2468 2473 2477 2484 2493 2503 2506 2507 2511 2554 2571 2574 2578 2581 2590 2591 2600 2604 2605 2606 2609 2618 2623 2624 2628 2630 2632 2635 2639 2641 2646 2650 2651 2660 2665 2667 2674 2675 2676 2679 2685 2692 2700 2703 2704 2715 2717 2720 2723 2726 2737 2740 2753 2788 2790 2795 2798 2800 2807 2810 2814 2816 2819 2820 2826 2841 2843 2844 2860 2865 2867 2875 2881]\n# step=0 row=19 minW=536 found cw of W=526: [2 7 15 16 20 24 28 37 38 43 47 52 59 60 68 69 103 105 106 119 122 128 132 136 143 146 159 165 170 172 175 179 182 183 194 210 220 227 232 233 236 238 239 240 243 245 248 249 251 267 273 277 293 302 303 321 336 338 339 348 350 353 361 366 368 371 376 378 380 385 404 407 412 414 415 416 424 425 429 440 447 455 468 470 482 489 500 505 510 515 516 517 522 524 525 527 531 533 535 537 544 547 553 561 562 564 565 568 580 585 590 592 595 597 598 612 626 641 642 647 649 650 651 666 669 675 678 681 685 689 691 700 703 705 710 713 722 736 746 751 752 753 761 767 769 770 778 785 793 799 814 820 823 825 835 836 842 843 857 860 862 863 873 885 887 898 901 909 910 918 920 923 926 933 937 942 943 948 955 957 963 971 976 980 981 988 991 999 1001 1003 1004 1007 1010 1012 1015 1021 1026 1034 1036 1047 1049 1051 1054 1056 1057 1063 1064 1079 1090 1108 1109 1114 1118 1122 1127 1135 1140 1143 1149 1154 1155 1173 1176 1177 1179 1180 1188 1197 1216 1221 1230 1237 1244 1255 1259 1261 1273 1276 1282 1286 1294 1306 1307 1313 1316 1324 1331 1334 1338 1340 1349 1357 1361 1365 1367 1372 1379 1388 1394 1400 1416 1426 1434 1445 1448 1451 1453 1464 1473 1484 1485 1486 1495 1503 1505 1506 1513 1519 1520 1524 1525 1531 1548 1549 1557 1561 1565 1570 1584 1588 1593 1598 1602 1605 1610 1611 1616 1619 1620 1626 1629 1640 1641 1646 1651 1675 1682 1687 1688 1689 1695 1703 1718 1719 1731 1734 1738 1742 1747 1752 1758 1765 1771 1772 1779 1780 1783 1789 1793 1803 1804 1806 1812 1817 1818 1826 1828 1829 1833 1834 1835 1850 1853 1860 1864 1866 1868 1871 1873 1874 1883 1885 1893 1894 1899 1900 1902 1908 1912 1913 1918 1925 1927 1929 1930 1936 1951 1955 1969 1973 1980 1981 1985 1995 2001 2007 2015 2022 2023 2044 2050 2051 2054 2055 2057 2075 2077 2081 2090 2092 2096 2103 2108 2116 2132 2134 2144 2167 2173 2174 2187 2192 2194 2200 2211 2217 2226 2227 2239 2246 2253 2260 2266 2271 2273 2304 2310 2316 2321 2327 2333 2367 2372 2373 2375 2376 2385 2388 2396 2404 2406 2413 2414 2423 2424 2425 2430 2432 2435 2438 2443 2444 2451 2452 2456 2459 2466 2469 2475 2477 2481 2483 2484 2502 2506 2511 2513 2514 2528 2533 2540 2548 2556 2566 2569 2570 2571 2576 2578 2586 2590 2604 2605 2609 2617 2623 2628 2630 2632 2635 2637 2639 2646 2650 2651 2660 2665 2666 2669 2674 2679 2684 2685 2692 2700 2703 2709 2715 2717 2721 2723 2741 2742 2747 2750 2754 2788 2790 2795 2798 2800 2810 2814 2815 2818 2820 2825 2826 2847 2855 2859 2860 2865 2875 2878 2881]\n# step=0 row=27 minW=526 found cw of W=520: [3 7 15 20 22 24 28 31 48 50 55 57 62 70 82 95 99 103 105 123 124 126 130 139 140 143 146 155 163 165 172 180 183 192 194 198 208 215 220 225 226 227 231 232 236 238 239 244 245 251 256 262 263 272 290 292 295 303 314 318 321 338 341 353 359 366 368 371 376 378 379 407 411 413 415 424 431 440 442 457 461 463 476 479 482 495 505 506 515 517 523 524 525 526 530 533 537 542 548 551 559 560 561 565 568 571 577 580 586 591 592 594 599 607 612 616 628 647 649 650 652 653 656 666 667 676 678 700 703 710 714 722 746 748 751 752 753 757 765 770 778 797 805 808 813 814 816 825 826 835 836 840 854 857 865 867 885 898 903 910 916 920 926 931 932 938 942 943 948 952 955 957 968 972 980 982 988 990 991 996 1001 1006 1007 1012 1015 1020 1025 1026 1029 1034 1036 1051 1056 1057 1060 1062 1070 1071 1090 1093 1100 1105 1107 1108 1109 1114 1115 1118 1127 1145 1149 1154 1169 1170 1173 1174 1175 1176 1178 1180 1203 1210 1216 1221 1224 1226 1227 1231 1232 1233 1237 1250 1259 1274 1285 1286 1314 1324 1331 1334 1338 1340 1349 1356 1357 1361 1367 1376 1379 1394 1403 1411 1416 1426 1427 1431 1448 1453 1454 1455 1456 1473 1479 1485 1497 1498 1503 1506 1513 1524 1527 1531 1534 1548 1549 1552 1555 1557 1565 1566 1567 1569 1582 1584 1588 1590 1591 1593 1600 1615 1616 1618 1619 1623 1625 1627 1635 1640 1647 1648 1661 1675 1679 1683 1692 1699 1700 1713 1718 1726 1731 1734 1745 1747 1749 1750 1752 1755 1771 1781 1795 1801 1805 1817 1835 1866 1867 1868 1870 1871 1874 1888 1902 1906 1908 1911 1912 1917 1925 1928 1930 1936 1939 1951 1955 1958 1965 1967 1969 1973 1983 1989 1992 2004 2007 2012 2014 2015 2022 2036 2043 2044 2050 2053 2054 2056 2057 2060 2062 2066 2068 2077 2081 2088 2092 2108 2109 2111 2112 2113 2114 2120 2134 2139 2140 2143 2146 2153 2158 2167 2173 2174 2176 2181 2187 2194 2213 2215 2217 2219 2233 2240 2245 2246 2253 2263 2266 2271 2273 2275 2277 2281 2295 2302 2304 2308 2310 2316 2319 2320 2321 2324 2330 2335 2337 2338 2346 2365 2367 2373 2374 2376 2404 2410 2416 2425 2432 2436 2444 2448 2453 2458 2463 2466 2469 2479 2481 2484 2502 2506 2507 2513 2514 2520 2528 2529 2533 2534 2535 2536 2540 2548 2549 2558 2568 2570 2571 2576 2586 2590 2594 2602 2605 2618 2624 2628 2630 2635 2639 2646 2674 2675 2676 2685 2692 2700 2702 2715 2717 2721 2725 2726 2728 2729 2732 2741 2742 2746 2747 2750 2753 2754 2769 2784 2788 2790 2795 2798 2802 2820 2825 2843 2847 2855 2859 2860 2866 2873 2878 2889]\n# step=0 row=33 minW=520 found cw of W=516: [2 3 4 15 21 28 38 40 46 47 48 50 51 52 55 59 66 82 88 99 103 119 122 123 124 127 130 132 136 140 143 159 163 165 170 172 181 182 185 192 193 197 221 227 231 232 243 244 245 251 258 266 267 277 290 292 293 295 302 309 314 321 323 336 348 353 355 359 361 363 366 368 371 378 379 380 385 404 407 412 413 414 415 416 417 420 424 425 429 440 442 447 463 470 476 479 482 487 495 502 504 505 510 511 513 520 524 530 533 537 547 548 551 552 553 554 555 559 561 562 565 568 571 577 580 586 592 593 595 597 608 612 616 619 625 628 642 645 649 650 651 653 665 667 675 685 689 690 692 696 698 703 709 710 714 716 736 746 753 761 765 767 774 778 782 785 797 799 806 816 820 823 825 835 842 843 854 857 858 865 873 878 885 887 892 895 898 901 903 910 919 922 938 940 948 955 961 969 971 972 990 1001 1003 1004 1006 1007 1011 1021 1025 1031 1034 1047 1050 1054 1060 1062 1063 1079 1087 1096 1105 1114 1118 1120 1127 1136 1143 1149 1154 1170 1173 1176 1178 1180 1188 1197 1210 1216 1221 1226 1227 1230 1237 1240 1244 1250 1255 1256 1258 1269 1276 1286 1324 1334 1338 1340 1354 1357 1379 1380 1397 1398 1399 1403 1416 1423 1426 1427 1434 1445 1448 1451 1452 1454 1457 1464 1484 1487 1495 1505 1509 1513 1527 1534 1549 1557 1561 1565 1567 1569 1575 1582 1588 1591 1593 1598 1620 1626 1627 1628 1629 1635 1640 1641 1645 1646 1661 1664 1671 1674 1675 1682 1686 1689 1692 1699 1702 1703 1713 1718 1719 1720 1726 1735 1738 1741 1742 1744 1745 1747 1752 1758 1771 1779 1780 1782 1783 1789 1793 1795 1804 1805 1807 1818 1826 1828 1829 1834 1835 1837 1857 1867 1868 1871 1872 1874 1885 1899 1906 1909 1912 1913 1921 1928 1929 1936 1955 1958 1959 1967 1980 1981 1983 1999 2006 2007 2020 2023 2027 2039 2050 2051 2054 2055 2056 2060 2063 2064 2066 2072 2075 2077 2081 2090 2103 2108 2112 2113 2132 2134 2140 2141 2142 2174 2178 2181 2194 2200 2211 2213 2217 2219 2220 2233 2239 2240 2241 2245 2266 2267 2275 2277 2280 2281 2287 2304 2308 2320 2321 2324 2335 2338 2346 2353 2372 2374 2381 2385 2396 2400 2406 2413 2416 2423 2430 2434 2436 2446 2452 2456 2457 2458 2468 2475 2477 2481 2484 2493 2495 2514 2526 2529 2554 2558 2566 2571 2576 2581 2586 2590 2594 2595 2600 2601 2602 2604 2606 2609 2624 2632 2637 2639 2658 2660 2666 2667 2669 2675 2684 2685 2691 2692 2702 2703 2715 2720 2723 2726 2740 2741 2742 2747 2757 2800 2809 2810 2818 2820 2841 2847 2855 2859 2860 2866 2873 2878]\n# step=0 row=90 minW=516 found cw of W=510: [2 3 14 17 21 22 28 38 40 47 48 50 62 68 70 82 88 95 106 108 124 127 128 130 136 143 154 159 166 170 172 175 180 183 185 192 194 198 206 208 215 220 221 227 231 232 233 238 239 240 244 248 266 267 268 287 290 293 296 309 316 323 338 350 353 376 380 396 404 407 411 414 417 420 425 429 430 438 440 442 447 461 463 470 489 495 502 504 506 511 513 515 520 522 523 525 526 530 535 540 542 544 547 548 556 564 565 568 580 591 598 605 607 616 619 625 641 642 647 649 650 653 657 689 698 705 713 714 716 725 746 748 751 752 769 770 778 783 793 799 806 813 814 816 820 823 826 835 836 840 842 843 854 858 862 865 878 880 885 887 892 910 918 933 936 938 939 940 948 950 951 961 969 972 980 981 982 991 999 1002 1003 1007 1010 1025 1026 1029 1031 1036 1037 1045 1047 1048 1060 1064 1070 1071 1079 1100 1107 1114 1115 1118 1120 1127 1136 1143 1149 1155 1165 1170 1171 1173 1174 1176 1178 1180 1188 1200 1209 1210 1227 1232 1237 1244 1255 1256 1259 1270 1276 1285 1307 1314 1316 1324 1331 1334 1338 1354 1356 1357 1361 1367 1372 1373 1376 1387 1394 1399 1400 1404 1424 1431 1435 1444 1448 1455 1456 1457 1464 1469 1479 1484 1487 1495 1497 1503 1505 1513 1519 1520 1523 1524 1534 1540 1548 1555 1561 1565 1572 1584 1593 1598 1600 1602 1605 1610 1619 1626 1627 1629 1640 1643 1645 1646 1648 1661 1664 1674 1679 1682 1683 1689 1692 1699 1702 1716 1717 1718 1720 1731 1732 1735 1741 1742 1747 1748 1750 1754 1755 1758 1771 1783 1789 1792 1795 1801 1804 1805 1807 1817 1818 1823 1826 1833 1846 1847 1859 1866 1867 1868 1871 1873 1888 1893 1899 1900 1906 1909 1911 1917 1921 1925 1927 1928 1936 1946 1951 1955 1965 1967 1979 1980 1981 1982 1995 2010 2011 2012 2014 2016 2022 2036 2039 2044 2050 2051 2054 2055 2056 2057 2060 2062 2063 2064 2072 2075 2080 2081 2090 2111 2112 2116 2132 2134 2140 2144 2146 2167 2181 2183 2192 2211 2212 2219 2220 2226 2232 2233 2239 2240 2241 2254 2269 2271 2273 2277 2281 2287 2295 2297 2304 2320 2321 2324 2327 2335 2340 2346 2353 2373 2385 2386 2396 2400 2410 2413 2416 2425 2430 2432 2434 2435 2436 2443 2445 2446 2451 2471 2477 2493 2495 2503 2513 2520 2529 2549 2558 2568 2571 2574 2576 2581 2583 2590 2600 2605 2613 2617 2618 2623 2624 2632 2637 2641 2646 2651 2653 2658 2665 2666 2679 2684 2703 2704 2713 2720 2721 2723 2725 2737 2738 2746 2747 2753 2754 2776 2784 2798 2800 2802 2807 2814 2825 2826 2841 2860 2865 2875 2878 2881]\n# step=0 row=112 minW=510 found cw of W=508: [2 17 21 24 31 33 43 47 52 62 88 101 106 122 130 139 143 146 152 172 175 183 191 192 193 194 203 206 215 221 232 233 238 243 244 245 251 266 268 277 280 290 295 296 302 303 309 314 318 323 338 339 348 357 359 366 368 371 379 380 388 395 407 413 415 417 420 425 428 429 431 438 447 461 487 495 502 504 510 511 512 515 516 517 520 526 527 530 531 533 540 542 548 551 552 555 559 560 561 562 564 568 571 585 590 592 593 594 595 597 598 607 616 618 623 625 641 645 651 662 667 675 681 685 689 690 691 696 698 703 709 710 713 736 752 761 770 774 797 799 806 808 816 820 823 835 836 840 843 863 867 878 885 898 909 910 919 920 926 927 929 935 936 938 939 943 951 963 969 970 971 976 980 981 988 989 991 996 1001 1002 1012 1021 1037 1048 1050 1054 1056 1060 1062 1064 1071 1079 1087 1090 1093 1096 1105 1108 1114 1120 1131 1140 1145 1149 1154 1155 1170 1173 1174 1175 1176 1177 1178 1181 1192 1197 1216 1224 1230 1231 1232 1233 1240 1248 1250 1255 1256 1258 1259 1270 1284 1285 1295 1315 1332 1340 1349 1357 1361 1365 1367 1370 1373 1376 1379 1387 1388 1397 1400 1411 1423 1424 1426 1435 1445 1448 1451 1452 1453 1454 1457 1464 1473 1479 1486 1498 1503 1508 1509 1513 1515 1523 1553 1555 1557 1561 1567 1569 1572 1582 1588 1590 1591 1595 1598 1605 1610 1611 1616 1618 1619 1620 1627 1628 1629 1641 1647 1650 1651 1652 1674 1675 1683 1686 1689 1700 1703 1713 1717 1718 1719 1720 1726 1734 1738 1739 1742 1748 1749 1755 1761 1765 1770 1771 1780 1793 1795 1801 1803 1805 1812 1818 1835 1840 1846 1847 1850 1859 1860 1869 1870 1871 1872 1877 1883 1888 1893 1894 1900 1902 1906 1911 1917 1921 1925 1928 1929 1946 1958 1965 1973 1980 1982 1985 1992 2001 2004 2006 2012 2014 2015 2022 2023 2045 2053 2056 2060 2063 2064 2066 2068 2088 2096 2108 2109 2111 2113 2116 2123 2140 2141 2142 2143 2144 2158 2161 2167 2174 2178 2187 2192 2200 2213 2217 2232 2233 2239 2241 2246 2253 2263 2267 2271 2275 2277 2281 2285 2287 2290 2308 2316 2319 2321 2330 2333 2335 2338 2340 2353 2367 2374 2376 2381 2396 2404 2410 2424 2432 2435 2438 2444 2451 2458 2459 2466 2468 2475 2477 2484 2495 2507 2511 2513 2520 2526 2540 2548 2552 2554 2556 2558 2594 2595 2600 2601 2604 2609 2613 2617 2618 2635 2637 2665 2667 2669 2676 2686 2692 2700 2713 2715 2723 2729 2738 2740 2742 2746 2747 2750 2757 2776 2784 2788 2795 2801 2802 2809 2814 2815 2816 2818 2825 2826 2849 2865 2867 2875 2877]\n# step=0 row=128 minW=508 found cw of W=492: [7 21 22 40 43 46 51 52 53 59 60 68 88 99 101 106 122 123 124 126 128 146 163 180 181 182 193 208 210 211 220 221 223 225 227 240 243 244 245 248 249 251 260 262 266 267 272 277 292 302 318 323 339 341 353 355 357 361 363 366 376 379 404 407 411 413 414 415 416 420 421 424 449 454 479 487 495 500 515 523 524 526 527 531 533 535 540 552 554 560 564 568 580 585 586 590 592 593 594 595 597 598 599 606 607 612 616 618 623 625 627 628 665 666 669 675 678 681 685 700 705 710 713 714 736 751 752 753 757 761 765 767 769 770 778 782 793 806 813 814 816 820 826 836 842 854 858 862 867 873 895 903 909 920 927 936 937 938 942 943 948 949 961 963 968 969 976 980 981 982 988 991 996 999 1001 1006 1007 1011 1015 1020 1021 1028 1029 1034 1037 1045 1050 1054 1057 1064 1066 1070 1079 1090 1093 1105 1107 1108 1115 1120 1122 1123 1140 1143 1145 1149 1154 1155 1169 1177 1178 1179 1180 1181 1210 1216 1221 1226 1233 1244 1248 1250 1255 1258 1259 1263 1299 1306 1314 1315 1316 1331 1332 1334 1340 1347 1361 1370 1372 1376 1379 1380 1394 1397 1398 1399 1404 1405 1416 1423 1425 1426 1427 1431 1444 1445 1454 1455 1457 1464 1473 1479 1495 1497 1505 1513 1515 1520 1524 1525 1527 1532 1534 1549 1555 1565 1566 1569 1570 1582 1584 1588 1591 1598 1611 1616 1619 1626 1627 1628 1629 1645 1646 1651 1664 1674 1682 1683 1687 1688 1699 1700 1702 1703 1717 1718 1719 1735 1738 1744 1748 1750 1758 1765 1772 1781 1782 1783 1792 1793 1801 1803 1806 1807 1827 1828 1829 1840 1853 1856 1857 1864 1866 1867 1869 1870 1871 1873 1874 1893 1900 1906 1908 1909 1912 1918 1925 1927 1928 1929 1939 1946 1955 1958 1965 1973 1983 1992 1995 2001 2022 2023 2036 2039 2054 2056 2059 2063 2064 2081 2088 2090 2092 2096 2108 2123 2139 2142 2143 2153 2167 2168 2173 2174 2188 2192 2213 2215 2226 2232 2245 2271 2280 2281 2287 2290 2295 2302 2304 2321 2327 2330 2346 2372 2374 2376 2388 2396 2400 2404 2406 2410 2413 2414 2423 2430 2432 2434 2436 2438 2443 2444 2446 2457 2459 2466 2468 2471 2475 2483 2484 2493 2495 2503 2511 2526 2533 2535 2548 2549 2553 2556 2566 2568 2569 2581 2586 2600 2602 2605 2606 2617 2618 2623 2624 2628 2637 2646 2650 2658 2676 2679 2691 2700 2702 2707 2709 2723 2726 2728 2750 2754 2769 2776 2784 2788 2795 2814 2815 2816 2818 2819 2826 2841 2849 2860 2865 2866 2873 2875 2877 2889]\n# step=2 row=95 minW=492 found cw of W=490: [5 23 24 25 36 37 40 42 45 48 50 52 54 55 58 80 86 88 89 94 95 100 110 113 119 123 124 126 129 131 132 144 149 158 174 177 180 181 183 184 200 204 205 212 213 217 223 226 231 245 249 254 256 258 260 265 292 294 298 299 303 316 331 340 353 354 358 374 375 378 381 384 385 386 388 396 403 406 408 415 426 428 451 453 457 468 475 490 501 502 505 509 510 523 524 531 532 535 545 548 556 566 571 574 578 587 598 603 612 633 636 638 642 644 649 653 654 659 666 672 688 689 697 701 703 714 717 718 720 724 727 729 732 739 745 746 751 761 769 773 781 782 786 789 796 814 816 818 821 839 845 846 849 850 856 859 861 867 874 887 893 907 908 919 927 928 930 933 939 948 964 965 967 974 976 979 997 1000 1001 1004 1006 1012 1014 1023 1026 1044 1071 1073 1081 1095 1111 1113 1117 1129 1131 1132 1133 1135 1137 1139 1150 1155 1159 1168 1176 1177 1184 1190 1200 1206 1207 1209 1213 1219 1227 1237 1240 1248 1253 1267 1269 1275 1277 1286 1289 1290 1291 1298 1299 1300 1308 1310 1313 1321 1326 1330 1331 1340 1347 1355 1359 1363 1367 1369 1370 1399 1403 1404 1409 1415 1417 1422 1431 1433 1434 1435 1438 1445 1461 1483 1485 1487 1489 1499 1508 1521 1528 1532 1534 1545 1546 1548 1551 1557 1561 1563 1564 1565 1567 1569 1572 1579 1580 1582 1583 1592 1603 1605 1612 1629 1630 1649 1657 1658 1662 1666 1675 1678 1681 1686 1688 1690 1692 1701 1702 1705 1712 1717 1723 1734 1752 1753 1760 1777 1778 1784 1786 1790 1792 1800 1803 1810 1812 1815 1816 1834 1846 1854 1855 1864 1872 1873 1888 1890 1895 1897 1908 1911 1919 1923 1927 1935 1940 1941 1947 1948 1951 1956 1958 1968 1974 1976 1984 1993 1999 2003 2004 2008 2023 2024 2026 2033 2035 2038 2041 2059 2061 2085 2087 2096 2105 2109 2121 2127 2130 2144 2150 2155 2158 2177 2198 2199 2214 2222 2225 2227 2238 2243 2265 2271 2275 2283 2292 2301 2303 2327 2334 2350 2357 2359 2364 2365 2372 2377 2391 2392 2398 2411 2423 2426 2428 2433 2434 2446 2464 2473 2480 2484 2496 2502 2507 2514 2515 2523 2524 2530 2532 2533 2534 2545 2550 2554 2563 2566 2575 2577 2579 2582 2588 2591 2593 2603 2605 2627 2629 2630 2632 2642 2652 2654 2656 2658 2675 2679 2682 2683 2702 2712 2715 2723 2727 2730 2734 2736 2748 2749 2751 2755 2757 2759 2760 2767 2769 2781 2783 2784 2802 2806 2818 2825 2828 2832 2842 2851 2854 2856 2860 2870 2881 2889]\n# step=5 row=12 minW=490 found cw of W=484: [7 8 17 18 21 24 26 31 34 38 41 57 60 79 81 88 98 111 125 128 131 139 145 146 151 158 175 176 180 185 189 191 193 203 205 209 219 225 227 242 250 255 261 263 264 269 271 274 277 280 282 299 315 316 329 330 332 343 354 355 357 359 374 375 385 389 392 393 401 409 415 416 419 428 441 444 445 457 458 462 468 486 495 497 509 523 537 538 540 541 544 545 559 576 579 584 586 597 598 603 613 616 619 629 631 633 652 653 655 669 673 703 706 710 712 727 738 739 744 748 749 757 761 775 782 788 789 792 801 802 803 814 818 822 826 828 831 834 836 843 848 862 879 880 899 900 908 916 924 927 928 949 950 952 959 960 964 974 981 990 993 1003 1015 1016 1017 1033 1036 1038 1042 1046 1061 1062 1064 1071 1072 1078 1083 1085 1091 1096 1097 1100 1102 1103 1104 1114 1118 1119 1127 1132 1133 1143 1149 1155 1159 1161 1168 1171 1174 1180 1182 1184 1194 1196 1197 1202 1204 1205 1210 1225 1228 1235 1236 1241 1253 1260 1263 1276 1280 1284 1293 1297 1300 1303 1312 1316 1322 1341 1342 1343 1350 1351 1357 1358 1365 1372 1374 1392 1397 1404 1408 1412 1430 1434 1441 1446 1452 1458 1460 1469 1470 1473 1477 1485 1505 1515 1519 1522 1524 1525 1533 1540 1547 1549 1558 1559 1564 1568 1569 1571 1573 1575 1578 1580 1586 1596 1602 1604 1605 1617 1618 1623 1626 1633 1635 1639 1640 1642 1648 1656 1668 1674 1677 1678 1680 1683 1692 1726 1735 1736 1746 1748 1752 1755 1757 1765 1771 1774 1775 1793 1817 1821 1841 1861 1865 1868 1870 1874 1875 1883 1884 1886 1888 1889 1894 1896 1900 1901 1909 1913 1919 1920 1922 1925 1927 1937 1939 1951 1957 1959 1960 1971 1981 1988 1990 1993 2001 2008 2013 2014 2021 2032 2040 2046 2049 2060 2062 2075 2080 2084 2086 2090 2092 2099 2101 2106 2109 2112 2129 2134 2135 2136 2147 2156 2157 2158 2197 2220 2224 2225 2232 2236 2237 2241 2245 2249 2250 2255 2260 2267 2273 2279 2284 2285 2286 2289 2292 2297 2300 2314 2315 2321 2325 2326 2329 2336 2337 2338 2342 2347 2358 2364 2367 2378 2388 2397 2399 2421 2439 2452 2478 2490 2504 2510 2518 2523 2536 2537 2541 2563 2565 2574 2582 2591 2593 2598 2599 2601 2607 2611 2612 2623 2627 2629 2640 2647 2666 2674 2684 2693 2697 2701 2713 2715 2717 2720 2727 2730 2744 2745 2748 2750 2751 2754 2755 2756 2761 2763 2802 2803 2825 2828 2842 2844 2845 2847 2857 2865 2867 2882 2883 2884 2888 2890]\n# step=5 row=1399 minW=484 found cw of W=472: [8 19 21 29 34 38 40 50 53 54 56 59 60 63 74 79 87 90 92 94 98 107 117 127 129 156 163 164 173 176 185 189 191 193 197 198 215 225 227 230 234 236 242 243 244 250 256 257 261 262 263 264 265 271 274 281 282 285 288 293 295 299 305 315 323 329 331 332 333 343 367 374 375 382 385 387 389 391 392 393 415 416 419 421 426 444 445 466 468 470 480 486 502 505 507 512 513 523 529 537 540 544 545 576 584 586 593 597 608 616 625 630 637 642 643 652 655 656 673 674 681 683 687 694 703 706 712 714 716 721 739 747 748 749 751 753 754 756 757 759 761 763 767 782 788 799 803 818 820 827 828 837 856 861 862 879 880 882 902 909 916 922 923 924 930 944 948 950 952 956 959 962 968 972 973 974 980 981 984 988 989 1003 1012 1015 1024 1028 1033 1038 1060 1066 1078 1082 1085 1091 1096 1097 1100 1101 1103 1107 1118 1127 1128 1133 1147 1149 1157 1161 1164 1182 1194 1198 1202 1210 1233 1241 1263 1270 1272 1274 1280 1296 1297 1321 1322 1325 1334 1343 1357 1358 1370 1373 1374 1378 1384 1387 1391 1392 1402 1408 1414 1430 1434 1443 1446 1450 1460 1469 1473 1480 1503 1506 1515 1523 1525 1532 1547 1550 1557 1558 1560 1565 1567 1568 1572 1578 1583 1596 1613 1614 1617 1633 1635 1639 1640 1641 1642 1644 1648 1651 1656 1665 1668 1681 1685 1691 1692 1699 1728 1731 1735 1740 1746 1747 1748 1755 1765 1767 1770 1774 1775 1782 1793 1797 1811 1812 1825 1844 1850 1857 1859 1861 1868 1874 1875 1887 1888 1892 1894 1896 1901 1911 1925 1930 1937 1941 1951 1953 1957 1962 1971 1981 1988 1990 2008 2013 2026 2032 2033 2051 2052 2060 2062 2071 2073 2075 2080 2086 2105 2106 2121 2123 2133 2136 2156 2157 2158 2174 2178 2179 2181 2191 2195 2197 2201 2209 2214 2221 2223 2235 2237 2241 2249 2255 2262 2270 2281 2284 2286 2294 2297 2307 2313 2326 2336 2337 2344 2347 2354 2364 2369 2372 2378 2380 2381 2386 2397 2408 2409 2412 2413 2421 2425 2456 2461 2486 2487 2490 2500 2507 2527 2541 2543 2564 2573 2574 2580 2591 2601 2605 2610 2612 2621 2622 2663 2664 2672 2675 2679 2683 2688 2693 2713 2717 2720 2730 2736 2737 2744 2748 2756 2758 2761 2763 2770 2786 2797 2798 2799 2800 2812 2813 2814 2825 2828 2835 2837 2842 2843 2844 2845 2856 2857 2863 2864 2867 2873 2881 2882 2883 2884 2889]\n# step=7 row=1605 minW=472 found cw of W=464: [15 16 23 26 46 49 55 57 63 68 73 85 86 90 96 99 107 113 120 123 125 146 149 150 152 157 161 166 169 215 223 226 235 237 238 242 243 244 245 253 261 266 268 275 279 280 284 285 290 295 304 306 307 309 328 338 341 344 345 349 356 358 381 388 395 408 415 416 418 419 421 423 426 431 438 439 441 444 472 494 497 508 525 528 535 542 545 549 552 561 564 574 578 584 586 588 590 591 593 596 603 604 606 607 617 618 625 629 649 674 676 686 689 699 716 739 740 746 749 752 755 758 762 767 779 782 784 786 793 795 798 809 811 818 821 838 846 848 852 853 858 859 861 870 882 885 889 891 898 932 935 948 949 958 966 977 983 985 999 1001 1007 1009 1011 1012 1025 1033 1035 1039 1040 1048 1051 1052 1059 1061 1064 1079 1099 1117 1139 1142 1143 1149 1150 1167 1172 1173 1175 1178 1179 1189 1200 1206 1215 1216 1217 1221 1222 1224 1227 1233 1243 1245 1249 1254 1260 1264 1269 1270 1271 1276 1285 1290 1299 1307 1315 1335 1337 1339 1345 1348 1352 1354 1360 1363 1389 1409 1412 1422 1423 1440 1449 1452 1459 1465 1473 1488 1489 1496 1515 1517 1521 1525 1538 1543 1545 1552 1553 1554 1556 1559 1560 1563 1571 1576 1585 1591 1597 1607 1610 1628 1629 1631 1633 1635 1639 1656 1660 1661 1671 1672 1682 1685 1690 1693 1705 1713 1714 1732 1737 1741 1744 1745 1754 1755 1768 1771 1775 1776 1779 1780 1785 1786 1802 1804 1808 1815 1821 1824 1825 1827 1835 1836 1843 1845 1848 1857 1859 1860 1864 1875 1876 1879 1910 1939 1949 1963 1969 1973 1976 1977 1979 1983 1985 1990 1999 2001 2002 2018 2021 2023 2025 2032 2033 2037 2040 2042 2051 2066 2071 2074 2077 2078 2085 2087 2091 2100 2120 2121 2123 2125 2127 2138 2142 2158 2160 2162 2165 2167 2168 2171 2173 2174 2178 2188 2190 2194 2195 2202 2224 2233 2238 2244 2258 2259 2260 2278 2299 2303 2319 2329 2341 2361 2362 2365 2368 2376 2383 2404 2409 2410 2419 2423 2428 2430 2437 2450 2461 2464 2472 2473 2475 2481 2491 2501 2516 2525 2526 2535 2540 2545 2548 2555 2559 2561 2562 2578 2581 2586 2589 2590 2601 2635 2645 2652 2655 2664 2665 2666 2690 2691 2692 2695 2700 2702 2705 2717 2726 2732 2733 2735 2736 2741 2744 2750 2759 2774 2778 2785 2788 2799 2815 2820 2846 2847 2852 2853 2854 2862 2865 2876 2880 2881 2884 2887]\n# step=113 row=28 minW=464 found cw of W=462: [26 41 42 44 46 53 57 67 69 85 97 107 112 115 122 124 130 138 153 158 162 176 181 189 190 191 192 194 196 201 205 218 225 227 228 229 232 233 234 240 249 251 266 269 271 273 280 281 288 291 292 318 323 326 327 338 339 346 348 349 352 365 367 368 370 378 393 396 397 402 404 421 431 432 433 439 450 454 458 461 463 469 481 492 502 505 521 524 539 541 544 547 552 558 560 562 564 567 573 577 583 598 600 601 607 609 614 616 627 634 636 654 660 662 664 665 678 692 696 699 700 701 705 717 727 736 747 750 751 754 761 765 768 770 779 782 784 785 801 804 812 815 819 820 821 826 833 834 836 851 855 859 862 865 870 879 884 889 908 911 920 928 934 935 938 939 949 952 955 964 977 981 990 994 1014 1015 1019 1026 1028 1053 1054 1057 1059 1064 1078 1083 1085 1086 1089 1095 1096 1098 1108 1112 1113 1117 1125 1141 1155 1156 1174 1188 1193 1195 1196 1198 1199 1200 1228 1266 1273 1279 1292 1294 1302 1304 1308 1309 1333 1340 1354 1364 1389 1400 1402 1405 1413 1414 1417 1422 1429 1443 1444 1446 1447 1449 1450 1461 1462 1465 1472 1473 1477 1481 1483 1486 1504 1508 1514 1518 1522 1523 1524 1528 1530 1535 1537 1541 1548 1551 1557 1562 1573 1575 1577 1580 1593 1595 1596 1604 1614 1615 1620 1621 1622 1623 1624 1648 1654 1665 1672 1673 1681 1696 1710 1719 1725 1727 1733 1751 1756 1757 1759 1764 1766 1769 1771 1772 1774 1779 1796 1798 1808 1817 1832 1833 1850 1854 1882 1886 1889 1897 1907 1917 1927 1928 1929 1934 1935 1945 1955 1961 1966 1972 1974 1978 1989 1995 2005 2009 2012 2023 2028 2045 2056 2072 2076 2077 2079 2082 2084 2086 2087 2090 2125 2134 2149 2150 2151 2158 2169 2181 2186 2187 2189 2191 2196 2197 2202 2204 2209 2212 2222 2226 2228 2230 2231 2240 2245 2253 2254 2260 2267 2271 2276 2294 2295 2305 2326 2330 2348 2349 2353 2356 2359 2363 2372 2378 2381 2384 2401 2402 2411 2432 2433 2445 2450 2457 2459 2461 2463 2467 2481 2506 2508 2509 2518 2530 2532 2538 2548 2552 2565 2569 2578 2579 2580 2596 2601 2611 2624 2628 2632 2647 2650 2660 2666 2668 2670 2673 2674 2679 2688 2697 2714 2715 2717 2718 2732 2745 2748 2749 2756 2761 2771 2773 2777 2779 2785 2802 2811 2812 2813 2817 2841 2847 2856 2865 2868 2877 2886 2888]\n# step=159 row=520 minW=462 found cw of W=460: [2 4 10 11 13 23 27 36 39 54 61 63 70 72 75 82 86 90 93 115 121 122 123 128 131 132 135 136 143 149 150 152 155 172 176 178 181 186 196 218 219 220 237 238 248 255 256 283 288 291 293 295 297 298 302 314 316 319 322 328 332 340 348 349 354 368 371 386 391 395 397 399 408 409 424 434 438 446 458 463 465 470 478 482 483 488 489 490 492 498 529 551 553 555 567 571 574 585 603 605 606 627 628 629 633 634 637 638 640 663 677 680 688 692 695 703 704 715 716 718 724 730 737 746 752 754 756 775 776 779 781 784 792 797 799 807 809 813 822 826 830 831 834 839 844 845 848 851 856 860 862 863 869 877 881 888 897 900 904 919 940 942 956 957 970 971 973 974 988 992 998 1001 1002 1011 1013 1014 1024 1025 1029 1049 1050 1053 1054 1075 1078 1080 1081 1092 1098 1102 1106 1115 1117 1118 1136 1140 1141 1143 1147 1172 1173 1182 1184 1192 1198 1203 1222 1226 1241 1247 1252 1260 1272 1276 1284 1285 1289 1291 1306 1309 1317 1324 1326 1330 1338 1350 1360 1368 1369 1374 1386 1395 1397 1400 1401 1402 1411 1412 1425 1426 1428 1430 1439 1447 1450 1453 1457 1461 1471 1473 1477 1479 1487 1494 1501 1502 1511 1520 1527 1530 1549 1558 1565 1567 1569 1570 1571 1576 1577 1587 1598 1604 1606 1611 1618 1621 1623 1624 1625 1626 1630 1642 1648 1659 1671 1678 1679 1680 1681 1684 1690 1694 1695 1704 1718 1719 1732 1737 1745 1747 1749 1755 1758 1761 1762 1776 1779 1799 1808 1810 1812 1819 1835 1840 1845 1856 1872 1877 1893 1894 1895 1909 1921 1922 1932 1934 1945 1947 1948 1949 1954 1955 1959 1962 1965 1972 1975 1977 1985 1994 1999 2003 2012 2018 2032 2033 2034 2040 2052 2062 2063 2070 2075 2077 2083 2091 2096 2098 2105 2113 2131 2132 2137 2145 2148 2163 2177 2183 2186 2191 2203 2209 2234 2252 2260 2267 2271 2274 2291 2293 2294 2296 2302 2304 2305 2313 2322 2333 2336 2352 2356 2376 2386 2393 2402 2408 2412 2413 2417 2437 2443 2449 2466 2476 2479 2485 2501 2504 2507 2514 2519 2520 2521 2534 2573 2585 2592 2610 2612 2619 2621 2622 2627 2631 2639 2640 2652 2671 2679 2681 2684 2694 2706 2712 2717 2718 2725 2752 2756 2759 2762 2775 2779 2792 2798 2800 2820 2827 2828 2829</t>
  </si>
  <si>
    <t xml:space="preserve"> 2836 2837 2853 2854 2855 2860 2862 2867 2880 2888]\n# step=300 row=504 minW=460 found cw of W=452: [3 4 5 17 24 29 36 56 60 64 67 70 72 83 103 105 121 122 127 128 129 138 140 147 148 149 158 164 167 172 180 195 209 212 215 216 217 222 226 228 230 232 234 238 250 255 256 267 275 277 291 292 295 304 305 323 326 331 341 347 355 362 363 364 374 383 388 394 402 411 419 433 436 443 446 448 455 460 462 469 471 473 482 483 487 488 498 502 503 511 523 536 538 542 548 549 557 559 561 562 565 569 579 581 597 598 601 615 617 634 659 661 663 664 665 667 677 680 684 691 695 700 706 716 718 723 742 747 749 761 766 767 770 774 780 782 787 819 831 832 844 847 849 853 857 867 872 879 890 892 910 915 918 920 921 930 934 935 944 945 952 953 966 967 969 987 989 1003 1013 1016 1025 1035 1038 1040 1041 1042 1047 1062 1072 1117 1120 1121 1124 1133 1135 1139 1143 1144 1154 1159 1165 1169 1173 1175 1177 1187 1198 1206 1207 1209 1219 1223 1231 1233 1238 1256 1264 1269 1270 1271 1275 1277 1288 1293 1294 1295 1310 1316 1318 1319 1321 1327 1328 1337 1342 1343 1344 1353 1368 1375 1377 1393 1401 1404 1424 1431 1435 1437 1439 1446 1467 1476 1490 1493 1494 1496 1502 1516 1519 1522 1526 1527 1528 1543 1547 1550 1551 1563 1575 1578 1596 1603 1606 1617 1631 1632 1633 1635 1638 1647 1652 1653 1655 1660 1663 1664 1666 1667 1668 1677 1679 1684 1690 1691 1693 1698 1705 1706 1710 1712 1723 1726 1729 1732 1738 1739 1750 1752 1767 1769 1774 1776 1780 1782 1803 1812 1813 1815 1818 1832 1835 1841 1843 1851 1852 1856 1863 1864 1865 1866 1868 1873 1887 1895 1901 1914 1918 1920 1921 1923 1926 1932 1933 1934 1937 1939 1950 1960 1963 1968 1973 1980 1985 1991 2015 2021 2043 2044 2047 2050 2053 2062 2071 2076 2078 2088 2102 2110 2118 2124 2131 2133 2142 2147 2168 2170 2173 2185 2191 2199 2203 2212 2217 2230 2238 2239 2240 2248 2251 2254 2283 2292 2296 2298 2320 2329 2339 2345 2365 2371 2393 2404 2416 2420 2421 2427 2442 2448 2449 2452 2464 2469 2479 2483 2492 2507 2514 2517 2525 2529 2533 2534 2547 2555 2562 2565 2571 2574 2581 2588 2597 2604 2607 2608 2618 2623 2637 2639 2643 2659 2660 2669 2681 2703 2708 2739 2751 2754 2760 2761 2768 2779 2782 2798 2799 2829 2837 2854 2860 2874 2875 2884]\n# step=434 row=551 minW=452 found cw of W=450: [9 13 23 27 29 52 55 59 75 84 97 100 104 110 111 112 118 120 124 135 137 146 148 153 155 160 163 165 174 178 183 189 212 215 224 230 231 233 236 248 254 261 264 273 300 318 322 323 327 332 337 352 355 358 364 388 389 396 401 409 415 421 427 428 430 434 435 438 441 444 448 451 452 454 460 467 485 486 507 508 515 518 520 521 529 530 547 588 590 591 601 612 616 620 633 639 640 645 646 648 651 654 662 679 710 711 716 723 738 741 745 758 760 778 779 785 802 804 813 820 825 831 832 836 838 853 857 861 864 865 876 877 880 890 907 912 918 923 925 927 941 950 954 955 960 962 966 971 972 977 980 991 996 1003 1008 1013 1014 1020 1033 1039 1043 1050 1051 1052 1060 1062 1067 1069 1073 1074 1080 1092 1094 1098 1100 1128 1130 1151 1155 1166 1168 1171 1173 1183 1192 1203 1206 1227 1229 1232 1234 1235 1236 1243 1248 1269 1271 1276 1293 1294 1298 1302 1314 1317 1323 1328 1329 1334 1343 1345 1352 1357 1367 1370 1371 1375 1376 1377 1384 1399 1401 1413 1425 1430 1439 1441 1456 1462 1474 1485 1487 1494 1495 1496 1516 1524 1525 1540 1541 1543 1546 1559 1561 1565 1571 1581 1582 1621 1624 1633 1635 1643 1645 1647 1650 1651 1668 1681 1683 1698 1702 1705 1712 1718 1720 1723 1724 1737 1747 1756 1763 1774 1777 1778 1782 1783 1784 1787 1790 1800 1806 1808 1810 1815 1826 1849 1852 1857 1876 1892 1893 1896 1900 1901 1910 1918 1919 1920 1929 1931 1933 1936 1938 1940 1943 1944 1947 1955 1963 1964 1966 1975 1994 1995 2010 2011 2012 2017 2023 2028 2032 2045 2049 2051 2053 2054 2057 2058 2059 2069 2070 2074 2075 2081 2091 2093 2095 2101 2106 2109 2111 2115 2124 2128 2163 2168 2183 2197 2205 2207 2215 2220 2226 2227 2233 2253 2266 2267 2270 2272 2278 2282 2284 2286 2289 2302 2303 2304 2321 2326 2328 2337 2357 2360 2385 2387 2409 2418 2419 2420 2435 2447 2451 2454 2458 2461 2466 2471 2473 2476 2479 2483 2488 2496 2501 2511 2512 2515 2516 2527 2531 2538 2541 2552 2558 2564 2565 2567 2577 2578 2596 2599 2602 2615 2634 2639 2642 2644 2648 2664 2677 2691 2694 2704 2717 2725 2731 2742 2745 2746 2753 2757 2769 2788 2789 2790 2798 2803 2812 2819 2823 2827 2851 2853 2854 2859 2879 2884 2887 2888]\n# step=669 row=592 minW=450 found cw of W=436: [17 19 20 28 31 33 40 42 43 45 55 60 67 70 82 85 100 108 119 120 124 125 139 150 152 160 167 168 186 187 197 198 202 209 211 213 223 237 240 249 272 276 277 295 311 316 318 326 335 336 339 340 341 342 351 354 363 388 398 415 417 419 428 430 432 434 435 436 442 444 450 452 454 458 463 466 481 488 489 491 495 502 504 510 528 536 539 541 547 548 549 551 560 565 568 574 584 598 603 606 619 622 626 635 637 638 640 645 648 653 656 657 666 673 698 703 710 712 766 772 778 781 798 801 814 819 821 828 830 846 850 853 855 860 867 869 875 879 885 886 891 908 946 949 957 965 968 977 984 990 992 997 1010 1022 1030 1031 1037 1038 1042 1051 1057 1059 1060 1062 1063 1071 1076 1084 1086 1089 1091 1096 1099 1101 1104 1115 1121 1127 1144 1162 1164 1169 1175 1180 1186 1189 1195 1196 1200 1201 1209 1236 1237 1238 1241 1244 1251 1259 1274 1275 1287 1296 1301 1303 1304 1307 1326 1336 1346 1351 1353 1358 1368 1372 1379 1384 1400 1411 1415 1419 1424 1431 1432 1456 1457 1466 1473 1475 1497 1517 1521 1523 1528 1529 1535 1538 1540 1548 1569 1571 1573 1596 1598 1602 1611 1618 1626 1632 1637 1638 1642 1654 1655 1670 1680 1691 1704 1706 1713 1716 1722 1723 1733 1737 1739 1747 1752 1757 1761 1771 1779 1796 1804 1807 1809 1829 1831 1838 1853 1867 1875 1880 1891 1897 1899 1903 1904 1911 1915 1921 1939 1951 1957 1958 1962 1971 1972 1974 1975 1983 1987 1990 1993 2005 2006 2017 2026 2039 2045 2053 2068 2069 2071 2074 2082 2086 2092 2094 2101 2104 2105 2117 2119 2121 2132 2147 2158 2162 2164 2169 2172 2173 2174 2182 2200 2204 2230 2234 2237 2240 2254 2267 2271 2275 2280 2288 2302 2306 2308 2311 2312 2316 2318 2319 2322 2325 2338 2343 2368 2378 2397 2401 2406 2430 2445 2447 2467 2474 2476 2481 2484 2507 2517 2519 2521 2522 2524 2526 2527 2537 2559 2581 2583 2599 2606 2612 2614 2617 2621 2625 2640 2646 2649 2656 2659 2667 2672 2674 2679 2681 2683 2684 2685 2695 2704 2706 2718 2723 2728 2733 2736 2749 2751 2766 2776 2777 2781 2784 2787 2790 2791 2802 2808 2812 2816 2817 2825 2827 2829 2845 2846 2850 2870 2875 2887 2888]\n# round=1000 of 10000 minW=436\n# round=2000 of 10000 minW=436\n# step=2810 row=955 minW=436 found cw of W=24: [28 30 36 40 70 76 428 430 453 459 495 499 853 870 873 882 887 912 1713 1716 1722 1733 1756 1782]\n#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</si>
  <si>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minW=3231 found cw of W=620: [1 2 10 13 22 25 27 31 35 36 46 48 52 60 69 71 72 81 91 92 98 100 101 117 119 122 126 132 133 135 141 142 145 148 152 158 162 166 167 171 172 176 182 187 193 197 207 217 220 226 232 235 236 240 241 242 246 249 251 252 254 259 267 268 282 283 284 292 303 311 317 318 324 329 331 336 339 341 342 345 347 350 359 365 371 373 376 383 393 396 405 408 413 439 440 444 449 451 456 458 460 462 467 469 470 471 480 481 489 492 498 500 513 515 520 530 535 547 549 551 564 566 568 571 591 594 596 601 611 619 620 626 630 633 638 643 655 672 681 684 685 692 702 703 705 712 724 726 733 734 748 750 753 754 755 756 765 770 773 774 776 778 784 787 788 791 801 802 806 808 818 820 821 829 830 834 840 847 851 857 859 876 879 884 888 903 916 921 925 926 931 939 943 945 946 950 961 965 972 975 980 995 996 1005 1009 1011 1015 1022 1023 1030 1043 1044 1047 1052 1053 1055 1065 1068 1070 1075 1077 1087 1091 1092 1096 1099 1108 1109 1112 1120 1133 1140 1154 1156 1157 1158 1165 1168 1169 1173 1175 1186 1191 1192 1193 1196 1197 1201 1203 1216 1220 1226 1236 1238 1242 1245 1249 1254 1259 1260 1262 1267 1273 1277 1281 1282 1287 1290 1294 1295 1297 1298 1303 1304 1305 1318 1319 1334 1338 1352 1360 1368 1381 1395 1397 1398 1399 1405 1415 1417 1426 1427 1428 1430 1432 1433 1435 1440 1443 1447 1452 1453 1455 1458 1460 1464 1472 1473 1482 1488 1489 1492 1493 1494 1495 1499 1508 1509 1514 1517 1521 1525 1535 1539 1540 1545 1549 1556 1565 1566 1567 1579 1585 1593 1597 1600 1604 1608 1609 1610 1616 1618 1625 1630 1651 1653 1655 1658 1667 1674 1677 1689 1690 1695 1707 1718 1721 1730 1745 1769 1770 1771 1772 1773 1781 1786 1791 1794 1811 1827 1829 1830 1832 1834 1844 1851 1853 1861 1863 1866 1867 1868 1870 1872 1874 1878 1879 1880 1886 1887 1893 1897 1903 1918 1930 1946 1948 1956 1958 1959 1972 1975 1977 1991 2005 2008 2010 2013 2020 2021 2022 2023 2028 2035 2041 2050 2065 2066 2072 2074 2080 2087 2088 2093 2132 2133 2154 2166 2170 2171 2172 2176 2185 2193 2195 2197 2201 2207 2209 2210 2224 2228 2231 2235 2238 2248 2262 2268 2271 2273 2279 2282 2288 2289 2298 2305 2311 2313 2317 2320 2331 2333 2336 2337 2342 2347 2350 2355 2357 2359 2365 2369 2370 2384 2387 2395 2414 2422 2423 2430 2431 2438 2439 2458 2466 2470 2474 2479 2486 2488 2494 2496 2503 2507 2528 2535 2547 2548 2549 2550 2551 2553 2554 2557 2559 2567 2569 2570 2573 2579 2581 2599 2610 2612 2616 2619 2626 2631 2632 2639 2642 2644 2648 2660 2667 2669 2674 2679 2681 2683 2701 2706 2707 2715 2722 2725 2736 2745 2755 2760 2761 2763 2766 2769 2770 2771 2790 2792 2796 2806 2817 2819 2834 2840 2841 2843 2847 2851 2852 2855 2864 2870 2875 2878 2879 2880 2881 2904 2924 2926 2933 2956 2971 2981 2982 2989 2996 2997 3011 3012 3017 3019 3025 3028 3033 3039 3073 3074 3079 3082 3083 3091 3092 3093 3097 3104 3106 3113 3119 3122 3131 3136 3139 3157 3170 3175 3180 3181 3183 3187 3194 3200 3201 3203 3205 3206 3207 3208 3228 3229]\n# step=0 row=5 minW=620 found cw of W=616: [5 9 23 25 31 36 41 46 47 48 52 54 60 65 66 71 77 80 81 91 92 93 94 95 97 101 102 107 113 114 116 132 141 142 143 145 148 150 152 161 163 164 167 172 173 174 182 183 192 196 197 207 220 238 240 241 244 246 254 257 259 261 267 268 276 280 283 287 292 303 305 306 309 320 329 330 331 339 340 341 342 350 359 365 376 385 388 393 396 405 426 427 428 439 440 444 459 480 481 483 492 495 498 499 500 513 514 515 520 525 527 530 535 536 539 544 545 548 549 551 554 564 568 576 579 584 591 594 596 597 600 601 610 623 632 638 643 652 660 662 663 670 671 679 681 684 685 699 705 709 710 711 719 723 726 733 734 739 746 750 757 769 773 774 776 784 794 796 801 808 812 814 819 821 830 840 847 849 853 857 858 859 869 879 883 888 901 903 911 928 930 945 946 950 980 989 995 1001 1009 1014 1016 1025 1030 1031 1035 1039 1043 1047 1053 1055 1056 1062 1068 1070 1075 1077 1091 1092 1095 1104 1107 1131 1133 1136 1141 1146 1149 1151 1165 1169 1176 1185 1193 1197 1201 1203 1215 1216 1217 1222 1224 1237 1238 1245 1249 1253 1259 1260 1262 1271 1273 1282 1285 1287 1289 1294 1295 1298 1302 1303 1304 1335 1340 1344 1354 1357 1360 1371 1372 1373 1375 1377 1379 1381 1387 1397 1399 1412 1427 1428 1433 1435 1440 1443 1446 1447 1454 1455 1460 1462 1464 1465 1472 1479 1482 1484 1486 1487 1489 1492 1493 1494 1509 1510 1520 1530 1536 1537 1544 1549 1565 1566 1569 1575 1579 1585 1586 1593 1597 1604 1607 1608 1610 1615 1620 1621 1628 1640 1651 1655 1658 1670 1675 1677 1686 1690 1692 1694 1702 1716 1747 1748 1753 1769 1770 1771 1773 1781 1786 1793 1794 1796 1806 1808 1813 1816 1818 1827 1830 1832 1834 1837 1839 1851 1853 1855 1856 1859 1861 1866 1867 1870 1872 1879 1882 1886 1893 1896 1897 1898 1902 1903 1905 1916 1918 1930 1936 1948 1959 1961 1963 1967 1973 1976 2008 2011 2020 2022 2028 2050 2060 2063 2071 2073 2074 2080 2085 2087 2095 2097 2117 2119 2123 2132 2136 2144 2154 2159 2166 2170 2172 2176 2178 2197 2201 2203 2204 2210 2217 2219 2224 2228 2231 2233 2244 2249 2252 2263 2273 2279 2282 2288 2289 2292 2298 2302 2305 2310 2317 2320 2322 2331 2332 2333 2336 2337 2338 2344 2357 2369 2377 2387 2400 2409 2415 2420 2422 2428 2434 2438 2439 2451 2455 2466 2479 2480 2488 2491 2494 2496 2503 2507 2509 2510 2519 2523 2528 2530 2535 2538 2542 2547 2549 2551 2554 2557 2567 2570 2573 2581 2588 2600 2616 2618 2621 2622 2626 2631 2632 2639 2641 2642 2644 2659 2669 2674 2675 2679 2680 2689 2690 2696 2701 2721 2725 2730 2736 2760 2762 2763 2766 2768 2769 2772 2793 2796 2812 2824 2831 2832 2833 2834 2840 2841 2842 2846 2847 2850 2851 2852 2859 2861 2874 2879 2880 2881 2883 2890 2895 2902 2903 2904 2929 2931 2933 2939 2949 2951 2956 2958 2968 2971 2975 2976 2981 2989 2994 3010 3012 3017 3022 3025 3039 3045 3050 3057 3062 3071 3074 3080 3081 3083 3086 3092 3097 3103 3104 3124 3127 3131 3138 3142 3149 3164 3170 3173 3175 3178 3180 3181 3182 3183 3194 3200 3208 3217]\n# step=0 row=8 minW=616 found cw of W=600: [2 4 10 13 14 15 19 23 25 26 31 35 36 46 47 60 71 83 84 86 91 97 98 102 107 113 114 122 132 141 142 147 148 150 152 161 162 165 167 173 176 177 182 183 187 192 197 210 220 223 232 241 242 251 254 256 257 260 261 265 276 279 280 286 290 305 311 317 329 330 331 335 336 340 341 345 347 371 388 396 402 405 408 426 428 440 443 456 467 469 471 477 479 480 481 483 484 495 498 513 514 515 538 545 547 548 564 568 569 571 574 579 584 597 600 601 611 623 626 633 638 647 650 657 660 663 670 671 679 694 699 705 708 712 715 718 719 724 733 739 742 747 748 757 773 776 784 788 794 806 808 812 814 818 819 821 829 846 851 853 867 869 876 879 883 884 888 925 926 930 931 935 945 950 961 972 987 989 995 1005 1009 1010 1011 1015 1022 1023 1025 1028 1029 1030 1044 1045 1047 1052 1056 1077 1078 1087 1088 1107 1109 1111 1120 1133 1146 1155 1156 1160 1163 1168 1173 1174 1185 1196 1203 1216 1222 1224 1225 1236 1242 1249 1250 1253 1254 1259 1262 1273 1277 1279 1281 1282 1285 1287 1290 1292 1297 1298 1302 1303 1304 1307 1312 1316 1319 1320 1338 1341 1352 1360 1368 1369 1371 1373 1386 1390 1399 1405 1419 1426 1428 1430 1433 1443 1446 1447 1449 1452 1453 1459 1460 1472 1473 1482 1485 1493 1495 1496 1499 1504 1510 1514 1520 1525 1535 1536 1537 1544 1545 1549 1556 1563 1569 1574 1579 1586 1589 1590 1594 1607 1609 1614 1615 1620 1628 1630 1653 1655 1658 1662 1670 1678 1686 1689 1690 1692 1704 1707 1710 1716 1727 1730 1734 1747 1748 1769 1770 1772 1776 1777 1781 1782 1791 1792 1811 1829 1832 1839 1842 1846 1851 1853 1856 1860 1861 1863 1866 1870 1874 1875 1878 1879 1882 1891 1893 1896 1900 1904 1915 1930 1934 1950 1956 1958 1963 1972 1973 1975 1991 2008 2011 2013 2021 2025 2028 2043 2049 2060 2065 2072 2073 2074 2088 2095 2101 2106 2111 2119 2123 2132 2136 2152 2154 2158 2166 2172 2174 2180 2185 2193 2203 2204 2210 2217 2224 2228 2231 2233 2235 2238 2248 2255 2262 2263 2264 2268 2269 2275 2277 2282 2288 2289 2290 2297 2298 2303 2313 2317 2321 2322 2338 2342 2348 2357 2359 2360 2365 2377 2390 2400 2409 2414 2415 2416 2417 2422 2430 2433 2441 2442 2451 2455 2470 2472 2479 2491 2496 2503 2535 2538 2540 2542 2554 2559 2561 2562 2570 2573 2574 2577 2579 2583 2599 2600 2602 2612 2619 2621 2626 2632 2639 2640 2641 2644 2645 2648 2651 2660 2662 2669 2675 2679 2681 2694 2701 2705 2715 2717 2721 2722 2730 2736 2745 2751 2761 2762 2763 2768 2772 2778 2782 2786 2792 2800 2809 2812 2814 2819 2824 2831 2834 2836 2840 2842 2843 2845 2846 2850 2851 2855 2859 2864 2870 2872 2878 2880 2885 2887 2890 2904 2916 2924 2926 2929 2931 2933 2939 2943 2945 2951 2958 2967 2971 2975 2976 2981 2989 2996 2997 3010 3012 3017 3020 3022 3025 3039 3048 3051 3057 3068 3071 3081 3091 3103 3104 3113 3119 3122 3136 3139 3141 3142 3147 3156 3157 3175 3176 3178 3180 3183 3187 3188 3192 3194 3200 3206 3208 3216 3221 3228]\n# step=0 row=13 minW=600 found cw of W=588: [5 13 21 26 27 36 41 46 69 71 72 83 86 91 93 99 100 113 114 116 119 122 126 129 131 132 133 142 145 148 150 152 161 164 166 171 172 183 192 193 196 217 238 240 241 246 249 254 256 257 259 261 267 273 279 286 287 295 303 305 309 317 318 320 325 329 331 335 336 340 342 345 347 350 359 360 365 371 373 376 385 386 388 393 399 413 422 427 429 439 444 446 451 456 459 462 471 479 483 484 498 520 529 536 539 550 554 566 569 574 576 579 591 594 597 601 611 619 621 626 630 633 647 650 654 655 657 671 672 675 679 684 685 694 698 699 702 703 708 709 715 718 719 733 734 739 742 746 747 748 750 754 756 757 770 773 778 784 787 788 794 796 801 808 814 818 820 821 827 834 837 846 849 851 857 858 859 879 889 897 903 911 913 921 931 935 938 939 946 950 961 965 972 980 986 999 1001 1009 1012 1014 1015 1016 1028 1035 1043 1044 1047 1052 1053 1061 1068 1075 1096 1099 1106 1107 1109 1111 1118 1131 1136 1139 1140 1146 1149 1151 1156 1160 1165 1168 1169 1174 1191 1197 1201 1203 1215 1216 1226 1237 1245 1249 1250 1253 1254 1259 1267 1279 1285 1287 1289 1290 1295 1303 1304 1305 1307 1312 1316 1318 1319 1320 1334 1336 1341 1344 1355 1357 1369 1375 1386 1387 1390 1397 1398 1399 1419 1426 1427 1428 1432 1433 1440 1446 1449 1450 1455 1458 1459 1473 1482 1484 1485 1487 1493 1494 1496 1503 1504 1509 1510 1513 1517 1521 1525 1530 1535 1546 1549 1559 1563 1565 1579 1585 1593 1597 1608 1609 1614 1615 1620 1621 1625 1641 1653 1655 1658 1659 1662 1670 1672 1678 1689 1690 1695 1700 1707 1721 1727 1730 1745 1747 1753 1769 1772 1773 1781 1782 1793 1806 1810 1812 1815 1816 1827 1829 1844 1853 1856 1859 1860 1867 1872 1878 1879 1880 1886 1891 1901 1903 1904 1915 1918 1930 1934 1936 1946 1952 1956 1965 1967 2010 2011 2013 2020 2023 2025 2035 2043 2049 2054 2063 2072 2073 2074 2077 2085 2088 2093 2095 2116 2119 2136 2144 2146 2156 2174 2178 2180 2187 2195 2197 2207 2224 2228 2235 2248 2254 2255 2262 2263 2264 2269 2273 2275 2277 2279 2282 2288 2298 2303 2311 2317 2320 2327 2331 2336 2337 2348 2350 2357 2361 2366 2370 2377 2387 2390 2403 2415 2416 2417 2420 2422 2423 2430 2431 2433 2434 2455 2458 2472 2474 2480 2496 2507 2519 2527 2530 2535 2540 2547 2548 2550 2551 2553 2554 2559 2562 2569 2570 2573 2574 2578 2581 2583 2587 2596 2599 2610 2616 2619 2622 2631 2640 2641 2642 2644 2648 2667 2675 2681 2689 2694 2721 2725 2730 2731 2758 2762 2766 2768 2769 2778 2786 2790 2792 2793 2800 2812 2817 2833 2836 2840 2842 2845 2847 2852 2855 2859 2864 2870 2874 2875 2879 2883 2885 2890 2895 2903 2929 2931 2939 2943 2945 2951 2956 2967 2970 2981 2989 2994 2997 3012 3019 3022 3048 3062 3073 3074 3079 3083 3091 3092 3106 3113 3126 3127 3131 3141 3149 3156 3157 3173 3176 3178 3180 3182 3183 3187 3188 3194 3201 3207 3208 3210 3211 3216 3221]\n# step=0 row=17 minW=588 found cw of W=578: [2 13 15 19 23 26 27 30 31 66 71 80 84 86 91 92 93 94 95 97 99 101 102 114 116 122 131 141 143 148 158 163 165 167 171 172 176 177 187 192 196 202 207 211 217 220 223 226 238 241 242 244 246 254 257 259 260 267 273 279 280 282 283 287 292 295 296 306 317 320 324 330 336 340 342 347 365 371 386 388 399 402 405 426 435 440 443 449 451 456 462 469 471 479 480 481 483 484 500 513 515 520 527 529 533 548 549 551 554 566 568 571 573 576 578 585 594 596 600 620 630 633 638 639 650 655 657 660 662 671 672 675 692 698 702 703 704 708 709 710 711 712 715 733 739 742 747 755 773 776 787 794 808 814 818 819 820 834 836 840 846 849 857 863 869 884 903 911 930 931 935 950 961 972 975 986 987 996 999 1005 1009 1011 1015 1016 1022 1023 1025 1029 1030 1039 1044 1045 1047 1052 1053 1055 1056 1058 1062 1070 1072 1077 1088 1091 1096 1099 1107 1108 1109 1111 1118 1120 1125 1131 1133 1134 1136 1141 1149 1154 1155 1157 1158 1170 1175 1176 1184 1186 1192 1196 1197 1215 1220 1225 1245 1253 1254 1262 1273 1277 1279 1280 1283 1289 1290 1294 1297 1304 1307 1316 1319 1335 1338 1344 1352 1354 1360 1368 1371 1379 1381 1387 1397 1410 1417 1428 1430 1433 1447 1452 1453 1454 1455 1468 1472 1473 1484 1485 1486 1487 1488 1489 1492 1493 1494 1496 1504 1508 1509 1510 1520 1536 1545 1566 1567 1569 1575 1579 1585 1586 1589 1590 1593 1600 1606 1607 1609 1615 1621 1625 1630 1640 1658 1672 1677 1686 1689 1694 1695 1702 1717 1718 1721 1724 1727 1730 1734 1745 1747 1748 1749 1753 1761 1770 1772 1773 1782 1792 1793 1796 1810 1811 1813 1815 1816 1818 1830 1832 1839 1842 1851 1853 1856 1860 1863 1867 1872 1879 1880 1882 1886 1891 1893 1900 1903 1905 1915 1916 1918 1927 1956 1957 1963 1972 1973 1975 1977 1992 1997 2005 2011 2025 2035 2041 2063 2066 2071 2072 2077 2080 2087 2093 2098 2101 2106 2111 2116 2117 2119 2132 2133 2136 2154 2156 2174 2176 2193 2197 2201 2203 2235 2248 2254 2264 2269 2275 2279 2282 2288 2290 2297 2298 2302 2305 2311 2327 2331 2337 2359 2366 2369 2384 2387 2403 2409 2411 2414 2416 2417 2422 2430 2431 2433 2439 2442 2451 2458 2459 2462 2470 2472 2474 2479 2480 2486 2491 2503 2521 2527 2530 2540 2542 2553 2559 2569 2577 2578 2579 2587 2599 2602 2611 2612 2619 2621 2622 2624 2632 2639 2642 2644 2645 2669 2680 2686 2701 2712 2715 2717 2721 2722 2725 2730 2745 2755 2756 2758 2760 2763 2766 2772 2796 2808 2809 2815 2831 2834 2840 2841 2842 2845 2851 2855 2867 2879 2885 2889 2890 2895 2904 2924 2927 2929 2931 2939 2947 2949 2951 2956 2958 2971 2981 2994 2996 3010 3025 3028 3048 3057 3059 3062 3068 3071 3074 3077 3079 3080 3081 3082 3086 3092 3097 3103 3104 3106 3119 3122 3124 3131 3136 3139 3142 3149 3156 3157 3169 3173 3175 3178 3180 3181 3182 3187 3203 3208 3210 3211 3216]\n# step=0 row=225 minW=578 found cw of W=576: [5 15 19 36 41 48 60 72 77 81 86 93 94 98 101 116 117 122 126 132 141 142 143 147 158 161 164 166 171 172 173 177 182 195 202 207 220 236 238 240 246 256 257 260 261 265 276 279 282 284 287 288 290 296 303 305 306 309 317 329 336 339 347 350 359 360 365 371 381 382 383 385 402 410 413 417 418 426 429 435 439 444 446 449 462 467 471 479 481 489 495 498 513 515 525 535 538 539 544 566 567 569 571 573 576 579 600 601 611 619 623 630 633 639 647 655 660 662 672 685 694 704 712 723 726 746 755 756 757 763 778 794 801 806 808 812 814 820 821 829 830 834 837 840 846 849 851 857 866 869 876 879 883 884 911 913 925 926 939 943 946 950 972 982 989 995 996 1005 1009 1011 1012 1023 1026 1029 1035 1039 1045 1047 1052 1053 1055 1068 1070 1077 1078 1088 1091 1095 1099 1108 1112 1119 1120 1133 1134 1136 1138 1140 1141 1149 1160 1163 1165 1170 1173 1174 1178 1184 1191 1193 1196 1201 1215 1220 1226 1238 1253 1259 1262 1283 1285 1287 1289 1294 1295 1303 1305 1313 1316 1320 1335 1338 1339 1341 1344 1354 1355 1367 1369 1371 1373 1379 1381 1386 1387 1398 1405 1410 1415 1417 1419 1427 1430 1433 1440 1443 1449 1450 1454 1460 1479 1484 1485 1486 1487 1489 1494 1495 1497 1503 1510 1514 1517 1521 1530 1539 1544 1549 1556 1569 1579 1585 1589 1595 1600 1606 1609 1614 1615 1620 1621 1625 1641 1651 1653 1655 1660 1667 1670 1674 1675 1678 1684 1692 1694 1700 1704 1710 1716 1718 1721 1727 1730 1745 1748 1753 1769 1770 1771 1772 1776 1777 1794 1796 1808 1811 1812 1815 1816 1818 1827 1830 1839 1842 1844 1855 1859 1860 1861 1863 1866 1870 1874 1875 1879 1880 1882 1886 1887 1891 1896 1900 1903 1904 1905 1906 1916 1918 1930 1948 1950 1952 1958 1965 1967 1973 1975 1992 1997 2011 2021 2022 2028 2035 2043 2050 2066 2071 2072 2073 2074 2088 2092 2093 2097 2101 2106 2123 2132 2136 2158 2170 2172 2176 2178 2180 2185 2189 2193 2197 2203 2207 2210 2219 2224 2228 2231 2238 2248 2268 2269 2275 2279 2284 2288 2289 2297 2298 2303 2306 2311 2313 2322 2324 2331 2336 2342 2350 2355 2361 2365 2377 2387 2390 2395 2400 2415 2416 2417 2423 2428 2430 2433 2439 2441 2451 2458 2459 2462 2470 2472 2474 2479 2480 2503 2505 2507 2509 2510 2519 2523 2528 2530 2547 2548 2553 2554 2559 2577 2583 2596 2602 2610 2616 2618 2621 2622 2631 2632 2639 2640 2642 2645 2648 2662 2669 2671 2674 2681 2690 2694 2699 2701 2707 2717 2721 2745 2751 2760 2761 2766 2778 2782 2786 2790 2796 2800 2806 2808 2809 2814 2815 2817 2831 2836 2837 2842 2845 2846 2851 2867 2870 2872 2875 2878 2879 2880 2889 2890 2895 2903 2924 2926 2939 2943 2949 2951 2958 2960 2967 2981 2989 2997 3009 3012 3028 3039 3048 3062 3071 3074 3078 3080 3081 3082 3083 3093 3104 3126 3127 3131 3141 3142 3157 3164 3170 3175 3181 3182 3188 3194 3200 3203 3206 3217 3221]\n# step=0 row=306 minW=576 found cw of W=570: [23 27 35 41 46 48 60 65 66 69 80 83 86 91 93 94 97 98 99 100 101 102 113 117 122 131 132 133 142 148 163 166 167 171 173 177 183 192 195 197 207 211 217 223 232 236 249 257 260 267 268 273 276 282 284 286 295 303 318 320 325 335 336 341 342 347 350 360 365 371 381 382 385 386 399 402 408 413 428 429 435 440 443 444 446 449 456 469 470 481 484 492 498 499 513 515 520 525 527 529 533 536 547 548 549 554 561 564 566 568 574 576 579 585 591 600 601 610 611 620 623 626 638 643 655 657 660 663 672 679 684 694 704 705 708 709 712 724 726 742 747 748 756 757 763 765 778 806 814 827 829 831 836 840 847 851 857 858 863 866 867 869 876 879 883 884 897 903 913 925 926 928 930 931 935 943 945 961 963 980 995 996 1001 1009 1010 1016 1022 1026 1031 1039 1047 1052 1053 1055 1065 1068 1077 1078 1087 1088 1104 1107 1109 1118 1119 1125 1131 1136 1138 1139 1140 1149 1155 1160 1163 1168 1170 1174 1175 1192 1197 1203 1216 1222 1237 1245 1253 1259 1260 1271 1273 1279 1285 1287 1289 1290 1294 1297 1298 1302 1303 1304 1305 1307 1316 1325 1334 1335 1336 1338 1339 1340 1344 1355 1360 1369 1372 1375 1381 1397 1410 1415 1417 1426 1428 1440 1449 1453 1454 1458 1460 1462 1464 1472 1484 1487 1489 1494 1495 1508 1510 1514 1517 1530 1536 1545 1549 1559 1563 1565 1569 1575 1579 1585 1586 1589 1595 1600 1606 1609 1615 1625 1630 1641 1651 1653 1660 1667 1675 1678 1684 1686 1689 1695 1704 1707 1710 1721 1727 1730 1734 1748 1761 1773 1776 1782 1786 1792 1793 1806 1812 1818 1827 1830 1832 1834 1837 1839 1842 1844 1853 1855 1860 1866 1867 1875 1876 1878 1882 1893 1896 1902 1904 1906 1915 1916 1927 1930 1936 1952 1957 1958 1963 1976 1977 2005 2008 2010 2011 2013 2020 2022 2025 2035 2041 2043 2050 2060 2065 2066 2073 2074 2080 2085 2088 2092 2093 2101 2123 2132 2133 2144 2146 2154 2158 2159 2170 2174 2189 2193 2195 2197 2201 2203 2204 2207 2210 2219 2238 2248 2252 2268 2275 2277 2279 2282 2284 2288 2290 2292 2297 2302 2305 2311 2313 2317 2320 2324 2327 2331 2333 2337 2338 2342 2357 2359 2361 2365 2366 2370 2384 2390 2400 2403 2415 2417 2420 2422 2423 2428 2430 2433 2434 2439 2441 2451 2458 2462 2466 2480 2486 2523 2527 2530 2538 2540 2550 2553 2557 2559 2573 2581 2596 2599 2600 2602 2610 2616 2624 2626 2640 2641 2644 2659 2662 2667 2669 2679 2686 2689 2690 2694 2696 2705 2722 2731 2736 2751 2755 2756 2760 2766 2769 2770 2772 2782 2792 2793 2817 2819 2831 2832 2833 2834 2840 2842 2845 2846 2864 2875 2878 2883 2885 2903 2927 2939 2947 2951 2958 2960 2970 2971 2976 2982 2989 2997 3009 3010 3012 3019 3022 3033 3057 3059 3068 3071 3073 3074 3077 3078 3081 3091 3092 3093 3126 3127 3131 3136 3142 3149 3157 3169 3170 3180 3194 3201 3207 3208 3211 3217]\n# step=0 row=387 minW=570 found cw of W=560: [2 15 19 25 31 35 41 46 47 48 52 54 66 67 81 92 93 98 102 107 113 114 116 119 122 129 131 132 135 141 142 143 147 150 152 158 167 171 172 176 177 182 192 193 196 226 232 236 242 259 273 283 286 287 288 292 296 303 306 309 317 324 329 359 360 365 385 402 405 408 410 417 435 439 443 446 449 456 459 462 467 470 477 489 495 514 515 529 530 533 538 545 549 551 559 564 566 567 571 573 574 591 594 596 601 611 619 621 630 633 647 657 660 675 679 697 699 703 704 705 708 710 711 719 724 734 742 747 750 756 757 773 774 776 778 788 796 801 802 806 812 820 821 829 831 836 846 847 849 876 883 911 913 916 930 931 939 943 945 946 963 972 980 982 987 989 995 996 1005 1010 1012 1014 1015 1016 1028 1029 1030 1039 1047 1053 1055 1056 1062 1065 1068 1070 1075 1077 1078 1096 1104 1111 1112 1134 1140 1146 1151 1155 1156 1157 1163 1170 1173 1174 1176 1192 1193 1196 1197 1203 1215 1225 1236 1237 1242 1249 1250 1254 1259 1260 1267 1280 1283 1285 1287 1294 1295 1302 1305 1307 1325 1341 1344 1367 1368 1369 1377 1379 1386 1395 1397 1399 1405 1419 1426 1428 1430 1432 1435 1443 1449 1452 1454 1460 1464 1468 1479 1482 1484 1485 1487 1488 1489 1492 1494 1497 1508 1510 1513 1520 1521 1530 1536 1537 1540 1546 1556 1559 1563 1565 1566 1569 1574 1579 1585 1593 1594 1604 1606 1607 1608 1609 1610 1615 1616 1620 1630 1640 1653 1662 1670 1672 1674 1677 1678 1689 1690 1700 1702 1716 1717 1724 1734 1745 1748 1749 1753 1754 1761 1770 1773 1786 1796 1808 1816 1818 1829 1839 1851 1868 1870 1874 1879 1886 1897 1900 1901 1903 1904 1915 1916 1918 1927 1934 1936 1946 1948 1950 1952 1957 1958 1959 1961 1965 1973 1977 1997 2008 2048 2049 2054 2063 2065 2071 2074 2080 2085 2087 2095 2098 2111 2117 2144 2146 2166 2178 2185 2189 2195 2197 2201 2203 2217 2228 2235 2244 2263 2268 2279 2282 2289 2290 2298 2302 2303 2305 2306 2313 2317 2321 2336 2337 2338 2344 2347 2348 2355 2359 2366 2377 2384 2387 2390 2395 2403 2411 2416 2420 2423 2438 2451 2455 2459 2462 2466 2470 2479 2486 2488 2494 2504 2505 2507 2509 2521 2527 2535 2540 2547 2548 2550 2557 2559 2567 2569 2570 2577 2578 2583 2596 2599 2600 2611 2616 2621 2622 2626 2632 2639 2644 2645 2648 2662 2667 2671 2674 2679 2681 2683 2686 2690 2699 2701 2705 2706 2707 2712 2717 2745 2758 2760 2762 2763 2770 2778 2790 2792 2800 2814 2815 2819 2831 2833 2836 2837 2841 2843 2845 2846 2864 2870 2872 2878 2879 2880 2881 2885 2887 2890 2895 2902 2904 2927 2933 2939 2943 2945 2947 2949 2958 2967 2970 2994 2996 3011 3012 3020 3025 3039 3045 3051 3059 3068 3077 3078 3081 3084 3093 3104 3124 3131 3136 3139 3142 3147 3149 3164 3169 3170 3173 3175 3176 3178 3182 3194 3200 3208 3211 3216 3221]\n# step=0 row=635 minW=560 found cw of W=554: [2 4 10 13 15 22 23 25 26 31 36 41 46 48 52 54 60 71 72 80 83 86 92 93 98 117 132 141 158 162 166 167 171 172 176 183 187 197 207 220 223 232 246 251 256 257 282 284 286 288 292 295 296 303 305 306 309 311 325 329 335 340 347 359 376 381 383 393 396 413 426 435 443 449 451 460 489 499 520 525 538 545 547 548 549 550 551 554 564 567 576 578 585 596 597 600 601 623 633 639 643 650 652 654 655 660 662 685 694 702 703 709 712 715 719 723 724 744 748 753 754 755 757 763 765 773 774 778 808 819 821 830 836 840 863 866 869 888 897 901 916 925 928 931 938 943 963 965 975 980 995 999 1009 1010 1011 1012 1014 1015 1022 1023 1026 1039 1044 1055 1058 1061 1062 1065 1072 1077 1087 1088 1091 1095 1099 1108 1118 1119 1120 1125 1136 1139 1140 1143 1149 1155 1157 1160 1163 1165 1169 1173 1175 1187 1191 1193 1197 1203 1217 1220 1224 1225 1236 1237 1238 1249 1253 1267 1277 1281 1290 1292 1294 1297 1303 1305 1312 1313 1316 1319 1320 1335 1340 1344 1352 1368 1369 1371 1372 1381 1398 1399 1405 1412 1415 1417 1428 1433 1435 1443 1447 1449 1450 1453 1460 1464 1465 1473 1479 1482 1487 1489 1492 1493 1495 1497 1499 1503 1504 1508 1510 1513 1514 1517 1535 1536 1540 1545 1549 1566 1590 1595 1597 1604 1607 1610 1614 1615 1616 1620 1630 1641 1655 1659 1667 1670 1674 1675 1678 1686 1692 1710 1747 1748 1761 1770 1771 1776 1791 1792 1794 1808 1810 1811 1813 1829 1834 1837 1844 1846 1855 1859 1861 1863 1866 1876 1878 1879 1880 1891 1896 1897 1898 1900 1901 1904 1906 1915 1916 1930 1934 1948 1950 1952 1956 1957 1958 1959 1963 1967 1975 1983 1997 2011 2013 2020 2022 2025 2028 2035 2041 2049 2071 2074 2080 2093 2095 2097 2111 2144 2156 2159 2166 2170 2171 2174 2187 2189 2193 2195 2201 2203 2228 2255 2262 2263 2269 2273 2277 2282 2284 2288 2290 2292 2298 2302 2303 2305 2306 2311 2317 2320 2321 2327 2332 2337 2344 2350 2355 2360 2361 2377 2400 2417 2423 2438 2442 2455 2459 2472 2479 2480 2488 2494 2505 2510 2527 2535 2538 2548 2549 2550 2551 2553 2559 2561 2562 2567 2569 2570 2574 2577 2588 2599 2602 2610 2618 2619 2621 2626 2631 2632 2639 2640 2641 2642 2645 2648 2651 2660 2667 2671 2674 2686 2690 2694 2696 2701 2715 2725 2745 2755 2756 2760 2763 2768 2770 2771 2772 2778 2782 2786 2800 2808 2814 2815 2824 2831 2837 2841 2842 2843 2845 2855 2864 2867 2870 2872 2879 2881 2887 2902 2904 2916 2927 2929 2931 2933 2939 2943 2945 2949 2968 2970 2976 2982 2989 2996 2997 3001 3009 3010 3011 3012 3017 3033 3039 3051 3057 3068 3071 3074 3078 3079 3080 3084 3086 3092 3097 3103 3104 3113 3122 3136 3138 3139 3156 3164 3169 3176 3180 3183 3187 3188 3194 3200 3203 3205 3207 3208 3210 3217 3228 3229]\n# step=6 row=656 minW=554 found cw of W=546: [10 13 23 30 34 45 47 50 53 55 68 72 76 79 81 83 92 99 106 116 121 122 126 128 134 141 143 148 161 167 168 171 185 195 201 204 212 231 232 234 239 243 248 251 253 269 289 297 301 303 304 319 321 328 336 344 346 348 353 356 363 368 369 374 376 378 386 387 388 389 395 396 401 405 421 433 435 437 440 454 457 458 463 480 482 489 495 497 498 504 514 523 530 532 537 554 555 556 560 563 573 574 577 587 596 601 603 616 622 638 646 655 656 660 661 674 680 681 683 695 696 708 714 720 722 725 730 731 740 745 750 760 761 768 775 782 790 806 817 832 847 852 856 858 860 865 867 868 883 887 892 893 899 908 914 917 918 923 925 929 932 946 949 958 961 962 968 973 976 978 980 983 995 1003 1006 1008 1009 1020 1021 1024 1029 1039 1041 1042 1046 1050 1054 1063 1072 1085 1086 1099 1100 1103 1104 1106 1115 1116 1117 1118 1121 1122 1131 1137 1140 1145 1147 1150 1153 1155 1158 1161 1185 1189 1190 1191 1192 1195 1200 1202 1207 1212 1216 1224 1227 1240 1243 1246 1248 1255 1258 1259 1263 1269 1273 1282 1287 1301 1303 1309 1310 1313 1314 1327 1332 1349 1350 1353 1354 1361 1365 1378 1382 1384 1386 1387 1389 1402 1412 1415 1418 1428 1446 1448 1461 1464 1465 1470 1475 1493 1495 1501 1523 1528 1531 1533 1549 1552 1553 1554 1556 1562 1569 1570 1574 1578 1585 1597 1611 1613 1614 1624 1630 1641 1652 1653 1656 1658 1659 1661 1664 1682 1685 1690 1694 1715 1716 1718 1721 1728 1731 1733 1749 1755 1757 1768 1770 1774 1780 1786 1787 1789 1792 1798 1799 1810 1813 1818 1819 1827 1829 1831 1862 1867 1875 1878 1879 1880 1882 1894 1901 1907 1912 1920 1926 1942 1945 1946 1949 1953 1965 1973 1983 1984 1988 1991 1995 2003 2015 2023 2025 2031 2032 2034 2035 2040 2052 2055 2063 2067 2068 2076 2077 2084 2088 2105 2108 2113 2120 2131 2136 2145 2146 2147 2154 2172 2173 2175 2176 2180 2184 2185 2187 2192 2203 2206 2213 2216 2247 2257 2261 2265 2270 2279 2281 2286 2287 2297 2307 2308 2311 2326 2333 2336 2338 2340 2348 2349 2360 2378 2379 2390 2408 2411 2421 2424 2425 2432 2465 2467 2473 2484 2491 2500 2532 2533 2534 2539 2543 2551 2552 2554 2584 2585 2591 2592 2605 2614 2618 2620 2627 2629 2646 2647 2659 2660 2664 2665 2666 2680 2684 2686 2707 2718 2729 2740 2748 2752 2768 2769 2771 2774 2777 2783 2793 2804 2810 2814 2819 2822 2826 2830 2839 2843 2846 2848 2852 2857 2866 2867 2871 2875 2883 2889 2892 2897 2901 2905 2909 2910 2934 2946 2949 2965 2967 2977 2980 2994 3000 3002 3011 3014 3040 3049 3052 3056 3059 3069 3078 3081 3088 3093 3094 3095 3108 3114 3117 3126 3127 3130 3135 3139 3141 3144 3147 3151 3155 3165 3167 3177 3184 3209 3220 3224 3227 3229]\n# step=12 row=937 minW=546 found cw of W=544: [2 23 26 28 38 39 42 43 50 60 69 70 80 87 95 98 101 110 122 123 127 129 135 139 163 164 178 182 192 199 204 211 213 216 230 240 249 250 252 254 269 274 278 279 283 286 292 293 301 310 318 329 340 341 344 349 351 352 364 376 381 388 389 412 420 426 434 439 442 460 471 479 505 521 523 528 529 530 534 540 549 554 555 563 564 567 569 573 576 594 598 601 602 603 612 627 629 635 636 640 642 652 679 682 687 690 697 713 720 721 730 743 755 757 766 768 770 778 782 787 789 798 799 805 808 823 829 832 835 837 848 849 857 858 871 873 887 896 904 906 907 927 931 936 938 945 959 965 966 968 980 983 986 995 996 1003 1010 1017 1019 1059 1075 1079 1083 1087 1088 1096 1099 1100 1101 1106 1112 1122 1126 1129 1130 1135 1136 1139 1146 1149 1154 1157 1165 1168 1176 1177 1182 1184 1196 1200 1208 1222 1224 1234 1236 1244 1245 1248 1254 1258 1262 1263 1264 1268 1278 1283 1287 1296 1309 1312 1322 1325 1328 1329 1330 1339 1346 1351 1362 1366 1367 1370 1372 1378 1381 1386 1401 1408 1419 1420 1421 1431 1432 1433 1439 1440 1444 1453 1455 1459 1462 1465 1466 1468 1470 1471 1474 1483 1497 1498 1502 1506 1513 1517 1521 1529 1537 1543 1544 1558 1564 1573 1574 1576 1577 1586 1587 1588 1594 1609 1612 1613 1622 1623 1628 1632 1637 1638 1639 1640 1643 1646 1653 1670 1671 1677 1679 1685 1686 1687 1690 1694 1702 1704 1712 1716 1718 1723 1731 1735 1737 1741 1757 1758 1761 1763 1765 1766 1768 1770 1774 1779 1781 1783 1784 1788 1791 1801 1802 1805 1808 1818 1820 1822 1825 1829 1833 1843 1846 1857 1874 1891 1899 1912 1915 1926 1927 1928 1936 1938 1946 1953 1957 1966 1972 1980 1983 1991 1995 2021 2026 2049 2052 2054 2060 2072 2073 2079 2080 2091 2099 2104 2116 2121 2123 2126 2138 2139 2140 2142 2151 2153 2154 2157 2159 2167 2168 2172 2173 2187 2189 2196 2197 2198 2199 2200 2203 2207 2208 2214 2221 2226 2228 2232 2238 2258 2271 2277 2281 2286 2303 2306 2311 2319 2330 2339 2341 2351 2358 2366 2367 2368 2372 2378 2384 2389 2395 2409 2411 2424 2428 2432 2450 2451 2460 2461 2464 2469 2473 2497 2507 2509 2510 2513 2519 2525 2526 2540 2541 2546 2550 2552 2562 2564 2569 2575 2584 2591 2603 2604 2612 2633 2634 2650 2658 2660 2663 2664 2665 2679 2682 2705 2709 2717 2721 2725 2732 2733 2744 2749 2752 2754 2756 2764 2777 2789 2792 2796 2798 2800 2807 2814 2826 2828 2833 2858 2859 2867 2870 2874 2876 2896 2899 2910 2913 2919 2921 2932 2935 2936 2945 2963 2978 2982 2988 2999 3008 3009 3014 3025 3029 3045 3052 3054 3058 3059 3060 3073 3083 3084 3089 3101 3102 3112 3113 3123 3127 3129 3136 3142 3143 3144 3149 3161 3162 3171 3191 3192 3193 3199 3205 3212 3222 3227]\n# step=16 row=1387 minW=544 found cw of W=532: [4 9 11 16 17 18 24 36 42 51 60 61 72 74 81 82 85 91 92 93 96 97 98 107 113 117 124 130 135 144 151 154 173 179 183 189 201 205 215 217 219 236 239 245 253 257 263 266 271 284 289 293 294 296 298 308 314 315 326 338 348 354 367 378 385 399 418 437 443 445 456 458 466 467 469 476 491 495 496 501 515 522 525 532 538 544 548 557 567 571 573 580 585 596 597 600 610 611 615 617 620 625 633 647 650 659 660 679 685 688 690 693 697 698 704 712 717 731 732 735 739 741 751 763 778 785 795 797 798 804 814 827 835 842 851 867 870 874 882 883 885 893 897 904 908 920 925 930 938 939 952 956 958 977 985 987 990 992 995 1011 1015 1016 1043 1046 1052 1070 1077 1079 1080 1081 1092 1096 1098 1106 1108 1112 1119 1124 1127 1129 1132 1137 1140 1155 1164 1166 1172 1182 1188 1189 1190 1192 1198 1199 1208 1228 1229 1241 1244 1248 1251 1253 1269 1273 1283 1298 1315 1325 1329 1341 1348 1365 1368 1382 1403 1404 1407 1409 1414 1418 1426 1436 1442 1443 1446 1453 1454 1457 1458 1464 1465 1474 1485 1487 1494 1497 1505 1512 1513 1518 1521 1523 1524 1527 1529 1531 1532 1533 1538 1545 1546 1553 1563 1564 1568 1578 1594 1596 1601 1608 1614 1616 1619 1626 1628 1631 1646 1650 1668 1681 1682 1690 1691 1696 1697 1706 1710 1715 1717 1725 1728 1733 1737 1743 1744 1749 1773 1774 1780 1781 1787 1802 1806 1808 1812 1820 1824 1826 1838 1844 1849 1850 1858 1863 1871 1874 1882 1883 1886 1887 1889 1897 1905 1909 1911 1913 1919 1942 1947 1950 1957 1959 1978 1980 1988 2017 2018 2031 2038 2046 2048 2052 2053 2065 2084 2087 2088 2090 2097 2100 2103 2108 2110 2111 2112 2117 2118 2119 2122 2125 2134 2150 2157 2159 2168 2172 2173 2180 2188 2192 2195 2198 2199 2200 2202 2203 2210 2214 2221 2223 2226 2229 2232 2249 2253 2254 2257 2258 2260 2264 2272 2275 2276 2289 2292 2302 2303 2305 2309 2316 2319 2322 2338 2343 2345 2346 2355 2356 2357 2361 2362 2370 2377 2379 2391 2405 2417 2434 2436 2450 2453 2456 2459 2460 2478 2487 2489 2509 2514 2516 2517 2518 2527 2530 2536 2538 2565 2584 2592 2608 2614 2617 2621 2625 2637 2638 2640 2648 2672 2674 2681 2688 2696 2701 2704 2709 2728 2733 2748 2749 2763 2773 2776 2781 2783 2786 2791 2800 2804 2809 2812 2820 2821 2823 2827 2830 2832 2834 2840 2854 2858 2861 2866 2874 2881 2884 2890 2894 2907 2918 2922 2927 2946 2953 2954 2957 2959 2966 2967 2968 2969 2974 2980 2981 2982 2991 2998 3001 3008 3010 3011 3025 3032 3038 3047 3055 3070 3071 3072 3084 3089 3090 3099 3101 3110 3112 3121 3125 3132 3138 3159 3166 3177 3179 3190 3202 3203 3208 3214 3223 3228 3230]\n# step=76 row=1119 minW=532 found cw of W=528: [5 8 9 28 35 42 44 50 51 66 80 83 98 100 104 110 116 120 125 128 129 132 144 147 150</t>
  </si>
  <si>
    <t xml:space="preserve"> 175 176 178 181 188 201 210 214 218 221 227 229 231 232 239 241 245 249 251 252 267 270 271 273 276 287 295 315 320 323 331 336 339 342 343 345 369 374 378 380 381 388 417 418 424 428 445 449 452 453 454 461 472 475 478 480 488 507 513 514 515 540 541 542 543 554 556 573 576 579 584 586 588 589 592 596 607 610 613 627 632 635 638 639 643 650 656 662 663 664 679 686 687 688 689 694 697 698 706 710 733 734 743 758 759 762 768 769 774 775 780 785 794 795 802 807 814 821 826 837 848 849 866 873 883 895 901 916 923 949 955 987 991 1000 1005 1008 1010 1016 1017 1019 1027 1036 1045 1050 1059 1065 1067 1091 1109 1111 1124 1135 1137 1139 1152 1153 1156 1160 1173 1175 1184 1186 1189 1192 1196 1210 1214 1238 1242 1247 1248 1250 1258 1273 1281 1283 1291 1292 1304 1308 1309 1331 1339 1342 1343 1345 1351 1353 1360 1366 1368 1369 1372 1375 1379 1392 1399 1402 1403 1406 1413 1415 1418 1434 1438 1440 1443 1453 1455 1466 1472 1475 1477 1479 1482 1495 1498 1506 1521 1522 1524 1530 1535 1536 1542 1554 1561 1565 1566 1567 1569 1573 1574 1578 1588 1589 1597 1598 1604 1619 1635 1647 1651 1667 1678 1687 1692 1694 1699 1701 1710 1713 1715 1722 1724 1728 1732 1742 1745 1758 1759 1760 1761 1764 1765 1768 1775 1784 1791 1794 1796 1804 1823 1834 1840 1847 1851 1854 1856 1858 1867 1875 1884 1895 1900 1920 1925 1937 1941 1946 1947 1955 1957 1968 1971 1991 2004 2009 2010 2014 2018 2019 2020 2021 2023 2028 2029 2038 2043 2053 2055 2063 2090 2092 2093 2111 2113 2116 2119 2126 2135 2139 2146 2147 2166 2168 2169 2170 2171 2176 2177 2193 2197 2199 2201 2208 2211 2220 2225 2234 2243 2250 2254 2259 2260 2263 2272 2274 2275 2277 2281 2283 2295 2300 2304 2312 2313 2332 2354 2363 2366 2373 2375 2381 2389 2394 2401 2409 2418 2421 2425 2435 2440 2445 2451 2459 2466 2474 2475 2479 2484 2506 2515 2529 2530 2532 2535 2547 2550 2554 2570 2571 2591 2614 2617 2620 2625 2631 2635 2638 2643 2644 2645 2662 2669 2671 2672 2682 2684 2696 2697 2708 2710 2711 2726 2753 2759 2769 2775 2786 2794 2799 2800 2807 2809 2819 2825 2829 2831 2832 2836 2838 2841 2844 2859 2864 2865 2866 2869 2870 2876 2883 2884 2885 2892 2896 2902 2906 2913 2914 2918 2922 2931 2940 2941 2962 2969 2972 2973 2978 2985 2990 2995 3012 3020 3024 3028 3030 3032 3039 3044 3047 3058 3060 3076 3086 3087 3092 3099 3102 3103 3104 3121 3122 3123 3140 3145 3148 3151 3153 3158 3162 3164 3180 3182 3189 3192 3195 3197 3202 3220 3222 3227]\n# step=115 row=319 minW=528 found cw of W=520: [6 10 13 16 17 21 25 39 49 64 65 66 67 69 70 74 77 80 89 94 96 111 114 124 126 136 141 150 162 166 169 170 171 172 179 186 187 190 201 207 210 227 231 238 246 253 254 257 275 284 285 290 292 293 301 302 304 315 321 329 331 342 352 361 362 369 373 376 377 378 379 382 387 403 409 410 426 427 428 443 453 455 459 460 464 467 480 485 486 492 498 506 508 510 516 528 531 532 536 543 548 556 557 563 564 567 577 578 582 583 585 586 589 590 616 626 629 634 635 638 643 649 650 652 655 669 677 680 681 697 705 707 736 746 767 781 784 794 798 801 806 807 812 816 829 836 841 861 871 873 881 886 889 891 894 899 905 918 925 929 933 934 939 947 955 970 973 981 997 1000 1002 1003 1007 1022 1026 1029 1049 1052 1053 1056 1068 1079 1081 1082 1085 1094 1105 1109 1110 1114 1117 1121 1130 1136 1138 1140 1142 1147 1156 1160 1164 1170 1191 1212 1213 1226 1227 1237 1238 1244 1254 1255 1261 1262 1263 1265 1268 1271 1273 1275 1276 1278 1285 1287 1295 1300 1326 1330 1338 1343 1346 1350 1361 1362 1364 1366 1373 1378 1389 1395 1402 1420 1423 1438 1439 1441 1450 1457 1458 1459 1468 1469 1472 1478 1491 1493 1494 1499 1500 1518 1524 1530 1536 1542 1545 1548 1556 1560 1561 1564 1568 1569 1570 1577 1578 1580 1586 1590 1594 1595 1601 1604 1607 1608 1643 1662 1665 1666 1667 1671 1689 1691 1719 1727 1732 1735 1744 1746 1752 1757 1766 1777 1779 1781 1788 1794 1805 1816 1818 1824 1825 1833 1834 1837 1847 1851 1854 1862 1876 1879 1886 1887 1889 1891 1893 1904 1921 1926 1928 1933 1936 1959 1960 1961 1963 1967 1972 1978 1985 1989 1993 1999 2001 2007 2011 2013 2022 2026 2046 2050 2052 2053 2057 2065 2075 2078 2090 2104 2109 2112 2117 2121 2122 2123 2137 2141 2185 2186 2192 2195 2200 2201 2218 2219 2220 2223 2226 2227 2233 2252 2254 2259 2260 2270 2271 2289 2290 2299 2300 2305 2308 2313 2317 2319 2324 2329 2339 2347 2348 2351 2354 2371 2375 2382 2396 2398 2401 2403 2405 2414 2421 2428 2435 2438 2439 2442 2456 2465 2487 2503 2513 2524 2528 2541 2545 2565 2572 2580 2582 2587 2589 2609 2614 2617 2620 2622 2630 2659 2665 2672 2678 2688 2702 2715 2727 2747 2749 2754 2777 2789 2792 2804 2816 2825 2826 2843 2874 2875 2882 2883 2884 2897 2905 2914 2927 2929 2936 2941 2944 2951 2958 2961 2962 2963 2966 2972 2973 2977 2980 2989 2994 3001 3004 3006 3015 3022 3034 3039 3041 3055 3056 3058 3059 3062 3073 3077 3079 3084 3091 3094 3095 3097 3099 3102 3110 3120 3122 3131 3138 3154 3159 3161 3176 3179 3187 3190 3203 3210 3217 3227]\n# step=515 row=1613 minW=520 found cw of W=510: [3 5 10 18 21 23 28 29 30 37 38 61 62 67 71 80 82 91 97 107 115 116 119 121 126 130 131 138 141 142 148 149 153 154 155 162 165 169 190 197 201 215 220 225 229 230 234 240 243 249 265 271 272 279 282 285 310 316 319 330 333 340 343 358 359 361 370 371 374 379 385 419 435 436 438 448 452 454 460 462 468 471 473 476 478 484 496 498 499 503 506 511 512 520 522 528 529 540 550 555 556 562 570 582 586 589 595 597 599 600 606 636 645 646 647 653 654 673 680 686 689 693 697 707 709 716 721 725 727 746 749 758 772 773 774 784 810 813 829 831 838 856 857 864 872 874 877 891 897 909 915 916 932 946 954 959 967 979 981 983 986 987 988 991 993 995 997 1000 1003 1006 1015 1021 1022 1051 1052 1053 1060 1072 1075 1083 1085 1087 1091 1102 1105 1113 1123 1138 1174 1179 1184 1190 1198 1209 1212 1215 1216 1222 1226 1229 1236 1238 1240 1241 1249 1267 1275 1276 1277 1281 1296 1304 1316 1329 1340 1343 1344 1350 1353 1358 1368 1370 1383 1388 1397 1405 1413 1415 1428 1431 1434 1436 1443 1444 1465 1481 1482 1492 1497 1498 1499 1512 1515 1522 1532 1538 1540 1543 1545 1546 1568 1569 1573 1574 1582 1584 1589 1591 1596 1606 1607 1608 1610 1625 1628 1629 1632 1635 1637 1643 1653 1661 1663 1664 1677 1683 1684 1685 1687 1693 1705 1709 1714 1720 1725 1728 1731 1732 1733 1735 1741 1747 1753 1754 1771 1800 1804 1808 1814 1822 1827 1829 1837 1846 1857 1872 1876 1877 1882 1884 1895 1896 1897 1901 1908 1914 1919 1920 1925 1927 1939 1940 1942 1951 1959 1964 1973 1976 1980 1994 1995 1999 2006 2010 2018 2019 2023 2028 2029 2043 2051 2052 2056 2066 2074 2086 2088 2102 2104 2107 2112 2115 2117 2131 2134 2142 2143 2144 2157 2158 2161 2162 2167 2175 2179 2182 2187 2188 2190 2193 2206 2219 2223 2226 2233 2245 2252 2255 2258 2261 2285 2291 2294 2295 2297 2301 2310 2315 2334 2352 2358 2369 2386 2399 2409 2414 2422 2423 2428 2429 2443 2449 2462 2467 2486 2505 2516 2517 2518 2530 2542 2552 2557 2559 2560 2566 2583 2597 2600 2605 2616 2618 2629 2631 2636 2637 2647 2649 2662 2667 2668 2677 2687 2688 2693 2705 2713 2714 2725 2726 2738 2754 2757 2760 2778 2791 2795 2803 2809 2811 2825 2835 2836 2839 2843 2847 2855 2862 2868 2870 2874 2881 2897 2899 2905 2906 2910 2911 2916 2923 2924 2932 2964 2969 2973 2974 2981 2987 2996 2999 3004 3011 3013 3024 3043 3055 3076 3079 3089 3090 3095 3099 3100 3105 3106 3109 3115 3122 3124 3126 3134 3140 3148 3166 3167 3169 3181 3184 3193 3196]\n# step=698 row=1470 minW=510 found cw of W=506: [3 5 7 9 10 15 17 22 25 27 29 38 39 58 71 72 79 85 88 111 124 125 130 132 137 148 154 159 162 163 169 172 175 179 192 203 205 208 211 212 219 244 250 262 264 267 268 280 304 307 311 328 339 343 346 348 349 351 354 362 364 366 370 374 375 377 389 395 401 403 405 409 418 428 433 440 454 455 463 475 479 487 490 496 497 506 510 512 517 523 530 532 536 540 553 554 563 569 577 585 586 592 593 601 619 626 629 631 640 641 642 651 657 658 661 663 669 678 682 687 698 707 718 731 735 743 749 752 759 764 766 785 799 810 811 818 825 841 842 867 888 893 898 900 903 907 916 924 925 937 969 974 988 989 997 1002 1004 1006 1015 1020 1035 1039 1042 1044 1045 1052 1056 1057 1062 1063 1073 1081 1087 1091 1114 1115 1123 1124 1130 1137 1138 1144 1147 1149 1150 1158 1161 1175 1176 1179 1195 1203 1208 1211 1212 1225 1228 1231 1236 1249 1258 1260 1265 1267 1268 1277 1279 1287 1294 1308 1310 1312 1318 1322 1325 1327 1342 1346 1350 1353 1364 1367 1368 1377 1378 1391 1392 1399 1402 1411 1413 1424 1426 1427 1435 1441 1442 1452 1455 1461 1466 1467 1473 1476 1481 1495 1496 1510 1512 1513 1524 1556 1575 1585 1586 1590 1605 1606 1611 1615 1617 1627 1630 1638 1646 1649 1650 1651 1654 1656 1682 1685 1690 1695 1705 1708 1713 1714 1716 1731 1739 1741 1748 1749 1753 1757 1765 1769 1793 1799 1802 1803 1815 1831 1838 1842 1846 1847 1850 1854 1858 1868 1888 1892 1899 1900 1901 1903 1905 1906 1919 1921 1922 1930 1934 1936 1952 1954 1957 1959 1962 1964 1968 1971 1976 1978 1992 1997 2005 2015 2021 2026 2030 2035 2038 2042 2054 2062 2067 2079 2082 2110 2119 2125 2127 2129 2140 2152 2157 2163 2182 2184 2186 2191 2203 2230 2253 2256 2264 2266 2267 2268 2280 2286 2287 2288 2292 2296 2302 2320 2323 2330 2351 2365 2370 2372 2375 2396 2402 2404 2417 2420 2425 2430 2437 2444 2456 2469 2474 2480 2494 2506 2514 2519 2523 2530 2534 2541 2543 2544 2551 2575 2576 2584 2594 2603 2609 2615 2623 2628 2638 2648 2651 2660 2661 2677 2679 2686 2688 2690 2696 2698 2700 2705 2713 2717 2728 2741 2747 2756 2775 2780 2781 2782 2786 2809 2811 2830 2831 2834 2843 2849 2850 2852 2853 2854 2861 2876 2880 2882 2886 2888 2902 2907 2909 2916 2919 2924 2929 2948 2952 2975 2993 2999 3000 3002 3005 3008 3011 3012 3031 3042 3048 3050 3060 3067 3082 3083 3084 3087 3096 3098 3099 3112 3122 3127 3130 3132 3138 3141 3142 3146 3153 3164 3168 3170 3172 3173 3182 3188 3192 3201 3215 3216 3223 3225]\n# round=1000 of 10000 minW=506\n# step=1848 row=1306 minW=506 found cw of W=24: [389 390 419 425 450 457 1335 1346 1380 1382 1402 1411 1813 1817 1833 1849 1867 1879 2316 2322 2327 2331 2332 2334]\n#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</si>
  <si>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method: GurobiDist</t>
  </si>
  <si>
    <t>outfile: /home/ucapmwe/dist-benchmark/results/lifted_product-GurobiDist-20251224_094242.103675_85062422.txt</t>
  </si>
  <si>
    <t>method: MIPDist</t>
  </si>
  <si>
    <t>MIP_solver: SCIP</t>
  </si>
  <si>
    <t>outfile: /home/ucapmwe/dist-benchmark/results/lifted_product-MIPDist-SCIP-20251224_094242.120504_85062422.txt</t>
  </si>
  <si>
    <t>w:2; T:16ms; iterations:40</t>
  </si>
  <si>
    <t>w:4; T:2732ms; iterations:12162</t>
  </si>
  <si>
    <t>w:6; T:9494ms; iterations:45838</t>
  </si>
  <si>
    <t>w:8; T:128816ms; iterations:491192</t>
  </si>
  <si>
    <t>w:10; T:1122521ms; iterations:3991503</t>
  </si>
  <si>
    <t>w:12; T:14825788ms; iterations:40020963</t>
  </si>
  <si>
    <t>w:16; T:28800050ms; iterations:90143359</t>
  </si>
  <si>
    <t>w:16; T:28800092ms; iterations:62114176</t>
  </si>
  <si>
    <t>w:20; T:28800086ms; iterations:62442236</t>
  </si>
  <si>
    <t>w:24; T:28800059ms; iterations:62712827</t>
  </si>
  <si>
    <t>w:24; T:28800118ms; iterations:49765708</t>
  </si>
  <si>
    <t>w:24; T:28800145ms; iterations:31931159</t>
  </si>
  <si>
    <t>w:20; T:28800133ms; iterations:28370628</t>
  </si>
  <si>
    <t>w:34; T:28800156ms; iterations:31376969</t>
  </si>
  <si>
    <t>w:24; T:28800116ms; iterations:25549323</t>
  </si>
  <si>
    <t>w:44; T:28800182ms; iterations:28129805</t>
  </si>
  <si>
    <t>w:22; T:28800102ms; iterations:28765169</t>
  </si>
  <si>
    <t>w:56; T:28800137ms; iterations:35286111</t>
  </si>
  <si>
    <t>w:0; T:28800172ms; iterations:34569015</t>
  </si>
  <si>
    <t>method: QDistEvol</t>
  </si>
  <si>
    <t>method: QDistRndMW</t>
  </si>
  <si>
    <t>outfile: /home/ucapmwe/dist-benchmark/results/lifted_product-QDistRndMW-20251221_141019.557961_85062422.txt</t>
  </si>
  <si>
    <t>Trial:0 w:4; pErr:0.0000, weight 4 CW found:137</t>
  </si>
  <si>
    <t>Trial:0 w:6; pErr:0.0000, weight 6 CW found:960</t>
  </si>
  <si>
    <t>Trial:0 w:8; pErr:0.0000, weight 8 CW found:1362</t>
  </si>
  <si>
    <t>Trial:0 w:12; Trial:1 w:10; pErr:0.1192, weight 10 CW found:6281</t>
  </si>
  <si>
    <t>Trial:0 w:16; Trial:1 w:12; pErr:0.3073, weight 12 CW found:10393</t>
  </si>
  <si>
    <t>Trial:0 w:104; Trial:1 w:18; Trial:2 w:16; pErr:0.3647, weight 16 CW found:11855</t>
  </si>
  <si>
    <t>Trial:0 w:162; Trial:1 w:158; Trial:3 w:156; Trial:4 w:148; Trial:6 w:144; Trial:28 w:140; Trial:55 w:30; Trial:64 w:26; Trial:100 w:18; Trial:226 w:16; pErr:0.3674, weight 16 CW found:11810</t>
  </si>
  <si>
    <t>Trial:0 w:164; Trial:2 w:158; Trial:4 w:38; Trial:23 w:24; Trial:51 w:22; Trial:66 w:20; pErr:0.3679, weight 20 CW found:12166</t>
  </si>
  <si>
    <t>Trial:0 w:226; Trial:2 w:220; Trial:15 w:208; Trial:32 w:206; Trial:38 w:34; Trial:445 w:32; Trial:756 w:28; Trial:1884 w:26; Trial:7813 w:24; pErr:0.3679, weight 24 CW found:2656</t>
  </si>
  <si>
    <t>Trial:0 w:296; Trial:1 w:258; Trial:106 w:256; Trial:194 w:72; Trial:1600 w:36; Trial:1601 w:24; pErr:0.3679, weight 24 CW found:10025</t>
  </si>
  <si>
    <t>Trial:0 w:324; Trial:6 w:310; Trial:21 w:296; Trial:33 w:288; Trial:320 w:28; Trial:502 w:26; Trial:1879 w:22; Trial:5812 w:20; pErr:0.3679, weight 20 CW found:4958</t>
  </si>
  <si>
    <t>Trial:0 w:332; Trial:4 w:314; Trial:18 w:312; Trial:231 w:310; Trial:245 w:308; Trial:297 w:304; Trial:399 w:302; Trial:1035 w:20; pErr:0.3679, weight 20 CW found:10622</t>
  </si>
  <si>
    <t>Trial:0 w:342; Trial:5 w:340; Trial:7 w:338; Trial:8 w:328; Trial:30 w:312; Trial:146 w:306; Trial:759 w:304; Trial:3334 w:296; Trial:3841 w:294; Trial:4059 w:292; pErr:0.3679, weight 292 CW found:7015</t>
  </si>
  <si>
    <t>Trial:0 w:350; Trial:175 w:344; Trial:304 w:338; Trial:665 w:334; Trial:2492 w:22; pErr:0.3679, weight 22 CW found:8842</t>
  </si>
  <si>
    <t>Trial:0 w:412; Trial:1 w:402; Trial:12 w:400; Trial:30 w:398; Trial:63 w:382; Trial:65 w:360; Trial:2982 w:24; pErr:0.3679, weight 24 CW found:8284</t>
  </si>
  <si>
    <t>Trial:0 w:456; Trial:2 w:448; Trial:3 w:444; Trial:13 w:440; Trial:28 w:438; Trial:58 w:428; Trial:277 w:422; Trial:1416 w:412; Trial:2181 w:28; Trial:8611 w:22; pErr:0.3679, weight 22 CW found:1622</t>
  </si>
  <si>
    <t>Trial:0 w:478; Trial:8 w:476; Trial:28 w:468; Trial:36 w:454; Trial:745 w:450; Trial:1677 w:444; Trial:4767 w:24; pErr:0.3679, weight 24 CW found:6112</t>
  </si>
  <si>
    <t>Trial:0 w:540; Trial:2 w:532; Trial:18 w:516; Trial:200 w:510; Trial:1471 w:504; Trial:2214 w:494; Trial:3635 w:492; Trial:6766 w:490; Trial:7656 w:488; Trial:8651 w:24; pErr:0.3679, weight 24 CW found:1554</t>
  </si>
  <si>
    <t>method: UndetectableErrorStim</t>
  </si>
  <si>
    <t>outfile: /home/ucapmwe/dist-benchmark/results/lifted_product-UndetectableErrorStim-20251221_140933.572407_85062422.txt</t>
  </si>
  <si>
    <t>dont_explore_detection_event_sets_with_size_above=2,dont_explore_edges_with_degree_above=15; no lo found; dont_explore_detection_event_sets_with_size_above=3,dont_explore_edges_with_degree_above=15; Found w:2; dont_explore_detection_event_sets_with_size_above=4,dont_explore_edges_with_degree_above=15; Found w:2; Breaking - same result 2 times</t>
  </si>
  <si>
    <t>dont_explore_detection_event_sets_with_size_above=2,dont_explore_edges_with_degree_above=60; no lo found; dont_explore_detection_event_sets_with_size_above=3,dont_explore_edges_with_degree_above=60; Found w:4; dont_explore_detection_event_sets_with_size_above=4,dont_explore_edges_with_degree_above=60; Found w:4; Breaking - same result 2 times</t>
  </si>
  <si>
    <t>dont_explore_detection_event_sets_with_size_above=2,dont_explore_edges_with_degree_above=105; no lo found; dont_explore_detection_event_sets_with_size_above=3,dont_explore_edges_with_degree_above=105; Found w:8; dont_explore_detection_event_sets_with_size_above=4,dont_explore_edges_with_degree_above=105; Found w:6; dont_explore_detection_event_sets_with_size_above=5,dont_explore_edges_with_degree_above=105; Found w:6; Breaking - same result 2 times</t>
  </si>
  <si>
    <t>dont_explore_detection_event_sets_with_size_above=2,dont_explore_edges_with_degree_above=150; no lo found; dont_explore_detection_event_sets_with_size_above=3,dont_explore_edges_with_degree_above=150; Found w:10; dont_explore_detection_event_sets_with_size_above=4,dont_explore_edges_with_degree_above=150; Found w:8; dont_explore_detection_event_sets_with_size_above=5,dont_explore_edges_with_degree_above=150; Found w:8; Breaking - same result 2 times</t>
  </si>
  <si>
    <t>dont_explore_detection_event_sets_with_size_above=2,dont_explore_edges_with_degree_above=195; no lo found; dont_explore_detection_event_sets_with_size_above=3,dont_explore_edges_with_degree_above=195; no lo found; dont_explore_detection_event_sets_with_size_above=4,dont_explore_edges_with_degree_above=195; Found w:10; dont_explore_detection_event_sets_with_size_above=5,dont_explore_edges_with_degree_above=195; Found w:10; Breaking - same result 2 times</t>
  </si>
  <si>
    <t>dont_explore_detection_event_sets_with_size_above=2,dont_explore_edges_with_degree_above=240; no lo found; dont_explore_detection_event_sets_with_size_above=3,dont_explore_edges_with_degree_above=240; no lo found; dont_explore_detection_event_sets_with_size_above=4,dont_explore_edges_with_degree_above=240; no lo found; dont_explore_detection_event_sets_with_size_above=5,dont_explore_edges_with_degree_above=240; Found w:12; dont_explore_detection_event_sets_with_size_above=6,dont_explore_edges_with_degree_above=240; Found w:12; Breaking - same result 2 times</t>
  </si>
  <si>
    <t>dont_explore_detection_event_sets_with_size_above=2,dont_explore_edges_with_degree_above=315; no lo found; dont_explore_detection_event_sets_with_size_above=3,dont_explore_edges_with_degree_above=315; no lo found; dont_explore_detection_event_sets_with_size_above=4,dont_explore_edges_with_degree_above=315; no lo found; dont_explore_detection_event_sets_with_size_above=5,dont_explore_edges_with_degree_above=315; Found w:16; dont_explore_detection_event_sets_with_size_above=6,dont_explore_edges_with_degree_above=315; Found w:16; Breaking - same result 2 times</t>
  </si>
  <si>
    <t>dont_explore_detection_event_sets_with_size_above=2,dont_explore_edges_with_degree_above=450; no lo found; dont_explore_detection_event_sets_with_size_above=3,dont_explore_edges_with_degree_above=450; no lo found; dont_explore_detection_event_sets_with_size_above=4,dont_explore_edges_with_degree_above=450; no lo found; dont_explore_detection_event_sets_with_size_above=5,dont_explore_edges_with_degree_above=450; Found w:18; dont_explore_detection_event_sets_with_size_above=6,dont_explore_edges_with_degree_above=450; Found w:16; dont_explore_detection_event_sets_with_size_above=7,dont_explore_edges_with_degree_above=450; Found w:16; Breaking - same result 2 times</t>
  </si>
  <si>
    <t>dont_explore_detection_event_sets_with_size_above=2,dont_explore_edges_with_degree_above=465; no lo found; dont_explore_detection_event_sets_with_size_above=3,dont_explore_edges_with_degree_above=465; no lo found; dont_explore_detection_event_sets_with_size_above=4,dont_explore_edges_with_degree_above=465; no lo found; dont_explore_detection_event_sets_with_size_above=5,dont_explore_edges_with_degree_above=465; Found w:20; dont_explore_detection_event_sets_with_size_above=6,dont_explore_edges_with_degree_above=465; Found w:20; Breaking - same result 2 times</t>
  </si>
  <si>
    <t>Magma V2.28-26    Thu Jan  8 2026 21:28:39 on Marks-MacBook-Air-2 [Seed = \n825784681]\nType ? for help.  Type &lt;Ctrl&gt;-D to quit.\n[1 0 0 0 0 0 0 0 0 0 0 0 0 0 0 0 0 0 0 0 0 0 0 0 0 0 0 0 0 0 0 0 0 0 0 0 0 0 0 0\n    0 0 0 0 0 0 0 0 0 0 0 0 0 0 0 0 0 0 0 0</t>
  </si>
  <si>
    <t xml:space="preserve">Magma V2.28-26    Thu Jan  8 2026 21:29:01 on Marks-MacBook-Air-2 [Seed = \n3435496591]\nType ? for help.  Type &lt;Ctrl&gt;-D to quit.\n[0 0 0 0 0 0 0 0 0 0 0 0 0 0 0 0 0 0 0 0 0 0 0 0 0 0 0 0 0 0 0 0 0 0 0 0 0 0 0 0\n    0 0 0 0 0 0 0 0 0 0 0 0 0 0 0 0 0 0 0 </t>
  </si>
  <si>
    <t xml:space="preserve">Magma V2.28-26    Fri Jan  9 2026 05:28:41 on Marks-MacBook-Air-2 [Seed = \n3065990444]\nType ? for help.  Type &lt;Ctrl&gt;-D to quit.\n[0 0 0 0 0 0 0 0 0 0 0 0 0 0 0 0 0 0 0 0 0 0 0 0 0 0 0 0 0 0 1 0 0 0 0 0 0 0 0 0\n    0 0 0 0 0 0 0 0 0 0 0 0 0 0 0 0 0 0 0 </t>
  </si>
  <si>
    <t xml:space="preserve">Magma V2.28-26    Fri Jan  9 2026 05:29:05 on Marks-MacBook-Air-2 [Seed = \n3621661797]\nType ? for help.  Type &lt;Ctrl&gt;-D to quit.\n[0 0 0 0 0 0 0 0 0 0 0 0 0 0 0 0 0 0 0 0 0 0 0 0 0 0 0 0 0 0 0 0 0 0 0 0 0 0 0 0\n    0 0 0 0 0 0 0 0 0 0 0 0 0 0 0 0 0 0 0 </t>
  </si>
  <si>
    <t xml:space="preserve">Magma V2.28-26    Fri Jan  9 2026 13:28:43 on Marks-MacBook-Air-2 [Seed = \n3688083715]\nType ? for help.  Type &lt;Ctrl&gt;-D to quit.\n[1 0 0 0 0 0 0 0 0 0 0 0 0 0 0 0 0 0 0 0 0 0 0 0 0 0 0 0 0 0 0 0 0 0 0 0 0 0 0 0\n    0 0 0 0 0 0 0 0 0 0 0 0 0 0 0 0 0 0 0 </t>
  </si>
  <si>
    <t xml:space="preserve">Magma V2.28-26    Fri Jan  9 2026 13:29:13 on Marks-MacBook-Air-2 [Seed = \n4059667208]\nType ? for help.  Type &lt;Ctrl&gt;-D to quit.\n[0 0 0 0 0 0 0 0 0 0 0 0 0 0 0 0 0 0 0 0 0 0 0 0 0 0 0 0 0 0 0 0 0 0 0 0 0 0 0 0\n    0 0 0 0 0 0 0 0 0 0 0 0 0 1 0 0 0 0 0 </t>
  </si>
  <si>
    <t>Magma V2.28-26    Fri Jan  9 2026 21:28:47 on Marks-MacBook-Air-2 [Seed = \n926886958]\nType ? for help.  Type &lt;Ctrl&gt;-D to quit.\n[0 0 0 0 0 0 0 0 0 0 0 0 0 0 0 0 0 0 0 0 0 0 0 0 0 0 0 0 0 1 0 0 0 0 0 0 0 0 0 0\n    0 0 0 0 0 0 0 0 0 0 0 0 0 0 0 0 0 0 0 0</t>
  </si>
  <si>
    <t>nMax completed</t>
  </si>
  <si>
    <t xml:space="preserve">Magma V2.28-26    Sat Jan 10 2026 10:41:14 on Marks-MacBook-Air-2 [Seed = \n2829315385]\nType ? for help.  Type &lt;Ctrl&gt;-D to quit.\n[0 0 0 0 0 0 0 0 0 0 0 0 0 0 0 0 0 0 0 0 0 0 0 0 0 0 0 0 0 0 0 0 0 0 0 0 0 0 0 0\n    0 0 0 0 0 0 0 0 0 0 0 0 0 0 0 0 1 0 0 </t>
  </si>
  <si>
    <t xml:space="preserve">Magma V2.28-26    Sat Jan 10 2026 18:41:19 on Marks-MacBook-Air-2 [Seed = \n3857584559]\nType ? for help.  Type &lt;Ctrl&gt;-D to quit.\n[0 0 0 0 0 0 0 0 0 0 0 0 0 0 0 0 0 0 0 0 0 0 0 0 0 0 0 0 0 0 0 0 0 0 0 0 0 0 0 0\n    0 0 0 0 0 0 0 0 0 0 0 0 0 0 0 0 0 0 1 </t>
  </si>
  <si>
    <t>Exact Method Check</t>
  </si>
  <si>
    <t>Magma V2.28-26    Thu Jan 22 2026 02:48:32 on Marks-MacBook-Air-2 [Seed = \n3924889733]\nType ? for help.  Type &lt;Ctrl&gt;-D to quit.\n[[2720, 336]] quantum code over GF(2^2), stabilised by:\nQuantum GF(2)-Additive code over GF(4) of length 2720 with 3056 generators.\nLower Bound: 1, Upper Bound: 1193\nConstructed 2 distinct generator matrices\nTotal Ranks:    1544 1541 \nRelative Ranks: 1544 1176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2 4 4 4 4 4 4 4 4 4 \n4 4 4 4 4 4 4 4 4 4 4 4 4 4 4 4 4 4 4 4 4 4 4 4 4 4 4 4 4 4 4 4 4 4 4 4 4 4 4 4 \n4 4 4 4 4 4 4 4 4 4 4 4 4 4 4 4 4 4 4 4 4 4 4 4 4 4 4 4 4 4 4 4 4 4 4 4 4 2 4 4 \n4 2 4 4 4 4 4 4 4 4 4 4 4 2 4 4 4 4 4 4 4 4 4 4 4 4 4 4 4 4 4 4 4 4 4 4 4 4 4 4 \n4 2 4 4 4 4 2 4 4 4 4 4 4 4 4 2 4 2 4 4 4 4 4 4 4 4 4 4 4 4 4 4 4 4 4 4 4 4 4 4 \n4 4 4 4 4 4 4 4 4 4 4 4 4 4 4 4 4 4 4 4 4 4 4 4 4 4 4 4 4 4 4 4 4 4 4 4 4 4 4 4 \n4 4 4 2 4 4 4 4 4 4 4 4 4 4 2 4 4 4 4 4 4 4 2 4 4 4 4 4 4 4 4 4 4 4 4 4 4 4 4 4 \n4 4 4 4 4 4 4 4 4 4 4 4 4 4 4 4 4 2 4 4 4 4 4 4 4 4 4 4 4 4 4 4 4 4 4 4 4 4 4 4 \n4 2 4 4 4 4 4 4 4 4 4 4 4 2 4 4 2 2 4 4 4 4 4 4 4 4 4 4 4 4 4 4 4 4 4 4 4 4 4 4 \n4 4 4 4 4 4 4 4 4 2 2 4 4 4 4 4 4 4 4 4 4 4 4 4 4 4 4 4 4 4 2 4 4 4 4 4 4 4 4 4 \n4 4 4 4 2 4 4 4 4 4 4 4 4 4 4 4 4 4 4 4 4 4 4 4 4 4 4 4 4 4 4 4 4 4 4 4 4 4 4 4 \n4 4 4 4 4 4 4 4 2 4 4 4 4 4 4 4 2 4 4 4 4 4 4 4 4 4 4 2 4 4 4 4 4 2 4 4 2 4 4 4 \n4 4 4 4 4 4 2 4 4 4 2 4 4 4 4 4 4 2 2 4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2 4 4 4 4 4 4 4 4 4 4 4 4 4 4 4 4 4 4 \n4 4 4 4 4 4 4 4 4 4 4 4 4 4 4 4 4 4 4 4 4 4 4 4 4 4 4 4 4 4 4 4 4 4 4 4 4 4 4 4 \n4 4 4 4 4 4 4 4 4 4 4 4 4 4 4 4 4 4 4 4 4 4 4 4 4 4 4 4 4 4 4 4 4 4 2 4 4 4 4 4 \n4 4 4 4 4 4 4 4 4 4 4 4 2 4 4 4 4 4 4 4 4 2 4 4 4 4 4 4 4 4 4 4 4 4 4 2 4 4 4 4 \n4 4 4 4 2 4 4 4 4 4 2 4 4 4 4 4 2 4 4 4 4 4 4 4 4 4 4 4 4 4 4 4 4 4 4 4 4 4 4 4 \n4 2 4 4 4 4 4 4 4 2 4 4 4 4 4 4 4 4 4 4 4 4 4 4 4 4 4 4 4 4 4 4 4 4 2 4 2 4 4 4 \n4 4 4 4 4 4 4 4 4 4 4 4 4 2 4 4 4 4 4 4 4 4 4 4 4 4 4 4 4 4 4 4 4 4 4 4 4 4 4 4 \n4 4 4 4 4 4 4 4 4 4 4 4 4 4 4 4 4 4 4 4 4 4 4 2 4 4 4 4 4 4 4 4 4 4 4 4 4 4 4 4 \n2 4 4 4 4 4 4 4 4 4 4 4 4 4 4 4 4 4 4 4 4 4 4 4 4 4 4 4 4 4 4 4 2 4 4 4 4 4 2 4 \n4 4 4 4 4 2 4 4 2 4 4 4 4 2 2 4 2 2 2 2 2 )\nTime Taken: 1253.49\nStarting search for low weight codewords... (reset timings)\nEnumerating using 1 generator at a time:\n     New codeword identified of weight 554, time 0.00\n     New codeword identified of weight 528, time 0.00\n     New codeword identified of weight 516, time 0.00\n     Impurity detected of weight 8, time 0.00\n     New codeword identified of weight 492, time 0.00\n     New codeword identified of weight 490, time 0.00\n     New codeword identified of weight 470, time 0.00\n     New codeword identified of weight 458, time 0.00\n     New codeword identified of weight 436, time 0.01\n   Completed Matrix  1:  lower =  2, upper = 436. Elapsed: 0.01s\n   Completed Matrix  2:  lower =  2, upper = 436. Elapsed: 0.02s\nTermination predicted with 400 generators at matrix 1\nEnumerating using 2 generators at a time:\n     New codeword identified of weight 434, time 0.02\n     New codeword identified of weight 432, time 0.12\n     New codeword identified of weight 430, time 0.15\n     New codeword identified of weight 428, time 0.19\n     New codeword identified of weight 414, time 0.21\n   Completed Matrix  1:  lower =  3, upper = 414. Elapsed: 1.10s\n   Completed Matrix  2:  lower =  3, upper = 414. Elapsed: 2.11s\nTermination predicted at 10^inf s (10^infy) with 389 generators at matrix 1\nEnumerating using 3 generators at a time:\n     New codeword identified of weight 404, time 6.10\n     New codeword identified of weight 396, time 51.11\n     New codeword identified of weight 394, time 171.35\n     New codeword identified of weight 388, time 264.43\n   Completed Matrix  1:  lower =  4, upper = 388. Elapsed: 1157.46s\n     New codeword identified of weight 386, time 1357.23\n   Completed Matrix  2:  lower =  4, upper = 386. Elapsed: 2313.36s\nTermination predicted at 10^inf s (10^infy) with 375 generators at matrix 1\nEnumerating using 4 generators at a time:\n     New codeword identified of weight 372, time 2819.86\n</t>
  </si>
  <si>
    <t>Magma V2.28-26    Thu Jan 22 2026 11:41:57 on eduroam-int-dhcp-97-188-193 [Seed \n= 135490560]\nType ? for help.  Type &lt;Ctrl&gt;-D to quit.\n[[2890, 356]] quantum code over GF(2^2), stabilised by:\nQuantum GF(2)-Additive code over GF(4) of length 2890 with 3246 generators.\nLower Bound: 1, Upper Bound: 1268\nConstructed 2 distinct generator matrices\nTotal Ranks:    1638 1632 \nRelative Ranks: 1638 1252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2 4 4 4 4 4 4 4 4 4 4 4 4 4 4 \n4 4 4 4 4 4 4 4 4 4 4 4 4 4 4 4 4 4 4 4 4 4 4 4 4 4 4 4 4 4 4 4 4 4 4 4 4 4 4 4 \n4 4 4 4 4 4 4 4 4 4 4 4 2 4 4 4 4 4 4 4 4 4 4 4 4 4 4 4 4 4 4 4 4 4 4 4 4 4 4 4 \n4 4 4 4 4 4 4 4 4 4 4 4 4 4 4 4 4 4 4 4 4 4 4 4 4 4 4 4 4 4 4 4 4 4 4 4 4 4 4 4 \n4 4 4 4 4 4 4 4 4 4 4 4 4 4 4 4 4 4 2 4 4 4 4 4 4 4 2 4 4 4 4 4 4 4 4 4 4 4 4 4 \n4 4 4 4 4 4 4 4 4 4 4 4 4 4 4 2 4 4 4 4 4 4 4 4 4 4 4 4 4 4 4 4 4 4 4 4 2 4 4 4 \n4 4 4 4 2 4 4 4 4 4 4 4 4 4 4 4 4 4 4 4 4 4 4 4 4 4 4 4 4 4 4 4 4 4 4 4 2 4 4 4 \n4 4 4 4 4 4 4 4 4 4 4 4 4 4 4 4 4 2 4 4 4 4 4 4 4 4 4 4 4 2 4 4 4 4 4 4 4 4 4 4 \n2 4 4 4 4 4 4 4 4 4 4 4 4 4 4 4 4 4 4 4 4 4 4 4 4 4 4 4 4 4 4 4 4 4 2 4 4 4 4 4 \n4 4 4 4 4 4 4 4 2 4 4 4 4 4 4 4 4 4 4 2 4 4 4 4 4 4 4 4 4 4 4 4 4 4 4 4 4 4 4 4 \n4 2 4 2 4 4 4 4 4 4 4 4 4 4 4 4 4 4 4 4 4 4 4 4 4 4 4 4 4 4 4 4 4 4 4 4 4 4 4 4 \n4 4 4 4 4 4 4 4 4 4 4 4 4 4 4 4 4 4 4 4 4 4 4 4 4 4 4 4 4 4 4 4 4 4 4 4 2 4 4 4 \n4 4 2 4 4 4 4 4 4 4 4 4 4 2 4 4 2 4 4 4 4 4 4 4 4 4 4 4 4 4 4 4 4 4 4 4 4 4 4 4 \n4 4 4 4 4 4 4 4 4 4 4 4 4 4 4 4 4 2 4 4 4 4 4 4 2 4 4 4 2 2 4 2 4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2 4 4 4 4 4 4 4 4 4 4 4 4 4 4 4 4 4 4 4 4 4 4 4 4 4 4 4 4 \n4 4 4 4 4 4 4 4 4 4 4 4 4 4 4 4 4 4 4 4 4 4 2 4 4 4 4 4 4 4 4 4 4 4 4 4 4 4 4 4 \n4 4 4 4 4 4 4 4 4 4 4 4 4 4 4 4 4 4 4 4 4 4 4 2 4 4 4 2 4 4 4 4 4 4 4 4 4 4 4 4 \n4 4 2 4 4 2 4 4 4 4 4 4 4 4 4 4 4 4 4 4 4 4 4 4 4 4 4 4 4 4 4 4 4 4 4 4 4 4 4 4 \n4 4 4 4 4 4 4 4 4 4 4 4 4 4 4 4 4 4 2 4 4 4 4 4 4 4 4 2 4 4 4 4 4 4 4 4 4 4 4 4 \n4 4 4 2 4 4 4 4 4 4 4 4 4 4 4 2 4 4 4 4 2 4 4 4 4 4 4 4 4 4 4 4 4 4 4 4 4 4 4 4 \n4 4 4 4 4 4 4 4 2 4 4 4 4 4 4 4 4 2 4 4 4 4 4 4 2 2 4 4 4 2 2 2 )\nTime Taken: 1794.38\nStarting search for low weight codewords... (reset timings)\nEnumerating using 1 generator at a time:\n     New codeword identified of weight 598, time 0.00\n     New codeword identified of weight 538, time 0.00\n     New codeword identified of weight 536, time 0.00\n     New codeword identified of weight 496, time 0.00\n     Impurity detected of weight 8, time 0.00\n     New codeword identified of weight 494, time 0.00\n     New codeword identified of weight 490, time 0.00\n     New codeword identified of weight 488, time 0.01\n     New codeword identified of weight 472, time 0.01\n   Completed Matrix  1:  lower =  2, upper = 472. Elapsed: 0.01s\n   Completed Matrix  2:  lower =  2, upper = 472. Elapsed: 0.04s\nTermination predicted with 425 generators at matrix 2\nEnumerating using 2 generators at a time:\n     New codeword identified of weight 470, time 0.07\n     New codeword identified of weight 462, time 0.14\n     New codeword identified of weight 452, time 0.52\n     New codeword identified of weight 440, time 0.70\n   Completed Matrix  1:  lower =  3, upper = 440. Elapsed: 1.53s\n   Completed Matrix  2:  lower =  3, upper = 440. Elapsed: 3.03s\nTermination predicted at 10^inf s (10^infy) with 409 generators at matrix 2\nEnumerating using 3 generators at a time:\n     New codeword identified of weight 436, time 135.27\n     New codeword identified of weight 434, time 135.49\n     New codeword identified of weight 430, time 452.43\n     New codeword identified of weight 428, time 1524.53\n     New codeword identified of weight 426, time 1923.24\n   Completed Matrix  1:  lower =  4, upper = 426. Elapsed: 2066.35s\n   Completed Matrix  2:  lower =  4, upper = 426. Elapsed: 3984.46s\nTermination predicted at 10^inf s (10^infy) with 402 generators at matrix 2\nEnumerating using 4 generators at a time:\n     New codeword identified of weight 424, time 6611.82\n     New codeword identified of weight 422, time 11833.84\n     New codeword identified of weight 420, time 15498.02\n     New codeword identified of weight 418, time 17182.86\n</t>
  </si>
  <si>
    <t>Magma V2.28-26    Thu Jan 22 2026 20:35:10 on Marks-MacBook-Air-2 [Seed = \n3470077595]\nType ? for help.  Type &lt;Ctrl&gt;-D to quit.\n[[3230, 396]] quantum code over GF(2^2), stabilised by:\nQuantum GF(2)-Additive code over GF(4) of length 3230 with 3626 generators.\nLower Bound: 1, Upper Bound: 1418\nConstructed 2 distinct generator matrices\nTotal Ranks:    1829 1831 \nRelative Ranks: 1829 1401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2 4 4 4 4 4 4 4 4 4 4 4 4 4 4 4 4 4 4 4 4 4 4 4 4 4 4 4 4 4 4 4 \n4 4 4 4 4 4 4 2 4 4 4 4 4 4 4 4 4 4 4 4 4 4 4 4 4 4 4 4 4 4 4 4 4 4 4 4 4 4 4 4 \n4 4 4 4 4 4 4 4 4 4 4 4 4 4 4 4 4 4 4 4 4 4 4 4 4 4 4 4 4 4 4 4 4 4 4 4 2 4 4 4 \n4 4 4 4 4 4 4 4 4 4 4 4 4 4 4 4 4 4 4 4 4 4 4 4 4 4 4 4 4 4 4 4 4 4 4 4 4 4 4 4 \n4 4 4 4 4 4 4 4 4 2 4 4 4 4 4 4 4 4 4 4 4 4 4 4 4 4 4 4 4 4 2 4 4 4 4 4 4 4 4 4 \n4 4 4 4 4 4 4 4 4 4 4 4 4 4 4 4 4 4 4 4 4 4 4 4 4 4 4 4 4 4 4 4 4 2 4 4 4 4 4 4 \n4 4 4 4 4 4 4 4 4 4 4 4 4 4 4 4 4 4 4 4 4 4 4 4 4 4 4 4 4 4 4 4 4 4 4 4 4 4 4 4 \n4 4 2 4 4 4 4 4 4 4 4 4 4 4 4 4 2 4 4 4 4 4 4 4 4 4 4 4 4 4 4 4 4 4 4 4 4 4 4 4 \n4 4 4 4 4 4 4 4 4 4 4 4 4 4 4 4 4 4 4 4 4 4 4 4 4 4 4 2 4 4 4 4 4 4 4 4 4 4 4 4 \n2 4 4 4 4 4 4 4 4 4 4 2 2 4 4 4 4 4 4 4 4 4 4 4 4 4 4 4 4 4 4 4 4 4 4 2 4 2 4 4 \n4 4 4 4 4 4 4 4 4 2 4 2 2 4 4 4 4 4 4 4 4 4 4 4 4 4 4 4 4 4 4 4 4 4 2 4 2 4 4 2 \n4 4 4 4 4 4 4 4 4 4 4 4 2 4 4 4 4 4 4 4 4 4 4 4 4 4 4 4 4 4 4 4 4 4 4 4 4 4 4 4 \n4 4 2 4 2 4 4 4 4 4 2 4 4 4 4 2 4 4 2 4 4 4 4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2 4 4 4 4 4 4 4 4 4 4 4 4 2 4 4 4 4 4 4 4 4 4 4 4 4 4 4 4 2 4 4 4 4 4 4 \n4 4 4 4 4 4 4 4 4 4 4 4 4 4 4 4 4 4 4 4 4 4 4 4 4 4 4 4 4 4 4 4 4 4 4 4 4 4 4 4 \n4 4 4 4 4 4 4 4 4 4 4 4 4 4 2 4 4 4 4 4 4 4 4 4 4 4 4 4 4 4 4 4 4 4 4 4 4 4 4 4 \n4 4 4 4 2 4 4 4 4 4 4 4 4 4 4 4 4 4 4 4 4 2 4 4 4 4 4 4 4 4 4 4 4 4 4 4 4 4 4 4 \n4 4 4 4 4 4 4 4 4 4 4 4 2 4 4 4 4 4 4 4 4 4 4 4 4 4 4 4 4 4 4 4 4 4 4 4 4 4 4 4 \n4 4 4 4 2 4 4 2 4 4 4 4 4 4 2 2 4 4 4 4 4 4 4 4 4 4 4 4 2 4 4 4 2 4 4 4 4 4 4 4 \n4 4 4 4 4 4 4 4 4 4 4 4 4 4 4 2 4 4 4 4 4 4 4 4 4 4 4 4 4 4 4 4 4 4 4 2 4 4 4 4 \n4 4 4 4 4 4 4 4 4 4 4 4 4 4 4 4 4 4 4 4 4 2 4 4 4 4 4 4 4 4 2 2 4 2 4 4 4 4 4 4 \n2 4 4 4 4 4 4 2 4 4 4 4 4 4 4 4 4 4 4 4 4 4 4 4 4 4 4 4 2 4 4 4 4 2 4 4 4 2 4 4 \n4 2 4 4 4 4 4 2 4 4 4 4 4 4 4 4 4 4 4 2 4 4 4 4 4 4 4 2 4 4 4 4 4 4 4 4 4 4 4 4 \n2 4 4 4 4 4 4 4 4 4 4 4 4 4 2 4 4 4 4 4 4 4 4 4 4 2 2 2 2 2 2 )\nTime Taken: 2999.05\nStarting search for low weight codewords... (reset timings)\nEnumerating using 1 generator at a time:\n     New codeword identified of weight 686, time 0.00\n     New codeword identified of weight 670, time 0.00\n     New codeword identified of weight 626, time 0.00\n     Impurity detected of weight 8, time 0.00\n     New codeword identified of weight 600, time 0.00\n     New codeword identified of weight 598, time 0.00\n     New codeword identified of weight 594, time 0.00\n     New codeword identified of weight 570, time 0.00\n     New codeword identified of weight 568, time 0.00\n     New codeword identified of weight 562, time 0.02\n   Completed Matrix  1:  lower =  2, upper = 562. Elapsed: 0.02s\n     New codeword identified of weight 534, time 0.04\n   Completed Matrix  2:  lower =  2, upper = 534. Elapsed: 0.05s\nTermination predicted with 481 generators at matrix 2\nEnumerating using 2 generators at a time:\n     New codeword identified of weight 532, time 0.30\n     New codeword identified of weight 522, time 0.34\n     New codeword identified of weight 520, time 0.40\n     New codeword identified of weight 516, time 1.13\n   Completed Matrix  1:  lower =  3, upper = 516. Elapsed: 2.28s\n     New codeword identified of weight 514, time 3.29\n     New codeword identified of weight 504, time 4.17\n   Completed Matrix  2:  lower =  3, upper = 504. Elapsed: 4.42s\nTermination predicted at 10^inf s (10^infy) with 466 generators at matrix 2\nEnumerating using 3 generators at a time:\n     New codeword identified of weight 500, time 21.71\n     New codeword identified of weight 492, time 128.73\n     New codeword identified of weight 480, time 2544.13\n   Completed Matrix  1:  lower =  4, upper = 480. Elapsed: 2654.41s\n   Completed Matrix  2:  lower =  4, upper = 480. Elapsed: 5291.01s\nTermination predicted at 10^inf s (10^infy) with 454 generators at matrix 2\nEnumerating using 4 generators at a time:\n</t>
  </si>
  <si>
    <t>dMinSum</t>
  </si>
  <si>
    <t>Avg Delta d</t>
  </si>
  <si>
    <t>Exact - Processing Time/Succ Trial</t>
  </si>
  <si>
    <t>Heuristic - Processing Time/Succ Trial</t>
  </si>
  <si>
    <t>Heuristic - Success Rate per Trial</t>
  </si>
  <si>
    <t>Heuristic - Average Delta d</t>
  </si>
  <si>
    <t>Processing Time/Successful Trial</t>
  </si>
  <si>
    <t>Success Rate</t>
  </si>
  <si>
    <t>nMin: 1</t>
  </si>
  <si>
    <t>nMax: 2000</t>
  </si>
  <si>
    <t>GF4blockRep: 2</t>
  </si>
  <si>
    <t>regroupPerm: 1</t>
  </si>
  <si>
    <t>sMut: 0.2</t>
  </si>
  <si>
    <t>tabuLength: 0</t>
  </si>
  <si>
    <t>swapPivot: 1</t>
  </si>
  <si>
    <t>swapBlockorder: 0</t>
  </si>
  <si>
    <t>Gen:0 Trial:0 w:2; pErr:0.0000, weight 2 CW found:59, wDict:2:10000</t>
  </si>
  <si>
    <t>nMin: 2000</t>
  </si>
  <si>
    <t>nMax: 2400</t>
  </si>
  <si>
    <t>nMin: 2400</t>
  </si>
  <si>
    <t>nMax: 3000</t>
  </si>
  <si>
    <t>nMin: 3000</t>
  </si>
  <si>
    <t>nMax: 100000</t>
  </si>
  <si>
    <t>nMin: 2800</t>
  </si>
  <si>
    <t>LOCheck: 0</t>
  </si>
  <si>
    <t>pMutScale: 50</t>
  </si>
  <si>
    <t>outfile: /home/ucapmwe/dist-benchmark/results/lifted_product-QDistEvol-20260220_184925.010602_85062422.txt</t>
  </si>
  <si>
    <t>Gen:0 Trial:0 w:488; Trial:1 w:468; Trial:29 w:462; Gen:1 Trial:100 w:456; Gen:2 Trial:261 w:436; Gen:14 Trial:1402 w:428; Gen:15 Trial:1542 w:414; Gen:17 Trial:1724 w:24; pErr:0.1994, weight 24 CW found:5657, wDict:24:3432,30:57,34:4,408:2,412:1,414:2,416:1,418:1,420:2,422:5,424:9,426:12,428:11,430:12,432:24,434:23,436:46,438:55,440:75,442:84,444:127,446:162,448:182,450:197,452:274,454:288,456:360,458:362,460:427,462:466,464:439,466:437,468:439,470:347,472:312,474:250,476:226,478:181,480:148,482:115,484:82,486:73,488:51,490:51,492:35,494:35,496:19,498:18,500:12,502:12,504:6,506:3,508:4,510:2</t>
  </si>
  <si>
    <t>nMax: 2800</t>
  </si>
  <si>
    <t>outfile: /home/ucapmwe/dist-benchmark/results/lifted_product-QDistEvol-20260220_184925.010615_85062422.txt</t>
  </si>
  <si>
    <t>Gen:0 Trial:0 w:422; Trial:1 w:416; Trial:2 w:410; Trial:5 w:408; Trial:18 w:396; Gen:1 Trial:111 w:390; Gen:2 Trial:200 w:384; Trial:206 w:380; Trial:242 w:364; Gen:11 Trial:1156 w:360; Gen:15 Trial:1599 w:358; Gen:27 Trial:2718 w:356; Gen:29 Trial:2988 w:354; Gen:39 Trial:3957 w:344; Trial:3958 w:324; Gen:61 Trial:6121 w:24; pErr:0.2186, weight 24 CW found:2819, wDict:24:1448,30:37,34:1,84:1,324:1,338:1,342:1,344:1,346:2,348:1,350:2,352:3,354:7,356:8,358:8,360:8,362:17,364:36,366:34,368:62,370:73,372:74,374:107,376:144,378:203,380:220,382:269,384:349,386:431,388:458,390:510,392:594,394:624,396:609,398:609,400:574,402:541,404:439,406:346,408:324,410:230,412:187,414:132,416:89,418:69,420:43,422:21,424:16,426:15,428:11,430:6,432:1,436:2,440:1</t>
  </si>
  <si>
    <t>Gen:0 Trial:0 w:452; Trial:4 w:442; Trial:11 w:428; Gen:2 Trial:223 w:416; Gen:6 Trial:626 w:414; Trial:674 w:410; Gen:8 Trial:860 w:408; Gen:9 Trial:975 w:402; Gen:12 Trial:1206 w:386; Gen:20 Trial:2019 w:28; Gen:22 Trial:2203 w:22; pErr:0.1963, weight 22 CW found:5295, wDict:22:3246,24:5,28:85,32:18,34:8,64:1,68:1,82:1,84:1,110:2,342:1,380:1,382:1,386:1,388:1,390:4,392:2,394:7,396:10,398:6,400:14,402:16,404:18,406:33,408:31,410:47,412:90,414:109,416:122,418:137,420:198,422:222,424:295,426:333,428:368,430:444,432:450,434:457,436:454,438:420,440:435,442:391,444:348,446:259,448:193,450:178,452:118,454:108,456:65,458:71,460:36,462:35,464:36,466:25,468:19,470:4,472:4,474:6,476:6,478:1,482:2</t>
  </si>
  <si>
    <t>outfile: /home/ucapmwe/dist-benchmark/results/lifted_product-QDistEvol-20260220_184925.010689_85062422.txt</t>
  </si>
  <si>
    <t>Gen:0 Trial:0 w:344; Trial:2 w:328; Trial:36 w:322; Trial:45 w:320; Trial:50 w:314; Trial:58 w:300; Gen:3 Trial:321 w:292; Trial:356 w:22; Gen:6 Trial:607 w:20; pErr:0.1591, weight 20 CW found:5591, wDict:20:4338,22:118,24:4,26:61,28:18,30:37,32:25,34:28,36:46,38:50,40:73,42:98,44:120,46:184,48:232,50:238,52:282,54:301,56:283,58:251,60:212,62:148,64:137,66:115,68:94,70:58,72:45,74:35,76:20,78:22,80:14,82:9,84:17,86:8,88:3,96:3,98:1,100:1,104:1,106:1,276:2,278:1,280:1,282:4,284:3,286:7,288:8,290:11,292:14,294:28,296:40,298:42,300:53,302:71,304:78,306:93,308:108,310:125,312:126,314:138,316:156,318:130,320:147,322:124,324:122,326:111,328:80,330:102,332:77,334:67,336:57,338:50,340:35,342:23,344:16,346:6,348:9,350:2,352:2</t>
  </si>
  <si>
    <t>Gen:0 Trial:0 w:360; Trial:1 w:342; Trial:2 w:340; Trial:5 w:334; Trial:12 w:324; Trial:32 w:322; Trial:88 w:320; Gen:1 Trial:154 w:310; Trial:158 w:296; Gen:3 Trial:352 w:294; Gen:5 Trial:503 w:290; Gen:7 Trial:797 w:286; Gen:20 Trial:2020 w:64; Gen:21 Trial:2101 w:50; Trial:2198 w:24; pErr:0.2182, weight 24 CW found:5683, wDict:24:2900,30:59,34:7,36:6,38:1,40:7,42:11,44:2,46:1,48:8,50:9,52:23,54:10,56:26,58:21,60:22,62:15,64:8,66:19,68:22,70:18,72:8,74:7,76:9,78:8,80:5,82:5,84:3,86:7,88:4,90:1,94:1,274:1,276:1,278:1,280:2,282:3,284:7,286:10,288:9,290:18,292:14,294:35,296:39,298:49,300:64,302:106,304:130,306:161,308:220,310:265,312:341,314:375,316:447,318:518,320:548,322:521,324:516,326:506,328:451,330:328,332:291,334:215,336:148,338:117,340:97,342:52,344:50,346:26,348:20,350:10,352:15,354:7,356:6,358:3,360:1,362:1,364:1,366:1</t>
  </si>
  <si>
    <t>Gen:0 Trial:0 w:374; Trial:12 w:372; Trial:16 w:370; Trial:17 w:366; Trial:72 w:358; Trial:86 w:348; Gen:1 Trial:116 w:338; Gen:4 Trial:434 w:336; Gen:7 Trial:746 w:334; Gen:9 Trial:937 w:332; Trial:945 w:328; Trial:962 w:326; Trial:993 w:48; Gen:15 Trial:1575 w:42; Gen:18 Trial:1844 w:38; Gen:23 Trial:2356 w:28; Gen:26 Trial:2612 w:22; pErr:0.1859, weight 22 CW found:4870, wDict:22:3246,24:1,26:2,28:89,30:1,32:3,34:4,38:108,42:3,44:3,46:10,48:96,50:3,52:6,54:9,56:3,58:4,60:6,62:9,64:5,66:10,68:8,70:7,72:6,74:4,76:13,78:9,80:7,82:9,84:5,86:4,88:4,90:1,92:1,94:2,96:3,98:1,100:2,114:1,308:2,310:1,314:1,316:1,318:1,320:4,322:4,324:9,326:13,328:19,330:20,332:27,334:48,336:66,338:96,340:110,342:145,344:158,346:193,348:277,350:316,352:350,354:378,356:453,358:434,360:433,362:382,364:376,366:377,368:324,370:280,372:215,374:214,376:186,378:107,380:90,382:65,384:43,386:32,388:16,390:10,392:7,394:3,396:3,398:2,400:1</t>
  </si>
  <si>
    <t>outfile: /home/ucapmwe/dist-benchmark/results/lifted_product-QDistEvol-20260220_184925.010880_85062422.txt</t>
  </si>
  <si>
    <t>Gen:0 Trial:0 w:546; Trial:8 w:536; Trial:13 w:526; Gen:1 Trial:112 w:524; Gen:2 Trial:200 w:516; Gen:3 Trial:322 w:512; Trial:328 w:510; Trial:333 w:506; Gen:4 Trial:446 w:502; Gen:6 Trial:686 w:492; Gen:9 Trial:990 w:488; Gen:17 Trial:1727 w:486; Gen:18 Trial:1852 w:482; Trial:1885 w:480; Gen:21 Trial:2147 w:474; Gen:32 Trial:3233 w:30; Gen:35 Trial:3502 w:24; pErr:0.2013, weight 24 CW found:4447, wDict:24:2596,30:107,34:1,36:8,40:2,54:1,470:1,474:2,476:1,478:3,480:4,482:4,484:2,486:2,488:14,490:15,492:24,494:38,496:33,498:53,500:59,502:92,504:102,506:100,508:154,510:186,512:237,514:272,516:351,518:333,520:382,522:481,524:476,526:484,528:440,530:479,532:440,534:432,536:325,538:264,540:237,542:175,544:136,546:118,548:79,550:70,552:48,554:34,556:33,558:24,560:11,562:15,564:5,566:7,568:2,570:1,572:2,574:2,576:1</t>
  </si>
  <si>
    <t>outfile: /home/ucapmwe/dist-benchmark/results/lifted_product-QDistEvol-20260220_184945.652253_85062422.txt</t>
  </si>
  <si>
    <t>Gen:0 Trial:0 w:4; pErr:0.0000, weight 4 CW found:44, wDict:4:9999,6:1</t>
  </si>
  <si>
    <t>Gen:0 Trial:0 w:6; pErr:0.0000, weight 6 CW found:356, wDict:6:9894,8:104,10:1,12:1</t>
  </si>
  <si>
    <t>Gen:0 Trial:0 w:8; pErr:0.0000, weight 8 CW found:334, wDict:8:9980,10:14,12:1,14:2,20:1,30:1,44:1</t>
  </si>
  <si>
    <t>Gen:0 Trial:0 w:14; Trial:2 w:12; Trial:6 w:10; pErr:0.0000, weight 10 CW found:929, wDict:10:9387,12:539,14:39,16:14,18:6,20:2,24:1,30:1,40:1,50:1,52:1,54:3,58:1,62:1,64:1,66:1,68:1</t>
  </si>
  <si>
    <t>Gen:0 Trial:0 w:20; Trial:2 w:12; pErr:0.0000, weight 12 CW found:1740, wDict:12:7968,14:1770,16:178,18:20,20:6,22:9,24:1,26:2,32:1,36:1,58:1,60:1,64:1,66:7,68:3,70:6,72:6,74:5,76:4,78:8,80:1,82:1</t>
  </si>
  <si>
    <t>Gen:0 Trial:0 w:104; Trial:2 w:20; Trial:5 w:16; pErr:0.0039, weight 16 CW found:3316, wDict:16:7514,18:1808,20:367,22:118,24:28,26:14,28:7,30:4,32:1,36:1,38:1,78:1,80:1,84:1,86:1,88:2,90:9,92:10,94:4,96:12,98:17,100:13,102:24,104:16,106:13,108:6,110:3,112:4</t>
  </si>
  <si>
    <t>Gen:0 Trial:0 w:164; Trial:1 w:162; Trial:2 w:160; Trial:3 w:154; Trial:5 w:146; Trial:6 w:144; Trial:8 w:26; Trial:89 w:16; pErr:0.0491, weight 16 CW found:3866, wDict:16:5570,18:336,20:464,22:845,24:739,26:727,28:477,30:245,32:132,34:56,36:43,38:18,40:13,42:4,44:4,46:4,48:3,52:1,112:1,118:2,120:3,126:1,128:3,130:3,132:9,134:6,136:7,138:10,140:17,142:8,144:21,146:24,148:17,150:28,152:24,154:35,156:16,158:22,160:22,162:21,164:12,166:4,168:1,170:1,172:1</t>
  </si>
  <si>
    <t>Gen:0 Trial:0 w:160; Trial:6 w:146; Trial:22 w:140; Trial:36 w:28; Gen:1 Trial:111 w:24; Gen:2 Trial:281 w:20; pErr:0.0607, weight 20 CW found:4340, wDict:20:4865,22:963,24:1418,26:1054,28:704,30:348,32:198,34:67,36:39,38:29,40:15,42:6,44:7,46:1,48:1,50:2,54:1,56:1,130:1,140:4,142:10,144:5,146:12,148:12,150:14,152:20,154:21,156:32,158:29,160:35,162:20,164:19,166:16,168:17,170:4,172:8,174:1,176:1</t>
  </si>
  <si>
    <t>Gen:0 Trial:0 w:228; Trial:4 w:222; Trial:12 w:216; Trial:31 w:56; Trial:98 w:40; Gen:2 Trial:205 w:38; Trial:207 w:36; Trial:254 w:30; Gen:3 Trial:397 w:28; Gen:4 Trial:485 w:24; pErr:0.1552, weight 24 CW found:5848, wDict:24:3624,26:189,28:390,30:509,32:579,34:739,36:836,38:726,40:589,42:456,44:304,46:210,48:113,50:75,52:47,54:34,56:24,58:15,60:12,62:5,64:2,66:4,68:3,188:1,192:2,194:3,196:5,198:2,200:7,202:10,204:15,206:16,208:19,210:20,212:30,214:25,216:36,218:44,220:31,222:46,224:51,226:34,228:31,230:23,232:26,234:15,236:11,238:8,240:2,242:1,246:1</t>
  </si>
  <si>
    <t>Gen:0 Trial:0 w:284; Trial:6 w:280; Trial:8 w:270; Trial:25 w:266; Gen:1 Trial:116 w:260; Trial:147 w:252; Trial:167 w:40; Gen:3 Trial:324 w:36; Gen:4 Trial:454 w:30; Trial:459 w:24; Gen:72 Trial:7267 w:22; pErr:0.1940, weight 22 CW found:1839, wDict:22:1099,24:2566,26:7,28:32,30:107,32:12,34:36,36:44,38:19,40:37,42:15,44:13,46:20,48:19,50:12,52:14,54:11,56:14,58:3,60:8,62:7,64:6,66:4,68:4,70:4,72:3,74:3,82:1,84:1,88:1,218:1,220:1,222:2,224:6,226:6,228:7,230:14,232:10,234:11,236:24,238:36,240:41,242:66,244:88,246:116,248:141,250:187,252:237,254:278,256:311,258:346,260:333,262:417,264:437,266:365,268:390,270:337,272:335,274:248,276:233,278:184,280:136,282:125,284:95,286:89,288:60,290:62,292:30,294:23,296:29,298:8,300:10,302:1,304:1,306:1</t>
  </si>
  <si>
    <t>Gen:0 Trial:0 w:318; Trial:5 w:310; Trial:38 w:304; Trial:73 w:302; Trial:82 w:292; Gen:1 Trial:100 w:284; Trial:136 w:50; Gen:3 Trial:315 w:44; Gen:5 Trial:526 w:38; Gen:14 Trial:1415 w:28; Gen:16 Trial:1611 w:22; Gen:18 Trial:1833 w:20; pErr:0.1591, weight 20 CW found:4868, wDict:20:3770,22:116,24:18,26:87,28:35,30:22,32:14,34:16,36:37,38:267,40:38,42:70,44:121,46:121,48:108,50:168,52:158,54:133,56:108,58:88,60:72,62:56,64:39,66:21,68:21,70:21,72:17,74:11,76:7,78:5,80:2,82:4,84:6,86:2,88:1,94:1,102:1,252:1,256:1,264:1,266:4,268:2,270:4,272:5,274:8,276:9,278:16,280:32,282:38,284:42,286:54,288:78,290:110,292:109,294:164,296:203,298:224,300:229,302:272,304:265,306:264,308:293,310:293,312:214,314:217,316:184,318:185,320:165,322:137,324:106,326:97,328:65,330:47,332:37,334:23,336:15,338:4,340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</si>
</sst>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8"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analysis!$GO$68:$GO$200</c:f>
              <c:numCache>
                <c:formatCode>0.0E+00</c:formatCode>
                <c:ptCount val="133"/>
                <c:pt idx="0">
                  <c:v>3.45499919999952E-2</c:v>
                </c:pt>
                <c:pt idx="1">
                  <c:v>0.17672084000000099</c:v>
                </c:pt>
                <c:pt idx="2">
                  <c:v>0.57634752299998104</c:v>
                </c:pt>
                <c:pt idx="3">
                  <c:v>12.557175188</c:v>
                </c:pt>
                <c:pt idx="4">
                  <c:v>259.29060198799999</c:v>
                </c:pt>
                <c:pt idx="5">
                  <c:v>3191.2942474749998</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0-1E79-534F-8CBF-CFEE75A9B88F}"/>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analysis!$GP$68:$GP$200</c:f>
              <c:numCache>
                <c:formatCode>0.0E+00</c:formatCode>
                <c:ptCount val="133"/>
                <c:pt idx="0">
                  <c:v>2.1870261999993E-2</c:v>
                </c:pt>
                <c:pt idx="1">
                  <c:v>2.744710666</c:v>
                </c:pt>
                <c:pt idx="2">
                  <c:v>9.5074303979999897</c:v>
                </c:pt>
                <c:pt idx="3">
                  <c:v>128.83787709000001</c:v>
                </c:pt>
                <c:pt idx="4">
                  <c:v>1122.552993647</c:v>
                </c:pt>
                <c:pt idx="5">
                  <c:v>14825.912378468</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1-1E79-534F-8CBF-CFEE75A9B88F}"/>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analysis!$GQ$68:$GQ$200</c:f>
              <c:numCache>
                <c:formatCode>0.0E+00</c:formatCode>
                <c:ptCount val="133"/>
                <c:pt idx="0">
                  <c:v>1.7905452000007899E-2</c:v>
                </c:pt>
                <c:pt idx="1">
                  <c:v>0.24965510899997401</c:v>
                </c:pt>
                <c:pt idx="2">
                  <c:v>3.8439236290000101</c:v>
                </c:pt>
                <c:pt idx="3">
                  <c:v>20.0395554639999</c:v>
                </c:pt>
                <c:pt idx="4">
                  <c:v>945.80864326300002</c:v>
                </c:pt>
                <c:pt idx="5">
                  <c:v>27062.223389344999</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2-1E79-534F-8CBF-CFEE75A9B88F}"/>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analysis!$GR$68:$GR$200</c:f>
              <c:numCache>
                <c:formatCode>0.0E+00</c:formatCode>
                <c:ptCount val="133"/>
                <c:pt idx="0">
                  <c:v>1.9751746999986601E-2</c:v>
                </c:pt>
                <c:pt idx="1">
                  <c:v>1.9450914000003601E-2</c:v>
                </c:pt>
                <c:pt idx="2">
                  <c:v>2.44106529999896E-2</c:v>
                </c:pt>
                <c:pt idx="3">
                  <c:v>0.422455460000009</c:v>
                </c:pt>
                <c:pt idx="4">
                  <c:v>20.366747835999998</c:v>
                </c:pt>
                <c:pt idx="5">
                  <c:v>984.41660627199997</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1E79-534F-8CBF-CFEE75A9B88F}"/>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analysis!$GS$68:$GS$200</c:f>
              <c:numCache>
                <c:formatCode>0.0E+00</c:formatCode>
                <c:ptCount val="133"/>
                <c:pt idx="0">
                  <c:v>0.12515491695376099</c:v>
                </c:pt>
                <c:pt idx="1">
                  <c:v>0.14731808303622501</c:v>
                </c:pt>
                <c:pt idx="2">
                  <c:v>1460.967287042</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1E79-534F-8CBF-CFEE75A9B88F}"/>
            </c:ext>
          </c:extLst>
        </c:ser>
        <c:dLbls>
          <c:showLegendKey val="0"/>
          <c:showVal val="0"/>
          <c:showCatName val="0"/>
          <c:showSerName val="0"/>
          <c:showPercent val="0"/>
          <c:showBubbleSize val="0"/>
        </c:dLbls>
        <c:axId val="1782197904"/>
        <c:axId val="1782199616"/>
      </c:scatterChart>
      <c:valAx>
        <c:axId val="1782197904"/>
        <c:scaling>
          <c:orientation val="minMax"/>
          <c:max val="6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analysis!$GU$68:$GU$200</c:f>
              <c:numCache>
                <c:formatCode>0.0E+00</c:formatCode>
                <c:ptCount val="133"/>
                <c:pt idx="0">
                  <c:v>2.9996850639581603E-4</c:v>
                </c:pt>
                <c:pt idx="1">
                  <c:v>1.0976382779453906E-3</c:v>
                </c:pt>
                <c:pt idx="2">
                  <c:v>4.537599579726658E-3</c:v>
                </c:pt>
                <c:pt idx="3">
                  <c:v>8.4464982621107795E-3</c:v>
                </c:pt>
                <c:pt idx="4">
                  <c:v>3.6810633448075822E-2</c:v>
                </c:pt>
                <c:pt idx="5">
                  <c:v>0.18537171001213729</c:v>
                </c:pt>
                <c:pt idx="6">
                  <c:v>0.75838091746399572</c:v>
                </c:pt>
                <c:pt idx="7">
                  <c:v>11.870988275359</c:v>
                </c:pt>
                <c:pt idx="8">
                  <c:v>27.924602534222679</c:v>
                </c:pt>
                <c:pt idx="9">
                  <c:v>1233.1885784640901</c:v>
                </c:pt>
                <c:pt idx="10">
                  <c:v>#N/A</c:v>
                </c:pt>
                <c:pt idx="11">
                  <c:v>9309.0444366335796</c:v>
                </c:pt>
                <c:pt idx="12">
                  <c:v>925.68217744949095</c:v>
                </c:pt>
                <c:pt idx="13">
                  <c:v>#N/A</c:v>
                </c:pt>
                <c:pt idx="14">
                  <c:v>3294.2630786653499</c:v>
                </c:pt>
                <c:pt idx="15">
                  <c:v>16393.742003098101</c:v>
                </c:pt>
                <c:pt idx="16">
                  <c:v>20532.399498529699</c:v>
                </c:pt>
                <c:pt idx="17">
                  <c:v>12312.3726234734</c:v>
                </c:pt>
                <c:pt idx="18">
                  <c:v>16724.28112452845</c:v>
                </c:pt>
              </c:numCache>
            </c:numRef>
          </c:yVal>
          <c:smooth val="0"/>
          <c:extLst>
            <c:ext xmlns:c16="http://schemas.microsoft.com/office/drawing/2014/chart" uri="{C3380CC4-5D6E-409C-BE32-E72D297353CC}">
              <c16:uniqueId val="{00000000-CED3-1844-86E4-C75D3CBA3CE4}"/>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analysis!$GV$68:$GV$200</c:f>
              <c:numCache>
                <c:formatCode>0.0E+00</c:formatCode>
                <c:ptCount val="133"/>
                <c:pt idx="0">
                  <c:v>6.6922850925475296E-4</c:v>
                </c:pt>
                <c:pt idx="1">
                  <c:v>2.403974779719932E-3</c:v>
                </c:pt>
                <c:pt idx="2">
                  <c:v>6.5751288208356681E-3</c:v>
                </c:pt>
                <c:pt idx="3">
                  <c:v>1.5422919763994888E-2</c:v>
                </c:pt>
                <c:pt idx="4">
                  <c:v>2.9251826108847235E-2</c:v>
                </c:pt>
                <c:pt idx="5">
                  <c:v>5.7922518908197669E-2</c:v>
                </c:pt>
                <c:pt idx="6">
                  <c:v>0.12110370220128107</c:v>
                </c:pt>
                <c:pt idx="7">
                  <c:v>0.42392044990997307</c:v>
                </c:pt>
                <c:pt idx="8">
                  <c:v>0.53497018728879964</c:v>
                </c:pt>
                <c:pt idx="9">
                  <c:v>1.6247197174162333</c:v>
                </c:pt>
                <c:pt idx="10">
                  <c:v>9.8210513361011831</c:v>
                </c:pt>
                <c:pt idx="11">
                  <c:v>3.8353528639741379</c:v>
                </c:pt>
                <c:pt idx="12">
                  <c:v>1.9966680226040709</c:v>
                </c:pt>
                <c:pt idx="13">
                  <c:v>2.9498119010172514</c:v>
                </c:pt>
                <c:pt idx="14">
                  <c:v>3.451824849470579</c:v>
                </c:pt>
                <c:pt idx="15">
                  <c:v>10.334860687463053</c:v>
                </c:pt>
                <c:pt idx="16">
                  <c:v>5.7540944668149105</c:v>
                </c:pt>
                <c:pt idx="17">
                  <c:v>6.7166598879312644</c:v>
                </c:pt>
                <c:pt idx="18">
                  <c:v>12.223267983597458</c:v>
                </c:pt>
              </c:numCache>
            </c:numRef>
          </c:yVal>
          <c:smooth val="0"/>
          <c:extLst>
            <c:ext xmlns:c16="http://schemas.microsoft.com/office/drawing/2014/chart" uri="{C3380CC4-5D6E-409C-BE32-E72D297353CC}">
              <c16:uniqueId val="{00000001-CED3-1844-86E4-C75D3CBA3CE4}"/>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analysis!$GW$68:$GW$200</c:f>
              <c:numCache>
                <c:formatCode>0.0E+00</c:formatCode>
                <c:ptCount val="133"/>
                <c:pt idx="0">
                  <c:v>1.1181981369853E-3</c:v>
                </c:pt>
                <c:pt idx="1">
                  <c:v>4.8700904494407933E-3</c:v>
                </c:pt>
                <c:pt idx="2">
                  <c:v>1.4640482262066353E-2</c:v>
                </c:pt>
                <c:pt idx="3">
                  <c:v>1.8844707121170038E-2</c:v>
                </c:pt>
                <c:pt idx="4">
                  <c:v>0.13083392442078173</c:v>
                </c:pt>
                <c:pt idx="5">
                  <c:v>0.87765951827664446</c:v>
                </c:pt>
                <c:pt idx="6">
                  <c:v>4.9084781016130767</c:v>
                </c:pt>
                <c:pt idx="7">
                  <c:v>101.1237189780542</c:v>
                </c:pt>
                <c:pt idx="8">
                  <c:v>413.77446100435043</c:v>
                </c:pt>
                <c:pt idx="9">
                  <c:v>#N/A</c:v>
                </c:pt>
                <c:pt idx="10">
                  <c:v>42071.554692547747</c:v>
                </c:pt>
                <c:pt idx="11">
                  <c:v>75589.891606986494</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2-CED3-1844-86E4-C75D3CBA3CE4}"/>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analysis!$GX$68:$GX$200</c:f>
              <c:numCache>
                <c:formatCode>0.0E+00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CED3-1844-86E4-C75D3CBA3CE4}"/>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analysis!$GY$68:$GY$200</c:f>
              <c:numCache>
                <c:formatCode>0.0E+00</c:formatCode>
                <c:ptCount val="133"/>
                <c:pt idx="0">
                  <c:v>6.8838000006508004E-3</c:v>
                </c:pt>
                <c:pt idx="1">
                  <c:v>2.2251710994169099E-2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CED3-1844-86E4-C75D3CBA3CE4}"/>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analysis!$GZ$68:$GZ$200</c:f>
              <c:numCache>
                <c:formatCode>0.0E+00</c:formatCode>
                <c:ptCount val="133"/>
                <c:pt idx="0">
                  <c:v>4.1605196893215153E-3</c:v>
                </c:pt>
                <c:pt idx="1">
                  <c:v>1.5591390430927251E-2</c:v>
                </c:pt>
                <c:pt idx="2">
                  <c:v>4.4087138026952702E-2</c:v>
                </c:pt>
                <c:pt idx="3">
                  <c:v>0.18256086856126749</c:v>
                </c:pt>
                <c:pt idx="4">
                  <c:v>0.458461783826351</c:v>
                </c:pt>
                <c:pt idx="5">
                  <c:v>6.6454896591603498</c:v>
                </c:pt>
                <c:pt idx="6">
                  <c:v>79.780903022735998</c:v>
                </c:pt>
                <c:pt idx="7">
                  <c:v>397.59358781576151</c:v>
                </c:pt>
                <c:pt idx="8">
                  <c:v>316.43732432275999</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5-CED3-1844-86E4-C75D3CBA3CE4}"/>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0344925634295719"/>
          <c:y val="0.46809793307086617"/>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analysis!$HI$68:$HI$200</c:f>
              <c:numCache>
                <c:formatCode>0.0%</c:formatCode>
                <c:ptCount val="133"/>
                <c:pt idx="0">
                  <c:v>1</c:v>
                </c:pt>
                <c:pt idx="1">
                  <c:v>0.998</c:v>
                </c:pt>
                <c:pt idx="2">
                  <c:v>0.72509999999999997</c:v>
                </c:pt>
                <c:pt idx="3">
                  <c:v>0.91479999999999995</c:v>
                </c:pt>
                <c:pt idx="4">
                  <c:v>0.40620000000000001</c:v>
                </c:pt>
                <c:pt idx="5">
                  <c:v>0.13619999999999999</c:v>
                </c:pt>
                <c:pt idx="6">
                  <c:v>6.9800000000000001E-2</c:v>
                </c:pt>
                <c:pt idx="7">
                  <c:v>1.2E-2</c:v>
                </c:pt>
                <c:pt idx="8">
                  <c:v>5.5999999999999999E-3</c:v>
                </c:pt>
                <c:pt idx="9">
                  <c:v>2.9999999999999997E-4</c:v>
                </c:pt>
                <c:pt idx="10">
                  <c:v>0</c:v>
                </c:pt>
                <c:pt idx="11">
                  <c:v>1E-4</c:v>
                </c:pt>
                <c:pt idx="12">
                  <c:v>1.1000000000000001E-3</c:v>
                </c:pt>
                <c:pt idx="13">
                  <c:v>0</c:v>
                </c:pt>
                <c:pt idx="14">
                  <c:v>4.0000000000000002E-4</c:v>
                </c:pt>
                <c:pt idx="15">
                  <c:v>1E-4</c:v>
                </c:pt>
                <c:pt idx="16">
                  <c:v>1E-4</c:v>
                </c:pt>
                <c:pt idx="17">
                  <c:v>2.0000000000000001E-4</c:v>
                </c:pt>
                <c:pt idx="18">
                  <c:v>2.0000000000000001E-4</c:v>
                </c:pt>
              </c:numCache>
            </c:numRef>
          </c:yVal>
          <c:smooth val="0"/>
          <c:extLst>
            <c:ext xmlns:c16="http://schemas.microsoft.com/office/drawing/2014/chart" uri="{C3380CC4-5D6E-409C-BE32-E72D297353CC}">
              <c16:uniqueId val="{00000000-EFB0-3E4A-BCE0-0AA368D6467A}"/>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analysis!$HJ$68:$HJ$200</c:f>
              <c:numCache>
                <c:formatCode>0.0%</c:formatCode>
                <c:ptCount val="133"/>
                <c:pt idx="0">
                  <c:v>1</c:v>
                </c:pt>
                <c:pt idx="1">
                  <c:v>0.99990000000000001</c:v>
                </c:pt>
                <c:pt idx="2">
                  <c:v>0.98939999999999995</c:v>
                </c:pt>
                <c:pt idx="3">
                  <c:v>0.998</c:v>
                </c:pt>
                <c:pt idx="4">
                  <c:v>0.93869999999999998</c:v>
                </c:pt>
                <c:pt idx="5">
                  <c:v>0.79679999999999995</c:v>
                </c:pt>
                <c:pt idx="6">
                  <c:v>0.75139999999999996</c:v>
                </c:pt>
                <c:pt idx="7">
                  <c:v>0.55700000000000005</c:v>
                </c:pt>
                <c:pt idx="8">
                  <c:v>0.48649999999999999</c:v>
                </c:pt>
                <c:pt idx="9">
                  <c:v>0.3624</c:v>
                </c:pt>
                <c:pt idx="10">
                  <c:v>0.1099</c:v>
                </c:pt>
                <c:pt idx="11">
                  <c:v>0.377</c:v>
                </c:pt>
                <c:pt idx="12">
                  <c:v>0.43380000000000002</c:v>
                </c:pt>
                <c:pt idx="13">
                  <c:v>0.28999999999999998</c:v>
                </c:pt>
                <c:pt idx="14">
                  <c:v>0.3246</c:v>
                </c:pt>
                <c:pt idx="15">
                  <c:v>0.14480000000000001</c:v>
                </c:pt>
                <c:pt idx="16">
                  <c:v>0.3246</c:v>
                </c:pt>
                <c:pt idx="17">
                  <c:v>0.34320000000000001</c:v>
                </c:pt>
                <c:pt idx="18">
                  <c:v>0.2596</c:v>
                </c:pt>
              </c:numCache>
            </c:numRef>
          </c:yVal>
          <c:smooth val="0"/>
          <c:extLst>
            <c:ext xmlns:c16="http://schemas.microsoft.com/office/drawing/2014/chart" uri="{C3380CC4-5D6E-409C-BE32-E72D297353CC}">
              <c16:uniqueId val="{00000001-EFB0-3E4A-BCE0-0AA368D6467A}"/>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analysis!$HK$68:$HK$200</c:f>
              <c:numCache>
                <c:formatCode>0.0%</c:formatCode>
                <c:ptCount val="133"/>
                <c:pt idx="0">
                  <c:v>1</c:v>
                </c:pt>
                <c:pt idx="1">
                  <c:v>0.9607</c:v>
                </c:pt>
                <c:pt idx="2">
                  <c:v>0.50970000000000004</c:v>
                </c:pt>
                <c:pt idx="3">
                  <c:v>0.74099999999999999</c:v>
                </c:pt>
                <c:pt idx="4">
                  <c:v>0.2442</c:v>
                </c:pt>
                <c:pt idx="5">
                  <c:v>7.51E-2</c:v>
                </c:pt>
                <c:pt idx="6">
                  <c:v>3.6400000000000002E-2</c:v>
                </c:pt>
                <c:pt idx="7">
                  <c:v>6.8999999999999999E-3</c:v>
                </c:pt>
                <c:pt idx="8">
                  <c:v>2.0999999999999999E-3</c:v>
                </c:pt>
                <c:pt idx="9">
                  <c:v>0</c:v>
                </c:pt>
                <c:pt idx="10">
                  <c:v>2.0000000000000001E-4</c:v>
                </c:pt>
                <c:pt idx="11">
                  <c:v>2.0000000000000001E-4</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2-EFB0-3E4A-BCE0-0AA368D6467A}"/>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analysis!$HL$68:$HL$200</c:f>
              <c:numCache>
                <c:formatCode>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3-EFB0-3E4A-BCE0-0AA368D6467A}"/>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analysis!$HM$68:$HM$200</c:f>
              <c:numCache>
                <c:formatCode>0.0%</c:formatCode>
                <c:ptCount val="133"/>
                <c:pt idx="0">
                  <c:v>1</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4-EFB0-3E4A-BCE0-0AA368D6467A}"/>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analysis!$HN$68:$HN$200</c:f>
              <c:numCache>
                <c:formatCode>0.0%</c:formatCode>
                <c:ptCount val="133"/>
                <c:pt idx="0">
                  <c:v>0.66666666666666663</c:v>
                </c:pt>
                <c:pt idx="1">
                  <c:v>0.66666666666666663</c:v>
                </c:pt>
                <c:pt idx="2">
                  <c:v>0.5</c:v>
                </c:pt>
                <c:pt idx="3">
                  <c:v>0.5</c:v>
                </c:pt>
                <c:pt idx="4">
                  <c:v>0.5</c:v>
                </c:pt>
                <c:pt idx="5">
                  <c:v>0.4</c:v>
                </c:pt>
                <c:pt idx="6">
                  <c:v>0.4</c:v>
                </c:pt>
                <c:pt idx="7">
                  <c:v>0.33333333333333331</c:v>
                </c:pt>
                <c:pt idx="8">
                  <c:v>0.4</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5-EFB0-3E4A-BCE0-0AA368D6467A}"/>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analysis!$GG$68:$GG$200</c:f>
              <c:numCache>
                <c:formatCode>0.00</c:formatCode>
                <c:ptCount val="133"/>
                <c:pt idx="0">
                  <c:v>0</c:v>
                </c:pt>
                <c:pt idx="1">
                  <c:v>0</c:v>
                </c:pt>
                <c:pt idx="2">
                  <c:v>0</c:v>
                </c:pt>
                <c:pt idx="3">
                  <c:v>0</c:v>
                </c:pt>
                <c:pt idx="4">
                  <c:v>0</c:v>
                </c:pt>
                <c:pt idx="5">
                  <c:v>0</c:v>
                </c:pt>
                <c:pt idx="6">
                  <c:v>0</c:v>
                </c:pt>
                <c:pt idx="7">
                  <c:v>0</c:v>
                </c:pt>
                <c:pt idx="8">
                  <c:v>0</c:v>
                </c:pt>
                <c:pt idx="9">
                  <c:v>0</c:v>
                </c:pt>
                <c:pt idx="10">
                  <c:v>9.0909090909090912E-2</c:v>
                </c:pt>
                <c:pt idx="11">
                  <c:v>0</c:v>
                </c:pt>
                <c:pt idx="12">
                  <c:v>0</c:v>
                </c:pt>
                <c:pt idx="13">
                  <c:v>11.166666666666666</c:v>
                </c:pt>
                <c:pt idx="14">
                  <c:v>0</c:v>
                </c:pt>
                <c:pt idx="15">
                  <c:v>0</c:v>
                </c:pt>
                <c:pt idx="16">
                  <c:v>0</c:v>
                </c:pt>
                <c:pt idx="17">
                  <c:v>0</c:v>
                </c:pt>
                <c:pt idx="18">
                  <c:v>0</c:v>
                </c:pt>
              </c:numCache>
            </c:numRef>
          </c:yVal>
          <c:smooth val="0"/>
          <c:extLst>
            <c:ext xmlns:c16="http://schemas.microsoft.com/office/drawing/2014/chart" uri="{C3380CC4-5D6E-409C-BE32-E72D297353CC}">
              <c16:uniqueId val="{00000000-6654-274B-9B72-95CF19AC4B34}"/>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analysis!$GH$68:$GH$200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6654-274B-9B72-95CF19AC4B34}"/>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analysis!$GI$68:$GI$200</c:f>
              <c:numCache>
                <c:formatCode>0.00</c:formatCode>
                <c:ptCount val="133"/>
                <c:pt idx="0">
                  <c:v>0</c:v>
                </c:pt>
                <c:pt idx="1">
                  <c:v>0</c:v>
                </c:pt>
                <c:pt idx="2">
                  <c:v>0</c:v>
                </c:pt>
                <c:pt idx="3">
                  <c:v>0</c:v>
                </c:pt>
                <c:pt idx="4">
                  <c:v>0</c:v>
                </c:pt>
                <c:pt idx="5">
                  <c:v>0</c:v>
                </c:pt>
                <c:pt idx="6">
                  <c:v>0</c:v>
                </c:pt>
                <c:pt idx="7">
                  <c:v>0</c:v>
                </c:pt>
                <c:pt idx="8">
                  <c:v>0</c:v>
                </c:pt>
                <c:pt idx="9">
                  <c:v>8.3333333333333329E-2</c:v>
                </c:pt>
                <c:pt idx="10">
                  <c:v>0</c:v>
                </c:pt>
                <c:pt idx="11">
                  <c:v>0</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2-6654-274B-9B72-95CF19AC4B34}"/>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analysis!$GJ$68:$GJ$200</c:f>
              <c:numCache>
                <c:formatCode>0.00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3-6654-274B-9B72-95CF19AC4B34}"/>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analysis!$GK$68:$GK$200</c:f>
              <c:numCache>
                <c:formatCode>0.00</c:formatCode>
                <c:ptCount val="133"/>
                <c:pt idx="0">
                  <c:v>0</c:v>
                </c:pt>
                <c:pt idx="1">
                  <c:v>0</c:v>
                </c:pt>
                <c:pt idx="2">
                  <c:v>0.33333333333333331</c:v>
                </c:pt>
                <c:pt idx="3">
                  <c:v>0.25</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4-6654-274B-9B72-95CF19AC4B34}"/>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34</c:v>
                </c:pt>
                <c:pt idx="1">
                  <c:v>136</c:v>
                </c:pt>
                <c:pt idx="2">
                  <c:v>238</c:v>
                </c:pt>
                <c:pt idx="3">
                  <c:v>340</c:v>
                </c:pt>
                <c:pt idx="4">
                  <c:v>442</c:v>
                </c:pt>
                <c:pt idx="5">
                  <c:v>544</c:v>
                </c:pt>
                <c:pt idx="6">
                  <c:v>714</c:v>
                </c:pt>
                <c:pt idx="7">
                  <c:v>1020</c:v>
                </c:pt>
                <c:pt idx="8">
                  <c:v>1054</c:v>
                </c:pt>
                <c:pt idx="9">
                  <c:v>1428</c:v>
                </c:pt>
                <c:pt idx="10">
                  <c:v>1768</c:v>
                </c:pt>
                <c:pt idx="11">
                  <c:v>1972</c:v>
                </c:pt>
                <c:pt idx="12">
                  <c:v>2040</c:v>
                </c:pt>
                <c:pt idx="13">
                  <c:v>2074</c:v>
                </c:pt>
                <c:pt idx="14">
                  <c:v>2278</c:v>
                </c:pt>
                <c:pt idx="15">
                  <c:v>2482</c:v>
                </c:pt>
                <c:pt idx="16">
                  <c:v>2720</c:v>
                </c:pt>
                <c:pt idx="17">
                  <c:v>2890</c:v>
                </c:pt>
                <c:pt idx="18">
                  <c:v>3230</c:v>
                </c:pt>
              </c:numCache>
            </c:numRef>
          </c:xVal>
          <c:yVal>
            <c:numRef>
              <c:f>analysis!$GL$68:$GL$200</c:f>
              <c:numCache>
                <c:formatCode>0.00</c:formatCode>
                <c:ptCount val="133"/>
                <c:pt idx="0">
                  <c:v>0</c:v>
                </c:pt>
                <c:pt idx="1">
                  <c:v>0</c:v>
                </c:pt>
                <c:pt idx="2">
                  <c:v>0</c:v>
                </c:pt>
                <c:pt idx="3">
                  <c:v>0</c:v>
                </c:pt>
                <c:pt idx="4">
                  <c:v>0</c:v>
                </c:pt>
                <c:pt idx="5">
                  <c:v>0</c:v>
                </c:pt>
                <c:pt idx="6">
                  <c:v>0</c:v>
                </c:pt>
                <c:pt idx="7">
                  <c:v>0</c:v>
                </c:pt>
                <c:pt idx="8">
                  <c:v>0</c:v>
                </c:pt>
                <c:pt idx="9">
                  <c:v>#N/A</c:v>
                </c:pt>
                <c:pt idx="10">
                  <c:v>#N/A</c:v>
                </c:pt>
                <c:pt idx="11">
                  <c:v>#N/A</c:v>
                </c:pt>
                <c:pt idx="12">
                  <c:v>#N/A</c:v>
                </c:pt>
                <c:pt idx="13">
                  <c:v>#N/A</c:v>
                </c:pt>
                <c:pt idx="14">
                  <c:v>#N/A</c:v>
                </c:pt>
                <c:pt idx="15">
                  <c:v>#N/A</c:v>
                </c:pt>
                <c:pt idx="16">
                  <c:v>#N/A</c:v>
                </c:pt>
                <c:pt idx="17">
                  <c:v>#N/A</c:v>
                </c:pt>
                <c:pt idx="18">
                  <c:v>#N/A</c:v>
                </c:pt>
              </c:numCache>
            </c:numRef>
          </c:yVal>
          <c:smooth val="0"/>
          <c:extLst>
            <c:ext xmlns:c16="http://schemas.microsoft.com/office/drawing/2014/chart" uri="{C3380CC4-5D6E-409C-BE32-E72D297353CC}">
              <c16:uniqueId val="{00000005-6654-274B-9B72-95CF19AC4B34}"/>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3576388888888889"/>
          <c:y val="3.2550853018372711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57E3D4C0-E9F0-F84C-8143-1D6BF4518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CC8C304B-902D-564B-AA51-F8F70BBAA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18F54FB3-064A-B147-B9C6-F141114F9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D28E4C3A-C77D-AA4F-BDAF-E06B51B46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788E-BA83-5A42-B128-E99EE01F6466}">
  <dimension ref="A1:HN190"/>
  <sheetViews>
    <sheetView tabSelected="1" zoomScaleNormal="100" workbookViewId="0">
      <selection activeCell="I5" sqref="I5"/>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06 lifted_product.xlsx</v>
      </c>
      <c r="B1" s="2"/>
      <c r="U1" s="3"/>
      <c r="V1" s="3"/>
    </row>
    <row r="2" spans="1:26" x14ac:dyDescent="0.2">
      <c r="Y2" s="4"/>
      <c r="Z2" s="5"/>
    </row>
    <row r="3" spans="1:26" x14ac:dyDescent="0.2">
      <c r="A3" s="3" t="s">
        <v>0</v>
      </c>
      <c r="B3" s="18">
        <f ca="1">COUNT(AB:AB)</f>
        <v>19</v>
      </c>
      <c r="C3" s="3" t="s">
        <v>1</v>
      </c>
      <c r="D3" s="18">
        <f ca="1">MAX(B68:B300)</f>
        <v>3230</v>
      </c>
      <c r="E3" s="3" t="s">
        <v>2</v>
      </c>
      <c r="F3" s="18">
        <f ca="1">MIN(B68:B300)</f>
        <v>34</v>
      </c>
      <c r="G3" s="6" t="s">
        <v>318</v>
      </c>
      <c r="H3">
        <f ca="1">SUM(C68:C300)</f>
        <v>320</v>
      </c>
      <c r="M3" s="6" t="s">
        <v>3</v>
      </c>
      <c r="N3">
        <f>8*60*60</f>
        <v>28800</v>
      </c>
      <c r="Y3" s="4"/>
      <c r="Z3" s="5"/>
    </row>
    <row r="4" spans="1:26" x14ac:dyDescent="0.2">
      <c r="M4" t="s">
        <v>4</v>
      </c>
      <c r="N4">
        <f ca="1">D3</f>
        <v>3230</v>
      </c>
      <c r="O4" t="s">
        <v>5</v>
      </c>
      <c r="P4">
        <f ca="1">COUNTIFS(B68:B195,"&lt;="&amp;$N$4)</f>
        <v>19</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19</v>
      </c>
      <c r="C7" s="12">
        <f t="shared" ref="C7:H7" ca="1" si="0">SUM(BJ:BJ)</f>
        <v>19</v>
      </c>
      <c r="D7" s="12">
        <f t="shared" ca="1" si="0"/>
        <v>19</v>
      </c>
      <c r="E7" s="12">
        <f t="shared" ca="1" si="0"/>
        <v>12</v>
      </c>
      <c r="F7" s="12">
        <f t="shared" ca="1" si="0"/>
        <v>0</v>
      </c>
      <c r="G7" s="12">
        <f t="shared" ca="1" si="0"/>
        <v>4</v>
      </c>
      <c r="H7" s="12">
        <f t="shared" ca="1" si="0"/>
        <v>9</v>
      </c>
      <c r="I7" s="12"/>
      <c r="J7" s="14" t="s">
        <v>21</v>
      </c>
      <c r="K7" s="13"/>
      <c r="M7" s="6" t="s">
        <v>20</v>
      </c>
      <c r="N7">
        <f ca="1">SUMIFS(BD:BD,$B:$B,"&lt;="&amp;$N$4)</f>
        <v>19</v>
      </c>
      <c r="O7">
        <f t="shared" ref="O7:R7" ca="1" si="1">SUMIFS(BE:BE,$B:$B,"&lt;="&amp;$N$4)</f>
        <v>18</v>
      </c>
      <c r="P7">
        <f t="shared" ca="1" si="1"/>
        <v>14</v>
      </c>
      <c r="Q7">
        <f t="shared" ca="1" si="1"/>
        <v>6</v>
      </c>
      <c r="R7">
        <f t="shared" ca="1" si="1"/>
        <v>19</v>
      </c>
      <c r="S7" s="14" t="s">
        <v>21</v>
      </c>
      <c r="Y7" s="4"/>
      <c r="Z7" s="5"/>
    </row>
    <row r="8" spans="1:26" x14ac:dyDescent="0.2">
      <c r="A8" s="6" t="s">
        <v>22</v>
      </c>
      <c r="B8" s="19">
        <f ca="1">$B$3-B7</f>
        <v>0</v>
      </c>
      <c r="C8" s="19">
        <f t="shared" ref="C8:H8" ca="1" si="2">$B$3-C7</f>
        <v>0</v>
      </c>
      <c r="D8" s="19">
        <f t="shared" ca="1" si="2"/>
        <v>0</v>
      </c>
      <c r="E8" s="19">
        <f t="shared" ca="1" si="2"/>
        <v>7</v>
      </c>
      <c r="F8" s="19">
        <f t="shared" ca="1" si="2"/>
        <v>19</v>
      </c>
      <c r="G8" s="19">
        <f t="shared" ca="1" si="2"/>
        <v>15</v>
      </c>
      <c r="H8" s="19">
        <f t="shared" ca="1" si="2"/>
        <v>10</v>
      </c>
      <c r="I8" s="19"/>
      <c r="J8" s="14" t="s">
        <v>21</v>
      </c>
      <c r="M8" s="6" t="s">
        <v>23</v>
      </c>
      <c r="N8">
        <f ca="1">SUMIFS(AM:AM,$B:$B,"&lt;="&amp;$N$4)</f>
        <v>6</v>
      </c>
      <c r="O8">
        <f t="shared" ref="O8:R8" ca="1" si="3">SUMIFS(AN:AN,$B:$B,"&lt;="&amp;$N$4)</f>
        <v>6</v>
      </c>
      <c r="P8">
        <f t="shared" ca="1" si="3"/>
        <v>6</v>
      </c>
      <c r="Q8">
        <f t="shared" ca="1" si="3"/>
        <v>6</v>
      </c>
      <c r="R8">
        <f t="shared" ca="1" si="3"/>
        <v>3</v>
      </c>
      <c r="S8" s="14" t="s">
        <v>21</v>
      </c>
      <c r="Y8" s="4"/>
      <c r="Z8" s="5"/>
    </row>
    <row r="9" spans="1:26" x14ac:dyDescent="0.2">
      <c r="A9" s="6" t="s">
        <v>24</v>
      </c>
      <c r="B9" s="7">
        <f ca="1">SUM(CQ:CQ)</f>
        <v>17</v>
      </c>
      <c r="C9" s="7">
        <f t="shared" ref="C9:H9" ca="1" si="4">SUM(CR:CR)</f>
        <v>17</v>
      </c>
      <c r="D9" s="7">
        <f t="shared" ca="1" si="4"/>
        <v>19</v>
      </c>
      <c r="E9" s="7">
        <f t="shared" ca="1" si="4"/>
        <v>11</v>
      </c>
      <c r="F9" s="7">
        <f t="shared" ca="1" si="4"/>
        <v>0</v>
      </c>
      <c r="G9" s="7">
        <f t="shared" ca="1" si="4"/>
        <v>2</v>
      </c>
      <c r="H9" s="7">
        <f t="shared" ca="1" si="4"/>
        <v>9</v>
      </c>
      <c r="I9" s="7"/>
      <c r="J9" s="14" t="s">
        <v>25</v>
      </c>
      <c r="M9" s="6" t="s">
        <v>26</v>
      </c>
      <c r="N9">
        <f ca="1">N7-N8</f>
        <v>13</v>
      </c>
      <c r="O9">
        <f t="shared" ref="O9:R9" ca="1" si="5">O7-O8</f>
        <v>12</v>
      </c>
      <c r="P9">
        <f t="shared" ca="1" si="5"/>
        <v>8</v>
      </c>
      <c r="Q9">
        <f t="shared" ca="1" si="5"/>
        <v>0</v>
      </c>
      <c r="R9">
        <f t="shared" ca="1" si="5"/>
        <v>16</v>
      </c>
      <c r="S9" s="14" t="s">
        <v>21</v>
      </c>
      <c r="Y9" s="4"/>
      <c r="Z9" s="5"/>
    </row>
    <row r="10" spans="1:26" x14ac:dyDescent="0.2">
      <c r="A10" s="6" t="s">
        <v>27</v>
      </c>
      <c r="B10" s="4">
        <f ca="1">B9/$B$3</f>
        <v>0.89473684210526316</v>
      </c>
      <c r="C10" s="4">
        <f t="shared" ref="C10:H10" ca="1" si="6">C9/$B$3</f>
        <v>0.89473684210526316</v>
      </c>
      <c r="D10" s="4">
        <f t="shared" ca="1" si="6"/>
        <v>1</v>
      </c>
      <c r="E10" s="4">
        <f t="shared" ca="1" si="6"/>
        <v>0.57894736842105265</v>
      </c>
      <c r="F10" s="4">
        <f t="shared" ca="1" si="6"/>
        <v>0</v>
      </c>
      <c r="G10" s="4">
        <f t="shared" ca="1" si="6"/>
        <v>0.10526315789473684</v>
      </c>
      <c r="H10" s="4">
        <f t="shared" ca="1" si="6"/>
        <v>0.47368421052631576</v>
      </c>
      <c r="I10" s="4"/>
      <c r="J10" s="14" t="s">
        <v>28</v>
      </c>
      <c r="M10" s="16" t="s">
        <v>22</v>
      </c>
      <c r="N10" s="19">
        <f ca="1">$P$4-N7</f>
        <v>0</v>
      </c>
      <c r="O10" s="19">
        <f t="shared" ref="O10:R10" ca="1" si="7">$P$4-O7</f>
        <v>1</v>
      </c>
      <c r="P10" s="19">
        <f t="shared" ca="1" si="7"/>
        <v>5</v>
      </c>
      <c r="Q10" s="19">
        <f t="shared" ca="1" si="7"/>
        <v>13</v>
      </c>
      <c r="R10" s="19">
        <f t="shared" ca="1" si="7"/>
        <v>0</v>
      </c>
      <c r="S10" s="14" t="s">
        <v>21</v>
      </c>
      <c r="T10" s="5"/>
      <c r="U10" s="5"/>
      <c r="Y10" s="4"/>
      <c r="Z10" s="5"/>
    </row>
    <row r="11" spans="1:26" x14ac:dyDescent="0.2">
      <c r="A11" s="6" t="s">
        <v>29</v>
      </c>
      <c r="B11" s="5">
        <f ca="1">SUM(DH:DH)</f>
        <v>1316.7258417382814</v>
      </c>
      <c r="C11" s="5">
        <f t="shared" ref="C11:H11" ca="1" si="8">SUM(DI:DI)</f>
        <v>152308.72869010989</v>
      </c>
      <c r="D11" s="5">
        <f t="shared" ca="1" si="8"/>
        <v>154846.73146394515</v>
      </c>
      <c r="E11" s="5">
        <f t="shared" ca="1" si="8"/>
        <v>290020.98165409249</v>
      </c>
      <c r="F11" s="5">
        <f t="shared" ca="1" si="8"/>
        <v>17.072272992998432</v>
      </c>
      <c r="G11" s="5">
        <f t="shared" ca="1" si="8"/>
        <v>17.25588784299903</v>
      </c>
      <c r="H11" s="5">
        <f t="shared" ca="1" si="8"/>
        <v>1602.3243330419054</v>
      </c>
      <c r="I11" s="5"/>
      <c r="J11" s="15" t="s">
        <v>30</v>
      </c>
      <c r="M11" s="17" t="s">
        <v>24</v>
      </c>
      <c r="N11">
        <f ca="1">SUMIFS(CL:CL,$B:$B,"&lt;="&amp;$N$4)</f>
        <v>19</v>
      </c>
      <c r="O11">
        <f t="shared" ref="O11:R11" ca="1" si="9">SUMIFS(CM:CM,$B:$B,"&lt;="&amp;$N$4)</f>
        <v>12</v>
      </c>
      <c r="P11">
        <f t="shared" ca="1" si="9"/>
        <v>6</v>
      </c>
      <c r="Q11">
        <f t="shared" ca="1" si="9"/>
        <v>6</v>
      </c>
      <c r="R11">
        <f t="shared" ca="1" si="9"/>
        <v>10</v>
      </c>
      <c r="S11" s="14" t="s">
        <v>21</v>
      </c>
      <c r="T11" s="5"/>
      <c r="U11" s="5"/>
      <c r="Y11" s="4"/>
      <c r="Z11" s="5"/>
    </row>
    <row r="12" spans="1:26" x14ac:dyDescent="0.2">
      <c r="A12" s="6" t="s">
        <v>31</v>
      </c>
      <c r="B12" s="7"/>
      <c r="C12" s="7">
        <f t="shared" ref="C12:H12" ca="1" si="10">SUM(FH:FH)</f>
        <v>190000</v>
      </c>
      <c r="D12" s="7">
        <f t="shared" ca="1" si="10"/>
        <v>190000</v>
      </c>
      <c r="E12" s="7">
        <f t="shared" ca="1" si="10"/>
        <v>120000</v>
      </c>
      <c r="F12" s="7">
        <f t="shared" ca="1" si="10"/>
        <v>19</v>
      </c>
      <c r="G12" s="7">
        <f t="shared" ca="1" si="10"/>
        <v>19</v>
      </c>
      <c r="H12" s="7">
        <f t="shared" ca="1" si="10"/>
        <v>39</v>
      </c>
      <c r="I12" s="7"/>
      <c r="J12" s="14" t="s">
        <v>21</v>
      </c>
      <c r="M12" s="6" t="s">
        <v>32</v>
      </c>
      <c r="N12" s="4">
        <f ca="1">N11/$P$4</f>
        <v>1</v>
      </c>
      <c r="O12" s="4">
        <f t="shared" ref="O12:R12" ca="1" si="11">O11/$P$4</f>
        <v>0.63157894736842102</v>
      </c>
      <c r="P12" s="4">
        <f t="shared" ca="1" si="11"/>
        <v>0.31578947368421051</v>
      </c>
      <c r="Q12" s="4">
        <f t="shared" ca="1" si="11"/>
        <v>0.31578947368421051</v>
      </c>
      <c r="R12" s="4">
        <f t="shared" ca="1" si="11"/>
        <v>0.52631578947368418</v>
      </c>
      <c r="S12" s="14" t="s">
        <v>28</v>
      </c>
      <c r="Y12" s="4"/>
      <c r="Z12" s="5"/>
    </row>
    <row r="13" spans="1:26" x14ac:dyDescent="0.2">
      <c r="A13" s="6" t="s">
        <v>33</v>
      </c>
      <c r="C13">
        <f ca="1">SUM(DZ:DZ)</f>
        <v>42702</v>
      </c>
      <c r="D13">
        <f ca="1">SUM(EA:EA)</f>
        <v>104876</v>
      </c>
      <c r="E13">
        <f t="shared" ref="E13:H13" ca="1" si="12">SUM(EB:EB)</f>
        <v>35765</v>
      </c>
      <c r="F13">
        <f t="shared" ca="1" si="12"/>
        <v>0</v>
      </c>
      <c r="G13">
        <f t="shared" ca="1" si="12"/>
        <v>2</v>
      </c>
      <c r="H13">
        <f t="shared" ca="1" si="12"/>
        <v>18</v>
      </c>
      <c r="J13" s="14" t="s">
        <v>25</v>
      </c>
      <c r="M13" s="6" t="s">
        <v>34</v>
      </c>
      <c r="N13" s="5">
        <f ca="1">SUMIFS(DC:DC,$B:$B,"&lt;="&amp;$N$4)+N16*$N$3</f>
        <v>378081.32892199495</v>
      </c>
      <c r="O13" s="5">
        <f t="shared" ref="O13:R13" ca="1" si="13">SUMIFS(DD:DD,$B:$B,"&lt;="&amp;$N$4)+O16*$N$3</f>
        <v>390625.07313090854</v>
      </c>
      <c r="P13" s="5">
        <f t="shared" ca="1" si="13"/>
        <v>402442.24543960451</v>
      </c>
      <c r="Q13" s="5">
        <f t="shared" ca="1" si="13"/>
        <v>375409.44684060983</v>
      </c>
      <c r="R13" s="5">
        <f t="shared" ca="1" si="13"/>
        <v>462307.38785170647</v>
      </c>
      <c r="S13" s="15" t="s">
        <v>30</v>
      </c>
      <c r="Y13" s="4"/>
      <c r="Z13" s="5"/>
    </row>
    <row r="14" spans="1:26" x14ac:dyDescent="0.2">
      <c r="A14" s="6" t="s">
        <v>35</v>
      </c>
      <c r="B14" s="4"/>
      <c r="C14" s="4">
        <f t="shared" ref="C14:H14" ca="1" si="14">C13/C12</f>
        <v>0.22474736842105264</v>
      </c>
      <c r="D14" s="4">
        <f t="shared" ca="1" si="14"/>
        <v>0.55197894736842101</v>
      </c>
      <c r="E14" s="4">
        <f t="shared" ca="1" si="14"/>
        <v>0.29804166666666665</v>
      </c>
      <c r="F14" s="4">
        <f t="shared" ca="1" si="14"/>
        <v>0</v>
      </c>
      <c r="G14" s="4">
        <f t="shared" ca="1" si="14"/>
        <v>0.10526315789473684</v>
      </c>
      <c r="H14" s="4">
        <f t="shared" ca="1" si="14"/>
        <v>0.46153846153846156</v>
      </c>
      <c r="I14" s="4"/>
      <c r="J14" s="14" t="s">
        <v>28</v>
      </c>
      <c r="M14" s="6" t="s">
        <v>36</v>
      </c>
      <c r="N14" s="5">
        <f ca="1">N13/$P$4</f>
        <v>19899.017311683943</v>
      </c>
      <c r="O14" s="5">
        <f t="shared" ref="O14:R14" ca="1" si="15">O13/$P$4</f>
        <v>20559.214375310974</v>
      </c>
      <c r="P14" s="5">
        <f t="shared" ca="1" si="15"/>
        <v>21181.170812610762</v>
      </c>
      <c r="Q14" s="5">
        <f t="shared" ca="1" si="15"/>
        <v>19758.391938979465</v>
      </c>
      <c r="R14" s="5">
        <f t="shared" ca="1" si="15"/>
        <v>24331.967781668762</v>
      </c>
      <c r="S14" s="15" t="s">
        <v>30</v>
      </c>
      <c r="T14" s="7"/>
      <c r="U14" s="7"/>
      <c r="Y14" s="4"/>
      <c r="Z14" s="5"/>
    </row>
    <row r="15" spans="1:26" x14ac:dyDescent="0.2">
      <c r="A15" s="6" t="s">
        <v>36</v>
      </c>
      <c r="B15" s="20"/>
      <c r="C15" s="20">
        <f t="shared" ref="C15:H15" ca="1" si="16">IF(C12,C11/C12,"")</f>
        <v>0.8016248878426836</v>
      </c>
      <c r="D15" s="20">
        <f t="shared" ca="1" si="16"/>
        <v>0.81498279717865874</v>
      </c>
      <c r="E15" s="20">
        <f t="shared" ca="1" si="16"/>
        <v>2.4168415137841039</v>
      </c>
      <c r="F15" s="20">
        <f t="shared" ca="1" si="16"/>
        <v>0.89854068384202268</v>
      </c>
      <c r="G15" s="20">
        <f t="shared" ca="1" si="16"/>
        <v>0.90820462331573848</v>
      </c>
      <c r="H15" s="20">
        <f t="shared" ca="1" si="16"/>
        <v>41.085239308766809</v>
      </c>
      <c r="I15" s="20"/>
      <c r="J15" s="15" t="s">
        <v>30</v>
      </c>
      <c r="M15" s="17" t="s">
        <v>37</v>
      </c>
      <c r="N15" s="5">
        <f ca="1">IF(N11,N13/N11,"")</f>
        <v>19899.017311683943</v>
      </c>
      <c r="O15" s="5">
        <f t="shared" ref="O15:R15" ca="1" si="17">IF(O11,O13/O11,"")</f>
        <v>32552.089427575713</v>
      </c>
      <c r="P15" s="5">
        <f t="shared" ca="1" si="17"/>
        <v>67073.707573267413</v>
      </c>
      <c r="Q15" s="5">
        <f t="shared" ca="1" si="17"/>
        <v>62568.241140101636</v>
      </c>
      <c r="R15" s="5">
        <f t="shared" ca="1" si="17"/>
        <v>46230.738785170644</v>
      </c>
      <c r="S15" s="15" t="s">
        <v>30</v>
      </c>
      <c r="T15" s="4"/>
      <c r="U15" s="4" t="str">
        <f t="shared" ref="U15" si="18">IF(U12,U14/U12,"")</f>
        <v/>
      </c>
      <c r="Y15" s="4"/>
      <c r="Z15" s="5"/>
    </row>
    <row r="16" spans="1:26" x14ac:dyDescent="0.2">
      <c r="A16" s="6" t="s">
        <v>37</v>
      </c>
      <c r="B16" s="5"/>
      <c r="C16" s="5">
        <f t="shared" ref="C16:H16" ca="1" si="19">IF(C13,C11/C13,"")</f>
        <v>3.5667820872584395</v>
      </c>
      <c r="D16" s="5">
        <f t="shared" ca="1" si="19"/>
        <v>1.4764744218309733</v>
      </c>
      <c r="E16" s="5">
        <f t="shared" ca="1" si="19"/>
        <v>8.1090726032180207</v>
      </c>
      <c r="F16" s="5" t="str">
        <f t="shared" ca="1" si="19"/>
        <v/>
      </c>
      <c r="G16" s="5">
        <f t="shared" ca="1" si="19"/>
        <v>8.6279439214995151</v>
      </c>
      <c r="H16" s="5">
        <f t="shared" ca="1" si="19"/>
        <v>89.018018502328076</v>
      </c>
      <c r="I16" s="5"/>
      <c r="J16" s="15" t="s">
        <v>30</v>
      </c>
      <c r="M16" s="6" t="s">
        <v>38</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38</v>
      </c>
      <c r="B17">
        <f ca="1">COUNTIFS(DH:DH,"=0")</f>
        <v>0</v>
      </c>
      <c r="C17">
        <f t="shared" ref="C17:H17" ca="1" si="21">COUNTIFS(DI:DI,"=0")</f>
        <v>0</v>
      </c>
      <c r="D17">
        <f t="shared" ca="1" si="21"/>
        <v>0</v>
      </c>
      <c r="E17">
        <f t="shared" ca="1" si="21"/>
        <v>7</v>
      </c>
      <c r="F17">
        <f t="shared" ca="1" si="21"/>
        <v>0</v>
      </c>
      <c r="G17">
        <f t="shared" ca="1" si="21"/>
        <v>0</v>
      </c>
      <c r="H17">
        <f t="shared" ca="1" si="21"/>
        <v>10</v>
      </c>
      <c r="J17" s="14"/>
      <c r="M17" s="6" t="s">
        <v>311</v>
      </c>
      <c r="N17">
        <f ca="1">_xlfn.MAXIFS($B67:$B267,DC67:DC267,"&lt;&gt;0",$B67:$B267,"&lt;="&amp;$N$4)</f>
        <v>3230</v>
      </c>
      <c r="O17">
        <f t="shared" ref="O17:R17" ca="1" si="22">_xlfn.MAXIFS($B67:$B267,DD67:DD267,"&lt;&gt;0",$B67:$B267,"&lt;="&amp;$N$4)</f>
        <v>3230</v>
      </c>
      <c r="P17">
        <f t="shared" ca="1" si="22"/>
        <v>3230</v>
      </c>
      <c r="Q17">
        <f t="shared" ca="1" si="22"/>
        <v>3230</v>
      </c>
      <c r="R17">
        <f t="shared" ca="1" si="22"/>
        <v>3230</v>
      </c>
      <c r="Y17" s="4"/>
      <c r="Z17" s="5"/>
    </row>
    <row r="18" spans="1:180" x14ac:dyDescent="0.2">
      <c r="A18" s="6" t="s">
        <v>319</v>
      </c>
      <c r="B18" s="22">
        <f ca="1">(SUM(BZ68:BZ300)-$H$3)/$H$3</f>
        <v>3.125E-2</v>
      </c>
      <c r="C18" s="22">
        <f t="shared" ref="C18:H18" ca="1" si="23">(SUM(CA68:CA300)-$H$3)/$H$3</f>
        <v>0.84375</v>
      </c>
      <c r="D18" s="22">
        <f t="shared" ca="1" si="23"/>
        <v>0</v>
      </c>
      <c r="E18" s="22">
        <f t="shared" ca="1" si="23"/>
        <v>54.862499999999997</v>
      </c>
      <c r="F18" s="22">
        <f t="shared" ca="1" si="23"/>
        <v>84.637500000000003</v>
      </c>
      <c r="G18" s="22">
        <f t="shared" ca="1" si="23"/>
        <v>82.375</v>
      </c>
      <c r="H18" s="22">
        <f t="shared" ca="1" si="23"/>
        <v>70.8</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320</v>
      </c>
      <c r="B21" s="8"/>
      <c r="C21" s="8"/>
      <c r="D21" s="8"/>
      <c r="E21" s="8" t="s">
        <v>321</v>
      </c>
      <c r="F21" s="8"/>
      <c r="G21" s="8"/>
      <c r="H21" s="8"/>
      <c r="I21" s="8"/>
      <c r="J21" s="8" t="s">
        <v>322</v>
      </c>
      <c r="K21" s="8"/>
      <c r="L21" s="8"/>
      <c r="M21" s="8"/>
      <c r="N21" s="8"/>
      <c r="P21" s="8" t="s">
        <v>323</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19 &amp;</v>
      </c>
      <c r="C46" t="str">
        <f t="shared" ca="1" si="28"/>
        <v>19 &amp;</v>
      </c>
      <c r="D46" t="str">
        <f t="shared" ca="1" si="28"/>
        <v>19 &amp;</v>
      </c>
      <c r="E46" t="str">
        <f t="shared" ca="1" si="28"/>
        <v>12 &amp;</v>
      </c>
      <c r="F46" t="str">
        <f t="shared" ca="1" si="28"/>
        <v>0 &amp;</v>
      </c>
      <c r="G46" t="str">
        <f t="shared" ca="1" si="28"/>
        <v>4 &amp;</v>
      </c>
      <c r="H46" t="str">
        <f t="shared" ca="1" si="28"/>
        <v>9</v>
      </c>
      <c r="I46" s="9" t="s">
        <v>46</v>
      </c>
      <c r="M46" t="str">
        <f>"\textbf{"&amp;M7&amp;"} &amp;"</f>
        <v>\textbf{Result Returned} &amp;</v>
      </c>
      <c r="N46" t="str">
        <f t="shared" ref="N46:R54" ca="1" si="29">SUBSTITUTE(TEXT(N7,$S7)&amp;IF(O46="\\",""," &amp;"),"%","\%")</f>
        <v>19 &amp;</v>
      </c>
      <c r="O46" t="str">
        <f t="shared" ca="1" si="29"/>
        <v>18 &amp;</v>
      </c>
      <c r="P46" t="str">
        <f t="shared" ca="1" si="29"/>
        <v>14 &amp;</v>
      </c>
      <c r="Q46" t="str">
        <f t="shared" ca="1" si="29"/>
        <v>6 &amp;</v>
      </c>
      <c r="R46" t="str">
        <f t="shared" ca="1" si="29"/>
        <v>19</v>
      </c>
      <c r="S46" s="9" t="s">
        <v>46</v>
      </c>
      <c r="V46" s="9"/>
    </row>
    <row r="47" spans="1:180" x14ac:dyDescent="0.2">
      <c r="A47" t="str">
        <f t="shared" si="27"/>
        <v>\textbf{No Result} &amp;</v>
      </c>
      <c r="B47" t="str">
        <f t="shared" ca="1" si="28"/>
        <v>0 &amp;</v>
      </c>
      <c r="C47" t="str">
        <f t="shared" ca="1" si="28"/>
        <v>0 &amp;</v>
      </c>
      <c r="D47" t="str">
        <f t="shared" ca="1" si="28"/>
        <v>0 &amp;</v>
      </c>
      <c r="E47" t="str">
        <f t="shared" ca="1" si="28"/>
        <v>7 &amp;</v>
      </c>
      <c r="F47" t="str">
        <f t="shared" ca="1" si="28"/>
        <v>19 &amp;</v>
      </c>
      <c r="G47" t="str">
        <f t="shared" ca="1" si="28"/>
        <v>15 &amp;</v>
      </c>
      <c r="H47" t="str">
        <f t="shared" ca="1" si="28"/>
        <v>10</v>
      </c>
      <c r="I47" s="9" t="s">
        <v>46</v>
      </c>
      <c r="M47" t="str">
        <f t="shared" ref="M47:M54" si="30">"\textbf{"&amp;M8&amp;"} &amp;"</f>
        <v>\textbf{Completed &lt; MaxTime} &amp;</v>
      </c>
      <c r="N47" t="str">
        <f t="shared" ca="1" si="29"/>
        <v>6 &amp;</v>
      </c>
      <c r="O47" t="str">
        <f t="shared" ca="1" si="29"/>
        <v>6 &amp;</v>
      </c>
      <c r="P47" t="str">
        <f t="shared" ca="1" si="29"/>
        <v>6 &amp;</v>
      </c>
      <c r="Q47" t="str">
        <f t="shared" ca="1" si="29"/>
        <v>6 &amp;</v>
      </c>
      <c r="R47" t="str">
        <f t="shared" ca="1" si="29"/>
        <v>3</v>
      </c>
      <c r="S47" s="9" t="s">
        <v>46</v>
      </c>
      <c r="V47" s="9"/>
    </row>
    <row r="48" spans="1:180" x14ac:dyDescent="0.2">
      <c r="A48" t="str">
        <f t="shared" si="27"/>
        <v>\textbf{At lowest distance} &amp;</v>
      </c>
      <c r="B48" t="str">
        <f t="shared" ca="1" si="28"/>
        <v>17 &amp;</v>
      </c>
      <c r="C48" t="str">
        <f t="shared" ca="1" si="28"/>
        <v>17 &amp;</v>
      </c>
      <c r="D48" t="str">
        <f t="shared" ca="1" si="28"/>
        <v>19 &amp;</v>
      </c>
      <c r="E48" t="str">
        <f t="shared" ca="1" si="28"/>
        <v>11 &amp;</v>
      </c>
      <c r="F48" t="str">
        <f t="shared" ca="1" si="28"/>
        <v xml:space="preserve"> &amp;</v>
      </c>
      <c r="G48" t="str">
        <f t="shared" ca="1" si="28"/>
        <v>2 &amp;</v>
      </c>
      <c r="H48" t="str">
        <f t="shared" ca="1" si="28"/>
        <v>9</v>
      </c>
      <c r="I48" s="9" t="s">
        <v>46</v>
      </c>
      <c r="M48" t="str">
        <f t="shared" si="30"/>
        <v>\textbf{Completed &gt; MaxTime} &amp;</v>
      </c>
      <c r="N48" t="str">
        <f t="shared" ca="1" si="29"/>
        <v>13 &amp;</v>
      </c>
      <c r="O48" t="str">
        <f t="shared" ca="1" si="29"/>
        <v>12 &amp;</v>
      </c>
      <c r="P48" t="str">
        <f t="shared" ca="1" si="29"/>
        <v>8 &amp;</v>
      </c>
      <c r="Q48" t="str">
        <f t="shared" ca="1" si="29"/>
        <v>0 &amp;</v>
      </c>
      <c r="R48" t="str">
        <f t="shared" ca="1" si="29"/>
        <v>16</v>
      </c>
      <c r="S48" s="9" t="s">
        <v>46</v>
      </c>
      <c r="V48" s="9"/>
    </row>
    <row r="49" spans="1:180" x14ac:dyDescent="0.2">
      <c r="A49" t="str">
        <f t="shared" si="27"/>
        <v>\textbf{Overall Success Rate} &amp;</v>
      </c>
      <c r="B49" t="str">
        <f t="shared" ca="1" si="28"/>
        <v>89.5\% &amp;</v>
      </c>
      <c r="C49" t="str">
        <f t="shared" ca="1" si="28"/>
        <v>89.5\% &amp;</v>
      </c>
      <c r="D49" t="str">
        <f t="shared" ca="1" si="28"/>
        <v>100.0\% &amp;</v>
      </c>
      <c r="E49" t="str">
        <f t="shared" ca="1" si="28"/>
        <v>57.9\% &amp;</v>
      </c>
      <c r="F49" t="str">
        <f t="shared" ca="1" si="28"/>
        <v xml:space="preserve"> &amp;</v>
      </c>
      <c r="G49" t="str">
        <f t="shared" ca="1" si="28"/>
        <v>10.5\% &amp;</v>
      </c>
      <c r="H49" t="str">
        <f t="shared" ca="1" si="28"/>
        <v>47.4\%</v>
      </c>
      <c r="I49" s="9" t="s">
        <v>46</v>
      </c>
      <c r="J49" t="s">
        <v>45</v>
      </c>
      <c r="M49" t="str">
        <f t="shared" si="30"/>
        <v>\textbf{No Result} &amp;</v>
      </c>
      <c r="N49" t="str">
        <f t="shared" ca="1" si="29"/>
        <v>0 &amp;</v>
      </c>
      <c r="O49" t="str">
        <f t="shared" ca="1" si="29"/>
        <v>1 &amp;</v>
      </c>
      <c r="P49" t="str">
        <f t="shared" ca="1" si="29"/>
        <v>5 &amp;</v>
      </c>
      <c r="Q49" t="str">
        <f t="shared" ca="1" si="29"/>
        <v>13 &amp;</v>
      </c>
      <c r="R49" t="str">
        <f t="shared" ca="1" si="29"/>
        <v>0</v>
      </c>
      <c r="S49" s="9" t="s">
        <v>46</v>
      </c>
      <c r="V49" s="9"/>
    </row>
    <row r="50" spans="1:180" x14ac:dyDescent="0.2">
      <c r="A50" t="str">
        <f t="shared" si="27"/>
        <v>\textbf{Total Time (s)} &amp;</v>
      </c>
      <c r="B50" t="str">
        <f t="shared" ca="1" si="28"/>
        <v>1.3E+03 &amp;</v>
      </c>
      <c r="C50" t="str">
        <f t="shared" ca="1" si="28"/>
        <v>1.5E+05 &amp;</v>
      </c>
      <c r="D50" t="str">
        <f t="shared" ca="1" si="28"/>
        <v>1.5E+05 &amp;</v>
      </c>
      <c r="E50" t="str">
        <f t="shared" ca="1" si="28"/>
        <v>2.9E+05 &amp;</v>
      </c>
      <c r="F50" t="str">
        <f t="shared" ca="1" si="28"/>
        <v>1.7E+01 &amp;</v>
      </c>
      <c r="G50" t="str">
        <f t="shared" ca="1" si="28"/>
        <v>1.7E+01 &amp;</v>
      </c>
      <c r="H50" t="str">
        <f t="shared" ca="1" si="28"/>
        <v>1.6E+03</v>
      </c>
      <c r="I50" s="9" t="s">
        <v>46</v>
      </c>
      <c r="M50" t="str">
        <f t="shared" si="30"/>
        <v>\textbf{At lowest distance} &amp;</v>
      </c>
      <c r="N50" t="str">
        <f t="shared" ca="1" si="29"/>
        <v>19 &amp;</v>
      </c>
      <c r="O50" t="str">
        <f t="shared" ca="1" si="29"/>
        <v>12 &amp;</v>
      </c>
      <c r="P50" t="str">
        <f t="shared" ca="1" si="29"/>
        <v>6 &amp;</v>
      </c>
      <c r="Q50" t="str">
        <f t="shared" ca="1" si="29"/>
        <v>6 &amp;</v>
      </c>
      <c r="R50" t="str">
        <f t="shared" ca="1" si="29"/>
        <v>10</v>
      </c>
      <c r="S50" s="9" t="s">
        <v>46</v>
      </c>
      <c r="V50" s="9"/>
    </row>
    <row r="51" spans="1:180" x14ac:dyDescent="0.2">
      <c r="A51" t="str">
        <f t="shared" si="27"/>
        <v>\textbf{Trials} &amp;</v>
      </c>
      <c r="B51" t="str">
        <f t="shared" ca="1" si="28"/>
        <v>0 &amp;</v>
      </c>
      <c r="C51" t="str">
        <f t="shared" ca="1" si="28"/>
        <v>190,000 &amp;</v>
      </c>
      <c r="D51" t="str">
        <f t="shared" ca="1" si="28"/>
        <v>190,000 &amp;</v>
      </c>
      <c r="E51" t="str">
        <f t="shared" ca="1" si="28"/>
        <v>120,000 &amp;</v>
      </c>
      <c r="F51" t="str">
        <f t="shared" ca="1" si="28"/>
        <v>19 &amp;</v>
      </c>
      <c r="G51" t="str">
        <f t="shared" ca="1" si="28"/>
        <v>19 &amp;</v>
      </c>
      <c r="H51" t="str">
        <f t="shared" ca="1" si="28"/>
        <v>39</v>
      </c>
      <c r="I51" s="9" t="s">
        <v>46</v>
      </c>
      <c r="M51" t="str">
        <f t="shared" si="30"/>
        <v>\textbf{Overall success rate} &amp;</v>
      </c>
      <c r="N51" t="str">
        <f t="shared" ca="1" si="29"/>
        <v>100.0\% &amp;</v>
      </c>
      <c r="O51" t="str">
        <f t="shared" ca="1" si="29"/>
        <v>63.2\% &amp;</v>
      </c>
      <c r="P51" t="str">
        <f t="shared" ca="1" si="29"/>
        <v>31.6\% &amp;</v>
      </c>
      <c r="Q51" t="str">
        <f t="shared" ca="1" si="29"/>
        <v>31.6\% &amp;</v>
      </c>
      <c r="R51" t="str">
        <f t="shared" ca="1" si="29"/>
        <v>52.6\%</v>
      </c>
      <c r="S51" s="9" t="s">
        <v>46</v>
      </c>
      <c r="T51" t="s">
        <v>45</v>
      </c>
      <c r="V51" s="9"/>
    </row>
    <row r="52" spans="1:180" x14ac:dyDescent="0.2">
      <c r="A52" t="str">
        <f t="shared" si="27"/>
        <v>\textbf{Trials at lowest distance} &amp;</v>
      </c>
      <c r="B52" t="str">
        <f t="shared" ca="1" si="28"/>
        <v xml:space="preserve"> &amp;</v>
      </c>
      <c r="C52" t="str">
        <f t="shared" ca="1" si="28"/>
        <v>42,702 &amp;</v>
      </c>
      <c r="D52" t="str">
        <f t="shared" ca="1" si="28"/>
        <v>104,876 &amp;</v>
      </c>
      <c r="E52" t="str">
        <f t="shared" ca="1" si="28"/>
        <v>35,765 &amp;</v>
      </c>
      <c r="F52" t="str">
        <f t="shared" ca="1" si="28"/>
        <v xml:space="preserve"> &amp;</v>
      </c>
      <c r="G52" t="str">
        <f t="shared" ca="1" si="28"/>
        <v>2 &amp;</v>
      </c>
      <c r="H52" t="str">
        <f t="shared" ca="1" si="28"/>
        <v>18</v>
      </c>
      <c r="I52" s="9" t="s">
        <v>46</v>
      </c>
      <c r="M52" t="str">
        <f t="shared" si="30"/>
        <v>\textbf{Total Time} &amp;</v>
      </c>
      <c r="N52" t="str">
        <f t="shared" ca="1" si="29"/>
        <v>3.8E+05 &amp;</v>
      </c>
      <c r="O52" t="str">
        <f t="shared" ca="1" si="29"/>
        <v>3.9E+05 &amp;</v>
      </c>
      <c r="P52" t="str">
        <f t="shared" ca="1" si="29"/>
        <v>4.0E+05 &amp;</v>
      </c>
      <c r="Q52" t="str">
        <f t="shared" ca="1" si="29"/>
        <v>3.8E+05 &amp;</v>
      </c>
      <c r="R52" t="str">
        <f t="shared" ca="1" si="29"/>
        <v>4.6E+05</v>
      </c>
      <c r="S52" s="9" t="s">
        <v>46</v>
      </c>
      <c r="V52" s="9"/>
    </row>
    <row r="53" spans="1:180" x14ac:dyDescent="0.2">
      <c r="A53" t="str">
        <f t="shared" si="27"/>
        <v>\textbf{Trial Success Rate} &amp;</v>
      </c>
      <c r="B53" t="str">
        <f t="shared" ca="1" si="28"/>
        <v xml:space="preserve"> &amp;</v>
      </c>
      <c r="C53" t="str">
        <f t="shared" ca="1" si="28"/>
        <v>22.5\% &amp;</v>
      </c>
      <c r="D53" t="str">
        <f t="shared" ca="1" si="28"/>
        <v>55.2\% &amp;</v>
      </c>
      <c r="E53" t="str">
        <f t="shared" ca="1" si="28"/>
        <v>29.8\% &amp;</v>
      </c>
      <c r="F53" t="str">
        <f t="shared" ca="1" si="28"/>
        <v xml:space="preserve"> &amp;</v>
      </c>
      <c r="G53" t="str">
        <f t="shared" ca="1" si="28"/>
        <v>10.5\% &amp;</v>
      </c>
      <c r="H53" t="str">
        <f t="shared" ca="1" si="28"/>
        <v>46.2\%</v>
      </c>
      <c r="I53" s="9" t="s">
        <v>46</v>
      </c>
      <c r="M53" t="str">
        <f t="shared" si="30"/>
        <v>\textbf{Time/Trial} &amp;</v>
      </c>
      <c r="N53" t="str">
        <f t="shared" ca="1" si="29"/>
        <v>2.0E+04 &amp;</v>
      </c>
      <c r="O53" t="str">
        <f t="shared" ca="1" si="29"/>
        <v>2.1E+04 &amp;</v>
      </c>
      <c r="P53" t="str">
        <f t="shared" ca="1" si="29"/>
        <v>2.1E+04 &amp;</v>
      </c>
      <c r="Q53" t="str">
        <f t="shared" ca="1" si="29"/>
        <v>2.0E+04 &amp;</v>
      </c>
      <c r="R53" t="str">
        <f t="shared" ca="1" si="29"/>
        <v>2.4E+04</v>
      </c>
      <c r="S53" s="9" t="s">
        <v>46</v>
      </c>
      <c r="V53" s="9"/>
    </row>
    <row r="54" spans="1:180" x14ac:dyDescent="0.2">
      <c r="A54" t="str">
        <f t="shared" si="27"/>
        <v>\textbf{Time/Trial} &amp;</v>
      </c>
      <c r="B54" t="str">
        <f t="shared" ca="1" si="28"/>
        <v xml:space="preserve"> &amp;</v>
      </c>
      <c r="C54" t="str">
        <f t="shared" ca="1" si="28"/>
        <v>8.0E-01 &amp;</v>
      </c>
      <c r="D54" t="str">
        <f t="shared" ca="1" si="28"/>
        <v>8.1E-01 &amp;</v>
      </c>
      <c r="E54" t="str">
        <f t="shared" ca="1" si="28"/>
        <v>2.4E+00 &amp;</v>
      </c>
      <c r="F54" t="str">
        <f t="shared" ca="1" si="28"/>
        <v>9.0E-01 &amp;</v>
      </c>
      <c r="G54" t="str">
        <f t="shared" ca="1" si="28"/>
        <v>9.1E-01 &amp;</v>
      </c>
      <c r="H54" t="str">
        <f t="shared" ca="1" si="28"/>
        <v>4.1E+01</v>
      </c>
      <c r="I54" s="9" t="s">
        <v>46</v>
      </c>
      <c r="M54" t="str">
        <f t="shared" si="30"/>
        <v>\textbf{Time/Successful Trial} &amp;</v>
      </c>
      <c r="N54" t="str">
        <f ca="1">SUBSTITUTE(TEXT(N15,$S15)&amp;IF(O54="\\",""," &amp;"),"%","\%")</f>
        <v>2.0E+04 &amp;</v>
      </c>
      <c r="O54" t="str">
        <f t="shared" ca="1" si="29"/>
        <v>3.3E+04 &amp;</v>
      </c>
      <c r="P54" t="str">
        <f t="shared" ca="1" si="29"/>
        <v>6.7E+04 &amp;</v>
      </c>
      <c r="Q54" t="str">
        <f t="shared" ca="1" si="29"/>
        <v>6.3E+04 &amp;</v>
      </c>
      <c r="R54" t="str">
        <f t="shared" ca="1" si="29"/>
        <v>4.6E+04</v>
      </c>
      <c r="S54" s="9" t="s">
        <v>46</v>
      </c>
      <c r="T54" t="s">
        <v>45</v>
      </c>
      <c r="V54" s="9"/>
    </row>
    <row r="55" spans="1:180" x14ac:dyDescent="0.2">
      <c r="A55" t="str">
        <f t="shared" si="27"/>
        <v>\textbf{Time/Successful Trial} &amp;</v>
      </c>
      <c r="B55" t="str">
        <f t="shared" ca="1" si="28"/>
        <v xml:space="preserve"> &amp;</v>
      </c>
      <c r="C55" t="str">
        <f t="shared" ca="1" si="28"/>
        <v>3.6E+00 &amp;</v>
      </c>
      <c r="D55" t="str">
        <f t="shared" ca="1" si="28"/>
        <v>1.5E+00 &amp;</v>
      </c>
      <c r="E55" t="str">
        <f t="shared" ca="1" si="28"/>
        <v>8.1E+00 &amp;</v>
      </c>
      <c r="F55" t="str">
        <f t="shared" ca="1" si="28"/>
        <v xml:space="preserve"> &amp;</v>
      </c>
      <c r="G55" t="str">
        <f t="shared" ca="1" si="28"/>
        <v>8.6E+00 &amp;</v>
      </c>
      <c r="H55" t="str">
        <f t="shared" ca="1" si="28"/>
        <v>8.9E+01</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1</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314</v>
      </c>
      <c r="BD66" s="6" t="s">
        <v>54</v>
      </c>
      <c r="BU66" s="6" t="s">
        <v>55</v>
      </c>
      <c r="CL66" s="6" t="s">
        <v>56</v>
      </c>
      <c r="DC66" s="6" t="s">
        <v>40</v>
      </c>
      <c r="DT66" s="6" t="s">
        <v>57</v>
      </c>
      <c r="EK66" s="6" t="s">
        <v>58</v>
      </c>
      <c r="FB66" s="6" t="s">
        <v>59</v>
      </c>
      <c r="FS66" s="6" t="s">
        <v>49</v>
      </c>
      <c r="FT66">
        <f>MATCH(B19,E67:Q67,)</f>
        <v>7</v>
      </c>
      <c r="FU66"/>
      <c r="FV66"/>
      <c r="FW66" s="4"/>
      <c r="FX66" s="5"/>
      <c r="FZ66" s="6" t="s">
        <v>319</v>
      </c>
      <c r="GN66" s="6" t="s">
        <v>324</v>
      </c>
      <c r="HB66" s="6" t="s">
        <v>325</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AJ_01</v>
      </c>
      <c r="B68" cm="1">
        <f t="array" aca="1" ref="B68" ca="1">INDIRECT($A$67&amp;"!b"&amp;ROW(D1)+$B$64)</f>
        <v>34</v>
      </c>
      <c r="C68">
        <f ca="1">MIN(INDIRECT($A$67&amp;"!d"&amp;ROW(E1)+$B$64),BU68:CG68)</f>
        <v>2</v>
      </c>
      <c r="E68">
        <f t="shared" ref="E68:P83" ca="1" si="43">MATCH($A68,INDIRECT("'"&amp;E$67&amp;"'!A:A"),)</f>
        <v>25</v>
      </c>
      <c r="F68">
        <f t="shared" ca="1" si="43"/>
        <v>26</v>
      </c>
      <c r="G68">
        <f t="shared" ca="1" si="43"/>
        <v>25</v>
      </c>
      <c r="H68">
        <f t="shared" ca="1" si="43"/>
        <v>25</v>
      </c>
      <c r="I68">
        <f t="shared" ca="1" si="43"/>
        <v>28</v>
      </c>
      <c r="J68">
        <f t="shared" ca="1" si="43"/>
        <v>25</v>
      </c>
      <c r="K68">
        <f t="shared" ca="1" si="43"/>
        <v>25</v>
      </c>
      <c r="L68">
        <f t="shared" ca="1" si="43"/>
        <v>173</v>
      </c>
      <c r="M68">
        <f t="shared" ca="1" si="43"/>
        <v>31</v>
      </c>
      <c r="N68">
        <f t="shared" ca="1" si="43"/>
        <v>25</v>
      </c>
      <c r="O68">
        <f t="shared" ca="1" si="43"/>
        <v>25</v>
      </c>
      <c r="P68">
        <f t="shared" ca="1" si="43"/>
        <v>25</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2</v>
      </c>
      <c r="AE68" cm="1">
        <f t="array" aca="1" ref="AE68" ca="1">IF(ISNA(N68),,OFFSET(INDIRECT("'"&amp;AE$67&amp;"'!d1"),N68-1,))</f>
        <v>0</v>
      </c>
      <c r="AF68" cm="1">
        <f t="array" aca="1" ref="AF68" ca="1">IF(ISNA(O68),,OFFSET(INDIRECT("'"&amp;AF$67&amp;"'!d1"),O68-1,))</f>
        <v>2</v>
      </c>
      <c r="AG68" cm="1">
        <f t="array" aca="1" ref="AG68" ca="1">IF(ISNA(P68),,OFFSET(INDIRECT("'"&amp;AG$67&amp;"'!d1"),P68-1,))</f>
        <v>2</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0</v>
      </c>
      <c r="BN68">
        <f t="shared" ca="1" si="46"/>
        <v>1</v>
      </c>
      <c r="BO68">
        <f t="shared" ca="1" si="46"/>
        <v>1</v>
      </c>
      <c r="BU68">
        <f t="shared" ref="BU68:CF86" ca="1" si="47">IF(BD68,V68,$B68)</f>
        <v>2</v>
      </c>
      <c r="BV68">
        <f t="shared" ca="1" si="47"/>
        <v>2</v>
      </c>
      <c r="BW68">
        <f t="shared" ca="1" si="47"/>
        <v>2</v>
      </c>
      <c r="BX68">
        <f t="shared" ca="1" si="47"/>
        <v>2</v>
      </c>
      <c r="BY68">
        <f t="shared" ca="1" si="47"/>
        <v>2</v>
      </c>
      <c r="BZ68">
        <f t="shared" ca="1" si="47"/>
        <v>2</v>
      </c>
      <c r="CA68">
        <f t="shared" ca="1" si="47"/>
        <v>2</v>
      </c>
      <c r="CB68">
        <f t="shared" ca="1" si="47"/>
        <v>2</v>
      </c>
      <c r="CC68">
        <f t="shared" ca="1" si="47"/>
        <v>2</v>
      </c>
      <c r="CD68">
        <f t="shared" ca="1" si="47"/>
        <v>34</v>
      </c>
      <c r="CE68">
        <f t="shared" ca="1" si="47"/>
        <v>2</v>
      </c>
      <c r="CF68">
        <f t="shared" ca="1" si="47"/>
        <v>2</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0</v>
      </c>
      <c r="CV68">
        <f t="shared" ca="1" si="48"/>
        <v>1</v>
      </c>
      <c r="CW68">
        <f t="shared" ca="1" si="48"/>
        <v>1</v>
      </c>
      <c r="DC68" cm="1">
        <f t="array" aca="1" ref="DC68" ca="1">IF(ISNA(E68),,OFFSET(INDIRECT("'"&amp;DT$67&amp;"'!f1"),E68-1,))*1</f>
        <v>3.45499919999952E-2</v>
      </c>
      <c r="DD68" cm="1">
        <f t="array" aca="1" ref="DD68" ca="1">IF(ISNA(F68),,OFFSET(INDIRECT("'"&amp;DU$67&amp;"'!f1"),F68-1,))*1</f>
        <v>2.1870261999993E-2</v>
      </c>
      <c r="DE68" cm="1">
        <f t="array" aca="1" ref="DE68" ca="1">IF(ISNA(G68),,OFFSET(INDIRECT("'"&amp;DV$67&amp;"'!f1"),G68-1,))*1</f>
        <v>1.7905452000007899E-2</v>
      </c>
      <c r="DF68" cm="1">
        <f t="array" aca="1" ref="DF68" ca="1">IF(ISNA(H68),,OFFSET(INDIRECT("'"&amp;DW$67&amp;"'!f1"),H68-1,))*1</f>
        <v>1.9751746999986601E-2</v>
      </c>
      <c r="DG68" cm="1">
        <f t="array" aca="1" ref="DG68" ca="1">IF(ISNA(I68),,OFFSET(INDIRECT("'"&amp;DX$67&amp;"'!f1"),I68-1,))*1</f>
        <v>0.12515491695376099</v>
      </c>
      <c r="DH68" cm="1">
        <f t="array" aca="1" ref="DH68" ca="1">IF(ISNA(J68),,OFFSET(INDIRECT("'"&amp;DY$67&amp;"'!f1"),J68-1,))*1</f>
        <v>4.60029020905494E-2</v>
      </c>
      <c r="DI68" cm="1">
        <f t="array" aca="1" ref="DI68" ca="1">IF(ISNA(K68),,OFFSET(INDIRECT("'"&amp;DZ$67&amp;"'!f1"),K68-1,))*1</f>
        <v>2.99968506395816</v>
      </c>
      <c r="DJ68" cm="1">
        <f t="array" aca="1" ref="DJ68" ca="1">IF(ISNA(L68),,OFFSET(INDIRECT("'"&amp;EA$67&amp;"'!f1"),L68-1,))*1</f>
        <v>6.6922850925475297</v>
      </c>
      <c r="DK68" cm="1">
        <f t="array" aca="1" ref="DK68" ca="1">IF(ISNA(M68),,OFFSET(INDIRECT("'"&amp;EB$67&amp;"'!f1"),M68-1,))*1</f>
        <v>11.181981369853</v>
      </c>
      <c r="DL68" cm="1">
        <f t="array" aca="1" ref="DL68" ca="1">IF(ISNA(N68),,OFFSET(INDIRECT("'"&amp;EC$67&amp;"'!f1"),N68-1,))*1</f>
        <v>6.6315380099695098E-3</v>
      </c>
      <c r="DM68" cm="1">
        <f t="array" aca="1" ref="DM68" ca="1">IF(ISNA(O68),,OFFSET(INDIRECT("'"&amp;ED$67&amp;"'!f1"),O68-1,))*1</f>
        <v>6.8838000006508004E-3</v>
      </c>
      <c r="DN68" cm="1">
        <f t="array" aca="1" ref="DN68" ca="1">IF(ISNA(P68),,OFFSET(INDIRECT("'"&amp;EE$67&amp;"'!f1"),P68-1,))*1</f>
        <v>8.3210393786430307E-3</v>
      </c>
      <c r="DT68">
        <f ca="1">IF(CL68,EK68,)</f>
        <v>1</v>
      </c>
      <c r="DU68">
        <f t="shared" ref="DU68:EE83" ca="1" si="49">IF(CM68,EL68,)</f>
        <v>1</v>
      </c>
      <c r="DV68">
        <f t="shared" ca="1" si="49"/>
        <v>1</v>
      </c>
      <c r="DW68">
        <f t="shared" ca="1" si="49"/>
        <v>1</v>
      </c>
      <c r="DX68">
        <f t="shared" ca="1" si="49"/>
        <v>1</v>
      </c>
      <c r="DY68">
        <f t="shared" ca="1" si="49"/>
        <v>1</v>
      </c>
      <c r="DZ68">
        <f t="shared" ca="1" si="49"/>
        <v>10000</v>
      </c>
      <c r="EA68">
        <f t="shared" ca="1" si="49"/>
        <v>10000</v>
      </c>
      <c r="EB68">
        <f t="shared" ca="1" si="49"/>
        <v>10000</v>
      </c>
      <c r="EC68">
        <f t="shared" ca="1" si="49"/>
        <v>0</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10000</v>
      </c>
      <c r="ET68" cm="1">
        <f t="array" aca="1" ref="ET68" ca="1">IF(ISNA(N68),0,OFFSET(INDIRECT("'"&amp;ET$67&amp;"'!g1"),N68-1,)*CU68)</f>
        <v>0</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3</v>
      </c>
      <c r="FN68" s="10"/>
      <c r="FO68" s="10"/>
      <c r="FP68" s="10"/>
      <c r="FQ68" s="10"/>
      <c r="FS68">
        <f ca="1">B68</f>
        <v>34</v>
      </c>
      <c r="FT68">
        <f ca="1">OFFSET($DC68,,$FT$66-1)</f>
        <v>2.99968506395816</v>
      </c>
      <c r="FU68">
        <f ca="1">OFFSET($DT68,,$FT$66-1)</f>
        <v>10000</v>
      </c>
      <c r="FV68">
        <f ca="1">OFFSET($FB68,,$FT$66-1)</f>
        <v>10000</v>
      </c>
      <c r="FW68" s="4">
        <f ca="1">IF(FV68,FU68/FV68,NA())</f>
        <v>1</v>
      </c>
      <c r="FX68" s="5">
        <f ca="1">IF(FU68,FT68/FU68,NA())</f>
        <v>2.9996850639581603E-4</v>
      </c>
      <c r="FZ68" s="13">
        <f t="shared" ref="FZ68:FZ86" ca="1" si="50">GN68</f>
        <v>34</v>
      </c>
      <c r="GA68" s="22">
        <f ca="1">IF(BD68,(BU68-$C68)/$C68,NA())</f>
        <v>0</v>
      </c>
      <c r="GB68" s="22">
        <f t="shared" ref="GB68:GL86" ca="1" si="51">IF(BE68,(BV68-$C68)/$C68,NA())</f>
        <v>0</v>
      </c>
      <c r="GC68" s="22">
        <f t="shared" ca="1" si="51"/>
        <v>0</v>
      </c>
      <c r="GD68" s="22">
        <f t="shared" ca="1" si="51"/>
        <v>0</v>
      </c>
      <c r="GE68" s="22">
        <f t="shared" ca="1" si="51"/>
        <v>0</v>
      </c>
      <c r="GF68" s="22">
        <f t="shared" ca="1" si="51"/>
        <v>0</v>
      </c>
      <c r="GG68" s="22">
        <f t="shared" ca="1" si="51"/>
        <v>0</v>
      </c>
      <c r="GH68" s="22">
        <f t="shared" ca="1" si="51"/>
        <v>0</v>
      </c>
      <c r="GI68" s="22">
        <f t="shared" ca="1" si="51"/>
        <v>0</v>
      </c>
      <c r="GJ68" s="22" t="e">
        <f t="shared" ca="1" si="51"/>
        <v>#N/A</v>
      </c>
      <c r="GK68" s="22">
        <f t="shared" ca="1" si="51"/>
        <v>0</v>
      </c>
      <c r="GL68" s="22">
        <f t="shared" ca="1" si="51"/>
        <v>0</v>
      </c>
      <c r="GM68" s="22"/>
      <c r="GN68">
        <f ca="1">B68</f>
        <v>34</v>
      </c>
      <c r="GO68" s="5">
        <f ca="1">IF(AND(AM68&gt;0,DT68&gt;0),DC68/DT68,NA())</f>
        <v>3.45499919999952E-2</v>
      </c>
      <c r="GP68" s="5">
        <f t="shared" ref="GP68:GS83" ca="1" si="52">IF(AND(AN68&gt;0,DU68&gt;0),DD68/DU68,NA())</f>
        <v>2.1870261999993E-2</v>
      </c>
      <c r="GQ68" s="5">
        <f t="shared" ca="1" si="52"/>
        <v>1.7905452000007899E-2</v>
      </c>
      <c r="GR68" s="5">
        <f t="shared" ca="1" si="52"/>
        <v>1.9751746999986601E-2</v>
      </c>
      <c r="GS68" s="5">
        <f t="shared" ca="1" si="52"/>
        <v>0.12515491695376099</v>
      </c>
      <c r="GT68" s="5">
        <f ca="1">IF(DY68&gt;0,DH68/DY68,NA())</f>
        <v>4.60029020905494E-2</v>
      </c>
      <c r="GU68" s="5">
        <f t="shared" ref="GU68:GZ83" ca="1" si="53">IF(DZ68&gt;0,DI68/DZ68,NA())</f>
        <v>2.9996850639581603E-4</v>
      </c>
      <c r="GV68" s="5">
        <f t="shared" ca="1" si="53"/>
        <v>6.6922850925475296E-4</v>
      </c>
      <c r="GW68" s="5">
        <f t="shared" ca="1" si="53"/>
        <v>1.1181981369853E-3</v>
      </c>
      <c r="GX68" s="5" t="e">
        <f t="shared" ca="1" si="53"/>
        <v>#N/A</v>
      </c>
      <c r="GY68" s="5">
        <f t="shared" ca="1" si="53"/>
        <v>6.8838000006508004E-3</v>
      </c>
      <c r="GZ68" s="5">
        <f t="shared" ca="1" si="53"/>
        <v>4.1605196893215153E-3</v>
      </c>
      <c r="HB68" s="13">
        <f t="shared" ref="HB68:HB86" ca="1" si="54">GN68</f>
        <v>34</v>
      </c>
      <c r="HC68" s="4">
        <f ca="1">IF(FB68,DT68/FB68,)</f>
        <v>1</v>
      </c>
      <c r="HD68" s="4">
        <f t="shared" ref="HD68:HN86" ca="1" si="55">IF(FC68,DU68/FC68,)</f>
        <v>1</v>
      </c>
      <c r="HE68" s="4">
        <f t="shared" ca="1" si="55"/>
        <v>1</v>
      </c>
      <c r="HF68" s="4">
        <f t="shared" ca="1" si="55"/>
        <v>1</v>
      </c>
      <c r="HG68" s="4">
        <f t="shared" ca="1" si="55"/>
        <v>1</v>
      </c>
      <c r="HH68" s="4">
        <f t="shared" ca="1" si="55"/>
        <v>1</v>
      </c>
      <c r="HI68" s="4">
        <f t="shared" ca="1" si="55"/>
        <v>1</v>
      </c>
      <c r="HJ68" s="4">
        <f t="shared" ca="1" si="55"/>
        <v>1</v>
      </c>
      <c r="HK68" s="4">
        <f t="shared" ca="1" si="55"/>
        <v>1</v>
      </c>
      <c r="HL68" s="4">
        <f t="shared" ca="1" si="55"/>
        <v>0</v>
      </c>
      <c r="HM68" s="4">
        <f t="shared" ca="1" si="55"/>
        <v>1</v>
      </c>
      <c r="HN68" s="4">
        <f t="shared" ca="1" si="55"/>
        <v>0.66666666666666663</v>
      </c>
    </row>
    <row r="69" spans="1:222" x14ac:dyDescent="0.2">
      <c r="A69" t="str" cm="1">
        <f t="array" aca="1" ref="A69" ca="1">INDIRECT($A$67&amp;"!A"&amp;ROW(C2)+$B$64)</f>
        <v>AJ_04</v>
      </c>
      <c r="B69" cm="1">
        <f t="array" aca="1" ref="B69" ca="1">INDIRECT($A$67&amp;"!b"&amp;ROW(D2)+$B$64)</f>
        <v>136</v>
      </c>
      <c r="C69">
        <f t="shared" ref="C69:C86" ca="1" si="56">MIN(INDIRECT($A$67&amp;"!d"&amp;ROW(E2)+$B$64),BU69:CG69)</f>
        <v>4</v>
      </c>
      <c r="E69">
        <f t="shared" ca="1" si="43"/>
        <v>26</v>
      </c>
      <c r="F69">
        <f t="shared" ca="1" si="43"/>
        <v>27</v>
      </c>
      <c r="G69">
        <f t="shared" ca="1" si="43"/>
        <v>26</v>
      </c>
      <c r="H69">
        <f t="shared" ca="1" si="43"/>
        <v>26</v>
      </c>
      <c r="I69">
        <f t="shared" ca="1" si="43"/>
        <v>29</v>
      </c>
      <c r="J69">
        <f t="shared" ca="1" si="43"/>
        <v>26</v>
      </c>
      <c r="K69">
        <f t="shared" ca="1" si="43"/>
        <v>26</v>
      </c>
      <c r="L69">
        <f t="shared" ca="1" si="43"/>
        <v>174</v>
      </c>
      <c r="M69">
        <f t="shared" ca="1" si="43"/>
        <v>32</v>
      </c>
      <c r="N69">
        <f t="shared" ca="1" si="43"/>
        <v>26</v>
      </c>
      <c r="O69">
        <f t="shared" ca="1" si="43"/>
        <v>26</v>
      </c>
      <c r="P69">
        <f t="shared" ca="1" si="43"/>
        <v>26</v>
      </c>
      <c r="V69" cm="1">
        <f t="array" aca="1" ref="V69" ca="1">IF(ISNA(E69),,OFFSET(INDIRECT("'"&amp;V$67&amp;"'!d1"),E69-1,))</f>
        <v>4</v>
      </c>
      <c r="W69" cm="1">
        <f t="array" aca="1" ref="W69" ca="1">IF(ISNA(F69),,OFFSET(INDIRECT("'"&amp;W$67&amp;"'!d1"),F69-1,))</f>
        <v>4</v>
      </c>
      <c r="X69" cm="1">
        <f t="array" aca="1" ref="X69" ca="1">IF(ISNA(G69),,OFFSET(INDIRECT("'"&amp;X$67&amp;"'!d1"),G69-1,))</f>
        <v>4</v>
      </c>
      <c r="Y69" cm="1">
        <f t="array" aca="1" ref="Y69" ca="1">IF(ISNA(H69),,OFFSET(INDIRECT("'"&amp;Y$67&amp;"'!d1"),H69-1,))</f>
        <v>4</v>
      </c>
      <c r="Z69" cm="1">
        <f t="array" aca="1" ref="Z69" ca="1">IF(ISNA(I69),,OFFSET(INDIRECT("'"&amp;Z$67&amp;"'!d1"),I69-1,))</f>
        <v>4</v>
      </c>
      <c r="AA69" cm="1">
        <f t="array" aca="1" ref="AA69" ca="1">IF(ISNA(J69),,OFFSET(INDIRECT("'"&amp;AA$67&amp;"'!d1"),J69-1,))</f>
        <v>4</v>
      </c>
      <c r="AB69" cm="1">
        <f t="array" aca="1" ref="AB69" ca="1">IF(ISNA(K69),,OFFSET(INDIRECT("'"&amp;AB$67&amp;"'!d1"),K69-1,))</f>
        <v>4</v>
      </c>
      <c r="AC69" cm="1">
        <f t="array" aca="1" ref="AC69" ca="1">IF(ISNA(L69),,OFFSET(INDIRECT("'"&amp;AC$67&amp;"'!d1"),L69-1,))</f>
        <v>4</v>
      </c>
      <c r="AD69" cm="1">
        <f t="array" aca="1" ref="AD69" ca="1">IF(ISNA(M69),,OFFSET(INDIRECT("'"&amp;AD$67&amp;"'!d1"),M69-1,))</f>
        <v>4</v>
      </c>
      <c r="AE69" cm="1">
        <f t="array" aca="1" ref="AE69" ca="1">IF(ISNA(N69),,OFFSET(INDIRECT("'"&amp;AE$67&amp;"'!d1"),N69-1,))</f>
        <v>0</v>
      </c>
      <c r="AF69" cm="1">
        <f t="array" aca="1" ref="AF69" ca="1">IF(ISNA(O69),,OFFSET(INDIRECT("'"&amp;AF$67&amp;"'!d1"),O69-1,))</f>
        <v>4</v>
      </c>
      <c r="AG69" cm="1">
        <f t="array" aca="1" ref="AG69" ca="1">IF(ISNA(P69),,OFFSET(INDIRECT("'"&amp;AG$67&amp;"'!d1"),P69-1,))</f>
        <v>4</v>
      </c>
      <c r="AM69">
        <f t="shared" ref="AM69:AP86" ca="1" si="57">IF(DC69&gt;= $N$3,0,BD69)</f>
        <v>1</v>
      </c>
      <c r="AN69">
        <f t="shared" ca="1" si="44"/>
        <v>1</v>
      </c>
      <c r="AO69">
        <f t="shared" ca="1" si="44"/>
        <v>1</v>
      </c>
      <c r="AP69">
        <f t="shared" ca="1" si="44"/>
        <v>1</v>
      </c>
      <c r="AQ69">
        <f t="shared" ref="AQ69:AQ86" ca="1" si="58">IF(DG69*1&gt;= $N$3,0,BH69)</f>
        <v>1</v>
      </c>
      <c r="AV69" t="b">
        <f t="shared" ref="AV69:AV86"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0</v>
      </c>
      <c r="BN69">
        <f t="shared" ca="1" si="46"/>
        <v>1</v>
      </c>
      <c r="BO69">
        <f t="shared" ca="1" si="46"/>
        <v>1</v>
      </c>
      <c r="BU69">
        <f t="shared" ca="1" si="47"/>
        <v>4</v>
      </c>
      <c r="BV69">
        <f t="shared" ca="1" si="47"/>
        <v>4</v>
      </c>
      <c r="BW69">
        <f t="shared" ca="1" si="47"/>
        <v>4</v>
      </c>
      <c r="BX69">
        <f t="shared" ca="1" si="47"/>
        <v>4</v>
      </c>
      <c r="BY69">
        <f t="shared" ca="1" si="47"/>
        <v>4</v>
      </c>
      <c r="BZ69">
        <f t="shared" ca="1" si="47"/>
        <v>4</v>
      </c>
      <c r="CA69">
        <f t="shared" ca="1" si="47"/>
        <v>4</v>
      </c>
      <c r="CB69">
        <f t="shared" ca="1" si="47"/>
        <v>4</v>
      </c>
      <c r="CC69">
        <f t="shared" ca="1" si="47"/>
        <v>4</v>
      </c>
      <c r="CD69">
        <f t="shared" ca="1" si="47"/>
        <v>136</v>
      </c>
      <c r="CE69">
        <f t="shared" ca="1" si="47"/>
        <v>4</v>
      </c>
      <c r="CF69">
        <f t="shared" ca="1" si="47"/>
        <v>4</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0</v>
      </c>
      <c r="CV69">
        <f t="shared" ca="1" si="48"/>
        <v>1</v>
      </c>
      <c r="CW69">
        <f t="shared" ca="1" si="48"/>
        <v>1</v>
      </c>
      <c r="DC69" cm="1">
        <f t="array" aca="1" ref="DC69" ca="1">IF(ISNA(E69),,OFFSET(INDIRECT("'"&amp;DT$67&amp;"'!f1"),E69-1,))*1</f>
        <v>0.17672084000000099</v>
      </c>
      <c r="DD69" cm="1">
        <f t="array" aca="1" ref="DD69" ca="1">IF(ISNA(F69),,OFFSET(INDIRECT("'"&amp;DU$67&amp;"'!f1"),F69-1,))*1</f>
        <v>2.744710666</v>
      </c>
      <c r="DE69" cm="1">
        <f t="array" aca="1" ref="DE69" ca="1">IF(ISNA(G69),,OFFSET(INDIRECT("'"&amp;DV$67&amp;"'!f1"),G69-1,))*1</f>
        <v>0.24965510899997401</v>
      </c>
      <c r="DF69" cm="1">
        <f t="array" aca="1" ref="DF69" ca="1">IF(ISNA(H69),,OFFSET(INDIRECT("'"&amp;DW$67&amp;"'!f1"),H69-1,))*1</f>
        <v>1.9450914000003601E-2</v>
      </c>
      <c r="DG69" cm="1">
        <f t="array" aca="1" ref="DG69" ca="1">IF(ISNA(I69),,OFFSET(INDIRECT("'"&amp;DX$67&amp;"'!f1"),I69-1,))*1</f>
        <v>0.14731808303622501</v>
      </c>
      <c r="DH69" cm="1">
        <f t="array" aca="1" ref="DH69" ca="1">IF(ISNA(J69),,OFFSET(INDIRECT("'"&amp;DY$67&amp;"'!f1"),J69-1,))*1</f>
        <v>0.24862493574619199</v>
      </c>
      <c r="DI69" cm="1">
        <f t="array" aca="1" ref="DI69" ca="1">IF(ISNA(K69),,OFFSET(INDIRECT("'"&amp;DZ$67&amp;"'!f1"),K69-1,))*1</f>
        <v>10.954430013894999</v>
      </c>
      <c r="DJ69" cm="1">
        <f t="array" aca="1" ref="DJ69" ca="1">IF(ISNA(L69),,OFFSET(INDIRECT("'"&amp;EA$67&amp;"'!f1"),L69-1,))*1</f>
        <v>24.037343822419601</v>
      </c>
      <c r="DK69" cm="1">
        <f t="array" aca="1" ref="DK69" ca="1">IF(ISNA(M69),,OFFSET(INDIRECT("'"&amp;EB$67&amp;"'!f1"),M69-1,))*1</f>
        <v>46.786958947777698</v>
      </c>
      <c r="DL69" cm="1">
        <f t="array" aca="1" ref="DL69" ca="1">IF(ISNA(N69),,OFFSET(INDIRECT("'"&amp;EC$67&amp;"'!f1"),N69-1,))*1</f>
        <v>2.1601455999189001E-2</v>
      </c>
      <c r="DM69" cm="1">
        <f t="array" aca="1" ref="DM69" ca="1">IF(ISNA(O69),,OFFSET(INDIRECT("'"&amp;ED$67&amp;"'!f1"),O69-1,))*1</f>
        <v>2.2251710994169099E-2</v>
      </c>
      <c r="DN69" cm="1">
        <f t="array" aca="1" ref="DN69" ca="1">IF(ISNA(P69),,OFFSET(INDIRECT("'"&amp;EE$67&amp;"'!f1"),P69-1,))*1</f>
        <v>3.1182780861854501E-2</v>
      </c>
      <c r="DT69">
        <f t="shared" ref="DT69:EE86" ca="1" si="60">IF(CL69,EK69,)</f>
        <v>1</v>
      </c>
      <c r="DU69">
        <f t="shared" ca="1" si="49"/>
        <v>1</v>
      </c>
      <c r="DV69">
        <f t="shared" ca="1" si="49"/>
        <v>1</v>
      </c>
      <c r="DW69">
        <f t="shared" ca="1" si="49"/>
        <v>1</v>
      </c>
      <c r="DX69">
        <f t="shared" ca="1" si="49"/>
        <v>1</v>
      </c>
      <c r="DY69">
        <f t="shared" ca="1" si="49"/>
        <v>1</v>
      </c>
      <c r="DZ69">
        <f t="shared" ca="1" si="49"/>
        <v>9980</v>
      </c>
      <c r="EA69">
        <f t="shared" ca="1" si="49"/>
        <v>9999</v>
      </c>
      <c r="EB69">
        <f t="shared" ca="1" si="49"/>
        <v>9607</v>
      </c>
      <c r="EC69">
        <f t="shared" ca="1" si="49"/>
        <v>0</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9980</v>
      </c>
      <c r="ER69" cm="1">
        <f t="array" aca="1" ref="ER69" ca="1">IF(ISNA(L69),0,OFFSET(INDIRECT("'"&amp;ER$67&amp;"'!g1"),L69-1,)*CS69)</f>
        <v>9999</v>
      </c>
      <c r="ES69" cm="1">
        <f t="array" aca="1" ref="ES69" ca="1">IF(ISNA(M69),0,OFFSET(INDIRECT("'"&amp;ES$67&amp;"'!g1"),M69-1,)*CT69)</f>
        <v>9607</v>
      </c>
      <c r="ET69" cm="1">
        <f t="array" aca="1" ref="ET69" ca="1">IF(ISNA(N69),0,OFFSET(INDIRECT("'"&amp;ET$67&amp;"'!g1"),N69-1,)*CU69)</f>
        <v>0</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3</v>
      </c>
      <c r="FN69" s="10"/>
      <c r="FO69" s="10"/>
      <c r="FP69" s="10"/>
      <c r="FQ69" s="10"/>
      <c r="FS69">
        <f t="shared" ref="FS69:FS86" ca="1" si="61">B69</f>
        <v>136</v>
      </c>
      <c r="FT69">
        <f t="shared" ref="FT69:FT86" ca="1" si="62">OFFSET($DC69,,$FT$66-1)</f>
        <v>10.954430013894999</v>
      </c>
      <c r="FU69">
        <f t="shared" ref="FU69:FU86" ca="1" si="63">OFFSET($DT69,,$FT$66-1)</f>
        <v>9980</v>
      </c>
      <c r="FV69">
        <f t="shared" ref="FV69:FV86" ca="1" si="64">OFFSET($FB69,,$FT$66-1)</f>
        <v>10000</v>
      </c>
      <c r="FW69" s="4">
        <f t="shared" ref="FW69:FW86" ca="1" si="65">IF(FV69,FU69/FV69,NA())</f>
        <v>0.998</v>
      </c>
      <c r="FX69" s="5">
        <f t="shared" ref="FX69:FX86" ca="1" si="66">IF(FU69,FT69/FU69,NA())</f>
        <v>1.0976382779453906E-3</v>
      </c>
      <c r="FZ69" s="13">
        <f t="shared" ca="1" si="50"/>
        <v>136</v>
      </c>
      <c r="GA69" s="22">
        <f t="shared" ref="GA69:GA86" ca="1" si="67">IF(BD69,(BU69-$C69)/$C69,NA())</f>
        <v>0</v>
      </c>
      <c r="GB69" s="22">
        <f t="shared" ca="1" si="51"/>
        <v>0</v>
      </c>
      <c r="GC69" s="22">
        <f t="shared" ca="1" si="51"/>
        <v>0</v>
      </c>
      <c r="GD69" s="22">
        <f t="shared" ca="1" si="51"/>
        <v>0</v>
      </c>
      <c r="GE69" s="22">
        <f t="shared" ca="1" si="51"/>
        <v>0</v>
      </c>
      <c r="GF69" s="22">
        <f t="shared" ca="1" si="51"/>
        <v>0</v>
      </c>
      <c r="GG69" s="22">
        <f t="shared" ca="1" si="51"/>
        <v>0</v>
      </c>
      <c r="GH69" s="22">
        <f t="shared" ca="1" si="51"/>
        <v>0</v>
      </c>
      <c r="GI69" s="22">
        <f t="shared" ca="1" si="51"/>
        <v>0</v>
      </c>
      <c r="GJ69" s="22" t="e">
        <f t="shared" ca="1" si="51"/>
        <v>#N/A</v>
      </c>
      <c r="GK69" s="22">
        <f t="shared" ca="1" si="51"/>
        <v>0</v>
      </c>
      <c r="GL69" s="22">
        <f t="shared" ca="1" si="51"/>
        <v>0</v>
      </c>
      <c r="GM69" s="22"/>
      <c r="GN69">
        <f t="shared" ref="GN69:GN86" ca="1" si="68">B69</f>
        <v>136</v>
      </c>
      <c r="GO69" s="5">
        <f t="shared" ref="GO69:GS86" ca="1" si="69">IF(AND(AM69&gt;0,DT69&gt;0),DC69/DT69,NA())</f>
        <v>0.17672084000000099</v>
      </c>
      <c r="GP69" s="5">
        <f t="shared" ca="1" si="52"/>
        <v>2.744710666</v>
      </c>
      <c r="GQ69" s="5">
        <f t="shared" ca="1" si="52"/>
        <v>0.24965510899997401</v>
      </c>
      <c r="GR69" s="5">
        <f t="shared" ca="1" si="52"/>
        <v>1.9450914000003601E-2</v>
      </c>
      <c r="GS69" s="5">
        <f t="shared" ca="1" si="52"/>
        <v>0.14731808303622501</v>
      </c>
      <c r="GT69" s="5">
        <f t="shared" ref="GT69:GZ86" ca="1" si="70">IF(DY69&gt;0,DH69/DY69,NA())</f>
        <v>0.24862493574619199</v>
      </c>
      <c r="GU69" s="5">
        <f t="shared" ca="1" si="53"/>
        <v>1.0976382779453906E-3</v>
      </c>
      <c r="GV69" s="5">
        <f t="shared" ca="1" si="53"/>
        <v>2.403974779719932E-3</v>
      </c>
      <c r="GW69" s="5">
        <f t="shared" ca="1" si="53"/>
        <v>4.8700904494407933E-3</v>
      </c>
      <c r="GX69" s="5" t="e">
        <f t="shared" ca="1" si="53"/>
        <v>#N/A</v>
      </c>
      <c r="GY69" s="5">
        <f t="shared" ca="1" si="53"/>
        <v>2.2251710994169099E-2</v>
      </c>
      <c r="GZ69" s="5">
        <f t="shared" ca="1" si="53"/>
        <v>1.5591390430927251E-2</v>
      </c>
      <c r="HB69" s="13">
        <f t="shared" ca="1" si="54"/>
        <v>136</v>
      </c>
      <c r="HC69" s="4">
        <f t="shared" ref="HC69:HC86" ca="1" si="71">IF(FB69,DT69/FB69,)</f>
        <v>1</v>
      </c>
      <c r="HD69" s="4">
        <f t="shared" ca="1" si="55"/>
        <v>1</v>
      </c>
      <c r="HE69" s="4">
        <f t="shared" ca="1" si="55"/>
        <v>1</v>
      </c>
      <c r="HF69" s="4">
        <f t="shared" ca="1" si="55"/>
        <v>1</v>
      </c>
      <c r="HG69" s="4">
        <f t="shared" ca="1" si="55"/>
        <v>1</v>
      </c>
      <c r="HH69" s="4">
        <f t="shared" ca="1" si="55"/>
        <v>1</v>
      </c>
      <c r="HI69" s="4">
        <f t="shared" ca="1" si="55"/>
        <v>0.998</v>
      </c>
      <c r="HJ69" s="4">
        <f t="shared" ca="1" si="55"/>
        <v>0.99990000000000001</v>
      </c>
      <c r="HK69" s="4">
        <f t="shared" ca="1" si="55"/>
        <v>0.9607</v>
      </c>
      <c r="HL69" s="4">
        <f t="shared" ca="1" si="55"/>
        <v>0</v>
      </c>
      <c r="HM69" s="4">
        <f t="shared" ca="1" si="55"/>
        <v>1</v>
      </c>
      <c r="HN69" s="4">
        <f t="shared" ca="1" si="55"/>
        <v>0.66666666666666663</v>
      </c>
    </row>
    <row r="70" spans="1:222" x14ac:dyDescent="0.2">
      <c r="A70" t="str" cm="1">
        <f t="array" aca="1" ref="A70" ca="1">INDIRECT($A$67&amp;"!A"&amp;ROW(C3)+$B$64)</f>
        <v>AJ_07</v>
      </c>
      <c r="B70" cm="1">
        <f t="array" aca="1" ref="B70" ca="1">INDIRECT($A$67&amp;"!b"&amp;ROW(D3)+$B$64)</f>
        <v>238</v>
      </c>
      <c r="C70">
        <f t="shared" ca="1" si="56"/>
        <v>6</v>
      </c>
      <c r="E70">
        <f t="shared" ca="1" si="43"/>
        <v>27</v>
      </c>
      <c r="F70">
        <f t="shared" ca="1" si="43"/>
        <v>28</v>
      </c>
      <c r="G70">
        <f t="shared" ca="1" si="43"/>
        <v>27</v>
      </c>
      <c r="H70">
        <f t="shared" ca="1" si="43"/>
        <v>27</v>
      </c>
      <c r="I70">
        <f t="shared" ca="1" si="43"/>
        <v>30</v>
      </c>
      <c r="J70">
        <f t="shared" ca="1" si="43"/>
        <v>27</v>
      </c>
      <c r="K70">
        <f t="shared" ca="1" si="43"/>
        <v>27</v>
      </c>
      <c r="L70">
        <f t="shared" ca="1" si="43"/>
        <v>175</v>
      </c>
      <c r="M70">
        <f t="shared" ca="1" si="43"/>
        <v>33</v>
      </c>
      <c r="N70">
        <f t="shared" ca="1" si="43"/>
        <v>27</v>
      </c>
      <c r="O70">
        <f t="shared" ca="1" si="43"/>
        <v>27</v>
      </c>
      <c r="P70">
        <f t="shared" ca="1" si="43"/>
        <v>27</v>
      </c>
      <c r="V70" cm="1">
        <f t="array" aca="1" ref="V70" ca="1">IF(ISNA(E70),,OFFSET(INDIRECT("'"&amp;V$67&amp;"'!d1"),E70-1,))</f>
        <v>6</v>
      </c>
      <c r="W70" cm="1">
        <f t="array" aca="1" ref="W70" ca="1">IF(ISNA(F70),,OFFSET(INDIRECT("'"&amp;W$67&amp;"'!d1"),F70-1,))</f>
        <v>6</v>
      </c>
      <c r="X70" cm="1">
        <f t="array" aca="1" ref="X70" ca="1">IF(ISNA(G70),,OFFSET(INDIRECT("'"&amp;X$67&amp;"'!d1"),G70-1,))</f>
        <v>6</v>
      </c>
      <c r="Y70" cm="1">
        <f t="array" aca="1" ref="Y70" ca="1">IF(ISNA(H70),,OFFSET(INDIRECT("'"&amp;Y$67&amp;"'!d1"),H70-1,))</f>
        <v>6</v>
      </c>
      <c r="Z70" cm="1">
        <f t="array" aca="1" ref="Z70" ca="1">IF(ISNA(I70),,OFFSET(INDIRECT("'"&amp;Z$67&amp;"'!d1"),I70-1,))</f>
        <v>6</v>
      </c>
      <c r="AA70" cm="1">
        <f t="array" aca="1" ref="AA70" ca="1">IF(ISNA(J70),,OFFSET(INDIRECT("'"&amp;AA$67&amp;"'!d1"),J70-1,))</f>
        <v>6</v>
      </c>
      <c r="AB70" cm="1">
        <f t="array" aca="1" ref="AB70" ca="1">IF(ISNA(K70),,OFFSET(INDIRECT("'"&amp;AB$67&amp;"'!d1"),K70-1,))</f>
        <v>6</v>
      </c>
      <c r="AC70" cm="1">
        <f t="array" aca="1" ref="AC70" ca="1">IF(ISNA(L70),,OFFSET(INDIRECT("'"&amp;AC$67&amp;"'!d1"),L70-1,))</f>
        <v>6</v>
      </c>
      <c r="AD70" cm="1">
        <f t="array" aca="1" ref="AD70" ca="1">IF(ISNA(M70),,OFFSET(INDIRECT("'"&amp;AD$67&amp;"'!d1"),M70-1,))</f>
        <v>6</v>
      </c>
      <c r="AE70" cm="1">
        <f t="array" aca="1" ref="AE70" ca="1">IF(ISNA(N70),,OFFSET(INDIRECT("'"&amp;AE$67&amp;"'!d1"),N70-1,))</f>
        <v>0</v>
      </c>
      <c r="AF70" cm="1">
        <f t="array" aca="1" ref="AF70" ca="1">IF(ISNA(O70),,OFFSET(INDIRECT("'"&amp;AF$67&amp;"'!d1"),O70-1,))</f>
        <v>8</v>
      </c>
      <c r="AG70" cm="1">
        <f t="array" aca="1" ref="AG70" ca="1">IF(ISNA(P70),,OFFSET(INDIRECT("'"&amp;AG$67&amp;"'!d1"),P70-1,))</f>
        <v>6</v>
      </c>
      <c r="AM70">
        <f t="shared" ca="1" si="57"/>
        <v>1</v>
      </c>
      <c r="AN70">
        <f t="shared" ca="1" si="44"/>
        <v>1</v>
      </c>
      <c r="AO70">
        <f t="shared" ca="1" si="44"/>
        <v>1</v>
      </c>
      <c r="AP70">
        <f t="shared" ca="1" si="44"/>
        <v>1</v>
      </c>
      <c r="AQ70">
        <f t="shared" ca="1" si="58"/>
        <v>1</v>
      </c>
      <c r="AV70" t="b">
        <f t="shared" ca="1" si="59"/>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0</v>
      </c>
      <c r="BN70">
        <f t="shared" ca="1" si="46"/>
        <v>1</v>
      </c>
      <c r="BO70">
        <f t="shared" ca="1" si="46"/>
        <v>1</v>
      </c>
      <c r="BU70">
        <f t="shared" ca="1" si="47"/>
        <v>6</v>
      </c>
      <c r="BV70">
        <f t="shared" ca="1" si="47"/>
        <v>6</v>
      </c>
      <c r="BW70">
        <f t="shared" ca="1" si="47"/>
        <v>6</v>
      </c>
      <c r="BX70">
        <f t="shared" ca="1" si="47"/>
        <v>6</v>
      </c>
      <c r="BY70">
        <f t="shared" ca="1" si="47"/>
        <v>6</v>
      </c>
      <c r="BZ70">
        <f t="shared" ca="1" si="47"/>
        <v>6</v>
      </c>
      <c r="CA70">
        <f t="shared" ca="1" si="47"/>
        <v>6</v>
      </c>
      <c r="CB70">
        <f t="shared" ca="1" si="47"/>
        <v>6</v>
      </c>
      <c r="CC70">
        <f t="shared" ca="1" si="47"/>
        <v>6</v>
      </c>
      <c r="CD70">
        <f t="shared" ca="1" si="47"/>
        <v>238</v>
      </c>
      <c r="CE70">
        <f t="shared" ca="1" si="47"/>
        <v>8</v>
      </c>
      <c r="CF70">
        <f t="shared" ca="1" si="47"/>
        <v>6</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0</v>
      </c>
      <c r="CV70">
        <f t="shared" ca="1" si="48"/>
        <v>0</v>
      </c>
      <c r="CW70">
        <f t="shared" ca="1" si="48"/>
        <v>1</v>
      </c>
      <c r="DC70" cm="1">
        <f t="array" aca="1" ref="DC70" ca="1">IF(ISNA(E70),,OFFSET(INDIRECT("'"&amp;DT$67&amp;"'!f1"),E70-1,))*1</f>
        <v>0.57634752299998104</v>
      </c>
      <c r="DD70" cm="1">
        <f t="array" aca="1" ref="DD70" ca="1">IF(ISNA(F70),,OFFSET(INDIRECT("'"&amp;DU$67&amp;"'!f1"),F70-1,))*1</f>
        <v>9.5074303979999897</v>
      </c>
      <c r="DE70" cm="1">
        <f t="array" aca="1" ref="DE70" ca="1">IF(ISNA(G70),,OFFSET(INDIRECT("'"&amp;DV$67&amp;"'!f1"),G70-1,))*1</f>
        <v>3.8439236290000101</v>
      </c>
      <c r="DF70" cm="1">
        <f t="array" aca="1" ref="DF70" ca="1">IF(ISNA(H70),,OFFSET(INDIRECT("'"&amp;DW$67&amp;"'!f1"),H70-1,))*1</f>
        <v>2.44106529999896E-2</v>
      </c>
      <c r="DG70" cm="1">
        <f t="array" aca="1" ref="DG70" ca="1">IF(ISNA(I70),,OFFSET(INDIRECT("'"&amp;DX$67&amp;"'!f1"),I70-1,))*1</f>
        <v>1460.967287042</v>
      </c>
      <c r="DH70" cm="1">
        <f t="array" aca="1" ref="DH70" ca="1">IF(ISNA(J70),,OFFSET(INDIRECT("'"&amp;DY$67&amp;"'!f1"),J70-1,))*1</f>
        <v>1.01099157333374</v>
      </c>
      <c r="DI70" cm="1">
        <f t="array" aca="1" ref="DI70" ca="1">IF(ISNA(K70),,OFFSET(INDIRECT("'"&amp;DZ$67&amp;"'!f1"),K70-1,))*1</f>
        <v>32.902134552598</v>
      </c>
      <c r="DJ70" cm="1">
        <f t="array" aca="1" ref="DJ70" ca="1">IF(ISNA(L70),,OFFSET(INDIRECT("'"&amp;EA$67&amp;"'!f1"),L70-1,))*1</f>
        <v>65.054324553348096</v>
      </c>
      <c r="DK70" cm="1">
        <f t="array" aca="1" ref="DK70" ca="1">IF(ISNA(M70),,OFFSET(INDIRECT("'"&amp;EB$67&amp;"'!f1"),M70-1,))*1</f>
        <v>74.622538089752197</v>
      </c>
      <c r="DL70" cm="1">
        <f t="array" aca="1" ref="DL70" ca="1">IF(ISNA(N70),,OFFSET(INDIRECT("'"&amp;EC$67&amp;"'!f1"),N70-1,))*1</f>
        <v>4.0454108995618299E-2</v>
      </c>
      <c r="DM70" cm="1">
        <f t="array" aca="1" ref="DM70" ca="1">IF(ISNA(O70),,OFFSET(INDIRECT("'"&amp;ED$67&amp;"'!f1"),O70-1,))*1</f>
        <v>4.3802503001643303E-2</v>
      </c>
      <c r="DN70" cm="1">
        <f t="array" aca="1" ref="DN70" ca="1">IF(ISNA(P70),,OFFSET(INDIRECT("'"&amp;EE$67&amp;"'!f1"),P70-1,))*1</f>
        <v>8.8174276053905404E-2</v>
      </c>
      <c r="DT70">
        <f t="shared" ca="1" si="60"/>
        <v>1</v>
      </c>
      <c r="DU70">
        <f t="shared" ca="1" si="49"/>
        <v>1</v>
      </c>
      <c r="DV70">
        <f t="shared" ca="1" si="49"/>
        <v>1</v>
      </c>
      <c r="DW70">
        <f t="shared" ca="1" si="49"/>
        <v>1</v>
      </c>
      <c r="DX70">
        <f t="shared" ca="1" si="49"/>
        <v>1</v>
      </c>
      <c r="DY70">
        <f t="shared" ca="1" si="49"/>
        <v>1</v>
      </c>
      <c r="DZ70">
        <f t="shared" ca="1" si="49"/>
        <v>7251</v>
      </c>
      <c r="EA70">
        <f t="shared" ca="1" si="49"/>
        <v>9894</v>
      </c>
      <c r="EB70">
        <f t="shared" ca="1" si="49"/>
        <v>5097</v>
      </c>
      <c r="EC70">
        <f t="shared" ca="1" si="49"/>
        <v>0</v>
      </c>
      <c r="ED70">
        <f t="shared" ca="1" si="49"/>
        <v>0</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7251</v>
      </c>
      <c r="ER70" cm="1">
        <f t="array" aca="1" ref="ER70" ca="1">IF(ISNA(L70),0,OFFSET(INDIRECT("'"&amp;ER$67&amp;"'!g1"),L70-1,)*CS70)</f>
        <v>9894</v>
      </c>
      <c r="ES70" cm="1">
        <f t="array" aca="1" ref="ES70" ca="1">IF(ISNA(M70),0,OFFSET(INDIRECT("'"&amp;ES$67&amp;"'!g1"),M70-1,)*CT70)</f>
        <v>5097</v>
      </c>
      <c r="ET70" cm="1">
        <f t="array" aca="1" ref="ET70" ca="1">IF(ISNA(N70),0,OFFSET(INDIRECT("'"&amp;ET$67&amp;"'!g1"),N70-1,)*CU70)</f>
        <v>0</v>
      </c>
      <c r="EU70" cm="1">
        <f t="array" aca="1" ref="EU70" ca="1">IF(ISNA(O70),0,OFFSET(INDIRECT("'"&amp;EU$67&amp;"'!g1"),O70-1,)*CV70)</f>
        <v>0</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4</v>
      </c>
      <c r="FN70" s="10"/>
      <c r="FO70" s="10"/>
      <c r="FP70" s="10"/>
      <c r="FQ70" s="10"/>
      <c r="FS70">
        <f t="shared" ca="1" si="61"/>
        <v>238</v>
      </c>
      <c r="FT70">
        <f t="shared" ca="1" si="62"/>
        <v>32.902134552598</v>
      </c>
      <c r="FU70">
        <f t="shared" ca="1" si="63"/>
        <v>7251</v>
      </c>
      <c r="FV70">
        <f t="shared" ca="1" si="64"/>
        <v>10000</v>
      </c>
      <c r="FW70" s="4">
        <f t="shared" ca="1" si="65"/>
        <v>0.72509999999999997</v>
      </c>
      <c r="FX70" s="5">
        <f t="shared" ca="1" si="66"/>
        <v>4.537599579726658E-3</v>
      </c>
      <c r="FZ70" s="13">
        <f t="shared" ca="1" si="50"/>
        <v>238</v>
      </c>
      <c r="GA70" s="22">
        <f t="shared" ca="1" si="67"/>
        <v>0</v>
      </c>
      <c r="GB70" s="22">
        <f t="shared" ca="1" si="51"/>
        <v>0</v>
      </c>
      <c r="GC70" s="22">
        <f t="shared" ca="1" si="51"/>
        <v>0</v>
      </c>
      <c r="GD70" s="22">
        <f t="shared" ca="1" si="51"/>
        <v>0</v>
      </c>
      <c r="GE70" s="22">
        <f t="shared" ca="1" si="51"/>
        <v>0</v>
      </c>
      <c r="GF70" s="22">
        <f t="shared" ca="1" si="51"/>
        <v>0</v>
      </c>
      <c r="GG70" s="22">
        <f t="shared" ca="1" si="51"/>
        <v>0</v>
      </c>
      <c r="GH70" s="22">
        <f t="shared" ca="1" si="51"/>
        <v>0</v>
      </c>
      <c r="GI70" s="22">
        <f t="shared" ca="1" si="51"/>
        <v>0</v>
      </c>
      <c r="GJ70" s="22" t="e">
        <f t="shared" ca="1" si="51"/>
        <v>#N/A</v>
      </c>
      <c r="GK70" s="22">
        <f t="shared" ca="1" si="51"/>
        <v>0.33333333333333331</v>
      </c>
      <c r="GL70" s="22">
        <f t="shared" ca="1" si="51"/>
        <v>0</v>
      </c>
      <c r="GM70" s="22"/>
      <c r="GN70">
        <f t="shared" ca="1" si="68"/>
        <v>238</v>
      </c>
      <c r="GO70" s="5">
        <f t="shared" ca="1" si="69"/>
        <v>0.57634752299998104</v>
      </c>
      <c r="GP70" s="5">
        <f t="shared" ca="1" si="52"/>
        <v>9.5074303979999897</v>
      </c>
      <c r="GQ70" s="5">
        <f t="shared" ca="1" si="52"/>
        <v>3.8439236290000101</v>
      </c>
      <c r="GR70" s="5">
        <f t="shared" ca="1" si="52"/>
        <v>2.44106529999896E-2</v>
      </c>
      <c r="GS70" s="5">
        <f t="shared" ca="1" si="52"/>
        <v>1460.967287042</v>
      </c>
      <c r="GT70" s="5">
        <f t="shared" ca="1" si="70"/>
        <v>1.01099157333374</v>
      </c>
      <c r="GU70" s="5">
        <f t="shared" ca="1" si="53"/>
        <v>4.537599579726658E-3</v>
      </c>
      <c r="GV70" s="5">
        <f t="shared" ca="1" si="53"/>
        <v>6.5751288208356681E-3</v>
      </c>
      <c r="GW70" s="5">
        <f t="shared" ca="1" si="53"/>
        <v>1.4640482262066353E-2</v>
      </c>
      <c r="GX70" s="5" t="e">
        <f t="shared" ca="1" si="53"/>
        <v>#N/A</v>
      </c>
      <c r="GY70" s="5" t="e">
        <f t="shared" ca="1" si="53"/>
        <v>#N/A</v>
      </c>
      <c r="GZ70" s="5">
        <f t="shared" ca="1" si="53"/>
        <v>4.4087138026952702E-2</v>
      </c>
      <c r="HB70" s="13">
        <f t="shared" ca="1" si="54"/>
        <v>238</v>
      </c>
      <c r="HC70" s="4">
        <f t="shared" ca="1" si="71"/>
        <v>1</v>
      </c>
      <c r="HD70" s="4">
        <f t="shared" ca="1" si="55"/>
        <v>1</v>
      </c>
      <c r="HE70" s="4">
        <f t="shared" ca="1" si="55"/>
        <v>1</v>
      </c>
      <c r="HF70" s="4">
        <f t="shared" ca="1" si="55"/>
        <v>1</v>
      </c>
      <c r="HG70" s="4">
        <f t="shared" ca="1" si="55"/>
        <v>1</v>
      </c>
      <c r="HH70" s="4">
        <f t="shared" ca="1" si="55"/>
        <v>1</v>
      </c>
      <c r="HI70" s="4">
        <f t="shared" ca="1" si="55"/>
        <v>0.72509999999999997</v>
      </c>
      <c r="HJ70" s="4">
        <f t="shared" ca="1" si="55"/>
        <v>0.98939999999999995</v>
      </c>
      <c r="HK70" s="4">
        <f t="shared" ca="1" si="55"/>
        <v>0.50970000000000004</v>
      </c>
      <c r="HL70" s="4">
        <f t="shared" ca="1" si="55"/>
        <v>0</v>
      </c>
      <c r="HM70" s="4">
        <f t="shared" ca="1" si="55"/>
        <v>0</v>
      </c>
      <c r="HN70" s="4">
        <f t="shared" ca="1" si="55"/>
        <v>0.5</v>
      </c>
    </row>
    <row r="71" spans="1:222" x14ac:dyDescent="0.2">
      <c r="A71" t="str" cm="1">
        <f t="array" aca="1" ref="A71" ca="1">INDIRECT($A$67&amp;"!A"&amp;ROW(C4)+$B$64)</f>
        <v>AJ_10</v>
      </c>
      <c r="B71" cm="1">
        <f t="array" aca="1" ref="B71" ca="1">INDIRECT($A$67&amp;"!b"&amp;ROW(D4)+$B$64)</f>
        <v>340</v>
      </c>
      <c r="C71">
        <f t="shared" ca="1" si="56"/>
        <v>8</v>
      </c>
      <c r="E71">
        <f t="shared" ca="1" si="43"/>
        <v>28</v>
      </c>
      <c r="F71">
        <f t="shared" ca="1" si="43"/>
        <v>29</v>
      </c>
      <c r="G71">
        <f t="shared" ca="1" si="43"/>
        <v>28</v>
      </c>
      <c r="H71">
        <f t="shared" ca="1" si="43"/>
        <v>28</v>
      </c>
      <c r="I71">
        <f t="shared" ca="1" si="43"/>
        <v>31</v>
      </c>
      <c r="J71">
        <f t="shared" ca="1" si="43"/>
        <v>28</v>
      </c>
      <c r="K71">
        <f t="shared" ca="1" si="43"/>
        <v>28</v>
      </c>
      <c r="L71">
        <f t="shared" ca="1" si="43"/>
        <v>176</v>
      </c>
      <c r="M71">
        <f t="shared" ca="1" si="43"/>
        <v>34</v>
      </c>
      <c r="N71">
        <f t="shared" ca="1" si="43"/>
        <v>28</v>
      </c>
      <c r="O71">
        <f t="shared" ca="1" si="43"/>
        <v>28</v>
      </c>
      <c r="P71">
        <f t="shared" ca="1" si="43"/>
        <v>28</v>
      </c>
      <c r="V71" cm="1">
        <f t="array" aca="1" ref="V71" ca="1">IF(ISNA(E71),,OFFSET(INDIRECT("'"&amp;V$67&amp;"'!d1"),E71-1,))</f>
        <v>8</v>
      </c>
      <c r="W71" cm="1">
        <f t="array" aca="1" ref="W71" ca="1">IF(ISNA(F71),,OFFSET(INDIRECT("'"&amp;W$67&amp;"'!d1"),F71-1,))</f>
        <v>8</v>
      </c>
      <c r="X71" cm="1">
        <f t="array" aca="1" ref="X71" ca="1">IF(ISNA(G71),,OFFSET(INDIRECT("'"&amp;X$67&amp;"'!d1"),G71-1,))</f>
        <v>8</v>
      </c>
      <c r="Y71" cm="1">
        <f t="array" aca="1" ref="Y71" ca="1">IF(ISNA(H71),,OFFSET(INDIRECT("'"&amp;Y$67&amp;"'!d1"),H71-1,))</f>
        <v>8</v>
      </c>
      <c r="Z71" cm="1">
        <f t="array" aca="1" ref="Z71" ca="1">IF(ISNA(I71),,OFFSET(INDIRECT("'"&amp;Z$67&amp;"'!d1"),I71-1,))</f>
        <v>8</v>
      </c>
      <c r="AA71" cm="1">
        <f t="array" aca="1" ref="AA71" ca="1">IF(ISNA(J71),,OFFSET(INDIRECT("'"&amp;AA$67&amp;"'!d1"),J71-1,))</f>
        <v>8</v>
      </c>
      <c r="AB71" cm="1">
        <f t="array" aca="1" ref="AB71" ca="1">IF(ISNA(K71),,OFFSET(INDIRECT("'"&amp;AB$67&amp;"'!d1"),K71-1,))</f>
        <v>8</v>
      </c>
      <c r="AC71" cm="1">
        <f t="array" aca="1" ref="AC71" ca="1">IF(ISNA(L71),,OFFSET(INDIRECT("'"&amp;AC$67&amp;"'!d1"),L71-1,))</f>
        <v>8</v>
      </c>
      <c r="AD71" cm="1">
        <f t="array" aca="1" ref="AD71" ca="1">IF(ISNA(M71),,OFFSET(INDIRECT("'"&amp;AD$67&amp;"'!d1"),M71-1,))</f>
        <v>8</v>
      </c>
      <c r="AE71" cm="1">
        <f t="array" aca="1" ref="AE71" ca="1">IF(ISNA(N71),,OFFSET(INDIRECT("'"&amp;AE$67&amp;"'!d1"),N71-1,))</f>
        <v>0</v>
      </c>
      <c r="AF71" cm="1">
        <f t="array" aca="1" ref="AF71" ca="1">IF(ISNA(O71),,OFFSET(INDIRECT("'"&amp;AF$67&amp;"'!d1"),O71-1,))</f>
        <v>10</v>
      </c>
      <c r="AG71" cm="1">
        <f t="array" aca="1" ref="AG71" ca="1">IF(ISNA(P71),,OFFSET(INDIRECT("'"&amp;AG$67&amp;"'!d1"),P71-1,))</f>
        <v>8</v>
      </c>
      <c r="AM71">
        <f t="shared" ca="1" si="57"/>
        <v>1</v>
      </c>
      <c r="AN71">
        <f t="shared" ca="1" si="44"/>
        <v>1</v>
      </c>
      <c r="AO71">
        <f t="shared" ca="1" si="44"/>
        <v>1</v>
      </c>
      <c r="AP71">
        <f t="shared" ca="1" si="44"/>
        <v>1</v>
      </c>
      <c r="AQ71">
        <f t="shared" ca="1" si="58"/>
        <v>0</v>
      </c>
      <c r="AV71" t="b">
        <f t="shared" ca="1" si="59"/>
        <v>1</v>
      </c>
      <c r="AW71" t="b">
        <f t="shared" ca="1" si="45"/>
        <v>1</v>
      </c>
      <c r="AX71" t="b">
        <f t="shared" ca="1" si="45"/>
        <v>1</v>
      </c>
      <c r="AY71" t="b">
        <f t="shared" ca="1" si="45"/>
        <v>1</v>
      </c>
      <c r="AZ71" t="str">
        <f t="shared" ca="1" si="45"/>
        <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0</v>
      </c>
      <c r="BN71">
        <f t="shared" ca="1" si="46"/>
        <v>1</v>
      </c>
      <c r="BO71">
        <f t="shared" ca="1" si="46"/>
        <v>1</v>
      </c>
      <c r="BU71">
        <f t="shared" ca="1" si="47"/>
        <v>8</v>
      </c>
      <c r="BV71">
        <f t="shared" ca="1" si="47"/>
        <v>8</v>
      </c>
      <c r="BW71">
        <f t="shared" ca="1" si="47"/>
        <v>8</v>
      </c>
      <c r="BX71">
        <f t="shared" ca="1" si="47"/>
        <v>8</v>
      </c>
      <c r="BY71">
        <f t="shared" ca="1" si="47"/>
        <v>8</v>
      </c>
      <c r="BZ71">
        <f t="shared" ca="1" si="47"/>
        <v>8</v>
      </c>
      <c r="CA71">
        <f t="shared" ca="1" si="47"/>
        <v>8</v>
      </c>
      <c r="CB71">
        <f t="shared" ca="1" si="47"/>
        <v>8</v>
      </c>
      <c r="CC71">
        <f t="shared" ca="1" si="47"/>
        <v>8</v>
      </c>
      <c r="CD71">
        <f t="shared" ca="1" si="47"/>
        <v>340</v>
      </c>
      <c r="CE71">
        <f t="shared" ca="1" si="47"/>
        <v>10</v>
      </c>
      <c r="CF71">
        <f t="shared" ca="1" si="47"/>
        <v>8</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0</v>
      </c>
      <c r="CV71">
        <f t="shared" ca="1" si="48"/>
        <v>0</v>
      </c>
      <c r="CW71">
        <f t="shared" ca="1" si="48"/>
        <v>1</v>
      </c>
      <c r="DC71" cm="1">
        <f t="array" aca="1" ref="DC71" ca="1">IF(ISNA(E71),,OFFSET(INDIRECT("'"&amp;DT$67&amp;"'!f1"),E71-1,))*1</f>
        <v>12.557175188</v>
      </c>
      <c r="DD71" cm="1">
        <f t="array" aca="1" ref="DD71" ca="1">IF(ISNA(F71),,OFFSET(INDIRECT("'"&amp;DU$67&amp;"'!f1"),F71-1,))*1</f>
        <v>128.83787709000001</v>
      </c>
      <c r="DE71" cm="1">
        <f t="array" aca="1" ref="DE71" ca="1">IF(ISNA(G71),,OFFSET(INDIRECT("'"&amp;DV$67&amp;"'!f1"),G71-1,))*1</f>
        <v>20.0395554639999</v>
      </c>
      <c r="DF71" cm="1">
        <f t="array" aca="1" ref="DF71" ca="1">IF(ISNA(H71),,OFFSET(INDIRECT("'"&amp;DW$67&amp;"'!f1"),H71-1,))*1</f>
        <v>0.422455460000009</v>
      </c>
      <c r="DG71" cm="1">
        <f t="array" aca="1" ref="DG71" ca="1">IF(ISNA(I71),,OFFSET(INDIRECT("'"&amp;DX$67&amp;"'!f1"),I71-1,))*1</f>
        <v>28800.153363249901</v>
      </c>
      <c r="DH71" cm="1">
        <f t="array" aca="1" ref="DH71" ca="1">IF(ISNA(J71),,OFFSET(INDIRECT("'"&amp;DY$67&amp;"'!f1"),J71-1,))*1</f>
        <v>1.7463106513023301</v>
      </c>
      <c r="DI71" cm="1">
        <f t="array" aca="1" ref="DI71" ca="1">IF(ISNA(K71),,OFFSET(INDIRECT("'"&amp;DZ$67&amp;"'!f1"),K71-1,))*1</f>
        <v>77.268566101789403</v>
      </c>
      <c r="DJ71" cm="1">
        <f t="array" aca="1" ref="DJ71" ca="1">IF(ISNA(L71),,OFFSET(INDIRECT("'"&amp;EA$67&amp;"'!f1"),L71-1,))*1</f>
        <v>153.92073924466899</v>
      </c>
      <c r="DK71" cm="1">
        <f t="array" aca="1" ref="DK71" ca="1">IF(ISNA(M71),,OFFSET(INDIRECT("'"&amp;EB$67&amp;"'!f1"),M71-1,))*1</f>
        <v>139.63927976786999</v>
      </c>
      <c r="DL71" cm="1">
        <f t="array" aca="1" ref="DL71" ca="1">IF(ISNA(N71),,OFFSET(INDIRECT("'"&amp;EC$67&amp;"'!f1"),N71-1,))*1</f>
        <v>6.7907819000538397E-2</v>
      </c>
      <c r="DM71" cm="1">
        <f t="array" aca="1" ref="DM71" ca="1">IF(ISNA(O71),,OFFSET(INDIRECT("'"&amp;ED$67&amp;"'!f1"),O71-1,))*1</f>
        <v>7.9245547996833907E-2</v>
      </c>
      <c r="DN71" cm="1">
        <f t="array" aca="1" ref="DN71" ca="1">IF(ISNA(P71),,OFFSET(INDIRECT("'"&amp;EE$67&amp;"'!f1"),P71-1,))*1</f>
        <v>0.36512173712253498</v>
      </c>
      <c r="DT71">
        <f t="shared" ca="1" si="60"/>
        <v>1</v>
      </c>
      <c r="DU71">
        <f t="shared" ca="1" si="49"/>
        <v>1</v>
      </c>
      <c r="DV71">
        <f t="shared" ca="1" si="49"/>
        <v>1</v>
      </c>
      <c r="DW71">
        <f t="shared" ca="1" si="49"/>
        <v>1</v>
      </c>
      <c r="DX71">
        <f t="shared" ca="1" si="49"/>
        <v>1</v>
      </c>
      <c r="DY71">
        <f t="shared" ca="1" si="49"/>
        <v>1</v>
      </c>
      <c r="DZ71">
        <f t="shared" ca="1" si="49"/>
        <v>9148</v>
      </c>
      <c r="EA71">
        <f t="shared" ca="1" si="49"/>
        <v>9980</v>
      </c>
      <c r="EB71">
        <f t="shared" ca="1" si="49"/>
        <v>7410</v>
      </c>
      <c r="EC71">
        <f t="shared" ca="1" si="49"/>
        <v>0</v>
      </c>
      <c r="ED71">
        <f t="shared" ca="1" si="49"/>
        <v>0</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9148</v>
      </c>
      <c r="ER71" cm="1">
        <f t="array" aca="1" ref="ER71" ca="1">IF(ISNA(L71),0,OFFSET(INDIRECT("'"&amp;ER$67&amp;"'!g1"),L71-1,)*CS71)</f>
        <v>9980</v>
      </c>
      <c r="ES71" cm="1">
        <f t="array" aca="1" ref="ES71" ca="1">IF(ISNA(M71),0,OFFSET(INDIRECT("'"&amp;ES$67&amp;"'!g1"),M71-1,)*CT71)</f>
        <v>7410</v>
      </c>
      <c r="ET71" cm="1">
        <f t="array" aca="1" ref="ET71" ca="1">IF(ISNA(N71),0,OFFSET(INDIRECT("'"&amp;ET$67&amp;"'!g1"),N71-1,)*CU71)</f>
        <v>0</v>
      </c>
      <c r="EU71" cm="1">
        <f t="array" aca="1" ref="EU71" ca="1">IF(ISNA(O71),0,OFFSET(INDIRECT("'"&amp;EU$67&amp;"'!g1"),O71-1,)*CV71)</f>
        <v>0</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4</v>
      </c>
      <c r="FN71" s="10"/>
      <c r="FO71" s="10"/>
      <c r="FP71" s="10"/>
      <c r="FQ71" s="10"/>
      <c r="FS71">
        <f t="shared" ca="1" si="61"/>
        <v>340</v>
      </c>
      <c r="FT71">
        <f t="shared" ca="1" si="62"/>
        <v>77.268566101789403</v>
      </c>
      <c r="FU71">
        <f t="shared" ca="1" si="63"/>
        <v>9148</v>
      </c>
      <c r="FV71">
        <f t="shared" ca="1" si="64"/>
        <v>10000</v>
      </c>
      <c r="FW71" s="4">
        <f t="shared" ca="1" si="65"/>
        <v>0.91479999999999995</v>
      </c>
      <c r="FX71" s="5">
        <f t="shared" ca="1" si="66"/>
        <v>8.4464982621107795E-3</v>
      </c>
      <c r="FZ71" s="13">
        <f t="shared" ca="1" si="50"/>
        <v>340</v>
      </c>
      <c r="GA71" s="22">
        <f t="shared" ca="1" si="67"/>
        <v>0</v>
      </c>
      <c r="GB71" s="22">
        <f t="shared" ca="1" si="51"/>
        <v>0</v>
      </c>
      <c r="GC71" s="22">
        <f t="shared" ca="1" si="51"/>
        <v>0</v>
      </c>
      <c r="GD71" s="22">
        <f t="shared" ca="1" si="51"/>
        <v>0</v>
      </c>
      <c r="GE71" s="22">
        <f t="shared" ca="1" si="51"/>
        <v>0</v>
      </c>
      <c r="GF71" s="22">
        <f t="shared" ca="1" si="51"/>
        <v>0</v>
      </c>
      <c r="GG71" s="22">
        <f t="shared" ca="1" si="51"/>
        <v>0</v>
      </c>
      <c r="GH71" s="22">
        <f t="shared" ca="1" si="51"/>
        <v>0</v>
      </c>
      <c r="GI71" s="22">
        <f t="shared" ca="1" si="51"/>
        <v>0</v>
      </c>
      <c r="GJ71" s="22" t="e">
        <f t="shared" ca="1" si="51"/>
        <v>#N/A</v>
      </c>
      <c r="GK71" s="22">
        <f t="shared" ca="1" si="51"/>
        <v>0.25</v>
      </c>
      <c r="GL71" s="22">
        <f t="shared" ca="1" si="51"/>
        <v>0</v>
      </c>
      <c r="GM71" s="22"/>
      <c r="GN71">
        <f t="shared" ca="1" si="68"/>
        <v>340</v>
      </c>
      <c r="GO71" s="5">
        <f t="shared" ca="1" si="69"/>
        <v>12.557175188</v>
      </c>
      <c r="GP71" s="5">
        <f t="shared" ca="1" si="52"/>
        <v>128.83787709000001</v>
      </c>
      <c r="GQ71" s="5">
        <f t="shared" ca="1" si="52"/>
        <v>20.0395554639999</v>
      </c>
      <c r="GR71" s="5">
        <f t="shared" ca="1" si="52"/>
        <v>0.422455460000009</v>
      </c>
      <c r="GS71" s="5" t="e">
        <f t="shared" ca="1" si="52"/>
        <v>#N/A</v>
      </c>
      <c r="GT71" s="5">
        <f t="shared" ca="1" si="70"/>
        <v>1.7463106513023301</v>
      </c>
      <c r="GU71" s="5">
        <f t="shared" ca="1" si="53"/>
        <v>8.4464982621107795E-3</v>
      </c>
      <c r="GV71" s="5">
        <f t="shared" ca="1" si="53"/>
        <v>1.5422919763994888E-2</v>
      </c>
      <c r="GW71" s="5">
        <f t="shared" ca="1" si="53"/>
        <v>1.8844707121170038E-2</v>
      </c>
      <c r="GX71" s="5" t="e">
        <f t="shared" ca="1" si="53"/>
        <v>#N/A</v>
      </c>
      <c r="GY71" s="5" t="e">
        <f t="shared" ca="1" si="53"/>
        <v>#N/A</v>
      </c>
      <c r="GZ71" s="5">
        <f t="shared" ca="1" si="53"/>
        <v>0.18256086856126749</v>
      </c>
      <c r="HB71" s="13">
        <f t="shared" ca="1" si="54"/>
        <v>340</v>
      </c>
      <c r="HC71" s="4">
        <f t="shared" ca="1" si="71"/>
        <v>1</v>
      </c>
      <c r="HD71" s="4">
        <f t="shared" ca="1" si="55"/>
        <v>1</v>
      </c>
      <c r="HE71" s="4">
        <f t="shared" ca="1" si="55"/>
        <v>1</v>
      </c>
      <c r="HF71" s="4">
        <f t="shared" ca="1" si="55"/>
        <v>1</v>
      </c>
      <c r="HG71" s="4">
        <f t="shared" ca="1" si="55"/>
        <v>1</v>
      </c>
      <c r="HH71" s="4">
        <f t="shared" ca="1" si="55"/>
        <v>1</v>
      </c>
      <c r="HI71" s="4">
        <f t="shared" ca="1" si="55"/>
        <v>0.91479999999999995</v>
      </c>
      <c r="HJ71" s="4">
        <f t="shared" ca="1" si="55"/>
        <v>0.998</v>
      </c>
      <c r="HK71" s="4">
        <f t="shared" ca="1" si="55"/>
        <v>0.74099999999999999</v>
      </c>
      <c r="HL71" s="4">
        <f t="shared" ca="1" si="55"/>
        <v>0</v>
      </c>
      <c r="HM71" s="4">
        <f t="shared" ca="1" si="55"/>
        <v>0</v>
      </c>
      <c r="HN71" s="4">
        <f t="shared" ca="1" si="55"/>
        <v>0.5</v>
      </c>
    </row>
    <row r="72" spans="1:222" x14ac:dyDescent="0.2">
      <c r="A72" t="str" cm="1">
        <f t="array" aca="1" ref="A72" ca="1">INDIRECT($A$67&amp;"!A"&amp;ROW(C5)+$B$64)</f>
        <v>AJ_13</v>
      </c>
      <c r="B72" cm="1">
        <f t="array" aca="1" ref="B72" ca="1">INDIRECT($A$67&amp;"!b"&amp;ROW(D5)+$B$64)</f>
        <v>442</v>
      </c>
      <c r="C72">
        <f t="shared" ca="1" si="56"/>
        <v>10</v>
      </c>
      <c r="E72">
        <f t="shared" ca="1" si="43"/>
        <v>29</v>
      </c>
      <c r="F72">
        <f t="shared" ca="1" si="43"/>
        <v>30</v>
      </c>
      <c r="G72">
        <f t="shared" ca="1" si="43"/>
        <v>29</v>
      </c>
      <c r="H72">
        <f t="shared" ca="1" si="43"/>
        <v>29</v>
      </c>
      <c r="I72">
        <f t="shared" ca="1" si="43"/>
        <v>32</v>
      </c>
      <c r="J72">
        <f t="shared" ca="1" si="43"/>
        <v>29</v>
      </c>
      <c r="K72">
        <f t="shared" ca="1" si="43"/>
        <v>29</v>
      </c>
      <c r="L72">
        <f t="shared" ca="1" si="43"/>
        <v>177</v>
      </c>
      <c r="M72">
        <f t="shared" ca="1" si="43"/>
        <v>35</v>
      </c>
      <c r="N72">
        <f t="shared" ca="1" si="43"/>
        <v>29</v>
      </c>
      <c r="O72">
        <f t="shared" ca="1" si="43"/>
        <v>29</v>
      </c>
      <c r="P72">
        <f t="shared" ca="1" si="43"/>
        <v>29</v>
      </c>
      <c r="V72" cm="1">
        <f t="array" aca="1" ref="V72" ca="1">IF(ISNA(E72),,OFFSET(INDIRECT("'"&amp;V$67&amp;"'!d1"),E72-1,))</f>
        <v>10</v>
      </c>
      <c r="W72" cm="1">
        <f t="array" aca="1" ref="W72" ca="1">IF(ISNA(F72),,OFFSET(INDIRECT("'"&amp;W$67&amp;"'!d1"),F72-1,))</f>
        <v>10</v>
      </c>
      <c r="X72" cm="1">
        <f t="array" aca="1" ref="X72" ca="1">IF(ISNA(G72),,OFFSET(INDIRECT("'"&amp;X$67&amp;"'!d1"),G72-1,))</f>
        <v>10</v>
      </c>
      <c r="Y72" cm="1">
        <f t="array" aca="1" ref="Y72" ca="1">IF(ISNA(H72),,OFFSET(INDIRECT("'"&amp;Y$67&amp;"'!d1"),H72-1,))</f>
        <v>10</v>
      </c>
      <c r="Z72" cm="1">
        <f t="array" aca="1" ref="Z72" ca="1">IF(ISNA(I72),,OFFSET(INDIRECT("'"&amp;Z$67&amp;"'!d1"),I72-1,))</f>
        <v>10</v>
      </c>
      <c r="AA72" cm="1">
        <f t="array" aca="1" ref="AA72" ca="1">IF(ISNA(J72),,OFFSET(INDIRECT("'"&amp;AA$67&amp;"'!d1"),J72-1,))</f>
        <v>10</v>
      </c>
      <c r="AB72" cm="1">
        <f t="array" aca="1" ref="AB72" ca="1">IF(ISNA(K72),,OFFSET(INDIRECT("'"&amp;AB$67&amp;"'!d1"),K72-1,))</f>
        <v>10</v>
      </c>
      <c r="AC72" cm="1">
        <f t="array" aca="1" ref="AC72" ca="1">IF(ISNA(L72),,OFFSET(INDIRECT("'"&amp;AC$67&amp;"'!d1"),L72-1,))</f>
        <v>10</v>
      </c>
      <c r="AD72" cm="1">
        <f t="array" aca="1" ref="AD72" ca="1">IF(ISNA(M72),,OFFSET(INDIRECT("'"&amp;AD$67&amp;"'!d1"),M72-1,))</f>
        <v>10</v>
      </c>
      <c r="AE72" cm="1">
        <f t="array" aca="1" ref="AE72" ca="1">IF(ISNA(N72),,OFFSET(INDIRECT("'"&amp;AE$67&amp;"'!d1"),N72-1,))</f>
        <v>0</v>
      </c>
      <c r="AF72" cm="1">
        <f t="array" aca="1" ref="AF72" ca="1">IF(ISNA(O72),,OFFSET(INDIRECT("'"&amp;AF$67&amp;"'!d1"),O72-1,))</f>
        <v>0</v>
      </c>
      <c r="AG72" cm="1">
        <f t="array" aca="1" ref="AG72" ca="1">IF(ISNA(P72),,OFFSET(INDIRECT("'"&amp;AG$67&amp;"'!d1"),P72-1,))</f>
        <v>10</v>
      </c>
      <c r="AM72">
        <f t="shared" ca="1" si="57"/>
        <v>1</v>
      </c>
      <c r="AN72">
        <f t="shared" ca="1" si="44"/>
        <v>1</v>
      </c>
      <c r="AO72">
        <f t="shared" ca="1" si="44"/>
        <v>1</v>
      </c>
      <c r="AP72">
        <f t="shared" ca="1" si="44"/>
        <v>1</v>
      </c>
      <c r="AQ72">
        <f t="shared" ca="1" si="58"/>
        <v>0</v>
      </c>
      <c r="AV72" t="b">
        <f t="shared" ca="1" si="59"/>
        <v>1</v>
      </c>
      <c r="AW72" t="b">
        <f t="shared" ca="1" si="45"/>
        <v>1</v>
      </c>
      <c r="AX72" t="b">
        <f t="shared" ca="1" si="45"/>
        <v>1</v>
      </c>
      <c r="AY72" t="b">
        <f t="shared" ca="1" si="45"/>
        <v>1</v>
      </c>
      <c r="AZ72" t="str">
        <f t="shared" ca="1" si="45"/>
        <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0</v>
      </c>
      <c r="BN72">
        <f t="shared" ca="1" si="46"/>
        <v>0</v>
      </c>
      <c r="BO72">
        <f t="shared" ca="1" si="46"/>
        <v>1</v>
      </c>
      <c r="BU72">
        <f t="shared" ca="1" si="47"/>
        <v>10</v>
      </c>
      <c r="BV72">
        <f t="shared" ca="1" si="47"/>
        <v>10</v>
      </c>
      <c r="BW72">
        <f t="shared" ca="1" si="47"/>
        <v>10</v>
      </c>
      <c r="BX72">
        <f t="shared" ca="1" si="47"/>
        <v>10</v>
      </c>
      <c r="BY72">
        <f t="shared" ca="1" si="47"/>
        <v>10</v>
      </c>
      <c r="BZ72">
        <f t="shared" ca="1" si="47"/>
        <v>10</v>
      </c>
      <c r="CA72">
        <f t="shared" ca="1" si="47"/>
        <v>10</v>
      </c>
      <c r="CB72">
        <f t="shared" ca="1" si="47"/>
        <v>10</v>
      </c>
      <c r="CC72">
        <f t="shared" ca="1" si="47"/>
        <v>10</v>
      </c>
      <c r="CD72">
        <f t="shared" ca="1" si="47"/>
        <v>442</v>
      </c>
      <c r="CE72">
        <f t="shared" ca="1" si="47"/>
        <v>442</v>
      </c>
      <c r="CF72">
        <f t="shared" ca="1" si="47"/>
        <v>10</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0</v>
      </c>
      <c r="CV72">
        <f t="shared" ca="1" si="48"/>
        <v>0</v>
      </c>
      <c r="CW72">
        <f t="shared" ca="1" si="48"/>
        <v>1</v>
      </c>
      <c r="DC72" cm="1">
        <f t="array" aca="1" ref="DC72" ca="1">IF(ISNA(E72),,OFFSET(INDIRECT("'"&amp;DT$67&amp;"'!f1"),E72-1,))*1</f>
        <v>259.29060198799999</v>
      </c>
      <c r="DD72" cm="1">
        <f t="array" aca="1" ref="DD72" ca="1">IF(ISNA(F72),,OFFSET(INDIRECT("'"&amp;DU$67&amp;"'!f1"),F72-1,))*1</f>
        <v>1122.552993647</v>
      </c>
      <c r="DE72" cm="1">
        <f t="array" aca="1" ref="DE72" ca="1">IF(ISNA(G72),,OFFSET(INDIRECT("'"&amp;DV$67&amp;"'!f1"),G72-1,))*1</f>
        <v>945.80864326300002</v>
      </c>
      <c r="DF72" cm="1">
        <f t="array" aca="1" ref="DF72" ca="1">IF(ISNA(H72),,OFFSET(INDIRECT("'"&amp;DW$67&amp;"'!f1"),H72-1,))*1</f>
        <v>20.366747835999998</v>
      </c>
      <c r="DG72" cm="1">
        <f t="array" aca="1" ref="DG72" ca="1">IF(ISNA(I72),,OFFSET(INDIRECT("'"&amp;DX$67&amp;"'!f1"),I72-1,))*1</f>
        <v>28800.226675958002</v>
      </c>
      <c r="DH72" cm="1">
        <f t="array" aca="1" ref="DH72" ca="1">IF(ISNA(J72),,OFFSET(INDIRECT("'"&amp;DY$67&amp;"'!f1"),J72-1,))*1</f>
        <v>2.9852893576025901</v>
      </c>
      <c r="DI72" cm="1">
        <f t="array" aca="1" ref="DI72" ca="1">IF(ISNA(K72),,OFFSET(INDIRECT("'"&amp;DZ$67&amp;"'!f1"),K72-1,))*1</f>
        <v>149.52479306608399</v>
      </c>
      <c r="DJ72" cm="1">
        <f t="array" aca="1" ref="DJ72" ca="1">IF(ISNA(L72),,OFFSET(INDIRECT("'"&amp;EA$67&amp;"'!f1"),L72-1,))*1</f>
        <v>274.586891683749</v>
      </c>
      <c r="DK72" cm="1">
        <f t="array" aca="1" ref="DK72" ca="1">IF(ISNA(M72),,OFFSET(INDIRECT("'"&amp;EB$67&amp;"'!f1"),M72-1,))*1</f>
        <v>319.496443435549</v>
      </c>
      <c r="DL72" cm="1">
        <f t="array" aca="1" ref="DL72" ca="1">IF(ISNA(N72),,OFFSET(INDIRECT("'"&amp;EC$67&amp;"'!f1"),N72-1,))*1</f>
        <v>9.8377895992598496E-2</v>
      </c>
      <c r="DM72" cm="1">
        <f t="array" aca="1" ref="DM72" ca="1">IF(ISNA(O72),,OFFSET(INDIRECT("'"&amp;ED$67&amp;"'!f1"),O72-1,))*1</f>
        <v>9.8789057999965693E-2</v>
      </c>
      <c r="DN72" cm="1">
        <f t="array" aca="1" ref="DN72" ca="1">IF(ISNA(P72),,OFFSET(INDIRECT("'"&amp;EE$67&amp;"'!f1"),P72-1,))*1</f>
        <v>0.916923567652702</v>
      </c>
      <c r="DT72">
        <f t="shared" ca="1" si="60"/>
        <v>1</v>
      </c>
      <c r="DU72">
        <f t="shared" ca="1" si="49"/>
        <v>1</v>
      </c>
      <c r="DV72">
        <f t="shared" ca="1" si="49"/>
        <v>1</v>
      </c>
      <c r="DW72">
        <f t="shared" ca="1" si="49"/>
        <v>1</v>
      </c>
      <c r="DX72">
        <f t="shared" ca="1" si="49"/>
        <v>1</v>
      </c>
      <c r="DY72">
        <f t="shared" ca="1" si="49"/>
        <v>1</v>
      </c>
      <c r="DZ72">
        <f t="shared" ca="1" si="49"/>
        <v>4062</v>
      </c>
      <c r="EA72">
        <f t="shared" ca="1" si="49"/>
        <v>9387</v>
      </c>
      <c r="EB72">
        <f t="shared" ca="1" si="49"/>
        <v>2442</v>
      </c>
      <c r="EC72">
        <f t="shared" ca="1" si="49"/>
        <v>0</v>
      </c>
      <c r="ED72">
        <f t="shared" ca="1" si="49"/>
        <v>0</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4062</v>
      </c>
      <c r="ER72" cm="1">
        <f t="array" aca="1" ref="ER72" ca="1">IF(ISNA(L72),0,OFFSET(INDIRECT("'"&amp;ER$67&amp;"'!g1"),L72-1,)*CS72)</f>
        <v>9387</v>
      </c>
      <c r="ES72" cm="1">
        <f t="array" aca="1" ref="ES72" ca="1">IF(ISNA(M72),0,OFFSET(INDIRECT("'"&amp;ES$67&amp;"'!g1"),M72-1,)*CT72)</f>
        <v>2442</v>
      </c>
      <c r="ET72" cm="1">
        <f t="array" aca="1" ref="ET72" ca="1">IF(ISNA(N72),0,OFFSET(INDIRECT("'"&amp;ET$67&amp;"'!g1"),N72-1,)*CU72)</f>
        <v>0</v>
      </c>
      <c r="EU72" cm="1">
        <f t="array" aca="1" ref="EU72" ca="1">IF(ISNA(O72),0,OFFSET(INDIRECT("'"&amp;EU$67&amp;"'!g1"),O72-1,)*CV72)</f>
        <v>0</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4</v>
      </c>
      <c r="FN72" s="10"/>
      <c r="FO72" s="10"/>
      <c r="FP72" s="10"/>
      <c r="FQ72" s="10"/>
      <c r="FS72">
        <f t="shared" ca="1" si="61"/>
        <v>442</v>
      </c>
      <c r="FT72">
        <f t="shared" ca="1" si="62"/>
        <v>149.52479306608399</v>
      </c>
      <c r="FU72">
        <f t="shared" ca="1" si="63"/>
        <v>4062</v>
      </c>
      <c r="FV72">
        <f t="shared" ca="1" si="64"/>
        <v>10000</v>
      </c>
      <c r="FW72" s="4">
        <f t="shared" ca="1" si="65"/>
        <v>0.40620000000000001</v>
      </c>
      <c r="FX72" s="5">
        <f t="shared" ca="1" si="66"/>
        <v>3.6810633448075822E-2</v>
      </c>
      <c r="FZ72" s="13">
        <f t="shared" ca="1" si="50"/>
        <v>442</v>
      </c>
      <c r="GA72" s="22">
        <f t="shared" ca="1" si="67"/>
        <v>0</v>
      </c>
      <c r="GB72" s="22">
        <f t="shared" ca="1" si="51"/>
        <v>0</v>
      </c>
      <c r="GC72" s="22">
        <f t="shared" ca="1" si="51"/>
        <v>0</v>
      </c>
      <c r="GD72" s="22">
        <f t="shared" ca="1" si="51"/>
        <v>0</v>
      </c>
      <c r="GE72" s="22">
        <f t="shared" ca="1" si="51"/>
        <v>0</v>
      </c>
      <c r="GF72" s="22">
        <f t="shared" ca="1" si="51"/>
        <v>0</v>
      </c>
      <c r="GG72" s="22">
        <f t="shared" ca="1" si="51"/>
        <v>0</v>
      </c>
      <c r="GH72" s="22">
        <f t="shared" ca="1" si="51"/>
        <v>0</v>
      </c>
      <c r="GI72" s="22">
        <f t="shared" ca="1" si="51"/>
        <v>0</v>
      </c>
      <c r="GJ72" s="22" t="e">
        <f t="shared" ca="1" si="51"/>
        <v>#N/A</v>
      </c>
      <c r="GK72" s="22" t="e">
        <f t="shared" ca="1" si="51"/>
        <v>#N/A</v>
      </c>
      <c r="GL72" s="22">
        <f t="shared" ca="1" si="51"/>
        <v>0</v>
      </c>
      <c r="GM72" s="22"/>
      <c r="GN72">
        <f t="shared" ca="1" si="68"/>
        <v>442</v>
      </c>
      <c r="GO72" s="5">
        <f t="shared" ca="1" si="69"/>
        <v>259.29060198799999</v>
      </c>
      <c r="GP72" s="5">
        <f t="shared" ca="1" si="52"/>
        <v>1122.552993647</v>
      </c>
      <c r="GQ72" s="5">
        <f t="shared" ca="1" si="52"/>
        <v>945.80864326300002</v>
      </c>
      <c r="GR72" s="5">
        <f t="shared" ca="1" si="52"/>
        <v>20.366747835999998</v>
      </c>
      <c r="GS72" s="5" t="e">
        <f t="shared" ca="1" si="52"/>
        <v>#N/A</v>
      </c>
      <c r="GT72" s="5">
        <f t="shared" ca="1" si="70"/>
        <v>2.9852893576025901</v>
      </c>
      <c r="GU72" s="5">
        <f t="shared" ca="1" si="53"/>
        <v>3.6810633448075822E-2</v>
      </c>
      <c r="GV72" s="5">
        <f t="shared" ca="1" si="53"/>
        <v>2.9251826108847235E-2</v>
      </c>
      <c r="GW72" s="5">
        <f t="shared" ca="1" si="53"/>
        <v>0.13083392442078173</v>
      </c>
      <c r="GX72" s="5" t="e">
        <f t="shared" ca="1" si="53"/>
        <v>#N/A</v>
      </c>
      <c r="GY72" s="5" t="e">
        <f t="shared" ca="1" si="53"/>
        <v>#N/A</v>
      </c>
      <c r="GZ72" s="5">
        <f t="shared" ca="1" si="53"/>
        <v>0.458461783826351</v>
      </c>
      <c r="HB72" s="13">
        <f t="shared" ca="1" si="54"/>
        <v>442</v>
      </c>
      <c r="HC72" s="4">
        <f t="shared" ca="1" si="71"/>
        <v>1</v>
      </c>
      <c r="HD72" s="4">
        <f t="shared" ca="1" si="55"/>
        <v>1</v>
      </c>
      <c r="HE72" s="4">
        <f t="shared" ca="1" si="55"/>
        <v>1</v>
      </c>
      <c r="HF72" s="4">
        <f t="shared" ca="1" si="55"/>
        <v>1</v>
      </c>
      <c r="HG72" s="4">
        <f t="shared" ca="1" si="55"/>
        <v>1</v>
      </c>
      <c r="HH72" s="4">
        <f t="shared" ca="1" si="55"/>
        <v>1</v>
      </c>
      <c r="HI72" s="4">
        <f t="shared" ca="1" si="55"/>
        <v>0.40620000000000001</v>
      </c>
      <c r="HJ72" s="4">
        <f t="shared" ca="1" si="55"/>
        <v>0.93869999999999998</v>
      </c>
      <c r="HK72" s="4">
        <f t="shared" ca="1" si="55"/>
        <v>0.2442</v>
      </c>
      <c r="HL72" s="4">
        <f t="shared" ca="1" si="55"/>
        <v>0</v>
      </c>
      <c r="HM72" s="4">
        <f t="shared" ca="1" si="55"/>
        <v>0</v>
      </c>
      <c r="HN72" s="4">
        <f t="shared" ca="1" si="55"/>
        <v>0.5</v>
      </c>
    </row>
    <row r="73" spans="1:222" x14ac:dyDescent="0.2">
      <c r="A73" t="str" cm="1">
        <f t="array" aca="1" ref="A73" ca="1">INDIRECT($A$67&amp;"!A"&amp;ROW(C6)+$B$64)</f>
        <v>xu_16</v>
      </c>
      <c r="B73" cm="1">
        <f t="array" aca="1" ref="B73" ca="1">INDIRECT($A$67&amp;"!b"&amp;ROW(D6)+$B$64)</f>
        <v>544</v>
      </c>
      <c r="C73">
        <f t="shared" ca="1" si="56"/>
        <v>12</v>
      </c>
      <c r="E73">
        <f t="shared" ca="1" si="43"/>
        <v>30</v>
      </c>
      <c r="F73">
        <f t="shared" ca="1" si="43"/>
        <v>31</v>
      </c>
      <c r="G73">
        <f t="shared" ca="1" si="43"/>
        <v>30</v>
      </c>
      <c r="H73">
        <f t="shared" ca="1" si="43"/>
        <v>30</v>
      </c>
      <c r="I73">
        <f t="shared" ca="1" si="43"/>
        <v>33</v>
      </c>
      <c r="J73">
        <f t="shared" ca="1" si="43"/>
        <v>30</v>
      </c>
      <c r="K73">
        <f t="shared" ca="1" si="43"/>
        <v>30</v>
      </c>
      <c r="L73">
        <f t="shared" ca="1" si="43"/>
        <v>178</v>
      </c>
      <c r="M73">
        <f t="shared" ca="1" si="43"/>
        <v>36</v>
      </c>
      <c r="N73">
        <f t="shared" ca="1" si="43"/>
        <v>30</v>
      </c>
      <c r="O73">
        <f t="shared" ca="1" si="43"/>
        <v>30</v>
      </c>
      <c r="P73">
        <f t="shared" ca="1" si="43"/>
        <v>30</v>
      </c>
      <c r="V73" cm="1">
        <f t="array" aca="1" ref="V73" ca="1">IF(ISNA(E73),,OFFSET(INDIRECT("'"&amp;V$67&amp;"'!d1"),E73-1,))</f>
        <v>12</v>
      </c>
      <c r="W73" cm="1">
        <f t="array" aca="1" ref="W73" ca="1">IF(ISNA(F73),,OFFSET(INDIRECT("'"&amp;W$67&amp;"'!d1"),F73-1,))</f>
        <v>12</v>
      </c>
      <c r="X73" cm="1">
        <f t="array" aca="1" ref="X73" ca="1">IF(ISNA(G73),,OFFSET(INDIRECT("'"&amp;X$67&amp;"'!d1"),G73-1,))</f>
        <v>12</v>
      </c>
      <c r="Y73" cm="1">
        <f t="array" aca="1" ref="Y73" ca="1">IF(ISNA(H73),,OFFSET(INDIRECT("'"&amp;Y$67&amp;"'!d1"),H73-1,))</f>
        <v>12</v>
      </c>
      <c r="Z73" cm="1">
        <f t="array" aca="1" ref="Z73" ca="1">IF(ISNA(I73),,OFFSET(INDIRECT("'"&amp;Z$67&amp;"'!d1"),I73-1,))</f>
        <v>12</v>
      </c>
      <c r="AA73" cm="1">
        <f t="array" aca="1" ref="AA73" ca="1">IF(ISNA(J73),,OFFSET(INDIRECT("'"&amp;AA$67&amp;"'!d1"),J73-1,))</f>
        <v>12</v>
      </c>
      <c r="AB73" cm="1">
        <f t="array" aca="1" ref="AB73" ca="1">IF(ISNA(K73),,OFFSET(INDIRECT("'"&amp;AB$67&amp;"'!d1"),K73-1,))</f>
        <v>12</v>
      </c>
      <c r="AC73" cm="1">
        <f t="array" aca="1" ref="AC73" ca="1">IF(ISNA(L73),,OFFSET(INDIRECT("'"&amp;AC$67&amp;"'!d1"),L73-1,))</f>
        <v>12</v>
      </c>
      <c r="AD73" cm="1">
        <f t="array" aca="1" ref="AD73" ca="1">IF(ISNA(M73),,OFFSET(INDIRECT("'"&amp;AD$67&amp;"'!d1"),M73-1,))</f>
        <v>12</v>
      </c>
      <c r="AE73" cm="1">
        <f t="array" aca="1" ref="AE73" ca="1">IF(ISNA(N73),,OFFSET(INDIRECT("'"&amp;AE$67&amp;"'!d1"),N73-1,))</f>
        <v>0</v>
      </c>
      <c r="AF73" cm="1">
        <f t="array" aca="1" ref="AF73" ca="1">IF(ISNA(O73),,OFFSET(INDIRECT("'"&amp;AF$67&amp;"'!d1"),O73-1,))</f>
        <v>0</v>
      </c>
      <c r="AG73" cm="1">
        <f t="array" aca="1" ref="AG73" ca="1">IF(ISNA(P73),,OFFSET(INDIRECT("'"&amp;AG$67&amp;"'!d1"),P73-1,))</f>
        <v>12</v>
      </c>
      <c r="AM73">
        <f t="shared" ca="1" si="57"/>
        <v>1</v>
      </c>
      <c r="AN73">
        <f t="shared" ca="1" si="44"/>
        <v>1</v>
      </c>
      <c r="AO73">
        <f t="shared" ca="1" si="44"/>
        <v>1</v>
      </c>
      <c r="AP73">
        <f t="shared" ca="1" si="44"/>
        <v>1</v>
      </c>
      <c r="AQ73">
        <f t="shared" ca="1" si="58"/>
        <v>0</v>
      </c>
      <c r="AV73" t="b">
        <f t="shared" ca="1" si="59"/>
        <v>1</v>
      </c>
      <c r="AW73" t="b">
        <f t="shared" ca="1" si="45"/>
        <v>1</v>
      </c>
      <c r="AX73" t="b">
        <f t="shared" ca="1" si="45"/>
        <v>1</v>
      </c>
      <c r="AY73" t="b">
        <f t="shared" ca="1" si="45"/>
        <v>1</v>
      </c>
      <c r="AZ73" t="str">
        <f t="shared" ca="1" si="45"/>
        <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0</v>
      </c>
      <c r="BN73">
        <f t="shared" ca="1" si="46"/>
        <v>0</v>
      </c>
      <c r="BO73">
        <f t="shared" ca="1" si="46"/>
        <v>1</v>
      </c>
      <c r="BU73">
        <f t="shared" ca="1" si="47"/>
        <v>12</v>
      </c>
      <c r="BV73">
        <f t="shared" ca="1" si="47"/>
        <v>12</v>
      </c>
      <c r="BW73">
        <f t="shared" ca="1" si="47"/>
        <v>12</v>
      </c>
      <c r="BX73">
        <f t="shared" ca="1" si="47"/>
        <v>12</v>
      </c>
      <c r="BY73">
        <f t="shared" ca="1" si="47"/>
        <v>12</v>
      </c>
      <c r="BZ73">
        <f t="shared" ca="1" si="47"/>
        <v>12</v>
      </c>
      <c r="CA73">
        <f t="shared" ca="1" si="47"/>
        <v>12</v>
      </c>
      <c r="CB73">
        <f t="shared" ca="1" si="47"/>
        <v>12</v>
      </c>
      <c r="CC73">
        <f t="shared" ca="1" si="47"/>
        <v>12</v>
      </c>
      <c r="CD73">
        <f t="shared" ca="1" si="47"/>
        <v>544</v>
      </c>
      <c r="CE73">
        <f t="shared" ca="1" si="47"/>
        <v>544</v>
      </c>
      <c r="CF73">
        <f t="shared" ca="1" si="47"/>
        <v>12</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0</v>
      </c>
      <c r="CV73">
        <f t="shared" ca="1" si="48"/>
        <v>0</v>
      </c>
      <c r="CW73">
        <f t="shared" ca="1" si="48"/>
        <v>1</v>
      </c>
      <c r="DC73" cm="1">
        <f t="array" aca="1" ref="DC73" ca="1">IF(ISNA(E73),,OFFSET(INDIRECT("'"&amp;DT$67&amp;"'!f1"),E73-1,))*1</f>
        <v>3191.2942474749998</v>
      </c>
      <c r="DD73" cm="1">
        <f t="array" aca="1" ref="DD73" ca="1">IF(ISNA(F73),,OFFSET(INDIRECT("'"&amp;DU$67&amp;"'!f1"),F73-1,))*1</f>
        <v>14825.912378468</v>
      </c>
      <c r="DE73" cm="1">
        <f t="array" aca="1" ref="DE73" ca="1">IF(ISNA(G73),,OFFSET(INDIRECT("'"&amp;DV$67&amp;"'!f1"),G73-1,))*1</f>
        <v>27062.223389344999</v>
      </c>
      <c r="DF73" cm="1">
        <f t="array" aca="1" ref="DF73" ca="1">IF(ISNA(H73),,OFFSET(INDIRECT("'"&amp;DW$67&amp;"'!f1"),H73-1,))*1</f>
        <v>984.41660627199997</v>
      </c>
      <c r="DG73" cm="1">
        <f t="array" aca="1" ref="DG73" ca="1">IF(ISNA(I73),,OFFSET(INDIRECT("'"&amp;DX$67&amp;"'!f1"),I73-1,))*1</f>
        <v>28800.196257583</v>
      </c>
      <c r="DH73" cm="1">
        <f t="array" aca="1" ref="DH73" ca="1">IF(ISNA(J73),,OFFSET(INDIRECT("'"&amp;DY$67&amp;"'!f1"),J73-1,))*1</f>
        <v>4.6194593384861902</v>
      </c>
      <c r="DI73" cm="1">
        <f t="array" aca="1" ref="DI73" ca="1">IF(ISNA(K73),,OFFSET(INDIRECT("'"&amp;DZ$67&amp;"'!f1"),K73-1,))*1</f>
        <v>252.47626903653099</v>
      </c>
      <c r="DJ73" cm="1">
        <f t="array" aca="1" ref="DJ73" ca="1">IF(ISNA(L73),,OFFSET(INDIRECT("'"&amp;EA$67&amp;"'!f1"),L73-1,))*1</f>
        <v>461.526630660519</v>
      </c>
      <c r="DK73" cm="1">
        <f t="array" aca="1" ref="DK73" ca="1">IF(ISNA(M73),,OFFSET(INDIRECT("'"&amp;EB$67&amp;"'!f1"),M73-1,))*1</f>
        <v>659.12229822576001</v>
      </c>
      <c r="DL73" cm="1">
        <f t="array" aca="1" ref="DL73" ca="1">IF(ISNA(N73),,OFFSET(INDIRECT("'"&amp;EC$67&amp;"'!f1"),N73-1,))*1</f>
        <v>0.135344248003093</v>
      </c>
      <c r="DM73" cm="1">
        <f t="array" aca="1" ref="DM73" ca="1">IF(ISNA(O73),,OFFSET(INDIRECT("'"&amp;ED$67&amp;"'!f1"),O73-1,))*1</f>
        <v>0.13836348200857099</v>
      </c>
      <c r="DN73" cm="1">
        <f t="array" aca="1" ref="DN73" ca="1">IF(ISNA(P73),,OFFSET(INDIRECT("'"&amp;EE$67&amp;"'!f1"),P73-1,))*1</f>
        <v>13.2909793183207</v>
      </c>
      <c r="DT73">
        <f t="shared" ca="1" si="60"/>
        <v>1</v>
      </c>
      <c r="DU73">
        <f t="shared" ca="1" si="49"/>
        <v>1</v>
      </c>
      <c r="DV73">
        <f t="shared" ca="1" si="49"/>
        <v>1</v>
      </c>
      <c r="DW73">
        <f t="shared" ca="1" si="49"/>
        <v>1</v>
      </c>
      <c r="DX73">
        <f t="shared" ca="1" si="49"/>
        <v>1</v>
      </c>
      <c r="DY73">
        <f t="shared" ca="1" si="49"/>
        <v>1</v>
      </c>
      <c r="DZ73">
        <f t="shared" ca="1" si="49"/>
        <v>1362</v>
      </c>
      <c r="EA73">
        <f t="shared" ca="1" si="49"/>
        <v>7968</v>
      </c>
      <c r="EB73">
        <f t="shared" ca="1" si="49"/>
        <v>751</v>
      </c>
      <c r="EC73">
        <f t="shared" ca="1" si="49"/>
        <v>0</v>
      </c>
      <c r="ED73">
        <f t="shared" ca="1" si="49"/>
        <v>0</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1362</v>
      </c>
      <c r="ER73" cm="1">
        <f t="array" aca="1" ref="ER73" ca="1">IF(ISNA(L73),0,OFFSET(INDIRECT("'"&amp;ER$67&amp;"'!g1"),L73-1,)*CS73)</f>
        <v>7968</v>
      </c>
      <c r="ES73" cm="1">
        <f t="array" aca="1" ref="ES73" ca="1">IF(ISNA(M73),0,OFFSET(INDIRECT("'"&amp;ES$67&amp;"'!g1"),M73-1,)*CT73)</f>
        <v>751</v>
      </c>
      <c r="ET73" cm="1">
        <f t="array" aca="1" ref="ET73" ca="1">IF(ISNA(N73),0,OFFSET(INDIRECT("'"&amp;ET$67&amp;"'!g1"),N73-1,)*CU73)</f>
        <v>0</v>
      </c>
      <c r="EU73" cm="1">
        <f t="array" aca="1" ref="EU73" ca="1">IF(ISNA(O73),0,OFFSET(INDIRECT("'"&amp;EU$67&amp;"'!g1"),O73-1,)*CV73)</f>
        <v>0</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5</v>
      </c>
      <c r="FN73" s="10"/>
      <c r="FO73" s="10"/>
      <c r="FP73" s="10"/>
      <c r="FQ73" s="10"/>
      <c r="FS73">
        <f t="shared" ca="1" si="61"/>
        <v>544</v>
      </c>
      <c r="FT73">
        <f t="shared" ca="1" si="62"/>
        <v>252.47626903653099</v>
      </c>
      <c r="FU73">
        <f t="shared" ca="1" si="63"/>
        <v>1362</v>
      </c>
      <c r="FV73">
        <f t="shared" ca="1" si="64"/>
        <v>10000</v>
      </c>
      <c r="FW73" s="4">
        <f t="shared" ca="1" si="65"/>
        <v>0.13619999999999999</v>
      </c>
      <c r="FX73" s="5">
        <f t="shared" ca="1" si="66"/>
        <v>0.18537171001213729</v>
      </c>
      <c r="FZ73" s="13">
        <f t="shared" ca="1" si="50"/>
        <v>544</v>
      </c>
      <c r="GA73" s="22">
        <f t="shared" ca="1" si="67"/>
        <v>0</v>
      </c>
      <c r="GB73" s="22">
        <f t="shared" ca="1" si="51"/>
        <v>0</v>
      </c>
      <c r="GC73" s="22">
        <f t="shared" ca="1" si="51"/>
        <v>0</v>
      </c>
      <c r="GD73" s="22">
        <f t="shared" ca="1" si="51"/>
        <v>0</v>
      </c>
      <c r="GE73" s="22">
        <f t="shared" ca="1" si="51"/>
        <v>0</v>
      </c>
      <c r="GF73" s="22">
        <f t="shared" ca="1" si="51"/>
        <v>0</v>
      </c>
      <c r="GG73" s="22">
        <f t="shared" ca="1" si="51"/>
        <v>0</v>
      </c>
      <c r="GH73" s="22">
        <f t="shared" ca="1" si="51"/>
        <v>0</v>
      </c>
      <c r="GI73" s="22">
        <f t="shared" ca="1" si="51"/>
        <v>0</v>
      </c>
      <c r="GJ73" s="22" t="e">
        <f t="shared" ca="1" si="51"/>
        <v>#N/A</v>
      </c>
      <c r="GK73" s="22" t="e">
        <f t="shared" ca="1" si="51"/>
        <v>#N/A</v>
      </c>
      <c r="GL73" s="22">
        <f t="shared" ca="1" si="51"/>
        <v>0</v>
      </c>
      <c r="GM73" s="22"/>
      <c r="GN73">
        <f t="shared" ca="1" si="68"/>
        <v>544</v>
      </c>
      <c r="GO73" s="5">
        <f t="shared" ca="1" si="69"/>
        <v>3191.2942474749998</v>
      </c>
      <c r="GP73" s="5">
        <f t="shared" ca="1" si="52"/>
        <v>14825.912378468</v>
      </c>
      <c r="GQ73" s="5">
        <f t="shared" ca="1" si="52"/>
        <v>27062.223389344999</v>
      </c>
      <c r="GR73" s="5">
        <f t="shared" ca="1" si="52"/>
        <v>984.41660627199997</v>
      </c>
      <c r="GS73" s="5" t="e">
        <f t="shared" ca="1" si="52"/>
        <v>#N/A</v>
      </c>
      <c r="GT73" s="5">
        <f t="shared" ca="1" si="70"/>
        <v>4.6194593384861902</v>
      </c>
      <c r="GU73" s="5">
        <f t="shared" ca="1" si="53"/>
        <v>0.18537171001213729</v>
      </c>
      <c r="GV73" s="5">
        <f t="shared" ca="1" si="53"/>
        <v>5.7922518908197669E-2</v>
      </c>
      <c r="GW73" s="5">
        <f t="shared" ca="1" si="53"/>
        <v>0.87765951827664446</v>
      </c>
      <c r="GX73" s="5" t="e">
        <f t="shared" ca="1" si="53"/>
        <v>#N/A</v>
      </c>
      <c r="GY73" s="5" t="e">
        <f t="shared" ca="1" si="53"/>
        <v>#N/A</v>
      </c>
      <c r="GZ73" s="5">
        <f t="shared" ca="1" si="53"/>
        <v>6.6454896591603498</v>
      </c>
      <c r="HB73" s="13">
        <f t="shared" ca="1" si="54"/>
        <v>544</v>
      </c>
      <c r="HC73" s="4">
        <f t="shared" ca="1" si="71"/>
        <v>1</v>
      </c>
      <c r="HD73" s="4">
        <f t="shared" ca="1" si="55"/>
        <v>1</v>
      </c>
      <c r="HE73" s="4">
        <f t="shared" ca="1" si="55"/>
        <v>1</v>
      </c>
      <c r="HF73" s="4">
        <f t="shared" ca="1" si="55"/>
        <v>1</v>
      </c>
      <c r="HG73" s="4">
        <f t="shared" ca="1" si="55"/>
        <v>1</v>
      </c>
      <c r="HH73" s="4">
        <f t="shared" ca="1" si="55"/>
        <v>1</v>
      </c>
      <c r="HI73" s="4">
        <f t="shared" ca="1" si="55"/>
        <v>0.13619999999999999</v>
      </c>
      <c r="HJ73" s="4">
        <f t="shared" ca="1" si="55"/>
        <v>0.79679999999999995</v>
      </c>
      <c r="HK73" s="4">
        <f t="shared" ca="1" si="55"/>
        <v>7.51E-2</v>
      </c>
      <c r="HL73" s="4">
        <f t="shared" ca="1" si="55"/>
        <v>0</v>
      </c>
      <c r="HM73" s="4">
        <f t="shared" ca="1" si="55"/>
        <v>0</v>
      </c>
      <c r="HN73" s="4">
        <f t="shared" ca="1" si="55"/>
        <v>0.4</v>
      </c>
    </row>
    <row r="74" spans="1:222" x14ac:dyDescent="0.2">
      <c r="A74" t="str" cm="1">
        <f t="array" aca="1" ref="A74" ca="1">INDIRECT($A$67&amp;"!A"&amp;ROW(C7)+$B$64)</f>
        <v>xu_21</v>
      </c>
      <c r="B74" cm="1">
        <f t="array" aca="1" ref="B74" ca="1">INDIRECT($A$67&amp;"!b"&amp;ROW(D7)+$B$64)</f>
        <v>714</v>
      </c>
      <c r="C74">
        <f t="shared" ca="1" si="56"/>
        <v>16</v>
      </c>
      <c r="E74">
        <f t="shared" ca="1" si="43"/>
        <v>31</v>
      </c>
      <c r="F74">
        <f t="shared" ca="1" si="43"/>
        <v>32</v>
      </c>
      <c r="G74">
        <f t="shared" ca="1" si="43"/>
        <v>31</v>
      </c>
      <c r="H74">
        <f t="shared" ca="1" si="43"/>
        <v>31</v>
      </c>
      <c r="I74">
        <f t="shared" ca="1" si="43"/>
        <v>34</v>
      </c>
      <c r="J74">
        <f t="shared" ca="1" si="43"/>
        <v>31</v>
      </c>
      <c r="K74">
        <f t="shared" ca="1" si="43"/>
        <v>31</v>
      </c>
      <c r="L74">
        <f t="shared" ca="1" si="43"/>
        <v>179</v>
      </c>
      <c r="M74">
        <f t="shared" ca="1" si="43"/>
        <v>37</v>
      </c>
      <c r="N74">
        <f t="shared" ca="1" si="43"/>
        <v>31</v>
      </c>
      <c r="O74">
        <f t="shared" ca="1" si="43"/>
        <v>31</v>
      </c>
      <c r="P74">
        <f t="shared" ca="1" si="43"/>
        <v>31</v>
      </c>
      <c r="V74" cm="1">
        <f t="array" aca="1" ref="V74" ca="1">IF(ISNA(E74),,OFFSET(INDIRECT("'"&amp;V$67&amp;"'!d1"),E74-1,))</f>
        <v>16</v>
      </c>
      <c r="W74" cm="1">
        <f t="array" aca="1" ref="W74" ca="1">IF(ISNA(F74),,OFFSET(INDIRECT("'"&amp;W$67&amp;"'!d1"),F74-1,))</f>
        <v>16</v>
      </c>
      <c r="X74" cm="1">
        <f t="array" aca="1" ref="X74" ca="1">IF(ISNA(G74),,OFFSET(INDIRECT("'"&amp;X$67&amp;"'!d1"),G74-1,))</f>
        <v>34</v>
      </c>
      <c r="Y74" cm="1">
        <f t="array" aca="1" ref="Y74" ca="1">IF(ISNA(H74),,OFFSET(INDIRECT("'"&amp;Y$67&amp;"'!d1"),H74-1,))</f>
        <v>0</v>
      </c>
      <c r="Z74" cm="1">
        <f t="array" aca="1" ref="Z74" ca="1">IF(ISNA(I74),,OFFSET(INDIRECT("'"&amp;Z$67&amp;"'!d1"),I74-1,))</f>
        <v>16</v>
      </c>
      <c r="AA74" cm="1">
        <f t="array" aca="1" ref="AA74" ca="1">IF(ISNA(J74),,OFFSET(INDIRECT("'"&amp;AA$67&amp;"'!d1"),J74-1,))</f>
        <v>16</v>
      </c>
      <c r="AB74" cm="1">
        <f t="array" aca="1" ref="AB74" ca="1">IF(ISNA(K74),,OFFSET(INDIRECT("'"&amp;AB$67&amp;"'!d1"),K74-1,))</f>
        <v>16</v>
      </c>
      <c r="AC74" cm="1">
        <f t="array" aca="1" ref="AC74" ca="1">IF(ISNA(L74),,OFFSET(INDIRECT("'"&amp;AC$67&amp;"'!d1"),L74-1,))</f>
        <v>16</v>
      </c>
      <c r="AD74" cm="1">
        <f t="array" aca="1" ref="AD74" ca="1">IF(ISNA(M74),,OFFSET(INDIRECT("'"&amp;AD$67&amp;"'!d1"),M74-1,))</f>
        <v>16</v>
      </c>
      <c r="AE74" cm="1">
        <f t="array" aca="1" ref="AE74" ca="1">IF(ISNA(N74),,OFFSET(INDIRECT("'"&amp;AE$67&amp;"'!d1"),N74-1,))</f>
        <v>0</v>
      </c>
      <c r="AF74" cm="1">
        <f t="array" aca="1" ref="AF74" ca="1">IF(ISNA(O74),,OFFSET(INDIRECT("'"&amp;AF$67&amp;"'!d1"),O74-1,))</f>
        <v>0</v>
      </c>
      <c r="AG74" cm="1">
        <f t="array" aca="1" ref="AG74" ca="1">IF(ISNA(P74),,OFFSET(INDIRECT("'"&amp;AG$67&amp;"'!d1"),P74-1,))</f>
        <v>16</v>
      </c>
      <c r="AM74">
        <f t="shared" ca="1" si="57"/>
        <v>0</v>
      </c>
      <c r="AN74">
        <f t="shared" ca="1" si="44"/>
        <v>0</v>
      </c>
      <c r="AO74">
        <f t="shared" ca="1" si="44"/>
        <v>0</v>
      </c>
      <c r="AP74">
        <f t="shared" ca="1" si="44"/>
        <v>0</v>
      </c>
      <c r="AQ74">
        <f t="shared" ca="1" si="58"/>
        <v>0</v>
      </c>
      <c r="AV74" t="str">
        <f t="shared" ca="1" si="59"/>
        <v/>
      </c>
      <c r="AW74" t="str">
        <f t="shared" ca="1" si="45"/>
        <v/>
      </c>
      <c r="AX74" t="str">
        <f t="shared" ca="1" si="45"/>
        <v/>
      </c>
      <c r="AY74" t="str">
        <f t="shared" ca="1" si="45"/>
        <v/>
      </c>
      <c r="AZ74" t="str">
        <f t="shared" ca="1" si="45"/>
        <v/>
      </c>
      <c r="BD74">
        <f t="shared" ca="1" si="46"/>
        <v>1</v>
      </c>
      <c r="BE74">
        <f t="shared" ca="1" si="46"/>
        <v>1</v>
      </c>
      <c r="BF74">
        <f t="shared" ca="1" si="46"/>
        <v>1</v>
      </c>
      <c r="BG74">
        <f t="shared" ca="1" si="46"/>
        <v>0</v>
      </c>
      <c r="BH74">
        <f t="shared" ca="1" si="46"/>
        <v>1</v>
      </c>
      <c r="BI74">
        <f t="shared" ca="1" si="46"/>
        <v>1</v>
      </c>
      <c r="BJ74">
        <f t="shared" ca="1" si="46"/>
        <v>1</v>
      </c>
      <c r="BK74">
        <f t="shared" ca="1" si="46"/>
        <v>1</v>
      </c>
      <c r="BL74">
        <f t="shared" ca="1" si="46"/>
        <v>1</v>
      </c>
      <c r="BM74">
        <f t="shared" ca="1" si="46"/>
        <v>0</v>
      </c>
      <c r="BN74">
        <f t="shared" ca="1" si="46"/>
        <v>0</v>
      </c>
      <c r="BO74">
        <f t="shared" ca="1" si="46"/>
        <v>1</v>
      </c>
      <c r="BU74">
        <f t="shared" ca="1" si="47"/>
        <v>16</v>
      </c>
      <c r="BV74">
        <f t="shared" ca="1" si="47"/>
        <v>16</v>
      </c>
      <c r="BW74">
        <f t="shared" ca="1" si="47"/>
        <v>34</v>
      </c>
      <c r="BX74">
        <f t="shared" ca="1" si="47"/>
        <v>714</v>
      </c>
      <c r="BY74">
        <f t="shared" ca="1" si="47"/>
        <v>16</v>
      </c>
      <c r="BZ74">
        <f t="shared" ca="1" si="47"/>
        <v>16</v>
      </c>
      <c r="CA74">
        <f t="shared" ca="1" si="47"/>
        <v>16</v>
      </c>
      <c r="CB74">
        <f t="shared" ca="1" si="47"/>
        <v>16</v>
      </c>
      <c r="CC74">
        <f t="shared" ca="1" si="47"/>
        <v>16</v>
      </c>
      <c r="CD74">
        <f t="shared" ca="1" si="47"/>
        <v>714</v>
      </c>
      <c r="CE74">
        <f t="shared" ca="1" si="47"/>
        <v>714</v>
      </c>
      <c r="CF74">
        <f t="shared" ca="1" si="47"/>
        <v>16</v>
      </c>
      <c r="CL74">
        <f t="shared" ca="1" si="48"/>
        <v>1</v>
      </c>
      <c r="CM74">
        <f t="shared" ca="1" si="48"/>
        <v>1</v>
      </c>
      <c r="CN74">
        <f t="shared" ca="1" si="48"/>
        <v>0</v>
      </c>
      <c r="CO74">
        <f t="shared" ca="1" si="48"/>
        <v>0</v>
      </c>
      <c r="CP74">
        <f t="shared" ca="1" si="48"/>
        <v>1</v>
      </c>
      <c r="CQ74">
        <f t="shared" ca="1" si="48"/>
        <v>1</v>
      </c>
      <c r="CR74">
        <f t="shared" ca="1" si="48"/>
        <v>1</v>
      </c>
      <c r="CS74">
        <f t="shared" ca="1" si="48"/>
        <v>1</v>
      </c>
      <c r="CT74">
        <f t="shared" ca="1" si="48"/>
        <v>1</v>
      </c>
      <c r="CU74">
        <f t="shared" ca="1" si="48"/>
        <v>0</v>
      </c>
      <c r="CV74">
        <f t="shared" ca="1" si="48"/>
        <v>0</v>
      </c>
      <c r="CW74">
        <f t="shared" ca="1" si="48"/>
        <v>1</v>
      </c>
      <c r="DC74" cm="1">
        <f t="array" aca="1" ref="DC74" ca="1">IF(ISNA(E74),,OFFSET(INDIRECT("'"&amp;DT$67&amp;"'!f1"),E74-1,))*1</f>
        <v>28840.872869453</v>
      </c>
      <c r="DD74" cm="1">
        <f t="array" aca="1" ref="DD74" ca="1">IF(ISNA(F74),,OFFSET(INDIRECT("'"&amp;DU$67&amp;"'!f1"),F74-1,))*1</f>
        <v>28807.8494804129</v>
      </c>
      <c r="DE74" cm="1">
        <f t="array" aca="1" ref="DE74" ca="1">IF(ISNA(G74),,OFFSET(INDIRECT("'"&amp;DV$67&amp;"'!f1"),G74-1,))*1</f>
        <v>28800.170925069</v>
      </c>
      <c r="DF74" cm="1">
        <f t="array" aca="1" ref="DF74" ca="1">IF(ISNA(H74),,OFFSET(INDIRECT("'"&amp;DW$67&amp;"'!f1"),H74-1,))*1</f>
        <v>28800.121245512</v>
      </c>
      <c r="DG74" cm="1">
        <f t="array" aca="1" ref="DG74" ca="1">IF(ISNA(I74),,OFFSET(INDIRECT("'"&amp;DX$67&amp;"'!f1"),I74-1,))*1</f>
        <v>28800.333574999899</v>
      </c>
      <c r="DH74" cm="1">
        <f t="array" aca="1" ref="DH74" ca="1">IF(ISNA(J74),,OFFSET(INDIRECT("'"&amp;DY$67&amp;"'!f1"),J74-1,))*1</f>
        <v>8.1986439600586891</v>
      </c>
      <c r="DI74" cm="1">
        <f t="array" aca="1" ref="DI74" ca="1">IF(ISNA(K74),,OFFSET(INDIRECT("'"&amp;DZ$67&amp;"'!f1"),K74-1,))*1</f>
        <v>529.34988038986899</v>
      </c>
      <c r="DJ74" cm="1">
        <f t="array" aca="1" ref="DJ74" ca="1">IF(ISNA(L74),,OFFSET(INDIRECT("'"&amp;EA$67&amp;"'!f1"),L74-1,))*1</f>
        <v>909.973218340426</v>
      </c>
      <c r="DK74" cm="1">
        <f t="array" aca="1" ref="DK74" ca="1">IF(ISNA(M74),,OFFSET(INDIRECT("'"&amp;EB$67&amp;"'!f1"),M74-1,))*1</f>
        <v>1786.6860289871599</v>
      </c>
      <c r="DL74" cm="1">
        <f t="array" aca="1" ref="DL74" ca="1">IF(ISNA(N74),,OFFSET(INDIRECT("'"&amp;EC$67&amp;"'!f1"),N74-1,))*1</f>
        <v>0.20218694700452</v>
      </c>
      <c r="DM74" cm="1">
        <f t="array" aca="1" ref="DM74" ca="1">IF(ISNA(O74),,OFFSET(INDIRECT("'"&amp;ED$67&amp;"'!f1"),O74-1,))*1</f>
        <v>0.203908815994509</v>
      </c>
      <c r="DN74" cm="1">
        <f t="array" aca="1" ref="DN74" ca="1">IF(ISNA(P74),,OFFSET(INDIRECT("'"&amp;EE$67&amp;"'!f1"),P74-1,))*1</f>
        <v>159.561806045472</v>
      </c>
      <c r="DT74">
        <f t="shared" ca="1" si="60"/>
        <v>1</v>
      </c>
      <c r="DU74">
        <f t="shared" ca="1" si="49"/>
        <v>1</v>
      </c>
      <c r="DV74">
        <f t="shared" ca="1" si="49"/>
        <v>0</v>
      </c>
      <c r="DW74">
        <f t="shared" ca="1" si="49"/>
        <v>0</v>
      </c>
      <c r="DX74">
        <f t="shared" ca="1" si="49"/>
        <v>1</v>
      </c>
      <c r="DY74">
        <f t="shared" ca="1" si="49"/>
        <v>1</v>
      </c>
      <c r="DZ74">
        <f t="shared" ca="1" si="49"/>
        <v>698</v>
      </c>
      <c r="EA74">
        <f t="shared" ca="1" si="49"/>
        <v>7514</v>
      </c>
      <c r="EB74">
        <f t="shared" ca="1" si="49"/>
        <v>364</v>
      </c>
      <c r="EC74">
        <f t="shared" ca="1" si="49"/>
        <v>0</v>
      </c>
      <c r="ED74">
        <f t="shared" ca="1" si="49"/>
        <v>0</v>
      </c>
      <c r="EE74">
        <f t="shared" ca="1" si="49"/>
        <v>2</v>
      </c>
      <c r="EK74" cm="1">
        <f t="array" aca="1" ref="EK74" ca="1">IF(ISNA(E74),0,OFFSET(INDIRECT("'"&amp;EK$67&amp;"'!g1"),E74-1,)*CL74)</f>
        <v>1</v>
      </c>
      <c r="EL74" cm="1">
        <f t="array" aca="1" ref="EL74" ca="1">IF(ISNA(F74),0,OFFSET(INDIRECT("'"&amp;EL$67&amp;"'!g1"),F74-1,)*CM74)</f>
        <v>1</v>
      </c>
      <c r="EM74" cm="1">
        <f t="array" aca="1" ref="EM74" ca="1">IF(ISNA(G74),0,OFFSET(INDIRECT("'"&amp;EM$67&amp;"'!g1"),G74-1,)*CN74)</f>
        <v>0</v>
      </c>
      <c r="EN74" cm="1">
        <f t="array" aca="1" ref="EN74" ca="1">IF(ISNA(H74),0,OFFSET(INDIRECT("'"&amp;EN$67&amp;"'!g1"),H74-1,)*CO74)</f>
        <v>0</v>
      </c>
      <c r="EO74" cm="1">
        <f t="array" aca="1" ref="EO74" ca="1">IF(ISNA(I74),0,OFFSET(INDIRECT("'"&amp;EO$67&amp;"'!g1"),I74-1,)*CP74)</f>
        <v>1</v>
      </c>
      <c r="EP74" cm="1">
        <f t="array" aca="1" ref="EP74" ca="1">IF(ISNA(J74),0,OFFSET(INDIRECT("'"&amp;EP$67&amp;"'!g1"),J74-1,)*CQ74)</f>
        <v>1</v>
      </c>
      <c r="EQ74" cm="1">
        <f t="array" aca="1" ref="EQ74" ca="1">IF(ISNA(K74),0,OFFSET(INDIRECT("'"&amp;EQ$67&amp;"'!g1"),K74-1,)*CR74)</f>
        <v>698</v>
      </c>
      <c r="ER74" cm="1">
        <f t="array" aca="1" ref="ER74" ca="1">IF(ISNA(L74),0,OFFSET(INDIRECT("'"&amp;ER$67&amp;"'!g1"),L74-1,)*CS74)</f>
        <v>7514</v>
      </c>
      <c r="ES74" cm="1">
        <f t="array" aca="1" ref="ES74" ca="1">IF(ISNA(M74),0,OFFSET(INDIRECT("'"&amp;ES$67&amp;"'!g1"),M74-1,)*CT74)</f>
        <v>364</v>
      </c>
      <c r="ET74" cm="1">
        <f t="array" aca="1" ref="ET74" ca="1">IF(ISNA(N74),0,OFFSET(INDIRECT("'"&amp;ET$67&amp;"'!g1"),N74-1,)*CU74)</f>
        <v>0</v>
      </c>
      <c r="EU74" cm="1">
        <f t="array" aca="1" ref="EU74" ca="1">IF(ISNA(O74),0,OFFSET(INDIRECT("'"&amp;EU$67&amp;"'!g1"),O74-1,)*CV74)</f>
        <v>0</v>
      </c>
      <c r="EV74" cm="1">
        <f t="array" aca="1" ref="EV74" ca="1">IF(ISNA(P74),0,OFFSET(INDIRECT("'"&amp;EV$67&amp;"'!g1"),P74-1,)*CW74)</f>
        <v>2</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5</v>
      </c>
      <c r="FN74" s="10"/>
      <c r="FO74" s="10"/>
      <c r="FP74" s="10"/>
      <c r="FQ74" s="10"/>
      <c r="FS74">
        <f t="shared" ca="1" si="61"/>
        <v>714</v>
      </c>
      <c r="FT74">
        <f t="shared" ca="1" si="62"/>
        <v>529.34988038986899</v>
      </c>
      <c r="FU74">
        <f t="shared" ca="1" si="63"/>
        <v>698</v>
      </c>
      <c r="FV74">
        <f t="shared" ca="1" si="64"/>
        <v>10000</v>
      </c>
      <c r="FW74" s="4">
        <f t="shared" ca="1" si="65"/>
        <v>6.9800000000000001E-2</v>
      </c>
      <c r="FX74" s="5">
        <f t="shared" ca="1" si="66"/>
        <v>0.75838091746399572</v>
      </c>
      <c r="FZ74" s="13">
        <f t="shared" ca="1" si="50"/>
        <v>714</v>
      </c>
      <c r="GA74" s="22">
        <f t="shared" ca="1" si="67"/>
        <v>0</v>
      </c>
      <c r="GB74" s="22">
        <f t="shared" ca="1" si="51"/>
        <v>0</v>
      </c>
      <c r="GC74" s="22">
        <f t="shared" ca="1" si="51"/>
        <v>1.125</v>
      </c>
      <c r="GD74" s="22" t="e">
        <f t="shared" ca="1" si="51"/>
        <v>#N/A</v>
      </c>
      <c r="GE74" s="22">
        <f t="shared" ca="1" si="51"/>
        <v>0</v>
      </c>
      <c r="GF74" s="22">
        <f t="shared" ca="1" si="51"/>
        <v>0</v>
      </c>
      <c r="GG74" s="22">
        <f t="shared" ca="1" si="51"/>
        <v>0</v>
      </c>
      <c r="GH74" s="22">
        <f t="shared" ca="1" si="51"/>
        <v>0</v>
      </c>
      <c r="GI74" s="22">
        <f t="shared" ca="1" si="51"/>
        <v>0</v>
      </c>
      <c r="GJ74" s="22" t="e">
        <f t="shared" ca="1" si="51"/>
        <v>#N/A</v>
      </c>
      <c r="GK74" s="22" t="e">
        <f t="shared" ca="1" si="51"/>
        <v>#N/A</v>
      </c>
      <c r="GL74" s="22">
        <f t="shared" ca="1" si="51"/>
        <v>0</v>
      </c>
      <c r="GM74" s="22"/>
      <c r="GN74">
        <f t="shared" ca="1" si="68"/>
        <v>714</v>
      </c>
      <c r="GO74" s="5" t="e">
        <f t="shared" ca="1" si="69"/>
        <v>#N/A</v>
      </c>
      <c r="GP74" s="5" t="e">
        <f t="shared" ca="1" si="52"/>
        <v>#N/A</v>
      </c>
      <c r="GQ74" s="5" t="e">
        <f t="shared" ca="1" si="52"/>
        <v>#N/A</v>
      </c>
      <c r="GR74" s="5" t="e">
        <f t="shared" ca="1" si="52"/>
        <v>#N/A</v>
      </c>
      <c r="GS74" s="5" t="e">
        <f t="shared" ca="1" si="52"/>
        <v>#N/A</v>
      </c>
      <c r="GT74" s="5">
        <f t="shared" ca="1" si="70"/>
        <v>8.1986439600586891</v>
      </c>
      <c r="GU74" s="5">
        <f t="shared" ca="1" si="53"/>
        <v>0.75838091746399572</v>
      </c>
      <c r="GV74" s="5">
        <f t="shared" ca="1" si="53"/>
        <v>0.12110370220128107</v>
      </c>
      <c r="GW74" s="5">
        <f t="shared" ca="1" si="53"/>
        <v>4.9084781016130767</v>
      </c>
      <c r="GX74" s="5" t="e">
        <f t="shared" ca="1" si="53"/>
        <v>#N/A</v>
      </c>
      <c r="GY74" s="5" t="e">
        <f t="shared" ca="1" si="53"/>
        <v>#N/A</v>
      </c>
      <c r="GZ74" s="5">
        <f t="shared" ca="1" si="53"/>
        <v>79.780903022735998</v>
      </c>
      <c r="HB74" s="13">
        <f t="shared" ca="1" si="54"/>
        <v>714</v>
      </c>
      <c r="HC74" s="4">
        <f t="shared" ca="1" si="71"/>
        <v>1</v>
      </c>
      <c r="HD74" s="4">
        <f t="shared" ca="1" si="55"/>
        <v>1</v>
      </c>
      <c r="HE74" s="4">
        <f t="shared" ca="1" si="55"/>
        <v>0</v>
      </c>
      <c r="HF74" s="4">
        <f t="shared" ca="1" si="55"/>
        <v>0</v>
      </c>
      <c r="HG74" s="4">
        <f t="shared" ca="1" si="55"/>
        <v>1</v>
      </c>
      <c r="HH74" s="4">
        <f t="shared" ca="1" si="55"/>
        <v>1</v>
      </c>
      <c r="HI74" s="4">
        <f t="shared" ca="1" si="55"/>
        <v>6.9800000000000001E-2</v>
      </c>
      <c r="HJ74" s="4">
        <f t="shared" ca="1" si="55"/>
        <v>0.75139999999999996</v>
      </c>
      <c r="HK74" s="4">
        <f t="shared" ca="1" si="55"/>
        <v>3.6400000000000002E-2</v>
      </c>
      <c r="HL74" s="4">
        <f t="shared" ca="1" si="55"/>
        <v>0</v>
      </c>
      <c r="HM74" s="4">
        <f t="shared" ca="1" si="55"/>
        <v>0</v>
      </c>
      <c r="HN74" s="4">
        <f t="shared" ca="1" si="55"/>
        <v>0.4</v>
      </c>
    </row>
    <row r="75" spans="1:222" x14ac:dyDescent="0.2">
      <c r="A75" t="str" cm="1">
        <f t="array" aca="1" ref="A75" ca="1">INDIRECT($A$67&amp;"!A"&amp;ROW(C8)+$B$64)</f>
        <v>xu_30</v>
      </c>
      <c r="B75" cm="1">
        <f t="array" aca="1" ref="B75" ca="1">INDIRECT($A$67&amp;"!b"&amp;ROW(D8)+$B$64)</f>
        <v>1020</v>
      </c>
      <c r="C75">
        <f t="shared" ca="1" si="56"/>
        <v>16</v>
      </c>
      <c r="E75">
        <f t="shared" ca="1" si="43"/>
        <v>32</v>
      </c>
      <c r="F75">
        <f t="shared" ca="1" si="43"/>
        <v>33</v>
      </c>
      <c r="G75">
        <f t="shared" ca="1" si="43"/>
        <v>32</v>
      </c>
      <c r="H75">
        <f t="shared" ca="1" si="43"/>
        <v>32</v>
      </c>
      <c r="I75">
        <f t="shared" ca="1" si="43"/>
        <v>35</v>
      </c>
      <c r="J75">
        <f t="shared" ca="1" si="43"/>
        <v>32</v>
      </c>
      <c r="K75">
        <f t="shared" ca="1" si="43"/>
        <v>32</v>
      </c>
      <c r="L75">
        <f t="shared" ca="1" si="43"/>
        <v>180</v>
      </c>
      <c r="M75">
        <f t="shared" ca="1" si="43"/>
        <v>38</v>
      </c>
      <c r="N75">
        <f t="shared" ca="1" si="43"/>
        <v>32</v>
      </c>
      <c r="O75">
        <f t="shared" ca="1" si="43"/>
        <v>32</v>
      </c>
      <c r="P75">
        <f t="shared" ca="1" si="43"/>
        <v>32</v>
      </c>
      <c r="V75" cm="1">
        <f t="array" aca="1" ref="V75" ca="1">IF(ISNA(E75),,OFFSET(INDIRECT("'"&amp;V$67&amp;"'!d1"),E75-1,))</f>
        <v>16</v>
      </c>
      <c r="W75" cm="1">
        <f t="array" aca="1" ref="W75" ca="1">IF(ISNA(F75),,OFFSET(INDIRECT("'"&amp;W$67&amp;"'!d1"),F75-1,))</f>
        <v>16</v>
      </c>
      <c r="X75" cm="1">
        <f t="array" aca="1" ref="X75" ca="1">IF(ISNA(G75),,OFFSET(INDIRECT("'"&amp;X$67&amp;"'!d1"),G75-1,))</f>
        <v>170</v>
      </c>
      <c r="Y75" cm="1">
        <f t="array" aca="1" ref="Y75" ca="1">IF(ISNA(H75),,OFFSET(INDIRECT("'"&amp;Y$67&amp;"'!d1"),H75-1,))</f>
        <v>0</v>
      </c>
      <c r="Z75" cm="1">
        <f t="array" aca="1" ref="Z75" ca="1">IF(ISNA(I75),,OFFSET(INDIRECT("'"&amp;Z$67&amp;"'!d1"),I75-1,))</f>
        <v>16</v>
      </c>
      <c r="AA75" cm="1">
        <f t="array" aca="1" ref="AA75" ca="1">IF(ISNA(J75),,OFFSET(INDIRECT("'"&amp;AA$67&amp;"'!d1"),J75-1,))</f>
        <v>16</v>
      </c>
      <c r="AB75" cm="1">
        <f t="array" aca="1" ref="AB75" ca="1">IF(ISNA(K75),,OFFSET(INDIRECT("'"&amp;AB$67&amp;"'!d1"),K75-1,))</f>
        <v>16</v>
      </c>
      <c r="AC75" cm="1">
        <f t="array" aca="1" ref="AC75" ca="1">IF(ISNA(L75),,OFFSET(INDIRECT("'"&amp;AC$67&amp;"'!d1"),L75-1,))</f>
        <v>16</v>
      </c>
      <c r="AD75" cm="1">
        <f t="array" aca="1" ref="AD75" ca="1">IF(ISNA(M75),,OFFSET(INDIRECT("'"&amp;AD$67&amp;"'!d1"),M75-1,))</f>
        <v>16</v>
      </c>
      <c r="AE75" cm="1">
        <f t="array" aca="1" ref="AE75" ca="1">IF(ISNA(N75),,OFFSET(INDIRECT("'"&amp;AE$67&amp;"'!d1"),N75-1,))</f>
        <v>0</v>
      </c>
      <c r="AF75" cm="1">
        <f t="array" aca="1" ref="AF75" ca="1">IF(ISNA(O75),,OFFSET(INDIRECT("'"&amp;AF$67&amp;"'!d1"),O75-1,))</f>
        <v>0</v>
      </c>
      <c r="AG75" cm="1">
        <f t="array" aca="1" ref="AG75" ca="1">IF(ISNA(P75),,OFFSET(INDIRECT("'"&amp;AG$67&amp;"'!d1"),P75-1,))</f>
        <v>16</v>
      </c>
      <c r="AM75">
        <f t="shared" ca="1" si="57"/>
        <v>0</v>
      </c>
      <c r="AN75">
        <f t="shared" ca="1" si="44"/>
        <v>0</v>
      </c>
      <c r="AO75">
        <f t="shared" ca="1" si="44"/>
        <v>0</v>
      </c>
      <c r="AP75">
        <f t="shared" ca="1" si="44"/>
        <v>0</v>
      </c>
      <c r="AQ75">
        <f t="shared" ca="1" si="58"/>
        <v>0</v>
      </c>
      <c r="AV75" t="str">
        <f t="shared" ca="1" si="59"/>
        <v/>
      </c>
      <c r="AW75" t="str">
        <f t="shared" ca="1" si="45"/>
        <v/>
      </c>
      <c r="AX75" t="str">
        <f t="shared" ca="1" si="45"/>
        <v/>
      </c>
      <c r="AY75" t="str">
        <f t="shared" ca="1" si="45"/>
        <v/>
      </c>
      <c r="AZ75" t="str">
        <f t="shared" ca="1" si="45"/>
        <v/>
      </c>
      <c r="BD75">
        <f t="shared" ca="1" si="46"/>
        <v>1</v>
      </c>
      <c r="BE75">
        <f t="shared" ca="1" si="46"/>
        <v>1</v>
      </c>
      <c r="BF75">
        <f t="shared" ca="1" si="46"/>
        <v>1</v>
      </c>
      <c r="BG75">
        <f t="shared" ca="1" si="46"/>
        <v>0</v>
      </c>
      <c r="BH75">
        <f t="shared" ca="1" si="46"/>
        <v>1</v>
      </c>
      <c r="BI75">
        <f t="shared" ca="1" si="46"/>
        <v>1</v>
      </c>
      <c r="BJ75">
        <f t="shared" ca="1" si="46"/>
        <v>1</v>
      </c>
      <c r="BK75">
        <f t="shared" ca="1" si="46"/>
        <v>1</v>
      </c>
      <c r="BL75">
        <f t="shared" ca="1" si="46"/>
        <v>1</v>
      </c>
      <c r="BM75">
        <f t="shared" ca="1" si="46"/>
        <v>0</v>
      </c>
      <c r="BN75">
        <f t="shared" ca="1" si="46"/>
        <v>0</v>
      </c>
      <c r="BO75">
        <f t="shared" ca="1" si="46"/>
        <v>1</v>
      </c>
      <c r="BU75">
        <f t="shared" ca="1" si="47"/>
        <v>16</v>
      </c>
      <c r="BV75">
        <f t="shared" ca="1" si="47"/>
        <v>16</v>
      </c>
      <c r="BW75">
        <f t="shared" ca="1" si="47"/>
        <v>170</v>
      </c>
      <c r="BX75">
        <f t="shared" ca="1" si="47"/>
        <v>1020</v>
      </c>
      <c r="BY75">
        <f t="shared" ca="1" si="47"/>
        <v>16</v>
      </c>
      <c r="BZ75">
        <f t="shared" ca="1" si="47"/>
        <v>16</v>
      </c>
      <c r="CA75">
        <f t="shared" ca="1" si="47"/>
        <v>16</v>
      </c>
      <c r="CB75">
        <f t="shared" ca="1" si="47"/>
        <v>16</v>
      </c>
      <c r="CC75">
        <f t="shared" ca="1" si="47"/>
        <v>16</v>
      </c>
      <c r="CD75">
        <f t="shared" ca="1" si="47"/>
        <v>1020</v>
      </c>
      <c r="CE75">
        <f t="shared" ca="1" si="47"/>
        <v>1020</v>
      </c>
      <c r="CF75">
        <f t="shared" ca="1" si="47"/>
        <v>16</v>
      </c>
      <c r="CL75">
        <f t="shared" ca="1" si="48"/>
        <v>1</v>
      </c>
      <c r="CM75">
        <f t="shared" ca="1" si="48"/>
        <v>1</v>
      </c>
      <c r="CN75">
        <f t="shared" ca="1" si="48"/>
        <v>0</v>
      </c>
      <c r="CO75">
        <f t="shared" ca="1" si="48"/>
        <v>0</v>
      </c>
      <c r="CP75">
        <f t="shared" ca="1" si="48"/>
        <v>1</v>
      </c>
      <c r="CQ75">
        <f t="shared" ca="1" si="48"/>
        <v>1</v>
      </c>
      <c r="CR75">
        <f t="shared" ca="1" si="48"/>
        <v>1</v>
      </c>
      <c r="CS75">
        <f t="shared" ca="1" si="48"/>
        <v>1</v>
      </c>
      <c r="CT75">
        <f t="shared" ca="1" si="48"/>
        <v>1</v>
      </c>
      <c r="CU75">
        <f t="shared" ca="1" si="48"/>
        <v>0</v>
      </c>
      <c r="CV75">
        <f t="shared" ca="1" si="48"/>
        <v>0</v>
      </c>
      <c r="CW75">
        <f t="shared" ca="1" si="48"/>
        <v>1</v>
      </c>
      <c r="DC75" cm="1">
        <f t="array" aca="1" ref="DC75" ca="1">IF(ISNA(E75),,OFFSET(INDIRECT("'"&amp;DT$67&amp;"'!f1"),E75-1,))*1</f>
        <v>28820.826054357902</v>
      </c>
      <c r="DD75" cm="1">
        <f t="array" aca="1" ref="DD75" ca="1">IF(ISNA(F75),,OFFSET(INDIRECT("'"&amp;DU$67&amp;"'!f1"),F75-1,))*1</f>
        <v>28811.2884021139</v>
      </c>
      <c r="DE75" cm="1">
        <f t="array" aca="1" ref="DE75" ca="1">IF(ISNA(G75),,OFFSET(INDIRECT("'"&amp;DV$67&amp;"'!f1"),G75-1,))*1</f>
        <v>28800.4063046929</v>
      </c>
      <c r="DF75" cm="1">
        <f t="array" aca="1" ref="DF75" ca="1">IF(ISNA(H75),,OFFSET(INDIRECT("'"&amp;DW$67&amp;"'!f1"),H75-1,))*1</f>
        <v>28800.150776511899</v>
      </c>
      <c r="DG75" cm="1">
        <f t="array" aca="1" ref="DG75" ca="1">IF(ISNA(I75),,OFFSET(INDIRECT("'"&amp;DX$67&amp;"'!f1"),I75-1,))*1</f>
        <v>28800.401406665998</v>
      </c>
      <c r="DH75" cm="1">
        <f t="array" aca="1" ref="DH75" ca="1">IF(ISNA(J75),,OFFSET(INDIRECT("'"&amp;DY$67&amp;"'!f1"),J75-1,))*1</f>
        <v>18.079266570508398</v>
      </c>
      <c r="DI75" cm="1">
        <f t="array" aca="1" ref="DI75" ca="1">IF(ISNA(K75),,OFFSET(INDIRECT("'"&amp;DZ$67&amp;"'!f1"),K75-1,))*1</f>
        <v>1424.51859304308</v>
      </c>
      <c r="DJ75" cm="1">
        <f t="array" aca="1" ref="DJ75" ca="1">IF(ISNA(L75),,OFFSET(INDIRECT("'"&amp;EA$67&amp;"'!f1"),L75-1,))*1</f>
        <v>2361.2369059985499</v>
      </c>
      <c r="DK75" cm="1">
        <f t="array" aca="1" ref="DK75" ca="1">IF(ISNA(M75),,OFFSET(INDIRECT("'"&amp;EB$67&amp;"'!f1"),M75-1,))*1</f>
        <v>6977.53660948574</v>
      </c>
      <c r="DL75" cm="1">
        <f t="array" aca="1" ref="DL75" ca="1">IF(ISNA(N75),,OFFSET(INDIRECT("'"&amp;EC$67&amp;"'!f1"),N75-1,))*1</f>
        <v>0.40654128100140902</v>
      </c>
      <c r="DM75" cm="1">
        <f t="array" aca="1" ref="DM75" ca="1">IF(ISNA(O75),,OFFSET(INDIRECT("'"&amp;ED$67&amp;"'!f1"),O75-1,))*1</f>
        <v>0.41165293900121402</v>
      </c>
      <c r="DN75" cm="1">
        <f t="array" aca="1" ref="DN75" ca="1">IF(ISNA(P75),,OFFSET(INDIRECT("'"&amp;EE$67&amp;"'!f1"),P75-1,))*1</f>
        <v>795.18717563152302</v>
      </c>
      <c r="DT75">
        <f t="shared" ca="1" si="60"/>
        <v>1</v>
      </c>
      <c r="DU75">
        <f t="shared" ca="1" si="49"/>
        <v>1</v>
      </c>
      <c r="DV75">
        <f t="shared" ca="1" si="49"/>
        <v>0</v>
      </c>
      <c r="DW75">
        <f t="shared" ca="1" si="49"/>
        <v>0</v>
      </c>
      <c r="DX75">
        <f t="shared" ca="1" si="49"/>
        <v>1</v>
      </c>
      <c r="DY75">
        <f t="shared" ca="1" si="49"/>
        <v>1</v>
      </c>
      <c r="DZ75">
        <f t="shared" ca="1" si="49"/>
        <v>120</v>
      </c>
      <c r="EA75">
        <f t="shared" ca="1" si="49"/>
        <v>5570</v>
      </c>
      <c r="EB75">
        <f t="shared" ca="1" si="49"/>
        <v>69</v>
      </c>
      <c r="EC75">
        <f t="shared" ca="1" si="49"/>
        <v>0</v>
      </c>
      <c r="ED75">
        <f t="shared" ca="1" si="49"/>
        <v>0</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0</v>
      </c>
      <c r="EN75" cm="1">
        <f t="array" aca="1" ref="EN75" ca="1">IF(ISNA(H75),0,OFFSET(INDIRECT("'"&amp;EN$67&amp;"'!g1"),H75-1,)*CO75)</f>
        <v>0</v>
      </c>
      <c r="EO75" cm="1">
        <f t="array" aca="1" ref="EO75" ca="1">IF(ISNA(I75),0,OFFSET(INDIRECT("'"&amp;EO$67&amp;"'!g1"),I75-1,)*CP75)</f>
        <v>1</v>
      </c>
      <c r="EP75" cm="1">
        <f t="array" aca="1" ref="EP75" ca="1">IF(ISNA(J75),0,OFFSET(INDIRECT("'"&amp;EP$67&amp;"'!g1"),J75-1,)*CQ75)</f>
        <v>1</v>
      </c>
      <c r="EQ75" cm="1">
        <f t="array" aca="1" ref="EQ75" ca="1">IF(ISNA(K75),0,OFFSET(INDIRECT("'"&amp;EQ$67&amp;"'!g1"),K75-1,)*CR75)</f>
        <v>120</v>
      </c>
      <c r="ER75" cm="1">
        <f t="array" aca="1" ref="ER75" ca="1">IF(ISNA(L75),0,OFFSET(INDIRECT("'"&amp;ER$67&amp;"'!g1"),L75-1,)*CS75)</f>
        <v>5570</v>
      </c>
      <c r="ES75" cm="1">
        <f t="array" aca="1" ref="ES75" ca="1">IF(ISNA(M75),0,OFFSET(INDIRECT("'"&amp;ES$67&amp;"'!g1"),M75-1,)*CT75)</f>
        <v>69</v>
      </c>
      <c r="ET75" cm="1">
        <f t="array" aca="1" ref="ET75" ca="1">IF(ISNA(N75),0,OFFSET(INDIRECT("'"&amp;ET$67&amp;"'!g1"),N75-1,)*CU75)</f>
        <v>0</v>
      </c>
      <c r="EU75" cm="1">
        <f t="array" aca="1" ref="EU75" ca="1">IF(ISNA(O75),0,OFFSET(INDIRECT("'"&amp;EU$67&amp;"'!g1"),O75-1,)*CV75)</f>
        <v>0</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6</v>
      </c>
      <c r="FN75" s="10"/>
      <c r="FO75" s="10"/>
      <c r="FP75" s="10"/>
      <c r="FQ75" s="10"/>
      <c r="FS75">
        <f t="shared" ca="1" si="61"/>
        <v>1020</v>
      </c>
      <c r="FT75">
        <f t="shared" ca="1" si="62"/>
        <v>1424.51859304308</v>
      </c>
      <c r="FU75">
        <f t="shared" ca="1" si="63"/>
        <v>120</v>
      </c>
      <c r="FV75">
        <f t="shared" ca="1" si="64"/>
        <v>10000</v>
      </c>
      <c r="FW75" s="4">
        <f t="shared" ca="1" si="65"/>
        <v>1.2E-2</v>
      </c>
      <c r="FX75" s="5">
        <f t="shared" ca="1" si="66"/>
        <v>11.870988275359</v>
      </c>
      <c r="FZ75" s="13">
        <f t="shared" ca="1" si="50"/>
        <v>1020</v>
      </c>
      <c r="GA75" s="22">
        <f t="shared" ca="1" si="67"/>
        <v>0</v>
      </c>
      <c r="GB75" s="22">
        <f t="shared" ca="1" si="51"/>
        <v>0</v>
      </c>
      <c r="GC75" s="22">
        <f t="shared" ca="1" si="51"/>
        <v>9.625</v>
      </c>
      <c r="GD75" s="22" t="e">
        <f t="shared" ca="1" si="51"/>
        <v>#N/A</v>
      </c>
      <c r="GE75" s="22">
        <f t="shared" ca="1" si="51"/>
        <v>0</v>
      </c>
      <c r="GF75" s="22">
        <f t="shared" ca="1" si="51"/>
        <v>0</v>
      </c>
      <c r="GG75" s="22">
        <f t="shared" ca="1" si="51"/>
        <v>0</v>
      </c>
      <c r="GH75" s="22">
        <f t="shared" ca="1" si="51"/>
        <v>0</v>
      </c>
      <c r="GI75" s="22">
        <f t="shared" ca="1" si="51"/>
        <v>0</v>
      </c>
      <c r="GJ75" s="22" t="e">
        <f t="shared" ca="1" si="51"/>
        <v>#N/A</v>
      </c>
      <c r="GK75" s="22" t="e">
        <f t="shared" ca="1" si="51"/>
        <v>#N/A</v>
      </c>
      <c r="GL75" s="22">
        <f t="shared" ca="1" si="51"/>
        <v>0</v>
      </c>
      <c r="GM75" s="22"/>
      <c r="GN75">
        <f t="shared" ca="1" si="68"/>
        <v>1020</v>
      </c>
      <c r="GO75" s="5" t="e">
        <f t="shared" ca="1" si="69"/>
        <v>#N/A</v>
      </c>
      <c r="GP75" s="5" t="e">
        <f t="shared" ca="1" si="52"/>
        <v>#N/A</v>
      </c>
      <c r="GQ75" s="5" t="e">
        <f t="shared" ca="1" si="52"/>
        <v>#N/A</v>
      </c>
      <c r="GR75" s="5" t="e">
        <f t="shared" ca="1" si="52"/>
        <v>#N/A</v>
      </c>
      <c r="GS75" s="5" t="e">
        <f t="shared" ca="1" si="52"/>
        <v>#N/A</v>
      </c>
      <c r="GT75" s="5">
        <f t="shared" ca="1" si="70"/>
        <v>18.079266570508398</v>
      </c>
      <c r="GU75" s="5">
        <f t="shared" ca="1" si="53"/>
        <v>11.870988275359</v>
      </c>
      <c r="GV75" s="5">
        <f t="shared" ca="1" si="53"/>
        <v>0.42392044990997307</v>
      </c>
      <c r="GW75" s="5">
        <f t="shared" ca="1" si="53"/>
        <v>101.1237189780542</v>
      </c>
      <c r="GX75" s="5" t="e">
        <f t="shared" ca="1" si="53"/>
        <v>#N/A</v>
      </c>
      <c r="GY75" s="5" t="e">
        <f t="shared" ca="1" si="53"/>
        <v>#N/A</v>
      </c>
      <c r="GZ75" s="5">
        <f t="shared" ca="1" si="53"/>
        <v>397.59358781576151</v>
      </c>
      <c r="HB75" s="13">
        <f t="shared" ca="1" si="54"/>
        <v>1020</v>
      </c>
      <c r="HC75" s="4">
        <f t="shared" ca="1" si="71"/>
        <v>1</v>
      </c>
      <c r="HD75" s="4">
        <f t="shared" ca="1" si="55"/>
        <v>1</v>
      </c>
      <c r="HE75" s="4">
        <f t="shared" ca="1" si="55"/>
        <v>0</v>
      </c>
      <c r="HF75" s="4">
        <f t="shared" ca="1" si="55"/>
        <v>0</v>
      </c>
      <c r="HG75" s="4">
        <f t="shared" ca="1" si="55"/>
        <v>1</v>
      </c>
      <c r="HH75" s="4">
        <f t="shared" ca="1" si="55"/>
        <v>1</v>
      </c>
      <c r="HI75" s="4">
        <f t="shared" ca="1" si="55"/>
        <v>1.2E-2</v>
      </c>
      <c r="HJ75" s="4">
        <f t="shared" ca="1" si="55"/>
        <v>0.55700000000000005</v>
      </c>
      <c r="HK75" s="4">
        <f t="shared" ca="1" si="55"/>
        <v>6.8999999999999999E-3</v>
      </c>
      <c r="HL75" s="4">
        <f t="shared" ca="1" si="55"/>
        <v>0</v>
      </c>
      <c r="HM75" s="4">
        <f t="shared" ca="1" si="55"/>
        <v>0</v>
      </c>
      <c r="HN75" s="4">
        <f t="shared" ca="1" si="55"/>
        <v>0.33333333333333331</v>
      </c>
    </row>
    <row r="76" spans="1:222" x14ac:dyDescent="0.2">
      <c r="A76" t="str" cm="1">
        <f t="array" aca="1" ref="A76" ca="1">INDIRECT($A$67&amp;"!A"&amp;ROW(C9)+$B$64)</f>
        <v>PK_31</v>
      </c>
      <c r="B76" cm="1">
        <f t="array" aca="1" ref="B76" ca="1">INDIRECT($A$67&amp;"!b"&amp;ROW(D9)+$B$64)</f>
        <v>1054</v>
      </c>
      <c r="C76">
        <f t="shared" ca="1" si="56"/>
        <v>20</v>
      </c>
      <c r="E76">
        <f t="shared" ca="1" si="43"/>
        <v>33</v>
      </c>
      <c r="F76">
        <f t="shared" ca="1" si="43"/>
        <v>34</v>
      </c>
      <c r="G76">
        <f t="shared" ca="1" si="43"/>
        <v>33</v>
      </c>
      <c r="H76">
        <f t="shared" ca="1" si="43"/>
        <v>33</v>
      </c>
      <c r="I76">
        <f t="shared" ca="1" si="43"/>
        <v>37</v>
      </c>
      <c r="J76">
        <f t="shared" ca="1" si="43"/>
        <v>33</v>
      </c>
      <c r="K76">
        <f t="shared" ca="1" si="43"/>
        <v>33</v>
      </c>
      <c r="L76">
        <f t="shared" ca="1" si="43"/>
        <v>181</v>
      </c>
      <c r="M76">
        <f t="shared" ca="1" si="43"/>
        <v>39</v>
      </c>
      <c r="N76">
        <f t="shared" ca="1" si="43"/>
        <v>33</v>
      </c>
      <c r="O76">
        <f t="shared" ca="1" si="43"/>
        <v>33</v>
      </c>
      <c r="P76">
        <f t="shared" ca="1" si="43"/>
        <v>33</v>
      </c>
      <c r="V76" cm="1">
        <f t="array" aca="1" ref="V76" ca="1">IF(ISNA(E76),,OFFSET(INDIRECT("'"&amp;V$67&amp;"'!d1"),E76-1,))</f>
        <v>20</v>
      </c>
      <c r="W76" cm="1">
        <f t="array" aca="1" ref="W76" ca="1">IF(ISNA(F76),,OFFSET(INDIRECT("'"&amp;W$67&amp;"'!d1"),F76-1,))</f>
        <v>20</v>
      </c>
      <c r="X76" cm="1">
        <f t="array" aca="1" ref="X76" ca="1">IF(ISNA(G76),,OFFSET(INDIRECT("'"&amp;X$67&amp;"'!d1"),G76-1,))</f>
        <v>242</v>
      </c>
      <c r="Y76" cm="1">
        <f t="array" aca="1" ref="Y76" ca="1">IF(ISNA(H76),,OFFSET(INDIRECT("'"&amp;Y$67&amp;"'!d1"),H76-1,))</f>
        <v>0</v>
      </c>
      <c r="Z76" cm="1">
        <f t="array" aca="1" ref="Z76" ca="1">IF(ISNA(I76),,OFFSET(INDIRECT("'"&amp;Z$67&amp;"'!d1"),I76-1,))</f>
        <v>20</v>
      </c>
      <c r="AA76" cm="1">
        <f t="array" aca="1" ref="AA76" ca="1">IF(ISNA(J76),,OFFSET(INDIRECT("'"&amp;AA$67&amp;"'!d1"),J76-1,))</f>
        <v>20</v>
      </c>
      <c r="AB76" cm="1">
        <f t="array" aca="1" ref="AB76" ca="1">IF(ISNA(K76),,OFFSET(INDIRECT("'"&amp;AB$67&amp;"'!d1"),K76-1,))</f>
        <v>20</v>
      </c>
      <c r="AC76" cm="1">
        <f t="array" aca="1" ref="AC76" ca="1">IF(ISNA(L76),,OFFSET(INDIRECT("'"&amp;AC$67&amp;"'!d1"),L76-1,))</f>
        <v>20</v>
      </c>
      <c r="AD76" cm="1">
        <f t="array" aca="1" ref="AD76" ca="1">IF(ISNA(M76),,OFFSET(INDIRECT("'"&amp;AD$67&amp;"'!d1"),M76-1,))</f>
        <v>20</v>
      </c>
      <c r="AE76" cm="1">
        <f t="array" aca="1" ref="AE76" ca="1">IF(ISNA(N76),,OFFSET(INDIRECT("'"&amp;AE$67&amp;"'!d1"),N76-1,))</f>
        <v>0</v>
      </c>
      <c r="AF76" cm="1">
        <f t="array" aca="1" ref="AF76" ca="1">IF(ISNA(O76),,OFFSET(INDIRECT("'"&amp;AF$67&amp;"'!d1"),O76-1,))</f>
        <v>0</v>
      </c>
      <c r="AG76" cm="1">
        <f t="array" aca="1" ref="AG76" ca="1">IF(ISNA(P76),,OFFSET(INDIRECT("'"&amp;AG$67&amp;"'!d1"),P76-1,))</f>
        <v>20</v>
      </c>
      <c r="AM76">
        <f t="shared" ca="1" si="57"/>
        <v>0</v>
      </c>
      <c r="AN76">
        <f t="shared" ca="1" si="44"/>
        <v>0</v>
      </c>
      <c r="AO76">
        <f t="shared" ca="1" si="44"/>
        <v>0</v>
      </c>
      <c r="AP76">
        <f t="shared" ca="1" si="44"/>
        <v>0</v>
      </c>
      <c r="AQ76">
        <f t="shared" ca="1" si="58"/>
        <v>0</v>
      </c>
      <c r="AV76" t="str">
        <f t="shared" ca="1" si="59"/>
        <v/>
      </c>
      <c r="AW76" t="str">
        <f t="shared" ca="1" si="45"/>
        <v/>
      </c>
      <c r="AX76" t="str">
        <f t="shared" ca="1" si="45"/>
        <v/>
      </c>
      <c r="AY76" t="str">
        <f t="shared" ca="1" si="45"/>
        <v/>
      </c>
      <c r="AZ76" t="str">
        <f t="shared" ca="1" si="45"/>
        <v/>
      </c>
      <c r="BD76">
        <f t="shared" ca="1" si="46"/>
        <v>1</v>
      </c>
      <c r="BE76">
        <f t="shared" ca="1" si="46"/>
        <v>1</v>
      </c>
      <c r="BF76">
        <f t="shared" ca="1" si="46"/>
        <v>1</v>
      </c>
      <c r="BG76">
        <f t="shared" ca="1" si="46"/>
        <v>0</v>
      </c>
      <c r="BH76">
        <f t="shared" ca="1" si="46"/>
        <v>1</v>
      </c>
      <c r="BI76">
        <f t="shared" ca="1" si="46"/>
        <v>1</v>
      </c>
      <c r="BJ76">
        <f t="shared" ca="1" si="46"/>
        <v>1</v>
      </c>
      <c r="BK76">
        <f t="shared" ca="1" si="46"/>
        <v>1</v>
      </c>
      <c r="BL76">
        <f t="shared" ca="1" si="46"/>
        <v>1</v>
      </c>
      <c r="BM76">
        <f t="shared" ca="1" si="46"/>
        <v>0</v>
      </c>
      <c r="BN76">
        <f t="shared" ca="1" si="46"/>
        <v>0</v>
      </c>
      <c r="BO76">
        <f t="shared" ca="1" si="46"/>
        <v>1</v>
      </c>
      <c r="BU76">
        <f t="shared" ca="1" si="47"/>
        <v>20</v>
      </c>
      <c r="BV76">
        <f t="shared" ca="1" si="47"/>
        <v>20</v>
      </c>
      <c r="BW76">
        <f t="shared" ca="1" si="47"/>
        <v>242</v>
      </c>
      <c r="BX76">
        <f t="shared" ca="1" si="47"/>
        <v>1054</v>
      </c>
      <c r="BY76">
        <f t="shared" ca="1" si="47"/>
        <v>20</v>
      </c>
      <c r="BZ76">
        <f t="shared" ca="1" si="47"/>
        <v>20</v>
      </c>
      <c r="CA76">
        <f t="shared" ca="1" si="47"/>
        <v>20</v>
      </c>
      <c r="CB76">
        <f t="shared" ca="1" si="47"/>
        <v>20</v>
      </c>
      <c r="CC76">
        <f t="shared" ca="1" si="47"/>
        <v>20</v>
      </c>
      <c r="CD76">
        <f t="shared" ca="1" si="47"/>
        <v>1054</v>
      </c>
      <c r="CE76">
        <f t="shared" ca="1" si="47"/>
        <v>1054</v>
      </c>
      <c r="CF76">
        <f t="shared" ca="1" si="47"/>
        <v>20</v>
      </c>
      <c r="CL76">
        <f t="shared" ca="1" si="48"/>
        <v>1</v>
      </c>
      <c r="CM76">
        <f t="shared" ca="1" si="48"/>
        <v>1</v>
      </c>
      <c r="CN76">
        <f t="shared" ca="1" si="48"/>
        <v>0</v>
      </c>
      <c r="CO76">
        <f t="shared" ca="1" si="48"/>
        <v>0</v>
      </c>
      <c r="CP76">
        <f t="shared" ca="1" si="48"/>
        <v>1</v>
      </c>
      <c r="CQ76">
        <f t="shared" ca="1" si="48"/>
        <v>1</v>
      </c>
      <c r="CR76">
        <f t="shared" ca="1" si="48"/>
        <v>1</v>
      </c>
      <c r="CS76">
        <f t="shared" ca="1" si="48"/>
        <v>1</v>
      </c>
      <c r="CT76">
        <f t="shared" ca="1" si="48"/>
        <v>1</v>
      </c>
      <c r="CU76">
        <f t="shared" ca="1" si="48"/>
        <v>0</v>
      </c>
      <c r="CV76">
        <f t="shared" ca="1" si="48"/>
        <v>0</v>
      </c>
      <c r="CW76">
        <f t="shared" ca="1" si="48"/>
        <v>1</v>
      </c>
      <c r="DC76" cm="1">
        <f t="array" aca="1" ref="DC76" ca="1">IF(ISNA(E76),,OFFSET(INDIRECT("'"&amp;DT$67&amp;"'!f1"),E76-1,))*1</f>
        <v>28811.572816497999</v>
      </c>
      <c r="DD76" cm="1">
        <f t="array" aca="1" ref="DD76" ca="1">IF(ISNA(F76),,OFFSET(INDIRECT("'"&amp;DU$67&amp;"'!f1"),F76-1,))*1</f>
        <v>28813.373706530001</v>
      </c>
      <c r="DE76" cm="1">
        <f t="array" aca="1" ref="DE76" ca="1">IF(ISNA(G76),,OFFSET(INDIRECT("'"&amp;DV$67&amp;"'!f1"),G76-1,))*1</f>
        <v>28800.344998311</v>
      </c>
      <c r="DF76" cm="1">
        <f t="array" aca="1" ref="DF76" ca="1">IF(ISNA(H76),,OFFSET(INDIRECT("'"&amp;DW$67&amp;"'!f1"),H76-1,))*1</f>
        <v>28800.156101634999</v>
      </c>
      <c r="DG76" cm="1">
        <f t="array" aca="1" ref="DG76" ca="1">IF(ISNA(I76),,OFFSET(INDIRECT("'"&amp;DX$67&amp;"'!f1"),I76-1,))*1</f>
        <v>28800.6605104589</v>
      </c>
      <c r="DH76" cm="1">
        <f t="array" aca="1" ref="DH76" ca="1">IF(ISNA(J76),,OFFSET(INDIRECT("'"&amp;DY$67&amp;"'!f1"),J76-1,))*1</f>
        <v>19.292194075882399</v>
      </c>
      <c r="DI76" cm="1">
        <f t="array" aca="1" ref="DI76" ca="1">IF(ISNA(K76),,OFFSET(INDIRECT("'"&amp;DZ$67&amp;"'!f1"),K76-1,))*1</f>
        <v>1563.7777419164699</v>
      </c>
      <c r="DJ76" cm="1">
        <f t="array" aca="1" ref="DJ76" ca="1">IF(ISNA(L76),,OFFSET(INDIRECT("'"&amp;EA$67&amp;"'!f1"),L76-1,))*1</f>
        <v>2602.6299611600102</v>
      </c>
      <c r="DK76" cm="1">
        <f t="array" aca="1" ref="DK76" ca="1">IF(ISNA(M76),,OFFSET(INDIRECT("'"&amp;EB$67&amp;"'!f1"),M76-1,))*1</f>
        <v>8689.2636810913591</v>
      </c>
      <c r="DL76" cm="1">
        <f t="array" aca="1" ref="DL76" ca="1">IF(ISNA(N76),,OFFSET(INDIRECT("'"&amp;EC$67&amp;"'!f1"),N76-1,))*1</f>
        <v>0.39662803799728802</v>
      </c>
      <c r="DM76" cm="1">
        <f t="array" aca="1" ref="DM76" ca="1">IF(ISNA(O76),,OFFSET(INDIRECT("'"&amp;ED$67&amp;"'!f1"),O76-1,))*1</f>
        <v>0.39336811300017799</v>
      </c>
      <c r="DN76" cm="1">
        <f t="array" aca="1" ref="DN76" ca="1">IF(ISNA(P76),,OFFSET(INDIRECT("'"&amp;EE$67&amp;"'!f1"),P76-1,))*1</f>
        <v>632.87464864551998</v>
      </c>
      <c r="DT76">
        <f t="shared" ca="1" si="60"/>
        <v>1</v>
      </c>
      <c r="DU76">
        <f t="shared" ca="1" si="49"/>
        <v>1</v>
      </c>
      <c r="DV76">
        <f t="shared" ca="1" si="49"/>
        <v>0</v>
      </c>
      <c r="DW76">
        <f t="shared" ca="1" si="49"/>
        <v>0</v>
      </c>
      <c r="DX76">
        <f t="shared" ca="1" si="49"/>
        <v>1</v>
      </c>
      <c r="DY76">
        <f t="shared" ca="1" si="49"/>
        <v>1</v>
      </c>
      <c r="DZ76">
        <f t="shared" ca="1" si="49"/>
        <v>56</v>
      </c>
      <c r="EA76">
        <f t="shared" ca="1" si="49"/>
        <v>4865</v>
      </c>
      <c r="EB76">
        <f t="shared" ca="1" si="49"/>
        <v>21</v>
      </c>
      <c r="EC76">
        <f t="shared" ca="1" si="49"/>
        <v>0</v>
      </c>
      <c r="ED76">
        <f t="shared" ca="1" si="49"/>
        <v>0</v>
      </c>
      <c r="EE76">
        <f t="shared" ca="1" si="49"/>
        <v>2</v>
      </c>
      <c r="EK76" cm="1">
        <f t="array" aca="1" ref="EK76" ca="1">IF(ISNA(E76),0,OFFSET(INDIRECT("'"&amp;EK$67&amp;"'!g1"),E76-1,)*CL76)</f>
        <v>1</v>
      </c>
      <c r="EL76" cm="1">
        <f t="array" aca="1" ref="EL76" ca="1">IF(ISNA(F76),0,OFFSET(INDIRECT("'"&amp;EL$67&amp;"'!g1"),F76-1,)*CM76)</f>
        <v>1</v>
      </c>
      <c r="EM76" cm="1">
        <f t="array" aca="1" ref="EM76" ca="1">IF(ISNA(G76),0,OFFSET(INDIRECT("'"&amp;EM$67&amp;"'!g1"),G76-1,)*CN76)</f>
        <v>0</v>
      </c>
      <c r="EN76" cm="1">
        <f t="array" aca="1" ref="EN76" ca="1">IF(ISNA(H76),0,OFFSET(INDIRECT("'"&amp;EN$67&amp;"'!g1"),H76-1,)*CO76)</f>
        <v>0</v>
      </c>
      <c r="EO76" cm="1">
        <f t="array" aca="1" ref="EO76" ca="1">IF(ISNA(I76),0,OFFSET(INDIRECT("'"&amp;EO$67&amp;"'!g1"),I76-1,)*CP76)</f>
        <v>1</v>
      </c>
      <c r="EP76" cm="1">
        <f t="array" aca="1" ref="EP76" ca="1">IF(ISNA(J76),0,OFFSET(INDIRECT("'"&amp;EP$67&amp;"'!g1"),J76-1,)*CQ76)</f>
        <v>1</v>
      </c>
      <c r="EQ76" cm="1">
        <f t="array" aca="1" ref="EQ76" ca="1">IF(ISNA(K76),0,OFFSET(INDIRECT("'"&amp;EQ$67&amp;"'!g1"),K76-1,)*CR76)</f>
        <v>56</v>
      </c>
      <c r="ER76" cm="1">
        <f t="array" aca="1" ref="ER76" ca="1">IF(ISNA(L76),0,OFFSET(INDIRECT("'"&amp;ER$67&amp;"'!g1"),L76-1,)*CS76)</f>
        <v>4865</v>
      </c>
      <c r="ES76" cm="1">
        <f t="array" aca="1" ref="ES76" ca="1">IF(ISNA(M76),0,OFFSET(INDIRECT("'"&amp;ES$67&amp;"'!g1"),M76-1,)*CT76)</f>
        <v>21</v>
      </c>
      <c r="ET76" cm="1">
        <f t="array" aca="1" ref="ET76" ca="1">IF(ISNA(N76),0,OFFSET(INDIRECT("'"&amp;ET$67&amp;"'!g1"),N76-1,)*CU76)</f>
        <v>0</v>
      </c>
      <c r="EU76" cm="1">
        <f t="array" aca="1" ref="EU76" ca="1">IF(ISNA(O76),0,OFFSET(INDIRECT("'"&amp;EU$67&amp;"'!g1"),O76-1,)*CV76)</f>
        <v>0</v>
      </c>
      <c r="EV76" cm="1">
        <f t="array" aca="1" ref="EV76" ca="1">IF(ISNA(P76),0,OFFSET(INDIRECT("'"&amp;EV$67&amp;"'!g1"),P76-1,)*CW76)</f>
        <v>2</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5</v>
      </c>
      <c r="FN76" s="10"/>
      <c r="FO76" s="10"/>
      <c r="FP76" s="10"/>
      <c r="FQ76" s="10"/>
      <c r="FS76">
        <f t="shared" ca="1" si="61"/>
        <v>1054</v>
      </c>
      <c r="FT76">
        <f t="shared" ca="1" si="62"/>
        <v>1563.7777419164699</v>
      </c>
      <c r="FU76">
        <f t="shared" ca="1" si="63"/>
        <v>56</v>
      </c>
      <c r="FV76">
        <f t="shared" ca="1" si="64"/>
        <v>10000</v>
      </c>
      <c r="FW76" s="4">
        <f t="shared" ca="1" si="65"/>
        <v>5.5999999999999999E-3</v>
      </c>
      <c r="FX76" s="5">
        <f t="shared" ca="1" si="66"/>
        <v>27.924602534222679</v>
      </c>
      <c r="FZ76" s="13">
        <f t="shared" ca="1" si="50"/>
        <v>1054</v>
      </c>
      <c r="GA76" s="22">
        <f t="shared" ca="1" si="67"/>
        <v>0</v>
      </c>
      <c r="GB76" s="22">
        <f t="shared" ca="1" si="51"/>
        <v>0</v>
      </c>
      <c r="GC76" s="22">
        <f t="shared" ca="1" si="51"/>
        <v>11.1</v>
      </c>
      <c r="GD76" s="22" t="e">
        <f t="shared" ca="1" si="51"/>
        <v>#N/A</v>
      </c>
      <c r="GE76" s="22">
        <f t="shared" ca="1" si="51"/>
        <v>0</v>
      </c>
      <c r="GF76" s="22">
        <f t="shared" ca="1" si="51"/>
        <v>0</v>
      </c>
      <c r="GG76" s="22">
        <f t="shared" ca="1" si="51"/>
        <v>0</v>
      </c>
      <c r="GH76" s="22">
        <f t="shared" ca="1" si="51"/>
        <v>0</v>
      </c>
      <c r="GI76" s="22">
        <f t="shared" ca="1" si="51"/>
        <v>0</v>
      </c>
      <c r="GJ76" s="22" t="e">
        <f t="shared" ca="1" si="51"/>
        <v>#N/A</v>
      </c>
      <c r="GK76" s="22" t="e">
        <f t="shared" ca="1" si="51"/>
        <v>#N/A</v>
      </c>
      <c r="GL76" s="22">
        <f t="shared" ca="1" si="51"/>
        <v>0</v>
      </c>
      <c r="GM76" s="22"/>
      <c r="GN76">
        <f t="shared" ca="1" si="68"/>
        <v>1054</v>
      </c>
      <c r="GO76" s="5" t="e">
        <f t="shared" ca="1" si="69"/>
        <v>#N/A</v>
      </c>
      <c r="GP76" s="5" t="e">
        <f t="shared" ca="1" si="52"/>
        <v>#N/A</v>
      </c>
      <c r="GQ76" s="5" t="e">
        <f t="shared" ca="1" si="52"/>
        <v>#N/A</v>
      </c>
      <c r="GR76" s="5" t="e">
        <f t="shared" ca="1" si="52"/>
        <v>#N/A</v>
      </c>
      <c r="GS76" s="5" t="e">
        <f t="shared" ca="1" si="52"/>
        <v>#N/A</v>
      </c>
      <c r="GT76" s="5">
        <f t="shared" ca="1" si="70"/>
        <v>19.292194075882399</v>
      </c>
      <c r="GU76" s="5">
        <f t="shared" ca="1" si="53"/>
        <v>27.924602534222679</v>
      </c>
      <c r="GV76" s="5">
        <f t="shared" ca="1" si="53"/>
        <v>0.53497018728879964</v>
      </c>
      <c r="GW76" s="5">
        <f t="shared" ca="1" si="53"/>
        <v>413.77446100435043</v>
      </c>
      <c r="GX76" s="5" t="e">
        <f t="shared" ca="1" si="53"/>
        <v>#N/A</v>
      </c>
      <c r="GY76" s="5" t="e">
        <f t="shared" ca="1" si="53"/>
        <v>#N/A</v>
      </c>
      <c r="GZ76" s="5">
        <f t="shared" ca="1" si="53"/>
        <v>316.43732432275999</v>
      </c>
      <c r="HB76" s="13">
        <f t="shared" ca="1" si="54"/>
        <v>1054</v>
      </c>
      <c r="HC76" s="4">
        <f t="shared" ca="1" si="71"/>
        <v>1</v>
      </c>
      <c r="HD76" s="4">
        <f t="shared" ca="1" si="55"/>
        <v>1</v>
      </c>
      <c r="HE76" s="4">
        <f t="shared" ca="1" si="55"/>
        <v>0</v>
      </c>
      <c r="HF76" s="4">
        <f t="shared" ca="1" si="55"/>
        <v>0</v>
      </c>
      <c r="HG76" s="4">
        <f t="shared" ca="1" si="55"/>
        <v>1</v>
      </c>
      <c r="HH76" s="4">
        <f t="shared" ca="1" si="55"/>
        <v>1</v>
      </c>
      <c r="HI76" s="4">
        <f t="shared" ca="1" si="55"/>
        <v>5.5999999999999999E-3</v>
      </c>
      <c r="HJ76" s="4">
        <f t="shared" ca="1" si="55"/>
        <v>0.48649999999999999</v>
      </c>
      <c r="HK76" s="4">
        <f t="shared" ca="1" si="55"/>
        <v>2.0999999999999999E-3</v>
      </c>
      <c r="HL76" s="4">
        <f t="shared" ca="1" si="55"/>
        <v>0</v>
      </c>
      <c r="HM76" s="4">
        <f t="shared" ca="1" si="55"/>
        <v>0</v>
      </c>
      <c r="HN76" s="4">
        <f t="shared" ca="1" si="55"/>
        <v>0.4</v>
      </c>
    </row>
    <row r="77" spans="1:222" x14ac:dyDescent="0.2">
      <c r="A77" t="str" cm="1">
        <f t="array" aca="1" ref="A77" ca="1">INDIRECT($A$67&amp;"!A"&amp;ROW(C10)+$B$64)</f>
        <v>xu_42</v>
      </c>
      <c r="B77" cm="1">
        <f t="array" aca="1" ref="B77" ca="1">INDIRECT($A$67&amp;"!b"&amp;ROW(D10)+$B$64)</f>
        <v>1428</v>
      </c>
      <c r="C77">
        <f t="shared" ca="1" si="56"/>
        <v>24</v>
      </c>
      <c r="E77">
        <f t="shared" ca="1" si="43"/>
        <v>34</v>
      </c>
      <c r="F77">
        <f t="shared" ca="1" si="43"/>
        <v>35</v>
      </c>
      <c r="G77">
        <f t="shared" ca="1" si="43"/>
        <v>34</v>
      </c>
      <c r="H77">
        <f t="shared" ca="1" si="43"/>
        <v>34</v>
      </c>
      <c r="I77">
        <f t="shared" ca="1" si="43"/>
        <v>39</v>
      </c>
      <c r="J77">
        <f t="shared" ca="1" si="43"/>
        <v>34</v>
      </c>
      <c r="K77">
        <f t="shared" ca="1" si="43"/>
        <v>34</v>
      </c>
      <c r="L77">
        <f t="shared" ca="1" si="43"/>
        <v>182</v>
      </c>
      <c r="M77">
        <f t="shared" ca="1" si="43"/>
        <v>40</v>
      </c>
      <c r="N77">
        <f t="shared" ca="1" si="43"/>
        <v>34</v>
      </c>
      <c r="O77">
        <f t="shared" ca="1" si="43"/>
        <v>34</v>
      </c>
      <c r="P77" t="e">
        <f t="shared" ca="1" si="43"/>
        <v>#N/A</v>
      </c>
      <c r="V77" cm="1">
        <f t="array" aca="1" ref="V77" ca="1">IF(ISNA(E77),,OFFSET(INDIRECT("'"&amp;V$67&amp;"'!d1"),E77-1,))</f>
        <v>24</v>
      </c>
      <c r="W77" cm="1">
        <f t="array" aca="1" ref="W77" ca="1">IF(ISNA(F77),,OFFSET(INDIRECT("'"&amp;W$67&amp;"'!d1"),F77-1,))</f>
        <v>24</v>
      </c>
      <c r="X77" cm="1">
        <f t="array" aca="1" ref="X77" ca="1">IF(ISNA(G77),,OFFSET(INDIRECT("'"&amp;X$67&amp;"'!d1"),G77-1,))</f>
        <v>250</v>
      </c>
      <c r="Y77" cm="1">
        <f t="array" aca="1" ref="Y77" ca="1">IF(ISNA(H77),,OFFSET(INDIRECT("'"&amp;Y$67&amp;"'!d1"),H77-1,))</f>
        <v>0</v>
      </c>
      <c r="Z77" cm="1">
        <f t="array" aca="1" ref="Z77" ca="1">IF(ISNA(I77),,OFFSET(INDIRECT("'"&amp;Z$67&amp;"'!d1"),I77-1,))</f>
        <v>32</v>
      </c>
      <c r="AA77" cm="1">
        <f t="array" aca="1" ref="AA77" ca="1">IF(ISNA(J77),,OFFSET(INDIRECT("'"&amp;AA$67&amp;"'!d1"),J77-1,))</f>
        <v>24</v>
      </c>
      <c r="AB77" cm="1">
        <f t="array" aca="1" ref="AB77" ca="1">IF(ISNA(K77),,OFFSET(INDIRECT("'"&amp;AB$67&amp;"'!d1"),K77-1,))</f>
        <v>24</v>
      </c>
      <c r="AC77" cm="1">
        <f t="array" aca="1" ref="AC77" ca="1">IF(ISNA(L77),,OFFSET(INDIRECT("'"&amp;AC$67&amp;"'!d1"),L77-1,))</f>
        <v>24</v>
      </c>
      <c r="AD77" cm="1">
        <f t="array" aca="1" ref="AD77" ca="1">IF(ISNA(M77),,OFFSET(INDIRECT("'"&amp;AD$67&amp;"'!d1"),M77-1,))</f>
        <v>26</v>
      </c>
      <c r="AE77" cm="1">
        <f t="array" aca="1" ref="AE77" ca="1">IF(ISNA(N77),,OFFSET(INDIRECT("'"&amp;AE$67&amp;"'!d1"),N77-1,))</f>
        <v>0</v>
      </c>
      <c r="AF77" cm="1">
        <f t="array" aca="1" ref="AF77" ca="1">IF(ISNA(O77),,OFFSET(INDIRECT("'"&amp;AF$67&amp;"'!d1"),O77-1,))</f>
        <v>0</v>
      </c>
      <c r="AG77" cm="1">
        <f t="array" aca="1" ref="AG77" ca="1">IF(ISNA(P77),,OFFSET(INDIRECT("'"&amp;AG$67&amp;"'!d1"),P77-1,))</f>
        <v>0</v>
      </c>
      <c r="AM77">
        <f t="shared" ca="1" si="57"/>
        <v>0</v>
      </c>
      <c r="AN77">
        <f t="shared" ca="1" si="44"/>
        <v>0</v>
      </c>
      <c r="AO77">
        <f t="shared" ca="1" si="44"/>
        <v>0</v>
      </c>
      <c r="AP77">
        <f t="shared" ca="1" si="44"/>
        <v>0</v>
      </c>
      <c r="AQ77">
        <f t="shared" ca="1" si="58"/>
        <v>0</v>
      </c>
      <c r="AV77" t="str">
        <f t="shared" ca="1" si="59"/>
        <v/>
      </c>
      <c r="AW77" t="str">
        <f t="shared" ca="1" si="45"/>
        <v/>
      </c>
      <c r="AX77" t="str">
        <f t="shared" ca="1" si="45"/>
        <v/>
      </c>
      <c r="AY77" t="str">
        <f t="shared" ca="1" si="45"/>
        <v/>
      </c>
      <c r="AZ77" t="str">
        <f t="shared" ca="1" si="45"/>
        <v/>
      </c>
      <c r="BD77">
        <f t="shared" ca="1" si="46"/>
        <v>1</v>
      </c>
      <c r="BE77">
        <f t="shared" ca="1" si="46"/>
        <v>1</v>
      </c>
      <c r="BF77">
        <f t="shared" ca="1" si="46"/>
        <v>1</v>
      </c>
      <c r="BG77">
        <f t="shared" ca="1" si="46"/>
        <v>0</v>
      </c>
      <c r="BH77">
        <f t="shared" ca="1" si="46"/>
        <v>1</v>
      </c>
      <c r="BI77">
        <f t="shared" ca="1" si="46"/>
        <v>1</v>
      </c>
      <c r="BJ77">
        <f t="shared" ca="1" si="46"/>
        <v>1</v>
      </c>
      <c r="BK77">
        <f t="shared" ca="1" si="46"/>
        <v>1</v>
      </c>
      <c r="BL77">
        <f t="shared" ca="1" si="46"/>
        <v>1</v>
      </c>
      <c r="BM77">
        <f t="shared" ca="1" si="46"/>
        <v>0</v>
      </c>
      <c r="BN77">
        <f t="shared" ca="1" si="46"/>
        <v>0</v>
      </c>
      <c r="BO77">
        <f t="shared" ca="1" si="46"/>
        <v>0</v>
      </c>
      <c r="BU77">
        <f t="shared" ca="1" si="47"/>
        <v>24</v>
      </c>
      <c r="BV77">
        <f t="shared" ca="1" si="47"/>
        <v>24</v>
      </c>
      <c r="BW77">
        <f t="shared" ca="1" si="47"/>
        <v>250</v>
      </c>
      <c r="BX77">
        <f t="shared" ca="1" si="47"/>
        <v>1428</v>
      </c>
      <c r="BY77">
        <f t="shared" ca="1" si="47"/>
        <v>32</v>
      </c>
      <c r="BZ77">
        <f t="shared" ca="1" si="47"/>
        <v>24</v>
      </c>
      <c r="CA77">
        <f t="shared" ca="1" si="47"/>
        <v>24</v>
      </c>
      <c r="CB77">
        <f t="shared" ca="1" si="47"/>
        <v>24</v>
      </c>
      <c r="CC77">
        <f t="shared" ca="1" si="47"/>
        <v>26</v>
      </c>
      <c r="CD77">
        <f t="shared" ca="1" si="47"/>
        <v>1428</v>
      </c>
      <c r="CE77">
        <f t="shared" ca="1" si="47"/>
        <v>1428</v>
      </c>
      <c r="CF77">
        <f t="shared" ca="1" si="47"/>
        <v>1428</v>
      </c>
      <c r="CL77">
        <f t="shared" ca="1" si="48"/>
        <v>1</v>
      </c>
      <c r="CM77">
        <f t="shared" ca="1" si="48"/>
        <v>1</v>
      </c>
      <c r="CN77">
        <f t="shared" ca="1" si="48"/>
        <v>0</v>
      </c>
      <c r="CO77">
        <f t="shared" ca="1" si="48"/>
        <v>0</v>
      </c>
      <c r="CP77">
        <f t="shared" ca="1" si="48"/>
        <v>0</v>
      </c>
      <c r="CQ77">
        <f t="shared" ca="1" si="48"/>
        <v>1</v>
      </c>
      <c r="CR77">
        <f t="shared" ca="1" si="48"/>
        <v>1</v>
      </c>
      <c r="CS77">
        <f t="shared" ca="1" si="48"/>
        <v>1</v>
      </c>
      <c r="CT77">
        <f t="shared" ca="1" si="48"/>
        <v>0</v>
      </c>
      <c r="CU77">
        <f t="shared" ca="1" si="48"/>
        <v>0</v>
      </c>
      <c r="CV77">
        <f t="shared" ca="1" si="48"/>
        <v>0</v>
      </c>
      <c r="CW77">
        <f t="shared" ca="1" si="48"/>
        <v>0</v>
      </c>
      <c r="DC77" cm="1">
        <f t="array" aca="1" ref="DC77" ca="1">IF(ISNA(E77),,OFFSET(INDIRECT("'"&amp;DT$67&amp;"'!f1"),E77-1,))*1</f>
        <v>28810.166922184999</v>
      </c>
      <c r="DD77" cm="1">
        <f t="array" aca="1" ref="DD77" ca="1">IF(ISNA(F77),,OFFSET(INDIRECT("'"&amp;DU$67&amp;"'!f1"),F77-1,))*1</f>
        <v>28803.692533050002</v>
      </c>
      <c r="DE77" cm="1">
        <f t="array" aca="1" ref="DE77" ca="1">IF(ISNA(G77),,OFFSET(INDIRECT("'"&amp;DV$67&amp;"'!f1"),G77-1,))*1</f>
        <v>28800.417350570999</v>
      </c>
      <c r="DF77" cm="1">
        <f t="array" aca="1" ref="DF77" ca="1">IF(ISNA(H77),,OFFSET(INDIRECT("'"&amp;DW$67&amp;"'!f1"),H77-1,))*1</f>
        <v>28800.1550983899</v>
      </c>
      <c r="DG77" cm="1">
        <f t="array" aca="1" ref="DG77" ca="1">IF(ISNA(I77),,OFFSET(INDIRECT("'"&amp;DX$67&amp;"'!f1"),I77-1,))*1</f>
        <v>28802.215934708001</v>
      </c>
      <c r="DH77" cm="1">
        <f t="array" aca="1" ref="DH77" ca="1">IF(ISNA(J77),,OFFSET(INDIRECT("'"&amp;DY$67&amp;"'!f1"),J77-1,))*1</f>
        <v>37.9164335429668</v>
      </c>
      <c r="DI77" cm="1">
        <f t="array" aca="1" ref="DI77" ca="1">IF(ISNA(K77),,OFFSET(INDIRECT("'"&amp;DZ$67&amp;"'!f1"),K77-1,))*1</f>
        <v>3699.5657353922702</v>
      </c>
      <c r="DJ77" cm="1">
        <f t="array" aca="1" ref="DJ77" ca="1">IF(ISNA(L77),,OFFSET(INDIRECT("'"&amp;EA$67&amp;"'!f1"),L77-1,))*1</f>
        <v>5887.9842559164299</v>
      </c>
      <c r="DK77" cm="1">
        <f t="array" aca="1" ref="DK77" ca="1">IF(ISNA(M77),,OFFSET(INDIRECT("'"&amp;EB$67&amp;"'!f1"),M77-1,))*1</f>
        <v>35993.753235623197</v>
      </c>
      <c r="DL77" cm="1">
        <f t="array" aca="1" ref="DL77" ca="1">IF(ISNA(N77),,OFFSET(INDIRECT("'"&amp;EC$67&amp;"'!f1"),N77-1,))*1</f>
        <v>0.65009080999880098</v>
      </c>
      <c r="DM77" cm="1">
        <f t="array" aca="1" ref="DM77" ca="1">IF(ISNA(O77),,OFFSET(INDIRECT("'"&amp;ED$67&amp;"'!f1"),O77-1,))*1</f>
        <v>0.64483322900196005</v>
      </c>
      <c r="DN77" cm="1">
        <f t="array" aca="1" ref="DN77" ca="1">IF(ISNA(P77),,OFFSET(INDIRECT("'"&amp;EE$67&amp;"'!f1"),P77-1,))*1</f>
        <v>0</v>
      </c>
      <c r="DT77">
        <f t="shared" ca="1" si="60"/>
        <v>1</v>
      </c>
      <c r="DU77">
        <f t="shared" ca="1" si="49"/>
        <v>1</v>
      </c>
      <c r="DV77">
        <f t="shared" ca="1" si="49"/>
        <v>0</v>
      </c>
      <c r="DW77">
        <f t="shared" ca="1" si="49"/>
        <v>0</v>
      </c>
      <c r="DX77">
        <f t="shared" ca="1" si="49"/>
        <v>0</v>
      </c>
      <c r="DY77">
        <f t="shared" ca="1" si="49"/>
        <v>1</v>
      </c>
      <c r="DZ77">
        <f t="shared" ca="1" si="49"/>
        <v>3</v>
      </c>
      <c r="EA77">
        <f t="shared" ca="1" si="49"/>
        <v>3624</v>
      </c>
      <c r="EB77">
        <f t="shared" ca="1" si="49"/>
        <v>0</v>
      </c>
      <c r="EC77">
        <f t="shared" ca="1" si="49"/>
        <v>0</v>
      </c>
      <c r="ED77">
        <f t="shared" ca="1" si="49"/>
        <v>0</v>
      </c>
      <c r="EE77">
        <f t="shared" ca="1" si="49"/>
        <v>0</v>
      </c>
      <c r="EK77" cm="1">
        <f t="array" aca="1" ref="EK77" ca="1">IF(ISNA(E77),0,OFFSET(INDIRECT("'"&amp;EK$67&amp;"'!g1"),E77-1,)*CL77)</f>
        <v>1</v>
      </c>
      <c r="EL77" cm="1">
        <f t="array" aca="1" ref="EL77" ca="1">IF(ISNA(F77),0,OFFSET(INDIRECT("'"&amp;EL$67&amp;"'!g1"),F77-1,)*CM77)</f>
        <v>1</v>
      </c>
      <c r="EM77" cm="1">
        <f t="array" aca="1" ref="EM77" ca="1">IF(ISNA(G77),0,OFFSET(INDIRECT("'"&amp;EM$67&amp;"'!g1"),G77-1,)*CN77)</f>
        <v>0</v>
      </c>
      <c r="EN77" cm="1">
        <f t="array" aca="1" ref="EN77" ca="1">IF(ISNA(H77),0,OFFSET(INDIRECT("'"&amp;EN$67&amp;"'!g1"),H77-1,)*CO77)</f>
        <v>0</v>
      </c>
      <c r="EO77" cm="1">
        <f t="array" aca="1" ref="EO77" ca="1">IF(ISNA(I77),0,OFFSET(INDIRECT("'"&amp;EO$67&amp;"'!g1"),I77-1,)*CP77)</f>
        <v>0</v>
      </c>
      <c r="EP77" cm="1">
        <f t="array" aca="1" ref="EP77" ca="1">IF(ISNA(J77),0,OFFSET(INDIRECT("'"&amp;EP$67&amp;"'!g1"),J77-1,)*CQ77)</f>
        <v>1</v>
      </c>
      <c r="EQ77" cm="1">
        <f t="array" aca="1" ref="EQ77" ca="1">IF(ISNA(K77),0,OFFSET(INDIRECT("'"&amp;EQ$67&amp;"'!g1"),K77-1,)*CR77)</f>
        <v>3</v>
      </c>
      <c r="ER77" cm="1">
        <f t="array" aca="1" ref="ER77" ca="1">IF(ISNA(L77),0,OFFSET(INDIRECT("'"&amp;ER$67&amp;"'!g1"),L77-1,)*CS77)</f>
        <v>3624</v>
      </c>
      <c r="ES77" cm="1">
        <f t="array" aca="1" ref="ES77" ca="1">IF(ISNA(M77),0,OFFSET(INDIRECT("'"&amp;ES$67&amp;"'!g1"),M77-1,)*CT77)</f>
        <v>0</v>
      </c>
      <c r="ET77" cm="1">
        <f t="array" aca="1" ref="ET77" ca="1">IF(ISNA(N77),0,OFFSET(INDIRECT("'"&amp;ET$67&amp;"'!g1"),N77-1,)*CU77)</f>
        <v>0</v>
      </c>
      <c r="EU77" cm="1">
        <f t="array" aca="1" ref="EU77" ca="1">IF(ISNA(O77),0,OFFSET(INDIRECT("'"&amp;EU$67&amp;"'!g1"),O77-1,)*CV77)</f>
        <v>0</v>
      </c>
      <c r="EV77" cm="1">
        <f t="array" aca="1" ref="EV77" ca="1">IF(ISNA(P77),0,OFFSET(INDIRECT("'"&amp;EV$67&amp;"'!g1"),P77-1,)*CW77)</f>
        <v>0</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0</v>
      </c>
      <c r="FN77" s="10"/>
      <c r="FO77" s="10"/>
      <c r="FP77" s="10"/>
      <c r="FQ77" s="10"/>
      <c r="FS77">
        <f t="shared" ca="1" si="61"/>
        <v>1428</v>
      </c>
      <c r="FT77">
        <f t="shared" ca="1" si="62"/>
        <v>3699.5657353922702</v>
      </c>
      <c r="FU77">
        <f t="shared" ca="1" si="63"/>
        <v>3</v>
      </c>
      <c r="FV77">
        <f t="shared" ca="1" si="64"/>
        <v>10000</v>
      </c>
      <c r="FW77" s="4">
        <f t="shared" ca="1" si="65"/>
        <v>2.9999999999999997E-4</v>
      </c>
      <c r="FX77" s="5">
        <f t="shared" ca="1" si="66"/>
        <v>1233.1885784640901</v>
      </c>
      <c r="FZ77" s="13">
        <f t="shared" ca="1" si="50"/>
        <v>1428</v>
      </c>
      <c r="GA77" s="22">
        <f t="shared" ca="1" si="67"/>
        <v>0</v>
      </c>
      <c r="GB77" s="22">
        <f t="shared" ca="1" si="51"/>
        <v>0</v>
      </c>
      <c r="GC77" s="22">
        <f t="shared" ca="1" si="51"/>
        <v>9.4166666666666661</v>
      </c>
      <c r="GD77" s="22" t="e">
        <f t="shared" ca="1" si="51"/>
        <v>#N/A</v>
      </c>
      <c r="GE77" s="22">
        <f t="shared" ca="1" si="51"/>
        <v>0.33333333333333331</v>
      </c>
      <c r="GF77" s="22">
        <f t="shared" ca="1" si="51"/>
        <v>0</v>
      </c>
      <c r="GG77" s="22">
        <f t="shared" ca="1" si="51"/>
        <v>0</v>
      </c>
      <c r="GH77" s="22">
        <f t="shared" ca="1" si="51"/>
        <v>0</v>
      </c>
      <c r="GI77" s="22">
        <f t="shared" ca="1" si="51"/>
        <v>8.3333333333333329E-2</v>
      </c>
      <c r="GJ77" s="22" t="e">
        <f t="shared" ca="1" si="51"/>
        <v>#N/A</v>
      </c>
      <c r="GK77" s="22" t="e">
        <f t="shared" ca="1" si="51"/>
        <v>#N/A</v>
      </c>
      <c r="GL77" s="22" t="e">
        <f t="shared" ca="1" si="51"/>
        <v>#N/A</v>
      </c>
      <c r="GM77" s="22"/>
      <c r="GN77">
        <f t="shared" ca="1" si="68"/>
        <v>1428</v>
      </c>
      <c r="GO77" s="5" t="e">
        <f t="shared" ca="1" si="69"/>
        <v>#N/A</v>
      </c>
      <c r="GP77" s="5" t="e">
        <f t="shared" ca="1" si="52"/>
        <v>#N/A</v>
      </c>
      <c r="GQ77" s="5" t="e">
        <f t="shared" ca="1" si="52"/>
        <v>#N/A</v>
      </c>
      <c r="GR77" s="5" t="e">
        <f t="shared" ca="1" si="52"/>
        <v>#N/A</v>
      </c>
      <c r="GS77" s="5" t="e">
        <f t="shared" ca="1" si="52"/>
        <v>#N/A</v>
      </c>
      <c r="GT77" s="5">
        <f t="shared" ca="1" si="70"/>
        <v>37.9164335429668</v>
      </c>
      <c r="GU77" s="5">
        <f t="shared" ca="1" si="53"/>
        <v>1233.1885784640901</v>
      </c>
      <c r="GV77" s="5">
        <f t="shared" ca="1" si="53"/>
        <v>1.6247197174162333</v>
      </c>
      <c r="GW77" s="5" t="e">
        <f t="shared" ca="1" si="53"/>
        <v>#N/A</v>
      </c>
      <c r="GX77" s="5" t="e">
        <f t="shared" ca="1" si="53"/>
        <v>#N/A</v>
      </c>
      <c r="GY77" s="5" t="e">
        <f t="shared" ca="1" si="53"/>
        <v>#N/A</v>
      </c>
      <c r="GZ77" s="5" t="e">
        <f t="shared" ca="1" si="53"/>
        <v>#N/A</v>
      </c>
      <c r="HB77" s="13">
        <f t="shared" ca="1" si="54"/>
        <v>1428</v>
      </c>
      <c r="HC77" s="4">
        <f t="shared" ca="1" si="71"/>
        <v>1</v>
      </c>
      <c r="HD77" s="4">
        <f t="shared" ca="1" si="55"/>
        <v>1</v>
      </c>
      <c r="HE77" s="4">
        <f t="shared" ca="1" si="55"/>
        <v>0</v>
      </c>
      <c r="HF77" s="4">
        <f t="shared" ca="1" si="55"/>
        <v>0</v>
      </c>
      <c r="HG77" s="4">
        <f t="shared" ca="1" si="55"/>
        <v>0</v>
      </c>
      <c r="HH77" s="4">
        <f t="shared" ca="1" si="55"/>
        <v>1</v>
      </c>
      <c r="HI77" s="4">
        <f t="shared" ca="1" si="55"/>
        <v>2.9999999999999997E-4</v>
      </c>
      <c r="HJ77" s="4">
        <f t="shared" ca="1" si="55"/>
        <v>0.3624</v>
      </c>
      <c r="HK77" s="4">
        <f t="shared" ca="1" si="55"/>
        <v>0</v>
      </c>
      <c r="HL77" s="4">
        <f t="shared" ca="1" si="55"/>
        <v>0</v>
      </c>
      <c r="HM77" s="4">
        <f t="shared" ca="1" si="55"/>
        <v>0</v>
      </c>
      <c r="HN77" s="4">
        <f t="shared" ca="1" si="55"/>
        <v>0</v>
      </c>
    </row>
    <row r="78" spans="1:222" x14ac:dyDescent="0.2">
      <c r="A78" t="str" cm="1">
        <f t="array" aca="1" ref="A78" ca="1">INDIRECT($A$67&amp;"!A"&amp;ROW(C11)+$B$64)</f>
        <v>AJ_52</v>
      </c>
      <c r="B78" cm="1">
        <f t="array" aca="1" ref="B78" ca="1">INDIRECT($A$67&amp;"!b"&amp;ROW(D11)+$B$64)</f>
        <v>1768</v>
      </c>
      <c r="C78">
        <f t="shared" ca="1" si="56"/>
        <v>22</v>
      </c>
      <c r="E78">
        <f t="shared" ca="1" si="43"/>
        <v>35</v>
      </c>
      <c r="F78">
        <f t="shared" ca="1" si="43"/>
        <v>36</v>
      </c>
      <c r="G78">
        <f t="shared" ca="1" si="43"/>
        <v>35</v>
      </c>
      <c r="H78">
        <f t="shared" ca="1" si="43"/>
        <v>35</v>
      </c>
      <c r="I78">
        <f t="shared" ca="1" si="43"/>
        <v>41</v>
      </c>
      <c r="J78">
        <f t="shared" ca="1" si="43"/>
        <v>35</v>
      </c>
      <c r="K78">
        <f t="shared" ca="1" si="43"/>
        <v>35</v>
      </c>
      <c r="L78">
        <f t="shared" ca="1" si="43"/>
        <v>183</v>
      </c>
      <c r="M78">
        <f t="shared" ca="1" si="43"/>
        <v>41</v>
      </c>
      <c r="N78">
        <f t="shared" ca="1" si="43"/>
        <v>35</v>
      </c>
      <c r="O78">
        <f t="shared" ca="1" si="43"/>
        <v>35</v>
      </c>
      <c r="P78" t="e">
        <f t="shared" ca="1" si="43"/>
        <v>#N/A</v>
      </c>
      <c r="V78" cm="1">
        <f t="array" aca="1" ref="V78" ca="1">IF(ISNA(E78),,OFFSET(INDIRECT("'"&amp;V$67&amp;"'!d1"),E78-1,))</f>
        <v>22</v>
      </c>
      <c r="W78" cm="1">
        <f t="array" aca="1" ref="W78" ca="1">IF(ISNA(F78),,OFFSET(INDIRECT("'"&amp;W$67&amp;"'!d1"),F78-1,))</f>
        <v>24</v>
      </c>
      <c r="X78" cm="1">
        <f t="array" aca="1" ref="X78" ca="1">IF(ISNA(G78),,OFFSET(INDIRECT("'"&amp;X$67&amp;"'!d1"),G78-1,))</f>
        <v>62</v>
      </c>
      <c r="Y78" cm="1">
        <f t="array" aca="1" ref="Y78" ca="1">IF(ISNA(H78),,OFFSET(INDIRECT("'"&amp;Y$67&amp;"'!d1"),H78-1,))</f>
        <v>0</v>
      </c>
      <c r="Z78" cm="1">
        <f t="array" aca="1" ref="Z78" ca="1">IF(ISNA(I78),,OFFSET(INDIRECT("'"&amp;Z$67&amp;"'!d1"),I78-1,))</f>
        <v>238</v>
      </c>
      <c r="AA78" cm="1">
        <f t="array" aca="1" ref="AA78" ca="1">IF(ISNA(J78),,OFFSET(INDIRECT("'"&amp;AA$67&amp;"'!d1"),J78-1,))</f>
        <v>22</v>
      </c>
      <c r="AB78" cm="1">
        <f t="array" aca="1" ref="AB78" ca="1">IF(ISNA(K78),,OFFSET(INDIRECT("'"&amp;AB$67&amp;"'!d1"),K78-1,))</f>
        <v>24</v>
      </c>
      <c r="AC78" cm="1">
        <f t="array" aca="1" ref="AC78" ca="1">IF(ISNA(L78),,OFFSET(INDIRECT("'"&amp;AC$67&amp;"'!d1"),L78-1,))</f>
        <v>22</v>
      </c>
      <c r="AD78" cm="1">
        <f t="array" aca="1" ref="AD78" ca="1">IF(ISNA(M78),,OFFSET(INDIRECT("'"&amp;AD$67&amp;"'!d1"),M78-1,))</f>
        <v>22</v>
      </c>
      <c r="AE78" cm="1">
        <f t="array" aca="1" ref="AE78" ca="1">IF(ISNA(N78),,OFFSET(INDIRECT("'"&amp;AE$67&amp;"'!d1"),N78-1,))</f>
        <v>0</v>
      </c>
      <c r="AF78" cm="1">
        <f t="array" aca="1" ref="AF78" ca="1">IF(ISNA(O78),,OFFSET(INDIRECT("'"&amp;AF$67&amp;"'!d1"),O78-1,))</f>
        <v>0</v>
      </c>
      <c r="AG78" cm="1">
        <f t="array" aca="1" ref="AG78" ca="1">IF(ISNA(P78),,OFFSET(INDIRECT("'"&amp;AG$67&amp;"'!d1"),P78-1,))</f>
        <v>0</v>
      </c>
      <c r="AM78">
        <f t="shared" ca="1" si="57"/>
        <v>0</v>
      </c>
      <c r="AN78">
        <f t="shared" ca="1" si="44"/>
        <v>0</v>
      </c>
      <c r="AO78">
        <f t="shared" ca="1" si="44"/>
        <v>0</v>
      </c>
      <c r="AP78">
        <f t="shared" ca="1" si="44"/>
        <v>0</v>
      </c>
      <c r="AQ78">
        <f t="shared" ca="1" si="58"/>
        <v>0</v>
      </c>
      <c r="AV78" t="str">
        <f t="shared" ca="1" si="59"/>
        <v/>
      </c>
      <c r="AW78" t="str">
        <f t="shared" ca="1" si="45"/>
        <v/>
      </c>
      <c r="AX78" t="str">
        <f t="shared" ca="1" si="45"/>
        <v/>
      </c>
      <c r="AY78" t="str">
        <f t="shared" ca="1" si="45"/>
        <v/>
      </c>
      <c r="AZ78" t="str">
        <f t="shared" ca="1" si="45"/>
        <v/>
      </c>
      <c r="BD78">
        <f t="shared" ca="1" si="46"/>
        <v>1</v>
      </c>
      <c r="BE78">
        <f t="shared" ca="1" si="46"/>
        <v>1</v>
      </c>
      <c r="BF78">
        <f t="shared" ca="1" si="46"/>
        <v>1</v>
      </c>
      <c r="BG78">
        <f t="shared" ca="1" si="46"/>
        <v>0</v>
      </c>
      <c r="BH78">
        <f t="shared" ca="1" si="46"/>
        <v>1</v>
      </c>
      <c r="BI78">
        <f t="shared" ca="1" si="46"/>
        <v>1</v>
      </c>
      <c r="BJ78">
        <f t="shared" ca="1" si="46"/>
        <v>1</v>
      </c>
      <c r="BK78">
        <f t="shared" ca="1" si="46"/>
        <v>1</v>
      </c>
      <c r="BL78">
        <f t="shared" ca="1" si="46"/>
        <v>1</v>
      </c>
      <c r="BM78">
        <f t="shared" ca="1" si="46"/>
        <v>0</v>
      </c>
      <c r="BN78">
        <f t="shared" ca="1" si="46"/>
        <v>0</v>
      </c>
      <c r="BO78">
        <f t="shared" ca="1" si="46"/>
        <v>0</v>
      </c>
      <c r="BU78">
        <f t="shared" ca="1" si="47"/>
        <v>22</v>
      </c>
      <c r="BV78">
        <f t="shared" ca="1" si="47"/>
        <v>24</v>
      </c>
      <c r="BW78">
        <f t="shared" ca="1" si="47"/>
        <v>62</v>
      </c>
      <c r="BX78">
        <f t="shared" ca="1" si="47"/>
        <v>1768</v>
      </c>
      <c r="BY78">
        <f t="shared" ca="1" si="47"/>
        <v>238</v>
      </c>
      <c r="BZ78">
        <f t="shared" ca="1" si="47"/>
        <v>22</v>
      </c>
      <c r="CA78">
        <f t="shared" ca="1" si="47"/>
        <v>24</v>
      </c>
      <c r="CB78">
        <f t="shared" ca="1" si="47"/>
        <v>22</v>
      </c>
      <c r="CC78">
        <f t="shared" ca="1" si="47"/>
        <v>22</v>
      </c>
      <c r="CD78">
        <f t="shared" ca="1" si="47"/>
        <v>1768</v>
      </c>
      <c r="CE78">
        <f t="shared" ca="1" si="47"/>
        <v>1768</v>
      </c>
      <c r="CF78">
        <f t="shared" ca="1" si="47"/>
        <v>1768</v>
      </c>
      <c r="CL78">
        <f t="shared" ca="1" si="48"/>
        <v>1</v>
      </c>
      <c r="CM78">
        <f t="shared" ca="1" si="48"/>
        <v>0</v>
      </c>
      <c r="CN78">
        <f t="shared" ca="1" si="48"/>
        <v>0</v>
      </c>
      <c r="CO78">
        <f t="shared" ca="1" si="48"/>
        <v>0</v>
      </c>
      <c r="CP78">
        <f t="shared" ca="1" si="48"/>
        <v>0</v>
      </c>
      <c r="CQ78">
        <f t="shared" ca="1" si="48"/>
        <v>1</v>
      </c>
      <c r="CR78">
        <f t="shared" ca="1" si="48"/>
        <v>0</v>
      </c>
      <c r="CS78">
        <f t="shared" ca="1" si="48"/>
        <v>1</v>
      </c>
      <c r="CT78">
        <f t="shared" ca="1" si="48"/>
        <v>1</v>
      </c>
      <c r="CU78">
        <f t="shared" ca="1" si="48"/>
        <v>0</v>
      </c>
      <c r="CV78">
        <f t="shared" ca="1" si="48"/>
        <v>0</v>
      </c>
      <c r="CW78">
        <f t="shared" ca="1" si="48"/>
        <v>0</v>
      </c>
      <c r="DC78" cm="1">
        <f t="array" aca="1" ref="DC78" ca="1">IF(ISNA(E78),,OFFSET(INDIRECT("'"&amp;DT$67&amp;"'!f1"),E78-1,))*1</f>
        <v>28809.002661943901</v>
      </c>
      <c r="DD78" cm="1">
        <f t="array" aca="1" ref="DD78" ca="1">IF(ISNA(F78),,OFFSET(INDIRECT("'"&amp;DU$67&amp;"'!f1"),F78-1,))*1</f>
        <v>28812.396142503902</v>
      </c>
      <c r="DE78" cm="1">
        <f t="array" aca="1" ref="DE78" ca="1">IF(ISNA(G78),,OFFSET(INDIRECT("'"&amp;DV$67&amp;"'!f1"),G78-1,))*1</f>
        <v>28800.601165345899</v>
      </c>
      <c r="DF78" cm="1">
        <f t="array" aca="1" ref="DF78" ca="1">IF(ISNA(H78),,OFFSET(INDIRECT("'"&amp;DW$67&amp;"'!f1"),H78-1,))*1</f>
        <v>28800.145146835999</v>
      </c>
      <c r="DG78" cm="1">
        <f t="array" aca="1" ref="DG78" ca="1">IF(ISNA(I78),,OFFSET(INDIRECT("'"&amp;DX$67&amp;"'!f1"),I78-1,))*1</f>
        <v>28806.287660000002</v>
      </c>
      <c r="DH78" cm="1">
        <f t="array" aca="1" ref="DH78" ca="1">IF(ISNA(J78),,OFFSET(INDIRECT("'"&amp;DY$67&amp;"'!f1"),J78-1,))*1</f>
        <v>61.082640185952101</v>
      </c>
      <c r="DI78" cm="1">
        <f t="array" aca="1" ref="DI78" ca="1">IF(ISNA(K78),,OFFSET(INDIRECT("'"&amp;DZ$67&amp;"'!f1"),K78-1,))*1</f>
        <v>6830.2528078630503</v>
      </c>
      <c r="DJ78" cm="1">
        <f t="array" aca="1" ref="DJ78" ca="1">IF(ISNA(L78),,OFFSET(INDIRECT("'"&amp;EA$67&amp;"'!f1"),L78-1,))*1</f>
        <v>10793.3354183752</v>
      </c>
      <c r="DK78" cm="1">
        <f t="array" aca="1" ref="DK78" ca="1">IF(ISNA(M78),,OFFSET(INDIRECT("'"&amp;EB$67&amp;"'!f1"),M78-1,))*1</f>
        <v>84143.109385095493</v>
      </c>
      <c r="DL78" cm="1">
        <f t="array" aca="1" ref="DL78" ca="1">IF(ISNA(N78),,OFFSET(INDIRECT("'"&amp;EC$67&amp;"'!f1"),N78-1,))*1</f>
        <v>0.946278732008067</v>
      </c>
      <c r="DM78" cm="1">
        <f t="array" aca="1" ref="DM78" ca="1">IF(ISNA(O78),,OFFSET(INDIRECT("'"&amp;ED$67&amp;"'!f1"),O78-1,))*1</f>
        <v>0.94334146600158397</v>
      </c>
      <c r="DN78" cm="1">
        <f t="array" aca="1" ref="DN78" ca="1">IF(ISNA(P78),,OFFSET(INDIRECT("'"&amp;EE$67&amp;"'!f1"),P78-1,))*1</f>
        <v>0</v>
      </c>
      <c r="DT78">
        <f t="shared" ca="1" si="60"/>
        <v>1</v>
      </c>
      <c r="DU78">
        <f t="shared" ca="1" si="49"/>
        <v>0</v>
      </c>
      <c r="DV78">
        <f t="shared" ca="1" si="49"/>
        <v>0</v>
      </c>
      <c r="DW78">
        <f t="shared" ca="1" si="49"/>
        <v>0</v>
      </c>
      <c r="DX78">
        <f t="shared" ca="1" si="49"/>
        <v>0</v>
      </c>
      <c r="DY78">
        <f t="shared" ca="1" si="49"/>
        <v>1</v>
      </c>
      <c r="DZ78">
        <f t="shared" ca="1" si="49"/>
        <v>0</v>
      </c>
      <c r="EA78">
        <f t="shared" ca="1" si="49"/>
        <v>1099</v>
      </c>
      <c r="EB78">
        <f t="shared" ca="1" si="49"/>
        <v>2</v>
      </c>
      <c r="EC78">
        <f t="shared" ca="1" si="49"/>
        <v>0</v>
      </c>
      <c r="ED78">
        <f t="shared" ca="1" si="49"/>
        <v>0</v>
      </c>
      <c r="EE78">
        <f t="shared" ca="1" si="49"/>
        <v>0</v>
      </c>
      <c r="EK78" cm="1">
        <f t="array" aca="1" ref="EK78" ca="1">IF(ISNA(E78),0,OFFSET(INDIRECT("'"&amp;EK$67&amp;"'!g1"),E78-1,)*CL78)</f>
        <v>1</v>
      </c>
      <c r="EL78" cm="1">
        <f t="array" aca="1" ref="EL78" ca="1">IF(ISNA(F78),0,OFFSET(INDIRECT("'"&amp;EL$67&amp;"'!g1"),F78-1,)*CM78)</f>
        <v>0</v>
      </c>
      <c r="EM78" cm="1">
        <f t="array" aca="1" ref="EM78" ca="1">IF(ISNA(G78),0,OFFSET(INDIRECT("'"&amp;EM$67&amp;"'!g1"),G78-1,)*CN78)</f>
        <v>0</v>
      </c>
      <c r="EN78" cm="1">
        <f t="array" aca="1" ref="EN78" ca="1">IF(ISNA(H78),0,OFFSET(INDIRECT("'"&amp;EN$67&amp;"'!g1"),H78-1,)*CO78)</f>
        <v>0</v>
      </c>
      <c r="EO78" cm="1">
        <f t="array" aca="1" ref="EO78" ca="1">IF(ISNA(I78),0,OFFSET(INDIRECT("'"&amp;EO$67&amp;"'!g1"),I78-1,)*CP78)</f>
        <v>0</v>
      </c>
      <c r="EP78" cm="1">
        <f t="array" aca="1" ref="EP78" ca="1">IF(ISNA(J78),0,OFFSET(INDIRECT("'"&amp;EP$67&amp;"'!g1"),J78-1,)*CQ78)</f>
        <v>1</v>
      </c>
      <c r="EQ78" cm="1">
        <f t="array" aca="1" ref="EQ78" ca="1">IF(ISNA(K78),0,OFFSET(INDIRECT("'"&amp;EQ$67&amp;"'!g1"),K78-1,)*CR78)</f>
        <v>0</v>
      </c>
      <c r="ER78" cm="1">
        <f t="array" aca="1" ref="ER78" ca="1">IF(ISNA(L78),0,OFFSET(INDIRECT("'"&amp;ER$67&amp;"'!g1"),L78-1,)*CS78)</f>
        <v>1099</v>
      </c>
      <c r="ES78" cm="1">
        <f t="array" aca="1" ref="ES78" ca="1">IF(ISNA(M78),0,OFFSET(INDIRECT("'"&amp;ES$67&amp;"'!g1"),M78-1,)*CT78)</f>
        <v>2</v>
      </c>
      <c r="ET78" cm="1">
        <f t="array" aca="1" ref="ET78" ca="1">IF(ISNA(N78),0,OFFSET(INDIRECT("'"&amp;ET$67&amp;"'!g1"),N78-1,)*CU78)</f>
        <v>0</v>
      </c>
      <c r="EU78" cm="1">
        <f t="array" aca="1" ref="EU78" ca="1">IF(ISNA(O78),0,OFFSET(INDIRECT("'"&amp;EU$67&amp;"'!g1"),O78-1,)*CV78)</f>
        <v>0</v>
      </c>
      <c r="EV78" cm="1">
        <f t="array" aca="1" ref="EV78" ca="1">IF(ISNA(P78),0,OFFSET(INDIRECT("'"&amp;EV$67&amp;"'!g1"),P78-1,)*CW78)</f>
        <v>0</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0</v>
      </c>
      <c r="FN78" s="10"/>
      <c r="FO78" s="10"/>
      <c r="FP78" s="10"/>
      <c r="FQ78" s="10"/>
      <c r="FS78">
        <f t="shared" ca="1" si="61"/>
        <v>1768</v>
      </c>
      <c r="FT78">
        <f t="shared" ca="1" si="62"/>
        <v>6830.2528078630503</v>
      </c>
      <c r="FU78">
        <f t="shared" ca="1" si="63"/>
        <v>0</v>
      </c>
      <c r="FV78">
        <f t="shared" ca="1" si="64"/>
        <v>10000</v>
      </c>
      <c r="FW78" s="4">
        <f t="shared" ca="1" si="65"/>
        <v>0</v>
      </c>
      <c r="FX78" s="5" t="e">
        <f t="shared" ca="1" si="66"/>
        <v>#N/A</v>
      </c>
      <c r="FZ78" s="13">
        <f t="shared" ca="1" si="50"/>
        <v>1768</v>
      </c>
      <c r="GA78" s="22">
        <f t="shared" ca="1" si="67"/>
        <v>0</v>
      </c>
      <c r="GB78" s="22">
        <f t="shared" ca="1" si="51"/>
        <v>9.0909090909090912E-2</v>
      </c>
      <c r="GC78" s="22">
        <f t="shared" ca="1" si="51"/>
        <v>1.8181818181818181</v>
      </c>
      <c r="GD78" s="22" t="e">
        <f t="shared" ca="1" si="51"/>
        <v>#N/A</v>
      </c>
      <c r="GE78" s="22">
        <f t="shared" ca="1" si="51"/>
        <v>9.8181818181818183</v>
      </c>
      <c r="GF78" s="22">
        <f t="shared" ca="1" si="51"/>
        <v>0</v>
      </c>
      <c r="GG78" s="22">
        <f t="shared" ca="1" si="51"/>
        <v>9.0909090909090912E-2</v>
      </c>
      <c r="GH78" s="22">
        <f t="shared" ca="1" si="51"/>
        <v>0</v>
      </c>
      <c r="GI78" s="22">
        <f t="shared" ca="1" si="51"/>
        <v>0</v>
      </c>
      <c r="GJ78" s="22" t="e">
        <f t="shared" ca="1" si="51"/>
        <v>#N/A</v>
      </c>
      <c r="GK78" s="22" t="e">
        <f t="shared" ca="1" si="51"/>
        <v>#N/A</v>
      </c>
      <c r="GL78" s="22" t="e">
        <f t="shared" ca="1" si="51"/>
        <v>#N/A</v>
      </c>
      <c r="GM78" s="22"/>
      <c r="GN78">
        <f t="shared" ca="1" si="68"/>
        <v>1768</v>
      </c>
      <c r="GO78" s="5" t="e">
        <f t="shared" ca="1" si="69"/>
        <v>#N/A</v>
      </c>
      <c r="GP78" s="5" t="e">
        <f t="shared" ca="1" si="52"/>
        <v>#N/A</v>
      </c>
      <c r="GQ78" s="5" t="e">
        <f t="shared" ca="1" si="52"/>
        <v>#N/A</v>
      </c>
      <c r="GR78" s="5" t="e">
        <f t="shared" ca="1" si="52"/>
        <v>#N/A</v>
      </c>
      <c r="GS78" s="5" t="e">
        <f t="shared" ca="1" si="52"/>
        <v>#N/A</v>
      </c>
      <c r="GT78" s="5">
        <f t="shared" ca="1" si="70"/>
        <v>61.082640185952101</v>
      </c>
      <c r="GU78" s="5" t="e">
        <f t="shared" ca="1" si="53"/>
        <v>#N/A</v>
      </c>
      <c r="GV78" s="5">
        <f t="shared" ca="1" si="53"/>
        <v>9.8210513361011831</v>
      </c>
      <c r="GW78" s="5">
        <f t="shared" ca="1" si="53"/>
        <v>42071.554692547747</v>
      </c>
      <c r="GX78" s="5" t="e">
        <f t="shared" ca="1" si="53"/>
        <v>#N/A</v>
      </c>
      <c r="GY78" s="5" t="e">
        <f t="shared" ca="1" si="53"/>
        <v>#N/A</v>
      </c>
      <c r="GZ78" s="5" t="e">
        <f t="shared" ca="1" si="53"/>
        <v>#N/A</v>
      </c>
      <c r="HB78" s="13">
        <f t="shared" ca="1" si="54"/>
        <v>1768</v>
      </c>
      <c r="HC78" s="4">
        <f t="shared" ca="1" si="71"/>
        <v>1</v>
      </c>
      <c r="HD78" s="4">
        <f t="shared" ca="1" si="55"/>
        <v>0</v>
      </c>
      <c r="HE78" s="4">
        <f t="shared" ca="1" si="55"/>
        <v>0</v>
      </c>
      <c r="HF78" s="4">
        <f t="shared" ca="1" si="55"/>
        <v>0</v>
      </c>
      <c r="HG78" s="4">
        <f t="shared" ca="1" si="55"/>
        <v>0</v>
      </c>
      <c r="HH78" s="4">
        <f t="shared" ca="1" si="55"/>
        <v>1</v>
      </c>
      <c r="HI78" s="4">
        <f t="shared" ca="1" si="55"/>
        <v>0</v>
      </c>
      <c r="HJ78" s="4">
        <f t="shared" ca="1" si="55"/>
        <v>0.1099</v>
      </c>
      <c r="HK78" s="4">
        <f t="shared" ca="1" si="55"/>
        <v>2.0000000000000001E-4</v>
      </c>
      <c r="HL78" s="4">
        <f t="shared" ca="1" si="55"/>
        <v>0</v>
      </c>
      <c r="HM78" s="4">
        <f t="shared" ca="1" si="55"/>
        <v>0</v>
      </c>
      <c r="HN78" s="4">
        <f t="shared" ca="1" si="55"/>
        <v>0</v>
      </c>
    </row>
    <row r="79" spans="1:222" x14ac:dyDescent="0.2">
      <c r="A79" t="str" cm="1">
        <f t="array" aca="1" ref="A79" ca="1">INDIRECT($A$67&amp;"!A"&amp;ROW(C12)+$B$64)</f>
        <v>AJ_58</v>
      </c>
      <c r="B79" cm="1">
        <f t="array" aca="1" ref="B79" ca="1">INDIRECT($A$67&amp;"!b"&amp;ROW(D12)+$B$64)</f>
        <v>1972</v>
      </c>
      <c r="C79">
        <f t="shared" ca="1" si="56"/>
        <v>20</v>
      </c>
      <c r="E79">
        <f t="shared" ca="1" si="43"/>
        <v>36</v>
      </c>
      <c r="F79">
        <f t="shared" ca="1" si="43"/>
        <v>37</v>
      </c>
      <c r="G79">
        <f t="shared" ca="1" si="43"/>
        <v>36</v>
      </c>
      <c r="H79">
        <f t="shared" ca="1" si="43"/>
        <v>36</v>
      </c>
      <c r="I79">
        <f t="shared" ca="1" si="43"/>
        <v>42</v>
      </c>
      <c r="J79">
        <f t="shared" ca="1" si="43"/>
        <v>36</v>
      </c>
      <c r="K79">
        <f t="shared" ca="1" si="43"/>
        <v>36</v>
      </c>
      <c r="L79">
        <f t="shared" ca="1" si="43"/>
        <v>184</v>
      </c>
      <c r="M79">
        <f t="shared" ca="1" si="43"/>
        <v>42</v>
      </c>
      <c r="N79">
        <f t="shared" ca="1" si="43"/>
        <v>36</v>
      </c>
      <c r="O79">
        <f t="shared" ca="1" si="43"/>
        <v>36</v>
      </c>
      <c r="P79" t="e">
        <f t="shared" ca="1" si="43"/>
        <v>#N/A</v>
      </c>
      <c r="V79" cm="1">
        <f t="array" aca="1" ref="V79" ca="1">IF(ISNA(E79),,OFFSET(INDIRECT("'"&amp;V$67&amp;"'!d1"),E79-1,))</f>
        <v>20</v>
      </c>
      <c r="W79" cm="1">
        <f t="array" aca="1" ref="W79" ca="1">IF(ISNA(F79),,OFFSET(INDIRECT("'"&amp;W$67&amp;"'!d1"),F79-1,))</f>
        <v>24</v>
      </c>
      <c r="X79" cm="1">
        <f t="array" aca="1" ref="X79" ca="1">IF(ISNA(G79),,OFFSET(INDIRECT("'"&amp;X$67&amp;"'!d1"),G79-1,))</f>
        <v>72</v>
      </c>
      <c r="Y79" cm="1">
        <f t="array" aca="1" ref="Y79" ca="1">IF(ISNA(H79),,OFFSET(INDIRECT("'"&amp;Y$67&amp;"'!d1"),H79-1,))</f>
        <v>0</v>
      </c>
      <c r="Z79" cm="1">
        <f t="array" aca="1" ref="Z79" ca="1">IF(ISNA(I79),,OFFSET(INDIRECT("'"&amp;Z$67&amp;"'!d1"),I79-1,))</f>
        <v>38</v>
      </c>
      <c r="AA79" cm="1">
        <f t="array" aca="1" ref="AA79" ca="1">IF(ISNA(J79),,OFFSET(INDIRECT("'"&amp;AA$67&amp;"'!d1"),J79-1,))</f>
        <v>20</v>
      </c>
      <c r="AB79" cm="1">
        <f t="array" aca="1" ref="AB79" ca="1">IF(ISNA(K79),,OFFSET(INDIRECT("'"&amp;AB$67&amp;"'!d1"),K79-1,))</f>
        <v>20</v>
      </c>
      <c r="AC79" cm="1">
        <f t="array" aca="1" ref="AC79" ca="1">IF(ISNA(L79),,OFFSET(INDIRECT("'"&amp;AC$67&amp;"'!d1"),L79-1,))</f>
        <v>20</v>
      </c>
      <c r="AD79" cm="1">
        <f t="array" aca="1" ref="AD79" ca="1">IF(ISNA(M79),,OFFSET(INDIRECT("'"&amp;AD$67&amp;"'!d1"),M79-1,))</f>
        <v>20</v>
      </c>
      <c r="AE79" cm="1">
        <f t="array" aca="1" ref="AE79" ca="1">IF(ISNA(N79),,OFFSET(INDIRECT("'"&amp;AE$67&amp;"'!d1"),N79-1,))</f>
        <v>0</v>
      </c>
      <c r="AF79" cm="1">
        <f t="array" aca="1" ref="AF79" ca="1">IF(ISNA(O79),,OFFSET(INDIRECT("'"&amp;AF$67&amp;"'!d1"),O79-1,))</f>
        <v>0</v>
      </c>
      <c r="AG79" cm="1">
        <f t="array" aca="1" ref="AG79" ca="1">IF(ISNA(P79),,OFFSET(INDIRECT("'"&amp;AG$67&amp;"'!d1"),P79-1,))</f>
        <v>0</v>
      </c>
      <c r="AM79">
        <f t="shared" ca="1" si="57"/>
        <v>0</v>
      </c>
      <c r="AN79">
        <f t="shared" ca="1" si="44"/>
        <v>0</v>
      </c>
      <c r="AO79">
        <f t="shared" ca="1" si="44"/>
        <v>0</v>
      </c>
      <c r="AP79">
        <f t="shared" ca="1" si="44"/>
        <v>0</v>
      </c>
      <c r="AQ79">
        <f t="shared" ca="1" si="58"/>
        <v>0</v>
      </c>
      <c r="AV79" t="str">
        <f t="shared" ca="1" si="59"/>
        <v/>
      </c>
      <c r="AW79" t="str">
        <f t="shared" ca="1" si="45"/>
        <v/>
      </c>
      <c r="AX79" t="str">
        <f t="shared" ca="1" si="45"/>
        <v/>
      </c>
      <c r="AY79" t="str">
        <f t="shared" ca="1" si="45"/>
        <v/>
      </c>
      <c r="AZ79" t="str">
        <f t="shared" ca="1" si="45"/>
        <v/>
      </c>
      <c r="BD79">
        <f t="shared" ca="1" si="46"/>
        <v>1</v>
      </c>
      <c r="BE79">
        <f t="shared" ca="1" si="46"/>
        <v>1</v>
      </c>
      <c r="BF79">
        <f t="shared" ca="1" si="46"/>
        <v>1</v>
      </c>
      <c r="BG79">
        <f t="shared" ca="1" si="46"/>
        <v>0</v>
      </c>
      <c r="BH79">
        <f t="shared" ca="1" si="46"/>
        <v>1</v>
      </c>
      <c r="BI79">
        <f t="shared" ca="1" si="46"/>
        <v>1</v>
      </c>
      <c r="BJ79">
        <f t="shared" ca="1" si="46"/>
        <v>1</v>
      </c>
      <c r="BK79">
        <f t="shared" ca="1" si="46"/>
        <v>1</v>
      </c>
      <c r="BL79">
        <f t="shared" ca="1" si="46"/>
        <v>1</v>
      </c>
      <c r="BM79">
        <f t="shared" ca="1" si="46"/>
        <v>0</v>
      </c>
      <c r="BN79">
        <f t="shared" ca="1" si="46"/>
        <v>0</v>
      </c>
      <c r="BO79">
        <f t="shared" ca="1" si="46"/>
        <v>0</v>
      </c>
      <c r="BU79">
        <f t="shared" ca="1" si="47"/>
        <v>20</v>
      </c>
      <c r="BV79">
        <f t="shared" ca="1" si="47"/>
        <v>24</v>
      </c>
      <c r="BW79">
        <f t="shared" ca="1" si="47"/>
        <v>72</v>
      </c>
      <c r="BX79">
        <f t="shared" ca="1" si="47"/>
        <v>1972</v>
      </c>
      <c r="BY79">
        <f t="shared" ca="1" si="47"/>
        <v>38</v>
      </c>
      <c r="BZ79">
        <f t="shared" ca="1" si="47"/>
        <v>20</v>
      </c>
      <c r="CA79">
        <f t="shared" ca="1" si="47"/>
        <v>20</v>
      </c>
      <c r="CB79">
        <f t="shared" ca="1" si="47"/>
        <v>20</v>
      </c>
      <c r="CC79">
        <f t="shared" ca="1" si="47"/>
        <v>20</v>
      </c>
      <c r="CD79">
        <f t="shared" ca="1" si="47"/>
        <v>1972</v>
      </c>
      <c r="CE79">
        <f t="shared" ca="1" si="47"/>
        <v>1972</v>
      </c>
      <c r="CF79">
        <f t="shared" ca="1" si="47"/>
        <v>1972</v>
      </c>
      <c r="CL79">
        <f t="shared" ca="1" si="48"/>
        <v>1</v>
      </c>
      <c r="CM79">
        <f t="shared" ca="1" si="48"/>
        <v>0</v>
      </c>
      <c r="CN79">
        <f t="shared" ca="1" si="48"/>
        <v>0</v>
      </c>
      <c r="CO79">
        <f t="shared" ca="1" si="48"/>
        <v>0</v>
      </c>
      <c r="CP79">
        <f t="shared" ca="1" si="48"/>
        <v>0</v>
      </c>
      <c r="CQ79">
        <f t="shared" ca="1" si="48"/>
        <v>1</v>
      </c>
      <c r="CR79">
        <f t="shared" ca="1" si="48"/>
        <v>1</v>
      </c>
      <c r="CS79">
        <f t="shared" ca="1" si="48"/>
        <v>1</v>
      </c>
      <c r="CT79">
        <f t="shared" ca="1" si="48"/>
        <v>1</v>
      </c>
      <c r="CU79">
        <f t="shared" ca="1" si="48"/>
        <v>0</v>
      </c>
      <c r="CV79">
        <f t="shared" ca="1" si="48"/>
        <v>0</v>
      </c>
      <c r="CW79">
        <f t="shared" ca="1" si="48"/>
        <v>0</v>
      </c>
      <c r="DC79" cm="1">
        <f t="array" aca="1" ref="DC79" ca="1">IF(ISNA(E79),,OFFSET(INDIRECT("'"&amp;DT$67&amp;"'!f1"),E79-1,))*1</f>
        <v>28821.168593917901</v>
      </c>
      <c r="DD79" cm="1">
        <f t="array" aca="1" ref="DD79" ca="1">IF(ISNA(F79),,OFFSET(INDIRECT("'"&amp;DU$67&amp;"'!f1"),F79-1,))*1</f>
        <v>28812.033149227002</v>
      </c>
      <c r="DE79" cm="1">
        <f t="array" aca="1" ref="DE79" ca="1">IF(ISNA(G79),,OFFSET(INDIRECT("'"&amp;DV$67&amp;"'!f1"),G79-1,))*1</f>
        <v>28800.779733538999</v>
      </c>
      <c r="DF79" cm="1">
        <f t="array" aca="1" ref="DF79" ca="1">IF(ISNA(H79),,OFFSET(INDIRECT("'"&amp;DW$67&amp;"'!f1"),H79-1,))*1</f>
        <v>28801.863059863401</v>
      </c>
      <c r="DG79" cm="1">
        <f t="array" aca="1" ref="DG79" ca="1">IF(ISNA(I79),,OFFSET(INDIRECT("'"&amp;DX$67&amp;"'!f1"),I79-1,))*1</f>
        <v>28802.006348415998</v>
      </c>
      <c r="DH79" cm="1">
        <f t="array" aca="1" ref="DH79" ca="1">IF(ISNA(J79),,OFFSET(INDIRECT("'"&amp;DY$67&amp;"'!f1"),J79-1,))*1</f>
        <v>79.122460968792396</v>
      </c>
      <c r="DI79" cm="1">
        <f t="array" aca="1" ref="DI79" ca="1">IF(ISNA(K79),,OFFSET(INDIRECT("'"&amp;DZ$67&amp;"'!f1"),K79-1,))*1</f>
        <v>9309.0444366335796</v>
      </c>
      <c r="DJ79" cm="1">
        <f t="array" aca="1" ref="DJ79" ca="1">IF(ISNA(L79),,OFFSET(INDIRECT("'"&amp;EA$67&amp;"'!f1"),L79-1,))*1</f>
        <v>14459.2802971825</v>
      </c>
      <c r="DK79" cm="1">
        <f t="array" aca="1" ref="DK79" ca="1">IF(ISNA(M79),,OFFSET(INDIRECT("'"&amp;EB$67&amp;"'!f1"),M79-1,))*1</f>
        <v>151179.78321397299</v>
      </c>
      <c r="DL79" cm="1">
        <f t="array" aca="1" ref="DL79" ca="1">IF(ISNA(N79),,OFFSET(INDIRECT("'"&amp;EC$67&amp;"'!f1"),N79-1,))*1</f>
        <v>1.16508974498719</v>
      </c>
      <c r="DM79" cm="1">
        <f t="array" aca="1" ref="DM79" ca="1">IF(ISNA(O79),,OFFSET(INDIRECT("'"&amp;ED$67&amp;"'!f1"),O79-1,))*1</f>
        <v>1.16433319900534</v>
      </c>
      <c r="DN79" cm="1">
        <f t="array" aca="1" ref="DN79" ca="1">IF(ISNA(P79),,OFFSET(INDIRECT("'"&amp;EE$67&amp;"'!f1"),P79-1,))*1</f>
        <v>0</v>
      </c>
      <c r="DT79">
        <f t="shared" ca="1" si="60"/>
        <v>1</v>
      </c>
      <c r="DU79">
        <f t="shared" ca="1" si="49"/>
        <v>0</v>
      </c>
      <c r="DV79">
        <f t="shared" ca="1" si="49"/>
        <v>0</v>
      </c>
      <c r="DW79">
        <f t="shared" ca="1" si="49"/>
        <v>0</v>
      </c>
      <c r="DX79">
        <f t="shared" ca="1" si="49"/>
        <v>0</v>
      </c>
      <c r="DY79">
        <f t="shared" ca="1" si="49"/>
        <v>1</v>
      </c>
      <c r="DZ79">
        <f t="shared" ca="1" si="49"/>
        <v>1</v>
      </c>
      <c r="EA79">
        <f t="shared" ca="1" si="49"/>
        <v>3770</v>
      </c>
      <c r="EB79">
        <f t="shared" ca="1" si="49"/>
        <v>2</v>
      </c>
      <c r="EC79">
        <f t="shared" ca="1" si="49"/>
        <v>0</v>
      </c>
      <c r="ED79">
        <f t="shared" ca="1" si="49"/>
        <v>0</v>
      </c>
      <c r="EE79">
        <f t="shared" ca="1" si="49"/>
        <v>0</v>
      </c>
      <c r="EK79" cm="1">
        <f t="array" aca="1" ref="EK79" ca="1">IF(ISNA(E79),0,OFFSET(INDIRECT("'"&amp;EK$67&amp;"'!g1"),E79-1,)*CL79)</f>
        <v>1</v>
      </c>
      <c r="EL79" cm="1">
        <f t="array" aca="1" ref="EL79" ca="1">IF(ISNA(F79),0,OFFSET(INDIRECT("'"&amp;EL$67&amp;"'!g1"),F79-1,)*CM79)</f>
        <v>0</v>
      </c>
      <c r="EM79" cm="1">
        <f t="array" aca="1" ref="EM79" ca="1">IF(ISNA(G79),0,OFFSET(INDIRECT("'"&amp;EM$67&amp;"'!g1"),G79-1,)*CN79)</f>
        <v>0</v>
      </c>
      <c r="EN79" cm="1">
        <f t="array" aca="1" ref="EN79" ca="1">IF(ISNA(H79),0,OFFSET(INDIRECT("'"&amp;EN$67&amp;"'!g1"),H79-1,)*CO79)</f>
        <v>0</v>
      </c>
      <c r="EO79" cm="1">
        <f t="array" aca="1" ref="EO79" ca="1">IF(ISNA(I79),0,OFFSET(INDIRECT("'"&amp;EO$67&amp;"'!g1"),I79-1,)*CP79)</f>
        <v>0</v>
      </c>
      <c r="EP79" cm="1">
        <f t="array" aca="1" ref="EP79" ca="1">IF(ISNA(J79),0,OFFSET(INDIRECT("'"&amp;EP$67&amp;"'!g1"),J79-1,)*CQ79)</f>
        <v>1</v>
      </c>
      <c r="EQ79" cm="1">
        <f t="array" aca="1" ref="EQ79" ca="1">IF(ISNA(K79),0,OFFSET(INDIRECT("'"&amp;EQ$67&amp;"'!g1"),K79-1,)*CR79)</f>
        <v>1</v>
      </c>
      <c r="ER79" cm="1">
        <f t="array" aca="1" ref="ER79" ca="1">IF(ISNA(L79),0,OFFSET(INDIRECT("'"&amp;ER$67&amp;"'!g1"),L79-1,)*CS79)</f>
        <v>3770</v>
      </c>
      <c r="ES79" cm="1">
        <f t="array" aca="1" ref="ES79" ca="1">IF(ISNA(M79),0,OFFSET(INDIRECT("'"&amp;ES$67&amp;"'!g1"),M79-1,)*CT79)</f>
        <v>2</v>
      </c>
      <c r="ET79" cm="1">
        <f t="array" aca="1" ref="ET79" ca="1">IF(ISNA(N79),0,OFFSET(INDIRECT("'"&amp;ET$67&amp;"'!g1"),N79-1,)*CU79)</f>
        <v>0</v>
      </c>
      <c r="EU79" cm="1">
        <f t="array" aca="1" ref="EU79" ca="1">IF(ISNA(O79),0,OFFSET(INDIRECT("'"&amp;EU$67&amp;"'!g1"),O79-1,)*CV79)</f>
        <v>0</v>
      </c>
      <c r="EV79" cm="1">
        <f t="array" aca="1" ref="EV79" ca="1">IF(ISNA(P79),0,OFFSET(INDIRECT("'"&amp;EV$67&amp;"'!g1"),P79-1,)*CW79)</f>
        <v>0</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0</v>
      </c>
      <c r="FN79" s="10"/>
      <c r="FO79" s="10"/>
      <c r="FP79" s="10"/>
      <c r="FQ79" s="10"/>
      <c r="FS79">
        <f t="shared" ca="1" si="61"/>
        <v>1972</v>
      </c>
      <c r="FT79">
        <f t="shared" ca="1" si="62"/>
        <v>9309.0444366335796</v>
      </c>
      <c r="FU79">
        <f t="shared" ca="1" si="63"/>
        <v>1</v>
      </c>
      <c r="FV79">
        <f t="shared" ca="1" si="64"/>
        <v>10000</v>
      </c>
      <c r="FW79" s="4">
        <f t="shared" ca="1" si="65"/>
        <v>1E-4</v>
      </c>
      <c r="FX79" s="5">
        <f t="shared" ca="1" si="66"/>
        <v>9309.0444366335796</v>
      </c>
      <c r="FZ79" s="13">
        <f t="shared" ca="1" si="50"/>
        <v>1972</v>
      </c>
      <c r="GA79" s="22">
        <f t="shared" ca="1" si="67"/>
        <v>0</v>
      </c>
      <c r="GB79" s="22">
        <f t="shared" ca="1" si="51"/>
        <v>0.2</v>
      </c>
      <c r="GC79" s="22">
        <f t="shared" ca="1" si="51"/>
        <v>2.6</v>
      </c>
      <c r="GD79" s="22" t="e">
        <f t="shared" ca="1" si="51"/>
        <v>#N/A</v>
      </c>
      <c r="GE79" s="22">
        <f t="shared" ca="1" si="51"/>
        <v>0.9</v>
      </c>
      <c r="GF79" s="22">
        <f t="shared" ca="1" si="51"/>
        <v>0</v>
      </c>
      <c r="GG79" s="22">
        <f t="shared" ca="1" si="51"/>
        <v>0</v>
      </c>
      <c r="GH79" s="22">
        <f t="shared" ca="1" si="51"/>
        <v>0</v>
      </c>
      <c r="GI79" s="22">
        <f t="shared" ca="1" si="51"/>
        <v>0</v>
      </c>
      <c r="GJ79" s="22" t="e">
        <f t="shared" ca="1" si="51"/>
        <v>#N/A</v>
      </c>
      <c r="GK79" s="22" t="e">
        <f t="shared" ca="1" si="51"/>
        <v>#N/A</v>
      </c>
      <c r="GL79" s="22" t="e">
        <f t="shared" ca="1" si="51"/>
        <v>#N/A</v>
      </c>
      <c r="GM79" s="22"/>
      <c r="GN79">
        <f t="shared" ca="1" si="68"/>
        <v>1972</v>
      </c>
      <c r="GO79" s="5" t="e">
        <f t="shared" ca="1" si="69"/>
        <v>#N/A</v>
      </c>
      <c r="GP79" s="5" t="e">
        <f t="shared" ca="1" si="52"/>
        <v>#N/A</v>
      </c>
      <c r="GQ79" s="5" t="e">
        <f t="shared" ca="1" si="52"/>
        <v>#N/A</v>
      </c>
      <c r="GR79" s="5" t="e">
        <f t="shared" ca="1" si="52"/>
        <v>#N/A</v>
      </c>
      <c r="GS79" s="5" t="e">
        <f t="shared" ca="1" si="52"/>
        <v>#N/A</v>
      </c>
      <c r="GT79" s="5">
        <f t="shared" ca="1" si="70"/>
        <v>79.122460968792396</v>
      </c>
      <c r="GU79" s="5">
        <f t="shared" ca="1" si="53"/>
        <v>9309.0444366335796</v>
      </c>
      <c r="GV79" s="5">
        <f t="shared" ca="1" si="53"/>
        <v>3.8353528639741379</v>
      </c>
      <c r="GW79" s="5">
        <f t="shared" ca="1" si="53"/>
        <v>75589.891606986494</v>
      </c>
      <c r="GX79" s="5" t="e">
        <f t="shared" ca="1" si="53"/>
        <v>#N/A</v>
      </c>
      <c r="GY79" s="5" t="e">
        <f t="shared" ca="1" si="53"/>
        <v>#N/A</v>
      </c>
      <c r="GZ79" s="5" t="e">
        <f t="shared" ca="1" si="53"/>
        <v>#N/A</v>
      </c>
      <c r="HB79" s="13">
        <f t="shared" ca="1" si="54"/>
        <v>1972</v>
      </c>
      <c r="HC79" s="4">
        <f t="shared" ca="1" si="71"/>
        <v>1</v>
      </c>
      <c r="HD79" s="4">
        <f t="shared" ca="1" si="55"/>
        <v>0</v>
      </c>
      <c r="HE79" s="4">
        <f t="shared" ca="1" si="55"/>
        <v>0</v>
      </c>
      <c r="HF79" s="4">
        <f t="shared" ca="1" si="55"/>
        <v>0</v>
      </c>
      <c r="HG79" s="4">
        <f t="shared" ca="1" si="55"/>
        <v>0</v>
      </c>
      <c r="HH79" s="4">
        <f t="shared" ca="1" si="55"/>
        <v>1</v>
      </c>
      <c r="HI79" s="4">
        <f t="shared" ca="1" si="55"/>
        <v>1E-4</v>
      </c>
      <c r="HJ79" s="4">
        <f t="shared" ca="1" si="55"/>
        <v>0.377</v>
      </c>
      <c r="HK79" s="4">
        <f t="shared" ca="1" si="55"/>
        <v>2.0000000000000001E-4</v>
      </c>
      <c r="HL79" s="4">
        <f t="shared" ca="1" si="55"/>
        <v>0</v>
      </c>
      <c r="HM79" s="4">
        <f t="shared" ca="1" si="55"/>
        <v>0</v>
      </c>
      <c r="HN79" s="4">
        <f t="shared" ca="1" si="55"/>
        <v>0</v>
      </c>
    </row>
    <row r="80" spans="1:222" x14ac:dyDescent="0.2">
      <c r="A80" t="str" cm="1">
        <f t="array" aca="1" ref="A80" ca="1">INDIRECT($A$67&amp;"!A"&amp;ROW(C13)+$B$64)</f>
        <v>AJ_60</v>
      </c>
      <c r="B80" cm="1">
        <f t="array" aca="1" ref="B80" ca="1">INDIRECT($A$67&amp;"!b"&amp;ROW(D13)+$B$64)</f>
        <v>2040</v>
      </c>
      <c r="C80">
        <f t="shared" ca="1" si="56"/>
        <v>20</v>
      </c>
      <c r="E80">
        <f t="shared" ca="1" si="43"/>
        <v>37</v>
      </c>
      <c r="F80">
        <f t="shared" ca="1" si="43"/>
        <v>38</v>
      </c>
      <c r="G80">
        <f t="shared" ca="1" si="43"/>
        <v>37</v>
      </c>
      <c r="H80">
        <f t="shared" ca="1" si="43"/>
        <v>37</v>
      </c>
      <c r="I80">
        <f t="shared" ca="1" si="43"/>
        <v>43</v>
      </c>
      <c r="J80">
        <f t="shared" ca="1" si="43"/>
        <v>37</v>
      </c>
      <c r="K80">
        <f t="shared" ca="1" si="43"/>
        <v>37</v>
      </c>
      <c r="L80">
        <f t="shared" ca="1" si="43"/>
        <v>103</v>
      </c>
      <c r="M80" t="e">
        <f t="shared" ca="1" si="43"/>
        <v>#N/A</v>
      </c>
      <c r="N80">
        <f t="shared" ca="1" si="43"/>
        <v>37</v>
      </c>
      <c r="O80">
        <f t="shared" ca="1" si="43"/>
        <v>37</v>
      </c>
      <c r="P80" t="e">
        <f t="shared" ca="1" si="43"/>
        <v>#N/A</v>
      </c>
      <c r="V80" cm="1">
        <f t="array" aca="1" ref="V80" ca="1">IF(ISNA(E80),,OFFSET(INDIRECT("'"&amp;V$67&amp;"'!d1"),E80-1,))</f>
        <v>20</v>
      </c>
      <c r="W80" cm="1">
        <f t="array" aca="1" ref="W80" ca="1">IF(ISNA(F80),,OFFSET(INDIRECT("'"&amp;W$67&amp;"'!d1"),F80-1,))</f>
        <v>20</v>
      </c>
      <c r="X80" cm="1">
        <f t="array" aca="1" ref="X80" ca="1">IF(ISNA(G80),,OFFSET(INDIRECT("'"&amp;X$67&amp;"'!d1"),G80-1,))</f>
        <v>0</v>
      </c>
      <c r="Y80" cm="1">
        <f t="array" aca="1" ref="Y80" ca="1">IF(ISNA(H80),,OFFSET(INDIRECT("'"&amp;Y$67&amp;"'!d1"),H80-1,))</f>
        <v>0</v>
      </c>
      <c r="Z80" cm="1">
        <f t="array" aca="1" ref="Z80" ca="1">IF(ISNA(I80),,OFFSET(INDIRECT("'"&amp;Z$67&amp;"'!d1"),I80-1,))</f>
        <v>274</v>
      </c>
      <c r="AA80" cm="1">
        <f t="array" aca="1" ref="AA80" ca="1">IF(ISNA(J80),,OFFSET(INDIRECT("'"&amp;AA$67&amp;"'!d1"),J80-1,))</f>
        <v>20</v>
      </c>
      <c r="AB80" cm="1">
        <f t="array" aca="1" ref="AB80" ca="1">IF(ISNA(K80),,OFFSET(INDIRECT("'"&amp;AB$67&amp;"'!d1"),K80-1,))</f>
        <v>20</v>
      </c>
      <c r="AC80" cm="1">
        <f t="array" aca="1" ref="AC80" ca="1">IF(ISNA(L80),,OFFSET(INDIRECT("'"&amp;AC$67&amp;"'!d1"),L80-1,))</f>
        <v>20</v>
      </c>
      <c r="AD80" cm="1">
        <f t="array" aca="1" ref="AD80" ca="1">IF(ISNA(M80),,OFFSET(INDIRECT("'"&amp;AD$67&amp;"'!d1"),M80-1,))</f>
        <v>0</v>
      </c>
      <c r="AE80" cm="1">
        <f t="array" aca="1" ref="AE80" ca="1">IF(ISNA(N80),,OFFSET(INDIRECT("'"&amp;AE$67&amp;"'!d1"),N80-1,))</f>
        <v>0</v>
      </c>
      <c r="AF80" cm="1">
        <f t="array" aca="1" ref="AF80" ca="1">IF(ISNA(O80),,OFFSET(INDIRECT("'"&amp;AF$67&amp;"'!d1"),O80-1,))</f>
        <v>0</v>
      </c>
      <c r="AG80" cm="1">
        <f t="array" aca="1" ref="AG80" ca="1">IF(ISNA(P80),,OFFSET(INDIRECT("'"&amp;AG$67&amp;"'!d1"),P80-1,))</f>
        <v>0</v>
      </c>
      <c r="AM80">
        <f t="shared" ca="1" si="57"/>
        <v>0</v>
      </c>
      <c r="AN80">
        <f t="shared" ca="1" si="44"/>
        <v>0</v>
      </c>
      <c r="AO80">
        <f t="shared" ca="1" si="44"/>
        <v>0</v>
      </c>
      <c r="AP80">
        <f t="shared" ca="1" si="44"/>
        <v>0</v>
      </c>
      <c r="AQ80">
        <f t="shared" ca="1" si="58"/>
        <v>0</v>
      </c>
      <c r="AV80" t="str">
        <f t="shared" ca="1" si="59"/>
        <v/>
      </c>
      <c r="AW80" t="str">
        <f t="shared" ca="1" si="45"/>
        <v/>
      </c>
      <c r="AX80" t="str">
        <f t="shared" ca="1" si="45"/>
        <v/>
      </c>
      <c r="AY80" t="str">
        <f t="shared" ca="1" si="45"/>
        <v/>
      </c>
      <c r="AZ80" t="str">
        <f t="shared" ca="1" si="45"/>
        <v/>
      </c>
      <c r="BD80">
        <f t="shared" ca="1" si="46"/>
        <v>1</v>
      </c>
      <c r="BE80">
        <f t="shared" ca="1" si="46"/>
        <v>1</v>
      </c>
      <c r="BF80">
        <f t="shared" ca="1" si="46"/>
        <v>0</v>
      </c>
      <c r="BG80">
        <f t="shared" ca="1" si="46"/>
        <v>0</v>
      </c>
      <c r="BH80">
        <f t="shared" ca="1" si="46"/>
        <v>1</v>
      </c>
      <c r="BI80">
        <f t="shared" ca="1" si="46"/>
        <v>1</v>
      </c>
      <c r="BJ80">
        <f t="shared" ca="1" si="46"/>
        <v>1</v>
      </c>
      <c r="BK80">
        <f t="shared" ca="1" si="46"/>
        <v>1</v>
      </c>
      <c r="BL80">
        <f t="shared" ca="1" si="46"/>
        <v>0</v>
      </c>
      <c r="BM80">
        <f t="shared" ca="1" si="46"/>
        <v>0</v>
      </c>
      <c r="BN80">
        <f t="shared" ca="1" si="46"/>
        <v>0</v>
      </c>
      <c r="BO80">
        <f t="shared" ca="1" si="46"/>
        <v>0</v>
      </c>
      <c r="BU80">
        <f t="shared" ca="1" si="47"/>
        <v>20</v>
      </c>
      <c r="BV80">
        <f t="shared" ca="1" si="47"/>
        <v>20</v>
      </c>
      <c r="BW80">
        <f t="shared" ca="1" si="47"/>
        <v>2040</v>
      </c>
      <c r="BX80">
        <f t="shared" ca="1" si="47"/>
        <v>2040</v>
      </c>
      <c r="BY80">
        <f t="shared" ca="1" si="47"/>
        <v>274</v>
      </c>
      <c r="BZ80">
        <f t="shared" ca="1" si="47"/>
        <v>20</v>
      </c>
      <c r="CA80">
        <f t="shared" ca="1" si="47"/>
        <v>20</v>
      </c>
      <c r="CB80">
        <f t="shared" ca="1" si="47"/>
        <v>20</v>
      </c>
      <c r="CC80">
        <f t="shared" ca="1" si="47"/>
        <v>2040</v>
      </c>
      <c r="CD80">
        <f t="shared" ca="1" si="47"/>
        <v>2040</v>
      </c>
      <c r="CE80">
        <f t="shared" ca="1" si="47"/>
        <v>2040</v>
      </c>
      <c r="CF80">
        <f t="shared" ca="1" si="47"/>
        <v>2040</v>
      </c>
      <c r="CL80">
        <f t="shared" ca="1" si="48"/>
        <v>1</v>
      </c>
      <c r="CM80">
        <f t="shared" ca="1" si="48"/>
        <v>1</v>
      </c>
      <c r="CN80">
        <f t="shared" ca="1" si="48"/>
        <v>0</v>
      </c>
      <c r="CO80">
        <f t="shared" ca="1" si="48"/>
        <v>0</v>
      </c>
      <c r="CP80">
        <f t="shared" ca="1" si="48"/>
        <v>0</v>
      </c>
      <c r="CQ80">
        <f t="shared" ca="1" si="48"/>
        <v>1</v>
      </c>
      <c r="CR80">
        <f t="shared" ca="1" si="48"/>
        <v>1</v>
      </c>
      <c r="CS80">
        <f t="shared" ca="1" si="48"/>
        <v>1</v>
      </c>
      <c r="CT80">
        <f t="shared" ca="1" si="48"/>
        <v>0</v>
      </c>
      <c r="CU80">
        <f t="shared" ca="1" si="48"/>
        <v>0</v>
      </c>
      <c r="CV80">
        <f t="shared" ca="1" si="48"/>
        <v>0</v>
      </c>
      <c r="CW80">
        <f t="shared" ca="1" si="48"/>
        <v>0</v>
      </c>
      <c r="DC80" cm="1">
        <f t="array" aca="1" ref="DC80" ca="1">IF(ISNA(E80),,OFFSET(INDIRECT("'"&amp;DT$67&amp;"'!f1"),E80-1,))*1</f>
        <v>28823.776593265098</v>
      </c>
      <c r="DD80" cm="1">
        <f t="array" aca="1" ref="DD80" ca="1">IF(ISNA(F80),,OFFSET(INDIRECT("'"&amp;DU$67&amp;"'!f1"),F80-1,))*1</f>
        <v>28808.517616955</v>
      </c>
      <c r="DE80" cm="1">
        <f t="array" aca="1" ref="DE80" ca="1">IF(ISNA(G80),,OFFSET(INDIRECT("'"&amp;DV$67&amp;"'!f1"),G80-1,))*1</f>
        <v>28800.681218117901</v>
      </c>
      <c r="DF80" cm="1">
        <f t="array" aca="1" ref="DF80" ca="1">IF(ISNA(H80),,OFFSET(INDIRECT("'"&amp;DW$67&amp;"'!f1"),H80-1,))*1</f>
        <v>28800.231893181801</v>
      </c>
      <c r="DG80" cm="1">
        <f t="array" aca="1" ref="DG80" ca="1">IF(ISNA(I80),,OFFSET(INDIRECT("'"&amp;DX$67&amp;"'!f1"),I80-1,))*1</f>
        <v>28804.360136374999</v>
      </c>
      <c r="DH80" cm="1">
        <f t="array" aca="1" ref="DH80" ca="1">IF(ISNA(J80),,OFFSET(INDIRECT("'"&amp;DY$67&amp;"'!f1"),J80-1,))*1</f>
        <v>85.913564629852701</v>
      </c>
      <c r="DI80" cm="1">
        <f t="array" aca="1" ref="DI80" ca="1">IF(ISNA(K80),,OFFSET(INDIRECT("'"&amp;DZ$67&amp;"'!f1"),K80-1,))*1</f>
        <v>10182.5039519444</v>
      </c>
      <c r="DJ80" cm="1">
        <f t="array" aca="1" ref="DJ80" ca="1">IF(ISNA(L80),,OFFSET(INDIRECT("'"&amp;EA$67&amp;"'!f1"),L80-1,))*1</f>
        <v>8661.54588205646</v>
      </c>
      <c r="DK80" cm="1">
        <f t="array" aca="1" ref="DK80" ca="1">IF(ISNA(M80),,OFFSET(INDIRECT("'"&amp;EB$67&amp;"'!f1"),M80-1,))*1</f>
        <v>0</v>
      </c>
      <c r="DL80" cm="1">
        <f t="array" aca="1" ref="DL80" ca="1">IF(ISNA(N80),,OFFSET(INDIRECT("'"&amp;EC$67&amp;"'!f1"),N80-1,))*1</f>
        <v>1.24499974701029</v>
      </c>
      <c r="DM80" cm="1">
        <f t="array" aca="1" ref="DM80" ca="1">IF(ISNA(O80),,OFFSET(INDIRECT("'"&amp;ED$67&amp;"'!f1"),O80-1,))*1</f>
        <v>1.25133030999859</v>
      </c>
      <c r="DN80" cm="1">
        <f t="array" aca="1" ref="DN80" ca="1">IF(ISNA(P80),,OFFSET(INDIRECT("'"&amp;EE$67&amp;"'!f1"),P80-1,))*1</f>
        <v>0</v>
      </c>
      <c r="DT80">
        <f t="shared" ca="1" si="60"/>
        <v>1</v>
      </c>
      <c r="DU80">
        <f t="shared" ca="1" si="49"/>
        <v>1</v>
      </c>
      <c r="DV80">
        <f t="shared" ca="1" si="49"/>
        <v>0</v>
      </c>
      <c r="DW80">
        <f t="shared" ca="1" si="49"/>
        <v>0</v>
      </c>
      <c r="DX80">
        <f t="shared" ca="1" si="49"/>
        <v>0</v>
      </c>
      <c r="DY80">
        <f t="shared" ca="1" si="49"/>
        <v>1</v>
      </c>
      <c r="DZ80">
        <f t="shared" ca="1" si="49"/>
        <v>11</v>
      </c>
      <c r="EA80">
        <f t="shared" ca="1" si="49"/>
        <v>4338</v>
      </c>
      <c r="EB80">
        <f t="shared" ca="1" si="49"/>
        <v>0</v>
      </c>
      <c r="EC80">
        <f t="shared" ca="1" si="49"/>
        <v>0</v>
      </c>
      <c r="ED80">
        <f t="shared" ca="1" si="49"/>
        <v>0</v>
      </c>
      <c r="EE80">
        <f t="shared" ca="1" si="49"/>
        <v>0</v>
      </c>
      <c r="EK80" cm="1">
        <f t="array" aca="1" ref="EK80" ca="1">IF(ISNA(E80),0,OFFSET(INDIRECT("'"&amp;EK$67&amp;"'!g1"),E80-1,)*CL80)</f>
        <v>1</v>
      </c>
      <c r="EL80" cm="1">
        <f t="array" aca="1" ref="EL80" ca="1">IF(ISNA(F80),0,OFFSET(INDIRECT("'"&amp;EL$67&amp;"'!g1"),F80-1,)*CM80)</f>
        <v>1</v>
      </c>
      <c r="EM80" cm="1">
        <f t="array" aca="1" ref="EM80" ca="1">IF(ISNA(G80),0,OFFSET(INDIRECT("'"&amp;EM$67&amp;"'!g1"),G80-1,)*CN80)</f>
        <v>0</v>
      </c>
      <c r="EN80" cm="1">
        <f t="array" aca="1" ref="EN80" ca="1">IF(ISNA(H80),0,OFFSET(INDIRECT("'"&amp;EN$67&amp;"'!g1"),H80-1,)*CO80)</f>
        <v>0</v>
      </c>
      <c r="EO80" cm="1">
        <f t="array" aca="1" ref="EO80" ca="1">IF(ISNA(I80),0,OFFSET(INDIRECT("'"&amp;EO$67&amp;"'!g1"),I80-1,)*CP80)</f>
        <v>0</v>
      </c>
      <c r="EP80" cm="1">
        <f t="array" aca="1" ref="EP80" ca="1">IF(ISNA(J80),0,OFFSET(INDIRECT("'"&amp;EP$67&amp;"'!g1"),J80-1,)*CQ80)</f>
        <v>1</v>
      </c>
      <c r="EQ80" cm="1">
        <f t="array" aca="1" ref="EQ80" ca="1">IF(ISNA(K80),0,OFFSET(INDIRECT("'"&amp;EQ$67&amp;"'!g1"),K80-1,)*CR80)</f>
        <v>11</v>
      </c>
      <c r="ER80" cm="1">
        <f t="array" aca="1" ref="ER80" ca="1">IF(ISNA(L80),0,OFFSET(INDIRECT("'"&amp;ER$67&amp;"'!g1"),L80-1,)*CS80)</f>
        <v>4338</v>
      </c>
      <c r="ES80" cm="1">
        <f t="array" aca="1" ref="ES80" ca="1">IF(ISNA(M80),0,OFFSET(INDIRECT("'"&amp;ES$67&amp;"'!g1"),M80-1,)*CT80)</f>
        <v>0</v>
      </c>
      <c r="ET80" cm="1">
        <f t="array" aca="1" ref="ET80" ca="1">IF(ISNA(N80),0,OFFSET(INDIRECT("'"&amp;ET$67&amp;"'!g1"),N80-1,)*CU80)</f>
        <v>0</v>
      </c>
      <c r="EU80" cm="1">
        <f t="array" aca="1" ref="EU80" ca="1">IF(ISNA(O80),0,OFFSET(INDIRECT("'"&amp;EU$67&amp;"'!g1"),O80-1,)*CV80)</f>
        <v>0</v>
      </c>
      <c r="EV80" cm="1">
        <f t="array" aca="1" ref="EV80" ca="1">IF(ISNA(P80),0,OFFSET(INDIRECT("'"&amp;EV$67&amp;"'!g1"),P80-1,)*CW80)</f>
        <v>0</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0</v>
      </c>
      <c r="FK80" s="10" cm="1">
        <f t="array" aca="1" ref="FK80" ca="1">IF(ISNA(N80),0,OFFSET(INDIRECT("'"&amp;ET$67&amp;"'!h1"),N80-1,))</f>
        <v>1</v>
      </c>
      <c r="FL80" s="10" cm="1">
        <f t="array" aca="1" ref="FL80" ca="1">IF(ISNA(O80),0,OFFSET(INDIRECT("'"&amp;EU$67&amp;"'!h1"),O80-1,))</f>
        <v>1</v>
      </c>
      <c r="FM80" s="10" cm="1">
        <f t="array" aca="1" ref="FM80" ca="1">IF(ISNA(P80),0,OFFSET(INDIRECT("'"&amp;EV$67&amp;"'!h1"),P80-1,))</f>
        <v>0</v>
      </c>
      <c r="FN80" s="10"/>
      <c r="FO80" s="10"/>
      <c r="FP80" s="10"/>
      <c r="FQ80" s="10"/>
      <c r="FS80">
        <f t="shared" ca="1" si="61"/>
        <v>2040</v>
      </c>
      <c r="FT80">
        <f t="shared" ca="1" si="62"/>
        <v>10182.5039519444</v>
      </c>
      <c r="FU80">
        <f t="shared" ca="1" si="63"/>
        <v>11</v>
      </c>
      <c r="FV80">
        <f t="shared" ca="1" si="64"/>
        <v>10000</v>
      </c>
      <c r="FW80" s="4">
        <f t="shared" ca="1" si="65"/>
        <v>1.1000000000000001E-3</v>
      </c>
      <c r="FX80" s="5">
        <f t="shared" ca="1" si="66"/>
        <v>925.68217744949095</v>
      </c>
      <c r="FZ80" s="13">
        <f t="shared" ca="1" si="50"/>
        <v>2040</v>
      </c>
      <c r="GA80" s="22">
        <f t="shared" ca="1" si="67"/>
        <v>0</v>
      </c>
      <c r="GB80" s="22">
        <f t="shared" ca="1" si="51"/>
        <v>0</v>
      </c>
      <c r="GC80" s="22" t="e">
        <f t="shared" ca="1" si="51"/>
        <v>#N/A</v>
      </c>
      <c r="GD80" s="22" t="e">
        <f t="shared" ca="1" si="51"/>
        <v>#N/A</v>
      </c>
      <c r="GE80" s="22">
        <f t="shared" ca="1" si="51"/>
        <v>12.7</v>
      </c>
      <c r="GF80" s="22">
        <f t="shared" ca="1" si="51"/>
        <v>0</v>
      </c>
      <c r="GG80" s="22">
        <f t="shared" ca="1" si="51"/>
        <v>0</v>
      </c>
      <c r="GH80" s="22">
        <f t="shared" ca="1" si="51"/>
        <v>0</v>
      </c>
      <c r="GI80" s="22" t="e">
        <f t="shared" ca="1" si="51"/>
        <v>#N/A</v>
      </c>
      <c r="GJ80" s="22" t="e">
        <f t="shared" ca="1" si="51"/>
        <v>#N/A</v>
      </c>
      <c r="GK80" s="22" t="e">
        <f t="shared" ca="1" si="51"/>
        <v>#N/A</v>
      </c>
      <c r="GL80" s="22" t="e">
        <f t="shared" ca="1" si="51"/>
        <v>#N/A</v>
      </c>
      <c r="GM80" s="22"/>
      <c r="GN80">
        <f t="shared" ca="1" si="68"/>
        <v>2040</v>
      </c>
      <c r="GO80" s="5" t="e">
        <f t="shared" ca="1" si="69"/>
        <v>#N/A</v>
      </c>
      <c r="GP80" s="5" t="e">
        <f t="shared" ca="1" si="52"/>
        <v>#N/A</v>
      </c>
      <c r="GQ80" s="5" t="e">
        <f t="shared" ca="1" si="52"/>
        <v>#N/A</v>
      </c>
      <c r="GR80" s="5" t="e">
        <f t="shared" ca="1" si="52"/>
        <v>#N/A</v>
      </c>
      <c r="GS80" s="5" t="e">
        <f t="shared" ca="1" si="52"/>
        <v>#N/A</v>
      </c>
      <c r="GT80" s="5">
        <f t="shared" ca="1" si="70"/>
        <v>85.913564629852701</v>
      </c>
      <c r="GU80" s="5">
        <f t="shared" ca="1" si="53"/>
        <v>925.68217744949095</v>
      </c>
      <c r="GV80" s="5">
        <f t="shared" ca="1" si="53"/>
        <v>1.9966680226040709</v>
      </c>
      <c r="GW80" s="5" t="e">
        <f t="shared" ca="1" si="53"/>
        <v>#N/A</v>
      </c>
      <c r="GX80" s="5" t="e">
        <f t="shared" ca="1" si="53"/>
        <v>#N/A</v>
      </c>
      <c r="GY80" s="5" t="e">
        <f t="shared" ca="1" si="53"/>
        <v>#N/A</v>
      </c>
      <c r="GZ80" s="5" t="e">
        <f t="shared" ca="1" si="53"/>
        <v>#N/A</v>
      </c>
      <c r="HB80" s="13">
        <f t="shared" ca="1" si="54"/>
        <v>2040</v>
      </c>
      <c r="HC80" s="4">
        <f t="shared" ca="1" si="71"/>
        <v>1</v>
      </c>
      <c r="HD80" s="4">
        <f t="shared" ca="1" si="55"/>
        <v>1</v>
      </c>
      <c r="HE80" s="4">
        <f t="shared" ca="1" si="55"/>
        <v>0</v>
      </c>
      <c r="HF80" s="4">
        <f t="shared" ca="1" si="55"/>
        <v>0</v>
      </c>
      <c r="HG80" s="4">
        <f t="shared" ca="1" si="55"/>
        <v>0</v>
      </c>
      <c r="HH80" s="4">
        <f t="shared" ca="1" si="55"/>
        <v>1</v>
      </c>
      <c r="HI80" s="4">
        <f t="shared" ca="1" si="55"/>
        <v>1.1000000000000001E-3</v>
      </c>
      <c r="HJ80" s="4">
        <f t="shared" ca="1" si="55"/>
        <v>0.43380000000000002</v>
      </c>
      <c r="HK80" s="4">
        <f t="shared" ca="1" si="55"/>
        <v>0</v>
      </c>
      <c r="HL80" s="4">
        <f t="shared" ca="1" si="55"/>
        <v>0</v>
      </c>
      <c r="HM80" s="4">
        <f t="shared" ca="1" si="55"/>
        <v>0</v>
      </c>
      <c r="HN80" s="4">
        <f t="shared" ca="1" si="55"/>
        <v>0</v>
      </c>
    </row>
    <row r="81" spans="1:222" x14ac:dyDescent="0.2">
      <c r="A81" t="str" cm="1">
        <f t="array" aca="1" ref="A81" ca="1">INDIRECT($A$67&amp;"!A"&amp;ROW(C14)+$B$64)</f>
        <v>AJ_61</v>
      </c>
      <c r="B81" cm="1">
        <f t="array" aca="1" ref="B81" ca="1">INDIRECT($A$67&amp;"!b"&amp;ROW(D14)+$B$64)</f>
        <v>2074</v>
      </c>
      <c r="C81">
        <f t="shared" ca="1" si="56"/>
        <v>24</v>
      </c>
      <c r="E81">
        <f t="shared" ca="1" si="43"/>
        <v>38</v>
      </c>
      <c r="F81">
        <f t="shared" ca="1" si="43"/>
        <v>39</v>
      </c>
      <c r="G81">
        <f t="shared" ca="1" si="43"/>
        <v>38</v>
      </c>
      <c r="H81">
        <f t="shared" ca="1" si="43"/>
        <v>38</v>
      </c>
      <c r="I81">
        <f t="shared" ca="1" si="43"/>
        <v>36</v>
      </c>
      <c r="J81">
        <f t="shared" ca="1" si="43"/>
        <v>38</v>
      </c>
      <c r="K81">
        <f t="shared" ca="1" si="43"/>
        <v>38</v>
      </c>
      <c r="L81">
        <f t="shared" ca="1" si="43"/>
        <v>104</v>
      </c>
      <c r="M81" t="e">
        <f t="shared" ca="1" si="43"/>
        <v>#N/A</v>
      </c>
      <c r="N81">
        <f t="shared" ca="1" si="43"/>
        <v>38</v>
      </c>
      <c r="O81">
        <f t="shared" ca="1" si="43"/>
        <v>38</v>
      </c>
      <c r="P81" t="e">
        <f t="shared" ca="1" si="43"/>
        <v>#N/A</v>
      </c>
      <c r="V81" cm="1">
        <f t="array" aca="1" ref="V81" ca="1">IF(ISNA(E81),,OFFSET(INDIRECT("'"&amp;V$67&amp;"'!d1"),E81-1,))</f>
        <v>24</v>
      </c>
      <c r="W81" cm="1">
        <f t="array" aca="1" ref="W81" ca="1">IF(ISNA(F81),,OFFSET(INDIRECT("'"&amp;W$67&amp;"'!d1"),F81-1,))</f>
        <v>34</v>
      </c>
      <c r="X81" cm="1">
        <f t="array" aca="1" ref="X81" ca="1">IF(ISNA(G81),,OFFSET(INDIRECT("'"&amp;X$67&amp;"'!d1"),G81-1,))</f>
        <v>428</v>
      </c>
      <c r="Y81" cm="1">
        <f t="array" aca="1" ref="Y81" ca="1">IF(ISNA(H81),,OFFSET(INDIRECT("'"&amp;Y$67&amp;"'!d1"),H81-1,))</f>
        <v>0</v>
      </c>
      <c r="Z81" cm="1">
        <f t="array" aca="1" ref="Z81" ca="1">IF(ISNA(I81),,OFFSET(INDIRECT("'"&amp;Z$67&amp;"'!d1"),I81-1,))</f>
        <v>278</v>
      </c>
      <c r="AA81" cm="1">
        <f t="array" aca="1" ref="AA81" ca="1">IF(ISNA(J81),,OFFSET(INDIRECT("'"&amp;AA$67&amp;"'!d1"),J81-1,))</f>
        <v>32</v>
      </c>
      <c r="AB81" cm="1">
        <f t="array" aca="1" ref="AB81" ca="1">IF(ISNA(K81),,OFFSET(INDIRECT("'"&amp;AB$67&amp;"'!d1"),K81-1,))</f>
        <v>292</v>
      </c>
      <c r="AC81" cm="1">
        <f t="array" aca="1" ref="AC81" ca="1">IF(ISNA(L81),,OFFSET(INDIRECT("'"&amp;AC$67&amp;"'!d1"),L81-1,))</f>
        <v>24</v>
      </c>
      <c r="AD81" cm="1">
        <f t="array" aca="1" ref="AD81" ca="1">IF(ISNA(M81),,OFFSET(INDIRECT("'"&amp;AD$67&amp;"'!d1"),M81-1,))</f>
        <v>0</v>
      </c>
      <c r="AE81" cm="1">
        <f t="array" aca="1" ref="AE81" ca="1">IF(ISNA(N81),,OFFSET(INDIRECT("'"&amp;AE$67&amp;"'!d1"),N81-1,))</f>
        <v>0</v>
      </c>
      <c r="AF81" cm="1">
        <f t="array" aca="1" ref="AF81" ca="1">IF(ISNA(O81),,OFFSET(INDIRECT("'"&amp;AF$67&amp;"'!d1"),O81-1,))</f>
        <v>0</v>
      </c>
      <c r="AG81" cm="1">
        <f t="array" aca="1" ref="AG81" ca="1">IF(ISNA(P81),,OFFSET(INDIRECT("'"&amp;AG$67&amp;"'!d1"),P81-1,))</f>
        <v>0</v>
      </c>
      <c r="AM81">
        <f t="shared" ca="1" si="57"/>
        <v>0</v>
      </c>
      <c r="AN81">
        <f t="shared" ca="1" si="44"/>
        <v>0</v>
      </c>
      <c r="AO81">
        <f t="shared" ca="1" si="44"/>
        <v>0</v>
      </c>
      <c r="AP81">
        <f t="shared" ca="1" si="44"/>
        <v>0</v>
      </c>
      <c r="AQ81">
        <f t="shared" ca="1" si="58"/>
        <v>0</v>
      </c>
      <c r="AV81" t="str">
        <f t="shared" ca="1" si="59"/>
        <v/>
      </c>
      <c r="AW81" t="str">
        <f t="shared" ca="1" si="45"/>
        <v/>
      </c>
      <c r="AX81" t="str">
        <f t="shared" ca="1" si="45"/>
        <v/>
      </c>
      <c r="AY81" t="str">
        <f t="shared" ca="1" si="45"/>
        <v/>
      </c>
      <c r="AZ81" t="str">
        <f t="shared" ca="1" si="45"/>
        <v/>
      </c>
      <c r="BD81">
        <f t="shared" ca="1" si="46"/>
        <v>1</v>
      </c>
      <c r="BE81">
        <f t="shared" ca="1" si="46"/>
        <v>1</v>
      </c>
      <c r="BF81">
        <f t="shared" ca="1" si="46"/>
        <v>1</v>
      </c>
      <c r="BG81">
        <f t="shared" ca="1" si="46"/>
        <v>0</v>
      </c>
      <c r="BH81">
        <f t="shared" ca="1" si="46"/>
        <v>1</v>
      </c>
      <c r="BI81">
        <f t="shared" ca="1" si="46"/>
        <v>1</v>
      </c>
      <c r="BJ81">
        <f t="shared" ca="1" si="46"/>
        <v>1</v>
      </c>
      <c r="BK81">
        <f t="shared" ca="1" si="46"/>
        <v>1</v>
      </c>
      <c r="BL81">
        <f t="shared" ca="1" si="46"/>
        <v>0</v>
      </c>
      <c r="BM81">
        <f t="shared" ca="1" si="46"/>
        <v>0</v>
      </c>
      <c r="BN81">
        <f t="shared" ca="1" si="46"/>
        <v>0</v>
      </c>
      <c r="BO81">
        <f t="shared" ca="1" si="46"/>
        <v>0</v>
      </c>
      <c r="BU81">
        <f t="shared" ca="1" si="47"/>
        <v>24</v>
      </c>
      <c r="BV81">
        <f t="shared" ca="1" si="47"/>
        <v>34</v>
      </c>
      <c r="BW81">
        <f t="shared" ca="1" si="47"/>
        <v>428</v>
      </c>
      <c r="BX81">
        <f t="shared" ca="1" si="47"/>
        <v>2074</v>
      </c>
      <c r="BY81">
        <f t="shared" ca="1" si="47"/>
        <v>278</v>
      </c>
      <c r="BZ81">
        <f t="shared" ca="1" si="47"/>
        <v>32</v>
      </c>
      <c r="CA81">
        <f t="shared" ca="1" si="47"/>
        <v>292</v>
      </c>
      <c r="CB81">
        <f t="shared" ca="1" si="47"/>
        <v>24</v>
      </c>
      <c r="CC81">
        <f t="shared" ca="1" si="47"/>
        <v>2074</v>
      </c>
      <c r="CD81">
        <f t="shared" ca="1" si="47"/>
        <v>2074</v>
      </c>
      <c r="CE81">
        <f t="shared" ca="1" si="47"/>
        <v>2074</v>
      </c>
      <c r="CF81">
        <f t="shared" ca="1" si="47"/>
        <v>2074</v>
      </c>
      <c r="CL81">
        <f t="shared" ca="1" si="48"/>
        <v>1</v>
      </c>
      <c r="CM81">
        <f t="shared" ca="1" si="48"/>
        <v>0</v>
      </c>
      <c r="CN81">
        <f t="shared" ca="1" si="48"/>
        <v>0</v>
      </c>
      <c r="CO81">
        <f t="shared" ca="1" si="48"/>
        <v>0</v>
      </c>
      <c r="CP81">
        <f t="shared" ca="1" si="48"/>
        <v>0</v>
      </c>
      <c r="CQ81">
        <f t="shared" ca="1" si="48"/>
        <v>0</v>
      </c>
      <c r="CR81">
        <f t="shared" ca="1" si="48"/>
        <v>0</v>
      </c>
      <c r="CS81">
        <f t="shared" ca="1" si="48"/>
        <v>1</v>
      </c>
      <c r="CT81">
        <f t="shared" ca="1" si="48"/>
        <v>0</v>
      </c>
      <c r="CU81">
        <f t="shared" ca="1" si="48"/>
        <v>0</v>
      </c>
      <c r="CV81">
        <f t="shared" ca="1" si="48"/>
        <v>0</v>
      </c>
      <c r="CW81">
        <f t="shared" ca="1" si="48"/>
        <v>0</v>
      </c>
      <c r="DC81" cm="1">
        <f t="array" aca="1" ref="DC81" ca="1">IF(ISNA(E81),,OFFSET(INDIRECT("'"&amp;DT$67&amp;"'!f1"),E81-1,))*1</f>
        <v>28815.636157868801</v>
      </c>
      <c r="DD81" cm="1">
        <f t="array" aca="1" ref="DD81" ca="1">IF(ISNA(F81),,OFFSET(INDIRECT("'"&amp;DU$67&amp;"'!f1"),F81-1,))*1</f>
        <v>28811.634952152599</v>
      </c>
      <c r="DE81" cm="1">
        <f t="array" aca="1" ref="DE81" ca="1">IF(ISNA(G81),,OFFSET(INDIRECT("'"&amp;DV$67&amp;"'!f1"),G81-1,))*1</f>
        <v>28800.763498985201</v>
      </c>
      <c r="DF81" cm="1">
        <f t="array" aca="1" ref="DF81" ca="1">IF(ISNA(H81),,OFFSET(INDIRECT("'"&amp;DW$67&amp;"'!f1"),H81-1,))*1</f>
        <v>28800.146789722101</v>
      </c>
      <c r="DG81" cm="1">
        <f t="array" aca="1" ref="DG81" ca="1">IF(ISNA(I81),,OFFSET(INDIRECT("'"&amp;DX$67&amp;"'!f1"),I81-1,))*1</f>
        <v>28801.898551333899</v>
      </c>
      <c r="DH81" cm="1">
        <f t="array" aca="1" ref="DH81" ca="1">IF(ISNA(J81),,OFFSET(INDIRECT("'"&amp;DY$67&amp;"'!f1"),J81-1,))*1</f>
        <v>92.277745656669097</v>
      </c>
      <c r="DI81" cm="1">
        <f t="array" aca="1" ref="DI81" ca="1">IF(ISNA(K81),,OFFSET(INDIRECT("'"&amp;DZ$67&amp;"'!f1"),K81-1,))*1</f>
        <v>10067.088352799399</v>
      </c>
      <c r="DJ81" cm="1">
        <f t="array" aca="1" ref="DJ81" ca="1">IF(ISNA(L81),,OFFSET(INDIRECT("'"&amp;EA$67&amp;"'!f1"),L81-1,))*1</f>
        <v>8554.4545129500293</v>
      </c>
      <c r="DK81" cm="1">
        <f t="array" aca="1" ref="DK81" ca="1">IF(ISNA(M81),,OFFSET(INDIRECT("'"&amp;EB$67&amp;"'!f1"),M81-1,))*1</f>
        <v>0</v>
      </c>
      <c r="DL81" cm="1">
        <f t="array" aca="1" ref="DL81" ca="1">IF(ISNA(N81),,OFFSET(INDIRECT("'"&amp;EC$67&amp;"'!f1"),N81-1,))*1</f>
        <v>1.2301119869953201</v>
      </c>
      <c r="DM81" cm="1">
        <f t="array" aca="1" ref="DM81" ca="1">IF(ISNA(O81),,OFFSET(INDIRECT("'"&amp;ED$67&amp;"'!f1"),O81-1,))*1</f>
        <v>1.2355295909946999</v>
      </c>
      <c r="DN81" cm="1">
        <f t="array" aca="1" ref="DN81" ca="1">IF(ISNA(P81),,OFFSET(INDIRECT("'"&amp;EE$67&amp;"'!f1"),P81-1,))*1</f>
        <v>0</v>
      </c>
      <c r="DT81">
        <f t="shared" ca="1" si="60"/>
        <v>1</v>
      </c>
      <c r="DU81">
        <f t="shared" ca="1" si="49"/>
        <v>0</v>
      </c>
      <c r="DV81">
        <f t="shared" ca="1" si="49"/>
        <v>0</v>
      </c>
      <c r="DW81">
        <f t="shared" ca="1" si="49"/>
        <v>0</v>
      </c>
      <c r="DX81">
        <f t="shared" ca="1" si="49"/>
        <v>0</v>
      </c>
      <c r="DY81">
        <f t="shared" ca="1" si="49"/>
        <v>0</v>
      </c>
      <c r="DZ81">
        <f t="shared" ca="1" si="49"/>
        <v>0</v>
      </c>
      <c r="EA81">
        <f t="shared" ca="1" si="49"/>
        <v>2900</v>
      </c>
      <c r="EB81">
        <f t="shared" ca="1" si="49"/>
        <v>0</v>
      </c>
      <c r="EC81">
        <f t="shared" ca="1" si="49"/>
        <v>0</v>
      </c>
      <c r="ED81">
        <f t="shared" ca="1" si="49"/>
        <v>0</v>
      </c>
      <c r="EE81">
        <f t="shared" ca="1" si="49"/>
        <v>0</v>
      </c>
      <c r="EK81" cm="1">
        <f t="array" aca="1" ref="EK81" ca="1">IF(ISNA(E81),0,OFFSET(INDIRECT("'"&amp;EK$67&amp;"'!g1"),E81-1,)*CL81)</f>
        <v>1</v>
      </c>
      <c r="EL81" cm="1">
        <f t="array" aca="1" ref="EL81" ca="1">IF(ISNA(F81),0,OFFSET(INDIRECT("'"&amp;EL$67&amp;"'!g1"),F81-1,)*CM81)</f>
        <v>0</v>
      </c>
      <c r="EM81" cm="1">
        <f t="array" aca="1" ref="EM81" ca="1">IF(ISNA(G81),0,OFFSET(INDIRECT("'"&amp;EM$67&amp;"'!g1"),G81-1,)*CN81)</f>
        <v>0</v>
      </c>
      <c r="EN81" cm="1">
        <f t="array" aca="1" ref="EN81" ca="1">IF(ISNA(H81),0,OFFSET(INDIRECT("'"&amp;EN$67&amp;"'!g1"),H81-1,)*CO81)</f>
        <v>0</v>
      </c>
      <c r="EO81" cm="1">
        <f t="array" aca="1" ref="EO81" ca="1">IF(ISNA(I81),0,OFFSET(INDIRECT("'"&amp;EO$67&amp;"'!g1"),I81-1,)*CP81)</f>
        <v>0</v>
      </c>
      <c r="EP81" cm="1">
        <f t="array" aca="1" ref="EP81" ca="1">IF(ISNA(J81),0,OFFSET(INDIRECT("'"&amp;EP$67&amp;"'!g1"),J81-1,)*CQ81)</f>
        <v>0</v>
      </c>
      <c r="EQ81" cm="1">
        <f t="array" aca="1" ref="EQ81" ca="1">IF(ISNA(K81),0,OFFSET(INDIRECT("'"&amp;EQ$67&amp;"'!g1"),K81-1,)*CR81)</f>
        <v>0</v>
      </c>
      <c r="ER81" cm="1">
        <f t="array" aca="1" ref="ER81" ca="1">IF(ISNA(L81),0,OFFSET(INDIRECT("'"&amp;ER$67&amp;"'!g1"),L81-1,)*CS81)</f>
        <v>2900</v>
      </c>
      <c r="ES81" cm="1">
        <f t="array" aca="1" ref="ES81" ca="1">IF(ISNA(M81),0,OFFSET(INDIRECT("'"&amp;ES$67&amp;"'!g1"),M81-1,)*CT81)</f>
        <v>0</v>
      </c>
      <c r="ET81" cm="1">
        <f t="array" aca="1" ref="ET81" ca="1">IF(ISNA(N81),0,OFFSET(INDIRECT("'"&amp;ET$67&amp;"'!g1"),N81-1,)*CU81)</f>
        <v>0</v>
      </c>
      <c r="EU81" cm="1">
        <f t="array" aca="1" ref="EU81" ca="1">IF(ISNA(O81),0,OFFSET(INDIRECT("'"&amp;EU$67&amp;"'!g1"),O81-1,)*CV81)</f>
        <v>0</v>
      </c>
      <c r="EV81" cm="1">
        <f t="array" aca="1" ref="EV81" ca="1">IF(ISNA(P81),0,OFFSET(INDIRECT("'"&amp;EV$67&amp;"'!g1"),P81-1,)*CW81)</f>
        <v>0</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0</v>
      </c>
      <c r="FK81" s="10" cm="1">
        <f t="array" aca="1" ref="FK81" ca="1">IF(ISNA(N81),0,OFFSET(INDIRECT("'"&amp;ET$67&amp;"'!h1"),N81-1,))</f>
        <v>1</v>
      </c>
      <c r="FL81" s="10" cm="1">
        <f t="array" aca="1" ref="FL81" ca="1">IF(ISNA(O81),0,OFFSET(INDIRECT("'"&amp;EU$67&amp;"'!h1"),O81-1,))</f>
        <v>1</v>
      </c>
      <c r="FM81" s="10" cm="1">
        <f t="array" aca="1" ref="FM81" ca="1">IF(ISNA(P81),0,OFFSET(INDIRECT("'"&amp;EV$67&amp;"'!h1"),P81-1,))</f>
        <v>0</v>
      </c>
      <c r="FN81" s="10"/>
      <c r="FO81" s="10"/>
      <c r="FP81" s="10"/>
      <c r="FQ81" s="10"/>
      <c r="FS81">
        <f t="shared" ca="1" si="61"/>
        <v>2074</v>
      </c>
      <c r="FT81">
        <f t="shared" ca="1" si="62"/>
        <v>10067.088352799399</v>
      </c>
      <c r="FU81">
        <f t="shared" ca="1" si="63"/>
        <v>0</v>
      </c>
      <c r="FV81">
        <f t="shared" ca="1" si="64"/>
        <v>10000</v>
      </c>
      <c r="FW81" s="4">
        <f t="shared" ca="1" si="65"/>
        <v>0</v>
      </c>
      <c r="FX81" s="5" t="e">
        <f t="shared" ca="1" si="66"/>
        <v>#N/A</v>
      </c>
      <c r="FZ81" s="13">
        <f t="shared" ca="1" si="50"/>
        <v>2074</v>
      </c>
      <c r="GA81" s="22">
        <f t="shared" ca="1" si="67"/>
        <v>0</v>
      </c>
      <c r="GB81" s="22">
        <f t="shared" ca="1" si="51"/>
        <v>0.41666666666666669</v>
      </c>
      <c r="GC81" s="22">
        <f t="shared" ca="1" si="51"/>
        <v>16.833333333333332</v>
      </c>
      <c r="GD81" s="22" t="e">
        <f t="shared" ca="1" si="51"/>
        <v>#N/A</v>
      </c>
      <c r="GE81" s="22">
        <f t="shared" ca="1" si="51"/>
        <v>10.583333333333334</v>
      </c>
      <c r="GF81" s="22">
        <f t="shared" ca="1" si="51"/>
        <v>0.33333333333333331</v>
      </c>
      <c r="GG81" s="22">
        <f t="shared" ca="1" si="51"/>
        <v>11.166666666666666</v>
      </c>
      <c r="GH81" s="22">
        <f t="shared" ca="1" si="51"/>
        <v>0</v>
      </c>
      <c r="GI81" s="22" t="e">
        <f t="shared" ca="1" si="51"/>
        <v>#N/A</v>
      </c>
      <c r="GJ81" s="22" t="e">
        <f t="shared" ca="1" si="51"/>
        <v>#N/A</v>
      </c>
      <c r="GK81" s="22" t="e">
        <f t="shared" ca="1" si="51"/>
        <v>#N/A</v>
      </c>
      <c r="GL81" s="22" t="e">
        <f t="shared" ca="1" si="51"/>
        <v>#N/A</v>
      </c>
      <c r="GM81" s="22"/>
      <c r="GN81">
        <f t="shared" ca="1" si="68"/>
        <v>2074</v>
      </c>
      <c r="GO81" s="5" t="e">
        <f t="shared" ca="1" si="69"/>
        <v>#N/A</v>
      </c>
      <c r="GP81" s="5" t="e">
        <f t="shared" ca="1" si="52"/>
        <v>#N/A</v>
      </c>
      <c r="GQ81" s="5" t="e">
        <f t="shared" ca="1" si="52"/>
        <v>#N/A</v>
      </c>
      <c r="GR81" s="5" t="e">
        <f t="shared" ca="1" si="52"/>
        <v>#N/A</v>
      </c>
      <c r="GS81" s="5" t="e">
        <f t="shared" ca="1" si="52"/>
        <v>#N/A</v>
      </c>
      <c r="GT81" s="5" t="e">
        <f t="shared" ca="1" si="70"/>
        <v>#N/A</v>
      </c>
      <c r="GU81" s="5" t="e">
        <f t="shared" ca="1" si="53"/>
        <v>#N/A</v>
      </c>
      <c r="GV81" s="5">
        <f t="shared" ca="1" si="53"/>
        <v>2.9498119010172514</v>
      </c>
      <c r="GW81" s="5" t="e">
        <f t="shared" ca="1" si="53"/>
        <v>#N/A</v>
      </c>
      <c r="GX81" s="5" t="e">
        <f t="shared" ca="1" si="53"/>
        <v>#N/A</v>
      </c>
      <c r="GY81" s="5" t="e">
        <f t="shared" ca="1" si="53"/>
        <v>#N/A</v>
      </c>
      <c r="GZ81" s="5" t="e">
        <f t="shared" ca="1" si="53"/>
        <v>#N/A</v>
      </c>
      <c r="HB81" s="13">
        <f t="shared" ca="1" si="54"/>
        <v>2074</v>
      </c>
      <c r="HC81" s="4">
        <f t="shared" ca="1" si="71"/>
        <v>1</v>
      </c>
      <c r="HD81" s="4">
        <f t="shared" ca="1" si="55"/>
        <v>0</v>
      </c>
      <c r="HE81" s="4">
        <f t="shared" ca="1" si="55"/>
        <v>0</v>
      </c>
      <c r="HF81" s="4">
        <f t="shared" ca="1" si="55"/>
        <v>0</v>
      </c>
      <c r="HG81" s="4">
        <f t="shared" ca="1" si="55"/>
        <v>0</v>
      </c>
      <c r="HH81" s="4">
        <f t="shared" ca="1" si="55"/>
        <v>0</v>
      </c>
      <c r="HI81" s="4">
        <f t="shared" ca="1" si="55"/>
        <v>0</v>
      </c>
      <c r="HJ81" s="4">
        <f t="shared" ca="1" si="55"/>
        <v>0.28999999999999998</v>
      </c>
      <c r="HK81" s="4">
        <f t="shared" ca="1" si="55"/>
        <v>0</v>
      </c>
      <c r="HL81" s="4">
        <f t="shared" ca="1" si="55"/>
        <v>0</v>
      </c>
      <c r="HM81" s="4">
        <f t="shared" ca="1" si="55"/>
        <v>0</v>
      </c>
      <c r="HN81" s="4">
        <f t="shared" ca="1" si="55"/>
        <v>0</v>
      </c>
    </row>
    <row r="82" spans="1:222" x14ac:dyDescent="0.2">
      <c r="A82" t="str" cm="1">
        <f t="array" aca="1" ref="A82" ca="1">INDIRECT($A$67&amp;"!A"&amp;ROW(C15)+$B$64)</f>
        <v>AJ_67</v>
      </c>
      <c r="B82" cm="1">
        <f t="array" aca="1" ref="B82" ca="1">INDIRECT($A$67&amp;"!b"&amp;ROW(D15)+$B$64)</f>
        <v>2278</v>
      </c>
      <c r="C82">
        <f t="shared" ca="1" si="56"/>
        <v>22</v>
      </c>
      <c r="E82">
        <f t="shared" ca="1" si="43"/>
        <v>39</v>
      </c>
      <c r="F82">
        <f t="shared" ca="1" si="43"/>
        <v>40</v>
      </c>
      <c r="G82">
        <f t="shared" ca="1" si="43"/>
        <v>39</v>
      </c>
      <c r="H82">
        <f t="shared" ca="1" si="43"/>
        <v>39</v>
      </c>
      <c r="I82">
        <f t="shared" ca="1" si="43"/>
        <v>38</v>
      </c>
      <c r="J82">
        <f t="shared" ca="1" si="43"/>
        <v>39</v>
      </c>
      <c r="K82">
        <f t="shared" ca="1" si="43"/>
        <v>39</v>
      </c>
      <c r="L82">
        <f t="shared" ca="1" si="43"/>
        <v>105</v>
      </c>
      <c r="M82" t="e">
        <f t="shared" ca="1" si="43"/>
        <v>#N/A</v>
      </c>
      <c r="N82">
        <f t="shared" ca="1" si="43"/>
        <v>39</v>
      </c>
      <c r="O82">
        <f t="shared" ca="1" si="43"/>
        <v>39</v>
      </c>
      <c r="P82" t="e">
        <f t="shared" ca="1" si="43"/>
        <v>#N/A</v>
      </c>
      <c r="V82" cm="1">
        <f t="array" aca="1" ref="V82" ca="1">IF(ISNA(E82),,OFFSET(INDIRECT("'"&amp;V$67&amp;"'!d1"),E82-1,))</f>
        <v>22</v>
      </c>
      <c r="W82" cm="1">
        <f t="array" aca="1" ref="W82" ca="1">IF(ISNA(F82),,OFFSET(INDIRECT("'"&amp;W$67&amp;"'!d1"),F82-1,))</f>
        <v>24</v>
      </c>
      <c r="X82" cm="1">
        <f t="array" aca="1" ref="X82" ca="1">IF(ISNA(G82),,OFFSET(INDIRECT("'"&amp;X$67&amp;"'!d1"),G82-1,))</f>
        <v>112</v>
      </c>
      <c r="Y82" cm="1">
        <f t="array" aca="1" ref="Y82" ca="1">IF(ISNA(H82),,OFFSET(INDIRECT("'"&amp;Y$67&amp;"'!d1"),H82-1,))</f>
        <v>0</v>
      </c>
      <c r="Z82" cm="1">
        <f t="array" aca="1" ref="Z82" ca="1">IF(ISNA(I82),,OFFSET(INDIRECT("'"&amp;Z$67&amp;"'!d1"),I82-1,))</f>
        <v>22</v>
      </c>
      <c r="AA82" cm="1">
        <f t="array" aca="1" ref="AA82" ca="1">IF(ISNA(J82),,OFFSET(INDIRECT("'"&amp;AA$67&amp;"'!d1"),J82-1,))</f>
        <v>22</v>
      </c>
      <c r="AB82" cm="1">
        <f t="array" aca="1" ref="AB82" ca="1">IF(ISNA(K82),,OFFSET(INDIRECT("'"&amp;AB$67&amp;"'!d1"),K82-1,))</f>
        <v>22</v>
      </c>
      <c r="AC82" cm="1">
        <f t="array" aca="1" ref="AC82" ca="1">IF(ISNA(L82),,OFFSET(INDIRECT("'"&amp;AC$67&amp;"'!d1"),L82-1,))</f>
        <v>22</v>
      </c>
      <c r="AD82" cm="1">
        <f t="array" aca="1" ref="AD82" ca="1">IF(ISNA(M82),,OFFSET(INDIRECT("'"&amp;AD$67&amp;"'!d1"),M82-1,))</f>
        <v>0</v>
      </c>
      <c r="AE82" cm="1">
        <f t="array" aca="1" ref="AE82" ca="1">IF(ISNA(N82),,OFFSET(INDIRECT("'"&amp;AE$67&amp;"'!d1"),N82-1,))</f>
        <v>0</v>
      </c>
      <c r="AF82" cm="1">
        <f t="array" aca="1" ref="AF82" ca="1">IF(ISNA(O82),,OFFSET(INDIRECT("'"&amp;AF$67&amp;"'!d1"),O82-1,))</f>
        <v>0</v>
      </c>
      <c r="AG82" cm="1">
        <f t="array" aca="1" ref="AG82" ca="1">IF(ISNA(P82),,OFFSET(INDIRECT("'"&amp;AG$67&amp;"'!d1"),P82-1,))</f>
        <v>0</v>
      </c>
      <c r="AM82">
        <f t="shared" ca="1" si="57"/>
        <v>0</v>
      </c>
      <c r="AN82">
        <f t="shared" ca="1" si="44"/>
        <v>0</v>
      </c>
      <c r="AO82">
        <f t="shared" ca="1" si="44"/>
        <v>0</v>
      </c>
      <c r="AP82">
        <f t="shared" ca="1" si="44"/>
        <v>0</v>
      </c>
      <c r="AQ82">
        <f t="shared" ca="1" si="58"/>
        <v>0</v>
      </c>
      <c r="AV82" t="str">
        <f t="shared" ca="1" si="59"/>
        <v/>
      </c>
      <c r="AW82" t="str">
        <f t="shared" ca="1" si="45"/>
        <v/>
      </c>
      <c r="AX82" t="str">
        <f t="shared" ca="1" si="45"/>
        <v/>
      </c>
      <c r="AY82" t="str">
        <f t="shared" ca="1" si="45"/>
        <v/>
      </c>
      <c r="AZ82" t="str">
        <f t="shared" ca="1" si="45"/>
        <v/>
      </c>
      <c r="BD82">
        <f t="shared" ca="1" si="46"/>
        <v>1</v>
      </c>
      <c r="BE82">
        <f t="shared" ca="1" si="46"/>
        <v>1</v>
      </c>
      <c r="BF82">
        <f t="shared" ca="1" si="46"/>
        <v>1</v>
      </c>
      <c r="BG82">
        <f t="shared" ca="1" si="46"/>
        <v>0</v>
      </c>
      <c r="BH82">
        <f t="shared" ca="1" si="46"/>
        <v>1</v>
      </c>
      <c r="BI82">
        <f t="shared" ca="1" si="46"/>
        <v>1</v>
      </c>
      <c r="BJ82">
        <f t="shared" ca="1" si="46"/>
        <v>1</v>
      </c>
      <c r="BK82">
        <f t="shared" ca="1" si="46"/>
        <v>1</v>
      </c>
      <c r="BL82">
        <f t="shared" ca="1" si="46"/>
        <v>0</v>
      </c>
      <c r="BM82">
        <f t="shared" ca="1" si="46"/>
        <v>0</v>
      </c>
      <c r="BN82">
        <f t="shared" ca="1" si="46"/>
        <v>0</v>
      </c>
      <c r="BO82">
        <f t="shared" ca="1" si="46"/>
        <v>0</v>
      </c>
      <c r="BU82">
        <f t="shared" ca="1" si="47"/>
        <v>22</v>
      </c>
      <c r="BV82">
        <f t="shared" ca="1" si="47"/>
        <v>24</v>
      </c>
      <c r="BW82">
        <f t="shared" ca="1" si="47"/>
        <v>112</v>
      </c>
      <c r="BX82">
        <f t="shared" ca="1" si="47"/>
        <v>2278</v>
      </c>
      <c r="BY82">
        <f t="shared" ca="1" si="47"/>
        <v>22</v>
      </c>
      <c r="BZ82">
        <f t="shared" ca="1" si="47"/>
        <v>22</v>
      </c>
      <c r="CA82">
        <f t="shared" ca="1" si="47"/>
        <v>22</v>
      </c>
      <c r="CB82">
        <f t="shared" ca="1" si="47"/>
        <v>22</v>
      </c>
      <c r="CC82">
        <f t="shared" ca="1" si="47"/>
        <v>2278</v>
      </c>
      <c r="CD82">
        <f t="shared" ca="1" si="47"/>
        <v>2278</v>
      </c>
      <c r="CE82">
        <f t="shared" ca="1" si="47"/>
        <v>2278</v>
      </c>
      <c r="CF82">
        <f t="shared" ca="1" si="47"/>
        <v>2278</v>
      </c>
      <c r="CL82">
        <f t="shared" ca="1" si="48"/>
        <v>1</v>
      </c>
      <c r="CM82">
        <f t="shared" ca="1" si="48"/>
        <v>0</v>
      </c>
      <c r="CN82">
        <f t="shared" ca="1" si="48"/>
        <v>0</v>
      </c>
      <c r="CO82">
        <f t="shared" ca="1" si="48"/>
        <v>0</v>
      </c>
      <c r="CP82">
        <f t="shared" ca="1" si="48"/>
        <v>1</v>
      </c>
      <c r="CQ82">
        <f t="shared" ca="1" si="48"/>
        <v>1</v>
      </c>
      <c r="CR82">
        <f t="shared" ca="1" si="48"/>
        <v>1</v>
      </c>
      <c r="CS82">
        <f t="shared" ca="1" si="48"/>
        <v>1</v>
      </c>
      <c r="CT82">
        <f t="shared" ca="1" si="48"/>
        <v>0</v>
      </c>
      <c r="CU82">
        <f t="shared" ca="1" si="48"/>
        <v>0</v>
      </c>
      <c r="CV82">
        <f t="shared" ca="1" si="48"/>
        <v>0</v>
      </c>
      <c r="CW82">
        <f t="shared" ca="1" si="48"/>
        <v>0</v>
      </c>
      <c r="DC82" cm="1">
        <f t="array" aca="1" ref="DC82" ca="1">IF(ISNA(E82),,OFFSET(INDIRECT("'"&amp;DT$67&amp;"'!f1"),E82-1,))*1</f>
        <v>28811.967803147101</v>
      </c>
      <c r="DD82" cm="1">
        <f t="array" aca="1" ref="DD82" ca="1">IF(ISNA(F82),,OFFSET(INDIRECT("'"&amp;DU$67&amp;"'!f1"),F82-1,))*1</f>
        <v>28809.015091744201</v>
      </c>
      <c r="DE82" cm="1">
        <f t="array" aca="1" ref="DE82" ca="1">IF(ISNA(G82),,OFFSET(INDIRECT("'"&amp;DV$67&amp;"'!f1"),G82-1,))*1</f>
        <v>28800.8553658458</v>
      </c>
      <c r="DF82" cm="1">
        <f t="array" aca="1" ref="DF82" ca="1">IF(ISNA(H82),,OFFSET(INDIRECT("'"&amp;DW$67&amp;"'!f1"),H82-1,))*1</f>
        <v>28800.158234603699</v>
      </c>
      <c r="DG82" cm="1">
        <f t="array" aca="1" ref="DG82" ca="1">IF(ISNA(I82),,OFFSET(INDIRECT("'"&amp;DX$67&amp;"'!f1"),I82-1,))*1</f>
        <v>28804.437013291001</v>
      </c>
      <c r="DH82" cm="1">
        <f t="array" aca="1" ref="DH82" ca="1">IF(ISNA(J82),,OFFSET(INDIRECT("'"&amp;DY$67&amp;"'!f1"),J82-1,))*1</f>
        <v>110.75376318395099</v>
      </c>
      <c r="DI82" cm="1">
        <f t="array" aca="1" ref="DI82" ca="1">IF(ISNA(K82),,OFFSET(INDIRECT("'"&amp;DZ$67&amp;"'!f1"),K82-1,))*1</f>
        <v>13177.0523146614</v>
      </c>
      <c r="DJ82" cm="1">
        <f t="array" aca="1" ref="DJ82" ca="1">IF(ISNA(L82),,OFFSET(INDIRECT("'"&amp;EA$67&amp;"'!f1"),L82-1,))*1</f>
        <v>11204.6234613815</v>
      </c>
      <c r="DK82" cm="1">
        <f t="array" aca="1" ref="DK82" ca="1">IF(ISNA(M82),,OFFSET(INDIRECT("'"&amp;EB$67&amp;"'!f1"),M82-1,))*1</f>
        <v>0</v>
      </c>
      <c r="DL82" cm="1">
        <f t="array" aca="1" ref="DL82" ca="1">IF(ISNA(N82),,OFFSET(INDIRECT("'"&amp;EC$67&amp;"'!f1"),N82-1,))*1</f>
        <v>1.45844483299879</v>
      </c>
      <c r="DM82" cm="1">
        <f t="array" aca="1" ref="DM82" ca="1">IF(ISNA(O82),,OFFSET(INDIRECT("'"&amp;ED$67&amp;"'!f1"),O82-1,))*1</f>
        <v>1.47613988400553</v>
      </c>
      <c r="DN82" cm="1">
        <f t="array" aca="1" ref="DN82" ca="1">IF(ISNA(P82),,OFFSET(INDIRECT("'"&amp;EE$67&amp;"'!f1"),P82-1,))*1</f>
        <v>0</v>
      </c>
      <c r="DT82">
        <f t="shared" ca="1" si="60"/>
        <v>1</v>
      </c>
      <c r="DU82">
        <f t="shared" ca="1" si="49"/>
        <v>0</v>
      </c>
      <c r="DV82">
        <f t="shared" ca="1" si="49"/>
        <v>0</v>
      </c>
      <c r="DW82">
        <f t="shared" ca="1" si="49"/>
        <v>0</v>
      </c>
      <c r="DX82">
        <f t="shared" ca="1" si="49"/>
        <v>1</v>
      </c>
      <c r="DY82">
        <f t="shared" ca="1" si="49"/>
        <v>1</v>
      </c>
      <c r="DZ82">
        <f t="shared" ca="1" si="49"/>
        <v>4</v>
      </c>
      <c r="EA82">
        <f t="shared" ca="1" si="49"/>
        <v>3246</v>
      </c>
      <c r="EB82">
        <f t="shared" ca="1" si="49"/>
        <v>0</v>
      </c>
      <c r="EC82">
        <f t="shared" ca="1" si="49"/>
        <v>0</v>
      </c>
      <c r="ED82">
        <f t="shared" ca="1" si="49"/>
        <v>0</v>
      </c>
      <c r="EE82">
        <f t="shared" ca="1" si="49"/>
        <v>0</v>
      </c>
      <c r="EK82" cm="1">
        <f t="array" aca="1" ref="EK82" ca="1">IF(ISNA(E82),0,OFFSET(INDIRECT("'"&amp;EK$67&amp;"'!g1"),E82-1,)*CL82)</f>
        <v>1</v>
      </c>
      <c r="EL82" cm="1">
        <f t="array" aca="1" ref="EL82" ca="1">IF(ISNA(F82),0,OFFSET(INDIRECT("'"&amp;EL$67&amp;"'!g1"),F82-1,)*CM82)</f>
        <v>0</v>
      </c>
      <c r="EM82" cm="1">
        <f t="array" aca="1" ref="EM82" ca="1">IF(ISNA(G82),0,OFFSET(INDIRECT("'"&amp;EM$67&amp;"'!g1"),G82-1,)*CN82)</f>
        <v>0</v>
      </c>
      <c r="EN82" cm="1">
        <f t="array" aca="1" ref="EN82" ca="1">IF(ISNA(H82),0,OFFSET(INDIRECT("'"&amp;EN$67&amp;"'!g1"),H82-1,)*CO82)</f>
        <v>0</v>
      </c>
      <c r="EO82" cm="1">
        <f t="array" aca="1" ref="EO82" ca="1">IF(ISNA(I82),0,OFFSET(INDIRECT("'"&amp;EO$67&amp;"'!g1"),I82-1,)*CP82)</f>
        <v>1</v>
      </c>
      <c r="EP82" cm="1">
        <f t="array" aca="1" ref="EP82" ca="1">IF(ISNA(J82),0,OFFSET(INDIRECT("'"&amp;EP$67&amp;"'!g1"),J82-1,)*CQ82)</f>
        <v>1</v>
      </c>
      <c r="EQ82" cm="1">
        <f t="array" aca="1" ref="EQ82" ca="1">IF(ISNA(K82),0,OFFSET(INDIRECT("'"&amp;EQ$67&amp;"'!g1"),K82-1,)*CR82)</f>
        <v>4</v>
      </c>
      <c r="ER82" cm="1">
        <f t="array" aca="1" ref="ER82" ca="1">IF(ISNA(L82),0,OFFSET(INDIRECT("'"&amp;ER$67&amp;"'!g1"),L82-1,)*CS82)</f>
        <v>3246</v>
      </c>
      <c r="ES82" cm="1">
        <f t="array" aca="1" ref="ES82" ca="1">IF(ISNA(M82),0,OFFSET(INDIRECT("'"&amp;ES$67&amp;"'!g1"),M82-1,)*CT82)</f>
        <v>0</v>
      </c>
      <c r="ET82" cm="1">
        <f t="array" aca="1" ref="ET82" ca="1">IF(ISNA(N82),0,OFFSET(INDIRECT("'"&amp;ET$67&amp;"'!g1"),N82-1,)*CU82)</f>
        <v>0</v>
      </c>
      <c r="EU82" cm="1">
        <f t="array" aca="1" ref="EU82" ca="1">IF(ISNA(O82),0,OFFSET(INDIRECT("'"&amp;EU$67&amp;"'!g1"),O82-1,)*CV82)</f>
        <v>0</v>
      </c>
      <c r="EV82" cm="1">
        <f t="array" aca="1" ref="EV82" ca="1">IF(ISNA(P82),0,OFFSET(INDIRECT("'"&amp;EV$67&amp;"'!g1"),P82-1,)*CW82)</f>
        <v>0</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0</v>
      </c>
      <c r="FK82" s="10" cm="1">
        <f t="array" aca="1" ref="FK82" ca="1">IF(ISNA(N82),0,OFFSET(INDIRECT("'"&amp;ET$67&amp;"'!h1"),N82-1,))</f>
        <v>1</v>
      </c>
      <c r="FL82" s="10" cm="1">
        <f t="array" aca="1" ref="FL82" ca="1">IF(ISNA(O82),0,OFFSET(INDIRECT("'"&amp;EU$67&amp;"'!h1"),O82-1,))</f>
        <v>1</v>
      </c>
      <c r="FM82" s="10" cm="1">
        <f t="array" aca="1" ref="FM82" ca="1">IF(ISNA(P82),0,OFFSET(INDIRECT("'"&amp;EV$67&amp;"'!h1"),P82-1,))</f>
        <v>0</v>
      </c>
      <c r="FN82" s="10"/>
      <c r="FO82" s="10"/>
      <c r="FP82" s="10"/>
      <c r="FQ82" s="10"/>
      <c r="FS82">
        <f t="shared" ca="1" si="61"/>
        <v>2278</v>
      </c>
      <c r="FT82">
        <f t="shared" ca="1" si="62"/>
        <v>13177.0523146614</v>
      </c>
      <c r="FU82">
        <f t="shared" ca="1" si="63"/>
        <v>4</v>
      </c>
      <c r="FV82">
        <f t="shared" ca="1" si="64"/>
        <v>10000</v>
      </c>
      <c r="FW82" s="4">
        <f t="shared" ca="1" si="65"/>
        <v>4.0000000000000002E-4</v>
      </c>
      <c r="FX82" s="5">
        <f t="shared" ca="1" si="66"/>
        <v>3294.2630786653499</v>
      </c>
      <c r="FZ82" s="13">
        <f t="shared" ca="1" si="50"/>
        <v>2278</v>
      </c>
      <c r="GA82" s="22">
        <f t="shared" ca="1" si="67"/>
        <v>0</v>
      </c>
      <c r="GB82" s="22">
        <f t="shared" ca="1" si="51"/>
        <v>9.0909090909090912E-2</v>
      </c>
      <c r="GC82" s="22">
        <f t="shared" ca="1" si="51"/>
        <v>4.0909090909090908</v>
      </c>
      <c r="GD82" s="22" t="e">
        <f t="shared" ca="1" si="51"/>
        <v>#N/A</v>
      </c>
      <c r="GE82" s="22">
        <f t="shared" ca="1" si="51"/>
        <v>0</v>
      </c>
      <c r="GF82" s="22">
        <f t="shared" ca="1" si="51"/>
        <v>0</v>
      </c>
      <c r="GG82" s="22">
        <f t="shared" ca="1" si="51"/>
        <v>0</v>
      </c>
      <c r="GH82" s="22">
        <f t="shared" ca="1" si="51"/>
        <v>0</v>
      </c>
      <c r="GI82" s="22" t="e">
        <f t="shared" ca="1" si="51"/>
        <v>#N/A</v>
      </c>
      <c r="GJ82" s="22" t="e">
        <f t="shared" ca="1" si="51"/>
        <v>#N/A</v>
      </c>
      <c r="GK82" s="22" t="e">
        <f t="shared" ca="1" si="51"/>
        <v>#N/A</v>
      </c>
      <c r="GL82" s="22" t="e">
        <f t="shared" ca="1" si="51"/>
        <v>#N/A</v>
      </c>
      <c r="GM82" s="22"/>
      <c r="GN82">
        <f t="shared" ca="1" si="68"/>
        <v>2278</v>
      </c>
      <c r="GO82" s="5" t="e">
        <f t="shared" ca="1" si="69"/>
        <v>#N/A</v>
      </c>
      <c r="GP82" s="5" t="e">
        <f t="shared" ca="1" si="52"/>
        <v>#N/A</v>
      </c>
      <c r="GQ82" s="5" t="e">
        <f t="shared" ca="1" si="52"/>
        <v>#N/A</v>
      </c>
      <c r="GR82" s="5" t="e">
        <f t="shared" ca="1" si="52"/>
        <v>#N/A</v>
      </c>
      <c r="GS82" s="5" t="e">
        <f t="shared" ca="1" si="52"/>
        <v>#N/A</v>
      </c>
      <c r="GT82" s="5">
        <f t="shared" ca="1" si="70"/>
        <v>110.75376318395099</v>
      </c>
      <c r="GU82" s="5">
        <f t="shared" ca="1" si="53"/>
        <v>3294.2630786653499</v>
      </c>
      <c r="GV82" s="5">
        <f t="shared" ca="1" si="53"/>
        <v>3.451824849470579</v>
      </c>
      <c r="GW82" s="5" t="e">
        <f t="shared" ca="1" si="53"/>
        <v>#N/A</v>
      </c>
      <c r="GX82" s="5" t="e">
        <f t="shared" ca="1" si="53"/>
        <v>#N/A</v>
      </c>
      <c r="GY82" s="5" t="e">
        <f t="shared" ca="1" si="53"/>
        <v>#N/A</v>
      </c>
      <c r="GZ82" s="5" t="e">
        <f t="shared" ca="1" si="53"/>
        <v>#N/A</v>
      </c>
      <c r="HB82" s="13">
        <f t="shared" ca="1" si="54"/>
        <v>2278</v>
      </c>
      <c r="HC82" s="4">
        <f t="shared" ca="1" si="71"/>
        <v>1</v>
      </c>
      <c r="HD82" s="4">
        <f t="shared" ca="1" si="55"/>
        <v>0</v>
      </c>
      <c r="HE82" s="4">
        <f t="shared" ca="1" si="55"/>
        <v>0</v>
      </c>
      <c r="HF82" s="4">
        <f t="shared" ca="1" si="55"/>
        <v>0</v>
      </c>
      <c r="HG82" s="4">
        <f t="shared" ca="1" si="55"/>
        <v>1</v>
      </c>
      <c r="HH82" s="4">
        <f t="shared" ca="1" si="55"/>
        <v>1</v>
      </c>
      <c r="HI82" s="4">
        <f t="shared" ca="1" si="55"/>
        <v>4.0000000000000002E-4</v>
      </c>
      <c r="HJ82" s="4">
        <f t="shared" ca="1" si="55"/>
        <v>0.3246</v>
      </c>
      <c r="HK82" s="4">
        <f t="shared" ca="1" si="55"/>
        <v>0</v>
      </c>
      <c r="HL82" s="4">
        <f t="shared" ca="1" si="55"/>
        <v>0</v>
      </c>
      <c r="HM82" s="4">
        <f t="shared" ca="1" si="55"/>
        <v>0</v>
      </c>
      <c r="HN82" s="4">
        <f t="shared" ca="1" si="55"/>
        <v>0</v>
      </c>
    </row>
    <row r="83" spans="1:222" x14ac:dyDescent="0.2">
      <c r="A83" t="str" cm="1">
        <f t="array" aca="1" ref="A83" ca="1">INDIRECT($A$67&amp;"!A"&amp;ROW(C16)+$B$64)</f>
        <v>AJ_73</v>
      </c>
      <c r="B83" cm="1">
        <f t="array" aca="1" ref="B83" ca="1">INDIRECT($A$67&amp;"!b"&amp;ROW(D16)+$B$64)</f>
        <v>2482</v>
      </c>
      <c r="C83">
        <f t="shared" ca="1" si="56"/>
        <v>24</v>
      </c>
      <c r="E83">
        <f t="shared" ca="1" si="43"/>
        <v>40</v>
      </c>
      <c r="F83">
        <f t="shared" ca="1" si="43"/>
        <v>41</v>
      </c>
      <c r="G83">
        <f t="shared" ca="1" si="43"/>
        <v>40</v>
      </c>
      <c r="H83">
        <f t="shared" ca="1" si="43"/>
        <v>40</v>
      </c>
      <c r="I83">
        <f t="shared" ca="1" si="43"/>
        <v>40</v>
      </c>
      <c r="J83">
        <f t="shared" ca="1" si="43"/>
        <v>40</v>
      </c>
      <c r="K83">
        <f t="shared" ca="1" si="43"/>
        <v>40</v>
      </c>
      <c r="L83">
        <f t="shared" ca="1" si="43"/>
        <v>68</v>
      </c>
      <c r="M83" t="e">
        <f t="shared" ca="1" si="43"/>
        <v>#N/A</v>
      </c>
      <c r="N83">
        <f t="shared" ca="1" si="43"/>
        <v>40</v>
      </c>
      <c r="O83">
        <f t="shared" ca="1" si="43"/>
        <v>40</v>
      </c>
      <c r="P83" t="e">
        <f t="shared" ca="1" si="43"/>
        <v>#N/A</v>
      </c>
      <c r="V83" cm="1">
        <f t="array" aca="1" ref="V83" ca="1">IF(ISNA(E83),,OFFSET(INDIRECT("'"&amp;V$67&amp;"'!d1"),E83-1,))</f>
        <v>24</v>
      </c>
      <c r="W83" cm="1">
        <f t="array" aca="1" ref="W83" ca="1">IF(ISNA(F83),,OFFSET(INDIRECT("'"&amp;W$67&amp;"'!d1"),F83-1,))</f>
        <v>44</v>
      </c>
      <c r="X83" cm="1">
        <f t="array" aca="1" ref="X83" ca="1">IF(ISNA(G83),,OFFSET(INDIRECT("'"&amp;X$67&amp;"'!d1"),G83-1,))</f>
        <v>0</v>
      </c>
      <c r="Y83" cm="1">
        <f t="array" aca="1" ref="Y83" ca="1">IF(ISNA(H83),,OFFSET(INDIRECT("'"&amp;Y$67&amp;"'!d1"),H83-1,))</f>
        <v>0</v>
      </c>
      <c r="Z83" cm="1">
        <f t="array" aca="1" ref="Z83" ca="1">IF(ISNA(I83),,OFFSET(INDIRECT("'"&amp;Z$67&amp;"'!d1"),I83-1,))</f>
        <v>360</v>
      </c>
      <c r="AA83" cm="1">
        <f t="array" aca="1" ref="AA83" ca="1">IF(ISNA(J83),,OFFSET(INDIRECT("'"&amp;AA$67&amp;"'!d1"),J83-1,))</f>
        <v>24</v>
      </c>
      <c r="AB83" cm="1">
        <f t="array" aca="1" ref="AB83" ca="1">IF(ISNA(K83),,OFFSET(INDIRECT("'"&amp;AB$67&amp;"'!d1"),K83-1,))</f>
        <v>24</v>
      </c>
      <c r="AC83" cm="1">
        <f t="array" aca="1" ref="AC83" ca="1">IF(ISNA(L83),,OFFSET(INDIRECT("'"&amp;AC$67&amp;"'!d1"),L83-1,))</f>
        <v>24</v>
      </c>
      <c r="AD83" cm="1">
        <f t="array" aca="1" ref="AD83" ca="1">IF(ISNA(M83),,OFFSET(INDIRECT("'"&amp;AD$67&amp;"'!d1"),M83-1,))</f>
        <v>0</v>
      </c>
      <c r="AE83" cm="1">
        <f t="array" aca="1" ref="AE83" ca="1">IF(ISNA(N83),,OFFSET(INDIRECT("'"&amp;AE$67&amp;"'!d1"),N83-1,))</f>
        <v>0</v>
      </c>
      <c r="AF83" cm="1">
        <f t="array" aca="1" ref="AF83" ca="1">IF(ISNA(O83),,OFFSET(INDIRECT("'"&amp;AF$67&amp;"'!d1"),O83-1,))</f>
        <v>0</v>
      </c>
      <c r="AG83" cm="1">
        <f t="array" aca="1" ref="AG83" ca="1">IF(ISNA(P83),,OFFSET(INDIRECT("'"&amp;AG$67&amp;"'!d1"),P83-1,))</f>
        <v>0</v>
      </c>
      <c r="AM83">
        <f t="shared" ca="1" si="57"/>
        <v>0</v>
      </c>
      <c r="AN83">
        <f t="shared" ca="1" si="44"/>
        <v>0</v>
      </c>
      <c r="AO83">
        <f t="shared" ca="1" si="44"/>
        <v>0</v>
      </c>
      <c r="AP83">
        <f t="shared" ca="1" si="44"/>
        <v>0</v>
      </c>
      <c r="AQ83">
        <f t="shared" ca="1" si="58"/>
        <v>0</v>
      </c>
      <c r="AV83" t="str">
        <f t="shared" ca="1" si="59"/>
        <v/>
      </c>
      <c r="AW83" t="str">
        <f t="shared" ca="1" si="45"/>
        <v/>
      </c>
      <c r="AX83" t="str">
        <f t="shared" ca="1" si="45"/>
        <v/>
      </c>
      <c r="AY83" t="str">
        <f t="shared" ca="1" si="45"/>
        <v/>
      </c>
      <c r="AZ83" t="str">
        <f t="shared" ca="1" si="45"/>
        <v/>
      </c>
      <c r="BD83">
        <f t="shared" ca="1" si="46"/>
        <v>1</v>
      </c>
      <c r="BE83">
        <f t="shared" ca="1" si="46"/>
        <v>1</v>
      </c>
      <c r="BF83">
        <f t="shared" ca="1" si="46"/>
        <v>0</v>
      </c>
      <c r="BG83">
        <f t="shared" ca="1" si="46"/>
        <v>0</v>
      </c>
      <c r="BH83">
        <f t="shared" ca="1" si="46"/>
        <v>1</v>
      </c>
      <c r="BI83">
        <f t="shared" ca="1" si="46"/>
        <v>1</v>
      </c>
      <c r="BJ83">
        <f t="shared" ca="1" si="46"/>
        <v>1</v>
      </c>
      <c r="BK83">
        <f t="shared" ca="1" si="46"/>
        <v>1</v>
      </c>
      <c r="BL83">
        <f t="shared" ca="1" si="46"/>
        <v>0</v>
      </c>
      <c r="BM83">
        <f t="shared" ca="1" si="46"/>
        <v>0</v>
      </c>
      <c r="BN83">
        <f t="shared" ca="1" si="46"/>
        <v>0</v>
      </c>
      <c r="BO83">
        <f t="shared" ca="1" si="46"/>
        <v>0</v>
      </c>
      <c r="BU83">
        <f t="shared" ca="1" si="47"/>
        <v>24</v>
      </c>
      <c r="BV83">
        <f t="shared" ca="1" si="47"/>
        <v>44</v>
      </c>
      <c r="BW83">
        <f t="shared" ca="1" si="47"/>
        <v>2482</v>
      </c>
      <c r="BX83">
        <f t="shared" ca="1" si="47"/>
        <v>2482</v>
      </c>
      <c r="BY83">
        <f t="shared" ca="1" si="47"/>
        <v>360</v>
      </c>
      <c r="BZ83">
        <f t="shared" ca="1" si="47"/>
        <v>24</v>
      </c>
      <c r="CA83">
        <f t="shared" ca="1" si="47"/>
        <v>24</v>
      </c>
      <c r="CB83">
        <f t="shared" ca="1" si="47"/>
        <v>24</v>
      </c>
      <c r="CC83">
        <f t="shared" ca="1" si="47"/>
        <v>2482</v>
      </c>
      <c r="CD83">
        <f t="shared" ca="1" si="47"/>
        <v>2482</v>
      </c>
      <c r="CE83">
        <f t="shared" ca="1" si="47"/>
        <v>2482</v>
      </c>
      <c r="CF83">
        <f t="shared" ca="1" si="47"/>
        <v>2482</v>
      </c>
      <c r="CL83">
        <f t="shared" ca="1" si="48"/>
        <v>1</v>
      </c>
      <c r="CM83">
        <f t="shared" ca="1" si="48"/>
        <v>0</v>
      </c>
      <c r="CN83">
        <f t="shared" ca="1" si="48"/>
        <v>0</v>
      </c>
      <c r="CO83">
        <f t="shared" ca="1" si="48"/>
        <v>0</v>
      </c>
      <c r="CP83">
        <f t="shared" ca="1" si="48"/>
        <v>0</v>
      </c>
      <c r="CQ83">
        <f t="shared" ca="1" si="48"/>
        <v>1</v>
      </c>
      <c r="CR83">
        <f t="shared" ca="1" si="48"/>
        <v>1</v>
      </c>
      <c r="CS83">
        <f t="shared" ca="1" si="48"/>
        <v>1</v>
      </c>
      <c r="CT83">
        <f t="shared" ca="1" si="48"/>
        <v>0</v>
      </c>
      <c r="CU83">
        <f t="shared" ca="1" si="48"/>
        <v>0</v>
      </c>
      <c r="CV83">
        <f t="shared" ca="1" si="48"/>
        <v>0</v>
      </c>
      <c r="CW83">
        <f t="shared" ca="1" si="48"/>
        <v>0</v>
      </c>
      <c r="DC83" cm="1">
        <f t="array" aca="1" ref="DC83" ca="1">IF(ISNA(E83),,OFFSET(INDIRECT("'"&amp;DT$67&amp;"'!f1"),E83-1,))*1</f>
        <v>28813.570223262999</v>
      </c>
      <c r="DD83" cm="1">
        <f t="array" aca="1" ref="DD83" ca="1">IF(ISNA(F83),,OFFSET(INDIRECT("'"&amp;DU$67&amp;"'!f1"),F83-1,))*1</f>
        <v>28815.783737724101</v>
      </c>
      <c r="DE83" cm="1">
        <f t="array" aca="1" ref="DE83" ca="1">IF(ISNA(G83),,OFFSET(INDIRECT("'"&amp;DV$67&amp;"'!f1"),G83-1,))*1</f>
        <v>28800.912829283101</v>
      </c>
      <c r="DF83" cm="1">
        <f t="array" aca="1" ref="DF83" ca="1">IF(ISNA(H83),,OFFSET(INDIRECT("'"&amp;DW$67&amp;"'!f1"),H83-1,))*1</f>
        <v>28800.159176565699</v>
      </c>
      <c r="DG83" cm="1">
        <f t="array" aca="1" ref="DG83" ca="1">IF(ISNA(I83),,OFFSET(INDIRECT("'"&amp;DX$67&amp;"'!f1"),I83-1,))*1</f>
        <v>28808.324567624899</v>
      </c>
      <c r="DH83" cm="1">
        <f t="array" aca="1" ref="DH83" ca="1">IF(ISNA(J83),,OFFSET(INDIRECT("'"&amp;DY$67&amp;"'!f1"),J83-1,))*1</f>
        <v>136.72159276157601</v>
      </c>
      <c r="DI83" cm="1">
        <f t="array" aca="1" ref="DI83" ca="1">IF(ISNA(K83),,OFFSET(INDIRECT("'"&amp;DZ$67&amp;"'!f1"),K83-1,))*1</f>
        <v>16393.742003098101</v>
      </c>
      <c r="DJ83" cm="1">
        <f t="array" aca="1" ref="DJ83" ca="1">IF(ISNA(L83),,OFFSET(INDIRECT("'"&amp;EA$67&amp;"'!f1"),L83-1,))*1</f>
        <v>14964.878275446499</v>
      </c>
      <c r="DK83" cm="1">
        <f t="array" aca="1" ref="DK83" ca="1">IF(ISNA(M83),,OFFSET(INDIRECT("'"&amp;EB$67&amp;"'!f1"),M83-1,))*1</f>
        <v>0</v>
      </c>
      <c r="DL83" cm="1">
        <f t="array" aca="1" ref="DL83" ca="1">IF(ISNA(N83),,OFFSET(INDIRECT("'"&amp;EC$67&amp;"'!f1"),N83-1,))*1</f>
        <v>1.7130573519971199</v>
      </c>
      <c r="DM83" cm="1">
        <f t="array" aca="1" ref="DM83" ca="1">IF(ISNA(O83),,OFFSET(INDIRECT("'"&amp;ED$67&amp;"'!f1"),O83-1,))*1</f>
        <v>1.7500833769881801</v>
      </c>
      <c r="DN83" cm="1">
        <f t="array" aca="1" ref="DN83" ca="1">IF(ISNA(P83),,OFFSET(INDIRECT("'"&amp;EE$67&amp;"'!f1"),P83-1,))*1</f>
        <v>0</v>
      </c>
      <c r="DT83">
        <f t="shared" ca="1" si="60"/>
        <v>1</v>
      </c>
      <c r="DU83">
        <f t="shared" ca="1" si="49"/>
        <v>0</v>
      </c>
      <c r="DV83">
        <f t="shared" ca="1" si="49"/>
        <v>0</v>
      </c>
      <c r="DW83">
        <f t="shared" ca="1" si="49"/>
        <v>0</v>
      </c>
      <c r="DX83">
        <f t="shared" ca="1" si="49"/>
        <v>0</v>
      </c>
      <c r="DY83">
        <f t="shared" ca="1" si="49"/>
        <v>1</v>
      </c>
      <c r="DZ83">
        <f t="shared" ca="1" si="49"/>
        <v>1</v>
      </c>
      <c r="EA83">
        <f t="shared" ca="1" si="49"/>
        <v>1448</v>
      </c>
      <c r="EB83">
        <f t="shared" ca="1" si="49"/>
        <v>0</v>
      </c>
      <c r="EC83">
        <f t="shared" ca="1" si="49"/>
        <v>0</v>
      </c>
      <c r="ED83">
        <f t="shared" ca="1" si="49"/>
        <v>0</v>
      </c>
      <c r="EE83">
        <f t="shared" ca="1" si="49"/>
        <v>0</v>
      </c>
      <c r="EK83" cm="1">
        <f t="array" aca="1" ref="EK83" ca="1">IF(ISNA(E83),0,OFFSET(INDIRECT("'"&amp;EK$67&amp;"'!g1"),E83-1,)*CL83)</f>
        <v>1</v>
      </c>
      <c r="EL83" cm="1">
        <f t="array" aca="1" ref="EL83" ca="1">IF(ISNA(F83),0,OFFSET(INDIRECT("'"&amp;EL$67&amp;"'!g1"),F83-1,)*CM83)</f>
        <v>0</v>
      </c>
      <c r="EM83" cm="1">
        <f t="array" aca="1" ref="EM83" ca="1">IF(ISNA(G83),0,OFFSET(INDIRECT("'"&amp;EM$67&amp;"'!g1"),G83-1,)*CN83)</f>
        <v>0</v>
      </c>
      <c r="EN83" cm="1">
        <f t="array" aca="1" ref="EN83" ca="1">IF(ISNA(H83),0,OFFSET(INDIRECT("'"&amp;EN$67&amp;"'!g1"),H83-1,)*CO83)</f>
        <v>0</v>
      </c>
      <c r="EO83" cm="1">
        <f t="array" aca="1" ref="EO83" ca="1">IF(ISNA(I83),0,OFFSET(INDIRECT("'"&amp;EO$67&amp;"'!g1"),I83-1,)*CP83)</f>
        <v>0</v>
      </c>
      <c r="EP83" cm="1">
        <f t="array" aca="1" ref="EP83" ca="1">IF(ISNA(J83),0,OFFSET(INDIRECT("'"&amp;EP$67&amp;"'!g1"),J83-1,)*CQ83)</f>
        <v>1</v>
      </c>
      <c r="EQ83" cm="1">
        <f t="array" aca="1" ref="EQ83" ca="1">IF(ISNA(K83),0,OFFSET(INDIRECT("'"&amp;EQ$67&amp;"'!g1"),K83-1,)*CR83)</f>
        <v>1</v>
      </c>
      <c r="ER83" cm="1">
        <f t="array" aca="1" ref="ER83" ca="1">IF(ISNA(L83),0,OFFSET(INDIRECT("'"&amp;ER$67&amp;"'!g1"),L83-1,)*CS83)</f>
        <v>1448</v>
      </c>
      <c r="ES83" cm="1">
        <f t="array" aca="1" ref="ES83" ca="1">IF(ISNA(M83),0,OFFSET(INDIRECT("'"&amp;ES$67&amp;"'!g1"),M83-1,)*CT83)</f>
        <v>0</v>
      </c>
      <c r="ET83" cm="1">
        <f t="array" aca="1" ref="ET83" ca="1">IF(ISNA(N83),0,OFFSET(INDIRECT("'"&amp;ET$67&amp;"'!g1"),N83-1,)*CU83)</f>
        <v>0</v>
      </c>
      <c r="EU83" cm="1">
        <f t="array" aca="1" ref="EU83" ca="1">IF(ISNA(O83),0,OFFSET(INDIRECT("'"&amp;EU$67&amp;"'!g1"),O83-1,)*CV83)</f>
        <v>0</v>
      </c>
      <c r="EV83" cm="1">
        <f t="array" aca="1" ref="EV83" ca="1">IF(ISNA(P83),0,OFFSET(INDIRECT("'"&amp;EV$67&amp;"'!g1"),P83-1,)*CW83)</f>
        <v>0</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0</v>
      </c>
      <c r="FK83" s="10" cm="1">
        <f t="array" aca="1" ref="FK83" ca="1">IF(ISNA(N83),0,OFFSET(INDIRECT("'"&amp;ET$67&amp;"'!h1"),N83-1,))</f>
        <v>1</v>
      </c>
      <c r="FL83" s="10" cm="1">
        <f t="array" aca="1" ref="FL83" ca="1">IF(ISNA(O83),0,OFFSET(INDIRECT("'"&amp;EU$67&amp;"'!h1"),O83-1,))</f>
        <v>1</v>
      </c>
      <c r="FM83" s="10" cm="1">
        <f t="array" aca="1" ref="FM83" ca="1">IF(ISNA(P83),0,OFFSET(INDIRECT("'"&amp;EV$67&amp;"'!h1"),P83-1,))</f>
        <v>0</v>
      </c>
      <c r="FN83" s="10"/>
      <c r="FO83" s="10"/>
      <c r="FP83" s="10"/>
      <c r="FQ83" s="10"/>
      <c r="FS83">
        <f t="shared" ca="1" si="61"/>
        <v>2482</v>
      </c>
      <c r="FT83">
        <f t="shared" ca="1" si="62"/>
        <v>16393.742003098101</v>
      </c>
      <c r="FU83">
        <f t="shared" ca="1" si="63"/>
        <v>1</v>
      </c>
      <c r="FV83">
        <f t="shared" ca="1" si="64"/>
        <v>10000</v>
      </c>
      <c r="FW83" s="4">
        <f t="shared" ca="1" si="65"/>
        <v>1E-4</v>
      </c>
      <c r="FX83" s="5">
        <f t="shared" ca="1" si="66"/>
        <v>16393.742003098101</v>
      </c>
      <c r="FZ83" s="13">
        <f t="shared" ca="1" si="50"/>
        <v>2482</v>
      </c>
      <c r="GA83" s="22">
        <f t="shared" ca="1" si="67"/>
        <v>0</v>
      </c>
      <c r="GB83" s="22">
        <f t="shared" ca="1" si="51"/>
        <v>0.83333333333333337</v>
      </c>
      <c r="GC83" s="22" t="e">
        <f t="shared" ca="1" si="51"/>
        <v>#N/A</v>
      </c>
      <c r="GD83" s="22" t="e">
        <f t="shared" ca="1" si="51"/>
        <v>#N/A</v>
      </c>
      <c r="GE83" s="22">
        <f t="shared" ca="1" si="51"/>
        <v>14</v>
      </c>
      <c r="GF83" s="22">
        <f t="shared" ca="1" si="51"/>
        <v>0</v>
      </c>
      <c r="GG83" s="22">
        <f t="shared" ca="1" si="51"/>
        <v>0</v>
      </c>
      <c r="GH83" s="22">
        <f t="shared" ca="1" si="51"/>
        <v>0</v>
      </c>
      <c r="GI83" s="22" t="e">
        <f t="shared" ca="1" si="51"/>
        <v>#N/A</v>
      </c>
      <c r="GJ83" s="22" t="e">
        <f t="shared" ca="1" si="51"/>
        <v>#N/A</v>
      </c>
      <c r="GK83" s="22" t="e">
        <f t="shared" ca="1" si="51"/>
        <v>#N/A</v>
      </c>
      <c r="GL83" s="22" t="e">
        <f t="shared" ca="1" si="51"/>
        <v>#N/A</v>
      </c>
      <c r="GM83" s="22"/>
      <c r="GN83">
        <f t="shared" ca="1" si="68"/>
        <v>2482</v>
      </c>
      <c r="GO83" s="5" t="e">
        <f t="shared" ca="1" si="69"/>
        <v>#N/A</v>
      </c>
      <c r="GP83" s="5" t="e">
        <f t="shared" ca="1" si="52"/>
        <v>#N/A</v>
      </c>
      <c r="GQ83" s="5" t="e">
        <f t="shared" ca="1" si="52"/>
        <v>#N/A</v>
      </c>
      <c r="GR83" s="5" t="e">
        <f t="shared" ca="1" si="52"/>
        <v>#N/A</v>
      </c>
      <c r="GS83" s="5" t="e">
        <f t="shared" ca="1" si="52"/>
        <v>#N/A</v>
      </c>
      <c r="GT83" s="5">
        <f t="shared" ca="1" si="70"/>
        <v>136.72159276157601</v>
      </c>
      <c r="GU83" s="5">
        <f t="shared" ca="1" si="53"/>
        <v>16393.742003098101</v>
      </c>
      <c r="GV83" s="5">
        <f t="shared" ca="1" si="53"/>
        <v>10.334860687463053</v>
      </c>
      <c r="GW83" s="5" t="e">
        <f t="shared" ca="1" si="53"/>
        <v>#N/A</v>
      </c>
      <c r="GX83" s="5" t="e">
        <f t="shared" ca="1" si="53"/>
        <v>#N/A</v>
      </c>
      <c r="GY83" s="5" t="e">
        <f t="shared" ca="1" si="53"/>
        <v>#N/A</v>
      </c>
      <c r="GZ83" s="5" t="e">
        <f t="shared" ca="1" si="53"/>
        <v>#N/A</v>
      </c>
      <c r="HB83" s="13">
        <f t="shared" ca="1" si="54"/>
        <v>2482</v>
      </c>
      <c r="HC83" s="4">
        <f t="shared" ca="1" si="71"/>
        <v>1</v>
      </c>
      <c r="HD83" s="4">
        <f t="shared" ca="1" si="55"/>
        <v>0</v>
      </c>
      <c r="HE83" s="4">
        <f t="shared" ca="1" si="55"/>
        <v>0</v>
      </c>
      <c r="HF83" s="4">
        <f t="shared" ca="1" si="55"/>
        <v>0</v>
      </c>
      <c r="HG83" s="4">
        <f t="shared" ca="1" si="55"/>
        <v>0</v>
      </c>
      <c r="HH83" s="4">
        <f t="shared" ca="1" si="55"/>
        <v>1</v>
      </c>
      <c r="HI83" s="4">
        <f t="shared" ca="1" si="55"/>
        <v>1E-4</v>
      </c>
      <c r="HJ83" s="4">
        <f t="shared" ca="1" si="55"/>
        <v>0.14480000000000001</v>
      </c>
      <c r="HK83" s="4">
        <f t="shared" ca="1" si="55"/>
        <v>0</v>
      </c>
      <c r="HL83" s="4">
        <f t="shared" ca="1" si="55"/>
        <v>0</v>
      </c>
      <c r="HM83" s="4">
        <f t="shared" ca="1" si="55"/>
        <v>0</v>
      </c>
      <c r="HN83" s="4">
        <f t="shared" ca="1" si="55"/>
        <v>0</v>
      </c>
    </row>
    <row r="84" spans="1:222" x14ac:dyDescent="0.2">
      <c r="A84" t="str" cm="1">
        <f t="array" aca="1" ref="A84" ca="1">INDIRECT($A$67&amp;"!A"&amp;ROW(C17)+$B$64)</f>
        <v>AJ_80</v>
      </c>
      <c r="B84" cm="1">
        <f t="array" aca="1" ref="B84" ca="1">INDIRECT($A$67&amp;"!b"&amp;ROW(D17)+$B$64)</f>
        <v>2720</v>
      </c>
      <c r="C84">
        <f t="shared" ca="1" si="56"/>
        <v>22</v>
      </c>
      <c r="E84">
        <f t="shared" ref="E84:P86" ca="1" si="72">MATCH($A84,INDIRECT("'"&amp;E$67&amp;"'!A:A"),)</f>
        <v>41</v>
      </c>
      <c r="F84">
        <f t="shared" ca="1" si="72"/>
        <v>42</v>
      </c>
      <c r="G84">
        <f t="shared" ca="1" si="72"/>
        <v>41</v>
      </c>
      <c r="H84">
        <f t="shared" ca="1" si="72"/>
        <v>41</v>
      </c>
      <c r="I84">
        <f t="shared" ca="1" si="72"/>
        <v>44</v>
      </c>
      <c r="J84">
        <f t="shared" ca="1" si="72"/>
        <v>41</v>
      </c>
      <c r="K84">
        <f t="shared" ca="1" si="72"/>
        <v>41</v>
      </c>
      <c r="L84">
        <f t="shared" ca="1" si="72"/>
        <v>69</v>
      </c>
      <c r="M84" t="e">
        <f t="shared" ca="1" si="72"/>
        <v>#N/A</v>
      </c>
      <c r="N84">
        <f t="shared" ca="1" si="72"/>
        <v>41</v>
      </c>
      <c r="O84">
        <f t="shared" ca="1" si="72"/>
        <v>41</v>
      </c>
      <c r="P84" t="e">
        <f t="shared" ca="1" si="72"/>
        <v>#N/A</v>
      </c>
      <c r="V84" cm="1">
        <f t="array" aca="1" ref="V84" ca="1">IF(ISNA(E84),,OFFSET(INDIRECT("'"&amp;V$67&amp;"'!d1"),E84-1,))</f>
        <v>22</v>
      </c>
      <c r="W84" cm="1">
        <f t="array" aca="1" ref="W84" ca="1">IF(ISNA(F84),,OFFSET(INDIRECT("'"&amp;W$67&amp;"'!d1"),F84-1,))</f>
        <v>22</v>
      </c>
      <c r="X84" cm="1">
        <f t="array" aca="1" ref="X84" ca="1">IF(ISNA(G84),,OFFSET(INDIRECT("'"&amp;X$67&amp;"'!d1"),G84-1,))</f>
        <v>0</v>
      </c>
      <c r="Y84" cm="1">
        <f t="array" aca="1" ref="Y84" ca="1">IF(ISNA(H84),,OFFSET(INDIRECT("'"&amp;Y$67&amp;"'!d1"),H84-1,))</f>
        <v>0</v>
      </c>
      <c r="Z84" cm="1">
        <f t="array" aca="1" ref="Z84" ca="1">IF(ISNA(I84),,OFFSET(INDIRECT("'"&amp;Z$67&amp;"'!d1"),I84-1,))</f>
        <v>372</v>
      </c>
      <c r="AA84" cm="1">
        <f t="array" aca="1" ref="AA84" ca="1">IF(ISNA(J84),,OFFSET(INDIRECT("'"&amp;AA$67&amp;"'!d1"),J84-1,))</f>
        <v>24</v>
      </c>
      <c r="AB84" cm="1">
        <f t="array" aca="1" ref="AB84" ca="1">IF(ISNA(K84),,OFFSET(INDIRECT("'"&amp;AB$67&amp;"'!d1"),K84-1,))</f>
        <v>22</v>
      </c>
      <c r="AC84" cm="1">
        <f t="array" aca="1" ref="AC84" ca="1">IF(ISNA(L84),,OFFSET(INDIRECT("'"&amp;AC$67&amp;"'!d1"),L84-1,))</f>
        <v>22</v>
      </c>
      <c r="AD84" cm="1">
        <f t="array" aca="1" ref="AD84" ca="1">IF(ISNA(M84),,OFFSET(INDIRECT("'"&amp;AD$67&amp;"'!d1"),M84-1,))</f>
        <v>0</v>
      </c>
      <c r="AE84" cm="1">
        <f t="array" aca="1" ref="AE84" ca="1">IF(ISNA(N84),,OFFSET(INDIRECT("'"&amp;AE$67&amp;"'!d1"),N84-1,))</f>
        <v>0</v>
      </c>
      <c r="AF84" cm="1">
        <f t="array" aca="1" ref="AF84" ca="1">IF(ISNA(O84),,OFFSET(INDIRECT("'"&amp;AF$67&amp;"'!d1"),O84-1,))</f>
        <v>0</v>
      </c>
      <c r="AG84" cm="1">
        <f t="array" aca="1" ref="AG84" ca="1">IF(ISNA(P84),,OFFSET(INDIRECT("'"&amp;AG$67&amp;"'!d1"),P84-1,))</f>
        <v>0</v>
      </c>
      <c r="AM84">
        <f t="shared" ca="1" si="57"/>
        <v>0</v>
      </c>
      <c r="AN84">
        <f t="shared" ca="1" si="57"/>
        <v>0</v>
      </c>
      <c r="AO84">
        <f t="shared" ca="1" si="57"/>
        <v>0</v>
      </c>
      <c r="AP84">
        <f t="shared" ca="1" si="57"/>
        <v>0</v>
      </c>
      <c r="AQ84">
        <f t="shared" ca="1" si="58"/>
        <v>0</v>
      </c>
      <c r="AV84" t="str">
        <f t="shared" ca="1" si="59"/>
        <v/>
      </c>
      <c r="AW84" t="str">
        <f t="shared" ca="1" si="45"/>
        <v/>
      </c>
      <c r="AX84" t="str">
        <f t="shared" ca="1" si="45"/>
        <v/>
      </c>
      <c r="AY84" t="str">
        <f t="shared" ca="1" si="45"/>
        <v/>
      </c>
      <c r="AZ84" t="str">
        <f t="shared" ca="1" si="45"/>
        <v/>
      </c>
      <c r="BD84">
        <f t="shared" ca="1" si="46"/>
        <v>1</v>
      </c>
      <c r="BE84">
        <f t="shared" ca="1" si="46"/>
        <v>1</v>
      </c>
      <c r="BF84">
        <f t="shared" ca="1" si="46"/>
        <v>0</v>
      </c>
      <c r="BG84">
        <f t="shared" ca="1" si="46"/>
        <v>0</v>
      </c>
      <c r="BH84">
        <f t="shared" ca="1" si="46"/>
        <v>1</v>
      </c>
      <c r="BI84">
        <f t="shared" ca="1" si="46"/>
        <v>1</v>
      </c>
      <c r="BJ84">
        <f t="shared" ca="1" si="46"/>
        <v>1</v>
      </c>
      <c r="BK84">
        <f t="shared" ca="1" si="46"/>
        <v>1</v>
      </c>
      <c r="BL84">
        <f t="shared" ca="1" si="46"/>
        <v>0</v>
      </c>
      <c r="BM84">
        <f t="shared" ca="1" si="46"/>
        <v>0</v>
      </c>
      <c r="BN84">
        <f t="shared" ca="1" si="46"/>
        <v>0</v>
      </c>
      <c r="BO84">
        <f t="shared" ca="1" si="46"/>
        <v>0</v>
      </c>
      <c r="BU84">
        <f t="shared" ca="1" si="47"/>
        <v>22</v>
      </c>
      <c r="BV84">
        <f t="shared" ca="1" si="47"/>
        <v>22</v>
      </c>
      <c r="BW84">
        <f t="shared" ca="1" si="47"/>
        <v>2720</v>
      </c>
      <c r="BX84">
        <f t="shared" ca="1" si="47"/>
        <v>2720</v>
      </c>
      <c r="BY84">
        <f t="shared" ca="1" si="47"/>
        <v>372</v>
      </c>
      <c r="BZ84">
        <f t="shared" ca="1" si="47"/>
        <v>24</v>
      </c>
      <c r="CA84">
        <f t="shared" ca="1" si="47"/>
        <v>22</v>
      </c>
      <c r="CB84">
        <f t="shared" ca="1" si="47"/>
        <v>22</v>
      </c>
      <c r="CC84">
        <f t="shared" ca="1" si="47"/>
        <v>2720</v>
      </c>
      <c r="CD84">
        <f t="shared" ca="1" si="47"/>
        <v>2720</v>
      </c>
      <c r="CE84">
        <f t="shared" ca="1" si="47"/>
        <v>2720</v>
      </c>
      <c r="CF84">
        <f t="shared" ca="1" si="47"/>
        <v>2720</v>
      </c>
      <c r="CL84">
        <f t="shared" ca="1" si="48"/>
        <v>1</v>
      </c>
      <c r="CM84">
        <f t="shared" ca="1" si="48"/>
        <v>1</v>
      </c>
      <c r="CN84">
        <f t="shared" ca="1" si="48"/>
        <v>0</v>
      </c>
      <c r="CO84">
        <f t="shared" ca="1" si="48"/>
        <v>0</v>
      </c>
      <c r="CP84">
        <f t="shared" ca="1" si="48"/>
        <v>0</v>
      </c>
      <c r="CQ84">
        <f t="shared" ca="1" si="48"/>
        <v>0</v>
      </c>
      <c r="CR84">
        <f t="shared" ca="1" si="48"/>
        <v>1</v>
      </c>
      <c r="CS84">
        <f t="shared" ca="1" si="48"/>
        <v>1</v>
      </c>
      <c r="CT84">
        <f t="shared" ca="1" si="48"/>
        <v>0</v>
      </c>
      <c r="CU84">
        <f t="shared" ca="1" si="48"/>
        <v>0</v>
      </c>
      <c r="CV84">
        <f t="shared" ca="1" si="48"/>
        <v>0</v>
      </c>
      <c r="CW84">
        <f t="shared" ca="1" si="48"/>
        <v>0</v>
      </c>
      <c r="DC84" cm="1">
        <f t="array" aca="1" ref="DC84" ca="1">IF(ISNA(E84),,OFFSET(INDIRECT("'"&amp;DT$67&amp;"'!f1"),E84-1,))*1</f>
        <v>28818.173499345699</v>
      </c>
      <c r="DD84" cm="1">
        <f t="array" aca="1" ref="DD84" ca="1">IF(ISNA(F84),,OFFSET(INDIRECT("'"&amp;DU$67&amp;"'!f1"),F84-1,))*1</f>
        <v>28802.1275712475</v>
      </c>
      <c r="DE84" cm="1">
        <f t="array" aca="1" ref="DE84" ca="1">IF(ISNA(G84),,OFFSET(INDIRECT("'"&amp;DV$67&amp;"'!f1"),G84-1,))*1</f>
        <v>28801.188812158998</v>
      </c>
      <c r="DF84" cm="1">
        <f t="array" aca="1" ref="DF84" ca="1">IF(ISNA(H84),,OFFSET(INDIRECT("'"&amp;DW$67&amp;"'!f1"),H84-1,))*1</f>
        <v>28800.207426535799</v>
      </c>
      <c r="DG84" cm="1">
        <f t="array" aca="1" ref="DG84" ca="1">IF(ISNA(I84),,OFFSET(INDIRECT("'"&amp;DX$67&amp;"'!f1"),I84-1,))*1</f>
        <v>28803.485585082999</v>
      </c>
      <c r="DH84" cm="1">
        <f t="array" aca="1" ref="DH84" ca="1">IF(ISNA(J84),,OFFSET(INDIRECT("'"&amp;DY$67&amp;"'!f1"),J84-1,))*1</f>
        <v>189.36244263499901</v>
      </c>
      <c r="DI84" cm="1">
        <f t="array" aca="1" ref="DI84" ca="1">IF(ISNA(K84),,OFFSET(INDIRECT("'"&amp;DZ$67&amp;"'!f1"),K84-1,))*1</f>
        <v>20532.399498529699</v>
      </c>
      <c r="DJ84" cm="1">
        <f t="array" aca="1" ref="DJ84" ca="1">IF(ISNA(L84),,OFFSET(INDIRECT("'"&amp;EA$67&amp;"'!f1"),L84-1,))*1</f>
        <v>18677.7906392812</v>
      </c>
      <c r="DK84" cm="1">
        <f t="array" aca="1" ref="DK84" ca="1">IF(ISNA(M84),,OFFSET(INDIRECT("'"&amp;EB$67&amp;"'!f1"),M84-1,))*1</f>
        <v>0</v>
      </c>
      <c r="DL84" cm="1">
        <f t="array" aca="1" ref="DL84" ca="1">IF(ISNA(N84),,OFFSET(INDIRECT("'"&amp;EC$67&amp;"'!f1"),N84-1,))*1</f>
        <v>2.0670552579977</v>
      </c>
      <c r="DM84" cm="1">
        <f t="array" aca="1" ref="DM84" ca="1">IF(ISNA(O84),,OFFSET(INDIRECT("'"&amp;ED$67&amp;"'!f1"),O84-1,))*1</f>
        <v>2.0643860070122102</v>
      </c>
      <c r="DN84" cm="1">
        <f t="array" aca="1" ref="DN84" ca="1">IF(ISNA(P84),,OFFSET(INDIRECT("'"&amp;EE$67&amp;"'!f1"),P84-1,))*1</f>
        <v>0</v>
      </c>
      <c r="DT84">
        <f t="shared" ca="1" si="60"/>
        <v>1</v>
      </c>
      <c r="DU84">
        <f t="shared" ca="1" si="60"/>
        <v>1</v>
      </c>
      <c r="DV84">
        <f t="shared" ca="1" si="60"/>
        <v>0</v>
      </c>
      <c r="DW84">
        <f t="shared" ca="1" si="60"/>
        <v>0</v>
      </c>
      <c r="DX84">
        <f t="shared" ca="1" si="60"/>
        <v>0</v>
      </c>
      <c r="DY84">
        <f t="shared" ca="1" si="60"/>
        <v>0</v>
      </c>
      <c r="DZ84">
        <f t="shared" ca="1" si="60"/>
        <v>1</v>
      </c>
      <c r="EA84">
        <f t="shared" ca="1" si="60"/>
        <v>3246</v>
      </c>
      <c r="EB84">
        <f t="shared" ca="1" si="60"/>
        <v>0</v>
      </c>
      <c r="EC84">
        <f t="shared" ca="1" si="60"/>
        <v>0</v>
      </c>
      <c r="ED84">
        <f t="shared" ca="1" si="60"/>
        <v>0</v>
      </c>
      <c r="EE84">
        <f t="shared" ca="1" si="60"/>
        <v>0</v>
      </c>
      <c r="EK84" cm="1">
        <f t="array" aca="1" ref="EK84" ca="1">IF(ISNA(E84),0,OFFSET(INDIRECT("'"&amp;EK$67&amp;"'!g1"),E84-1,)*CL84)</f>
        <v>1</v>
      </c>
      <c r="EL84" cm="1">
        <f t="array" aca="1" ref="EL84" ca="1">IF(ISNA(F84),0,OFFSET(INDIRECT("'"&amp;EL$67&amp;"'!g1"),F84-1,)*CM84)</f>
        <v>1</v>
      </c>
      <c r="EM84" cm="1">
        <f t="array" aca="1" ref="EM84" ca="1">IF(ISNA(G84),0,OFFSET(INDIRECT("'"&amp;EM$67&amp;"'!g1"),G84-1,)*CN84)</f>
        <v>0</v>
      </c>
      <c r="EN84" cm="1">
        <f t="array" aca="1" ref="EN84" ca="1">IF(ISNA(H84),0,OFFSET(INDIRECT("'"&amp;EN$67&amp;"'!g1"),H84-1,)*CO84)</f>
        <v>0</v>
      </c>
      <c r="EO84" cm="1">
        <f t="array" aca="1" ref="EO84" ca="1">IF(ISNA(I84),0,OFFSET(INDIRECT("'"&amp;EO$67&amp;"'!g1"),I84-1,)*CP84)</f>
        <v>0</v>
      </c>
      <c r="EP84" cm="1">
        <f t="array" aca="1" ref="EP84" ca="1">IF(ISNA(J84),0,OFFSET(INDIRECT("'"&amp;EP$67&amp;"'!g1"),J84-1,)*CQ84)</f>
        <v>0</v>
      </c>
      <c r="EQ84" cm="1">
        <f t="array" aca="1" ref="EQ84" ca="1">IF(ISNA(K84),0,OFFSET(INDIRECT("'"&amp;EQ$67&amp;"'!g1"),K84-1,)*CR84)</f>
        <v>1</v>
      </c>
      <c r="ER84" cm="1">
        <f t="array" aca="1" ref="ER84" ca="1">IF(ISNA(L84),0,OFFSET(INDIRECT("'"&amp;ER$67&amp;"'!g1"),L84-1,)*CS84)</f>
        <v>3246</v>
      </c>
      <c r="ES84" cm="1">
        <f t="array" aca="1" ref="ES84" ca="1">IF(ISNA(M84),0,OFFSET(INDIRECT("'"&amp;ES$67&amp;"'!g1"),M84-1,)*CT84)</f>
        <v>0</v>
      </c>
      <c r="ET84" cm="1">
        <f t="array" aca="1" ref="ET84" ca="1">IF(ISNA(N84),0,OFFSET(INDIRECT("'"&amp;ET$67&amp;"'!g1"),N84-1,)*CU84)</f>
        <v>0</v>
      </c>
      <c r="EU84" cm="1">
        <f t="array" aca="1" ref="EU84" ca="1">IF(ISNA(O84),0,OFFSET(INDIRECT("'"&amp;EU$67&amp;"'!g1"),O84-1,)*CV84)</f>
        <v>0</v>
      </c>
      <c r="EV84" cm="1">
        <f t="array" aca="1" ref="EV84" ca="1">IF(ISNA(P84),0,OFFSET(INDIRECT("'"&amp;EV$67&amp;"'!g1"),P84-1,)*CW84)</f>
        <v>0</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0</v>
      </c>
      <c r="FK84" s="10" cm="1">
        <f t="array" aca="1" ref="FK84" ca="1">IF(ISNA(N84),0,OFFSET(INDIRECT("'"&amp;ET$67&amp;"'!h1"),N84-1,))</f>
        <v>1</v>
      </c>
      <c r="FL84" s="10" cm="1">
        <f t="array" aca="1" ref="FL84" ca="1">IF(ISNA(O84),0,OFFSET(INDIRECT("'"&amp;EU$67&amp;"'!h1"),O84-1,))</f>
        <v>1</v>
      </c>
      <c r="FM84" s="10" cm="1">
        <f t="array" aca="1" ref="FM84" ca="1">IF(ISNA(P84),0,OFFSET(INDIRECT("'"&amp;EV$67&amp;"'!h1"),P84-1,))</f>
        <v>0</v>
      </c>
      <c r="FN84" s="10"/>
      <c r="FO84" s="10"/>
      <c r="FP84" s="10"/>
      <c r="FQ84" s="10"/>
      <c r="FS84">
        <f t="shared" ca="1" si="61"/>
        <v>2720</v>
      </c>
      <c r="FT84">
        <f t="shared" ca="1" si="62"/>
        <v>20532.399498529699</v>
      </c>
      <c r="FU84">
        <f t="shared" ca="1" si="63"/>
        <v>1</v>
      </c>
      <c r="FV84">
        <f t="shared" ca="1" si="64"/>
        <v>10000</v>
      </c>
      <c r="FW84" s="4">
        <f t="shared" ca="1" si="65"/>
        <v>1E-4</v>
      </c>
      <c r="FX84" s="5">
        <f t="shared" ca="1" si="66"/>
        <v>20532.399498529699</v>
      </c>
      <c r="FZ84" s="13">
        <f t="shared" ca="1" si="50"/>
        <v>2720</v>
      </c>
      <c r="GA84" s="22">
        <f t="shared" ca="1" si="67"/>
        <v>0</v>
      </c>
      <c r="GB84" s="22">
        <f t="shared" ca="1" si="51"/>
        <v>0</v>
      </c>
      <c r="GC84" s="22" t="e">
        <f t="shared" ca="1" si="51"/>
        <v>#N/A</v>
      </c>
      <c r="GD84" s="22" t="e">
        <f t="shared" ca="1" si="51"/>
        <v>#N/A</v>
      </c>
      <c r="GE84" s="22">
        <f t="shared" ca="1" si="51"/>
        <v>15.909090909090908</v>
      </c>
      <c r="GF84" s="22">
        <f t="shared" ca="1" si="51"/>
        <v>9.0909090909090912E-2</v>
      </c>
      <c r="GG84" s="22">
        <f t="shared" ca="1" si="51"/>
        <v>0</v>
      </c>
      <c r="GH84" s="22">
        <f t="shared" ca="1" si="51"/>
        <v>0</v>
      </c>
      <c r="GI84" s="22" t="e">
        <f t="shared" ca="1" si="51"/>
        <v>#N/A</v>
      </c>
      <c r="GJ84" s="22" t="e">
        <f t="shared" ca="1" si="51"/>
        <v>#N/A</v>
      </c>
      <c r="GK84" s="22" t="e">
        <f t="shared" ca="1" si="51"/>
        <v>#N/A</v>
      </c>
      <c r="GL84" s="22" t="e">
        <f t="shared" ca="1" si="51"/>
        <v>#N/A</v>
      </c>
      <c r="GM84" s="22"/>
      <c r="GN84">
        <f t="shared" ca="1" si="68"/>
        <v>2720</v>
      </c>
      <c r="GO84" s="5" t="e">
        <f t="shared" ca="1" si="69"/>
        <v>#N/A</v>
      </c>
      <c r="GP84" s="5" t="e">
        <f t="shared" ca="1" si="69"/>
        <v>#N/A</v>
      </c>
      <c r="GQ84" s="5" t="e">
        <f t="shared" ca="1" si="69"/>
        <v>#N/A</v>
      </c>
      <c r="GR84" s="5" t="e">
        <f t="shared" ca="1" si="69"/>
        <v>#N/A</v>
      </c>
      <c r="GS84" s="5" t="e">
        <f t="shared" ca="1" si="69"/>
        <v>#N/A</v>
      </c>
      <c r="GT84" s="5" t="e">
        <f t="shared" ca="1" si="70"/>
        <v>#N/A</v>
      </c>
      <c r="GU84" s="5">
        <f t="shared" ca="1" si="70"/>
        <v>20532.399498529699</v>
      </c>
      <c r="GV84" s="5">
        <f t="shared" ca="1" si="70"/>
        <v>5.7540944668149105</v>
      </c>
      <c r="GW84" s="5" t="e">
        <f t="shared" ca="1" si="70"/>
        <v>#N/A</v>
      </c>
      <c r="GX84" s="5" t="e">
        <f t="shared" ca="1" si="70"/>
        <v>#N/A</v>
      </c>
      <c r="GY84" s="5" t="e">
        <f t="shared" ca="1" si="70"/>
        <v>#N/A</v>
      </c>
      <c r="GZ84" s="5" t="e">
        <f t="shared" ca="1" si="70"/>
        <v>#N/A</v>
      </c>
      <c r="HB84" s="13">
        <f t="shared" ca="1" si="54"/>
        <v>2720</v>
      </c>
      <c r="HC84" s="4">
        <f t="shared" ca="1" si="71"/>
        <v>1</v>
      </c>
      <c r="HD84" s="4">
        <f t="shared" ca="1" si="55"/>
        <v>1</v>
      </c>
      <c r="HE84" s="4">
        <f t="shared" ca="1" si="55"/>
        <v>0</v>
      </c>
      <c r="HF84" s="4">
        <f t="shared" ca="1" si="55"/>
        <v>0</v>
      </c>
      <c r="HG84" s="4">
        <f t="shared" ca="1" si="55"/>
        <v>0</v>
      </c>
      <c r="HH84" s="4">
        <f t="shared" ca="1" si="55"/>
        <v>0</v>
      </c>
      <c r="HI84" s="4">
        <f t="shared" ca="1" si="55"/>
        <v>1E-4</v>
      </c>
      <c r="HJ84" s="4">
        <f t="shared" ca="1" si="55"/>
        <v>0.3246</v>
      </c>
      <c r="HK84" s="4">
        <f t="shared" ca="1" si="55"/>
        <v>0</v>
      </c>
      <c r="HL84" s="4">
        <f t="shared" ca="1" si="55"/>
        <v>0</v>
      </c>
      <c r="HM84" s="4">
        <f t="shared" ca="1" si="55"/>
        <v>0</v>
      </c>
      <c r="HN84" s="4">
        <f t="shared" ca="1" si="55"/>
        <v>0</v>
      </c>
    </row>
    <row r="85" spans="1:222" x14ac:dyDescent="0.2">
      <c r="A85" t="str" cm="1">
        <f t="array" aca="1" ref="A85" ca="1">INDIRECT($A$67&amp;"!A"&amp;ROW(C18)+$B$64)</f>
        <v>AJ_85</v>
      </c>
      <c r="B85" cm="1">
        <f t="array" aca="1" ref="B85" ca="1">INDIRECT($A$67&amp;"!b"&amp;ROW(D18)+$B$64)</f>
        <v>2890</v>
      </c>
      <c r="C85">
        <f t="shared" ca="1" si="56"/>
        <v>24</v>
      </c>
      <c r="E85">
        <f t="shared" ca="1" si="72"/>
        <v>42</v>
      </c>
      <c r="F85">
        <f t="shared" ca="1" si="72"/>
        <v>43</v>
      </c>
      <c r="G85">
        <f t="shared" ca="1" si="72"/>
        <v>42</v>
      </c>
      <c r="H85">
        <f t="shared" ca="1" si="72"/>
        <v>42</v>
      </c>
      <c r="I85">
        <f t="shared" ca="1" si="72"/>
        <v>45</v>
      </c>
      <c r="J85">
        <f t="shared" ca="1" si="72"/>
        <v>43</v>
      </c>
      <c r="K85">
        <f t="shared" ca="1" si="72"/>
        <v>42</v>
      </c>
      <c r="L85">
        <f t="shared" ca="1" si="72"/>
        <v>34</v>
      </c>
      <c r="M85" t="e">
        <f t="shared" ca="1" si="72"/>
        <v>#N/A</v>
      </c>
      <c r="N85">
        <f t="shared" ca="1" si="72"/>
        <v>42</v>
      </c>
      <c r="O85">
        <f t="shared" ca="1" si="72"/>
        <v>42</v>
      </c>
      <c r="P85" t="e">
        <f t="shared" ca="1" si="72"/>
        <v>#N/A</v>
      </c>
      <c r="V85" cm="1">
        <f t="array" aca="1" ref="V85" ca="1">IF(ISNA(E85),,OFFSET(INDIRECT("'"&amp;V$67&amp;"'!d1"),E85-1,))</f>
        <v>24</v>
      </c>
      <c r="W85" cm="1">
        <f t="array" aca="1" ref="W85" ca="1">IF(ISNA(F85),,OFFSET(INDIRECT("'"&amp;W$67&amp;"'!d1"),F85-1,))</f>
        <v>56</v>
      </c>
      <c r="X85" cm="1">
        <f t="array" aca="1" ref="X85" ca="1">IF(ISNA(G85),,OFFSET(INDIRECT("'"&amp;X$67&amp;"'!d1"),G85-1,))</f>
        <v>0</v>
      </c>
      <c r="Y85" cm="1">
        <f t="array" aca="1" ref="Y85" ca="1">IF(ISNA(H85),,OFFSET(INDIRECT("'"&amp;Y$67&amp;"'!d1"),H85-1,))</f>
        <v>0</v>
      </c>
      <c r="Z85" cm="1">
        <f t="array" aca="1" ref="Z85" ca="1">IF(ISNA(I85),,OFFSET(INDIRECT("'"&amp;Z$67&amp;"'!d1"),I85-1,))</f>
        <v>418</v>
      </c>
      <c r="AA85" cm="1">
        <f t="array" aca="1" ref="AA85" ca="1">IF(ISNA(J85),,OFFSET(INDIRECT("'"&amp;AA$67&amp;"'!d1"),J85-1,))</f>
        <v>24</v>
      </c>
      <c r="AB85" cm="1">
        <f t="array" aca="1" ref="AB85" ca="1">IF(ISNA(K85),,OFFSET(INDIRECT("'"&amp;AB$67&amp;"'!d1"),K85-1,))</f>
        <v>24</v>
      </c>
      <c r="AC85" cm="1">
        <f t="array" aca="1" ref="AC85" ca="1">IF(ISNA(L85),,OFFSET(INDIRECT("'"&amp;AC$67&amp;"'!d1"),L85-1,))</f>
        <v>24</v>
      </c>
      <c r="AD85" cm="1">
        <f t="array" aca="1" ref="AD85" ca="1">IF(ISNA(M85),,OFFSET(INDIRECT("'"&amp;AD$67&amp;"'!d1"),M85-1,))</f>
        <v>0</v>
      </c>
      <c r="AE85" cm="1">
        <f t="array" aca="1" ref="AE85" ca="1">IF(ISNA(N85),,OFFSET(INDIRECT("'"&amp;AE$67&amp;"'!d1"),N85-1,))</f>
        <v>0</v>
      </c>
      <c r="AF85" cm="1">
        <f t="array" aca="1" ref="AF85" ca="1">IF(ISNA(O85),,OFFSET(INDIRECT("'"&amp;AF$67&amp;"'!d1"),O85-1,))</f>
        <v>0</v>
      </c>
      <c r="AG85" cm="1">
        <f t="array" aca="1" ref="AG85" ca="1">IF(ISNA(P85),,OFFSET(INDIRECT("'"&amp;AG$67&amp;"'!d1"),P85-1,))</f>
        <v>0</v>
      </c>
      <c r="AM85">
        <f t="shared" ca="1" si="57"/>
        <v>0</v>
      </c>
      <c r="AN85">
        <f t="shared" ca="1" si="57"/>
        <v>0</v>
      </c>
      <c r="AO85">
        <f t="shared" ca="1" si="57"/>
        <v>0</v>
      </c>
      <c r="AP85">
        <f t="shared" ca="1" si="57"/>
        <v>0</v>
      </c>
      <c r="AQ85">
        <f t="shared" ca="1" si="58"/>
        <v>0</v>
      </c>
      <c r="AV85" t="str">
        <f t="shared" ca="1" si="59"/>
        <v/>
      </c>
      <c r="AW85" t="str">
        <f t="shared" ca="1" si="45"/>
        <v/>
      </c>
      <c r="AX85" t="str">
        <f t="shared" ca="1" si="45"/>
        <v/>
      </c>
      <c r="AY85" t="str">
        <f t="shared" ca="1" si="45"/>
        <v/>
      </c>
      <c r="AZ85" t="str">
        <f t="shared" ca="1" si="45"/>
        <v/>
      </c>
      <c r="BD85">
        <f t="shared" ca="1" si="46"/>
        <v>1</v>
      </c>
      <c r="BE85">
        <f t="shared" ca="1" si="46"/>
        <v>1</v>
      </c>
      <c r="BF85">
        <f t="shared" ca="1" si="46"/>
        <v>0</v>
      </c>
      <c r="BG85">
        <f t="shared" ca="1" si="46"/>
        <v>0</v>
      </c>
      <c r="BH85">
        <f t="shared" ca="1" si="46"/>
        <v>1</v>
      </c>
      <c r="BI85">
        <f t="shared" ca="1" si="46"/>
        <v>1</v>
      </c>
      <c r="BJ85">
        <f t="shared" ca="1" si="46"/>
        <v>1</v>
      </c>
      <c r="BK85">
        <f t="shared" ca="1" si="46"/>
        <v>1</v>
      </c>
      <c r="BL85">
        <f t="shared" ca="1" si="46"/>
        <v>0</v>
      </c>
      <c r="BM85">
        <f t="shared" ca="1" si="46"/>
        <v>0</v>
      </c>
      <c r="BN85">
        <f t="shared" ca="1" si="46"/>
        <v>0</v>
      </c>
      <c r="BO85">
        <f t="shared" ca="1" si="46"/>
        <v>0</v>
      </c>
      <c r="BU85">
        <f t="shared" ca="1" si="47"/>
        <v>24</v>
      </c>
      <c r="BV85">
        <f t="shared" ca="1" si="47"/>
        <v>56</v>
      </c>
      <c r="BW85">
        <f t="shared" ca="1" si="47"/>
        <v>2890</v>
      </c>
      <c r="BX85">
        <f t="shared" ca="1" si="47"/>
        <v>2890</v>
      </c>
      <c r="BY85">
        <f t="shared" ca="1" si="47"/>
        <v>418</v>
      </c>
      <c r="BZ85">
        <f t="shared" ca="1" si="47"/>
        <v>24</v>
      </c>
      <c r="CA85">
        <f t="shared" ca="1" si="47"/>
        <v>24</v>
      </c>
      <c r="CB85">
        <f t="shared" ca="1" si="47"/>
        <v>24</v>
      </c>
      <c r="CC85">
        <f t="shared" ca="1" si="47"/>
        <v>2890</v>
      </c>
      <c r="CD85">
        <f t="shared" ca="1" si="47"/>
        <v>2890</v>
      </c>
      <c r="CE85">
        <f t="shared" ca="1" si="47"/>
        <v>2890</v>
      </c>
      <c r="CF85">
        <f t="shared" ca="1" si="47"/>
        <v>2890</v>
      </c>
      <c r="CL85">
        <f t="shared" ca="1" si="48"/>
        <v>1</v>
      </c>
      <c r="CM85">
        <f t="shared" ca="1" si="48"/>
        <v>0</v>
      </c>
      <c r="CN85">
        <f t="shared" ca="1" si="48"/>
        <v>0</v>
      </c>
      <c r="CO85">
        <f t="shared" ca="1" si="48"/>
        <v>0</v>
      </c>
      <c r="CP85">
        <f t="shared" ca="1" si="48"/>
        <v>0</v>
      </c>
      <c r="CQ85">
        <f t="shared" ca="1" si="48"/>
        <v>1</v>
      </c>
      <c r="CR85">
        <f t="shared" ca="1" si="48"/>
        <v>1</v>
      </c>
      <c r="CS85">
        <f t="shared" ca="1" si="48"/>
        <v>1</v>
      </c>
      <c r="CT85">
        <f t="shared" ca="1" si="48"/>
        <v>0</v>
      </c>
      <c r="CU85">
        <f t="shared" ca="1" si="48"/>
        <v>0</v>
      </c>
      <c r="CV85">
        <f t="shared" ca="1" si="48"/>
        <v>0</v>
      </c>
      <c r="CW85">
        <f t="shared" ca="1" si="48"/>
        <v>0</v>
      </c>
      <c r="DC85" cm="1">
        <f t="array" aca="1" ref="DC85" ca="1">IF(ISNA(E85),,OFFSET(INDIRECT("'"&amp;DT$67&amp;"'!f1"),E85-1,))*1</f>
        <v>28808.576195307</v>
      </c>
      <c r="DD85" cm="1">
        <f t="array" aca="1" ref="DD85" ca="1">IF(ISNA(F85),,OFFSET(INDIRECT("'"&amp;DU$67&amp;"'!f1"),F85-1,))*1</f>
        <v>28808.351913832099</v>
      </c>
      <c r="DE85" cm="1">
        <f t="array" aca="1" ref="DE85" ca="1">IF(ISNA(G85),,OFFSET(INDIRECT("'"&amp;DV$67&amp;"'!f1"),G85-1,))*1</f>
        <v>28801.361401431201</v>
      </c>
      <c r="DF85" cm="1">
        <f t="array" aca="1" ref="DF85" ca="1">IF(ISNA(H85),,OFFSET(INDIRECT("'"&amp;DW$67&amp;"'!f1"),H85-1,))*1</f>
        <v>28800.3271824531</v>
      </c>
      <c r="DG85" cm="1">
        <f t="array" aca="1" ref="DG85" ca="1">IF(ISNA(I85),,OFFSET(INDIRECT("'"&amp;DX$67&amp;"'!f1"),I85-1,))*1</f>
        <v>28804.644649292</v>
      </c>
      <c r="DH85" cm="1">
        <f t="array" aca="1" ref="DH85" ca="1">IF(ISNA(J85),,OFFSET(INDIRECT("'"&amp;DY$67&amp;"'!f1"),J85-1,))*1</f>
        <v>203.026640117168</v>
      </c>
      <c r="DI85" cm="1">
        <f t="array" aca="1" ref="DI85" ca="1">IF(ISNA(K85),,OFFSET(INDIRECT("'"&amp;DZ$67&amp;"'!f1"),K85-1,))*1</f>
        <v>24624.745246946801</v>
      </c>
      <c r="DJ85" cm="1">
        <f t="array" aca="1" ref="DJ85" ca="1">IF(ISNA(L85),,OFFSET(INDIRECT("'"&amp;EA$67&amp;"'!f1"),L85-1,))*1</f>
        <v>23051.576735380098</v>
      </c>
      <c r="DK85" cm="1">
        <f t="array" aca="1" ref="DK85" ca="1">IF(ISNA(M85),,OFFSET(INDIRECT("'"&amp;EB$67&amp;"'!f1"),M85-1,))*1</f>
        <v>0</v>
      </c>
      <c r="DL85" cm="1">
        <f t="array" aca="1" ref="DL85" ca="1">IF(ISNA(N85),,OFFSET(INDIRECT("'"&amp;EC$67&amp;"'!f1"),N85-1,))*1</f>
        <v>2.4195255680096999</v>
      </c>
      <c r="DM85" cm="1">
        <f t="array" aca="1" ref="DM85" ca="1">IF(ISNA(O85),,OFFSET(INDIRECT("'"&amp;ED$67&amp;"'!f1"),O85-1,))*1</f>
        <v>2.4688693309872098</v>
      </c>
      <c r="DN85" cm="1">
        <f t="array" aca="1" ref="DN85" ca="1">IF(ISNA(P85),,OFFSET(INDIRECT("'"&amp;EE$67&amp;"'!f1"),P85-1,))*1</f>
        <v>0</v>
      </c>
      <c r="DT85">
        <f t="shared" ca="1" si="60"/>
        <v>1</v>
      </c>
      <c r="DU85">
        <f t="shared" ca="1" si="60"/>
        <v>0</v>
      </c>
      <c r="DV85">
        <f t="shared" ca="1" si="60"/>
        <v>0</v>
      </c>
      <c r="DW85">
        <f t="shared" ca="1" si="60"/>
        <v>0</v>
      </c>
      <c r="DX85">
        <f t="shared" ca="1" si="60"/>
        <v>0</v>
      </c>
      <c r="DY85">
        <f t="shared" ca="1" si="60"/>
        <v>1</v>
      </c>
      <c r="DZ85">
        <f t="shared" ca="1" si="60"/>
        <v>2</v>
      </c>
      <c r="EA85">
        <f t="shared" ca="1" si="60"/>
        <v>3432</v>
      </c>
      <c r="EB85">
        <f t="shared" ca="1" si="60"/>
        <v>0</v>
      </c>
      <c r="EC85">
        <f t="shared" ca="1" si="60"/>
        <v>0</v>
      </c>
      <c r="ED85">
        <f t="shared" ca="1" si="60"/>
        <v>0</v>
      </c>
      <c r="EE85">
        <f t="shared" ca="1" si="60"/>
        <v>0</v>
      </c>
      <c r="EK85" cm="1">
        <f t="array" aca="1" ref="EK85" ca="1">IF(ISNA(E85),0,OFFSET(INDIRECT("'"&amp;EK$67&amp;"'!g1"),E85-1,)*CL85)</f>
        <v>1</v>
      </c>
      <c r="EL85" cm="1">
        <f t="array" aca="1" ref="EL85" ca="1">IF(ISNA(F85),0,OFFSET(INDIRECT("'"&amp;EL$67&amp;"'!g1"),F85-1,)*CM85)</f>
        <v>0</v>
      </c>
      <c r="EM85" cm="1">
        <f t="array" aca="1" ref="EM85" ca="1">IF(ISNA(G85),0,OFFSET(INDIRECT("'"&amp;EM$67&amp;"'!g1"),G85-1,)*CN85)</f>
        <v>0</v>
      </c>
      <c r="EN85" cm="1">
        <f t="array" aca="1" ref="EN85" ca="1">IF(ISNA(H85),0,OFFSET(INDIRECT("'"&amp;EN$67&amp;"'!g1"),H85-1,)*CO85)</f>
        <v>0</v>
      </c>
      <c r="EO85" cm="1">
        <f t="array" aca="1" ref="EO85" ca="1">IF(ISNA(I85),0,OFFSET(INDIRECT("'"&amp;EO$67&amp;"'!g1"),I85-1,)*CP85)</f>
        <v>0</v>
      </c>
      <c r="EP85" cm="1">
        <f t="array" aca="1" ref="EP85" ca="1">IF(ISNA(J85),0,OFFSET(INDIRECT("'"&amp;EP$67&amp;"'!g1"),J85-1,)*CQ85)</f>
        <v>1</v>
      </c>
      <c r="EQ85" cm="1">
        <f t="array" aca="1" ref="EQ85" ca="1">IF(ISNA(K85),0,OFFSET(INDIRECT("'"&amp;EQ$67&amp;"'!g1"),K85-1,)*CR85)</f>
        <v>2</v>
      </c>
      <c r="ER85" cm="1">
        <f t="array" aca="1" ref="ER85" ca="1">IF(ISNA(L85),0,OFFSET(INDIRECT("'"&amp;ER$67&amp;"'!g1"),L85-1,)*CS85)</f>
        <v>3432</v>
      </c>
      <c r="ES85" cm="1">
        <f t="array" aca="1" ref="ES85" ca="1">IF(ISNA(M85),0,OFFSET(INDIRECT("'"&amp;ES$67&amp;"'!g1"),M85-1,)*CT85)</f>
        <v>0</v>
      </c>
      <c r="ET85" cm="1">
        <f t="array" aca="1" ref="ET85" ca="1">IF(ISNA(N85),0,OFFSET(INDIRECT("'"&amp;ET$67&amp;"'!g1"),N85-1,)*CU85)</f>
        <v>0</v>
      </c>
      <c r="EU85" cm="1">
        <f t="array" aca="1" ref="EU85" ca="1">IF(ISNA(O85),0,OFFSET(INDIRECT("'"&amp;EU$67&amp;"'!g1"),O85-1,)*CV85)</f>
        <v>0</v>
      </c>
      <c r="EV85" cm="1">
        <f t="array" aca="1" ref="EV85" ca="1">IF(ISNA(P85),0,OFFSET(INDIRECT("'"&amp;EV$67&amp;"'!g1"),P85-1,)*CW85)</f>
        <v>0</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0</v>
      </c>
      <c r="FK85" s="10" cm="1">
        <f t="array" aca="1" ref="FK85" ca="1">IF(ISNA(N85),0,OFFSET(INDIRECT("'"&amp;ET$67&amp;"'!h1"),N85-1,))</f>
        <v>1</v>
      </c>
      <c r="FL85" s="10" cm="1">
        <f t="array" aca="1" ref="FL85" ca="1">IF(ISNA(O85),0,OFFSET(INDIRECT("'"&amp;EU$67&amp;"'!h1"),O85-1,))</f>
        <v>1</v>
      </c>
      <c r="FM85" s="10" cm="1">
        <f t="array" aca="1" ref="FM85" ca="1">IF(ISNA(P85),0,OFFSET(INDIRECT("'"&amp;EV$67&amp;"'!h1"),P85-1,))</f>
        <v>0</v>
      </c>
      <c r="FN85" s="10"/>
      <c r="FO85" s="10"/>
      <c r="FP85" s="10"/>
      <c r="FQ85" s="10"/>
      <c r="FS85">
        <f t="shared" ca="1" si="61"/>
        <v>2890</v>
      </c>
      <c r="FT85">
        <f t="shared" ca="1" si="62"/>
        <v>24624.745246946801</v>
      </c>
      <c r="FU85">
        <f t="shared" ca="1" si="63"/>
        <v>2</v>
      </c>
      <c r="FV85">
        <f t="shared" ca="1" si="64"/>
        <v>10000</v>
      </c>
      <c r="FW85" s="4">
        <f t="shared" ca="1" si="65"/>
        <v>2.0000000000000001E-4</v>
      </c>
      <c r="FX85" s="5">
        <f t="shared" ca="1" si="66"/>
        <v>12312.3726234734</v>
      </c>
      <c r="FZ85" s="13">
        <f t="shared" ca="1" si="50"/>
        <v>2890</v>
      </c>
      <c r="GA85" s="22">
        <f t="shared" ca="1" si="67"/>
        <v>0</v>
      </c>
      <c r="GB85" s="22">
        <f t="shared" ca="1" si="51"/>
        <v>1.3333333333333333</v>
      </c>
      <c r="GC85" s="22" t="e">
        <f t="shared" ca="1" si="51"/>
        <v>#N/A</v>
      </c>
      <c r="GD85" s="22" t="e">
        <f t="shared" ca="1" si="51"/>
        <v>#N/A</v>
      </c>
      <c r="GE85" s="22">
        <f t="shared" ca="1" si="51"/>
        <v>16.416666666666668</v>
      </c>
      <c r="GF85" s="22">
        <f t="shared" ca="1" si="51"/>
        <v>0</v>
      </c>
      <c r="GG85" s="22">
        <f t="shared" ca="1" si="51"/>
        <v>0</v>
      </c>
      <c r="GH85" s="22">
        <f t="shared" ca="1" si="51"/>
        <v>0</v>
      </c>
      <c r="GI85" s="22" t="e">
        <f t="shared" ca="1" si="51"/>
        <v>#N/A</v>
      </c>
      <c r="GJ85" s="22" t="e">
        <f t="shared" ca="1" si="51"/>
        <v>#N/A</v>
      </c>
      <c r="GK85" s="22" t="e">
        <f t="shared" ca="1" si="51"/>
        <v>#N/A</v>
      </c>
      <c r="GL85" s="22" t="e">
        <f t="shared" ca="1" si="51"/>
        <v>#N/A</v>
      </c>
      <c r="GM85" s="22"/>
      <c r="GN85">
        <f t="shared" ca="1" si="68"/>
        <v>2890</v>
      </c>
      <c r="GO85" s="5" t="e">
        <f t="shared" ca="1" si="69"/>
        <v>#N/A</v>
      </c>
      <c r="GP85" s="5" t="e">
        <f t="shared" ca="1" si="69"/>
        <v>#N/A</v>
      </c>
      <c r="GQ85" s="5" t="e">
        <f t="shared" ca="1" si="69"/>
        <v>#N/A</v>
      </c>
      <c r="GR85" s="5" t="e">
        <f t="shared" ca="1" si="69"/>
        <v>#N/A</v>
      </c>
      <c r="GS85" s="5" t="e">
        <f t="shared" ca="1" si="69"/>
        <v>#N/A</v>
      </c>
      <c r="GT85" s="5">
        <f t="shared" ca="1" si="70"/>
        <v>203.026640117168</v>
      </c>
      <c r="GU85" s="5">
        <f t="shared" ca="1" si="70"/>
        <v>12312.3726234734</v>
      </c>
      <c r="GV85" s="5">
        <f t="shared" ca="1" si="70"/>
        <v>6.7166598879312644</v>
      </c>
      <c r="GW85" s="5" t="e">
        <f t="shared" ca="1" si="70"/>
        <v>#N/A</v>
      </c>
      <c r="GX85" s="5" t="e">
        <f t="shared" ca="1" si="70"/>
        <v>#N/A</v>
      </c>
      <c r="GY85" s="5" t="e">
        <f t="shared" ca="1" si="70"/>
        <v>#N/A</v>
      </c>
      <c r="GZ85" s="5" t="e">
        <f t="shared" ca="1" si="70"/>
        <v>#N/A</v>
      </c>
      <c r="HB85" s="13">
        <f t="shared" ca="1" si="54"/>
        <v>2890</v>
      </c>
      <c r="HC85" s="4">
        <f t="shared" ca="1" si="71"/>
        <v>1</v>
      </c>
      <c r="HD85" s="4">
        <f t="shared" ca="1" si="55"/>
        <v>0</v>
      </c>
      <c r="HE85" s="4">
        <f t="shared" ca="1" si="55"/>
        <v>0</v>
      </c>
      <c r="HF85" s="4">
        <f t="shared" ca="1" si="55"/>
        <v>0</v>
      </c>
      <c r="HG85" s="4">
        <f t="shared" ca="1" si="55"/>
        <v>0</v>
      </c>
      <c r="HH85" s="4">
        <f t="shared" ca="1" si="55"/>
        <v>1</v>
      </c>
      <c r="HI85" s="4">
        <f t="shared" ca="1" si="55"/>
        <v>2.0000000000000001E-4</v>
      </c>
      <c r="HJ85" s="4">
        <f t="shared" ca="1" si="55"/>
        <v>0.34320000000000001</v>
      </c>
      <c r="HK85" s="4">
        <f t="shared" ca="1" si="55"/>
        <v>0</v>
      </c>
      <c r="HL85" s="4">
        <f t="shared" ca="1" si="55"/>
        <v>0</v>
      </c>
      <c r="HM85" s="4">
        <f t="shared" ca="1" si="55"/>
        <v>0</v>
      </c>
      <c r="HN85" s="4">
        <f t="shared" ca="1" si="55"/>
        <v>0</v>
      </c>
    </row>
    <row r="86" spans="1:222" x14ac:dyDescent="0.2">
      <c r="A86" t="str" cm="1">
        <f t="array" aca="1" ref="A86" ca="1">INDIRECT($A$67&amp;"!A"&amp;ROW(C19)+$B$64)</f>
        <v>AJ_95</v>
      </c>
      <c r="B86" cm="1">
        <f t="array" aca="1" ref="B86" ca="1">INDIRECT($A$67&amp;"!b"&amp;ROW(D19)+$B$64)</f>
        <v>3230</v>
      </c>
      <c r="C86">
        <f t="shared" ca="1" si="56"/>
        <v>24</v>
      </c>
      <c r="E86">
        <f t="shared" ca="1" si="72"/>
        <v>43</v>
      </c>
      <c r="F86">
        <f t="shared" ca="1" si="72"/>
        <v>44</v>
      </c>
      <c r="G86">
        <f t="shared" ca="1" si="72"/>
        <v>43</v>
      </c>
      <c r="H86">
        <f t="shared" ca="1" si="72"/>
        <v>43</v>
      </c>
      <c r="I86">
        <f t="shared" ca="1" si="72"/>
        <v>46</v>
      </c>
      <c r="J86">
        <f t="shared" ca="1" si="72"/>
        <v>45</v>
      </c>
      <c r="K86">
        <f t="shared" ca="1" si="72"/>
        <v>43</v>
      </c>
      <c r="L86">
        <f t="shared" ca="1" si="72"/>
        <v>139</v>
      </c>
      <c r="M86" t="e">
        <f t="shared" ca="1" si="72"/>
        <v>#N/A</v>
      </c>
      <c r="N86">
        <f t="shared" ca="1" si="72"/>
        <v>43</v>
      </c>
      <c r="O86">
        <f t="shared" ca="1" si="72"/>
        <v>43</v>
      </c>
      <c r="P86" t="e">
        <f t="shared" ca="1" si="72"/>
        <v>#N/A</v>
      </c>
      <c r="V86" cm="1">
        <f t="array" aca="1" ref="V86" ca="1">IF(ISNA(E86),,OFFSET(INDIRECT("'"&amp;V$67&amp;"'!d1"),E86-1,))</f>
        <v>24</v>
      </c>
      <c r="W86" cm="1">
        <f t="array" aca="1" ref="W86" ca="1">IF(ISNA(F86),,OFFSET(INDIRECT("'"&amp;W$67&amp;"'!d1"),F86-1,))</f>
        <v>0</v>
      </c>
      <c r="X86" cm="1">
        <f t="array" aca="1" ref="X86" ca="1">IF(ISNA(G86),,OFFSET(INDIRECT("'"&amp;X$67&amp;"'!d1"),G86-1,))</f>
        <v>0</v>
      </c>
      <c r="Y86" cm="1">
        <f t="array" aca="1" ref="Y86" ca="1">IF(ISNA(H86),,OFFSET(INDIRECT("'"&amp;Y$67&amp;"'!d1"),H86-1,))</f>
        <v>0</v>
      </c>
      <c r="Z86" cm="1">
        <f t="array" aca="1" ref="Z86" ca="1">IF(ISNA(I86),,OFFSET(INDIRECT("'"&amp;Z$67&amp;"'!d1"),I86-1,))</f>
        <v>480</v>
      </c>
      <c r="AA86" cm="1">
        <f t="array" aca="1" ref="AA86" ca="1">IF(ISNA(J86),,OFFSET(INDIRECT("'"&amp;AA$67&amp;"'!d1"),J86-1,))</f>
        <v>24</v>
      </c>
      <c r="AB86" cm="1">
        <f t="array" aca="1" ref="AB86" ca="1">IF(ISNA(K86),,OFFSET(INDIRECT("'"&amp;AB$67&amp;"'!d1"),K86-1,))</f>
        <v>24</v>
      </c>
      <c r="AC86" cm="1">
        <f t="array" aca="1" ref="AC86" ca="1">IF(ISNA(L86),,OFFSET(INDIRECT("'"&amp;AC$67&amp;"'!d1"),L86-1,))</f>
        <v>24</v>
      </c>
      <c r="AD86" cm="1">
        <f t="array" aca="1" ref="AD86" ca="1">IF(ISNA(M86),,OFFSET(INDIRECT("'"&amp;AD$67&amp;"'!d1"),M86-1,))</f>
        <v>0</v>
      </c>
      <c r="AE86" cm="1">
        <f t="array" aca="1" ref="AE86" ca="1">IF(ISNA(N86),,OFFSET(INDIRECT("'"&amp;AE$67&amp;"'!d1"),N86-1,))</f>
        <v>0</v>
      </c>
      <c r="AF86" cm="1">
        <f t="array" aca="1" ref="AF86" ca="1">IF(ISNA(O86),,OFFSET(INDIRECT("'"&amp;AF$67&amp;"'!d1"),O86-1,))</f>
        <v>0</v>
      </c>
      <c r="AG86" cm="1">
        <f t="array" aca="1" ref="AG86" ca="1">IF(ISNA(P86),,OFFSET(INDIRECT("'"&amp;AG$67&amp;"'!d1"),P86-1,))</f>
        <v>0</v>
      </c>
      <c r="AM86">
        <f t="shared" ca="1" si="57"/>
        <v>0</v>
      </c>
      <c r="AN86">
        <f t="shared" ca="1" si="57"/>
        <v>0</v>
      </c>
      <c r="AO86">
        <f t="shared" ca="1" si="57"/>
        <v>0</v>
      </c>
      <c r="AP86">
        <f t="shared" ca="1" si="57"/>
        <v>0</v>
      </c>
      <c r="AQ86">
        <f t="shared" ca="1" si="58"/>
        <v>0</v>
      </c>
      <c r="AV86" t="str">
        <f t="shared" ca="1" si="59"/>
        <v/>
      </c>
      <c r="AW86" t="str">
        <f t="shared" ca="1" si="45"/>
        <v/>
      </c>
      <c r="AX86" t="str">
        <f t="shared" ca="1" si="45"/>
        <v/>
      </c>
      <c r="AY86" t="str">
        <f t="shared" ca="1" si="45"/>
        <v/>
      </c>
      <c r="AZ86" t="str">
        <f t="shared" ca="1" si="45"/>
        <v/>
      </c>
      <c r="BD86">
        <f t="shared" ca="1" si="46"/>
        <v>1</v>
      </c>
      <c r="BE86">
        <f t="shared" ca="1" si="46"/>
        <v>0</v>
      </c>
      <c r="BF86">
        <f t="shared" ca="1" si="46"/>
        <v>0</v>
      </c>
      <c r="BG86">
        <f t="shared" ca="1" si="46"/>
        <v>0</v>
      </c>
      <c r="BH86">
        <f t="shared" ca="1" si="46"/>
        <v>1</v>
      </c>
      <c r="BI86">
        <f t="shared" ca="1" si="46"/>
        <v>1</v>
      </c>
      <c r="BJ86">
        <f t="shared" ca="1" si="46"/>
        <v>1</v>
      </c>
      <c r="BK86">
        <f t="shared" ca="1" si="46"/>
        <v>1</v>
      </c>
      <c r="BL86">
        <f t="shared" ca="1" si="46"/>
        <v>0</v>
      </c>
      <c r="BM86">
        <f t="shared" ca="1" si="46"/>
        <v>0</v>
      </c>
      <c r="BN86">
        <f t="shared" ca="1" si="46"/>
        <v>0</v>
      </c>
      <c r="BO86">
        <f t="shared" ca="1" si="46"/>
        <v>0</v>
      </c>
      <c r="BU86">
        <f t="shared" ca="1" si="47"/>
        <v>24</v>
      </c>
      <c r="BV86">
        <f t="shared" ca="1" si="47"/>
        <v>3230</v>
      </c>
      <c r="BW86">
        <f t="shared" ca="1" si="47"/>
        <v>3230</v>
      </c>
      <c r="BX86">
        <f t="shared" ca="1" si="47"/>
        <v>3230</v>
      </c>
      <c r="BY86">
        <f t="shared" ca="1" si="47"/>
        <v>480</v>
      </c>
      <c r="BZ86">
        <f t="shared" ca="1" si="47"/>
        <v>24</v>
      </c>
      <c r="CA86">
        <f t="shared" ca="1" si="47"/>
        <v>24</v>
      </c>
      <c r="CB86">
        <f t="shared" ca="1" si="47"/>
        <v>24</v>
      </c>
      <c r="CC86">
        <f t="shared" ca="1" si="47"/>
        <v>3230</v>
      </c>
      <c r="CD86">
        <f t="shared" ca="1" si="47"/>
        <v>3230</v>
      </c>
      <c r="CE86">
        <f t="shared" ca="1" si="47"/>
        <v>3230</v>
      </c>
      <c r="CF86">
        <f t="shared" ca="1" si="47"/>
        <v>3230</v>
      </c>
      <c r="CL86">
        <f t="shared" ca="1" si="48"/>
        <v>1</v>
      </c>
      <c r="CM86">
        <f t="shared" ca="1" si="48"/>
        <v>0</v>
      </c>
      <c r="CN86">
        <f t="shared" ca="1" si="48"/>
        <v>0</v>
      </c>
      <c r="CO86">
        <f t="shared" ca="1" si="48"/>
        <v>0</v>
      </c>
      <c r="CP86">
        <f t="shared" ca="1" si="48"/>
        <v>0</v>
      </c>
      <c r="CQ86">
        <f t="shared" ca="1" si="48"/>
        <v>1</v>
      </c>
      <c r="CR86">
        <f t="shared" ca="1" si="48"/>
        <v>1</v>
      </c>
      <c r="CS86">
        <f t="shared" ca="1" si="48"/>
        <v>1</v>
      </c>
      <c r="CT86">
        <f t="shared" ca="1" si="48"/>
        <v>0</v>
      </c>
      <c r="CU86">
        <f t="shared" ca="1" si="48"/>
        <v>0</v>
      </c>
      <c r="CV86">
        <f t="shared" ca="1" si="48"/>
        <v>0</v>
      </c>
      <c r="CW86">
        <f t="shared" ca="1" si="48"/>
        <v>0</v>
      </c>
      <c r="DC86" cm="1">
        <f t="array" aca="1" ref="DC86" ca="1">IF(ISNA(E86),,OFFSET(INDIRECT("'"&amp;DT$67&amp;"'!f1"),E86-1,))*1</f>
        <v>28812.088888436501</v>
      </c>
      <c r="DD86" cm="1">
        <f t="array" aca="1" ref="DD86" ca="1">IF(ISNA(F86),,OFFSET(INDIRECT("'"&amp;DU$67&amp;"'!f1"),F86-1,))*1</f>
        <v>28819.431572884299</v>
      </c>
      <c r="DE86" cm="1">
        <f t="array" aca="1" ref="DE86" ca="1">IF(ISNA(G86),,OFFSET(INDIRECT("'"&amp;DV$67&amp;"'!f1"),G86-1,))*1</f>
        <v>28801.5787639915</v>
      </c>
      <c r="DF86" cm="1">
        <f t="array" aca="1" ref="DF86" ca="1">IF(ISNA(H86),,OFFSET(INDIRECT("'"&amp;DW$67&amp;"'!f1"),H86-1,))*1</f>
        <v>28800.355285917401</v>
      </c>
      <c r="DG86" cm="1">
        <f t="array" aca="1" ref="DG86" ca="1">IF(ISNA(I86),,OFFSET(INDIRECT("'"&amp;DX$67&amp;"'!f1"),I86-1,))*1</f>
        <v>28806.515856624901</v>
      </c>
      <c r="DH86" cm="1">
        <f t="array" aca="1" ref="DH86" ca="1">IF(ISNA(J86),,OFFSET(INDIRECT("'"&amp;DY$67&amp;"'!f1"),J86-1,))*1</f>
        <v>264.32177469134302</v>
      </c>
      <c r="DI86" cm="1">
        <f t="array" aca="1" ref="DI86" ca="1">IF(ISNA(K86),,OFFSET(INDIRECT("'"&amp;DZ$67&amp;"'!f1"),K86-1,))*1</f>
        <v>33448.5622490569</v>
      </c>
      <c r="DJ86" cm="1">
        <f t="array" aca="1" ref="DJ86" ca="1">IF(ISNA(L86),,OFFSET(INDIRECT("'"&amp;EA$67&amp;"'!f1"),L86-1,))*1</f>
        <v>31731.603685418999</v>
      </c>
      <c r="DK86" cm="1">
        <f t="array" aca="1" ref="DK86" ca="1">IF(ISNA(M86),,OFFSET(INDIRECT("'"&amp;EB$67&amp;"'!f1"),M86-1,))*1</f>
        <v>0</v>
      </c>
      <c r="DL86" cm="1">
        <f t="array" aca="1" ref="DL86" ca="1">IF(ISNA(N86),,OFFSET(INDIRECT("'"&amp;EC$67&amp;"'!f1"),N86-1,))*1</f>
        <v>2.8019456289912301</v>
      </c>
      <c r="DM86" cm="1">
        <f t="array" aca="1" ref="DM86" ca="1">IF(ISNA(O86),,OFFSET(INDIRECT("'"&amp;ED$67&amp;"'!f1"),O86-1,))*1</f>
        <v>2.8587754790059901</v>
      </c>
      <c r="DN86" cm="1">
        <f t="array" aca="1" ref="DN86" ca="1">IF(ISNA(P86),,OFFSET(INDIRECT("'"&amp;EE$67&amp;"'!f1"),P86-1,))*1</f>
        <v>0</v>
      </c>
      <c r="DT86">
        <f t="shared" ca="1" si="60"/>
        <v>1</v>
      </c>
      <c r="DU86">
        <f t="shared" ca="1" si="60"/>
        <v>0</v>
      </c>
      <c r="DV86">
        <f t="shared" ca="1" si="60"/>
        <v>0</v>
      </c>
      <c r="DW86">
        <f t="shared" ca="1" si="60"/>
        <v>0</v>
      </c>
      <c r="DX86">
        <f t="shared" ca="1" si="60"/>
        <v>0</v>
      </c>
      <c r="DY86">
        <f t="shared" ca="1" si="60"/>
        <v>1</v>
      </c>
      <c r="DZ86">
        <f t="shared" ca="1" si="60"/>
        <v>2</v>
      </c>
      <c r="EA86">
        <f t="shared" ca="1" si="60"/>
        <v>2596</v>
      </c>
      <c r="EB86">
        <f t="shared" ca="1" si="60"/>
        <v>0</v>
      </c>
      <c r="EC86">
        <f t="shared" ca="1" si="60"/>
        <v>0</v>
      </c>
      <c r="ED86">
        <f t="shared" ca="1" si="60"/>
        <v>0</v>
      </c>
      <c r="EE86">
        <f t="shared" ca="1" si="60"/>
        <v>0</v>
      </c>
      <c r="EK86" cm="1">
        <f t="array" aca="1" ref="EK86" ca="1">IF(ISNA(E86),0,OFFSET(INDIRECT("'"&amp;EK$67&amp;"'!g1"),E86-1,)*CL86)</f>
        <v>1</v>
      </c>
      <c r="EL86" cm="1">
        <f t="array" aca="1" ref="EL86" ca="1">IF(ISNA(F86),0,OFFSET(INDIRECT("'"&amp;EL$67&amp;"'!g1"),F86-1,)*CM86)</f>
        <v>0</v>
      </c>
      <c r="EM86" cm="1">
        <f t="array" aca="1" ref="EM86" ca="1">IF(ISNA(G86),0,OFFSET(INDIRECT("'"&amp;EM$67&amp;"'!g1"),G86-1,)*CN86)</f>
        <v>0</v>
      </c>
      <c r="EN86" cm="1">
        <f t="array" aca="1" ref="EN86" ca="1">IF(ISNA(H86),0,OFFSET(INDIRECT("'"&amp;EN$67&amp;"'!g1"),H86-1,)*CO86)</f>
        <v>0</v>
      </c>
      <c r="EO86" cm="1">
        <f t="array" aca="1" ref="EO86" ca="1">IF(ISNA(I86),0,OFFSET(INDIRECT("'"&amp;EO$67&amp;"'!g1"),I86-1,)*CP86)</f>
        <v>0</v>
      </c>
      <c r="EP86" cm="1">
        <f t="array" aca="1" ref="EP86" ca="1">IF(ISNA(J86),0,OFFSET(INDIRECT("'"&amp;EP$67&amp;"'!g1"),J86-1,)*CQ86)</f>
        <v>1</v>
      </c>
      <c r="EQ86" cm="1">
        <f t="array" aca="1" ref="EQ86" ca="1">IF(ISNA(K86),0,OFFSET(INDIRECT("'"&amp;EQ$67&amp;"'!g1"),K86-1,)*CR86)</f>
        <v>2</v>
      </c>
      <c r="ER86" cm="1">
        <f t="array" aca="1" ref="ER86" ca="1">IF(ISNA(L86),0,OFFSET(INDIRECT("'"&amp;ER$67&amp;"'!g1"),L86-1,)*CS86)</f>
        <v>2596</v>
      </c>
      <c r="ES86" cm="1">
        <f t="array" aca="1" ref="ES86" ca="1">IF(ISNA(M86),0,OFFSET(INDIRECT("'"&amp;ES$67&amp;"'!g1"),M86-1,)*CT86)</f>
        <v>0</v>
      </c>
      <c r="ET86" cm="1">
        <f t="array" aca="1" ref="ET86" ca="1">IF(ISNA(N86),0,OFFSET(INDIRECT("'"&amp;ET$67&amp;"'!g1"),N86-1,)*CU86)</f>
        <v>0</v>
      </c>
      <c r="EU86" cm="1">
        <f t="array" aca="1" ref="EU86" ca="1">IF(ISNA(O86),0,OFFSET(INDIRECT("'"&amp;EU$67&amp;"'!g1"),O86-1,)*CV86)</f>
        <v>0</v>
      </c>
      <c r="EV86" cm="1">
        <f t="array" aca="1" ref="EV86" ca="1">IF(ISNA(P86),0,OFFSET(INDIRECT("'"&amp;EV$67&amp;"'!g1"),P86-1,)*CW86)</f>
        <v>0</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0</v>
      </c>
      <c r="FK86" s="10" cm="1">
        <f t="array" aca="1" ref="FK86" ca="1">IF(ISNA(N86),0,OFFSET(INDIRECT("'"&amp;ET$67&amp;"'!h1"),N86-1,))</f>
        <v>1</v>
      </c>
      <c r="FL86" s="10" cm="1">
        <f t="array" aca="1" ref="FL86" ca="1">IF(ISNA(O86),0,OFFSET(INDIRECT("'"&amp;EU$67&amp;"'!h1"),O86-1,))</f>
        <v>1</v>
      </c>
      <c r="FM86" s="10" cm="1">
        <f t="array" aca="1" ref="FM86" ca="1">IF(ISNA(P86),0,OFFSET(INDIRECT("'"&amp;EV$67&amp;"'!h1"),P86-1,))</f>
        <v>0</v>
      </c>
      <c r="FN86" s="10"/>
      <c r="FO86" s="10"/>
      <c r="FP86" s="10"/>
      <c r="FQ86" s="10"/>
      <c r="FS86">
        <f t="shared" ca="1" si="61"/>
        <v>3230</v>
      </c>
      <c r="FT86">
        <f t="shared" ca="1" si="62"/>
        <v>33448.5622490569</v>
      </c>
      <c r="FU86">
        <f t="shared" ca="1" si="63"/>
        <v>2</v>
      </c>
      <c r="FV86">
        <f t="shared" ca="1" si="64"/>
        <v>10000</v>
      </c>
      <c r="FW86" s="4">
        <f t="shared" ca="1" si="65"/>
        <v>2.0000000000000001E-4</v>
      </c>
      <c r="FX86" s="5">
        <f t="shared" ca="1" si="66"/>
        <v>16724.28112452845</v>
      </c>
      <c r="FZ86" s="13">
        <f t="shared" ca="1" si="50"/>
        <v>3230</v>
      </c>
      <c r="GA86" s="22">
        <f t="shared" ca="1" si="67"/>
        <v>0</v>
      </c>
      <c r="GB86" s="22" t="e">
        <f t="shared" ca="1" si="51"/>
        <v>#N/A</v>
      </c>
      <c r="GC86" s="22" t="e">
        <f t="shared" ca="1" si="51"/>
        <v>#N/A</v>
      </c>
      <c r="GD86" s="22" t="e">
        <f t="shared" ca="1" si="51"/>
        <v>#N/A</v>
      </c>
      <c r="GE86" s="22">
        <f t="shared" ca="1" si="51"/>
        <v>19</v>
      </c>
      <c r="GF86" s="22">
        <f t="shared" ca="1" si="51"/>
        <v>0</v>
      </c>
      <c r="GG86" s="22">
        <f t="shared" ca="1" si="51"/>
        <v>0</v>
      </c>
      <c r="GH86" s="22">
        <f t="shared" ca="1" si="51"/>
        <v>0</v>
      </c>
      <c r="GI86" s="22" t="e">
        <f t="shared" ca="1" si="51"/>
        <v>#N/A</v>
      </c>
      <c r="GJ86" s="22" t="e">
        <f t="shared" ca="1" si="51"/>
        <v>#N/A</v>
      </c>
      <c r="GK86" s="22" t="e">
        <f t="shared" ca="1" si="51"/>
        <v>#N/A</v>
      </c>
      <c r="GL86" s="22" t="e">
        <f t="shared" ca="1" si="51"/>
        <v>#N/A</v>
      </c>
      <c r="GM86" s="22"/>
      <c r="GN86">
        <f t="shared" ca="1" si="68"/>
        <v>3230</v>
      </c>
      <c r="GO86" s="5" t="e">
        <f t="shared" ca="1" si="69"/>
        <v>#N/A</v>
      </c>
      <c r="GP86" s="5" t="e">
        <f t="shared" ca="1" si="69"/>
        <v>#N/A</v>
      </c>
      <c r="GQ86" s="5" t="e">
        <f t="shared" ca="1" si="69"/>
        <v>#N/A</v>
      </c>
      <c r="GR86" s="5" t="e">
        <f t="shared" ca="1" si="69"/>
        <v>#N/A</v>
      </c>
      <c r="GS86" s="5" t="e">
        <f t="shared" ca="1" si="69"/>
        <v>#N/A</v>
      </c>
      <c r="GT86" s="5">
        <f t="shared" ca="1" si="70"/>
        <v>264.32177469134302</v>
      </c>
      <c r="GU86" s="5">
        <f t="shared" ca="1" si="70"/>
        <v>16724.28112452845</v>
      </c>
      <c r="GV86" s="5">
        <f t="shared" ca="1" si="70"/>
        <v>12.223267983597458</v>
      </c>
      <c r="GW86" s="5" t="e">
        <f t="shared" ca="1" si="70"/>
        <v>#N/A</v>
      </c>
      <c r="GX86" s="5" t="e">
        <f t="shared" ca="1" si="70"/>
        <v>#N/A</v>
      </c>
      <c r="GY86" s="5" t="e">
        <f t="shared" ca="1" si="70"/>
        <v>#N/A</v>
      </c>
      <c r="GZ86" s="5" t="e">
        <f t="shared" ca="1" si="70"/>
        <v>#N/A</v>
      </c>
      <c r="HB86" s="13">
        <f t="shared" ca="1" si="54"/>
        <v>3230</v>
      </c>
      <c r="HC86" s="4">
        <f t="shared" ca="1" si="71"/>
        <v>1</v>
      </c>
      <c r="HD86" s="4">
        <f t="shared" ca="1" si="55"/>
        <v>0</v>
      </c>
      <c r="HE86" s="4">
        <f t="shared" ca="1" si="55"/>
        <v>0</v>
      </c>
      <c r="HF86" s="4">
        <f t="shared" ca="1" si="55"/>
        <v>0</v>
      </c>
      <c r="HG86" s="4">
        <f t="shared" ca="1" si="55"/>
        <v>0</v>
      </c>
      <c r="HH86" s="4">
        <f t="shared" ca="1" si="55"/>
        <v>1</v>
      </c>
      <c r="HI86" s="4">
        <f t="shared" ca="1" si="55"/>
        <v>2.0000000000000001E-4</v>
      </c>
      <c r="HJ86" s="4">
        <f t="shared" ca="1" si="55"/>
        <v>0.2596</v>
      </c>
      <c r="HK86" s="4">
        <f t="shared" ca="1" si="55"/>
        <v>0</v>
      </c>
      <c r="HL86" s="4">
        <f t="shared" ca="1" si="55"/>
        <v>0</v>
      </c>
      <c r="HM86" s="4">
        <f t="shared" ca="1" si="55"/>
        <v>0</v>
      </c>
      <c r="HN86" s="4">
        <f t="shared" ca="1" si="55"/>
        <v>0</v>
      </c>
    </row>
    <row r="87" spans="1:222" x14ac:dyDescent="0.2">
      <c r="FB87" s="10"/>
      <c r="FC87" s="10"/>
      <c r="FD87" s="10"/>
      <c r="FE87" s="10"/>
      <c r="FF87" s="10"/>
      <c r="FG87" s="10"/>
      <c r="FH87" s="10"/>
      <c r="FI87" s="10"/>
      <c r="FJ87" s="10"/>
      <c r="FK87" s="10"/>
      <c r="FL87" s="10"/>
      <c r="FM87" s="10"/>
      <c r="FN87" s="10"/>
      <c r="FO87" s="10"/>
      <c r="FP87" s="10"/>
      <c r="FQ87" s="10"/>
      <c r="FW87" s="4"/>
      <c r="FX87" s="5"/>
      <c r="FZ87" s="13"/>
      <c r="GA87" s="22"/>
      <c r="GB87" s="22"/>
      <c r="GC87" s="22"/>
      <c r="GD87" s="22"/>
      <c r="GE87" s="22"/>
      <c r="GF87" s="22"/>
      <c r="GG87" s="22"/>
      <c r="GH87" s="22"/>
      <c r="GI87" s="22"/>
      <c r="GJ87" s="22"/>
      <c r="GK87" s="22"/>
      <c r="GL87" s="22"/>
      <c r="GM87" s="22"/>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222" x14ac:dyDescent="0.2">
      <c r="FB88" s="10"/>
      <c r="FC88" s="10"/>
      <c r="FD88" s="10"/>
      <c r="FE88" s="10"/>
      <c r="FF88" s="10"/>
      <c r="FG88" s="10"/>
      <c r="FH88" s="10"/>
      <c r="FI88" s="10"/>
      <c r="FJ88" s="10"/>
      <c r="FK88" s="10"/>
      <c r="FL88" s="10"/>
      <c r="FM88" s="10"/>
      <c r="FN88" s="10"/>
      <c r="FO88" s="10"/>
      <c r="FP88" s="10"/>
      <c r="FQ88" s="10"/>
      <c r="FW88" s="4"/>
      <c r="FX88" s="5"/>
      <c r="FZ88" s="13"/>
      <c r="GA88" s="22"/>
      <c r="GB88" s="22"/>
      <c r="GC88" s="22"/>
      <c r="GD88" s="22"/>
      <c r="GE88" s="22"/>
      <c r="GF88" s="22"/>
      <c r="GG88" s="22"/>
      <c r="GH88" s="22"/>
      <c r="GI88" s="22"/>
      <c r="GJ88" s="22"/>
      <c r="GK88" s="22"/>
      <c r="GL88" s="22"/>
      <c r="GM88" s="22"/>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row r="89" spans="1:222" x14ac:dyDescent="0.2">
      <c r="FB89" s="10"/>
      <c r="FC89" s="10"/>
      <c r="FD89" s="10"/>
      <c r="FE89" s="10"/>
      <c r="FF89" s="10"/>
      <c r="FG89" s="10"/>
      <c r="FH89" s="10"/>
      <c r="FI89" s="10"/>
      <c r="FJ89" s="10"/>
      <c r="FK89" s="10"/>
      <c r="FL89" s="10"/>
      <c r="FM89" s="10"/>
      <c r="FN89" s="10"/>
      <c r="FO89" s="10"/>
      <c r="FP89" s="10"/>
      <c r="FQ89" s="10"/>
      <c r="FW89" s="4"/>
      <c r="FX89" s="5"/>
      <c r="FZ89" s="13"/>
      <c r="GA89" s="22"/>
      <c r="GB89" s="22"/>
      <c r="GC89" s="22"/>
      <c r="GD89" s="22"/>
      <c r="GE89" s="22"/>
      <c r="GF89" s="22"/>
      <c r="GG89" s="22"/>
      <c r="GH89" s="22"/>
      <c r="GI89" s="22"/>
      <c r="GJ89" s="22"/>
      <c r="GK89" s="22"/>
      <c r="GL89" s="22"/>
      <c r="GM89" s="22"/>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222" x14ac:dyDescent="0.2">
      <c r="FB90" s="10"/>
      <c r="FC90" s="10"/>
      <c r="FD90" s="10"/>
      <c r="FE90" s="10"/>
      <c r="FF90" s="10"/>
      <c r="FG90" s="10"/>
      <c r="FH90" s="10"/>
      <c r="FI90" s="10"/>
      <c r="FJ90" s="10"/>
      <c r="FK90" s="10"/>
      <c r="FL90" s="10"/>
      <c r="FM90" s="10"/>
      <c r="FN90" s="10"/>
      <c r="FO90" s="10"/>
      <c r="FP90" s="10"/>
      <c r="FQ90" s="10"/>
      <c r="FW90" s="4"/>
      <c r="FX90" s="5"/>
      <c r="FZ90" s="13"/>
      <c r="GA90" s="22"/>
      <c r="GB90" s="22"/>
      <c r="GC90" s="22"/>
      <c r="GD90" s="22"/>
      <c r="GE90" s="22"/>
      <c r="GF90" s="22"/>
      <c r="GG90" s="22"/>
      <c r="GH90" s="22"/>
      <c r="GI90" s="22"/>
      <c r="GJ90" s="22"/>
      <c r="GK90" s="22"/>
      <c r="GL90" s="22"/>
      <c r="GM90" s="22"/>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222" x14ac:dyDescent="0.2">
      <c r="FB91" s="10"/>
      <c r="FC91" s="10"/>
      <c r="FD91" s="10"/>
      <c r="FE91" s="10"/>
      <c r="FF91" s="10"/>
      <c r="FG91" s="10"/>
      <c r="FH91" s="10"/>
      <c r="FI91" s="10"/>
      <c r="FJ91" s="10"/>
      <c r="FK91" s="10"/>
      <c r="FL91" s="10"/>
      <c r="FM91" s="10"/>
      <c r="FN91" s="10"/>
      <c r="FO91" s="10"/>
      <c r="FP91" s="10"/>
      <c r="FQ91" s="10"/>
      <c r="FW91" s="4"/>
      <c r="FX91" s="5"/>
      <c r="FZ91" s="13"/>
      <c r="GA91" s="22"/>
      <c r="GB91" s="22"/>
      <c r="GC91" s="22"/>
      <c r="GD91" s="22"/>
      <c r="GE91" s="22"/>
      <c r="GF91" s="22"/>
      <c r="GG91" s="22"/>
      <c r="GH91" s="22"/>
      <c r="GI91" s="22"/>
      <c r="GJ91" s="22"/>
      <c r="GK91" s="22"/>
      <c r="GL91" s="22"/>
      <c r="GM91" s="22"/>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222" x14ac:dyDescent="0.2">
      <c r="FB92" s="10"/>
      <c r="FC92" s="10"/>
      <c r="FD92" s="10"/>
      <c r="FE92" s="10"/>
      <c r="FF92" s="10"/>
      <c r="FG92" s="10"/>
      <c r="FH92" s="10"/>
      <c r="FI92" s="10"/>
      <c r="FJ92" s="10"/>
      <c r="FK92" s="10"/>
      <c r="FL92" s="10"/>
      <c r="FM92" s="10"/>
      <c r="FN92" s="10"/>
      <c r="FO92" s="10"/>
      <c r="FP92" s="10"/>
      <c r="FQ92" s="10"/>
      <c r="FW92" s="4"/>
      <c r="FX92" s="5"/>
      <c r="FZ92" s="13"/>
      <c r="GA92" s="22"/>
      <c r="GB92" s="22"/>
      <c r="GC92" s="22"/>
      <c r="GD92" s="22"/>
      <c r="GE92" s="22"/>
      <c r="GF92" s="22"/>
      <c r="GG92" s="22"/>
      <c r="GH92" s="22"/>
      <c r="GI92" s="22"/>
      <c r="GJ92" s="22"/>
      <c r="GK92" s="22"/>
      <c r="GL92" s="22"/>
      <c r="GM92" s="22"/>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222" x14ac:dyDescent="0.2">
      <c r="FB93" s="10"/>
      <c r="FC93" s="10"/>
      <c r="FD93" s="10"/>
      <c r="FE93" s="10"/>
      <c r="FF93" s="10"/>
      <c r="FG93" s="10"/>
      <c r="FH93" s="10"/>
      <c r="FI93" s="10"/>
      <c r="FJ93" s="10"/>
      <c r="FK93" s="10"/>
      <c r="FL93" s="10"/>
      <c r="FM93" s="10"/>
      <c r="FN93" s="10"/>
      <c r="FO93" s="10"/>
      <c r="FP93" s="10"/>
      <c r="FQ93" s="10"/>
      <c r="FW93" s="4"/>
      <c r="FX93" s="5"/>
      <c r="FZ93" s="13"/>
      <c r="GA93" s="22"/>
      <c r="GB93" s="22"/>
      <c r="GC93" s="22"/>
      <c r="GD93" s="22"/>
      <c r="GE93" s="22"/>
      <c r="GF93" s="22"/>
      <c r="GG93" s="22"/>
      <c r="GH93" s="22"/>
      <c r="GI93" s="22"/>
      <c r="GJ93" s="22"/>
      <c r="GK93" s="22"/>
      <c r="GL93" s="22"/>
      <c r="GM93" s="22"/>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222" x14ac:dyDescent="0.2">
      <c r="FB94" s="10"/>
      <c r="FC94" s="10"/>
      <c r="FD94" s="10"/>
      <c r="FE94" s="10"/>
      <c r="FF94" s="10"/>
      <c r="FG94" s="10"/>
      <c r="FH94" s="10"/>
      <c r="FI94" s="10"/>
      <c r="FJ94" s="10"/>
      <c r="FK94" s="10"/>
      <c r="FL94" s="10"/>
      <c r="FM94" s="10"/>
      <c r="FN94" s="10"/>
      <c r="FO94" s="10"/>
      <c r="FP94" s="10"/>
      <c r="FQ94" s="10"/>
      <c r="FW94" s="4"/>
      <c r="FX94" s="5"/>
      <c r="FZ94" s="13"/>
      <c r="GA94" s="22"/>
      <c r="GB94" s="22"/>
      <c r="GC94" s="22"/>
      <c r="GD94" s="22"/>
      <c r="GE94" s="22"/>
      <c r="GF94" s="22"/>
      <c r="GG94" s="22"/>
      <c r="GH94" s="22"/>
      <c r="GI94" s="22"/>
      <c r="GJ94" s="22"/>
      <c r="GK94" s="22"/>
      <c r="GL94" s="22"/>
      <c r="GM94" s="22"/>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222" x14ac:dyDescent="0.2">
      <c r="FB95" s="10"/>
      <c r="FC95" s="10"/>
      <c r="FD95" s="10"/>
      <c r="FE95" s="10"/>
      <c r="FF95" s="10"/>
      <c r="FG95" s="10"/>
      <c r="FH95" s="10"/>
      <c r="FI95" s="10"/>
      <c r="FJ95" s="10"/>
      <c r="FK95" s="10"/>
      <c r="FL95" s="10"/>
      <c r="FM95" s="10"/>
      <c r="FN95" s="10"/>
      <c r="FO95" s="10"/>
      <c r="FP95" s="10"/>
      <c r="FQ95" s="10"/>
      <c r="FW95" s="4"/>
      <c r="FX95" s="5"/>
      <c r="FZ95" s="13"/>
      <c r="GA95" s="22"/>
      <c r="GB95" s="22"/>
      <c r="GC95" s="22"/>
      <c r="GD95" s="22"/>
      <c r="GE95" s="22"/>
      <c r="GF95" s="22"/>
      <c r="GG95" s="22"/>
      <c r="GH95" s="22"/>
      <c r="GI95" s="22"/>
      <c r="GJ95" s="22"/>
      <c r="GK95" s="22"/>
      <c r="GL95" s="22"/>
      <c r="GM95" s="22"/>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222" x14ac:dyDescent="0.2">
      <c r="FB96" s="10"/>
      <c r="FC96" s="10"/>
      <c r="FD96" s="10"/>
      <c r="FE96" s="10"/>
      <c r="FF96" s="10"/>
      <c r="FG96" s="10"/>
      <c r="FH96" s="10"/>
      <c r="FI96" s="10"/>
      <c r="FJ96" s="10"/>
      <c r="FK96" s="10"/>
      <c r="FL96" s="10"/>
      <c r="FM96" s="10"/>
      <c r="FN96" s="10"/>
      <c r="FO96" s="10"/>
      <c r="FP96" s="10"/>
      <c r="FQ96" s="10"/>
      <c r="FW96" s="4"/>
      <c r="FX96" s="5"/>
      <c r="FZ96" s="13"/>
      <c r="GA96" s="22"/>
      <c r="GB96" s="22"/>
      <c r="GC96" s="22"/>
      <c r="GD96" s="22"/>
      <c r="GE96" s="22"/>
      <c r="GF96" s="22"/>
      <c r="GG96" s="22"/>
      <c r="GH96" s="22"/>
      <c r="GI96" s="22"/>
      <c r="GJ96" s="22"/>
      <c r="GK96" s="22"/>
      <c r="GL96" s="22"/>
      <c r="GM96" s="22"/>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2"/>
      <c r="GB97" s="22"/>
      <c r="GC97" s="22"/>
      <c r="GD97" s="22"/>
      <c r="GE97" s="22"/>
      <c r="GF97" s="22"/>
      <c r="GG97" s="22"/>
      <c r="GH97" s="22"/>
      <c r="GI97" s="22"/>
      <c r="GJ97" s="22"/>
      <c r="GK97" s="22"/>
      <c r="GL97" s="22"/>
      <c r="GM97" s="22"/>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2"/>
      <c r="GB98" s="22"/>
      <c r="GC98" s="22"/>
      <c r="GD98" s="22"/>
      <c r="GE98" s="22"/>
      <c r="GF98" s="22"/>
      <c r="GG98" s="22"/>
      <c r="GH98" s="22"/>
      <c r="GI98" s="22"/>
      <c r="GJ98" s="22"/>
      <c r="GK98" s="22"/>
      <c r="GL98" s="22"/>
      <c r="GM98" s="22"/>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2"/>
      <c r="GB99" s="22"/>
      <c r="GC99" s="22"/>
      <c r="GD99" s="22"/>
      <c r="GE99" s="22"/>
      <c r="GF99" s="22"/>
      <c r="GG99" s="22"/>
      <c r="GH99" s="22"/>
      <c r="GI99" s="22"/>
      <c r="GJ99" s="22"/>
      <c r="GK99" s="22"/>
      <c r="GL99" s="22"/>
      <c r="GM99" s="22"/>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2"/>
      <c r="GB100" s="22"/>
      <c r="GC100" s="22"/>
      <c r="GD100" s="22"/>
      <c r="GE100" s="22"/>
      <c r="GF100" s="22"/>
      <c r="GG100" s="22"/>
      <c r="GH100" s="22"/>
      <c r="GI100" s="22"/>
      <c r="GJ100" s="22"/>
      <c r="GK100" s="22"/>
      <c r="GL100" s="22"/>
      <c r="GM100" s="22"/>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2"/>
      <c r="GB101" s="22"/>
      <c r="GC101" s="22"/>
      <c r="GD101" s="22"/>
      <c r="GE101" s="22"/>
      <c r="GF101" s="22"/>
      <c r="GG101" s="22"/>
      <c r="GH101" s="22"/>
      <c r="GI101" s="22"/>
      <c r="GJ101" s="22"/>
      <c r="GK101" s="22"/>
      <c r="GL101" s="22"/>
      <c r="GM101" s="22"/>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2"/>
      <c r="GB102" s="22"/>
      <c r="GC102" s="22"/>
      <c r="GD102" s="22"/>
      <c r="GE102" s="22"/>
      <c r="GF102" s="22"/>
      <c r="GG102" s="22"/>
      <c r="GH102" s="22"/>
      <c r="GI102" s="22"/>
      <c r="GJ102" s="22"/>
      <c r="GK102" s="22"/>
      <c r="GL102" s="22"/>
      <c r="GM102" s="22"/>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2"/>
      <c r="GB103" s="22"/>
      <c r="GC103" s="22"/>
      <c r="GD103" s="22"/>
      <c r="GE103" s="22"/>
      <c r="GF103" s="22"/>
      <c r="GG103" s="22"/>
      <c r="GH103" s="22"/>
      <c r="GI103" s="22"/>
      <c r="GJ103" s="22"/>
      <c r="GK103" s="22"/>
      <c r="GL103" s="22"/>
      <c r="GM103" s="22"/>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2"/>
      <c r="GB104" s="22"/>
      <c r="GC104" s="22"/>
      <c r="GD104" s="22"/>
      <c r="GE104" s="22"/>
      <c r="GF104" s="22"/>
      <c r="GG104" s="22"/>
      <c r="GH104" s="22"/>
      <c r="GI104" s="22"/>
      <c r="GJ104" s="22"/>
      <c r="GK104" s="22"/>
      <c r="GL104" s="22"/>
      <c r="GM104" s="22"/>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2"/>
      <c r="GB105" s="22"/>
      <c r="GC105" s="22"/>
      <c r="GD105" s="22"/>
      <c r="GE105" s="22"/>
      <c r="GF105" s="22"/>
      <c r="GG105" s="22"/>
      <c r="GH105" s="22"/>
      <c r="GI105" s="22"/>
      <c r="GJ105" s="22"/>
      <c r="GK105" s="22"/>
      <c r="GL105" s="22"/>
      <c r="GM105" s="22"/>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2"/>
      <c r="GB106" s="22"/>
      <c r="GC106" s="22"/>
      <c r="GD106" s="22"/>
      <c r="GE106" s="22"/>
      <c r="GF106" s="22"/>
      <c r="GG106" s="22"/>
      <c r="GH106" s="22"/>
      <c r="GI106" s="22"/>
      <c r="GJ106" s="22"/>
      <c r="GK106" s="22"/>
      <c r="GL106" s="22"/>
      <c r="GM106" s="22"/>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2"/>
      <c r="GB107" s="22"/>
      <c r="GC107" s="22"/>
      <c r="GD107" s="22"/>
      <c r="GE107" s="22"/>
      <c r="GF107" s="22"/>
      <c r="GG107" s="22"/>
      <c r="GH107" s="22"/>
      <c r="GI107" s="22"/>
      <c r="GJ107" s="22"/>
      <c r="GK107" s="22"/>
      <c r="GL107" s="22"/>
      <c r="GM107" s="22"/>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2"/>
      <c r="GB108" s="22"/>
      <c r="GC108" s="22"/>
      <c r="GD108" s="22"/>
      <c r="GE108" s="22"/>
      <c r="GF108" s="22"/>
      <c r="GG108" s="22"/>
      <c r="GH108" s="22"/>
      <c r="GI108" s="22"/>
      <c r="GJ108" s="22"/>
      <c r="GK108" s="22"/>
      <c r="GL108" s="22"/>
      <c r="GM108" s="22"/>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2"/>
      <c r="GB109" s="22"/>
      <c r="GC109" s="22"/>
      <c r="GD109" s="22"/>
      <c r="GE109" s="22"/>
      <c r="GF109" s="22"/>
      <c r="GG109" s="22"/>
      <c r="GH109" s="22"/>
      <c r="GI109" s="22"/>
      <c r="GJ109" s="22"/>
      <c r="GK109" s="22"/>
      <c r="GL109" s="22"/>
      <c r="GM109" s="22"/>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2"/>
      <c r="GB110" s="22"/>
      <c r="GC110" s="22"/>
      <c r="GD110" s="22"/>
      <c r="GE110" s="22"/>
      <c r="GF110" s="22"/>
      <c r="GG110" s="22"/>
      <c r="GH110" s="22"/>
      <c r="GI110" s="22"/>
      <c r="GJ110" s="22"/>
      <c r="GK110" s="22"/>
      <c r="GL110" s="22"/>
      <c r="GM110" s="22"/>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2"/>
      <c r="GB111" s="22"/>
      <c r="GC111" s="22"/>
      <c r="GD111" s="22"/>
      <c r="GE111" s="22"/>
      <c r="GF111" s="22"/>
      <c r="GG111" s="22"/>
      <c r="GH111" s="22"/>
      <c r="GI111" s="22"/>
      <c r="GJ111" s="22"/>
      <c r="GK111" s="22"/>
      <c r="GL111" s="22"/>
      <c r="GM111" s="22"/>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2"/>
      <c r="GB112" s="22"/>
      <c r="GC112" s="22"/>
      <c r="GD112" s="22"/>
      <c r="GE112" s="22"/>
      <c r="GF112" s="22"/>
      <c r="GG112" s="22"/>
      <c r="GH112" s="22"/>
      <c r="GI112" s="22"/>
      <c r="GJ112" s="22"/>
      <c r="GK112" s="22"/>
      <c r="GL112" s="22"/>
      <c r="GM112" s="22"/>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2"/>
      <c r="GB113" s="22"/>
      <c r="GC113" s="22"/>
      <c r="GD113" s="22"/>
      <c r="GE113" s="22"/>
      <c r="GF113" s="22"/>
      <c r="GG113" s="22"/>
      <c r="GH113" s="22"/>
      <c r="GI113" s="22"/>
      <c r="GJ113" s="22"/>
      <c r="GK113" s="22"/>
      <c r="GL113" s="22"/>
      <c r="GM113" s="22"/>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2"/>
      <c r="GB114" s="22"/>
      <c r="GC114" s="22"/>
      <c r="GD114" s="22"/>
      <c r="GE114" s="22"/>
      <c r="GF114" s="22"/>
      <c r="GG114" s="22"/>
      <c r="GH114" s="22"/>
      <c r="GI114" s="22"/>
      <c r="GJ114" s="22"/>
      <c r="GK114" s="22"/>
      <c r="GL114" s="22"/>
      <c r="GM114" s="22"/>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2"/>
      <c r="GB115" s="22"/>
      <c r="GC115" s="22"/>
      <c r="GD115" s="22"/>
      <c r="GE115" s="22"/>
      <c r="GF115" s="22"/>
      <c r="GG115" s="22"/>
      <c r="GH115" s="22"/>
      <c r="GI115" s="22"/>
      <c r="GJ115" s="22"/>
      <c r="GK115" s="22"/>
      <c r="GL115" s="22"/>
      <c r="GM115" s="22"/>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2"/>
      <c r="GB116" s="22"/>
      <c r="GC116" s="22"/>
      <c r="GD116" s="22"/>
      <c r="GE116" s="22"/>
      <c r="GF116" s="22"/>
      <c r="GG116" s="22"/>
      <c r="GH116" s="22"/>
      <c r="GI116" s="22"/>
      <c r="GJ116" s="22"/>
      <c r="GK116" s="22"/>
      <c r="GL116" s="22"/>
      <c r="GM116" s="22"/>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2"/>
      <c r="GB117" s="22"/>
      <c r="GC117" s="22"/>
      <c r="GD117" s="22"/>
      <c r="GE117" s="22"/>
      <c r="GF117" s="22"/>
      <c r="GG117" s="22"/>
      <c r="GH117" s="22"/>
      <c r="GI117" s="22"/>
      <c r="GJ117" s="22"/>
      <c r="GK117" s="22"/>
      <c r="GL117" s="22"/>
      <c r="GM117" s="22"/>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2"/>
      <c r="GB118" s="22"/>
      <c r="GC118" s="22"/>
      <c r="GD118" s="22"/>
      <c r="GE118" s="22"/>
      <c r="GF118" s="22"/>
      <c r="GG118" s="22"/>
      <c r="GH118" s="22"/>
      <c r="GI118" s="22"/>
      <c r="GJ118" s="22"/>
      <c r="GK118" s="22"/>
      <c r="GL118" s="22"/>
      <c r="GM118" s="22"/>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2"/>
      <c r="GB119" s="22"/>
      <c r="GC119" s="22"/>
      <c r="GD119" s="22"/>
      <c r="GE119" s="22"/>
      <c r="GF119" s="22"/>
      <c r="GG119" s="22"/>
      <c r="GH119" s="22"/>
      <c r="GI119" s="22"/>
      <c r="GJ119" s="22"/>
      <c r="GK119" s="22"/>
      <c r="GL119" s="22"/>
      <c r="GM119" s="22"/>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2"/>
      <c r="GB120" s="22"/>
      <c r="GC120" s="22"/>
      <c r="GD120" s="22"/>
      <c r="GE120" s="22"/>
      <c r="GF120" s="22"/>
      <c r="GG120" s="22"/>
      <c r="GH120" s="22"/>
      <c r="GI120" s="22"/>
      <c r="GJ120" s="22"/>
      <c r="GK120" s="22"/>
      <c r="GL120" s="22"/>
      <c r="GM120" s="22"/>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2"/>
      <c r="GB121" s="22"/>
      <c r="GC121" s="22"/>
      <c r="GD121" s="22"/>
      <c r="GE121" s="22"/>
      <c r="GF121" s="22"/>
      <c r="GG121" s="22"/>
      <c r="GH121" s="22"/>
      <c r="GI121" s="22"/>
      <c r="GJ121" s="22"/>
      <c r="GK121" s="22"/>
      <c r="GL121" s="22"/>
      <c r="GM121" s="22"/>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2"/>
      <c r="GB122" s="22"/>
      <c r="GC122" s="22"/>
      <c r="GD122" s="22"/>
      <c r="GE122" s="22"/>
      <c r="GF122" s="22"/>
      <c r="GG122" s="22"/>
      <c r="GH122" s="22"/>
      <c r="GI122" s="22"/>
      <c r="GJ122" s="22"/>
      <c r="GK122" s="22"/>
      <c r="GL122" s="22"/>
      <c r="GM122" s="22"/>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2"/>
      <c r="GB123" s="22"/>
      <c r="GC123" s="22"/>
      <c r="GD123" s="22"/>
      <c r="GE123" s="22"/>
      <c r="GF123" s="22"/>
      <c r="GG123" s="22"/>
      <c r="GH123" s="22"/>
      <c r="GI123" s="22"/>
      <c r="GJ123" s="22"/>
      <c r="GK123" s="22"/>
      <c r="GL123" s="22"/>
      <c r="GM123" s="22"/>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2"/>
      <c r="GB124" s="22"/>
      <c r="GC124" s="22"/>
      <c r="GD124" s="22"/>
      <c r="GE124" s="22"/>
      <c r="GF124" s="22"/>
      <c r="GG124" s="22"/>
      <c r="GH124" s="22"/>
      <c r="GI124" s="22"/>
      <c r="GJ124" s="22"/>
      <c r="GK124" s="22"/>
      <c r="GL124" s="22"/>
      <c r="GM124" s="22"/>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2"/>
      <c r="GB125" s="22"/>
      <c r="GC125" s="22"/>
      <c r="GD125" s="22"/>
      <c r="GE125" s="22"/>
      <c r="GF125" s="22"/>
      <c r="GG125" s="22"/>
      <c r="GH125" s="22"/>
      <c r="GI125" s="22"/>
      <c r="GJ125" s="22"/>
      <c r="GK125" s="22"/>
      <c r="GL125" s="22"/>
      <c r="GM125" s="22"/>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2"/>
      <c r="GB126" s="22"/>
      <c r="GC126" s="22"/>
      <c r="GD126" s="22"/>
      <c r="GE126" s="22"/>
      <c r="GF126" s="22"/>
      <c r="GG126" s="22"/>
      <c r="GH126" s="22"/>
      <c r="GI126" s="22"/>
      <c r="GJ126" s="22"/>
      <c r="GK126" s="22"/>
      <c r="GL126" s="22"/>
      <c r="GM126" s="22"/>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2"/>
      <c r="GB127" s="22"/>
      <c r="GC127" s="22"/>
      <c r="GD127" s="22"/>
      <c r="GE127" s="22"/>
      <c r="GF127" s="22"/>
      <c r="GG127" s="22"/>
      <c r="GH127" s="22"/>
      <c r="GI127" s="22"/>
      <c r="GJ127" s="22"/>
      <c r="GK127" s="22"/>
      <c r="GL127" s="22"/>
      <c r="GM127" s="22"/>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2"/>
      <c r="GB128" s="22"/>
      <c r="GC128" s="22"/>
      <c r="GD128" s="22"/>
      <c r="GE128" s="22"/>
      <c r="GF128" s="22"/>
      <c r="GG128" s="22"/>
      <c r="GH128" s="22"/>
      <c r="GI128" s="22"/>
      <c r="GJ128" s="22"/>
      <c r="GK128" s="22"/>
      <c r="GL128" s="22"/>
      <c r="GM128" s="22"/>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2"/>
      <c r="GB129" s="22"/>
      <c r="GC129" s="22"/>
      <c r="GD129" s="22"/>
      <c r="GE129" s="22"/>
      <c r="GF129" s="22"/>
      <c r="GG129" s="22"/>
      <c r="GH129" s="22"/>
      <c r="GI129" s="22"/>
      <c r="GJ129" s="22"/>
      <c r="GK129" s="22"/>
      <c r="GL129" s="22"/>
      <c r="GM129" s="22"/>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2"/>
      <c r="GB130" s="22"/>
      <c r="GC130" s="22"/>
      <c r="GD130" s="22"/>
      <c r="GE130" s="22"/>
      <c r="GF130" s="22"/>
      <c r="GG130" s="22"/>
      <c r="GH130" s="22"/>
      <c r="GI130" s="22"/>
      <c r="GJ130" s="22"/>
      <c r="GK130" s="22"/>
      <c r="GL130" s="22"/>
      <c r="GM130" s="22"/>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2"/>
      <c r="GB131" s="22"/>
      <c r="GC131" s="22"/>
      <c r="GD131" s="22"/>
      <c r="GE131" s="22"/>
      <c r="GF131" s="22"/>
      <c r="GG131" s="22"/>
      <c r="GH131" s="22"/>
      <c r="GI131" s="22"/>
      <c r="GJ131" s="22"/>
      <c r="GK131" s="22"/>
      <c r="GL131" s="22"/>
      <c r="GM131" s="22"/>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2"/>
      <c r="GB132" s="22"/>
      <c r="GC132" s="22"/>
      <c r="GD132" s="22"/>
      <c r="GE132" s="22"/>
      <c r="GF132" s="22"/>
      <c r="GG132" s="22"/>
      <c r="GH132" s="22"/>
      <c r="GI132" s="22"/>
      <c r="GJ132" s="22"/>
      <c r="GK132" s="22"/>
      <c r="GL132" s="22"/>
      <c r="GM132" s="22"/>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2"/>
      <c r="GB133" s="22"/>
      <c r="GC133" s="22"/>
      <c r="GD133" s="22"/>
      <c r="GE133" s="22"/>
      <c r="GF133" s="22"/>
      <c r="GG133" s="22"/>
      <c r="GH133" s="22"/>
      <c r="GI133" s="22"/>
      <c r="GJ133" s="22"/>
      <c r="GK133" s="22"/>
      <c r="GL133" s="22"/>
      <c r="GM133" s="22"/>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2"/>
      <c r="GB134" s="22"/>
      <c r="GC134" s="22"/>
      <c r="GD134" s="22"/>
      <c r="GE134" s="22"/>
      <c r="GF134" s="22"/>
      <c r="GG134" s="22"/>
      <c r="GH134" s="22"/>
      <c r="GI134" s="22"/>
      <c r="GJ134" s="22"/>
      <c r="GK134" s="22"/>
      <c r="GL134" s="22"/>
      <c r="GM134" s="22"/>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2"/>
      <c r="GB135" s="22"/>
      <c r="GC135" s="22"/>
      <c r="GD135" s="22"/>
      <c r="GE135" s="22"/>
      <c r="GF135" s="22"/>
      <c r="GG135" s="22"/>
      <c r="GH135" s="22"/>
      <c r="GI135" s="22"/>
      <c r="GJ135" s="22"/>
      <c r="GK135" s="22"/>
      <c r="GL135" s="22"/>
      <c r="GM135" s="22"/>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2"/>
      <c r="GB136" s="22"/>
      <c r="GC136" s="22"/>
      <c r="GD136" s="22"/>
      <c r="GE136" s="22"/>
      <c r="GF136" s="22"/>
      <c r="GG136" s="22"/>
      <c r="GH136" s="22"/>
      <c r="GI136" s="22"/>
      <c r="GJ136" s="22"/>
      <c r="GK136" s="22"/>
      <c r="GL136" s="22"/>
      <c r="GM136" s="22"/>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2"/>
      <c r="GB137" s="22"/>
      <c r="GC137" s="22"/>
      <c r="GD137" s="22"/>
      <c r="GE137" s="22"/>
      <c r="GF137" s="22"/>
      <c r="GG137" s="22"/>
      <c r="GH137" s="22"/>
      <c r="GI137" s="22"/>
      <c r="GJ137" s="22"/>
      <c r="GK137" s="22"/>
      <c r="GL137" s="22"/>
      <c r="GM137" s="22"/>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2"/>
      <c r="GB138" s="22"/>
      <c r="GC138" s="22"/>
      <c r="GD138" s="22"/>
      <c r="GE138" s="22"/>
      <c r="GF138" s="22"/>
      <c r="GG138" s="22"/>
      <c r="GH138" s="22"/>
      <c r="GI138" s="22"/>
      <c r="GJ138" s="22"/>
      <c r="GK138" s="22"/>
      <c r="GL138" s="22"/>
      <c r="GM138" s="22"/>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2"/>
      <c r="GB139" s="22"/>
      <c r="GC139" s="22"/>
      <c r="GD139" s="22"/>
      <c r="GE139" s="22"/>
      <c r="GF139" s="22"/>
      <c r="GG139" s="22"/>
      <c r="GH139" s="22"/>
      <c r="GI139" s="22"/>
      <c r="GJ139" s="22"/>
      <c r="GK139" s="22"/>
      <c r="GL139" s="22"/>
      <c r="GM139" s="22"/>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2"/>
      <c r="GB140" s="22"/>
      <c r="GC140" s="22"/>
      <c r="GD140" s="22"/>
      <c r="GE140" s="22"/>
      <c r="GF140" s="22"/>
      <c r="GG140" s="22"/>
      <c r="GH140" s="22"/>
      <c r="GI140" s="22"/>
      <c r="GJ140" s="22"/>
      <c r="GK140" s="22"/>
      <c r="GL140" s="22"/>
      <c r="GM140" s="22"/>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2"/>
      <c r="GB141" s="22"/>
      <c r="GC141" s="22"/>
      <c r="GD141" s="22"/>
      <c r="GE141" s="22"/>
      <c r="GF141" s="22"/>
      <c r="GG141" s="22"/>
      <c r="GH141" s="22"/>
      <c r="GI141" s="22"/>
      <c r="GJ141" s="22"/>
      <c r="GK141" s="22"/>
      <c r="GL141" s="22"/>
      <c r="GM141" s="22"/>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2"/>
      <c r="GB142" s="22"/>
      <c r="GC142" s="22"/>
      <c r="GD142" s="22"/>
      <c r="GE142" s="22"/>
      <c r="GF142" s="22"/>
      <c r="GG142" s="22"/>
      <c r="GH142" s="22"/>
      <c r="GI142" s="22"/>
      <c r="GJ142" s="22"/>
      <c r="GK142" s="22"/>
      <c r="GL142" s="22"/>
      <c r="GM142" s="22"/>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2"/>
      <c r="GB143" s="22"/>
      <c r="GC143" s="22"/>
      <c r="GD143" s="22"/>
      <c r="GE143" s="22"/>
      <c r="GF143" s="22"/>
      <c r="GG143" s="22"/>
      <c r="GH143" s="22"/>
      <c r="GI143" s="22"/>
      <c r="GJ143" s="22"/>
      <c r="GK143" s="22"/>
      <c r="GL143" s="22"/>
      <c r="GM143" s="22"/>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2"/>
      <c r="GB144" s="22"/>
      <c r="GC144" s="22"/>
      <c r="GD144" s="22"/>
      <c r="GE144" s="22"/>
      <c r="GF144" s="22"/>
      <c r="GG144" s="22"/>
      <c r="GH144" s="22"/>
      <c r="GI144" s="22"/>
      <c r="GJ144" s="22"/>
      <c r="GK144" s="22"/>
      <c r="GL144" s="22"/>
      <c r="GM144" s="22"/>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2"/>
      <c r="GB145" s="22"/>
      <c r="GC145" s="22"/>
      <c r="GD145" s="22"/>
      <c r="GE145" s="22"/>
      <c r="GF145" s="22"/>
      <c r="GG145" s="22"/>
      <c r="GH145" s="22"/>
      <c r="GI145" s="22"/>
      <c r="GJ145" s="22"/>
      <c r="GK145" s="22"/>
      <c r="GL145" s="22"/>
      <c r="GM145" s="22"/>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2"/>
      <c r="GB146" s="22"/>
      <c r="GC146" s="22"/>
      <c r="GD146" s="22"/>
      <c r="GE146" s="22"/>
      <c r="GF146" s="22"/>
      <c r="GG146" s="22"/>
      <c r="GH146" s="22"/>
      <c r="GI146" s="22"/>
      <c r="GJ146" s="22"/>
      <c r="GK146" s="22"/>
      <c r="GL146" s="22"/>
      <c r="GM146" s="22"/>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2"/>
      <c r="GB147" s="22"/>
      <c r="GC147" s="22"/>
      <c r="GD147" s="22"/>
      <c r="GE147" s="22"/>
      <c r="GF147" s="22"/>
      <c r="GG147" s="22"/>
      <c r="GH147" s="22"/>
      <c r="GI147" s="22"/>
      <c r="GJ147" s="22"/>
      <c r="GK147" s="22"/>
      <c r="GL147" s="22"/>
      <c r="GM147" s="22"/>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2"/>
      <c r="GB148" s="22"/>
      <c r="GC148" s="22"/>
      <c r="GD148" s="22"/>
      <c r="GE148" s="22"/>
      <c r="GF148" s="22"/>
      <c r="GG148" s="22"/>
      <c r="GH148" s="22"/>
      <c r="GI148" s="22"/>
      <c r="GJ148" s="22"/>
      <c r="GK148" s="22"/>
      <c r="GL148" s="22"/>
      <c r="GM148" s="22"/>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2"/>
      <c r="GB149" s="22"/>
      <c r="GC149" s="22"/>
      <c r="GD149" s="22"/>
      <c r="GE149" s="22"/>
      <c r="GF149" s="22"/>
      <c r="GG149" s="22"/>
      <c r="GH149" s="22"/>
      <c r="GI149" s="22"/>
      <c r="GJ149" s="22"/>
      <c r="GK149" s="22"/>
      <c r="GL149" s="22"/>
      <c r="GM149" s="22"/>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2"/>
      <c r="GB150" s="22"/>
      <c r="GC150" s="22"/>
      <c r="GD150" s="22"/>
      <c r="GE150" s="22"/>
      <c r="GF150" s="22"/>
      <c r="GG150" s="22"/>
      <c r="GH150" s="22"/>
      <c r="GI150" s="22"/>
      <c r="GJ150" s="22"/>
      <c r="GK150" s="22"/>
      <c r="GL150" s="22"/>
      <c r="GM150" s="22"/>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2"/>
      <c r="GB151" s="22"/>
      <c r="GC151" s="22"/>
      <c r="GD151" s="22"/>
      <c r="GE151" s="22"/>
      <c r="GF151" s="22"/>
      <c r="GG151" s="22"/>
      <c r="GH151" s="22"/>
      <c r="GI151" s="22"/>
      <c r="GJ151" s="22"/>
      <c r="GK151" s="22"/>
      <c r="GL151" s="22"/>
      <c r="GM151" s="22"/>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2"/>
      <c r="GB152" s="22"/>
      <c r="GC152" s="22"/>
      <c r="GD152" s="22"/>
      <c r="GE152" s="22"/>
      <c r="GF152" s="22"/>
      <c r="GG152" s="22"/>
      <c r="GH152" s="22"/>
      <c r="GI152" s="22"/>
      <c r="GJ152" s="22"/>
      <c r="GK152" s="22"/>
      <c r="GL152" s="22"/>
      <c r="GM152" s="22"/>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2"/>
      <c r="GB153" s="22"/>
      <c r="GC153" s="22"/>
      <c r="GD153" s="22"/>
      <c r="GE153" s="22"/>
      <c r="GF153" s="22"/>
      <c r="GG153" s="22"/>
      <c r="GH153" s="22"/>
      <c r="GI153" s="22"/>
      <c r="GJ153" s="22"/>
      <c r="GK153" s="22"/>
      <c r="GL153" s="22"/>
      <c r="GM153" s="22"/>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2"/>
      <c r="GB154" s="22"/>
      <c r="GC154" s="22"/>
      <c r="GD154" s="22"/>
      <c r="GE154" s="22"/>
      <c r="GF154" s="22"/>
      <c r="GG154" s="22"/>
      <c r="GH154" s="22"/>
      <c r="GI154" s="22"/>
      <c r="GJ154" s="22"/>
      <c r="GK154" s="22"/>
      <c r="GL154" s="22"/>
      <c r="GM154" s="22"/>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2"/>
      <c r="GB155" s="22"/>
      <c r="GC155" s="22"/>
      <c r="GD155" s="22"/>
      <c r="GE155" s="22"/>
      <c r="GF155" s="22"/>
      <c r="GG155" s="22"/>
      <c r="GH155" s="22"/>
      <c r="GI155" s="22"/>
      <c r="GJ155" s="22"/>
      <c r="GK155" s="22"/>
      <c r="GL155" s="22"/>
      <c r="GM155" s="22"/>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2"/>
      <c r="GB156" s="22"/>
      <c r="GC156" s="22"/>
      <c r="GD156" s="22"/>
      <c r="GE156" s="22"/>
      <c r="GF156" s="22"/>
      <c r="GG156" s="22"/>
      <c r="GH156" s="22"/>
      <c r="GI156" s="22"/>
      <c r="GJ156" s="22"/>
      <c r="GK156" s="22"/>
      <c r="GL156" s="22"/>
      <c r="GM156" s="22"/>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2"/>
      <c r="GB157" s="22"/>
      <c r="GC157" s="22"/>
      <c r="GD157" s="22"/>
      <c r="GE157" s="22"/>
      <c r="GF157" s="22"/>
      <c r="GG157" s="22"/>
      <c r="GH157" s="22"/>
      <c r="GI157" s="22"/>
      <c r="GJ157" s="22"/>
      <c r="GK157" s="22"/>
      <c r="GL157" s="22"/>
      <c r="GM157" s="22"/>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2"/>
      <c r="GB158" s="22"/>
      <c r="GC158" s="22"/>
      <c r="GD158" s="22"/>
      <c r="GE158" s="22"/>
      <c r="GF158" s="22"/>
      <c r="GG158" s="22"/>
      <c r="GH158" s="22"/>
      <c r="GI158" s="22"/>
      <c r="GJ158" s="22"/>
      <c r="GK158" s="22"/>
      <c r="GL158" s="22"/>
      <c r="GM158" s="22"/>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2"/>
      <c r="GB159" s="22"/>
      <c r="GC159" s="22"/>
      <c r="GD159" s="22"/>
      <c r="GE159" s="22"/>
      <c r="GF159" s="22"/>
      <c r="GG159" s="22"/>
      <c r="GH159" s="22"/>
      <c r="GI159" s="22"/>
      <c r="GJ159" s="22"/>
      <c r="GK159" s="22"/>
      <c r="GL159" s="22"/>
      <c r="GM159" s="22"/>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2"/>
      <c r="GB160" s="22"/>
      <c r="GC160" s="22"/>
      <c r="GD160" s="22"/>
      <c r="GE160" s="22"/>
      <c r="GF160" s="22"/>
      <c r="GG160" s="22"/>
      <c r="GH160" s="22"/>
      <c r="GI160" s="22"/>
      <c r="GJ160" s="22"/>
      <c r="GK160" s="22"/>
      <c r="GL160" s="22"/>
      <c r="GM160" s="22"/>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2"/>
      <c r="GB161" s="22"/>
      <c r="GC161" s="22"/>
      <c r="GD161" s="22"/>
      <c r="GE161" s="22"/>
      <c r="GF161" s="22"/>
      <c r="GG161" s="22"/>
      <c r="GH161" s="22"/>
      <c r="GI161" s="22"/>
      <c r="GJ161" s="22"/>
      <c r="GK161" s="22"/>
      <c r="GL161" s="22"/>
      <c r="GM161" s="22"/>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2"/>
      <c r="GB162" s="22"/>
      <c r="GC162" s="22"/>
      <c r="GD162" s="22"/>
      <c r="GE162" s="22"/>
      <c r="GF162" s="22"/>
      <c r="GG162" s="22"/>
      <c r="GH162" s="22"/>
      <c r="GI162" s="22"/>
      <c r="GJ162" s="22"/>
      <c r="GK162" s="22"/>
      <c r="GL162" s="22"/>
      <c r="GM162" s="22"/>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2"/>
      <c r="GB163" s="22"/>
      <c r="GC163" s="22"/>
      <c r="GD163" s="22"/>
      <c r="GE163" s="22"/>
      <c r="GF163" s="22"/>
      <c r="GG163" s="22"/>
      <c r="GH163" s="22"/>
      <c r="GI163" s="22"/>
      <c r="GJ163" s="22"/>
      <c r="GK163" s="22"/>
      <c r="GL163" s="22"/>
      <c r="GM163" s="22"/>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2"/>
      <c r="GB164" s="22"/>
      <c r="GC164" s="22"/>
      <c r="GD164" s="22"/>
      <c r="GE164" s="22"/>
      <c r="GF164" s="22"/>
      <c r="GG164" s="22"/>
      <c r="GH164" s="22"/>
      <c r="GI164" s="22"/>
      <c r="GJ164" s="22"/>
      <c r="GK164" s="22"/>
      <c r="GL164" s="22"/>
      <c r="GM164" s="22"/>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2"/>
      <c r="GB165" s="22"/>
      <c r="GC165" s="22"/>
      <c r="GD165" s="22"/>
      <c r="GE165" s="22"/>
      <c r="GF165" s="22"/>
      <c r="GG165" s="22"/>
      <c r="GH165" s="22"/>
      <c r="GI165" s="22"/>
      <c r="GJ165" s="22"/>
      <c r="GK165" s="22"/>
      <c r="GL165" s="22"/>
      <c r="GM165" s="22"/>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2"/>
      <c r="GB166" s="22"/>
      <c r="GC166" s="22"/>
      <c r="GD166" s="22"/>
      <c r="GE166" s="22"/>
      <c r="GF166" s="22"/>
      <c r="GG166" s="22"/>
      <c r="GH166" s="22"/>
      <c r="GI166" s="22"/>
      <c r="GJ166" s="22"/>
      <c r="GK166" s="22"/>
      <c r="GL166" s="22"/>
      <c r="GM166" s="22"/>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2"/>
      <c r="GB167" s="22"/>
      <c r="GC167" s="22"/>
      <c r="GD167" s="22"/>
      <c r="GE167" s="22"/>
      <c r="GF167" s="22"/>
      <c r="GG167" s="22"/>
      <c r="GH167" s="22"/>
      <c r="GI167" s="22"/>
      <c r="GJ167" s="22"/>
      <c r="GK167" s="22"/>
      <c r="GL167" s="22"/>
      <c r="GM167" s="22"/>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2"/>
      <c r="GB168" s="22"/>
      <c r="GC168" s="22"/>
      <c r="GD168" s="22"/>
      <c r="GE168" s="22"/>
      <c r="GF168" s="22"/>
      <c r="GG168" s="22"/>
      <c r="GH168" s="22"/>
      <c r="GI168" s="22"/>
      <c r="GJ168" s="22"/>
      <c r="GK168" s="22"/>
      <c r="GL168" s="22"/>
      <c r="GM168" s="22"/>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2"/>
      <c r="GB169" s="22"/>
      <c r="GC169" s="22"/>
      <c r="GD169" s="22"/>
      <c r="GE169" s="22"/>
      <c r="GF169" s="22"/>
      <c r="GG169" s="22"/>
      <c r="GH169" s="22"/>
      <c r="GI169" s="22"/>
      <c r="GJ169" s="22"/>
      <c r="GK169" s="22"/>
      <c r="GL169" s="22"/>
      <c r="GM169" s="22"/>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2"/>
      <c r="GB170" s="22"/>
      <c r="GC170" s="22"/>
      <c r="GD170" s="22"/>
      <c r="GE170" s="22"/>
      <c r="GF170" s="22"/>
      <c r="GG170" s="22"/>
      <c r="GH170" s="22"/>
      <c r="GI170" s="22"/>
      <c r="GJ170" s="22"/>
      <c r="GK170" s="22"/>
      <c r="GL170" s="22"/>
      <c r="GM170" s="22"/>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2"/>
      <c r="GB171" s="22"/>
      <c r="GC171" s="22"/>
      <c r="GD171" s="22"/>
      <c r="GE171" s="22"/>
      <c r="GF171" s="22"/>
      <c r="GG171" s="22"/>
      <c r="GH171" s="22"/>
      <c r="GI171" s="22"/>
      <c r="GJ171" s="22"/>
      <c r="GK171" s="22"/>
      <c r="GL171" s="22"/>
      <c r="GM171" s="22"/>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2"/>
      <c r="GB172" s="22"/>
      <c r="GC172" s="22"/>
      <c r="GD172" s="22"/>
      <c r="GE172" s="22"/>
      <c r="GF172" s="22"/>
      <c r="GG172" s="22"/>
      <c r="GH172" s="22"/>
      <c r="GI172" s="22"/>
      <c r="GJ172" s="22"/>
      <c r="GK172" s="22"/>
      <c r="GL172" s="22"/>
      <c r="GM172" s="22"/>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2"/>
      <c r="GB173" s="22"/>
      <c r="GC173" s="22"/>
      <c r="GD173" s="22"/>
      <c r="GE173" s="22"/>
      <c r="GF173" s="22"/>
      <c r="GG173" s="22"/>
      <c r="GH173" s="22"/>
      <c r="GI173" s="22"/>
      <c r="GJ173" s="22"/>
      <c r="GK173" s="22"/>
      <c r="GL173" s="22"/>
      <c r="GM173" s="22"/>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2"/>
      <c r="GB174" s="22"/>
      <c r="GC174" s="22"/>
      <c r="GD174" s="22"/>
      <c r="GE174" s="22"/>
      <c r="GF174" s="22"/>
      <c r="GG174" s="22"/>
      <c r="GH174" s="22"/>
      <c r="GI174" s="22"/>
      <c r="GJ174" s="22"/>
      <c r="GK174" s="22"/>
      <c r="GL174" s="22"/>
      <c r="GM174" s="22"/>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2"/>
      <c r="GB175" s="22"/>
      <c r="GC175" s="22"/>
      <c r="GD175" s="22"/>
      <c r="GE175" s="22"/>
      <c r="GF175" s="22"/>
      <c r="GG175" s="22"/>
      <c r="GH175" s="22"/>
      <c r="GI175" s="22"/>
      <c r="GJ175" s="22"/>
      <c r="GK175" s="22"/>
      <c r="GL175" s="22"/>
      <c r="GM175" s="22"/>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2"/>
      <c r="GB176" s="22"/>
      <c r="GC176" s="22"/>
      <c r="GD176" s="22"/>
      <c r="GE176" s="22"/>
      <c r="GF176" s="22"/>
      <c r="GG176" s="22"/>
      <c r="GH176" s="22"/>
      <c r="GI176" s="22"/>
      <c r="GJ176" s="22"/>
      <c r="GK176" s="22"/>
      <c r="GL176" s="22"/>
      <c r="GM176" s="22"/>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2"/>
      <c r="GB177" s="22"/>
      <c r="GC177" s="22"/>
      <c r="GD177" s="22"/>
      <c r="GE177" s="22"/>
      <c r="GF177" s="22"/>
      <c r="GG177" s="22"/>
      <c r="GH177" s="22"/>
      <c r="GI177" s="22"/>
      <c r="GJ177" s="22"/>
      <c r="GK177" s="22"/>
      <c r="GL177" s="22"/>
      <c r="GM177" s="22"/>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2"/>
      <c r="GB178" s="22"/>
      <c r="GC178" s="22"/>
      <c r="GD178" s="22"/>
      <c r="GE178" s="22"/>
      <c r="GF178" s="22"/>
      <c r="GG178" s="22"/>
      <c r="GH178" s="22"/>
      <c r="GI178" s="22"/>
      <c r="GJ178" s="22"/>
      <c r="GK178" s="22"/>
      <c r="GL178" s="22"/>
      <c r="GM178" s="22"/>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2"/>
      <c r="GB179" s="22"/>
      <c r="GC179" s="22"/>
      <c r="GD179" s="22"/>
      <c r="GE179" s="22"/>
      <c r="GF179" s="22"/>
      <c r="GG179" s="22"/>
      <c r="GH179" s="22"/>
      <c r="GI179" s="22"/>
      <c r="GJ179" s="22"/>
      <c r="GK179" s="22"/>
      <c r="GL179" s="22"/>
      <c r="GM179" s="22"/>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2"/>
      <c r="GB180" s="22"/>
      <c r="GC180" s="22"/>
      <c r="GD180" s="22"/>
      <c r="GE180" s="22"/>
      <c r="GF180" s="22"/>
      <c r="GG180" s="22"/>
      <c r="GH180" s="22"/>
      <c r="GI180" s="22"/>
      <c r="GJ180" s="22"/>
      <c r="GK180" s="22"/>
      <c r="GL180" s="22"/>
      <c r="GM180" s="22"/>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2"/>
      <c r="GB181" s="22"/>
      <c r="GC181" s="22"/>
      <c r="GD181" s="22"/>
      <c r="GE181" s="22"/>
      <c r="GF181" s="22"/>
      <c r="GG181" s="22"/>
      <c r="GH181" s="22"/>
      <c r="GI181" s="22"/>
      <c r="GJ181" s="22"/>
      <c r="GK181" s="22"/>
      <c r="GL181" s="22"/>
      <c r="GM181" s="22"/>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2"/>
      <c r="GB182" s="22"/>
      <c r="GC182" s="22"/>
      <c r="GD182" s="22"/>
      <c r="GE182" s="22"/>
      <c r="GF182" s="22"/>
      <c r="GG182" s="22"/>
      <c r="GH182" s="22"/>
      <c r="GI182" s="22"/>
      <c r="GJ182" s="22"/>
      <c r="GK182" s="22"/>
      <c r="GL182" s="22"/>
      <c r="GM182" s="22"/>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2"/>
      <c r="GB183" s="22"/>
      <c r="GC183" s="22"/>
      <c r="GD183" s="22"/>
      <c r="GE183" s="22"/>
      <c r="GF183" s="22"/>
      <c r="GG183" s="22"/>
      <c r="GH183" s="22"/>
      <c r="GI183" s="22"/>
      <c r="GJ183" s="22"/>
      <c r="GK183" s="22"/>
      <c r="GL183" s="22"/>
      <c r="GM183" s="22"/>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2"/>
      <c r="GB184" s="22"/>
      <c r="GC184" s="22"/>
      <c r="GD184" s="22"/>
      <c r="GE184" s="22"/>
      <c r="GF184" s="22"/>
      <c r="GG184" s="22"/>
      <c r="GH184" s="22"/>
      <c r="GI184" s="22"/>
      <c r="GJ184" s="22"/>
      <c r="GK184" s="22"/>
      <c r="GL184" s="22"/>
      <c r="GM184" s="22"/>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2"/>
      <c r="GB185" s="22"/>
      <c r="GC185" s="22"/>
      <c r="GD185" s="22"/>
      <c r="GE185" s="22"/>
      <c r="GF185" s="22"/>
      <c r="GG185" s="22"/>
      <c r="GH185" s="22"/>
      <c r="GI185" s="22"/>
      <c r="GJ185" s="22"/>
      <c r="GK185" s="22"/>
      <c r="GL185" s="22"/>
      <c r="GM185" s="22"/>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2"/>
      <c r="GB186" s="22"/>
      <c r="GC186" s="22"/>
      <c r="GD186" s="22"/>
      <c r="GE186" s="22"/>
      <c r="GF186" s="22"/>
      <c r="GG186" s="22"/>
      <c r="GH186" s="22"/>
      <c r="GI186" s="22"/>
      <c r="GJ186" s="22"/>
      <c r="GK186" s="22"/>
      <c r="GL186" s="22"/>
      <c r="GM186" s="22"/>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2"/>
      <c r="GB187" s="22"/>
      <c r="GC187" s="22"/>
      <c r="GD187" s="22"/>
      <c r="GE187" s="22"/>
      <c r="GF187" s="22"/>
      <c r="GG187" s="22"/>
      <c r="GH187" s="22"/>
      <c r="GI187" s="22"/>
      <c r="GJ187" s="22"/>
      <c r="GK187" s="22"/>
      <c r="GL187" s="22"/>
      <c r="GM187" s="22"/>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2"/>
      <c r="GB188" s="22"/>
      <c r="GC188" s="22"/>
      <c r="GD188" s="22"/>
      <c r="GE188" s="22"/>
      <c r="GF188" s="22"/>
      <c r="GG188" s="22"/>
      <c r="GH188" s="22"/>
      <c r="GI188" s="22"/>
      <c r="GJ188" s="22"/>
      <c r="GK188" s="22"/>
      <c r="GL188" s="22"/>
      <c r="GM188" s="22"/>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2"/>
      <c r="GB189" s="22"/>
      <c r="GC189" s="22"/>
      <c r="GD189" s="22"/>
      <c r="GE189" s="22"/>
      <c r="GF189" s="22"/>
      <c r="GG189" s="22"/>
      <c r="GH189" s="22"/>
      <c r="GI189" s="22"/>
      <c r="GJ189" s="22"/>
      <c r="GK189" s="22"/>
      <c r="GL189" s="22"/>
      <c r="GM189" s="22"/>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2"/>
      <c r="GB190" s="22"/>
      <c r="GC190" s="22"/>
      <c r="GD190" s="22"/>
      <c r="GE190" s="22"/>
      <c r="GF190" s="22"/>
      <c r="GG190" s="22"/>
      <c r="GH190" s="22"/>
      <c r="GI190" s="22"/>
      <c r="GJ190" s="22"/>
      <c r="GK190" s="22"/>
      <c r="GL190" s="22"/>
      <c r="GM190" s="22"/>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242B-6BA6-E549-88BD-0E9E6103DAB3}">
  <dimension ref="A1:D20"/>
  <sheetViews>
    <sheetView workbookViewId="0">
      <selection activeCell="H14" sqref="H14"/>
    </sheetView>
  </sheetViews>
  <sheetFormatPr baseColWidth="10" defaultColWidth="11" defaultRowHeight="16" x14ac:dyDescent="0.2"/>
  <sheetData>
    <row r="1" spans="1:4" x14ac:dyDescent="0.2">
      <c r="A1" t="s">
        <v>70</v>
      </c>
      <c r="B1" t="s">
        <v>61</v>
      </c>
      <c r="C1" t="s">
        <v>71</v>
      </c>
      <c r="D1" t="s">
        <v>72</v>
      </c>
    </row>
    <row r="2" spans="1:4" x14ac:dyDescent="0.2">
      <c r="A2" t="s">
        <v>73</v>
      </c>
      <c r="B2">
        <v>34</v>
      </c>
      <c r="C2">
        <v>20</v>
      </c>
      <c r="D2">
        <v>2</v>
      </c>
    </row>
    <row r="3" spans="1:4" x14ac:dyDescent="0.2">
      <c r="A3" t="s">
        <v>74</v>
      </c>
      <c r="B3">
        <v>136</v>
      </c>
      <c r="C3">
        <v>32</v>
      </c>
      <c r="D3">
        <v>4</v>
      </c>
    </row>
    <row r="4" spans="1:4" x14ac:dyDescent="0.2">
      <c r="A4" t="s">
        <v>75</v>
      </c>
      <c r="B4">
        <v>238</v>
      </c>
      <c r="C4">
        <v>44</v>
      </c>
      <c r="D4">
        <v>6</v>
      </c>
    </row>
    <row r="5" spans="1:4" x14ac:dyDescent="0.2">
      <c r="A5" t="s">
        <v>76</v>
      </c>
      <c r="B5">
        <v>340</v>
      </c>
      <c r="C5">
        <v>56</v>
      </c>
      <c r="D5">
        <v>8</v>
      </c>
    </row>
    <row r="6" spans="1:4" x14ac:dyDescent="0.2">
      <c r="A6" t="s">
        <v>77</v>
      </c>
      <c r="B6">
        <v>442</v>
      </c>
      <c r="C6">
        <v>68</v>
      </c>
      <c r="D6">
        <v>10</v>
      </c>
    </row>
    <row r="7" spans="1:4" x14ac:dyDescent="0.2">
      <c r="A7" t="s">
        <v>78</v>
      </c>
      <c r="B7">
        <v>544</v>
      </c>
      <c r="C7">
        <v>80</v>
      </c>
      <c r="D7">
        <v>12</v>
      </c>
    </row>
    <row r="8" spans="1:4" x14ac:dyDescent="0.2">
      <c r="A8" t="s">
        <v>79</v>
      </c>
      <c r="B8">
        <v>714</v>
      </c>
      <c r="C8">
        <v>100</v>
      </c>
      <c r="D8">
        <v>16</v>
      </c>
    </row>
    <row r="9" spans="1:4" x14ac:dyDescent="0.2">
      <c r="A9" t="s">
        <v>80</v>
      </c>
      <c r="B9">
        <v>1020</v>
      </c>
      <c r="C9">
        <v>136</v>
      </c>
      <c r="D9">
        <v>16</v>
      </c>
    </row>
    <row r="10" spans="1:4" x14ac:dyDescent="0.2">
      <c r="A10" t="s">
        <v>81</v>
      </c>
      <c r="B10">
        <v>1054</v>
      </c>
      <c r="C10">
        <v>140</v>
      </c>
      <c r="D10">
        <v>20</v>
      </c>
    </row>
    <row r="11" spans="1:4" x14ac:dyDescent="0.2">
      <c r="A11" t="s">
        <v>82</v>
      </c>
      <c r="B11">
        <v>1428</v>
      </c>
      <c r="C11">
        <v>184</v>
      </c>
      <c r="D11">
        <v>24</v>
      </c>
    </row>
    <row r="12" spans="1:4" x14ac:dyDescent="0.2">
      <c r="A12" t="s">
        <v>83</v>
      </c>
      <c r="B12">
        <v>1768</v>
      </c>
      <c r="C12">
        <v>224</v>
      </c>
      <c r="D12">
        <v>22</v>
      </c>
    </row>
    <row r="13" spans="1:4" x14ac:dyDescent="0.2">
      <c r="A13" t="s">
        <v>84</v>
      </c>
      <c r="B13">
        <v>1972</v>
      </c>
      <c r="C13">
        <v>248</v>
      </c>
      <c r="D13">
        <v>20</v>
      </c>
    </row>
    <row r="14" spans="1:4" x14ac:dyDescent="0.2">
      <c r="A14" t="s">
        <v>85</v>
      </c>
      <c r="B14">
        <v>2040</v>
      </c>
      <c r="C14">
        <v>256</v>
      </c>
      <c r="D14">
        <v>20</v>
      </c>
    </row>
    <row r="15" spans="1:4" x14ac:dyDescent="0.2">
      <c r="A15" t="s">
        <v>86</v>
      </c>
      <c r="B15">
        <v>2074</v>
      </c>
      <c r="C15">
        <v>260</v>
      </c>
      <c r="D15">
        <v>24</v>
      </c>
    </row>
    <row r="16" spans="1:4" x14ac:dyDescent="0.2">
      <c r="A16" t="s">
        <v>87</v>
      </c>
      <c r="B16">
        <v>2278</v>
      </c>
      <c r="C16">
        <v>284</v>
      </c>
      <c r="D16">
        <v>22</v>
      </c>
    </row>
    <row r="17" spans="1:4" x14ac:dyDescent="0.2">
      <c r="A17" t="s">
        <v>88</v>
      </c>
      <c r="B17">
        <v>2482</v>
      </c>
      <c r="C17">
        <v>308</v>
      </c>
      <c r="D17">
        <v>24</v>
      </c>
    </row>
    <row r="18" spans="1:4" x14ac:dyDescent="0.2">
      <c r="A18" t="s">
        <v>89</v>
      </c>
      <c r="B18">
        <v>2720</v>
      </c>
      <c r="C18">
        <v>336</v>
      </c>
      <c r="D18">
        <v>22</v>
      </c>
    </row>
    <row r="19" spans="1:4" x14ac:dyDescent="0.2">
      <c r="A19" t="s">
        <v>90</v>
      </c>
      <c r="B19">
        <v>2890</v>
      </c>
      <c r="C19">
        <v>356</v>
      </c>
      <c r="D19">
        <v>24</v>
      </c>
    </row>
    <row r="20" spans="1:4" x14ac:dyDescent="0.2">
      <c r="A20" t="s">
        <v>91</v>
      </c>
      <c r="B20">
        <v>3230</v>
      </c>
      <c r="C20">
        <v>396</v>
      </c>
      <c r="D20">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302E6-2A42-2548-9D22-4BB828972DA9}">
  <dimension ref="A1:I46"/>
  <sheetViews>
    <sheetView topLeftCell="A31" workbookViewId="0">
      <selection activeCell="G49" sqref="G49"/>
    </sheetView>
  </sheetViews>
  <sheetFormatPr baseColWidth="10" defaultRowHeight="16" x14ac:dyDescent="0.2"/>
  <sheetData>
    <row r="1" spans="1:1" x14ac:dyDescent="0.2">
      <c r="A1" t="s">
        <v>92</v>
      </c>
    </row>
    <row r="2" spans="1:1" x14ac:dyDescent="0.2">
      <c r="A2" t="s">
        <v>93</v>
      </c>
    </row>
    <row r="3" spans="1:1" x14ac:dyDescent="0.2">
      <c r="A3" t="s">
        <v>94</v>
      </c>
    </row>
    <row r="4" spans="1:1" x14ac:dyDescent="0.2">
      <c r="A4" t="s">
        <v>95</v>
      </c>
    </row>
    <row r="5" spans="1:1" x14ac:dyDescent="0.2">
      <c r="A5" t="s">
        <v>96</v>
      </c>
    </row>
    <row r="6" spans="1:1" x14ac:dyDescent="0.2">
      <c r="A6" t="s">
        <v>97</v>
      </c>
    </row>
    <row r="7" spans="1:1" x14ac:dyDescent="0.2">
      <c r="A7" t="s">
        <v>98</v>
      </c>
    </row>
    <row r="8" spans="1:1" x14ac:dyDescent="0.2">
      <c r="A8" t="s">
        <v>99</v>
      </c>
    </row>
    <row r="9" spans="1:1" x14ac:dyDescent="0.2">
      <c r="A9" t="s">
        <v>100</v>
      </c>
    </row>
    <row r="10" spans="1:1" x14ac:dyDescent="0.2">
      <c r="A10" t="s">
        <v>101</v>
      </c>
    </row>
    <row r="11" spans="1:1" x14ac:dyDescent="0.2">
      <c r="A11" t="s">
        <v>102</v>
      </c>
    </row>
    <row r="12" spans="1:1" x14ac:dyDescent="0.2">
      <c r="A12" t="s">
        <v>103</v>
      </c>
    </row>
    <row r="13" spans="1:1" x14ac:dyDescent="0.2">
      <c r="A13" t="s">
        <v>104</v>
      </c>
    </row>
    <row r="14" spans="1:1" x14ac:dyDescent="0.2">
      <c r="A14" t="s">
        <v>105</v>
      </c>
    </row>
    <row r="15" spans="1:1" x14ac:dyDescent="0.2">
      <c r="A15" t="s">
        <v>106</v>
      </c>
    </row>
    <row r="16" spans="1:1" x14ac:dyDescent="0.2">
      <c r="A16" t="s">
        <v>107</v>
      </c>
    </row>
    <row r="17" spans="1:9" x14ac:dyDescent="0.2">
      <c r="A17" t="s">
        <v>108</v>
      </c>
    </row>
    <row r="18" spans="1:9" x14ac:dyDescent="0.2">
      <c r="A18" t="s">
        <v>109</v>
      </c>
    </row>
    <row r="19" spans="1:9" x14ac:dyDescent="0.2">
      <c r="A19" t="s">
        <v>110</v>
      </c>
    </row>
    <row r="20" spans="1:9" x14ac:dyDescent="0.2">
      <c r="A20" t="s">
        <v>111</v>
      </c>
    </row>
    <row r="21" spans="1:9" x14ac:dyDescent="0.2">
      <c r="A21" t="s">
        <v>112</v>
      </c>
    </row>
    <row r="22" spans="1:9" x14ac:dyDescent="0.2">
      <c r="A22" t="s">
        <v>113</v>
      </c>
    </row>
    <row r="23" spans="1:9" x14ac:dyDescent="0.2">
      <c r="A23" t="s">
        <v>114</v>
      </c>
    </row>
    <row r="24" spans="1:9" x14ac:dyDescent="0.2">
      <c r="A24" t="s">
        <v>115</v>
      </c>
    </row>
    <row r="25" spans="1:9" x14ac:dyDescent="0.2">
      <c r="A25" t="s">
        <v>116</v>
      </c>
    </row>
    <row r="26" spans="1:9" x14ac:dyDescent="0.2">
      <c r="A26" t="s">
        <v>117</v>
      </c>
    </row>
    <row r="27" spans="1:9" x14ac:dyDescent="0.2">
      <c r="A27" t="s">
        <v>70</v>
      </c>
      <c r="B27" t="s">
        <v>61</v>
      </c>
      <c r="C27" t="s">
        <v>71</v>
      </c>
      <c r="D27" t="s">
        <v>72</v>
      </c>
      <c r="E27" t="s">
        <v>118</v>
      </c>
      <c r="F27" t="s">
        <v>119</v>
      </c>
      <c r="G27" t="s">
        <v>58</v>
      </c>
      <c r="H27" t="s">
        <v>59</v>
      </c>
      <c r="I27" t="s">
        <v>120</v>
      </c>
    </row>
    <row r="28" spans="1:9" x14ac:dyDescent="0.2">
      <c r="A28" t="s">
        <v>73</v>
      </c>
      <c r="B28">
        <v>34</v>
      </c>
      <c r="C28">
        <v>20</v>
      </c>
      <c r="D28">
        <v>2</v>
      </c>
      <c r="E28">
        <v>0</v>
      </c>
      <c r="F28" s="14">
        <v>0.12515491695376099</v>
      </c>
      <c r="G28">
        <v>1</v>
      </c>
      <c r="H28">
        <v>1</v>
      </c>
      <c r="I28" t="s">
        <v>121</v>
      </c>
    </row>
    <row r="29" spans="1:9" x14ac:dyDescent="0.2">
      <c r="A29" t="s">
        <v>74</v>
      </c>
      <c r="B29">
        <v>136</v>
      </c>
      <c r="C29">
        <v>32</v>
      </c>
      <c r="D29">
        <v>4</v>
      </c>
      <c r="E29">
        <v>0</v>
      </c>
      <c r="F29" s="14">
        <v>0.14731808303622501</v>
      </c>
      <c r="G29">
        <v>1</v>
      </c>
      <c r="H29">
        <v>1</v>
      </c>
      <c r="I29" t="s">
        <v>122</v>
      </c>
    </row>
    <row r="30" spans="1:9" x14ac:dyDescent="0.2">
      <c r="A30" t="s">
        <v>75</v>
      </c>
      <c r="B30">
        <v>238</v>
      </c>
      <c r="C30">
        <v>44</v>
      </c>
      <c r="D30">
        <v>6</v>
      </c>
      <c r="E30">
        <v>0</v>
      </c>
      <c r="F30" s="14">
        <v>1460.967287042</v>
      </c>
      <c r="G30">
        <v>1</v>
      </c>
      <c r="H30">
        <v>1</v>
      </c>
      <c r="I30" t="s">
        <v>123</v>
      </c>
    </row>
    <row r="31" spans="1:9" x14ac:dyDescent="0.2">
      <c r="A31" t="s">
        <v>76</v>
      </c>
      <c r="B31">
        <v>340</v>
      </c>
      <c r="C31">
        <v>56</v>
      </c>
      <c r="D31">
        <v>8</v>
      </c>
      <c r="E31">
        <v>0</v>
      </c>
      <c r="F31" s="14">
        <v>28800.153363249901</v>
      </c>
      <c r="G31">
        <v>1</v>
      </c>
      <c r="H31">
        <v>1</v>
      </c>
      <c r="I31" t="s">
        <v>124</v>
      </c>
    </row>
    <row r="32" spans="1:9" x14ac:dyDescent="0.2">
      <c r="A32" t="s">
        <v>77</v>
      </c>
      <c r="B32">
        <v>442</v>
      </c>
      <c r="C32">
        <v>68</v>
      </c>
      <c r="D32">
        <v>10</v>
      </c>
      <c r="E32">
        <v>0</v>
      </c>
      <c r="F32" s="14">
        <v>28800.226675958002</v>
      </c>
      <c r="G32">
        <v>1</v>
      </c>
      <c r="H32">
        <v>1</v>
      </c>
      <c r="I32" t="s">
        <v>125</v>
      </c>
    </row>
    <row r="33" spans="1:9" x14ac:dyDescent="0.2">
      <c r="A33" t="s">
        <v>78</v>
      </c>
      <c r="B33">
        <v>544</v>
      </c>
      <c r="C33">
        <v>80</v>
      </c>
      <c r="D33">
        <v>12</v>
      </c>
      <c r="E33">
        <v>0</v>
      </c>
      <c r="F33" s="14">
        <v>28800.196257583</v>
      </c>
      <c r="G33">
        <v>1</v>
      </c>
      <c r="H33">
        <v>1</v>
      </c>
      <c r="I33" t="s">
        <v>126</v>
      </c>
    </row>
    <row r="34" spans="1:9" x14ac:dyDescent="0.2">
      <c r="A34" t="s">
        <v>79</v>
      </c>
      <c r="B34">
        <v>714</v>
      </c>
      <c r="C34">
        <v>100</v>
      </c>
      <c r="D34">
        <v>16</v>
      </c>
      <c r="E34">
        <v>0</v>
      </c>
      <c r="F34" s="14">
        <v>28800.333574999899</v>
      </c>
      <c r="G34">
        <v>1</v>
      </c>
      <c r="H34">
        <v>1</v>
      </c>
      <c r="I34" t="s">
        <v>127</v>
      </c>
    </row>
    <row r="35" spans="1:9" x14ac:dyDescent="0.2">
      <c r="A35" t="s">
        <v>80</v>
      </c>
      <c r="B35">
        <v>1020</v>
      </c>
      <c r="C35">
        <v>136</v>
      </c>
      <c r="D35">
        <v>16</v>
      </c>
      <c r="E35">
        <v>0</v>
      </c>
      <c r="F35" s="14">
        <v>28800.401406665998</v>
      </c>
      <c r="G35">
        <v>1</v>
      </c>
      <c r="H35">
        <v>1</v>
      </c>
      <c r="I35" t="s">
        <v>304</v>
      </c>
    </row>
    <row r="36" spans="1:9" x14ac:dyDescent="0.2">
      <c r="A36" t="s">
        <v>86</v>
      </c>
      <c r="B36">
        <v>2074</v>
      </c>
      <c r="C36">
        <v>260</v>
      </c>
      <c r="D36">
        <v>278</v>
      </c>
      <c r="E36">
        <v>254</v>
      </c>
      <c r="F36" s="14">
        <v>28801.898551333899</v>
      </c>
      <c r="G36">
        <v>1</v>
      </c>
      <c r="H36">
        <v>1</v>
      </c>
      <c r="I36" t="s">
        <v>305</v>
      </c>
    </row>
    <row r="37" spans="1:9" x14ac:dyDescent="0.2">
      <c r="A37" t="s">
        <v>81</v>
      </c>
      <c r="B37">
        <v>1054</v>
      </c>
      <c r="C37">
        <v>140</v>
      </c>
      <c r="D37">
        <v>20</v>
      </c>
      <c r="E37">
        <v>0</v>
      </c>
      <c r="F37" s="14">
        <v>28800.6605104589</v>
      </c>
      <c r="G37">
        <v>1</v>
      </c>
      <c r="H37">
        <v>1</v>
      </c>
      <c r="I37" t="s">
        <v>306</v>
      </c>
    </row>
    <row r="38" spans="1:9" x14ac:dyDescent="0.2">
      <c r="A38" t="s">
        <v>87</v>
      </c>
      <c r="B38">
        <v>2278</v>
      </c>
      <c r="C38">
        <v>284</v>
      </c>
      <c r="D38">
        <v>22</v>
      </c>
      <c r="E38">
        <v>0</v>
      </c>
      <c r="F38" s="14">
        <v>28804.437013291001</v>
      </c>
      <c r="G38">
        <v>1</v>
      </c>
      <c r="H38">
        <v>1</v>
      </c>
      <c r="I38" t="s">
        <v>307</v>
      </c>
    </row>
    <row r="39" spans="1:9" x14ac:dyDescent="0.2">
      <c r="A39" t="s">
        <v>82</v>
      </c>
      <c r="B39">
        <v>1428</v>
      </c>
      <c r="C39">
        <v>184</v>
      </c>
      <c r="D39">
        <v>32</v>
      </c>
      <c r="E39">
        <v>8</v>
      </c>
      <c r="F39" s="14">
        <v>28802.215934708001</v>
      </c>
      <c r="G39">
        <v>1</v>
      </c>
      <c r="H39">
        <v>1</v>
      </c>
      <c r="I39" t="s">
        <v>308</v>
      </c>
    </row>
    <row r="40" spans="1:9" x14ac:dyDescent="0.2">
      <c r="A40" t="s">
        <v>88</v>
      </c>
      <c r="B40">
        <v>2482</v>
      </c>
      <c r="C40">
        <v>308</v>
      </c>
      <c r="D40">
        <v>360</v>
      </c>
      <c r="E40">
        <v>336</v>
      </c>
      <c r="F40" s="14">
        <v>28808.324567624899</v>
      </c>
      <c r="G40">
        <v>1</v>
      </c>
      <c r="H40">
        <v>1</v>
      </c>
      <c r="I40" t="s">
        <v>309</v>
      </c>
    </row>
    <row r="41" spans="1:9" x14ac:dyDescent="0.2">
      <c r="A41" t="s">
        <v>83</v>
      </c>
      <c r="B41">
        <v>1768</v>
      </c>
      <c r="C41">
        <v>224</v>
      </c>
      <c r="D41">
        <v>238</v>
      </c>
      <c r="E41">
        <v>216</v>
      </c>
      <c r="F41">
        <v>28806.287660000002</v>
      </c>
      <c r="G41">
        <v>1</v>
      </c>
      <c r="H41">
        <v>1</v>
      </c>
      <c r="I41" t="s">
        <v>310</v>
      </c>
    </row>
    <row r="42" spans="1:9" x14ac:dyDescent="0.2">
      <c r="A42" t="s">
        <v>84</v>
      </c>
      <c r="B42">
        <v>1972</v>
      </c>
      <c r="C42">
        <v>248</v>
      </c>
      <c r="D42">
        <v>38</v>
      </c>
      <c r="E42">
        <v>18</v>
      </c>
      <c r="F42" s="14">
        <v>28802.006348415998</v>
      </c>
      <c r="G42">
        <v>1</v>
      </c>
      <c r="H42">
        <v>1</v>
      </c>
      <c r="I42" t="s">
        <v>312</v>
      </c>
    </row>
    <row r="43" spans="1:9" x14ac:dyDescent="0.2">
      <c r="A43" t="s">
        <v>85</v>
      </c>
      <c r="B43">
        <v>2040</v>
      </c>
      <c r="C43">
        <v>256</v>
      </c>
      <c r="D43">
        <v>274</v>
      </c>
      <c r="E43">
        <v>254</v>
      </c>
      <c r="F43" s="14">
        <v>28804.360136374999</v>
      </c>
      <c r="G43">
        <v>1</v>
      </c>
      <c r="H43">
        <v>1</v>
      </c>
      <c r="I43" t="s">
        <v>313</v>
      </c>
    </row>
    <row r="44" spans="1:9" x14ac:dyDescent="0.2">
      <c r="A44" t="s">
        <v>89</v>
      </c>
      <c r="B44">
        <v>2720</v>
      </c>
      <c r="C44">
        <v>336</v>
      </c>
      <c r="D44">
        <v>372</v>
      </c>
      <c r="E44">
        <v>364</v>
      </c>
      <c r="F44">
        <v>28803.485585082999</v>
      </c>
      <c r="G44">
        <v>1</v>
      </c>
      <c r="H44">
        <v>1</v>
      </c>
      <c r="I44" t="s">
        <v>315</v>
      </c>
    </row>
    <row r="45" spans="1:9" x14ac:dyDescent="0.2">
      <c r="A45" t="s">
        <v>90</v>
      </c>
      <c r="B45">
        <v>2890</v>
      </c>
      <c r="C45">
        <v>356</v>
      </c>
      <c r="D45">
        <v>418</v>
      </c>
      <c r="E45">
        <v>402</v>
      </c>
      <c r="F45">
        <v>28804.644649292</v>
      </c>
      <c r="G45">
        <v>1</v>
      </c>
      <c r="H45">
        <v>1</v>
      </c>
      <c r="I45" t="s">
        <v>316</v>
      </c>
    </row>
    <row r="46" spans="1:9" x14ac:dyDescent="0.2">
      <c r="A46" t="s">
        <v>91</v>
      </c>
      <c r="B46">
        <v>3230</v>
      </c>
      <c r="C46">
        <v>396</v>
      </c>
      <c r="D46">
        <v>480</v>
      </c>
      <c r="E46">
        <v>456</v>
      </c>
      <c r="F46">
        <v>28806.515856624901</v>
      </c>
      <c r="G46">
        <v>1</v>
      </c>
      <c r="H46">
        <v>1</v>
      </c>
      <c r="I46" t="s">
        <v>317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43"/>
  <sheetViews>
    <sheetView workbookViewId="0">
      <selection activeCell="A20" sqref="A20"/>
    </sheetView>
  </sheetViews>
  <sheetFormatPr baseColWidth="10" defaultColWidth="11" defaultRowHeight="16" x14ac:dyDescent="0.2"/>
  <sheetData>
    <row r="1" spans="1:1" x14ac:dyDescent="0.2">
      <c r="A1" t="s">
        <v>92</v>
      </c>
    </row>
    <row r="2" spans="1:1" x14ac:dyDescent="0.2">
      <c r="A2" t="s">
        <v>93</v>
      </c>
    </row>
    <row r="3" spans="1:1" x14ac:dyDescent="0.2">
      <c r="A3" s="6" t="s">
        <v>95</v>
      </c>
    </row>
    <row r="4" spans="1:1" x14ac:dyDescent="0.2">
      <c r="A4" t="s">
        <v>96</v>
      </c>
    </row>
    <row r="5" spans="1:1" x14ac:dyDescent="0.2">
      <c r="A5" s="6" t="s">
        <v>128</v>
      </c>
    </row>
    <row r="6" spans="1:1" x14ac:dyDescent="0.2">
      <c r="A6" t="s">
        <v>98</v>
      </c>
    </row>
    <row r="7" spans="1:1" x14ac:dyDescent="0.2">
      <c r="A7" t="s">
        <v>99</v>
      </c>
    </row>
    <row r="8" spans="1:1" x14ac:dyDescent="0.2">
      <c r="A8" s="6"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6" t="s">
        <v>114</v>
      </c>
    </row>
    <row r="21" spans="1:9" x14ac:dyDescent="0.2">
      <c r="A21" t="s">
        <v>115</v>
      </c>
    </row>
    <row r="22" spans="1:9" x14ac:dyDescent="0.2">
      <c r="A22" t="s">
        <v>130</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v>1.7905452000007899E-2</v>
      </c>
      <c r="G25">
        <v>1</v>
      </c>
      <c r="H25">
        <v>1</v>
      </c>
      <c r="I25" t="s">
        <v>131</v>
      </c>
    </row>
    <row r="26" spans="1:9" x14ac:dyDescent="0.2">
      <c r="A26" t="s">
        <v>74</v>
      </c>
      <c r="B26">
        <v>136</v>
      </c>
      <c r="C26">
        <v>32</v>
      </c>
      <c r="D26">
        <v>4</v>
      </c>
      <c r="E26">
        <v>0</v>
      </c>
      <c r="F26">
        <v>0.24965510899997401</v>
      </c>
      <c r="G26">
        <v>1</v>
      </c>
      <c r="H26">
        <v>1</v>
      </c>
      <c r="I26" t="s">
        <v>132</v>
      </c>
    </row>
    <row r="27" spans="1:9" x14ac:dyDescent="0.2">
      <c r="A27" t="s">
        <v>75</v>
      </c>
      <c r="B27">
        <v>238</v>
      </c>
      <c r="C27">
        <v>44</v>
      </c>
      <c r="D27">
        <v>6</v>
      </c>
      <c r="E27">
        <v>0</v>
      </c>
      <c r="F27">
        <v>3.8439236290000101</v>
      </c>
      <c r="G27">
        <v>1</v>
      </c>
      <c r="H27">
        <v>1</v>
      </c>
      <c r="I27" t="s">
        <v>133</v>
      </c>
    </row>
    <row r="28" spans="1:9" x14ac:dyDescent="0.2">
      <c r="A28" t="s">
        <v>76</v>
      </c>
      <c r="B28">
        <v>340</v>
      </c>
      <c r="C28">
        <v>56</v>
      </c>
      <c r="D28">
        <v>8</v>
      </c>
      <c r="E28">
        <v>0</v>
      </c>
      <c r="F28">
        <v>20.0395554639999</v>
      </c>
      <c r="G28">
        <v>1</v>
      </c>
      <c r="H28">
        <v>1</v>
      </c>
      <c r="I28" t="s">
        <v>134</v>
      </c>
    </row>
    <row r="29" spans="1:9" x14ac:dyDescent="0.2">
      <c r="A29" t="s">
        <v>77</v>
      </c>
      <c r="B29">
        <v>442</v>
      </c>
      <c r="C29">
        <v>68</v>
      </c>
      <c r="D29">
        <v>10</v>
      </c>
      <c r="E29">
        <v>0</v>
      </c>
      <c r="F29">
        <v>945.80864326300002</v>
      </c>
      <c r="G29">
        <v>1</v>
      </c>
      <c r="H29">
        <v>1</v>
      </c>
      <c r="I29" t="s">
        <v>135</v>
      </c>
    </row>
    <row r="30" spans="1:9" x14ac:dyDescent="0.2">
      <c r="A30" t="s">
        <v>78</v>
      </c>
      <c r="B30">
        <v>544</v>
      </c>
      <c r="C30">
        <v>80</v>
      </c>
      <c r="D30">
        <v>12</v>
      </c>
      <c r="E30">
        <v>0</v>
      </c>
      <c r="F30">
        <v>27062.223389344999</v>
      </c>
      <c r="G30">
        <v>1</v>
      </c>
      <c r="H30">
        <v>1</v>
      </c>
      <c r="I30" t="s">
        <v>136</v>
      </c>
    </row>
    <row r="31" spans="1:9" x14ac:dyDescent="0.2">
      <c r="A31" t="s">
        <v>79</v>
      </c>
      <c r="B31">
        <v>714</v>
      </c>
      <c r="C31">
        <v>100</v>
      </c>
      <c r="D31">
        <v>34</v>
      </c>
      <c r="E31">
        <v>18</v>
      </c>
      <c r="F31">
        <v>28800.170925069</v>
      </c>
      <c r="G31">
        <v>1</v>
      </c>
      <c r="H31">
        <v>1</v>
      </c>
      <c r="I31" t="s">
        <v>137</v>
      </c>
    </row>
    <row r="32" spans="1:9" x14ac:dyDescent="0.2">
      <c r="A32" t="s">
        <v>80</v>
      </c>
      <c r="B32">
        <v>1020</v>
      </c>
      <c r="C32">
        <v>136</v>
      </c>
      <c r="D32">
        <v>170</v>
      </c>
      <c r="E32">
        <v>154</v>
      </c>
      <c r="F32">
        <v>28800.4063046929</v>
      </c>
      <c r="G32">
        <v>1</v>
      </c>
      <c r="H32">
        <v>1</v>
      </c>
      <c r="I32" t="s">
        <v>138</v>
      </c>
    </row>
    <row r="33" spans="1:9" x14ac:dyDescent="0.2">
      <c r="A33" t="s">
        <v>81</v>
      </c>
      <c r="B33">
        <v>1054</v>
      </c>
      <c r="C33">
        <v>140</v>
      </c>
      <c r="D33">
        <v>242</v>
      </c>
      <c r="E33">
        <v>222</v>
      </c>
      <c r="F33">
        <v>28800.344998311</v>
      </c>
      <c r="G33">
        <v>1</v>
      </c>
      <c r="H33">
        <v>1</v>
      </c>
      <c r="I33" t="s">
        <v>139</v>
      </c>
    </row>
    <row r="34" spans="1:9" x14ac:dyDescent="0.2">
      <c r="A34" t="s">
        <v>82</v>
      </c>
      <c r="B34">
        <v>1428</v>
      </c>
      <c r="C34">
        <v>184</v>
      </c>
      <c r="D34">
        <v>250</v>
      </c>
      <c r="E34">
        <v>226</v>
      </c>
      <c r="F34">
        <v>28800.417350570999</v>
      </c>
      <c r="G34">
        <v>1</v>
      </c>
      <c r="H34">
        <v>1</v>
      </c>
      <c r="I34" t="s">
        <v>140</v>
      </c>
    </row>
    <row r="35" spans="1:9" x14ac:dyDescent="0.2">
      <c r="A35" t="s">
        <v>83</v>
      </c>
      <c r="B35">
        <v>1768</v>
      </c>
      <c r="C35">
        <v>224</v>
      </c>
      <c r="D35">
        <v>62</v>
      </c>
      <c r="E35">
        <v>40</v>
      </c>
      <c r="F35">
        <v>28800.601165345899</v>
      </c>
      <c r="G35">
        <v>1</v>
      </c>
      <c r="H35">
        <v>1</v>
      </c>
      <c r="I35" t="s">
        <v>141</v>
      </c>
    </row>
    <row r="36" spans="1:9" x14ac:dyDescent="0.2">
      <c r="A36" t="s">
        <v>84</v>
      </c>
      <c r="B36">
        <v>1972</v>
      </c>
      <c r="C36">
        <v>248</v>
      </c>
      <c r="D36">
        <v>72</v>
      </c>
      <c r="E36">
        <v>52</v>
      </c>
      <c r="F36">
        <v>28800.779733538999</v>
      </c>
      <c r="G36">
        <v>1</v>
      </c>
      <c r="H36">
        <v>1</v>
      </c>
      <c r="I36" t="s">
        <v>142</v>
      </c>
    </row>
    <row r="37" spans="1:9" x14ac:dyDescent="0.2">
      <c r="A37" t="s">
        <v>85</v>
      </c>
      <c r="B37">
        <v>2040</v>
      </c>
      <c r="C37">
        <v>256</v>
      </c>
      <c r="D37">
        <v>0</v>
      </c>
      <c r="E37">
        <v>-20</v>
      </c>
      <c r="F37">
        <v>28800.681218117901</v>
      </c>
      <c r="G37">
        <v>1</v>
      </c>
      <c r="H37">
        <v>1</v>
      </c>
      <c r="I37" t="s">
        <v>143</v>
      </c>
    </row>
    <row r="38" spans="1:9" x14ac:dyDescent="0.2">
      <c r="A38" t="s">
        <v>86</v>
      </c>
      <c r="B38">
        <v>2074</v>
      </c>
      <c r="C38">
        <v>260</v>
      </c>
      <c r="D38">
        <v>428</v>
      </c>
      <c r="E38">
        <v>404</v>
      </c>
      <c r="F38">
        <v>28800.763498985201</v>
      </c>
      <c r="G38">
        <v>1</v>
      </c>
      <c r="H38">
        <v>1</v>
      </c>
      <c r="I38" t="s">
        <v>144</v>
      </c>
    </row>
    <row r="39" spans="1:9" x14ac:dyDescent="0.2">
      <c r="A39" t="s">
        <v>87</v>
      </c>
      <c r="B39">
        <v>2278</v>
      </c>
      <c r="C39">
        <v>284</v>
      </c>
      <c r="D39">
        <v>112</v>
      </c>
      <c r="E39">
        <v>90</v>
      </c>
      <c r="F39">
        <v>28800.8553658458</v>
      </c>
      <c r="G39">
        <v>1</v>
      </c>
      <c r="H39">
        <v>1</v>
      </c>
      <c r="I39" t="s">
        <v>145</v>
      </c>
    </row>
    <row r="40" spans="1:9" x14ac:dyDescent="0.2">
      <c r="A40" t="s">
        <v>88</v>
      </c>
      <c r="B40">
        <v>2482</v>
      </c>
      <c r="C40">
        <v>308</v>
      </c>
      <c r="D40">
        <v>0</v>
      </c>
      <c r="E40">
        <v>-24</v>
      </c>
      <c r="F40">
        <v>28800.912829283101</v>
      </c>
      <c r="G40">
        <v>1</v>
      </c>
      <c r="H40">
        <v>1</v>
      </c>
      <c r="I40" t="s">
        <v>146</v>
      </c>
    </row>
    <row r="41" spans="1:9" x14ac:dyDescent="0.2">
      <c r="A41" t="s">
        <v>89</v>
      </c>
      <c r="B41">
        <v>2720</v>
      </c>
      <c r="C41">
        <v>336</v>
      </c>
      <c r="D41">
        <v>0</v>
      </c>
      <c r="E41">
        <v>-22</v>
      </c>
      <c r="F41">
        <v>28801.188812158998</v>
      </c>
      <c r="G41">
        <v>1</v>
      </c>
      <c r="H41">
        <v>1</v>
      </c>
      <c r="I41" t="s">
        <v>147</v>
      </c>
    </row>
    <row r="42" spans="1:9" x14ac:dyDescent="0.2">
      <c r="A42" t="s">
        <v>90</v>
      </c>
      <c r="B42">
        <v>2890</v>
      </c>
      <c r="C42">
        <v>356</v>
      </c>
      <c r="D42">
        <v>0</v>
      </c>
      <c r="E42">
        <v>-24</v>
      </c>
      <c r="F42">
        <v>28801.361401431201</v>
      </c>
      <c r="G42">
        <v>1</v>
      </c>
      <c r="H42">
        <v>1</v>
      </c>
      <c r="I42" t="s">
        <v>148</v>
      </c>
    </row>
    <row r="43" spans="1:9" x14ac:dyDescent="0.2">
      <c r="A43" t="s">
        <v>91</v>
      </c>
      <c r="B43">
        <v>3230</v>
      </c>
      <c r="C43">
        <v>396</v>
      </c>
      <c r="D43">
        <v>0</v>
      </c>
      <c r="E43">
        <v>-24</v>
      </c>
      <c r="F43">
        <v>28801.5787639915</v>
      </c>
      <c r="G43">
        <v>1</v>
      </c>
      <c r="H43">
        <v>1</v>
      </c>
      <c r="I43"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43"/>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150</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152</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s="1">
        <v>6.8838000006508004E-3</v>
      </c>
      <c r="G25">
        <v>1</v>
      </c>
      <c r="H25">
        <v>1</v>
      </c>
      <c r="I25" t="s">
        <v>153</v>
      </c>
    </row>
    <row r="26" spans="1:9" x14ac:dyDescent="0.2">
      <c r="A26" t="s">
        <v>74</v>
      </c>
      <c r="B26">
        <v>136</v>
      </c>
      <c r="C26">
        <v>32</v>
      </c>
      <c r="D26">
        <v>4</v>
      </c>
      <c r="E26">
        <v>0</v>
      </c>
      <c r="F26">
        <v>2.2251710994169099E-2</v>
      </c>
      <c r="G26">
        <v>1</v>
      </c>
      <c r="H26">
        <v>1</v>
      </c>
      <c r="I26" t="s">
        <v>154</v>
      </c>
    </row>
    <row r="27" spans="1:9" x14ac:dyDescent="0.2">
      <c r="A27" t="s">
        <v>75</v>
      </c>
      <c r="B27">
        <v>238</v>
      </c>
      <c r="C27">
        <v>44</v>
      </c>
      <c r="D27">
        <v>8</v>
      </c>
      <c r="E27">
        <v>2</v>
      </c>
      <c r="F27">
        <v>4.3802503001643303E-2</v>
      </c>
      <c r="G27">
        <v>1</v>
      </c>
      <c r="H27">
        <v>1</v>
      </c>
      <c r="I27" t="s">
        <v>155</v>
      </c>
    </row>
    <row r="28" spans="1:9" x14ac:dyDescent="0.2">
      <c r="A28" t="s">
        <v>76</v>
      </c>
      <c r="B28">
        <v>340</v>
      </c>
      <c r="C28">
        <v>56</v>
      </c>
      <c r="D28">
        <v>10</v>
      </c>
      <c r="E28">
        <v>2</v>
      </c>
      <c r="F28">
        <v>7.9245547996833907E-2</v>
      </c>
      <c r="G28">
        <v>1</v>
      </c>
      <c r="H28">
        <v>1</v>
      </c>
      <c r="I28" t="s">
        <v>156</v>
      </c>
    </row>
    <row r="29" spans="1:9" x14ac:dyDescent="0.2">
      <c r="A29" t="s">
        <v>77</v>
      </c>
      <c r="B29">
        <v>442</v>
      </c>
      <c r="C29">
        <v>68</v>
      </c>
      <c r="D29">
        <v>0</v>
      </c>
      <c r="E29">
        <v>-10</v>
      </c>
      <c r="F29">
        <v>9.8789057999965693E-2</v>
      </c>
      <c r="G29">
        <v>1</v>
      </c>
      <c r="H29">
        <v>1</v>
      </c>
      <c r="I29" t="s">
        <v>157</v>
      </c>
    </row>
    <row r="30" spans="1:9" x14ac:dyDescent="0.2">
      <c r="A30" t="s">
        <v>78</v>
      </c>
      <c r="B30">
        <v>544</v>
      </c>
      <c r="C30">
        <v>80</v>
      </c>
      <c r="D30">
        <v>0</v>
      </c>
      <c r="E30">
        <v>-12</v>
      </c>
      <c r="F30">
        <v>0.13836348200857099</v>
      </c>
      <c r="G30">
        <v>1</v>
      </c>
      <c r="H30">
        <v>1</v>
      </c>
      <c r="I30" t="s">
        <v>158</v>
      </c>
    </row>
    <row r="31" spans="1:9" x14ac:dyDescent="0.2">
      <c r="A31" t="s">
        <v>79</v>
      </c>
      <c r="B31">
        <v>714</v>
      </c>
      <c r="C31">
        <v>100</v>
      </c>
      <c r="D31">
        <v>0</v>
      </c>
      <c r="E31">
        <v>-16</v>
      </c>
      <c r="F31">
        <v>0.203908815994509</v>
      </c>
      <c r="G31">
        <v>1</v>
      </c>
      <c r="H31">
        <v>1</v>
      </c>
      <c r="I31" t="s">
        <v>159</v>
      </c>
    </row>
    <row r="32" spans="1:9" x14ac:dyDescent="0.2">
      <c r="A32" t="s">
        <v>80</v>
      </c>
      <c r="B32">
        <v>1020</v>
      </c>
      <c r="C32">
        <v>136</v>
      </c>
      <c r="D32">
        <v>0</v>
      </c>
      <c r="E32">
        <v>-16</v>
      </c>
      <c r="F32">
        <v>0.41165293900121402</v>
      </c>
      <c r="G32">
        <v>1</v>
      </c>
      <c r="H32">
        <v>1</v>
      </c>
      <c r="I32" t="s">
        <v>160</v>
      </c>
    </row>
    <row r="33" spans="1:9" x14ac:dyDescent="0.2">
      <c r="A33" t="s">
        <v>81</v>
      </c>
      <c r="B33">
        <v>1054</v>
      </c>
      <c r="C33">
        <v>140</v>
      </c>
      <c r="D33">
        <v>0</v>
      </c>
      <c r="E33">
        <v>-20</v>
      </c>
      <c r="F33">
        <v>0.39336811300017799</v>
      </c>
      <c r="G33">
        <v>1</v>
      </c>
      <c r="H33">
        <v>1</v>
      </c>
      <c r="I33" t="s">
        <v>161</v>
      </c>
    </row>
    <row r="34" spans="1:9" x14ac:dyDescent="0.2">
      <c r="A34" t="s">
        <v>82</v>
      </c>
      <c r="B34">
        <v>1428</v>
      </c>
      <c r="C34">
        <v>184</v>
      </c>
      <c r="D34">
        <v>0</v>
      </c>
      <c r="E34">
        <v>-24</v>
      </c>
      <c r="F34">
        <v>0.64483322900196005</v>
      </c>
      <c r="G34">
        <v>1</v>
      </c>
      <c r="H34">
        <v>1</v>
      </c>
      <c r="I34" t="s">
        <v>162</v>
      </c>
    </row>
    <row r="35" spans="1:9" x14ac:dyDescent="0.2">
      <c r="A35" t="s">
        <v>83</v>
      </c>
      <c r="B35">
        <v>1768</v>
      </c>
      <c r="C35">
        <v>224</v>
      </c>
      <c r="D35">
        <v>0</v>
      </c>
      <c r="E35">
        <v>-22</v>
      </c>
      <c r="F35">
        <v>0.94334146600158397</v>
      </c>
      <c r="G35">
        <v>1</v>
      </c>
      <c r="H35">
        <v>1</v>
      </c>
      <c r="I35" t="s">
        <v>163</v>
      </c>
    </row>
    <row r="36" spans="1:9" x14ac:dyDescent="0.2">
      <c r="A36" t="s">
        <v>84</v>
      </c>
      <c r="B36">
        <v>1972</v>
      </c>
      <c r="C36">
        <v>248</v>
      </c>
      <c r="D36">
        <v>0</v>
      </c>
      <c r="E36">
        <v>-20</v>
      </c>
      <c r="F36">
        <v>1.16433319900534</v>
      </c>
      <c r="G36">
        <v>1</v>
      </c>
      <c r="H36">
        <v>1</v>
      </c>
      <c r="I36" t="s">
        <v>164</v>
      </c>
    </row>
    <row r="37" spans="1:9" x14ac:dyDescent="0.2">
      <c r="A37" t="s">
        <v>85</v>
      </c>
      <c r="B37">
        <v>2040</v>
      </c>
      <c r="C37">
        <v>256</v>
      </c>
      <c r="D37">
        <v>0</v>
      </c>
      <c r="E37">
        <v>-20</v>
      </c>
      <c r="F37">
        <v>1.25133030999859</v>
      </c>
      <c r="G37">
        <v>1</v>
      </c>
      <c r="H37">
        <v>1</v>
      </c>
      <c r="I37" t="s">
        <v>165</v>
      </c>
    </row>
    <row r="38" spans="1:9" x14ac:dyDescent="0.2">
      <c r="A38" t="s">
        <v>86</v>
      </c>
      <c r="B38">
        <v>2074</v>
      </c>
      <c r="C38">
        <v>260</v>
      </c>
      <c r="D38">
        <v>0</v>
      </c>
      <c r="E38">
        <v>-24</v>
      </c>
      <c r="F38">
        <v>1.2355295909946999</v>
      </c>
      <c r="G38">
        <v>1</v>
      </c>
      <c r="H38">
        <v>1</v>
      </c>
      <c r="I38" t="s">
        <v>166</v>
      </c>
    </row>
    <row r="39" spans="1:9" x14ac:dyDescent="0.2">
      <c r="A39" t="s">
        <v>87</v>
      </c>
      <c r="B39">
        <v>2278</v>
      </c>
      <c r="C39">
        <v>284</v>
      </c>
      <c r="D39">
        <v>0</v>
      </c>
      <c r="E39">
        <v>-22</v>
      </c>
      <c r="F39">
        <v>1.47613988400553</v>
      </c>
      <c r="G39">
        <v>1</v>
      </c>
      <c r="H39">
        <v>1</v>
      </c>
      <c r="I39" t="s">
        <v>167</v>
      </c>
    </row>
    <row r="40" spans="1:9" x14ac:dyDescent="0.2">
      <c r="A40" t="s">
        <v>88</v>
      </c>
      <c r="B40">
        <v>2482</v>
      </c>
      <c r="C40">
        <v>308</v>
      </c>
      <c r="D40">
        <v>0</v>
      </c>
      <c r="E40">
        <v>-24</v>
      </c>
      <c r="F40">
        <v>1.7500833769881801</v>
      </c>
      <c r="G40">
        <v>1</v>
      </c>
      <c r="H40">
        <v>1</v>
      </c>
      <c r="I40" t="s">
        <v>168</v>
      </c>
    </row>
    <row r="41" spans="1:9" x14ac:dyDescent="0.2">
      <c r="A41" t="s">
        <v>89</v>
      </c>
      <c r="B41">
        <v>2720</v>
      </c>
      <c r="C41">
        <v>336</v>
      </c>
      <c r="D41">
        <v>0</v>
      </c>
      <c r="E41">
        <v>-22</v>
      </c>
      <c r="F41">
        <v>2.0643860070122102</v>
      </c>
      <c r="G41">
        <v>1</v>
      </c>
      <c r="H41">
        <v>1</v>
      </c>
      <c r="I41" t="s">
        <v>169</v>
      </c>
    </row>
    <row r="42" spans="1:9" x14ac:dyDescent="0.2">
      <c r="A42" t="s">
        <v>90</v>
      </c>
      <c r="B42">
        <v>2890</v>
      </c>
      <c r="C42">
        <v>356</v>
      </c>
      <c r="D42">
        <v>0</v>
      </c>
      <c r="E42">
        <v>-24</v>
      </c>
      <c r="F42">
        <v>2.4688693309872098</v>
      </c>
      <c r="G42">
        <v>1</v>
      </c>
      <c r="H42">
        <v>1</v>
      </c>
      <c r="I42" t="s">
        <v>170</v>
      </c>
    </row>
    <row r="43" spans="1:9" x14ac:dyDescent="0.2">
      <c r="A43" t="s">
        <v>91</v>
      </c>
      <c r="B43">
        <v>3230</v>
      </c>
      <c r="C43">
        <v>396</v>
      </c>
      <c r="D43">
        <v>0</v>
      </c>
      <c r="E43">
        <v>-24</v>
      </c>
      <c r="F43">
        <v>2.8587754790059901</v>
      </c>
      <c r="G43">
        <v>1</v>
      </c>
      <c r="H43">
        <v>1</v>
      </c>
      <c r="I43" t="s">
        <v>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76852-9CAE-2E47-8942-E069F16DEA91}">
  <dimension ref="A1:I41"/>
  <sheetViews>
    <sheetView topLeftCell="A10" workbookViewId="0">
      <selection activeCell="A20" sqref="A20"/>
    </sheetView>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172</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173</v>
      </c>
    </row>
    <row r="22" spans="1:9" x14ac:dyDescent="0.2">
      <c r="A22" t="s">
        <v>115</v>
      </c>
    </row>
    <row r="23" spans="1:9" x14ac:dyDescent="0.2">
      <c r="A23" t="s">
        <v>174</v>
      </c>
    </row>
    <row r="24" spans="1:9" x14ac:dyDescent="0.2">
      <c r="A24" t="s">
        <v>175</v>
      </c>
    </row>
    <row r="25" spans="1:9" x14ac:dyDescent="0.2">
      <c r="A25" t="s">
        <v>176</v>
      </c>
    </row>
    <row r="26" spans="1:9" x14ac:dyDescent="0.2">
      <c r="A26" t="s">
        <v>177</v>
      </c>
    </row>
    <row r="27" spans="1:9" x14ac:dyDescent="0.2">
      <c r="A27" t="s">
        <v>178</v>
      </c>
    </row>
    <row r="28" spans="1:9" x14ac:dyDescent="0.2">
      <c r="A28" t="s">
        <v>179</v>
      </c>
    </row>
    <row r="29" spans="1:9" x14ac:dyDescent="0.2">
      <c r="A29" t="s">
        <v>117</v>
      </c>
    </row>
    <row r="30" spans="1:9" x14ac:dyDescent="0.2">
      <c r="A30" t="s">
        <v>70</v>
      </c>
      <c r="B30" t="s">
        <v>61</v>
      </c>
      <c r="C30" t="s">
        <v>71</v>
      </c>
      <c r="D30" t="s">
        <v>72</v>
      </c>
      <c r="E30" t="s">
        <v>118</v>
      </c>
      <c r="F30" t="s">
        <v>119</v>
      </c>
      <c r="G30" t="s">
        <v>58</v>
      </c>
      <c r="H30" t="s">
        <v>59</v>
      </c>
      <c r="I30" t="s">
        <v>120</v>
      </c>
    </row>
    <row r="31" spans="1:9" x14ac:dyDescent="0.2">
      <c r="A31" t="s">
        <v>73</v>
      </c>
      <c r="B31">
        <v>34</v>
      </c>
      <c r="C31">
        <v>20</v>
      </c>
      <c r="D31">
        <v>2</v>
      </c>
      <c r="E31">
        <v>0</v>
      </c>
      <c r="F31">
        <v>8.8330443277955002</v>
      </c>
      <c r="G31">
        <v>10000</v>
      </c>
      <c r="H31">
        <v>10000</v>
      </c>
      <c r="I31" t="s">
        <v>180</v>
      </c>
    </row>
    <row r="32" spans="1:9" x14ac:dyDescent="0.2">
      <c r="A32" t="s">
        <v>74</v>
      </c>
      <c r="B32">
        <v>136</v>
      </c>
      <c r="C32">
        <v>32</v>
      </c>
      <c r="D32">
        <v>4</v>
      </c>
      <c r="E32">
        <v>0</v>
      </c>
      <c r="F32">
        <v>23.831615187227701</v>
      </c>
      <c r="G32">
        <v>9974</v>
      </c>
      <c r="H32">
        <v>10000</v>
      </c>
      <c r="I32" t="s">
        <v>181</v>
      </c>
    </row>
    <row r="33" spans="1:9" x14ac:dyDescent="0.2">
      <c r="A33" t="s">
        <v>75</v>
      </c>
      <c r="B33">
        <v>238</v>
      </c>
      <c r="C33">
        <v>44</v>
      </c>
      <c r="D33">
        <v>6</v>
      </c>
      <c r="E33">
        <v>0</v>
      </c>
      <c r="F33">
        <v>54.113907046615999</v>
      </c>
      <c r="G33">
        <v>6485</v>
      </c>
      <c r="H33">
        <v>10000</v>
      </c>
      <c r="I33" t="s">
        <v>182</v>
      </c>
    </row>
    <row r="34" spans="1:9" x14ac:dyDescent="0.2">
      <c r="A34" t="s">
        <v>76</v>
      </c>
      <c r="B34">
        <v>340</v>
      </c>
      <c r="C34">
        <v>56</v>
      </c>
      <c r="D34">
        <v>8</v>
      </c>
      <c r="E34">
        <v>0</v>
      </c>
      <c r="F34">
        <v>119.54615467786699</v>
      </c>
      <c r="G34">
        <v>7920</v>
      </c>
      <c r="H34">
        <v>10000</v>
      </c>
      <c r="I34" t="s">
        <v>183</v>
      </c>
    </row>
    <row r="35" spans="1:9" x14ac:dyDescent="0.2">
      <c r="A35" t="s">
        <v>77</v>
      </c>
      <c r="B35">
        <v>442</v>
      </c>
      <c r="C35">
        <v>68</v>
      </c>
      <c r="D35">
        <v>10</v>
      </c>
      <c r="E35">
        <v>0</v>
      </c>
      <c r="F35">
        <v>319.15854816883802</v>
      </c>
      <c r="G35">
        <v>2639</v>
      </c>
      <c r="H35">
        <v>10000</v>
      </c>
      <c r="I35" t="s">
        <v>184</v>
      </c>
    </row>
    <row r="36" spans="1:9" x14ac:dyDescent="0.2">
      <c r="A36" t="s">
        <v>78</v>
      </c>
      <c r="B36">
        <v>544</v>
      </c>
      <c r="C36">
        <v>80</v>
      </c>
      <c r="D36">
        <v>12</v>
      </c>
      <c r="E36">
        <v>0</v>
      </c>
      <c r="F36">
        <v>693.35510673373904</v>
      </c>
      <c r="G36">
        <v>791</v>
      </c>
      <c r="H36">
        <v>10000</v>
      </c>
      <c r="I36" t="s">
        <v>185</v>
      </c>
    </row>
    <row r="37" spans="1:9" x14ac:dyDescent="0.2">
      <c r="A37" t="s">
        <v>79</v>
      </c>
      <c r="B37">
        <v>714</v>
      </c>
      <c r="C37">
        <v>100</v>
      </c>
      <c r="D37">
        <v>16</v>
      </c>
      <c r="E37">
        <v>0</v>
      </c>
      <c r="F37">
        <v>1941.4089771285601</v>
      </c>
      <c r="G37">
        <v>396</v>
      </c>
      <c r="H37">
        <v>10000</v>
      </c>
      <c r="I37" t="s">
        <v>186</v>
      </c>
    </row>
    <row r="38" spans="1:9" x14ac:dyDescent="0.2">
      <c r="A38" t="s">
        <v>80</v>
      </c>
      <c r="B38">
        <v>1020</v>
      </c>
      <c r="C38">
        <v>136</v>
      </c>
      <c r="D38">
        <v>16</v>
      </c>
      <c r="E38">
        <v>0</v>
      </c>
      <c r="F38">
        <v>7783.0564291328101</v>
      </c>
      <c r="G38">
        <v>68</v>
      </c>
      <c r="H38">
        <v>10000</v>
      </c>
      <c r="I38" t="s">
        <v>187</v>
      </c>
    </row>
    <row r="39" spans="1:9" x14ac:dyDescent="0.2">
      <c r="A39" t="s">
        <v>81</v>
      </c>
      <c r="B39">
        <v>1054</v>
      </c>
      <c r="C39">
        <v>140</v>
      </c>
      <c r="D39">
        <v>20</v>
      </c>
      <c r="E39">
        <v>0</v>
      </c>
      <c r="F39">
        <v>9898.2839366048502</v>
      </c>
      <c r="G39">
        <v>23</v>
      </c>
      <c r="H39">
        <v>10000</v>
      </c>
      <c r="I39" t="s">
        <v>188</v>
      </c>
    </row>
    <row r="40" spans="1:9" x14ac:dyDescent="0.2">
      <c r="A40" t="s">
        <v>82</v>
      </c>
      <c r="B40">
        <v>1428</v>
      </c>
      <c r="C40">
        <v>184</v>
      </c>
      <c r="D40">
        <v>24</v>
      </c>
      <c r="E40">
        <v>0</v>
      </c>
      <c r="F40">
        <v>41680.395717658103</v>
      </c>
      <c r="G40">
        <v>2</v>
      </c>
      <c r="H40">
        <v>10000</v>
      </c>
      <c r="I40" t="s">
        <v>189</v>
      </c>
    </row>
    <row r="41" spans="1:9" x14ac:dyDescent="0.2">
      <c r="A41" t="s">
        <v>83</v>
      </c>
      <c r="B41">
        <v>1768</v>
      </c>
      <c r="C41">
        <v>224</v>
      </c>
      <c r="D41">
        <v>22</v>
      </c>
      <c r="E41">
        <v>0</v>
      </c>
      <c r="F41">
        <v>93860.616083934903</v>
      </c>
      <c r="G41">
        <v>1</v>
      </c>
      <c r="H41">
        <v>10000</v>
      </c>
      <c r="I41" t="s">
        <v>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42"/>
  <sheetViews>
    <sheetView topLeftCell="A8" workbookViewId="0">
      <selection activeCell="A43" sqref="A43"/>
    </sheetView>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172</v>
      </c>
    </row>
    <row r="6" spans="1:1" x14ac:dyDescent="0.2">
      <c r="A6" t="s">
        <v>98</v>
      </c>
    </row>
    <row r="7" spans="1:1" x14ac:dyDescent="0.2">
      <c r="A7" t="s">
        <v>99</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173</v>
      </c>
    </row>
    <row r="22" spans="1:9" x14ac:dyDescent="0.2">
      <c r="A22" t="s">
        <v>115</v>
      </c>
    </row>
    <row r="23" spans="1:9" x14ac:dyDescent="0.2">
      <c r="A23" t="s">
        <v>174</v>
      </c>
    </row>
    <row r="24" spans="1:9" x14ac:dyDescent="0.2">
      <c r="A24" t="s">
        <v>175</v>
      </c>
    </row>
    <row r="25" spans="1:9" x14ac:dyDescent="0.2">
      <c r="A25" t="s">
        <v>191</v>
      </c>
    </row>
    <row r="26" spans="1:9" x14ac:dyDescent="0.2">
      <c r="A26" t="s">
        <v>177</v>
      </c>
    </row>
    <row r="27" spans="1:9" x14ac:dyDescent="0.2">
      <c r="A27" t="s">
        <v>192</v>
      </c>
    </row>
    <row r="28" spans="1:9" x14ac:dyDescent="0.2">
      <c r="A28" t="s">
        <v>193</v>
      </c>
    </row>
    <row r="29" spans="1:9" x14ac:dyDescent="0.2">
      <c r="A29" t="s">
        <v>117</v>
      </c>
    </row>
    <row r="30" spans="1:9" x14ac:dyDescent="0.2">
      <c r="A30" t="s">
        <v>70</v>
      </c>
      <c r="B30" t="s">
        <v>61</v>
      </c>
      <c r="C30" t="s">
        <v>71</v>
      </c>
      <c r="D30" t="s">
        <v>72</v>
      </c>
      <c r="E30" t="s">
        <v>118</v>
      </c>
      <c r="F30" t="s">
        <v>119</v>
      </c>
      <c r="G30" t="s">
        <v>58</v>
      </c>
      <c r="H30" t="s">
        <v>59</v>
      </c>
      <c r="I30" t="s">
        <v>120</v>
      </c>
    </row>
    <row r="31" spans="1:9" x14ac:dyDescent="0.2">
      <c r="A31" t="s">
        <v>73</v>
      </c>
      <c r="B31">
        <v>34</v>
      </c>
      <c r="C31">
        <v>20</v>
      </c>
      <c r="D31">
        <v>2</v>
      </c>
      <c r="E31">
        <v>0</v>
      </c>
      <c r="F31">
        <v>11.181981369853</v>
      </c>
      <c r="G31">
        <v>10000</v>
      </c>
      <c r="H31">
        <v>10000</v>
      </c>
      <c r="I31" t="s">
        <v>180</v>
      </c>
    </row>
    <row r="32" spans="1:9" x14ac:dyDescent="0.2">
      <c r="A32" t="s">
        <v>74</v>
      </c>
      <c r="B32">
        <v>136</v>
      </c>
      <c r="C32">
        <v>32</v>
      </c>
      <c r="D32">
        <v>4</v>
      </c>
      <c r="E32">
        <v>0</v>
      </c>
      <c r="F32">
        <v>46.786958947777698</v>
      </c>
      <c r="G32">
        <v>9607</v>
      </c>
      <c r="H32">
        <v>10000</v>
      </c>
      <c r="I32" t="s">
        <v>194</v>
      </c>
    </row>
    <row r="33" spans="1:9" x14ac:dyDescent="0.2">
      <c r="A33" t="s">
        <v>75</v>
      </c>
      <c r="B33">
        <v>238</v>
      </c>
      <c r="C33">
        <v>44</v>
      </c>
      <c r="D33">
        <v>6</v>
      </c>
      <c r="E33">
        <v>0</v>
      </c>
      <c r="F33">
        <v>74.622538089752197</v>
      </c>
      <c r="G33">
        <v>5097</v>
      </c>
      <c r="H33">
        <v>10000</v>
      </c>
      <c r="I33" t="s">
        <v>195</v>
      </c>
    </row>
    <row r="34" spans="1:9" x14ac:dyDescent="0.2">
      <c r="A34" t="s">
        <v>76</v>
      </c>
      <c r="B34">
        <v>340</v>
      </c>
      <c r="C34">
        <v>56</v>
      </c>
      <c r="D34">
        <v>8</v>
      </c>
      <c r="E34">
        <v>0</v>
      </c>
      <c r="F34">
        <v>139.63927976786999</v>
      </c>
      <c r="G34">
        <v>7410</v>
      </c>
      <c r="H34">
        <v>10000</v>
      </c>
      <c r="I34" t="s">
        <v>196</v>
      </c>
    </row>
    <row r="35" spans="1:9" x14ac:dyDescent="0.2">
      <c r="A35" t="s">
        <v>77</v>
      </c>
      <c r="B35">
        <v>442</v>
      </c>
      <c r="C35">
        <v>68</v>
      </c>
      <c r="D35">
        <v>10</v>
      </c>
      <c r="E35">
        <v>0</v>
      </c>
      <c r="F35">
        <v>319.496443435549</v>
      </c>
      <c r="G35">
        <v>2442</v>
      </c>
      <c r="H35">
        <v>10000</v>
      </c>
      <c r="I35" t="s">
        <v>197</v>
      </c>
    </row>
    <row r="36" spans="1:9" x14ac:dyDescent="0.2">
      <c r="A36" t="s">
        <v>78</v>
      </c>
      <c r="B36">
        <v>544</v>
      </c>
      <c r="C36">
        <v>80</v>
      </c>
      <c r="D36">
        <v>12</v>
      </c>
      <c r="E36">
        <v>0</v>
      </c>
      <c r="F36">
        <v>659.12229822576001</v>
      </c>
      <c r="G36">
        <v>751</v>
      </c>
      <c r="H36">
        <v>10000</v>
      </c>
      <c r="I36" t="s">
        <v>198</v>
      </c>
    </row>
    <row r="37" spans="1:9" x14ac:dyDescent="0.2">
      <c r="A37" t="s">
        <v>79</v>
      </c>
      <c r="B37">
        <v>714</v>
      </c>
      <c r="C37">
        <v>100</v>
      </c>
      <c r="D37">
        <v>16</v>
      </c>
      <c r="E37">
        <v>0</v>
      </c>
      <c r="F37">
        <v>1786.6860289871599</v>
      </c>
      <c r="G37">
        <v>364</v>
      </c>
      <c r="H37">
        <v>10000</v>
      </c>
      <c r="I37" t="s">
        <v>199</v>
      </c>
    </row>
    <row r="38" spans="1:9" x14ac:dyDescent="0.2">
      <c r="A38" t="s">
        <v>80</v>
      </c>
      <c r="B38">
        <v>1020</v>
      </c>
      <c r="C38">
        <v>136</v>
      </c>
      <c r="D38">
        <v>16</v>
      </c>
      <c r="E38">
        <v>0</v>
      </c>
      <c r="F38">
        <v>6977.53660948574</v>
      </c>
      <c r="G38">
        <v>69</v>
      </c>
      <c r="H38">
        <v>10000</v>
      </c>
      <c r="I38" t="s">
        <v>200</v>
      </c>
    </row>
    <row r="39" spans="1:9" x14ac:dyDescent="0.2">
      <c r="A39" t="s">
        <v>81</v>
      </c>
      <c r="B39">
        <v>1054</v>
      </c>
      <c r="C39">
        <v>140</v>
      </c>
      <c r="D39">
        <v>20</v>
      </c>
      <c r="E39">
        <v>0</v>
      </c>
      <c r="F39">
        <v>8689.2636810913591</v>
      </c>
      <c r="G39">
        <v>21</v>
      </c>
      <c r="H39">
        <v>10000</v>
      </c>
      <c r="I39" t="s">
        <v>201</v>
      </c>
    </row>
    <row r="40" spans="1:9" x14ac:dyDescent="0.2">
      <c r="A40" t="s">
        <v>82</v>
      </c>
      <c r="B40">
        <v>1428</v>
      </c>
      <c r="C40">
        <v>184</v>
      </c>
      <c r="D40">
        <v>26</v>
      </c>
      <c r="E40">
        <v>2</v>
      </c>
      <c r="F40">
        <v>35993.753235623197</v>
      </c>
      <c r="G40">
        <v>1</v>
      </c>
      <c r="H40">
        <v>10000</v>
      </c>
      <c r="I40" t="s">
        <v>202</v>
      </c>
    </row>
    <row r="41" spans="1:9" x14ac:dyDescent="0.2">
      <c r="A41" t="s">
        <v>83</v>
      </c>
      <c r="B41">
        <v>1768</v>
      </c>
      <c r="C41">
        <v>224</v>
      </c>
      <c r="D41">
        <v>22</v>
      </c>
      <c r="E41">
        <v>0</v>
      </c>
      <c r="F41">
        <v>84143.109385095493</v>
      </c>
      <c r="G41">
        <v>2</v>
      </c>
      <c r="H41">
        <v>10000</v>
      </c>
      <c r="I41" t="s">
        <v>203</v>
      </c>
    </row>
    <row r="42" spans="1:9" x14ac:dyDescent="0.2">
      <c r="A42" t="s">
        <v>84</v>
      </c>
      <c r="B42">
        <v>1972</v>
      </c>
      <c r="C42">
        <v>248</v>
      </c>
      <c r="D42">
        <v>20</v>
      </c>
      <c r="E42">
        <v>0</v>
      </c>
      <c r="F42">
        <v>151179.78321397299</v>
      </c>
      <c r="G42">
        <v>2</v>
      </c>
      <c r="H42">
        <v>10000</v>
      </c>
      <c r="I42" t="s">
        <v>204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30"/>
  <sheetViews>
    <sheetView workbookViewId="0">
      <selection activeCell="A20" sqref="A20"/>
    </sheetView>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205</v>
      </c>
    </row>
    <row r="6" spans="1:1" x14ac:dyDescent="0.2">
      <c r="A6" t="s">
        <v>98</v>
      </c>
    </row>
    <row r="7" spans="1:1" x14ac:dyDescent="0.2">
      <c r="A7" t="s">
        <v>99</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206</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v>0.234972298145294</v>
      </c>
      <c r="G25">
        <v>1</v>
      </c>
      <c r="H25">
        <v>1</v>
      </c>
      <c r="I25" t="s">
        <v>207</v>
      </c>
    </row>
    <row r="26" spans="1:9" x14ac:dyDescent="0.2">
      <c r="A26" t="s">
        <v>74</v>
      </c>
      <c r="B26">
        <v>136</v>
      </c>
      <c r="C26">
        <v>32</v>
      </c>
      <c r="D26">
        <v>4</v>
      </c>
      <c r="E26">
        <v>0</v>
      </c>
      <c r="F26">
        <v>7.2638720273971502E-2</v>
      </c>
      <c r="G26">
        <v>1</v>
      </c>
      <c r="H26">
        <v>1</v>
      </c>
      <c r="I26" t="s">
        <v>208</v>
      </c>
    </row>
    <row r="27" spans="1:9" x14ac:dyDescent="0.2">
      <c r="A27" t="s">
        <v>75</v>
      </c>
      <c r="B27">
        <v>238</v>
      </c>
      <c r="C27">
        <v>44</v>
      </c>
      <c r="D27">
        <v>6</v>
      </c>
      <c r="E27">
        <v>0</v>
      </c>
      <c r="F27">
        <v>0.109139554202556</v>
      </c>
      <c r="G27">
        <v>1</v>
      </c>
      <c r="H27">
        <v>1</v>
      </c>
      <c r="I27" t="s">
        <v>209</v>
      </c>
    </row>
    <row r="28" spans="1:9" x14ac:dyDescent="0.2">
      <c r="A28" t="s">
        <v>76</v>
      </c>
      <c r="B28">
        <v>340</v>
      </c>
      <c r="C28">
        <v>56</v>
      </c>
      <c r="D28">
        <v>8</v>
      </c>
      <c r="E28">
        <v>0</v>
      </c>
      <c r="F28">
        <v>0.177607916295528</v>
      </c>
      <c r="G28">
        <v>1</v>
      </c>
      <c r="H28">
        <v>1</v>
      </c>
      <c r="I28" t="s">
        <v>210</v>
      </c>
    </row>
    <row r="29" spans="1:9" x14ac:dyDescent="0.2">
      <c r="A29" t="s">
        <v>77</v>
      </c>
      <c r="B29">
        <v>442</v>
      </c>
      <c r="C29">
        <v>68</v>
      </c>
      <c r="D29">
        <v>10</v>
      </c>
      <c r="E29">
        <v>0</v>
      </c>
      <c r="F29">
        <v>1.4641691520810101</v>
      </c>
      <c r="G29">
        <v>1</v>
      </c>
      <c r="H29">
        <v>1</v>
      </c>
      <c r="I29" t="s">
        <v>211</v>
      </c>
    </row>
    <row r="30" spans="1:9" x14ac:dyDescent="0.2">
      <c r="A30" t="s">
        <v>78</v>
      </c>
      <c r="B30">
        <v>544</v>
      </c>
      <c r="C30">
        <v>80</v>
      </c>
      <c r="D30">
        <v>12</v>
      </c>
      <c r="E30">
        <v>0</v>
      </c>
      <c r="F30">
        <v>54.0396048799157</v>
      </c>
      <c r="G30">
        <v>1</v>
      </c>
      <c r="H30">
        <v>1</v>
      </c>
      <c r="I30" t="s">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346A-A9B8-A942-BB98-67170CC30B38}">
  <dimension ref="A1:I43"/>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205</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213</v>
      </c>
    </row>
    <row r="21" spans="1:9" x14ac:dyDescent="0.2">
      <c r="A21" t="s">
        <v>115</v>
      </c>
    </row>
    <row r="22" spans="1:9" x14ac:dyDescent="0.2">
      <c r="A22" t="s">
        <v>214</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v>1.9751746999986601E-2</v>
      </c>
      <c r="G25">
        <v>1</v>
      </c>
      <c r="H25">
        <v>1</v>
      </c>
      <c r="I25" t="s">
        <v>215</v>
      </c>
    </row>
    <row r="26" spans="1:9" x14ac:dyDescent="0.2">
      <c r="A26" t="s">
        <v>74</v>
      </c>
      <c r="B26">
        <v>136</v>
      </c>
      <c r="C26">
        <v>32</v>
      </c>
      <c r="D26">
        <v>4</v>
      </c>
      <c r="E26">
        <v>0</v>
      </c>
      <c r="F26">
        <v>1.9450914000003601E-2</v>
      </c>
      <c r="G26">
        <v>1</v>
      </c>
      <c r="H26">
        <v>1</v>
      </c>
      <c r="I26" t="s">
        <v>216</v>
      </c>
    </row>
    <row r="27" spans="1:9" x14ac:dyDescent="0.2">
      <c r="A27" t="s">
        <v>75</v>
      </c>
      <c r="B27">
        <v>238</v>
      </c>
      <c r="C27">
        <v>44</v>
      </c>
      <c r="D27">
        <v>6</v>
      </c>
      <c r="E27">
        <v>0</v>
      </c>
      <c r="F27">
        <v>2.44106529999896E-2</v>
      </c>
      <c r="G27">
        <v>1</v>
      </c>
      <c r="H27">
        <v>1</v>
      </c>
      <c r="I27" t="s">
        <v>217</v>
      </c>
    </row>
    <row r="28" spans="1:9" x14ac:dyDescent="0.2">
      <c r="A28" t="s">
        <v>76</v>
      </c>
      <c r="B28">
        <v>340</v>
      </c>
      <c r="C28">
        <v>56</v>
      </c>
      <c r="D28">
        <v>8</v>
      </c>
      <c r="E28">
        <v>0</v>
      </c>
      <c r="F28">
        <v>0.422455460000009</v>
      </c>
      <c r="G28">
        <v>1</v>
      </c>
      <c r="H28">
        <v>1</v>
      </c>
      <c r="I28" t="s">
        <v>218</v>
      </c>
    </row>
    <row r="29" spans="1:9" x14ac:dyDescent="0.2">
      <c r="A29" t="s">
        <v>77</v>
      </c>
      <c r="B29">
        <v>442</v>
      </c>
      <c r="C29">
        <v>68</v>
      </c>
      <c r="D29">
        <v>10</v>
      </c>
      <c r="E29">
        <v>0</v>
      </c>
      <c r="F29">
        <v>20.366747835999998</v>
      </c>
      <c r="G29">
        <v>1</v>
      </c>
      <c r="H29">
        <v>1</v>
      </c>
      <c r="I29" t="s">
        <v>219</v>
      </c>
    </row>
    <row r="30" spans="1:9" x14ac:dyDescent="0.2">
      <c r="A30" t="s">
        <v>78</v>
      </c>
      <c r="B30">
        <v>544</v>
      </c>
      <c r="C30">
        <v>80</v>
      </c>
      <c r="D30">
        <v>12</v>
      </c>
      <c r="E30">
        <v>0</v>
      </c>
      <c r="F30">
        <v>984.41660627199997</v>
      </c>
      <c r="G30">
        <v>1</v>
      </c>
      <c r="H30">
        <v>1</v>
      </c>
      <c r="I30" t="s">
        <v>220</v>
      </c>
    </row>
    <row r="31" spans="1:9" x14ac:dyDescent="0.2">
      <c r="A31" t="s">
        <v>79</v>
      </c>
      <c r="B31">
        <v>714</v>
      </c>
      <c r="C31">
        <v>100</v>
      </c>
      <c r="D31">
        <v>0</v>
      </c>
      <c r="E31">
        <v>-16</v>
      </c>
      <c r="F31">
        <v>28800.121245512</v>
      </c>
      <c r="G31">
        <v>1</v>
      </c>
      <c r="H31">
        <v>1</v>
      </c>
    </row>
    <row r="32" spans="1:9" x14ac:dyDescent="0.2">
      <c r="A32" t="s">
        <v>80</v>
      </c>
      <c r="B32">
        <v>1020</v>
      </c>
      <c r="C32">
        <v>136</v>
      </c>
      <c r="D32">
        <v>0</v>
      </c>
      <c r="E32">
        <v>-16</v>
      </c>
      <c r="F32">
        <v>28800.150776511899</v>
      </c>
      <c r="G32">
        <v>1</v>
      </c>
      <c r="H32">
        <v>1</v>
      </c>
    </row>
    <row r="33" spans="1:8" x14ac:dyDescent="0.2">
      <c r="A33" t="s">
        <v>81</v>
      </c>
      <c r="B33">
        <v>1054</v>
      </c>
      <c r="C33">
        <v>140</v>
      </c>
      <c r="D33">
        <v>0</v>
      </c>
      <c r="E33">
        <v>-20</v>
      </c>
      <c r="F33">
        <v>28800.156101634999</v>
      </c>
      <c r="G33">
        <v>1</v>
      </c>
      <c r="H33">
        <v>1</v>
      </c>
    </row>
    <row r="34" spans="1:8" x14ac:dyDescent="0.2">
      <c r="A34" t="s">
        <v>82</v>
      </c>
      <c r="B34">
        <v>1428</v>
      </c>
      <c r="C34">
        <v>184</v>
      </c>
      <c r="D34">
        <v>0</v>
      </c>
      <c r="E34">
        <v>-24</v>
      </c>
      <c r="F34">
        <v>28800.1550983899</v>
      </c>
      <c r="G34">
        <v>1</v>
      </c>
      <c r="H34">
        <v>1</v>
      </c>
    </row>
    <row r="35" spans="1:8" x14ac:dyDescent="0.2">
      <c r="A35" t="s">
        <v>83</v>
      </c>
      <c r="B35">
        <v>1768</v>
      </c>
      <c r="C35">
        <v>224</v>
      </c>
      <c r="D35">
        <v>0</v>
      </c>
      <c r="E35">
        <v>-22</v>
      </c>
      <c r="F35">
        <v>28800.145146835999</v>
      </c>
      <c r="G35">
        <v>1</v>
      </c>
      <c r="H35">
        <v>1</v>
      </c>
    </row>
    <row r="36" spans="1:8" x14ac:dyDescent="0.2">
      <c r="A36" t="s">
        <v>84</v>
      </c>
      <c r="B36">
        <v>1972</v>
      </c>
      <c r="C36">
        <v>248</v>
      </c>
      <c r="D36">
        <v>0</v>
      </c>
      <c r="E36">
        <v>-20</v>
      </c>
      <c r="F36">
        <v>28801.863059863401</v>
      </c>
      <c r="G36">
        <v>1</v>
      </c>
      <c r="H36">
        <v>1</v>
      </c>
    </row>
    <row r="37" spans="1:8" x14ac:dyDescent="0.2">
      <c r="A37" t="s">
        <v>85</v>
      </c>
      <c r="B37">
        <v>2040</v>
      </c>
      <c r="C37">
        <v>256</v>
      </c>
      <c r="D37">
        <v>0</v>
      </c>
      <c r="E37">
        <v>-20</v>
      </c>
      <c r="F37">
        <v>28800.231893181801</v>
      </c>
      <c r="G37">
        <v>1</v>
      </c>
      <c r="H37">
        <v>1</v>
      </c>
    </row>
    <row r="38" spans="1:8" x14ac:dyDescent="0.2">
      <c r="A38" t="s">
        <v>86</v>
      </c>
      <c r="B38">
        <v>2074</v>
      </c>
      <c r="C38">
        <v>260</v>
      </c>
      <c r="D38">
        <v>0</v>
      </c>
      <c r="E38">
        <v>-24</v>
      </c>
      <c r="F38">
        <v>28800.146789722101</v>
      </c>
      <c r="G38">
        <v>1</v>
      </c>
      <c r="H38">
        <v>1</v>
      </c>
    </row>
    <row r="39" spans="1:8" x14ac:dyDescent="0.2">
      <c r="A39" t="s">
        <v>87</v>
      </c>
      <c r="B39">
        <v>2278</v>
      </c>
      <c r="C39">
        <v>284</v>
      </c>
      <c r="D39">
        <v>0</v>
      </c>
      <c r="E39">
        <v>-22</v>
      </c>
      <c r="F39">
        <v>28800.158234603699</v>
      </c>
      <c r="G39">
        <v>1</v>
      </c>
      <c r="H39">
        <v>1</v>
      </c>
    </row>
    <row r="40" spans="1:8" x14ac:dyDescent="0.2">
      <c r="A40" t="s">
        <v>88</v>
      </c>
      <c r="B40">
        <v>2482</v>
      </c>
      <c r="C40">
        <v>308</v>
      </c>
      <c r="D40">
        <v>0</v>
      </c>
      <c r="E40">
        <v>-24</v>
      </c>
      <c r="F40">
        <v>28800.159176565699</v>
      </c>
      <c r="G40">
        <v>1</v>
      </c>
      <c r="H40">
        <v>1</v>
      </c>
    </row>
    <row r="41" spans="1:8" x14ac:dyDescent="0.2">
      <c r="A41" t="s">
        <v>89</v>
      </c>
      <c r="B41">
        <v>2720</v>
      </c>
      <c r="C41">
        <v>336</v>
      </c>
      <c r="D41">
        <v>0</v>
      </c>
      <c r="E41">
        <v>-22</v>
      </c>
      <c r="F41">
        <v>28800.207426535799</v>
      </c>
      <c r="G41">
        <v>1</v>
      </c>
      <c r="H41">
        <v>1</v>
      </c>
    </row>
    <row r="42" spans="1:8" x14ac:dyDescent="0.2">
      <c r="A42" t="s">
        <v>90</v>
      </c>
      <c r="B42">
        <v>2890</v>
      </c>
      <c r="C42">
        <v>356</v>
      </c>
      <c r="D42">
        <v>0</v>
      </c>
      <c r="E42">
        <v>-24</v>
      </c>
      <c r="F42">
        <v>28800.3271824531</v>
      </c>
      <c r="G42">
        <v>1</v>
      </c>
      <c r="H42">
        <v>1</v>
      </c>
    </row>
    <row r="43" spans="1:8" x14ac:dyDescent="0.2">
      <c r="A43" t="s">
        <v>91</v>
      </c>
      <c r="B43">
        <v>3230</v>
      </c>
      <c r="C43">
        <v>396</v>
      </c>
      <c r="D43">
        <v>0</v>
      </c>
      <c r="E43">
        <v>-24</v>
      </c>
      <c r="F43">
        <v>28800.355285917401</v>
      </c>
      <c r="G43">
        <v>1</v>
      </c>
      <c r="H43">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43"/>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221</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222</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0</v>
      </c>
      <c r="E25">
        <v>-2</v>
      </c>
      <c r="F25" s="1">
        <v>6.6315380099695098E-3</v>
      </c>
      <c r="G25">
        <v>1</v>
      </c>
      <c r="H25">
        <v>1</v>
      </c>
      <c r="I25" t="s">
        <v>223</v>
      </c>
    </row>
    <row r="26" spans="1:9" x14ac:dyDescent="0.2">
      <c r="A26" t="s">
        <v>74</v>
      </c>
      <c r="B26">
        <v>136</v>
      </c>
      <c r="C26">
        <v>32</v>
      </c>
      <c r="D26">
        <v>0</v>
      </c>
      <c r="E26">
        <v>-4</v>
      </c>
      <c r="F26">
        <v>2.1601455999189001E-2</v>
      </c>
      <c r="G26">
        <v>1</v>
      </c>
      <c r="H26">
        <v>1</v>
      </c>
      <c r="I26" t="s">
        <v>223</v>
      </c>
    </row>
    <row r="27" spans="1:9" x14ac:dyDescent="0.2">
      <c r="A27" t="s">
        <v>75</v>
      </c>
      <c r="B27">
        <v>238</v>
      </c>
      <c r="C27">
        <v>44</v>
      </c>
      <c r="D27">
        <v>0</v>
      </c>
      <c r="E27">
        <v>-6</v>
      </c>
      <c r="F27">
        <v>4.0454108995618299E-2</v>
      </c>
      <c r="G27">
        <v>1</v>
      </c>
      <c r="H27">
        <v>1</v>
      </c>
      <c r="I27" t="s">
        <v>223</v>
      </c>
    </row>
    <row r="28" spans="1:9" x14ac:dyDescent="0.2">
      <c r="A28" t="s">
        <v>76</v>
      </c>
      <c r="B28">
        <v>340</v>
      </c>
      <c r="C28">
        <v>56</v>
      </c>
      <c r="D28">
        <v>0</v>
      </c>
      <c r="E28">
        <v>-8</v>
      </c>
      <c r="F28">
        <v>6.7907819000538397E-2</v>
      </c>
      <c r="G28">
        <v>1</v>
      </c>
      <c r="H28">
        <v>1</v>
      </c>
      <c r="I28" t="s">
        <v>223</v>
      </c>
    </row>
    <row r="29" spans="1:9" x14ac:dyDescent="0.2">
      <c r="A29" t="s">
        <v>77</v>
      </c>
      <c r="B29">
        <v>442</v>
      </c>
      <c r="C29">
        <v>68</v>
      </c>
      <c r="D29">
        <v>0</v>
      </c>
      <c r="E29">
        <v>-10</v>
      </c>
      <c r="F29">
        <v>9.8377895992598496E-2</v>
      </c>
      <c r="G29">
        <v>1</v>
      </c>
      <c r="H29">
        <v>1</v>
      </c>
      <c r="I29" t="s">
        <v>223</v>
      </c>
    </row>
    <row r="30" spans="1:9" x14ac:dyDescent="0.2">
      <c r="A30" t="s">
        <v>78</v>
      </c>
      <c r="B30">
        <v>544</v>
      </c>
      <c r="C30">
        <v>80</v>
      </c>
      <c r="D30">
        <v>0</v>
      </c>
      <c r="E30">
        <v>-12</v>
      </c>
      <c r="F30">
        <v>0.135344248003093</v>
      </c>
      <c r="G30">
        <v>1</v>
      </c>
      <c r="H30">
        <v>1</v>
      </c>
      <c r="I30" t="s">
        <v>223</v>
      </c>
    </row>
    <row r="31" spans="1:9" x14ac:dyDescent="0.2">
      <c r="A31" t="s">
        <v>79</v>
      </c>
      <c r="B31">
        <v>714</v>
      </c>
      <c r="C31">
        <v>100</v>
      </c>
      <c r="D31">
        <v>0</v>
      </c>
      <c r="E31">
        <v>-16</v>
      </c>
      <c r="F31">
        <v>0.20218694700452</v>
      </c>
      <c r="G31">
        <v>1</v>
      </c>
      <c r="H31">
        <v>1</v>
      </c>
      <c r="I31" t="s">
        <v>223</v>
      </c>
    </row>
    <row r="32" spans="1:9" x14ac:dyDescent="0.2">
      <c r="A32" t="s">
        <v>80</v>
      </c>
      <c r="B32">
        <v>1020</v>
      </c>
      <c r="C32">
        <v>136</v>
      </c>
      <c r="D32">
        <v>0</v>
      </c>
      <c r="E32">
        <v>-16</v>
      </c>
      <c r="F32">
        <v>0.40654128100140902</v>
      </c>
      <c r="G32">
        <v>1</v>
      </c>
      <c r="H32">
        <v>1</v>
      </c>
      <c r="I32" t="s">
        <v>223</v>
      </c>
    </row>
    <row r="33" spans="1:9" x14ac:dyDescent="0.2">
      <c r="A33" t="s">
        <v>81</v>
      </c>
      <c r="B33">
        <v>1054</v>
      </c>
      <c r="C33">
        <v>140</v>
      </c>
      <c r="D33">
        <v>0</v>
      </c>
      <c r="E33">
        <v>-20</v>
      </c>
      <c r="F33">
        <v>0.39662803799728802</v>
      </c>
      <c r="G33">
        <v>1</v>
      </c>
      <c r="H33">
        <v>1</v>
      </c>
      <c r="I33" t="s">
        <v>223</v>
      </c>
    </row>
    <row r="34" spans="1:9" x14ac:dyDescent="0.2">
      <c r="A34" t="s">
        <v>82</v>
      </c>
      <c r="B34">
        <v>1428</v>
      </c>
      <c r="C34">
        <v>184</v>
      </c>
      <c r="D34">
        <v>0</v>
      </c>
      <c r="E34">
        <v>-24</v>
      </c>
      <c r="F34">
        <v>0.65009080999880098</v>
      </c>
      <c r="G34">
        <v>1</v>
      </c>
      <c r="H34">
        <v>1</v>
      </c>
      <c r="I34" t="s">
        <v>223</v>
      </c>
    </row>
    <row r="35" spans="1:9" x14ac:dyDescent="0.2">
      <c r="A35" t="s">
        <v>83</v>
      </c>
      <c r="B35">
        <v>1768</v>
      </c>
      <c r="C35">
        <v>224</v>
      </c>
      <c r="D35">
        <v>0</v>
      </c>
      <c r="E35">
        <v>-22</v>
      </c>
      <c r="F35">
        <v>0.946278732008067</v>
      </c>
      <c r="G35">
        <v>1</v>
      </c>
      <c r="H35">
        <v>1</v>
      </c>
      <c r="I35" t="s">
        <v>223</v>
      </c>
    </row>
    <row r="36" spans="1:9" x14ac:dyDescent="0.2">
      <c r="A36" t="s">
        <v>84</v>
      </c>
      <c r="B36">
        <v>1972</v>
      </c>
      <c r="C36">
        <v>248</v>
      </c>
      <c r="D36">
        <v>0</v>
      </c>
      <c r="E36">
        <v>-20</v>
      </c>
      <c r="F36">
        <v>1.16508974498719</v>
      </c>
      <c r="G36">
        <v>1</v>
      </c>
      <c r="H36">
        <v>1</v>
      </c>
      <c r="I36" t="s">
        <v>223</v>
      </c>
    </row>
    <row r="37" spans="1:9" x14ac:dyDescent="0.2">
      <c r="A37" t="s">
        <v>85</v>
      </c>
      <c r="B37">
        <v>2040</v>
      </c>
      <c r="C37">
        <v>256</v>
      </c>
      <c r="D37">
        <v>0</v>
      </c>
      <c r="E37">
        <v>-20</v>
      </c>
      <c r="F37">
        <v>1.24499974701029</v>
      </c>
      <c r="G37">
        <v>1</v>
      </c>
      <c r="H37">
        <v>1</v>
      </c>
      <c r="I37" t="s">
        <v>223</v>
      </c>
    </row>
    <row r="38" spans="1:9" x14ac:dyDescent="0.2">
      <c r="A38" t="s">
        <v>86</v>
      </c>
      <c r="B38">
        <v>2074</v>
      </c>
      <c r="C38">
        <v>260</v>
      </c>
      <c r="D38">
        <v>0</v>
      </c>
      <c r="E38">
        <v>-24</v>
      </c>
      <c r="F38">
        <v>1.2301119869953201</v>
      </c>
      <c r="G38">
        <v>1</v>
      </c>
      <c r="H38">
        <v>1</v>
      </c>
      <c r="I38" t="s">
        <v>223</v>
      </c>
    </row>
    <row r="39" spans="1:9" x14ac:dyDescent="0.2">
      <c r="A39" t="s">
        <v>87</v>
      </c>
      <c r="B39">
        <v>2278</v>
      </c>
      <c r="C39">
        <v>284</v>
      </c>
      <c r="D39">
        <v>0</v>
      </c>
      <c r="E39">
        <v>-22</v>
      </c>
      <c r="F39">
        <v>1.45844483299879</v>
      </c>
      <c r="G39">
        <v>1</v>
      </c>
      <c r="H39">
        <v>1</v>
      </c>
      <c r="I39" t="s">
        <v>223</v>
      </c>
    </row>
    <row r="40" spans="1:9" x14ac:dyDescent="0.2">
      <c r="A40" t="s">
        <v>88</v>
      </c>
      <c r="B40">
        <v>2482</v>
      </c>
      <c r="C40">
        <v>308</v>
      </c>
      <c r="D40">
        <v>0</v>
      </c>
      <c r="E40">
        <v>-24</v>
      </c>
      <c r="F40">
        <v>1.7130573519971199</v>
      </c>
      <c r="G40">
        <v>1</v>
      </c>
      <c r="H40">
        <v>1</v>
      </c>
      <c r="I40" t="s">
        <v>223</v>
      </c>
    </row>
    <row r="41" spans="1:9" x14ac:dyDescent="0.2">
      <c r="A41" t="s">
        <v>89</v>
      </c>
      <c r="B41">
        <v>2720</v>
      </c>
      <c r="C41">
        <v>336</v>
      </c>
      <c r="D41">
        <v>0</v>
      </c>
      <c r="E41">
        <v>-22</v>
      </c>
      <c r="F41">
        <v>2.0670552579977</v>
      </c>
      <c r="G41">
        <v>1</v>
      </c>
      <c r="H41">
        <v>1</v>
      </c>
      <c r="I41" t="s">
        <v>223</v>
      </c>
    </row>
    <row r="42" spans="1:9" x14ac:dyDescent="0.2">
      <c r="A42" t="s">
        <v>90</v>
      </c>
      <c r="B42">
        <v>2890</v>
      </c>
      <c r="C42">
        <v>356</v>
      </c>
      <c r="D42">
        <v>0</v>
      </c>
      <c r="E42">
        <v>-24</v>
      </c>
      <c r="F42">
        <v>2.4195255680096999</v>
      </c>
      <c r="G42">
        <v>1</v>
      </c>
      <c r="H42">
        <v>1</v>
      </c>
      <c r="I42" t="s">
        <v>223</v>
      </c>
    </row>
    <row r="43" spans="1:9" x14ac:dyDescent="0.2">
      <c r="A43" t="s">
        <v>91</v>
      </c>
      <c r="B43">
        <v>3230</v>
      </c>
      <c r="C43">
        <v>396</v>
      </c>
      <c r="D43">
        <v>0</v>
      </c>
      <c r="E43">
        <v>-24</v>
      </c>
      <c r="F43">
        <v>2.8019456289912301</v>
      </c>
      <c r="G43">
        <v>1</v>
      </c>
      <c r="H43">
        <v>1</v>
      </c>
      <c r="I43" t="s">
        <v>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46"/>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224</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225</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v>4.60029020905494E-2</v>
      </c>
      <c r="G25">
        <v>1</v>
      </c>
      <c r="H25">
        <v>1</v>
      </c>
      <c r="I25" t="s">
        <v>226</v>
      </c>
    </row>
    <row r="26" spans="1:9" x14ac:dyDescent="0.2">
      <c r="A26" t="s">
        <v>74</v>
      </c>
      <c r="B26">
        <v>136</v>
      </c>
      <c r="C26">
        <v>32</v>
      </c>
      <c r="D26">
        <v>4</v>
      </c>
      <c r="E26">
        <v>0</v>
      </c>
      <c r="F26">
        <v>0.24862493574619199</v>
      </c>
      <c r="G26">
        <v>1</v>
      </c>
      <c r="H26">
        <v>1</v>
      </c>
      <c r="I26" t="s">
        <v>227</v>
      </c>
    </row>
    <row r="27" spans="1:9" x14ac:dyDescent="0.2">
      <c r="A27" t="s">
        <v>75</v>
      </c>
      <c r="B27">
        <v>238</v>
      </c>
      <c r="C27">
        <v>44</v>
      </c>
      <c r="D27">
        <v>6</v>
      </c>
      <c r="E27">
        <v>0</v>
      </c>
      <c r="F27">
        <v>1.01099157333374</v>
      </c>
      <c r="G27">
        <v>1</v>
      </c>
      <c r="H27">
        <v>1</v>
      </c>
      <c r="I27" t="s">
        <v>228</v>
      </c>
    </row>
    <row r="28" spans="1:9" x14ac:dyDescent="0.2">
      <c r="A28" t="s">
        <v>76</v>
      </c>
      <c r="B28">
        <v>340</v>
      </c>
      <c r="C28">
        <v>56</v>
      </c>
      <c r="D28">
        <v>8</v>
      </c>
      <c r="E28">
        <v>0</v>
      </c>
      <c r="F28">
        <v>1.7463106513023301</v>
      </c>
      <c r="G28">
        <v>1</v>
      </c>
      <c r="H28">
        <v>1</v>
      </c>
      <c r="I28" t="s">
        <v>229</v>
      </c>
    </row>
    <row r="29" spans="1:9" x14ac:dyDescent="0.2">
      <c r="A29" t="s">
        <v>77</v>
      </c>
      <c r="B29">
        <v>442</v>
      </c>
      <c r="C29">
        <v>68</v>
      </c>
      <c r="D29">
        <v>10</v>
      </c>
      <c r="E29">
        <v>0</v>
      </c>
      <c r="F29">
        <v>2.9852893576025901</v>
      </c>
      <c r="G29">
        <v>1</v>
      </c>
      <c r="H29">
        <v>1</v>
      </c>
      <c r="I29" t="s">
        <v>230</v>
      </c>
    </row>
    <row r="30" spans="1:9" x14ac:dyDescent="0.2">
      <c r="A30" t="s">
        <v>78</v>
      </c>
      <c r="B30">
        <v>544</v>
      </c>
      <c r="C30">
        <v>80</v>
      </c>
      <c r="D30">
        <v>12</v>
      </c>
      <c r="E30">
        <v>0</v>
      </c>
      <c r="F30">
        <v>4.6194593384861902</v>
      </c>
      <c r="G30">
        <v>1</v>
      </c>
      <c r="H30">
        <v>1</v>
      </c>
      <c r="I30" t="s">
        <v>231</v>
      </c>
    </row>
    <row r="31" spans="1:9" x14ac:dyDescent="0.2">
      <c r="A31" t="s">
        <v>79</v>
      </c>
      <c r="B31">
        <v>714</v>
      </c>
      <c r="C31">
        <v>100</v>
      </c>
      <c r="D31">
        <v>16</v>
      </c>
      <c r="E31">
        <v>0</v>
      </c>
      <c r="F31">
        <v>8.1986439600586891</v>
      </c>
      <c r="G31">
        <v>1</v>
      </c>
      <c r="H31">
        <v>1</v>
      </c>
      <c r="I31" t="s">
        <v>232</v>
      </c>
    </row>
    <row r="32" spans="1:9" x14ac:dyDescent="0.2">
      <c r="A32" t="s">
        <v>80</v>
      </c>
      <c r="B32">
        <v>1020</v>
      </c>
      <c r="C32">
        <v>136</v>
      </c>
      <c r="D32">
        <v>16</v>
      </c>
      <c r="E32">
        <v>0</v>
      </c>
      <c r="F32">
        <v>18.079266570508398</v>
      </c>
      <c r="G32">
        <v>1</v>
      </c>
      <c r="H32">
        <v>1</v>
      </c>
      <c r="I32" t="s">
        <v>233</v>
      </c>
    </row>
    <row r="33" spans="1:9" x14ac:dyDescent="0.2">
      <c r="A33" t="s">
        <v>81</v>
      </c>
      <c r="B33">
        <v>1054</v>
      </c>
      <c r="C33">
        <v>140</v>
      </c>
      <c r="D33">
        <v>20</v>
      </c>
      <c r="E33">
        <v>0</v>
      </c>
      <c r="F33">
        <v>19.292194075882399</v>
      </c>
      <c r="G33">
        <v>1</v>
      </c>
      <c r="H33">
        <v>1</v>
      </c>
      <c r="I33" t="s">
        <v>234</v>
      </c>
    </row>
    <row r="34" spans="1:9" x14ac:dyDescent="0.2">
      <c r="A34" t="s">
        <v>82</v>
      </c>
      <c r="B34">
        <v>1428</v>
      </c>
      <c r="C34">
        <v>184</v>
      </c>
      <c r="D34">
        <v>24</v>
      </c>
      <c r="E34">
        <v>0</v>
      </c>
      <c r="F34">
        <v>37.9164335429668</v>
      </c>
      <c r="G34">
        <v>1</v>
      </c>
      <c r="H34">
        <v>1</v>
      </c>
      <c r="I34" t="s">
        <v>235</v>
      </c>
    </row>
    <row r="35" spans="1:9" x14ac:dyDescent="0.2">
      <c r="A35" t="s">
        <v>83</v>
      </c>
      <c r="B35">
        <v>1768</v>
      </c>
      <c r="C35">
        <v>224</v>
      </c>
      <c r="D35">
        <v>22</v>
      </c>
      <c r="E35">
        <v>0</v>
      </c>
      <c r="F35">
        <v>61.082640185952101</v>
      </c>
      <c r="G35">
        <v>1</v>
      </c>
      <c r="H35">
        <v>1</v>
      </c>
      <c r="I35" t="s">
        <v>236</v>
      </c>
    </row>
    <row r="36" spans="1:9" x14ac:dyDescent="0.2">
      <c r="A36" t="s">
        <v>84</v>
      </c>
      <c r="B36">
        <v>1972</v>
      </c>
      <c r="C36">
        <v>248</v>
      </c>
      <c r="D36">
        <v>20</v>
      </c>
      <c r="E36">
        <v>0</v>
      </c>
      <c r="F36">
        <v>79.122460968792396</v>
      </c>
      <c r="G36">
        <v>1</v>
      </c>
      <c r="H36">
        <v>1</v>
      </c>
      <c r="I36" t="s">
        <v>237</v>
      </c>
    </row>
    <row r="37" spans="1:9" x14ac:dyDescent="0.2">
      <c r="A37" t="s">
        <v>85</v>
      </c>
      <c r="B37">
        <v>2040</v>
      </c>
      <c r="C37">
        <v>256</v>
      </c>
      <c r="D37">
        <v>20</v>
      </c>
      <c r="E37">
        <v>0</v>
      </c>
      <c r="F37">
        <v>85.913564629852701</v>
      </c>
      <c r="G37">
        <v>1</v>
      </c>
      <c r="H37">
        <v>1</v>
      </c>
      <c r="I37" t="s">
        <v>238</v>
      </c>
    </row>
    <row r="38" spans="1:9" x14ac:dyDescent="0.2">
      <c r="A38" t="s">
        <v>86</v>
      </c>
      <c r="B38">
        <v>2074</v>
      </c>
      <c r="C38">
        <v>260</v>
      </c>
      <c r="D38">
        <v>32</v>
      </c>
      <c r="E38">
        <v>8</v>
      </c>
      <c r="F38">
        <v>92.277745656669097</v>
      </c>
      <c r="G38">
        <v>1</v>
      </c>
      <c r="H38">
        <v>1</v>
      </c>
      <c r="I38" t="s">
        <v>239</v>
      </c>
    </row>
    <row r="39" spans="1:9" x14ac:dyDescent="0.2">
      <c r="A39" t="s">
        <v>87</v>
      </c>
      <c r="B39">
        <v>2278</v>
      </c>
      <c r="C39">
        <v>284</v>
      </c>
      <c r="D39">
        <v>22</v>
      </c>
      <c r="E39">
        <v>0</v>
      </c>
      <c r="F39">
        <v>110.75376318395099</v>
      </c>
      <c r="G39">
        <v>1</v>
      </c>
      <c r="H39">
        <v>1</v>
      </c>
      <c r="I39" t="s">
        <v>240</v>
      </c>
    </row>
    <row r="40" spans="1:9" x14ac:dyDescent="0.2">
      <c r="A40" t="s">
        <v>88</v>
      </c>
      <c r="B40">
        <v>2482</v>
      </c>
      <c r="C40">
        <v>308</v>
      </c>
      <c r="D40">
        <v>24</v>
      </c>
      <c r="E40">
        <v>0</v>
      </c>
      <c r="F40">
        <v>136.72159276157601</v>
      </c>
      <c r="G40">
        <v>1</v>
      </c>
      <c r="H40">
        <v>1</v>
      </c>
      <c r="I40" t="s">
        <v>241</v>
      </c>
    </row>
    <row r="41" spans="1:9" x14ac:dyDescent="0.2">
      <c r="A41" t="s">
        <v>89</v>
      </c>
      <c r="B41">
        <v>2720</v>
      </c>
      <c r="C41">
        <v>336</v>
      </c>
      <c r="D41">
        <v>24</v>
      </c>
      <c r="E41">
        <v>2</v>
      </c>
      <c r="F41">
        <v>189.36244263499901</v>
      </c>
      <c r="G41">
        <v>1</v>
      </c>
      <c r="H41">
        <v>1</v>
      </c>
      <c r="I41" t="s">
        <v>242</v>
      </c>
    </row>
    <row r="42" spans="1:9" x14ac:dyDescent="0.2">
      <c r="A42" t="s">
        <v>243</v>
      </c>
    </row>
    <row r="43" spans="1:9" x14ac:dyDescent="0.2">
      <c r="A43" t="s">
        <v>90</v>
      </c>
      <c r="B43">
        <v>2890</v>
      </c>
      <c r="C43">
        <v>356</v>
      </c>
      <c r="D43">
        <v>24</v>
      </c>
      <c r="E43">
        <v>0</v>
      </c>
      <c r="F43">
        <v>203.026640117168</v>
      </c>
      <c r="G43">
        <v>1</v>
      </c>
      <c r="H43">
        <v>1</v>
      </c>
      <c r="I43" t="s">
        <v>244</v>
      </c>
    </row>
    <row r="44" spans="1:9" x14ac:dyDescent="0.2">
      <c r="A44" t="s">
        <v>245</v>
      </c>
    </row>
    <row r="45" spans="1:9" x14ac:dyDescent="0.2">
      <c r="A45" t="s">
        <v>91</v>
      </c>
      <c r="B45">
        <v>3230</v>
      </c>
      <c r="C45">
        <v>396</v>
      </c>
      <c r="D45">
        <v>24</v>
      </c>
      <c r="E45">
        <v>0</v>
      </c>
      <c r="F45">
        <v>264.32177469134302</v>
      </c>
      <c r="G45">
        <v>1</v>
      </c>
      <c r="H45">
        <v>1</v>
      </c>
      <c r="I45" t="s">
        <v>246</v>
      </c>
    </row>
    <row r="46" spans="1:9" x14ac:dyDescent="0.2">
      <c r="A46" t="s">
        <v>247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43"/>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248</v>
      </c>
    </row>
    <row r="6" spans="1:1" x14ac:dyDescent="0.2">
      <c r="A6" t="s">
        <v>98</v>
      </c>
    </row>
    <row r="7" spans="1:1" x14ac:dyDescent="0.2">
      <c r="A7" t="s">
        <v>99</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249</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s="1">
        <v>3.45499919999952E-2</v>
      </c>
      <c r="G25">
        <v>1</v>
      </c>
      <c r="H25">
        <v>1</v>
      </c>
    </row>
    <row r="26" spans="1:9" x14ac:dyDescent="0.2">
      <c r="A26" t="s">
        <v>74</v>
      </c>
      <c r="B26">
        <v>136</v>
      </c>
      <c r="C26">
        <v>32</v>
      </c>
      <c r="D26">
        <v>4</v>
      </c>
      <c r="E26">
        <v>0</v>
      </c>
      <c r="F26">
        <v>0.17672084000000099</v>
      </c>
      <c r="G26">
        <v>1</v>
      </c>
      <c r="H26">
        <v>1</v>
      </c>
    </row>
    <row r="27" spans="1:9" x14ac:dyDescent="0.2">
      <c r="A27" t="s">
        <v>75</v>
      </c>
      <c r="B27">
        <v>238</v>
      </c>
      <c r="C27">
        <v>44</v>
      </c>
      <c r="D27">
        <v>6</v>
      </c>
      <c r="E27">
        <v>0</v>
      </c>
      <c r="F27">
        <v>0.57634752299998104</v>
      </c>
      <c r="G27">
        <v>1</v>
      </c>
      <c r="H27">
        <v>1</v>
      </c>
    </row>
    <row r="28" spans="1:9" x14ac:dyDescent="0.2">
      <c r="A28" t="s">
        <v>76</v>
      </c>
      <c r="B28">
        <v>340</v>
      </c>
      <c r="C28">
        <v>56</v>
      </c>
      <c r="D28">
        <v>8</v>
      </c>
      <c r="E28">
        <v>0</v>
      </c>
      <c r="F28">
        <v>12.557175188</v>
      </c>
      <c r="G28">
        <v>1</v>
      </c>
      <c r="H28">
        <v>1</v>
      </c>
    </row>
    <row r="29" spans="1:9" x14ac:dyDescent="0.2">
      <c r="A29" t="s">
        <v>77</v>
      </c>
      <c r="B29">
        <v>442</v>
      </c>
      <c r="C29">
        <v>68</v>
      </c>
      <c r="D29">
        <v>10</v>
      </c>
      <c r="E29">
        <v>0</v>
      </c>
      <c r="F29">
        <v>259.29060198799999</v>
      </c>
      <c r="G29">
        <v>1</v>
      </c>
      <c r="H29">
        <v>1</v>
      </c>
    </row>
    <row r="30" spans="1:9" x14ac:dyDescent="0.2">
      <c r="A30" t="s">
        <v>78</v>
      </c>
      <c r="B30">
        <v>544</v>
      </c>
      <c r="C30">
        <v>80</v>
      </c>
      <c r="D30">
        <v>12</v>
      </c>
      <c r="E30">
        <v>0</v>
      </c>
      <c r="F30">
        <v>3191.2942474749998</v>
      </c>
      <c r="G30">
        <v>1</v>
      </c>
      <c r="H30">
        <v>1</v>
      </c>
    </row>
    <row r="31" spans="1:9" x14ac:dyDescent="0.2">
      <c r="A31" t="s">
        <v>79</v>
      </c>
      <c r="B31">
        <v>714</v>
      </c>
      <c r="C31">
        <v>100</v>
      </c>
      <c r="D31">
        <v>16</v>
      </c>
      <c r="E31">
        <v>0</v>
      </c>
      <c r="F31">
        <v>28840.872869453</v>
      </c>
      <c r="G31">
        <v>1</v>
      </c>
      <c r="H31">
        <v>1</v>
      </c>
    </row>
    <row r="32" spans="1:9" x14ac:dyDescent="0.2">
      <c r="A32" t="s">
        <v>80</v>
      </c>
      <c r="B32">
        <v>1020</v>
      </c>
      <c r="C32">
        <v>136</v>
      </c>
      <c r="D32">
        <v>16</v>
      </c>
      <c r="E32">
        <v>0</v>
      </c>
      <c r="F32">
        <v>28820.826054357902</v>
      </c>
      <c r="G32">
        <v>1</v>
      </c>
      <c r="H32">
        <v>1</v>
      </c>
    </row>
    <row r="33" spans="1:8" x14ac:dyDescent="0.2">
      <c r="A33" t="s">
        <v>81</v>
      </c>
      <c r="B33">
        <v>1054</v>
      </c>
      <c r="C33">
        <v>140</v>
      </c>
      <c r="D33">
        <v>20</v>
      </c>
      <c r="E33">
        <v>0</v>
      </c>
      <c r="F33">
        <v>28811.572816497999</v>
      </c>
      <c r="G33">
        <v>1</v>
      </c>
      <c r="H33">
        <v>1</v>
      </c>
    </row>
    <row r="34" spans="1:8" x14ac:dyDescent="0.2">
      <c r="A34" t="s">
        <v>82</v>
      </c>
      <c r="B34">
        <v>1428</v>
      </c>
      <c r="C34">
        <v>184</v>
      </c>
      <c r="D34">
        <v>24</v>
      </c>
      <c r="E34">
        <v>0</v>
      </c>
      <c r="F34">
        <v>28810.166922184999</v>
      </c>
      <c r="G34">
        <v>1</v>
      </c>
      <c r="H34">
        <v>1</v>
      </c>
    </row>
    <row r="35" spans="1:8" x14ac:dyDescent="0.2">
      <c r="A35" t="s">
        <v>83</v>
      </c>
      <c r="B35">
        <v>1768</v>
      </c>
      <c r="C35">
        <v>224</v>
      </c>
      <c r="D35">
        <v>22</v>
      </c>
      <c r="E35">
        <v>0</v>
      </c>
      <c r="F35">
        <v>28809.002661943901</v>
      </c>
      <c r="G35">
        <v>1</v>
      </c>
      <c r="H35">
        <v>1</v>
      </c>
    </row>
    <row r="36" spans="1:8" x14ac:dyDescent="0.2">
      <c r="A36" t="s">
        <v>84</v>
      </c>
      <c r="B36">
        <v>1972</v>
      </c>
      <c r="C36">
        <v>248</v>
      </c>
      <c r="D36">
        <v>20</v>
      </c>
      <c r="E36">
        <v>0</v>
      </c>
      <c r="F36">
        <v>28821.168593917901</v>
      </c>
      <c r="G36">
        <v>1</v>
      </c>
      <c r="H36">
        <v>1</v>
      </c>
    </row>
    <row r="37" spans="1:8" x14ac:dyDescent="0.2">
      <c r="A37" t="s">
        <v>85</v>
      </c>
      <c r="B37">
        <v>2040</v>
      </c>
      <c r="C37">
        <v>256</v>
      </c>
      <c r="D37">
        <v>20</v>
      </c>
      <c r="E37">
        <v>0</v>
      </c>
      <c r="F37">
        <v>28823.776593265098</v>
      </c>
      <c r="G37">
        <v>1</v>
      </c>
      <c r="H37">
        <v>1</v>
      </c>
    </row>
    <row r="38" spans="1:8" x14ac:dyDescent="0.2">
      <c r="A38" t="s">
        <v>86</v>
      </c>
      <c r="B38">
        <v>2074</v>
      </c>
      <c r="C38">
        <v>260</v>
      </c>
      <c r="D38">
        <v>24</v>
      </c>
      <c r="E38">
        <v>0</v>
      </c>
      <c r="F38">
        <v>28815.636157868801</v>
      </c>
      <c r="G38">
        <v>1</v>
      </c>
      <c r="H38">
        <v>1</v>
      </c>
    </row>
    <row r="39" spans="1:8" x14ac:dyDescent="0.2">
      <c r="A39" t="s">
        <v>87</v>
      </c>
      <c r="B39">
        <v>2278</v>
      </c>
      <c r="C39">
        <v>284</v>
      </c>
      <c r="D39">
        <v>22</v>
      </c>
      <c r="E39">
        <v>0</v>
      </c>
      <c r="F39">
        <v>28811.967803147101</v>
      </c>
      <c r="G39">
        <v>1</v>
      </c>
      <c r="H39">
        <v>1</v>
      </c>
    </row>
    <row r="40" spans="1:8" x14ac:dyDescent="0.2">
      <c r="A40" t="s">
        <v>88</v>
      </c>
      <c r="B40">
        <v>2482</v>
      </c>
      <c r="C40">
        <v>308</v>
      </c>
      <c r="D40">
        <v>24</v>
      </c>
      <c r="E40">
        <v>0</v>
      </c>
      <c r="F40">
        <v>28813.570223262999</v>
      </c>
      <c r="G40">
        <v>1</v>
      </c>
      <c r="H40">
        <v>1</v>
      </c>
    </row>
    <row r="41" spans="1:8" x14ac:dyDescent="0.2">
      <c r="A41" t="s">
        <v>89</v>
      </c>
      <c r="B41">
        <v>2720</v>
      </c>
      <c r="C41">
        <v>336</v>
      </c>
      <c r="D41">
        <v>22</v>
      </c>
      <c r="E41">
        <v>0</v>
      </c>
      <c r="F41">
        <v>28818.173499345699</v>
      </c>
      <c r="G41">
        <v>1</v>
      </c>
      <c r="H41">
        <v>1</v>
      </c>
    </row>
    <row r="42" spans="1:8" x14ac:dyDescent="0.2">
      <c r="A42" t="s">
        <v>90</v>
      </c>
      <c r="B42">
        <v>2890</v>
      </c>
      <c r="C42">
        <v>356</v>
      </c>
      <c r="D42">
        <v>24</v>
      </c>
      <c r="E42">
        <v>0</v>
      </c>
      <c r="F42">
        <v>28808.576195307</v>
      </c>
      <c r="G42">
        <v>1</v>
      </c>
      <c r="H42">
        <v>1</v>
      </c>
    </row>
    <row r="43" spans="1:8" x14ac:dyDescent="0.2">
      <c r="A43" t="s">
        <v>91</v>
      </c>
      <c r="B43">
        <v>3230</v>
      </c>
      <c r="C43">
        <v>396</v>
      </c>
      <c r="D43">
        <v>24</v>
      </c>
      <c r="E43">
        <v>0</v>
      </c>
      <c r="F43">
        <v>28812.088888436501</v>
      </c>
      <c r="G43">
        <v>1</v>
      </c>
      <c r="H43">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44"/>
  <sheetViews>
    <sheetView topLeftCell="A11" workbookViewId="0">
      <selection activeCell="D45" sqref="D45"/>
    </sheetView>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250</v>
      </c>
    </row>
    <row r="6" spans="1:1" x14ac:dyDescent="0.2">
      <c r="A6" t="s">
        <v>98</v>
      </c>
    </row>
    <row r="7" spans="1:1" x14ac:dyDescent="0.2">
      <c r="A7" t="s">
        <v>99</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251</v>
      </c>
    </row>
    <row r="22" spans="1:9" x14ac:dyDescent="0.2">
      <c r="A22" t="s">
        <v>115</v>
      </c>
    </row>
    <row r="23" spans="1:9" x14ac:dyDescent="0.2">
      <c r="A23" t="s">
        <v>252</v>
      </c>
    </row>
    <row r="24" spans="1:9" x14ac:dyDescent="0.2">
      <c r="A24" t="s">
        <v>117</v>
      </c>
    </row>
    <row r="25" spans="1:9" x14ac:dyDescent="0.2">
      <c r="A25" t="s">
        <v>70</v>
      </c>
      <c r="B25" t="s">
        <v>61</v>
      </c>
      <c r="C25" t="s">
        <v>71</v>
      </c>
      <c r="D25" t="s">
        <v>72</v>
      </c>
      <c r="E25" t="s">
        <v>118</v>
      </c>
      <c r="F25" t="s">
        <v>119</v>
      </c>
      <c r="G25" t="s">
        <v>58</v>
      </c>
      <c r="H25" t="s">
        <v>59</v>
      </c>
      <c r="I25" t="s">
        <v>120</v>
      </c>
    </row>
    <row r="26" spans="1:9" x14ac:dyDescent="0.2">
      <c r="A26" t="s">
        <v>73</v>
      </c>
      <c r="B26">
        <v>34</v>
      </c>
      <c r="C26">
        <v>20</v>
      </c>
      <c r="D26">
        <v>2</v>
      </c>
      <c r="E26">
        <v>0</v>
      </c>
      <c r="F26">
        <v>2.1870261999993E-2</v>
      </c>
      <c r="G26">
        <v>1</v>
      </c>
      <c r="H26">
        <v>1</v>
      </c>
      <c r="I26" t="s">
        <v>253</v>
      </c>
    </row>
    <row r="27" spans="1:9" x14ac:dyDescent="0.2">
      <c r="A27" t="s">
        <v>74</v>
      </c>
      <c r="B27">
        <v>136</v>
      </c>
      <c r="C27">
        <v>32</v>
      </c>
      <c r="D27">
        <v>4</v>
      </c>
      <c r="E27">
        <v>0</v>
      </c>
      <c r="F27">
        <v>2.744710666</v>
      </c>
      <c r="G27">
        <v>1</v>
      </c>
      <c r="H27">
        <v>1</v>
      </c>
      <c r="I27" t="s">
        <v>254</v>
      </c>
    </row>
    <row r="28" spans="1:9" x14ac:dyDescent="0.2">
      <c r="A28" t="s">
        <v>75</v>
      </c>
      <c r="B28">
        <v>238</v>
      </c>
      <c r="C28">
        <v>44</v>
      </c>
      <c r="D28">
        <v>6</v>
      </c>
      <c r="E28">
        <v>0</v>
      </c>
      <c r="F28">
        <v>9.5074303979999897</v>
      </c>
      <c r="G28">
        <v>1</v>
      </c>
      <c r="H28">
        <v>1</v>
      </c>
      <c r="I28" t="s">
        <v>255</v>
      </c>
    </row>
    <row r="29" spans="1:9" x14ac:dyDescent="0.2">
      <c r="A29" t="s">
        <v>76</v>
      </c>
      <c r="B29">
        <v>340</v>
      </c>
      <c r="C29">
        <v>56</v>
      </c>
      <c r="D29">
        <v>8</v>
      </c>
      <c r="E29">
        <v>0</v>
      </c>
      <c r="F29">
        <v>128.83787709000001</v>
      </c>
      <c r="G29">
        <v>1</v>
      </c>
      <c r="H29">
        <v>1</v>
      </c>
      <c r="I29" t="s">
        <v>256</v>
      </c>
    </row>
    <row r="30" spans="1:9" x14ac:dyDescent="0.2">
      <c r="A30" t="s">
        <v>77</v>
      </c>
      <c r="B30">
        <v>442</v>
      </c>
      <c r="C30">
        <v>68</v>
      </c>
      <c r="D30">
        <v>10</v>
      </c>
      <c r="E30">
        <v>0</v>
      </c>
      <c r="F30">
        <v>1122.552993647</v>
      </c>
      <c r="G30">
        <v>1</v>
      </c>
      <c r="H30">
        <v>1</v>
      </c>
      <c r="I30" t="s">
        <v>257</v>
      </c>
    </row>
    <row r="31" spans="1:9" x14ac:dyDescent="0.2">
      <c r="A31" t="s">
        <v>78</v>
      </c>
      <c r="B31">
        <v>544</v>
      </c>
      <c r="C31">
        <v>80</v>
      </c>
      <c r="D31">
        <v>12</v>
      </c>
      <c r="E31">
        <v>0</v>
      </c>
      <c r="F31">
        <v>14825.912378468</v>
      </c>
      <c r="G31">
        <v>1</v>
      </c>
      <c r="H31">
        <v>1</v>
      </c>
      <c r="I31" t="s">
        <v>258</v>
      </c>
    </row>
    <row r="32" spans="1:9" x14ac:dyDescent="0.2">
      <c r="A32" t="s">
        <v>79</v>
      </c>
      <c r="B32">
        <v>714</v>
      </c>
      <c r="C32">
        <v>100</v>
      </c>
      <c r="D32">
        <v>16</v>
      </c>
      <c r="E32">
        <v>0</v>
      </c>
      <c r="F32">
        <v>28807.8494804129</v>
      </c>
      <c r="G32">
        <v>1</v>
      </c>
      <c r="H32">
        <v>1</v>
      </c>
      <c r="I32" t="s">
        <v>259</v>
      </c>
    </row>
    <row r="33" spans="1:9" x14ac:dyDescent="0.2">
      <c r="A33" t="s">
        <v>80</v>
      </c>
      <c r="B33">
        <v>1020</v>
      </c>
      <c r="C33">
        <v>136</v>
      </c>
      <c r="D33">
        <v>16</v>
      </c>
      <c r="E33">
        <v>0</v>
      </c>
      <c r="F33">
        <v>28811.2884021139</v>
      </c>
      <c r="G33">
        <v>1</v>
      </c>
      <c r="H33">
        <v>1</v>
      </c>
      <c r="I33" t="s">
        <v>260</v>
      </c>
    </row>
    <row r="34" spans="1:9" x14ac:dyDescent="0.2">
      <c r="A34" t="s">
        <v>81</v>
      </c>
      <c r="B34">
        <v>1054</v>
      </c>
      <c r="C34">
        <v>140</v>
      </c>
      <c r="D34">
        <v>20</v>
      </c>
      <c r="E34">
        <v>0</v>
      </c>
      <c r="F34">
        <v>28813.373706530001</v>
      </c>
      <c r="G34">
        <v>1</v>
      </c>
      <c r="H34">
        <v>1</v>
      </c>
      <c r="I34" t="s">
        <v>261</v>
      </c>
    </row>
    <row r="35" spans="1:9" x14ac:dyDescent="0.2">
      <c r="A35" t="s">
        <v>82</v>
      </c>
      <c r="B35">
        <v>1428</v>
      </c>
      <c r="C35">
        <v>184</v>
      </c>
      <c r="D35">
        <v>24</v>
      </c>
      <c r="E35">
        <v>0</v>
      </c>
      <c r="F35">
        <v>28803.692533050002</v>
      </c>
      <c r="G35">
        <v>1</v>
      </c>
      <c r="H35">
        <v>1</v>
      </c>
      <c r="I35" t="s">
        <v>262</v>
      </c>
    </row>
    <row r="36" spans="1:9" x14ac:dyDescent="0.2">
      <c r="A36" t="s">
        <v>83</v>
      </c>
      <c r="B36">
        <v>1768</v>
      </c>
      <c r="C36">
        <v>224</v>
      </c>
      <c r="D36">
        <v>24</v>
      </c>
      <c r="E36">
        <v>2</v>
      </c>
      <c r="F36">
        <v>28812.396142503902</v>
      </c>
      <c r="G36">
        <v>1</v>
      </c>
      <c r="H36">
        <v>1</v>
      </c>
      <c r="I36" t="s">
        <v>263</v>
      </c>
    </row>
    <row r="37" spans="1:9" x14ac:dyDescent="0.2">
      <c r="A37" t="s">
        <v>84</v>
      </c>
      <c r="B37">
        <v>1972</v>
      </c>
      <c r="C37">
        <v>248</v>
      </c>
      <c r="D37">
        <v>24</v>
      </c>
      <c r="E37">
        <v>4</v>
      </c>
      <c r="F37">
        <v>28812.033149227002</v>
      </c>
      <c r="G37">
        <v>1</v>
      </c>
      <c r="H37">
        <v>1</v>
      </c>
      <c r="I37" t="s">
        <v>264</v>
      </c>
    </row>
    <row r="38" spans="1:9" x14ac:dyDescent="0.2">
      <c r="A38" t="s">
        <v>85</v>
      </c>
      <c r="B38">
        <v>2040</v>
      </c>
      <c r="C38">
        <v>256</v>
      </c>
      <c r="D38">
        <v>20</v>
      </c>
      <c r="E38">
        <v>0</v>
      </c>
      <c r="F38">
        <v>28808.517616955</v>
      </c>
      <c r="G38">
        <v>1</v>
      </c>
      <c r="H38">
        <v>1</v>
      </c>
      <c r="I38" t="s">
        <v>265</v>
      </c>
    </row>
    <row r="39" spans="1:9" x14ac:dyDescent="0.2">
      <c r="A39" t="s">
        <v>86</v>
      </c>
      <c r="B39">
        <v>2074</v>
      </c>
      <c r="C39">
        <v>260</v>
      </c>
      <c r="D39">
        <v>34</v>
      </c>
      <c r="E39">
        <v>10</v>
      </c>
      <c r="F39">
        <v>28811.634952152599</v>
      </c>
      <c r="G39">
        <v>1</v>
      </c>
      <c r="H39">
        <v>1</v>
      </c>
      <c r="I39" t="s">
        <v>266</v>
      </c>
    </row>
    <row r="40" spans="1:9" x14ac:dyDescent="0.2">
      <c r="A40" t="s">
        <v>87</v>
      </c>
      <c r="B40">
        <v>2278</v>
      </c>
      <c r="C40">
        <v>284</v>
      </c>
      <c r="D40">
        <v>24</v>
      </c>
      <c r="E40">
        <v>2</v>
      </c>
      <c r="F40">
        <v>28809.015091744201</v>
      </c>
      <c r="G40">
        <v>1</v>
      </c>
      <c r="H40">
        <v>1</v>
      </c>
      <c r="I40" t="s">
        <v>267</v>
      </c>
    </row>
    <row r="41" spans="1:9" x14ac:dyDescent="0.2">
      <c r="A41" t="s">
        <v>88</v>
      </c>
      <c r="B41">
        <v>2482</v>
      </c>
      <c r="C41">
        <v>308</v>
      </c>
      <c r="D41">
        <v>44</v>
      </c>
      <c r="E41">
        <v>20</v>
      </c>
      <c r="F41">
        <v>28815.783737724101</v>
      </c>
      <c r="G41">
        <v>1</v>
      </c>
      <c r="H41">
        <v>1</v>
      </c>
      <c r="I41" t="s">
        <v>268</v>
      </c>
    </row>
    <row r="42" spans="1:9" x14ac:dyDescent="0.2">
      <c r="A42" t="s">
        <v>89</v>
      </c>
      <c r="B42">
        <v>2720</v>
      </c>
      <c r="C42">
        <v>336</v>
      </c>
      <c r="D42">
        <v>22</v>
      </c>
      <c r="E42">
        <v>0</v>
      </c>
      <c r="F42">
        <v>28802.1275712475</v>
      </c>
      <c r="G42">
        <v>1</v>
      </c>
      <c r="H42">
        <v>1</v>
      </c>
      <c r="I42" t="s">
        <v>269</v>
      </c>
    </row>
    <row r="43" spans="1:9" x14ac:dyDescent="0.2">
      <c r="A43" t="s">
        <v>90</v>
      </c>
      <c r="B43">
        <v>2890</v>
      </c>
      <c r="C43">
        <v>356</v>
      </c>
      <c r="D43">
        <v>56</v>
      </c>
      <c r="E43">
        <v>32</v>
      </c>
      <c r="F43">
        <v>28808.351913832099</v>
      </c>
      <c r="G43">
        <v>1</v>
      </c>
      <c r="H43">
        <v>1</v>
      </c>
      <c r="I43" t="s">
        <v>270</v>
      </c>
    </row>
    <row r="44" spans="1:9" x14ac:dyDescent="0.2">
      <c r="A44" t="s">
        <v>91</v>
      </c>
      <c r="B44">
        <v>3230</v>
      </c>
      <c r="C44">
        <v>396</v>
      </c>
      <c r="D44">
        <v>0</v>
      </c>
      <c r="E44">
        <v>-24</v>
      </c>
      <c r="F44">
        <v>28819.431572884299</v>
      </c>
      <c r="G44">
        <v>1</v>
      </c>
      <c r="H44">
        <v>1</v>
      </c>
      <c r="I44" t="s">
        <v>271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184"/>
  <sheetViews>
    <sheetView workbookViewId="0">
      <selection activeCell="G17" sqref="G17"/>
    </sheetView>
  </sheetViews>
  <sheetFormatPr baseColWidth="10" defaultRowHeight="16" x14ac:dyDescent="0.2"/>
  <sheetData>
    <row r="1" spans="1:1" x14ac:dyDescent="0.2">
      <c r="A1" t="s">
        <v>92</v>
      </c>
    </row>
    <row r="2" spans="1:1" x14ac:dyDescent="0.2">
      <c r="A2" t="s">
        <v>93</v>
      </c>
    </row>
    <row r="3" spans="1:1" x14ac:dyDescent="0.2">
      <c r="A3" t="s">
        <v>94</v>
      </c>
    </row>
    <row r="4" spans="1:1" x14ac:dyDescent="0.2">
      <c r="A4" t="s">
        <v>342</v>
      </c>
    </row>
    <row r="5" spans="1:1" x14ac:dyDescent="0.2">
      <c r="A5" t="s">
        <v>95</v>
      </c>
    </row>
    <row r="6" spans="1:1" x14ac:dyDescent="0.2">
      <c r="A6" t="s">
        <v>96</v>
      </c>
    </row>
    <row r="7" spans="1:1" x14ac:dyDescent="0.2">
      <c r="A7" t="s">
        <v>272</v>
      </c>
    </row>
    <row r="8" spans="1:1" x14ac:dyDescent="0.2">
      <c r="A8" t="s">
        <v>98</v>
      </c>
    </row>
    <row r="9" spans="1:1" x14ac:dyDescent="0.2">
      <c r="A9" t="s">
        <v>151</v>
      </c>
    </row>
    <row r="10" spans="1:1" x14ac:dyDescent="0.2">
      <c r="A10" t="s">
        <v>341</v>
      </c>
    </row>
    <row r="11" spans="1:1" x14ac:dyDescent="0.2">
      <c r="A11" t="s">
        <v>338</v>
      </c>
    </row>
    <row r="12" spans="1:1" x14ac:dyDescent="0.2">
      <c r="A12" t="s">
        <v>100</v>
      </c>
    </row>
    <row r="13" spans="1:1" x14ac:dyDescent="0.2">
      <c r="A13" t="s">
        <v>101</v>
      </c>
    </row>
    <row r="14" spans="1:1" x14ac:dyDescent="0.2">
      <c r="A14" t="s">
        <v>102</v>
      </c>
    </row>
    <row r="15" spans="1:1" x14ac:dyDescent="0.2">
      <c r="A15" t="s">
        <v>103</v>
      </c>
    </row>
    <row r="16" spans="1:1" x14ac:dyDescent="0.2">
      <c r="A16" t="s">
        <v>104</v>
      </c>
    </row>
    <row r="17" spans="1:1" x14ac:dyDescent="0.2">
      <c r="A17" t="s">
        <v>328</v>
      </c>
    </row>
    <row r="18" spans="1:1" x14ac:dyDescent="0.2">
      <c r="A18" t="s">
        <v>329</v>
      </c>
    </row>
    <row r="19" spans="1:1" x14ac:dyDescent="0.2">
      <c r="A19" t="s">
        <v>105</v>
      </c>
    </row>
    <row r="20" spans="1:1" x14ac:dyDescent="0.2">
      <c r="A20" t="s">
        <v>109</v>
      </c>
    </row>
    <row r="21" spans="1:1" x14ac:dyDescent="0.2">
      <c r="A21" t="s">
        <v>110</v>
      </c>
    </row>
    <row r="22" spans="1:1" x14ac:dyDescent="0.2">
      <c r="A22" t="s">
        <v>111</v>
      </c>
    </row>
    <row r="23" spans="1:1" x14ac:dyDescent="0.2">
      <c r="A23" t="s">
        <v>112</v>
      </c>
    </row>
    <row r="24" spans="1:1" x14ac:dyDescent="0.2">
      <c r="A24" t="s">
        <v>330</v>
      </c>
    </row>
    <row r="25" spans="1:1" x14ac:dyDescent="0.2">
      <c r="A25" t="s">
        <v>331</v>
      </c>
    </row>
    <row r="26" spans="1:1" x14ac:dyDescent="0.2">
      <c r="A26" t="s">
        <v>332</v>
      </c>
    </row>
    <row r="27" spans="1:1" x14ac:dyDescent="0.2">
      <c r="A27" t="s">
        <v>333</v>
      </c>
    </row>
    <row r="28" spans="1:1" x14ac:dyDescent="0.2">
      <c r="A28" t="s">
        <v>343</v>
      </c>
    </row>
    <row r="29" spans="1:1" x14ac:dyDescent="0.2">
      <c r="A29" t="s">
        <v>213</v>
      </c>
    </row>
    <row r="30" spans="1:1" x14ac:dyDescent="0.2">
      <c r="A30" t="s">
        <v>115</v>
      </c>
    </row>
    <row r="31" spans="1:1" x14ac:dyDescent="0.2">
      <c r="A31" t="s">
        <v>344</v>
      </c>
    </row>
    <row r="32" spans="1:1" x14ac:dyDescent="0.2">
      <c r="A32" t="s">
        <v>117</v>
      </c>
    </row>
    <row r="33" spans="1:9" x14ac:dyDescent="0.2">
      <c r="A33" t="s">
        <v>70</v>
      </c>
      <c r="B33" t="s">
        <v>61</v>
      </c>
      <c r="C33" t="s">
        <v>71</v>
      </c>
      <c r="D33" t="s">
        <v>72</v>
      </c>
      <c r="E33" t="s">
        <v>118</v>
      </c>
      <c r="F33" t="s">
        <v>119</v>
      </c>
      <c r="G33" t="s">
        <v>58</v>
      </c>
      <c r="H33" t="s">
        <v>59</v>
      </c>
      <c r="I33" t="s">
        <v>120</v>
      </c>
    </row>
    <row r="34" spans="1:9" x14ac:dyDescent="0.2">
      <c r="A34" t="s">
        <v>90</v>
      </c>
      <c r="B34">
        <v>2890</v>
      </c>
      <c r="C34">
        <v>356</v>
      </c>
      <c r="D34">
        <v>24</v>
      </c>
      <c r="E34">
        <v>0</v>
      </c>
      <c r="F34">
        <v>23051.576735380098</v>
      </c>
      <c r="G34">
        <v>3432</v>
      </c>
      <c r="H34">
        <v>10000</v>
      </c>
      <c r="I34" t="s">
        <v>345</v>
      </c>
    </row>
    <row r="35" spans="1:9" x14ac:dyDescent="0.2">
      <c r="A35" t="s">
        <v>92</v>
      </c>
    </row>
    <row r="36" spans="1:9" x14ac:dyDescent="0.2">
      <c r="A36" t="s">
        <v>93</v>
      </c>
    </row>
    <row r="37" spans="1:9" x14ac:dyDescent="0.2">
      <c r="A37" t="s">
        <v>94</v>
      </c>
    </row>
    <row r="38" spans="1:9" x14ac:dyDescent="0.2">
      <c r="A38" t="s">
        <v>342</v>
      </c>
    </row>
    <row r="39" spans="1:9" x14ac:dyDescent="0.2">
      <c r="A39" t="s">
        <v>95</v>
      </c>
    </row>
    <row r="40" spans="1:9" x14ac:dyDescent="0.2">
      <c r="A40" t="s">
        <v>96</v>
      </c>
    </row>
    <row r="41" spans="1:9" x14ac:dyDescent="0.2">
      <c r="A41" t="s">
        <v>272</v>
      </c>
    </row>
    <row r="42" spans="1:9" x14ac:dyDescent="0.2">
      <c r="A42" t="s">
        <v>98</v>
      </c>
    </row>
    <row r="43" spans="1:9" x14ac:dyDescent="0.2">
      <c r="A43" t="s">
        <v>151</v>
      </c>
    </row>
    <row r="44" spans="1:9" x14ac:dyDescent="0.2">
      <c r="A44" t="s">
        <v>337</v>
      </c>
    </row>
    <row r="45" spans="1:9" x14ac:dyDescent="0.2">
      <c r="A45" t="s">
        <v>346</v>
      </c>
    </row>
    <row r="46" spans="1:9" x14ac:dyDescent="0.2">
      <c r="A46" t="s">
        <v>100</v>
      </c>
    </row>
    <row r="47" spans="1:9" x14ac:dyDescent="0.2">
      <c r="A47" t="s">
        <v>101</v>
      </c>
    </row>
    <row r="48" spans="1:9" x14ac:dyDescent="0.2">
      <c r="A48" t="s">
        <v>102</v>
      </c>
    </row>
    <row r="49" spans="1:1" x14ac:dyDescent="0.2">
      <c r="A49" t="s">
        <v>103</v>
      </c>
    </row>
    <row r="50" spans="1:1" x14ac:dyDescent="0.2">
      <c r="A50" t="s">
        <v>104</v>
      </c>
    </row>
    <row r="51" spans="1:1" x14ac:dyDescent="0.2">
      <c r="A51" t="s">
        <v>328</v>
      </c>
    </row>
    <row r="52" spans="1:1" x14ac:dyDescent="0.2">
      <c r="A52" t="s">
        <v>329</v>
      </c>
    </row>
    <row r="53" spans="1:1" x14ac:dyDescent="0.2">
      <c r="A53" t="s">
        <v>105</v>
      </c>
    </row>
    <row r="54" spans="1:1" x14ac:dyDescent="0.2">
      <c r="A54" t="s">
        <v>109</v>
      </c>
    </row>
    <row r="55" spans="1:1" x14ac:dyDescent="0.2">
      <c r="A55" t="s">
        <v>110</v>
      </c>
    </row>
    <row r="56" spans="1:1" x14ac:dyDescent="0.2">
      <c r="A56" t="s">
        <v>111</v>
      </c>
    </row>
    <row r="57" spans="1:1" x14ac:dyDescent="0.2">
      <c r="A57" t="s">
        <v>112</v>
      </c>
    </row>
    <row r="58" spans="1:1" x14ac:dyDescent="0.2">
      <c r="A58" t="s">
        <v>330</v>
      </c>
    </row>
    <row r="59" spans="1:1" x14ac:dyDescent="0.2">
      <c r="A59" t="s">
        <v>331</v>
      </c>
    </row>
    <row r="60" spans="1:1" x14ac:dyDescent="0.2">
      <c r="A60" t="s">
        <v>332</v>
      </c>
    </row>
    <row r="61" spans="1:1" x14ac:dyDescent="0.2">
      <c r="A61" t="s">
        <v>333</v>
      </c>
    </row>
    <row r="62" spans="1:1" x14ac:dyDescent="0.2">
      <c r="A62" t="s">
        <v>343</v>
      </c>
    </row>
    <row r="63" spans="1:1" x14ac:dyDescent="0.2">
      <c r="A63" t="s">
        <v>213</v>
      </c>
    </row>
    <row r="64" spans="1:1" x14ac:dyDescent="0.2">
      <c r="A64" t="s">
        <v>115</v>
      </c>
    </row>
    <row r="65" spans="1:9" x14ac:dyDescent="0.2">
      <c r="A65" t="s">
        <v>347</v>
      </c>
    </row>
    <row r="66" spans="1:9" x14ac:dyDescent="0.2">
      <c r="A66" t="s">
        <v>117</v>
      </c>
    </row>
    <row r="67" spans="1:9" x14ac:dyDescent="0.2">
      <c r="A67" t="s">
        <v>70</v>
      </c>
      <c r="B67" t="s">
        <v>61</v>
      </c>
      <c r="C67" t="s">
        <v>71</v>
      </c>
      <c r="D67" t="s">
        <v>72</v>
      </c>
      <c r="E67" t="s">
        <v>118</v>
      </c>
      <c r="F67" t="s">
        <v>119</v>
      </c>
      <c r="G67" t="s">
        <v>58</v>
      </c>
      <c r="H67" t="s">
        <v>59</v>
      </c>
      <c r="I67" t="s">
        <v>120</v>
      </c>
    </row>
    <row r="68" spans="1:9" x14ac:dyDescent="0.2">
      <c r="A68" t="s">
        <v>88</v>
      </c>
      <c r="B68">
        <v>2482</v>
      </c>
      <c r="C68">
        <v>308</v>
      </c>
      <c r="D68">
        <v>24</v>
      </c>
      <c r="E68">
        <v>0</v>
      </c>
      <c r="F68">
        <v>14964.878275446499</v>
      </c>
      <c r="G68">
        <v>1448</v>
      </c>
      <c r="H68">
        <v>10000</v>
      </c>
      <c r="I68" t="s">
        <v>348</v>
      </c>
    </row>
    <row r="69" spans="1:9" x14ac:dyDescent="0.2">
      <c r="A69" t="s">
        <v>89</v>
      </c>
      <c r="B69">
        <v>2720</v>
      </c>
      <c r="C69">
        <v>336</v>
      </c>
      <c r="D69">
        <v>22</v>
      </c>
      <c r="E69">
        <v>0</v>
      </c>
      <c r="F69">
        <v>18677.7906392812</v>
      </c>
      <c r="G69">
        <v>3246</v>
      </c>
      <c r="H69">
        <v>10000</v>
      </c>
      <c r="I69" t="s">
        <v>349</v>
      </c>
    </row>
    <row r="70" spans="1:9" x14ac:dyDescent="0.2">
      <c r="A70" t="s">
        <v>92</v>
      </c>
    </row>
    <row r="71" spans="1:9" x14ac:dyDescent="0.2">
      <c r="A71" t="s">
        <v>93</v>
      </c>
    </row>
    <row r="72" spans="1:9" x14ac:dyDescent="0.2">
      <c r="A72" t="s">
        <v>94</v>
      </c>
    </row>
    <row r="73" spans="1:9" x14ac:dyDescent="0.2">
      <c r="A73" t="s">
        <v>342</v>
      </c>
    </row>
    <row r="74" spans="1:9" x14ac:dyDescent="0.2">
      <c r="A74" t="s">
        <v>95</v>
      </c>
    </row>
    <row r="75" spans="1:9" x14ac:dyDescent="0.2">
      <c r="A75" t="s">
        <v>96</v>
      </c>
    </row>
    <row r="76" spans="1:9" x14ac:dyDescent="0.2">
      <c r="A76" t="s">
        <v>272</v>
      </c>
    </row>
    <row r="77" spans="1:9" x14ac:dyDescent="0.2">
      <c r="A77" t="s">
        <v>98</v>
      </c>
    </row>
    <row r="78" spans="1:9" x14ac:dyDescent="0.2">
      <c r="A78" t="s">
        <v>151</v>
      </c>
    </row>
    <row r="79" spans="1:9" x14ac:dyDescent="0.2">
      <c r="A79" t="s">
        <v>335</v>
      </c>
    </row>
    <row r="80" spans="1:9" x14ac:dyDescent="0.2">
      <c r="A80" t="s">
        <v>336</v>
      </c>
    </row>
    <row r="81" spans="1:1" x14ac:dyDescent="0.2">
      <c r="A81" t="s">
        <v>100</v>
      </c>
    </row>
    <row r="82" spans="1:1" x14ac:dyDescent="0.2">
      <c r="A82" t="s">
        <v>101</v>
      </c>
    </row>
    <row r="83" spans="1:1" x14ac:dyDescent="0.2">
      <c r="A83" t="s">
        <v>102</v>
      </c>
    </row>
    <row r="84" spans="1:1" x14ac:dyDescent="0.2">
      <c r="A84" t="s">
        <v>103</v>
      </c>
    </row>
    <row r="85" spans="1:1" x14ac:dyDescent="0.2">
      <c r="A85" t="s">
        <v>104</v>
      </c>
    </row>
    <row r="86" spans="1:1" x14ac:dyDescent="0.2">
      <c r="A86" t="s">
        <v>328</v>
      </c>
    </row>
    <row r="87" spans="1:1" x14ac:dyDescent="0.2">
      <c r="A87" t="s">
        <v>329</v>
      </c>
    </row>
    <row r="88" spans="1:1" x14ac:dyDescent="0.2">
      <c r="A88" t="s">
        <v>105</v>
      </c>
    </row>
    <row r="89" spans="1:1" x14ac:dyDescent="0.2">
      <c r="A89" t="s">
        <v>109</v>
      </c>
    </row>
    <row r="90" spans="1:1" x14ac:dyDescent="0.2">
      <c r="A90" t="s">
        <v>110</v>
      </c>
    </row>
    <row r="91" spans="1:1" x14ac:dyDescent="0.2">
      <c r="A91" t="s">
        <v>111</v>
      </c>
    </row>
    <row r="92" spans="1:1" x14ac:dyDescent="0.2">
      <c r="A92" t="s">
        <v>112</v>
      </c>
    </row>
    <row r="93" spans="1:1" x14ac:dyDescent="0.2">
      <c r="A93" t="s">
        <v>330</v>
      </c>
    </row>
    <row r="94" spans="1:1" x14ac:dyDescent="0.2">
      <c r="A94" t="s">
        <v>331</v>
      </c>
    </row>
    <row r="95" spans="1:1" x14ac:dyDescent="0.2">
      <c r="A95" t="s">
        <v>332</v>
      </c>
    </row>
    <row r="96" spans="1:1" x14ac:dyDescent="0.2">
      <c r="A96" t="s">
        <v>333</v>
      </c>
    </row>
    <row r="97" spans="1:9" x14ac:dyDescent="0.2">
      <c r="A97" t="s">
        <v>343</v>
      </c>
    </row>
    <row r="98" spans="1:9" x14ac:dyDescent="0.2">
      <c r="A98" t="s">
        <v>213</v>
      </c>
    </row>
    <row r="99" spans="1:9" x14ac:dyDescent="0.2">
      <c r="A99" t="s">
        <v>115</v>
      </c>
    </row>
    <row r="100" spans="1:9" x14ac:dyDescent="0.2">
      <c r="A100" t="s">
        <v>350</v>
      </c>
    </row>
    <row r="101" spans="1:9" x14ac:dyDescent="0.2">
      <c r="A101" t="s">
        <v>117</v>
      </c>
    </row>
    <row r="102" spans="1:9" x14ac:dyDescent="0.2">
      <c r="A102" t="s">
        <v>70</v>
      </c>
      <c r="B102" t="s">
        <v>61</v>
      </c>
      <c r="C102" t="s">
        <v>71</v>
      </c>
      <c r="D102" t="s">
        <v>72</v>
      </c>
      <c r="E102" t="s">
        <v>118</v>
      </c>
      <c r="F102" t="s">
        <v>119</v>
      </c>
      <c r="G102" t="s">
        <v>58</v>
      </c>
      <c r="H102" t="s">
        <v>59</v>
      </c>
      <c r="I102" t="s">
        <v>120</v>
      </c>
    </row>
    <row r="103" spans="1:9" x14ac:dyDescent="0.2">
      <c r="A103" t="s">
        <v>85</v>
      </c>
      <c r="B103">
        <v>2040</v>
      </c>
      <c r="C103">
        <v>256</v>
      </c>
      <c r="D103">
        <v>20</v>
      </c>
      <c r="E103">
        <v>0</v>
      </c>
      <c r="F103">
        <v>8661.54588205646</v>
      </c>
      <c r="G103">
        <v>4338</v>
      </c>
      <c r="H103">
        <v>10000</v>
      </c>
      <c r="I103" t="s">
        <v>351</v>
      </c>
    </row>
    <row r="104" spans="1:9" x14ac:dyDescent="0.2">
      <c r="A104" t="s">
        <v>86</v>
      </c>
      <c r="B104">
        <v>2074</v>
      </c>
      <c r="C104">
        <v>260</v>
      </c>
      <c r="D104">
        <v>24</v>
      </c>
      <c r="E104">
        <v>0</v>
      </c>
      <c r="F104">
        <v>8554.4545129500293</v>
      </c>
      <c r="G104">
        <v>2900</v>
      </c>
      <c r="H104">
        <v>10000</v>
      </c>
      <c r="I104" t="s">
        <v>352</v>
      </c>
    </row>
    <row r="105" spans="1:9" x14ac:dyDescent="0.2">
      <c r="A105" t="s">
        <v>87</v>
      </c>
      <c r="B105">
        <v>2278</v>
      </c>
      <c r="C105">
        <v>284</v>
      </c>
      <c r="D105">
        <v>22</v>
      </c>
      <c r="E105">
        <v>0</v>
      </c>
      <c r="F105">
        <v>11204.6234613815</v>
      </c>
      <c r="G105">
        <v>3246</v>
      </c>
      <c r="H105">
        <v>10000</v>
      </c>
      <c r="I105" t="s">
        <v>353</v>
      </c>
    </row>
    <row r="106" spans="1:9" x14ac:dyDescent="0.2">
      <c r="A106" t="s">
        <v>92</v>
      </c>
    </row>
    <row r="107" spans="1:9" x14ac:dyDescent="0.2">
      <c r="A107" t="s">
        <v>93</v>
      </c>
    </row>
    <row r="108" spans="1:9" x14ac:dyDescent="0.2">
      <c r="A108" t="s">
        <v>94</v>
      </c>
    </row>
    <row r="109" spans="1:9" x14ac:dyDescent="0.2">
      <c r="A109" t="s">
        <v>342</v>
      </c>
    </row>
    <row r="110" spans="1:9" x14ac:dyDescent="0.2">
      <c r="A110" t="s">
        <v>95</v>
      </c>
    </row>
    <row r="111" spans="1:9" x14ac:dyDescent="0.2">
      <c r="A111" t="s">
        <v>96</v>
      </c>
    </row>
    <row r="112" spans="1:9" x14ac:dyDescent="0.2">
      <c r="A112" t="s">
        <v>272</v>
      </c>
    </row>
    <row r="113" spans="1:1" x14ac:dyDescent="0.2">
      <c r="A113" t="s">
        <v>98</v>
      </c>
    </row>
    <row r="114" spans="1:1" x14ac:dyDescent="0.2">
      <c r="A114" t="s">
        <v>151</v>
      </c>
    </row>
    <row r="115" spans="1:1" x14ac:dyDescent="0.2">
      <c r="A115" t="s">
        <v>339</v>
      </c>
    </row>
    <row r="116" spans="1:1" x14ac:dyDescent="0.2">
      <c r="A116" t="s">
        <v>340</v>
      </c>
    </row>
    <row r="117" spans="1:1" x14ac:dyDescent="0.2">
      <c r="A117" t="s">
        <v>100</v>
      </c>
    </row>
    <row r="118" spans="1:1" x14ac:dyDescent="0.2">
      <c r="A118" t="s">
        <v>101</v>
      </c>
    </row>
    <row r="119" spans="1:1" x14ac:dyDescent="0.2">
      <c r="A119" t="s">
        <v>102</v>
      </c>
    </row>
    <row r="120" spans="1:1" x14ac:dyDescent="0.2">
      <c r="A120" t="s">
        <v>103</v>
      </c>
    </row>
    <row r="121" spans="1:1" x14ac:dyDescent="0.2">
      <c r="A121" t="s">
        <v>104</v>
      </c>
    </row>
    <row r="122" spans="1:1" x14ac:dyDescent="0.2">
      <c r="A122" t="s">
        <v>328</v>
      </c>
    </row>
    <row r="123" spans="1:1" x14ac:dyDescent="0.2">
      <c r="A123" t="s">
        <v>329</v>
      </c>
    </row>
    <row r="124" spans="1:1" x14ac:dyDescent="0.2">
      <c r="A124" t="s">
        <v>105</v>
      </c>
    </row>
    <row r="125" spans="1:1" x14ac:dyDescent="0.2">
      <c r="A125" t="s">
        <v>109</v>
      </c>
    </row>
    <row r="126" spans="1:1" x14ac:dyDescent="0.2">
      <c r="A126" t="s">
        <v>110</v>
      </c>
    </row>
    <row r="127" spans="1:1" x14ac:dyDescent="0.2">
      <c r="A127" t="s">
        <v>111</v>
      </c>
    </row>
    <row r="128" spans="1:1" x14ac:dyDescent="0.2">
      <c r="A128" t="s">
        <v>112</v>
      </c>
    </row>
    <row r="129" spans="1:9" x14ac:dyDescent="0.2">
      <c r="A129" t="s">
        <v>330</v>
      </c>
    </row>
    <row r="130" spans="1:9" x14ac:dyDescent="0.2">
      <c r="A130" t="s">
        <v>331</v>
      </c>
    </row>
    <row r="131" spans="1:9" x14ac:dyDescent="0.2">
      <c r="A131" t="s">
        <v>332</v>
      </c>
    </row>
    <row r="132" spans="1:9" x14ac:dyDescent="0.2">
      <c r="A132" t="s">
        <v>333</v>
      </c>
    </row>
    <row r="133" spans="1:9" x14ac:dyDescent="0.2">
      <c r="A133" t="s">
        <v>343</v>
      </c>
    </row>
    <row r="134" spans="1:9" x14ac:dyDescent="0.2">
      <c r="A134" t="s">
        <v>213</v>
      </c>
    </row>
    <row r="135" spans="1:9" x14ac:dyDescent="0.2">
      <c r="A135" t="s">
        <v>115</v>
      </c>
    </row>
    <row r="136" spans="1:9" x14ac:dyDescent="0.2">
      <c r="A136" t="s">
        <v>354</v>
      </c>
    </row>
    <row r="137" spans="1:9" x14ac:dyDescent="0.2">
      <c r="A137" t="s">
        <v>117</v>
      </c>
    </row>
    <row r="138" spans="1:9" x14ac:dyDescent="0.2">
      <c r="A138" t="s">
        <v>70</v>
      </c>
      <c r="B138" t="s">
        <v>61</v>
      </c>
      <c r="C138" t="s">
        <v>71</v>
      </c>
      <c r="D138" t="s">
        <v>72</v>
      </c>
      <c r="E138" t="s">
        <v>118</v>
      </c>
      <c r="F138" t="s">
        <v>119</v>
      </c>
      <c r="G138" t="s">
        <v>58</v>
      </c>
      <c r="H138" t="s">
        <v>59</v>
      </c>
      <c r="I138" t="s">
        <v>120</v>
      </c>
    </row>
    <row r="139" spans="1:9" x14ac:dyDescent="0.2">
      <c r="A139" t="s">
        <v>91</v>
      </c>
      <c r="B139">
        <v>3230</v>
      </c>
      <c r="C139">
        <v>396</v>
      </c>
      <c r="D139">
        <v>24</v>
      </c>
      <c r="E139">
        <v>0</v>
      </c>
      <c r="F139">
        <v>31731.603685418999</v>
      </c>
      <c r="G139">
        <v>2596</v>
      </c>
      <c r="H139">
        <v>10000</v>
      </c>
      <c r="I139" t="s">
        <v>355</v>
      </c>
    </row>
    <row r="140" spans="1:9" x14ac:dyDescent="0.2">
      <c r="A140" t="s">
        <v>92</v>
      </c>
    </row>
    <row r="141" spans="1:9" x14ac:dyDescent="0.2">
      <c r="A141" t="s">
        <v>93</v>
      </c>
    </row>
    <row r="142" spans="1:9" x14ac:dyDescent="0.2">
      <c r="A142" t="s">
        <v>94</v>
      </c>
    </row>
    <row r="143" spans="1:9" x14ac:dyDescent="0.2">
      <c r="A143" t="s">
        <v>342</v>
      </c>
    </row>
    <row r="144" spans="1:9" x14ac:dyDescent="0.2">
      <c r="A144" t="s">
        <v>95</v>
      </c>
    </row>
    <row r="145" spans="1:1" x14ac:dyDescent="0.2">
      <c r="A145" t="s">
        <v>96</v>
      </c>
    </row>
    <row r="146" spans="1:1" x14ac:dyDescent="0.2">
      <c r="A146" t="s">
        <v>272</v>
      </c>
    </row>
    <row r="147" spans="1:1" x14ac:dyDescent="0.2">
      <c r="A147" t="s">
        <v>98</v>
      </c>
    </row>
    <row r="148" spans="1:1" x14ac:dyDescent="0.2">
      <c r="A148" t="s">
        <v>151</v>
      </c>
    </row>
    <row r="149" spans="1:1" x14ac:dyDescent="0.2">
      <c r="A149" t="s">
        <v>326</v>
      </c>
    </row>
    <row r="150" spans="1:1" x14ac:dyDescent="0.2">
      <c r="A150" t="s">
        <v>327</v>
      </c>
    </row>
    <row r="151" spans="1:1" x14ac:dyDescent="0.2">
      <c r="A151" t="s">
        <v>100</v>
      </c>
    </row>
    <row r="152" spans="1:1" x14ac:dyDescent="0.2">
      <c r="A152" t="s">
        <v>101</v>
      </c>
    </row>
    <row r="153" spans="1:1" x14ac:dyDescent="0.2">
      <c r="A153" t="s">
        <v>102</v>
      </c>
    </row>
    <row r="154" spans="1:1" x14ac:dyDescent="0.2">
      <c r="A154" t="s">
        <v>103</v>
      </c>
    </row>
    <row r="155" spans="1:1" x14ac:dyDescent="0.2">
      <c r="A155" t="s">
        <v>104</v>
      </c>
    </row>
    <row r="156" spans="1:1" x14ac:dyDescent="0.2">
      <c r="A156" t="s">
        <v>328</v>
      </c>
    </row>
    <row r="157" spans="1:1" x14ac:dyDescent="0.2">
      <c r="A157" t="s">
        <v>329</v>
      </c>
    </row>
    <row r="158" spans="1:1" x14ac:dyDescent="0.2">
      <c r="A158" t="s">
        <v>105</v>
      </c>
    </row>
    <row r="159" spans="1:1" x14ac:dyDescent="0.2">
      <c r="A159" t="s">
        <v>109</v>
      </c>
    </row>
    <row r="160" spans="1:1" x14ac:dyDescent="0.2">
      <c r="A160" t="s">
        <v>110</v>
      </c>
    </row>
    <row r="161" spans="1:9" x14ac:dyDescent="0.2">
      <c r="A161" t="s">
        <v>111</v>
      </c>
    </row>
    <row r="162" spans="1:9" x14ac:dyDescent="0.2">
      <c r="A162" t="s">
        <v>112</v>
      </c>
    </row>
    <row r="163" spans="1:9" x14ac:dyDescent="0.2">
      <c r="A163" t="s">
        <v>330</v>
      </c>
    </row>
    <row r="164" spans="1:9" x14ac:dyDescent="0.2">
      <c r="A164" t="s">
        <v>331</v>
      </c>
    </row>
    <row r="165" spans="1:9" x14ac:dyDescent="0.2">
      <c r="A165" t="s">
        <v>332</v>
      </c>
    </row>
    <row r="166" spans="1:9" x14ac:dyDescent="0.2">
      <c r="A166" t="s">
        <v>333</v>
      </c>
    </row>
    <row r="167" spans="1:9" x14ac:dyDescent="0.2">
      <c r="A167" t="s">
        <v>343</v>
      </c>
    </row>
    <row r="168" spans="1:9" x14ac:dyDescent="0.2">
      <c r="A168" t="s">
        <v>213</v>
      </c>
    </row>
    <row r="169" spans="1:9" x14ac:dyDescent="0.2">
      <c r="A169" t="s">
        <v>115</v>
      </c>
    </row>
    <row r="170" spans="1:9" x14ac:dyDescent="0.2">
      <c r="A170" t="s">
        <v>356</v>
      </c>
    </row>
    <row r="171" spans="1:9" x14ac:dyDescent="0.2">
      <c r="A171" t="s">
        <v>117</v>
      </c>
    </row>
    <row r="172" spans="1:9" x14ac:dyDescent="0.2">
      <c r="A172" t="s">
        <v>70</v>
      </c>
      <c r="B172" t="s">
        <v>61</v>
      </c>
      <c r="C172" t="s">
        <v>71</v>
      </c>
      <c r="D172" t="s">
        <v>72</v>
      </c>
      <c r="E172" t="s">
        <v>118</v>
      </c>
      <c r="F172" t="s">
        <v>119</v>
      </c>
      <c r="G172" t="s">
        <v>58</v>
      </c>
      <c r="H172" t="s">
        <v>59</v>
      </c>
      <c r="I172" t="s">
        <v>120</v>
      </c>
    </row>
    <row r="173" spans="1:9" x14ac:dyDescent="0.2">
      <c r="A173" t="s">
        <v>73</v>
      </c>
      <c r="B173">
        <v>34</v>
      </c>
      <c r="C173">
        <v>20</v>
      </c>
      <c r="D173">
        <v>2</v>
      </c>
      <c r="E173">
        <v>0</v>
      </c>
      <c r="F173">
        <v>6.6922850925475297</v>
      </c>
      <c r="G173">
        <v>10000</v>
      </c>
      <c r="H173">
        <v>10000</v>
      </c>
      <c r="I173" t="s">
        <v>334</v>
      </c>
    </row>
    <row r="174" spans="1:9" x14ac:dyDescent="0.2">
      <c r="A174" t="s">
        <v>74</v>
      </c>
      <c r="B174">
        <v>136</v>
      </c>
      <c r="C174">
        <v>32</v>
      </c>
      <c r="D174">
        <v>4</v>
      </c>
      <c r="E174">
        <v>0</v>
      </c>
      <c r="F174">
        <v>24.037343822419601</v>
      </c>
      <c r="G174">
        <v>9999</v>
      </c>
      <c r="H174">
        <v>10000</v>
      </c>
      <c r="I174" t="s">
        <v>357</v>
      </c>
    </row>
    <row r="175" spans="1:9" x14ac:dyDescent="0.2">
      <c r="A175" t="s">
        <v>75</v>
      </c>
      <c r="B175">
        <v>238</v>
      </c>
      <c r="C175">
        <v>44</v>
      </c>
      <c r="D175">
        <v>6</v>
      </c>
      <c r="E175">
        <v>0</v>
      </c>
      <c r="F175">
        <v>65.054324553348096</v>
      </c>
      <c r="G175">
        <v>9894</v>
      </c>
      <c r="H175">
        <v>10000</v>
      </c>
      <c r="I175" t="s">
        <v>358</v>
      </c>
    </row>
    <row r="176" spans="1:9" x14ac:dyDescent="0.2">
      <c r="A176" t="s">
        <v>76</v>
      </c>
      <c r="B176">
        <v>340</v>
      </c>
      <c r="C176">
        <v>56</v>
      </c>
      <c r="D176">
        <v>8</v>
      </c>
      <c r="E176">
        <v>0</v>
      </c>
      <c r="F176">
        <v>153.92073924466899</v>
      </c>
      <c r="G176">
        <v>9980</v>
      </c>
      <c r="H176">
        <v>10000</v>
      </c>
      <c r="I176" t="s">
        <v>359</v>
      </c>
    </row>
    <row r="177" spans="1:9" x14ac:dyDescent="0.2">
      <c r="A177" t="s">
        <v>77</v>
      </c>
      <c r="B177">
        <v>442</v>
      </c>
      <c r="C177">
        <v>68</v>
      </c>
      <c r="D177">
        <v>10</v>
      </c>
      <c r="E177">
        <v>0</v>
      </c>
      <c r="F177">
        <v>274.586891683749</v>
      </c>
      <c r="G177">
        <v>9387</v>
      </c>
      <c r="H177">
        <v>10000</v>
      </c>
      <c r="I177" t="s">
        <v>360</v>
      </c>
    </row>
    <row r="178" spans="1:9" x14ac:dyDescent="0.2">
      <c r="A178" t="s">
        <v>78</v>
      </c>
      <c r="B178">
        <v>544</v>
      </c>
      <c r="C178">
        <v>80</v>
      </c>
      <c r="D178">
        <v>12</v>
      </c>
      <c r="E178">
        <v>0</v>
      </c>
      <c r="F178">
        <v>461.526630660519</v>
      </c>
      <c r="G178">
        <v>7968</v>
      </c>
      <c r="H178">
        <v>10000</v>
      </c>
      <c r="I178" t="s">
        <v>361</v>
      </c>
    </row>
    <row r="179" spans="1:9" x14ac:dyDescent="0.2">
      <c r="A179" t="s">
        <v>79</v>
      </c>
      <c r="B179">
        <v>714</v>
      </c>
      <c r="C179">
        <v>100</v>
      </c>
      <c r="D179">
        <v>16</v>
      </c>
      <c r="E179">
        <v>0</v>
      </c>
      <c r="F179">
        <v>909.973218340426</v>
      </c>
      <c r="G179">
        <v>7514</v>
      </c>
      <c r="H179">
        <v>10000</v>
      </c>
      <c r="I179" t="s">
        <v>362</v>
      </c>
    </row>
    <row r="180" spans="1:9" x14ac:dyDescent="0.2">
      <c r="A180" t="s">
        <v>80</v>
      </c>
      <c r="B180">
        <v>1020</v>
      </c>
      <c r="C180">
        <v>136</v>
      </c>
      <c r="D180">
        <v>16</v>
      </c>
      <c r="E180">
        <v>0</v>
      </c>
      <c r="F180">
        <v>2361.2369059985499</v>
      </c>
      <c r="G180">
        <v>5570</v>
      </c>
      <c r="H180">
        <v>10000</v>
      </c>
      <c r="I180" t="s">
        <v>363</v>
      </c>
    </row>
    <row r="181" spans="1:9" x14ac:dyDescent="0.2">
      <c r="A181" t="s">
        <v>81</v>
      </c>
      <c r="B181">
        <v>1054</v>
      </c>
      <c r="C181">
        <v>140</v>
      </c>
      <c r="D181">
        <v>20</v>
      </c>
      <c r="E181">
        <v>0</v>
      </c>
      <c r="F181">
        <v>2602.6299611600102</v>
      </c>
      <c r="G181">
        <v>4865</v>
      </c>
      <c r="H181">
        <v>10000</v>
      </c>
      <c r="I181" t="s">
        <v>364</v>
      </c>
    </row>
    <row r="182" spans="1:9" x14ac:dyDescent="0.2">
      <c r="A182" t="s">
        <v>82</v>
      </c>
      <c r="B182">
        <v>1428</v>
      </c>
      <c r="C182">
        <v>184</v>
      </c>
      <c r="D182">
        <v>24</v>
      </c>
      <c r="E182">
        <v>0</v>
      </c>
      <c r="F182">
        <v>5887.9842559164299</v>
      </c>
      <c r="G182">
        <v>3624</v>
      </c>
      <c r="H182">
        <v>10000</v>
      </c>
      <c r="I182" t="s">
        <v>365</v>
      </c>
    </row>
    <row r="183" spans="1:9" x14ac:dyDescent="0.2">
      <c r="A183" t="s">
        <v>83</v>
      </c>
      <c r="B183">
        <v>1768</v>
      </c>
      <c r="C183">
        <v>224</v>
      </c>
      <c r="D183">
        <v>22</v>
      </c>
      <c r="E183">
        <v>0</v>
      </c>
      <c r="F183">
        <v>10793.3354183752</v>
      </c>
      <c r="G183">
        <v>1099</v>
      </c>
      <c r="H183">
        <v>10000</v>
      </c>
      <c r="I183" t="s">
        <v>366</v>
      </c>
    </row>
    <row r="184" spans="1:9" x14ac:dyDescent="0.2">
      <c r="A184" t="s">
        <v>84</v>
      </c>
      <c r="B184">
        <v>1972</v>
      </c>
      <c r="C184">
        <v>248</v>
      </c>
      <c r="D184">
        <v>20</v>
      </c>
      <c r="E184">
        <v>0</v>
      </c>
      <c r="F184">
        <v>14459.2802971825</v>
      </c>
      <c r="G184">
        <v>3770</v>
      </c>
      <c r="H184">
        <v>10000</v>
      </c>
      <c r="I184" t="s">
        <v>367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43"/>
  <sheetViews>
    <sheetView workbookViewId="0"/>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273</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274</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v>2.99968506395816</v>
      </c>
      <c r="G25">
        <v>10000</v>
      </c>
      <c r="H25">
        <v>10000</v>
      </c>
      <c r="I25" t="s">
        <v>180</v>
      </c>
    </row>
    <row r="26" spans="1:9" x14ac:dyDescent="0.2">
      <c r="A26" t="s">
        <v>74</v>
      </c>
      <c r="B26">
        <v>136</v>
      </c>
      <c r="C26">
        <v>32</v>
      </c>
      <c r="D26">
        <v>4</v>
      </c>
      <c r="E26">
        <v>0</v>
      </c>
      <c r="F26">
        <v>10.954430013894999</v>
      </c>
      <c r="G26">
        <v>9980</v>
      </c>
      <c r="H26">
        <v>10000</v>
      </c>
      <c r="I26" t="s">
        <v>275</v>
      </c>
    </row>
    <row r="27" spans="1:9" x14ac:dyDescent="0.2">
      <c r="A27" t="s">
        <v>75</v>
      </c>
      <c r="B27">
        <v>238</v>
      </c>
      <c r="C27">
        <v>44</v>
      </c>
      <c r="D27">
        <v>6</v>
      </c>
      <c r="E27">
        <v>0</v>
      </c>
      <c r="F27">
        <v>32.902134552598</v>
      </c>
      <c r="G27">
        <v>7251</v>
      </c>
      <c r="H27">
        <v>10000</v>
      </c>
      <c r="I27" t="s">
        <v>276</v>
      </c>
    </row>
    <row r="28" spans="1:9" x14ac:dyDescent="0.2">
      <c r="A28" t="s">
        <v>76</v>
      </c>
      <c r="B28">
        <v>340</v>
      </c>
      <c r="C28">
        <v>56</v>
      </c>
      <c r="D28">
        <v>8</v>
      </c>
      <c r="E28">
        <v>0</v>
      </c>
      <c r="F28">
        <v>77.268566101789403</v>
      </c>
      <c r="G28">
        <v>9148</v>
      </c>
      <c r="H28">
        <v>10000</v>
      </c>
      <c r="I28" t="s">
        <v>277</v>
      </c>
    </row>
    <row r="29" spans="1:9" x14ac:dyDescent="0.2">
      <c r="A29" t="s">
        <v>77</v>
      </c>
      <c r="B29">
        <v>442</v>
      </c>
      <c r="C29">
        <v>68</v>
      </c>
      <c r="D29">
        <v>10</v>
      </c>
      <c r="E29">
        <v>0</v>
      </c>
      <c r="F29">
        <v>149.52479306608399</v>
      </c>
      <c r="G29">
        <v>4062</v>
      </c>
      <c r="H29">
        <v>10000</v>
      </c>
      <c r="I29" t="s">
        <v>278</v>
      </c>
    </row>
    <row r="30" spans="1:9" x14ac:dyDescent="0.2">
      <c r="A30" t="s">
        <v>78</v>
      </c>
      <c r="B30">
        <v>544</v>
      </c>
      <c r="C30">
        <v>80</v>
      </c>
      <c r="D30">
        <v>12</v>
      </c>
      <c r="E30">
        <v>0</v>
      </c>
      <c r="F30">
        <v>252.47626903653099</v>
      </c>
      <c r="G30">
        <v>1362</v>
      </c>
      <c r="H30">
        <v>10000</v>
      </c>
      <c r="I30" t="s">
        <v>279</v>
      </c>
    </row>
    <row r="31" spans="1:9" x14ac:dyDescent="0.2">
      <c r="A31" t="s">
        <v>79</v>
      </c>
      <c r="B31">
        <v>714</v>
      </c>
      <c r="C31">
        <v>100</v>
      </c>
      <c r="D31">
        <v>16</v>
      </c>
      <c r="E31">
        <v>0</v>
      </c>
      <c r="F31">
        <v>529.34988038986899</v>
      </c>
      <c r="G31">
        <v>698</v>
      </c>
      <c r="H31">
        <v>10000</v>
      </c>
      <c r="I31" t="s">
        <v>280</v>
      </c>
    </row>
    <row r="32" spans="1:9" x14ac:dyDescent="0.2">
      <c r="A32" t="s">
        <v>80</v>
      </c>
      <c r="B32">
        <v>1020</v>
      </c>
      <c r="C32">
        <v>136</v>
      </c>
      <c r="D32">
        <v>16</v>
      </c>
      <c r="E32">
        <v>0</v>
      </c>
      <c r="F32">
        <v>1424.51859304308</v>
      </c>
      <c r="G32">
        <v>120</v>
      </c>
      <c r="H32">
        <v>10000</v>
      </c>
      <c r="I32" t="s">
        <v>281</v>
      </c>
    </row>
    <row r="33" spans="1:9" x14ac:dyDescent="0.2">
      <c r="A33" t="s">
        <v>81</v>
      </c>
      <c r="B33">
        <v>1054</v>
      </c>
      <c r="C33">
        <v>140</v>
      </c>
      <c r="D33">
        <v>20</v>
      </c>
      <c r="E33">
        <v>0</v>
      </c>
      <c r="F33">
        <v>1563.7777419164699</v>
      </c>
      <c r="G33">
        <v>56</v>
      </c>
      <c r="H33">
        <v>10000</v>
      </c>
      <c r="I33" t="s">
        <v>282</v>
      </c>
    </row>
    <row r="34" spans="1:9" x14ac:dyDescent="0.2">
      <c r="A34" t="s">
        <v>82</v>
      </c>
      <c r="B34">
        <v>1428</v>
      </c>
      <c r="C34">
        <v>184</v>
      </c>
      <c r="D34">
        <v>24</v>
      </c>
      <c r="E34">
        <v>0</v>
      </c>
      <c r="F34">
        <v>3699.5657353922702</v>
      </c>
      <c r="G34">
        <v>3</v>
      </c>
      <c r="H34">
        <v>10000</v>
      </c>
      <c r="I34" t="s">
        <v>283</v>
      </c>
    </row>
    <row r="35" spans="1:9" x14ac:dyDescent="0.2">
      <c r="A35" t="s">
        <v>83</v>
      </c>
      <c r="B35">
        <v>1768</v>
      </c>
      <c r="C35">
        <v>224</v>
      </c>
      <c r="D35">
        <v>24</v>
      </c>
      <c r="E35">
        <v>2</v>
      </c>
      <c r="F35">
        <v>6830.2528078630503</v>
      </c>
      <c r="G35">
        <v>1</v>
      </c>
      <c r="H35">
        <v>10000</v>
      </c>
      <c r="I35" t="s">
        <v>284</v>
      </c>
    </row>
    <row r="36" spans="1:9" x14ac:dyDescent="0.2">
      <c r="A36" t="s">
        <v>84</v>
      </c>
      <c r="B36">
        <v>1972</v>
      </c>
      <c r="C36">
        <v>248</v>
      </c>
      <c r="D36">
        <v>20</v>
      </c>
      <c r="E36">
        <v>0</v>
      </c>
      <c r="F36">
        <v>9309.0444366335796</v>
      </c>
      <c r="G36">
        <v>1</v>
      </c>
      <c r="H36">
        <v>10000</v>
      </c>
      <c r="I36" t="s">
        <v>285</v>
      </c>
    </row>
    <row r="37" spans="1:9" x14ac:dyDescent="0.2">
      <c r="A37" t="s">
        <v>85</v>
      </c>
      <c r="B37">
        <v>2040</v>
      </c>
      <c r="C37">
        <v>256</v>
      </c>
      <c r="D37">
        <v>20</v>
      </c>
      <c r="E37">
        <v>0</v>
      </c>
      <c r="F37">
        <v>10182.5039519444</v>
      </c>
      <c r="G37">
        <v>11</v>
      </c>
      <c r="H37">
        <v>10000</v>
      </c>
      <c r="I37" t="s">
        <v>286</v>
      </c>
    </row>
    <row r="38" spans="1:9" x14ac:dyDescent="0.2">
      <c r="A38" t="s">
        <v>86</v>
      </c>
      <c r="B38">
        <v>2074</v>
      </c>
      <c r="C38">
        <v>260</v>
      </c>
      <c r="D38">
        <v>292</v>
      </c>
      <c r="E38">
        <v>268</v>
      </c>
      <c r="F38">
        <v>10067.088352799399</v>
      </c>
      <c r="G38">
        <v>1</v>
      </c>
      <c r="H38">
        <v>10000</v>
      </c>
      <c r="I38" t="s">
        <v>287</v>
      </c>
    </row>
    <row r="39" spans="1:9" x14ac:dyDescent="0.2">
      <c r="A39" t="s">
        <v>87</v>
      </c>
      <c r="B39">
        <v>2278</v>
      </c>
      <c r="C39">
        <v>284</v>
      </c>
      <c r="D39">
        <v>22</v>
      </c>
      <c r="E39">
        <v>0</v>
      </c>
      <c r="F39">
        <v>13177.0523146614</v>
      </c>
      <c r="G39">
        <v>4</v>
      </c>
      <c r="H39">
        <v>10000</v>
      </c>
      <c r="I39" t="s">
        <v>288</v>
      </c>
    </row>
    <row r="40" spans="1:9" x14ac:dyDescent="0.2">
      <c r="A40" t="s">
        <v>88</v>
      </c>
      <c r="B40">
        <v>2482</v>
      </c>
      <c r="C40">
        <v>308</v>
      </c>
      <c r="D40">
        <v>24</v>
      </c>
      <c r="E40">
        <v>0</v>
      </c>
      <c r="F40">
        <v>16393.742003098101</v>
      </c>
      <c r="G40">
        <v>1</v>
      </c>
      <c r="H40">
        <v>10000</v>
      </c>
      <c r="I40" t="s">
        <v>289</v>
      </c>
    </row>
    <row r="41" spans="1:9" x14ac:dyDescent="0.2">
      <c r="A41" t="s">
        <v>89</v>
      </c>
      <c r="B41">
        <v>2720</v>
      </c>
      <c r="C41">
        <v>336</v>
      </c>
      <c r="D41">
        <v>22</v>
      </c>
      <c r="E41">
        <v>0</v>
      </c>
      <c r="F41">
        <v>20532.399498529699</v>
      </c>
      <c r="G41">
        <v>1</v>
      </c>
      <c r="H41">
        <v>10000</v>
      </c>
      <c r="I41" t="s">
        <v>290</v>
      </c>
    </row>
    <row r="42" spans="1:9" x14ac:dyDescent="0.2">
      <c r="A42" t="s">
        <v>90</v>
      </c>
      <c r="B42">
        <v>2890</v>
      </c>
      <c r="C42">
        <v>356</v>
      </c>
      <c r="D42">
        <v>24</v>
      </c>
      <c r="E42">
        <v>0</v>
      </c>
      <c r="F42">
        <v>24624.745246946801</v>
      </c>
      <c r="G42">
        <v>2</v>
      </c>
      <c r="H42">
        <v>10000</v>
      </c>
      <c r="I42" t="s">
        <v>291</v>
      </c>
    </row>
    <row r="43" spans="1:9" x14ac:dyDescent="0.2">
      <c r="A43" t="s">
        <v>91</v>
      </c>
      <c r="B43">
        <v>3230</v>
      </c>
      <c r="C43">
        <v>396</v>
      </c>
      <c r="D43">
        <v>24</v>
      </c>
      <c r="E43">
        <v>0</v>
      </c>
      <c r="F43">
        <v>33448.5622490569</v>
      </c>
      <c r="G43">
        <v>2</v>
      </c>
      <c r="H43">
        <v>10000</v>
      </c>
      <c r="I43" t="s">
        <v>292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33"/>
  <sheetViews>
    <sheetView workbookViewId="0">
      <selection activeCell="I8" sqref="I8"/>
    </sheetView>
  </sheetViews>
  <sheetFormatPr baseColWidth="10" defaultColWidth="11" defaultRowHeight="16" x14ac:dyDescent="0.2"/>
  <sheetData>
    <row r="1" spans="1:1" x14ac:dyDescent="0.2">
      <c r="A1" t="s">
        <v>92</v>
      </c>
    </row>
    <row r="2" spans="1:1" x14ac:dyDescent="0.2">
      <c r="A2" t="s">
        <v>93</v>
      </c>
    </row>
    <row r="3" spans="1:1" x14ac:dyDescent="0.2">
      <c r="A3" s="21" t="s">
        <v>95</v>
      </c>
    </row>
    <row r="4" spans="1:1" x14ac:dyDescent="0.2">
      <c r="A4" t="s">
        <v>96</v>
      </c>
    </row>
    <row r="5" spans="1:1" x14ac:dyDescent="0.2">
      <c r="A5" s="21" t="s">
        <v>293</v>
      </c>
    </row>
    <row r="6" spans="1:1" x14ac:dyDescent="0.2">
      <c r="A6" t="s">
        <v>98</v>
      </c>
    </row>
    <row r="7" spans="1:1" x14ac:dyDescent="0.2">
      <c r="A7" t="s">
        <v>151</v>
      </c>
    </row>
    <row r="8" spans="1:1" x14ac:dyDescent="0.2">
      <c r="A8" s="21" t="s">
        <v>100</v>
      </c>
    </row>
    <row r="9" spans="1:1" x14ac:dyDescent="0.2">
      <c r="A9" t="s">
        <v>101</v>
      </c>
    </row>
    <row r="10" spans="1:1" x14ac:dyDescent="0.2">
      <c r="A10" t="s">
        <v>102</v>
      </c>
    </row>
    <row r="11" spans="1:1" x14ac:dyDescent="0.2">
      <c r="A11" t="s">
        <v>103</v>
      </c>
    </row>
    <row r="12" spans="1:1" x14ac:dyDescent="0.2">
      <c r="A12" t="s">
        <v>104</v>
      </c>
    </row>
    <row r="13" spans="1:1" x14ac:dyDescent="0.2">
      <c r="A13" t="s">
        <v>105</v>
      </c>
    </row>
    <row r="14" spans="1:1" x14ac:dyDescent="0.2">
      <c r="A14" t="s">
        <v>106</v>
      </c>
    </row>
    <row r="15" spans="1:1" x14ac:dyDescent="0.2">
      <c r="A15" t="s">
        <v>107</v>
      </c>
    </row>
    <row r="16" spans="1:1" x14ac:dyDescent="0.2">
      <c r="A16" t="s">
        <v>108</v>
      </c>
    </row>
    <row r="17" spans="1:9" x14ac:dyDescent="0.2">
      <c r="A17" t="s">
        <v>109</v>
      </c>
    </row>
    <row r="18" spans="1:9" x14ac:dyDescent="0.2">
      <c r="A18" t="s">
        <v>129</v>
      </c>
    </row>
    <row r="19" spans="1:9" x14ac:dyDescent="0.2">
      <c r="A19" t="s">
        <v>111</v>
      </c>
    </row>
    <row r="20" spans="1:9" x14ac:dyDescent="0.2">
      <c r="A20" s="21" t="s">
        <v>114</v>
      </c>
    </row>
    <row r="21" spans="1:9" x14ac:dyDescent="0.2">
      <c r="A21" t="s">
        <v>115</v>
      </c>
    </row>
    <row r="22" spans="1:9" x14ac:dyDescent="0.2">
      <c r="A22" t="s">
        <v>294</v>
      </c>
    </row>
    <row r="23" spans="1:9" x14ac:dyDescent="0.2">
      <c r="A23" t="s">
        <v>117</v>
      </c>
    </row>
    <row r="24" spans="1:9" x14ac:dyDescent="0.2">
      <c r="A24" t="s">
        <v>70</v>
      </c>
      <c r="B24" t="s">
        <v>61</v>
      </c>
      <c r="C24" t="s">
        <v>71</v>
      </c>
      <c r="D24" t="s">
        <v>72</v>
      </c>
      <c r="E24" t="s">
        <v>118</v>
      </c>
      <c r="F24" t="s">
        <v>119</v>
      </c>
      <c r="G24" t="s">
        <v>58</v>
      </c>
      <c r="H24" t="s">
        <v>59</v>
      </c>
      <c r="I24" t="s">
        <v>120</v>
      </c>
    </row>
    <row r="25" spans="1:9" x14ac:dyDescent="0.2">
      <c r="A25" t="s">
        <v>73</v>
      </c>
      <c r="B25">
        <v>34</v>
      </c>
      <c r="C25">
        <v>20</v>
      </c>
      <c r="D25">
        <v>2</v>
      </c>
      <c r="E25">
        <v>0</v>
      </c>
      <c r="F25" s="1">
        <v>8.3210393786430307E-3</v>
      </c>
      <c r="G25">
        <v>2</v>
      </c>
      <c r="H25">
        <v>3</v>
      </c>
      <c r="I25" t="s">
        <v>295</v>
      </c>
    </row>
    <row r="26" spans="1:9" x14ac:dyDescent="0.2">
      <c r="A26" t="s">
        <v>74</v>
      </c>
      <c r="B26">
        <v>136</v>
      </c>
      <c r="C26">
        <v>32</v>
      </c>
      <c r="D26">
        <v>4</v>
      </c>
      <c r="E26">
        <v>0</v>
      </c>
      <c r="F26">
        <v>3.1182780861854501E-2</v>
      </c>
      <c r="G26">
        <v>2</v>
      </c>
      <c r="H26">
        <v>3</v>
      </c>
      <c r="I26" t="s">
        <v>296</v>
      </c>
    </row>
    <row r="27" spans="1:9" x14ac:dyDescent="0.2">
      <c r="A27" t="s">
        <v>75</v>
      </c>
      <c r="B27">
        <v>238</v>
      </c>
      <c r="C27">
        <v>44</v>
      </c>
      <c r="D27">
        <v>6</v>
      </c>
      <c r="E27">
        <v>0</v>
      </c>
      <c r="F27">
        <v>8.8174276053905404E-2</v>
      </c>
      <c r="G27">
        <v>2</v>
      </c>
      <c r="H27">
        <v>4</v>
      </c>
      <c r="I27" t="s">
        <v>297</v>
      </c>
    </row>
    <row r="28" spans="1:9" x14ac:dyDescent="0.2">
      <c r="A28" t="s">
        <v>76</v>
      </c>
      <c r="B28">
        <v>340</v>
      </c>
      <c r="C28">
        <v>56</v>
      </c>
      <c r="D28">
        <v>8</v>
      </c>
      <c r="E28">
        <v>0</v>
      </c>
      <c r="F28">
        <v>0.36512173712253498</v>
      </c>
      <c r="G28">
        <v>2</v>
      </c>
      <c r="H28">
        <v>4</v>
      </c>
      <c r="I28" t="s">
        <v>298</v>
      </c>
    </row>
    <row r="29" spans="1:9" x14ac:dyDescent="0.2">
      <c r="A29" t="s">
        <v>77</v>
      </c>
      <c r="B29">
        <v>442</v>
      </c>
      <c r="C29">
        <v>68</v>
      </c>
      <c r="D29">
        <v>10</v>
      </c>
      <c r="E29">
        <v>0</v>
      </c>
      <c r="F29">
        <v>0.916923567652702</v>
      </c>
      <c r="G29">
        <v>2</v>
      </c>
      <c r="H29">
        <v>4</v>
      </c>
      <c r="I29" t="s">
        <v>299</v>
      </c>
    </row>
    <row r="30" spans="1:9" x14ac:dyDescent="0.2">
      <c r="A30" t="s">
        <v>78</v>
      </c>
      <c r="B30">
        <v>544</v>
      </c>
      <c r="C30">
        <v>80</v>
      </c>
      <c r="D30">
        <v>12</v>
      </c>
      <c r="E30">
        <v>0</v>
      </c>
      <c r="F30">
        <v>13.2909793183207</v>
      </c>
      <c r="G30">
        <v>2</v>
      </c>
      <c r="H30">
        <v>5</v>
      </c>
      <c r="I30" t="s">
        <v>300</v>
      </c>
    </row>
    <row r="31" spans="1:9" x14ac:dyDescent="0.2">
      <c r="A31" t="s">
        <v>79</v>
      </c>
      <c r="B31">
        <v>714</v>
      </c>
      <c r="C31">
        <v>100</v>
      </c>
      <c r="D31">
        <v>16</v>
      </c>
      <c r="E31">
        <v>0</v>
      </c>
      <c r="F31">
        <v>159.561806045472</v>
      </c>
      <c r="G31">
        <v>2</v>
      </c>
      <c r="H31">
        <v>5</v>
      </c>
      <c r="I31" t="s">
        <v>301</v>
      </c>
    </row>
    <row r="32" spans="1:9" x14ac:dyDescent="0.2">
      <c r="A32" t="s">
        <v>80</v>
      </c>
      <c r="B32">
        <v>1020</v>
      </c>
      <c r="C32">
        <v>136</v>
      </c>
      <c r="D32">
        <v>16</v>
      </c>
      <c r="E32">
        <v>0</v>
      </c>
      <c r="F32">
        <v>795.18717563152302</v>
      </c>
      <c r="G32">
        <v>2</v>
      </c>
      <c r="H32">
        <v>6</v>
      </c>
      <c r="I32" t="s">
        <v>302</v>
      </c>
    </row>
    <row r="33" spans="1:9" x14ac:dyDescent="0.2">
      <c r="A33" t="s">
        <v>81</v>
      </c>
      <c r="B33">
        <v>1054</v>
      </c>
      <c r="C33">
        <v>140</v>
      </c>
      <c r="D33">
        <v>20</v>
      </c>
      <c r="E33">
        <v>0</v>
      </c>
      <c r="F33">
        <v>632.87464864551998</v>
      </c>
      <c r="G33">
        <v>2</v>
      </c>
      <c r="H33">
        <v>5</v>
      </c>
      <c r="I33"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analysis</vt:lpstr>
      <vt:lpstr>best</vt:lpstr>
      <vt:lpstr>magma</vt:lpstr>
      <vt:lpstr>CLISAT</vt:lpstr>
      <vt:lpstr>CCStim</vt:lpstr>
      <vt:lpstr>bposdO8I10</vt:lpstr>
      <vt:lpstr>bposd</vt:lpstr>
      <vt:lpstr>m4ri_CC-start1</vt:lpstr>
      <vt:lpstr>m4ri_CC</vt:lpstr>
      <vt:lpstr>GEStim</vt:lpstr>
      <vt:lpstr>m4ri_RW</vt:lpstr>
      <vt:lpstr>Gurobi</vt:lpstr>
      <vt:lpstr>MIP-SCIP</vt:lpstr>
      <vt:lpstr>QDistEvol</vt:lpstr>
      <vt:lpstr>QDistRndMW</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2026-02-21T07:01:59Z</dcterms:modified>
  <cp:category/>
  <cp:contentStatus/>
</cp:coreProperties>
</file>