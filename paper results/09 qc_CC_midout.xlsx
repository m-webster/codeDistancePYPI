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E1FA2942-1F2F-0046-9FD1-4307A7A54701}" xr6:coauthVersionLast="47" xr6:coauthVersionMax="47" xr10:uidLastSave="{00000000-0000-0000-0000-000000000000}"/>
  <bookViews>
    <workbookView xWindow="160" yWindow="900" windowWidth="14480" windowHeight="17040" xr2:uid="{C3ADB0BE-7A80-7F44-999C-93B5C5D7E48D}"/>
  </bookViews>
  <sheets>
    <sheet name="analysis" sheetId="29" r:id="rId1"/>
    <sheet name="best" sheetId="23" r:id="rId2"/>
    <sheet name="magma" sheetId="25" r:id="rId3"/>
    <sheet name="CLISAT" sheetId="1" r:id="rId4"/>
    <sheet name="CCStim-U" sheetId="2" r:id="rId5"/>
    <sheet name="CCStim" sheetId="26" r:id="rId6"/>
    <sheet name="bposd" sheetId="18" r:id="rId7"/>
    <sheet name="m4ri_CC" sheetId="21" r:id="rId8"/>
    <sheet name="m4ri_RW" sheetId="19" r:id="rId9"/>
    <sheet name="GEStim-U" sheetId="6" r:id="rId10"/>
    <sheet name="GEStim" sheetId="27" r:id="rId11"/>
    <sheet name="Gurobi" sheetId="7" r:id="rId12"/>
    <sheet name="MIP-SCIP" sheetId="8" r:id="rId13"/>
    <sheet name="QDistEvol20260116" sheetId="22" r:id="rId14"/>
    <sheet name="QDistEvol" sheetId="30" r:id="rId15"/>
    <sheet name="QDistRndMW20260116" sheetId="20" r:id="rId16"/>
    <sheet name="QDistRndMW" sheetId="31" r:id="rId17"/>
    <sheet name="UEStim-U" sheetId="11" r:id="rId18"/>
    <sheet name="UEStim" sheetId="28" r:id="rId19"/>
  </sheets>
  <definedNames>
    <definedName name="_xleta.MATCH" hidden="1">#NAME?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67" i="29" l="1"/>
  <c r="HM67" i="29"/>
  <c r="HG67" i="29"/>
  <c r="HF67" i="29"/>
  <c r="HE67" i="29"/>
  <c r="HB67" i="29"/>
  <c r="GZ67" i="29"/>
  <c r="GY67" i="29"/>
  <c r="GX67" i="29"/>
  <c r="HL67" i="29" s="1"/>
  <c r="GW67" i="29"/>
  <c r="HK67" i="29" s="1"/>
  <c r="GV67" i="29"/>
  <c r="HJ67" i="29" s="1"/>
  <c r="GU67" i="29"/>
  <c r="HI67" i="29" s="1"/>
  <c r="GT67" i="29"/>
  <c r="HH67" i="29" s="1"/>
  <c r="GS67" i="29"/>
  <c r="GR67" i="29"/>
  <c r="GQ67" i="29"/>
  <c r="GP67" i="29"/>
  <c r="HD67" i="29" s="1"/>
  <c r="GO67" i="29"/>
  <c r="HC67" i="29" s="1"/>
  <c r="FZ67" i="29"/>
  <c r="DJ67" i="29"/>
  <c r="EA67" i="29" s="1"/>
  <c r="ER67" i="29" s="1"/>
  <c r="FI67" i="29" s="1"/>
  <c r="CE67" i="29"/>
  <c r="CV67" i="29" s="1"/>
  <c r="DM67" i="29" s="1"/>
  <c r="CD67" i="29"/>
  <c r="CU67" i="29" s="1"/>
  <c r="CB67" i="29"/>
  <c r="CS67" i="29" s="1"/>
  <c r="BO67" i="29"/>
  <c r="CF67" i="29" s="1"/>
  <c r="CW67" i="29" s="1"/>
  <c r="BK67" i="29"/>
  <c r="BJ67" i="29"/>
  <c r="CA67" i="29" s="1"/>
  <c r="CR67" i="29" s="1"/>
  <c r="BI67" i="29"/>
  <c r="BZ67" i="29" s="1"/>
  <c r="CQ67" i="29" s="1"/>
  <c r="AY67" i="29"/>
  <c r="AX67" i="29"/>
  <c r="AW67" i="29"/>
  <c r="AV67" i="29"/>
  <c r="AQ67" i="29"/>
  <c r="AZ67" i="29" s="1"/>
  <c r="AP67" i="29"/>
  <c r="AO67" i="29"/>
  <c r="AN67" i="29"/>
  <c r="AM67" i="29"/>
  <c r="AG67" i="29"/>
  <c r="AF67" i="29"/>
  <c r="BN67" i="29" s="1"/>
  <c r="AE67" i="29"/>
  <c r="BM67" i="29" s="1"/>
  <c r="AD67" i="29"/>
  <c r="BL67" i="29" s="1"/>
  <c r="AC67" i="29"/>
  <c r="AB67" i="29"/>
  <c r="AA67" i="29"/>
  <c r="Z67" i="29"/>
  <c r="BH67" i="29" s="1"/>
  <c r="BY67" i="29" s="1"/>
  <c r="CP67" i="29" s="1"/>
  <c r="DG67" i="29" s="1"/>
  <c r="DX67" i="29" s="1"/>
  <c r="EO67" i="29" s="1"/>
  <c r="FF67" i="29" s="1"/>
  <c r="Y67" i="29"/>
  <c r="BG67" i="29" s="1"/>
  <c r="BX67" i="29" s="1"/>
  <c r="CO67" i="29" s="1"/>
  <c r="DF67" i="29" s="1"/>
  <c r="DW67" i="29" s="1"/>
  <c r="EN67" i="29" s="1"/>
  <c r="FE67" i="29" s="1"/>
  <c r="X67" i="29"/>
  <c r="BF67" i="29" s="1"/>
  <c r="BW67" i="29" s="1"/>
  <c r="CN67" i="29" s="1"/>
  <c r="DE67" i="29" s="1"/>
  <c r="DV67" i="29" s="1"/>
  <c r="EM67" i="29" s="1"/>
  <c r="FD67" i="29" s="1"/>
  <c r="W67" i="29"/>
  <c r="BE67" i="29" s="1"/>
  <c r="BV67" i="29" s="1"/>
  <c r="CM67" i="29" s="1"/>
  <c r="DD67" i="29" s="1"/>
  <c r="DU67" i="29" s="1"/>
  <c r="EL67" i="29" s="1"/>
  <c r="FC67" i="29" s="1"/>
  <c r="V67" i="29"/>
  <c r="BD67" i="29" s="1"/>
  <c r="BU67" i="29" s="1"/>
  <c r="CL67" i="29" s="1"/>
  <c r="DC67" i="29" s="1"/>
  <c r="DT67" i="29" s="1"/>
  <c r="EK67" i="29" s="1"/>
  <c r="FB67" i="29" s="1"/>
  <c r="FT66" i="29"/>
  <c r="FT65" i="29"/>
  <c r="A55" i="29"/>
  <c r="M54" i="29"/>
  <c r="A54" i="29"/>
  <c r="M53" i="29"/>
  <c r="A53" i="29"/>
  <c r="M52" i="29"/>
  <c r="A52" i="29"/>
  <c r="M51" i="29"/>
  <c r="A51" i="29"/>
  <c r="M50" i="29"/>
  <c r="A50" i="29"/>
  <c r="M49" i="29"/>
  <c r="A49" i="29"/>
  <c r="M48" i="29"/>
  <c r="A48" i="29"/>
  <c r="M47" i="29"/>
  <c r="A47" i="29"/>
  <c r="M46" i="29"/>
  <c r="A46" i="29"/>
  <c r="R45" i="29"/>
  <c r="Q45" i="29"/>
  <c r="P45" i="29"/>
  <c r="O45" i="29" s="1"/>
  <c r="N45" i="29" s="1"/>
  <c r="M45" i="29"/>
  <c r="H45" i="29"/>
  <c r="G45" i="29" s="1"/>
  <c r="F45" i="29" s="1"/>
  <c r="E45" i="29" s="1"/>
  <c r="D45" i="29"/>
  <c r="C45" i="29"/>
  <c r="B45" i="29"/>
  <c r="A45" i="29"/>
  <c r="FX38" i="29"/>
  <c r="FX37" i="29"/>
  <c r="FX36" i="29"/>
  <c r="FX35" i="29"/>
  <c r="FX34" i="29"/>
  <c r="U15" i="29"/>
  <c r="N3" i="29"/>
  <c r="A1" i="29" a="1"/>
  <c r="A1" i="29" s="1"/>
  <c r="B64" i="29"/>
  <c r="DN67" i="29" l="1"/>
  <c r="ED67" i="29"/>
  <c r="DI67" i="29"/>
  <c r="DH67" i="29"/>
  <c r="CC67" i="29"/>
  <c r="CT67" i="29" s="1"/>
  <c r="DL67" i="29"/>
  <c r="B72" i="29" a="1"/>
  <c r="A69" i="29" a="1"/>
  <c r="A71" i="29" a="1"/>
  <c r="A68" i="29" a="1"/>
  <c r="B70" i="29" a="1"/>
  <c r="A72" i="29" a="1"/>
  <c r="B71" i="29" a="1"/>
  <c r="A70" i="29" a="1"/>
  <c r="B69" i="29" a="1"/>
  <c r="B68" i="29" a="1"/>
  <c r="A70" i="29" l="1"/>
  <c r="B69" i="29"/>
  <c r="B72" i="29"/>
  <c r="A69" i="29"/>
  <c r="B71" i="29"/>
  <c r="B68" i="29"/>
  <c r="A68" i="29"/>
  <c r="A71" i="29"/>
  <c r="B70" i="29"/>
  <c r="A72" i="29"/>
  <c r="EE67" i="29"/>
  <c r="DK67" i="29"/>
  <c r="EU67" i="29"/>
  <c r="FL67" i="29" s="1"/>
  <c r="EC67" i="29"/>
  <c r="DZ67" i="29"/>
  <c r="DY67" i="29"/>
  <c r="EP67" i="29" s="1"/>
  <c r="FG67" i="29" s="1"/>
  <c r="ET67" i="29" l="1"/>
  <c r="FK67" i="29" s="1"/>
  <c r="EB67" i="29"/>
  <c r="GN72" i="29"/>
  <c r="FS72" i="29"/>
  <c r="GN69" i="29"/>
  <c r="FS69" i="29"/>
  <c r="GN70" i="29"/>
  <c r="FS70" i="29"/>
  <c r="EQ67" i="29"/>
  <c r="FH67" i="29" s="1"/>
  <c r="EV67" i="29"/>
  <c r="FM67" i="29" s="1"/>
  <c r="FS68" i="29"/>
  <c r="F3" i="29"/>
  <c r="D3" i="29"/>
  <c r="N4" i="29" s="1"/>
  <c r="GN68" i="29"/>
  <c r="GN71" i="29"/>
  <c r="FS71" i="29"/>
  <c r="I72" i="29"/>
  <c r="O69" i="29"/>
  <c r="I71" i="29"/>
  <c r="O71" i="29"/>
  <c r="K70" i="29"/>
  <c r="E72" i="29"/>
  <c r="M68" i="29"/>
  <c r="J68" i="29"/>
  <c r="I70" i="29"/>
  <c r="E69" i="29"/>
  <c r="H69" i="29"/>
  <c r="N69" i="29"/>
  <c r="L70" i="29"/>
  <c r="N72" i="29"/>
  <c r="J71" i="29"/>
  <c r="F70" i="29"/>
  <c r="J69" i="29"/>
  <c r="P72" i="29"/>
  <c r="I68" i="29"/>
  <c r="K71" i="29"/>
  <c r="J70" i="29"/>
  <c r="P71" i="29"/>
  <c r="L68" i="29"/>
  <c r="P68" i="29"/>
  <c r="L71" i="29"/>
  <c r="P69" i="29"/>
  <c r="G70" i="29"/>
  <c r="H68" i="29"/>
  <c r="F68" i="29"/>
  <c r="P70" i="29"/>
  <c r="K72" i="29"/>
  <c r="M70" i="29"/>
  <c r="N71" i="29"/>
  <c r="F72" i="29"/>
  <c r="O68" i="29"/>
  <c r="H71" i="29"/>
  <c r="O70" i="29"/>
  <c r="N70" i="29"/>
  <c r="F71" i="29"/>
  <c r="G68" i="29"/>
  <c r="G72" i="29"/>
  <c r="K68" i="29"/>
  <c r="H70" i="29"/>
  <c r="M71" i="29"/>
  <c r="M69" i="29"/>
  <c r="H72" i="29"/>
  <c r="N68" i="29"/>
  <c r="G71" i="29"/>
  <c r="L69" i="29"/>
  <c r="I69" i="29"/>
  <c r="L72" i="29"/>
  <c r="K69" i="29"/>
  <c r="G69" i="29"/>
  <c r="J72" i="29"/>
  <c r="E68" i="29"/>
  <c r="M72" i="29"/>
  <c r="F69" i="29"/>
  <c r="O72" i="29"/>
  <c r="E70" i="29"/>
  <c r="E71" i="29"/>
  <c r="FZ70" i="29" l="1"/>
  <c r="HB70" i="29"/>
  <c r="HB72" i="29"/>
  <c r="FZ72" i="29"/>
  <c r="HB68" i="29"/>
  <c r="FZ68" i="29"/>
  <c r="ES67" i="29"/>
  <c r="FJ67" i="29" s="1"/>
  <c r="FZ71" i="29"/>
  <c r="HB71" i="29"/>
  <c r="P4" i="29"/>
  <c r="HB69" i="29"/>
  <c r="FZ69" i="29"/>
  <c r="DM70" i="29" a="1"/>
  <c r="AF71" i="29" a="1"/>
  <c r="FG68" i="29" a="1"/>
  <c r="AE69" i="29" a="1"/>
  <c r="FI72" i="29" a="1"/>
  <c r="AC68" i="29" a="1"/>
  <c r="DK68" i="29" a="1"/>
  <c r="AB70" i="29" a="1"/>
  <c r="V69" i="29" a="1"/>
  <c r="DD72" i="29" a="1"/>
  <c r="DE68" i="29" a="1"/>
  <c r="AD69" i="29" a="1"/>
  <c r="DM71" i="29" a="1"/>
  <c r="AC69" i="29" a="1"/>
  <c r="FE70" i="29" a="1"/>
  <c r="FM69" i="29" a="1"/>
  <c r="DC72" i="29" a="1"/>
  <c r="AA68" i="29" a="1"/>
  <c r="AG70" i="29" a="1"/>
  <c r="DJ71" i="29" a="1"/>
  <c r="AD71" i="29" a="1"/>
  <c r="FC72" i="29" a="1"/>
  <c r="DC70" i="29" a="1"/>
  <c r="Y70" i="29" a="1"/>
  <c r="V71" i="29" a="1"/>
  <c r="FK69" i="29" a="1"/>
  <c r="AE70" i="29" a="1"/>
  <c r="AG72" i="29" a="1"/>
  <c r="DG72" i="29" a="1"/>
  <c r="FB72" i="29" a="1"/>
  <c r="AD70" i="29" a="1"/>
  <c r="Y71" i="29" a="1"/>
  <c r="DC68" i="29" a="1"/>
  <c r="Y72" i="29" a="1"/>
  <c r="DI68" i="29" a="1"/>
  <c r="W69" i="29" a="1"/>
  <c r="FJ71" i="29" a="1"/>
  <c r="FJ68" i="29" a="1"/>
  <c r="FH71" i="29" a="1"/>
  <c r="FL68" i="29" a="1"/>
  <c r="DG68" i="29" a="1"/>
  <c r="DC71" i="29" a="1"/>
  <c r="FF71" i="29" a="1"/>
  <c r="AE71" i="29" a="1"/>
  <c r="FD70" i="29" a="1"/>
  <c r="FM71" i="29" a="1"/>
  <c r="FG71" i="29" a="1"/>
  <c r="DD71" i="29" a="1"/>
  <c r="DK69" i="29" a="1"/>
  <c r="DH70" i="29" a="1"/>
  <c r="DJ68" i="29" a="1"/>
  <c r="FB68" i="29" a="1"/>
  <c r="FE72" i="29" a="1"/>
  <c r="Y69" i="29" a="1"/>
  <c r="AB71" i="29" a="1"/>
  <c r="X69" i="29" a="1"/>
  <c r="FG72" i="29" a="1"/>
  <c r="FM70" i="29" a="1"/>
  <c r="FI69" i="29" a="1"/>
  <c r="DI70" i="29" a="1"/>
  <c r="FE69" i="29" a="1"/>
  <c r="X70" i="29" a="1"/>
  <c r="DI69" i="29" a="1"/>
  <c r="DG71" i="29" a="1"/>
  <c r="W72" i="29" a="1"/>
  <c r="DN70" i="29" a="1"/>
  <c r="FK71" i="29" a="1"/>
  <c r="DL69" i="29" a="1"/>
  <c r="FM72" i="29" a="1"/>
  <c r="DI72" i="29" a="1"/>
  <c r="FI70" i="29" a="1"/>
  <c r="DK70" i="29" a="1"/>
  <c r="V70" i="29" a="1"/>
  <c r="DL71" i="29" a="1"/>
  <c r="DE72" i="29" a="1"/>
  <c r="W71" i="29" a="1"/>
  <c r="DD68" i="29" a="1"/>
  <c r="AD68" i="29" a="1"/>
  <c r="DF72" i="29" a="1"/>
  <c r="X68" i="29" a="1"/>
  <c r="FL72" i="29" a="1"/>
  <c r="AE68" i="29" a="1"/>
  <c r="FI68" i="29" a="1"/>
  <c r="FL71" i="29" a="1"/>
  <c r="AB72" i="29" a="1"/>
  <c r="Z68" i="29" a="1"/>
  <c r="DM69" i="29" a="1"/>
  <c r="W70" i="29" a="1"/>
  <c r="X72" i="29" a="1"/>
  <c r="Z70" i="29" a="1"/>
  <c r="DH72" i="29" a="1"/>
  <c r="FM68" i="29" a="1"/>
  <c r="X71" i="29" a="1"/>
  <c r="AC70" i="29" a="1"/>
  <c r="AE72" i="29" a="1"/>
  <c r="FK68" i="29" a="1"/>
  <c r="V68" i="29" a="1"/>
  <c r="AG69" i="29" a="1"/>
  <c r="FJ69" i="29" a="1"/>
  <c r="FD72" i="29" a="1"/>
  <c r="DF69" i="29" a="1"/>
  <c r="Y68" i="29" a="1"/>
  <c r="DN69" i="29" a="1"/>
  <c r="FG69" i="29" a="1"/>
  <c r="AF72" i="29" a="1"/>
  <c r="DE69" i="29" a="1"/>
  <c r="AA69" i="29" a="1"/>
  <c r="V72" i="29" a="1"/>
  <c r="FK72" i="29" a="1"/>
  <c r="FC70" i="29" a="1"/>
  <c r="AG71" i="29" a="1"/>
  <c r="DN72" i="29" a="1"/>
  <c r="FF70" i="29" a="1"/>
  <c r="FB69" i="29" a="1"/>
  <c r="FC69" i="29" a="1"/>
  <c r="DJ69" i="29" a="1"/>
  <c r="DN71" i="29" a="1"/>
  <c r="FD71" i="29" a="1"/>
  <c r="FF72" i="29" a="1"/>
  <c r="DG69" i="29" a="1"/>
  <c r="Z71" i="29" a="1"/>
  <c r="AF68" i="29" a="1"/>
  <c r="DH68" i="29" a="1"/>
  <c r="FF69" i="29" a="1"/>
  <c r="DK72" i="29" a="1"/>
  <c r="AA70" i="29" a="1"/>
  <c r="DF71" i="29" a="1"/>
  <c r="DD69" i="29" a="1"/>
  <c r="FH69" i="29" a="1"/>
  <c r="AA72" i="29" a="1"/>
  <c r="DC69" i="29" a="1"/>
  <c r="FG70" i="29" a="1"/>
  <c r="AG68" i="29" a="1"/>
  <c r="DE71" i="29" a="1"/>
  <c r="FI71" i="29" a="1"/>
  <c r="FK70" i="29" a="1"/>
  <c r="DF70" i="29" a="1"/>
  <c r="W68" i="29" a="1"/>
  <c r="AB68" i="29" a="1"/>
  <c r="DL68" i="29" a="1"/>
  <c r="DK71" i="29" a="1"/>
  <c r="AF69" i="29" a="1"/>
  <c r="AC72" i="29" a="1"/>
  <c r="AB69" i="29" a="1"/>
  <c r="DI71" i="29" a="1"/>
  <c r="FH68" i="29" a="1"/>
  <c r="FE71" i="29" a="1"/>
  <c r="DL72" i="29" a="1"/>
  <c r="FH70" i="29" a="1"/>
  <c r="DH69" i="29" a="1"/>
  <c r="Z72" i="29" a="1"/>
  <c r="DJ72" i="29" a="1"/>
  <c r="FC68" i="29" a="1"/>
  <c r="FD68" i="29" a="1"/>
  <c r="DN68" i="29" a="1"/>
  <c r="FD69" i="29" a="1"/>
  <c r="FB70" i="29" a="1"/>
  <c r="Z69" i="29" a="1"/>
  <c r="FH72" i="29" a="1"/>
  <c r="DM68" i="29" a="1"/>
  <c r="AA71" i="29" a="1"/>
  <c r="FL69" i="29" a="1"/>
  <c r="DJ70" i="29" a="1"/>
  <c r="DL70" i="29" a="1"/>
  <c r="FB71" i="29" a="1"/>
  <c r="AC71" i="29" a="1"/>
  <c r="DG70" i="29" a="1"/>
  <c r="FF68" i="29" a="1"/>
  <c r="FC71" i="29" a="1"/>
  <c r="DF68" i="29" a="1"/>
  <c r="FE68" i="29" a="1"/>
  <c r="DH71" i="29" a="1"/>
  <c r="DE70" i="29" a="1"/>
  <c r="DM72" i="29" a="1"/>
  <c r="FL70" i="29" a="1"/>
  <c r="DD70" i="29" a="1"/>
  <c r="AD72" i="29" a="1"/>
  <c r="AF70" i="29" a="1"/>
  <c r="DI69" i="29" l="1"/>
  <c r="FT69" i="29" s="1"/>
  <c r="AD68" i="29"/>
  <c r="BL68" i="29" s="1"/>
  <c r="FF72" i="29"/>
  <c r="DD68" i="29"/>
  <c r="FF69" i="29"/>
  <c r="X68" i="29"/>
  <c r="BF68" i="29" s="1"/>
  <c r="FM70" i="29"/>
  <c r="FI70" i="29"/>
  <c r="FJ71" i="29"/>
  <c r="FH70" i="29"/>
  <c r="W68" i="29"/>
  <c r="BE68" i="29" s="1"/>
  <c r="DK72" i="29"/>
  <c r="DG71" i="29"/>
  <c r="AQ71" i="29" s="1"/>
  <c r="FH69" i="29"/>
  <c r="AG71" i="29"/>
  <c r="BO71" i="29" s="1"/>
  <c r="DM68" i="29"/>
  <c r="AG70" i="29"/>
  <c r="BO70" i="29" s="1"/>
  <c r="AC72" i="29"/>
  <c r="BK72" i="29" s="1"/>
  <c r="DD72" i="29"/>
  <c r="AN72" i="29" s="1"/>
  <c r="AB68" i="29"/>
  <c r="AA70" i="29"/>
  <c r="BI70" i="29" s="1"/>
  <c r="DN68" i="29"/>
  <c r="Y69" i="29"/>
  <c r="BG69" i="29" s="1"/>
  <c r="DL71" i="29"/>
  <c r="AF69" i="29"/>
  <c r="BN69" i="29" s="1"/>
  <c r="AC68" i="29"/>
  <c r="BK68" i="29" s="1"/>
  <c r="FK68" i="29"/>
  <c r="Z72" i="29"/>
  <c r="BH72" i="29" s="1"/>
  <c r="DC68" i="29"/>
  <c r="DI70" i="29"/>
  <c r="FT70" i="29" s="1"/>
  <c r="X69" i="29"/>
  <c r="BF69" i="29" s="1"/>
  <c r="W71" i="29"/>
  <c r="BE71" i="29" s="1"/>
  <c r="FG68" i="29"/>
  <c r="FF71" i="29"/>
  <c r="V71" i="29"/>
  <c r="BD71" i="29" s="1"/>
  <c r="AB69" i="29"/>
  <c r="BJ69" i="29" s="1"/>
  <c r="Y68" i="29"/>
  <c r="BG68" i="29" s="1"/>
  <c r="FI71" i="29"/>
  <c r="DE70" i="29"/>
  <c r="DK68" i="29"/>
  <c r="DH69" i="29"/>
  <c r="FD68" i="29"/>
  <c r="DN70" i="29"/>
  <c r="AC69" i="29"/>
  <c r="BK69" i="29" s="1"/>
  <c r="DE72" i="29"/>
  <c r="AD71" i="29"/>
  <c r="BL71" i="29" s="1"/>
  <c r="DL72" i="29"/>
  <c r="FL68" i="29"/>
  <c r="FI69" i="29"/>
  <c r="FI72" i="29"/>
  <c r="DJ70" i="29"/>
  <c r="X72" i="29"/>
  <c r="BF72" i="29" s="1"/>
  <c r="AE72" i="29"/>
  <c r="BM72" i="29" s="1"/>
  <c r="FK72" i="29"/>
  <c r="DH72" i="29"/>
  <c r="AD69" i="29"/>
  <c r="BL69" i="29" s="1"/>
  <c r="V68" i="29"/>
  <c r="BD68" i="29" s="1"/>
  <c r="FC68" i="29"/>
  <c r="DD71" i="29"/>
  <c r="Z69" i="29"/>
  <c r="BH69" i="29" s="1"/>
  <c r="DF68" i="29"/>
  <c r="X70" i="29"/>
  <c r="BF70" i="29" s="1"/>
  <c r="FM71" i="29"/>
  <c r="FJ69" i="29"/>
  <c r="Z71" i="29"/>
  <c r="BH71" i="29" s="1"/>
  <c r="DG72" i="29"/>
  <c r="AQ72" i="29" s="1"/>
  <c r="FB68" i="29"/>
  <c r="AA68" i="29"/>
  <c r="BI68" i="29" s="1"/>
  <c r="DK70" i="29"/>
  <c r="AC71" i="29"/>
  <c r="BK71" i="29" s="1"/>
  <c r="FD70" i="29"/>
  <c r="FJ68" i="29"/>
  <c r="AA69" i="29"/>
  <c r="BI69" i="29" s="1"/>
  <c r="FD72" i="29"/>
  <c r="DD69" i="29"/>
  <c r="DM71" i="29"/>
  <c r="DL69" i="29"/>
  <c r="DI72" i="29"/>
  <c r="FT72" i="29" s="1"/>
  <c r="W72" i="29"/>
  <c r="BE72" i="29" s="1"/>
  <c r="AA71" i="29"/>
  <c r="BI71" i="29" s="1"/>
  <c r="DH70" i="29"/>
  <c r="AG68" i="29"/>
  <c r="BO68" i="29" s="1"/>
  <c r="FK70" i="29"/>
  <c r="DM70" i="29"/>
  <c r="AB71" i="29"/>
  <c r="BJ71" i="29" s="1"/>
  <c r="FE69" i="29"/>
  <c r="V72" i="29"/>
  <c r="BD72" i="29" s="1"/>
  <c r="Z68" i="29"/>
  <c r="BH68" i="29" s="1"/>
  <c r="AF71" i="29"/>
  <c r="BN71" i="29" s="1"/>
  <c r="FB70" i="29"/>
  <c r="AE71" i="29"/>
  <c r="BM71" i="29" s="1"/>
  <c r="Z70" i="29"/>
  <c r="BH70" i="29" s="1"/>
  <c r="DM69" i="29"/>
  <c r="DJ68" i="29"/>
  <c r="X71" i="29"/>
  <c r="BF71" i="29" s="1"/>
  <c r="FE70" i="29"/>
  <c r="FE71" i="29"/>
  <c r="W70" i="29"/>
  <c r="BE70" i="29" s="1"/>
  <c r="V69" i="29"/>
  <c r="BD69" i="29" s="1"/>
  <c r="AF72" i="29"/>
  <c r="BN72" i="29" s="1"/>
  <c r="AB72" i="29"/>
  <c r="BJ72" i="29" s="1"/>
  <c r="FM69" i="29"/>
  <c r="AA72" i="29"/>
  <c r="BI72" i="29" s="1"/>
  <c r="AB70" i="29"/>
  <c r="BJ70" i="29" s="1"/>
  <c r="DE69" i="29"/>
  <c r="AD72" i="29"/>
  <c r="BL72" i="29" s="1"/>
  <c r="AD70" i="29"/>
  <c r="BL70" i="29" s="1"/>
  <c r="DH68" i="29"/>
  <c r="DJ71" i="29"/>
  <c r="DN71" i="29"/>
  <c r="DJ72" i="29"/>
  <c r="DK69" i="29"/>
  <c r="FC71" i="29"/>
  <c r="DC71" i="29"/>
  <c r="DE68" i="29"/>
  <c r="DJ69" i="29"/>
  <c r="AF70" i="29"/>
  <c r="BN70" i="29" s="1"/>
  <c r="FE72" i="29"/>
  <c r="FH68" i="29"/>
  <c r="FC69" i="29"/>
  <c r="DL70" i="29"/>
  <c r="DF69" i="29"/>
  <c r="DN72" i="29"/>
  <c r="DF70" i="29"/>
  <c r="DF72" i="29"/>
  <c r="AP72" i="29" s="1"/>
  <c r="DF71" i="29"/>
  <c r="AP71" i="29" s="1"/>
  <c r="DD70" i="29"/>
  <c r="AN70" i="29" s="1"/>
  <c r="DL68" i="29"/>
  <c r="FB69" i="29"/>
  <c r="AE69" i="29"/>
  <c r="BM69" i="29" s="1"/>
  <c r="FB71" i="29"/>
  <c r="FG69" i="29"/>
  <c r="AF68" i="29"/>
  <c r="BN68" i="29" s="1"/>
  <c r="FD69" i="29"/>
  <c r="DG69" i="29"/>
  <c r="FE68" i="29"/>
  <c r="AC70" i="29"/>
  <c r="BK70" i="29" s="1"/>
  <c r="DK71" i="29"/>
  <c r="DH71" i="29"/>
  <c r="AE70" i="29"/>
  <c r="BM70" i="29" s="1"/>
  <c r="DI71" i="29"/>
  <c r="FT71" i="29" s="1"/>
  <c r="FB72" i="29"/>
  <c r="DG68" i="29"/>
  <c r="V70" i="29"/>
  <c r="BD70" i="29" s="1"/>
  <c r="FF70" i="29"/>
  <c r="FM72" i="29"/>
  <c r="DE71" i="29"/>
  <c r="DM72" i="29"/>
  <c r="AG69" i="29"/>
  <c r="BO69" i="29" s="1"/>
  <c r="FC72" i="29"/>
  <c r="DI68" i="29"/>
  <c r="FG71" i="29"/>
  <c r="FG70" i="29"/>
  <c r="W69" i="29"/>
  <c r="BE69" i="29" s="1"/>
  <c r="FM68" i="29"/>
  <c r="FL70" i="29"/>
  <c r="FH71" i="29"/>
  <c r="DC72" i="29"/>
  <c r="FF68" i="29"/>
  <c r="FL71" i="29"/>
  <c r="DC70" i="29"/>
  <c r="FK71" i="29"/>
  <c r="DG70" i="29"/>
  <c r="FL69" i="29"/>
  <c r="AG72" i="29"/>
  <c r="BO72" i="29" s="1"/>
  <c r="FI68" i="29"/>
  <c r="FD71" i="29"/>
  <c r="Y70" i="29"/>
  <c r="BG70" i="29" s="1"/>
  <c r="Y72" i="29"/>
  <c r="BG72" i="29" s="1"/>
  <c r="Y71" i="29"/>
  <c r="BG71" i="29" s="1"/>
  <c r="FC70" i="29"/>
  <c r="AE68" i="29"/>
  <c r="BM68" i="29" s="1"/>
  <c r="DC69" i="29"/>
  <c r="AM69" i="29" s="1"/>
  <c r="FL72" i="29"/>
  <c r="FK69" i="29"/>
  <c r="FH72" i="29"/>
  <c r="DN69" i="29"/>
  <c r="FG72" i="29"/>
  <c r="FJ70" i="29" a="1"/>
  <c r="FJ72" i="29" a="1"/>
  <c r="AM71" i="29" l="1"/>
  <c r="AQ69" i="29"/>
  <c r="AO70" i="29"/>
  <c r="AO72" i="29"/>
  <c r="FJ70" i="29"/>
  <c r="FJ72" i="29"/>
  <c r="FV72" i="29"/>
  <c r="BX70" i="29"/>
  <c r="BU70" i="29"/>
  <c r="F17" i="29"/>
  <c r="F11" i="29"/>
  <c r="CA70" i="29"/>
  <c r="BY68" i="29"/>
  <c r="BZ71" i="29"/>
  <c r="CC69" i="29"/>
  <c r="G12" i="29"/>
  <c r="E11" i="29"/>
  <c r="E17" i="29"/>
  <c r="BV71" i="29"/>
  <c r="G17" i="29"/>
  <c r="G11" i="29"/>
  <c r="BX69" i="29"/>
  <c r="CF71" i="29"/>
  <c r="D17" i="29"/>
  <c r="D11" i="29"/>
  <c r="CB71" i="29"/>
  <c r="BW70" i="29"/>
  <c r="CC71" i="29"/>
  <c r="H17" i="29"/>
  <c r="H11" i="29"/>
  <c r="H50" i="29" s="1"/>
  <c r="FV69" i="29"/>
  <c r="BW68" i="29"/>
  <c r="CA71" i="29"/>
  <c r="AP68" i="29"/>
  <c r="Q16" i="29"/>
  <c r="Q17" i="29"/>
  <c r="BZ70" i="29"/>
  <c r="CF69" i="29"/>
  <c r="CE70" i="29"/>
  <c r="CD72" i="29"/>
  <c r="CD68" i="29"/>
  <c r="F7" i="29"/>
  <c r="CD70" i="29"/>
  <c r="AP70" i="29"/>
  <c r="B17" i="29"/>
  <c r="B11" i="29"/>
  <c r="CE72" i="29"/>
  <c r="BY70" i="29"/>
  <c r="BZ68" i="29"/>
  <c r="B7" i="29"/>
  <c r="BY69" i="29"/>
  <c r="BW72" i="29"/>
  <c r="CB69" i="29"/>
  <c r="CA69" i="29"/>
  <c r="BY72" i="29"/>
  <c r="BJ68" i="29"/>
  <c r="B3" i="29"/>
  <c r="AN68" i="29"/>
  <c r="O16" i="29"/>
  <c r="O17" i="29"/>
  <c r="FT68" i="29"/>
  <c r="C17" i="29"/>
  <c r="C11" i="29"/>
  <c r="AQ68" i="29"/>
  <c r="R16" i="29"/>
  <c r="R17" i="29"/>
  <c r="FV68" i="29"/>
  <c r="C12" i="29"/>
  <c r="BZ72" i="29"/>
  <c r="BW71" i="29"/>
  <c r="BU72" i="29"/>
  <c r="BV72" i="29"/>
  <c r="AM68" i="29"/>
  <c r="N16" i="29"/>
  <c r="N17" i="29"/>
  <c r="AQ70" i="29"/>
  <c r="H12" i="29"/>
  <c r="AO71" i="29"/>
  <c r="AO68" i="29"/>
  <c r="P16" i="29"/>
  <c r="P17" i="29"/>
  <c r="CC70" i="29"/>
  <c r="BU69" i="29"/>
  <c r="CD71" i="29"/>
  <c r="AN69" i="29"/>
  <c r="AN71" i="29"/>
  <c r="BU71" i="29"/>
  <c r="F12" i="29"/>
  <c r="AW72" i="29"/>
  <c r="BV68" i="29"/>
  <c r="CF72" i="29"/>
  <c r="FV71" i="29"/>
  <c r="CA72" i="29"/>
  <c r="BX71" i="29"/>
  <c r="BV69" i="29"/>
  <c r="CD69" i="29"/>
  <c r="AP69" i="29"/>
  <c r="CC72" i="29"/>
  <c r="BV70" i="29"/>
  <c r="CF68" i="29"/>
  <c r="H7" i="29"/>
  <c r="H46" i="29" s="1"/>
  <c r="AZ72" i="29"/>
  <c r="CB68" i="29"/>
  <c r="D7" i="29"/>
  <c r="CB72" i="29"/>
  <c r="FV70" i="29"/>
  <c r="CC68" i="29"/>
  <c r="E7" i="29"/>
  <c r="BW69" i="29"/>
  <c r="D12" i="29"/>
  <c r="AM72" i="29"/>
  <c r="CE68" i="29"/>
  <c r="G7" i="29"/>
  <c r="BX68" i="29"/>
  <c r="BX72" i="29"/>
  <c r="AM70" i="29"/>
  <c r="CB70" i="29"/>
  <c r="AO69" i="29"/>
  <c r="CE71" i="29"/>
  <c r="BZ69" i="29"/>
  <c r="BY71" i="29"/>
  <c r="BU68" i="29"/>
  <c r="CE69" i="29"/>
  <c r="CF70" i="29"/>
  <c r="C70" i="29"/>
  <c r="C72" i="29"/>
  <c r="C69" i="29"/>
  <c r="C71" i="29"/>
  <c r="E12" i="29" l="1"/>
  <c r="G50" i="29"/>
  <c r="GC69" i="29"/>
  <c r="GH69" i="29"/>
  <c r="GJ69" i="29"/>
  <c r="GF69" i="29"/>
  <c r="GL69" i="29"/>
  <c r="GI70" i="29"/>
  <c r="GE70" i="29"/>
  <c r="GA70" i="29"/>
  <c r="GH70" i="29"/>
  <c r="GK70" i="29"/>
  <c r="GB71" i="29"/>
  <c r="GH71" i="29"/>
  <c r="GK71" i="29"/>
  <c r="GJ71" i="29"/>
  <c r="GA71" i="29"/>
  <c r="GF71" i="29"/>
  <c r="GI71" i="29"/>
  <c r="GC71" i="29"/>
  <c r="GC72" i="29"/>
  <c r="GA72" i="29"/>
  <c r="GI72" i="29"/>
  <c r="GJ72" i="29"/>
  <c r="GF72" i="29"/>
  <c r="GB72" i="29"/>
  <c r="GH72" i="29"/>
  <c r="GE72" i="29"/>
  <c r="GD72" i="29"/>
  <c r="GK72" i="29"/>
  <c r="GL72" i="29"/>
  <c r="GE69" i="29"/>
  <c r="GD69" i="29"/>
  <c r="GG70" i="29"/>
  <c r="CO72" i="29"/>
  <c r="CN71" i="29"/>
  <c r="AX71" i="29" s="1"/>
  <c r="CP72" i="29"/>
  <c r="CR71" i="29"/>
  <c r="CQ71" i="29"/>
  <c r="F50" i="29"/>
  <c r="E50" i="29" s="1"/>
  <c r="D50" i="29" s="1"/>
  <c r="C50" i="29" s="1"/>
  <c r="B50" i="29" s="1"/>
  <c r="CO70" i="29"/>
  <c r="CW70" i="29"/>
  <c r="CP71" i="29"/>
  <c r="CO71" i="29"/>
  <c r="CP69" i="29"/>
  <c r="CW71" i="29"/>
  <c r="CV69" i="29"/>
  <c r="CM70" i="29"/>
  <c r="E15" i="29"/>
  <c r="CR72" i="29"/>
  <c r="CL69" i="29"/>
  <c r="C15" i="29"/>
  <c r="GL70" i="29"/>
  <c r="GE71" i="29"/>
  <c r="AV72" i="29"/>
  <c r="GD71" i="29"/>
  <c r="F15" i="29"/>
  <c r="CU71" i="29"/>
  <c r="CQ72" i="29"/>
  <c r="CR69" i="29"/>
  <c r="CW69" i="29"/>
  <c r="CQ70" i="29"/>
  <c r="CT71" i="29"/>
  <c r="GL71" i="29"/>
  <c r="G15" i="29"/>
  <c r="GK69" i="29"/>
  <c r="CQ69" i="29"/>
  <c r="CS70" i="29"/>
  <c r="D15" i="29"/>
  <c r="CU69" i="29"/>
  <c r="GG72" i="29"/>
  <c r="GG69" i="29"/>
  <c r="GF70" i="29"/>
  <c r="CS69" i="29"/>
  <c r="CN70" i="29"/>
  <c r="CO69" i="29"/>
  <c r="CT69" i="29"/>
  <c r="CL70" i="29"/>
  <c r="AV70" i="29" s="1"/>
  <c r="CM72" i="29"/>
  <c r="CU70" i="29"/>
  <c r="GC70" i="29"/>
  <c r="GI69" i="29"/>
  <c r="CS72" i="29"/>
  <c r="GB70" i="29"/>
  <c r="CV71" i="29"/>
  <c r="G46" i="29"/>
  <c r="F46" i="29" s="1"/>
  <c r="E46" i="29" s="1"/>
  <c r="D46" i="29" s="1"/>
  <c r="CN69" i="29"/>
  <c r="AX69" i="29" s="1"/>
  <c r="CM69" i="29"/>
  <c r="B8" i="29"/>
  <c r="D8" i="29"/>
  <c r="F8" i="29"/>
  <c r="H8" i="29"/>
  <c r="H47" i="29" s="1"/>
  <c r="G8" i="29"/>
  <c r="E8" i="29"/>
  <c r="CP70" i="29"/>
  <c r="AZ70" i="29" s="1"/>
  <c r="GJ70" i="29"/>
  <c r="CU72" i="29"/>
  <c r="CR70" i="29"/>
  <c r="CL71" i="29"/>
  <c r="GA69" i="29"/>
  <c r="H51" i="29"/>
  <c r="G51" i="29" s="1"/>
  <c r="F51" i="29" s="1"/>
  <c r="E51" i="29" s="1"/>
  <c r="D51" i="29" s="1"/>
  <c r="C51" i="29" s="1"/>
  <c r="B51" i="29" s="1"/>
  <c r="H15" i="29"/>
  <c r="H54" i="29" s="1"/>
  <c r="CT72" i="29"/>
  <c r="GB69" i="29"/>
  <c r="CW72" i="29"/>
  <c r="CT70" i="29"/>
  <c r="CL72" i="29"/>
  <c r="CA68" i="29"/>
  <c r="C7" i="29"/>
  <c r="CN72" i="29"/>
  <c r="CV72" i="29"/>
  <c r="CV70" i="29"/>
  <c r="GG71" i="29"/>
  <c r="CS71" i="29"/>
  <c r="CM71" i="29"/>
  <c r="AW71" i="29" s="1"/>
  <c r="GD70" i="29"/>
  <c r="ET71" i="29" a="1"/>
  <c r="EM71" i="29" a="1"/>
  <c r="EP72" i="29" a="1"/>
  <c r="EV71" i="29" a="1"/>
  <c r="ES69" i="29" a="1"/>
  <c r="EU71" i="29" a="1"/>
  <c r="ER71" i="29" a="1"/>
  <c r="EL71" i="29" a="1"/>
  <c r="EU69" i="29" a="1"/>
  <c r="C68" i="29"/>
  <c r="EN70" i="29" a="1"/>
  <c r="ER70" i="29" a="1"/>
  <c r="EV69" i="29" a="1"/>
  <c r="EM69" i="29" a="1"/>
  <c r="EV70" i="29" a="1"/>
  <c r="EO71" i="29" a="1"/>
  <c r="ES70" i="29" a="1"/>
  <c r="EV72" i="29" a="1"/>
  <c r="EU70" i="29" a="1"/>
  <c r="EK72" i="29" a="1"/>
  <c r="EL72" i="29" a="1"/>
  <c r="EM72" i="29" a="1"/>
  <c r="EN72" i="29" a="1"/>
  <c r="EQ72" i="29" a="1"/>
  <c r="EQ69" i="29" a="1"/>
  <c r="ER72" i="29" a="1"/>
  <c r="EL69" i="29" a="1"/>
  <c r="ET70" i="29" a="1"/>
  <c r="EQ71" i="29" a="1"/>
  <c r="EQ70" i="29" a="1"/>
  <c r="EK69" i="29" a="1"/>
  <c r="EM70" i="29" a="1"/>
  <c r="EP69" i="29" a="1"/>
  <c r="EP71" i="29" a="1"/>
  <c r="EK70" i="29" a="1"/>
  <c r="ES72" i="29" a="1"/>
  <c r="EN69" i="29" a="1"/>
  <c r="EL70" i="29" a="1"/>
  <c r="EP70" i="29" a="1"/>
  <c r="ET72" i="29" a="1"/>
  <c r="ES71" i="29" a="1"/>
  <c r="EO69" i="29" a="1"/>
  <c r="EO70" i="29" a="1"/>
  <c r="EK71" i="29" a="1"/>
  <c r="ER69" i="29" a="1"/>
  <c r="EN71" i="29" a="1"/>
  <c r="EO72" i="29" a="1"/>
  <c r="EU72" i="29" a="1"/>
  <c r="ET69" i="29" a="1"/>
  <c r="EL70" i="29" l="1"/>
  <c r="EO69" i="29"/>
  <c r="EV70" i="29"/>
  <c r="EU72" i="29"/>
  <c r="ET69" i="29"/>
  <c r="EC69" i="29" s="1"/>
  <c r="EN70" i="29"/>
  <c r="DW70" i="29" s="1"/>
  <c r="EU70" i="29"/>
  <c r="ED70" i="29" s="1"/>
  <c r="EV69" i="29"/>
  <c r="EE69" i="29" s="1"/>
  <c r="EM72" i="29"/>
  <c r="EL72" i="29"/>
  <c r="EQ69" i="29"/>
  <c r="DZ69" i="29" s="1"/>
  <c r="ET71" i="29"/>
  <c r="EC71" i="29" s="1"/>
  <c r="EK69" i="29"/>
  <c r="DT69" i="29" s="1"/>
  <c r="EK71" i="29"/>
  <c r="DT71" i="29" s="1"/>
  <c r="EU69" i="29"/>
  <c r="ED69" i="29" s="1"/>
  <c r="ER69" i="29"/>
  <c r="EA69" i="29" s="1"/>
  <c r="ER72" i="29"/>
  <c r="EL69" i="29"/>
  <c r="ET70" i="29"/>
  <c r="EC70" i="29" s="1"/>
  <c r="EK70" i="29"/>
  <c r="DT70" i="29" s="1"/>
  <c r="EV71" i="29"/>
  <c r="EE71" i="29" s="1"/>
  <c r="EN71" i="29"/>
  <c r="DW71" i="29" s="1"/>
  <c r="EQ71" i="29"/>
  <c r="DZ71" i="29" s="1"/>
  <c r="ES70" i="29"/>
  <c r="EB70" i="29" s="1"/>
  <c r="ET72" i="29"/>
  <c r="EP72" i="29"/>
  <c r="EQ72" i="29"/>
  <c r="EP71" i="29"/>
  <c r="DY71" i="29" s="1"/>
  <c r="EN72" i="29"/>
  <c r="DW72" i="29" s="1"/>
  <c r="EL71" i="29"/>
  <c r="DU71" i="29" s="1"/>
  <c r="H3" i="29"/>
  <c r="GC68" i="29"/>
  <c r="GD68" i="29"/>
  <c r="GL68" i="29"/>
  <c r="GI68" i="29"/>
  <c r="GH68" i="29"/>
  <c r="GA68" i="29"/>
  <c r="GE68" i="29"/>
  <c r="CN68" i="29"/>
  <c r="CP68" i="29"/>
  <c r="CQ68" i="29"/>
  <c r="CL68" i="29"/>
  <c r="CO68" i="29"/>
  <c r="GB68" i="29"/>
  <c r="GG68" i="29"/>
  <c r="GK68" i="29"/>
  <c r="CV68" i="29"/>
  <c r="CS68" i="29"/>
  <c r="CT68" i="29"/>
  <c r="CU68" i="29"/>
  <c r="GJ68" i="29"/>
  <c r="CM68" i="29"/>
  <c r="GF68" i="29"/>
  <c r="CW68" i="29"/>
  <c r="EV72" i="29"/>
  <c r="EE72" i="29" s="1"/>
  <c r="EO70" i="29"/>
  <c r="DX70" i="29" s="1"/>
  <c r="ES69" i="29"/>
  <c r="EO72" i="29"/>
  <c r="DX72" i="29" s="1"/>
  <c r="ER71" i="29"/>
  <c r="EA71" i="29" s="1"/>
  <c r="EK72" i="29"/>
  <c r="DT72" i="29" s="1"/>
  <c r="EM69" i="29"/>
  <c r="DV69" i="29" s="1"/>
  <c r="EN69" i="29"/>
  <c r="DW69" i="29" s="1"/>
  <c r="ER70" i="29"/>
  <c r="EA70" i="29" s="1"/>
  <c r="ES71" i="29"/>
  <c r="EB71" i="29" s="1"/>
  <c r="EM71" i="29"/>
  <c r="EQ70" i="29"/>
  <c r="DZ70" i="29" s="1"/>
  <c r="EU71" i="29"/>
  <c r="ED71" i="29" s="1"/>
  <c r="ES72" i="29"/>
  <c r="EB72" i="29" s="1"/>
  <c r="EM70" i="29"/>
  <c r="DV70" i="29" s="1"/>
  <c r="EP69" i="29"/>
  <c r="DY69" i="29" s="1"/>
  <c r="EP70" i="29"/>
  <c r="DY70" i="29" s="1"/>
  <c r="EO71" i="29"/>
  <c r="DX71" i="29" s="1"/>
  <c r="DU70" i="29"/>
  <c r="AW70" i="29"/>
  <c r="DX69" i="29"/>
  <c r="AZ69" i="29"/>
  <c r="EE70" i="29"/>
  <c r="ED72" i="29"/>
  <c r="DV72" i="29"/>
  <c r="AX72" i="29"/>
  <c r="DU72" i="29"/>
  <c r="AV69" i="29"/>
  <c r="AV71" i="29"/>
  <c r="EA72" i="29"/>
  <c r="DU69" i="29"/>
  <c r="AY71" i="29"/>
  <c r="C46" i="29"/>
  <c r="B46" i="29" s="1"/>
  <c r="EC72" i="29"/>
  <c r="AY70" i="29"/>
  <c r="G54" i="29"/>
  <c r="F54" i="29" s="1"/>
  <c r="E54" i="29" s="1"/>
  <c r="D54" i="29" s="1"/>
  <c r="C54" i="29" s="1"/>
  <c r="B54" i="29" s="1"/>
  <c r="DY72" i="29"/>
  <c r="DZ72" i="29"/>
  <c r="AY72" i="29"/>
  <c r="CR68" i="29"/>
  <c r="EB69" i="29"/>
  <c r="C8" i="29"/>
  <c r="DV71" i="29"/>
  <c r="G47" i="29"/>
  <c r="F47" i="29" s="1"/>
  <c r="E47" i="29" s="1"/>
  <c r="D47" i="29" s="1"/>
  <c r="AX70" i="29"/>
  <c r="AY69" i="29"/>
  <c r="AZ71" i="29"/>
  <c r="AW69" i="29"/>
  <c r="EL68" i="29" a="1"/>
  <c r="EK68" i="29" a="1"/>
  <c r="ES68" i="29" a="1"/>
  <c r="EM68" i="29" a="1"/>
  <c r="ER68" i="29" a="1"/>
  <c r="EP68" i="29" a="1"/>
  <c r="EV68" i="29" a="1"/>
  <c r="EQ68" i="29" a="1"/>
  <c r="ET68" i="29" a="1"/>
  <c r="EU68" i="29" a="1"/>
  <c r="EO68" i="29" a="1"/>
  <c r="EN68" i="29" a="1"/>
  <c r="ER68" i="29" l="1"/>
  <c r="EO68" i="29"/>
  <c r="EU68" i="29"/>
  <c r="ED68" i="29" s="1"/>
  <c r="EM68" i="29"/>
  <c r="DV68" i="29" s="1"/>
  <c r="EV68" i="29"/>
  <c r="EE68" i="29" s="1"/>
  <c r="EL68" i="29"/>
  <c r="DU68" i="29" s="1"/>
  <c r="EN68" i="29"/>
  <c r="DW68" i="29" s="1"/>
  <c r="EQ68" i="29"/>
  <c r="DZ68" i="29" s="1"/>
  <c r="ET68" i="29"/>
  <c r="EK68" i="29"/>
  <c r="ES68" i="29"/>
  <c r="EP68" i="29"/>
  <c r="DY68" i="29" s="1"/>
  <c r="HG71" i="29"/>
  <c r="GS71" i="29"/>
  <c r="GW71" i="29"/>
  <c r="HK71" i="29"/>
  <c r="GV69" i="29"/>
  <c r="HJ69" i="29"/>
  <c r="GV70" i="29"/>
  <c r="HJ70" i="29"/>
  <c r="GU71" i="29"/>
  <c r="FU71" i="29"/>
  <c r="HI71" i="29"/>
  <c r="GY70" i="29"/>
  <c r="HM70" i="29"/>
  <c r="HD71" i="29"/>
  <c r="GP71" i="29"/>
  <c r="HF70" i="29"/>
  <c r="GR70" i="29"/>
  <c r="GX71" i="29"/>
  <c r="HL71" i="29"/>
  <c r="GO69" i="29"/>
  <c r="HC69" i="29"/>
  <c r="GX69" i="29"/>
  <c r="HL69" i="29"/>
  <c r="HF71" i="29"/>
  <c r="GR71" i="29"/>
  <c r="EA68" i="29"/>
  <c r="D9" i="29"/>
  <c r="DX68" i="29"/>
  <c r="AZ68" i="29"/>
  <c r="GT69" i="29"/>
  <c r="HH69" i="29"/>
  <c r="GW72" i="29"/>
  <c r="HK72" i="29"/>
  <c r="HF69" i="29"/>
  <c r="GR69" i="29"/>
  <c r="HG72" i="29"/>
  <c r="GS72" i="29"/>
  <c r="GT70" i="29"/>
  <c r="HH70" i="29"/>
  <c r="GY71" i="29"/>
  <c r="HM71" i="29"/>
  <c r="GW69" i="29"/>
  <c r="HK69" i="29"/>
  <c r="GR72" i="29"/>
  <c r="HF72" i="29"/>
  <c r="GZ71" i="29"/>
  <c r="HN71" i="29"/>
  <c r="GY69" i="29"/>
  <c r="HM69" i="29"/>
  <c r="HD72" i="29"/>
  <c r="GP72" i="29"/>
  <c r="GY72" i="29"/>
  <c r="HM72" i="29"/>
  <c r="G9" i="29"/>
  <c r="AX68" i="29"/>
  <c r="D18" i="29"/>
  <c r="C18" i="29"/>
  <c r="B18" i="29"/>
  <c r="G18" i="29"/>
  <c r="H18" i="29"/>
  <c r="F18" i="29"/>
  <c r="E18" i="29"/>
  <c r="GZ70" i="29"/>
  <c r="HN70" i="29"/>
  <c r="H9" i="29"/>
  <c r="GU72" i="29"/>
  <c r="FU72" i="29"/>
  <c r="HI72" i="29"/>
  <c r="GX72" i="29"/>
  <c r="HL72" i="29"/>
  <c r="GX70" i="29"/>
  <c r="HL70" i="29"/>
  <c r="HC71" i="29"/>
  <c r="GO71" i="29"/>
  <c r="HE72" i="29"/>
  <c r="GQ72" i="29"/>
  <c r="GW70" i="29"/>
  <c r="HK70" i="29"/>
  <c r="HD69" i="29"/>
  <c r="GP69" i="29"/>
  <c r="GZ69" i="29"/>
  <c r="HN69" i="29"/>
  <c r="HG69" i="29"/>
  <c r="GS69" i="29"/>
  <c r="AW68" i="29"/>
  <c r="GU70" i="29"/>
  <c r="FU70" i="29"/>
  <c r="HI70" i="29"/>
  <c r="HE69" i="29"/>
  <c r="GQ69" i="29"/>
  <c r="GT71" i="29"/>
  <c r="HH71" i="29"/>
  <c r="HC70" i="29"/>
  <c r="GO70" i="29"/>
  <c r="HE71" i="29"/>
  <c r="GQ71" i="29"/>
  <c r="C47" i="29"/>
  <c r="B47" i="29" s="1"/>
  <c r="HE70" i="29"/>
  <c r="GQ70" i="29"/>
  <c r="GZ72" i="29"/>
  <c r="HN72" i="29"/>
  <c r="GT72" i="29"/>
  <c r="HH72" i="29"/>
  <c r="AY68" i="29"/>
  <c r="HC72" i="29"/>
  <c r="GO72" i="29"/>
  <c r="C9" i="29"/>
  <c r="GV72" i="29"/>
  <c r="HJ72" i="29"/>
  <c r="GP70" i="29"/>
  <c r="HD70" i="29"/>
  <c r="EC68" i="29"/>
  <c r="F9" i="29"/>
  <c r="DT68" i="29"/>
  <c r="AV68" i="29"/>
  <c r="HG70" i="29"/>
  <c r="GS70" i="29"/>
  <c r="GV71" i="29"/>
  <c r="HJ71" i="29"/>
  <c r="GU69" i="29"/>
  <c r="FU69" i="29"/>
  <c r="HI69" i="29"/>
  <c r="EB68" i="29"/>
  <c r="E9" i="29"/>
  <c r="B9" i="29"/>
  <c r="HD68" i="29" l="1"/>
  <c r="GP68" i="29"/>
  <c r="GU68" i="29"/>
  <c r="FU68" i="29"/>
  <c r="C13" i="29"/>
  <c r="HI68" i="29"/>
  <c r="H48" i="29"/>
  <c r="G48" i="29" s="1"/>
  <c r="F48" i="29" s="1"/>
  <c r="E48" i="29" s="1"/>
  <c r="D48" i="29" s="1"/>
  <c r="C48" i="29" s="1"/>
  <c r="B48" i="29" s="1"/>
  <c r="H10" i="29"/>
  <c r="H49" i="29" s="1"/>
  <c r="HG68" i="29"/>
  <c r="GS68" i="29"/>
  <c r="D10" i="29"/>
  <c r="E10" i="29"/>
  <c r="GV68" i="29"/>
  <c r="D13" i="29"/>
  <c r="HJ68" i="29"/>
  <c r="FX71" i="29"/>
  <c r="FW71" i="29"/>
  <c r="FX70" i="29"/>
  <c r="FW70" i="29"/>
  <c r="GZ68" i="29"/>
  <c r="H13" i="29"/>
  <c r="HN68" i="29"/>
  <c r="GW68" i="29"/>
  <c r="E13" i="29"/>
  <c r="HK68" i="29"/>
  <c r="HC68" i="29"/>
  <c r="GO68" i="29"/>
  <c r="HE68" i="29"/>
  <c r="GQ68" i="29"/>
  <c r="C10" i="29"/>
  <c r="FX69" i="29"/>
  <c r="FW69" i="29"/>
  <c r="F10" i="29"/>
  <c r="G10" i="29"/>
  <c r="GX68" i="29"/>
  <c r="F13" i="29"/>
  <c r="HL68" i="29"/>
  <c r="FX72" i="29"/>
  <c r="FW72" i="29"/>
  <c r="GY68" i="29"/>
  <c r="G13" i="29"/>
  <c r="HM68" i="29"/>
  <c r="B10" i="29"/>
  <c r="HF68" i="29"/>
  <c r="GR68" i="29"/>
  <c r="GT68" i="29"/>
  <c r="HH68" i="29"/>
  <c r="G49" i="29" l="1"/>
  <c r="D14" i="29"/>
  <c r="D16" i="29"/>
  <c r="H14" i="29"/>
  <c r="H53" i="29" s="1"/>
  <c r="H16" i="29"/>
  <c r="H55" i="29" s="1"/>
  <c r="H52" i="29"/>
  <c r="G52" i="29" s="1"/>
  <c r="F52" i="29" s="1"/>
  <c r="E52" i="29" s="1"/>
  <c r="D52" i="29" s="1"/>
  <c r="C52" i="29" s="1"/>
  <c r="B52" i="29" s="1"/>
  <c r="G14" i="29"/>
  <c r="G16" i="29"/>
  <c r="F49" i="29"/>
  <c r="E49" i="29" s="1"/>
  <c r="D49" i="29" s="1"/>
  <c r="C49" i="29" s="1"/>
  <c r="B49" i="29" s="1"/>
  <c r="C14" i="29"/>
  <c r="C16" i="29"/>
  <c r="FX68" i="29"/>
  <c r="FW68" i="29"/>
  <c r="E14" i="29"/>
  <c r="E16" i="29"/>
  <c r="F16" i="29"/>
  <c r="F14" i="29"/>
  <c r="G55" i="29" l="1"/>
  <c r="F55" i="29" s="1"/>
  <c r="E55" i="29" s="1"/>
  <c r="D55" i="29" s="1"/>
  <c r="C55" i="29" s="1"/>
  <c r="B55" i="29" s="1"/>
  <c r="G53" i="29"/>
  <c r="F53" i="29" s="1"/>
  <c r="E53" i="29" s="1"/>
  <c r="D53" i="29" s="1"/>
  <c r="C53" i="29" s="1"/>
  <c r="B53" i="29" s="1"/>
  <c r="R13" i="29" l="1"/>
  <c r="N13" i="29"/>
  <c r="O7" i="29"/>
  <c r="O13" i="29"/>
  <c r="O8" i="29"/>
  <c r="Q11" i="29"/>
  <c r="O11" i="29"/>
  <c r="P13" i="29"/>
  <c r="Q13" i="29"/>
  <c r="P11" i="29"/>
  <c r="P8" i="29"/>
  <c r="R7" i="29"/>
  <c r="R11" i="29"/>
  <c r="N8" i="29"/>
  <c r="N11" i="29"/>
  <c r="Q7" i="29"/>
  <c r="P7" i="29"/>
  <c r="R8" i="29"/>
  <c r="R47" i="29" s="1"/>
  <c r="N7" i="29"/>
  <c r="Q8" i="29"/>
  <c r="Q47" i="29" l="1"/>
  <c r="P14" i="29"/>
  <c r="O15" i="29"/>
  <c r="O12" i="29"/>
  <c r="Q15" i="29"/>
  <c r="Q12" i="29"/>
  <c r="Q9" i="29"/>
  <c r="Q10" i="29"/>
  <c r="R46" i="29"/>
  <c r="Q46" i="29" s="1"/>
  <c r="P46" i="29" s="1"/>
  <c r="O46" i="29" s="1"/>
  <c r="N46" i="29" s="1"/>
  <c r="R9" i="29"/>
  <c r="R48" i="29" s="1"/>
  <c r="R10" i="29"/>
  <c r="R49" i="29" s="1"/>
  <c r="O14" i="29"/>
  <c r="N15" i="29"/>
  <c r="N12" i="29"/>
  <c r="R15" i="29"/>
  <c r="R54" i="29" s="1"/>
  <c r="R50" i="29"/>
  <c r="Q50" i="29" s="1"/>
  <c r="P50" i="29" s="1"/>
  <c r="O50" i="29" s="1"/>
  <c r="N50" i="29" s="1"/>
  <c r="R12" i="29"/>
  <c r="R51" i="29" s="1"/>
  <c r="N9" i="29"/>
  <c r="N10" i="29"/>
  <c r="P47" i="29"/>
  <c r="O47" i="29" s="1"/>
  <c r="N47" i="29" s="1"/>
  <c r="O9" i="29"/>
  <c r="O10" i="29"/>
  <c r="P12" i="29"/>
  <c r="P15" i="29"/>
  <c r="N14" i="29"/>
  <c r="P9" i="29"/>
  <c r="P10" i="29"/>
  <c r="Q14" i="29"/>
  <c r="R52" i="29"/>
  <c r="Q52" i="29" s="1"/>
  <c r="P52" i="29" s="1"/>
  <c r="O52" i="29" s="1"/>
  <c r="N52" i="29" s="1"/>
  <c r="R14" i="29"/>
  <c r="R53" i="29" s="1"/>
  <c r="Q51" i="29" l="1"/>
  <c r="P51" i="29" s="1"/>
  <c r="O51" i="29" s="1"/>
  <c r="N51" i="29" s="1"/>
  <c r="Q54" i="29"/>
  <c r="P54" i="29" s="1"/>
  <c r="O54" i="29" s="1"/>
  <c r="N54" i="29" s="1"/>
  <c r="Q49" i="29"/>
  <c r="P49" i="29" s="1"/>
  <c r="O49" i="29" s="1"/>
  <c r="N49" i="29" s="1"/>
  <c r="Q48" i="29"/>
  <c r="P48" i="29" s="1"/>
  <c r="O48" i="29" s="1"/>
  <c r="N48" i="29" s="1"/>
  <c r="Q53" i="29"/>
  <c r="P53" i="29" s="1"/>
  <c r="O53" i="29" s="1"/>
  <c r="N53"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<sst xmlns="http://schemas.openxmlformats.org/spreadsheetml/2006/main" count="1005" uniqueCount="249">
  <si>
    <t>runMode: serial</t>
  </si>
  <si>
    <t>maxCount: 10000</t>
  </si>
  <si>
    <t>method: CLISATDist</t>
  </si>
  <si>
    <t>ignoreTrivialCodes: 1</t>
  </si>
  <si>
    <t>resume: 1</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</si>
  <si>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</si>
  <si>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</si>
  <si>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</si>
  <si>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</si>
  <si>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</si>
  <si>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</si>
  <si>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</si>
  <si>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</si>
  <si>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</si>
  <si>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</si>
  <si>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</si>
  <si>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</si>
  <si>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</si>
  <si>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t>
  </si>
  <si>
    <t>name</t>
  </si>
  <si>
    <t>n</t>
  </si>
  <si>
    <t>k</t>
  </si>
  <si>
    <t>d</t>
  </si>
  <si>
    <t>delta d</t>
  </si>
  <si>
    <t>Time</t>
  </si>
  <si>
    <t>R</t>
  </si>
  <si>
    <t>T</t>
  </si>
  <si>
    <t>Progress</t>
  </si>
  <si>
    <t>method: ColourCodeDistStim</t>
  </si>
  <si>
    <t>resume: 0</t>
  </si>
  <si>
    <t>method: decoderDist</t>
  </si>
  <si>
    <t>decoder: bposd</t>
  </si>
  <si>
    <t>bp_method: product_sum</t>
  </si>
  <si>
    <t>bp_schedule: parallel</t>
  </si>
  <si>
    <t>bp_max_iter: 100</t>
  </si>
  <si>
    <t>osd_method: OSD_CS</t>
  </si>
  <si>
    <t>osd_order: 1</t>
  </si>
  <si>
    <t>method: dist_m4ri_CC</t>
  </si>
  <si>
    <t>method: dist_m4ri_RW</t>
  </si>
  <si>
    <t>method: GraphLikeErrorStim</t>
  </si>
  <si>
    <t>method: GurobiDist</t>
  </si>
  <si>
    <t>method: MIPDist</t>
  </si>
  <si>
    <t>MIP_solver: SCIP</t>
  </si>
  <si>
    <t>method: QDistEvol</t>
  </si>
  <si>
    <t>method: QDistRndMW</t>
  </si>
  <si>
    <t>method: UndetectableErrorStim</t>
  </si>
  <si>
    <t>dont_explore_detection_event_sets_with_size_above=2,dont_explore_edges_with_degree_above=2; Found w:2</t>
  </si>
  <si>
    <t>dont_explore_detection_event_sets_with_size_above=2,dont_explore_edges_with_degree_above=2; Found w:3</t>
  </si>
  <si>
    <t>dont_explore_detection_event_sets_with_size_above=2,dont_explore_edges_with_degree_above=2; Found w:6</t>
  </si>
  <si>
    <t>dataset: stim_circuit</t>
  </si>
  <si>
    <t>iterCount: 1000</t>
  </si>
  <si>
    <t>dont_explore_detection_event_sets_with_size_above=2,dont_explore_edges_with_degree_above=2; Found w:5</t>
  </si>
  <si>
    <t>datafile: 03_colorcodes_midout</t>
  </si>
  <si>
    <t>01_r=3,d=3,p=0.0005,noise=uniform,c=midout_color_code_Z,q=9,gates=all.stim</t>
  </si>
  <si>
    <t>02_r=5,d=5,p=0.0005,noise=uniform,c=midout_color_code_Z,q=23,gates=all.stim</t>
  </si>
  <si>
    <t>03_r=7,d=7,p=0.0005,noise=uniform,c=midout_color_code_Z,q=43,gates=all.stim</t>
  </si>
  <si>
    <t>04_r=9,d=9,p=0.0005,noise=uniform,c=midout_color_code_Z,q=69,gates=all.stim</t>
  </si>
  <si>
    <t>05_r=11,d=11,p=0.0005,noise=uniform,c=midout_color_code_Z,q=101,gates=all.stim</t>
  </si>
  <si>
    <t>dont_explore_detection_event_sets_with_size_above=3,dont_explore_edges_with_degree_above=12; Found w:2</t>
  </si>
  <si>
    <t>dont_explore_detection_event_sets_with_size_above=3,dont_explore_edges_with_degree_above=55; Found w:3</t>
  </si>
  <si>
    <t>dont_explore_detection_event_sets_with_size_above=3,dont_explore_edges_with_degree_above=147; Found w:4</t>
  </si>
  <si>
    <t>dont_explore_detection_event_sets_with_size_above=3,dont_explore_edges_with_degree_above=306; Found w:5</t>
  </si>
  <si>
    <t>dont_explore_detection_event_sets_with_size_above=3,dont_explore_edges_with_degree_above=550; Found w:6</t>
  </si>
  <si>
    <t>dont_explore_detection_event_sets_with_size_above=2,dont_explore_edges_with_degree_above=2; Found w:4</t>
  </si>
  <si>
    <t>dont_explore_detection_event_sets_with_size_above=2,dont_explore_edges_with_degree_above=12; Found w:2; dont_explore_detection_event_sets_with_size_above=3,dont_explore_edges_with_degree_above=12; Found w:2; Breaking - same result 2 times</t>
  </si>
  <si>
    <t>dont_explore_detection_event_sets_with_size_above=2,dont_explore_edges_with_degree_above=55; Found w:3; dont_explore_detection_event_sets_with_size_above=3,dont_explore_edges_with_degree_above=55; Found w:3; Breaking - same result 2 times</t>
  </si>
  <si>
    <t>dont_explore_detection_event_sets_with_size_above=2,dont_explore_edges_with_degree_above=147; Found w:4; dont_explore_detection_event_sets_with_size_above=3,dont_explore_edges_with_degree_above=147; Found w:4; Breaking - same result 2 times</t>
  </si>
  <si>
    <t>dont_explore_detection_event_sets_with_size_above=2,dont_explore_edges_with_degree_above=306; Found w:5; dont_explore_detection_event_sets_with_size_above=3,dont_explore_edges_with_degree_above=306; Found w:5; Breaking - same result 2 times</t>
  </si>
  <si>
    <t>dont_explore_detection_event_sets_with_size_above=2,dont_explore_edges_with_degree_above=550; Found w:6; dont_explore_detection_event_sets_with_size_above=3,dont_explore_edges_with_degree_above=550; Found w:6; Breaking - same result 2 times</t>
  </si>
  <si>
    <t>t</t>
  </si>
  <si>
    <t>success rate</t>
  </si>
  <si>
    <t>t/R</t>
  </si>
  <si>
    <t>Trials</t>
  </si>
  <si>
    <t>Time/Trial</t>
  </si>
  <si>
    <t>At lowest distance</t>
  </si>
  <si>
    <t>Chart Dataset:</t>
  </si>
  <si>
    <t>m4ri_RW</t>
  </si>
  <si>
    <t>Total Processing Time</t>
  </si>
  <si>
    <t>Time/Successful Trial</t>
  </si>
  <si>
    <t>\begin{center}</t>
  </si>
  <si>
    <t>r|</t>
  </si>
  <si>
    <t>}</t>
  </si>
  <si>
    <t>\hline</t>
  </si>
  <si>
    <t>\\</t>
  </si>
  <si>
    <t>\end{tabular}</t>
  </si>
  <si>
    <t>\end{center}</t>
  </si>
  <si>
    <t>Match</t>
  </si>
  <si>
    <t>dCalc</t>
  </si>
  <si>
    <t>d Estimated Successfully</t>
  </si>
  <si>
    <t>dEst</t>
  </si>
  <si>
    <t>d correct</t>
  </si>
  <si>
    <t>GEStim</t>
  </si>
  <si>
    <t>dMin</t>
  </si>
  <si>
    <t>CLISAT</t>
  </si>
  <si>
    <t>CCStim</t>
  </si>
  <si>
    <t>bposd</t>
  </si>
  <si>
    <t>m4ri_CC</t>
  </si>
  <si>
    <t>Gurobi</t>
  </si>
  <si>
    <t>MIP-SCIP</t>
  </si>
  <si>
    <t>QDistEvol</t>
  </si>
  <si>
    <t>QDistRndMW</t>
  </si>
  <si>
    <t>UEStim</t>
  </si>
  <si>
    <t>w:2; T:14ms; iterations:1</t>
  </si>
  <si>
    <t>outfile: /home/ucapmwe/dist-benchmark/results/stim_circuit-03_colorcodes_midout-UndetectableErrorStim-20251224_093902.746139_85062422.txt</t>
  </si>
  <si>
    <t>Family Size</t>
  </si>
  <si>
    <t>MaxTime</t>
  </si>
  <si>
    <t>Heuristic Methods</t>
  </si>
  <si>
    <t>Exact Methods</t>
  </si>
  <si>
    <t>No Result</t>
  </si>
  <si>
    <t>#,##0</t>
  </si>
  <si>
    <t>Completed &lt; MaxTime</t>
  </si>
  <si>
    <t>\begin{tabular}{ |l|</t>
  </si>
  <si>
    <t>Offset</t>
  </si>
  <si>
    <t>Chart Data</t>
  </si>
  <si>
    <t>Algorithm Completed within maxTime</t>
  </si>
  <si>
    <t>magma</t>
  </si>
  <si>
    <t>nMax</t>
  </si>
  <si>
    <t>nMin</t>
  </si>
  <si>
    <t>m4riRW</t>
  </si>
  <si>
    <t>BP-OSD</t>
  </si>
  <si>
    <t>m4riCC</t>
  </si>
  <si>
    <t>Magma</t>
  </si>
  <si>
    <t>#,##0;;</t>
  </si>
  <si>
    <t>0.0E+00;;</t>
  </si>
  <si>
    <t>0.0%;;</t>
  </si>
  <si>
    <t>outfile: /home/ucapmwe/dist-benchmark/results/stim_circuit-03_colorcodes_midout-ColourCodeDistStim-20260105_135844.960962_85062422.txt</t>
  </si>
  <si>
    <t>outfile: /home/ucapmwe/dist-benchmark/results/stim_circuit-03_colorcodes_midout-GraphLikeErrorStim-20260105_135844.930370_85062422.txt</t>
  </si>
  <si>
    <t>iterCount: 10000</t>
  </si>
  <si>
    <t>CCstart: -1</t>
  </si>
  <si>
    <t>outfile: /home/ucapmwe/dist-benchmark/results/stim_circuit-03_colorcodes_midout-dist_m4ri_RW-20260106_160351.624023_85062422.txt</t>
  </si>
  <si>
    <t># step=0 row=0 minW=34 found cw of W=2: [1 6]\n#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</si>
  <si>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row=1 minW=172 found cw of W=9: [1 3 16 33 57 64 68 112 161]\n# step=0 row=4 minW=9 found cw of W=6: [1 6 33 68 112 161]\n# step=0 row=6 minW=6 found cw of W=5: [1 8 51 57 64]\n# step=0 row=13 minW=5 found cw of W=4: [17 20 57 64]\n# step=0 row=50 minW=4 found cw of W=3: [57 61 64]\n#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</si>
  <si>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minW=476 found cw of W=7: [1 6 11 14 21 66 99]\n# step=0 row=1 minW=7 found cw of W=6: [2 6 14 21 66 99]\n# step=0 row=2 minW=6 found cw of W=5: [3 6 11 21 99]\n# step=0 row=7 minW=5 found cw of W=4: [9 11 21 99]\n#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</si>
  <si>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row=46 minW=1042 found cw of W=26: [48 49 56 57 98 120 126 131 138 143 195 233 236 250 272 288 347 355 364 417 421 459 469 493 595 611]\n# step=0 row=48 minW=26 found cw of W=16: [48 49 56 59 138 141 153 243 348 349 355 459 469 493 595 611]\n# step=0 row=51 minW=16 found cw of W=14: [48 49 62 138 141 243 348 349 355 459 469 493 595 611]\n# step=0 row=117 minW=14 found cw of W=13: [138 141 144 153 243 348 349 355 459 469 493 595 611]\n# step=0 row=282 minW=13 found cw of W=10: [272 273 288 340 341 348 349 364 417 421]\n# step=0 row=298 minW=10 found cw of W=9: [272 273 288 348 349 362 364 417 421]\n# step=0 row=447 minW=9 found cw of W=8: [348 349 459 469 531 535 595 611]\n# step=1 row=342 minW=8 found cw of W=7: [410 416 516 520 523 532 539]\n# step=1 row=489 minW=7 found cw of W=6: [585 586 723 767 890 992]\n# step=1 row=605 minW=6 found cw of W=5: [719 723 767 890 992]\n#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</si>
  <si>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row=33 minW=1908 found cw of W=36: [39 42 47 56 64 91 112 114 257 258 295 310 402 422 429 431 448 575 631 733 760 765 775 918 980 1056 1059 1110 1239 1255 1384 1401 1544 1556 1698 1699]\n# step=0 row=37 minW=36 found cw of W=12: [31 35 46 47 185 194 221 224 232 242 429 631]\n# step=0 row=43 minW=12 found cw of W=7: [47 53 232 242 368 429 631]\n# step=4 row=1428 minW=7 found cw of W=6: [1683 1686 1690 1753 1757 1812]\n#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</si>
  <si>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wmax=99 found cw of weight 2: [0 5]\n2\n</t>
  </si>
  <si>
    <t># wmax=99 found cw of weight 3: [0 4 25]\n3\n</t>
  </si>
  <si>
    <t># wmax=99 found cw of weight 4: [0 4 24 59]\n4\n</t>
  </si>
  <si>
    <t># wmax=99 found cw of weight 5: [0 4 24 68 104]\n5\n</t>
  </si>
  <si>
    <t># wmax=99 found cw of weight 6: [0 4 24 69 126 162]\n6\n</t>
  </si>
  <si>
    <t>Exact nMax</t>
  </si>
  <si>
    <t>Exact Family</t>
  </si>
  <si>
    <t>Result Returned</t>
  </si>
  <si>
    <t>Completed &gt; MaxTime</t>
  </si>
  <si>
    <t>Overall Success Rate</t>
  </si>
  <si>
    <t>Total Time (s)</t>
  </si>
  <si>
    <t>Overall success rate</t>
  </si>
  <si>
    <t>Trials at lowest distance</t>
  </si>
  <si>
    <t>Total Time</t>
  </si>
  <si>
    <t>Trial Success Rate</t>
  </si>
  <si>
    <t>not completed</t>
  </si>
  <si>
    <t>Number of Trials at lowest distance</t>
  </si>
  <si>
    <t>best</t>
  </si>
  <si>
    <t>sMut: 1.0</t>
  </si>
  <si>
    <t>pMut: 2.0</t>
  </si>
  <si>
    <t>genCount: 100</t>
  </si>
  <si>
    <t>nMin: 1</t>
  </si>
  <si>
    <t>repeat: 1</t>
  </si>
  <si>
    <t>Exact Method Check</t>
  </si>
  <si>
    <t>nMax: 100000</t>
  </si>
  <si>
    <t>outfile: /home/ucapmwe/dist-benchmark/results/stim_circuit-03_colorcodes_midout-CLISATDist-20260116_091621.267688_85062422.txt</t>
  </si>
  <si>
    <t>c Parsing MaxSAT file...\nc ============================[  Problem Statistics ]============================\nc |  Number of variables:            90                                         |\nc |  Number of clauses:             246                                         |\nc ===============================================================================\nc Using SCIP solver, version 7.0.3, https://www.scipopt.org\nc scip_time = 0.000000\nc Starting SCIP solver in a separate thread (with time-limit = 0s) ...\nc Using COMiniSatPS SAT solver by Chanseok Oh (2016)\no 5\no 3\no 2\nc _x001B_[1mOptimal solution: 2_x001B_[0m\nc _______________________________________________________________________________\nc \nc restarts               : 78\nc conflicts              : 148            (31712 /sec)\nc decisions              : 396            (0.00 % random) (84851 /sec)\nc propagations           : 5784           (1239340 /sec)\nc conflict literals      : 1535           (3.09 % deleted)\nc =======================[ UWrMaxSat resources usage ]===========================\nc Memory used            : 26.00 MB\nc CPU time               : 0.004667 s\nc Wall clock time        : 0 s\nc OptExp Enc: Srt/BDD/Add: 3 0 0\nc _______________________________________________________________________________\nv 000000000000000000010001000000000000000000000000000000000000000000000001000100100010001001000101001\ns OPTIMUM FOUND\n</t>
  </si>
  <si>
    <t>c Parsing MaxSAT file...\nc ============================[  Problem Statistics ]============================\nc |  Number of variables:           570                                         |\nc |  Number of clauses:            1664                                         |\nc ===============================================================================\nc Using SCIP solver, version 7.0.3, https://www.scipopt.org\nc scip_time = 0.000000\nc Starting SCIP solver in a separate thread (with time-limit = 0s) ...\nc Using COMiniSatPS SAT solver by Chanseok Oh (2016)\no 15\no 4\no 3\nc _x001B_[1mOptimal solution: 3_x001B_[0m\nc _______________________________________________________________________________\nc \nc restarts               : 643\nc conflicts              : 6611           (27000 /sec)\nc decisions              : 34192          (0.00 % random) (139645 /sec)\nc propagations           : 426130         (1740372 /sec)\nc conflict literals      : 186317         (8.12 % deleted)\nc =======================[ UWrMaxSat resources usage ]===========================\nc Memory used            : 152.00 MB\nc CPU time               : 0.24485 s\nc Wall clock time        : 0 s\nc OptExp Enc: Srt/BDD/Add: 6 0 0\nc _______________________________________________________________________________\nv 000000000000000000000000000000000000000000000000000000000000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11010010101001000100010010010001001001001000010010000000100001001000010001000010100100100101010000100100100000000010010001000001000100001001000100100010001001000010010001001000000010010101\ns OPTIMUM FOUND\n</t>
  </si>
  <si>
    <t>c Parsing MaxSAT file...\nc ============================[  Problem Statistics ]============================\nc |  Number of variables:          1676                                         |\nc |  Number of clauses:            4974                                         |\nc ===============================================================================\nc Using SCIP solver, version 7.0.3, https://www.scipopt.org\nc scip_time = 0.000000\nc Starting SCIP solver in a separate thread (with time-limit = 0s) ...\nc Using COMiniSatPS SAT solver by Chanseok Oh (2016)\no 13\no 10\no 5\no 4\nc _x001B_[1mOptimal solution: 4_x001B_[0m\nc _______________________________________________________________________________\nc \nc restarts               : 855\nc conflicts              : 26968          (8074 /sec)\nc decisions              : 129771         (0.00 % random) (38851 /sec)\nc propagations           : 6921238        (2072063 /sec)\nc conflict literals      : 1631513        (17.55 % deleted)\nc =======================[ UWrMaxSat resources usage ]===========================\nc Memory used            : 157.00 MB\nc CPU time               : 3.34026 s\nc Wall clock time        : 4 s\nc OptExp Enc: Srt/BDD/Add: 10 0 0\nc _______________________________________________________________________________\nv 0000000000000000000000000000000000000000000000000000000000000000000000000000000000000000000000000000000000000000000000000000000000000000000000000000000000000000000000000000000100001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10010001011001001010001001001000010000100101001001010010010100001000100010001001001000100100100100001000100100000001000001001001010000100000100000001001001100001110011001100010001001001001000100100000001000010010000010010000001010000100100100001001000001001000010000100000100010010000100010010000100001000001000100010000010000010000010001000100010000010000100100010001001001010001001001000010000100100001001010010010100001000100010001001001000100100100100001000100100000001000001001001000000100000100000001001000100001000100010010010001001001001000100100000001000010010000010010000001010010010010101000010010010000000001001000100000100010001001000000010010001000100100000100100100000001000100010000000010001000100000010001001000000001000100010000100100010001001010001000100100010001001000010010010010000000100101\ns OPTIMUM FOUND\n</t>
  </si>
  <si>
    <t>c Parsing MaxSAT file...\nc ============================[  Problem Statistics ]============================\nc |  Number of variables:          4906                                         |\nc |  Number of clauses:           14686                                         |\nc ===============================================================================\nc Using SCIP solver, version 7.0.3, https://www.scipopt.org\nc scip_time = 0.000000\nc Starting SCIP solver in a separate thread (with time-limit = 0s) ...\nc Using COMiniSatPS SAT solver by Chanseok Oh (2016)\no 15\no 7\no 5\nc _x001B_[1mOptimal solution: 5_x001B_[0m\nc _______________________________________________________________________________\nc \nc restarts               : 2905\nc conflicts              : 684945         (2434 /sec)\nc decisions              : 1303941        (0.00 % random) (4634 /sec)\nc propagations           : 946477227      (3363368 /sec)\nc conflict literals      : 37051596       (49.81 % deleted)\nc =======================[ UWrMaxSat resources usage ]===========================\nc Memory used            : 334.00 MB\nc CPU time               : 281.408 s\nc Wall clock time        : 282 s\nc OptExp Enc: Srt/BDD/Add: 15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1101010101000001000001000101010101010001000001100110110010100010011011000010001001001000010000100100001010011010100100001000100100100000100100100000100001000100100000100010010000100000100010001000001000001000100010000010000001000100010001010011001001000011000001010100100010001001000010000010001000100000100000010001000100000100010010001010000100110110000100010010010000010001001000010010100100101000010001000100010010010001001001001000010001001000000010000010010010000001000001001000000001001000001010001000100100100010010010010001000100100000001000001001100010010000000100000100101010101100000100000100001001000000010000100100001000100100001000100010010010001001001001000100100000001000010010000010010000001010000100100100001001000001001000010000100000100010010000100010010000100001000001000100010000010000010000100010001000001000001000001000100010000010001000010010000100001000010001001000100010010000100001000001000100010000010000010000010001000100010000010001001000100000100010010000100010010010000100001001000010100100101001000010001001001000001001001000001000010001001000001000100100001000001000100010000010000010001000100000100000010001000100010000010010010000010000010001001000100010010000100000100010001000001000000100010001000001000100100010000001000100100001000100100100000100010010000100101001001010000100010001000100100100010010010010000100010010000000100000100100100000010000010010000000010010000010100010001001001000100100100100010001001000000010000010001000100100000001000001000010001001000001000001000010010000000100001001000010001001000010001000100100100010010010010001001000000010000100100000100100000010100001001001000010010000010010000100001000001000100100001000100100001000010000010001000100000100000100001000100010000010000010000010001000100000100010000100100001000010000100010010001000100100001000010000010001000100000100000100000100010001000100000100010010001000001000100100001000100100100001000010010000101001001010010000100010010010000010010010000010000100010010000010001001000010000010001000100000100000100010001000001000000100010001000100000100100100000100000100010010001000100100001000001000100010000010000001000100010000010001001000100000010001001000010001001001000001000100100001001010010010100001000100010001001001000100100100100001000100100000001000001001001000000100000100100000000100100000101000100010010010001001001001000100010010000000100000100010001001000000010000010000100010010000010000010000100100000001000010010000100010010000100010001001001000100100100100010010000000100001001000001001000000101001001001010100001001001000000000100100010000010001000100100000001001000100010010000010010010000000100010001000000001000100010000001000100100000001000100010000001001010000001000100010000000010010001000001000100001001000100100010001001000001001001000000100010001000000001000100010000001000100010000000010001000100001000100010000100010001001000000100101001000100100010001001000010010010010000000100101\ns OPTIMUM FOUND\n</t>
  </si>
  <si>
    <t>c Parsing MaxSAT file...\nc ============================[  Problem Statistics ]============================\nc |  Number of variables:          9314                                         |\nc |  Number of clauses:           28022                                         |\nc ===============================================================================\nc Using SCIP solver, version 7.0.3, https://www.scipopt.org\nc scip_time = 0.000000\nc Starting SCIP solver in a separate thread (with time-limit = 0s) ...\nc Using COMiniSatPS SAT solver by Chanseok Oh (2016)\no 229\no 25\no 20\no 11\no 6\nc _x001B_[1mOptimal solution: 6_x001B_[0m\nc _______________________________________________________________________________\nc \nc restarts               : 45152\nc conflicts              : 13714925       (653 /sec)\nc decisions              : 21836043       (0.00 % random) (1040 /sec)\nc propagations           : 38844061283    (1850459 /sec)\nc conflict literals      : 805448825      (59.74 % deleted)\nc =======================[ UWrMaxSat resources usage ]===========================\nc Memory used            : 898.00 MB\nc CPU time               : 20991.6 s\nc Wall clock time        : 21051 s\nc OptExp Enc: Srt/BDD/Add: 21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10000000000000000000000000000000000000000000000000000000000000000000000001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1000100001000000000100010000000000000000000000000000100000000000000000000000000000000000000000000000000000000000000000000000000100010001001000000000000010001000100001000000000100010000000000000000000000000000010000000000000000000000000000000000000000000000000000000000000000000000000000000000000000000000000000000000000000000000000000000001000100010010000000000000100010001000010000000001000100000000000000000000000000000010000000000000000000000000000000000000000000000000001000100010010000001001000100001001001\ns OPTIMUM FOUND\n</t>
  </si>
  <si>
    <t>outfile: /home/ucapmwe/dist-benchmark/results/stim_circuit-03_colorcodes_midout-decoderDist-bposd-20260116_110446.662866_85062422.txt</t>
  </si>
  <si>
    <t>Trial:0 w:2; pErr:0.0000, weight 2 CW found:203</t>
  </si>
  <si>
    <t>Trial:0 w:3; pErr:0.0000, weight 3 CW found:198</t>
  </si>
  <si>
    <t>Trial:0 w:4; pErr:0.0000, weight 4 CW found:884</t>
  </si>
  <si>
    <t>Trial:0 w:7; Trial:1 w:5; pErr:0.0525, weight 5 CW found:3394</t>
  </si>
  <si>
    <t>Trial:0 w:7; Trial:2 w:6; pErr:0.1053, weight 6 CW found:4441</t>
  </si>
  <si>
    <t>outfile: /home/ucapmwe/dist-benchmark/results/stim_circuit-03_colorcodes_midout-dist_m4ri_CC-20260116_110445.857583_85062422.txt</t>
  </si>
  <si>
    <t>outfile: /home/ucapmwe/dist-benchmark/results/stim_circuit-03_colorcodes_midout-dist_m4ri_RW-20260116_091621.164342_85062422.txt</t>
  </si>
  <si>
    <t># step=0 row=1 minW=34 found cw of W=3: [2 3 15]\n# step=0 row=8 minW=3 found cw of W=2: [11 15]\n#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</si>
  <si>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row=2 minW=172 found cw of W=4: [2 5 11 26]\n# step=0 row=91 minW=4 found cw of W=3: [88 90 113]\n#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</si>
  <si>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row=19 minW=476 found cw of W=8: [24 25 37 59 61 65 83 87]\n# step=0 row=47 minW=8 found cw of W=6: [58 59 61 65 83 87]\n# step=0 row=50 minW=6 found cw of W=4: [61 63 83 87]\n#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</si>
  <si>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row=41 minW=1321 found cw of W=26: [48 49 55 58 150 151 171 175 179 230 253 262 269 285 342 348 356 512 591 696 779 782 825 922 1008 1139]\n# step=0 row=46 minW=26 found cw of W=25: [49 54 58 150 151 171 175 179 230 253 262 269 285 342 348 356 512 591 696 779 782 825 922 1008 1139]\n# step=0 row=47 minW=25 found cw of W=24: [55 56 150 151 171 175 179 230 253 262 269 285 342 348 356 512 591 696 779 782 825 922 1008 1139]\n# step=0 row=49 minW=24 found cw of W=23: [58 59 145 151 171 175 230 253 262 269 285 342 348 356 512 591 696 779 782 825 922 1008 1139]\n# step=0 row=58 minW=23 found cw of W=17: [68 69 81 105 157 160 165 230 253 262 294 342 348 356 399 472 571]\n# step=0 row=70 minW=17 found cw of W=10: [83 87 163 230 253 262 269 342 348 356]\n# step=0 row=183 minW=10 found cw of W=7: [217 220 222 317 423 508 597]\n# step=1 row=281 minW=7 found cw of W=6: [47 51 86 89 216 330]\n# step=10 row=27 minW=6 found cw of W=5: [30 38 171 178 271]\n#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</si>
  <si>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row=50 minW=2460 found cw of W=28: [62 64 80 81 96 97 108 213 242 258 368 441 486 490 579 790 908 917 962 1058 1181 1348 1500 1615 1617 1669 1973 1976]\n# step=0 row=76 minW=28 found cw of W=14: [55 56 80 81 92 94 96 97 108 213 242 286 290 368]\n# step=0 row=82 minW=14 found cw of W=13: [55 56 80 81 94 96 101 108 213 242 286 290 368]\n# step=0 row=107 minW=13 found cw of W=12: [124 131 134 166 168 278 290 336 585 640 720 724]\n# step=0 row=110 minW=12 found cw of W=11: [134 135 166 168 278 290 336 585 640 720 724]\n# step=0 row=135 minW=11 found cw of W=9: [124 127 134 163 278 290 585 720 724]\n# step=1 row=1014 minW=9 found cw of W=8: [821 825 930 990 1003 1076 1154 1161]\n# step=5 row=268 minW=8 found cw of W=7: [322 323 491 628 643 720 724]\n# step=5 row=429 minW=7 found cw of W=6: [491 502 628 643 720 724]\n#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</si>
  <si>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outfile: /home/ucapmwe/dist-benchmark/results/stim_circuit-03_colorcodes_midout-GurobiDist-20260116_091621.158609_85062422.txt</t>
  </si>
  <si>
    <t>outfile: /home/ucapmwe/dist-benchmark/results/stim_circuit-03_colorcodes_midout-MIPDist-SCIP-20260116_091620.068961_85062422.txt</t>
  </si>
  <si>
    <t>w:3; T:123ms; iterations:760</t>
  </si>
  <si>
    <t>w:4; T:3283ms; iterations:8023</t>
  </si>
  <si>
    <t>w:5; T:200680ms; iterations:649761</t>
  </si>
  <si>
    <t>w:6; T:28800042ms; iterations:23943501</t>
  </si>
  <si>
    <t>outfile: /home/ucapmwe/dist-benchmark/results/stim_circuit-03_colorcodes_midout-QDistEvol-20260116_091620.068985_85062422.txt</t>
  </si>
  <si>
    <t>Gen:0 Trial:0 w:2; pErr:0.0000, weight 2 CW found:8, wDict:2:10000</t>
  </si>
  <si>
    <t>Gen:0 Trial:0 w:3; pErr:0.0000, weight 3 CW found:70, wDict:3:9991,4:9</t>
  </si>
  <si>
    <t>Gen:0 Trial:0 w:4; pErr:0.0000, weight 4 CW found:242, wDict:4:9966,5:28,6:4,7:2</t>
  </si>
  <si>
    <t>Gen:0 Trial:0 w:5; pErr:0.0000, weight 5 CW found:403, wDict:5:9930,6:37,7:25,8:7,9:1</t>
  </si>
  <si>
    <t>Gen:0 Trial:0 w:9; Trial:1 w:7; Trial:4 w:6; pErr:0.0000, weight 6 CW found:324, wDict:6:9697,7:232,8:35,9:26,10:6,11:3,13:1</t>
  </si>
  <si>
    <t>outfile: /home/ucapmwe/dist-benchmark/results/stim_circuit-03_colorcodes_midout-QDistRndMW-20260116_091620.086350_85062422.txt</t>
  </si>
  <si>
    <t>Trial:0 w:2; pErr:0.0000, weight 2 CW found:20, wDict:2:9967,3:33</t>
  </si>
  <si>
    <t>Trial:0 w:3; pErr:0.0000, weight 3 CW found:647, wDict:3:9229,4:730,5:34,6:7</t>
  </si>
  <si>
    <t>Trial:0 w:4; pErr:0.0046, weight 4 CW found:4572, wDict:4:6692,5:2811,6:424,7:64,8:7,9:1,10:1</t>
  </si>
  <si>
    <t>Trial:0 w:5; pErr:0.2819, weight 5 CW found:20014, wDict:5:2905,6:4389,7:2035,8:542,9:104,10:19,11:5,12:1</t>
  </si>
  <si>
    <t>Trial:0 w:7; Trial:3 w:6; pErr:0.3610, weight 6 CW found:22971, wDict:6:872,7:2905,8:3318,9:1848,10:730,11:220,12:71,13:21,14:8,15:3,16:3,18:1</t>
  </si>
  <si>
    <t>method: magmaMinWeight</t>
  </si>
  <si>
    <t>nMax: 43</t>
  </si>
  <si>
    <t>outfile: /Users/markwebster/Dropbox/QuantumComputing/dev/codeDistance/results/stim_circuit-03_colorcodes_midout-magmaMinWeight-20260117_175811.658574_85062422.txt</t>
  </si>
  <si>
    <t>Magma V2.28-26    Sat Jan 17 2026 17:58:11 on Marks-MacBook-Air-2 [Seed = \n791513748]\nType ? for help.  Type &lt;Ctrl&gt;-D to quit.\n[[33, 1]] quantum code over GF(2^2), stabilised by:\nQuantum GF(2)-Additive code over GF(4) of length 33 with 34 generators.\nLower Bound: 1, Upper Bound: 17\nConstructed 2 distinct generator matrices\nTotal Ranks:     25  25 \nRelative Ranks:  25   8 \n(4 4 4 4 4 2 2 2 2 4 4 2 2 2 2 4 2 2 2 2 2 4 2 2 2 )\n(4 4 4 4 4 4 4 4 4 2 2 2 2 2 2 2 2 2 2 2 2 2 2 2 2 )\n     Discarding non-contributing rank 8 matrix\n     New Total Ranks:     25 \n     New Relative Ranks:  25 \nTime Taken: 0.00\nStarting search for low weight codewords... (reset timings)\nEnumerating using 1 generator at a time:\n     New codeword identified of weight 11, time 0.00\n     New codeword identified of weight 2, time 0.00\n   Completed Matrix  1:  lower =  2, upper =  2. Elapsed: 0.00s\nComputation complete \nFinal Results: lower = 2, upper = 2,\nTotal CPU time: 0.00, real time: 0.003\n2\n\nTotal time: 0.010 seconds, Total memory usage: 32.09MB\n</t>
  </si>
  <si>
    <t>Magma V2.28-26    Sat Jan 17 2026 17:58:11 on Marks-MacBook-Air-2 [Seed = \n623345822]\nType ? for help.  Type &lt;Ctrl&gt;-D to quit.\n[[171, 1]] quantum code over GF(2^2), stabilised by:\nQuantum GF(2)-Additive code over GF(4) of length 171 with 172 generators.\nLower Bound: 1, Upper Bound: 86\nConstructed 2 distinct generator matrices\nTotal Ranks:    138 138 \nRelative Ranks: 138  33 \n(4 4 4 4 4 4 4 4 4 4 4 4 4 4 4 4 4 4 4 4 4 4 4 4 2 4 4 4 4 2 4 2 4 2 2 2 2 2 2 2\n4 2 2 2 2 2 2 2 2 2 2 4 2 2 2 2 2 4 2 2 2 2 2 2 2 2 2 2 2 2 2 2 2 2 2 2 2 2 2 2 \n2 2 2 2 2 2 2 4 2 2 2 2 2 2 2 2 2 2 2 2 2 2 2 2 2 2 2 2 2 2 2 2 2 2 2 2 2 2 2 2 \n2 2 2 2 2 2 2 2 2 2 2 2 2 2 2 2 2 2 )\n(4 4 4 4 4 4 4 4 4 4 4 4 4 4 4 4 4 4 4 4 4 4 4 4 4 4 4 4 4 4 4 4 4 2 2 2 4 2 2 2\n2 2 2 2 2 2 2 2 2 2 2 2 2 2 2 2 2 2 2 2 2 2 2 2 2 2 2 2 2 2 2 2 2 2 2 2 2 2 2 2 \n2 2 2 2 2 2 2 2 2 2 2 2 2 2 2 2 2 2 2 2 2 2 2 2 2 2 2 2 2 2 2 2 2 2 2 2 2 2 2 2 \n2 2 2 2 2 2 2 2 2 2 2 2 2 2 2 2 2 2 )\n     Discarding non-contributing rank 33 matrix\n     New Total Ranks:    138 \n     New Relative Ranks: 138 \nTime Taken: 0.06\nStarting search for low weight codewords... (reset timings)\nEnumerating using 1 generator at a time:\n     Impurity detected of weight 39, time 0.00\n     Impurity detected of weight 6, time 0.00\n     Impurity detected of weight 3, time 0.00\n     New codeword identified of weight 6, time 0.00\n     New codeword identified of weight 5, time 0.00\n     New codeword identified of weight 4, time 0.00\n     New codeword identified of weight 3,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0.064\n3\n\nTotal time: 0.110 seconds, Total memory usage: 32.09MB\n</t>
  </si>
  <si>
    <t>Magma V2.28-26    Sat Jan 17 2026 17:58:12 on Marks-MacBook-Air-2 [Seed = \n1010735488]\nType ? for help.  Type &lt;Ctrl&gt;-D to quit.\n[[475, 1]] quantum code over GF(2^2), stabilised by:\nQuantum GF(2)-Additive code over GF(4) of length 475 with 476 generators.\nLower Bound: 1, Upper Bound: 238\nConstructed 2 distinct generator matrices\nTotal Ranks:    391 391 \nRelative Ranks: 391  84 \n(4 4 4 4 4 4 4 4 4 4 4 4 4 4 4 4 4 4 4 4 4 4 4 4 4 4 4 4 4 4 4 4 4 4 4 4 4 4 4 4\n4 4 4 4 4 4 2 4 4 4 4 4 4 4 2 4 4 4 2 2 4 4 4 4 4 4 2 4 4 2 4 2 2 2 4 2 2 4 4 2 \n4 2 2 4 2 4 2 2 2 2 2 4 4 2 2 2 2 4 4 2 2 2 2 2 2 2 4 2 4 2 2 2 2 4 2 4 2 2 2 4 \n2 2 2 2 2 2 2 2 2 2 4 2 2 2 2 2 2 2 2 2 2 2 2 2 2 2 2 2 2 2 2 2 2 2 2 2 2 4 2 2 \n2 2 2 2 2 2 2 2 2 2 2 4 2 4 2 2 2 2 2 2 2 2 2 2 2 2 2 2 2 2 2 2 2 2 2 2 2 2 2 2 \n2 2 2 2 2 2 2 2 2 2 2 2 2 2 2 2 2 2 2 2 2 2 2 2 2 2 2 2 2 2 2 2 2 2 2 2 2 2 2 2 \n2 2 2 2 2 2 2 2 2 4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2 )\n(4 4 4 4 4 4 4 4 4 4 4 4 4 4 4 4 4 4 4 4 4 4 4 4 4 4 4 4 4 4 4 4 4 4 4 4 4 4 4 4\n4 4 4 4 4 4 4 4 4 4 4 4 4 4 4 4 4 4 4 4 4 4 4 4 4 4 4 4 4 4 4 4 4 4 4 4 4 4 4 4 \n4 4 4 4 2 2 2 2 4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2 )\n     Discarding non-contributing rank 84 matrix\n     New Total Ranks:    391 \n     New Relative Ranks: 391 \nTime Taken: 1.17\nStarting search for low weight codewords... (reset timings)\nEnumerating using 1 generator at a time:\n     Impurity detected of weight 46, time 0.00\n     Impurity detected of weight 13, time 0.00\n     Impurity detected of weight 10, time 0.00\n     Impurity detected of weight 6, time 0.00\n     Impurity detected of weight 3, time 0.00\n     New codeword identified of weight 12, time 0.00\n     New codeword identified of weight 10, time 0.00\n     New codeword identified of weight 6, time 0.00\n     New codeword identified of weight 5, time 0.00\n   Completed Matrix  1:  lower =  2, upper =  5. Elapsed: 0.00s\nTermination predicted with 4 generators at matrix 1\nEnumerating using 2 generators at a time:\n     New codeword identified of weight 4, time 0.01\n   Completed Matrix  1:  lower =  3, upper =  4. Elapsed: 0.01s\nTermination predicted with 3 generators at matrix 1\nEnumerating using 3 generators at a time:\n   Completed Matrix  1:  lower =  4, upper =  4. Elapsed: 0.68s\nComputation complete \nFinal Results: lower = 4, upper = 4,\nTotal CPU time: 0.68, real time: 2.048\n4\n\nTotal time: 2.170 seconds, Total memory usage: 110.41MB\n</t>
  </si>
  <si>
    <t>Magma V2.28-26    Sat Jan 17 2026 17:59:39 on Marks-MacBook-Air-2 [Seed = \n2240226182]\nType ? for help.  Type &lt;Ctrl&gt;-D to quit.\n[[1320, 1]] quantum code over GF(2^2), stabilised by:\nQuantum GF(2)-Additive code over GF(4) of length 1320 with 1321 generators.\nLower Bound: 1, Upper Bound: 661\nConstructed 2 distinct generator matrices\nTotal Ranks:    1150 1150 \nRelative Ranks: 1150 170 \n(4 4 4 4 4 4 4 4 4 4 4 4 4 4 4 4 4 4 4 4 4 4 4 4 4 4 4 4 2 4 4 4 4 4 4 4 4 4 4 4\n4 4 4 4 4 4 4 4 4 4 4 4 4 4 4 4 4 4 4 4 4 4 4 4 4 4 4 4 4 4 4 4 4 4 4 4 4 4 4 4 \n4 4 4 4 4 4 4 4 4 4 4 4 4 4 4 2 2 2 4 4 4 2 4 4 2 4 4 4 4 4 4 4 4 4 4 4 4 4 4 4 \n4 4 2 4 4 4 4 2 2 4 4 2 4 4 2 2 4 4 2 4 4 4 4 2 2 4 2 4 2 4 4 4 4 2 2 2 2 4 4 2 \n2 4 4 4 2 4 2 2 2 2 2 4 2 2 2 2 4 2 2 4 2 4 2 2 2 2 4 2 2 2 2 2 4 4 4 2 4 2 2 4 \n2 2 2 2 2 2 4 4 2 2 2 2 2 2 2 4 4 4 2 2 4 4 2 2 2 2 2 2 2 2 2 4 2 2 2 2 2 2 2 2 \n2 2 2 2 2 2 2 2 2 2 2 2 4 4 2 2 2 2 2 2 2 2 2 2 2 2 2 2 2 2 2 2 2 2 4 2 4 2 2 2 \n2 2 2 2 2 2 2 2 2 2 2 2 2 2 2 2 2 2 2 2 2 2 2 2 2 2 2 4 2 2 2 2 2 2 2 2 2 2 2 2 \n2 2 2 2 2 2 2 2 2 2 2 2 2 2 4 2 2 2 2 2 2 2 2 2 2 4 2 2 2 2 2 2 2 2 2 2 2 2 2 2 \n2 2 2 2 2 2 2 2 2 2 2 2 2 2 2 2 2 2 2 2 2 2 2 2 2 2 2 2 2 2 2 2 2 2 2 2 2 2 2 2 \n2 2 2 2 2 2 2 2 2 2 2 2 2 2 2 2 2 2 2 2 2 2 2 2 2 2 2 2 4 2 2 2 2 2 2 2 2 2 2 2 \n2 2 2 2 2 2 2 2 2 2 4 2 2 2 2 2 2 2 2 2 2 2 2 2 2 2 2 2 2 2 2 2 2 2 2 2 2 2 2 2 \n2 2 2 2 2 2 2 2 2 2 2 2 2 2 2 2 2 2 2 2 2 2 2 2 2 2 2 2 2 2 2 2 2 2 2 2 4 2 2 2 \n2 2 2 2 2 2 2 2 2 2 2 2 2 2 2 2 2 2 2 2 2 2 2 2 2 2 2 2 2 2 2 2 2 2 2 2 2 2 2 2 \n2 2 2 2 2 2 2 2 2 2 2 2 2 2 2 2 2 2 2 2 2 2 2 2 2 2 2 2 2 2 2 2 2 2 2 2 2 2 2 2 \n2 2 2 2 2 2 2 2 2 2 2 2 2 2 2 2 2 2 2 2 2 2 2 2 2 2 4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2 2 2 4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2 )\n     Discarding non-contributing rank 170 matrix\n     New Total Ranks:    1150 \n     New Relative Ranks: 1150 \nTime Taken: 43.31\nStarting search for low weight codewords... (reset timings)\nEnumerating using 1 generator at a time:\n     Impurity detected of weight 12, time 0.00\n     Impurity detected of weight 6, time 0.00\n     Impurity detected of weight 4, time 0.00\n     New codeword identified of weight 30, time 0.00\n     New codeword identified of weight 17, time 0.00\n     Impurity detected of weight 3, time 0.00\n     Impurity detected of weight 2, time 0.00\n     New codeword identified of weight 16, time 0.00\n     New codeword identified of weight 10, time 0.00\n     New codeword identified of weight 7, time 0.00\n     New codeword identified of weight 6, time 0.01\n     New codeword identified of weight 5, time 0.01\n   Completed Matrix  1:  lower =  2, upper =  5. Elapsed: 0.03s\nTermination predicted with 4 generators at matrix 1\nEnumerating using 2 generators at a time:\n   Completed Matrix  1:  lower =  3, upper =  5. Elapsed: 0.32s\nTermination predicted at 36274 s (10h 4m 34s) with 4 generators at matrix 1\nEnumerating using 3 generators at a time:\n   Completed Matrix  1:  lower =  4, upper =  5. Elapsed: 38.39s\nTermination predicted at 11021 s (3h 3m 41s) with 4 generators at matrix 1\nEnumerating using 4 generators at a time:\n   Completed Matrix  1:  lower =  5, upper =  5. Elapsed: 15968.87s\nComputation complete \nFinal Results: lower = 5, upper = 5,\nTotal CPU time: 15968.93, real time: 16070.323\n5\n\nTotal time: 16014.530 seconds, Total memory usage: 1784.53MB\n</t>
  </si>
  <si>
    <t>nMin: 289</t>
  </si>
  <si>
    <t>outfile: /home/ucapmwe/dist-benchmark/results/stim_circuit-03_colorcodes_midout-ColourCodeDistStim-20260120_131505.805442_85062422.txt</t>
  </si>
  <si>
    <t>dont_explore_detection_event_sets_with_size_above=3,dont_explore_edges_with_degree_above=8; Found w:2</t>
  </si>
  <si>
    <t>dont_explore_detection_event_sets_with_size_above=3,dont_explore_edges_with_degree_above=33; Found w:3</t>
  </si>
  <si>
    <t>dont_explore_detection_event_sets_with_size_above=3,dont_explore_edges_with_degree_above=84; Found w:4</t>
  </si>
  <si>
    <t>dont_explore_detection_event_sets_with_size_above=3,dont_explore_edges_with_degree_above=170; Found w:5</t>
  </si>
  <si>
    <t>dont_explore_detection_event_sets_with_size_above=3,dont_explore_edges_with_degree_above=300; Found w:6</t>
  </si>
  <si>
    <t>nMax: 288</t>
  </si>
  <si>
    <t>outfile: /home/ucapmwe/dist-benchmark/results/stim_circuit-03_colorcodes_midout-GraphLikeErrorStim-20260120_131505.774552_85062422.txt</t>
  </si>
  <si>
    <t>outfile: /home/ucapmwe/dist-benchmark/results/stim_circuit-03_colorcodes_midout-UndetectableErrorStim-20260120_131503.056889_85062422.txt</t>
  </si>
  <si>
    <t>dont_explore_detection_event_sets_with_size_above=2,dont_explore_edges_with_degree_above=8; Found w:2; dont_explore_detection_event_sets_with_size_above=3,dont_explore_edges_with_degree_above=8; Found w:2; Breaking - same result 2 times</t>
  </si>
  <si>
    <t>dont_explore_detection_event_sets_with_size_above=2,dont_explore_edges_with_degree_above=33; Found w:3; dont_explore_detection_event_sets_with_size_above=3,dont_explore_edges_with_degree_above=33; Found w:3; Breaking - same result 2 times</t>
  </si>
  <si>
    <t>dont_explore_detection_event_sets_with_size_above=2,dont_explore_edges_with_degree_above=84; Found w:4; dont_explore_detection_event_sets_with_size_above=3,dont_explore_edges_with_degree_above=84; Found w:4; Breaking - same result 2 times</t>
  </si>
  <si>
    <t>dont_explore_detection_event_sets_with_size_above=2,dont_explore_edges_with_degree_above=170; Found w:5; dont_explore_detection_event_sets_with_size_above=3,dont_explore_edges_with_degree_above=170; Found w:5; Breaking - same result 2 times</t>
  </si>
  <si>
    <t>dont_explore_detection_event_sets_with_size_above=2,dont_explore_edges_with_degree_above=300; Found w:6; dont_explore_detection_event_sets_with_size_above=3,dont_explore_edges_with_degree_above=300; Found w:6; Breaking - same result 2 times</t>
  </si>
  <si>
    <t>Magma V2.28-26    Wed Jan 21 2026 15:11:37 on Marks-MacBook-Air-2 [Seed = \n2980590962]\nType ? for help.  Type &lt;Ctrl&gt;-D to quit.\n[[2459, 1]] quantum code over GF(2^2), stabilised by:\nQuantum GF(2)-Additive code over GF(4) of length 2459 with 2460 generators.\nLower Bound: 1, Upper Bound: 1230\nConstructed 2 distinct generator matrices\nTotal Ranks:    2159 2159 \nRelative Ranks: 2159 300 \n(4 4 4 4 4 4 4 4 4 4 4 4 4 4 4 4 4 4 4 4 4 4 4 4 4 4 4 4 4 4 4 4 4 4 4 4 4 4 4 4\n4 4 4 4 4 4 4 4 4 4 4 4 4 4 4 2 4 4 4 4 4 4 4 4 4 4 4 4 4 4 4 4 4 4 4 4 4 4 4 4 \n4 4 4 4 4 4 4 4 4 4 4 4 4 4 4 4 4 4 4 4 4 4 4 4 4 4 4 4 4 4 4 4 4 4 4 4 2 4 4 4 \n4 4 4 2 4 4 4 4 4 4 4 4 4 4 4 4 4 4 4 4 4 4 4 4 4 4 2 4 4 4 4 4 4 4 4 4 4 4 4 4 \n4 4 4 4 4 2 4 4 4 4 4 4 4 4 4 4 4 4 4 4 4 4 4 4 4 4 4 2 4 4 4 2 4 4 4 4 4 4 4 4 \n4 4 4 4 4 2 4 4 4 4 4 2 4 4 2 4 2 2 2 2 4 4 2 2 4 2 4 2 4 4 2 4 4 2 2 4 2 4 4 4 \n4 2 4 2 2 4 2 2 2 4 2 4 2 4 4 4 2 2 4 2 4 2 4 2 4 2 4 2 2 2 2 4 4 4 2 2 2 4 4 2 \n4 2 2 2 2 4 4 4 2 2 2 2 4 2 2 4 4 4 2 4 2 2 4 2 4 2 2 4 2 4 4 4 2 2 2 2 2 2 2 2 \n2 2 2 4 4 4 2 2 4 4 2 2 2 2 4 2 4 2 2 2 2 4 2 2 2 4 4 4 2 2 2 2 2 2 2 4 4 2 4 2 \n2 2 2 2 2 2 2 2 2 2 2 4 2 2 2 2 2 4 4 2 2 2 2 4 2 4 4 4 2 4 2 2 2 2 2 2 4 2 4 2 \n2 2 4 2 4 2 2 2 2 4 2 2 2 2 2 2 2 2 2 2 2 2 2 2 2 2 2 2 4 2 2 2 2 2 2 2 2 2 4 2 \n2 2 2 2 2 2 2 2 4 2 2 2 2 2 2 2 2 2 2 2 2 2 4 2 2 2 4 2 2 2 2 2 2 4 4 2 2 2 2 4 \n2 2 2 2 2 2 2 2 4 2 2 2 2 2 2 2 2 2 2 2 2 2 2 2 2 2 2 2 2 2 4 2 2 2 2 2 4 4 2 2 \n2 2 2 2 2 2 2 2 2 2 2 2 4 2 2 2 2 2 2 2 2 2 2 2 2 2 2 2 2 2 4 2 2 2 2 2 2 2 2 2 \n2 2 2 2 2 2 2 2 2 2 2 2 2 2 2 2 2 2 2 2 2 2 2 2 2 2 2 2 2 2 2 2 2 2 2 4 2 2 2 2 \n2 2 2 2 2 4 2 2 2 2 2 4 2 2 2 2 2 2 2 2 2 2 2 2 2 2 2 2 2 2 2 2 2 2 2 4 2 2 2 2 \n2 2 2 2 2 2 2 2 2 2 2 2 2 2 2 2 2 2 4 2 2 2 2 2 2 2 2 2 2 2 2 2 2 2 2 2 2 2 2 2 \n2 2 2 2 2 2 2 2 2 2 2 2 2 2 2 2 2 2 2 2 2 2 2 2 2 2 2 2 2 2 2 2 2 2 2 2 2 2 2 2 \n2 2 2 2 2 2 2 2 2 2 2 2 4 2 2 2 2 2 2 2 2 2 2 2 2 2 2 2 4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4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4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2 4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2 )\n     Discarding non-contributing rank 300 matrix\n     New Total Ranks:    2159 \n     New Relative Ranks: 2159 \nTime Taken: 706.95\nStarting search for low weight codewords... (reset timings)\nEnumerating using 1 generator at a time:\n     Impurity detected of weight 16, time 0.00\n     Impurity detected of weight 3, time 0.00\n     New codeword identified of weight 22, time 0.00\n     Impurity detected of weight 2, time 0.00\n     New codeword identified of weight 18, time 0.00\n     New codeword identified of weight 11, time 0.00\n   Completed Matrix  1:  lower =  2, upper = 11. Elapsed: 0.18s\nTermination predicted with 10 generators at matrix 1\nEnumerating using 2 generators at a time:\n     New codeword identified of weight 10, time 0.20\n     New codeword identified of weight 8, time 0.25\n     New codeword identified of weight 7, time 0.32\n     New codeword identified of weight 6, time 7.63\n   Completed Matrix  1:  lower =  3, upper =  6. Elapsed: 9.93s\nTermination predicted at 10^9 s (52y 243d 16h 15m 10s) with 5 generators at \nmatrix 1\nEnumerating using 3 generators at a time:\n   Completed Matrix  1:  lower =  4, upper =  6. Elapsed: 479.15s\nTermination predicted at 10^8 s (3y 194d 13h 7m 3s) with 5 generators at matrix \n1\nEnumerating using 4 generators at a time:\n</t>
  </si>
  <si>
    <t>dMinSum</t>
  </si>
  <si>
    <t>nMax completed</t>
  </si>
  <si>
    <t>Avg Delta d</t>
  </si>
  <si>
    <t>Exact - Processing Time/Succ Trial</t>
  </si>
  <si>
    <t>Heuristic - Processing Time/Succ Trial</t>
  </si>
  <si>
    <t>Heuristic - Success Rate per Trial</t>
  </si>
  <si>
    <t>Heuristic - Average Delta d</t>
  </si>
  <si>
    <t>Processing Time/Successful Trial</t>
  </si>
  <si>
    <t>Success Rate</t>
  </si>
  <si>
    <t>GF4blockRep: 2</t>
  </si>
  <si>
    <t>regroupPerm: 1</t>
  </si>
  <si>
    <t>sMut: 0.2</t>
  </si>
  <si>
    <t>tabuLength: 0</t>
  </si>
  <si>
    <t>swapPivot: 1</t>
  </si>
  <si>
    <t>swapBlockorder: 0</t>
  </si>
  <si>
    <t>pMut: 6.0</t>
  </si>
  <si>
    <t>outfile: /home/ucapmwe/dist-benchmark/results/stim_circuit-03_colorcodes_midout-QDistRndMW-20260215_181908.091651_85062422.txt</t>
  </si>
  <si>
    <t>Trial:0 w:2; pErr:0.0000, weight 2 CW found:20, wDict:2:9969,3:31</t>
  </si>
  <si>
    <t>Trial:0 w:3; pErr:0.0000, weight 3 CW found:746, wDict:3:9241,4:692,5:65,6:2</t>
  </si>
  <si>
    <t>Trial:0 w:4; pErr:0.0042, weight 4 CW found:4510, wDict:4:6742,5:2752,6:435,7:58,8:11,9:2</t>
  </si>
  <si>
    <t>Trial:0 w:6; Trial:4 w:5; pErr:0.2841, weight 5 CW found:19984, wDict:5:2860,6:4424,7:2052,8:519,9:106,10:34,11:2,12:3</t>
  </si>
  <si>
    <t>Trial:0 w:6; pErr:0.3603, weight 6 CW found:22835, wDict:6:868,7:2790,8:3267,9:2006,10:725,11:234,12:84,13:16,14:5,15:2,17:1,18:2</t>
  </si>
  <si>
    <t>LOCheck: 0</t>
  </si>
  <si>
    <t>pMutScale: 50</t>
  </si>
  <si>
    <t>outfile: /home/ucapmwe/dist-benchmark/results/stim_circuit-03_colorcodes_midout-QDistEvol-20260220_184925.010605_85062422.txt</t>
  </si>
  <si>
    <t>Gen:0 Trial:0 w:3; pErr:0.0000, weight 3 CW found:77, wDict:3:9993,4:7</t>
  </si>
  <si>
    <t>Gen:0 Trial:0 w:4; pErr:0.0000, weight 4 CW found:437, wDict:4:9897,5:98,6:4,7:1</t>
  </si>
  <si>
    <t>Gen:0 Trial:0 w:7; Trial:3 w:6; Trial:5 w:5; pErr:0.0007, weight 5 CW found:5890, wDict:5:8727,6:1170,7:87,8:15,9:1</t>
  </si>
  <si>
    <t>Gen:0 Trial:0 w:6; pErr:0.0649, weight 6 CW found:10861, wDict:6:6220,7:2861,8:731,9:147,10:34,11:6,12:1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</si>
</sst>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analysis!$GO$68:$GO$200</c:f>
              <c:numCache>
                <c:formatCode>0.0E+00</c:formatCode>
                <c:ptCount val="133"/>
                <c:pt idx="0">
                  <c:v>2.7512993663549399E-2</c:v>
                </c:pt>
                <c:pt idx="1">
                  <c:v>7.4008594267070293E-2</c:v>
                </c:pt>
                <c:pt idx="2">
                  <c:v>0.33227230608463199</c:v>
                </c:pt>
                <c:pt idx="3">
                  <c:v>16.1788858957588</c:v>
                </c:pt>
                <c:pt idx="4">
                  <c:v>1929.89831087365</c:v>
                </c:pt>
              </c:numCache>
            </c:numRef>
          </c:yVal>
          <c:smooth val="0"/>
          <c:extLst>
            <c:ext xmlns:c16="http://schemas.microsoft.com/office/drawing/2014/chart" uri="{C3380CC4-5D6E-409C-BE32-E72D297353CC}">
              <c16:uniqueId val="{00000000-7777-0341-AE50-0BB1AFCF9CC4}"/>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analysis!$GP$68:$GP$200</c:f>
              <c:numCache>
                <c:formatCode>0.0E+00</c:formatCode>
                <c:ptCount val="133"/>
                <c:pt idx="0">
                  <c:v>2.9424435459077299E-2</c:v>
                </c:pt>
                <c:pt idx="1">
                  <c:v>0.20817310921847801</c:v>
                </c:pt>
                <c:pt idx="2">
                  <c:v>3.3656012425199102</c:v>
                </c:pt>
                <c:pt idx="3">
                  <c:v>200.896356576122</c:v>
                </c:pt>
                <c:pt idx="4">
                  <c:v>#N/A</c:v>
                </c:pt>
              </c:numCache>
            </c:numRef>
          </c:yVal>
          <c:smooth val="0"/>
          <c:extLst>
            <c:ext xmlns:c16="http://schemas.microsoft.com/office/drawing/2014/chart" uri="{C3380CC4-5D6E-409C-BE32-E72D297353CC}">
              <c16:uniqueId val="{00000001-7777-0341-AE50-0BB1AFCF9CC4}"/>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analysis!$GQ$68:$GQ$200</c:f>
              <c:numCache>
                <c:formatCode>0.0E+00</c:formatCode>
                <c:ptCount val="133"/>
                <c:pt idx="0">
                  <c:v>1.7176060006022401E-2</c:v>
                </c:pt>
                <c:pt idx="1">
                  <c:v>0.29100400768220402</c:v>
                </c:pt>
                <c:pt idx="2">
                  <c:v>3.5061257351189798</c:v>
                </c:pt>
                <c:pt idx="3">
                  <c:v>282.82248129695603</c:v>
                </c:pt>
                <c:pt idx="4">
                  <c:v>21051.9705703156</c:v>
                </c:pt>
              </c:numCache>
            </c:numRef>
          </c:yVal>
          <c:smooth val="0"/>
          <c:extLst>
            <c:ext xmlns:c16="http://schemas.microsoft.com/office/drawing/2014/chart" uri="{C3380CC4-5D6E-409C-BE32-E72D297353CC}">
              <c16:uniqueId val="{00000002-7777-0341-AE50-0BB1AFCF9CC4}"/>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analysis!$GR$68:$GR$200</c:f>
              <c:numCache>
                <c:formatCode>0.0E+00</c:formatCode>
                <c:ptCount val="133"/>
                <c:pt idx="0">
                  <c:v>2.1901873871684002E-2</c:v>
                </c:pt>
                <c:pt idx="1">
                  <c:v>4.50808415189385E-2</c:v>
                </c:pt>
                <c:pt idx="2">
                  <c:v>9.3786180019378607E-2</c:v>
                </c:pt>
                <c:pt idx="3">
                  <c:v>0.29212403949350102</c:v>
                </c:pt>
                <c:pt idx="4">
                  <c:v>2.2061284091323601</c:v>
                </c:pt>
              </c:numCache>
            </c:numRef>
          </c:yVal>
          <c:smooth val="0"/>
          <c:extLst>
            <c:ext xmlns:c16="http://schemas.microsoft.com/office/drawing/2014/chart" uri="{C3380CC4-5D6E-409C-BE32-E72D297353CC}">
              <c16:uniqueId val="{00000003-7777-0341-AE50-0BB1AFCF9CC4}"/>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analysis!$GS$68:$GS$200</c:f>
              <c:numCache>
                <c:formatCode>0.0E+00</c:formatCode>
                <c:ptCount val="133"/>
                <c:pt idx="0">
                  <c:v>8.0064042005687897E-2</c:v>
                </c:pt>
                <c:pt idx="1">
                  <c:v>0.18317616599961101</c:v>
                </c:pt>
                <c:pt idx="2">
                  <c:v>2.58922641701065</c:v>
                </c:pt>
                <c:pt idx="3">
                  <c:v>16074.7688292079</c:v>
                </c:pt>
                <c:pt idx="4">
                  <c:v>#N/A</c:v>
                </c:pt>
              </c:numCache>
            </c:numRef>
          </c:yVal>
          <c:smooth val="0"/>
          <c:extLst>
            <c:ext xmlns:c16="http://schemas.microsoft.com/office/drawing/2014/chart" uri="{C3380CC4-5D6E-409C-BE32-E72D297353CC}">
              <c16:uniqueId val="{00000004-7777-0341-AE50-0BB1AFCF9CC4}"/>
            </c:ext>
          </c:extLst>
        </c:ser>
        <c:dLbls>
          <c:showLegendKey val="0"/>
          <c:showVal val="0"/>
          <c:showCatName val="0"/>
          <c:showSerName val="0"/>
          <c:showPercent val="0"/>
          <c:showBubbleSize val="0"/>
        </c:dLbls>
        <c:axId val="1782197904"/>
        <c:axId val="1782199616"/>
      </c:scatterChart>
      <c:valAx>
        <c:axId val="1782197904"/>
        <c:scaling>
          <c:orientation val="minMax"/>
          <c:max val="1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analysis!$GU$68:$GU$200</c:f>
              <c:numCache>
                <c:formatCode>0.0E+00</c:formatCode>
                <c:ptCount val="133"/>
                <c:pt idx="0">
                  <c:v>1.2445853682482795E-4</c:v>
                </c:pt>
                <c:pt idx="1">
                  <c:v>4.0231444783723948E-4</c:v>
                </c:pt>
                <c:pt idx="2">
                  <c:v>1.9810648558501631E-3</c:v>
                </c:pt>
                <c:pt idx="3">
                  <c:v>2.2965824218154265E-2</c:v>
                </c:pt>
                <c:pt idx="4">
                  <c:v>0.26528489929924309</c:v>
                </c:pt>
              </c:numCache>
            </c:numRef>
          </c:yVal>
          <c:smooth val="0"/>
          <c:extLst>
            <c:ext xmlns:c16="http://schemas.microsoft.com/office/drawing/2014/chart" uri="{C3380CC4-5D6E-409C-BE32-E72D297353CC}">
              <c16:uniqueId val="{00000000-A884-5549-BBCF-536C5E608ED8}"/>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analysis!$GV$68:$GV$200</c:f>
              <c:numCache>
                <c:formatCode>0.0E+00</c:formatCode>
                <c:ptCount val="133"/>
                <c:pt idx="0">
                  <c:v>1.9923149505630101E-4</c:v>
                </c:pt>
                <c:pt idx="1">
                  <c:v>5.8949729663484941E-4</c:v>
                </c:pt>
                <c:pt idx="2">
                  <c:v>1.71682858623009E-3</c:v>
                </c:pt>
                <c:pt idx="3">
                  <c:v>7.752394233886295E-3</c:v>
                </c:pt>
                <c:pt idx="4">
                  <c:v>3.6668766448513662E-2</c:v>
                </c:pt>
              </c:numCache>
            </c:numRef>
          </c:yVal>
          <c:smooth val="0"/>
          <c:extLst>
            <c:ext xmlns:c16="http://schemas.microsoft.com/office/drawing/2014/chart" uri="{C3380CC4-5D6E-409C-BE32-E72D297353CC}">
              <c16:uniqueId val="{00000001-A884-5549-BBCF-536C5E608ED8}"/>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analysis!$GW$68:$GW$200</c:f>
              <c:numCache>
                <c:formatCode>0.0E+00</c:formatCode>
                <c:ptCount val="133"/>
                <c:pt idx="0">
                  <c:v>1.6181853971605307E-3</c:v>
                </c:pt>
                <c:pt idx="1">
                  <c:v>6.6046715961567814E-3</c:v>
                </c:pt>
                <c:pt idx="2">
                  <c:v>2.1875038716925761E-2</c:v>
                </c:pt>
                <c:pt idx="3">
                  <c:v>8.2160559186542539E-2</c:v>
                </c:pt>
                <c:pt idx="4">
                  <c:v>0.23336798972796235</c:v>
                </c:pt>
              </c:numCache>
            </c:numRef>
          </c:yVal>
          <c:smooth val="0"/>
          <c:extLst>
            <c:ext xmlns:c16="http://schemas.microsoft.com/office/drawing/2014/chart" uri="{C3380CC4-5D6E-409C-BE32-E72D297353CC}">
              <c16:uniqueId val="{00000002-A884-5549-BBCF-536C5E608ED8}"/>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analysis!$GX$68:$GX$200</c:f>
              <c:numCache>
                <c:formatCode>0.0E+00</c:formatCode>
                <c:ptCount val="133"/>
                <c:pt idx="0">
                  <c:v>8.4345266222953796E-3</c:v>
                </c:pt>
                <c:pt idx="1">
                  <c:v>3.4055508673191001E-2</c:v>
                </c:pt>
                <c:pt idx="2">
                  <c:v>0.10841768980026199</c:v>
                </c:pt>
                <c:pt idx="3">
                  <c:v>0.31770424544811199</c:v>
                </c:pt>
                <c:pt idx="4">
                  <c:v>0.64640571922063805</c:v>
                </c:pt>
              </c:numCache>
            </c:numRef>
          </c:yVal>
          <c:smooth val="0"/>
          <c:extLst>
            <c:ext xmlns:c16="http://schemas.microsoft.com/office/drawing/2014/chart" uri="{C3380CC4-5D6E-409C-BE32-E72D297353CC}">
              <c16:uniqueId val="{00000003-A884-5549-BBCF-536C5E608ED8}"/>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analysis!$GY$68:$GY$200</c:f>
              <c:numCache>
                <c:formatCode>0.0E+00</c:formatCode>
                <c:ptCount val="133"/>
                <c:pt idx="0">
                  <c:v>7.5287371873855504E-3</c:v>
                </c:pt>
                <c:pt idx="1">
                  <c:v>3.4765690565109197E-2</c:v>
                </c:pt>
                <c:pt idx="2">
                  <c:v>0.123513966798782</c:v>
                </c:pt>
                <c:pt idx="3">
                  <c:v>0.53221753984689701</c:v>
                </c:pt>
                <c:pt idx="4">
                  <c:v>2.16158873587846</c:v>
                </c:pt>
              </c:numCache>
            </c:numRef>
          </c:yVal>
          <c:smooth val="0"/>
          <c:extLst>
            <c:ext xmlns:c16="http://schemas.microsoft.com/office/drawing/2014/chart" uri="{C3380CC4-5D6E-409C-BE32-E72D297353CC}">
              <c16:uniqueId val="{00000004-A884-5549-BBCF-536C5E608ED8}"/>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9</c:v>
                </c:pt>
                <c:pt idx="1">
                  <c:v>23</c:v>
                </c:pt>
                <c:pt idx="2">
                  <c:v>43</c:v>
                </c:pt>
                <c:pt idx="3">
                  <c:v>69</c:v>
                </c:pt>
                <c:pt idx="4">
                  <c:v>101</c:v>
                </c:pt>
              </c:numCache>
            </c:numRef>
          </c:xVal>
          <c:yVal>
            <c:numRef>
              <c:f>analysis!$GZ$68:$GZ$200</c:f>
              <c:numCache>
                <c:formatCode>0.0E+00</c:formatCode>
                <c:ptCount val="133"/>
                <c:pt idx="0">
                  <c:v>3.8325600326061249E-3</c:v>
                </c:pt>
                <c:pt idx="1">
                  <c:v>2.21646390855312E-2</c:v>
                </c:pt>
                <c:pt idx="2">
                  <c:v>6.5713517367839494E-2</c:v>
                </c:pt>
                <c:pt idx="3">
                  <c:v>0.26382409408688501</c:v>
                </c:pt>
                <c:pt idx="4">
                  <c:v>1.0845265835523601</c:v>
                </c:pt>
              </c:numCache>
            </c:numRef>
          </c:yVal>
          <c:smooth val="0"/>
          <c:extLst>
            <c:ext xmlns:c16="http://schemas.microsoft.com/office/drawing/2014/chart" uri="{C3380CC4-5D6E-409C-BE32-E72D297353CC}">
              <c16:uniqueId val="{00000005-A884-5549-BBCF-536C5E608ED8}"/>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0344925634295719"/>
          <c:y val="0.4819868219597550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9</c:v>
                </c:pt>
                <c:pt idx="1">
                  <c:v>23</c:v>
                </c:pt>
                <c:pt idx="2">
                  <c:v>43</c:v>
                </c:pt>
                <c:pt idx="3">
                  <c:v>69</c:v>
                </c:pt>
                <c:pt idx="4">
                  <c:v>101</c:v>
                </c:pt>
              </c:numCache>
            </c:numRef>
          </c:xVal>
          <c:yVal>
            <c:numRef>
              <c:f>analysis!$HI$68:$HI$200</c:f>
              <c:numCache>
                <c:formatCode>0.0%</c:formatCode>
                <c:ptCount val="133"/>
                <c:pt idx="0">
                  <c:v>0.99690000000000001</c:v>
                </c:pt>
                <c:pt idx="1">
                  <c:v>0.92410000000000003</c:v>
                </c:pt>
                <c:pt idx="2">
                  <c:v>0.67420000000000002</c:v>
                </c:pt>
                <c:pt idx="3">
                  <c:v>0.28599999999999998</c:v>
                </c:pt>
                <c:pt idx="4">
                  <c:v>8.6800000000000002E-2</c:v>
                </c:pt>
              </c:numCache>
            </c:numRef>
          </c:yVal>
          <c:smooth val="0"/>
          <c:extLst>
            <c:ext xmlns:c16="http://schemas.microsoft.com/office/drawing/2014/chart" uri="{C3380CC4-5D6E-409C-BE32-E72D297353CC}">
              <c16:uniqueId val="{00000000-813D-254C-B3A0-E3D43237544E}"/>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9</c:v>
                </c:pt>
                <c:pt idx="1">
                  <c:v>23</c:v>
                </c:pt>
                <c:pt idx="2">
                  <c:v>43</c:v>
                </c:pt>
                <c:pt idx="3">
                  <c:v>69</c:v>
                </c:pt>
                <c:pt idx="4">
                  <c:v>101</c:v>
                </c:pt>
              </c:numCache>
            </c:numRef>
          </c:xVal>
          <c:yVal>
            <c:numRef>
              <c:f>analysis!$HJ$68:$HJ$200</c:f>
              <c:numCache>
                <c:formatCode>0.0%</c:formatCode>
                <c:ptCount val="133"/>
                <c:pt idx="0">
                  <c:v>1</c:v>
                </c:pt>
                <c:pt idx="1">
                  <c:v>0.99929999999999997</c:v>
                </c:pt>
                <c:pt idx="2">
                  <c:v>0.98970000000000002</c:v>
                </c:pt>
                <c:pt idx="3">
                  <c:v>0.87270000000000003</c:v>
                </c:pt>
                <c:pt idx="4">
                  <c:v>0.622</c:v>
                </c:pt>
              </c:numCache>
            </c:numRef>
          </c:yVal>
          <c:smooth val="0"/>
          <c:extLst>
            <c:ext xmlns:c16="http://schemas.microsoft.com/office/drawing/2014/chart" uri="{C3380CC4-5D6E-409C-BE32-E72D297353CC}">
              <c16:uniqueId val="{00000001-813D-254C-B3A0-E3D43237544E}"/>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9</c:v>
                </c:pt>
                <c:pt idx="1">
                  <c:v>23</c:v>
                </c:pt>
                <c:pt idx="2">
                  <c:v>43</c:v>
                </c:pt>
                <c:pt idx="3">
                  <c:v>69</c:v>
                </c:pt>
                <c:pt idx="4">
                  <c:v>101</c:v>
                </c:pt>
              </c:numCache>
            </c:numRef>
          </c:xVal>
          <c:yVal>
            <c:numRef>
              <c:f>analysis!$HK$68:$HK$200</c:f>
              <c:numCache>
                <c:formatCode>0.0%</c:formatCode>
                <c:ptCount val="133"/>
                <c:pt idx="0">
                  <c:v>0.87080000000000002</c:v>
                </c:pt>
                <c:pt idx="1">
                  <c:v>0.97409999999999997</c:v>
                </c:pt>
                <c:pt idx="2">
                  <c:v>0.84589999999999999</c:v>
                </c:pt>
                <c:pt idx="3">
                  <c:v>0.68640000000000001</c:v>
                </c:pt>
                <c:pt idx="4">
                  <c:v>0.50990000000000002</c:v>
                </c:pt>
              </c:numCache>
            </c:numRef>
          </c:yVal>
          <c:smooth val="0"/>
          <c:extLst>
            <c:ext xmlns:c16="http://schemas.microsoft.com/office/drawing/2014/chart" uri="{C3380CC4-5D6E-409C-BE32-E72D297353CC}">
              <c16:uniqueId val="{00000002-813D-254C-B3A0-E3D43237544E}"/>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9</c:v>
                </c:pt>
                <c:pt idx="1">
                  <c:v>23</c:v>
                </c:pt>
                <c:pt idx="2">
                  <c:v>43</c:v>
                </c:pt>
                <c:pt idx="3">
                  <c:v>69</c:v>
                </c:pt>
                <c:pt idx="4">
                  <c:v>101</c:v>
                </c:pt>
              </c:numCache>
            </c:numRef>
          </c:xVal>
          <c:yVal>
            <c:numRef>
              <c:f>analysis!$HL$68:$HL$200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3-813D-254C-B3A0-E3D43237544E}"/>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9</c:v>
                </c:pt>
                <c:pt idx="1">
                  <c:v>23</c:v>
                </c:pt>
                <c:pt idx="2">
                  <c:v>43</c:v>
                </c:pt>
                <c:pt idx="3">
                  <c:v>69</c:v>
                </c:pt>
                <c:pt idx="4">
                  <c:v>101</c:v>
                </c:pt>
              </c:numCache>
            </c:numRef>
          </c:xVal>
          <c:yVal>
            <c:numRef>
              <c:f>analysis!$HM$68:$HM$200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4-813D-254C-B3A0-E3D43237544E}"/>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9</c:v>
                </c:pt>
                <c:pt idx="1">
                  <c:v>23</c:v>
                </c:pt>
                <c:pt idx="2">
                  <c:v>43</c:v>
                </c:pt>
                <c:pt idx="3">
                  <c:v>69</c:v>
                </c:pt>
                <c:pt idx="4">
                  <c:v>101</c:v>
                </c:pt>
              </c:numCache>
            </c:numRef>
          </c:xVal>
          <c:yVal>
            <c:numRef>
              <c:f>analysis!$HN$68:$HN$200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5-813D-254C-B3A0-E3D43237544E}"/>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layout>
        <c:manualLayout>
          <c:xMode val="edge"/>
          <c:yMode val="edge"/>
          <c:x val="0.21806649168853889"/>
          <c:y val="0.46180555555555558"/>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9</c:v>
                </c:pt>
                <c:pt idx="1">
                  <c:v>23</c:v>
                </c:pt>
                <c:pt idx="2">
                  <c:v>43</c:v>
                </c:pt>
                <c:pt idx="3">
                  <c:v>69</c:v>
                </c:pt>
                <c:pt idx="4">
                  <c:v>101</c:v>
                </c:pt>
              </c:numCache>
            </c:numRef>
          </c:xVal>
          <c:yVal>
            <c:numRef>
              <c:f>analysis!$GG$68:$GG$200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0-4F4B-F949-883D-BF545231CD56}"/>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9</c:v>
                </c:pt>
                <c:pt idx="1">
                  <c:v>23</c:v>
                </c:pt>
                <c:pt idx="2">
                  <c:v>43</c:v>
                </c:pt>
                <c:pt idx="3">
                  <c:v>69</c:v>
                </c:pt>
                <c:pt idx="4">
                  <c:v>101</c:v>
                </c:pt>
              </c:numCache>
            </c:numRef>
          </c:xVal>
          <c:yVal>
            <c:numRef>
              <c:f>analysis!$GH$68:$GH$200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1-4F4B-F949-883D-BF545231CD56}"/>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9</c:v>
                </c:pt>
                <c:pt idx="1">
                  <c:v>23</c:v>
                </c:pt>
                <c:pt idx="2">
                  <c:v>43</c:v>
                </c:pt>
                <c:pt idx="3">
                  <c:v>69</c:v>
                </c:pt>
                <c:pt idx="4">
                  <c:v>101</c:v>
                </c:pt>
              </c:numCache>
            </c:numRef>
          </c:xVal>
          <c:yVal>
            <c:numRef>
              <c:f>analysis!$GI$68:$GI$200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2-4F4B-F949-883D-BF545231CD56}"/>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9</c:v>
                </c:pt>
                <c:pt idx="1">
                  <c:v>23</c:v>
                </c:pt>
                <c:pt idx="2">
                  <c:v>43</c:v>
                </c:pt>
                <c:pt idx="3">
                  <c:v>69</c:v>
                </c:pt>
                <c:pt idx="4">
                  <c:v>101</c:v>
                </c:pt>
              </c:numCache>
            </c:numRef>
          </c:xVal>
          <c:yVal>
            <c:numRef>
              <c:f>analysis!$GJ$68:$GJ$200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3-4F4B-F949-883D-BF545231CD56}"/>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9</c:v>
                </c:pt>
                <c:pt idx="1">
                  <c:v>23</c:v>
                </c:pt>
                <c:pt idx="2">
                  <c:v>43</c:v>
                </c:pt>
                <c:pt idx="3">
                  <c:v>69</c:v>
                </c:pt>
                <c:pt idx="4">
                  <c:v>101</c:v>
                </c:pt>
              </c:numCache>
            </c:numRef>
          </c:xVal>
          <c:yVal>
            <c:numRef>
              <c:f>analysis!$GK$68:$GK$200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4-4F4B-F949-883D-BF545231CD56}"/>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9</c:v>
                </c:pt>
                <c:pt idx="1">
                  <c:v>23</c:v>
                </c:pt>
                <c:pt idx="2">
                  <c:v>43</c:v>
                </c:pt>
                <c:pt idx="3">
                  <c:v>69</c:v>
                </c:pt>
                <c:pt idx="4">
                  <c:v>101</c:v>
                </c:pt>
              </c:numCache>
            </c:numRef>
          </c:xVal>
          <c:yVal>
            <c:numRef>
              <c:f>analysis!$GL$68:$GL$200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5-4F4B-F949-883D-BF545231CD56}"/>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21884888054473614"/>
          <c:y val="4.2967519685039368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A733E271-C033-1C45-B69F-114D959D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6ECA9909-6629-624D-9946-99AB83F78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E1D82DDA-11B1-C74D-BD38-45BC9F107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0EF642B9-69AF-5646-A811-7A27D9ACA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4874-9186-3A4C-B660-46F36AD4816E}">
  <dimension ref="A1:HN190"/>
  <sheetViews>
    <sheetView tabSelected="1" topLeftCell="C6" zoomScaleNormal="100" workbookViewId="0">
      <selection activeCell="I18" sqref="I18"/>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09 qc_CC_midout.xlsx</v>
      </c>
      <c r="B1" s="2"/>
      <c r="U1" s="3"/>
      <c r="V1" s="3"/>
    </row>
    <row r="2" spans="1:26" x14ac:dyDescent="0.2">
      <c r="Y2" s="4"/>
      <c r="Z2" s="5"/>
    </row>
    <row r="3" spans="1:26" x14ac:dyDescent="0.2">
      <c r="A3" s="3" t="s">
        <v>104</v>
      </c>
      <c r="B3" s="18">
        <f ca="1">COUNT(AB:AB)</f>
        <v>5</v>
      </c>
      <c r="C3" s="3" t="s">
        <v>116</v>
      </c>
      <c r="D3" s="18">
        <f ca="1">MAX(B68:B300)</f>
        <v>101</v>
      </c>
      <c r="E3" s="3" t="s">
        <v>117</v>
      </c>
      <c r="F3" s="18">
        <f ca="1">MIN(B68:B300)</f>
        <v>9</v>
      </c>
      <c r="G3" s="6" t="s">
        <v>220</v>
      </c>
      <c r="H3">
        <f ca="1">SUM(C68:C300)</f>
        <v>20</v>
      </c>
      <c r="M3" s="6" t="s">
        <v>105</v>
      </c>
      <c r="N3">
        <f>8*60*60</f>
        <v>28800</v>
      </c>
      <c r="Y3" s="4"/>
      <c r="Z3" s="5"/>
    </row>
    <row r="4" spans="1:26" x14ac:dyDescent="0.2">
      <c r="M4" t="s">
        <v>140</v>
      </c>
      <c r="N4">
        <f ca="1">D3</f>
        <v>101</v>
      </c>
      <c r="O4" t="s">
        <v>141</v>
      </c>
      <c r="P4">
        <f ca="1">COUNTIFS(B68:B195,"&lt;="&amp;$N$4)</f>
        <v>5</v>
      </c>
      <c r="Y4" s="4"/>
      <c r="Z4" s="5"/>
    </row>
    <row r="5" spans="1:26" x14ac:dyDescent="0.2">
      <c r="A5" s="11" t="s">
        <v>106</v>
      </c>
      <c r="M5" s="11" t="s">
        <v>107</v>
      </c>
      <c r="Y5" s="4"/>
      <c r="Z5" s="5"/>
    </row>
    <row r="6" spans="1:26" x14ac:dyDescent="0.2">
      <c r="B6" s="6" t="s">
        <v>118</v>
      </c>
      <c r="C6" s="6" t="s">
        <v>100</v>
      </c>
      <c r="D6" s="6" t="s">
        <v>99</v>
      </c>
      <c r="E6" s="6" t="s">
        <v>119</v>
      </c>
      <c r="F6" s="6" t="s">
        <v>91</v>
      </c>
      <c r="G6" s="6" t="s">
        <v>94</v>
      </c>
      <c r="H6" s="6" t="s">
        <v>101</v>
      </c>
      <c r="I6" s="6"/>
      <c r="N6" s="6" t="s">
        <v>97</v>
      </c>
      <c r="O6" s="6" t="s">
        <v>98</v>
      </c>
      <c r="P6" s="6" t="s">
        <v>93</v>
      </c>
      <c r="Q6" s="6" t="s">
        <v>120</v>
      </c>
      <c r="R6" s="6" t="s">
        <v>121</v>
      </c>
      <c r="S6" s="6"/>
      <c r="T6" s="6"/>
      <c r="U6" s="6"/>
      <c r="Y6" s="4"/>
      <c r="Z6" s="5"/>
    </row>
    <row r="7" spans="1:26" x14ac:dyDescent="0.2">
      <c r="A7" s="6" t="s">
        <v>142</v>
      </c>
      <c r="B7" s="12">
        <f ca="1">SUM(BI:BI)</f>
        <v>5</v>
      </c>
      <c r="C7" s="12">
        <f t="shared" ref="C7:H7" ca="1" si="0">SUM(BJ:BJ)</f>
        <v>5</v>
      </c>
      <c r="D7" s="12">
        <f t="shared" ca="1" si="0"/>
        <v>5</v>
      </c>
      <c r="E7" s="12">
        <f t="shared" ca="1" si="0"/>
        <v>5</v>
      </c>
      <c r="F7" s="12">
        <f t="shared" ca="1" si="0"/>
        <v>5</v>
      </c>
      <c r="G7" s="12">
        <f t="shared" ca="1" si="0"/>
        <v>5</v>
      </c>
      <c r="H7" s="12">
        <f t="shared" ca="1" si="0"/>
        <v>5</v>
      </c>
      <c r="I7" s="12"/>
      <c r="J7" s="14" t="s">
        <v>109</v>
      </c>
      <c r="K7" s="13"/>
      <c r="M7" s="6" t="s">
        <v>142</v>
      </c>
      <c r="N7">
        <f ca="1">SUMIFS(BD:BD,$B:$B,"&lt;="&amp;$N$4)</f>
        <v>5</v>
      </c>
      <c r="O7">
        <f t="shared" ref="O7:R7" ca="1" si="1">SUMIFS(BE:BE,$B:$B,"&lt;="&amp;$N$4)</f>
        <v>5</v>
      </c>
      <c r="P7">
        <f t="shared" ca="1" si="1"/>
        <v>5</v>
      </c>
      <c r="Q7">
        <f t="shared" ca="1" si="1"/>
        <v>5</v>
      </c>
      <c r="R7">
        <f t="shared" ca="1" si="1"/>
        <v>5</v>
      </c>
      <c r="S7" s="14" t="s">
        <v>109</v>
      </c>
      <c r="Y7" s="4"/>
      <c r="Z7" s="5"/>
    </row>
    <row r="8" spans="1:26" x14ac:dyDescent="0.2">
      <c r="A8" s="6" t="s">
        <v>108</v>
      </c>
      <c r="B8" s="19">
        <f ca="1">$B$3-B7</f>
        <v>0</v>
      </c>
      <c r="C8" s="19">
        <f t="shared" ref="C8:H8" ca="1" si="2">$B$3-C7</f>
        <v>0</v>
      </c>
      <c r="D8" s="19">
        <f t="shared" ca="1" si="2"/>
        <v>0</v>
      </c>
      <c r="E8" s="19">
        <f t="shared" ca="1" si="2"/>
        <v>0</v>
      </c>
      <c r="F8" s="19">
        <f t="shared" ca="1" si="2"/>
        <v>0</v>
      </c>
      <c r="G8" s="19">
        <f t="shared" ca="1" si="2"/>
        <v>0</v>
      </c>
      <c r="H8" s="19">
        <f t="shared" ca="1" si="2"/>
        <v>0</v>
      </c>
      <c r="I8" s="19"/>
      <c r="J8" s="14" t="s">
        <v>109</v>
      </c>
      <c r="M8" s="6" t="s">
        <v>110</v>
      </c>
      <c r="N8">
        <f ca="1">SUMIFS(AM:AM,$B:$B,"&lt;="&amp;$N$4)</f>
        <v>5</v>
      </c>
      <c r="O8">
        <f t="shared" ref="O8:R8" ca="1" si="3">SUMIFS(AN:AN,$B:$B,"&lt;="&amp;$N$4)</f>
        <v>4</v>
      </c>
      <c r="P8">
        <f t="shared" ca="1" si="3"/>
        <v>5</v>
      </c>
      <c r="Q8">
        <f t="shared" ca="1" si="3"/>
        <v>5</v>
      </c>
      <c r="R8">
        <f t="shared" ca="1" si="3"/>
        <v>4</v>
      </c>
      <c r="S8" s="14" t="s">
        <v>109</v>
      </c>
      <c r="Y8" s="4"/>
      <c r="Z8" s="5"/>
    </row>
    <row r="9" spans="1:26" x14ac:dyDescent="0.2">
      <c r="A9" s="6" t="s">
        <v>74</v>
      </c>
      <c r="B9" s="7">
        <f ca="1">SUM(CQ:CQ)</f>
        <v>5</v>
      </c>
      <c r="C9" s="7">
        <f t="shared" ref="C9:H9" ca="1" si="4">SUM(CR:CR)</f>
        <v>5</v>
      </c>
      <c r="D9" s="7">
        <f t="shared" ca="1" si="4"/>
        <v>5</v>
      </c>
      <c r="E9" s="7">
        <f t="shared" ca="1" si="4"/>
        <v>5</v>
      </c>
      <c r="F9" s="7">
        <f t="shared" ca="1" si="4"/>
        <v>5</v>
      </c>
      <c r="G9" s="7">
        <f t="shared" ca="1" si="4"/>
        <v>5</v>
      </c>
      <c r="H9" s="7">
        <f t="shared" ca="1" si="4"/>
        <v>5</v>
      </c>
      <c r="I9" s="7"/>
      <c r="J9" s="14" t="s">
        <v>122</v>
      </c>
      <c r="M9" s="6" t="s">
        <v>143</v>
      </c>
      <c r="N9">
        <f ca="1">N7-N8</f>
        <v>0</v>
      </c>
      <c r="O9">
        <f t="shared" ref="O9:R9" ca="1" si="5">O7-O8</f>
        <v>1</v>
      </c>
      <c r="P9">
        <f t="shared" ca="1" si="5"/>
        <v>0</v>
      </c>
      <c r="Q9">
        <f t="shared" ca="1" si="5"/>
        <v>0</v>
      </c>
      <c r="R9">
        <f t="shared" ca="1" si="5"/>
        <v>1</v>
      </c>
      <c r="S9" s="14" t="s">
        <v>109</v>
      </c>
      <c r="Y9" s="4"/>
      <c r="Z9" s="5"/>
    </row>
    <row r="10" spans="1:26" x14ac:dyDescent="0.2">
      <c r="A10" s="6" t="s">
        <v>144</v>
      </c>
      <c r="B10" s="4">
        <f ca="1">B9/$B$3</f>
        <v>1</v>
      </c>
      <c r="C10" s="4">
        <f t="shared" ref="C10:H10" ca="1" si="6">C9/$B$3</f>
        <v>1</v>
      </c>
      <c r="D10" s="4">
        <f t="shared" ca="1" si="6"/>
        <v>1</v>
      </c>
      <c r="E10" s="4">
        <f t="shared" ca="1" si="6"/>
        <v>1</v>
      </c>
      <c r="F10" s="4">
        <f t="shared" ca="1" si="6"/>
        <v>1</v>
      </c>
      <c r="G10" s="4">
        <f t="shared" ca="1" si="6"/>
        <v>1</v>
      </c>
      <c r="H10" s="4">
        <f t="shared" ca="1" si="6"/>
        <v>1</v>
      </c>
      <c r="I10" s="4"/>
      <c r="J10" s="14" t="s">
        <v>124</v>
      </c>
      <c r="M10" s="16" t="s">
        <v>108</v>
      </c>
      <c r="N10" s="19">
        <f ca="1">$P$4-N7</f>
        <v>0</v>
      </c>
      <c r="O10" s="19">
        <f t="shared" ref="O10:R10" ca="1" si="7">$P$4-O7</f>
        <v>0</v>
      </c>
      <c r="P10" s="19">
        <f t="shared" ca="1" si="7"/>
        <v>0</v>
      </c>
      <c r="Q10" s="19">
        <f t="shared" ca="1" si="7"/>
        <v>0</v>
      </c>
      <c r="R10" s="19">
        <f t="shared" ca="1" si="7"/>
        <v>0</v>
      </c>
      <c r="S10" s="14" t="s">
        <v>109</v>
      </c>
      <c r="T10" s="5"/>
      <c r="U10" s="5"/>
      <c r="Y10" s="4"/>
      <c r="Z10" s="5"/>
    </row>
    <row r="11" spans="1:26" x14ac:dyDescent="0.2">
      <c r="A11" s="6" t="s">
        <v>145</v>
      </c>
      <c r="B11" s="5">
        <f ca="1">SUM(DH:DH)</f>
        <v>13.677839794196174</v>
      </c>
      <c r="C11" s="5">
        <f t="shared" ref="C11:H11" ca="1" si="8">SUM(DI:DI)</f>
        <v>314.26440407987661</v>
      </c>
      <c r="D11" s="5">
        <f t="shared" ca="1" si="8"/>
        <v>320.60948574263494</v>
      </c>
      <c r="E11" s="5">
        <f t="shared" ca="1" si="8"/>
        <v>2017.3616748424201</v>
      </c>
      <c r="F11" s="5">
        <f t="shared" ca="1" si="8"/>
        <v>1.1150176897644983</v>
      </c>
      <c r="G11" s="5">
        <f t="shared" ca="1" si="8"/>
        <v>2.8596146702766339</v>
      </c>
      <c r="H11" s="5">
        <f t="shared" ca="1" si="8"/>
        <v>2.8801227882504437</v>
      </c>
      <c r="I11" s="5"/>
      <c r="J11" s="15" t="s">
        <v>123</v>
      </c>
      <c r="M11" s="17" t="s">
        <v>74</v>
      </c>
      <c r="N11">
        <f ca="1">SUMIFS(CL:CL,$B:$B,"&lt;="&amp;$N$4)</f>
        <v>5</v>
      </c>
      <c r="O11">
        <f t="shared" ref="O11:R11" ca="1" si="9">SUMIFS(CM:CM,$B:$B,"&lt;="&amp;$N$4)</f>
        <v>5</v>
      </c>
      <c r="P11">
        <f t="shared" ca="1" si="9"/>
        <v>5</v>
      </c>
      <c r="Q11">
        <f t="shared" ca="1" si="9"/>
        <v>5</v>
      </c>
      <c r="R11">
        <f t="shared" ca="1" si="9"/>
        <v>5</v>
      </c>
      <c r="S11" s="14" t="s">
        <v>109</v>
      </c>
      <c r="T11" s="5"/>
      <c r="U11" s="5"/>
      <c r="Y11" s="4"/>
      <c r="Z11" s="5"/>
    </row>
    <row r="12" spans="1:26" x14ac:dyDescent="0.2">
      <c r="A12" s="6" t="s">
        <v>72</v>
      </c>
      <c r="B12" s="7"/>
      <c r="C12" s="7">
        <f t="shared" ref="C12:H12" ca="1" si="10">SUM(FH:FH)</f>
        <v>50000</v>
      </c>
      <c r="D12" s="7">
        <f t="shared" ca="1" si="10"/>
        <v>50000</v>
      </c>
      <c r="E12" s="7">
        <f t="shared" ca="1" si="10"/>
        <v>50000</v>
      </c>
      <c r="F12" s="7">
        <f t="shared" ca="1" si="10"/>
        <v>5</v>
      </c>
      <c r="G12" s="7">
        <f t="shared" ca="1" si="10"/>
        <v>5</v>
      </c>
      <c r="H12" s="7">
        <f t="shared" ca="1" si="10"/>
        <v>10</v>
      </c>
      <c r="I12" s="7"/>
      <c r="J12" s="14" t="s">
        <v>109</v>
      </c>
      <c r="M12" s="6" t="s">
        <v>146</v>
      </c>
      <c r="N12" s="4">
        <f ca="1">N11/$P$4</f>
        <v>1</v>
      </c>
      <c r="O12" s="4">
        <f t="shared" ref="O12:R12" ca="1" si="11">O11/$P$4</f>
        <v>1</v>
      </c>
      <c r="P12" s="4">
        <f t="shared" ca="1" si="11"/>
        <v>1</v>
      </c>
      <c r="Q12" s="4">
        <f t="shared" ca="1" si="11"/>
        <v>1</v>
      </c>
      <c r="R12" s="4">
        <f t="shared" ca="1" si="11"/>
        <v>1</v>
      </c>
      <c r="S12" s="14" t="s">
        <v>124</v>
      </c>
      <c r="Y12" s="4"/>
      <c r="Z12" s="5"/>
    </row>
    <row r="13" spans="1:26" x14ac:dyDescent="0.2">
      <c r="A13" s="6" t="s">
        <v>147</v>
      </c>
      <c r="C13">
        <f ca="1">SUM(DZ:DZ)</f>
        <v>29680</v>
      </c>
      <c r="D13">
        <f ca="1">SUM(EA:EA)</f>
        <v>44837</v>
      </c>
      <c r="E13">
        <f t="shared" ref="E13:H13" ca="1" si="12">SUM(EB:EB)</f>
        <v>38871</v>
      </c>
      <c r="F13">
        <f t="shared" ca="1" si="12"/>
        <v>5</v>
      </c>
      <c r="G13">
        <f t="shared" ca="1" si="12"/>
        <v>5</v>
      </c>
      <c r="H13">
        <f t="shared" ca="1" si="12"/>
        <v>10</v>
      </c>
      <c r="J13" s="14" t="s">
        <v>122</v>
      </c>
      <c r="M13" s="6" t="s">
        <v>148</v>
      </c>
      <c r="N13" s="5">
        <f ca="1">SUMIFS(DC:DC,$B:$B,"&lt;="&amp;$N$4)+N16*$N$3</f>
        <v>1946.5109906634241</v>
      </c>
      <c r="O13" s="5">
        <f t="shared" ref="O13:R13" ca="1" si="13">SUMIFS(DD:DD,$B:$B,"&lt;="&amp;$N$4)+O16*$N$3</f>
        <v>29010.637923361719</v>
      </c>
      <c r="P13" s="5">
        <f t="shared" ca="1" si="13"/>
        <v>21338.607357415363</v>
      </c>
      <c r="Q13" s="5">
        <f t="shared" ca="1" si="13"/>
        <v>2.6590213440358621</v>
      </c>
      <c r="R13" s="5">
        <f t="shared" ca="1" si="13"/>
        <v>44881.18046049992</v>
      </c>
      <c r="S13" s="15" t="s">
        <v>123</v>
      </c>
      <c r="Y13" s="4"/>
      <c r="Z13" s="5"/>
    </row>
    <row r="14" spans="1:26" x14ac:dyDescent="0.2">
      <c r="A14" s="6" t="s">
        <v>149</v>
      </c>
      <c r="B14" s="4"/>
      <c r="C14" s="4">
        <f t="shared" ref="C14:H14" ca="1" si="14">C13/C12</f>
        <v>0.59360000000000002</v>
      </c>
      <c r="D14" s="4">
        <f t="shared" ca="1" si="14"/>
        <v>0.89673999999999998</v>
      </c>
      <c r="E14" s="4">
        <f t="shared" ca="1" si="14"/>
        <v>0.77742</v>
      </c>
      <c r="F14" s="4">
        <f t="shared" ca="1" si="14"/>
        <v>1</v>
      </c>
      <c r="G14" s="4">
        <f t="shared" ca="1" si="14"/>
        <v>1</v>
      </c>
      <c r="H14" s="4">
        <f t="shared" ca="1" si="14"/>
        <v>1</v>
      </c>
      <c r="I14" s="4"/>
      <c r="J14" s="14" t="s">
        <v>124</v>
      </c>
      <c r="M14" s="6" t="s">
        <v>73</v>
      </c>
      <c r="N14" s="5">
        <f ca="1">N13/$P$4</f>
        <v>389.30219813268479</v>
      </c>
      <c r="O14" s="5">
        <f t="shared" ref="O14:R14" ca="1" si="15">O13/$P$4</f>
        <v>5802.1275846723438</v>
      </c>
      <c r="P14" s="5">
        <f t="shared" ca="1" si="15"/>
        <v>4267.7214714830725</v>
      </c>
      <c r="Q14" s="5">
        <f t="shared" ca="1" si="15"/>
        <v>0.53180426880717246</v>
      </c>
      <c r="R14" s="5">
        <f t="shared" ca="1" si="15"/>
        <v>8976.2360920999836</v>
      </c>
      <c r="S14" s="15" t="s">
        <v>123</v>
      </c>
      <c r="T14" s="7"/>
      <c r="U14" s="7"/>
      <c r="Y14" s="4"/>
      <c r="Z14" s="5"/>
    </row>
    <row r="15" spans="1:26" x14ac:dyDescent="0.2">
      <c r="A15" s="6" t="s">
        <v>73</v>
      </c>
      <c r="B15" s="20"/>
      <c r="C15" s="20">
        <f t="shared" ref="C15:H15" ca="1" si="16">IF(C12,C11/C12,"")</f>
        <v>6.2852880815975325E-3</v>
      </c>
      <c r="D15" s="20">
        <f t="shared" ca="1" si="16"/>
        <v>6.4121897148526992E-3</v>
      </c>
      <c r="E15" s="20">
        <f t="shared" ca="1" si="16"/>
        <v>4.0347233496848406E-2</v>
      </c>
      <c r="F15" s="20">
        <f t="shared" ca="1" si="16"/>
        <v>0.22300353795289968</v>
      </c>
      <c r="G15" s="20">
        <f t="shared" ca="1" si="16"/>
        <v>0.57192293405532679</v>
      </c>
      <c r="H15" s="20">
        <f t="shared" ca="1" si="16"/>
        <v>0.28801227882504438</v>
      </c>
      <c r="I15" s="20"/>
      <c r="J15" s="15" t="s">
        <v>123</v>
      </c>
      <c r="M15" s="17" t="s">
        <v>78</v>
      </c>
      <c r="N15" s="5">
        <f ca="1">IF(N11,N13/N11,"")</f>
        <v>389.30219813268479</v>
      </c>
      <c r="O15" s="5">
        <f t="shared" ref="O15:R15" ca="1" si="17">IF(O11,O13/O11,"")</f>
        <v>5802.1275846723438</v>
      </c>
      <c r="P15" s="5">
        <f t="shared" ca="1" si="17"/>
        <v>4267.7214714830725</v>
      </c>
      <c r="Q15" s="5">
        <f t="shared" ca="1" si="17"/>
        <v>0.53180426880717246</v>
      </c>
      <c r="R15" s="5">
        <f t="shared" ca="1" si="17"/>
        <v>8976.2360920999836</v>
      </c>
      <c r="S15" s="15" t="s">
        <v>123</v>
      </c>
      <c r="T15" s="4"/>
      <c r="U15" s="4" t="str">
        <f t="shared" ref="U15" si="18">IF(U12,U14/U12,"")</f>
        <v/>
      </c>
      <c r="Y15" s="4"/>
      <c r="Z15" s="5"/>
    </row>
    <row r="16" spans="1:26" x14ac:dyDescent="0.2">
      <c r="A16" s="6" t="s">
        <v>78</v>
      </c>
      <c r="B16" s="5"/>
      <c r="C16" s="5">
        <f t="shared" ref="C16:H16" ca="1" si="19">IF(C13,C11/C13,"")</f>
        <v>1.0588423318055143E-2</v>
      </c>
      <c r="D16" s="5">
        <f t="shared" ca="1" si="19"/>
        <v>7.1505561420843267E-3</v>
      </c>
      <c r="E16" s="5">
        <f t="shared" ca="1" si="19"/>
        <v>5.1898887984420779E-2</v>
      </c>
      <c r="F16" s="5">
        <f t="shared" ca="1" si="19"/>
        <v>0.22300353795289968</v>
      </c>
      <c r="G16" s="5">
        <f t="shared" ca="1" si="19"/>
        <v>0.57192293405532679</v>
      </c>
      <c r="H16" s="5">
        <f t="shared" ca="1" si="19"/>
        <v>0.28801227882504438</v>
      </c>
      <c r="I16" s="5"/>
      <c r="J16" s="15" t="s">
        <v>123</v>
      </c>
      <c r="M16" s="6" t="s">
        <v>150</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150</v>
      </c>
      <c r="B17">
        <f ca="1">COUNTIFS(DH:DH,"=0")</f>
        <v>0</v>
      </c>
      <c r="C17">
        <f t="shared" ref="C17:H17" ca="1" si="21">COUNTIFS(DI:DI,"=0")</f>
        <v>0</v>
      </c>
      <c r="D17">
        <f t="shared" ca="1" si="21"/>
        <v>0</v>
      </c>
      <c r="E17">
        <f t="shared" ca="1" si="21"/>
        <v>0</v>
      </c>
      <c r="F17">
        <f t="shared" ca="1" si="21"/>
        <v>0</v>
      </c>
      <c r="G17">
        <f t="shared" ca="1" si="21"/>
        <v>0</v>
      </c>
      <c r="H17">
        <f t="shared" ca="1" si="21"/>
        <v>0</v>
      </c>
      <c r="J17" s="14"/>
      <c r="M17" s="6" t="s">
        <v>221</v>
      </c>
      <c r="N17">
        <f ca="1">_xlfn.MAXIFS($B67:$B267,DC67:DC267,"&lt;&gt;0",$B67:$B267,"&lt;="&amp;$N$4)</f>
        <v>101</v>
      </c>
      <c r="O17">
        <f t="shared" ref="O17:R17" ca="1" si="22">_xlfn.MAXIFS($B67:$B267,DD67:DD267,"&lt;&gt;0",$B67:$B267,"&lt;="&amp;$N$4)</f>
        <v>101</v>
      </c>
      <c r="P17">
        <f t="shared" ca="1" si="22"/>
        <v>101</v>
      </c>
      <c r="Q17">
        <f t="shared" ca="1" si="22"/>
        <v>101</v>
      </c>
      <c r="R17">
        <f t="shared" ca="1" si="22"/>
        <v>101</v>
      </c>
      <c r="Y17" s="4"/>
      <c r="Z17" s="5"/>
    </row>
    <row r="18" spans="1:180" x14ac:dyDescent="0.2">
      <c r="A18" s="6" t="s">
        <v>222</v>
      </c>
      <c r="B18" s="23">
        <f ca="1">(SUM(BZ68:BZ300)-$H$3)/$H$3</f>
        <v>0</v>
      </c>
      <c r="C18" s="23">
        <f t="shared" ref="C18:H18" ca="1" si="23">(SUM(CA68:CA300)-$H$3)/$H$3</f>
        <v>0</v>
      </c>
      <c r="D18" s="23">
        <f t="shared" ca="1" si="23"/>
        <v>0</v>
      </c>
      <c r="E18" s="23">
        <f t="shared" ca="1" si="23"/>
        <v>0</v>
      </c>
      <c r="F18" s="23">
        <f t="shared" ca="1" si="23"/>
        <v>0</v>
      </c>
      <c r="G18" s="23">
        <f t="shared" ca="1" si="23"/>
        <v>0</v>
      </c>
      <c r="H18" s="23">
        <f t="shared" ca="1" si="23"/>
        <v>0</v>
      </c>
      <c r="L18" s="5"/>
      <c r="M18" s="5"/>
      <c r="N18" s="5"/>
      <c r="O18" s="5"/>
      <c r="P18" s="5"/>
      <c r="Y18" s="4"/>
      <c r="Z18" s="5"/>
    </row>
    <row r="19" spans="1:180" x14ac:dyDescent="0.2">
      <c r="A19" s="6" t="s">
        <v>75</v>
      </c>
      <c r="B19" s="6" t="s">
        <v>100</v>
      </c>
      <c r="O19" s="5"/>
      <c r="P19" s="5"/>
      <c r="Y19" s="4"/>
      <c r="Z19" s="5"/>
    </row>
    <row r="20" spans="1:180" x14ac:dyDescent="0.2">
      <c r="O20" s="5"/>
      <c r="P20" s="5"/>
      <c r="Y20" s="4"/>
      <c r="Z20" s="5"/>
      <c r="FW20" s="4"/>
      <c r="FX20" s="5"/>
    </row>
    <row r="21" spans="1:180" ht="19" x14ac:dyDescent="0.25">
      <c r="A21" s="8" t="s">
        <v>223</v>
      </c>
      <c r="B21" s="8"/>
      <c r="C21" s="8"/>
      <c r="D21" s="8"/>
      <c r="E21" s="8" t="s">
        <v>224</v>
      </c>
      <c r="F21" s="8"/>
      <c r="G21" s="8"/>
      <c r="H21" s="8"/>
      <c r="I21" s="8"/>
      <c r="J21" s="8" t="s">
        <v>225</v>
      </c>
      <c r="K21" s="8"/>
      <c r="L21" s="8"/>
      <c r="M21" s="8"/>
      <c r="N21" s="8"/>
      <c r="P21" s="8" t="s">
        <v>226</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79</v>
      </c>
      <c r="M43" t="s">
        <v>79</v>
      </c>
    </row>
    <row r="44" spans="1:180" x14ac:dyDescent="0.2">
      <c r="A44" t="s">
        <v>111</v>
      </c>
      <c r="B44" t="s">
        <v>80</v>
      </c>
      <c r="C44" t="s">
        <v>80</v>
      </c>
      <c r="D44" t="s">
        <v>80</v>
      </c>
      <c r="E44" t="s">
        <v>80</v>
      </c>
      <c r="F44" t="s">
        <v>80</v>
      </c>
      <c r="G44" t="s">
        <v>80</v>
      </c>
      <c r="H44" t="s">
        <v>80</v>
      </c>
      <c r="I44" t="s">
        <v>81</v>
      </c>
      <c r="J44" t="s">
        <v>82</v>
      </c>
      <c r="M44" t="s">
        <v>111</v>
      </c>
      <c r="N44" t="s">
        <v>80</v>
      </c>
      <c r="O44" t="s">
        <v>80</v>
      </c>
      <c r="P44" t="s">
        <v>80</v>
      </c>
      <c r="Q44" t="s">
        <v>80</v>
      </c>
      <c r="R44" t="s">
        <v>80</v>
      </c>
      <c r="S44" t="s">
        <v>81</v>
      </c>
      <c r="T44" t="s">
        <v>82</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83</v>
      </c>
      <c r="J45" t="s">
        <v>82</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83</v>
      </c>
      <c r="T45" t="s">
        <v>82</v>
      </c>
      <c r="V45" s="9"/>
    </row>
    <row r="46" spans="1:180" x14ac:dyDescent="0.2">
      <c r="A46" t="str">
        <f t="shared" ref="A46:A55" si="27">"\textbf{"&amp;A7&amp;"} &amp;"</f>
        <v>\textbf{Result Returned} &amp;</v>
      </c>
      <c r="B46" t="str">
        <f t="shared" ref="B46:H55" ca="1" si="28">SUBSTITUTE(TEXT(B7,$J7)&amp;IF(C46="\\",""," &amp;"),"%","\%")</f>
        <v>5 &amp;</v>
      </c>
      <c r="C46" t="str">
        <f t="shared" ca="1" si="28"/>
        <v>5 &amp;</v>
      </c>
      <c r="D46" t="str">
        <f t="shared" ca="1" si="28"/>
        <v>5 &amp;</v>
      </c>
      <c r="E46" t="str">
        <f t="shared" ca="1" si="28"/>
        <v>5 &amp;</v>
      </c>
      <c r="F46" t="str">
        <f t="shared" ca="1" si="28"/>
        <v>5 &amp;</v>
      </c>
      <c r="G46" t="str">
        <f t="shared" ca="1" si="28"/>
        <v>5 &amp;</v>
      </c>
      <c r="H46" t="str">
        <f t="shared" ca="1" si="28"/>
        <v>5</v>
      </c>
      <c r="I46" s="9" t="s">
        <v>83</v>
      </c>
      <c r="M46" t="str">
        <f>"\textbf{"&amp;M7&amp;"} &amp;"</f>
        <v>\textbf{Result Returned} &amp;</v>
      </c>
      <c r="N46" t="str">
        <f t="shared" ref="N46:R54" ca="1" si="29">SUBSTITUTE(TEXT(N7,$S7)&amp;IF(O46="\\",""," &amp;"),"%","\%")</f>
        <v>5 &amp;</v>
      </c>
      <c r="O46" t="str">
        <f t="shared" ca="1" si="29"/>
        <v>5 &amp;</v>
      </c>
      <c r="P46" t="str">
        <f t="shared" ca="1" si="29"/>
        <v>5 &amp;</v>
      </c>
      <c r="Q46" t="str">
        <f t="shared" ca="1" si="29"/>
        <v>5 &amp;</v>
      </c>
      <c r="R46" t="str">
        <f t="shared" ca="1" si="29"/>
        <v>5</v>
      </c>
      <c r="S46" s="9" t="s">
        <v>83</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0 &amp;</v>
      </c>
      <c r="G47" t="str">
        <f t="shared" ca="1" si="28"/>
        <v>0 &amp;</v>
      </c>
      <c r="H47" t="str">
        <f t="shared" ca="1" si="28"/>
        <v>0</v>
      </c>
      <c r="I47" s="9" t="s">
        <v>83</v>
      </c>
      <c r="M47" t="str">
        <f t="shared" ref="M47:M54" si="30">"\textbf{"&amp;M8&amp;"} &amp;"</f>
        <v>\textbf{Completed &lt; MaxTime} &amp;</v>
      </c>
      <c r="N47" t="str">
        <f t="shared" ca="1" si="29"/>
        <v>5 &amp;</v>
      </c>
      <c r="O47" t="str">
        <f t="shared" ca="1" si="29"/>
        <v>4 &amp;</v>
      </c>
      <c r="P47" t="str">
        <f t="shared" ca="1" si="29"/>
        <v>5 &amp;</v>
      </c>
      <c r="Q47" t="str">
        <f t="shared" ca="1" si="29"/>
        <v>5 &amp;</v>
      </c>
      <c r="R47" t="str">
        <f t="shared" ca="1" si="29"/>
        <v>4</v>
      </c>
      <c r="S47" s="9" t="s">
        <v>83</v>
      </c>
      <c r="V47" s="9"/>
    </row>
    <row r="48" spans="1:180" x14ac:dyDescent="0.2">
      <c r="A48" t="str">
        <f t="shared" si="27"/>
        <v>\textbf{At lowest distance} &amp;</v>
      </c>
      <c r="B48" t="str">
        <f t="shared" ca="1" si="28"/>
        <v>5 &amp;</v>
      </c>
      <c r="C48" t="str">
        <f t="shared" ca="1" si="28"/>
        <v>5 &amp;</v>
      </c>
      <c r="D48" t="str">
        <f t="shared" ca="1" si="28"/>
        <v>5 &amp;</v>
      </c>
      <c r="E48" t="str">
        <f t="shared" ca="1" si="28"/>
        <v>5 &amp;</v>
      </c>
      <c r="F48" t="str">
        <f t="shared" ca="1" si="28"/>
        <v>5 &amp;</v>
      </c>
      <c r="G48" t="str">
        <f t="shared" ca="1" si="28"/>
        <v>5 &amp;</v>
      </c>
      <c r="H48" t="str">
        <f t="shared" ca="1" si="28"/>
        <v>5</v>
      </c>
      <c r="I48" s="9" t="s">
        <v>83</v>
      </c>
      <c r="M48" t="str">
        <f t="shared" si="30"/>
        <v>\textbf{Completed &gt; MaxTime} &amp;</v>
      </c>
      <c r="N48" t="str">
        <f t="shared" ca="1" si="29"/>
        <v>0 &amp;</v>
      </c>
      <c r="O48" t="str">
        <f t="shared" ca="1" si="29"/>
        <v>1 &amp;</v>
      </c>
      <c r="P48" t="str">
        <f t="shared" ca="1" si="29"/>
        <v>0 &amp;</v>
      </c>
      <c r="Q48" t="str">
        <f t="shared" ca="1" si="29"/>
        <v>0 &amp;</v>
      </c>
      <c r="R48" t="str">
        <f t="shared" ca="1" si="29"/>
        <v>1</v>
      </c>
      <c r="S48" s="9" t="s">
        <v>83</v>
      </c>
      <c r="V48" s="9"/>
    </row>
    <row r="49" spans="1:180" x14ac:dyDescent="0.2">
      <c r="A49" t="str">
        <f t="shared" si="27"/>
        <v>\textbf{Overall Success Rate} &amp;</v>
      </c>
      <c r="B49" t="str">
        <f t="shared" ca="1" si="28"/>
        <v>100.0\% &amp;</v>
      </c>
      <c r="C49" t="str">
        <f t="shared" ca="1" si="28"/>
        <v>100.0\% &amp;</v>
      </c>
      <c r="D49" t="str">
        <f t="shared" ca="1" si="28"/>
        <v>100.0\% &amp;</v>
      </c>
      <c r="E49" t="str">
        <f t="shared" ca="1" si="28"/>
        <v>100.0\% &amp;</v>
      </c>
      <c r="F49" t="str">
        <f t="shared" ca="1" si="28"/>
        <v>100.0\% &amp;</v>
      </c>
      <c r="G49" t="str">
        <f t="shared" ca="1" si="28"/>
        <v>100.0\% &amp;</v>
      </c>
      <c r="H49" t="str">
        <f t="shared" ca="1" si="28"/>
        <v>100.0\%</v>
      </c>
      <c r="I49" s="9" t="s">
        <v>83</v>
      </c>
      <c r="J49" t="s">
        <v>82</v>
      </c>
      <c r="M49" t="str">
        <f t="shared" si="30"/>
        <v>\textbf{No Result} &amp;</v>
      </c>
      <c r="N49" t="str">
        <f t="shared" ca="1" si="29"/>
        <v>0 &amp;</v>
      </c>
      <c r="O49" t="str">
        <f t="shared" ca="1" si="29"/>
        <v>0 &amp;</v>
      </c>
      <c r="P49" t="str">
        <f t="shared" ca="1" si="29"/>
        <v>0 &amp;</v>
      </c>
      <c r="Q49" t="str">
        <f t="shared" ca="1" si="29"/>
        <v>0 &amp;</v>
      </c>
      <c r="R49" t="str">
        <f t="shared" ca="1" si="29"/>
        <v>0</v>
      </c>
      <c r="S49" s="9" t="s">
        <v>83</v>
      </c>
      <c r="V49" s="9"/>
    </row>
    <row r="50" spans="1:180" x14ac:dyDescent="0.2">
      <c r="A50" t="str">
        <f t="shared" si="27"/>
        <v>\textbf{Total Time (s)} &amp;</v>
      </c>
      <c r="B50" t="str">
        <f t="shared" ca="1" si="28"/>
        <v>1.4E+01 &amp;</v>
      </c>
      <c r="C50" t="str">
        <f t="shared" ca="1" si="28"/>
        <v>3.1E+02 &amp;</v>
      </c>
      <c r="D50" t="str">
        <f t="shared" ca="1" si="28"/>
        <v>3.2E+02 &amp;</v>
      </c>
      <c r="E50" t="str">
        <f t="shared" ca="1" si="28"/>
        <v>2.0E+03 &amp;</v>
      </c>
      <c r="F50" t="str">
        <f t="shared" ca="1" si="28"/>
        <v>1.1E+00 &amp;</v>
      </c>
      <c r="G50" t="str">
        <f t="shared" ca="1" si="28"/>
        <v>2.9E+00 &amp;</v>
      </c>
      <c r="H50" t="str">
        <f t="shared" ca="1" si="28"/>
        <v>2.9E+00</v>
      </c>
      <c r="I50" s="9" t="s">
        <v>83</v>
      </c>
      <c r="M50" t="str">
        <f t="shared" si="30"/>
        <v>\textbf{At lowest distance} &amp;</v>
      </c>
      <c r="N50" t="str">
        <f t="shared" ca="1" si="29"/>
        <v>5 &amp;</v>
      </c>
      <c r="O50" t="str">
        <f t="shared" ca="1" si="29"/>
        <v>5 &amp;</v>
      </c>
      <c r="P50" t="str">
        <f t="shared" ca="1" si="29"/>
        <v>5 &amp;</v>
      </c>
      <c r="Q50" t="str">
        <f t="shared" ca="1" si="29"/>
        <v>5 &amp;</v>
      </c>
      <c r="R50" t="str">
        <f t="shared" ca="1" si="29"/>
        <v>5</v>
      </c>
      <c r="S50" s="9" t="s">
        <v>83</v>
      </c>
      <c r="V50" s="9"/>
    </row>
    <row r="51" spans="1:180" x14ac:dyDescent="0.2">
      <c r="A51" t="str">
        <f t="shared" si="27"/>
        <v>\textbf{Trials} &amp;</v>
      </c>
      <c r="B51" t="str">
        <f t="shared" ca="1" si="28"/>
        <v>0 &amp;</v>
      </c>
      <c r="C51" t="str">
        <f t="shared" ca="1" si="28"/>
        <v>50,000 &amp;</v>
      </c>
      <c r="D51" t="str">
        <f t="shared" ca="1" si="28"/>
        <v>50,000 &amp;</v>
      </c>
      <c r="E51" t="str">
        <f t="shared" ca="1" si="28"/>
        <v>50,000 &amp;</v>
      </c>
      <c r="F51" t="str">
        <f t="shared" ca="1" si="28"/>
        <v>5 &amp;</v>
      </c>
      <c r="G51" t="str">
        <f t="shared" ca="1" si="28"/>
        <v>5 &amp;</v>
      </c>
      <c r="H51" t="str">
        <f t="shared" ca="1" si="28"/>
        <v>10</v>
      </c>
      <c r="I51" s="9" t="s">
        <v>83</v>
      </c>
      <c r="M51" t="str">
        <f t="shared" si="30"/>
        <v>\textbf{Overall success rate} &amp;</v>
      </c>
      <c r="N51" t="str">
        <f t="shared" ca="1" si="29"/>
        <v>100.0\% &amp;</v>
      </c>
      <c r="O51" t="str">
        <f t="shared" ca="1" si="29"/>
        <v>100.0\% &amp;</v>
      </c>
      <c r="P51" t="str">
        <f t="shared" ca="1" si="29"/>
        <v>100.0\% &amp;</v>
      </c>
      <c r="Q51" t="str">
        <f t="shared" ca="1" si="29"/>
        <v>100.0\% &amp;</v>
      </c>
      <c r="R51" t="str">
        <f t="shared" ca="1" si="29"/>
        <v>100.0\%</v>
      </c>
      <c r="S51" s="9" t="s">
        <v>83</v>
      </c>
      <c r="T51" t="s">
        <v>82</v>
      </c>
      <c r="V51" s="9"/>
    </row>
    <row r="52" spans="1:180" x14ac:dyDescent="0.2">
      <c r="A52" t="str">
        <f t="shared" si="27"/>
        <v>\textbf{Trials at lowest distance} &amp;</v>
      </c>
      <c r="B52" t="str">
        <f t="shared" ca="1" si="28"/>
        <v xml:space="preserve"> &amp;</v>
      </c>
      <c r="C52" t="str">
        <f t="shared" ca="1" si="28"/>
        <v>29,680 &amp;</v>
      </c>
      <c r="D52" t="str">
        <f t="shared" ca="1" si="28"/>
        <v>44,837 &amp;</v>
      </c>
      <c r="E52" t="str">
        <f t="shared" ca="1" si="28"/>
        <v>38,871 &amp;</v>
      </c>
      <c r="F52" t="str">
        <f t="shared" ca="1" si="28"/>
        <v>5 &amp;</v>
      </c>
      <c r="G52" t="str">
        <f t="shared" ca="1" si="28"/>
        <v>5 &amp;</v>
      </c>
      <c r="H52" t="str">
        <f t="shared" ca="1" si="28"/>
        <v>10</v>
      </c>
      <c r="I52" s="9" t="s">
        <v>83</v>
      </c>
      <c r="M52" t="str">
        <f t="shared" si="30"/>
        <v>\textbf{Total Time} &amp;</v>
      </c>
      <c r="N52" t="str">
        <f t="shared" ca="1" si="29"/>
        <v>1.9E+03 &amp;</v>
      </c>
      <c r="O52" t="str">
        <f t="shared" ca="1" si="29"/>
        <v>2.9E+04 &amp;</v>
      </c>
      <c r="P52" t="str">
        <f t="shared" ca="1" si="29"/>
        <v>2.1E+04 &amp;</v>
      </c>
      <c r="Q52" t="str">
        <f t="shared" ca="1" si="29"/>
        <v>2.7E+00 &amp;</v>
      </c>
      <c r="R52" t="str">
        <f t="shared" ca="1" si="29"/>
        <v>4.5E+04</v>
      </c>
      <c r="S52" s="9" t="s">
        <v>83</v>
      </c>
      <c r="V52" s="9"/>
    </row>
    <row r="53" spans="1:180" x14ac:dyDescent="0.2">
      <c r="A53" t="str">
        <f t="shared" si="27"/>
        <v>\textbf{Trial Success Rate} &amp;</v>
      </c>
      <c r="B53" t="str">
        <f t="shared" ca="1" si="28"/>
        <v xml:space="preserve"> &amp;</v>
      </c>
      <c r="C53" t="str">
        <f t="shared" ca="1" si="28"/>
        <v>59.4\% &amp;</v>
      </c>
      <c r="D53" t="str">
        <f t="shared" ca="1" si="28"/>
        <v>89.7\% &amp;</v>
      </c>
      <c r="E53" t="str">
        <f t="shared" ca="1" si="28"/>
        <v>77.7\% &amp;</v>
      </c>
      <c r="F53" t="str">
        <f t="shared" ca="1" si="28"/>
        <v>100.0\% &amp;</v>
      </c>
      <c r="G53" t="str">
        <f t="shared" ca="1" si="28"/>
        <v>100.0\% &amp;</v>
      </c>
      <c r="H53" t="str">
        <f t="shared" ca="1" si="28"/>
        <v>100.0\%</v>
      </c>
      <c r="I53" s="9" t="s">
        <v>83</v>
      </c>
      <c r="M53" t="str">
        <f t="shared" si="30"/>
        <v>\textbf{Time/Trial} &amp;</v>
      </c>
      <c r="N53" t="str">
        <f t="shared" ca="1" si="29"/>
        <v>3.9E+02 &amp;</v>
      </c>
      <c r="O53" t="str">
        <f t="shared" ca="1" si="29"/>
        <v>5.8E+03 &amp;</v>
      </c>
      <c r="P53" t="str">
        <f t="shared" ca="1" si="29"/>
        <v>4.3E+03 &amp;</v>
      </c>
      <c r="Q53" t="str">
        <f t="shared" ca="1" si="29"/>
        <v>5.3E-01 &amp;</v>
      </c>
      <c r="R53" t="str">
        <f t="shared" ca="1" si="29"/>
        <v>9.0E+03</v>
      </c>
      <c r="S53" s="9" t="s">
        <v>83</v>
      </c>
      <c r="V53" s="9"/>
    </row>
    <row r="54" spans="1:180" x14ac:dyDescent="0.2">
      <c r="A54" t="str">
        <f t="shared" si="27"/>
        <v>\textbf{Time/Trial} &amp;</v>
      </c>
      <c r="B54" t="str">
        <f t="shared" ca="1" si="28"/>
        <v xml:space="preserve"> &amp;</v>
      </c>
      <c r="C54" t="str">
        <f t="shared" ca="1" si="28"/>
        <v>6.3E-03 &amp;</v>
      </c>
      <c r="D54" t="str">
        <f t="shared" ca="1" si="28"/>
        <v>6.4E-03 &amp;</v>
      </c>
      <c r="E54" t="str">
        <f t="shared" ca="1" si="28"/>
        <v>4.0E-02 &amp;</v>
      </c>
      <c r="F54" t="str">
        <f t="shared" ca="1" si="28"/>
        <v>2.2E-01 &amp;</v>
      </c>
      <c r="G54" t="str">
        <f t="shared" ca="1" si="28"/>
        <v>5.7E-01 &amp;</v>
      </c>
      <c r="H54" t="str">
        <f t="shared" ca="1" si="28"/>
        <v>2.9E-01</v>
      </c>
      <c r="I54" s="9" t="s">
        <v>83</v>
      </c>
      <c r="M54" t="str">
        <f t="shared" si="30"/>
        <v>\textbf{Time/Successful Trial} &amp;</v>
      </c>
      <c r="N54" t="str">
        <f ca="1">SUBSTITUTE(TEXT(N15,$S15)&amp;IF(O54="\\",""," &amp;"),"%","\%")</f>
        <v>3.9E+02 &amp;</v>
      </c>
      <c r="O54" t="str">
        <f t="shared" ca="1" si="29"/>
        <v>5.8E+03 &amp;</v>
      </c>
      <c r="P54" t="str">
        <f t="shared" ca="1" si="29"/>
        <v>4.3E+03 &amp;</v>
      </c>
      <c r="Q54" t="str">
        <f t="shared" ca="1" si="29"/>
        <v>5.3E-01 &amp;</v>
      </c>
      <c r="R54" t="str">
        <f t="shared" ca="1" si="29"/>
        <v>9.0E+03</v>
      </c>
      <c r="S54" s="9" t="s">
        <v>83</v>
      </c>
      <c r="T54" t="s">
        <v>82</v>
      </c>
      <c r="V54" s="9"/>
    </row>
    <row r="55" spans="1:180" x14ac:dyDescent="0.2">
      <c r="A55" t="str">
        <f t="shared" si="27"/>
        <v>\textbf{Time/Successful Trial} &amp;</v>
      </c>
      <c r="B55" t="str">
        <f t="shared" ca="1" si="28"/>
        <v xml:space="preserve"> &amp;</v>
      </c>
      <c r="C55" t="str">
        <f t="shared" ca="1" si="28"/>
        <v>1.1E-02 &amp;</v>
      </c>
      <c r="D55" t="str">
        <f t="shared" ca="1" si="28"/>
        <v>7.2E-03 &amp;</v>
      </c>
      <c r="E55" t="str">
        <f t="shared" ca="1" si="28"/>
        <v>5.2E-02 &amp;</v>
      </c>
      <c r="F55" t="str">
        <f t="shared" ca="1" si="28"/>
        <v>2.2E-01 &amp;</v>
      </c>
      <c r="G55" t="str">
        <f t="shared" ca="1" si="28"/>
        <v>5.7E-01 &amp;</v>
      </c>
      <c r="H55" t="str">
        <f t="shared" ca="1" si="28"/>
        <v>2.9E-01</v>
      </c>
      <c r="I55" s="9" t="s">
        <v>83</v>
      </c>
      <c r="J55" t="s">
        <v>82</v>
      </c>
      <c r="M55" t="s">
        <v>84</v>
      </c>
      <c r="V55" s="9"/>
    </row>
    <row r="56" spans="1:180" x14ac:dyDescent="0.2">
      <c r="A56" t="s">
        <v>84</v>
      </c>
      <c r="J56" s="9"/>
      <c r="M56" t="s">
        <v>85</v>
      </c>
      <c r="V56" s="9"/>
    </row>
    <row r="57" spans="1:180" x14ac:dyDescent="0.2">
      <c r="A57" t="s">
        <v>85</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112</v>
      </c>
      <c r="B64">
        <f ca="1">MATCH("name",INDIRECT($A$67&amp;"!a:a"),)</f>
        <v>24</v>
      </c>
      <c r="Y64" s="4"/>
      <c r="Z64" s="5"/>
      <c r="FW64" s="4"/>
      <c r="FX64" s="5"/>
    </row>
    <row r="65" spans="1:222" x14ac:dyDescent="0.2">
      <c r="Y65" s="4"/>
      <c r="Z65" s="5"/>
      <c r="FS65" t="s">
        <v>113</v>
      </c>
      <c r="FT65" t="str">
        <f>B19</f>
        <v>QDistRndMW</v>
      </c>
      <c r="FW65" s="4"/>
      <c r="FX65" s="5"/>
    </row>
    <row r="66" spans="1:222" s="6" customFormat="1" x14ac:dyDescent="0.2">
      <c r="E66" s="6" t="s">
        <v>86</v>
      </c>
      <c r="V66" s="6" t="s">
        <v>87</v>
      </c>
      <c r="AM66" s="6" t="s">
        <v>114</v>
      </c>
      <c r="AV66" s="6" t="s">
        <v>158</v>
      </c>
      <c r="BD66" s="6" t="s">
        <v>88</v>
      </c>
      <c r="BU66" s="6" t="s">
        <v>89</v>
      </c>
      <c r="CL66" s="6" t="s">
        <v>90</v>
      </c>
      <c r="DC66" s="6" t="s">
        <v>77</v>
      </c>
      <c r="DT66" s="6" t="s">
        <v>151</v>
      </c>
      <c r="EK66" s="6" t="s">
        <v>25</v>
      </c>
      <c r="FB66" s="6" t="s">
        <v>26</v>
      </c>
      <c r="FS66" s="6" t="s">
        <v>112</v>
      </c>
      <c r="FT66">
        <f>MATCH(B19,E67:Q67,)</f>
        <v>7</v>
      </c>
      <c r="FU66"/>
      <c r="FV66"/>
      <c r="FW66" s="4"/>
      <c r="FX66" s="5"/>
      <c r="FZ66" s="6" t="s">
        <v>222</v>
      </c>
      <c r="GN66" s="6" t="s">
        <v>227</v>
      </c>
      <c r="HB66" s="6" t="s">
        <v>228</v>
      </c>
    </row>
    <row r="67" spans="1:222" s="6" customFormat="1" x14ac:dyDescent="0.2">
      <c r="A67" s="6" t="s">
        <v>152</v>
      </c>
      <c r="B67" s="6" t="s">
        <v>20</v>
      </c>
      <c r="C67" s="6" t="s">
        <v>92</v>
      </c>
      <c r="E67" s="6" t="s">
        <v>97</v>
      </c>
      <c r="F67" s="6" t="s">
        <v>98</v>
      </c>
      <c r="G67" s="6" t="s">
        <v>93</v>
      </c>
      <c r="H67" s="6" t="s">
        <v>96</v>
      </c>
      <c r="I67" s="6" t="s">
        <v>115</v>
      </c>
      <c r="J67" s="6" t="s">
        <v>76</v>
      </c>
      <c r="K67" s="6" t="s">
        <v>100</v>
      </c>
      <c r="L67" s="6" t="s">
        <v>99</v>
      </c>
      <c r="M67" s="6" t="s">
        <v>95</v>
      </c>
      <c r="N67" s="6" t="s">
        <v>91</v>
      </c>
      <c r="O67" s="6" t="s">
        <v>94</v>
      </c>
      <c r="P67" s="6" t="s">
        <v>101</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20</v>
      </c>
      <c r="FT67" s="3" t="s">
        <v>69</v>
      </c>
      <c r="FU67" t="s">
        <v>25</v>
      </c>
      <c r="FV67" t="s">
        <v>26</v>
      </c>
      <c r="FW67" t="s">
        <v>70</v>
      </c>
      <c r="FX67" t="s">
        <v>71</v>
      </c>
      <c r="FZ67" s="6" t="str">
        <f>GN67</f>
        <v>n</v>
      </c>
      <c r="GA67" s="6" t="s">
        <v>97</v>
      </c>
      <c r="GB67" s="6" t="s">
        <v>98</v>
      </c>
      <c r="GC67" s="6" t="s">
        <v>93</v>
      </c>
      <c r="GD67" s="6" t="s">
        <v>96</v>
      </c>
      <c r="GE67" s="6" t="s">
        <v>115</v>
      </c>
      <c r="GF67" s="6" t="s">
        <v>76</v>
      </c>
      <c r="GG67" s="6" t="s">
        <v>100</v>
      </c>
      <c r="GH67" s="6" t="s">
        <v>99</v>
      </c>
      <c r="GI67" s="6" t="s">
        <v>95</v>
      </c>
      <c r="GJ67" s="6" t="s">
        <v>91</v>
      </c>
      <c r="GK67" s="6" t="s">
        <v>94</v>
      </c>
      <c r="GL67" s="6" t="s">
        <v>101</v>
      </c>
      <c r="GN67" s="6" t="s">
        <v>20</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01_r=3,d=3,p=0.0005,noise=uniform,c=midout_color_code_Z,q=9,gates=all.stim</v>
      </c>
      <c r="B68" cm="1">
        <f t="array" aca="1" ref="B68" ca="1">INDIRECT($A$67&amp;"!b"&amp;ROW(D1)+$B$64)</f>
        <v>9</v>
      </c>
      <c r="C68">
        <f ca="1">MIN(INDIRECT($A$67&amp;"!d"&amp;ROW(E1)+$B$64),BU68:CG68)</f>
        <v>2</v>
      </c>
      <c r="E68">
        <f t="shared" ref="E68:P72" ca="1" si="43">MATCH($A68,INDIRECT("'"&amp;E$67&amp;"'!A:A"),)</f>
        <v>30</v>
      </c>
      <c r="F68">
        <f t="shared" ca="1" si="43"/>
        <v>31</v>
      </c>
      <c r="G68">
        <f t="shared" ca="1" si="43"/>
        <v>30</v>
      </c>
      <c r="H68">
        <f t="shared" ca="1" si="43"/>
        <v>30</v>
      </c>
      <c r="I68">
        <f t="shared" ca="1" si="43"/>
        <v>30</v>
      </c>
      <c r="J68">
        <f t="shared" ca="1" si="43"/>
        <v>30</v>
      </c>
      <c r="K68">
        <f t="shared" ca="1" si="43"/>
        <v>32</v>
      </c>
      <c r="L68">
        <f t="shared" ca="1" si="43"/>
        <v>34</v>
      </c>
      <c r="M68">
        <f t="shared" ca="1" si="43"/>
        <v>36</v>
      </c>
      <c r="N68">
        <f t="shared" ca="1" si="43"/>
        <v>30</v>
      </c>
      <c r="O68">
        <f t="shared" ca="1" si="43"/>
        <v>30</v>
      </c>
      <c r="P68">
        <f t="shared" ca="1" si="43"/>
        <v>30</v>
      </c>
      <c r="V68" cm="1">
        <f t="array" aca="1" ref="V68" ca="1">IF(ISNA(E68),$B68,OFFSET(INDIRECT("'"&amp;V$67&amp;"'!d1"),E68-1,))</f>
        <v>2</v>
      </c>
      <c r="W68" cm="1">
        <f t="array" aca="1" ref="W68" ca="1">IF(ISNA(F68),,OFFSET(INDIRECT("'"&amp;W$67&amp;"'!d1"),F68-1,))</f>
        <v>2</v>
      </c>
      <c r="X68" cm="1">
        <f t="array" aca="1" ref="X68" ca="1">IF(ISNA(G68),,OFFSET(INDIRECT("'"&amp;X$67&amp;"'!d1"),G68-1,))</f>
        <v>2</v>
      </c>
      <c r="Y68" cm="1">
        <f t="array" aca="1" ref="Y68" ca="1">IF(ISNA(H68),,OFFSET(INDIRECT("'"&amp;Y$67&amp;"'!d1"),H68-1,))</f>
        <v>2</v>
      </c>
      <c r="Z68" cm="1">
        <f t="array" aca="1" ref="Z68" ca="1">IF(ISNA(I68),,OFFSET(INDIRECT("'"&amp;Z$67&amp;"'!d1"),I68-1,))</f>
        <v>2</v>
      </c>
      <c r="AA68" cm="1">
        <f t="array" aca="1" ref="AA68" ca="1">IF(ISNA(J68),,OFFSET(INDIRECT("'"&amp;AA$67&amp;"'!d1"),J68-1,))</f>
        <v>2</v>
      </c>
      <c r="AB68" cm="1">
        <f t="array" aca="1" ref="AB68" ca="1">IF(ISNA(K68),,OFFSET(INDIRECT("'"&amp;AB$67&amp;"'!d1"),K68-1,))</f>
        <v>2</v>
      </c>
      <c r="AC68" cm="1">
        <f t="array" aca="1" ref="AC68" ca="1">IF(ISNA(L68),,OFFSET(INDIRECT("'"&amp;AC$67&amp;"'!d1"),L68-1,))</f>
        <v>2</v>
      </c>
      <c r="AD68" cm="1">
        <f t="array" aca="1" ref="AD68" ca="1">IF(ISNA(M68),,OFFSET(INDIRECT("'"&amp;AD$67&amp;"'!d1"),M68-1,))</f>
        <v>2</v>
      </c>
      <c r="AE68" cm="1">
        <f t="array" aca="1" ref="AE68" ca="1">IF(ISNA(N68),,OFFSET(INDIRECT("'"&amp;AE$67&amp;"'!d1"),N68-1,))</f>
        <v>2</v>
      </c>
      <c r="AF68" cm="1">
        <f t="array" aca="1" ref="AF68" ca="1">IF(ISNA(O68),,OFFSET(INDIRECT("'"&amp;AF$67&amp;"'!d1"),O68-1,))</f>
        <v>2</v>
      </c>
      <c r="AG68" cm="1">
        <f t="array" aca="1" ref="AG68" ca="1">IF(ISNA(P68),,OFFSET(INDIRECT("'"&amp;AG$67&amp;"'!d1"),P68-1,))</f>
        <v>2</v>
      </c>
      <c r="AM68">
        <f ca="1">IF(DC68&gt;= $N$3,0,BD68)</f>
        <v>1</v>
      </c>
      <c r="AN68">
        <f t="shared" ref="AN68:AP72" ca="1" si="44">IF(DD68&gt;= $N$3,0,BE68)</f>
        <v>1</v>
      </c>
      <c r="AO68">
        <f t="shared" ca="1" si="44"/>
        <v>1</v>
      </c>
      <c r="AP68">
        <f t="shared" ca="1" si="44"/>
        <v>1</v>
      </c>
      <c r="AQ68">
        <f ca="1">IF(DG68*1&gt;= $N$3,0,BH68)</f>
        <v>1</v>
      </c>
      <c r="AV68" t="b">
        <f ca="1">IF(AM68=1,CL68=1,"")</f>
        <v>1</v>
      </c>
      <c r="AW68" t="b">
        <f t="shared" ref="AW68:AZ72" ca="1" si="45">IF(AN68=1,CM68=1,"")</f>
        <v>1</v>
      </c>
      <c r="AX68" t="b">
        <f t="shared" ca="1" si="45"/>
        <v>1</v>
      </c>
      <c r="AY68" t="b">
        <f t="shared" ca="1" si="45"/>
        <v>1</v>
      </c>
      <c r="AZ68" t="b">
        <f t="shared" ca="1" si="45"/>
        <v>1</v>
      </c>
      <c r="BD68">
        <f t="shared" ref="BD68:BO72"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1</v>
      </c>
      <c r="BN68">
        <f t="shared" ca="1" si="46"/>
        <v>1</v>
      </c>
      <c r="BO68">
        <f t="shared" ca="1" si="46"/>
        <v>1</v>
      </c>
      <c r="BU68">
        <f t="shared" ref="BU68:CF72" ca="1" si="47">IF(BD68,V68,$B68)</f>
        <v>2</v>
      </c>
      <c r="BV68">
        <f t="shared" ca="1" si="47"/>
        <v>2</v>
      </c>
      <c r="BW68">
        <f t="shared" ca="1" si="47"/>
        <v>2</v>
      </c>
      <c r="BX68">
        <f t="shared" ca="1" si="47"/>
        <v>2</v>
      </c>
      <c r="BY68">
        <f t="shared" ca="1" si="47"/>
        <v>2</v>
      </c>
      <c r="BZ68">
        <f t="shared" ca="1" si="47"/>
        <v>2</v>
      </c>
      <c r="CA68">
        <f t="shared" ca="1" si="47"/>
        <v>2</v>
      </c>
      <c r="CB68">
        <f t="shared" ca="1" si="47"/>
        <v>2</v>
      </c>
      <c r="CC68">
        <f t="shared" ca="1" si="47"/>
        <v>2</v>
      </c>
      <c r="CD68">
        <f t="shared" ca="1" si="47"/>
        <v>2</v>
      </c>
      <c r="CE68">
        <f t="shared" ca="1" si="47"/>
        <v>2</v>
      </c>
      <c r="CF68">
        <f t="shared" ca="1" si="47"/>
        <v>2</v>
      </c>
      <c r="CL68">
        <f t="shared" ref="CL68:CW72"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1</v>
      </c>
      <c r="CV68">
        <f t="shared" ca="1" si="48"/>
        <v>1</v>
      </c>
      <c r="CW68">
        <f t="shared" ca="1" si="48"/>
        <v>1</v>
      </c>
      <c r="DC68" cm="1">
        <f t="array" aca="1" ref="DC68" ca="1">IF(ISNA(E68),,OFFSET(INDIRECT("'"&amp;DT$67&amp;"'!f1"),E68-1,))*1</f>
        <v>2.7512993663549399E-2</v>
      </c>
      <c r="DD68" cm="1">
        <f t="array" aca="1" ref="DD68" ca="1">IF(ISNA(F68),,OFFSET(INDIRECT("'"&amp;DU$67&amp;"'!f1"),F68-1,))*1</f>
        <v>2.9424435459077299E-2</v>
      </c>
      <c r="DE68" cm="1">
        <f t="array" aca="1" ref="DE68" ca="1">IF(ISNA(G68),,OFFSET(INDIRECT("'"&amp;DV$67&amp;"'!f1"),G68-1,))*1</f>
        <v>1.7176060006022401E-2</v>
      </c>
      <c r="DF68" cm="1">
        <f t="array" aca="1" ref="DF68" ca="1">IF(ISNA(H68),,OFFSET(INDIRECT("'"&amp;DW$67&amp;"'!f1"),H68-1,))*1</f>
        <v>2.1901873871684002E-2</v>
      </c>
      <c r="DG68" cm="1">
        <f t="array" aca="1" ref="DG68" ca="1">IF(ISNA(I68),,OFFSET(INDIRECT("'"&amp;DX$67&amp;"'!f1"),I68-1,))*1</f>
        <v>8.0064042005687897E-2</v>
      </c>
      <c r="DH68" cm="1">
        <f t="array" aca="1" ref="DH68" ca="1">IF(ISNA(J68),,OFFSET(INDIRECT("'"&amp;DY$67&amp;"'!f1"),J68-1,))*1</f>
        <v>4.3228450231254101E-2</v>
      </c>
      <c r="DI68" cm="1">
        <f t="array" aca="1" ref="DI68" ca="1">IF(ISNA(K68),,OFFSET(INDIRECT("'"&amp;DZ$67&amp;"'!f1"),K68-1,))*1</f>
        <v>1.2407271536067099</v>
      </c>
      <c r="DJ68" cm="1">
        <f t="array" aca="1" ref="DJ68" ca="1">IF(ISNA(L68),,OFFSET(INDIRECT("'"&amp;EA$67&amp;"'!f1"),L68-1,))*1</f>
        <v>1.99231495056301</v>
      </c>
      <c r="DK68" cm="1">
        <f t="array" aca="1" ref="DK68" ca="1">IF(ISNA(M68),,OFFSET(INDIRECT("'"&amp;EB$67&amp;"'!f1"),M68-1,))*1</f>
        <v>14.091158438473901</v>
      </c>
      <c r="DL68" cm="1">
        <f t="array" aca="1" ref="DL68" ca="1">IF(ISNA(N68),,OFFSET(INDIRECT("'"&amp;EC$67&amp;"'!f1"),N68-1,))*1</f>
        <v>8.4345266222953796E-3</v>
      </c>
      <c r="DM68" cm="1">
        <f t="array" aca="1" ref="DM68" ca="1">IF(ISNA(O68),,OFFSET(INDIRECT("'"&amp;ED$67&amp;"'!f1"),O68-1,))*1</f>
        <v>7.5287371873855504E-3</v>
      </c>
      <c r="DN68" cm="1">
        <f t="array" aca="1" ref="DN68" ca="1">IF(ISNA(P68),,OFFSET(INDIRECT("'"&amp;EE$67&amp;"'!f1"),P68-1,))*1</f>
        <v>7.6651200652122498E-3</v>
      </c>
      <c r="DT68">
        <f ca="1">IF(CL68,EK68,)</f>
        <v>1</v>
      </c>
      <c r="DU68">
        <f t="shared" ref="DU68:EE72" ca="1" si="49">IF(CM68,EL68,)</f>
        <v>1</v>
      </c>
      <c r="DV68">
        <f t="shared" ca="1" si="49"/>
        <v>1</v>
      </c>
      <c r="DW68">
        <f t="shared" ca="1" si="49"/>
        <v>1</v>
      </c>
      <c r="DX68">
        <f t="shared" ca="1" si="49"/>
        <v>1</v>
      </c>
      <c r="DY68">
        <f t="shared" ca="1" si="49"/>
        <v>1</v>
      </c>
      <c r="DZ68">
        <f t="shared" ca="1" si="49"/>
        <v>9969</v>
      </c>
      <c r="EA68">
        <f t="shared" ca="1" si="49"/>
        <v>10000</v>
      </c>
      <c r="EB68">
        <f t="shared" ca="1" si="49"/>
        <v>8708</v>
      </c>
      <c r="EC68">
        <f t="shared" ca="1" si="49"/>
        <v>1</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9969</v>
      </c>
      <c r="ER68" cm="1">
        <f t="array" aca="1" ref="ER68" ca="1">IF(ISNA(L68),0,OFFSET(INDIRECT("'"&amp;ER$67&amp;"'!g1"),L68-1,)*CS68)</f>
        <v>10000</v>
      </c>
      <c r="ES68" cm="1">
        <f t="array" aca="1" ref="ES68" ca="1">IF(ISNA(M68),0,OFFSET(INDIRECT("'"&amp;ES$67&amp;"'!g1"),M68-1,)*CT68)</f>
        <v>8708</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9</v>
      </c>
      <c r="FT68">
        <f ca="1">OFFSET($DC68,,$FT$66-1)</f>
        <v>1.2407271536067099</v>
      </c>
      <c r="FU68">
        <f ca="1">OFFSET($DT68,,$FT$66-1)</f>
        <v>9969</v>
      </c>
      <c r="FV68">
        <f ca="1">OFFSET($FB68,,$FT$66-1)</f>
        <v>10000</v>
      </c>
      <c r="FW68" s="4">
        <f ca="1">IF(FV68,FU68/FV68,NA())</f>
        <v>0.99690000000000001</v>
      </c>
      <c r="FX68" s="5">
        <f ca="1">IF(FU68,FT68/FU68,NA())</f>
        <v>1.2445853682482795E-4</v>
      </c>
      <c r="FZ68" s="13">
        <f t="shared" ref="FZ68:FZ72" ca="1" si="50">GN68</f>
        <v>9</v>
      </c>
      <c r="GA68" s="23">
        <f ca="1">IF(BD68,(BU68-$C68)/$C68,NA())</f>
        <v>0</v>
      </c>
      <c r="GB68" s="23">
        <f t="shared" ref="GB68:GL72"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v>
      </c>
      <c r="GJ68" s="23">
        <f t="shared" ca="1" si="51"/>
        <v>0</v>
      </c>
      <c r="GK68" s="23">
        <f t="shared" ca="1" si="51"/>
        <v>0</v>
      </c>
      <c r="GL68" s="23">
        <f t="shared" ca="1" si="51"/>
        <v>0</v>
      </c>
      <c r="GM68" s="23"/>
      <c r="GN68">
        <f ca="1">B68</f>
        <v>9</v>
      </c>
      <c r="GO68" s="5">
        <f ca="1">IF(AND(AM68&gt;0,DT68&gt;0),DC68/DT68,NA())</f>
        <v>2.7512993663549399E-2</v>
      </c>
      <c r="GP68" s="5">
        <f t="shared" ref="GP68:GS72" ca="1" si="52">IF(AND(AN68&gt;0,DU68&gt;0),DD68/DU68,NA())</f>
        <v>2.9424435459077299E-2</v>
      </c>
      <c r="GQ68" s="5">
        <f t="shared" ca="1" si="52"/>
        <v>1.7176060006022401E-2</v>
      </c>
      <c r="GR68" s="5">
        <f t="shared" ca="1" si="52"/>
        <v>2.1901873871684002E-2</v>
      </c>
      <c r="GS68" s="5">
        <f t="shared" ca="1" si="52"/>
        <v>8.0064042005687897E-2</v>
      </c>
      <c r="GT68" s="5">
        <f ca="1">IF(DY68&gt;0,DH68/DY68,NA())</f>
        <v>4.3228450231254101E-2</v>
      </c>
      <c r="GU68" s="5">
        <f t="shared" ref="GU68:GZ72" ca="1" si="53">IF(DZ68&gt;0,DI68/DZ68,NA())</f>
        <v>1.2445853682482795E-4</v>
      </c>
      <c r="GV68" s="5">
        <f t="shared" ca="1" si="53"/>
        <v>1.9923149505630101E-4</v>
      </c>
      <c r="GW68" s="5">
        <f t="shared" ca="1" si="53"/>
        <v>1.6181853971605307E-3</v>
      </c>
      <c r="GX68" s="5">
        <f t="shared" ca="1" si="53"/>
        <v>8.4345266222953796E-3</v>
      </c>
      <c r="GY68" s="5">
        <f t="shared" ca="1" si="53"/>
        <v>7.5287371873855504E-3</v>
      </c>
      <c r="GZ68" s="5">
        <f t="shared" ca="1" si="53"/>
        <v>3.8325600326061249E-3</v>
      </c>
      <c r="HB68" s="13">
        <f t="shared" ref="HB68:HB72" ca="1" si="54">GN68</f>
        <v>9</v>
      </c>
      <c r="HC68" s="4">
        <f ca="1">IF(FB68,DT68/FB68,)</f>
        <v>1</v>
      </c>
      <c r="HD68" s="4">
        <f t="shared" ref="HD68:HN72" ca="1" si="55">IF(FC68,DU68/FC68,)</f>
        <v>1</v>
      </c>
      <c r="HE68" s="4">
        <f t="shared" ca="1" si="55"/>
        <v>1</v>
      </c>
      <c r="HF68" s="4">
        <f t="shared" ca="1" si="55"/>
        <v>1</v>
      </c>
      <c r="HG68" s="4">
        <f t="shared" ca="1" si="55"/>
        <v>1</v>
      </c>
      <c r="HH68" s="4">
        <f t="shared" ca="1" si="55"/>
        <v>1</v>
      </c>
      <c r="HI68" s="4">
        <f t="shared" ca="1" si="55"/>
        <v>0.99690000000000001</v>
      </c>
      <c r="HJ68" s="4">
        <f t="shared" ca="1" si="55"/>
        <v>1</v>
      </c>
      <c r="HK68" s="4">
        <f t="shared" ca="1" si="55"/>
        <v>0.87080000000000002</v>
      </c>
      <c r="HL68" s="4">
        <f t="shared" ca="1" si="55"/>
        <v>1</v>
      </c>
      <c r="HM68" s="4">
        <f t="shared" ca="1" si="55"/>
        <v>1</v>
      </c>
      <c r="HN68" s="4">
        <f t="shared" ca="1" si="55"/>
        <v>1</v>
      </c>
    </row>
    <row r="69" spans="1:222" x14ac:dyDescent="0.2">
      <c r="A69" t="str" cm="1">
        <f t="array" aca="1" ref="A69" ca="1">INDIRECT($A$67&amp;"!A"&amp;ROW(C2)+$B$64)</f>
        <v>02_r=5,d=5,p=0.0005,noise=uniform,c=midout_color_code_Z,q=23,gates=all.stim</v>
      </c>
      <c r="B69" cm="1">
        <f t="array" aca="1" ref="B69" ca="1">INDIRECT($A$67&amp;"!b"&amp;ROW(D2)+$B$64)</f>
        <v>23</v>
      </c>
      <c r="C69">
        <f t="shared" ref="C69:C72" ca="1" si="56">MIN(INDIRECT($A$67&amp;"!d"&amp;ROW(E2)+$B$64),BU69:CG69)</f>
        <v>3</v>
      </c>
      <c r="E69">
        <f t="shared" ca="1" si="43"/>
        <v>31</v>
      </c>
      <c r="F69">
        <f t="shared" ca="1" si="43"/>
        <v>32</v>
      </c>
      <c r="G69">
        <f t="shared" ca="1" si="43"/>
        <v>31</v>
      </c>
      <c r="H69">
        <f t="shared" ca="1" si="43"/>
        <v>31</v>
      </c>
      <c r="I69">
        <f t="shared" ca="1" si="43"/>
        <v>31</v>
      </c>
      <c r="J69">
        <f t="shared" ca="1" si="43"/>
        <v>31</v>
      </c>
      <c r="K69">
        <f t="shared" ca="1" si="43"/>
        <v>33</v>
      </c>
      <c r="L69">
        <f t="shared" ca="1" si="43"/>
        <v>35</v>
      </c>
      <c r="M69">
        <f t="shared" ca="1" si="43"/>
        <v>37</v>
      </c>
      <c r="N69">
        <f t="shared" ca="1" si="43"/>
        <v>31</v>
      </c>
      <c r="O69">
        <f t="shared" ca="1" si="43"/>
        <v>31</v>
      </c>
      <c r="P69">
        <f t="shared" ca="1" si="43"/>
        <v>31</v>
      </c>
      <c r="V69" cm="1">
        <f t="array" aca="1" ref="V69" ca="1">IF(ISNA(E69),,OFFSET(INDIRECT("'"&amp;V$67&amp;"'!d1"),E69-1,))</f>
        <v>3</v>
      </c>
      <c r="W69" cm="1">
        <f t="array" aca="1" ref="W69" ca="1">IF(ISNA(F69),,OFFSET(INDIRECT("'"&amp;W$67&amp;"'!d1"),F69-1,))</f>
        <v>3</v>
      </c>
      <c r="X69" cm="1">
        <f t="array" aca="1" ref="X69" ca="1">IF(ISNA(G69),,OFFSET(INDIRECT("'"&amp;X$67&amp;"'!d1"),G69-1,))</f>
        <v>3</v>
      </c>
      <c r="Y69" cm="1">
        <f t="array" aca="1" ref="Y69" ca="1">IF(ISNA(H69),,OFFSET(INDIRECT("'"&amp;Y$67&amp;"'!d1"),H69-1,))</f>
        <v>3</v>
      </c>
      <c r="Z69" cm="1">
        <f t="array" aca="1" ref="Z69" ca="1">IF(ISNA(I69),,OFFSET(INDIRECT("'"&amp;Z$67&amp;"'!d1"),I69-1,))</f>
        <v>3</v>
      </c>
      <c r="AA69" cm="1">
        <f t="array" aca="1" ref="AA69" ca="1">IF(ISNA(J69),,OFFSET(INDIRECT("'"&amp;AA$67&amp;"'!d1"),J69-1,))</f>
        <v>3</v>
      </c>
      <c r="AB69" cm="1">
        <f t="array" aca="1" ref="AB69" ca="1">IF(ISNA(K69),,OFFSET(INDIRECT("'"&amp;AB$67&amp;"'!d1"),K69-1,))</f>
        <v>3</v>
      </c>
      <c r="AC69" cm="1">
        <f t="array" aca="1" ref="AC69" ca="1">IF(ISNA(L69),,OFFSET(INDIRECT("'"&amp;AC$67&amp;"'!d1"),L69-1,))</f>
        <v>3</v>
      </c>
      <c r="AD69" cm="1">
        <f t="array" aca="1" ref="AD69" ca="1">IF(ISNA(M69),,OFFSET(INDIRECT("'"&amp;AD$67&amp;"'!d1"),M69-1,))</f>
        <v>3</v>
      </c>
      <c r="AE69" cm="1">
        <f t="array" aca="1" ref="AE69" ca="1">IF(ISNA(N69),,OFFSET(INDIRECT("'"&amp;AE$67&amp;"'!d1"),N69-1,))</f>
        <v>3</v>
      </c>
      <c r="AF69" cm="1">
        <f t="array" aca="1" ref="AF69" ca="1">IF(ISNA(O69),,OFFSET(INDIRECT("'"&amp;AF$67&amp;"'!d1"),O69-1,))</f>
        <v>3</v>
      </c>
      <c r="AG69" cm="1">
        <f t="array" aca="1" ref="AG69" ca="1">IF(ISNA(P69),,OFFSET(INDIRECT("'"&amp;AG$67&amp;"'!d1"),P69-1,))</f>
        <v>3</v>
      </c>
      <c r="AM69">
        <f t="shared" ref="AM69:AM72" ca="1" si="57">IF(DC69&gt;= $N$3,0,BD69)</f>
        <v>1</v>
      </c>
      <c r="AN69">
        <f t="shared" ca="1" si="44"/>
        <v>1</v>
      </c>
      <c r="AO69">
        <f t="shared" ca="1" si="44"/>
        <v>1</v>
      </c>
      <c r="AP69">
        <f t="shared" ca="1" si="44"/>
        <v>1</v>
      </c>
      <c r="AQ69">
        <f t="shared" ref="AQ69:AQ72" ca="1" si="58">IF(DG69*1&gt;= $N$3,0,BH69)</f>
        <v>1</v>
      </c>
      <c r="AV69" t="b">
        <f t="shared" ref="AV69:AV72" ca="1" si="59">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1</v>
      </c>
      <c r="BN69">
        <f t="shared" ca="1" si="46"/>
        <v>1</v>
      </c>
      <c r="BO69">
        <f t="shared" ca="1" si="46"/>
        <v>1</v>
      </c>
      <c r="BU69">
        <f t="shared" ca="1" si="47"/>
        <v>3</v>
      </c>
      <c r="BV69">
        <f t="shared" ca="1" si="47"/>
        <v>3</v>
      </c>
      <c r="BW69">
        <f t="shared" ca="1" si="47"/>
        <v>3</v>
      </c>
      <c r="BX69">
        <f t="shared" ca="1" si="47"/>
        <v>3</v>
      </c>
      <c r="BY69">
        <f t="shared" ca="1" si="47"/>
        <v>3</v>
      </c>
      <c r="BZ69">
        <f t="shared" ca="1" si="47"/>
        <v>3</v>
      </c>
      <c r="CA69">
        <f t="shared" ca="1" si="47"/>
        <v>3</v>
      </c>
      <c r="CB69">
        <f t="shared" ca="1" si="47"/>
        <v>3</v>
      </c>
      <c r="CC69">
        <f t="shared" ca="1" si="47"/>
        <v>3</v>
      </c>
      <c r="CD69">
        <f t="shared" ca="1" si="47"/>
        <v>3</v>
      </c>
      <c r="CE69">
        <f t="shared" ca="1" si="47"/>
        <v>3</v>
      </c>
      <c r="CF69">
        <f t="shared" ca="1" si="47"/>
        <v>3</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1</v>
      </c>
      <c r="CV69">
        <f t="shared" ca="1" si="48"/>
        <v>1</v>
      </c>
      <c r="CW69">
        <f t="shared" ca="1" si="48"/>
        <v>1</v>
      </c>
      <c r="DC69" cm="1">
        <f t="array" aca="1" ref="DC69" ca="1">IF(ISNA(E69),,OFFSET(INDIRECT("'"&amp;DT$67&amp;"'!f1"),E69-1,))*1</f>
        <v>7.4008594267070293E-2</v>
      </c>
      <c r="DD69" cm="1">
        <f t="array" aca="1" ref="DD69" ca="1">IF(ISNA(F69),,OFFSET(INDIRECT("'"&amp;DU$67&amp;"'!f1"),F69-1,))*1</f>
        <v>0.20817310921847801</v>
      </c>
      <c r="DE69" cm="1">
        <f t="array" aca="1" ref="DE69" ca="1">IF(ISNA(G69),,OFFSET(INDIRECT("'"&amp;DV$67&amp;"'!f1"),G69-1,))*1</f>
        <v>0.29100400768220402</v>
      </c>
      <c r="DF69" cm="1">
        <f t="array" aca="1" ref="DF69" ca="1">IF(ISNA(H69),,OFFSET(INDIRECT("'"&amp;DW$67&amp;"'!f1"),H69-1,))*1</f>
        <v>4.50808415189385E-2</v>
      </c>
      <c r="DG69" cm="1">
        <f t="array" aca="1" ref="DG69" ca="1">IF(ISNA(I69),,OFFSET(INDIRECT("'"&amp;DX$67&amp;"'!f1"),I69-1,))*1</f>
        <v>0.18317616599961101</v>
      </c>
      <c r="DH69" cm="1">
        <f t="array" aca="1" ref="DH69" ca="1">IF(ISNA(J69),,OFFSET(INDIRECT("'"&amp;DY$67&amp;"'!f1"),J69-1,))*1</f>
        <v>0.160980167798697</v>
      </c>
      <c r="DI69" cm="1">
        <f t="array" aca="1" ref="DI69" ca="1">IF(ISNA(K69),,OFFSET(INDIRECT("'"&amp;DZ$67&amp;"'!f1"),K69-1,))*1</f>
        <v>3.7177878124639299</v>
      </c>
      <c r="DJ69" cm="1">
        <f t="array" aca="1" ref="DJ69" ca="1">IF(ISNA(L69),,OFFSET(INDIRECT("'"&amp;EA$67&amp;"'!f1"),L69-1,))*1</f>
        <v>5.8908464852720499</v>
      </c>
      <c r="DK69" cm="1">
        <f t="array" aca="1" ref="DK69" ca="1">IF(ISNA(M69),,OFFSET(INDIRECT("'"&amp;EB$67&amp;"'!f1"),M69-1,))*1</f>
        <v>64.336106018163207</v>
      </c>
      <c r="DL69" cm="1">
        <f t="array" aca="1" ref="DL69" ca="1">IF(ISNA(N69),,OFFSET(INDIRECT("'"&amp;EC$67&amp;"'!f1"),N69-1,))*1</f>
        <v>3.4055508673191001E-2</v>
      </c>
      <c r="DM69" cm="1">
        <f t="array" aca="1" ref="DM69" ca="1">IF(ISNA(O69),,OFFSET(INDIRECT("'"&amp;ED$67&amp;"'!f1"),O69-1,))*1</f>
        <v>3.4765690565109197E-2</v>
      </c>
      <c r="DN69" cm="1">
        <f t="array" aca="1" ref="DN69" ca="1">IF(ISNA(P69),,OFFSET(INDIRECT("'"&amp;EE$67&amp;"'!f1"),P69-1,))*1</f>
        <v>4.43292781710624E-2</v>
      </c>
      <c r="DT69">
        <f t="shared" ref="DT69:DT72" ca="1" si="60">IF(CL69,EK69,)</f>
        <v>1</v>
      </c>
      <c r="DU69">
        <f t="shared" ca="1" si="49"/>
        <v>1</v>
      </c>
      <c r="DV69">
        <f t="shared" ca="1" si="49"/>
        <v>1</v>
      </c>
      <c r="DW69">
        <f t="shared" ca="1" si="49"/>
        <v>1</v>
      </c>
      <c r="DX69">
        <f t="shared" ca="1" si="49"/>
        <v>1</v>
      </c>
      <c r="DY69">
        <f t="shared" ca="1" si="49"/>
        <v>1</v>
      </c>
      <c r="DZ69">
        <f t="shared" ca="1" si="49"/>
        <v>9241</v>
      </c>
      <c r="EA69">
        <f t="shared" ca="1" si="49"/>
        <v>9993</v>
      </c>
      <c r="EB69">
        <f t="shared" ca="1" si="49"/>
        <v>9741</v>
      </c>
      <c r="EC69">
        <f t="shared" ca="1" si="49"/>
        <v>1</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9241</v>
      </c>
      <c r="ER69" cm="1">
        <f t="array" aca="1" ref="ER69" ca="1">IF(ISNA(L69),0,OFFSET(INDIRECT("'"&amp;ER$67&amp;"'!g1"),L69-1,)*CS69)</f>
        <v>9993</v>
      </c>
      <c r="ES69" cm="1">
        <f t="array" aca="1" ref="ES69" ca="1">IF(ISNA(M69),0,OFFSET(INDIRECT("'"&amp;ES$67&amp;"'!g1"),M69-1,)*CT69)</f>
        <v>9741</v>
      </c>
      <c r="ET69" cm="1">
        <f t="array" aca="1" ref="ET69" ca="1">IF(ISNA(N69),0,OFFSET(INDIRECT("'"&amp;ET$67&amp;"'!g1"),N69-1,)*CU69)</f>
        <v>1</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72" ca="1" si="61">B69</f>
        <v>23</v>
      </c>
      <c r="FT69">
        <f t="shared" ref="FT69:FT72" ca="1" si="62">OFFSET($DC69,,$FT$66-1)</f>
        <v>3.7177878124639299</v>
      </c>
      <c r="FU69">
        <f t="shared" ref="FU69:FU72" ca="1" si="63">OFFSET($DT69,,$FT$66-1)</f>
        <v>9241</v>
      </c>
      <c r="FV69">
        <f t="shared" ref="FV69:FV72" ca="1" si="64">OFFSET($FB69,,$FT$66-1)</f>
        <v>10000</v>
      </c>
      <c r="FW69" s="4">
        <f t="shared" ref="FW69:FW72" ca="1" si="65">IF(FV69,FU69/FV69,NA())</f>
        <v>0.92410000000000003</v>
      </c>
      <c r="FX69" s="5">
        <f t="shared" ref="FX69:FX72" ca="1" si="66">IF(FU69,FT69/FU69,NA())</f>
        <v>4.0231444783723948E-4</v>
      </c>
      <c r="FZ69" s="13">
        <f t="shared" ca="1" si="50"/>
        <v>23</v>
      </c>
      <c r="GA69" s="23">
        <f t="shared" ref="GA69:GA72" ca="1" si="67">IF(BD69,(BU69-$C69)/$C69,NA())</f>
        <v>0</v>
      </c>
      <c r="GB69" s="23">
        <f t="shared" ca="1" si="51"/>
        <v>0</v>
      </c>
      <c r="GC69" s="23">
        <f t="shared" ca="1" si="51"/>
        <v>0</v>
      </c>
      <c r="GD69" s="23">
        <f t="shared" ca="1" si="51"/>
        <v>0</v>
      </c>
      <c r="GE69" s="23">
        <f t="shared" ca="1" si="51"/>
        <v>0</v>
      </c>
      <c r="GF69" s="23">
        <f t="shared" ca="1" si="51"/>
        <v>0</v>
      </c>
      <c r="GG69" s="23">
        <f t="shared" ca="1" si="51"/>
        <v>0</v>
      </c>
      <c r="GH69" s="23">
        <f t="shared" ca="1" si="51"/>
        <v>0</v>
      </c>
      <c r="GI69" s="23">
        <f t="shared" ca="1" si="51"/>
        <v>0</v>
      </c>
      <c r="GJ69" s="23">
        <f t="shared" ca="1" si="51"/>
        <v>0</v>
      </c>
      <c r="GK69" s="23">
        <f t="shared" ca="1" si="51"/>
        <v>0</v>
      </c>
      <c r="GL69" s="23">
        <f t="shared" ca="1" si="51"/>
        <v>0</v>
      </c>
      <c r="GM69" s="23"/>
      <c r="GN69">
        <f t="shared" ref="GN69:GN72" ca="1" si="68">B69</f>
        <v>23</v>
      </c>
      <c r="GO69" s="5">
        <f t="shared" ref="GO69:GO72" ca="1" si="69">IF(AND(AM69&gt;0,DT69&gt;0),DC69/DT69,NA())</f>
        <v>7.4008594267070293E-2</v>
      </c>
      <c r="GP69" s="5">
        <f t="shared" ca="1" si="52"/>
        <v>0.20817310921847801</v>
      </c>
      <c r="GQ69" s="5">
        <f t="shared" ca="1" si="52"/>
        <v>0.29100400768220402</v>
      </c>
      <c r="GR69" s="5">
        <f t="shared" ca="1" si="52"/>
        <v>4.50808415189385E-2</v>
      </c>
      <c r="GS69" s="5">
        <f t="shared" ca="1" si="52"/>
        <v>0.18317616599961101</v>
      </c>
      <c r="GT69" s="5">
        <f t="shared" ref="GT69:GT72" ca="1" si="70">IF(DY69&gt;0,DH69/DY69,NA())</f>
        <v>0.160980167798697</v>
      </c>
      <c r="GU69" s="5">
        <f t="shared" ca="1" si="53"/>
        <v>4.0231444783723948E-4</v>
      </c>
      <c r="GV69" s="5">
        <f t="shared" ca="1" si="53"/>
        <v>5.8949729663484941E-4</v>
      </c>
      <c r="GW69" s="5">
        <f t="shared" ca="1" si="53"/>
        <v>6.6046715961567814E-3</v>
      </c>
      <c r="GX69" s="5">
        <f t="shared" ca="1" si="53"/>
        <v>3.4055508673191001E-2</v>
      </c>
      <c r="GY69" s="5">
        <f t="shared" ca="1" si="53"/>
        <v>3.4765690565109197E-2</v>
      </c>
      <c r="GZ69" s="5">
        <f t="shared" ca="1" si="53"/>
        <v>2.21646390855312E-2</v>
      </c>
      <c r="HB69" s="13">
        <f t="shared" ca="1" si="54"/>
        <v>23</v>
      </c>
      <c r="HC69" s="4">
        <f t="shared" ref="HC69:HC72" ca="1" si="71">IF(FB69,DT69/FB69,)</f>
        <v>1</v>
      </c>
      <c r="HD69" s="4">
        <f t="shared" ca="1" si="55"/>
        <v>1</v>
      </c>
      <c r="HE69" s="4">
        <f t="shared" ca="1" si="55"/>
        <v>1</v>
      </c>
      <c r="HF69" s="4">
        <f t="shared" ca="1" si="55"/>
        <v>1</v>
      </c>
      <c r="HG69" s="4">
        <f t="shared" ca="1" si="55"/>
        <v>1</v>
      </c>
      <c r="HH69" s="4">
        <f t="shared" ca="1" si="55"/>
        <v>1</v>
      </c>
      <c r="HI69" s="4">
        <f t="shared" ca="1" si="55"/>
        <v>0.92410000000000003</v>
      </c>
      <c r="HJ69" s="4">
        <f t="shared" ca="1" si="55"/>
        <v>0.99929999999999997</v>
      </c>
      <c r="HK69" s="4">
        <f t="shared" ca="1" si="55"/>
        <v>0.97409999999999997</v>
      </c>
      <c r="HL69" s="4">
        <f t="shared" ca="1" si="55"/>
        <v>1</v>
      </c>
      <c r="HM69" s="4">
        <f t="shared" ca="1" si="55"/>
        <v>1</v>
      </c>
      <c r="HN69" s="4">
        <f t="shared" ca="1" si="55"/>
        <v>1</v>
      </c>
    </row>
    <row r="70" spans="1:222" x14ac:dyDescent="0.2">
      <c r="A70" t="str" cm="1">
        <f t="array" aca="1" ref="A70" ca="1">INDIRECT($A$67&amp;"!A"&amp;ROW(C3)+$B$64)</f>
        <v>03_r=7,d=7,p=0.0005,noise=uniform,c=midout_color_code_Z,q=43,gates=all.stim</v>
      </c>
      <c r="B70" cm="1">
        <f t="array" aca="1" ref="B70" ca="1">INDIRECT($A$67&amp;"!b"&amp;ROW(D3)+$B$64)</f>
        <v>43</v>
      </c>
      <c r="C70">
        <f t="shared" ca="1" si="56"/>
        <v>4</v>
      </c>
      <c r="E70">
        <f t="shared" ca="1" si="43"/>
        <v>32</v>
      </c>
      <c r="F70">
        <f t="shared" ca="1" si="43"/>
        <v>33</v>
      </c>
      <c r="G70">
        <f t="shared" ca="1" si="43"/>
        <v>32</v>
      </c>
      <c r="H70">
        <f t="shared" ca="1" si="43"/>
        <v>32</v>
      </c>
      <c r="I70">
        <f t="shared" ca="1" si="43"/>
        <v>32</v>
      </c>
      <c r="J70">
        <f t="shared" ca="1" si="43"/>
        <v>32</v>
      </c>
      <c r="K70">
        <f t="shared" ca="1" si="43"/>
        <v>34</v>
      </c>
      <c r="L70">
        <f t="shared" ca="1" si="43"/>
        <v>36</v>
      </c>
      <c r="M70">
        <f t="shared" ca="1" si="43"/>
        <v>38</v>
      </c>
      <c r="N70">
        <f t="shared" ca="1" si="43"/>
        <v>32</v>
      </c>
      <c r="O70">
        <f t="shared" ca="1" si="43"/>
        <v>32</v>
      </c>
      <c r="P70">
        <f t="shared" ca="1" si="43"/>
        <v>32</v>
      </c>
      <c r="V70" cm="1">
        <f t="array" aca="1" ref="V70" ca="1">IF(ISNA(E70),,OFFSET(INDIRECT("'"&amp;V$67&amp;"'!d1"),E70-1,))</f>
        <v>4</v>
      </c>
      <c r="W70" cm="1">
        <f t="array" aca="1" ref="W70" ca="1">IF(ISNA(F70),,OFFSET(INDIRECT("'"&amp;W$67&amp;"'!d1"),F70-1,))</f>
        <v>4</v>
      </c>
      <c r="X70" cm="1">
        <f t="array" aca="1" ref="X70" ca="1">IF(ISNA(G70),,OFFSET(INDIRECT("'"&amp;X$67&amp;"'!d1"),G70-1,))</f>
        <v>4</v>
      </c>
      <c r="Y70" cm="1">
        <f t="array" aca="1" ref="Y70" ca="1">IF(ISNA(H70),,OFFSET(INDIRECT("'"&amp;Y$67&amp;"'!d1"),H70-1,))</f>
        <v>4</v>
      </c>
      <c r="Z70" cm="1">
        <f t="array" aca="1" ref="Z70" ca="1">IF(ISNA(I70),,OFFSET(INDIRECT("'"&amp;Z$67&amp;"'!d1"),I70-1,))</f>
        <v>4</v>
      </c>
      <c r="AA70" cm="1">
        <f t="array" aca="1" ref="AA70" ca="1">IF(ISNA(J70),,OFFSET(INDIRECT("'"&amp;AA$67&amp;"'!d1"),J70-1,))</f>
        <v>4</v>
      </c>
      <c r="AB70" cm="1">
        <f t="array" aca="1" ref="AB70" ca="1">IF(ISNA(K70),,OFFSET(INDIRECT("'"&amp;AB$67&amp;"'!d1"),K70-1,))</f>
        <v>4</v>
      </c>
      <c r="AC70" cm="1">
        <f t="array" aca="1" ref="AC70" ca="1">IF(ISNA(L70),,OFFSET(INDIRECT("'"&amp;AC$67&amp;"'!d1"),L70-1,))</f>
        <v>4</v>
      </c>
      <c r="AD70" cm="1">
        <f t="array" aca="1" ref="AD70" ca="1">IF(ISNA(M70),,OFFSET(INDIRECT("'"&amp;AD$67&amp;"'!d1"),M70-1,))</f>
        <v>4</v>
      </c>
      <c r="AE70" cm="1">
        <f t="array" aca="1" ref="AE70" ca="1">IF(ISNA(N70),,OFFSET(INDIRECT("'"&amp;AE$67&amp;"'!d1"),N70-1,))</f>
        <v>4</v>
      </c>
      <c r="AF70" cm="1">
        <f t="array" aca="1" ref="AF70" ca="1">IF(ISNA(O70),,OFFSET(INDIRECT("'"&amp;AF$67&amp;"'!d1"),O70-1,))</f>
        <v>4</v>
      </c>
      <c r="AG70" cm="1">
        <f t="array" aca="1" ref="AG70" ca="1">IF(ISNA(P70),,OFFSET(INDIRECT("'"&amp;AG$67&amp;"'!d1"),P70-1,))</f>
        <v>4</v>
      </c>
      <c r="AM70">
        <f t="shared" ca="1" si="57"/>
        <v>1</v>
      </c>
      <c r="AN70">
        <f t="shared" ca="1" si="44"/>
        <v>1</v>
      </c>
      <c r="AO70">
        <f t="shared" ca="1" si="44"/>
        <v>1</v>
      </c>
      <c r="AP70">
        <f t="shared" ca="1" si="44"/>
        <v>1</v>
      </c>
      <c r="AQ70">
        <f t="shared" ca="1" si="58"/>
        <v>1</v>
      </c>
      <c r="AV70" t="b">
        <f t="shared" ca="1" si="59"/>
        <v>1</v>
      </c>
      <c r="AW70" t="b">
        <f t="shared" ca="1" si="45"/>
        <v>1</v>
      </c>
      <c r="AX70" t="b">
        <f t="shared" ca="1" si="45"/>
        <v>1</v>
      </c>
      <c r="AY70" t="b">
        <f t="shared" ca="1" si="45"/>
        <v>1</v>
      </c>
      <c r="AZ70" t="b">
        <f t="shared" ca="1" si="45"/>
        <v>1</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1</v>
      </c>
      <c r="BN70">
        <f t="shared" ca="1" si="46"/>
        <v>1</v>
      </c>
      <c r="BO70">
        <f t="shared" ca="1" si="46"/>
        <v>1</v>
      </c>
      <c r="BU70">
        <f t="shared" ca="1" si="47"/>
        <v>4</v>
      </c>
      <c r="BV70">
        <f t="shared" ca="1" si="47"/>
        <v>4</v>
      </c>
      <c r="BW70">
        <f t="shared" ca="1" si="47"/>
        <v>4</v>
      </c>
      <c r="BX70">
        <f t="shared" ca="1" si="47"/>
        <v>4</v>
      </c>
      <c r="BY70">
        <f t="shared" ca="1" si="47"/>
        <v>4</v>
      </c>
      <c r="BZ70">
        <f t="shared" ca="1" si="47"/>
        <v>4</v>
      </c>
      <c r="CA70">
        <f t="shared" ca="1" si="47"/>
        <v>4</v>
      </c>
      <c r="CB70">
        <f t="shared" ca="1" si="47"/>
        <v>4</v>
      </c>
      <c r="CC70">
        <f t="shared" ca="1" si="47"/>
        <v>4</v>
      </c>
      <c r="CD70">
        <f t="shared" ca="1" si="47"/>
        <v>4</v>
      </c>
      <c r="CE70">
        <f t="shared" ca="1" si="47"/>
        <v>4</v>
      </c>
      <c r="CF70">
        <f t="shared" ca="1" si="47"/>
        <v>4</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1</v>
      </c>
      <c r="CV70">
        <f t="shared" ca="1" si="48"/>
        <v>1</v>
      </c>
      <c r="CW70">
        <f t="shared" ca="1" si="48"/>
        <v>1</v>
      </c>
      <c r="DC70" cm="1">
        <f t="array" aca="1" ref="DC70" ca="1">IF(ISNA(E70),,OFFSET(INDIRECT("'"&amp;DT$67&amp;"'!f1"),E70-1,))*1</f>
        <v>0.33227230608463199</v>
      </c>
      <c r="DD70" cm="1">
        <f t="array" aca="1" ref="DD70" ca="1">IF(ISNA(F70),,OFFSET(INDIRECT("'"&amp;DU$67&amp;"'!f1"),F70-1,))*1</f>
        <v>3.3656012425199102</v>
      </c>
      <c r="DE70" cm="1">
        <f t="array" aca="1" ref="DE70" ca="1">IF(ISNA(G70),,OFFSET(INDIRECT("'"&amp;DV$67&amp;"'!f1"),G70-1,))*1</f>
        <v>3.5061257351189798</v>
      </c>
      <c r="DF70" cm="1">
        <f t="array" aca="1" ref="DF70" ca="1">IF(ISNA(H70),,OFFSET(INDIRECT("'"&amp;DW$67&amp;"'!f1"),H70-1,))*1</f>
        <v>9.3786180019378607E-2</v>
      </c>
      <c r="DG70" cm="1">
        <f t="array" aca="1" ref="DG70" ca="1">IF(ISNA(I70),,OFFSET(INDIRECT("'"&amp;DX$67&amp;"'!f1"),I70-1,))*1</f>
        <v>2.58922641701065</v>
      </c>
      <c r="DH70" cm="1">
        <f t="array" aca="1" ref="DH70" ca="1">IF(ISNA(J70),,OFFSET(INDIRECT("'"&amp;DY$67&amp;"'!f1"),J70-1,))*1</f>
        <v>0.67037741001695395</v>
      </c>
      <c r="DI70" cm="1">
        <f t="array" aca="1" ref="DI70" ca="1">IF(ISNA(K70),,OFFSET(INDIRECT("'"&amp;DZ$67&amp;"'!f1"),K70-1,))*1</f>
        <v>13.3563392581418</v>
      </c>
      <c r="DJ70" cm="1">
        <f t="array" aca="1" ref="DJ70" ca="1">IF(ISNA(L70),,OFFSET(INDIRECT("'"&amp;EA$67&amp;"'!f1"),L70-1,))*1</f>
        <v>16.9914525179192</v>
      </c>
      <c r="DK70" cm="1">
        <f t="array" aca="1" ref="DK70" ca="1">IF(ISNA(M70),,OFFSET(INDIRECT("'"&amp;EB$67&amp;"'!f1"),M70-1,))*1</f>
        <v>185.04095250647501</v>
      </c>
      <c r="DL70" cm="1">
        <f t="array" aca="1" ref="DL70" ca="1">IF(ISNA(N70),,OFFSET(INDIRECT("'"&amp;EC$67&amp;"'!f1"),N70-1,))*1</f>
        <v>0.10841768980026199</v>
      </c>
      <c r="DM70" cm="1">
        <f t="array" aca="1" ref="DM70" ca="1">IF(ISNA(O70),,OFFSET(INDIRECT("'"&amp;ED$67&amp;"'!f1"),O70-1,))*1</f>
        <v>0.123513966798782</v>
      </c>
      <c r="DN70" cm="1">
        <f t="array" aca="1" ref="DN70" ca="1">IF(ISNA(P70),,OFFSET(INDIRECT("'"&amp;EE$67&amp;"'!f1"),P70-1,))*1</f>
        <v>0.13142703473567899</v>
      </c>
      <c r="DT70">
        <f t="shared" ca="1" si="60"/>
        <v>1</v>
      </c>
      <c r="DU70">
        <f t="shared" ca="1" si="49"/>
        <v>1</v>
      </c>
      <c r="DV70">
        <f t="shared" ca="1" si="49"/>
        <v>1</v>
      </c>
      <c r="DW70">
        <f t="shared" ca="1" si="49"/>
        <v>1</v>
      </c>
      <c r="DX70">
        <f t="shared" ca="1" si="49"/>
        <v>1</v>
      </c>
      <c r="DY70">
        <f t="shared" ca="1" si="49"/>
        <v>1</v>
      </c>
      <c r="DZ70">
        <f t="shared" ca="1" si="49"/>
        <v>6742</v>
      </c>
      <c r="EA70">
        <f t="shared" ca="1" si="49"/>
        <v>9897</v>
      </c>
      <c r="EB70">
        <f t="shared" ca="1" si="49"/>
        <v>8459</v>
      </c>
      <c r="EC70">
        <f t="shared" ca="1" si="49"/>
        <v>1</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6742</v>
      </c>
      <c r="ER70" cm="1">
        <f t="array" aca="1" ref="ER70" ca="1">IF(ISNA(L70),0,OFFSET(INDIRECT("'"&amp;ER$67&amp;"'!g1"),L70-1,)*CS70)</f>
        <v>9897</v>
      </c>
      <c r="ES70" cm="1">
        <f t="array" aca="1" ref="ES70" ca="1">IF(ISNA(M70),0,OFFSET(INDIRECT("'"&amp;ES$67&amp;"'!g1"),M70-1,)*CT70)</f>
        <v>8459</v>
      </c>
      <c r="ET70" cm="1">
        <f t="array" aca="1" ref="ET70" ca="1">IF(ISNA(N70),0,OFFSET(INDIRECT("'"&amp;ET$67&amp;"'!g1"),N70-1,)*CU70)</f>
        <v>1</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2</v>
      </c>
      <c r="FN70" s="10"/>
      <c r="FO70" s="10"/>
      <c r="FP70" s="10"/>
      <c r="FQ70" s="10"/>
      <c r="FS70">
        <f t="shared" ca="1" si="61"/>
        <v>43</v>
      </c>
      <c r="FT70">
        <f t="shared" ca="1" si="62"/>
        <v>13.3563392581418</v>
      </c>
      <c r="FU70">
        <f t="shared" ca="1" si="63"/>
        <v>6742</v>
      </c>
      <c r="FV70">
        <f t="shared" ca="1" si="64"/>
        <v>10000</v>
      </c>
      <c r="FW70" s="4">
        <f t="shared" ca="1" si="65"/>
        <v>0.67420000000000002</v>
      </c>
      <c r="FX70" s="5">
        <f t="shared" ca="1" si="66"/>
        <v>1.9810648558501631E-3</v>
      </c>
      <c r="FZ70" s="13">
        <f t="shared" ca="1" si="50"/>
        <v>43</v>
      </c>
      <c r="GA70" s="23">
        <f t="shared" ca="1" si="67"/>
        <v>0</v>
      </c>
      <c r="GB70" s="23">
        <f t="shared" ca="1" si="51"/>
        <v>0</v>
      </c>
      <c r="GC70" s="23">
        <f t="shared" ca="1" si="51"/>
        <v>0</v>
      </c>
      <c r="GD70" s="23">
        <f t="shared" ca="1" si="51"/>
        <v>0</v>
      </c>
      <c r="GE70" s="23">
        <f t="shared" ca="1" si="51"/>
        <v>0</v>
      </c>
      <c r="GF70" s="23">
        <f t="shared" ca="1" si="51"/>
        <v>0</v>
      </c>
      <c r="GG70" s="23">
        <f t="shared" ca="1" si="51"/>
        <v>0</v>
      </c>
      <c r="GH70" s="23">
        <f t="shared" ca="1" si="51"/>
        <v>0</v>
      </c>
      <c r="GI70" s="23">
        <f t="shared" ca="1" si="51"/>
        <v>0</v>
      </c>
      <c r="GJ70" s="23">
        <f t="shared" ca="1" si="51"/>
        <v>0</v>
      </c>
      <c r="GK70" s="23">
        <f t="shared" ca="1" si="51"/>
        <v>0</v>
      </c>
      <c r="GL70" s="23">
        <f t="shared" ca="1" si="51"/>
        <v>0</v>
      </c>
      <c r="GM70" s="23"/>
      <c r="GN70">
        <f t="shared" ca="1" si="68"/>
        <v>43</v>
      </c>
      <c r="GO70" s="5">
        <f t="shared" ca="1" si="69"/>
        <v>0.33227230608463199</v>
      </c>
      <c r="GP70" s="5">
        <f t="shared" ca="1" si="52"/>
        <v>3.3656012425199102</v>
      </c>
      <c r="GQ70" s="5">
        <f t="shared" ca="1" si="52"/>
        <v>3.5061257351189798</v>
      </c>
      <c r="GR70" s="5">
        <f t="shared" ca="1" si="52"/>
        <v>9.3786180019378607E-2</v>
      </c>
      <c r="GS70" s="5">
        <f t="shared" ca="1" si="52"/>
        <v>2.58922641701065</v>
      </c>
      <c r="GT70" s="5">
        <f t="shared" ca="1" si="70"/>
        <v>0.67037741001695395</v>
      </c>
      <c r="GU70" s="5">
        <f t="shared" ca="1" si="53"/>
        <v>1.9810648558501631E-3</v>
      </c>
      <c r="GV70" s="5">
        <f t="shared" ca="1" si="53"/>
        <v>1.71682858623009E-3</v>
      </c>
      <c r="GW70" s="5">
        <f t="shared" ca="1" si="53"/>
        <v>2.1875038716925761E-2</v>
      </c>
      <c r="GX70" s="5">
        <f t="shared" ca="1" si="53"/>
        <v>0.10841768980026199</v>
      </c>
      <c r="GY70" s="5">
        <f t="shared" ca="1" si="53"/>
        <v>0.123513966798782</v>
      </c>
      <c r="GZ70" s="5">
        <f t="shared" ca="1" si="53"/>
        <v>6.5713517367839494E-2</v>
      </c>
      <c r="HB70" s="13">
        <f t="shared" ca="1" si="54"/>
        <v>43</v>
      </c>
      <c r="HC70" s="4">
        <f t="shared" ca="1" si="71"/>
        <v>1</v>
      </c>
      <c r="HD70" s="4">
        <f t="shared" ca="1" si="55"/>
        <v>1</v>
      </c>
      <c r="HE70" s="4">
        <f t="shared" ca="1" si="55"/>
        <v>1</v>
      </c>
      <c r="HF70" s="4">
        <f t="shared" ca="1" si="55"/>
        <v>1</v>
      </c>
      <c r="HG70" s="4">
        <f t="shared" ca="1" si="55"/>
        <v>1</v>
      </c>
      <c r="HH70" s="4">
        <f t="shared" ca="1" si="55"/>
        <v>1</v>
      </c>
      <c r="HI70" s="4">
        <f t="shared" ca="1" si="55"/>
        <v>0.67420000000000002</v>
      </c>
      <c r="HJ70" s="4">
        <f t="shared" ca="1" si="55"/>
        <v>0.98970000000000002</v>
      </c>
      <c r="HK70" s="4">
        <f t="shared" ca="1" si="55"/>
        <v>0.84589999999999999</v>
      </c>
      <c r="HL70" s="4">
        <f t="shared" ca="1" si="55"/>
        <v>1</v>
      </c>
      <c r="HM70" s="4">
        <f t="shared" ca="1" si="55"/>
        <v>1</v>
      </c>
      <c r="HN70" s="4">
        <f t="shared" ca="1" si="55"/>
        <v>1</v>
      </c>
    </row>
    <row r="71" spans="1:222" x14ac:dyDescent="0.2">
      <c r="A71" t="str" cm="1">
        <f t="array" aca="1" ref="A71" ca="1">INDIRECT($A$67&amp;"!A"&amp;ROW(C4)+$B$64)</f>
        <v>04_r=9,d=9,p=0.0005,noise=uniform,c=midout_color_code_Z,q=69,gates=all.stim</v>
      </c>
      <c r="B71" cm="1">
        <f t="array" aca="1" ref="B71" ca="1">INDIRECT($A$67&amp;"!b"&amp;ROW(D4)+$B$64)</f>
        <v>69</v>
      </c>
      <c r="C71">
        <f t="shared" ca="1" si="56"/>
        <v>5</v>
      </c>
      <c r="E71">
        <f t="shared" ca="1" si="43"/>
        <v>33</v>
      </c>
      <c r="F71">
        <f t="shared" ca="1" si="43"/>
        <v>34</v>
      </c>
      <c r="G71">
        <f t="shared" ca="1" si="43"/>
        <v>33</v>
      </c>
      <c r="H71">
        <f t="shared" ca="1" si="43"/>
        <v>33</v>
      </c>
      <c r="I71">
        <f t="shared" ca="1" si="43"/>
        <v>33</v>
      </c>
      <c r="J71">
        <f t="shared" ca="1" si="43"/>
        <v>33</v>
      </c>
      <c r="K71">
        <f t="shared" ca="1" si="43"/>
        <v>35</v>
      </c>
      <c r="L71">
        <f t="shared" ca="1" si="43"/>
        <v>37</v>
      </c>
      <c r="M71">
        <f t="shared" ca="1" si="43"/>
        <v>39</v>
      </c>
      <c r="N71">
        <f t="shared" ca="1" si="43"/>
        <v>33</v>
      </c>
      <c r="O71">
        <f t="shared" ca="1" si="43"/>
        <v>33</v>
      </c>
      <c r="P71">
        <f t="shared" ca="1" si="43"/>
        <v>33</v>
      </c>
      <c r="V71" cm="1">
        <f t="array" aca="1" ref="V71" ca="1">IF(ISNA(E71),,OFFSET(INDIRECT("'"&amp;V$67&amp;"'!d1"),E71-1,))</f>
        <v>5</v>
      </c>
      <c r="W71" cm="1">
        <f t="array" aca="1" ref="W71" ca="1">IF(ISNA(F71),,OFFSET(INDIRECT("'"&amp;W$67&amp;"'!d1"),F71-1,))</f>
        <v>5</v>
      </c>
      <c r="X71" cm="1">
        <f t="array" aca="1" ref="X71" ca="1">IF(ISNA(G71),,OFFSET(INDIRECT("'"&amp;X$67&amp;"'!d1"),G71-1,))</f>
        <v>5</v>
      </c>
      <c r="Y71" cm="1">
        <f t="array" aca="1" ref="Y71" ca="1">IF(ISNA(H71),,OFFSET(INDIRECT("'"&amp;Y$67&amp;"'!d1"),H71-1,))</f>
        <v>5</v>
      </c>
      <c r="Z71" cm="1">
        <f t="array" aca="1" ref="Z71" ca="1">IF(ISNA(I71),,OFFSET(INDIRECT("'"&amp;Z$67&amp;"'!d1"),I71-1,))</f>
        <v>5</v>
      </c>
      <c r="AA71" cm="1">
        <f t="array" aca="1" ref="AA71" ca="1">IF(ISNA(J71),,OFFSET(INDIRECT("'"&amp;AA$67&amp;"'!d1"),J71-1,))</f>
        <v>5</v>
      </c>
      <c r="AB71" cm="1">
        <f t="array" aca="1" ref="AB71" ca="1">IF(ISNA(K71),,OFFSET(INDIRECT("'"&amp;AB$67&amp;"'!d1"),K71-1,))</f>
        <v>5</v>
      </c>
      <c r="AC71" cm="1">
        <f t="array" aca="1" ref="AC71" ca="1">IF(ISNA(L71),,OFFSET(INDIRECT("'"&amp;AC$67&amp;"'!d1"),L71-1,))</f>
        <v>5</v>
      </c>
      <c r="AD71" cm="1">
        <f t="array" aca="1" ref="AD71" ca="1">IF(ISNA(M71),,OFFSET(INDIRECT("'"&amp;AD$67&amp;"'!d1"),M71-1,))</f>
        <v>5</v>
      </c>
      <c r="AE71" cm="1">
        <f t="array" aca="1" ref="AE71" ca="1">IF(ISNA(N71),,OFFSET(INDIRECT("'"&amp;AE$67&amp;"'!d1"),N71-1,))</f>
        <v>5</v>
      </c>
      <c r="AF71" cm="1">
        <f t="array" aca="1" ref="AF71" ca="1">IF(ISNA(O71),,OFFSET(INDIRECT("'"&amp;AF$67&amp;"'!d1"),O71-1,))</f>
        <v>5</v>
      </c>
      <c r="AG71" cm="1">
        <f t="array" aca="1" ref="AG71" ca="1">IF(ISNA(P71),,OFFSET(INDIRECT("'"&amp;AG$67&amp;"'!d1"),P71-1,))</f>
        <v>5</v>
      </c>
      <c r="AM71">
        <f t="shared" ca="1" si="57"/>
        <v>1</v>
      </c>
      <c r="AN71">
        <f t="shared" ca="1" si="44"/>
        <v>1</v>
      </c>
      <c r="AO71">
        <f t="shared" ca="1" si="44"/>
        <v>1</v>
      </c>
      <c r="AP71">
        <f t="shared" ca="1" si="44"/>
        <v>1</v>
      </c>
      <c r="AQ71">
        <f t="shared" ca="1" si="58"/>
        <v>1</v>
      </c>
      <c r="AV71" t="b">
        <f t="shared" ca="1" si="59"/>
        <v>1</v>
      </c>
      <c r="AW71" t="b">
        <f t="shared" ca="1" si="45"/>
        <v>1</v>
      </c>
      <c r="AX71" t="b">
        <f t="shared" ca="1" si="45"/>
        <v>1</v>
      </c>
      <c r="AY71" t="b">
        <f t="shared" ca="1" si="45"/>
        <v>1</v>
      </c>
      <c r="AZ71" t="b">
        <f t="shared" ca="1" si="45"/>
        <v>1</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1</v>
      </c>
      <c r="BN71">
        <f t="shared" ca="1" si="46"/>
        <v>1</v>
      </c>
      <c r="BO71">
        <f t="shared" ca="1" si="46"/>
        <v>1</v>
      </c>
      <c r="BU71">
        <f t="shared" ca="1" si="47"/>
        <v>5</v>
      </c>
      <c r="BV71">
        <f t="shared" ca="1" si="47"/>
        <v>5</v>
      </c>
      <c r="BW71">
        <f t="shared" ca="1" si="47"/>
        <v>5</v>
      </c>
      <c r="BX71">
        <f t="shared" ca="1" si="47"/>
        <v>5</v>
      </c>
      <c r="BY71">
        <f t="shared" ca="1" si="47"/>
        <v>5</v>
      </c>
      <c r="BZ71">
        <f t="shared" ca="1" si="47"/>
        <v>5</v>
      </c>
      <c r="CA71">
        <f t="shared" ca="1" si="47"/>
        <v>5</v>
      </c>
      <c r="CB71">
        <f t="shared" ca="1" si="47"/>
        <v>5</v>
      </c>
      <c r="CC71">
        <f t="shared" ca="1" si="47"/>
        <v>5</v>
      </c>
      <c r="CD71">
        <f t="shared" ca="1" si="47"/>
        <v>5</v>
      </c>
      <c r="CE71">
        <f t="shared" ca="1" si="47"/>
        <v>5</v>
      </c>
      <c r="CF71">
        <f t="shared" ca="1" si="47"/>
        <v>5</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1</v>
      </c>
      <c r="CV71">
        <f t="shared" ca="1" si="48"/>
        <v>1</v>
      </c>
      <c r="CW71">
        <f t="shared" ca="1" si="48"/>
        <v>1</v>
      </c>
      <c r="DC71" cm="1">
        <f t="array" aca="1" ref="DC71" ca="1">IF(ISNA(E71),,OFFSET(INDIRECT("'"&amp;DT$67&amp;"'!f1"),E71-1,))*1</f>
        <v>16.1788858957588</v>
      </c>
      <c r="DD71" cm="1">
        <f t="array" aca="1" ref="DD71" ca="1">IF(ISNA(F71),,OFFSET(INDIRECT("'"&amp;DU$67&amp;"'!f1"),F71-1,))*1</f>
        <v>200.896356576122</v>
      </c>
      <c r="DE71" cm="1">
        <f t="array" aca="1" ref="DE71" ca="1">IF(ISNA(G71),,OFFSET(INDIRECT("'"&amp;DV$67&amp;"'!f1"),G71-1,))*1</f>
        <v>282.82248129695603</v>
      </c>
      <c r="DF71" cm="1">
        <f t="array" aca="1" ref="DF71" ca="1">IF(ISNA(H71),,OFFSET(INDIRECT("'"&amp;DW$67&amp;"'!f1"),H71-1,))*1</f>
        <v>0.29212403949350102</v>
      </c>
      <c r="DG71" cm="1">
        <f t="array" aca="1" ref="DG71" ca="1">IF(ISNA(I71),,OFFSET(INDIRECT("'"&amp;DX$67&amp;"'!f1"),I71-1,))*1</f>
        <v>16074.7688292079</v>
      </c>
      <c r="DH71" cm="1">
        <f t="array" aca="1" ref="DH71" ca="1">IF(ISNA(J71),,OFFSET(INDIRECT("'"&amp;DY$67&amp;"'!f1"),J71-1,))*1</f>
        <v>3.2037961427122301</v>
      </c>
      <c r="DI71" cm="1">
        <f t="array" aca="1" ref="DI71" ca="1">IF(ISNA(K71),,OFFSET(INDIRECT("'"&amp;DZ$67&amp;"'!f1"),K71-1,))*1</f>
        <v>65.682257263921201</v>
      </c>
      <c r="DJ71" cm="1">
        <f t="array" aca="1" ref="DJ71" ca="1">IF(ISNA(L71),,OFFSET(INDIRECT("'"&amp;EA$67&amp;"'!f1"),L71-1,))*1</f>
        <v>67.655144479125696</v>
      </c>
      <c r="DK71" cm="1">
        <f t="array" aca="1" ref="DK71" ca="1">IF(ISNA(M71),,OFFSET(INDIRECT("'"&amp;EB$67&amp;"'!f1"),M71-1,))*1</f>
        <v>563.95007825642801</v>
      </c>
      <c r="DL71" cm="1">
        <f t="array" aca="1" ref="DL71" ca="1">IF(ISNA(N71),,OFFSET(INDIRECT("'"&amp;EC$67&amp;"'!f1"),N71-1,))*1</f>
        <v>0.31770424544811199</v>
      </c>
      <c r="DM71" cm="1">
        <f t="array" aca="1" ref="DM71" ca="1">IF(ISNA(O71),,OFFSET(INDIRECT("'"&amp;ED$67&amp;"'!f1"),O71-1,))*1</f>
        <v>0.53221753984689701</v>
      </c>
      <c r="DN71" cm="1">
        <f t="array" aca="1" ref="DN71" ca="1">IF(ISNA(P71),,OFFSET(INDIRECT("'"&amp;EE$67&amp;"'!f1"),P71-1,))*1</f>
        <v>0.52764818817377002</v>
      </c>
      <c r="DT71">
        <f t="shared" ca="1" si="60"/>
        <v>1</v>
      </c>
      <c r="DU71">
        <f t="shared" ca="1" si="49"/>
        <v>1</v>
      </c>
      <c r="DV71">
        <f t="shared" ca="1" si="49"/>
        <v>1</v>
      </c>
      <c r="DW71">
        <f t="shared" ca="1" si="49"/>
        <v>1</v>
      </c>
      <c r="DX71">
        <f t="shared" ca="1" si="49"/>
        <v>1</v>
      </c>
      <c r="DY71">
        <f t="shared" ca="1" si="49"/>
        <v>1</v>
      </c>
      <c r="DZ71">
        <f t="shared" ca="1" si="49"/>
        <v>2860</v>
      </c>
      <c r="EA71">
        <f t="shared" ca="1" si="49"/>
        <v>8727</v>
      </c>
      <c r="EB71">
        <f t="shared" ca="1" si="49"/>
        <v>6864</v>
      </c>
      <c r="EC71">
        <f t="shared" ca="1" si="49"/>
        <v>1</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2860</v>
      </c>
      <c r="ER71" cm="1">
        <f t="array" aca="1" ref="ER71" ca="1">IF(ISNA(L71),0,OFFSET(INDIRECT("'"&amp;ER$67&amp;"'!g1"),L71-1,)*CS71)</f>
        <v>8727</v>
      </c>
      <c r="ES71" cm="1">
        <f t="array" aca="1" ref="ES71" ca="1">IF(ISNA(M71),0,OFFSET(INDIRECT("'"&amp;ES$67&amp;"'!g1"),M71-1,)*CT71)</f>
        <v>6864</v>
      </c>
      <c r="ET71" cm="1">
        <f t="array" aca="1" ref="ET71" ca="1">IF(ISNA(N71),0,OFFSET(INDIRECT("'"&amp;ET$67&amp;"'!g1"),N71-1,)*CU71)</f>
        <v>1</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2</v>
      </c>
      <c r="FN71" s="10"/>
      <c r="FO71" s="10"/>
      <c r="FP71" s="10"/>
      <c r="FQ71" s="10"/>
      <c r="FS71">
        <f t="shared" ca="1" si="61"/>
        <v>69</v>
      </c>
      <c r="FT71">
        <f t="shared" ca="1" si="62"/>
        <v>65.682257263921201</v>
      </c>
      <c r="FU71">
        <f t="shared" ca="1" si="63"/>
        <v>2860</v>
      </c>
      <c r="FV71">
        <f t="shared" ca="1" si="64"/>
        <v>10000</v>
      </c>
      <c r="FW71" s="4">
        <f t="shared" ca="1" si="65"/>
        <v>0.28599999999999998</v>
      </c>
      <c r="FX71" s="5">
        <f t="shared" ca="1" si="66"/>
        <v>2.2965824218154265E-2</v>
      </c>
      <c r="FZ71" s="13">
        <f t="shared" ca="1" si="50"/>
        <v>69</v>
      </c>
      <c r="GA71" s="23">
        <f t="shared" ca="1" si="67"/>
        <v>0</v>
      </c>
      <c r="GB71" s="23">
        <f t="shared" ca="1" si="51"/>
        <v>0</v>
      </c>
      <c r="GC71" s="23">
        <f t="shared" ca="1" si="51"/>
        <v>0</v>
      </c>
      <c r="GD71" s="23">
        <f t="shared" ca="1" si="51"/>
        <v>0</v>
      </c>
      <c r="GE71" s="23">
        <f t="shared" ca="1" si="51"/>
        <v>0</v>
      </c>
      <c r="GF71" s="23">
        <f t="shared" ca="1" si="51"/>
        <v>0</v>
      </c>
      <c r="GG71" s="23">
        <f t="shared" ca="1" si="51"/>
        <v>0</v>
      </c>
      <c r="GH71" s="23">
        <f t="shared" ca="1" si="51"/>
        <v>0</v>
      </c>
      <c r="GI71" s="23">
        <f t="shared" ca="1" si="51"/>
        <v>0</v>
      </c>
      <c r="GJ71" s="23">
        <f t="shared" ca="1" si="51"/>
        <v>0</v>
      </c>
      <c r="GK71" s="23">
        <f t="shared" ca="1" si="51"/>
        <v>0</v>
      </c>
      <c r="GL71" s="23">
        <f t="shared" ca="1" si="51"/>
        <v>0</v>
      </c>
      <c r="GM71" s="23"/>
      <c r="GN71">
        <f t="shared" ca="1" si="68"/>
        <v>69</v>
      </c>
      <c r="GO71" s="5">
        <f t="shared" ca="1" si="69"/>
        <v>16.1788858957588</v>
      </c>
      <c r="GP71" s="5">
        <f t="shared" ca="1" si="52"/>
        <v>200.896356576122</v>
      </c>
      <c r="GQ71" s="5">
        <f t="shared" ca="1" si="52"/>
        <v>282.82248129695603</v>
      </c>
      <c r="GR71" s="5">
        <f t="shared" ca="1" si="52"/>
        <v>0.29212403949350102</v>
      </c>
      <c r="GS71" s="5">
        <f t="shared" ca="1" si="52"/>
        <v>16074.7688292079</v>
      </c>
      <c r="GT71" s="5">
        <f t="shared" ca="1" si="70"/>
        <v>3.2037961427122301</v>
      </c>
      <c r="GU71" s="5">
        <f t="shared" ca="1" si="53"/>
        <v>2.2965824218154265E-2</v>
      </c>
      <c r="GV71" s="5">
        <f t="shared" ca="1" si="53"/>
        <v>7.752394233886295E-3</v>
      </c>
      <c r="GW71" s="5">
        <f t="shared" ca="1" si="53"/>
        <v>8.2160559186542539E-2</v>
      </c>
      <c r="GX71" s="5">
        <f t="shared" ca="1" si="53"/>
        <v>0.31770424544811199</v>
      </c>
      <c r="GY71" s="5">
        <f t="shared" ca="1" si="53"/>
        <v>0.53221753984689701</v>
      </c>
      <c r="GZ71" s="5">
        <f t="shared" ca="1" si="53"/>
        <v>0.26382409408688501</v>
      </c>
      <c r="HB71" s="13">
        <f t="shared" ca="1" si="54"/>
        <v>69</v>
      </c>
      <c r="HC71" s="4">
        <f t="shared" ca="1" si="71"/>
        <v>1</v>
      </c>
      <c r="HD71" s="4">
        <f t="shared" ca="1" si="55"/>
        <v>1</v>
      </c>
      <c r="HE71" s="4">
        <f t="shared" ca="1" si="55"/>
        <v>1</v>
      </c>
      <c r="HF71" s="4">
        <f t="shared" ca="1" si="55"/>
        <v>1</v>
      </c>
      <c r="HG71" s="4">
        <f t="shared" ca="1" si="55"/>
        <v>1</v>
      </c>
      <c r="HH71" s="4">
        <f t="shared" ca="1" si="55"/>
        <v>1</v>
      </c>
      <c r="HI71" s="4">
        <f t="shared" ca="1" si="55"/>
        <v>0.28599999999999998</v>
      </c>
      <c r="HJ71" s="4">
        <f t="shared" ca="1" si="55"/>
        <v>0.87270000000000003</v>
      </c>
      <c r="HK71" s="4">
        <f t="shared" ca="1" si="55"/>
        <v>0.68640000000000001</v>
      </c>
      <c r="HL71" s="4">
        <f t="shared" ca="1" si="55"/>
        <v>1</v>
      </c>
      <c r="HM71" s="4">
        <f t="shared" ca="1" si="55"/>
        <v>1</v>
      </c>
      <c r="HN71" s="4">
        <f t="shared" ca="1" si="55"/>
        <v>1</v>
      </c>
    </row>
    <row r="72" spans="1:222" x14ac:dyDescent="0.2">
      <c r="A72" t="str" cm="1">
        <f t="array" aca="1" ref="A72" ca="1">INDIRECT($A$67&amp;"!A"&amp;ROW(C5)+$B$64)</f>
        <v>05_r=11,d=11,p=0.0005,noise=uniform,c=midout_color_code_Z,q=101,gates=all.stim</v>
      </c>
      <c r="B72" cm="1">
        <f t="array" aca="1" ref="B72" ca="1">INDIRECT($A$67&amp;"!b"&amp;ROW(D5)+$B$64)</f>
        <v>101</v>
      </c>
      <c r="C72">
        <f t="shared" ca="1" si="56"/>
        <v>6</v>
      </c>
      <c r="E72">
        <f t="shared" ca="1" si="43"/>
        <v>34</v>
      </c>
      <c r="F72">
        <f t="shared" ca="1" si="43"/>
        <v>35</v>
      </c>
      <c r="G72">
        <f t="shared" ca="1" si="43"/>
        <v>34</v>
      </c>
      <c r="H72">
        <f t="shared" ca="1" si="43"/>
        <v>34</v>
      </c>
      <c r="I72">
        <f t="shared" ca="1" si="43"/>
        <v>34</v>
      </c>
      <c r="J72">
        <f t="shared" ca="1" si="43"/>
        <v>34</v>
      </c>
      <c r="K72">
        <f t="shared" ca="1" si="43"/>
        <v>36</v>
      </c>
      <c r="L72">
        <f t="shared" ca="1" si="43"/>
        <v>38</v>
      </c>
      <c r="M72">
        <f t="shared" ca="1" si="43"/>
        <v>40</v>
      </c>
      <c r="N72">
        <f t="shared" ca="1" si="43"/>
        <v>34</v>
      </c>
      <c r="O72">
        <f t="shared" ca="1" si="43"/>
        <v>34</v>
      </c>
      <c r="P72">
        <f t="shared" ca="1" si="43"/>
        <v>34</v>
      </c>
      <c r="V72" cm="1">
        <f t="array" aca="1" ref="V72" ca="1">IF(ISNA(E72),,OFFSET(INDIRECT("'"&amp;V$67&amp;"'!d1"),E72-1,))</f>
        <v>6</v>
      </c>
      <c r="W72" cm="1">
        <f t="array" aca="1" ref="W72" ca="1">IF(ISNA(F72),,OFFSET(INDIRECT("'"&amp;W$67&amp;"'!d1"),F72-1,))</f>
        <v>6</v>
      </c>
      <c r="X72" cm="1">
        <f t="array" aca="1" ref="X72" ca="1">IF(ISNA(G72),,OFFSET(INDIRECT("'"&amp;X$67&amp;"'!d1"),G72-1,))</f>
        <v>6</v>
      </c>
      <c r="Y72" cm="1">
        <f t="array" aca="1" ref="Y72" ca="1">IF(ISNA(H72),,OFFSET(INDIRECT("'"&amp;Y$67&amp;"'!d1"),H72-1,))</f>
        <v>6</v>
      </c>
      <c r="Z72" cm="1">
        <f t="array" aca="1" ref="Z72" ca="1">IF(ISNA(I72),,OFFSET(INDIRECT("'"&amp;Z$67&amp;"'!d1"),I72-1,))</f>
        <v>6</v>
      </c>
      <c r="AA72" cm="1">
        <f t="array" aca="1" ref="AA72" ca="1">IF(ISNA(J72),,OFFSET(INDIRECT("'"&amp;AA$67&amp;"'!d1"),J72-1,))</f>
        <v>6</v>
      </c>
      <c r="AB72" cm="1">
        <f t="array" aca="1" ref="AB72" ca="1">IF(ISNA(K72),,OFFSET(INDIRECT("'"&amp;AB$67&amp;"'!d1"),K72-1,))</f>
        <v>6</v>
      </c>
      <c r="AC72" cm="1">
        <f t="array" aca="1" ref="AC72" ca="1">IF(ISNA(L72),,OFFSET(INDIRECT("'"&amp;AC$67&amp;"'!d1"),L72-1,))</f>
        <v>6</v>
      </c>
      <c r="AD72" cm="1">
        <f t="array" aca="1" ref="AD72" ca="1">IF(ISNA(M72),,OFFSET(INDIRECT("'"&amp;AD$67&amp;"'!d1"),M72-1,))</f>
        <v>6</v>
      </c>
      <c r="AE72" cm="1">
        <f t="array" aca="1" ref="AE72" ca="1">IF(ISNA(N72),,OFFSET(INDIRECT("'"&amp;AE$67&amp;"'!d1"),N72-1,))</f>
        <v>6</v>
      </c>
      <c r="AF72" cm="1">
        <f t="array" aca="1" ref="AF72" ca="1">IF(ISNA(O72),,OFFSET(INDIRECT("'"&amp;AF$67&amp;"'!d1"),O72-1,))</f>
        <v>6</v>
      </c>
      <c r="AG72" cm="1">
        <f t="array" aca="1" ref="AG72" ca="1">IF(ISNA(P72),,OFFSET(INDIRECT("'"&amp;AG$67&amp;"'!d1"),P72-1,))</f>
        <v>6</v>
      </c>
      <c r="AM72">
        <f t="shared" ca="1" si="57"/>
        <v>1</v>
      </c>
      <c r="AN72">
        <f t="shared" ca="1" si="44"/>
        <v>0</v>
      </c>
      <c r="AO72">
        <f t="shared" ca="1" si="44"/>
        <v>1</v>
      </c>
      <c r="AP72">
        <f t="shared" ca="1" si="44"/>
        <v>1</v>
      </c>
      <c r="AQ72">
        <f t="shared" ca="1" si="58"/>
        <v>0</v>
      </c>
      <c r="AV72" t="b">
        <f t="shared" ca="1" si="59"/>
        <v>1</v>
      </c>
      <c r="AW72" t="str">
        <f t="shared" ca="1" si="45"/>
        <v/>
      </c>
      <c r="AX72" t="b">
        <f t="shared" ca="1" si="45"/>
        <v>1</v>
      </c>
      <c r="AY72" t="b">
        <f t="shared" ca="1" si="45"/>
        <v>1</v>
      </c>
      <c r="AZ72" t="str">
        <f t="shared" ca="1" si="45"/>
        <v/>
      </c>
      <c r="BD72">
        <f t="shared" ca="1" si="46"/>
        <v>1</v>
      </c>
      <c r="BE72">
        <f t="shared" ca="1" si="46"/>
        <v>1</v>
      </c>
      <c r="BF72">
        <f t="shared" ca="1" si="46"/>
        <v>1</v>
      </c>
      <c r="BG72">
        <f t="shared" ca="1" si="46"/>
        <v>1</v>
      </c>
      <c r="BH72">
        <f t="shared" ca="1" si="46"/>
        <v>1</v>
      </c>
      <c r="BI72">
        <f t="shared" ca="1" si="46"/>
        <v>1</v>
      </c>
      <c r="BJ72">
        <f t="shared" ca="1" si="46"/>
        <v>1</v>
      </c>
      <c r="BK72">
        <f t="shared" ca="1" si="46"/>
        <v>1</v>
      </c>
      <c r="BL72">
        <f t="shared" ca="1" si="46"/>
        <v>1</v>
      </c>
      <c r="BM72">
        <f t="shared" ca="1" si="46"/>
        <v>1</v>
      </c>
      <c r="BN72">
        <f t="shared" ca="1" si="46"/>
        <v>1</v>
      </c>
      <c r="BO72">
        <f t="shared" ca="1" si="46"/>
        <v>1</v>
      </c>
      <c r="BU72">
        <f t="shared" ca="1" si="47"/>
        <v>6</v>
      </c>
      <c r="BV72">
        <f t="shared" ca="1" si="47"/>
        <v>6</v>
      </c>
      <c r="BW72">
        <f t="shared" ca="1" si="47"/>
        <v>6</v>
      </c>
      <c r="BX72">
        <f t="shared" ca="1" si="47"/>
        <v>6</v>
      </c>
      <c r="BY72">
        <f t="shared" ca="1" si="47"/>
        <v>6</v>
      </c>
      <c r="BZ72">
        <f t="shared" ca="1" si="47"/>
        <v>6</v>
      </c>
      <c r="CA72">
        <f t="shared" ca="1" si="47"/>
        <v>6</v>
      </c>
      <c r="CB72">
        <f t="shared" ca="1" si="47"/>
        <v>6</v>
      </c>
      <c r="CC72">
        <f t="shared" ca="1" si="47"/>
        <v>6</v>
      </c>
      <c r="CD72">
        <f t="shared" ca="1" si="47"/>
        <v>6</v>
      </c>
      <c r="CE72">
        <f t="shared" ca="1" si="47"/>
        <v>6</v>
      </c>
      <c r="CF72">
        <f t="shared" ca="1" si="47"/>
        <v>6</v>
      </c>
      <c r="CL72">
        <f t="shared" ca="1" si="48"/>
        <v>1</v>
      </c>
      <c r="CM72">
        <f t="shared" ca="1" si="48"/>
        <v>1</v>
      </c>
      <c r="CN72">
        <f t="shared" ca="1" si="48"/>
        <v>1</v>
      </c>
      <c r="CO72">
        <f t="shared" ca="1" si="48"/>
        <v>1</v>
      </c>
      <c r="CP72">
        <f t="shared" ca="1" si="48"/>
        <v>1</v>
      </c>
      <c r="CQ72">
        <f t="shared" ca="1" si="48"/>
        <v>1</v>
      </c>
      <c r="CR72">
        <f t="shared" ca="1" si="48"/>
        <v>1</v>
      </c>
      <c r="CS72">
        <f t="shared" ca="1" si="48"/>
        <v>1</v>
      </c>
      <c r="CT72">
        <f t="shared" ca="1" si="48"/>
        <v>1</v>
      </c>
      <c r="CU72">
        <f t="shared" ca="1" si="48"/>
        <v>1</v>
      </c>
      <c r="CV72">
        <f t="shared" ca="1" si="48"/>
        <v>1</v>
      </c>
      <c r="CW72">
        <f t="shared" ca="1" si="48"/>
        <v>1</v>
      </c>
      <c r="DC72" cm="1">
        <f t="array" aca="1" ref="DC72" ca="1">IF(ISNA(E72),,OFFSET(INDIRECT("'"&amp;DT$67&amp;"'!f1"),E72-1,))*1</f>
        <v>1929.89831087365</v>
      </c>
      <c r="DD72" cm="1">
        <f t="array" aca="1" ref="DD72" ca="1">IF(ISNA(F72),,OFFSET(INDIRECT("'"&amp;DU$67&amp;"'!f1"),F72-1,))*1</f>
        <v>28806.138367998399</v>
      </c>
      <c r="DE72" cm="1">
        <f t="array" aca="1" ref="DE72" ca="1">IF(ISNA(G72),,OFFSET(INDIRECT("'"&amp;DV$67&amp;"'!f1"),G72-1,))*1</f>
        <v>21051.9705703156</v>
      </c>
      <c r="DF72" cm="1">
        <f t="array" aca="1" ref="DF72" ca="1">IF(ISNA(H72),,OFFSET(INDIRECT("'"&amp;DW$67&amp;"'!f1"),H72-1,))*1</f>
        <v>2.2061284091323601</v>
      </c>
      <c r="DG72" cm="1">
        <f t="array" aca="1" ref="DG72" ca="1">IF(ISNA(I72),,OFFSET(INDIRECT("'"&amp;DX$67&amp;"'!f1"),I72-1,))*1</f>
        <v>28803.559164667</v>
      </c>
      <c r="DH72" cm="1">
        <f t="array" aca="1" ref="DH72" ca="1">IF(ISNA(J72),,OFFSET(INDIRECT("'"&amp;DY$67&amp;"'!f1"),J72-1,))*1</f>
        <v>9.5994576234370399</v>
      </c>
      <c r="DI72" cm="1">
        <f t="array" aca="1" ref="DI72" ca="1">IF(ISNA(K72),,OFFSET(INDIRECT("'"&amp;DZ$67&amp;"'!f1"),K72-1,))*1</f>
        <v>230.267292591743</v>
      </c>
      <c r="DJ72" cm="1">
        <f t="array" aca="1" ref="DJ72" ca="1">IF(ISNA(L72),,OFFSET(INDIRECT("'"&amp;EA$67&amp;"'!f1"),L72-1,))*1</f>
        <v>228.07972730975499</v>
      </c>
      <c r="DK72" cm="1">
        <f t="array" aca="1" ref="DK72" ca="1">IF(ISNA(M72),,OFFSET(INDIRECT("'"&amp;EB$67&amp;"'!f1"),M72-1,))*1</f>
        <v>1189.94337962288</v>
      </c>
      <c r="DL72" cm="1">
        <f t="array" aca="1" ref="DL72" ca="1">IF(ISNA(N72),,OFFSET(INDIRECT("'"&amp;EC$67&amp;"'!f1"),N72-1,))*1</f>
        <v>0.64640571922063805</v>
      </c>
      <c r="DM72" cm="1">
        <f t="array" aca="1" ref="DM72" ca="1">IF(ISNA(O72),,OFFSET(INDIRECT("'"&amp;ED$67&amp;"'!f1"),O72-1,))*1</f>
        <v>2.16158873587846</v>
      </c>
      <c r="DN72" cm="1">
        <f t="array" aca="1" ref="DN72" ca="1">IF(ISNA(P72),,OFFSET(INDIRECT("'"&amp;EE$67&amp;"'!f1"),P72-1,))*1</f>
        <v>2.1690531671047202</v>
      </c>
      <c r="DT72">
        <f t="shared" ca="1" si="60"/>
        <v>1</v>
      </c>
      <c r="DU72">
        <f t="shared" ca="1" si="49"/>
        <v>1</v>
      </c>
      <c r="DV72">
        <f t="shared" ca="1" si="49"/>
        <v>1</v>
      </c>
      <c r="DW72">
        <f t="shared" ca="1" si="49"/>
        <v>1</v>
      </c>
      <c r="DX72">
        <f t="shared" ca="1" si="49"/>
        <v>1</v>
      </c>
      <c r="DY72">
        <f t="shared" ca="1" si="49"/>
        <v>1</v>
      </c>
      <c r="DZ72">
        <f t="shared" ca="1" si="49"/>
        <v>868</v>
      </c>
      <c r="EA72">
        <f t="shared" ca="1" si="49"/>
        <v>6220</v>
      </c>
      <c r="EB72">
        <f t="shared" ca="1" si="49"/>
        <v>5099</v>
      </c>
      <c r="EC72">
        <f t="shared" ca="1" si="49"/>
        <v>1</v>
      </c>
      <c r="ED72">
        <f t="shared" ca="1" si="49"/>
        <v>1</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868</v>
      </c>
      <c r="ER72" cm="1">
        <f t="array" aca="1" ref="ER72" ca="1">IF(ISNA(L72),0,OFFSET(INDIRECT("'"&amp;ER$67&amp;"'!g1"),L72-1,)*CS72)</f>
        <v>6220</v>
      </c>
      <c r="ES72" cm="1">
        <f t="array" aca="1" ref="ES72" ca="1">IF(ISNA(M72),0,OFFSET(INDIRECT("'"&amp;ES$67&amp;"'!g1"),M72-1,)*CT72)</f>
        <v>5099</v>
      </c>
      <c r="ET72" cm="1">
        <f t="array" aca="1" ref="ET72" ca="1">IF(ISNA(N72),0,OFFSET(INDIRECT("'"&amp;ET$67&amp;"'!g1"),N72-1,)*CU72)</f>
        <v>1</v>
      </c>
      <c r="EU72" cm="1">
        <f t="array" aca="1" ref="EU72" ca="1">IF(ISNA(O72),0,OFFSET(INDIRECT("'"&amp;EU$67&amp;"'!g1"),O72-1,)*CV72)</f>
        <v>1</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2</v>
      </c>
      <c r="FN72" s="10"/>
      <c r="FO72" s="10"/>
      <c r="FP72" s="10"/>
      <c r="FQ72" s="10"/>
      <c r="FS72">
        <f t="shared" ca="1" si="61"/>
        <v>101</v>
      </c>
      <c r="FT72">
        <f t="shared" ca="1" si="62"/>
        <v>230.267292591743</v>
      </c>
      <c r="FU72">
        <f t="shared" ca="1" si="63"/>
        <v>868</v>
      </c>
      <c r="FV72">
        <f t="shared" ca="1" si="64"/>
        <v>10000</v>
      </c>
      <c r="FW72" s="4">
        <f t="shared" ca="1" si="65"/>
        <v>8.6800000000000002E-2</v>
      </c>
      <c r="FX72" s="5">
        <f t="shared" ca="1" si="66"/>
        <v>0.26528489929924309</v>
      </c>
      <c r="FZ72" s="13">
        <f t="shared" ca="1" si="50"/>
        <v>101</v>
      </c>
      <c r="GA72" s="23">
        <f t="shared" ca="1" si="67"/>
        <v>0</v>
      </c>
      <c r="GB72" s="23">
        <f t="shared" ca="1" si="51"/>
        <v>0</v>
      </c>
      <c r="GC72" s="23">
        <f t="shared" ca="1" si="51"/>
        <v>0</v>
      </c>
      <c r="GD72" s="23">
        <f t="shared" ca="1" si="51"/>
        <v>0</v>
      </c>
      <c r="GE72" s="23">
        <f t="shared" ca="1" si="51"/>
        <v>0</v>
      </c>
      <c r="GF72" s="23">
        <f t="shared" ca="1" si="51"/>
        <v>0</v>
      </c>
      <c r="GG72" s="23">
        <f t="shared" ca="1" si="51"/>
        <v>0</v>
      </c>
      <c r="GH72" s="23">
        <f t="shared" ca="1" si="51"/>
        <v>0</v>
      </c>
      <c r="GI72" s="23">
        <f t="shared" ca="1" si="51"/>
        <v>0</v>
      </c>
      <c r="GJ72" s="23">
        <f t="shared" ca="1" si="51"/>
        <v>0</v>
      </c>
      <c r="GK72" s="23">
        <f t="shared" ca="1" si="51"/>
        <v>0</v>
      </c>
      <c r="GL72" s="23">
        <f t="shared" ca="1" si="51"/>
        <v>0</v>
      </c>
      <c r="GM72" s="23"/>
      <c r="GN72">
        <f t="shared" ca="1" si="68"/>
        <v>101</v>
      </c>
      <c r="GO72" s="5">
        <f t="shared" ca="1" si="69"/>
        <v>1929.89831087365</v>
      </c>
      <c r="GP72" s="5" t="e">
        <f t="shared" ca="1" si="52"/>
        <v>#N/A</v>
      </c>
      <c r="GQ72" s="5">
        <f t="shared" ca="1" si="52"/>
        <v>21051.9705703156</v>
      </c>
      <c r="GR72" s="5">
        <f t="shared" ca="1" si="52"/>
        <v>2.2061284091323601</v>
      </c>
      <c r="GS72" s="5" t="e">
        <f t="shared" ca="1" si="52"/>
        <v>#N/A</v>
      </c>
      <c r="GT72" s="5">
        <f t="shared" ca="1" si="70"/>
        <v>9.5994576234370399</v>
      </c>
      <c r="GU72" s="5">
        <f t="shared" ca="1" si="53"/>
        <v>0.26528489929924309</v>
      </c>
      <c r="GV72" s="5">
        <f t="shared" ca="1" si="53"/>
        <v>3.6668766448513662E-2</v>
      </c>
      <c r="GW72" s="5">
        <f t="shared" ca="1" si="53"/>
        <v>0.23336798972796235</v>
      </c>
      <c r="GX72" s="5">
        <f t="shared" ca="1" si="53"/>
        <v>0.64640571922063805</v>
      </c>
      <c r="GY72" s="5">
        <f t="shared" ca="1" si="53"/>
        <v>2.16158873587846</v>
      </c>
      <c r="GZ72" s="5">
        <f t="shared" ca="1" si="53"/>
        <v>1.0845265835523601</v>
      </c>
      <c r="HB72" s="13">
        <f t="shared" ca="1" si="54"/>
        <v>101</v>
      </c>
      <c r="HC72" s="4">
        <f t="shared" ca="1" si="71"/>
        <v>1</v>
      </c>
      <c r="HD72" s="4">
        <f t="shared" ca="1" si="55"/>
        <v>1</v>
      </c>
      <c r="HE72" s="4">
        <f t="shared" ca="1" si="55"/>
        <v>1</v>
      </c>
      <c r="HF72" s="4">
        <f t="shared" ca="1" si="55"/>
        <v>1</v>
      </c>
      <c r="HG72" s="4">
        <f t="shared" ca="1" si="55"/>
        <v>1</v>
      </c>
      <c r="HH72" s="4">
        <f t="shared" ca="1" si="55"/>
        <v>1</v>
      </c>
      <c r="HI72" s="4">
        <f t="shared" ca="1" si="55"/>
        <v>8.6800000000000002E-2</v>
      </c>
      <c r="HJ72" s="4">
        <f t="shared" ca="1" si="55"/>
        <v>0.622</v>
      </c>
      <c r="HK72" s="4">
        <f t="shared" ca="1" si="55"/>
        <v>0.50990000000000002</v>
      </c>
      <c r="HL72" s="4">
        <f t="shared" ca="1" si="55"/>
        <v>1</v>
      </c>
      <c r="HM72" s="4">
        <f t="shared" ca="1" si="55"/>
        <v>1</v>
      </c>
      <c r="HN72" s="4">
        <f t="shared" ca="1" si="55"/>
        <v>1</v>
      </c>
    </row>
    <row r="73" spans="1:222" x14ac:dyDescent="0.2">
      <c r="FB73" s="10"/>
      <c r="FC73" s="10"/>
      <c r="FD73" s="10"/>
      <c r="FE73" s="10"/>
      <c r="FF73" s="10"/>
      <c r="FG73" s="10"/>
      <c r="FH73" s="10"/>
      <c r="FI73" s="10"/>
      <c r="FJ73" s="10"/>
      <c r="FK73" s="10"/>
      <c r="FL73" s="10"/>
      <c r="FM73" s="10"/>
      <c r="FN73" s="10"/>
      <c r="FO73" s="10"/>
      <c r="FP73" s="10"/>
      <c r="FQ73" s="10"/>
      <c r="FW73" s="4"/>
      <c r="FX73" s="5"/>
      <c r="FZ73" s="13"/>
      <c r="GA73" s="23"/>
      <c r="GB73" s="23"/>
      <c r="GC73" s="23"/>
      <c r="GD73" s="23"/>
      <c r="GE73" s="23"/>
      <c r="GF73" s="23"/>
      <c r="GG73" s="23"/>
      <c r="GH73" s="23"/>
      <c r="GI73" s="23"/>
      <c r="GJ73" s="23"/>
      <c r="GK73" s="23"/>
      <c r="GL73" s="23"/>
      <c r="GM73" s="23"/>
      <c r="GO73" s="5"/>
      <c r="GP73" s="5"/>
      <c r="GQ73" s="5"/>
      <c r="GR73" s="5"/>
      <c r="GS73" s="5"/>
      <c r="GT73" s="5"/>
      <c r="GU73" s="5"/>
      <c r="GV73" s="5"/>
      <c r="GW73" s="5"/>
      <c r="GX73" s="5"/>
      <c r="GY73" s="5"/>
      <c r="GZ73" s="5"/>
      <c r="HB73" s="13"/>
      <c r="HC73" s="4"/>
      <c r="HD73" s="4"/>
      <c r="HE73" s="4"/>
      <c r="HF73" s="4"/>
      <c r="HG73" s="4"/>
      <c r="HH73" s="4"/>
      <c r="HI73" s="4"/>
      <c r="HJ73" s="4"/>
      <c r="HK73" s="4"/>
      <c r="HL73" s="4"/>
      <c r="HM73" s="4"/>
      <c r="HN73" s="4"/>
    </row>
    <row r="74" spans="1:222" x14ac:dyDescent="0.2">
      <c r="FB74" s="10"/>
      <c r="FC74" s="10"/>
      <c r="FD74" s="10"/>
      <c r="FE74" s="10"/>
      <c r="FF74" s="10"/>
      <c r="FG74" s="10"/>
      <c r="FH74" s="10"/>
      <c r="FI74" s="10"/>
      <c r="FJ74" s="10"/>
      <c r="FK74" s="10"/>
      <c r="FL74" s="10"/>
      <c r="FM74" s="10"/>
      <c r="FN74" s="10"/>
      <c r="FO74" s="10"/>
      <c r="FP74" s="10"/>
      <c r="FQ74" s="10"/>
      <c r="FW74" s="4"/>
      <c r="FX74" s="5"/>
      <c r="FZ74" s="13"/>
      <c r="GA74" s="23"/>
      <c r="GB74" s="23"/>
      <c r="GC74" s="23"/>
      <c r="GD74" s="23"/>
      <c r="GE74" s="23"/>
      <c r="GF74" s="23"/>
      <c r="GG74" s="23"/>
      <c r="GH74" s="23"/>
      <c r="GI74" s="23"/>
      <c r="GJ74" s="23"/>
      <c r="GK74" s="23"/>
      <c r="GL74" s="23"/>
      <c r="GM74" s="23"/>
      <c r="GO74" s="5"/>
      <c r="GP74" s="5"/>
      <c r="GQ74" s="5"/>
      <c r="GR74" s="5"/>
      <c r="GS74" s="5"/>
      <c r="GT74" s="5"/>
      <c r="GU74" s="5"/>
      <c r="GV74" s="5"/>
      <c r="GW74" s="5"/>
      <c r="GX74" s="5"/>
      <c r="GY74" s="5"/>
      <c r="GZ74" s="5"/>
      <c r="HB74" s="13"/>
      <c r="HC74" s="4"/>
      <c r="HD74" s="4"/>
      <c r="HE74" s="4"/>
      <c r="HF74" s="4"/>
      <c r="HG74" s="4"/>
      <c r="HH74" s="4"/>
      <c r="HI74" s="4"/>
      <c r="HJ74" s="4"/>
      <c r="HK74" s="4"/>
      <c r="HL74" s="4"/>
      <c r="HM74" s="4"/>
      <c r="HN74" s="4"/>
    </row>
    <row r="75" spans="1:222" x14ac:dyDescent="0.2">
      <c r="FB75" s="10"/>
      <c r="FC75" s="10"/>
      <c r="FD75" s="10"/>
      <c r="FE75" s="10"/>
      <c r="FF75" s="10"/>
      <c r="FG75" s="10"/>
      <c r="FH75" s="10"/>
      <c r="FI75" s="10"/>
      <c r="FJ75" s="10"/>
      <c r="FK75" s="10"/>
      <c r="FL75" s="10"/>
      <c r="FM75" s="10"/>
      <c r="FN75" s="10"/>
      <c r="FO75" s="10"/>
      <c r="FP75" s="10"/>
      <c r="FQ75" s="10"/>
      <c r="FW75" s="4"/>
      <c r="FX75" s="5"/>
      <c r="FZ75" s="13"/>
      <c r="GA75" s="23"/>
      <c r="GB75" s="23"/>
      <c r="GC75" s="23"/>
      <c r="GD75" s="23"/>
      <c r="GE75" s="23"/>
      <c r="GF75" s="23"/>
      <c r="GG75" s="23"/>
      <c r="GH75" s="23"/>
      <c r="GI75" s="23"/>
      <c r="GJ75" s="23"/>
      <c r="GK75" s="23"/>
      <c r="GL75" s="23"/>
      <c r="GM75" s="23"/>
      <c r="GO75" s="5"/>
      <c r="GP75" s="5"/>
      <c r="GQ75" s="5"/>
      <c r="GR75" s="5"/>
      <c r="GS75" s="5"/>
      <c r="GT75" s="5"/>
      <c r="GU75" s="5"/>
      <c r="GV75" s="5"/>
      <c r="GW75" s="5"/>
      <c r="GX75" s="5"/>
      <c r="GY75" s="5"/>
      <c r="GZ75" s="5"/>
      <c r="HB75" s="13"/>
      <c r="HC75" s="4"/>
      <c r="HD75" s="4"/>
      <c r="HE75" s="4"/>
      <c r="HF75" s="4"/>
      <c r="HG75" s="4"/>
      <c r="HH75" s="4"/>
      <c r="HI75" s="4"/>
      <c r="HJ75" s="4"/>
      <c r="HK75" s="4"/>
      <c r="HL75" s="4"/>
      <c r="HM75" s="4"/>
      <c r="HN75" s="4"/>
    </row>
    <row r="76" spans="1:222" x14ac:dyDescent="0.2">
      <c r="FB76" s="10"/>
      <c r="FC76" s="10"/>
      <c r="FD76" s="10"/>
      <c r="FE76" s="10"/>
      <c r="FF76" s="10"/>
      <c r="FG76" s="10"/>
      <c r="FH76" s="10"/>
      <c r="FI76" s="10"/>
      <c r="FJ76" s="10"/>
      <c r="FK76" s="10"/>
      <c r="FL76" s="10"/>
      <c r="FM76" s="10"/>
      <c r="FN76" s="10"/>
      <c r="FO76" s="10"/>
      <c r="FP76" s="10"/>
      <c r="FQ76" s="10"/>
      <c r="FW76" s="4"/>
      <c r="FX76" s="5"/>
      <c r="FZ76" s="13"/>
      <c r="GA76" s="23"/>
      <c r="GB76" s="23"/>
      <c r="GC76" s="23"/>
      <c r="GD76" s="23"/>
      <c r="GE76" s="23"/>
      <c r="GF76" s="23"/>
      <c r="GG76" s="23"/>
      <c r="GH76" s="23"/>
      <c r="GI76" s="23"/>
      <c r="GJ76" s="23"/>
      <c r="GK76" s="23"/>
      <c r="GL76" s="23"/>
      <c r="GM76" s="23"/>
      <c r="GO76" s="5"/>
      <c r="GP76" s="5"/>
      <c r="GQ76" s="5"/>
      <c r="GR76" s="5"/>
      <c r="GS76" s="5"/>
      <c r="GT76" s="5"/>
      <c r="GU76" s="5"/>
      <c r="GV76" s="5"/>
      <c r="GW76" s="5"/>
      <c r="GX76" s="5"/>
      <c r="GY76" s="5"/>
      <c r="GZ76" s="5"/>
      <c r="HB76" s="13"/>
      <c r="HC76" s="4"/>
      <c r="HD76" s="4"/>
      <c r="HE76" s="4"/>
      <c r="HF76" s="4"/>
      <c r="HG76" s="4"/>
      <c r="HH76" s="4"/>
      <c r="HI76" s="4"/>
      <c r="HJ76" s="4"/>
      <c r="HK76" s="4"/>
      <c r="HL76" s="4"/>
      <c r="HM76" s="4"/>
      <c r="HN76" s="4"/>
    </row>
    <row r="77" spans="1:222" x14ac:dyDescent="0.2">
      <c r="FB77" s="10"/>
      <c r="FC77" s="10"/>
      <c r="FD77" s="10"/>
      <c r="FE77" s="10"/>
      <c r="FF77" s="10"/>
      <c r="FG77" s="10"/>
      <c r="FH77" s="10"/>
      <c r="FI77" s="10"/>
      <c r="FJ77" s="10"/>
      <c r="FK77" s="10"/>
      <c r="FL77" s="10"/>
      <c r="FM77" s="10"/>
      <c r="FN77" s="10"/>
      <c r="FO77" s="10"/>
      <c r="FP77" s="10"/>
      <c r="FQ77" s="10"/>
      <c r="FW77" s="4"/>
      <c r="FX77" s="5"/>
      <c r="FZ77" s="13"/>
      <c r="GA77" s="23"/>
      <c r="GB77" s="23"/>
      <c r="GC77" s="23"/>
      <c r="GD77" s="23"/>
      <c r="GE77" s="23"/>
      <c r="GF77" s="23"/>
      <c r="GG77" s="23"/>
      <c r="GH77" s="23"/>
      <c r="GI77" s="23"/>
      <c r="GJ77" s="23"/>
      <c r="GK77" s="23"/>
      <c r="GL77" s="23"/>
      <c r="GM77" s="23"/>
      <c r="GO77" s="5"/>
      <c r="GP77" s="5"/>
      <c r="GQ77" s="5"/>
      <c r="GR77" s="5"/>
      <c r="GS77" s="5"/>
      <c r="GT77" s="5"/>
      <c r="GU77" s="5"/>
      <c r="GV77" s="5"/>
      <c r="GW77" s="5"/>
      <c r="GX77" s="5"/>
      <c r="GY77" s="5"/>
      <c r="GZ77" s="5"/>
      <c r="HB77" s="13"/>
      <c r="HC77" s="4"/>
      <c r="HD77" s="4"/>
      <c r="HE77" s="4"/>
      <c r="HF77" s="4"/>
      <c r="HG77" s="4"/>
      <c r="HH77" s="4"/>
      <c r="HI77" s="4"/>
      <c r="HJ77" s="4"/>
      <c r="HK77" s="4"/>
      <c r="HL77" s="4"/>
      <c r="HM77" s="4"/>
      <c r="HN77" s="4"/>
    </row>
    <row r="78" spans="1:222" x14ac:dyDescent="0.2">
      <c r="FB78" s="10"/>
      <c r="FC78" s="10"/>
      <c r="FD78" s="10"/>
      <c r="FE78" s="10"/>
      <c r="FF78" s="10"/>
      <c r="FG78" s="10"/>
      <c r="FH78" s="10"/>
      <c r="FI78" s="10"/>
      <c r="FJ78" s="10"/>
      <c r="FK78" s="10"/>
      <c r="FL78" s="10"/>
      <c r="FM78" s="10"/>
      <c r="FN78" s="10"/>
      <c r="FO78" s="10"/>
      <c r="FP78" s="10"/>
      <c r="FQ78" s="10"/>
      <c r="FW78" s="4"/>
      <c r="FX78" s="5"/>
      <c r="FZ78" s="13"/>
      <c r="GA78" s="23"/>
      <c r="GB78" s="23"/>
      <c r="GC78" s="23"/>
      <c r="GD78" s="23"/>
      <c r="GE78" s="23"/>
      <c r="GF78" s="23"/>
      <c r="GG78" s="23"/>
      <c r="GH78" s="23"/>
      <c r="GI78" s="23"/>
      <c r="GJ78" s="23"/>
      <c r="GK78" s="23"/>
      <c r="GL78" s="23"/>
      <c r="GM78" s="23"/>
      <c r="GO78" s="5"/>
      <c r="GP78" s="5"/>
      <c r="GQ78" s="5"/>
      <c r="GR78" s="5"/>
      <c r="GS78" s="5"/>
      <c r="GT78" s="5"/>
      <c r="GU78" s="5"/>
      <c r="GV78" s="5"/>
      <c r="GW78" s="5"/>
      <c r="GX78" s="5"/>
      <c r="GY78" s="5"/>
      <c r="GZ78" s="5"/>
      <c r="HB78" s="13"/>
      <c r="HC78" s="4"/>
      <c r="HD78" s="4"/>
      <c r="HE78" s="4"/>
      <c r="HF78" s="4"/>
      <c r="HG78" s="4"/>
      <c r="HH78" s="4"/>
      <c r="HI78" s="4"/>
      <c r="HJ78" s="4"/>
      <c r="HK78" s="4"/>
      <c r="HL78" s="4"/>
      <c r="HM78" s="4"/>
      <c r="HN78" s="4"/>
    </row>
    <row r="79" spans="1:222" x14ac:dyDescent="0.2">
      <c r="FB79" s="10"/>
      <c r="FC79" s="10"/>
      <c r="FD79" s="10"/>
      <c r="FE79" s="10"/>
      <c r="FF79" s="10"/>
      <c r="FG79" s="10"/>
      <c r="FH79" s="10"/>
      <c r="FI79" s="10"/>
      <c r="FJ79" s="10"/>
      <c r="FK79" s="10"/>
      <c r="FL79" s="10"/>
      <c r="FM79" s="10"/>
      <c r="FN79" s="10"/>
      <c r="FO79" s="10"/>
      <c r="FP79" s="10"/>
      <c r="FQ79" s="10"/>
      <c r="FW79" s="4"/>
      <c r="FX79" s="5"/>
      <c r="FZ79" s="13"/>
      <c r="GA79" s="23"/>
      <c r="GB79" s="23"/>
      <c r="GC79" s="23"/>
      <c r="GD79" s="23"/>
      <c r="GE79" s="23"/>
      <c r="GF79" s="23"/>
      <c r="GG79" s="23"/>
      <c r="GH79" s="23"/>
      <c r="GI79" s="23"/>
      <c r="GJ79" s="23"/>
      <c r="GK79" s="23"/>
      <c r="GL79" s="23"/>
      <c r="GM79" s="23"/>
      <c r="GO79" s="5"/>
      <c r="GP79" s="5"/>
      <c r="GQ79" s="5"/>
      <c r="GR79" s="5"/>
      <c r="GS79" s="5"/>
      <c r="GT79" s="5"/>
      <c r="GU79" s="5"/>
      <c r="GV79" s="5"/>
      <c r="GW79" s="5"/>
      <c r="GX79" s="5"/>
      <c r="GY79" s="5"/>
      <c r="GZ79" s="5"/>
      <c r="HB79" s="13"/>
      <c r="HC79" s="4"/>
      <c r="HD79" s="4"/>
      <c r="HE79" s="4"/>
      <c r="HF79" s="4"/>
      <c r="HG79" s="4"/>
      <c r="HH79" s="4"/>
      <c r="HI79" s="4"/>
      <c r="HJ79" s="4"/>
      <c r="HK79" s="4"/>
      <c r="HL79" s="4"/>
      <c r="HM79" s="4"/>
      <c r="HN79" s="4"/>
    </row>
    <row r="80" spans="1:222" x14ac:dyDescent="0.2">
      <c r="FB80" s="10"/>
      <c r="FC80" s="10"/>
      <c r="FD80" s="10"/>
      <c r="FE80" s="10"/>
      <c r="FF80" s="10"/>
      <c r="FG80" s="10"/>
      <c r="FH80" s="10"/>
      <c r="FI80" s="10"/>
      <c r="FJ80" s="10"/>
      <c r="FK80" s="10"/>
      <c r="FL80" s="10"/>
      <c r="FM80" s="10"/>
      <c r="FN80" s="10"/>
      <c r="FO80" s="10"/>
      <c r="FP80" s="10"/>
      <c r="FQ80" s="10"/>
      <c r="FW80" s="4"/>
      <c r="FX80" s="5"/>
      <c r="FZ80" s="13"/>
      <c r="GA80" s="23"/>
      <c r="GB80" s="23"/>
      <c r="GC80" s="23"/>
      <c r="GD80" s="23"/>
      <c r="GE80" s="23"/>
      <c r="GF80" s="23"/>
      <c r="GG80" s="23"/>
      <c r="GH80" s="23"/>
      <c r="GI80" s="23"/>
      <c r="GJ80" s="23"/>
      <c r="GK80" s="23"/>
      <c r="GL80" s="23"/>
      <c r="GM80" s="23"/>
      <c r="GO80" s="5"/>
      <c r="GP80" s="5"/>
      <c r="GQ80" s="5"/>
      <c r="GR80" s="5"/>
      <c r="GS80" s="5"/>
      <c r="GT80" s="5"/>
      <c r="GU80" s="5"/>
      <c r="GV80" s="5"/>
      <c r="GW80" s="5"/>
      <c r="GX80" s="5"/>
      <c r="GY80" s="5"/>
      <c r="GZ80" s="5"/>
      <c r="HB80" s="13"/>
      <c r="HC80" s="4"/>
      <c r="HD80" s="4"/>
      <c r="HE80" s="4"/>
      <c r="HF80" s="4"/>
      <c r="HG80" s="4"/>
      <c r="HH80" s="4"/>
      <c r="HI80" s="4"/>
      <c r="HJ80" s="4"/>
      <c r="HK80" s="4"/>
      <c r="HL80" s="4"/>
      <c r="HM80" s="4"/>
      <c r="HN80" s="4"/>
    </row>
    <row r="81" spans="158:222" x14ac:dyDescent="0.2">
      <c r="FB81" s="10"/>
      <c r="FC81" s="10"/>
      <c r="FD81" s="10"/>
      <c r="FE81" s="10"/>
      <c r="FF81" s="10"/>
      <c r="FG81" s="10"/>
      <c r="FH81" s="10"/>
      <c r="FI81" s="10"/>
      <c r="FJ81" s="10"/>
      <c r="FK81" s="10"/>
      <c r="FL81" s="10"/>
      <c r="FM81" s="10"/>
      <c r="FN81" s="10"/>
      <c r="FO81" s="10"/>
      <c r="FP81" s="10"/>
      <c r="FQ81" s="10"/>
      <c r="FW81" s="4"/>
      <c r="FX81" s="5"/>
      <c r="FZ81" s="13"/>
      <c r="GA81" s="23"/>
      <c r="GB81" s="23"/>
      <c r="GC81" s="23"/>
      <c r="GD81" s="23"/>
      <c r="GE81" s="23"/>
      <c r="GF81" s="23"/>
      <c r="GG81" s="23"/>
      <c r="GH81" s="23"/>
      <c r="GI81" s="23"/>
      <c r="GJ81" s="23"/>
      <c r="GK81" s="23"/>
      <c r="GL81" s="23"/>
      <c r="GM81" s="23"/>
      <c r="GO81" s="5"/>
      <c r="GP81" s="5"/>
      <c r="GQ81" s="5"/>
      <c r="GR81" s="5"/>
      <c r="GS81" s="5"/>
      <c r="GT81" s="5"/>
      <c r="GU81" s="5"/>
      <c r="GV81" s="5"/>
      <c r="GW81" s="5"/>
      <c r="GX81" s="5"/>
      <c r="GY81" s="5"/>
      <c r="GZ81" s="5"/>
      <c r="HB81" s="13"/>
      <c r="HC81" s="4"/>
      <c r="HD81" s="4"/>
      <c r="HE81" s="4"/>
      <c r="HF81" s="4"/>
      <c r="HG81" s="4"/>
      <c r="HH81" s="4"/>
      <c r="HI81" s="4"/>
      <c r="HJ81" s="4"/>
      <c r="HK81" s="4"/>
      <c r="HL81" s="4"/>
      <c r="HM81" s="4"/>
      <c r="HN81" s="4"/>
    </row>
    <row r="82" spans="158:222" x14ac:dyDescent="0.2">
      <c r="FB82" s="10"/>
      <c r="FC82" s="10"/>
      <c r="FD82" s="10"/>
      <c r="FE82" s="10"/>
      <c r="FF82" s="10"/>
      <c r="FG82" s="10"/>
      <c r="FH82" s="10"/>
      <c r="FI82" s="10"/>
      <c r="FJ82" s="10"/>
      <c r="FK82" s="10"/>
      <c r="FL82" s="10"/>
      <c r="FM82" s="10"/>
      <c r="FN82" s="10"/>
      <c r="FO82" s="10"/>
      <c r="FP82" s="10"/>
      <c r="FQ82" s="10"/>
      <c r="FW82" s="4"/>
      <c r="FX82" s="5"/>
      <c r="FZ82" s="13"/>
      <c r="GA82" s="23"/>
      <c r="GB82" s="23"/>
      <c r="GC82" s="23"/>
      <c r="GD82" s="23"/>
      <c r="GE82" s="23"/>
      <c r="GF82" s="23"/>
      <c r="GG82" s="23"/>
      <c r="GH82" s="23"/>
      <c r="GI82" s="23"/>
      <c r="GJ82" s="23"/>
      <c r="GK82" s="23"/>
      <c r="GL82" s="23"/>
      <c r="GM82" s="23"/>
      <c r="GO82" s="5"/>
      <c r="GP82" s="5"/>
      <c r="GQ82" s="5"/>
      <c r="GR82" s="5"/>
      <c r="GS82" s="5"/>
      <c r="GT82" s="5"/>
      <c r="GU82" s="5"/>
      <c r="GV82" s="5"/>
      <c r="GW82" s="5"/>
      <c r="GX82" s="5"/>
      <c r="GY82" s="5"/>
      <c r="GZ82" s="5"/>
      <c r="HB82" s="13"/>
      <c r="HC82" s="4"/>
      <c r="HD82" s="4"/>
      <c r="HE82" s="4"/>
      <c r="HF82" s="4"/>
      <c r="HG82" s="4"/>
      <c r="HH82" s="4"/>
      <c r="HI82" s="4"/>
      <c r="HJ82" s="4"/>
      <c r="HK82" s="4"/>
      <c r="HL82" s="4"/>
      <c r="HM82" s="4"/>
      <c r="HN82" s="4"/>
    </row>
    <row r="83" spans="158:222" x14ac:dyDescent="0.2">
      <c r="FB83" s="10"/>
      <c r="FC83" s="10"/>
      <c r="FD83" s="10"/>
      <c r="FE83" s="10"/>
      <c r="FF83" s="10"/>
      <c r="FG83" s="10"/>
      <c r="FH83" s="10"/>
      <c r="FI83" s="10"/>
      <c r="FJ83" s="10"/>
      <c r="FK83" s="10"/>
      <c r="FL83" s="10"/>
      <c r="FM83" s="10"/>
      <c r="FN83" s="10"/>
      <c r="FO83" s="10"/>
      <c r="FP83" s="10"/>
      <c r="FQ83" s="10"/>
      <c r="FW83" s="4"/>
      <c r="FX83" s="5"/>
      <c r="FZ83" s="13"/>
      <c r="GA83" s="23"/>
      <c r="GB83" s="23"/>
      <c r="GC83" s="23"/>
      <c r="GD83" s="23"/>
      <c r="GE83" s="23"/>
      <c r="GF83" s="23"/>
      <c r="GG83" s="23"/>
      <c r="GH83" s="23"/>
      <c r="GI83" s="23"/>
      <c r="GJ83" s="23"/>
      <c r="GK83" s="23"/>
      <c r="GL83" s="23"/>
      <c r="GM83" s="23"/>
      <c r="GO83" s="5"/>
      <c r="GP83" s="5"/>
      <c r="GQ83" s="5"/>
      <c r="GR83" s="5"/>
      <c r="GS83" s="5"/>
      <c r="GT83" s="5"/>
      <c r="GU83" s="5"/>
      <c r="GV83" s="5"/>
      <c r="GW83" s="5"/>
      <c r="GX83" s="5"/>
      <c r="GY83" s="5"/>
      <c r="GZ83" s="5"/>
      <c r="HB83" s="13"/>
      <c r="HC83" s="4"/>
      <c r="HD83" s="4"/>
      <c r="HE83" s="4"/>
      <c r="HF83" s="4"/>
      <c r="HG83" s="4"/>
      <c r="HH83" s="4"/>
      <c r="HI83" s="4"/>
      <c r="HJ83" s="4"/>
      <c r="HK83" s="4"/>
      <c r="HL83" s="4"/>
      <c r="HM83" s="4"/>
      <c r="HN83" s="4"/>
    </row>
    <row r="84" spans="158:222" x14ac:dyDescent="0.2">
      <c r="FB84" s="10"/>
      <c r="FC84" s="10"/>
      <c r="FD84" s="10"/>
      <c r="FE84" s="10"/>
      <c r="FF84" s="10"/>
      <c r="FG84" s="10"/>
      <c r="FH84" s="10"/>
      <c r="FI84" s="10"/>
      <c r="FJ84" s="10"/>
      <c r="FK84" s="10"/>
      <c r="FL84" s="10"/>
      <c r="FM84" s="10"/>
      <c r="FN84" s="10"/>
      <c r="FO84" s="10"/>
      <c r="FP84" s="10"/>
      <c r="FQ84" s="10"/>
      <c r="FW84" s="4"/>
      <c r="FX84" s="5"/>
      <c r="FZ84" s="13"/>
      <c r="GA84" s="23"/>
      <c r="GB84" s="23"/>
      <c r="GC84" s="23"/>
      <c r="GD84" s="23"/>
      <c r="GE84" s="23"/>
      <c r="GF84" s="23"/>
      <c r="GG84" s="23"/>
      <c r="GH84" s="23"/>
      <c r="GI84" s="23"/>
      <c r="GJ84" s="23"/>
      <c r="GK84" s="23"/>
      <c r="GL84" s="23"/>
      <c r="GM84" s="23"/>
      <c r="GO84" s="5"/>
      <c r="GP84" s="5"/>
      <c r="GQ84" s="5"/>
      <c r="GR84" s="5"/>
      <c r="GS84" s="5"/>
      <c r="GT84" s="5"/>
      <c r="GU84" s="5"/>
      <c r="GV84" s="5"/>
      <c r="GW84" s="5"/>
      <c r="GX84" s="5"/>
      <c r="GY84" s="5"/>
      <c r="GZ84" s="5"/>
      <c r="HB84" s="13"/>
      <c r="HC84" s="4"/>
      <c r="HD84" s="4"/>
      <c r="HE84" s="4"/>
      <c r="HF84" s="4"/>
      <c r="HG84" s="4"/>
      <c r="HH84" s="4"/>
      <c r="HI84" s="4"/>
      <c r="HJ84" s="4"/>
      <c r="HK84" s="4"/>
      <c r="HL84" s="4"/>
      <c r="HM84" s="4"/>
      <c r="HN84" s="4"/>
    </row>
    <row r="85" spans="158:222" x14ac:dyDescent="0.2">
      <c r="FB85" s="10"/>
      <c r="FC85" s="10"/>
      <c r="FD85" s="10"/>
      <c r="FE85" s="10"/>
      <c r="FF85" s="10"/>
      <c r="FG85" s="10"/>
      <c r="FH85" s="10"/>
      <c r="FI85" s="10"/>
      <c r="FJ85" s="10"/>
      <c r="FK85" s="10"/>
      <c r="FL85" s="10"/>
      <c r="FM85" s="10"/>
      <c r="FN85" s="10"/>
      <c r="FO85" s="10"/>
      <c r="FP85" s="10"/>
      <c r="FQ85" s="10"/>
      <c r="FW85" s="4"/>
      <c r="FX85" s="5"/>
      <c r="FZ85" s="13"/>
      <c r="GA85" s="23"/>
      <c r="GB85" s="23"/>
      <c r="GC85" s="23"/>
      <c r="GD85" s="23"/>
      <c r="GE85" s="23"/>
      <c r="GF85" s="23"/>
      <c r="GG85" s="23"/>
      <c r="GH85" s="23"/>
      <c r="GI85" s="23"/>
      <c r="GJ85" s="23"/>
      <c r="GK85" s="23"/>
      <c r="GL85" s="23"/>
      <c r="GM85" s="23"/>
      <c r="GO85" s="5"/>
      <c r="GP85" s="5"/>
      <c r="GQ85" s="5"/>
      <c r="GR85" s="5"/>
      <c r="GS85" s="5"/>
      <c r="GT85" s="5"/>
      <c r="GU85" s="5"/>
      <c r="GV85" s="5"/>
      <c r="GW85" s="5"/>
      <c r="GX85" s="5"/>
      <c r="GY85" s="5"/>
      <c r="GZ85" s="5"/>
      <c r="HB85" s="13"/>
      <c r="HC85" s="4"/>
      <c r="HD85" s="4"/>
      <c r="HE85" s="4"/>
      <c r="HF85" s="4"/>
      <c r="HG85" s="4"/>
      <c r="HH85" s="4"/>
      <c r="HI85" s="4"/>
      <c r="HJ85" s="4"/>
      <c r="HK85" s="4"/>
      <c r="HL85" s="4"/>
      <c r="HM85" s="4"/>
      <c r="HN85" s="4"/>
    </row>
    <row r="86" spans="158:222" x14ac:dyDescent="0.2">
      <c r="FB86" s="10"/>
      <c r="FC86" s="10"/>
      <c r="FD86" s="10"/>
      <c r="FE86" s="10"/>
      <c r="FF86" s="10"/>
      <c r="FG86" s="10"/>
      <c r="FH86" s="10"/>
      <c r="FI86" s="10"/>
      <c r="FJ86" s="10"/>
      <c r="FK86" s="10"/>
      <c r="FL86" s="10"/>
      <c r="FM86" s="10"/>
      <c r="FN86" s="10"/>
      <c r="FO86" s="10"/>
      <c r="FP86" s="10"/>
      <c r="FQ86" s="10"/>
      <c r="FW86" s="4"/>
      <c r="FX86" s="5"/>
      <c r="FZ86" s="13"/>
      <c r="GA86" s="23"/>
      <c r="GB86" s="23"/>
      <c r="GC86" s="23"/>
      <c r="GD86" s="23"/>
      <c r="GE86" s="23"/>
      <c r="GF86" s="23"/>
      <c r="GG86" s="23"/>
      <c r="GH86" s="23"/>
      <c r="GI86" s="23"/>
      <c r="GJ86" s="23"/>
      <c r="GK86" s="23"/>
      <c r="GL86" s="23"/>
      <c r="GM86" s="23"/>
      <c r="GO86" s="5"/>
      <c r="GP86" s="5"/>
      <c r="GQ86" s="5"/>
      <c r="GR86" s="5"/>
      <c r="GS86" s="5"/>
      <c r="GT86" s="5"/>
      <c r="GU86" s="5"/>
      <c r="GV86" s="5"/>
      <c r="GW86" s="5"/>
      <c r="GX86" s="5"/>
      <c r="GY86" s="5"/>
      <c r="GZ86" s="5"/>
      <c r="HB86" s="13"/>
      <c r="HC86" s="4"/>
      <c r="HD86" s="4"/>
      <c r="HE86" s="4"/>
      <c r="HF86" s="4"/>
      <c r="HG86" s="4"/>
      <c r="HH86" s="4"/>
      <c r="HI86" s="4"/>
      <c r="HJ86" s="4"/>
      <c r="HK86" s="4"/>
      <c r="HL86" s="4"/>
      <c r="HM86" s="4"/>
      <c r="HN86" s="4"/>
    </row>
    <row r="87" spans="158:222" x14ac:dyDescent="0.2">
      <c r="FB87" s="10"/>
      <c r="FC87" s="10"/>
      <c r="FD87" s="10"/>
      <c r="FE87" s="10"/>
      <c r="FF87" s="10"/>
      <c r="FG87" s="10"/>
      <c r="FH87" s="10"/>
      <c r="FI87" s="10"/>
      <c r="FJ87" s="10"/>
      <c r="FK87" s="10"/>
      <c r="FL87" s="10"/>
      <c r="FM87" s="10"/>
      <c r="FN87" s="10"/>
      <c r="FO87" s="10"/>
      <c r="FP87" s="10"/>
      <c r="FQ87" s="10"/>
      <c r="FW87" s="4"/>
      <c r="FX87" s="5"/>
      <c r="FZ87" s="13"/>
      <c r="GA87" s="23"/>
      <c r="GB87" s="23"/>
      <c r="GC87" s="23"/>
      <c r="GD87" s="23"/>
      <c r="GE87" s="23"/>
      <c r="GF87" s="23"/>
      <c r="GG87" s="23"/>
      <c r="GH87" s="23"/>
      <c r="GI87" s="23"/>
      <c r="GJ87" s="23"/>
      <c r="GK87" s="23"/>
      <c r="GL87" s="23"/>
      <c r="GM87" s="23"/>
      <c r="GO87" s="5"/>
      <c r="GP87" s="5"/>
      <c r="GQ87" s="5"/>
      <c r="GR87" s="5"/>
      <c r="GS87" s="5"/>
      <c r="GT87" s="5"/>
      <c r="GU87" s="5"/>
      <c r="GV87" s="5"/>
      <c r="GW87" s="5"/>
      <c r="GX87" s="5"/>
      <c r="GY87" s="5"/>
      <c r="GZ87" s="5"/>
      <c r="HB87" s="13"/>
      <c r="HC87" s="4"/>
      <c r="HD87" s="4"/>
      <c r="HE87" s="4"/>
      <c r="HF87" s="4"/>
      <c r="HG87" s="4"/>
      <c r="HH87" s="4"/>
      <c r="HI87" s="4"/>
      <c r="HJ87" s="4"/>
      <c r="HK87" s="4"/>
      <c r="HL87" s="4"/>
      <c r="HM87" s="4"/>
      <c r="HN87" s="4"/>
    </row>
    <row r="88" spans="158:222" x14ac:dyDescent="0.2">
      <c r="FB88" s="10"/>
      <c r="FC88" s="10"/>
      <c r="FD88" s="10"/>
      <c r="FE88" s="10"/>
      <c r="FF88" s="10"/>
      <c r="FG88" s="10"/>
      <c r="FH88" s="10"/>
      <c r="FI88" s="10"/>
      <c r="FJ88" s="10"/>
      <c r="FK88" s="10"/>
      <c r="FL88" s="10"/>
      <c r="FM88" s="10"/>
      <c r="FN88" s="10"/>
      <c r="FO88" s="10"/>
      <c r="FP88" s="10"/>
      <c r="FQ88" s="10"/>
      <c r="FW88" s="4"/>
      <c r="FX88" s="5"/>
      <c r="FZ88" s="13"/>
      <c r="GA88" s="23"/>
      <c r="GB88" s="23"/>
      <c r="GC88" s="23"/>
      <c r="GD88" s="23"/>
      <c r="GE88" s="23"/>
      <c r="GF88" s="23"/>
      <c r="GG88" s="23"/>
      <c r="GH88" s="23"/>
      <c r="GI88" s="23"/>
      <c r="GJ88" s="23"/>
      <c r="GK88" s="23"/>
      <c r="GL88" s="23"/>
      <c r="GM88" s="23"/>
      <c r="GO88" s="5"/>
      <c r="GP88" s="5"/>
      <c r="GQ88" s="5"/>
      <c r="GR88" s="5"/>
      <c r="GS88" s="5"/>
      <c r="GT88" s="5"/>
      <c r="GU88" s="5"/>
      <c r="GV88" s="5"/>
      <c r="GW88" s="5"/>
      <c r="GX88" s="5"/>
      <c r="GY88" s="5"/>
      <c r="GZ88" s="5"/>
      <c r="HB88" s="13"/>
      <c r="HC88" s="4"/>
      <c r="HD88" s="4"/>
      <c r="HE88" s="4"/>
      <c r="HF88" s="4"/>
      <c r="HG88" s="4"/>
      <c r="HH88" s="4"/>
      <c r="HI88" s="4"/>
      <c r="HJ88" s="4"/>
      <c r="HK88" s="4"/>
      <c r="HL88" s="4"/>
      <c r="HM88" s="4"/>
      <c r="HN88" s="4"/>
    </row>
    <row r="89" spans="158:222" x14ac:dyDescent="0.2">
      <c r="FB89" s="10"/>
      <c r="FC89" s="10"/>
      <c r="FD89" s="10"/>
      <c r="FE89" s="10"/>
      <c r="FF89" s="10"/>
      <c r="FG89" s="10"/>
      <c r="FH89" s="10"/>
      <c r="FI89" s="10"/>
      <c r="FJ89" s="10"/>
      <c r="FK89" s="10"/>
      <c r="FL89" s="10"/>
      <c r="FM89" s="10"/>
      <c r="FN89" s="10"/>
      <c r="FO89" s="10"/>
      <c r="FP89" s="10"/>
      <c r="FQ89" s="10"/>
      <c r="FW89" s="4"/>
      <c r="FX89" s="5"/>
      <c r="FZ89" s="13"/>
      <c r="GA89" s="23"/>
      <c r="GB89" s="23"/>
      <c r="GC89" s="23"/>
      <c r="GD89" s="23"/>
      <c r="GE89" s="23"/>
      <c r="GF89" s="23"/>
      <c r="GG89" s="23"/>
      <c r="GH89" s="23"/>
      <c r="GI89" s="23"/>
      <c r="GJ89" s="23"/>
      <c r="GK89" s="23"/>
      <c r="GL89" s="23"/>
      <c r="GM89" s="23"/>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58:222" x14ac:dyDescent="0.2">
      <c r="FB90" s="10"/>
      <c r="FC90" s="10"/>
      <c r="FD90" s="10"/>
      <c r="FE90" s="10"/>
      <c r="FF90" s="10"/>
      <c r="FG90" s="10"/>
      <c r="FH90" s="10"/>
      <c r="FI90" s="10"/>
      <c r="FJ90" s="10"/>
      <c r="FK90" s="10"/>
      <c r="FL90" s="10"/>
      <c r="FM90" s="10"/>
      <c r="FN90" s="10"/>
      <c r="FO90" s="10"/>
      <c r="FP90" s="10"/>
      <c r="FQ90" s="10"/>
      <c r="FW90" s="4"/>
      <c r="FX90" s="5"/>
      <c r="FZ90" s="13"/>
      <c r="GA90" s="23"/>
      <c r="GB90" s="23"/>
      <c r="GC90" s="23"/>
      <c r="GD90" s="23"/>
      <c r="GE90" s="23"/>
      <c r="GF90" s="23"/>
      <c r="GG90" s="23"/>
      <c r="GH90" s="23"/>
      <c r="GI90" s="23"/>
      <c r="GJ90" s="23"/>
      <c r="GK90" s="23"/>
      <c r="GL90" s="23"/>
      <c r="GM90" s="23"/>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58:222" x14ac:dyDescent="0.2">
      <c r="FB91" s="10"/>
      <c r="FC91" s="10"/>
      <c r="FD91" s="10"/>
      <c r="FE91" s="10"/>
      <c r="FF91" s="10"/>
      <c r="FG91" s="10"/>
      <c r="FH91" s="10"/>
      <c r="FI91" s="10"/>
      <c r="FJ91" s="10"/>
      <c r="FK91" s="10"/>
      <c r="FL91" s="10"/>
      <c r="FM91" s="10"/>
      <c r="FN91" s="10"/>
      <c r="FO91" s="10"/>
      <c r="FP91" s="10"/>
      <c r="FQ91" s="10"/>
      <c r="FW91" s="4"/>
      <c r="FX91" s="5"/>
      <c r="FZ91" s="13"/>
      <c r="GA91" s="23"/>
      <c r="GB91" s="23"/>
      <c r="GC91" s="23"/>
      <c r="GD91" s="23"/>
      <c r="GE91" s="23"/>
      <c r="GF91" s="23"/>
      <c r="GG91" s="23"/>
      <c r="GH91" s="23"/>
      <c r="GI91" s="23"/>
      <c r="GJ91" s="23"/>
      <c r="GK91" s="23"/>
      <c r="GL91" s="23"/>
      <c r="GM91" s="23"/>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58:222" x14ac:dyDescent="0.2">
      <c r="FB92" s="10"/>
      <c r="FC92" s="10"/>
      <c r="FD92" s="10"/>
      <c r="FE92" s="10"/>
      <c r="FF92" s="10"/>
      <c r="FG92" s="10"/>
      <c r="FH92" s="10"/>
      <c r="FI92" s="10"/>
      <c r="FJ92" s="10"/>
      <c r="FK92" s="10"/>
      <c r="FL92" s="10"/>
      <c r="FM92" s="10"/>
      <c r="FN92" s="10"/>
      <c r="FO92" s="10"/>
      <c r="FP92" s="10"/>
      <c r="FQ92" s="10"/>
      <c r="FW92" s="4"/>
      <c r="FX92" s="5"/>
      <c r="FZ92" s="13"/>
      <c r="GA92" s="23"/>
      <c r="GB92" s="23"/>
      <c r="GC92" s="23"/>
      <c r="GD92" s="23"/>
      <c r="GE92" s="23"/>
      <c r="GF92" s="23"/>
      <c r="GG92" s="23"/>
      <c r="GH92" s="23"/>
      <c r="GI92" s="23"/>
      <c r="GJ92" s="23"/>
      <c r="GK92" s="23"/>
      <c r="GL92" s="23"/>
      <c r="GM92" s="23"/>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58:222" x14ac:dyDescent="0.2">
      <c r="FB93" s="10"/>
      <c r="FC93" s="10"/>
      <c r="FD93" s="10"/>
      <c r="FE93" s="10"/>
      <c r="FF93" s="10"/>
      <c r="FG93" s="10"/>
      <c r="FH93" s="10"/>
      <c r="FI93" s="10"/>
      <c r="FJ93" s="10"/>
      <c r="FK93" s="10"/>
      <c r="FL93" s="10"/>
      <c r="FM93" s="10"/>
      <c r="FN93" s="10"/>
      <c r="FO93" s="10"/>
      <c r="FP93" s="10"/>
      <c r="FQ93" s="10"/>
      <c r="FW93" s="4"/>
      <c r="FX93" s="5"/>
      <c r="FZ93" s="13"/>
      <c r="GA93" s="23"/>
      <c r="GB93" s="23"/>
      <c r="GC93" s="23"/>
      <c r="GD93" s="23"/>
      <c r="GE93" s="23"/>
      <c r="GF93" s="23"/>
      <c r="GG93" s="23"/>
      <c r="GH93" s="23"/>
      <c r="GI93" s="23"/>
      <c r="GJ93" s="23"/>
      <c r="GK93" s="23"/>
      <c r="GL93" s="23"/>
      <c r="GM93" s="23"/>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58:222" x14ac:dyDescent="0.2">
      <c r="FB94" s="10"/>
      <c r="FC94" s="10"/>
      <c r="FD94" s="10"/>
      <c r="FE94" s="10"/>
      <c r="FF94" s="10"/>
      <c r="FG94" s="10"/>
      <c r="FH94" s="10"/>
      <c r="FI94" s="10"/>
      <c r="FJ94" s="10"/>
      <c r="FK94" s="10"/>
      <c r="FL94" s="10"/>
      <c r="FM94" s="10"/>
      <c r="FN94" s="10"/>
      <c r="FO94" s="10"/>
      <c r="FP94" s="10"/>
      <c r="FQ94" s="10"/>
      <c r="FW94" s="4"/>
      <c r="FX94" s="5"/>
      <c r="FZ94" s="13"/>
      <c r="GA94" s="23"/>
      <c r="GB94" s="23"/>
      <c r="GC94" s="23"/>
      <c r="GD94" s="23"/>
      <c r="GE94" s="23"/>
      <c r="GF94" s="23"/>
      <c r="GG94" s="23"/>
      <c r="GH94" s="23"/>
      <c r="GI94" s="23"/>
      <c r="GJ94" s="23"/>
      <c r="GK94" s="23"/>
      <c r="GL94" s="23"/>
      <c r="GM94" s="23"/>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58:222" x14ac:dyDescent="0.2">
      <c r="FB95" s="10"/>
      <c r="FC95" s="10"/>
      <c r="FD95" s="10"/>
      <c r="FE95" s="10"/>
      <c r="FF95" s="10"/>
      <c r="FG95" s="10"/>
      <c r="FH95" s="10"/>
      <c r="FI95" s="10"/>
      <c r="FJ95" s="10"/>
      <c r="FK95" s="10"/>
      <c r="FL95" s="10"/>
      <c r="FM95" s="10"/>
      <c r="FN95" s="10"/>
      <c r="FO95" s="10"/>
      <c r="FP95" s="10"/>
      <c r="FQ95" s="10"/>
      <c r="FW95" s="4"/>
      <c r="FX95" s="5"/>
      <c r="FZ95" s="13"/>
      <c r="GA95" s="23"/>
      <c r="GB95" s="23"/>
      <c r="GC95" s="23"/>
      <c r="GD95" s="23"/>
      <c r="GE95" s="23"/>
      <c r="GF95" s="23"/>
      <c r="GG95" s="23"/>
      <c r="GH95" s="23"/>
      <c r="GI95" s="23"/>
      <c r="GJ95" s="23"/>
      <c r="GK95" s="23"/>
      <c r="GL95" s="23"/>
      <c r="GM95" s="23"/>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58:222" x14ac:dyDescent="0.2">
      <c r="FB96" s="10"/>
      <c r="FC96" s="10"/>
      <c r="FD96" s="10"/>
      <c r="FE96" s="10"/>
      <c r="FF96" s="10"/>
      <c r="FG96" s="10"/>
      <c r="FH96" s="10"/>
      <c r="FI96" s="10"/>
      <c r="FJ96" s="10"/>
      <c r="FK96" s="10"/>
      <c r="FL96" s="10"/>
      <c r="FM96" s="10"/>
      <c r="FN96" s="10"/>
      <c r="FO96" s="10"/>
      <c r="FP96" s="10"/>
      <c r="FQ96" s="10"/>
      <c r="FW96" s="4"/>
      <c r="FX96" s="5"/>
      <c r="FZ96" s="13"/>
      <c r="GA96" s="23"/>
      <c r="GB96" s="23"/>
      <c r="GC96" s="23"/>
      <c r="GD96" s="23"/>
      <c r="GE96" s="23"/>
      <c r="GF96" s="23"/>
      <c r="GG96" s="23"/>
      <c r="GH96" s="23"/>
      <c r="GI96" s="23"/>
      <c r="GJ96" s="23"/>
      <c r="GK96" s="23"/>
      <c r="GL96" s="23"/>
      <c r="GM96" s="23"/>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3"/>
      <c r="GB97" s="23"/>
      <c r="GC97" s="23"/>
      <c r="GD97" s="23"/>
      <c r="GE97" s="23"/>
      <c r="GF97" s="23"/>
      <c r="GG97" s="23"/>
      <c r="GH97" s="23"/>
      <c r="GI97" s="23"/>
      <c r="GJ97" s="23"/>
      <c r="GK97" s="23"/>
      <c r="GL97" s="23"/>
      <c r="GM97" s="23"/>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3"/>
      <c r="GB98" s="23"/>
      <c r="GC98" s="23"/>
      <c r="GD98" s="23"/>
      <c r="GE98" s="23"/>
      <c r="GF98" s="23"/>
      <c r="GG98" s="23"/>
      <c r="GH98" s="23"/>
      <c r="GI98" s="23"/>
      <c r="GJ98" s="23"/>
      <c r="GK98" s="23"/>
      <c r="GL98" s="23"/>
      <c r="GM98" s="23"/>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3"/>
      <c r="GB99" s="23"/>
      <c r="GC99" s="23"/>
      <c r="GD99" s="23"/>
      <c r="GE99" s="23"/>
      <c r="GF99" s="23"/>
      <c r="GG99" s="23"/>
      <c r="GH99" s="23"/>
      <c r="GI99" s="23"/>
      <c r="GJ99" s="23"/>
      <c r="GK99" s="23"/>
      <c r="GL99" s="23"/>
      <c r="GM99" s="23"/>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3"/>
      <c r="GB100" s="23"/>
      <c r="GC100" s="23"/>
      <c r="GD100" s="23"/>
      <c r="GE100" s="23"/>
      <c r="GF100" s="23"/>
      <c r="GG100" s="23"/>
      <c r="GH100" s="23"/>
      <c r="GI100" s="23"/>
      <c r="GJ100" s="23"/>
      <c r="GK100" s="23"/>
      <c r="GL100" s="23"/>
      <c r="GM100" s="23"/>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3"/>
      <c r="GB101" s="23"/>
      <c r="GC101" s="23"/>
      <c r="GD101" s="23"/>
      <c r="GE101" s="23"/>
      <c r="GF101" s="23"/>
      <c r="GG101" s="23"/>
      <c r="GH101" s="23"/>
      <c r="GI101" s="23"/>
      <c r="GJ101" s="23"/>
      <c r="GK101" s="23"/>
      <c r="GL101" s="23"/>
      <c r="GM101" s="23"/>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3"/>
      <c r="GB102" s="23"/>
      <c r="GC102" s="23"/>
      <c r="GD102" s="23"/>
      <c r="GE102" s="23"/>
      <c r="GF102" s="23"/>
      <c r="GG102" s="23"/>
      <c r="GH102" s="23"/>
      <c r="GI102" s="23"/>
      <c r="GJ102" s="23"/>
      <c r="GK102" s="23"/>
      <c r="GL102" s="23"/>
      <c r="GM102" s="23"/>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3"/>
      <c r="GB103" s="23"/>
      <c r="GC103" s="23"/>
      <c r="GD103" s="23"/>
      <c r="GE103" s="23"/>
      <c r="GF103" s="23"/>
      <c r="GG103" s="23"/>
      <c r="GH103" s="23"/>
      <c r="GI103" s="23"/>
      <c r="GJ103" s="23"/>
      <c r="GK103" s="23"/>
      <c r="GL103" s="23"/>
      <c r="GM103" s="23"/>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3"/>
      <c r="GB104" s="23"/>
      <c r="GC104" s="23"/>
      <c r="GD104" s="23"/>
      <c r="GE104" s="23"/>
      <c r="GF104" s="23"/>
      <c r="GG104" s="23"/>
      <c r="GH104" s="23"/>
      <c r="GI104" s="23"/>
      <c r="GJ104" s="23"/>
      <c r="GK104" s="23"/>
      <c r="GL104" s="23"/>
      <c r="GM104" s="23"/>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3"/>
      <c r="GB105" s="23"/>
      <c r="GC105" s="23"/>
      <c r="GD105" s="23"/>
      <c r="GE105" s="23"/>
      <c r="GF105" s="23"/>
      <c r="GG105" s="23"/>
      <c r="GH105" s="23"/>
      <c r="GI105" s="23"/>
      <c r="GJ105" s="23"/>
      <c r="GK105" s="23"/>
      <c r="GL105" s="23"/>
      <c r="GM105" s="23"/>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3"/>
      <c r="GB106" s="23"/>
      <c r="GC106" s="23"/>
      <c r="GD106" s="23"/>
      <c r="GE106" s="23"/>
      <c r="GF106" s="23"/>
      <c r="GG106" s="23"/>
      <c r="GH106" s="23"/>
      <c r="GI106" s="23"/>
      <c r="GJ106" s="23"/>
      <c r="GK106" s="23"/>
      <c r="GL106" s="23"/>
      <c r="GM106" s="23"/>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3"/>
      <c r="GB107" s="23"/>
      <c r="GC107" s="23"/>
      <c r="GD107" s="23"/>
      <c r="GE107" s="23"/>
      <c r="GF107" s="23"/>
      <c r="GG107" s="23"/>
      <c r="GH107" s="23"/>
      <c r="GI107" s="23"/>
      <c r="GJ107" s="23"/>
      <c r="GK107" s="23"/>
      <c r="GL107" s="23"/>
      <c r="GM107" s="23"/>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3"/>
      <c r="GB108" s="23"/>
      <c r="GC108" s="23"/>
      <c r="GD108" s="23"/>
      <c r="GE108" s="23"/>
      <c r="GF108" s="23"/>
      <c r="GG108" s="23"/>
      <c r="GH108" s="23"/>
      <c r="GI108" s="23"/>
      <c r="GJ108" s="23"/>
      <c r="GK108" s="23"/>
      <c r="GL108" s="23"/>
      <c r="GM108" s="23"/>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3"/>
      <c r="GB109" s="23"/>
      <c r="GC109" s="23"/>
      <c r="GD109" s="23"/>
      <c r="GE109" s="23"/>
      <c r="GF109" s="23"/>
      <c r="GG109" s="23"/>
      <c r="GH109" s="23"/>
      <c r="GI109" s="23"/>
      <c r="GJ109" s="23"/>
      <c r="GK109" s="23"/>
      <c r="GL109" s="23"/>
      <c r="GM109" s="23"/>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3"/>
      <c r="GB110" s="23"/>
      <c r="GC110" s="23"/>
      <c r="GD110" s="23"/>
      <c r="GE110" s="23"/>
      <c r="GF110" s="23"/>
      <c r="GG110" s="23"/>
      <c r="GH110" s="23"/>
      <c r="GI110" s="23"/>
      <c r="GJ110" s="23"/>
      <c r="GK110" s="23"/>
      <c r="GL110" s="23"/>
      <c r="GM110" s="23"/>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3"/>
      <c r="GB111" s="23"/>
      <c r="GC111" s="23"/>
      <c r="GD111" s="23"/>
      <c r="GE111" s="23"/>
      <c r="GF111" s="23"/>
      <c r="GG111" s="23"/>
      <c r="GH111" s="23"/>
      <c r="GI111" s="23"/>
      <c r="GJ111" s="23"/>
      <c r="GK111" s="23"/>
      <c r="GL111" s="23"/>
      <c r="GM111" s="23"/>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3"/>
      <c r="GB112" s="23"/>
      <c r="GC112" s="23"/>
      <c r="GD112" s="23"/>
      <c r="GE112" s="23"/>
      <c r="GF112" s="23"/>
      <c r="GG112" s="23"/>
      <c r="GH112" s="23"/>
      <c r="GI112" s="23"/>
      <c r="GJ112" s="23"/>
      <c r="GK112" s="23"/>
      <c r="GL112" s="23"/>
      <c r="GM112" s="23"/>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3"/>
      <c r="GB113" s="23"/>
      <c r="GC113" s="23"/>
      <c r="GD113" s="23"/>
      <c r="GE113" s="23"/>
      <c r="GF113" s="23"/>
      <c r="GG113" s="23"/>
      <c r="GH113" s="23"/>
      <c r="GI113" s="23"/>
      <c r="GJ113" s="23"/>
      <c r="GK113" s="23"/>
      <c r="GL113" s="23"/>
      <c r="GM113" s="23"/>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3"/>
      <c r="GB114" s="23"/>
      <c r="GC114" s="23"/>
      <c r="GD114" s="23"/>
      <c r="GE114" s="23"/>
      <c r="GF114" s="23"/>
      <c r="GG114" s="23"/>
      <c r="GH114" s="23"/>
      <c r="GI114" s="23"/>
      <c r="GJ114" s="23"/>
      <c r="GK114" s="23"/>
      <c r="GL114" s="23"/>
      <c r="GM114" s="23"/>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3"/>
      <c r="GB115" s="23"/>
      <c r="GC115" s="23"/>
      <c r="GD115" s="23"/>
      <c r="GE115" s="23"/>
      <c r="GF115" s="23"/>
      <c r="GG115" s="23"/>
      <c r="GH115" s="23"/>
      <c r="GI115" s="23"/>
      <c r="GJ115" s="23"/>
      <c r="GK115" s="23"/>
      <c r="GL115" s="23"/>
      <c r="GM115" s="23"/>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3"/>
      <c r="GB116" s="23"/>
      <c r="GC116" s="23"/>
      <c r="GD116" s="23"/>
      <c r="GE116" s="23"/>
      <c r="GF116" s="23"/>
      <c r="GG116" s="23"/>
      <c r="GH116" s="23"/>
      <c r="GI116" s="23"/>
      <c r="GJ116" s="23"/>
      <c r="GK116" s="23"/>
      <c r="GL116" s="23"/>
      <c r="GM116" s="23"/>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3"/>
      <c r="GB117" s="23"/>
      <c r="GC117" s="23"/>
      <c r="GD117" s="23"/>
      <c r="GE117" s="23"/>
      <c r="GF117" s="23"/>
      <c r="GG117" s="23"/>
      <c r="GH117" s="23"/>
      <c r="GI117" s="23"/>
      <c r="GJ117" s="23"/>
      <c r="GK117" s="23"/>
      <c r="GL117" s="23"/>
      <c r="GM117" s="23"/>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3"/>
      <c r="GB118" s="23"/>
      <c r="GC118" s="23"/>
      <c r="GD118" s="23"/>
      <c r="GE118" s="23"/>
      <c r="GF118" s="23"/>
      <c r="GG118" s="23"/>
      <c r="GH118" s="23"/>
      <c r="GI118" s="23"/>
      <c r="GJ118" s="23"/>
      <c r="GK118" s="23"/>
      <c r="GL118" s="23"/>
      <c r="GM118" s="23"/>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3"/>
      <c r="GB119" s="23"/>
      <c r="GC119" s="23"/>
      <c r="GD119" s="23"/>
      <c r="GE119" s="23"/>
      <c r="GF119" s="23"/>
      <c r="GG119" s="23"/>
      <c r="GH119" s="23"/>
      <c r="GI119" s="23"/>
      <c r="GJ119" s="23"/>
      <c r="GK119" s="23"/>
      <c r="GL119" s="23"/>
      <c r="GM119" s="23"/>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3"/>
      <c r="GB120" s="23"/>
      <c r="GC120" s="23"/>
      <c r="GD120" s="23"/>
      <c r="GE120" s="23"/>
      <c r="GF120" s="23"/>
      <c r="GG120" s="23"/>
      <c r="GH120" s="23"/>
      <c r="GI120" s="23"/>
      <c r="GJ120" s="23"/>
      <c r="GK120" s="23"/>
      <c r="GL120" s="23"/>
      <c r="GM120" s="23"/>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3"/>
      <c r="GB121" s="23"/>
      <c r="GC121" s="23"/>
      <c r="GD121" s="23"/>
      <c r="GE121" s="23"/>
      <c r="GF121" s="23"/>
      <c r="GG121" s="23"/>
      <c r="GH121" s="23"/>
      <c r="GI121" s="23"/>
      <c r="GJ121" s="23"/>
      <c r="GK121" s="23"/>
      <c r="GL121" s="23"/>
      <c r="GM121" s="23"/>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3"/>
      <c r="GB122" s="23"/>
      <c r="GC122" s="23"/>
      <c r="GD122" s="23"/>
      <c r="GE122" s="23"/>
      <c r="GF122" s="23"/>
      <c r="GG122" s="23"/>
      <c r="GH122" s="23"/>
      <c r="GI122" s="23"/>
      <c r="GJ122" s="23"/>
      <c r="GK122" s="23"/>
      <c r="GL122" s="23"/>
      <c r="GM122" s="23"/>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3"/>
      <c r="GB123" s="23"/>
      <c r="GC123" s="23"/>
      <c r="GD123" s="23"/>
      <c r="GE123" s="23"/>
      <c r="GF123" s="23"/>
      <c r="GG123" s="23"/>
      <c r="GH123" s="23"/>
      <c r="GI123" s="23"/>
      <c r="GJ123" s="23"/>
      <c r="GK123" s="23"/>
      <c r="GL123" s="23"/>
      <c r="GM123" s="23"/>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3"/>
      <c r="GB124" s="23"/>
      <c r="GC124" s="23"/>
      <c r="GD124" s="23"/>
      <c r="GE124" s="23"/>
      <c r="GF124" s="23"/>
      <c r="GG124" s="23"/>
      <c r="GH124" s="23"/>
      <c r="GI124" s="23"/>
      <c r="GJ124" s="23"/>
      <c r="GK124" s="23"/>
      <c r="GL124" s="23"/>
      <c r="GM124" s="23"/>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3"/>
      <c r="GB125" s="23"/>
      <c r="GC125" s="23"/>
      <c r="GD125" s="23"/>
      <c r="GE125" s="23"/>
      <c r="GF125" s="23"/>
      <c r="GG125" s="23"/>
      <c r="GH125" s="23"/>
      <c r="GI125" s="23"/>
      <c r="GJ125" s="23"/>
      <c r="GK125" s="23"/>
      <c r="GL125" s="23"/>
      <c r="GM125" s="23"/>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3"/>
      <c r="GB126" s="23"/>
      <c r="GC126" s="23"/>
      <c r="GD126" s="23"/>
      <c r="GE126" s="23"/>
      <c r="GF126" s="23"/>
      <c r="GG126" s="23"/>
      <c r="GH126" s="23"/>
      <c r="GI126" s="23"/>
      <c r="GJ126" s="23"/>
      <c r="GK126" s="23"/>
      <c r="GL126" s="23"/>
      <c r="GM126" s="23"/>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3"/>
      <c r="GB127" s="23"/>
      <c r="GC127" s="23"/>
      <c r="GD127" s="23"/>
      <c r="GE127" s="23"/>
      <c r="GF127" s="23"/>
      <c r="GG127" s="23"/>
      <c r="GH127" s="23"/>
      <c r="GI127" s="23"/>
      <c r="GJ127" s="23"/>
      <c r="GK127" s="23"/>
      <c r="GL127" s="23"/>
      <c r="GM127" s="23"/>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3"/>
      <c r="GB128" s="23"/>
      <c r="GC128" s="23"/>
      <c r="GD128" s="23"/>
      <c r="GE128" s="23"/>
      <c r="GF128" s="23"/>
      <c r="GG128" s="23"/>
      <c r="GH128" s="23"/>
      <c r="GI128" s="23"/>
      <c r="GJ128" s="23"/>
      <c r="GK128" s="23"/>
      <c r="GL128" s="23"/>
      <c r="GM128" s="23"/>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3"/>
      <c r="GB129" s="23"/>
      <c r="GC129" s="23"/>
      <c r="GD129" s="23"/>
      <c r="GE129" s="23"/>
      <c r="GF129" s="23"/>
      <c r="GG129" s="23"/>
      <c r="GH129" s="23"/>
      <c r="GI129" s="23"/>
      <c r="GJ129" s="23"/>
      <c r="GK129" s="23"/>
      <c r="GL129" s="23"/>
      <c r="GM129" s="23"/>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3"/>
      <c r="GB130" s="23"/>
      <c r="GC130" s="23"/>
      <c r="GD130" s="23"/>
      <c r="GE130" s="23"/>
      <c r="GF130" s="23"/>
      <c r="GG130" s="23"/>
      <c r="GH130" s="23"/>
      <c r="GI130" s="23"/>
      <c r="GJ130" s="23"/>
      <c r="GK130" s="23"/>
      <c r="GL130" s="23"/>
      <c r="GM130" s="23"/>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3"/>
      <c r="GB131" s="23"/>
      <c r="GC131" s="23"/>
      <c r="GD131" s="23"/>
      <c r="GE131" s="23"/>
      <c r="GF131" s="23"/>
      <c r="GG131" s="23"/>
      <c r="GH131" s="23"/>
      <c r="GI131" s="23"/>
      <c r="GJ131" s="23"/>
      <c r="GK131" s="23"/>
      <c r="GL131" s="23"/>
      <c r="GM131" s="23"/>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3"/>
      <c r="GB132" s="23"/>
      <c r="GC132" s="23"/>
      <c r="GD132" s="23"/>
      <c r="GE132" s="23"/>
      <c r="GF132" s="23"/>
      <c r="GG132" s="23"/>
      <c r="GH132" s="23"/>
      <c r="GI132" s="23"/>
      <c r="GJ132" s="23"/>
      <c r="GK132" s="23"/>
      <c r="GL132" s="23"/>
      <c r="GM132" s="23"/>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3"/>
      <c r="GB133" s="23"/>
      <c r="GC133" s="23"/>
      <c r="GD133" s="23"/>
      <c r="GE133" s="23"/>
      <c r="GF133" s="23"/>
      <c r="GG133" s="23"/>
      <c r="GH133" s="23"/>
      <c r="GI133" s="23"/>
      <c r="GJ133" s="23"/>
      <c r="GK133" s="23"/>
      <c r="GL133" s="23"/>
      <c r="GM133" s="23"/>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3"/>
      <c r="GB134" s="23"/>
      <c r="GC134" s="23"/>
      <c r="GD134" s="23"/>
      <c r="GE134" s="23"/>
      <c r="GF134" s="23"/>
      <c r="GG134" s="23"/>
      <c r="GH134" s="23"/>
      <c r="GI134" s="23"/>
      <c r="GJ134" s="23"/>
      <c r="GK134" s="23"/>
      <c r="GL134" s="23"/>
      <c r="GM134" s="23"/>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3"/>
      <c r="GB135" s="23"/>
      <c r="GC135" s="23"/>
      <c r="GD135" s="23"/>
      <c r="GE135" s="23"/>
      <c r="GF135" s="23"/>
      <c r="GG135" s="23"/>
      <c r="GH135" s="23"/>
      <c r="GI135" s="23"/>
      <c r="GJ135" s="23"/>
      <c r="GK135" s="23"/>
      <c r="GL135" s="23"/>
      <c r="GM135" s="23"/>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3"/>
      <c r="GB136" s="23"/>
      <c r="GC136" s="23"/>
      <c r="GD136" s="23"/>
      <c r="GE136" s="23"/>
      <c r="GF136" s="23"/>
      <c r="GG136" s="23"/>
      <c r="GH136" s="23"/>
      <c r="GI136" s="23"/>
      <c r="GJ136" s="23"/>
      <c r="GK136" s="23"/>
      <c r="GL136" s="23"/>
      <c r="GM136" s="23"/>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3"/>
      <c r="GB137" s="23"/>
      <c r="GC137" s="23"/>
      <c r="GD137" s="23"/>
      <c r="GE137" s="23"/>
      <c r="GF137" s="23"/>
      <c r="GG137" s="23"/>
      <c r="GH137" s="23"/>
      <c r="GI137" s="23"/>
      <c r="GJ137" s="23"/>
      <c r="GK137" s="23"/>
      <c r="GL137" s="23"/>
      <c r="GM137" s="23"/>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3"/>
      <c r="GB138" s="23"/>
      <c r="GC138" s="23"/>
      <c r="GD138" s="23"/>
      <c r="GE138" s="23"/>
      <c r="GF138" s="23"/>
      <c r="GG138" s="23"/>
      <c r="GH138" s="23"/>
      <c r="GI138" s="23"/>
      <c r="GJ138" s="23"/>
      <c r="GK138" s="23"/>
      <c r="GL138" s="23"/>
      <c r="GM138" s="23"/>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3"/>
      <c r="GB139" s="23"/>
      <c r="GC139" s="23"/>
      <c r="GD139" s="23"/>
      <c r="GE139" s="23"/>
      <c r="GF139" s="23"/>
      <c r="GG139" s="23"/>
      <c r="GH139" s="23"/>
      <c r="GI139" s="23"/>
      <c r="GJ139" s="23"/>
      <c r="GK139" s="23"/>
      <c r="GL139" s="23"/>
      <c r="GM139" s="23"/>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3"/>
      <c r="GB140" s="23"/>
      <c r="GC140" s="23"/>
      <c r="GD140" s="23"/>
      <c r="GE140" s="23"/>
      <c r="GF140" s="23"/>
      <c r="GG140" s="23"/>
      <c r="GH140" s="23"/>
      <c r="GI140" s="23"/>
      <c r="GJ140" s="23"/>
      <c r="GK140" s="23"/>
      <c r="GL140" s="23"/>
      <c r="GM140" s="23"/>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3"/>
      <c r="GB141" s="23"/>
      <c r="GC141" s="23"/>
      <c r="GD141" s="23"/>
      <c r="GE141" s="23"/>
      <c r="GF141" s="23"/>
      <c r="GG141" s="23"/>
      <c r="GH141" s="23"/>
      <c r="GI141" s="23"/>
      <c r="GJ141" s="23"/>
      <c r="GK141" s="23"/>
      <c r="GL141" s="23"/>
      <c r="GM141" s="23"/>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3"/>
      <c r="GB142" s="23"/>
      <c r="GC142" s="23"/>
      <c r="GD142" s="23"/>
      <c r="GE142" s="23"/>
      <c r="GF142" s="23"/>
      <c r="GG142" s="23"/>
      <c r="GH142" s="23"/>
      <c r="GI142" s="23"/>
      <c r="GJ142" s="23"/>
      <c r="GK142" s="23"/>
      <c r="GL142" s="23"/>
      <c r="GM142" s="23"/>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3"/>
      <c r="GB143" s="23"/>
      <c r="GC143" s="23"/>
      <c r="GD143" s="23"/>
      <c r="GE143" s="23"/>
      <c r="GF143" s="23"/>
      <c r="GG143" s="23"/>
      <c r="GH143" s="23"/>
      <c r="GI143" s="23"/>
      <c r="GJ143" s="23"/>
      <c r="GK143" s="23"/>
      <c r="GL143" s="23"/>
      <c r="GM143" s="23"/>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3"/>
      <c r="GB144" s="23"/>
      <c r="GC144" s="23"/>
      <c r="GD144" s="23"/>
      <c r="GE144" s="23"/>
      <c r="GF144" s="23"/>
      <c r="GG144" s="23"/>
      <c r="GH144" s="23"/>
      <c r="GI144" s="23"/>
      <c r="GJ144" s="23"/>
      <c r="GK144" s="23"/>
      <c r="GL144" s="23"/>
      <c r="GM144" s="23"/>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3"/>
      <c r="GB145" s="23"/>
      <c r="GC145" s="23"/>
      <c r="GD145" s="23"/>
      <c r="GE145" s="23"/>
      <c r="GF145" s="23"/>
      <c r="GG145" s="23"/>
      <c r="GH145" s="23"/>
      <c r="GI145" s="23"/>
      <c r="GJ145" s="23"/>
      <c r="GK145" s="23"/>
      <c r="GL145" s="23"/>
      <c r="GM145" s="23"/>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3"/>
      <c r="GB146" s="23"/>
      <c r="GC146" s="23"/>
      <c r="GD146" s="23"/>
      <c r="GE146" s="23"/>
      <c r="GF146" s="23"/>
      <c r="GG146" s="23"/>
      <c r="GH146" s="23"/>
      <c r="GI146" s="23"/>
      <c r="GJ146" s="23"/>
      <c r="GK146" s="23"/>
      <c r="GL146" s="23"/>
      <c r="GM146" s="23"/>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3"/>
      <c r="GB147" s="23"/>
      <c r="GC147" s="23"/>
      <c r="GD147" s="23"/>
      <c r="GE147" s="23"/>
      <c r="GF147" s="23"/>
      <c r="GG147" s="23"/>
      <c r="GH147" s="23"/>
      <c r="GI147" s="23"/>
      <c r="GJ147" s="23"/>
      <c r="GK147" s="23"/>
      <c r="GL147" s="23"/>
      <c r="GM147" s="23"/>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3"/>
      <c r="GB148" s="23"/>
      <c r="GC148" s="23"/>
      <c r="GD148" s="23"/>
      <c r="GE148" s="23"/>
      <c r="GF148" s="23"/>
      <c r="GG148" s="23"/>
      <c r="GH148" s="23"/>
      <c r="GI148" s="23"/>
      <c r="GJ148" s="23"/>
      <c r="GK148" s="23"/>
      <c r="GL148" s="23"/>
      <c r="GM148" s="23"/>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3"/>
      <c r="GB149" s="23"/>
      <c r="GC149" s="23"/>
      <c r="GD149" s="23"/>
      <c r="GE149" s="23"/>
      <c r="GF149" s="23"/>
      <c r="GG149" s="23"/>
      <c r="GH149" s="23"/>
      <c r="GI149" s="23"/>
      <c r="GJ149" s="23"/>
      <c r="GK149" s="23"/>
      <c r="GL149" s="23"/>
      <c r="GM149" s="23"/>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3"/>
      <c r="GB150" s="23"/>
      <c r="GC150" s="23"/>
      <c r="GD150" s="23"/>
      <c r="GE150" s="23"/>
      <c r="GF150" s="23"/>
      <c r="GG150" s="23"/>
      <c r="GH150" s="23"/>
      <c r="GI150" s="23"/>
      <c r="GJ150" s="23"/>
      <c r="GK150" s="23"/>
      <c r="GL150" s="23"/>
      <c r="GM150" s="23"/>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3"/>
      <c r="GB151" s="23"/>
      <c r="GC151" s="23"/>
      <c r="GD151" s="23"/>
      <c r="GE151" s="23"/>
      <c r="GF151" s="23"/>
      <c r="GG151" s="23"/>
      <c r="GH151" s="23"/>
      <c r="GI151" s="23"/>
      <c r="GJ151" s="23"/>
      <c r="GK151" s="23"/>
      <c r="GL151" s="23"/>
      <c r="GM151" s="23"/>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3"/>
      <c r="GB152" s="23"/>
      <c r="GC152" s="23"/>
      <c r="GD152" s="23"/>
      <c r="GE152" s="23"/>
      <c r="GF152" s="23"/>
      <c r="GG152" s="23"/>
      <c r="GH152" s="23"/>
      <c r="GI152" s="23"/>
      <c r="GJ152" s="23"/>
      <c r="GK152" s="23"/>
      <c r="GL152" s="23"/>
      <c r="GM152" s="23"/>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3"/>
      <c r="GB153" s="23"/>
      <c r="GC153" s="23"/>
      <c r="GD153" s="23"/>
      <c r="GE153" s="23"/>
      <c r="GF153" s="23"/>
      <c r="GG153" s="23"/>
      <c r="GH153" s="23"/>
      <c r="GI153" s="23"/>
      <c r="GJ153" s="23"/>
      <c r="GK153" s="23"/>
      <c r="GL153" s="23"/>
      <c r="GM153" s="23"/>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3"/>
      <c r="GB154" s="23"/>
      <c r="GC154" s="23"/>
      <c r="GD154" s="23"/>
      <c r="GE154" s="23"/>
      <c r="GF154" s="23"/>
      <c r="GG154" s="23"/>
      <c r="GH154" s="23"/>
      <c r="GI154" s="23"/>
      <c r="GJ154" s="23"/>
      <c r="GK154" s="23"/>
      <c r="GL154" s="23"/>
      <c r="GM154" s="23"/>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3"/>
      <c r="GB155" s="23"/>
      <c r="GC155" s="23"/>
      <c r="GD155" s="23"/>
      <c r="GE155" s="23"/>
      <c r="GF155" s="23"/>
      <c r="GG155" s="23"/>
      <c r="GH155" s="23"/>
      <c r="GI155" s="23"/>
      <c r="GJ155" s="23"/>
      <c r="GK155" s="23"/>
      <c r="GL155" s="23"/>
      <c r="GM155" s="23"/>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3"/>
      <c r="GB156" s="23"/>
      <c r="GC156" s="23"/>
      <c r="GD156" s="23"/>
      <c r="GE156" s="23"/>
      <c r="GF156" s="23"/>
      <c r="GG156" s="23"/>
      <c r="GH156" s="23"/>
      <c r="GI156" s="23"/>
      <c r="GJ156" s="23"/>
      <c r="GK156" s="23"/>
      <c r="GL156" s="23"/>
      <c r="GM156" s="23"/>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3"/>
      <c r="GB157" s="23"/>
      <c r="GC157" s="23"/>
      <c r="GD157" s="23"/>
      <c r="GE157" s="23"/>
      <c r="GF157" s="23"/>
      <c r="GG157" s="23"/>
      <c r="GH157" s="23"/>
      <c r="GI157" s="23"/>
      <c r="GJ157" s="23"/>
      <c r="GK157" s="23"/>
      <c r="GL157" s="23"/>
      <c r="GM157" s="23"/>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3"/>
      <c r="GB158" s="23"/>
      <c r="GC158" s="23"/>
      <c r="GD158" s="23"/>
      <c r="GE158" s="23"/>
      <c r="GF158" s="23"/>
      <c r="GG158" s="23"/>
      <c r="GH158" s="23"/>
      <c r="GI158" s="23"/>
      <c r="GJ158" s="23"/>
      <c r="GK158" s="23"/>
      <c r="GL158" s="23"/>
      <c r="GM158" s="23"/>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3"/>
      <c r="GB159" s="23"/>
      <c r="GC159" s="23"/>
      <c r="GD159" s="23"/>
      <c r="GE159" s="23"/>
      <c r="GF159" s="23"/>
      <c r="GG159" s="23"/>
      <c r="GH159" s="23"/>
      <c r="GI159" s="23"/>
      <c r="GJ159" s="23"/>
      <c r="GK159" s="23"/>
      <c r="GL159" s="23"/>
      <c r="GM159" s="23"/>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3"/>
      <c r="GB160" s="23"/>
      <c r="GC160" s="23"/>
      <c r="GD160" s="23"/>
      <c r="GE160" s="23"/>
      <c r="GF160" s="23"/>
      <c r="GG160" s="23"/>
      <c r="GH160" s="23"/>
      <c r="GI160" s="23"/>
      <c r="GJ160" s="23"/>
      <c r="GK160" s="23"/>
      <c r="GL160" s="23"/>
      <c r="GM160" s="23"/>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3"/>
      <c r="GB161" s="23"/>
      <c r="GC161" s="23"/>
      <c r="GD161" s="23"/>
      <c r="GE161" s="23"/>
      <c r="GF161" s="23"/>
      <c r="GG161" s="23"/>
      <c r="GH161" s="23"/>
      <c r="GI161" s="23"/>
      <c r="GJ161" s="23"/>
      <c r="GK161" s="23"/>
      <c r="GL161" s="23"/>
      <c r="GM161" s="23"/>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3"/>
      <c r="GB162" s="23"/>
      <c r="GC162" s="23"/>
      <c r="GD162" s="23"/>
      <c r="GE162" s="23"/>
      <c r="GF162" s="23"/>
      <c r="GG162" s="23"/>
      <c r="GH162" s="23"/>
      <c r="GI162" s="23"/>
      <c r="GJ162" s="23"/>
      <c r="GK162" s="23"/>
      <c r="GL162" s="23"/>
      <c r="GM162" s="23"/>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3"/>
      <c r="GB163" s="23"/>
      <c r="GC163" s="23"/>
      <c r="GD163" s="23"/>
      <c r="GE163" s="23"/>
      <c r="GF163" s="23"/>
      <c r="GG163" s="23"/>
      <c r="GH163" s="23"/>
      <c r="GI163" s="23"/>
      <c r="GJ163" s="23"/>
      <c r="GK163" s="23"/>
      <c r="GL163" s="23"/>
      <c r="GM163" s="23"/>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3"/>
      <c r="GB164" s="23"/>
      <c r="GC164" s="23"/>
      <c r="GD164" s="23"/>
      <c r="GE164" s="23"/>
      <c r="GF164" s="23"/>
      <c r="GG164" s="23"/>
      <c r="GH164" s="23"/>
      <c r="GI164" s="23"/>
      <c r="GJ164" s="23"/>
      <c r="GK164" s="23"/>
      <c r="GL164" s="23"/>
      <c r="GM164" s="23"/>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3"/>
      <c r="GB165" s="23"/>
      <c r="GC165" s="23"/>
      <c r="GD165" s="23"/>
      <c r="GE165" s="23"/>
      <c r="GF165" s="23"/>
      <c r="GG165" s="23"/>
      <c r="GH165" s="23"/>
      <c r="GI165" s="23"/>
      <c r="GJ165" s="23"/>
      <c r="GK165" s="23"/>
      <c r="GL165" s="23"/>
      <c r="GM165" s="23"/>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3"/>
      <c r="GB166" s="23"/>
      <c r="GC166" s="23"/>
      <c r="GD166" s="23"/>
      <c r="GE166" s="23"/>
      <c r="GF166" s="23"/>
      <c r="GG166" s="23"/>
      <c r="GH166" s="23"/>
      <c r="GI166" s="23"/>
      <c r="GJ166" s="23"/>
      <c r="GK166" s="23"/>
      <c r="GL166" s="23"/>
      <c r="GM166" s="23"/>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3"/>
      <c r="GB167" s="23"/>
      <c r="GC167" s="23"/>
      <c r="GD167" s="23"/>
      <c r="GE167" s="23"/>
      <c r="GF167" s="23"/>
      <c r="GG167" s="23"/>
      <c r="GH167" s="23"/>
      <c r="GI167" s="23"/>
      <c r="GJ167" s="23"/>
      <c r="GK167" s="23"/>
      <c r="GL167" s="23"/>
      <c r="GM167" s="23"/>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3"/>
      <c r="GB168" s="23"/>
      <c r="GC168" s="23"/>
      <c r="GD168" s="23"/>
      <c r="GE168" s="23"/>
      <c r="GF168" s="23"/>
      <c r="GG168" s="23"/>
      <c r="GH168" s="23"/>
      <c r="GI168" s="23"/>
      <c r="GJ168" s="23"/>
      <c r="GK168" s="23"/>
      <c r="GL168" s="23"/>
      <c r="GM168" s="23"/>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3"/>
      <c r="GB169" s="23"/>
      <c r="GC169" s="23"/>
      <c r="GD169" s="23"/>
      <c r="GE169" s="23"/>
      <c r="GF169" s="23"/>
      <c r="GG169" s="23"/>
      <c r="GH169" s="23"/>
      <c r="GI169" s="23"/>
      <c r="GJ169" s="23"/>
      <c r="GK169" s="23"/>
      <c r="GL169" s="23"/>
      <c r="GM169" s="23"/>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3"/>
      <c r="GB170" s="23"/>
      <c r="GC170" s="23"/>
      <c r="GD170" s="23"/>
      <c r="GE170" s="23"/>
      <c r="GF170" s="23"/>
      <c r="GG170" s="23"/>
      <c r="GH170" s="23"/>
      <c r="GI170" s="23"/>
      <c r="GJ170" s="23"/>
      <c r="GK170" s="23"/>
      <c r="GL170" s="23"/>
      <c r="GM170" s="23"/>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3"/>
      <c r="GB171" s="23"/>
      <c r="GC171" s="23"/>
      <c r="GD171" s="23"/>
      <c r="GE171" s="23"/>
      <c r="GF171" s="23"/>
      <c r="GG171" s="23"/>
      <c r="GH171" s="23"/>
      <c r="GI171" s="23"/>
      <c r="GJ171" s="23"/>
      <c r="GK171" s="23"/>
      <c r="GL171" s="23"/>
      <c r="GM171" s="23"/>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3"/>
      <c r="GB172" s="23"/>
      <c r="GC172" s="23"/>
      <c r="GD172" s="23"/>
      <c r="GE172" s="23"/>
      <c r="GF172" s="23"/>
      <c r="GG172" s="23"/>
      <c r="GH172" s="23"/>
      <c r="GI172" s="23"/>
      <c r="GJ172" s="23"/>
      <c r="GK172" s="23"/>
      <c r="GL172" s="23"/>
      <c r="GM172" s="23"/>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3"/>
      <c r="GB173" s="23"/>
      <c r="GC173" s="23"/>
      <c r="GD173" s="23"/>
      <c r="GE173" s="23"/>
      <c r="GF173" s="23"/>
      <c r="GG173" s="23"/>
      <c r="GH173" s="23"/>
      <c r="GI173" s="23"/>
      <c r="GJ173" s="23"/>
      <c r="GK173" s="23"/>
      <c r="GL173" s="23"/>
      <c r="GM173" s="23"/>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3"/>
      <c r="GB174" s="23"/>
      <c r="GC174" s="23"/>
      <c r="GD174" s="23"/>
      <c r="GE174" s="23"/>
      <c r="GF174" s="23"/>
      <c r="GG174" s="23"/>
      <c r="GH174" s="23"/>
      <c r="GI174" s="23"/>
      <c r="GJ174" s="23"/>
      <c r="GK174" s="23"/>
      <c r="GL174" s="23"/>
      <c r="GM174" s="23"/>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3"/>
      <c r="GB175" s="23"/>
      <c r="GC175" s="23"/>
      <c r="GD175" s="23"/>
      <c r="GE175" s="23"/>
      <c r="GF175" s="23"/>
      <c r="GG175" s="23"/>
      <c r="GH175" s="23"/>
      <c r="GI175" s="23"/>
      <c r="GJ175" s="23"/>
      <c r="GK175" s="23"/>
      <c r="GL175" s="23"/>
      <c r="GM175" s="23"/>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3"/>
      <c r="GB176" s="23"/>
      <c r="GC176" s="23"/>
      <c r="GD176" s="23"/>
      <c r="GE176" s="23"/>
      <c r="GF176" s="23"/>
      <c r="GG176" s="23"/>
      <c r="GH176" s="23"/>
      <c r="GI176" s="23"/>
      <c r="GJ176" s="23"/>
      <c r="GK176" s="23"/>
      <c r="GL176" s="23"/>
      <c r="GM176" s="23"/>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3"/>
      <c r="GB177" s="23"/>
      <c r="GC177" s="23"/>
      <c r="GD177" s="23"/>
      <c r="GE177" s="23"/>
      <c r="GF177" s="23"/>
      <c r="GG177" s="23"/>
      <c r="GH177" s="23"/>
      <c r="GI177" s="23"/>
      <c r="GJ177" s="23"/>
      <c r="GK177" s="23"/>
      <c r="GL177" s="23"/>
      <c r="GM177" s="23"/>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3"/>
      <c r="GB178" s="23"/>
      <c r="GC178" s="23"/>
      <c r="GD178" s="23"/>
      <c r="GE178" s="23"/>
      <c r="GF178" s="23"/>
      <c r="GG178" s="23"/>
      <c r="GH178" s="23"/>
      <c r="GI178" s="23"/>
      <c r="GJ178" s="23"/>
      <c r="GK178" s="23"/>
      <c r="GL178" s="23"/>
      <c r="GM178" s="23"/>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3"/>
      <c r="GB179" s="23"/>
      <c r="GC179" s="23"/>
      <c r="GD179" s="23"/>
      <c r="GE179" s="23"/>
      <c r="GF179" s="23"/>
      <c r="GG179" s="23"/>
      <c r="GH179" s="23"/>
      <c r="GI179" s="23"/>
      <c r="GJ179" s="23"/>
      <c r="GK179" s="23"/>
      <c r="GL179" s="23"/>
      <c r="GM179" s="23"/>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3"/>
      <c r="GB180" s="23"/>
      <c r="GC180" s="23"/>
      <c r="GD180" s="23"/>
      <c r="GE180" s="23"/>
      <c r="GF180" s="23"/>
      <c r="GG180" s="23"/>
      <c r="GH180" s="23"/>
      <c r="GI180" s="23"/>
      <c r="GJ180" s="23"/>
      <c r="GK180" s="23"/>
      <c r="GL180" s="23"/>
      <c r="GM180" s="23"/>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3"/>
      <c r="GB181" s="23"/>
      <c r="GC181" s="23"/>
      <c r="GD181" s="23"/>
      <c r="GE181" s="23"/>
      <c r="GF181" s="23"/>
      <c r="GG181" s="23"/>
      <c r="GH181" s="23"/>
      <c r="GI181" s="23"/>
      <c r="GJ181" s="23"/>
      <c r="GK181" s="23"/>
      <c r="GL181" s="23"/>
      <c r="GM181" s="23"/>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3"/>
      <c r="GB182" s="23"/>
      <c r="GC182" s="23"/>
      <c r="GD182" s="23"/>
      <c r="GE182" s="23"/>
      <c r="GF182" s="23"/>
      <c r="GG182" s="23"/>
      <c r="GH182" s="23"/>
      <c r="GI182" s="23"/>
      <c r="GJ182" s="23"/>
      <c r="GK182" s="23"/>
      <c r="GL182" s="23"/>
      <c r="GM182" s="23"/>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3"/>
      <c r="GB183" s="23"/>
      <c r="GC183" s="23"/>
      <c r="GD183" s="23"/>
      <c r="GE183" s="23"/>
      <c r="GF183" s="23"/>
      <c r="GG183" s="23"/>
      <c r="GH183" s="23"/>
      <c r="GI183" s="23"/>
      <c r="GJ183" s="23"/>
      <c r="GK183" s="23"/>
      <c r="GL183" s="23"/>
      <c r="GM183" s="23"/>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3"/>
      <c r="GB184" s="23"/>
      <c r="GC184" s="23"/>
      <c r="GD184" s="23"/>
      <c r="GE184" s="23"/>
      <c r="GF184" s="23"/>
      <c r="GG184" s="23"/>
      <c r="GH184" s="23"/>
      <c r="GI184" s="23"/>
      <c r="GJ184" s="23"/>
      <c r="GK184" s="23"/>
      <c r="GL184" s="23"/>
      <c r="GM184" s="23"/>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3"/>
      <c r="GB185" s="23"/>
      <c r="GC185" s="23"/>
      <c r="GD185" s="23"/>
      <c r="GE185" s="23"/>
      <c r="GF185" s="23"/>
      <c r="GG185" s="23"/>
      <c r="GH185" s="23"/>
      <c r="GI185" s="23"/>
      <c r="GJ185" s="23"/>
      <c r="GK185" s="23"/>
      <c r="GL185" s="23"/>
      <c r="GM185" s="23"/>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3"/>
      <c r="GB186" s="23"/>
      <c r="GC186" s="23"/>
      <c r="GD186" s="23"/>
      <c r="GE186" s="23"/>
      <c r="GF186" s="23"/>
      <c r="GG186" s="23"/>
      <c r="GH186" s="23"/>
      <c r="GI186" s="23"/>
      <c r="GJ186" s="23"/>
      <c r="GK186" s="23"/>
      <c r="GL186" s="23"/>
      <c r="GM186" s="23"/>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3"/>
      <c r="GB187" s="23"/>
      <c r="GC187" s="23"/>
      <c r="GD187" s="23"/>
      <c r="GE187" s="23"/>
      <c r="GF187" s="23"/>
      <c r="GG187" s="23"/>
      <c r="GH187" s="23"/>
      <c r="GI187" s="23"/>
      <c r="GJ187" s="23"/>
      <c r="GK187" s="23"/>
      <c r="GL187" s="23"/>
      <c r="GM187" s="23"/>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3"/>
      <c r="GB188" s="23"/>
      <c r="GC188" s="23"/>
      <c r="GD188" s="23"/>
      <c r="GE188" s="23"/>
      <c r="GF188" s="23"/>
      <c r="GG188" s="23"/>
      <c r="GH188" s="23"/>
      <c r="GI188" s="23"/>
      <c r="GJ188" s="23"/>
      <c r="GK188" s="23"/>
      <c r="GL188" s="23"/>
      <c r="GM188" s="23"/>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0D9A-8B69-BE41-9E0A-BEDB8E784AE1}">
  <dimension ref="A1:I29"/>
  <sheetViews>
    <sheetView workbookViewId="0">
      <selection activeCell="F36" sqref="F36"/>
    </sheetView>
  </sheetViews>
  <sheetFormatPr baseColWidth="10" defaultRowHeight="16" x14ac:dyDescent="0.2"/>
  <sheetData>
    <row r="1" spans="1:1" x14ac:dyDescent="0.2">
      <c r="A1" t="s">
        <v>0</v>
      </c>
    </row>
    <row r="2" spans="1:1" x14ac:dyDescent="0.2">
      <c r="A2" t="s">
        <v>1</v>
      </c>
    </row>
    <row r="3" spans="1:1" x14ac:dyDescent="0.2">
      <c r="A3" t="s">
        <v>49</v>
      </c>
    </row>
    <row r="4" spans="1:1" x14ac:dyDescent="0.2">
      <c r="A4" t="s">
        <v>52</v>
      </c>
    </row>
    <row r="5" spans="1:1" x14ac:dyDescent="0.2">
      <c r="A5" t="s">
        <v>38</v>
      </c>
    </row>
    <row r="6" spans="1:1" x14ac:dyDescent="0.2">
      <c r="A6" t="s">
        <v>3</v>
      </c>
    </row>
    <row r="7" spans="1:1" x14ac:dyDescent="0.2">
      <c r="A7" t="s">
        <v>29</v>
      </c>
    </row>
    <row r="8" spans="1:1" x14ac:dyDescent="0.2">
      <c r="A8" t="s">
        <v>127</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9" x14ac:dyDescent="0.2">
      <c r="A17" t="s">
        <v>13</v>
      </c>
    </row>
    <row r="18" spans="1:9" x14ac:dyDescent="0.2">
      <c r="A18" t="s">
        <v>14</v>
      </c>
    </row>
    <row r="19" spans="1:9" x14ac:dyDescent="0.2">
      <c r="A19" t="s">
        <v>15</v>
      </c>
    </row>
    <row r="20" spans="1:9" x14ac:dyDescent="0.2">
      <c r="A20" t="s">
        <v>128</v>
      </c>
    </row>
    <row r="21" spans="1:9" x14ac:dyDescent="0.2">
      <c r="A21" t="s">
        <v>17</v>
      </c>
    </row>
    <row r="22" spans="1:9" x14ac:dyDescent="0.2">
      <c r="A22" t="s">
        <v>129</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53</v>
      </c>
      <c r="B25">
        <v>9</v>
      </c>
      <c r="C25">
        <v>1</v>
      </c>
      <c r="D25">
        <v>2</v>
      </c>
      <c r="E25">
        <v>2</v>
      </c>
      <c r="F25">
        <v>0.37655394199998599</v>
      </c>
      <c r="G25">
        <v>1</v>
      </c>
      <c r="H25">
        <v>1</v>
      </c>
      <c r="I25" t="s">
        <v>130</v>
      </c>
    </row>
    <row r="26" spans="1:9" x14ac:dyDescent="0.2">
      <c r="A26" t="s">
        <v>54</v>
      </c>
      <c r="B26">
        <v>23</v>
      </c>
      <c r="C26">
        <v>1</v>
      </c>
      <c r="D26">
        <v>3</v>
      </c>
      <c r="E26">
        <v>3</v>
      </c>
      <c r="F26">
        <v>0.27603515999999201</v>
      </c>
      <c r="G26">
        <v>1</v>
      </c>
      <c r="H26">
        <v>1</v>
      </c>
      <c r="I26" t="s">
        <v>131</v>
      </c>
    </row>
    <row r="27" spans="1:9" x14ac:dyDescent="0.2">
      <c r="A27" t="s">
        <v>55</v>
      </c>
      <c r="B27">
        <v>43</v>
      </c>
      <c r="C27">
        <v>1</v>
      </c>
      <c r="D27">
        <v>4</v>
      </c>
      <c r="E27">
        <v>4</v>
      </c>
      <c r="F27">
        <v>0.881002245000019</v>
      </c>
      <c r="G27">
        <v>1</v>
      </c>
      <c r="H27">
        <v>1</v>
      </c>
      <c r="I27" t="s">
        <v>132</v>
      </c>
    </row>
    <row r="28" spans="1:9" x14ac:dyDescent="0.2">
      <c r="A28" t="s">
        <v>56</v>
      </c>
      <c r="B28">
        <v>69</v>
      </c>
      <c r="C28">
        <v>1</v>
      </c>
      <c r="D28">
        <v>5</v>
      </c>
      <c r="E28">
        <v>5</v>
      </c>
      <c r="F28">
        <v>2.5265394219999799</v>
      </c>
      <c r="G28">
        <v>1</v>
      </c>
      <c r="H28">
        <v>1</v>
      </c>
      <c r="I28" t="s">
        <v>133</v>
      </c>
    </row>
    <row r="29" spans="1:9" x14ac:dyDescent="0.2">
      <c r="A29" t="s">
        <v>57</v>
      </c>
      <c r="B29">
        <v>101</v>
      </c>
      <c r="C29">
        <v>1</v>
      </c>
      <c r="D29">
        <v>6</v>
      </c>
      <c r="E29">
        <v>6</v>
      </c>
      <c r="F29">
        <v>6.9712179139999897</v>
      </c>
      <c r="G29">
        <v>1</v>
      </c>
      <c r="H29">
        <v>1</v>
      </c>
      <c r="I29" t="s">
        <v>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9FF52-158B-1C49-AF62-2116630F5804}">
  <dimension ref="A1:I34"/>
  <sheetViews>
    <sheetView workbookViewId="0">
      <selection activeCell="E10" sqref="E10"/>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6" t="s">
        <v>52</v>
      </c>
    </row>
    <row r="6" spans="1:1" x14ac:dyDescent="0.2">
      <c r="A6" s="6" t="s">
        <v>197</v>
      </c>
    </row>
    <row r="7" spans="1:1" x14ac:dyDescent="0.2">
      <c r="A7" t="s">
        <v>3</v>
      </c>
    </row>
    <row r="8" spans="1:1" x14ac:dyDescent="0.2">
      <c r="A8" t="s">
        <v>4</v>
      </c>
    </row>
    <row r="9" spans="1:1" x14ac:dyDescent="0.2">
      <c r="A9" t="s">
        <v>156</v>
      </c>
    </row>
    <row r="10" spans="1:1" x14ac:dyDescent="0.2">
      <c r="A10" t="s">
        <v>198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6"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128</v>
      </c>
    </row>
    <row r="26" spans="1:9" x14ac:dyDescent="0.2">
      <c r="A26" t="s">
        <v>17</v>
      </c>
    </row>
    <row r="27" spans="1:9" x14ac:dyDescent="0.2">
      <c r="A27" s="6" t="s">
        <v>199</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8.0064042005687897E-2</v>
      </c>
      <c r="G30">
        <v>1</v>
      </c>
      <c r="H30">
        <v>1</v>
      </c>
      <c r="I30" t="s">
        <v>200</v>
      </c>
    </row>
    <row r="31" spans="1:9" x14ac:dyDescent="0.2">
      <c r="A31" t="s">
        <v>54</v>
      </c>
      <c r="B31">
        <v>23</v>
      </c>
      <c r="C31">
        <v>1</v>
      </c>
      <c r="D31">
        <v>3</v>
      </c>
      <c r="E31">
        <v>3</v>
      </c>
      <c r="F31" s="14">
        <v>0.18317616599961101</v>
      </c>
      <c r="G31">
        <v>1</v>
      </c>
      <c r="H31">
        <v>1</v>
      </c>
      <c r="I31" t="s">
        <v>201</v>
      </c>
    </row>
    <row r="32" spans="1:9" x14ac:dyDescent="0.2">
      <c r="A32" t="s">
        <v>55</v>
      </c>
      <c r="B32">
        <v>43</v>
      </c>
      <c r="C32">
        <v>1</v>
      </c>
      <c r="D32">
        <v>4</v>
      </c>
      <c r="E32">
        <v>4</v>
      </c>
      <c r="F32" s="14">
        <v>2.58922641701065</v>
      </c>
      <c r="G32">
        <v>1</v>
      </c>
      <c r="H32">
        <v>1</v>
      </c>
      <c r="I32" t="s">
        <v>202</v>
      </c>
    </row>
    <row r="33" spans="1:9" x14ac:dyDescent="0.2">
      <c r="A33" t="s">
        <v>56</v>
      </c>
      <c r="B33">
        <v>69</v>
      </c>
      <c r="C33">
        <v>1</v>
      </c>
      <c r="D33">
        <v>5</v>
      </c>
      <c r="E33">
        <v>5</v>
      </c>
      <c r="F33">
        <v>16074.7688292079</v>
      </c>
      <c r="G33">
        <v>1</v>
      </c>
      <c r="H33">
        <v>1</v>
      </c>
      <c r="I33" t="s">
        <v>203</v>
      </c>
    </row>
    <row r="34" spans="1:9" x14ac:dyDescent="0.2">
      <c r="A34" t="s">
        <v>57</v>
      </c>
      <c r="B34">
        <v>101</v>
      </c>
      <c r="C34">
        <v>1</v>
      </c>
      <c r="D34">
        <v>6</v>
      </c>
      <c r="E34">
        <v>6</v>
      </c>
      <c r="F34">
        <v>28803.559164667</v>
      </c>
      <c r="G34">
        <v>1</v>
      </c>
      <c r="H34">
        <v>1</v>
      </c>
      <c r="I34" t="s">
        <v>219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34"/>
  <sheetViews>
    <sheetView workbookViewId="0">
      <selection activeCell="E8" sqref="E8"/>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2</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16</v>
      </c>
    </row>
    <row r="26" spans="1:9" x14ac:dyDescent="0.2">
      <c r="A26" t="s">
        <v>17</v>
      </c>
    </row>
    <row r="27" spans="1:9" x14ac:dyDescent="0.2">
      <c r="A27" s="21" t="s">
        <v>160</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1.7176060006022401E-2</v>
      </c>
      <c r="G30">
        <v>1</v>
      </c>
      <c r="H30">
        <v>1</v>
      </c>
      <c r="I30" t="s">
        <v>161</v>
      </c>
    </row>
    <row r="31" spans="1:9" x14ac:dyDescent="0.2">
      <c r="A31" t="s">
        <v>54</v>
      </c>
      <c r="B31">
        <v>23</v>
      </c>
      <c r="C31">
        <v>1</v>
      </c>
      <c r="D31">
        <v>3</v>
      </c>
      <c r="E31">
        <v>3</v>
      </c>
      <c r="F31">
        <v>0.29100400768220402</v>
      </c>
      <c r="G31">
        <v>1</v>
      </c>
      <c r="H31">
        <v>1</v>
      </c>
      <c r="I31" t="s">
        <v>162</v>
      </c>
    </row>
    <row r="32" spans="1:9" x14ac:dyDescent="0.2">
      <c r="A32" t="s">
        <v>55</v>
      </c>
      <c r="B32">
        <v>43</v>
      </c>
      <c r="C32">
        <v>1</v>
      </c>
      <c r="D32">
        <v>4</v>
      </c>
      <c r="E32">
        <v>4</v>
      </c>
      <c r="F32">
        <v>3.5061257351189798</v>
      </c>
      <c r="G32">
        <v>1</v>
      </c>
      <c r="H32">
        <v>1</v>
      </c>
      <c r="I32" t="s">
        <v>163</v>
      </c>
    </row>
    <row r="33" spans="1:9" x14ac:dyDescent="0.2">
      <c r="A33" t="s">
        <v>56</v>
      </c>
      <c r="B33">
        <v>69</v>
      </c>
      <c r="C33">
        <v>1</v>
      </c>
      <c r="D33">
        <v>5</v>
      </c>
      <c r="E33">
        <v>5</v>
      </c>
      <c r="F33">
        <v>282.82248129695603</v>
      </c>
      <c r="G33">
        <v>1</v>
      </c>
      <c r="H33">
        <v>1</v>
      </c>
      <c r="I33" t="s">
        <v>164</v>
      </c>
    </row>
    <row r="34" spans="1:9" x14ac:dyDescent="0.2">
      <c r="A34" t="s">
        <v>57</v>
      </c>
      <c r="B34">
        <v>101</v>
      </c>
      <c r="C34">
        <v>1</v>
      </c>
      <c r="D34">
        <v>6</v>
      </c>
      <c r="E34">
        <v>6</v>
      </c>
      <c r="F34">
        <v>21051.9705703156</v>
      </c>
      <c r="G34">
        <v>1</v>
      </c>
      <c r="H34">
        <v>1</v>
      </c>
      <c r="I34" t="s">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29"/>
  <sheetViews>
    <sheetView workbookViewId="0">
      <selection activeCell="F25" sqref="F25:F29"/>
    </sheetView>
  </sheetViews>
  <sheetFormatPr baseColWidth="10" defaultRowHeight="16" x14ac:dyDescent="0.2"/>
  <sheetData>
    <row r="1" spans="1:1" x14ac:dyDescent="0.2">
      <c r="A1" t="s">
        <v>0</v>
      </c>
    </row>
    <row r="2" spans="1:1" x14ac:dyDescent="0.2">
      <c r="A2" t="s">
        <v>1</v>
      </c>
    </row>
    <row r="3" spans="1:1" x14ac:dyDescent="0.2">
      <c r="A3" t="s">
        <v>49</v>
      </c>
    </row>
    <row r="4" spans="1:1" x14ac:dyDescent="0.2">
      <c r="A4" s="6" t="s">
        <v>52</v>
      </c>
    </row>
    <row r="5" spans="1:1" x14ac:dyDescent="0.2">
      <c r="A5" s="21" t="s">
        <v>28</v>
      </c>
    </row>
    <row r="6" spans="1:1" x14ac:dyDescent="0.2">
      <c r="A6" s="22" t="s">
        <v>3</v>
      </c>
    </row>
    <row r="7" spans="1:1" x14ac:dyDescent="0.2">
      <c r="A7" t="s">
        <v>29</v>
      </c>
    </row>
    <row r="8" spans="1:1" x14ac:dyDescent="0.2">
      <c r="A8" t="s">
        <v>50</v>
      </c>
    </row>
    <row r="9" spans="1:1" x14ac:dyDescent="0.2">
      <c r="A9" t="s">
        <v>5</v>
      </c>
    </row>
    <row r="10" spans="1:1" x14ac:dyDescent="0.2">
      <c r="A10" t="s">
        <v>6</v>
      </c>
    </row>
    <row r="11" spans="1:1" x14ac:dyDescent="0.2">
      <c r="A11" t="s">
        <v>7</v>
      </c>
    </row>
    <row r="12" spans="1:1" x14ac:dyDescent="0.2">
      <c r="A12" t="s">
        <v>8</v>
      </c>
    </row>
    <row r="13" spans="1:1" x14ac:dyDescent="0.2">
      <c r="A13" s="6" t="s">
        <v>9</v>
      </c>
    </row>
    <row r="14" spans="1:1" x14ac:dyDescent="0.2">
      <c r="A14" t="s">
        <v>10</v>
      </c>
    </row>
    <row r="15" spans="1:1" x14ac:dyDescent="0.2">
      <c r="A15" t="s">
        <v>11</v>
      </c>
    </row>
    <row r="16" spans="1:1" x14ac:dyDescent="0.2">
      <c r="A16" s="22" t="s">
        <v>12</v>
      </c>
    </row>
    <row r="17" spans="1:9" x14ac:dyDescent="0.2">
      <c r="A17" t="s">
        <v>13</v>
      </c>
    </row>
    <row r="18" spans="1:9" x14ac:dyDescent="0.2">
      <c r="A18" t="s">
        <v>14</v>
      </c>
    </row>
    <row r="19" spans="1:9" x14ac:dyDescent="0.2">
      <c r="A19" t="s">
        <v>15</v>
      </c>
    </row>
    <row r="20" spans="1:9" x14ac:dyDescent="0.2">
      <c r="A20" t="s">
        <v>16</v>
      </c>
    </row>
    <row r="21" spans="1:9" x14ac:dyDescent="0.2">
      <c r="A21" t="s">
        <v>17</v>
      </c>
    </row>
    <row r="22" spans="1:9" x14ac:dyDescent="0.2">
      <c r="A22" s="6" t="s">
        <v>125</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53</v>
      </c>
      <c r="B25">
        <v>9</v>
      </c>
      <c r="C25">
        <v>1</v>
      </c>
      <c r="D25">
        <v>2</v>
      </c>
      <c r="E25">
        <v>2</v>
      </c>
      <c r="F25" s="1">
        <v>9.1547899937722797E-3</v>
      </c>
      <c r="G25">
        <v>1</v>
      </c>
      <c r="H25">
        <v>1</v>
      </c>
      <c r="I25" t="s">
        <v>58</v>
      </c>
    </row>
    <row r="26" spans="1:9" x14ac:dyDescent="0.2">
      <c r="A26" t="s">
        <v>54</v>
      </c>
      <c r="B26">
        <v>23</v>
      </c>
      <c r="C26">
        <v>1</v>
      </c>
      <c r="D26">
        <v>3</v>
      </c>
      <c r="E26">
        <v>3</v>
      </c>
      <c r="F26">
        <v>4.9032213995815199E-2</v>
      </c>
      <c r="G26">
        <v>1</v>
      </c>
      <c r="H26">
        <v>1</v>
      </c>
      <c r="I26" t="s">
        <v>59</v>
      </c>
    </row>
    <row r="27" spans="1:9" x14ac:dyDescent="0.2">
      <c r="A27" s="22" t="s">
        <v>55</v>
      </c>
      <c r="B27">
        <v>43</v>
      </c>
      <c r="C27">
        <v>1</v>
      </c>
      <c r="D27">
        <v>4</v>
      </c>
      <c r="E27">
        <v>4</v>
      </c>
      <c r="F27">
        <v>0.31570972900953997</v>
      </c>
      <c r="G27">
        <v>1</v>
      </c>
      <c r="H27">
        <v>1</v>
      </c>
      <c r="I27" t="s">
        <v>60</v>
      </c>
    </row>
    <row r="28" spans="1:9" x14ac:dyDescent="0.2">
      <c r="A28" t="s">
        <v>56</v>
      </c>
      <c r="B28">
        <v>69</v>
      </c>
      <c r="C28">
        <v>1</v>
      </c>
      <c r="D28">
        <v>5</v>
      </c>
      <c r="E28">
        <v>5</v>
      </c>
      <c r="F28">
        <v>3.2599457960022802</v>
      </c>
      <c r="G28">
        <v>1</v>
      </c>
      <c r="H28">
        <v>1</v>
      </c>
      <c r="I28" t="s">
        <v>61</v>
      </c>
    </row>
    <row r="29" spans="1:9" x14ac:dyDescent="0.2">
      <c r="A29" t="s">
        <v>57</v>
      </c>
      <c r="B29">
        <v>101</v>
      </c>
      <c r="C29">
        <v>1</v>
      </c>
      <c r="D29">
        <v>6</v>
      </c>
      <c r="E29">
        <v>6</v>
      </c>
      <c r="F29">
        <v>19.2608066729881</v>
      </c>
      <c r="G29">
        <v>1</v>
      </c>
      <c r="H29">
        <v>1</v>
      </c>
      <c r="I29"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BA29-2F1D-BC49-97B4-AFA5B8599E70}">
  <dimension ref="A1:I34"/>
  <sheetViews>
    <sheetView workbookViewId="0">
      <selection activeCell="F30" sqref="F30:F34"/>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t="s">
        <v>52</v>
      </c>
    </row>
    <row r="6" spans="1:1" x14ac:dyDescent="0.2">
      <c r="A6" t="s">
        <v>28</v>
      </c>
    </row>
    <row r="7" spans="1:1" x14ac:dyDescent="0.2">
      <c r="A7" t="s">
        <v>3</v>
      </c>
    </row>
    <row r="8" spans="1:1" x14ac:dyDescent="0.2">
      <c r="A8" t="s">
        <v>4</v>
      </c>
    </row>
    <row r="9" spans="1:1" x14ac:dyDescent="0.2">
      <c r="A9" t="s">
        <v>204</v>
      </c>
    </row>
    <row r="10" spans="1:1" x14ac:dyDescent="0.2">
      <c r="A10" t="s">
        <v>159</v>
      </c>
    </row>
    <row r="11" spans="1:1" x14ac:dyDescent="0.2">
      <c r="A11" t="s">
        <v>50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128</v>
      </c>
    </row>
    <row r="26" spans="1:9" x14ac:dyDescent="0.2">
      <c r="A26" t="s">
        <v>17</v>
      </c>
    </row>
    <row r="27" spans="1:9" x14ac:dyDescent="0.2">
      <c r="A27" t="s">
        <v>205</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7.5287371873855504E-3</v>
      </c>
      <c r="G30">
        <v>1</v>
      </c>
      <c r="H30">
        <v>1</v>
      </c>
      <c r="I30" t="s">
        <v>206</v>
      </c>
    </row>
    <row r="31" spans="1:9" x14ac:dyDescent="0.2">
      <c r="A31" t="s">
        <v>54</v>
      </c>
      <c r="B31">
        <v>23</v>
      </c>
      <c r="C31">
        <v>1</v>
      </c>
      <c r="D31">
        <v>3</v>
      </c>
      <c r="E31">
        <v>3</v>
      </c>
      <c r="F31">
        <v>3.4765690565109197E-2</v>
      </c>
      <c r="G31">
        <v>1</v>
      </c>
      <c r="H31">
        <v>1</v>
      </c>
      <c r="I31" t="s">
        <v>207</v>
      </c>
    </row>
    <row r="32" spans="1:9" x14ac:dyDescent="0.2">
      <c r="A32" t="s">
        <v>55</v>
      </c>
      <c r="B32">
        <v>43</v>
      </c>
      <c r="C32">
        <v>1</v>
      </c>
      <c r="D32">
        <v>4</v>
      </c>
      <c r="E32">
        <v>4</v>
      </c>
      <c r="F32">
        <v>0.123513966798782</v>
      </c>
      <c r="G32">
        <v>1</v>
      </c>
      <c r="H32">
        <v>1</v>
      </c>
      <c r="I32" t="s">
        <v>208</v>
      </c>
    </row>
    <row r="33" spans="1:9" x14ac:dyDescent="0.2">
      <c r="A33" t="s">
        <v>56</v>
      </c>
      <c r="B33">
        <v>69</v>
      </c>
      <c r="C33">
        <v>1</v>
      </c>
      <c r="D33">
        <v>5</v>
      </c>
      <c r="E33">
        <v>5</v>
      </c>
      <c r="F33">
        <v>0.53221753984689701</v>
      </c>
      <c r="G33">
        <v>1</v>
      </c>
      <c r="H33">
        <v>1</v>
      </c>
      <c r="I33" t="s">
        <v>209</v>
      </c>
    </row>
    <row r="34" spans="1:9" x14ac:dyDescent="0.2">
      <c r="A34" t="s">
        <v>57</v>
      </c>
      <c r="B34">
        <v>101</v>
      </c>
      <c r="C34">
        <v>1</v>
      </c>
      <c r="D34">
        <v>6</v>
      </c>
      <c r="E34">
        <v>6</v>
      </c>
      <c r="F34">
        <v>2.16158873587846</v>
      </c>
      <c r="G34">
        <v>1</v>
      </c>
      <c r="H34">
        <v>1</v>
      </c>
      <c r="I34" t="s">
        <v>210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782F-1D98-394B-968E-6E117D99365F}">
  <dimension ref="A1:I40"/>
  <sheetViews>
    <sheetView topLeftCell="A5" workbookViewId="0">
      <selection activeCell="A33" sqref="A33"/>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30</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1" x14ac:dyDescent="0.2">
      <c r="A17" t="s">
        <v>10</v>
      </c>
    </row>
    <row r="18" spans="1:1" x14ac:dyDescent="0.2">
      <c r="A18" t="s">
        <v>11</v>
      </c>
    </row>
    <row r="19" spans="1:1" x14ac:dyDescent="0.2">
      <c r="A19" t="s">
        <v>12</v>
      </c>
    </row>
    <row r="20" spans="1:1" x14ac:dyDescent="0.2">
      <c r="A20" t="s">
        <v>13</v>
      </c>
    </row>
    <row r="21" spans="1:1" x14ac:dyDescent="0.2">
      <c r="A21" t="s">
        <v>155</v>
      </c>
    </row>
    <row r="22" spans="1:1" x14ac:dyDescent="0.2">
      <c r="A22" t="s">
        <v>15</v>
      </c>
    </row>
    <row r="23" spans="1:1" x14ac:dyDescent="0.2">
      <c r="A23" t="s">
        <v>154</v>
      </c>
    </row>
    <row r="24" spans="1:1" x14ac:dyDescent="0.2">
      <c r="A24" t="s">
        <v>153</v>
      </c>
    </row>
    <row r="25" spans="1:1" x14ac:dyDescent="0.2">
      <c r="A25" t="s">
        <v>128</v>
      </c>
    </row>
    <row r="26" spans="1:1" x14ac:dyDescent="0.2">
      <c r="A26" t="s">
        <v>31</v>
      </c>
    </row>
    <row r="27" spans="1:1" x14ac:dyDescent="0.2">
      <c r="A27" s="22" t="s">
        <v>17</v>
      </c>
    </row>
    <row r="28" spans="1:1" x14ac:dyDescent="0.2">
      <c r="A28" t="s">
        <v>32</v>
      </c>
    </row>
    <row r="29" spans="1:1" x14ac:dyDescent="0.2">
      <c r="A29" t="s">
        <v>33</v>
      </c>
    </row>
    <row r="30" spans="1:1" x14ac:dyDescent="0.2">
      <c r="A30" t="s">
        <v>34</v>
      </c>
    </row>
    <row r="31" spans="1:1" x14ac:dyDescent="0.2">
      <c r="A31" t="s">
        <v>35</v>
      </c>
    </row>
    <row r="32" spans="1:1" x14ac:dyDescent="0.2">
      <c r="A32" t="s">
        <v>36</v>
      </c>
    </row>
    <row r="33" spans="1:9" x14ac:dyDescent="0.2">
      <c r="A33" s="6" t="s">
        <v>166</v>
      </c>
    </row>
    <row r="34" spans="1:9" x14ac:dyDescent="0.2">
      <c r="A34" t="s">
        <v>18</v>
      </c>
    </row>
    <row r="35" spans="1:9" x14ac:dyDescent="0.2">
      <c r="A35" t="s">
        <v>19</v>
      </c>
      <c r="B35" t="s">
        <v>20</v>
      </c>
      <c r="C35" t="s">
        <v>21</v>
      </c>
      <c r="D35" t="s">
        <v>22</v>
      </c>
      <c r="E35" t="s">
        <v>23</v>
      </c>
      <c r="F35" t="s">
        <v>24</v>
      </c>
      <c r="G35" t="s">
        <v>25</v>
      </c>
      <c r="H35" t="s">
        <v>26</v>
      </c>
      <c r="I35" t="s">
        <v>27</v>
      </c>
    </row>
    <row r="36" spans="1:9" x14ac:dyDescent="0.2">
      <c r="A36" t="s">
        <v>53</v>
      </c>
      <c r="B36">
        <v>9</v>
      </c>
      <c r="C36">
        <v>1</v>
      </c>
      <c r="D36">
        <v>2</v>
      </c>
      <c r="E36">
        <v>2</v>
      </c>
      <c r="F36">
        <v>14.091158438473901</v>
      </c>
      <c r="G36">
        <v>8708</v>
      </c>
      <c r="H36">
        <v>10000</v>
      </c>
      <c r="I36" t="s">
        <v>167</v>
      </c>
    </row>
    <row r="37" spans="1:9" x14ac:dyDescent="0.2">
      <c r="A37" t="s">
        <v>54</v>
      </c>
      <c r="B37">
        <v>23</v>
      </c>
      <c r="C37">
        <v>1</v>
      </c>
      <c r="D37">
        <v>3</v>
      </c>
      <c r="E37">
        <v>3</v>
      </c>
      <c r="F37">
        <v>64.336106018163207</v>
      </c>
      <c r="G37">
        <v>9741</v>
      </c>
      <c r="H37">
        <v>10000</v>
      </c>
      <c r="I37" t="s">
        <v>168</v>
      </c>
    </row>
    <row r="38" spans="1:9" x14ac:dyDescent="0.2">
      <c r="A38" t="s">
        <v>55</v>
      </c>
      <c r="B38">
        <v>43</v>
      </c>
      <c r="C38">
        <v>1</v>
      </c>
      <c r="D38">
        <v>4</v>
      </c>
      <c r="E38">
        <v>4</v>
      </c>
      <c r="F38">
        <v>185.04095250647501</v>
      </c>
      <c r="G38">
        <v>8459</v>
      </c>
      <c r="H38">
        <v>10000</v>
      </c>
      <c r="I38" t="s">
        <v>169</v>
      </c>
    </row>
    <row r="39" spans="1:9" x14ac:dyDescent="0.2">
      <c r="A39" t="s">
        <v>56</v>
      </c>
      <c r="B39">
        <v>69</v>
      </c>
      <c r="C39">
        <v>1</v>
      </c>
      <c r="D39">
        <v>5</v>
      </c>
      <c r="E39">
        <v>5</v>
      </c>
      <c r="F39">
        <v>563.95007825642801</v>
      </c>
      <c r="G39">
        <v>6864</v>
      </c>
      <c r="H39">
        <v>10000</v>
      </c>
      <c r="I39" t="s">
        <v>170</v>
      </c>
    </row>
    <row r="40" spans="1:9" x14ac:dyDescent="0.2">
      <c r="A40" t="s">
        <v>57</v>
      </c>
      <c r="B40">
        <v>101</v>
      </c>
      <c r="C40">
        <v>1</v>
      </c>
      <c r="D40">
        <v>6</v>
      </c>
      <c r="E40">
        <v>6</v>
      </c>
      <c r="F40">
        <v>1189.94337962288</v>
      </c>
      <c r="G40">
        <v>5099</v>
      </c>
      <c r="H40">
        <v>10000</v>
      </c>
      <c r="I40" t="s">
        <v>171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0211-D21D-2747-AC71-5F80A0455C81}">
  <dimension ref="A1:I34"/>
  <sheetViews>
    <sheetView workbookViewId="0">
      <selection activeCell="E8" sqref="E8"/>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37</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128</v>
      </c>
    </row>
    <row r="26" spans="1:9" x14ac:dyDescent="0.2">
      <c r="A26" t="s">
        <v>17</v>
      </c>
    </row>
    <row r="27" spans="1:9" x14ac:dyDescent="0.2">
      <c r="A27" s="21" t="s">
        <v>172</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2.1901873871684002E-2</v>
      </c>
      <c r="G30">
        <v>1</v>
      </c>
      <c r="H30">
        <v>1</v>
      </c>
      <c r="I30" t="s">
        <v>135</v>
      </c>
    </row>
    <row r="31" spans="1:9" x14ac:dyDescent="0.2">
      <c r="A31" t="s">
        <v>54</v>
      </c>
      <c r="B31">
        <v>23</v>
      </c>
      <c r="C31">
        <v>1</v>
      </c>
      <c r="D31">
        <v>3</v>
      </c>
      <c r="E31">
        <v>3</v>
      </c>
      <c r="F31">
        <v>4.50808415189385E-2</v>
      </c>
      <c r="G31">
        <v>1</v>
      </c>
      <c r="H31">
        <v>1</v>
      </c>
      <c r="I31" t="s">
        <v>136</v>
      </c>
    </row>
    <row r="32" spans="1:9" x14ac:dyDescent="0.2">
      <c r="A32" t="s">
        <v>55</v>
      </c>
      <c r="B32">
        <v>43</v>
      </c>
      <c r="C32">
        <v>1</v>
      </c>
      <c r="D32">
        <v>4</v>
      </c>
      <c r="E32">
        <v>4</v>
      </c>
      <c r="F32">
        <v>9.3786180019378607E-2</v>
      </c>
      <c r="G32">
        <v>1</v>
      </c>
      <c r="H32">
        <v>1</v>
      </c>
      <c r="I32" t="s">
        <v>137</v>
      </c>
    </row>
    <row r="33" spans="1:9" x14ac:dyDescent="0.2">
      <c r="A33" t="s">
        <v>56</v>
      </c>
      <c r="B33">
        <v>69</v>
      </c>
      <c r="C33">
        <v>1</v>
      </c>
      <c r="D33">
        <v>5</v>
      </c>
      <c r="E33">
        <v>5</v>
      </c>
      <c r="F33">
        <v>0.29212403949350102</v>
      </c>
      <c r="G33">
        <v>1</v>
      </c>
      <c r="H33">
        <v>1</v>
      </c>
      <c r="I33" t="s">
        <v>138</v>
      </c>
    </row>
    <row r="34" spans="1:9" x14ac:dyDescent="0.2">
      <c r="A34" t="s">
        <v>57</v>
      </c>
      <c r="B34">
        <v>101</v>
      </c>
      <c r="C34">
        <v>1</v>
      </c>
      <c r="D34">
        <v>6</v>
      </c>
      <c r="E34">
        <v>6</v>
      </c>
      <c r="F34">
        <v>2.2061284091323601</v>
      </c>
      <c r="G34">
        <v>1</v>
      </c>
      <c r="H34">
        <v>1</v>
      </c>
      <c r="I34" t="s">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4663-DB49-354C-B896-0CF4FA3E608B}">
  <dimension ref="A1:I34"/>
  <sheetViews>
    <sheetView workbookViewId="0">
      <selection activeCell="E8" sqref="E8"/>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38</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16</v>
      </c>
    </row>
    <row r="26" spans="1:9" x14ac:dyDescent="0.2">
      <c r="A26" t="s">
        <v>17</v>
      </c>
    </row>
    <row r="27" spans="1:9" x14ac:dyDescent="0.2">
      <c r="A27" s="21" t="s">
        <v>173</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4.3228450231254101E-2</v>
      </c>
      <c r="G30">
        <v>1</v>
      </c>
      <c r="H30">
        <v>1</v>
      </c>
      <c r="I30" t="s">
        <v>174</v>
      </c>
    </row>
    <row r="31" spans="1:9" x14ac:dyDescent="0.2">
      <c r="A31" t="s">
        <v>54</v>
      </c>
      <c r="B31">
        <v>23</v>
      </c>
      <c r="C31">
        <v>1</v>
      </c>
      <c r="D31">
        <v>3</v>
      </c>
      <c r="E31">
        <v>3</v>
      </c>
      <c r="F31">
        <v>0.160980167798697</v>
      </c>
      <c r="G31">
        <v>1</v>
      </c>
      <c r="H31">
        <v>1</v>
      </c>
      <c r="I31" t="s">
        <v>175</v>
      </c>
    </row>
    <row r="32" spans="1:9" x14ac:dyDescent="0.2">
      <c r="A32" t="s">
        <v>55</v>
      </c>
      <c r="B32">
        <v>43</v>
      </c>
      <c r="C32">
        <v>1</v>
      </c>
      <c r="D32">
        <v>4</v>
      </c>
      <c r="E32">
        <v>4</v>
      </c>
      <c r="F32">
        <v>0.67037741001695395</v>
      </c>
      <c r="G32">
        <v>1</v>
      </c>
      <c r="H32">
        <v>1</v>
      </c>
      <c r="I32" t="s">
        <v>176</v>
      </c>
    </row>
    <row r="33" spans="1:9" x14ac:dyDescent="0.2">
      <c r="A33" t="s">
        <v>56</v>
      </c>
      <c r="B33">
        <v>69</v>
      </c>
      <c r="C33">
        <v>1</v>
      </c>
      <c r="D33">
        <v>5</v>
      </c>
      <c r="E33">
        <v>5</v>
      </c>
      <c r="F33">
        <v>3.2037961427122301</v>
      </c>
      <c r="G33">
        <v>1</v>
      </c>
      <c r="H33">
        <v>1</v>
      </c>
      <c r="I33" t="s">
        <v>177</v>
      </c>
    </row>
    <row r="34" spans="1:9" x14ac:dyDescent="0.2">
      <c r="A34" t="s">
        <v>57</v>
      </c>
      <c r="B34">
        <v>101</v>
      </c>
      <c r="C34">
        <v>1</v>
      </c>
      <c r="D34">
        <v>6</v>
      </c>
      <c r="E34">
        <v>6</v>
      </c>
      <c r="F34">
        <v>9.5994576234370399</v>
      </c>
      <c r="G34">
        <v>1</v>
      </c>
      <c r="H34">
        <v>1</v>
      </c>
      <c r="I34" t="s">
        <v>178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29"/>
  <sheetViews>
    <sheetView workbookViewId="0">
      <selection activeCell="D12" sqref="D12"/>
    </sheetView>
  </sheetViews>
  <sheetFormatPr baseColWidth="10" defaultRowHeight="16" x14ac:dyDescent="0.2"/>
  <sheetData>
    <row r="1" spans="1:1" x14ac:dyDescent="0.2">
      <c r="A1" t="s">
        <v>0</v>
      </c>
    </row>
    <row r="2" spans="1:1" x14ac:dyDescent="0.2">
      <c r="A2" t="s">
        <v>1</v>
      </c>
    </row>
    <row r="3" spans="1:1" x14ac:dyDescent="0.2">
      <c r="A3" t="s">
        <v>49</v>
      </c>
    </row>
    <row r="4" spans="1:1" x14ac:dyDescent="0.2">
      <c r="A4" t="s">
        <v>52</v>
      </c>
    </row>
    <row r="5" spans="1:1" x14ac:dyDescent="0.2">
      <c r="A5" s="21" t="s">
        <v>39</v>
      </c>
    </row>
    <row r="6" spans="1:1" x14ac:dyDescent="0.2">
      <c r="A6" s="21" t="s">
        <v>3</v>
      </c>
    </row>
    <row r="7" spans="1:1" x14ac:dyDescent="0.2">
      <c r="A7" t="s">
        <v>29</v>
      </c>
    </row>
    <row r="8" spans="1:1" x14ac:dyDescent="0.2">
      <c r="A8" t="s">
        <v>50</v>
      </c>
    </row>
    <row r="9" spans="1:1" x14ac:dyDescent="0.2">
      <c r="A9" t="s">
        <v>5</v>
      </c>
    </row>
    <row r="10" spans="1:1" x14ac:dyDescent="0.2">
      <c r="A10" t="s">
        <v>6</v>
      </c>
    </row>
    <row r="11" spans="1:1" x14ac:dyDescent="0.2">
      <c r="A11" t="s">
        <v>7</v>
      </c>
    </row>
    <row r="12" spans="1:1" x14ac:dyDescent="0.2">
      <c r="A12" t="s">
        <v>8</v>
      </c>
    </row>
    <row r="13" spans="1:1" x14ac:dyDescent="0.2">
      <c r="A13" s="6" t="s">
        <v>9</v>
      </c>
    </row>
    <row r="14" spans="1:1" x14ac:dyDescent="0.2">
      <c r="A14" t="s">
        <v>10</v>
      </c>
    </row>
    <row r="15" spans="1:1" x14ac:dyDescent="0.2">
      <c r="A15" t="s">
        <v>11</v>
      </c>
    </row>
    <row r="16" spans="1:1" x14ac:dyDescent="0.2">
      <c r="A16" s="22" t="s">
        <v>12</v>
      </c>
    </row>
    <row r="17" spans="1:9" x14ac:dyDescent="0.2">
      <c r="A17" t="s">
        <v>13</v>
      </c>
    </row>
    <row r="18" spans="1:9" x14ac:dyDescent="0.2">
      <c r="A18" t="s">
        <v>14</v>
      </c>
    </row>
    <row r="19" spans="1:9" x14ac:dyDescent="0.2">
      <c r="A19" t="s">
        <v>15</v>
      </c>
    </row>
    <row r="20" spans="1:9" x14ac:dyDescent="0.2">
      <c r="A20" t="s">
        <v>16</v>
      </c>
    </row>
    <row r="21" spans="1:9" x14ac:dyDescent="0.2">
      <c r="A21" t="s">
        <v>17</v>
      </c>
    </row>
    <row r="22" spans="1:9" x14ac:dyDescent="0.2">
      <c r="A22" s="6" t="s">
        <v>126</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53</v>
      </c>
      <c r="B25">
        <v>9</v>
      </c>
      <c r="C25">
        <v>1</v>
      </c>
      <c r="D25">
        <v>2</v>
      </c>
      <c r="E25">
        <v>2</v>
      </c>
      <c r="F25" s="1">
        <v>8.6828579951543292E-3</v>
      </c>
      <c r="G25">
        <v>1</v>
      </c>
      <c r="H25">
        <v>1</v>
      </c>
      <c r="I25" t="s">
        <v>46</v>
      </c>
    </row>
    <row r="26" spans="1:9" x14ac:dyDescent="0.2">
      <c r="A26" t="s">
        <v>54</v>
      </c>
      <c r="B26">
        <v>23</v>
      </c>
      <c r="C26">
        <v>1</v>
      </c>
      <c r="D26">
        <v>3</v>
      </c>
      <c r="E26">
        <v>3</v>
      </c>
      <c r="F26">
        <v>3.5096239007543703E-2</v>
      </c>
      <c r="G26">
        <v>1</v>
      </c>
      <c r="H26">
        <v>1</v>
      </c>
      <c r="I26" t="s">
        <v>47</v>
      </c>
    </row>
    <row r="27" spans="1:9" x14ac:dyDescent="0.2">
      <c r="A27" s="22" t="s">
        <v>55</v>
      </c>
      <c r="B27">
        <v>43</v>
      </c>
      <c r="C27">
        <v>1</v>
      </c>
      <c r="D27">
        <v>4</v>
      </c>
      <c r="E27">
        <v>4</v>
      </c>
      <c r="F27">
        <v>0.128111062003881</v>
      </c>
      <c r="G27">
        <v>1</v>
      </c>
      <c r="H27">
        <v>1</v>
      </c>
      <c r="I27" t="s">
        <v>63</v>
      </c>
    </row>
    <row r="28" spans="1:9" x14ac:dyDescent="0.2">
      <c r="A28" t="s">
        <v>56</v>
      </c>
      <c r="B28">
        <v>69</v>
      </c>
      <c r="C28">
        <v>1</v>
      </c>
      <c r="D28">
        <v>5</v>
      </c>
      <c r="E28">
        <v>5</v>
      </c>
      <c r="F28">
        <v>0.39693172099941798</v>
      </c>
      <c r="G28">
        <v>1</v>
      </c>
      <c r="H28">
        <v>1</v>
      </c>
      <c r="I28" t="s">
        <v>51</v>
      </c>
    </row>
    <row r="29" spans="1:9" x14ac:dyDescent="0.2">
      <c r="A29" t="s">
        <v>57</v>
      </c>
      <c r="B29">
        <v>101</v>
      </c>
      <c r="C29">
        <v>1</v>
      </c>
      <c r="D29">
        <v>6</v>
      </c>
      <c r="E29">
        <v>6</v>
      </c>
      <c r="F29">
        <v>1.2009839769889299</v>
      </c>
      <c r="G29">
        <v>1</v>
      </c>
      <c r="H29">
        <v>1</v>
      </c>
      <c r="I29" t="s">
        <v>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C1D4-658C-6541-BB1F-19679677D7DE}">
  <dimension ref="A1:I34"/>
  <sheetViews>
    <sheetView workbookViewId="0">
      <selection activeCell="E15" sqref="E15"/>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t="s">
        <v>52</v>
      </c>
    </row>
    <row r="6" spans="1:1" x14ac:dyDescent="0.2">
      <c r="A6" t="s">
        <v>39</v>
      </c>
    </row>
    <row r="7" spans="1:1" x14ac:dyDescent="0.2">
      <c r="A7" t="s">
        <v>3</v>
      </c>
    </row>
    <row r="8" spans="1:1" x14ac:dyDescent="0.2">
      <c r="A8" t="s">
        <v>4</v>
      </c>
    </row>
    <row r="9" spans="1:1" x14ac:dyDescent="0.2">
      <c r="A9" t="s">
        <v>156</v>
      </c>
    </row>
    <row r="10" spans="1:1" x14ac:dyDescent="0.2">
      <c r="A10" t="s">
        <v>211</v>
      </c>
    </row>
    <row r="11" spans="1:1" x14ac:dyDescent="0.2">
      <c r="A11" t="s">
        <v>50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128</v>
      </c>
    </row>
    <row r="26" spans="1:9" x14ac:dyDescent="0.2">
      <c r="A26" t="s">
        <v>17</v>
      </c>
    </row>
    <row r="27" spans="1:9" x14ac:dyDescent="0.2">
      <c r="A27" t="s">
        <v>212</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8.4345266222953796E-3</v>
      </c>
      <c r="G30">
        <v>1</v>
      </c>
      <c r="H30">
        <v>1</v>
      </c>
      <c r="I30" t="s">
        <v>46</v>
      </c>
    </row>
    <row r="31" spans="1:9" x14ac:dyDescent="0.2">
      <c r="A31" t="s">
        <v>54</v>
      </c>
      <c r="B31">
        <v>23</v>
      </c>
      <c r="C31">
        <v>1</v>
      </c>
      <c r="D31">
        <v>3</v>
      </c>
      <c r="E31">
        <v>3</v>
      </c>
      <c r="F31">
        <v>3.4055508673191001E-2</v>
      </c>
      <c r="G31">
        <v>1</v>
      </c>
      <c r="H31">
        <v>1</v>
      </c>
      <c r="I31" t="s">
        <v>47</v>
      </c>
    </row>
    <row r="32" spans="1:9" x14ac:dyDescent="0.2">
      <c r="A32" t="s">
        <v>55</v>
      </c>
      <c r="B32">
        <v>43</v>
      </c>
      <c r="C32">
        <v>1</v>
      </c>
      <c r="D32">
        <v>4</v>
      </c>
      <c r="E32">
        <v>4</v>
      </c>
      <c r="F32">
        <v>0.10841768980026199</v>
      </c>
      <c r="G32">
        <v>1</v>
      </c>
      <c r="H32">
        <v>1</v>
      </c>
      <c r="I32" t="s">
        <v>63</v>
      </c>
    </row>
    <row r="33" spans="1:9" x14ac:dyDescent="0.2">
      <c r="A33" t="s">
        <v>56</v>
      </c>
      <c r="B33">
        <v>69</v>
      </c>
      <c r="C33">
        <v>1</v>
      </c>
      <c r="D33">
        <v>5</v>
      </c>
      <c r="E33">
        <v>5</v>
      </c>
      <c r="F33">
        <v>0.31770424544811199</v>
      </c>
      <c r="G33">
        <v>1</v>
      </c>
      <c r="H33">
        <v>1</v>
      </c>
      <c r="I33" t="s">
        <v>51</v>
      </c>
    </row>
    <row r="34" spans="1:9" x14ac:dyDescent="0.2">
      <c r="A34" t="s">
        <v>57</v>
      </c>
      <c r="B34">
        <v>101</v>
      </c>
      <c r="C34">
        <v>1</v>
      </c>
      <c r="D34">
        <v>6</v>
      </c>
      <c r="E34">
        <v>6</v>
      </c>
      <c r="F34">
        <v>0.64640571922063805</v>
      </c>
      <c r="G34">
        <v>1</v>
      </c>
      <c r="H34">
        <v>1</v>
      </c>
      <c r="I34" t="s">
        <v>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34"/>
  <sheetViews>
    <sheetView workbookViewId="0">
      <selection activeCell="F21" sqref="F21"/>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40</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16</v>
      </c>
    </row>
    <row r="26" spans="1:9" x14ac:dyDescent="0.2">
      <c r="A26" t="s">
        <v>17</v>
      </c>
    </row>
    <row r="27" spans="1:9" x14ac:dyDescent="0.2">
      <c r="A27" s="21" t="s">
        <v>179</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2.7512993663549399E-2</v>
      </c>
      <c r="G30">
        <v>1</v>
      </c>
      <c r="H30">
        <v>1</v>
      </c>
    </row>
    <row r="31" spans="1:9" x14ac:dyDescent="0.2">
      <c r="A31" t="s">
        <v>54</v>
      </c>
      <c r="B31">
        <v>23</v>
      </c>
      <c r="C31">
        <v>1</v>
      </c>
      <c r="D31">
        <v>3</v>
      </c>
      <c r="E31">
        <v>3</v>
      </c>
      <c r="F31">
        <v>7.4008594267070293E-2</v>
      </c>
      <c r="G31">
        <v>1</v>
      </c>
      <c r="H31">
        <v>1</v>
      </c>
    </row>
    <row r="32" spans="1:9" x14ac:dyDescent="0.2">
      <c r="A32" t="s">
        <v>55</v>
      </c>
      <c r="B32">
        <v>43</v>
      </c>
      <c r="C32">
        <v>1</v>
      </c>
      <c r="D32">
        <v>4</v>
      </c>
      <c r="E32">
        <v>4</v>
      </c>
      <c r="F32">
        <v>0.33227230608463199</v>
      </c>
      <c r="G32">
        <v>1</v>
      </c>
      <c r="H32">
        <v>1</v>
      </c>
    </row>
    <row r="33" spans="1:8" x14ac:dyDescent="0.2">
      <c r="A33" t="s">
        <v>56</v>
      </c>
      <c r="B33">
        <v>69</v>
      </c>
      <c r="C33">
        <v>1</v>
      </c>
      <c r="D33">
        <v>5</v>
      </c>
      <c r="E33">
        <v>5</v>
      </c>
      <c r="F33">
        <v>16.1788858957588</v>
      </c>
      <c r="G33">
        <v>1</v>
      </c>
      <c r="H33">
        <v>1</v>
      </c>
    </row>
    <row r="34" spans="1:8" x14ac:dyDescent="0.2">
      <c r="A34" t="s">
        <v>57</v>
      </c>
      <c r="B34">
        <v>101</v>
      </c>
      <c r="C34">
        <v>1</v>
      </c>
      <c r="D34">
        <v>6</v>
      </c>
      <c r="E34">
        <v>6</v>
      </c>
      <c r="F34">
        <v>1929.89831087365</v>
      </c>
      <c r="G34">
        <v>1</v>
      </c>
      <c r="H34">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35"/>
  <sheetViews>
    <sheetView workbookViewId="0">
      <selection activeCell="E20" sqref="E20"/>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41</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16</v>
      </c>
    </row>
    <row r="26" spans="1:9" x14ac:dyDescent="0.2">
      <c r="A26" t="s">
        <v>42</v>
      </c>
    </row>
    <row r="27" spans="1:9" x14ac:dyDescent="0.2">
      <c r="A27" s="22" t="s">
        <v>17</v>
      </c>
    </row>
    <row r="28" spans="1:9" x14ac:dyDescent="0.2">
      <c r="A28" s="6" t="s">
        <v>180</v>
      </c>
    </row>
    <row r="29" spans="1:9" x14ac:dyDescent="0.2">
      <c r="A29" t="s">
        <v>18</v>
      </c>
    </row>
    <row r="30" spans="1:9" x14ac:dyDescent="0.2">
      <c r="A30" t="s">
        <v>19</v>
      </c>
      <c r="B30" t="s">
        <v>20</v>
      </c>
      <c r="C30" t="s">
        <v>21</v>
      </c>
      <c r="D30" t="s">
        <v>22</v>
      </c>
      <c r="E30" t="s">
        <v>23</v>
      </c>
      <c r="F30" t="s">
        <v>24</v>
      </c>
      <c r="G30" t="s">
        <v>25</v>
      </c>
      <c r="H30" t="s">
        <v>26</v>
      </c>
      <c r="I30" t="s">
        <v>27</v>
      </c>
    </row>
    <row r="31" spans="1:9" x14ac:dyDescent="0.2">
      <c r="A31" t="s">
        <v>53</v>
      </c>
      <c r="B31">
        <v>9</v>
      </c>
      <c r="C31">
        <v>1</v>
      </c>
      <c r="D31">
        <v>2</v>
      </c>
      <c r="E31">
        <v>2</v>
      </c>
      <c r="F31">
        <v>2.9424435459077299E-2</v>
      </c>
      <c r="G31">
        <v>1</v>
      </c>
      <c r="H31">
        <v>1</v>
      </c>
      <c r="I31" t="s">
        <v>102</v>
      </c>
    </row>
    <row r="32" spans="1:9" x14ac:dyDescent="0.2">
      <c r="A32" t="s">
        <v>54</v>
      </c>
      <c r="B32">
        <v>23</v>
      </c>
      <c r="C32">
        <v>1</v>
      </c>
      <c r="D32">
        <v>3</v>
      </c>
      <c r="E32">
        <v>3</v>
      </c>
      <c r="F32">
        <v>0.20817310921847801</v>
      </c>
      <c r="G32">
        <v>1</v>
      </c>
      <c r="H32">
        <v>1</v>
      </c>
      <c r="I32" t="s">
        <v>181</v>
      </c>
    </row>
    <row r="33" spans="1:9" x14ac:dyDescent="0.2">
      <c r="A33" t="s">
        <v>55</v>
      </c>
      <c r="B33">
        <v>43</v>
      </c>
      <c r="C33">
        <v>1</v>
      </c>
      <c r="D33">
        <v>4</v>
      </c>
      <c r="E33">
        <v>4</v>
      </c>
      <c r="F33">
        <v>3.3656012425199102</v>
      </c>
      <c r="G33">
        <v>1</v>
      </c>
      <c r="H33">
        <v>1</v>
      </c>
      <c r="I33" t="s">
        <v>182</v>
      </c>
    </row>
    <row r="34" spans="1:9" x14ac:dyDescent="0.2">
      <c r="A34" t="s">
        <v>56</v>
      </c>
      <c r="B34">
        <v>69</v>
      </c>
      <c r="C34">
        <v>1</v>
      </c>
      <c r="D34">
        <v>5</v>
      </c>
      <c r="E34">
        <v>5</v>
      </c>
      <c r="F34">
        <v>200.896356576122</v>
      </c>
      <c r="G34">
        <v>1</v>
      </c>
      <c r="H34">
        <v>1</v>
      </c>
      <c r="I34" t="s">
        <v>183</v>
      </c>
    </row>
    <row r="35" spans="1:9" x14ac:dyDescent="0.2">
      <c r="A35" t="s">
        <v>57</v>
      </c>
      <c r="B35">
        <v>101</v>
      </c>
      <c r="C35">
        <v>1</v>
      </c>
      <c r="D35">
        <v>6</v>
      </c>
      <c r="E35">
        <v>6</v>
      </c>
      <c r="F35">
        <v>28806.138367998399</v>
      </c>
      <c r="G35">
        <v>1</v>
      </c>
      <c r="H35">
        <v>1</v>
      </c>
      <c r="I35" t="s">
        <v>184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A23D0-6341-CC4B-A63B-28A4609C399A}">
  <dimension ref="A1:I34"/>
  <sheetViews>
    <sheetView workbookViewId="0">
      <selection activeCell="G30" sqref="G30:G34"/>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43</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16</v>
      </c>
    </row>
    <row r="26" spans="1:9" x14ac:dyDescent="0.2">
      <c r="A26" t="s">
        <v>17</v>
      </c>
    </row>
    <row r="27" spans="1:9" x14ac:dyDescent="0.2">
      <c r="A27" s="21" t="s">
        <v>185</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2.39106732327491</v>
      </c>
      <c r="G30">
        <v>10000</v>
      </c>
      <c r="H30">
        <v>10000</v>
      </c>
      <c r="I30" t="s">
        <v>186</v>
      </c>
    </row>
    <row r="31" spans="1:9" x14ac:dyDescent="0.2">
      <c r="A31" t="s">
        <v>54</v>
      </c>
      <c r="B31">
        <v>23</v>
      </c>
      <c r="C31">
        <v>1</v>
      </c>
      <c r="D31">
        <v>3</v>
      </c>
      <c r="E31">
        <v>3</v>
      </c>
      <c r="F31">
        <v>8.6699868692085094</v>
      </c>
      <c r="G31">
        <v>9991</v>
      </c>
      <c r="H31">
        <v>10000</v>
      </c>
      <c r="I31" t="s">
        <v>187</v>
      </c>
    </row>
    <row r="32" spans="1:9" x14ac:dyDescent="0.2">
      <c r="A32" t="s">
        <v>55</v>
      </c>
      <c r="B32">
        <v>43</v>
      </c>
      <c r="C32">
        <v>1</v>
      </c>
      <c r="D32">
        <v>4</v>
      </c>
      <c r="E32">
        <v>4</v>
      </c>
      <c r="F32">
        <v>22.208554632030399</v>
      </c>
      <c r="G32">
        <v>9966</v>
      </c>
      <c r="H32">
        <v>10000</v>
      </c>
      <c r="I32" t="s">
        <v>188</v>
      </c>
    </row>
    <row r="33" spans="1:9" x14ac:dyDescent="0.2">
      <c r="A33" t="s">
        <v>56</v>
      </c>
      <c r="B33">
        <v>69</v>
      </c>
      <c r="C33">
        <v>1</v>
      </c>
      <c r="D33">
        <v>5</v>
      </c>
      <c r="E33">
        <v>5</v>
      </c>
      <c r="F33">
        <v>78.610564952716203</v>
      </c>
      <c r="G33">
        <v>9930</v>
      </c>
      <c r="H33">
        <v>10000</v>
      </c>
      <c r="I33" t="s">
        <v>189</v>
      </c>
    </row>
    <row r="34" spans="1:9" x14ac:dyDescent="0.2">
      <c r="A34" t="s">
        <v>57</v>
      </c>
      <c r="B34">
        <v>101</v>
      </c>
      <c r="C34">
        <v>1</v>
      </c>
      <c r="D34">
        <v>6</v>
      </c>
      <c r="E34">
        <v>6</v>
      </c>
      <c r="F34">
        <v>235.302837005816</v>
      </c>
      <c r="G34">
        <v>9697</v>
      </c>
      <c r="H34">
        <v>10000</v>
      </c>
      <c r="I34" t="s">
        <v>190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8811-EE41-C848-8F13-BD776FD6E14D}">
  <dimension ref="A1:I38"/>
  <sheetViews>
    <sheetView workbookViewId="0">
      <selection activeCell="H19" sqref="H19"/>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242</v>
      </c>
    </row>
    <row r="5" spans="1:1" x14ac:dyDescent="0.2">
      <c r="A5" t="s">
        <v>49</v>
      </c>
    </row>
    <row r="6" spans="1:1" x14ac:dyDescent="0.2">
      <c r="A6" t="s">
        <v>52</v>
      </c>
    </row>
    <row r="7" spans="1:1" x14ac:dyDescent="0.2">
      <c r="A7" t="s">
        <v>43</v>
      </c>
    </row>
    <row r="8" spans="1:1" x14ac:dyDescent="0.2">
      <c r="A8" t="s">
        <v>3</v>
      </c>
    </row>
    <row r="9" spans="1:1" x14ac:dyDescent="0.2">
      <c r="A9" t="s">
        <v>29</v>
      </c>
    </row>
    <row r="10" spans="1:1" x14ac:dyDescent="0.2">
      <c r="A10" t="s">
        <v>156</v>
      </c>
    </row>
    <row r="11" spans="1:1" x14ac:dyDescent="0.2">
      <c r="A11" t="s">
        <v>159</v>
      </c>
    </row>
    <row r="12" spans="1:1" x14ac:dyDescent="0.2">
      <c r="A12" t="s">
        <v>127</v>
      </c>
    </row>
    <row r="13" spans="1:1" x14ac:dyDescent="0.2">
      <c r="A13" t="s">
        <v>5</v>
      </c>
    </row>
    <row r="14" spans="1:1" x14ac:dyDescent="0.2">
      <c r="A14" t="s">
        <v>6</v>
      </c>
    </row>
    <row r="15" spans="1:1" x14ac:dyDescent="0.2">
      <c r="A15" t="s">
        <v>7</v>
      </c>
    </row>
    <row r="16" spans="1:1" x14ac:dyDescent="0.2">
      <c r="A16" t="s">
        <v>8</v>
      </c>
    </row>
    <row r="17" spans="1:1" x14ac:dyDescent="0.2">
      <c r="A17" t="s">
        <v>229</v>
      </c>
    </row>
    <row r="18" spans="1:1" x14ac:dyDescent="0.2">
      <c r="A18" t="s">
        <v>230</v>
      </c>
    </row>
    <row r="19" spans="1:1" x14ac:dyDescent="0.2">
      <c r="A19" t="s">
        <v>9</v>
      </c>
    </row>
    <row r="20" spans="1:1" x14ac:dyDescent="0.2">
      <c r="A20" t="s">
        <v>13</v>
      </c>
    </row>
    <row r="21" spans="1:1" x14ac:dyDescent="0.2">
      <c r="A21" t="s">
        <v>155</v>
      </c>
    </row>
    <row r="22" spans="1:1" x14ac:dyDescent="0.2">
      <c r="A22" t="s">
        <v>15</v>
      </c>
    </row>
    <row r="23" spans="1:1" x14ac:dyDescent="0.2">
      <c r="A23" t="s">
        <v>154</v>
      </c>
    </row>
    <row r="24" spans="1:1" x14ac:dyDescent="0.2">
      <c r="A24" t="s">
        <v>231</v>
      </c>
    </row>
    <row r="25" spans="1:1" x14ac:dyDescent="0.2">
      <c r="A25" t="s">
        <v>232</v>
      </c>
    </row>
    <row r="26" spans="1:1" x14ac:dyDescent="0.2">
      <c r="A26" t="s">
        <v>233</v>
      </c>
    </row>
    <row r="27" spans="1:1" x14ac:dyDescent="0.2">
      <c r="A27" t="s">
        <v>234</v>
      </c>
    </row>
    <row r="28" spans="1:1" x14ac:dyDescent="0.2">
      <c r="A28" t="s">
        <v>243</v>
      </c>
    </row>
    <row r="29" spans="1:1" x14ac:dyDescent="0.2">
      <c r="A29" t="s">
        <v>128</v>
      </c>
    </row>
    <row r="30" spans="1:1" x14ac:dyDescent="0.2">
      <c r="A30" t="s">
        <v>17</v>
      </c>
    </row>
    <row r="31" spans="1:1" x14ac:dyDescent="0.2">
      <c r="A31" t="s">
        <v>244</v>
      </c>
    </row>
    <row r="32" spans="1:1" x14ac:dyDescent="0.2">
      <c r="A32" t="s">
        <v>18</v>
      </c>
    </row>
    <row r="33" spans="1:9" x14ac:dyDescent="0.2">
      <c r="A33" t="s">
        <v>19</v>
      </c>
      <c r="B33" t="s">
        <v>20</v>
      </c>
      <c r="C33" t="s">
        <v>21</v>
      </c>
      <c r="D33" t="s">
        <v>22</v>
      </c>
      <c r="E33" t="s">
        <v>23</v>
      </c>
      <c r="F33" t="s">
        <v>24</v>
      </c>
      <c r="G33" t="s">
        <v>25</v>
      </c>
      <c r="H33" t="s">
        <v>26</v>
      </c>
      <c r="I33" t="s">
        <v>27</v>
      </c>
    </row>
    <row r="34" spans="1:9" x14ac:dyDescent="0.2">
      <c r="A34" t="s">
        <v>53</v>
      </c>
      <c r="B34">
        <v>9</v>
      </c>
      <c r="C34">
        <v>1</v>
      </c>
      <c r="D34">
        <v>2</v>
      </c>
      <c r="E34">
        <v>2</v>
      </c>
      <c r="F34">
        <v>1.99231495056301</v>
      </c>
      <c r="G34">
        <v>10000</v>
      </c>
      <c r="H34">
        <v>10000</v>
      </c>
      <c r="I34" t="s">
        <v>186</v>
      </c>
    </row>
    <row r="35" spans="1:9" x14ac:dyDescent="0.2">
      <c r="A35" t="s">
        <v>54</v>
      </c>
      <c r="B35">
        <v>23</v>
      </c>
      <c r="C35">
        <v>1</v>
      </c>
      <c r="D35">
        <v>3</v>
      </c>
      <c r="E35">
        <v>3</v>
      </c>
      <c r="F35">
        <v>5.8908464852720499</v>
      </c>
      <c r="G35">
        <v>9993</v>
      </c>
      <c r="H35">
        <v>10000</v>
      </c>
      <c r="I35" t="s">
        <v>245</v>
      </c>
    </row>
    <row r="36" spans="1:9" x14ac:dyDescent="0.2">
      <c r="A36" t="s">
        <v>55</v>
      </c>
      <c r="B36">
        <v>43</v>
      </c>
      <c r="C36">
        <v>1</v>
      </c>
      <c r="D36">
        <v>4</v>
      </c>
      <c r="E36">
        <v>4</v>
      </c>
      <c r="F36">
        <v>16.9914525179192</v>
      </c>
      <c r="G36">
        <v>9897</v>
      </c>
      <c r="H36">
        <v>10000</v>
      </c>
      <c r="I36" t="s">
        <v>246</v>
      </c>
    </row>
    <row r="37" spans="1:9" x14ac:dyDescent="0.2">
      <c r="A37" t="s">
        <v>56</v>
      </c>
      <c r="B37">
        <v>69</v>
      </c>
      <c r="C37">
        <v>1</v>
      </c>
      <c r="D37">
        <v>5</v>
      </c>
      <c r="E37">
        <v>5</v>
      </c>
      <c r="F37">
        <v>67.655144479125696</v>
      </c>
      <c r="G37">
        <v>8727</v>
      </c>
      <c r="H37">
        <v>10000</v>
      </c>
      <c r="I37" t="s">
        <v>247</v>
      </c>
    </row>
    <row r="38" spans="1:9" x14ac:dyDescent="0.2">
      <c r="A38" t="s">
        <v>57</v>
      </c>
      <c r="B38">
        <v>101</v>
      </c>
      <c r="C38">
        <v>1</v>
      </c>
      <c r="D38">
        <v>6</v>
      </c>
      <c r="E38">
        <v>6</v>
      </c>
      <c r="F38">
        <v>228.07972730975499</v>
      </c>
      <c r="G38">
        <v>6220</v>
      </c>
      <c r="H38">
        <v>10000</v>
      </c>
      <c r="I38" t="s">
        <v>248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8F3E-1389-3E4E-A7A0-CC9F85995A79}">
  <dimension ref="A1:I34"/>
  <sheetViews>
    <sheetView workbookViewId="0">
      <selection activeCell="G30" sqref="G30:G34"/>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s="21" t="s">
        <v>52</v>
      </c>
    </row>
    <row r="6" spans="1:1" x14ac:dyDescent="0.2">
      <c r="A6" s="21" t="s">
        <v>44</v>
      </c>
    </row>
    <row r="7" spans="1:1" x14ac:dyDescent="0.2">
      <c r="A7" t="s">
        <v>3</v>
      </c>
    </row>
    <row r="8" spans="1:1" x14ac:dyDescent="0.2">
      <c r="A8" t="s">
        <v>4</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16</v>
      </c>
    </row>
    <row r="26" spans="1:9" x14ac:dyDescent="0.2">
      <c r="A26" t="s">
        <v>17</v>
      </c>
    </row>
    <row r="27" spans="1:9" x14ac:dyDescent="0.2">
      <c r="A27" s="21" t="s">
        <v>191</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1.30135149881243</v>
      </c>
      <c r="G30">
        <v>9967</v>
      </c>
      <c r="H30">
        <v>10000</v>
      </c>
      <c r="I30" t="s">
        <v>192</v>
      </c>
    </row>
    <row r="31" spans="1:9" x14ac:dyDescent="0.2">
      <c r="A31" t="s">
        <v>54</v>
      </c>
      <c r="B31">
        <v>23</v>
      </c>
      <c r="C31">
        <v>1</v>
      </c>
      <c r="D31">
        <v>3</v>
      </c>
      <c r="E31">
        <v>3</v>
      </c>
      <c r="F31">
        <v>3.52058311365544</v>
      </c>
      <c r="G31">
        <v>9229</v>
      </c>
      <c r="H31">
        <v>10000</v>
      </c>
      <c r="I31" t="s">
        <v>193</v>
      </c>
    </row>
    <row r="32" spans="1:9" x14ac:dyDescent="0.2">
      <c r="A32" t="s">
        <v>55</v>
      </c>
      <c r="B32">
        <v>43</v>
      </c>
      <c r="C32">
        <v>1</v>
      </c>
      <c r="D32">
        <v>4</v>
      </c>
      <c r="E32">
        <v>4</v>
      </c>
      <c r="F32">
        <v>11.7501961234956</v>
      </c>
      <c r="G32">
        <v>6692</v>
      </c>
      <c r="H32">
        <v>10000</v>
      </c>
      <c r="I32" t="s">
        <v>194</v>
      </c>
    </row>
    <row r="33" spans="1:9" x14ac:dyDescent="0.2">
      <c r="A33" t="s">
        <v>56</v>
      </c>
      <c r="B33">
        <v>69</v>
      </c>
      <c r="C33">
        <v>1</v>
      </c>
      <c r="D33">
        <v>5</v>
      </c>
      <c r="E33">
        <v>5</v>
      </c>
      <c r="F33">
        <v>58.957986229099298</v>
      </c>
      <c r="G33">
        <v>2905</v>
      </c>
      <c r="H33">
        <v>10000</v>
      </c>
      <c r="I33" t="s">
        <v>195</v>
      </c>
    </row>
    <row r="34" spans="1:9" x14ac:dyDescent="0.2">
      <c r="A34" t="s">
        <v>57</v>
      </c>
      <c r="B34">
        <v>101</v>
      </c>
      <c r="C34">
        <v>1</v>
      </c>
      <c r="D34">
        <v>6</v>
      </c>
      <c r="E34">
        <v>6</v>
      </c>
      <c r="F34">
        <v>222.16130920965199</v>
      </c>
      <c r="G34">
        <v>872</v>
      </c>
      <c r="H34">
        <v>10000</v>
      </c>
      <c r="I34" t="s">
        <v>196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5930-C4A3-5747-AE72-469CC78EBE0B}">
  <dimension ref="A1:I36"/>
  <sheetViews>
    <sheetView topLeftCell="A6" workbookViewId="0">
      <selection activeCell="F23" sqref="F23"/>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t="s">
        <v>52</v>
      </c>
    </row>
    <row r="6" spans="1:1" x14ac:dyDescent="0.2">
      <c r="A6" t="s">
        <v>44</v>
      </c>
    </row>
    <row r="7" spans="1:1" x14ac:dyDescent="0.2">
      <c r="A7" t="s">
        <v>3</v>
      </c>
    </row>
    <row r="8" spans="1:1" x14ac:dyDescent="0.2">
      <c r="A8" t="s">
        <v>29</v>
      </c>
    </row>
    <row r="9" spans="1:1" x14ac:dyDescent="0.2">
      <c r="A9" t="s">
        <v>156</v>
      </c>
    </row>
    <row r="10" spans="1:1" x14ac:dyDescent="0.2">
      <c r="A10" t="s">
        <v>159</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t="s">
        <v>229</v>
      </c>
    </row>
    <row r="17" spans="1:9" x14ac:dyDescent="0.2">
      <c r="A17" t="s">
        <v>230</v>
      </c>
    </row>
    <row r="18" spans="1:9" x14ac:dyDescent="0.2">
      <c r="A18" t="s">
        <v>9</v>
      </c>
    </row>
    <row r="19" spans="1:9" x14ac:dyDescent="0.2">
      <c r="A19" t="s">
        <v>13</v>
      </c>
    </row>
    <row r="20" spans="1:9" x14ac:dyDescent="0.2">
      <c r="A20" t="s">
        <v>155</v>
      </c>
    </row>
    <row r="21" spans="1:9" x14ac:dyDescent="0.2">
      <c r="A21" t="s">
        <v>15</v>
      </c>
    </row>
    <row r="22" spans="1:9" x14ac:dyDescent="0.2">
      <c r="A22" t="s">
        <v>235</v>
      </c>
    </row>
    <row r="23" spans="1:9" x14ac:dyDescent="0.2">
      <c r="A23" t="s">
        <v>231</v>
      </c>
    </row>
    <row r="24" spans="1:9" x14ac:dyDescent="0.2">
      <c r="A24" t="s">
        <v>232</v>
      </c>
    </row>
    <row r="25" spans="1:9" x14ac:dyDescent="0.2">
      <c r="A25" t="s">
        <v>233</v>
      </c>
    </row>
    <row r="26" spans="1:9" x14ac:dyDescent="0.2">
      <c r="A26" t="s">
        <v>234</v>
      </c>
    </row>
    <row r="27" spans="1:9" x14ac:dyDescent="0.2">
      <c r="A27" t="s">
        <v>128</v>
      </c>
    </row>
    <row r="28" spans="1:9" x14ac:dyDescent="0.2">
      <c r="A28" t="s">
        <v>17</v>
      </c>
    </row>
    <row r="29" spans="1:9" x14ac:dyDescent="0.2">
      <c r="A29" t="s">
        <v>236</v>
      </c>
    </row>
    <row r="30" spans="1:9" x14ac:dyDescent="0.2">
      <c r="A30" t="s">
        <v>18</v>
      </c>
    </row>
    <row r="31" spans="1:9" x14ac:dyDescent="0.2">
      <c r="A31" t="s">
        <v>19</v>
      </c>
      <c r="B31" t="s">
        <v>20</v>
      </c>
      <c r="C31" t="s">
        <v>21</v>
      </c>
      <c r="D31" t="s">
        <v>22</v>
      </c>
      <c r="E31" t="s">
        <v>23</v>
      </c>
      <c r="F31" t="s">
        <v>24</v>
      </c>
      <c r="G31" t="s">
        <v>25</v>
      </c>
      <c r="H31" t="s">
        <v>26</v>
      </c>
      <c r="I31" t="s">
        <v>27</v>
      </c>
    </row>
    <row r="32" spans="1:9" x14ac:dyDescent="0.2">
      <c r="A32" t="s">
        <v>53</v>
      </c>
      <c r="B32">
        <v>9</v>
      </c>
      <c r="C32">
        <v>1</v>
      </c>
      <c r="D32">
        <v>2</v>
      </c>
      <c r="E32">
        <v>2</v>
      </c>
      <c r="F32">
        <v>1.2407271536067099</v>
      </c>
      <c r="G32">
        <v>9969</v>
      </c>
      <c r="H32">
        <v>10000</v>
      </c>
      <c r="I32" t="s">
        <v>237</v>
      </c>
    </row>
    <row r="33" spans="1:9" x14ac:dyDescent="0.2">
      <c r="A33" t="s">
        <v>54</v>
      </c>
      <c r="B33">
        <v>23</v>
      </c>
      <c r="C33">
        <v>1</v>
      </c>
      <c r="D33">
        <v>3</v>
      </c>
      <c r="E33">
        <v>3</v>
      </c>
      <c r="F33">
        <v>3.7177878124639299</v>
      </c>
      <c r="G33">
        <v>9241</v>
      </c>
      <c r="H33">
        <v>10000</v>
      </c>
      <c r="I33" t="s">
        <v>238</v>
      </c>
    </row>
    <row r="34" spans="1:9" x14ac:dyDescent="0.2">
      <c r="A34" t="s">
        <v>55</v>
      </c>
      <c r="B34">
        <v>43</v>
      </c>
      <c r="C34">
        <v>1</v>
      </c>
      <c r="D34">
        <v>4</v>
      </c>
      <c r="E34">
        <v>4</v>
      </c>
      <c r="F34">
        <v>13.3563392581418</v>
      </c>
      <c r="G34">
        <v>6742</v>
      </c>
      <c r="H34">
        <v>10000</v>
      </c>
      <c r="I34" t="s">
        <v>239</v>
      </c>
    </row>
    <row r="35" spans="1:9" x14ac:dyDescent="0.2">
      <c r="A35" t="s">
        <v>56</v>
      </c>
      <c r="B35">
        <v>69</v>
      </c>
      <c r="C35">
        <v>1</v>
      </c>
      <c r="D35">
        <v>5</v>
      </c>
      <c r="E35">
        <v>5</v>
      </c>
      <c r="F35">
        <v>65.682257263921201</v>
      </c>
      <c r="G35">
        <v>2860</v>
      </c>
      <c r="H35">
        <v>10000</v>
      </c>
      <c r="I35" t="s">
        <v>240</v>
      </c>
    </row>
    <row r="36" spans="1:9" x14ac:dyDescent="0.2">
      <c r="A36" t="s">
        <v>57</v>
      </c>
      <c r="B36">
        <v>101</v>
      </c>
      <c r="C36">
        <v>1</v>
      </c>
      <c r="D36">
        <v>6</v>
      </c>
      <c r="E36">
        <v>6</v>
      </c>
      <c r="F36">
        <v>230.267292591743</v>
      </c>
      <c r="G36">
        <v>868</v>
      </c>
      <c r="H36">
        <v>10000</v>
      </c>
      <c r="I36" t="s">
        <v>241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29"/>
  <sheetViews>
    <sheetView workbookViewId="0">
      <selection activeCell="I33" sqref="I33"/>
    </sheetView>
  </sheetViews>
  <sheetFormatPr baseColWidth="10" defaultRowHeight="16" x14ac:dyDescent="0.2"/>
  <sheetData>
    <row r="1" spans="1:1" x14ac:dyDescent="0.2">
      <c r="A1" t="s">
        <v>0</v>
      </c>
    </row>
    <row r="2" spans="1:1" x14ac:dyDescent="0.2">
      <c r="A2" t="s">
        <v>1</v>
      </c>
    </row>
    <row r="3" spans="1:1" x14ac:dyDescent="0.2">
      <c r="A3" t="s">
        <v>49</v>
      </c>
    </row>
    <row r="4" spans="1:1" x14ac:dyDescent="0.2">
      <c r="A4" t="s">
        <v>52</v>
      </c>
    </row>
    <row r="5" spans="1:1" x14ac:dyDescent="0.2">
      <c r="A5" s="21" t="s">
        <v>45</v>
      </c>
    </row>
    <row r="6" spans="1:1" x14ac:dyDescent="0.2">
      <c r="A6" s="21" t="s">
        <v>3</v>
      </c>
    </row>
    <row r="7" spans="1:1" x14ac:dyDescent="0.2">
      <c r="A7" t="s">
        <v>29</v>
      </c>
    </row>
    <row r="8" spans="1:1" x14ac:dyDescent="0.2">
      <c r="A8" t="s">
        <v>50</v>
      </c>
    </row>
    <row r="9" spans="1:1" x14ac:dyDescent="0.2">
      <c r="A9" t="s">
        <v>5</v>
      </c>
    </row>
    <row r="10" spans="1:1" x14ac:dyDescent="0.2">
      <c r="A10" t="s">
        <v>6</v>
      </c>
    </row>
    <row r="11" spans="1:1" x14ac:dyDescent="0.2">
      <c r="A11" t="s">
        <v>7</v>
      </c>
    </row>
    <row r="12" spans="1:1" x14ac:dyDescent="0.2">
      <c r="A12" t="s">
        <v>8</v>
      </c>
    </row>
    <row r="13" spans="1:1" x14ac:dyDescent="0.2">
      <c r="A13" s="6" t="s">
        <v>9</v>
      </c>
    </row>
    <row r="14" spans="1:1" x14ac:dyDescent="0.2">
      <c r="A14" t="s">
        <v>10</v>
      </c>
    </row>
    <row r="15" spans="1:1" x14ac:dyDescent="0.2">
      <c r="A15" t="s">
        <v>11</v>
      </c>
    </row>
    <row r="16" spans="1:1" x14ac:dyDescent="0.2">
      <c r="A16" s="22" t="s">
        <v>12</v>
      </c>
    </row>
    <row r="17" spans="1:9" x14ac:dyDescent="0.2">
      <c r="A17" t="s">
        <v>13</v>
      </c>
    </row>
    <row r="18" spans="1:9" x14ac:dyDescent="0.2">
      <c r="A18" t="s">
        <v>14</v>
      </c>
    </row>
    <row r="19" spans="1:9" x14ac:dyDescent="0.2">
      <c r="A19" t="s">
        <v>15</v>
      </c>
    </row>
    <row r="20" spans="1:9" x14ac:dyDescent="0.2">
      <c r="A20" t="s">
        <v>16</v>
      </c>
    </row>
    <row r="21" spans="1:9" x14ac:dyDescent="0.2">
      <c r="A21" t="s">
        <v>17</v>
      </c>
    </row>
    <row r="22" spans="1:9" x14ac:dyDescent="0.2">
      <c r="A22" s="6" t="s">
        <v>103</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53</v>
      </c>
      <c r="B25">
        <v>9</v>
      </c>
      <c r="C25">
        <v>1</v>
      </c>
      <c r="D25">
        <v>2</v>
      </c>
      <c r="E25">
        <v>2</v>
      </c>
      <c r="F25" s="1">
        <v>1.16537511348724E-2</v>
      </c>
      <c r="G25">
        <v>2</v>
      </c>
      <c r="H25">
        <v>2</v>
      </c>
      <c r="I25" t="s">
        <v>64</v>
      </c>
    </row>
    <row r="26" spans="1:9" x14ac:dyDescent="0.2">
      <c r="A26" t="s">
        <v>54</v>
      </c>
      <c r="B26">
        <v>23</v>
      </c>
      <c r="C26">
        <v>1</v>
      </c>
      <c r="D26">
        <v>3</v>
      </c>
      <c r="E26">
        <v>3</v>
      </c>
      <c r="F26">
        <v>4.13380712270736E-2</v>
      </c>
      <c r="G26">
        <v>2</v>
      </c>
      <c r="H26">
        <v>2</v>
      </c>
      <c r="I26" t="s">
        <v>65</v>
      </c>
    </row>
    <row r="27" spans="1:9" x14ac:dyDescent="0.2">
      <c r="A27" s="22" t="s">
        <v>55</v>
      </c>
      <c r="B27">
        <v>43</v>
      </c>
      <c r="C27">
        <v>1</v>
      </c>
      <c r="D27">
        <v>4</v>
      </c>
      <c r="E27">
        <v>4</v>
      </c>
      <c r="F27">
        <v>0.34731905162334398</v>
      </c>
      <c r="G27">
        <v>2</v>
      </c>
      <c r="H27">
        <v>2</v>
      </c>
      <c r="I27" t="s">
        <v>66</v>
      </c>
    </row>
    <row r="28" spans="1:9" x14ac:dyDescent="0.2">
      <c r="A28" t="s">
        <v>56</v>
      </c>
      <c r="B28">
        <v>69</v>
      </c>
      <c r="C28">
        <v>1</v>
      </c>
      <c r="D28">
        <v>5</v>
      </c>
      <c r="E28">
        <v>5</v>
      </c>
      <c r="F28">
        <v>3.34935697168111</v>
      </c>
      <c r="G28">
        <v>2</v>
      </c>
      <c r="H28">
        <v>2</v>
      </c>
      <c r="I28" t="s">
        <v>67</v>
      </c>
    </row>
    <row r="29" spans="1:9" x14ac:dyDescent="0.2">
      <c r="A29" t="s">
        <v>57</v>
      </c>
      <c r="B29">
        <v>101</v>
      </c>
      <c r="C29">
        <v>1</v>
      </c>
      <c r="D29">
        <v>6</v>
      </c>
      <c r="E29">
        <v>6</v>
      </c>
      <c r="F29">
        <v>21.2052707523107</v>
      </c>
      <c r="G29">
        <v>2</v>
      </c>
      <c r="H29">
        <v>2</v>
      </c>
      <c r="I29" t="s">
        <v>68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CD0B-DA07-5C46-B2C9-BE8152593CAD}">
  <dimension ref="A1:I34"/>
  <sheetViews>
    <sheetView workbookViewId="0">
      <selection activeCell="G19" sqref="G19"/>
    </sheetView>
  </sheetViews>
  <sheetFormatPr baseColWidth="10" defaultRowHeight="16" x14ac:dyDescent="0.2"/>
  <sheetData>
    <row r="1" spans="1:1" x14ac:dyDescent="0.2">
      <c r="A1" t="s">
        <v>0</v>
      </c>
    </row>
    <row r="2" spans="1:1" x14ac:dyDescent="0.2">
      <c r="A2" t="s">
        <v>1</v>
      </c>
    </row>
    <row r="3" spans="1:1" x14ac:dyDescent="0.2">
      <c r="A3" t="s">
        <v>157</v>
      </c>
    </row>
    <row r="4" spans="1:1" x14ac:dyDescent="0.2">
      <c r="A4" t="s">
        <v>49</v>
      </c>
    </row>
    <row r="5" spans="1:1" x14ac:dyDescent="0.2">
      <c r="A5" t="s">
        <v>52</v>
      </c>
    </row>
    <row r="6" spans="1:1" x14ac:dyDescent="0.2">
      <c r="A6" t="s">
        <v>45</v>
      </c>
    </row>
    <row r="7" spans="1:1" x14ac:dyDescent="0.2">
      <c r="A7" t="s">
        <v>3</v>
      </c>
    </row>
    <row r="8" spans="1:1" x14ac:dyDescent="0.2">
      <c r="A8" t="s">
        <v>4</v>
      </c>
    </row>
    <row r="9" spans="1:1" x14ac:dyDescent="0.2">
      <c r="A9" t="s">
        <v>204</v>
      </c>
    </row>
    <row r="10" spans="1:1" x14ac:dyDescent="0.2">
      <c r="A10" t="s">
        <v>159</v>
      </c>
    </row>
    <row r="11" spans="1:1" x14ac:dyDescent="0.2">
      <c r="A11" t="s">
        <v>50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9" x14ac:dyDescent="0.2">
      <c r="A17" t="s">
        <v>10</v>
      </c>
    </row>
    <row r="18" spans="1:9" x14ac:dyDescent="0.2">
      <c r="A18" t="s">
        <v>11</v>
      </c>
    </row>
    <row r="19" spans="1:9" x14ac:dyDescent="0.2">
      <c r="A19" t="s">
        <v>12</v>
      </c>
    </row>
    <row r="20" spans="1:9" x14ac:dyDescent="0.2">
      <c r="A20" t="s">
        <v>13</v>
      </c>
    </row>
    <row r="21" spans="1:9" x14ac:dyDescent="0.2">
      <c r="A21" t="s">
        <v>155</v>
      </c>
    </row>
    <row r="22" spans="1:9" x14ac:dyDescent="0.2">
      <c r="A22" t="s">
        <v>15</v>
      </c>
    </row>
    <row r="23" spans="1:9" x14ac:dyDescent="0.2">
      <c r="A23" t="s">
        <v>154</v>
      </c>
    </row>
    <row r="24" spans="1:9" x14ac:dyDescent="0.2">
      <c r="A24" t="s">
        <v>153</v>
      </c>
    </row>
    <row r="25" spans="1:9" x14ac:dyDescent="0.2">
      <c r="A25" t="s">
        <v>128</v>
      </c>
    </row>
    <row r="26" spans="1:9" x14ac:dyDescent="0.2">
      <c r="A26" t="s">
        <v>17</v>
      </c>
    </row>
    <row r="27" spans="1:9" x14ac:dyDescent="0.2">
      <c r="A27" t="s">
        <v>213</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53</v>
      </c>
      <c r="B30">
        <v>9</v>
      </c>
      <c r="C30">
        <v>1</v>
      </c>
      <c r="D30">
        <v>2</v>
      </c>
      <c r="E30">
        <v>2</v>
      </c>
      <c r="F30">
        <v>7.6651200652122498E-3</v>
      </c>
      <c r="G30">
        <v>2</v>
      </c>
      <c r="H30">
        <v>2</v>
      </c>
      <c r="I30" t="s">
        <v>214</v>
      </c>
    </row>
    <row r="31" spans="1:9" x14ac:dyDescent="0.2">
      <c r="A31" t="s">
        <v>54</v>
      </c>
      <c r="B31">
        <v>23</v>
      </c>
      <c r="C31">
        <v>1</v>
      </c>
      <c r="D31">
        <v>3</v>
      </c>
      <c r="E31">
        <v>3</v>
      </c>
      <c r="F31">
        <v>4.43292781710624E-2</v>
      </c>
      <c r="G31">
        <v>2</v>
      </c>
      <c r="H31">
        <v>2</v>
      </c>
      <c r="I31" t="s">
        <v>215</v>
      </c>
    </row>
    <row r="32" spans="1:9" x14ac:dyDescent="0.2">
      <c r="A32" t="s">
        <v>55</v>
      </c>
      <c r="B32">
        <v>43</v>
      </c>
      <c r="C32">
        <v>1</v>
      </c>
      <c r="D32">
        <v>4</v>
      </c>
      <c r="E32">
        <v>4</v>
      </c>
      <c r="F32">
        <v>0.13142703473567899</v>
      </c>
      <c r="G32">
        <v>2</v>
      </c>
      <c r="H32">
        <v>2</v>
      </c>
      <c r="I32" t="s">
        <v>216</v>
      </c>
    </row>
    <row r="33" spans="1:9" x14ac:dyDescent="0.2">
      <c r="A33" t="s">
        <v>56</v>
      </c>
      <c r="B33">
        <v>69</v>
      </c>
      <c r="C33">
        <v>1</v>
      </c>
      <c r="D33">
        <v>5</v>
      </c>
      <c r="E33">
        <v>5</v>
      </c>
      <c r="F33">
        <v>0.52764818817377002</v>
      </c>
      <c r="G33">
        <v>2</v>
      </c>
      <c r="H33">
        <v>2</v>
      </c>
      <c r="I33" t="s">
        <v>217</v>
      </c>
    </row>
    <row r="34" spans="1:9" x14ac:dyDescent="0.2">
      <c r="A34" t="s">
        <v>57</v>
      </c>
      <c r="B34">
        <v>101</v>
      </c>
      <c r="C34">
        <v>1</v>
      </c>
      <c r="D34">
        <v>6</v>
      </c>
      <c r="E34">
        <v>6</v>
      </c>
      <c r="F34">
        <v>2.1690531671047202</v>
      </c>
      <c r="G34">
        <v>2</v>
      </c>
      <c r="H34">
        <v>2</v>
      </c>
      <c r="I34"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best</vt:lpstr>
      <vt:lpstr>magma</vt:lpstr>
      <vt:lpstr>CLISAT</vt:lpstr>
      <vt:lpstr>CCStim-U</vt:lpstr>
      <vt:lpstr>CCStim</vt:lpstr>
      <vt:lpstr>bposd</vt:lpstr>
      <vt:lpstr>m4ri_CC</vt:lpstr>
      <vt:lpstr>m4ri_RW</vt:lpstr>
      <vt:lpstr>GEStim-U</vt:lpstr>
      <vt:lpstr>GEStim</vt:lpstr>
      <vt:lpstr>Gurobi</vt:lpstr>
      <vt:lpstr>MIP-SCIP</vt:lpstr>
      <vt:lpstr>QDistEvol20260116</vt:lpstr>
      <vt:lpstr>QDistEvol</vt:lpstr>
      <vt:lpstr>QDistRndMW20260116</vt:lpstr>
      <vt:lpstr>QDistRndMW</vt:lpstr>
      <vt:lpstr>UEStim-U</vt:lpstr>
      <vt:lpstr>UEStim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2025-12-23T14:15:23Z</dcterms:created>
  <dcterms:modified xsi:type="dcterms:W3CDTF">2026-02-21T07:00:46Z</dcterms:modified>
</cp:coreProperties>
</file>