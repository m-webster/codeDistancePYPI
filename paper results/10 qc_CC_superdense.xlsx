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codeName="ThisWorkbook"/>
  <mc:AlternateContent xmlns:mc="http://schemas.openxmlformats.org/markup-compatibility/2006">
    <mc:Choice Requires="x15">
      <x15ac:absPath xmlns:x15ac="http://schemas.microsoft.com/office/spreadsheetml/2010/11/ac" url="/Users/markwebster/Dropbox/QuantumComputing/QEC Projects/distance benchmarking/results 20251223/"/>
    </mc:Choice>
  </mc:AlternateContent>
  <xr:revisionPtr revIDLastSave="0" documentId="13_ncr:1_{D2D7CB0F-254D-BE44-9E87-C82E12B481EF}" xr6:coauthVersionLast="47" xr6:coauthVersionMax="47" xr10:uidLastSave="{00000000-0000-0000-0000-000000000000}"/>
  <bookViews>
    <workbookView xWindow="160" yWindow="900" windowWidth="14480" windowHeight="17040" firstSheet="14" activeTab="14" xr2:uid="{C3ADB0BE-7A80-7F44-999C-93B5C5D7E48D}"/>
  </bookViews>
  <sheets>
    <sheet name="analysis" sheetId="41" r:id="rId1"/>
    <sheet name="best" sheetId="23" r:id="rId2"/>
    <sheet name="magma" sheetId="37" r:id="rId3"/>
    <sheet name="CLISAT" sheetId="1" r:id="rId4"/>
    <sheet name="CCStim" sheetId="38" r:id="rId5"/>
    <sheet name="CCStim-U" sheetId="2" r:id="rId6"/>
    <sheet name="bposd" sheetId="18" r:id="rId7"/>
    <sheet name="m4ri_CC" sheetId="21" r:id="rId8"/>
    <sheet name="m4ri_RW" sheetId="19" r:id="rId9"/>
    <sheet name="GEStim" sheetId="39" r:id="rId10"/>
    <sheet name="GEStim-U" sheetId="6" r:id="rId11"/>
    <sheet name="Gurobi" sheetId="7" r:id="rId12"/>
    <sheet name="MIP-SCIP" sheetId="8" r:id="rId13"/>
    <sheet name="QDistEvol20260116" sheetId="22" r:id="rId14"/>
    <sheet name="QDistEvol" sheetId="42" r:id="rId15"/>
    <sheet name="QDistRndMW20260116" sheetId="20" r:id="rId16"/>
    <sheet name="QDistRndMW" sheetId="43" r:id="rId17"/>
    <sheet name="UEStim-U" sheetId="11" r:id="rId18"/>
    <sheet name="UEStim" sheetId="40" r:id="rId19"/>
  </sheets>
  <definedNames>
    <definedName name="_xleta.MATCH" hidden="1">#NAME?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I67" i="41" l="1"/>
  <c r="HH67" i="41"/>
  <c r="HG67" i="41"/>
  <c r="HB67" i="41"/>
  <c r="GZ67" i="41"/>
  <c r="HN67" i="41" s="1"/>
  <c r="GY67" i="41"/>
  <c r="HM67" i="41" s="1"/>
  <c r="GX67" i="41"/>
  <c r="HL67" i="41" s="1"/>
  <c r="GW67" i="41"/>
  <c r="HK67" i="41" s="1"/>
  <c r="GV67" i="41"/>
  <c r="HJ67" i="41" s="1"/>
  <c r="GU67" i="41"/>
  <c r="GT67" i="41"/>
  <c r="GS67" i="41"/>
  <c r="GR67" i="41"/>
  <c r="HF67" i="41" s="1"/>
  <c r="GQ67" i="41"/>
  <c r="HE67" i="41" s="1"/>
  <c r="GP67" i="41"/>
  <c r="HD67" i="41" s="1"/>
  <c r="GO67" i="41"/>
  <c r="HC67" i="41" s="1"/>
  <c r="FZ67" i="41"/>
  <c r="EL67" i="41"/>
  <c r="FC67" i="41" s="1"/>
  <c r="DN67" i="41"/>
  <c r="EE67" i="41" s="1"/>
  <c r="EV67" i="41" s="1"/>
  <c r="FM67" i="41" s="1"/>
  <c r="DF67" i="41"/>
  <c r="DW67" i="41" s="1"/>
  <c r="EN67" i="41" s="1"/>
  <c r="FE67" i="41" s="1"/>
  <c r="DD67" i="41"/>
  <c r="DU67" i="41" s="1"/>
  <c r="CF67" i="41"/>
  <c r="CW67" i="41" s="1"/>
  <c r="CE67" i="41"/>
  <c r="CV67" i="41" s="1"/>
  <c r="DM67" i="41" s="1"/>
  <c r="CD67" i="41"/>
  <c r="CU67" i="41" s="1"/>
  <c r="DL67" i="41" s="1"/>
  <c r="BX67" i="41"/>
  <c r="CO67" i="41" s="1"/>
  <c r="BW67" i="41"/>
  <c r="CN67" i="41" s="1"/>
  <c r="DE67" i="41" s="1"/>
  <c r="DV67" i="41" s="1"/>
  <c r="EM67" i="41" s="1"/>
  <c r="FD67" i="41" s="1"/>
  <c r="BV67" i="41"/>
  <c r="CM67" i="41" s="1"/>
  <c r="BM67" i="41"/>
  <c r="BL67" i="41"/>
  <c r="CC67" i="41" s="1"/>
  <c r="CT67" i="41" s="1"/>
  <c r="BK67" i="41"/>
  <c r="CB67" i="41" s="1"/>
  <c r="CS67" i="41" s="1"/>
  <c r="BE67" i="41"/>
  <c r="BD67" i="41"/>
  <c r="BU67" i="41" s="1"/>
  <c r="CL67" i="41" s="1"/>
  <c r="DC67" i="41" s="1"/>
  <c r="DT67" i="41" s="1"/>
  <c r="EK67" i="41" s="1"/>
  <c r="FB67" i="41" s="1"/>
  <c r="AZ67" i="41"/>
  <c r="AY67" i="41"/>
  <c r="AQ67" i="41"/>
  <c r="AP67" i="41"/>
  <c r="AO67" i="41"/>
  <c r="AX67" i="41" s="1"/>
  <c r="AN67" i="41"/>
  <c r="AW67" i="41" s="1"/>
  <c r="AM67" i="41"/>
  <c r="AV67" i="41" s="1"/>
  <c r="AG67" i="41"/>
  <c r="BO67" i="41" s="1"/>
  <c r="AF67" i="41"/>
  <c r="BN67" i="41" s="1"/>
  <c r="AE67" i="41"/>
  <c r="AD67" i="41"/>
  <c r="AC67" i="41"/>
  <c r="AB67" i="41"/>
  <c r="BJ67" i="41" s="1"/>
  <c r="AA67" i="41"/>
  <c r="BI67" i="41" s="1"/>
  <c r="Z67" i="41"/>
  <c r="BH67" i="41" s="1"/>
  <c r="BY67" i="41" s="1"/>
  <c r="CP67" i="41" s="1"/>
  <c r="DG67" i="41" s="1"/>
  <c r="DX67" i="41" s="1"/>
  <c r="EO67" i="41" s="1"/>
  <c r="FF67" i="41" s="1"/>
  <c r="Y67" i="41"/>
  <c r="BG67" i="41" s="1"/>
  <c r="X67" i="41"/>
  <c r="BF67" i="41" s="1"/>
  <c r="W67" i="41"/>
  <c r="V67" i="41"/>
  <c r="FT66" i="41"/>
  <c r="FT65" i="41"/>
  <c r="A55" i="41"/>
  <c r="M54" i="41"/>
  <c r="A54" i="41"/>
  <c r="M53" i="41"/>
  <c r="A53" i="41"/>
  <c r="M52" i="41"/>
  <c r="A52" i="41"/>
  <c r="M51" i="41"/>
  <c r="A51" i="41"/>
  <c r="M50" i="41"/>
  <c r="A50" i="41"/>
  <c r="M49" i="41"/>
  <c r="A49" i="41"/>
  <c r="M48" i="41"/>
  <c r="A48" i="41"/>
  <c r="M47" i="41"/>
  <c r="A47" i="41"/>
  <c r="M46" i="41"/>
  <c r="A46" i="41"/>
  <c r="R45" i="41"/>
  <c r="Q45" i="41" s="1"/>
  <c r="P45" i="41" s="1"/>
  <c r="O45" i="41" s="1"/>
  <c r="N45" i="41" s="1"/>
  <c r="M45" i="41"/>
  <c r="H45" i="41"/>
  <c r="G45" i="41"/>
  <c r="F45" i="41"/>
  <c r="E45" i="41" s="1"/>
  <c r="D45" i="41" s="1"/>
  <c r="C45" i="41" s="1"/>
  <c r="B45" i="41" s="1"/>
  <c r="A45" i="41"/>
  <c r="FX38" i="41"/>
  <c r="FX37" i="41"/>
  <c r="FX36" i="41"/>
  <c r="FX35" i="41"/>
  <c r="FX34" i="41"/>
  <c r="U15" i="41"/>
  <c r="N3" i="41"/>
  <c r="A1" i="41" a="1"/>
  <c r="A1" i="41" s="1"/>
  <c r="B64" i="41"/>
  <c r="BZ67" i="41" l="1"/>
  <c r="CQ67" i="41" s="1"/>
  <c r="CA67" i="41"/>
  <c r="CR67" i="41" s="1"/>
  <c r="DK67" i="41"/>
  <c r="EC67" i="41"/>
  <c r="ED67" i="41"/>
  <c r="DJ67" i="41"/>
  <c r="A73" i="41" a="1"/>
  <c r="B68" i="41" a="1"/>
  <c r="B70" i="41" a="1"/>
  <c r="B69" i="41" a="1"/>
  <c r="B71" i="41" a="1"/>
  <c r="A68" i="41" a="1"/>
  <c r="A69" i="41" a="1"/>
  <c r="A70" i="41" a="1"/>
  <c r="B73" i="41" a="1"/>
  <c r="A71" i="41" a="1"/>
  <c r="B72" i="41" a="1"/>
  <c r="A72" i="41" a="1"/>
  <c r="A70" i="41" l="1"/>
  <c r="A73" i="41"/>
  <c r="B69" i="41"/>
  <c r="A68" i="41"/>
  <c r="B70" i="41"/>
  <c r="B71" i="41"/>
  <c r="A72" i="41"/>
  <c r="A71" i="41"/>
  <c r="A69" i="41"/>
  <c r="B72" i="41"/>
  <c r="B73" i="41"/>
  <c r="B68" i="41"/>
  <c r="DH67" i="41"/>
  <c r="DI67" i="41"/>
  <c r="EU67" i="41"/>
  <c r="FL67" i="41" s="1"/>
  <c r="ET67" i="41"/>
  <c r="FK67" i="41" s="1"/>
  <c r="EA67" i="41"/>
  <c r="EB67" i="41"/>
  <c r="FS73" i="41" l="1"/>
  <c r="GN73" i="41"/>
  <c r="FS72" i="41"/>
  <c r="GN72" i="41"/>
  <c r="FS70" i="41"/>
  <c r="GN70" i="41"/>
  <c r="DZ67" i="41"/>
  <c r="GN71" i="41"/>
  <c r="FS71" i="41"/>
  <c r="ES67" i="41"/>
  <c r="FJ67" i="41" s="1"/>
  <c r="ER67" i="41"/>
  <c r="FI67" i="41" s="1"/>
  <c r="DY67" i="41"/>
  <c r="EP67" i="41" s="1"/>
  <c r="FG67" i="41" s="1"/>
  <c r="FS68" i="41"/>
  <c r="F3" i="41"/>
  <c r="D3" i="41"/>
  <c r="N4" i="41" s="1"/>
  <c r="GN68" i="41"/>
  <c r="FS69" i="41"/>
  <c r="GN69" i="41"/>
  <c r="N73" i="41"/>
  <c r="L70" i="41"/>
  <c r="O72" i="41"/>
  <c r="E70" i="41"/>
  <c r="G70" i="41"/>
  <c r="O71" i="41"/>
  <c r="K73" i="41"/>
  <c r="P69" i="41"/>
  <c r="G68" i="41"/>
  <c r="P71" i="41"/>
  <c r="L69" i="41"/>
  <c r="M70" i="41"/>
  <c r="M68" i="41"/>
  <c r="G73" i="41"/>
  <c r="I68" i="41"/>
  <c r="L73" i="41"/>
  <c r="I71" i="41"/>
  <c r="P72" i="41"/>
  <c r="J72" i="41"/>
  <c r="O70" i="41"/>
  <c r="K70" i="41"/>
  <c r="F73" i="41"/>
  <c r="L72" i="41"/>
  <c r="H69" i="41"/>
  <c r="I72" i="41"/>
  <c r="H72" i="41"/>
  <c r="J70" i="41"/>
  <c r="M73" i="41"/>
  <c r="F71" i="41"/>
  <c r="M72" i="41"/>
  <c r="F72" i="41"/>
  <c r="P68" i="41"/>
  <c r="F68" i="41"/>
  <c r="K68" i="41"/>
  <c r="I69" i="41"/>
  <c r="H68" i="41"/>
  <c r="N71" i="41"/>
  <c r="H73" i="41"/>
  <c r="F69" i="41"/>
  <c r="H71" i="41"/>
  <c r="I73" i="41"/>
  <c r="M69" i="41"/>
  <c r="N72" i="41"/>
  <c r="P70" i="41"/>
  <c r="E71" i="41"/>
  <c r="H70" i="41"/>
  <c r="E68" i="41"/>
  <c r="I70" i="41"/>
  <c r="G71" i="41"/>
  <c r="J69" i="41"/>
  <c r="G69" i="41"/>
  <c r="E69" i="41"/>
  <c r="G72" i="41"/>
  <c r="J73" i="41"/>
  <c r="O73" i="41"/>
  <c r="L71" i="41"/>
  <c r="K71" i="41"/>
  <c r="J71" i="41"/>
  <c r="E73" i="41"/>
  <c r="N70" i="41"/>
  <c r="F70" i="41"/>
  <c r="M71" i="41"/>
  <c r="P73" i="41"/>
  <c r="K72" i="41"/>
  <c r="L68" i="41"/>
  <c r="O68" i="41"/>
  <c r="O69" i="41"/>
  <c r="E72" i="41"/>
  <c r="K69" i="41"/>
  <c r="N69" i="41"/>
  <c r="J68" i="41"/>
  <c r="N68" i="41"/>
  <c r="HB72" i="41" l="1"/>
  <c r="FZ72" i="41"/>
  <c r="HB71" i="41"/>
  <c r="FZ71" i="41"/>
  <c r="FZ70" i="41"/>
  <c r="HB70" i="41"/>
  <c r="FZ69" i="41"/>
  <c r="HB69" i="41"/>
  <c r="HB68" i="41"/>
  <c r="FZ68" i="41"/>
  <c r="P4" i="41"/>
  <c r="EQ67" i="41"/>
  <c r="FH67" i="41" s="1"/>
  <c r="HB73" i="41"/>
  <c r="FZ73" i="41"/>
  <c r="DJ69" i="41" a="1"/>
  <c r="AF70" i="41" a="1"/>
  <c r="DF70" i="41" a="1"/>
  <c r="X71" i="41" a="1"/>
  <c r="DG73" i="41" a="1"/>
  <c r="DM69" i="41" a="1"/>
  <c r="FL68" i="41" a="1"/>
  <c r="Y69" i="41" a="1"/>
  <c r="FE68" i="41" a="1"/>
  <c r="X69" i="41" a="1"/>
  <c r="V71" i="41" a="1"/>
  <c r="DL68" i="41" a="1"/>
  <c r="FG71" i="41" a="1"/>
  <c r="X73" i="41" a="1"/>
  <c r="FC70" i="41" a="1"/>
  <c r="AE68" i="41" a="1"/>
  <c r="DL70" i="41" a="1"/>
  <c r="FB68" i="41" a="1"/>
  <c r="AB72" i="41" a="1"/>
  <c r="DC69" i="41" a="1"/>
  <c r="DJ71" i="41" a="1"/>
  <c r="AE71" i="41" a="1"/>
  <c r="DM70" i="41" a="1"/>
  <c r="AD73" i="41" a="1"/>
  <c r="W72" i="41" a="1"/>
  <c r="FM71" i="41" a="1"/>
  <c r="FD71" i="41" a="1"/>
  <c r="AD69" i="41" a="1"/>
  <c r="Y70" i="41" a="1"/>
  <c r="DI73" i="41" a="1"/>
  <c r="X72" i="41" a="1"/>
  <c r="DM73" i="41" a="1"/>
  <c r="FK73" i="41" a="1"/>
  <c r="AE69" i="41" a="1"/>
  <c r="AG72" i="41" a="1"/>
  <c r="DH70" i="41" a="1"/>
  <c r="AE72" i="41" a="1"/>
  <c r="FL71" i="41" a="1"/>
  <c r="DM72" i="41" a="1"/>
  <c r="DC71" i="41" a="1"/>
  <c r="DC72" i="41" a="1"/>
  <c r="FC73" i="41" a="1"/>
  <c r="DH69" i="41" a="1"/>
  <c r="DJ73" i="41" a="1"/>
  <c r="Z73" i="41" a="1"/>
  <c r="DC73" i="41" a="1"/>
  <c r="DG69" i="41" a="1"/>
  <c r="FE70" i="41" a="1"/>
  <c r="Z70" i="41" a="1"/>
  <c r="Z69" i="41" a="1"/>
  <c r="AG73" i="41" a="1"/>
  <c r="FC68" i="41" a="1"/>
  <c r="DG71" i="41" a="1"/>
  <c r="DN71" i="41" a="1"/>
  <c r="AA73" i="41" a="1"/>
  <c r="FJ73" i="41" a="1"/>
  <c r="FD68" i="41" a="1"/>
  <c r="FF69" i="41" a="1"/>
  <c r="DD69" i="41" a="1"/>
  <c r="FJ72" i="41" a="1"/>
  <c r="FE73" i="41" a="1"/>
  <c r="DL73" i="41" a="1"/>
  <c r="FD69" i="41" a="1"/>
  <c r="AB69" i="41" a="1"/>
  <c r="AD71" i="41" a="1"/>
  <c r="V68" i="41" a="1"/>
  <c r="AC68" i="41" a="1"/>
  <c r="AF69" i="41" a="1"/>
  <c r="AC69" i="41" a="1"/>
  <c r="AF73" i="41" a="1"/>
  <c r="FG70" i="41" a="1"/>
  <c r="DL69" i="41" a="1"/>
  <c r="V70" i="41" a="1"/>
  <c r="FK68" i="41" a="1"/>
  <c r="W68" i="41" a="1"/>
  <c r="AG70" i="41" a="1"/>
  <c r="FI73" i="41" a="1"/>
  <c r="AE73" i="41" a="1"/>
  <c r="DE68" i="41" a="1"/>
  <c r="FB69" i="41" a="1"/>
  <c r="W69" i="41" a="1"/>
  <c r="DH71" i="41" a="1"/>
  <c r="AD68" i="41" a="1"/>
  <c r="W73" i="41" a="1"/>
  <c r="AF68" i="41" a="1"/>
  <c r="V72" i="41" a="1"/>
  <c r="FI70" i="41" a="1"/>
  <c r="FB71" i="41" a="1"/>
  <c r="AG69" i="41" a="1"/>
  <c r="FM68" i="41" a="1"/>
  <c r="AA71" i="41" a="1"/>
  <c r="DG70" i="41" a="1"/>
  <c r="FK72" i="41" a="1"/>
  <c r="FF71" i="41" a="1"/>
  <c r="AG71" i="41" a="1"/>
  <c r="DM68" i="41" a="1"/>
  <c r="FG69" i="41" a="1"/>
  <c r="Y68" i="41" a="1"/>
  <c r="DE69" i="41" a="1"/>
  <c r="AB68" i="41" a="1"/>
  <c r="FD72" i="41" a="1"/>
  <c r="AA68" i="41" a="1"/>
  <c r="FF68" i="41" a="1"/>
  <c r="DN70" i="41" a="1"/>
  <c r="DD72" i="41" a="1"/>
  <c r="AC72" i="41" a="1"/>
  <c r="Y71" i="41" a="1"/>
  <c r="Z71" i="41" a="1"/>
  <c r="FC72" i="41" a="1"/>
  <c r="FI68" i="41" a="1"/>
  <c r="DG68" i="41" a="1"/>
  <c r="DC70" i="41" a="1"/>
  <c r="FK70" i="41" a="1"/>
  <c r="FJ69" i="41" a="1"/>
  <c r="DN68" i="41" a="1"/>
  <c r="DK72" i="41" a="1"/>
  <c r="FB70" i="41" a="1"/>
  <c r="DD73" i="41" a="1"/>
  <c r="DF72" i="41" a="1"/>
  <c r="FF72" i="41" a="1"/>
  <c r="DJ68" i="41" a="1"/>
  <c r="DN73" i="41" a="1"/>
  <c r="DI71" i="41" a="1"/>
  <c r="X68" i="41" a="1"/>
  <c r="AA72" i="41" a="1"/>
  <c r="AB70" i="41" a="1"/>
  <c r="FL72" i="41" a="1"/>
  <c r="AC70" i="41" a="1"/>
  <c r="X70" i="41" a="1"/>
  <c r="AD70" i="41" a="1"/>
  <c r="DK73" i="41" a="1"/>
  <c r="FI71" i="41" a="1"/>
  <c r="FL69" i="41" a="1"/>
  <c r="AB73" i="41" a="1"/>
  <c r="DI72" i="41" a="1"/>
  <c r="DI70" i="41" a="1"/>
  <c r="DH72" i="41" a="1"/>
  <c r="V73" i="41" a="1"/>
  <c r="FC69" i="41" a="1"/>
  <c r="AC73" i="41" a="1"/>
  <c r="AB71" i="41" a="1"/>
  <c r="DC68" i="41" a="1"/>
  <c r="FJ68" i="41" a="1"/>
  <c r="DM71" i="41" a="1"/>
  <c r="AE70" i="41" a="1"/>
  <c r="DF71" i="41" a="1"/>
  <c r="FG73" i="41" a="1"/>
  <c r="Y73" i="41" a="1"/>
  <c r="DH68" i="41" a="1"/>
  <c r="DF73" i="41" a="1"/>
  <c r="DE73" i="41" a="1"/>
  <c r="DH73" i="41" a="1"/>
  <c r="FE72" i="41" a="1"/>
  <c r="DE72" i="41" a="1"/>
  <c r="FE71" i="41" a="1"/>
  <c r="AC71" i="41" a="1"/>
  <c r="DL72" i="41" a="1"/>
  <c r="DD71" i="41" a="1"/>
  <c r="FG68" i="41" a="1"/>
  <c r="FE69" i="41" a="1"/>
  <c r="AG68" i="41" a="1"/>
  <c r="W71" i="41" a="1"/>
  <c r="FB73" i="41" a="1"/>
  <c r="DK70" i="41" a="1"/>
  <c r="FC71" i="41" a="1"/>
  <c r="Y72" i="41" a="1"/>
  <c r="DN72" i="41" a="1"/>
  <c r="FB72" i="41" a="1"/>
  <c r="FL70" i="41" a="1"/>
  <c r="FM72" i="41" a="1"/>
  <c r="W70" i="41" a="1"/>
  <c r="FJ70" i="41" a="1"/>
  <c r="DI68" i="41" a="1"/>
  <c r="DD70" i="41" a="1"/>
  <c r="DI69" i="41" a="1"/>
  <c r="FM73" i="41" a="1"/>
  <c r="DK69" i="41" a="1"/>
  <c r="FI72" i="41" a="1"/>
  <c r="DF68" i="41" a="1"/>
  <c r="Z68" i="41" a="1"/>
  <c r="AA70" i="41" a="1"/>
  <c r="DF69" i="41" a="1"/>
  <c r="FF70" i="41" a="1"/>
  <c r="AF72" i="41" a="1"/>
  <c r="FM69" i="41" a="1"/>
  <c r="DK71" i="41" a="1"/>
  <c r="Z72" i="41" a="1"/>
  <c r="DE71" i="41" a="1"/>
  <c r="DN69" i="41" a="1"/>
  <c r="DJ70" i="41" a="1"/>
  <c r="FF73" i="41" a="1"/>
  <c r="AD72" i="41" a="1"/>
  <c r="FK69" i="41" a="1"/>
  <c r="DE70" i="41" a="1"/>
  <c r="AA69" i="41" a="1"/>
  <c r="FG72" i="41" a="1"/>
  <c r="AF71" i="41" a="1"/>
  <c r="FL73" i="41" a="1"/>
  <c r="FJ71" i="41" a="1"/>
  <c r="FD73" i="41" a="1"/>
  <c r="DK68" i="41" a="1"/>
  <c r="FK71" i="41" a="1"/>
  <c r="DL71" i="41" a="1"/>
  <c r="DJ72" i="41" a="1"/>
  <c r="FI69" i="41" a="1"/>
  <c r="V69" i="41" a="1"/>
  <c r="DG72" i="41" a="1"/>
  <c r="FM70" i="41" a="1"/>
  <c r="FD70" i="41" a="1"/>
  <c r="DD68" i="41" a="1"/>
  <c r="FC71" i="41" l="1"/>
  <c r="FB69" i="41"/>
  <c r="AA72" i="41"/>
  <c r="BI72" i="41" s="1"/>
  <c r="DG72" i="41"/>
  <c r="DL68" i="41"/>
  <c r="AE71" i="41"/>
  <c r="BM71" i="41" s="1"/>
  <c r="FJ69" i="41"/>
  <c r="FD73" i="41"/>
  <c r="DL72" i="41"/>
  <c r="DK72" i="41"/>
  <c r="DC70" i="41"/>
  <c r="Z68" i="41"/>
  <c r="BH68" i="41" s="1"/>
  <c r="W72" i="41"/>
  <c r="BE72" i="41" s="1"/>
  <c r="FL68" i="41"/>
  <c r="AG73" i="41"/>
  <c r="BO73" i="41" s="1"/>
  <c r="AA69" i="41"/>
  <c r="BI69" i="41" s="1"/>
  <c r="DH73" i="41"/>
  <c r="FG71" i="41"/>
  <c r="FL73" i="41"/>
  <c r="DC73" i="41"/>
  <c r="DN71" i="41"/>
  <c r="AB69" i="41"/>
  <c r="BJ69" i="41" s="1"/>
  <c r="FI73" i="41"/>
  <c r="DH68" i="41"/>
  <c r="DD69" i="41"/>
  <c r="V69" i="41"/>
  <c r="BD69" i="41" s="1"/>
  <c r="DH72" i="41"/>
  <c r="Z72" i="41"/>
  <c r="BH72" i="41" s="1"/>
  <c r="AE68" i="41"/>
  <c r="BM68" i="41" s="1"/>
  <c r="DM71" i="41"/>
  <c r="FK71" i="41"/>
  <c r="DK69" i="41"/>
  <c r="DI72" i="41"/>
  <c r="FT72" i="41" s="1"/>
  <c r="AE72" i="41"/>
  <c r="BM72" i="41" s="1"/>
  <c r="AD72" i="41"/>
  <c r="BL72" i="41" s="1"/>
  <c r="FB70" i="41"/>
  <c r="DG68" i="41"/>
  <c r="DD72" i="41"/>
  <c r="AN72" i="41" s="1"/>
  <c r="AD70" i="41"/>
  <c r="BL70" i="41" s="1"/>
  <c r="DF69" i="41"/>
  <c r="FM73" i="41"/>
  <c r="AB70" i="41"/>
  <c r="BJ70" i="41" s="1"/>
  <c r="FG69" i="41"/>
  <c r="AA73" i="41"/>
  <c r="BI73" i="41" s="1"/>
  <c r="X70" i="41"/>
  <c r="BF70" i="41" s="1"/>
  <c r="V73" i="41"/>
  <c r="BD73" i="41" s="1"/>
  <c r="AG71" i="41"/>
  <c r="BO71" i="41" s="1"/>
  <c r="FI70" i="41"/>
  <c r="AA68" i="41"/>
  <c r="BI68" i="41" s="1"/>
  <c r="FC69" i="41"/>
  <c r="DM73" i="41"/>
  <c r="W69" i="41"/>
  <c r="BE69" i="41" s="1"/>
  <c r="FG72" i="41"/>
  <c r="FL72" i="41"/>
  <c r="AF71" i="41"/>
  <c r="BN71" i="41" s="1"/>
  <c r="V70" i="41"/>
  <c r="BD70" i="41" s="1"/>
  <c r="AA71" i="41"/>
  <c r="BI71" i="41" s="1"/>
  <c r="FD70" i="41"/>
  <c r="DI71" i="41"/>
  <c r="FT71" i="41" s="1"/>
  <c r="AC70" i="41"/>
  <c r="BK70" i="41" s="1"/>
  <c r="FF72" i="41"/>
  <c r="FK68" i="41"/>
  <c r="FL71" i="41"/>
  <c r="AB72" i="41"/>
  <c r="BJ72" i="41" s="1"/>
  <c r="AF68" i="41"/>
  <c r="BN68" i="41" s="1"/>
  <c r="DH69" i="41"/>
  <c r="DH71" i="41"/>
  <c r="DE70" i="41"/>
  <c r="FB73" i="41"/>
  <c r="FM71" i="41"/>
  <c r="DJ73" i="41"/>
  <c r="DJ70" i="41"/>
  <c r="DM70" i="41"/>
  <c r="FC70" i="41"/>
  <c r="AD73" i="41"/>
  <c r="BL73" i="41" s="1"/>
  <c r="DD68" i="41"/>
  <c r="DD73" i="41"/>
  <c r="Y70" i="41"/>
  <c r="BG70" i="41" s="1"/>
  <c r="FE72" i="41"/>
  <c r="X71" i="41"/>
  <c r="BF71" i="41" s="1"/>
  <c r="Z73" i="41"/>
  <c r="BH73" i="41" s="1"/>
  <c r="FL70" i="41"/>
  <c r="AE70" i="41"/>
  <c r="BM70" i="41" s="1"/>
  <c r="Z70" i="41"/>
  <c r="BH70" i="41" s="1"/>
  <c r="FB71" i="41"/>
  <c r="X69" i="41"/>
  <c r="BF69" i="41" s="1"/>
  <c r="DK73" i="41"/>
  <c r="AE73" i="41"/>
  <c r="BM73" i="41" s="1"/>
  <c r="DM72" i="41"/>
  <c r="W68" i="41"/>
  <c r="BE68" i="41" s="1"/>
  <c r="DJ71" i="41"/>
  <c r="FF69" i="41"/>
  <c r="FM72" i="41"/>
  <c r="W73" i="41"/>
  <c r="BE73" i="41" s="1"/>
  <c r="FG70" i="41"/>
  <c r="FM68" i="41"/>
  <c r="FL69" i="41"/>
  <c r="FM70" i="41"/>
  <c r="V68" i="41"/>
  <c r="BD68" i="41" s="1"/>
  <c r="FF71" i="41"/>
  <c r="Y72" i="41"/>
  <c r="BG72" i="41" s="1"/>
  <c r="FD71" i="41"/>
  <c r="AE69" i="41"/>
  <c r="BM69" i="41" s="1"/>
  <c r="FD72" i="41"/>
  <c r="FE68" i="41"/>
  <c r="DG73" i="41"/>
  <c r="AQ73" i="41" s="1"/>
  <c r="DK68" i="41"/>
  <c r="W71" i="41"/>
  <c r="BE71" i="41" s="1"/>
  <c r="DI73" i="41"/>
  <c r="FT73" i="41" s="1"/>
  <c r="DE73" i="41"/>
  <c r="DM68" i="41"/>
  <c r="FE69" i="41"/>
  <c r="DI68" i="41"/>
  <c r="DC69" i="41"/>
  <c r="AM69" i="41" s="1"/>
  <c r="DL71" i="41"/>
  <c r="FK72" i="41"/>
  <c r="FF68" i="41"/>
  <c r="Y69" i="41"/>
  <c r="BG69" i="41" s="1"/>
  <c r="DN73" i="41"/>
  <c r="AF73" i="41"/>
  <c r="BN73" i="41" s="1"/>
  <c r="FG68" i="41"/>
  <c r="AC72" i="41"/>
  <c r="BK72" i="41" s="1"/>
  <c r="DE69" i="41"/>
  <c r="DJ69" i="41"/>
  <c r="DL73" i="41"/>
  <c r="AG72" i="41"/>
  <c r="BO72" i="41" s="1"/>
  <c r="DH70" i="41"/>
  <c r="AG68" i="41"/>
  <c r="BO68" i="41" s="1"/>
  <c r="V72" i="41"/>
  <c r="BD72" i="41" s="1"/>
  <c r="AF69" i="41"/>
  <c r="BN69" i="41" s="1"/>
  <c r="DC68" i="41"/>
  <c r="DG71" i="41"/>
  <c r="Y71" i="41"/>
  <c r="BG71" i="41" s="1"/>
  <c r="FI72" i="41"/>
  <c r="DE68" i="41"/>
  <c r="Y73" i="41"/>
  <c r="BG73" i="41" s="1"/>
  <c r="AF70" i="41"/>
  <c r="BN70" i="41" s="1"/>
  <c r="DC71" i="41"/>
  <c r="AM71" i="41" s="1"/>
  <c r="DD70" i="41"/>
  <c r="DN69" i="41"/>
  <c r="AC69" i="41"/>
  <c r="BK69" i="41" s="1"/>
  <c r="DK71" i="41"/>
  <c r="Z69" i="41"/>
  <c r="BH69" i="41" s="1"/>
  <c r="AA70" i="41"/>
  <c r="BI70" i="41" s="1"/>
  <c r="DC72" i="41"/>
  <c r="AM72" i="41" s="1"/>
  <c r="DF70" i="41"/>
  <c r="DM69" i="41"/>
  <c r="AG70" i="41"/>
  <c r="BO70" i="41" s="1"/>
  <c r="AC68" i="41"/>
  <c r="BK68" i="41" s="1"/>
  <c r="DE71" i="41"/>
  <c r="AO71" i="41" s="1"/>
  <c r="DE72" i="41"/>
  <c r="AO72" i="41" s="1"/>
  <c r="DK70" i="41"/>
  <c r="DI69" i="41"/>
  <c r="FT69" i="41" s="1"/>
  <c r="AC73" i="41"/>
  <c r="BK73" i="41" s="1"/>
  <c r="DD71" i="41"/>
  <c r="AN71" i="41" s="1"/>
  <c r="AB73" i="41"/>
  <c r="BJ73" i="41" s="1"/>
  <c r="AD69" i="41"/>
  <c r="BL69" i="41" s="1"/>
  <c r="X73" i="41"/>
  <c r="BF73" i="41" s="1"/>
  <c r="FJ72" i="41"/>
  <c r="FC72" i="41"/>
  <c r="FJ70" i="41"/>
  <c r="DI70" i="41"/>
  <c r="FT70" i="41" s="1"/>
  <c r="FG73" i="41"/>
  <c r="AB71" i="41"/>
  <c r="BJ71" i="41" s="1"/>
  <c r="AB68" i="41"/>
  <c r="DF71" i="41"/>
  <c r="AP71" i="41" s="1"/>
  <c r="FD68" i="41"/>
  <c r="FE73" i="41"/>
  <c r="DL70" i="41"/>
  <c r="DG70" i="41"/>
  <c r="AQ70" i="41" s="1"/>
  <c r="AG69" i="41"/>
  <c r="BO69" i="41" s="1"/>
  <c r="AC71" i="41"/>
  <c r="BK71" i="41" s="1"/>
  <c r="FJ71" i="41"/>
  <c r="FI68" i="41"/>
  <c r="FK69" i="41"/>
  <c r="Y68" i="41"/>
  <c r="BG68" i="41" s="1"/>
  <c r="AD68" i="41"/>
  <c r="BL68" i="41" s="1"/>
  <c r="FE71" i="41"/>
  <c r="DJ72" i="41"/>
  <c r="X68" i="41"/>
  <c r="BF68" i="41" s="1"/>
  <c r="DF73" i="41"/>
  <c r="FK70" i="41"/>
  <c r="FF70" i="41"/>
  <c r="V71" i="41"/>
  <c r="BD71" i="41" s="1"/>
  <c r="FD69" i="41"/>
  <c r="W70" i="41"/>
  <c r="BE70" i="41" s="1"/>
  <c r="FM69" i="41"/>
  <c r="FJ73" i="41"/>
  <c r="FI69" i="41"/>
  <c r="FK73" i="41"/>
  <c r="AF72" i="41"/>
  <c r="BN72" i="41" s="1"/>
  <c r="FC68" i="41"/>
  <c r="FI71" i="41"/>
  <c r="AD71" i="41"/>
  <c r="BL71" i="41" s="1"/>
  <c r="DG69" i="41"/>
  <c r="DN72" i="41"/>
  <c r="FC73" i="41"/>
  <c r="DN68" i="41"/>
  <c r="FB72" i="41"/>
  <c r="FE70" i="41"/>
  <c r="DN70" i="41"/>
  <c r="DJ68" i="41"/>
  <c r="FB68" i="41"/>
  <c r="Z71" i="41"/>
  <c r="BH71" i="41" s="1"/>
  <c r="DF72" i="41"/>
  <c r="AP72" i="41" s="1"/>
  <c r="DL69" i="41"/>
  <c r="X72" i="41"/>
  <c r="BF72" i="41" s="1"/>
  <c r="DF68" i="41"/>
  <c r="FF73" i="41"/>
  <c r="FJ68" i="41"/>
  <c r="FH73" i="41" a="1"/>
  <c r="FH71" i="41" a="1"/>
  <c r="FH70" i="41" a="1"/>
  <c r="FH69" i="41" a="1"/>
  <c r="FH68" i="41" a="1"/>
  <c r="FH72" i="41" a="1"/>
  <c r="AP69" i="41" l="1"/>
  <c r="AM73" i="41"/>
  <c r="AN73" i="41"/>
  <c r="AO70" i="41"/>
  <c r="FH69" i="41"/>
  <c r="FH71" i="41"/>
  <c r="FH73" i="41"/>
  <c r="FH68" i="41"/>
  <c r="FH70" i="41"/>
  <c r="FH72" i="41"/>
  <c r="BY69" i="41"/>
  <c r="AO68" i="41"/>
  <c r="P16" i="41"/>
  <c r="P17" i="41"/>
  <c r="G11" i="41"/>
  <c r="G17" i="41"/>
  <c r="CE71" i="41"/>
  <c r="CF71" i="41"/>
  <c r="CC70" i="41"/>
  <c r="CF73" i="41"/>
  <c r="AP68" i="41"/>
  <c r="Q17" i="41"/>
  <c r="Q16" i="41"/>
  <c r="BU71" i="41"/>
  <c r="CE73" i="41"/>
  <c r="CD73" i="41"/>
  <c r="BU70" i="41"/>
  <c r="BW72" i="41"/>
  <c r="CE72" i="41"/>
  <c r="AX72" i="41"/>
  <c r="CD69" i="41"/>
  <c r="H11" i="41"/>
  <c r="H50" i="41" s="1"/>
  <c r="H17" i="41"/>
  <c r="D12" i="41"/>
  <c r="AY71" i="41"/>
  <c r="BW73" i="41"/>
  <c r="AX71" i="41"/>
  <c r="CF72" i="41"/>
  <c r="BX69" i="41"/>
  <c r="AO73" i="41"/>
  <c r="BV73" i="41"/>
  <c r="BW69" i="41"/>
  <c r="BX70" i="41"/>
  <c r="F12" i="41"/>
  <c r="BU73" i="41"/>
  <c r="AW72" i="41"/>
  <c r="CA69" i="41"/>
  <c r="G12" i="41"/>
  <c r="CD71" i="41"/>
  <c r="CC69" i="41"/>
  <c r="CB68" i="41"/>
  <c r="D7" i="41"/>
  <c r="CB69" i="41"/>
  <c r="BX71" i="41"/>
  <c r="GD71" i="41"/>
  <c r="GD72" i="41"/>
  <c r="BX72" i="41"/>
  <c r="BW70" i="41"/>
  <c r="AQ68" i="41"/>
  <c r="R17" i="41"/>
  <c r="R16" i="41"/>
  <c r="F7" i="41"/>
  <c r="CD68" i="41"/>
  <c r="BV72" i="41"/>
  <c r="F11" i="41"/>
  <c r="F17" i="41"/>
  <c r="BW68" i="41"/>
  <c r="AQ71" i="41"/>
  <c r="BY70" i="41"/>
  <c r="AN68" i="41"/>
  <c r="O16" i="41"/>
  <c r="O17" i="41"/>
  <c r="CB70" i="41"/>
  <c r="BV69" i="41"/>
  <c r="BZ73" i="41"/>
  <c r="BY72" i="41"/>
  <c r="GE72" i="41"/>
  <c r="BY68" i="41"/>
  <c r="AQ72" i="41"/>
  <c r="BZ70" i="41"/>
  <c r="H12" i="41"/>
  <c r="CA72" i="41"/>
  <c r="BZ69" i="41"/>
  <c r="AY72" i="41"/>
  <c r="AP73" i="41"/>
  <c r="BY71" i="41"/>
  <c r="CA71" i="41"/>
  <c r="AQ69" i="41"/>
  <c r="CF69" i="41"/>
  <c r="AW71" i="41"/>
  <c r="AN70" i="41"/>
  <c r="AM68" i="41"/>
  <c r="N17" i="41"/>
  <c r="N16" i="41"/>
  <c r="AO69" i="41"/>
  <c r="E11" i="41"/>
  <c r="E17" i="41"/>
  <c r="BU68" i="41"/>
  <c r="CD70" i="41"/>
  <c r="CC73" i="41"/>
  <c r="CC72" i="41"/>
  <c r="AM70" i="41"/>
  <c r="BZ72" i="41"/>
  <c r="BX73" i="41"/>
  <c r="B11" i="41"/>
  <c r="B17" i="41"/>
  <c r="CA73" i="41"/>
  <c r="E12" i="41"/>
  <c r="D17" i="41"/>
  <c r="D11" i="41"/>
  <c r="CC71" i="41"/>
  <c r="BV70" i="41"/>
  <c r="AZ70" i="41"/>
  <c r="CB73" i="41"/>
  <c r="AP70" i="41"/>
  <c r="AV71" i="41"/>
  <c r="CE69" i="41"/>
  <c r="CB72" i="41"/>
  <c r="AZ73" i="41"/>
  <c r="BV68" i="41"/>
  <c r="CA70" i="41"/>
  <c r="CD72" i="41"/>
  <c r="BU69" i="41"/>
  <c r="BX68" i="41"/>
  <c r="CF68" i="41"/>
  <c r="H7" i="41"/>
  <c r="H46" i="41" s="1"/>
  <c r="BW71" i="41"/>
  <c r="BJ68" i="41"/>
  <c r="B3" i="41"/>
  <c r="CB71" i="41"/>
  <c r="CF70" i="41"/>
  <c r="BV71" i="41"/>
  <c r="CC68" i="41"/>
  <c r="E7" i="41"/>
  <c r="AV72" i="41"/>
  <c r="CE70" i="41"/>
  <c r="BU72" i="41"/>
  <c r="FT68" i="41"/>
  <c r="C11" i="41"/>
  <c r="C17" i="41"/>
  <c r="BY73" i="41"/>
  <c r="CE68" i="41"/>
  <c r="G7" i="41"/>
  <c r="BZ71" i="41"/>
  <c r="BZ68" i="41"/>
  <c r="B7" i="41"/>
  <c r="AN69" i="41"/>
  <c r="C73" i="41"/>
  <c r="C70" i="41"/>
  <c r="C72" i="41"/>
  <c r="C71" i="41"/>
  <c r="C69" i="41"/>
  <c r="G50" i="41" l="1"/>
  <c r="F50" i="41" s="1"/>
  <c r="E50" i="41" s="1"/>
  <c r="D50" i="41" s="1"/>
  <c r="C50" i="41" s="1"/>
  <c r="B50" i="41" s="1"/>
  <c r="GG72" i="41"/>
  <c r="GC72" i="41"/>
  <c r="GF72" i="41"/>
  <c r="GF69" i="41"/>
  <c r="GL69" i="41"/>
  <c r="GH69" i="41"/>
  <c r="GJ69" i="41"/>
  <c r="GI69" i="41"/>
  <c r="GA73" i="41"/>
  <c r="GE73" i="41"/>
  <c r="GI73" i="41"/>
  <c r="GJ73" i="41"/>
  <c r="GG73" i="41"/>
  <c r="GF73" i="41"/>
  <c r="GK71" i="41"/>
  <c r="GL71" i="41"/>
  <c r="GJ71" i="41"/>
  <c r="GB71" i="41"/>
  <c r="GC71" i="41"/>
  <c r="GE71" i="41"/>
  <c r="GH71" i="41"/>
  <c r="GL70" i="41"/>
  <c r="GC70" i="41"/>
  <c r="GE70" i="41"/>
  <c r="GK70" i="41"/>
  <c r="GB70" i="41"/>
  <c r="GG70" i="41"/>
  <c r="GI70" i="41"/>
  <c r="GA70" i="41"/>
  <c r="GH72" i="41"/>
  <c r="GD70" i="41"/>
  <c r="GC73" i="41"/>
  <c r="GB73" i="41"/>
  <c r="GE69" i="41"/>
  <c r="GD73" i="41"/>
  <c r="GI72" i="41"/>
  <c r="GH73" i="41"/>
  <c r="GD69" i="41"/>
  <c r="CO71" i="41"/>
  <c r="CN72" i="41"/>
  <c r="CU73" i="41"/>
  <c r="CT70" i="41"/>
  <c r="CN73" i="41"/>
  <c r="AX73" i="41" s="1"/>
  <c r="CT73" i="41"/>
  <c r="CQ72" i="41"/>
  <c r="CO70" i="41"/>
  <c r="AY70" i="41" s="1"/>
  <c r="CO69" i="41"/>
  <c r="G46" i="41"/>
  <c r="F46" i="41" s="1"/>
  <c r="E46" i="41" s="1"/>
  <c r="D46" i="41" s="1"/>
  <c r="CR69" i="41"/>
  <c r="FV72" i="41"/>
  <c r="B8" i="41"/>
  <c r="G8" i="41"/>
  <c r="H8" i="41"/>
  <c r="H47" i="41" s="1"/>
  <c r="F8" i="41"/>
  <c r="D8" i="41"/>
  <c r="E8" i="41"/>
  <c r="CM70" i="41"/>
  <c r="CT71" i="41"/>
  <c r="CU70" i="41"/>
  <c r="FV70" i="41"/>
  <c r="FV68" i="41"/>
  <c r="C12" i="41"/>
  <c r="CL72" i="41"/>
  <c r="CL69" i="41"/>
  <c r="CQ69" i="41"/>
  <c r="CM69" i="41"/>
  <c r="AW69" i="41" s="1"/>
  <c r="CS69" i="41"/>
  <c r="CW72" i="41"/>
  <c r="CV73" i="41"/>
  <c r="GA72" i="41"/>
  <c r="CM71" i="41"/>
  <c r="GA69" i="41"/>
  <c r="AW70" i="41"/>
  <c r="CP71" i="41"/>
  <c r="CM72" i="41"/>
  <c r="CL73" i="41"/>
  <c r="D15" i="41"/>
  <c r="GK73" i="41"/>
  <c r="CW71" i="41"/>
  <c r="CU72" i="41"/>
  <c r="CR72" i="41"/>
  <c r="CS70" i="41"/>
  <c r="GB72" i="41"/>
  <c r="CN70" i="41"/>
  <c r="CO72" i="41"/>
  <c r="CW73" i="41"/>
  <c r="CV70" i="41"/>
  <c r="CW70" i="41"/>
  <c r="GJ72" i="41"/>
  <c r="CV69" i="41"/>
  <c r="E15" i="41"/>
  <c r="H15" i="41"/>
  <c r="H54" i="41" s="1"/>
  <c r="H51" i="41"/>
  <c r="G51" i="41" s="1"/>
  <c r="F51" i="41" s="1"/>
  <c r="E51" i="41" s="1"/>
  <c r="D51" i="41" s="1"/>
  <c r="GH70" i="41"/>
  <c r="F15" i="41"/>
  <c r="CV72" i="41"/>
  <c r="CL71" i="41"/>
  <c r="GL73" i="41"/>
  <c r="CV71" i="41"/>
  <c r="FV73" i="41"/>
  <c r="CW69" i="41"/>
  <c r="CR71" i="41"/>
  <c r="CQ70" i="41"/>
  <c r="AZ72" i="41"/>
  <c r="CA68" i="41"/>
  <c r="C7" i="41"/>
  <c r="C8" i="41" s="1"/>
  <c r="GG71" i="41"/>
  <c r="GF70" i="41"/>
  <c r="CQ73" i="41"/>
  <c r="CS73" i="41"/>
  <c r="GI71" i="41"/>
  <c r="CR73" i="41"/>
  <c r="CO73" i="41"/>
  <c r="GJ70" i="41"/>
  <c r="CN69" i="41"/>
  <c r="AX69" i="41" s="1"/>
  <c r="CP73" i="41"/>
  <c r="CS72" i="41"/>
  <c r="GB69" i="41"/>
  <c r="CU71" i="41"/>
  <c r="GC69" i="41"/>
  <c r="GL72" i="41"/>
  <c r="CT72" i="41"/>
  <c r="CP70" i="41"/>
  <c r="G15" i="41"/>
  <c r="CM73" i="41"/>
  <c r="CQ71" i="41"/>
  <c r="GF71" i="41"/>
  <c r="CS71" i="41"/>
  <c r="CN71" i="41"/>
  <c r="CR70" i="41"/>
  <c r="GK69" i="41"/>
  <c r="CP72" i="41"/>
  <c r="AZ71" i="41"/>
  <c r="CT69" i="41"/>
  <c r="GG69" i="41"/>
  <c r="CU69" i="41"/>
  <c r="GK72" i="41"/>
  <c r="CL70" i="41"/>
  <c r="AV70" i="41" s="1"/>
  <c r="GA71" i="41"/>
  <c r="FV71" i="41"/>
  <c r="CP69" i="41"/>
  <c r="AZ69" i="41" s="1"/>
  <c r="FV69" i="41"/>
  <c r="EP72" i="41" a="1"/>
  <c r="EV71" i="41" a="1"/>
  <c r="EQ70" i="41" a="1"/>
  <c r="ES70" i="41" a="1"/>
  <c r="ER73" i="41" a="1"/>
  <c r="EM69" i="41" a="1"/>
  <c r="EL72" i="41" a="1"/>
  <c r="EP73" i="41" a="1"/>
  <c r="EU71" i="41" a="1"/>
  <c r="EU73" i="41" a="1"/>
  <c r="EQ72" i="41" a="1"/>
  <c r="ER71" i="41" a="1"/>
  <c r="EN73" i="41" a="1"/>
  <c r="EN69" i="41" a="1"/>
  <c r="EL70" i="41" a="1"/>
  <c r="EQ71" i="41" a="1"/>
  <c r="EV73" i="41" a="1"/>
  <c r="EN72" i="41" a="1"/>
  <c r="EN71" i="41" a="1"/>
  <c r="ER70" i="41" a="1"/>
  <c r="EV72" i="41" a="1"/>
  <c r="EP71" i="41" a="1"/>
  <c r="EL69" i="41" a="1"/>
  <c r="EO71" i="41" a="1"/>
  <c r="EN70" i="41" a="1"/>
  <c r="EL71" i="41" a="1"/>
  <c r="ER72" i="41" a="1"/>
  <c r="EO70" i="41" a="1"/>
  <c r="ES69" i="41" a="1"/>
  <c r="EU69" i="41" a="1"/>
  <c r="EK69" i="41" a="1"/>
  <c r="ET72" i="41" a="1"/>
  <c r="EQ73" i="41" a="1"/>
  <c r="EM72" i="41" a="1"/>
  <c r="EK70" i="41" a="1"/>
  <c r="EK73" i="41" a="1"/>
  <c r="ER69" i="41" a="1"/>
  <c r="EV70" i="41" a="1"/>
  <c r="EU72" i="41" a="1"/>
  <c r="ET73" i="41" a="1"/>
  <c r="EU70" i="41" a="1"/>
  <c r="EP70" i="41" a="1"/>
  <c r="EV69" i="41" a="1"/>
  <c r="EK72" i="41" a="1"/>
  <c r="EL73" i="41" a="1"/>
  <c r="ES72" i="41" a="1"/>
  <c r="ES71" i="41" a="1"/>
  <c r="EM70" i="41" a="1"/>
  <c r="C68" i="41"/>
  <c r="EO72" i="41" a="1"/>
  <c r="ET71" i="41" a="1"/>
  <c r="EM71" i="41" a="1"/>
  <c r="ET70" i="41" a="1"/>
  <c r="EM73" i="41" a="1"/>
  <c r="EP69" i="41" a="1"/>
  <c r="EQ69" i="41" a="1"/>
  <c r="EK71" i="41" a="1"/>
  <c r="EO73" i="41" a="1"/>
  <c r="EO69" i="41" a="1"/>
  <c r="ES73" i="41" a="1"/>
  <c r="ET69" i="41" a="1"/>
  <c r="G54" i="41" l="1"/>
  <c r="F54" i="41" s="1"/>
  <c r="E54" i="41" s="1"/>
  <c r="D54" i="41" s="1"/>
  <c r="EM71" i="41"/>
  <c r="ES72" i="41"/>
  <c r="ER72" i="41"/>
  <c r="EA72" i="41" s="1"/>
  <c r="EP73" i="41"/>
  <c r="DY73" i="41" s="1"/>
  <c r="ER70" i="41"/>
  <c r="EA70" i="41" s="1"/>
  <c r="ER69" i="41"/>
  <c r="EA69" i="41" s="1"/>
  <c r="ET69" i="41"/>
  <c r="EC69" i="41" s="1"/>
  <c r="ER71" i="41"/>
  <c r="EA71" i="41" s="1"/>
  <c r="EP70" i="41"/>
  <c r="EV70" i="41"/>
  <c r="EQ72" i="41"/>
  <c r="DZ72" i="41" s="1"/>
  <c r="EO69" i="41"/>
  <c r="DX69" i="41" s="1"/>
  <c r="EN73" i="41"/>
  <c r="DW73" i="41" s="1"/>
  <c r="EU70" i="41"/>
  <c r="ED70" i="41" s="1"/>
  <c r="EL70" i="41"/>
  <c r="DU70" i="41" s="1"/>
  <c r="ES69" i="41"/>
  <c r="EB69" i="41" s="1"/>
  <c r="EP71" i="41"/>
  <c r="ET71" i="41"/>
  <c r="EC71" i="41" s="1"/>
  <c r="EO73" i="41"/>
  <c r="DX73" i="41" s="1"/>
  <c r="EQ73" i="41"/>
  <c r="EU71" i="41"/>
  <c r="ED71" i="41" s="1"/>
  <c r="EV73" i="41"/>
  <c r="EE73" i="41" s="1"/>
  <c r="ET72" i="41"/>
  <c r="EC72" i="41" s="1"/>
  <c r="EK73" i="41"/>
  <c r="DT73" i="41" s="1"/>
  <c r="EK69" i="41"/>
  <c r="EL73" i="41"/>
  <c r="DU73" i="41" s="1"/>
  <c r="EM69" i="41"/>
  <c r="DV69" i="41" s="1"/>
  <c r="H3" i="41"/>
  <c r="GE68" i="41"/>
  <c r="GI68" i="41"/>
  <c r="GF68" i="41"/>
  <c r="GJ68" i="41"/>
  <c r="GA68" i="41"/>
  <c r="GB68" i="41"/>
  <c r="CL68" i="41"/>
  <c r="CQ68" i="41"/>
  <c r="GC68" i="41"/>
  <c r="CO68" i="41"/>
  <c r="CP68" i="41"/>
  <c r="GK68" i="41"/>
  <c r="CS68" i="41"/>
  <c r="CU68" i="41"/>
  <c r="CW68" i="41"/>
  <c r="GH68" i="41"/>
  <c r="GG68" i="41"/>
  <c r="CV68" i="41"/>
  <c r="CM68" i="41"/>
  <c r="CT68" i="41"/>
  <c r="GL68" i="41"/>
  <c r="GD68" i="41"/>
  <c r="CN68" i="41"/>
  <c r="EQ71" i="41"/>
  <c r="DZ71" i="41" s="1"/>
  <c r="EL71" i="41"/>
  <c r="DU71" i="41" s="1"/>
  <c r="EK72" i="41"/>
  <c r="DT72" i="41" s="1"/>
  <c r="EN69" i="41"/>
  <c r="DW69" i="41" s="1"/>
  <c r="ES70" i="41"/>
  <c r="EB70" i="41" s="1"/>
  <c r="ER73" i="41"/>
  <c r="EV69" i="41"/>
  <c r="EE69" i="41" s="1"/>
  <c r="EK71" i="41"/>
  <c r="DT71" i="41" s="1"/>
  <c r="EN72" i="41"/>
  <c r="EL72" i="41"/>
  <c r="DU72" i="41" s="1"/>
  <c r="EL69" i="41"/>
  <c r="DU69" i="41" s="1"/>
  <c r="EN70" i="41"/>
  <c r="DW70" i="41" s="1"/>
  <c r="ET73" i="41"/>
  <c r="EC73" i="41" s="1"/>
  <c r="EU72" i="41"/>
  <c r="EU69" i="41"/>
  <c r="EM70" i="41"/>
  <c r="DV70" i="41" s="1"/>
  <c r="EO71" i="41"/>
  <c r="DX71" i="41" s="1"/>
  <c r="EU73" i="41"/>
  <c r="ED73" i="41" s="1"/>
  <c r="EP69" i="41"/>
  <c r="DY69" i="41" s="1"/>
  <c r="ET70" i="41"/>
  <c r="EC70" i="41" s="1"/>
  <c r="EP72" i="41"/>
  <c r="DY72" i="41" s="1"/>
  <c r="EM72" i="41"/>
  <c r="EK70" i="41"/>
  <c r="DT70" i="41" s="1"/>
  <c r="EO72" i="41"/>
  <c r="EQ70" i="41"/>
  <c r="DZ70" i="41" s="1"/>
  <c r="EO70" i="41"/>
  <c r="DX70" i="41" s="1"/>
  <c r="EV71" i="41"/>
  <c r="EE71" i="41" s="1"/>
  <c r="EV72" i="41"/>
  <c r="EE72" i="41" s="1"/>
  <c r="ES71" i="41"/>
  <c r="EB71" i="41" s="1"/>
  <c r="EQ69" i="41"/>
  <c r="ES73" i="41"/>
  <c r="EB73" i="41" s="1"/>
  <c r="EM73" i="41"/>
  <c r="DV73" i="41" s="1"/>
  <c r="EN71" i="41"/>
  <c r="DV71" i="41"/>
  <c r="EB72" i="41"/>
  <c r="DY70" i="41"/>
  <c r="EE70" i="41"/>
  <c r="C46" i="41"/>
  <c r="B46" i="41" s="1"/>
  <c r="AY73" i="41"/>
  <c r="DY71" i="41"/>
  <c r="DZ73" i="41"/>
  <c r="AV73" i="41"/>
  <c r="DT69" i="41"/>
  <c r="AV69" i="41"/>
  <c r="AW73" i="41"/>
  <c r="CR68" i="41"/>
  <c r="AY69" i="41"/>
  <c r="EA73" i="41"/>
  <c r="DW72" i="41"/>
  <c r="ED72" i="41"/>
  <c r="ED69" i="41"/>
  <c r="AX70" i="41"/>
  <c r="DV72" i="41"/>
  <c r="DX72" i="41"/>
  <c r="C51" i="41"/>
  <c r="B51" i="41" s="1"/>
  <c r="C15" i="41"/>
  <c r="G47" i="41"/>
  <c r="F47" i="41" s="1"/>
  <c r="E47" i="41" s="1"/>
  <c r="D47" i="41" s="1"/>
  <c r="C47" i="41" s="1"/>
  <c r="B47" i="41" s="1"/>
  <c r="DZ69" i="41"/>
  <c r="DW71" i="41"/>
  <c r="EL68" i="41" a="1"/>
  <c r="EO68" i="41" a="1"/>
  <c r="ET68" i="41" a="1"/>
  <c r="EK68" i="41" a="1"/>
  <c r="EQ68" i="41" a="1"/>
  <c r="EU68" i="41" a="1"/>
  <c r="ES68" i="41" a="1"/>
  <c r="ER68" i="41" a="1"/>
  <c r="EV68" i="41" a="1"/>
  <c r="EN68" i="41" a="1"/>
  <c r="EM68" i="41" a="1"/>
  <c r="EP68" i="41" a="1"/>
  <c r="ES68" i="41" l="1"/>
  <c r="EL68" i="41"/>
  <c r="EO68" i="41"/>
  <c r="DX68" i="41" s="1"/>
  <c r="EU68" i="41"/>
  <c r="ED68" i="41" s="1"/>
  <c r="EN68" i="41"/>
  <c r="DW68" i="41" s="1"/>
  <c r="EP68" i="41"/>
  <c r="DY68" i="41" s="1"/>
  <c r="EM68" i="41"/>
  <c r="DV68" i="41" s="1"/>
  <c r="EV68" i="41"/>
  <c r="EE68" i="41" s="1"/>
  <c r="EK68" i="41"/>
  <c r="EQ68" i="41"/>
  <c r="ET68" i="41"/>
  <c r="ER68" i="41"/>
  <c r="EA68" i="41" s="1"/>
  <c r="GO73" i="41"/>
  <c r="HC73" i="41"/>
  <c r="GV71" i="41"/>
  <c r="HJ71" i="41"/>
  <c r="GX69" i="41"/>
  <c r="HL69" i="41"/>
  <c r="GT73" i="41"/>
  <c r="HH73" i="41"/>
  <c r="GX73" i="41"/>
  <c r="HL73" i="41"/>
  <c r="GW69" i="41"/>
  <c r="HK69" i="41"/>
  <c r="HF70" i="41"/>
  <c r="GR70" i="41"/>
  <c r="GO72" i="41"/>
  <c r="HC72" i="41"/>
  <c r="GY73" i="41"/>
  <c r="HM73" i="41"/>
  <c r="HF73" i="41"/>
  <c r="GR73" i="41"/>
  <c r="GU70" i="41"/>
  <c r="FU70" i="41"/>
  <c r="HI70" i="41"/>
  <c r="FU71" i="41"/>
  <c r="GU71" i="41"/>
  <c r="HI71" i="41"/>
  <c r="GP71" i="41"/>
  <c r="HD71" i="41"/>
  <c r="GX72" i="41"/>
  <c r="HL72" i="41"/>
  <c r="HG69" i="41"/>
  <c r="GS69" i="41"/>
  <c r="GQ71" i="41"/>
  <c r="HE71" i="41"/>
  <c r="EB68" i="41"/>
  <c r="E9" i="41"/>
  <c r="HE73" i="41"/>
  <c r="GQ73" i="41"/>
  <c r="GW73" i="41"/>
  <c r="HK73" i="41"/>
  <c r="GW70" i="41"/>
  <c r="HK70" i="41"/>
  <c r="DU68" i="41"/>
  <c r="AW68" i="41"/>
  <c r="AZ68" i="41"/>
  <c r="GV73" i="41"/>
  <c r="HJ73" i="41"/>
  <c r="GZ72" i="41"/>
  <c r="HN72" i="41"/>
  <c r="GT72" i="41"/>
  <c r="HH72" i="41"/>
  <c r="GZ73" i="41"/>
  <c r="HN73" i="41"/>
  <c r="GU69" i="41"/>
  <c r="FU69" i="41"/>
  <c r="HI69" i="41"/>
  <c r="GZ71" i="41"/>
  <c r="HN71" i="41"/>
  <c r="GQ70" i="41"/>
  <c r="HE70" i="41"/>
  <c r="GY71" i="41"/>
  <c r="HM71" i="41"/>
  <c r="HD70" i="41"/>
  <c r="GP70" i="41"/>
  <c r="G9" i="41"/>
  <c r="AY68" i="41"/>
  <c r="HE72" i="41"/>
  <c r="GQ72" i="41"/>
  <c r="GU72" i="41"/>
  <c r="FU72" i="41"/>
  <c r="HI72" i="41"/>
  <c r="GV69" i="41"/>
  <c r="HJ69" i="41"/>
  <c r="HG71" i="41"/>
  <c r="GS71" i="41"/>
  <c r="HG73" i="41"/>
  <c r="GS73" i="41"/>
  <c r="GY70" i="41"/>
  <c r="HM70" i="41"/>
  <c r="GV70" i="41"/>
  <c r="HJ70" i="41"/>
  <c r="B9" i="41"/>
  <c r="F18" i="41"/>
  <c r="E18" i="41"/>
  <c r="D18" i="41"/>
  <c r="B18" i="41"/>
  <c r="H18" i="41"/>
  <c r="G18" i="41"/>
  <c r="C18" i="41"/>
  <c r="HG70" i="41"/>
  <c r="GS70" i="41"/>
  <c r="GX70" i="41"/>
  <c r="HL70" i="41"/>
  <c r="GY72" i="41"/>
  <c r="HM72" i="41"/>
  <c r="HD72" i="41"/>
  <c r="GP72" i="41"/>
  <c r="HE69" i="41"/>
  <c r="GQ69" i="41"/>
  <c r="GZ70" i="41"/>
  <c r="HN70" i="41"/>
  <c r="HF72" i="41"/>
  <c r="GR72" i="41"/>
  <c r="GO69" i="41"/>
  <c r="HC69" i="41"/>
  <c r="GX71" i="41"/>
  <c r="HL71" i="41"/>
  <c r="GT70" i="41"/>
  <c r="HH70" i="41"/>
  <c r="AX68" i="41"/>
  <c r="H9" i="41"/>
  <c r="DT68" i="41"/>
  <c r="AV68" i="41"/>
  <c r="GY69" i="41"/>
  <c r="HM69" i="41"/>
  <c r="HD69" i="41"/>
  <c r="GP69" i="41"/>
  <c r="GR69" i="41"/>
  <c r="HF69" i="41"/>
  <c r="DZ68" i="41"/>
  <c r="C9" i="41"/>
  <c r="GU73" i="41"/>
  <c r="FU73" i="41"/>
  <c r="HI73" i="41"/>
  <c r="HG72" i="41"/>
  <c r="GS72" i="41"/>
  <c r="GT69" i="41"/>
  <c r="HH69" i="41"/>
  <c r="HC71" i="41"/>
  <c r="GO71" i="41"/>
  <c r="HD73" i="41"/>
  <c r="GP73" i="41"/>
  <c r="GT71" i="41"/>
  <c r="HH71" i="41"/>
  <c r="GV72" i="41"/>
  <c r="HJ72" i="41"/>
  <c r="F9" i="41"/>
  <c r="EC68" i="41"/>
  <c r="GW71" i="41"/>
  <c r="HK71" i="41"/>
  <c r="HF71" i="41"/>
  <c r="GR71" i="41"/>
  <c r="C54" i="41"/>
  <c r="B54" i="41" s="1"/>
  <c r="HC70" i="41"/>
  <c r="GO70" i="41"/>
  <c r="GZ69" i="41"/>
  <c r="HN69" i="41"/>
  <c r="GW72" i="41"/>
  <c r="HK72" i="41"/>
  <c r="D9" i="41"/>
  <c r="GZ68" i="41" l="1"/>
  <c r="H13" i="41"/>
  <c r="HN68" i="41"/>
  <c r="GT68" i="41"/>
  <c r="HH68" i="41"/>
  <c r="HF68" i="41"/>
  <c r="GR68" i="41"/>
  <c r="GV68" i="41"/>
  <c r="D13" i="41"/>
  <c r="HJ68" i="41"/>
  <c r="H10" i="41"/>
  <c r="H49" i="41" s="1"/>
  <c r="H48" i="41"/>
  <c r="G48" i="41" s="1"/>
  <c r="F48" i="41" s="1"/>
  <c r="E48" i="41" s="1"/>
  <c r="D48" i="41" s="1"/>
  <c r="C48" i="41" s="1"/>
  <c r="B48" i="41" s="1"/>
  <c r="E10" i="41"/>
  <c r="G10" i="41"/>
  <c r="HD68" i="41"/>
  <c r="GP68" i="41"/>
  <c r="GW68" i="41"/>
  <c r="E13" i="41"/>
  <c r="HK68" i="41"/>
  <c r="HE68" i="41"/>
  <c r="GQ68" i="41"/>
  <c r="GY68" i="41"/>
  <c r="G13" i="41"/>
  <c r="HM68" i="41"/>
  <c r="FX73" i="41"/>
  <c r="FW73" i="41"/>
  <c r="FX72" i="41"/>
  <c r="FW72" i="41"/>
  <c r="FX69" i="41"/>
  <c r="FW69" i="41"/>
  <c r="FX71" i="41"/>
  <c r="FW71" i="41"/>
  <c r="F10" i="41"/>
  <c r="C10" i="41"/>
  <c r="GX68" i="41"/>
  <c r="F13" i="41"/>
  <c r="HL68" i="41"/>
  <c r="GU68" i="41"/>
  <c r="FU68" i="41"/>
  <c r="C13" i="41"/>
  <c r="HI68" i="41"/>
  <c r="HC68" i="41"/>
  <c r="GO68" i="41"/>
  <c r="B10" i="41"/>
  <c r="FX70" i="41"/>
  <c r="FW70" i="41"/>
  <c r="D10" i="41"/>
  <c r="HG68" i="41"/>
  <c r="GS68" i="41"/>
  <c r="F16" i="41" l="1"/>
  <c r="F14" i="41"/>
  <c r="G49" i="41"/>
  <c r="F49" i="41" s="1"/>
  <c r="E49" i="41" s="1"/>
  <c r="D49" i="41" s="1"/>
  <c r="C49" i="41" s="1"/>
  <c r="B49" i="41" s="1"/>
  <c r="C14" i="41"/>
  <c r="C16" i="41"/>
  <c r="E14" i="41"/>
  <c r="E16" i="41"/>
  <c r="FX68" i="41"/>
  <c r="FW68" i="41"/>
  <c r="H52" i="41"/>
  <c r="H14" i="41"/>
  <c r="H53" i="41" s="1"/>
  <c r="H16" i="41"/>
  <c r="H55" i="41" s="1"/>
  <c r="G52" i="41"/>
  <c r="F52" i="41" s="1"/>
  <c r="E52" i="41" s="1"/>
  <c r="D52" i="41" s="1"/>
  <c r="C52" i="41" s="1"/>
  <c r="B52" i="41" s="1"/>
  <c r="G14" i="41"/>
  <c r="G16" i="41"/>
  <c r="D14" i="41"/>
  <c r="D16" i="41"/>
  <c r="G53" i="41" l="1"/>
  <c r="F53" i="41" s="1"/>
  <c r="E53" i="41" s="1"/>
  <c r="D53" i="41" s="1"/>
  <c r="C53" i="41" s="1"/>
  <c r="B53" i="41" s="1"/>
  <c r="G55" i="41"/>
  <c r="F55" i="41" s="1"/>
  <c r="E55" i="41" s="1"/>
  <c r="D55" i="41" s="1"/>
  <c r="C55" i="41" s="1"/>
  <c r="B55" i="41" s="1"/>
  <c r="R13" i="41" l="1"/>
  <c r="O13" i="41"/>
  <c r="P13" i="41"/>
  <c r="N13" i="41"/>
  <c r="P7" i="41"/>
  <c r="Q11" i="41"/>
  <c r="Q13" i="41"/>
  <c r="N8" i="41"/>
  <c r="R8" i="41"/>
  <c r="R47" i="41" s="1"/>
  <c r="N7" i="41"/>
  <c r="O8" i="41"/>
  <c r="O7" i="41"/>
  <c r="P11" i="41"/>
  <c r="P8" i="41"/>
  <c r="Q7" i="41"/>
  <c r="Q8" i="41"/>
  <c r="Q47" i="41" s="1"/>
  <c r="N11" i="41"/>
  <c r="R11" i="41"/>
  <c r="O11" i="41"/>
  <c r="R7" i="41"/>
  <c r="Q9" i="41" l="1"/>
  <c r="Q10" i="41"/>
  <c r="P47" i="41"/>
  <c r="O47" i="41" s="1"/>
  <c r="N47" i="41" s="1"/>
  <c r="R9" i="41"/>
  <c r="R48" i="41" s="1"/>
  <c r="R46" i="41"/>
  <c r="Q46" i="41" s="1"/>
  <c r="P46" i="41" s="1"/>
  <c r="O46" i="41" s="1"/>
  <c r="N46" i="41" s="1"/>
  <c r="R10" i="41"/>
  <c r="R49" i="41" s="1"/>
  <c r="P12" i="41"/>
  <c r="P15" i="41"/>
  <c r="O15" i="41"/>
  <c r="O12" i="41"/>
  <c r="P14" i="41"/>
  <c r="N14" i="41"/>
  <c r="R50" i="41"/>
  <c r="Q50" i="41" s="1"/>
  <c r="P50" i="41" s="1"/>
  <c r="O50" i="41" s="1"/>
  <c r="N50" i="41" s="1"/>
  <c r="R15" i="41"/>
  <c r="R54" i="41" s="1"/>
  <c r="R12" i="41"/>
  <c r="R51" i="41" s="1"/>
  <c r="N9" i="41"/>
  <c r="N10" i="41"/>
  <c r="O14" i="41"/>
  <c r="Q14" i="41"/>
  <c r="Q15" i="41"/>
  <c r="Q12" i="41"/>
  <c r="P9" i="41"/>
  <c r="P10" i="41"/>
  <c r="O9" i="41"/>
  <c r="O10" i="41"/>
  <c r="N15" i="41"/>
  <c r="N12" i="41"/>
  <c r="R52" i="41"/>
  <c r="Q52" i="41" s="1"/>
  <c r="P52" i="41" s="1"/>
  <c r="O52" i="41" s="1"/>
  <c r="N52" i="41" s="1"/>
  <c r="R14" i="41"/>
  <c r="R53" i="41" s="1"/>
  <c r="Q51" i="41" l="1"/>
  <c r="Q54" i="41"/>
  <c r="P54" i="41" s="1"/>
  <c r="O54" i="41" s="1"/>
  <c r="N54" i="41" s="1"/>
  <c r="Q53" i="41"/>
  <c r="P53" i="41" s="1"/>
  <c r="O53" i="41" s="1"/>
  <c r="N53" i="41" s="1"/>
  <c r="P51" i="41"/>
  <c r="O51" i="41" s="1"/>
  <c r="N51" i="41" s="1"/>
  <c r="Q49" i="41"/>
  <c r="P49" i="41" s="1"/>
  <c r="O49" i="41" s="1"/>
  <c r="N49" i="41" s="1"/>
  <c r="Q48" i="41"/>
  <c r="P48" i="41" s="1"/>
  <c r="O48" i="41" s="1"/>
  <c r="N48" i="4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<sst xmlns="http://schemas.openxmlformats.org/spreadsheetml/2006/main" count="1011" uniqueCount="260">
  <si>
    <t>Family Size</t>
  </si>
  <si>
    <t>nMax</t>
  </si>
  <si>
    <t>nMin</t>
  </si>
  <si>
    <t>MaxTime</t>
  </si>
  <si>
    <t>Exact nMax</t>
  </si>
  <si>
    <t>Exact Family</t>
  </si>
  <si>
    <t>Heuristic Methods</t>
  </si>
  <si>
    <t>Exact Methods</t>
  </si>
  <si>
    <t>m4riRW</t>
  </si>
  <si>
    <t>QDistRndMW</t>
  </si>
  <si>
    <t>QDistEvol</t>
  </si>
  <si>
    <t>BP-OSD</t>
  </si>
  <si>
    <t>GEStim</t>
  </si>
  <si>
    <t>CCStim</t>
  </si>
  <si>
    <t>UEStim</t>
  </si>
  <si>
    <t>Gurobi</t>
  </si>
  <si>
    <t>MIP-SCIP</t>
  </si>
  <si>
    <t>CLISAT</t>
  </si>
  <si>
    <t>m4riCC</t>
  </si>
  <si>
    <t>Magma</t>
  </si>
  <si>
    <t>Result Returned</t>
  </si>
  <si>
    <t>#,##0</t>
  </si>
  <si>
    <t>No Result</t>
  </si>
  <si>
    <t>Completed &lt; MaxTime</t>
  </si>
  <si>
    <t>At lowest distance</t>
  </si>
  <si>
    <t>#,##0;;</t>
  </si>
  <si>
    <t>Completed &gt; MaxTime</t>
  </si>
  <si>
    <t>Overall Success Rate</t>
  </si>
  <si>
    <t>0.0%;;</t>
  </si>
  <si>
    <t>Total Time (s)</t>
  </si>
  <si>
    <t>0.0E+00;;</t>
  </si>
  <si>
    <t>Trials</t>
  </si>
  <si>
    <t>Overall success rate</t>
  </si>
  <si>
    <t>Trials at lowest distance</t>
  </si>
  <si>
    <t>Total Time</t>
  </si>
  <si>
    <t>Trial Success Rate</t>
  </si>
  <si>
    <t>Time/Trial</t>
  </si>
  <si>
    <t>Time/Successful Trial</t>
  </si>
  <si>
    <t>not completed</t>
  </si>
  <si>
    <t>Chart Dataset:</t>
  </si>
  <si>
    <t>Total Processing Time</t>
  </si>
  <si>
    <t>\begin{center}</t>
  </si>
  <si>
    <t>\begin{tabular}{ |l|</t>
  </si>
  <si>
    <t>r|</t>
  </si>
  <si>
    <t>}</t>
  </si>
  <si>
    <t>\hline</t>
  </si>
  <si>
    <t>\\</t>
  </si>
  <si>
    <t>\end{tabular}</t>
  </si>
  <si>
    <t>\end{center}</t>
  </si>
  <si>
    <t>Offset</t>
  </si>
  <si>
    <t>Chart Data</t>
  </si>
  <si>
    <t>Match</t>
  </si>
  <si>
    <t>dCalc</t>
  </si>
  <si>
    <t>Algorithm Completed within maxTime</t>
  </si>
  <si>
    <t>d Estimated Successfully</t>
  </si>
  <si>
    <t>dEst</t>
  </si>
  <si>
    <t>d correct</t>
  </si>
  <si>
    <t>Number of Trials at lowest distance</t>
  </si>
  <si>
    <t>R</t>
  </si>
  <si>
    <t>T</t>
  </si>
  <si>
    <t>best</t>
  </si>
  <si>
    <t>n</t>
  </si>
  <si>
    <t>dMin</t>
  </si>
  <si>
    <t>m4ri_CC</t>
  </si>
  <si>
    <t>magma</t>
  </si>
  <si>
    <t>m4ri_RW</t>
  </si>
  <si>
    <t>bposd</t>
  </si>
  <si>
    <t>t</t>
  </si>
  <si>
    <t>success rate</t>
  </si>
  <si>
    <t>t/R</t>
  </si>
  <si>
    <t>runMode: serial</t>
  </si>
  <si>
    <t>maxCount: 10000</t>
  </si>
  <si>
    <t>dataset: stim_circuit</t>
  </si>
  <si>
    <t>datafile: 04_colorcodes_superdense</t>
  </si>
  <si>
    <t>method: dist_m4ri_RW</t>
  </si>
  <si>
    <t>ignoreTrivialCodes: 1</t>
  </si>
  <si>
    <t>resume: 0</t>
  </si>
  <si>
    <t>iterCount: 10000</t>
  </si>
  <si>
    <t>maxTime: 28800</t>
  </si>
  <si>
    <t>nThreads: 1</t>
  </si>
  <si>
    <t>verbose: False</t>
  </si>
  <si>
    <t>maxErr: -1</t>
  </si>
  <si>
    <t>filterCircuit: 1</t>
  </si>
  <si>
    <t>PauliProductType: X</t>
  </si>
  <si>
    <t>SingleQubitPauliErrors: 1</t>
  </si>
  <si>
    <t>fourBlock: 1</t>
  </si>
  <si>
    <t>HL: 0</t>
  </si>
  <si>
    <t>popSize: 100</t>
  </si>
  <si>
    <t>offspring: 10</t>
  </si>
  <si>
    <t>CCstart: -1</t>
  </si>
  <si>
    <t>addStabs: 0</t>
  </si>
  <si>
    <t>outfile: /home/ucapmwe/dist-benchmark/results/stim_circuit-04_colorcodes_superdense-dist_m4ri_RW-20260106_160351.723557_85062422.txt</t>
  </si>
  <si>
    <t>#########################################</t>
  </si>
  <si>
    <t>name</t>
  </si>
  <si>
    <t>k</t>
  </si>
  <si>
    <t>d</t>
  </si>
  <si>
    <t>delta d</t>
  </si>
  <si>
    <t>Time</t>
  </si>
  <si>
    <t>Progress</t>
  </si>
  <si>
    <t>01_r=3,d=3,p=0.0005,noise=uniform,c=superdense_color_code_Z,q=13,gates=all.stim</t>
  </si>
  <si>
    <t># step=0 row=0 minW=71 found cw of W=7: [1 7 14 41 52 58 63]\n# step=0 row=4 minW=7 found cw of W=6: [6 7 41 52 58 63]\n# step=0 row=5 minW=6 found cw of W=5: [7 8 32 52 63]\n# step=0 row=25 minW=5 found cw of W=4: [30 32 41 58]\n# step=0 row=37 minW=4 found cw of W=3: [45 49 63]\n# round=1000 of 10000 minW=3\n# round=2000 of 10000 minW=3\n# round=3000 of 10000 minW=3\n# round=4000 of 10000 minW=3\n# round=5000 of 10000 minW=3\n# round=6000 of 10000 minW=3\n# round=7000 of 10000 minW=3\n# round=8000 of 10000 minW=3\n# round=9000 of 10000 minW=3\n# round=10000 of 10000 minW=3\nRW algorithm upper bound for the distance d=3\n</t>
  </si>
  <si>
    <t>02_r=5,d=5,p=0.0005,noise=uniform,c=superdense_color_code_Z,q=37,gates=all.stim</t>
  </si>
  <si>
    <t># step=0 row=0 minW=415 found cw of W=7: [1 6 9 19 35 52 79]\n# step=0 row=5 minW=7 found cw of W=6: [6 7 19 25 52 79]\n# step=0 row=8 minW=6 found cw of W=5: [9 11 19 52 79]\n#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</si>
  <si>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03_r=7,d=7,p=0.0005,noise=uniform,c=superdense_color_code_Z,q=73,gates=all.stim</t>
  </si>
  <si>
    <t># step=0 row=0 minW=1249 found cw of W=17: [1 8 14 178 195 347 350 368 386 548 552 553 578 636 649 713 748]\n# step=0 row=6 minW=17 found cw of W=16: [7 8 188 197 349 350 368 386 548 552 553 578 636 649 713 748]\n# step=0 row=11 minW=16 found cw of W=14: [13 14 195 350 368 386 548 552 553 578 636 649 713 748]\n# step=0 row=51 minW=14 found cw of W=11: [59 62 75 91 95 148 149 205 323 327 344]\n# step=0 row=57 minW=11 found cw of W=9: [66 67 91 95 148 149 323 327 344]\n# step=0 row=214 minW=9 found cw of W=8: [91 95 245 300 304 339 344 346]\n# step=0 row=540 minW=8 found cw of W=7: [344 346 503 614 615 636 658]\n# round=1000 of 10000 minW=7\n# round=2000 of 10000 minW=7\n# round=3000 of 10000 minW=7\n# round=4000 of 10000 minW=7\n# round=5000 of 10000 minW=7\n# round=6000 of 10000 minW=7\n# round=7000 of 10000 minW=7\n# round=8000 of 10000 minW=7\n# round=9000 of 10000 minW=7\n# round=10000 of 10000 minW=7\nRW algorithm upper bound for the distance d=7\n</t>
  </si>
  <si>
    <t>04_r=9,d=9,p=0.0005,noise=uniform,c=superdense_color_code_Z,q=121,gates=all.stim</t>
  </si>
  <si>
    <t># step=0 row=113 minW=2789 found cw of W=21: [130 140 148 208 266 400 442 498 503 563 607 608 634 677 682 702 747 821 954 957 992]\n# step=0 row=124 minW=21 found cw of W=19: [142 148 166 223 232 234 315 317 326 328 346 387 390 607 608 650 692 954 957]\n# step=0 row=146 minW=19 found cw of W=18: [48 49 76 79 154 160 168 315 317 326 328 336 346 387 426 650 665 677]\n# step=0 row=203 minW=18 found cw of W=15: [183 189 235 288 410 415 486 498 540 563 665 677 692 954 957]\n# step=0 row=415 minW=15 found cw of W=11: [232 234 473 607 608 634 677 682 692 765 992]\n# step=0 row=679 minW=11 found cw of W=10: [607 608 634 677 682 692 760 765 774 992]\n# step=1 row=1661 minW=10 found cw of W=9: [1740 1744 1863 1870 1874 1875 1893 1962 1964]\n# round=1000 of 10000 minW=9\n# round=2000 of 10000 minW=9\n# round=3000 of 10000 minW=9\n# round=4000 of 10000 minW=9\n# round=5000 of 10000 minW=9\n# round=6000 of 10000 minW=9\n# round=7000 of 10000 minW=9\n# round=8000 of 10000 minW=9\n# round=9000 of 10000 minW=9\n# round=10000 of 10000 minW=9\nRW algorithm upper bound for the distance d=9\n</t>
  </si>
  <si>
    <t>05_r=11,d=11,p=0.0005,noise=uniform,c=superdense_color_code_Z,q=181,gates=all.stim</t>
  </si>
  <si>
    <t># step=0 row=24 minW=5251 found cw of W=97: [30 31 74 122 129 140 198 202 296 478 479 501 547 567 571 575 604 607 679 941 961 1006 1019 1032 1057 1078 1121 1136 1224 1409 1422 1429 1439 1449 1504 1528 1567 1884 1891 1894 1907 1919 1936 1953 1974 1993 2000 2062 2158 2355 2368 2484 2510 2511 2526 2530 2542 2549 2553 2562 2655 2664 2668 2858 2862 2885 2913 2916 3009 3049 3118 3138 3142 3150 3285 3286 3299 3319 3378 3431 3438 3455 3505 3615 3644 3652 3662 3707 3715 4055 4068 4129 4138 4165 4178 4185 4192]\n# step=0 row=25 minW=97 found cw of W=79: [30 32 48 69 74 122 126 135 478 483 487 501 547 567 571 575 604 941 1006 1019 1032 1078 1439 1447 1504 1528 1567 1894 1901 1936 1974 1993 2000 2062 2158 2371 2416 2510 2511 2526 2530 2542 2549 2553 2562 2655 2664 2668 2833 2847 2913 2916 3009 3049 3118 3138 3142 3150 3284 3285 3378 3431 3438 3455 3505 3615 3644 3652 3662 3707 3715 4055 4068 4129 4138 4165 4178 4185 4192]\n# step=0 row=62 minW=79 found cw of W=74: [73 74 126 135 478 483 487 547 567 571 575 604 941 1006 1019 1032 1078 1439 1447 1504 1528 1567 1894 1901 1936 1974 1993 2000 2062 2158 2371 2416 2510 2511 2526 2530 2542 2549 2553 2562 2655 2664 2668 2833 2847 2913 2916 3009 3049 3118 3138 3142 3150 3284 3285 3378 3431 3438 3455 3505 3615 3644 3652 3662 3707 3715 4055 4068 4129 4138 4165 4178 4185 4192]\n# step=0 row=67 minW=74 found cw of W=72: [74 79 135 478 483 487 547 567 571 604 941 1006 1019 1032 1078 1439 1447 1504 1528 1567 1894 1901 1936 1974 1993 2000 2062 2158 2371 2416 2510 2511 2526 2530 2542 2549 2553 2562 2655 2664 2668 2833 2847 2913 2916 3009 3049 3118 3138 3142 3150 3284 3285 3378 3431 3438 3455 3505 3615 3644 3652 3662 3707 3715 4055 4068 4129 4138 4165 4178 4185 4192]\n# step=0 row=95 minW=72 found cw of W=56: [109 113 122 129 135 140 185 198 202 275 282 288 296 348 355 361 426 460 478 479 501 607 679 812 870 941 961 1057 1121 1136 1224 1409 1422 1429 1447 1449 1884 1891 1901 1907 1919 1953 2355 2368 2371 2416 2484 2833 2847 2858 2862 2885 3284 3286 3299 3319]\n# step=0 row=99 minW=56 found cw of W=49: [113 114 122 126 135 140 185 188 275 282 288 348 355 361 426 460 478 479 501 575 812 870 941 961 1409 1422 1429 1447 1449 1884 1891 1901 1907 1919 1953 2355 2368 2371 2416 2484 2833 2847 2858 2862 2885 3284 3286 3299 3319]\n# step=0 row=102 minW=49 found cw of W=46: [113 117 135 140 185 188 275 282 288 348 355 361 426 460 479 483 487 501 812 870 961 1409 1422 1429 1447 1449 1884 1891 1901 1907 1919 1953 2355 2368 2371 2416 2484 2833 2847 2858 2862 2885 3284 3286 3299 3319]\n# step=0 row=157 minW=46 found cw of W=43: [107 113 135 140 182 188 348 352 361 426 460 479 483 487 501 812 870 961 1409 1422 1429 1447 1449 1884 1891 1901 1907 1919 1953 2355 2368 2371 2416 2484 2833 2847 2858 2862 2885 3284 3286 3299 3319]\n# step=0 row=243 minW=43 found cw of W=41: [135 140 283 288 348 355 361 426 460 479 483 487 501 812 870 961 1409 1422 1429 1447 1449 1884 1891 1901 1907 1919 1953 2355 2368 2371 2416 2484 2833 2847 2858 2862 2885 3284 3286 3299 3319]\n# step=0 row=268 minW=41 found cw of W=30: [248 249 310 311 348 355 361 426 460 703 793 799 812 840 842 870 895 910 931 1189 1252 1263 1310 1647 1669 1742 1743 2118 2135 2274]\n# step=0 row=281 minW=30 found cw of W=19: [249 250 325 336 339 394 395 703 720 797 910 1195 1363 1370 1822 1855 1858 1866 2319]\n# step=0 row=704 minW=19 found cw of W=14: [248 249 394 395 703 796 910 1363 1370 1822 1855 1858 1866 2319]\n# step=1 row=87 minW=14 found cw of W=13: [99 100 294 299 357 359 599 600 811 812 882 901 930]\n# step=13 row=2592 minW=13 found cw of W=12: [2214 2217 2505 2507 2593 2897 2902 3290 3291 3333 3761 3782]\n# step=13 row=2673 minW=12 found cw of W=11: [2214 2217 2593 2986 3290 3291 3443 3761 3795 3850 4265]\n# round=1000 of 10000 minW=11\n# round=2000 of 10000 minW=11\n# round=3000 of 10000 minW=11\n# round=4000 of 10000 minW=11\n# round=5000 of 10000 minW=11\n# round=6000 of 10000 minW=11\n# round=7000 of 10000 minW=11\n# round=8000 of 10000 minW=11\n# round=9000 of 10000 minW=11\n# round=10000 of 10000 minW=11\nRW algorithm upper bound for the distance d=11\n</t>
  </si>
  <si>
    <t>06_r=1,d=15,p=0.161473,noise=data_qubit_X,c=color_code_mpp,q=169,gates=mpp.stim</t>
  </si>
  <si>
    <t># step=0 row=2 minW=170 found cw of W=35: [7 9 10 14 15 23 28 32 34 40 42 49 57 64 66 67 69 80 87 95 96 100 112 117 118 122 130 131 133 135 136 137 145 146 156]\n# step=0 row=11 minW=35 found cw of W=27: [1 4 6 10 14 21 24 34 37 46 49 50 54 66 68 87 95 96 112 117 118 130 131 133 145 146 156]\n# step=0 row=14 minW=27 found cw of W=21: [27 28 42 45 62 65 66 67 69 87 95 96 112 117 118 130 131 133 145 146 156]\n# step=1 row=3 minW=21 found cw of W=19: [3 4 9 16 28 41 58 77 102 119 122 123 124 125 127 130 142 145 147]\n# step=1 row=46 minW=19 found cw of W=17: [55 56 68 69 88 109 119 120 121 124 130 140 142 144 145 154 157]\n# step=4 row=12 minW=17 found cw of W=15: [5 6 9 16 28 41 58 77 102 119 122 139 150 161 164]\n# round=1000 of 10000 minW=15\n# round=2000 of 10000 minW=15\n# round=3000 of 10000 minW=15\n# round=4000 of 10000 minW=15\n# round=5000 of 10000 minW=15\n# round=6000 of 10000 minW=15\n# round=7000 of 10000 minW=15\n# round=8000 of 10000 minW=15\n# round=9000 of 10000 minW=15\n# round=10000 of 10000 minW=15\nRW algorithm upper bound for the distance d=15\n</t>
  </si>
  <si>
    <t>method: CLISATDist</t>
  </si>
  <si>
    <t>resume: 1</t>
  </si>
  <si>
    <t>iterCount: 1000</t>
  </si>
  <si>
    <t>CCstart: 1</t>
  </si>
  <si>
    <t>method: ColourCodeDistStim</t>
  </si>
  <si>
    <t>outfile: /home/ucapmwe/dist-benchmark/results/stim_circuit-04_colorcodes_superdense-ColourCodeDistStim-20260105_135844.934735_85062422.txt</t>
  </si>
  <si>
    <t>dont_explore_detection_event_sets_with_size_above=3,dont_explore_edges_with_degree_above=18; Found w:3</t>
  </si>
  <si>
    <t>dont_explore_detection_event_sets_with_size_above=3,dont_explore_edges_with_degree_above=90; Found w:5</t>
  </si>
  <si>
    <t>dont_explore_detection_event_sets_with_size_above=3,dont_explore_edges_with_degree_above=252; Found w:7</t>
  </si>
  <si>
    <t>dont_explore_detection_event_sets_with_size_above=3,dont_explore_edges_with_degree_above=540; Found w:9</t>
  </si>
  <si>
    <t>dont_explore_detection_event_sets_with_size_above=3,dont_explore_edges_with_degree_above=990; Found w:11</t>
  </si>
  <si>
    <t>dont_explore_detection_event_sets_with_size_above=3,dont_explore_edges_with_degree_above=84; Found w:15</t>
  </si>
  <si>
    <t>method: decoderDist</t>
  </si>
  <si>
    <t>decoder: bposd</t>
  </si>
  <si>
    <t>bp_method: product_sum</t>
  </si>
  <si>
    <t>bp_schedule: parallel</t>
  </si>
  <si>
    <t>osd_method: OSD_CS</t>
  </si>
  <si>
    <t>Trial:0 w:15; pErr:0.0000, weight 15 CW found:1</t>
  </si>
  <si>
    <t>bp_max_iter: 100</t>
  </si>
  <si>
    <t>osd_order: 1</t>
  </si>
  <si>
    <t># wmax=99 found cw of weight 3: [0 1 20]\n3\n</t>
  </si>
  <si>
    <t># wmax=99 found cw of weight 5: [0 1 18 51 78]\n5\n</t>
  </si>
  <si>
    <t># wmax=99 found cw of weight 7: [0 1 18 52 105 145 172]\n7\n</t>
  </si>
  <si>
    <t># wmax=99 found cw of weight 15: [0 1 7 14 26 39 57 76 100 118 135 147 158 164 168]\n15\n</t>
  </si>
  <si>
    <t>method: GraphLikeErrorStim</t>
  </si>
  <si>
    <t>outfile: /home/ucapmwe/dist-benchmark/results/stim_circuit-04_colorcodes_superdense-GraphLikeErrorStim-20260105_135844.959025_85062422.txt</t>
  </si>
  <si>
    <t>dont_explore_detection_event_sets_with_size_above=2,dont_explore_edges_with_degree_above=2; Found w:3</t>
  </si>
  <si>
    <t>dont_explore_detection_event_sets_with_size_above=2,dont_explore_edges_with_degree_above=2; Found w:5</t>
  </si>
  <si>
    <t>dont_explore_detection_event_sets_with_size_above=2,dont_explore_edges_with_degree_above=2; Found w:7</t>
  </si>
  <si>
    <t>dont_explore_detection_event_sets_with_size_above=2,dont_explore_edges_with_degree_above=2; Found w:9</t>
  </si>
  <si>
    <t>dont_explore_detection_event_sets_with_size_above=2,dont_explore_edges_with_degree_above=2; Found w:11</t>
  </si>
  <si>
    <t>dont_explore_detection_event_sets_with_size_above=2,dont_explore_edges_with_degree_above=2; Found w:15</t>
  </si>
  <si>
    <t>method: GurobiDist</t>
  </si>
  <si>
    <t>method: MIPDist</t>
  </si>
  <si>
    <t>MIP_solver: SCIP</t>
  </si>
  <si>
    <t>w:3; T:154ms; iterations:765</t>
  </si>
  <si>
    <t>method: QDistEvol</t>
  </si>
  <si>
    <t>method: QDistRndMW</t>
  </si>
  <si>
    <t>method: UndetectableErrorStim</t>
  </si>
  <si>
    <t>outfile: /home/ucapmwe/dist-benchmark/results/stim_circuit-04_colorcodes_superdense-UndetectableErrorStim-20251224_093902.742345_85062422.txt</t>
  </si>
  <si>
    <t>dont_explore_detection_event_sets_with_size_above=2,dont_explore_edges_with_degree_above=18; Found w:3; dont_explore_detection_event_sets_with_size_above=3,dont_explore_edges_with_degree_above=18; Found w:3; Breaking - same result 2 times</t>
  </si>
  <si>
    <t>dont_explore_detection_event_sets_with_size_above=2,dont_explore_edges_with_degree_above=90; Found w:5; dont_explore_detection_event_sets_with_size_above=3,dont_explore_edges_with_degree_above=90; Found w:5; Breaking - same result 2 times</t>
  </si>
  <si>
    <t>dont_explore_detection_event_sets_with_size_above=2,dont_explore_edges_with_degree_above=252; Found w:7; dont_explore_detection_event_sets_with_size_above=3,dont_explore_edges_with_degree_above=252; Found w:7; Breaking - same result 2 times</t>
  </si>
  <si>
    <t>dont_explore_detection_event_sets_with_size_above=2,dont_explore_edges_with_degree_above=540; Found w:9; dont_explore_detection_event_sets_with_size_above=3,dont_explore_edges_with_degree_above=540; Found w:9; Breaking - same result 2 times</t>
  </si>
  <si>
    <t>dont_explore_detection_event_sets_with_size_above=2,dont_explore_edges_with_degree_above=990; Found w:11; dont_explore_detection_event_sets_with_size_above=3,dont_explore_edges_with_degree_above=990; Found w:11; Breaking - same result 2 times</t>
  </si>
  <si>
    <t>dont_explore_detection_event_sets_with_size_above=2,dont_explore_edges_with_degree_above=84; Found w:15; dont_explore_detection_event_sets_with_size_above=3,dont_explore_edges_with_degree_above=84; Found w:15; Breaking - same result 2 times</t>
  </si>
  <si>
    <t>repeat: 1</t>
  </si>
  <si>
    <t>nMin: 1</t>
  </si>
  <si>
    <t>nMax: 100000</t>
  </si>
  <si>
    <t>genCount: 100</t>
  </si>
  <si>
    <t>pMut: 2.0</t>
  </si>
  <si>
    <t>sMut: 1.0</t>
  </si>
  <si>
    <t>Exact Method Check</t>
  </si>
  <si>
    <t>outfile: /home/ucapmwe/dist-benchmark/results/stim_circuit-04_colorcodes_superdense-CLISATDist-20260116_091621.164308_85062422.txt</t>
  </si>
  <si>
    <t>c Parsing MaxSAT file...\nc ============================[  Problem Statistics ]============================\nc |  Number of variables:           212                                         |\nc |  Number of clauses:             594                                         |\nc ===============================================================================\nc Using SCIP solver, version 7.0.3, https://www.scipopt.org\nc scip_time = 0.000000\nc Starting SCIP solver in a separate thread (with time-limit = 0s) ...\nc Using COMiniSatPS SAT solver by Chanseok Oh (2016)\no 9\no 8\no 3\nc _x001B_[1mOptimal solution: 3_x001B_[0m\nc _______________________________________________________________________________\nc \nc restarts               : 328\nc conflicts              : 2817           (46072 /sec)\nc decisions              : 8525           (0.00 % random) (139427 /sec)\nc propagations           : 86762          (1419001 /sec)\nc conflict literals      : 61194          (5.06 % deleted)\nc =======================[ UWrMaxSat resources usage ]===========================\nc Memory used            : 151.00 MB\nc CPU time               : 0.061143 s\nc Wall clock time        : 0 s\nc OptExp Enc: Srt/BDD/Add: 6 0 0\nc _______________________________________________________________________________\nv 000110000000000000000000000001000000000000000000000000000000000000000000001001010101000000000000101000000001010001010100010001000001000000000000000000000001000001000010000000000101000000000000000000100101000000000000000000101\ns OPTIMUM FOUND\n</t>
  </si>
  <si>
    <t>c Parsing MaxSAT file...\nc ============================[  Problem Statistics ]============================\nc |  Number of variables:          1619                                         |\nc |  Number of clauses:            4702                                         |\nc ===============================================================================\nc Using SCIP solver, version 7.0.3, https://www.scipopt.org\nc scip_time = 0.000000\nc Starting SCIP solver in a separate thread (with time-limit = 0s) ...\nc Using COMiniSatPS SAT solver by Chanseok Oh (2016)\no 9\no 8\no 5\nc _x001B_[1mOptimal solution: 5_x001B_[0m\nc _______________________________________________________________________________\nc \nc restarts               : 763\nc conflicts              : 89932          (6418 /sec)\nc decisions              : 235930         (0.00 % random) (16837 /sec)\nc propagations           : 37613306       (2684315 /sec)\nc conflict literals      : 4455104        (34.74 % deleted)\nc =======================[ UWrMaxSat resources usage ]===========================\nc Memory used            : 157.00 MB\nc CPU time               : 14.0123 s\nc Wall clock time        : 14 s\nc OptExp Enc: Srt/BDD/Add: 15 0 0\nc _______________________________________________________________________________\nv 0000000000000000000000000000000000000000000000000000000000000000000000000000000000000000000000000000000000000000000000000000000000000000000000001000100011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101000100000000011001101000000000000110110010000101100100011011000101000001010001000000010100101011001001101010000000000010000010000000100010000010000000000000000000000000000001000000001000000000000010010000000000000000000000000000000000000000000000000000000000000100000000100000000000000000000000000000000000000000000000000001000001000000010100000000000001000000000000000010000010000000100010000010000000000000000000000000000001000000001000000000000010010000000000000000000000000000000000000000000000000000000000000100000000100000000000000000000000000000000000000000000000000001000001000010000000000101000000000000000000010010100000000000000000000000000000000000000000000100001000001000000000000000000000001000000000000000000000000000000000000000000000000000000000000000000000100000001000000000000000001001000000000000000000000000000101\ns OPTIMUM FOUND\n</t>
  </si>
  <si>
    <t>c Parsing MaxSAT file...\nc ============================[  Problem Statistics ]============================\nc |  Number of variables:          5141                                         |\nc |  Number of clauses:           15122                                         |\nc ===============================================================================\nc Using SCIP solver, version 7.0.3, https://www.scipopt.org\nc scip_time = 0.000000\nc Starting SCIP solver in a separate thread (with time-limit = 0s) ...\nc Using COMiniSatPS SAT solver by Chanseok Oh (2016)\no 25\no 15\no 7\nc _x001B_[1mOptimal solution: 7_x001B_[0m\nc _______________________________________________________________________________\nc \nc restarts               : 77617\nc conflicts              : 23988164       (1093 /sec)\nc decisions              : 36851819       (0.00 % random) (1679 /sec)\nc propagations           : 34434309775    (1569025 /sec)\nc conflict literals      : 1557053923     (51.29 % deleted)\nc =======================[ UWrMaxSat resources usage ]===========================\nc Memory used            : 3458.00 MB\nc CPU time               : 21946.3 s\nc Wall clock time        : 22018 s\nc OptExp Enc: Srt/BDD/Add: 28 0 0\nc _______________________________________________________________________________\nv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10000000000000000000000000000000000000000000000000000000000000001001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100001001000000000000000000000000000000000000000000000000000000000000000000000000000000000000100000000000000000000000100100000000000000000000000000000000000000000000000000000000000000000000000000000000000000000000000000000000000000000000000000000000000000010010100000000001000010010000000000000000000000000000000000000000000000000000000000000000000000000000000000000000000000000000000000000000000000000001001000010000000000000000000000000010010000000000000000000000000000000000010000000000000000000000000000000000100100100100100100010001101000001001000000000000000000000100000001010000000000010101000000000000000000000000000100000000000000000000000000001001000000000000000000000000000000000010000000000000000001010110100000000000000000000000000000000000000000000000000000000000000000000000000000000000000000000001001000000000100000001000010010000000000000000000000000000000000000000000000000000000000000000000000000000000000000000000010010000100000000000000000000000000000010010000000000000000000000000000000000000000000000000001000000000000000100100100100100100010010001100000100000000000000000000000000000000000000000000000000000000000000000000000000000000000000000000000000000000001100100000101000000000000000000100000100000000100100000000000000000000000000000000000000000000000000000000000001000000000000000001001000000000000000000000000000000000000000000000000000000000000000010010000000000000010111000001000000000000000000100100100000000000000000000000000000000000000000000000000000000000000000000100100000000000000000000000000000000000000000000000000000000000000000000000000000000000000010100100000000100000000000000000000000000000000000000000000000000000000000000000000000000000000000000000000000000000000000000000000000000000000000000000010000000010000000000000100100000000000000000000000000000000000000000000000000000000000000000000000000000000000000100000000100000000000000000000000000000000000000000000000000001000001000010000000000101000000000000000000010010100000000000000000000000000000000000000000000100001000001000000000000000000000001000000000000000000000000000000000000000000000000000000000000000000000000000000000000001000000010000000000000000001001000000000000000000000000000000000000000000000000000000000000000000000000000000000000000000000000000000000000000000000000000000000000000000000000000000000000010000100000100000000000000000000000100000000000000000000000000000000000000000000000000000000000000000000000000100000001000000000000000001001000000000000000000000000000101\ns OPTIMUM FOUND\n</t>
  </si>
  <si>
    <t>c Parsing MaxSAT file...\nc ============================[  Problem Statistics ]============================\nc |  Number of variables:         11790                                         |\nc |  Number of clauses:           34902                                         |\nc ===============================================================================\nc Using SCIP solver, version 7.0.3, https://www.scipopt.org\nc scip_time = 0.000000\nc Starting SCIP solver in a separate thread (with time-limit = 0s) ...\nc Using COMiniSatPS SAT solver by Chanseok Oh (2016)\no 23\no 14\no 11\n</t>
  </si>
  <si>
    <t>c Parsing MaxSAT file...\nc ============================[  Problem Statistics ]============================\nc |  Number of variables:         22556                                         |\nc |  Number of clauses:           67030                                         |\nc ===============================================================================\nc Using SCIP solver, version 7.0.3, https://www.scipopt.org\nc scip_time = 0.000000\nc Starting SCIP solver in a separate thread (with time-limit = 0s) ...\nc Using COMiniSatPS SAT solver by Chanseok Oh (2016)\no 37\no 17\n</t>
  </si>
  <si>
    <t>c Parsing MaxSAT file...\nc ============================[  Problem Statistics ]============================\nc |  Number of variables:           476                                         |\nc |  Number of clauses:            1398                                         |\nc ===============================================================================\nc Using SCIP solver, version 7.0.3, https://www.scipopt.org\nc scip_time = 0.000000\nc Starting SCIP solver in a separate thread (with time-limit = 0s) ...\nc Using COMiniSatPS SAT solver by Chanseok Oh (2016)\no 15\nc _x001B_[1mOptimal solution: 15_x001B_[0m\nc _______________________________________________________________________________\nc \nc restarts               : 4384\nc conflicts              : 533666         (6576 /sec)\nc decisions              : 747570         (0.00 % random) (9212 /sec)\nc propagations           : 98187213       (1209910 /sec)\nc conflict literals      : 13877375       (34.03 % deleted)\nc =======================[ UWrMaxSat resources usage ]===========================\nc Memory used            : 152.00 MB\nc CPU time               : 81.1525 s\nc Wall clock time        : 82 s\nc OptExp Enc: Srt/BDD/Add: 112 0 0\nc _______________________________________________________________________________\nv 001100001000000100000000000100000000000010000000000000000010000000000000000001000000000000000000000001000000000000000001000000000000000010000000000010000000000100000100100110001001010011000000000010010000100000000000000001010011000000000000000000000000010010000100000000000000000000000000000001010011000000000000000000000000000000000000000010010000100000000000000000000000000000000000000000000010100110000000000000000000000000000000000000001001000010000000000000000000000000000001010011000000000000000000000000100100001000000000000000101001100000000010010000101\ns OPTIMUM FOUND\n</t>
  </si>
  <si>
    <t>outfile: /home/ucapmwe/dist-benchmark/results/stim_circuit-04_colorcodes_superdense-decoderDist-bposd-20260116_110445.618023_85062422.txt</t>
  </si>
  <si>
    <t>Trial:0 w:3; pErr:0.0000, weight 3 CW found:140</t>
  </si>
  <si>
    <t>Trial:0 w:5; pErr:0.0965, weight 5 CW found:4277</t>
  </si>
  <si>
    <t>Trial:0 w:7; pErr:0.3403, weight 7 CW found:9276</t>
  </si>
  <si>
    <t>Trial:0 w:9; pErr:0.3657, weight 9 CW found:9941</t>
  </si>
  <si>
    <t>Trial:0 w:11; pErr:0.3675, weight 11 CW found:9991</t>
  </si>
  <si>
    <t>outfile: /home/ucapmwe/dist-benchmark/results/stim_circuit-04_colorcodes_superdense-dist_m4ri_RW-20260116_091621.498660_85062422.txt</t>
  </si>
  <si>
    <t># step=0 row=0 minW=71 found cw of W=7: [1 4 16 28 42 61 64]\n# step=0 row=3 minW=7 found cw of W=5: [4 5 32 42 59]\n# step=0 row=7 minW=5 found cw of W=3: [9 16 42]\n# round=1000 of 10000 minW=3\n# round=2000 of 10000 minW=3\n# round=3000 of 10000 minW=3\n# round=4000 of 10000 minW=3\n# round=5000 of 10000 minW=3\n# round=6000 of 10000 minW=3\n# round=7000 of 10000 minW=3\n# round=8000 of 10000 minW=3\n# round=9000 of 10000 minW=3\n# round=10000 of 10000 minW=3\nRW algorithm upper bound for the distance d=3\n</t>
  </si>
  <si>
    <t># step=0 row=0 minW=472 found cw of W=5: [1 8 12 38 92]\n#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</si>
  <si>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 step=0 row=6 minW=1434 found cw of W=25: [2 8 9 33 59 72 134 237 297 390 394 402 445 458 467 485 488 542 546 614 616 670 678 734 775]\n# step=0 row=9 minW=25 found cw of W=23: [12 13 33 59 72 134 214 297 390 394 402 428 445 467 489 542 546 601 608 614 616 734 775]\n# step=0 row=15 minW=23 found cw of W=20: [19 20 59 72 134 297 390 394 402 445 467 489 542 546 601 608 614 616 734 775]\n# step=0 row=38 minW=20 found cw of W=13: [46 48 95 246 314 430 519 524 614 634 734 775 848]\n# step=0 row=87 minW=13 found cw of W=10: [75 78 84 95 103 142 246 430 634 848]\n# step=0 row=121 minW=10 found cw of W=8: [75 78 134 139 246 430 634 848]\n# step=1 row=345 minW=8 found cw of W=7: [384 387 389 454 498 717 774]\n# round=1000 of 10000 minW=7\n# round=2000 of 10000 minW=7\n# round=3000 of 10000 minW=7\n# round=4000 of 10000 minW=7\n# round=5000 of 10000 minW=7\n# round=6000 of 10000 minW=7\n# round=7000 of 10000 minW=7\n# round=8000 of 10000 minW=7\n# round=9000 of 10000 minW=7\n# round=10000 of 10000 minW=7\nRW algorithm upper bound for the distance d=7\n</t>
  </si>
  <si>
    <t># step=0 row=90 minW=3216 found cw of W=29: [33 35 64 104 105 136 141 325 379 423 486 524 576 744 775 779 794 821 831 839 885 893 899 900 1036 1053 1069 1123 1248]\n# step=0 row=111 minW=29 found cw of W=27: [118 129 136 200 326 423 428 436 524 525 561 576 577 578 634 720 752 772 775 794 893 899 1036 1040 1248 1256 1262]\n# step=0 row=118 minW=27 found cw of W=25: [132 138 200 423 428 436 524 525 561 576 577 578 634 720 752 772 775 794 893 899 1036 1040 1248 1256 1262]\n# step=0 row=120 minW=25 found cw of W=24: [140 141 423 428 436 524 525 561 576 577 578 634 720 752 772 775 794 893 899 1036 1040 1248 1256 1262]\n# step=0 row=124 minW=24 found cw of W=19: [84 86 104 132 145 200 206 212 273 325 326 423 428 752 772 775 794 1036 1040]\n# step=0 row=404 minW=19 found cw of W=16: [132 141 200 326 454 486 775 794 831 839 899 900 1069 1191 1256 1262]\n# step=0 row=638 minW=16 found cw of W=15: [524 525 576 577 630 634 709 893 899 919 1248 1256 1262 1282 1633]\n# step=0 row=831 minW=15 found cw of W=14: [524 525 576 577 630 634 893 899 924 1248 1256 1262 1282 1633]\n# step=0 row=1373 minW=14 found cw of W=13: [630 634 963 969 976 978 1282 1341 1423 1517 1519 1844 2129]\n# step=1 row=386 minW=13 found cw of W=11: [88 89 103 105 351 420 421 442 465 522 590]\n# step=5 row=1952 minW=11 found cw of W=9: [1624 1627 1980 2149 2289 2300 2313 2333 2372]\n# round=1000 of 10000 minW=9\n# round=2000 of 10000 minW=9\n# round=3000 of 10000 minW=9\n# round=4000 of 10000 minW=9\n# round=5000 of 10000 minW=9\n# round=6000 of 10000 minW=9\n# round=7000 of 10000 minW=9\n# round=8000 of 10000 minW=9\n# round=9000 of 10000 minW=9\n# round=10000 of 10000 minW=9\nRW algorithm upper bound for the distance d=9\n</t>
  </si>
  <si>
    <t># step=0 row=3 minW=6070 found cw of W=30: [5 8 23 28 572 1059 1140 1178 1234 1237 1240 1323 1386 1392 1465 1477 1598 1699 1786 1945 2027 2028 2029 2051 2089 2125 2127 2223 2239 2588]\n# step=0 row=30 minW=30 found cw of W=28: [37 42 572 1059 1140 1178 1234 1237 1240 1323 1386 1392 1465 1477 1598 1699 1786 1945 2027 2028 2029 2051 2089 2125 2127 2223 2239 2588]\n# step=0 row=63 minW=28 found cw of W=24: [73 75 121 197 265 268 601 905 1150 1187 1465 1598 1699 1733 2027 2028 2029 2051 2089 2125 2127 2223 2239 2588]\n# step=0 row=71 minW=24 found cw of W=21: [30 42 52 83 89 100 166 503 638 653 731 778 789 808 1083 1187 1290 1445 1598 1699 1733]\n# step=0 row=2888 minW=21 found cw of W=19: [3032 3040 3118 3129 3166 3171 3318 3322 3354 3603 3652 3662 3745 3812 3814 3826 3827 4268 4269]\n# step=0 row=2893 minW=19 found cw of W=18: [2772 3032 3040 3099 3118 3129 3166 3176 3318 3322 3603 3652 3812 3814 3826 3827 4268 4269]\n# step=0 row=3033 minW=18 found cw of W=15: [3032 3040 3118 3129 3318 3322 3331 3603 3652 3812 3814 3826 3827 4268 4269]\n# step=1 row=552 minW=15 found cw of W=14: [497 621 623 741 1099 1144 1297 1387 1469 1542 1580 1583 1697 1720]\n# step=1 row=1061 minW=14 found cw of W=13: [1170 1171 1186 1187 1660 1789 1865 1947 2088 2231 2683 2705 2797]\n# step=1 row=5065 minW=13 found cw of W=12: [4668 4673 4885 4888 5008 5032 5035 5150 5548 5554 5561 5610]\n# step=1 row=5066 minW=12 found cw of W=11: [4668 4673 4885 4888 5008 5032 5035 5151 5548 5555 5561]\n# round=1000 of 10000 minW=11\n# round=2000 of 10000 minW=11\n# round=3000 of 10000 minW=11\n# round=4000 of 10000 minW=11\n# round=5000 of 10000 minW=11\n# round=6000 of 10000 minW=11\n# round=7000 of 10000 minW=11\n# round=8000 of 10000 minW=11\n# round=9000 of 10000 minW=11\n# round=10000 of 10000 minW=11\nRW algorithm upper bound for the distance d=11\n</t>
  </si>
  <si>
    <t># step=0 row=12 minW=170 found cw of W=19: [1 3 5 7 9 15 27 41 43 57 59 78 80 104 121 138 141 154 157]\n# step=0 row=13 minW=19 found cw of W=17: [1 3 5 7 9 15 28 41 59 77 80 104 121 138 141 154 157]\n# step=0 row=79 minW=17 found cw of W=15: [96 97 98 118 133 134 146 147 154 155 156 159 160 161 162]\n# round=1000 of 10000 minW=15\n# round=2000 of 10000 minW=15\n# round=3000 of 10000 minW=15\n# round=4000 of 10000 minW=15\n# round=5000 of 10000 minW=15\n# round=6000 of 10000 minW=15\n# round=7000 of 10000 minW=15\n# round=8000 of 10000 minW=15\n# round=9000 of 10000 minW=15\n# round=10000 of 10000 minW=15\nRW algorithm upper bound for the distance d=15\n</t>
  </si>
  <si>
    <t>outfile: /home/ucapmwe/dist-benchmark/results/stim_circuit-04_colorcodes_superdense-GurobiDist-20260116_091621.201494_85062422.txt</t>
  </si>
  <si>
    <t>outfile: /home/ucapmwe/dist-benchmark/results/stim_circuit-04_colorcodes_superdense-MIPDist-SCIP-20260116_091621.201465_85062422.txt</t>
  </si>
  <si>
    <t>w:5; T:14229ms; iterations:46243</t>
  </si>
  <si>
    <t>w:7; T:9720887ms; iterations:26852439</t>
  </si>
  <si>
    <t>w:9; T:28800076ms; iterations:22687720</t>
  </si>
  <si>
    <t>w:11; T:28800100ms; iterations:10113113</t>
  </si>
  <si>
    <t>w:15; T:645225ms; iterations:3261972</t>
  </si>
  <si>
    <t>outfile: /home/ucapmwe/dist-benchmark/results/stim_circuit-04_colorcodes_superdense-QDistEvol-20260116_091620.096776_85062422.txt</t>
  </si>
  <si>
    <t>Gen:0 Trial:0 w:3; pErr:0.0000, weight 3 CW found:88, wDict:3:10000</t>
  </si>
  <si>
    <t>Gen:0 Trial:0 w:5; pErr:0.0000, weight 5 CW found:1546, wDict:5:9987,6:10,7:2,8:1</t>
  </si>
  <si>
    <t>Gen:0 Trial:0 w:8; Trial:2 w:7; pErr:0.0000, weight 7 CW found:1184, wDict:7:9958,8:27,9:11,10:1,11:2,14:1</t>
  </si>
  <si>
    <t>Gen:0 Trial:0 w:11; Trial:1 w:10; Trial:13 w:9; pErr:0.0000, weight 9 CW found:395, wDict:9:9879,10:63,11:32,12:12,13:8,14:1,15:3,17:1,18:1</t>
  </si>
  <si>
    <t>Gen:0 Trial:0 w:18; Trial:3 w:14; Trial:4 w:11; pErr:0.0000, weight 11 CW found:378, wDict:11:9696,12:164,13:49,14:20,15:23,16:13,17:11,18:9,19:9,20:3,21:1,22:1,25:1</t>
  </si>
  <si>
    <t>Gen:0 Trial:0 w:17; Trial:1 w:15; pErr:0.0000, weight 15 CW found:1212, wDict:15:9867,17:94,19:25,21:9,23:2,25:3</t>
  </si>
  <si>
    <t>outfile: /home/ucapmwe/dist-benchmark/results/stim_circuit-04_colorcodes_superdense-QDistRndMW-20260116_091621.158246_85062422.txt</t>
  </si>
  <si>
    <t>Trial:0 w:3; pErr:0.0000, weight 3 CW found:262, wDict:3:9953,4:47</t>
  </si>
  <si>
    <t>Trial:0 w:5; pErr:0.0832, weight 5 CW found:29213, wDict:5:9211,6:703,7:71,8:12,9:3</t>
  </si>
  <si>
    <t>Trial:0 w:9; Trial:1 w:7; pErr:0.3663, weight 7 CW found:43328, wDict:7:6274,8:2435,9:915,10:266,11:75,12:24,13:4,14:6,16:1</t>
  </si>
  <si>
    <t>Trial:0 w:10; Trial:3 w:9; pErr:0.3679, weight 9 CW found:31516, wDict:9:2643,10:2654,11:2210,12:1279,13:659,14:308,15:118,16:77,17:30,18:8,19:8,20:4,21:1,22:1</t>
  </si>
  <si>
    <t>Trial:0 w:16; Trial:1 w:14; Trial:5 w:11; pErr:0.3679, weight 11 CW found:25938, wDict:11:761,12:1342,13:1730,14:1742,15:1482,16:1062,17:734,18:469,19:278,20:156,21:109,22:51,23:25,24:22,25:18,26:9,27:3,28:3,29:4</t>
  </si>
  <si>
    <t>Trial:0 w:21; Trial:1 w:15; pErr:0.3390, weight 15 CW found:20521, wDict:15:3268,17:3614,19:1967,21:795,23:253,25:65,27:21,29:13,31:4</t>
  </si>
  <si>
    <t>method: magmaMinWeight</t>
  </si>
  <si>
    <t>nMax: 73</t>
  </si>
  <si>
    <t>outfile: /Users/markwebster/Dropbox/QuantumComputing/dev/codeDistance/results/stim_circuit-04_colorcodes_superdense-magmaMinWeight-20260117_175653.365990_85062422.txt</t>
  </si>
  <si>
    <t>Magma V2.28-26    Sat Jan 17 2026 17:56:53 on Marks-MacBook-Air-2 [Seed = \n3991881919]\nType ? for help.  Type &lt;Ctrl&gt;-D to quit.\n[[70, 1]] quantum code over GF(2^2), stabilised by:\nQuantum GF(2)-Additive code over GF(4) of length 70 with 71 generators.\nLower Bound: 1, Upper Bound: 36\nConstructed 2 distinct generator matrices\nTotal Ranks:     58  58 \nRelative Ranks:  58  12 \n(4 4 4 4 4 2 4 4 2 2 2 2 2 2 2 2 2 2 2 2 2 4 4 2 4 2 2 2 2 2 2 2 2 2 2 2 4 2 4 4\n2 2 2 2 2 2 2 2 2 2 2 2 2 2 2 2 2 2 )\n(4 4 4 4 4 4 4 4 4 4 4 4 2 4 2 2 2 2 2 2 2 2 2 2 2 2 2 2 2 2 2 2 2 2 2 2 2 2 2 2\n2 2 2 2 2 2 2 2 2 2 2 2 2 2 2 2 2 2 )\n     Discarding non-contributing rank 12 matrix\n     New Total Ranks:     58 \n     New Relative Ranks:  58 \nTime Taken: 0.02\nStarting search for low weight codewords... (reset timings)\nEnumerating using 1 generator at a time:\n     Impurity detected of weight 33, time 0.00\n     Impurity detected of weight 4, time 0.00\n     New codeword identified of weight 28, time 0.00\n     New codeword identified of weight 5, time 0.00\n     New codeword identified of weight 3, time 0.00\n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0.009\n3\n\nTotal time: 0.030 seconds, Total memory usage: 32.09MB\n</t>
  </si>
  <si>
    <t>Magma V2.28-26    Sat Jan 17 2026 17:56:53 on Marks-MacBook-Air-2 [Seed = \n3604247428]\nType ? for help.  Type &lt;Ctrl&gt;-D to quit.\n[[471, 1]] quantum code over GF(2^2), stabilised by:\nQuantum GF(2)-Additive code over GF(4) of length 471 with 472 generators.\nLower Bound: 1, Upper Bound: 236\nConstructed 2 distinct generator matrices\nTotal Ranks:    417 417 \nRelative Ranks: 417  54 \n(4 4 4 4 4 4 4 4 4 4 4 4 4 4 4 4 4 4 4 4 4 4 4 4 4 4 4 4 4 4 4 4 4 4 4 4 4 4 4 4\n4 2 4 2 2 2 2 2 2 4 2 4 4 4 2 4 2 4 2 2 4 2 2 2 2 2 2 2 2 2 2 2 4 2 2 2 2 4 2 2 \n2 2 2 2 2 2 2 4 2 2 2 2 2 2 2 2 2 4 2 2 2 2 2 2 2 2 2 2 4 2 2 2 2 2 2 4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2 )\n(4 4 4 4 4 4 4 4 4 4 4 4 4 4 4 4 4 4 4 4 4 4 4 4 4 4 4 4 4 4 4 4 4 4 4 4 4 4 4 4\n4 4 4 4 4 4 4 4 4 4 4 4 4 4 2 2 4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2 )\n     Discarding non-contributing rank 54 matrix\n     New Total Ranks:    417 \n     New Relative Ranks: 417 \nTime Taken: 0.97\nStarting search for low weight codewords... (reset timings)\nEnumerating using 1 generator at a time:\n     New codeword identified of weight 180, time 0.00\n     Impurity detected of weight 16, time 0.00\n     New codeword identified of weight 138, time 0.00\n     Impurity detected of weight 12, time 0.00\n     New codeword identified of weight 10, time 0.00\n     Impurity detected of weight 8, time 0.00\n     New codeword identified of weight 9, time 0.00\n     Impurity detected of weight 5, time 0.00\n     Impurity detected of weight 4, time 0.00\n     New codeword identified of weight 8, time 0.00\n     Impurity detected of weight 2, time 0.00\n     New codeword identified of weight 7, time 0.00\n     New codeword identified of weight 6, time 0.00\n   Completed Matrix  1:  lower =  2, upper =  6. Elapsed: 0.00s\nTermination predicted with 5 generators at matrix 1\nEnumerating using 2 generators at a time:\n     New codeword identified of weight 5, time 0.00\n   Completed Matrix  1:  lower =  3, upper =  5. Elapsed: 0.01s\nTermination predicted with 4 generators at matrix 1\nEnumerating using 3 generators at a time:\n   Completed Matrix  1:  lower =  4, upper =  5. Elapsed: 0.60s\nTermination predicted at 63 s (1m 3s) with 4 generators at matrix 1\nEnumerating using 4 generators at a time:\n   Completed Matrix  1:  lower =  5, upper =  5. Elapsed: 71.70s\nComputation complete \nFinal Results: lower = 5, upper = 5,\nTotal CPU time: 71.70, real time: 73.054\n5\n\nTotal time: 72.959 seconds, Total memory usage: 119.62MB\n</t>
  </si>
  <si>
    <t>Magma V2.28-26    Sat Jan 17 2026 17:58:07 on Marks-MacBook-Air-2 [Seed = \n353874098]\nType ? for help.  Type &lt;Ctrl&gt;-D to quit.\n[[1433, 1]] quantum code over GF(2^2), stabilised by:\nQuantum GF(2)-Additive code over GF(4) of length 1433 with 1434 generators.\nLower Bound: 1, Upper Bound: 717\nConstructed 2 distinct generator matrices\nTotal Ranks:    1289 1289 \nRelative Ranks: 1289 144 \n(4 4 4 4 4 4 4 4 4 4 4 4 4 4 4 4 4 4 4 4 4 4 4 4 4 4 4 4 4 4 4 4 4 4 4 4 4 4 4 4\n4 4 4 4 4 4 4 4 4 4 4 4 2 4 4 4 4 4 4 4 4 4 4 4 4 4 4 4 4 4 4 4 4 4 4 4 4 4 4 4 \n4 4 4 4 4 4 4 4 4 4 4 4 4 4 4 4 4 4 4 4 4 4 4 4 2 4 4 4 4 4 4 4 4 4 4 4 4 2 4 4 \n4 4 4 4 2 4 2 2 4 4 4 2 2 4 2 2 2 4 2 2 4 4 4 2 2 4 2 4 4 2 4 2 2 2 2 4 2 2 4 2 \n2 2 2 2 2 2 2 2 2 2 2 4 2 2 2 2 4 2 2 4 2 2 2 2 2 2 4 2 2 2 2 2 2 2 2 2 2 2 2 2 \n2 2 2 2 2 2 2 2 2 2 2 2 2 2 2 2 2 2 2 2 2 2 2 2 2 2 2 2 2 4 2 4 2 2 2 2 2 2 2 2 \n2 2 2 2 2 2 2 2 2 2 2 2 2 2 2 2 2 2 4 2 2 2 2 2 2 2 2 2 2 2 2 4 2 2 2 2 2 2 2 2 \n2 2 2 2 2 2 2 2 2 2 2 2 2 2 2 2 2 2 2 2 2 2 2 2 2 2 2 2 2 2 2 2 2 2 2 2 2 2 2 2 \n2 2 2 2 2 2 2 2 2 2 2 2 2 2 2 2 2 2 4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2 )\n     Discarding non-contributing rank 144 matrix\n     New Total Ranks:    1289 \n     New Relative Ranks: 1289 \nTime Taken: 48.80\nStarting search for low weight codewords... (reset timings)\nEnumerating using 1 generator at a time:\n     Impurity detected of weight 26, time 0.00\n     New codeword identified of weight 35, time 0.00\n     New codeword identified of weight 23, time 0.00\n     Impurity detected of weight 17, time 0.00\n     Impurity detected of weight 12, time 0.00\n     New codeword identified of weight 13, time 0.00\n     Impurity detected of weight 3, time 0.00\n     New codeword identified of weight 12, time 0.00\n     Impurity detected of weight 2, time 0.00\n     New codeword identified of weight 11, time 0.00\n     New codeword identified of weight 8, time 0.00\n     New codeword identified of weight 7, time 0.00\n   Completed Matrix  1:  lower =  2, upper =  7. Elapsed: 0.03s\nTermination predicted with 6 generators at matrix 1\nEnumerating using 2 generators at a time:\n   Completed Matrix  1:  lower =  3, upper =  7. Elapsed: 0.62s\nTermination predicted at 10^10 s (152y) with 6 generators at matrix 1\nEnumerating using 3 generators at a time:\n   Completed Matrix  1:  lower =  4, upper =  7. Elapsed: 52.55s\nTermination predicted at 10^9 s (29y 194d 16h 48m 35s) with 6 generators at \nmatrix 1\nEnumerating using 4 generators at a time:\n   Completed Matrix  1:  lower =  5, upper =  7. Elapsed: 23238.08s\nTermination predicted at 10^9 s (40y 215d 10h 10m 24s) with 6 generators at \nmatrix 1\nEnumerating using 5 generators at a time:\n</t>
  </si>
  <si>
    <t>nMax: 288</t>
  </si>
  <si>
    <t>outfile: /home/ucapmwe/dist-benchmark/results/stim_circuit-04_colorcodes_superdense-ColourCodeDistStim-20260120_131503.050405_85062422.txt</t>
  </si>
  <si>
    <t>dont_explore_detection_event_sets_with_size_above=3,dont_explore_edges_with_degree_above=12; Found w:3</t>
  </si>
  <si>
    <t>dont_explore_detection_event_sets_with_size_above=3,dont_explore_edges_with_degree_above=54; Found w:5</t>
  </si>
  <si>
    <t>dont_explore_detection_event_sets_with_size_above=3,dont_explore_edges_with_degree_above=144; Found w:7</t>
  </si>
  <si>
    <t>dont_explore_detection_event_sets_with_size_above=3,dont_explore_edges_with_degree_above=300; Found w:9</t>
  </si>
  <si>
    <t>dont_explore_detection_event_sets_with_size_above=3,dont_explore_edges_with_degree_above=540; Found w:11</t>
  </si>
  <si>
    <t>nMin: 289</t>
  </si>
  <si>
    <t>outfile: /home/ucapmwe/dist-benchmark/results/stim_circuit-04_colorcodes_superdense-GraphLikeErrorStim-20260120_131503.056896_85062422.txt</t>
  </si>
  <si>
    <t>outfile: /home/ucapmwe/dist-benchmark/results/stim_circuit-04_colorcodes_superdense-UndetectableErrorStim-20260120_131503.050395_85062422.txt</t>
  </si>
  <si>
    <t>dont_explore_detection_event_sets_with_size_above=2,dont_explore_edges_with_degree_above=12; Found w:3; dont_explore_detection_event_sets_with_size_above=3,dont_explore_edges_with_degree_above=12; Found w:3; Breaking - same result 2 times</t>
  </si>
  <si>
    <t>dont_explore_detection_event_sets_with_size_above=2,dont_explore_edges_with_degree_above=54; Found w:5; dont_explore_detection_event_sets_with_size_above=3,dont_explore_edges_with_degree_above=54; Found w:5; Breaking - same result 2 times</t>
  </si>
  <si>
    <t>dont_explore_detection_event_sets_with_size_above=2,dont_explore_edges_with_degree_above=144; Found w:7; dont_explore_detection_event_sets_with_size_above=3,dont_explore_edges_with_degree_above=144; Found w:7; Breaking - same result 2 times</t>
  </si>
  <si>
    <t>dont_explore_detection_event_sets_with_size_above=2,dont_explore_edges_with_degree_above=300; Found w:9; dont_explore_detection_event_sets_with_size_above=3,dont_explore_edges_with_degree_above=300; Found w:9; Breaking - same result 2 times</t>
  </si>
  <si>
    <t>dont_explore_detection_event_sets_with_size_above=2,dont_explore_edges_with_degree_above=540; Found w:11; dont_explore_detection_event_sets_with_size_above=3,dont_explore_edges_with_degree_above=540; Found w:11; Breaking - same result 2 times</t>
  </si>
  <si>
    <t>Magma V2.28-26    Tue Jan 20 2026 20:33:13 on Marks-MacBook-Air-2 [Seed = \n2038429347]\nType ? for help.  Type &lt;Ctrl&gt;-D to quit.\n[[3215, 1]] quantum code over GF(2^2), stabilised by:\nQuantum GF(2)-Additive code over GF(4) of length 3215 with 3216 generators.\nLower Bound: 1, Upper Bound: 1608\nConstructed 2 distinct generator matrices\nTotal Ranks:    2915 2915 \nRelative Ranks: 2915 300 \n(4 4 4 4 4 4 4 4 4 4 4 4 4 4 4 4 4 4 4 4 4 4 4 4 4 4 4 4 4 4 4 4 4 4 4 4 4 4 4 4\n4 4 4 4 4 4 4 4 4 4 4 4 4 4 4 4 4 4 4 4 2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2 4 4 4 4 2 4 4 4 2 4 4 4 \n4 4 4 4 4 4 4 4 2 4 2 4 2 4 4 4 2 2 4 4 4 4 2 2 2 4 2 2 2 2 4 4 2 2 4 4 2 4 4 4 \n4 2 2 2 4 4 2 4 4 4 4 2 4 4 4 2 4 2 2 2 2 2 2 2 2 4 2 2 2 4 4 2 2 4 2 2 2 2 2 2 \n2 2 2 4 2 2 2 2 2 2 2 2 2 2 2 2 2 4 2 2 2 2 2 4 2 2 2 2 2 2 2 4 4 2 2 2 2 2 2 2 \n2 2 2 2 2 2 2 2 4 2 2 2 2 2 2 2 2 2 2 2 2 2 2 2 2 2 2 2 2 2 2 2 2 2 4 2 2 2 2 2 \n2 2 4 2 2 2 4 2 4 2 2 2 2 4 2 2 2 2 2 2 2 2 2 2 2 2 2 4 2 2 2 2 2 2 2 4 2 2 2 2 \n2 2 2 2 4 2 2 2 2 2 2 2 2 2 2 2 2 2 2 2 2 2 2 2 2 2 2 2 2 2 4 2 2 2 2 2 2 2 2 2 \n2 2 2 2 2 2 2 2 2 2 2 2 2 2 2 2 2 2 2 2 2 2 2 2 2 2 2 2 2 2 2 2 4 2 2 2 2 2 2 2 \n2 2 2 2 2 2 2 2 2 2 2 2 2 2 2 2 2 2 2 2 2 2 2 2 2 2 2 2 2 2 2 2 2 2 2 2 2 2 2 2 \n2 2 2 2 2 4 2 2 2 2 2 2 2 2 2 2 2 2 2 2 2 2 2 2 2 2 2 2 2 2 2 2 2 2 2 2 2 2 4 2 \n2 2 2 2 2 2 2 2 2 2 2 2 2 2 2 2 2 2 2 2 2 2 2 2 2 2 2 2 2 2 2 2 2 2 2 2 2 2 2 2 \n2 2 2 2 2 4 2 2 2 2 2 2 2 2 2 2 2 2 2 2 4 2 2 2 2 2 2 2 2 2 2 2 2 2 2 2 2 2 2 2 \n2 2 2 2 2 2 2 2 2 2 2 2 2 2 2 2 2 2 2 2 2 2 2 2 2 2 2 4 2 2 2 4 2 2 2 2 2 2 2 2 \n2 2 2 2 2 2 2 2 2 2 2 2 2 2 2 2 2 2 2 2 2 2 2 2 2 2 2 2 2 2 2 2 2 2 2 2 2 2 2 2 \n2 2 2 2 2 2 2 2 4 2 2 2 2 2 2 2 2 2 2 2 2 2 2 2 2 2 2 2 2 2 2 2 2 2 2 2 2 2 2 2 \n2 2 2 2 2 2 2 2 2 2 2 2 2 2 2 2 2 2 2 2 2 2 2 2 2 2 2 2 2 2 2 2 2 2 2 2 2 2 2 4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4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2 4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2 )\n     Discarding non-contributing rank 300 matrix\n     New Total Ranks:    2915 \n     New Relative Ranks: 2915 \nTime Taken: 1576.91\nStarting search for low weight codewords... (reset timings)\nEnumerating using 1 generator at a time:\n     Impurity detected of weight 26, time 0.00\n     New codeword identified of weight 53, time 0.00\n     New codeword identified of weight 52, time 0.00\n     New codeword identified of weight 43, time 0.00\n     Impurity detected of weight 23, time 0.00\n     Impurity detected of weight 7, time 0.00\n     New codeword identified of weight 33, time 0.00\n     Impurity detected of weight 3, time 0.00\n     New codeword identified of weight 20, time 0.00\n     Impurity detected of weight 2, time 0.01\n     New codeword identified of weight 19, time 0.01\n     New codeword identified of weight 15, time 0.01\n     New codeword identified of weight 13, time 0.01\n     New codeword identified of weight 12, time 0.02\n     New codeword identified of weight 10, time 0.08\n     New codeword identified of weight 9, time 0.11\n   Completed Matrix  1:  lower =  2, upper =  9. Elapsed: 0.21s\nTermination predicted at 10^19 s (10^12y) with 8 generators at matrix 1\nEnumerating using 2 generators at a time:\n   Completed Matrix  1:  lower =  3, upper =  9. Elapsed: 17.75s\nTermination predicted at 10^18 s (10^11y) with 8 generators at matrix 1\nEnumerating using 3 generators at a time:\n   Completed Matrix  1:  lower =  4, upper =  9. Elapsed: 1782.30s\nTermination predicted at 10^17 s (10^10y) with 8 generators at matrix 1\nEnumerating using 4 generators at a time:\n</t>
  </si>
  <si>
    <t>Magma V2.28-26    Wed Jan 21 2026 04:34:01 on Marks-MacBook-Air-2 [Seed = \n2575345499]\nType ? for help.  Type &lt;Ctrl&gt;-D to quit.\n[[169, 1]] quantum code over GF(2^2), stabilised by:\nQuantum GF(2)-Additive code over GF(4) of length 169 with 170 generators.\nLower Bound: 1, Upper Bound: 85\nConstructed 2 distinct generator matrices\nTotal Ranks:     85  85 \nRelative Ranks:  85  84 \n(4 4 4 4 4 4 4 4 4 4 4 4 4 4 4 4 4 4 4 4 4 4 4 4 4 4 4 4 4 4 4 4 4 4 4 4 4 4 4 4\n4 4 4 4 4 4 4 4 4 4 4 4 4 4 4 4 4 4 4 4 4 4 4 4 4 4 4 4 4 4 4 4 4 4 4 4 4 4 4 4 \n4 4 4 4 4 )\n(4 4 4 4 4 4 4 4 4 4 4 4 4 4 4 4 4 4 4 4 4 4 4 4 4 4 4 4 4 4 4 4 4 4 4 4 4 4 4 4\n4 4 4 4 4 4 4 4 4 4 4 4 4 4 4 4 4 4 4 4 4 4 4 4 4 4 4 4 4 4 4 4 4 4 4 4 4 4 4 4 \n4 4 4 4 4 )\nTime Taken: 0.03\nStarting search for low weight codewords... (reset timings)\nEnumerating using 1 generator at a time:\n     New codeword identified of weight 27, time 0.00\n     New codeword identified of weight 15, time 0.00\n     Impurity detected of weight 14, time 0.00\n     Impurity detected of weight 12, time 0.00\n     Impurity detected of weight 8, time 0.00\n     Impurity detected of weight 6, time 0.00\n     Impurity detected of weight 4, time 0.00\n   Completed Matrix  1:  lower =  2, upper = 15. Elapsed: 0.00s\n   Completed Matrix  2:  lower =  3, upper = 15. Elapsed: 0.00s\nTermination predicted with 7 generators at matrix 2\nEnumerating using 2 generators at a time:\n   Completed Matrix  1:  lower =  4, upper = 15. Elapsed: 0.01s\n   Completed Matrix  2:  lower =  5, upper = 15. Elapsed: 0.01s\nTermination predicted with 7 generators at matrix 2\nEnumerating using 3 generators at a time:\n   Completed Matrix  1:  lower =  6, upper = 15. Elapsed: 0.06s\n   Completed Matrix  2:  lower =  7, upper = 15. Elapsed: 0.09s\nTermination predicted with 7 generators at matrix 2\nEnumerating using 4 generators at a time:\n   Completed Matrix  1:  lower =  8, upper = 15. Elapsed: 1.63s\n   Completed Matrix  2:  lower =  9, upper = 15. Elapsed: 3.19s\nTermination predicted at 212817 s (2d 11h 6m 57s) with 7 generators at matrix 2\nEnumerating using 5 generators at a time:\n   Completed Matrix  1:  lower = 10, upper = 15. Elapsed: 72.01s\n   Completed Matrix  2:  lower = 11, upper = 15. Elapsed: 140.68s\nTermination predicted at 192284 s (2d 5h 24m 44s) with 7 generators at matrix 2\nEnumerating using 6 generators at a time:\n   Completed Matrix  1:  lower = 12, upper = 15. Elapsed: 2867.35s\n   Completed Matrix  2:  lower = 13, upper = 15. Elapsed: 5572.53s\nTermination predicted at 189547 s (2d 4h 39m 7s) with 7 generators at matrix 2\nEnumerating using 7 generators at a time:\n</t>
  </si>
  <si>
    <t>Magma V2.28-26    Wed Jan 21 2026 15:00:31 on Marks-MacBook-Air-2 [Seed = \n3958532210]\nType ? for help.  Type &lt;Ctrl&gt;-D to quit.\n[[6069, 1]] quantum code over GF(2^2), stabilised by:\nQuantum GF(2)-Additive code over GF(4) of length 6069 with 6070 generators.\nLower Bound: 1, Upper Bound: 3035\n</t>
  </si>
  <si>
    <t>dMinSum</t>
  </si>
  <si>
    <t>nMax completed</t>
  </si>
  <si>
    <t>Avg Delta d</t>
  </si>
  <si>
    <t>Exact - Processing Time/Succ Trial</t>
  </si>
  <si>
    <t>Heuristic - Processing Time/Succ Trial</t>
  </si>
  <si>
    <t>Heuristic - Success Rate per Trial</t>
  </si>
  <si>
    <t>Heuristic - Average Delta d</t>
  </si>
  <si>
    <t>Processing Time/Successful Trial</t>
  </si>
  <si>
    <t>Success Rate</t>
  </si>
  <si>
    <t>GF4blockRep: 2</t>
  </si>
  <si>
    <t>regroupPerm: 1</t>
  </si>
  <si>
    <t>sMut: 0.2</t>
  </si>
  <si>
    <t>tabuLength: 0</t>
  </si>
  <si>
    <t>swapPivot: 1</t>
  </si>
  <si>
    <t>swapBlockorder: 0</t>
  </si>
  <si>
    <t>pMut: 6.0</t>
  </si>
  <si>
    <t>outfile: /home/ucapmwe/dist-benchmark/results/stim_circuit-04_colorcodes_superdense-QDistRndMW-20260215_181908.076219_85062422.txt</t>
  </si>
  <si>
    <t>Trial:0 w:3; pErr:0.0000, weight 3 CW found:245, wDict:3:9962,4:38</t>
  </si>
  <si>
    <t>Trial:0 w:5; pErr:0.0833, weight 5 CW found:29213, wDict:5:9194,6:715,7:84,8:5,9:2</t>
  </si>
  <si>
    <t>Trial:0 w:7; pErr:0.3663, weight 7 CW found:43562, wDict:7:6195,8:2482,9:924,10:289,11:72,12:27,13:8,14:2,23:1</t>
  </si>
  <si>
    <t>Trial:0 w:9; pErr:0.3679, weight 9 CW found:31793, wDict:9:2618,10:2659,11:2160,12:1319,13:686,14:300,15:142,16:67,17:25,18:13,19:6,20:3,22:2</t>
  </si>
  <si>
    <t>Trial:0 w:16; Trial:1 w:13; Trial:2 w:12; Trial:10 w:11; pErr:0.3679, weight 11 CW found:25897, wDict:11:785,12:1267,13:1768,14:1701,15:1547,16:1092,17:686,18:484,19:277,20:160,21:96,22:57,23:37,24:19,25:7,26:8,27:3,28:5,29:1</t>
  </si>
  <si>
    <t>Trial:0 w:19; Trial:1 w:17; Trial:10 w:15; pErr:0.3369, weight 15 CW found:20399, wDict:15:3323,17:3617,19:1945,21:753,23:250,25:73,27:28,29:9,31:1,35:1</t>
  </si>
  <si>
    <t>LOCheck: 0</t>
  </si>
  <si>
    <t>pMutScale: 50</t>
  </si>
  <si>
    <t>outfile: /home/ucapmwe/dist-benchmark/results/stim_circuit-04_colorcodes_superdense-QDistEvol-20260220_184925.010600_85062422.txt</t>
  </si>
  <si>
    <t>Gen:0 Trial:0 w:5; pErr:0.0000, weight 5 CW found:19283, wDict:5:9990,6:10</t>
  </si>
  <si>
    <t>Gen:0 Trial:0 w:8; Trial:1 w:7; pErr:0.1225, weight 7 CW found:44058, wDict:7:9193,8:689,9:102,10:9,11:4,12:1,13:2</t>
  </si>
  <si>
    <t>Gen:0 Trial:0 w:9; pErr:0.2760, weight 9 CW found:33481, wDict:9:5865,10:2303,11:1187,12:439,13:131,14:44,15:16,16:9,17:3,18:3</t>
  </si>
  <si>
    <t>Gen:0 Trial:0 w:16; Trial:1 w:11; pErr:0.3313, weight 11 CW found:27756, wDict:11:2881,12:2039,13:1991,14:1316,15:824,16:485,17:232,18:126,19:53,20:31,21:9,22:6,23:5,24:1,28:1</t>
  </si>
  <si>
    <t>Gen:0 Trial:0 w:17; Trial:13 w:15; pErr:0.0000, weight 15 CW found:2736, wDict:15:9701,17:229,19:47,21:19,23:3,25:1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</si>
</sst>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E+00"/>
    <numFmt numFmtId="166" formatCode="0.E+00"/>
  </numFmts>
  <fonts count="8" x14ac:knownFonts="1">
    <font>
      <sz val="12"/>
      <color theme="1"/>
      <name val="Aptos Narrow"/>
      <family val="2"/>
      <scheme val="minor"/>
    </font>
    <font>
      <b/>
      <sz val="16"/>
      <color theme="1"/>
      <name val="Aptos Narrow"/>
      <scheme val="minor"/>
    </font>
    <font>
      <b/>
      <sz val="12"/>
      <color theme="1"/>
      <name val="Aptos Narrow"/>
      <scheme val="minor"/>
    </font>
    <font>
      <b/>
      <sz val="14"/>
      <color theme="1"/>
      <name val="Aptos Narrow"/>
      <scheme val="minor"/>
    </font>
    <font>
      <u/>
      <sz val="12"/>
      <color theme="10"/>
      <name val="Aptos Narrow"/>
      <family val="2"/>
      <scheme val="minor"/>
    </font>
    <font>
      <b/>
      <sz val="12"/>
      <color rgb="FFFF0000"/>
      <name val="Aptos Narrow"/>
      <scheme val="minor"/>
    </font>
    <font>
      <sz val="12"/>
      <color theme="1"/>
      <name val="Aptos Narrow"/>
      <scheme val="minor"/>
    </font>
    <font>
      <b/>
      <sz val="12"/>
      <color indexed="8"/>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11" fontId="0" fillId="0" borderId="0" xfId="0" applyNumberFormat="1"/>
    <xf numFmtId="0" fontId="1" fillId="0" borderId="0" xfId="0" applyFont="1"/>
    <xf numFmtId="0" fontId="2" fillId="0" borderId="0" xfId="0" applyFont="1" applyAlignment="1">
      <alignment horizontal="right"/>
    </xf>
    <xf numFmtId="164" fontId="0" fillId="0" borderId="0" xfId="0" applyNumberFormat="1"/>
    <xf numFmtId="165" fontId="0" fillId="0" borderId="0" xfId="0" applyNumberFormat="1"/>
    <xf numFmtId="0" fontId="2" fillId="0" borderId="0" xfId="0" applyFont="1"/>
    <xf numFmtId="3" fontId="0" fillId="0" borderId="0" xfId="0" applyNumberFormat="1"/>
    <xf numFmtId="0" fontId="3" fillId="0" borderId="0" xfId="0" applyFont="1"/>
    <xf numFmtId="0" fontId="4" fillId="0" borderId="0" xfId="1"/>
    <xf numFmtId="0" fontId="0" fillId="0" borderId="0" xfId="0" applyAlignment="1">
      <alignment wrapText="1"/>
    </xf>
    <xf numFmtId="0" fontId="5" fillId="0" borderId="0" xfId="0" applyFont="1"/>
    <xf numFmtId="1" fontId="6" fillId="0" borderId="0" xfId="0" applyNumberFormat="1" applyFont="1"/>
    <xf numFmtId="0" fontId="6" fillId="0" borderId="0" xfId="0" applyFont="1"/>
    <xf numFmtId="0" fontId="0" fillId="0" borderId="0" xfId="0" quotePrefix="1"/>
    <xf numFmtId="11" fontId="0" fillId="0" borderId="0" xfId="0" quotePrefix="1" applyNumberFormat="1"/>
    <xf numFmtId="3" fontId="2" fillId="0" borderId="0" xfId="0" applyNumberFormat="1" applyFont="1"/>
    <xf numFmtId="165" fontId="2" fillId="0" borderId="0" xfId="0" applyNumberFormat="1" applyFont="1"/>
    <xf numFmtId="0" fontId="0" fillId="0" borderId="0" xfId="0" applyAlignment="1">
      <alignment horizontal="left"/>
    </xf>
    <xf numFmtId="1" fontId="0" fillId="0" borderId="0" xfId="0" applyNumberFormat="1"/>
    <xf numFmtId="166" fontId="0" fillId="0" borderId="0" xfId="0" applyNumberFormat="1"/>
    <xf numFmtId="0" fontId="7" fillId="0" borderId="0" xfId="0"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analysis!$GO$67</c:f>
              <c:strCache>
                <c:ptCount val="1"/>
                <c:pt idx="0">
                  <c:v>Gurobi</c:v>
                </c:pt>
              </c:strCache>
            </c:strRef>
          </c:tx>
          <c:spPr>
            <a:ln w="38100" cap="rnd">
              <a:noFill/>
              <a:round/>
            </a:ln>
            <a:effectLst/>
          </c:spPr>
          <c:marker>
            <c:symbol val="circle"/>
            <c:size val="5"/>
            <c:spPr>
              <a:solidFill>
                <a:schemeClr val="accent1"/>
              </a:solidFill>
              <a:ln w="9525">
                <a:solidFill>
                  <a:schemeClr val="accent1"/>
                </a:solidFill>
              </a:ln>
              <a:effectLst/>
            </c:spPr>
          </c:marker>
          <c:xVal>
            <c:numRef>
              <c:f>analysis!$GN$68:$GN$200</c:f>
              <c:numCache>
                <c:formatCode>General</c:formatCode>
                <c:ptCount val="133"/>
                <c:pt idx="0">
                  <c:v>13</c:v>
                </c:pt>
                <c:pt idx="1">
                  <c:v>37</c:v>
                </c:pt>
                <c:pt idx="2">
                  <c:v>73</c:v>
                </c:pt>
                <c:pt idx="3">
                  <c:v>121</c:v>
                </c:pt>
                <c:pt idx="4">
                  <c:v>181</c:v>
                </c:pt>
                <c:pt idx="5">
                  <c:v>169</c:v>
                </c:pt>
              </c:numCache>
            </c:numRef>
          </c:xVal>
          <c:yVal>
            <c:numRef>
              <c:f>analysis!$GO$68:$GO$200</c:f>
              <c:numCache>
                <c:formatCode>0.0E+00</c:formatCode>
                <c:ptCount val="133"/>
                <c:pt idx="0">
                  <c:v>5.3923953324556302E-2</c:v>
                </c:pt>
                <c:pt idx="1">
                  <c:v>1.7989246211945999</c:v>
                </c:pt>
                <c:pt idx="2">
                  <c:v>1321.8638879842999</c:v>
                </c:pt>
                <c:pt idx="3">
                  <c:v>#N/A</c:v>
                </c:pt>
                <c:pt idx="4">
                  <c:v>#N/A</c:v>
                </c:pt>
                <c:pt idx="5">
                  <c:v>78.551229860633597</c:v>
                </c:pt>
              </c:numCache>
            </c:numRef>
          </c:yVal>
          <c:smooth val="0"/>
          <c:extLst>
            <c:ext xmlns:c16="http://schemas.microsoft.com/office/drawing/2014/chart" uri="{C3380CC4-5D6E-409C-BE32-E72D297353CC}">
              <c16:uniqueId val="{00000000-1AB2-B146-80AE-DDD5F7E0ABCB}"/>
            </c:ext>
          </c:extLst>
        </c:ser>
        <c:ser>
          <c:idx val="1"/>
          <c:order val="1"/>
          <c:tx>
            <c:strRef>
              <c:f>analysis!$GP$67</c:f>
              <c:strCache>
                <c:ptCount val="1"/>
                <c:pt idx="0">
                  <c:v>MIP-SCIP</c:v>
                </c:pt>
              </c:strCache>
            </c:strRef>
          </c:tx>
          <c:spPr>
            <a:ln w="38100" cap="rnd">
              <a:noFill/>
              <a:round/>
            </a:ln>
            <a:effectLst/>
          </c:spPr>
          <c:marker>
            <c:symbol val="plus"/>
            <c:size val="5"/>
            <c:spPr>
              <a:noFill/>
              <a:ln w="9525">
                <a:solidFill>
                  <a:schemeClr val="accent2"/>
                </a:solidFill>
              </a:ln>
              <a:effectLst/>
            </c:spPr>
          </c:marker>
          <c:xVal>
            <c:numRef>
              <c:f>analysis!$GN$68:$GN$200</c:f>
              <c:numCache>
                <c:formatCode>General</c:formatCode>
                <c:ptCount val="133"/>
                <c:pt idx="0">
                  <c:v>13</c:v>
                </c:pt>
                <c:pt idx="1">
                  <c:v>37</c:v>
                </c:pt>
                <c:pt idx="2">
                  <c:v>73</c:v>
                </c:pt>
                <c:pt idx="3">
                  <c:v>121</c:v>
                </c:pt>
                <c:pt idx="4">
                  <c:v>181</c:v>
                </c:pt>
                <c:pt idx="5">
                  <c:v>169</c:v>
                </c:pt>
              </c:numCache>
            </c:numRef>
          </c:xVal>
          <c:yVal>
            <c:numRef>
              <c:f>analysis!$GP$68:$GP$200</c:f>
              <c:numCache>
                <c:formatCode>0.0E+00</c:formatCode>
                <c:ptCount val="133"/>
                <c:pt idx="0">
                  <c:v>0.17091117240488499</c:v>
                </c:pt>
                <c:pt idx="1">
                  <c:v>14.307818245142601</c:v>
                </c:pt>
                <c:pt idx="2">
                  <c:v>9721.5675252312794</c:v>
                </c:pt>
                <c:pt idx="3">
                  <c:v>#N/A</c:v>
                </c:pt>
                <c:pt idx="4">
                  <c:v>#N/A</c:v>
                </c:pt>
                <c:pt idx="5">
                  <c:v>646.90246728621401</c:v>
                </c:pt>
              </c:numCache>
            </c:numRef>
          </c:yVal>
          <c:smooth val="0"/>
          <c:extLst>
            <c:ext xmlns:c16="http://schemas.microsoft.com/office/drawing/2014/chart" uri="{C3380CC4-5D6E-409C-BE32-E72D297353CC}">
              <c16:uniqueId val="{00000001-1AB2-B146-80AE-DDD5F7E0ABCB}"/>
            </c:ext>
          </c:extLst>
        </c:ser>
        <c:ser>
          <c:idx val="2"/>
          <c:order val="2"/>
          <c:tx>
            <c:strRef>
              <c:f>analysis!$GQ$67</c:f>
              <c:strCache>
                <c:ptCount val="1"/>
                <c:pt idx="0">
                  <c:v>CLISAT</c:v>
                </c:pt>
              </c:strCache>
            </c:strRef>
          </c:tx>
          <c:spPr>
            <a:ln w="38100" cap="rnd">
              <a:noFill/>
              <a:round/>
            </a:ln>
            <a:effectLst/>
          </c:spPr>
          <c:marker>
            <c:symbol val="diamond"/>
            <c:size val="5"/>
            <c:spPr>
              <a:solidFill>
                <a:schemeClr val="accent3"/>
              </a:solidFill>
              <a:ln w="9525">
                <a:solidFill>
                  <a:schemeClr val="accent3"/>
                </a:solidFill>
              </a:ln>
              <a:effectLst/>
            </c:spPr>
          </c:marker>
          <c:xVal>
            <c:numRef>
              <c:f>analysis!$GN$68:$GN$200</c:f>
              <c:numCache>
                <c:formatCode>General</c:formatCode>
                <c:ptCount val="133"/>
                <c:pt idx="0">
                  <c:v>13</c:v>
                </c:pt>
                <c:pt idx="1">
                  <c:v>37</c:v>
                </c:pt>
                <c:pt idx="2">
                  <c:v>73</c:v>
                </c:pt>
                <c:pt idx="3">
                  <c:v>121</c:v>
                </c:pt>
                <c:pt idx="4">
                  <c:v>181</c:v>
                </c:pt>
                <c:pt idx="5">
                  <c:v>169</c:v>
                </c:pt>
              </c:numCache>
            </c:numRef>
          </c:xVal>
          <c:yVal>
            <c:numRef>
              <c:f>analysis!$GQ$68:$GQ$200</c:f>
              <c:numCache>
                <c:formatCode>0.0E+00</c:formatCode>
                <c:ptCount val="133"/>
                <c:pt idx="0">
                  <c:v>8.6135800927877398E-2</c:v>
                </c:pt>
                <c:pt idx="1">
                  <c:v>14.243915339931799</c:v>
                </c:pt>
                <c:pt idx="2">
                  <c:v>22017.9717851942</c:v>
                </c:pt>
                <c:pt idx="3">
                  <c:v>#N/A</c:v>
                </c:pt>
                <c:pt idx="4">
                  <c:v>#N/A</c:v>
                </c:pt>
                <c:pt idx="5">
                  <c:v>81.761931415647197</c:v>
                </c:pt>
              </c:numCache>
            </c:numRef>
          </c:yVal>
          <c:smooth val="0"/>
          <c:extLst>
            <c:ext xmlns:c16="http://schemas.microsoft.com/office/drawing/2014/chart" uri="{C3380CC4-5D6E-409C-BE32-E72D297353CC}">
              <c16:uniqueId val="{00000002-1AB2-B146-80AE-DDD5F7E0ABCB}"/>
            </c:ext>
          </c:extLst>
        </c:ser>
        <c:ser>
          <c:idx val="3"/>
          <c:order val="3"/>
          <c:tx>
            <c:strRef>
              <c:f>analysis!$GR$67</c:f>
              <c:strCache>
                <c:ptCount val="1"/>
                <c:pt idx="0">
                  <c:v>m4ri_CC</c:v>
                </c:pt>
              </c:strCache>
            </c:strRef>
          </c:tx>
          <c:spPr>
            <a:ln w="38100" cap="rnd">
              <a:noFill/>
              <a:round/>
            </a:ln>
            <a:effectLst/>
          </c:spPr>
          <c:marker>
            <c:symbol val="triangle"/>
            <c:size val="5"/>
            <c:spPr>
              <a:solidFill>
                <a:schemeClr val="accent4"/>
              </a:solidFill>
              <a:ln w="9525">
                <a:solidFill>
                  <a:schemeClr val="accent4"/>
                </a:solidFill>
              </a:ln>
              <a:effectLst/>
            </c:spPr>
          </c:marker>
          <c:xVal>
            <c:numRef>
              <c:f>analysis!$GN$68:$GN$200</c:f>
              <c:numCache>
                <c:formatCode>General</c:formatCode>
                <c:ptCount val="133"/>
                <c:pt idx="0">
                  <c:v>13</c:v>
                </c:pt>
                <c:pt idx="1">
                  <c:v>37</c:v>
                </c:pt>
                <c:pt idx="2">
                  <c:v>73</c:v>
                </c:pt>
                <c:pt idx="3">
                  <c:v>121</c:v>
                </c:pt>
                <c:pt idx="4">
                  <c:v>181</c:v>
                </c:pt>
                <c:pt idx="5">
                  <c:v>169</c:v>
                </c:pt>
              </c:numCache>
            </c:numRef>
          </c:xVal>
          <c:yVal>
            <c:numRef>
              <c:f>analysis!$GR$68:$GR$200</c:f>
              <c:numCache>
                <c:formatCode>0.0E+00</c:formatCode>
                <c:ptCount val="133"/>
                <c:pt idx="0">
                  <c:v>3.0640831217169699E-2</c:v>
                </c:pt>
                <c:pt idx="1">
                  <c:v>0.10804974008351501</c:v>
                </c:pt>
                <c:pt idx="2">
                  <c:v>46.176662079989903</c:v>
                </c:pt>
                <c:pt idx="3">
                  <c:v>#N/A</c:v>
                </c:pt>
                <c:pt idx="4">
                  <c:v>#N/A</c:v>
                </c:pt>
                <c:pt idx="5">
                  <c:v>6.4401171999052096</c:v>
                </c:pt>
              </c:numCache>
            </c:numRef>
          </c:yVal>
          <c:smooth val="0"/>
          <c:extLst>
            <c:ext xmlns:c16="http://schemas.microsoft.com/office/drawing/2014/chart" uri="{C3380CC4-5D6E-409C-BE32-E72D297353CC}">
              <c16:uniqueId val="{00000003-1AB2-B146-80AE-DDD5F7E0ABCB}"/>
            </c:ext>
          </c:extLst>
        </c:ser>
        <c:ser>
          <c:idx val="4"/>
          <c:order val="4"/>
          <c:tx>
            <c:strRef>
              <c:f>analysis!$GS$67</c:f>
              <c:strCache>
                <c:ptCount val="1"/>
                <c:pt idx="0">
                  <c:v>magma</c:v>
                </c:pt>
              </c:strCache>
            </c:strRef>
          </c:tx>
          <c:spPr>
            <a:ln w="38100" cap="rnd">
              <a:noFill/>
              <a:round/>
            </a:ln>
            <a:effectLst/>
          </c:spPr>
          <c:marker>
            <c:symbol val="x"/>
            <c:size val="5"/>
            <c:spPr>
              <a:noFill/>
              <a:ln w="9525">
                <a:solidFill>
                  <a:schemeClr val="accent5"/>
                </a:solidFill>
              </a:ln>
              <a:effectLst/>
            </c:spPr>
          </c:marker>
          <c:xVal>
            <c:numRef>
              <c:f>analysis!$GN$68:$GN$200</c:f>
              <c:numCache>
                <c:formatCode>General</c:formatCode>
                <c:ptCount val="133"/>
                <c:pt idx="0">
                  <c:v>13</c:v>
                </c:pt>
                <c:pt idx="1">
                  <c:v>37</c:v>
                </c:pt>
                <c:pt idx="2">
                  <c:v>73</c:v>
                </c:pt>
                <c:pt idx="3">
                  <c:v>121</c:v>
                </c:pt>
                <c:pt idx="4">
                  <c:v>181</c:v>
                </c:pt>
                <c:pt idx="5">
                  <c:v>169</c:v>
                </c:pt>
              </c:numCache>
            </c:numRef>
          </c:xVal>
          <c:yVal>
            <c:numRef>
              <c:f>analysis!$GS$68:$GS$200</c:f>
              <c:numCache>
                <c:formatCode>0.0E+00</c:formatCode>
                <c:ptCount val="133"/>
                <c:pt idx="0">
                  <c:v>0.104990624997299</c:v>
                </c:pt>
                <c:pt idx="1">
                  <c:v>73.5506523330113</c:v>
                </c:pt>
                <c:pt idx="2">
                  <c:v>#N/A</c:v>
                </c:pt>
                <c:pt idx="3">
                  <c:v>28763.986498957998</c:v>
                </c:pt>
                <c:pt idx="4">
                  <c:v>#N/A</c:v>
                </c:pt>
                <c:pt idx="5">
                  <c:v>#N/A</c:v>
                </c:pt>
              </c:numCache>
            </c:numRef>
          </c:yVal>
          <c:smooth val="0"/>
          <c:extLst>
            <c:ext xmlns:c16="http://schemas.microsoft.com/office/drawing/2014/chart" uri="{C3380CC4-5D6E-409C-BE32-E72D297353CC}">
              <c16:uniqueId val="{00000004-1AB2-B146-80AE-DDD5F7E0ABCB}"/>
            </c:ext>
          </c:extLst>
        </c:ser>
        <c:dLbls>
          <c:showLegendKey val="0"/>
          <c:showVal val="0"/>
          <c:showCatName val="0"/>
          <c:showSerName val="0"/>
          <c:showPercent val="0"/>
          <c:showBubbleSize val="0"/>
        </c:dLbls>
        <c:axId val="1782197904"/>
        <c:axId val="1782199616"/>
      </c:scatterChart>
      <c:valAx>
        <c:axId val="1782197904"/>
        <c:scaling>
          <c:orientation val="minMax"/>
          <c:max val="2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23817147856517934"/>
          <c:y val="4.7959044181977224E-2"/>
          <c:w val="0.17155074365704287"/>
          <c:h val="0.292970800524934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analysis!$GU$67</c:f>
              <c:strCache>
                <c:ptCount val="1"/>
                <c:pt idx="0">
                  <c:v>QDistRndMW</c:v>
                </c:pt>
              </c:strCache>
            </c:strRef>
          </c:tx>
          <c:spPr>
            <a:ln w="25400" cap="rnd">
              <a:noFill/>
              <a:round/>
            </a:ln>
            <a:effectLst/>
          </c:spPr>
          <c:marker>
            <c:symbol val="plus"/>
            <c:size val="5"/>
            <c:spPr>
              <a:noFill/>
              <a:ln w="9525">
                <a:solidFill>
                  <a:schemeClr val="accent1">
                    <a:lumMod val="60000"/>
                  </a:schemeClr>
                </a:solidFill>
              </a:ln>
              <a:effectLst/>
            </c:spPr>
          </c:marker>
          <c:xVal>
            <c:numRef>
              <c:f>analysis!$GN$68:$GN$200</c:f>
              <c:numCache>
                <c:formatCode>General</c:formatCode>
                <c:ptCount val="133"/>
                <c:pt idx="0">
                  <c:v>13</c:v>
                </c:pt>
                <c:pt idx="1">
                  <c:v>37</c:v>
                </c:pt>
                <c:pt idx="2">
                  <c:v>73</c:v>
                </c:pt>
                <c:pt idx="3">
                  <c:v>121</c:v>
                </c:pt>
                <c:pt idx="4">
                  <c:v>181</c:v>
                </c:pt>
                <c:pt idx="5">
                  <c:v>169</c:v>
                </c:pt>
              </c:numCache>
            </c:numRef>
          </c:xVal>
          <c:yVal>
            <c:numRef>
              <c:f>analysis!$GU$68:$GU$200</c:f>
              <c:numCache>
                <c:formatCode>0.0E+00</c:formatCode>
                <c:ptCount val="133"/>
                <c:pt idx="0">
                  <c:v>2.0031860046637622E-4</c:v>
                </c:pt>
                <c:pt idx="1">
                  <c:v>1.550996150559691E-3</c:v>
                </c:pt>
                <c:pt idx="2">
                  <c:v>1.2265183145963582E-2</c:v>
                </c:pt>
                <c:pt idx="3">
                  <c:v>0.14530057636978227</c:v>
                </c:pt>
                <c:pt idx="4">
                  <c:v>1.8210255954212866</c:v>
                </c:pt>
                <c:pt idx="5">
                  <c:v>1.2796360017295124E-3</c:v>
                </c:pt>
              </c:numCache>
            </c:numRef>
          </c:yVal>
          <c:smooth val="0"/>
          <c:extLst>
            <c:ext xmlns:c16="http://schemas.microsoft.com/office/drawing/2014/chart" uri="{C3380CC4-5D6E-409C-BE32-E72D297353CC}">
              <c16:uniqueId val="{00000000-41AE-A84F-BE96-81A3FD59E35D}"/>
            </c:ext>
          </c:extLst>
        </c:ser>
        <c:ser>
          <c:idx val="7"/>
          <c:order val="1"/>
          <c:tx>
            <c:strRef>
              <c:f>analysis!$GV$67</c:f>
              <c:strCache>
                <c:ptCount val="1"/>
                <c:pt idx="0">
                  <c:v>QDistEvol</c:v>
                </c:pt>
              </c:strCache>
            </c:strRef>
          </c:tx>
          <c:spPr>
            <a:ln w="254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analysis!$GN$68:$GN$200</c:f>
              <c:numCache>
                <c:formatCode>General</c:formatCode>
                <c:ptCount val="133"/>
                <c:pt idx="0">
                  <c:v>13</c:v>
                </c:pt>
                <c:pt idx="1">
                  <c:v>37</c:v>
                </c:pt>
                <c:pt idx="2">
                  <c:v>73</c:v>
                </c:pt>
                <c:pt idx="3">
                  <c:v>121</c:v>
                </c:pt>
                <c:pt idx="4">
                  <c:v>181</c:v>
                </c:pt>
                <c:pt idx="5">
                  <c:v>169</c:v>
                </c:pt>
              </c:numCache>
            </c:numRef>
          </c:xVal>
          <c:yVal>
            <c:numRef>
              <c:f>analysis!$GV$68:$GV$200</c:f>
              <c:numCache>
                <c:formatCode>0.0E+00</c:formatCode>
                <c:ptCount val="133"/>
                <c:pt idx="0">
                  <c:v>3.1644997969269698E-4</c:v>
                </c:pt>
                <c:pt idx="1">
                  <c:v>2.323183473069089E-3</c:v>
                </c:pt>
                <c:pt idx="2">
                  <c:v>9.1577014823741101E-3</c:v>
                </c:pt>
                <c:pt idx="3">
                  <c:v>6.4258920188869223E-2</c:v>
                </c:pt>
                <c:pt idx="4">
                  <c:v>0.49725229654645958</c:v>
                </c:pt>
                <c:pt idx="5">
                  <c:v>5.9739012503876401E-4</c:v>
                </c:pt>
              </c:numCache>
            </c:numRef>
          </c:yVal>
          <c:smooth val="0"/>
          <c:extLst>
            <c:ext xmlns:c16="http://schemas.microsoft.com/office/drawing/2014/chart" uri="{C3380CC4-5D6E-409C-BE32-E72D297353CC}">
              <c16:uniqueId val="{00000001-41AE-A84F-BE96-81A3FD59E35D}"/>
            </c:ext>
          </c:extLst>
        </c:ser>
        <c:ser>
          <c:idx val="8"/>
          <c:order val="2"/>
          <c:tx>
            <c:strRef>
              <c:f>analysis!$GW$67</c:f>
              <c:strCache>
                <c:ptCount val="1"/>
                <c:pt idx="0">
                  <c:v>bposd</c:v>
                </c:pt>
              </c:strCache>
            </c:strRef>
          </c:tx>
          <c:spPr>
            <a:ln w="254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analysis!$GN$68:$GN$200</c:f>
              <c:numCache>
                <c:formatCode>General</c:formatCode>
                <c:ptCount val="133"/>
                <c:pt idx="0">
                  <c:v>13</c:v>
                </c:pt>
                <c:pt idx="1">
                  <c:v>37</c:v>
                </c:pt>
                <c:pt idx="2">
                  <c:v>73</c:v>
                </c:pt>
                <c:pt idx="3">
                  <c:v>121</c:v>
                </c:pt>
                <c:pt idx="4">
                  <c:v>181</c:v>
                </c:pt>
                <c:pt idx="5">
                  <c:v>169</c:v>
                </c:pt>
              </c:numCache>
            </c:numRef>
          </c:xVal>
          <c:yVal>
            <c:numRef>
              <c:f>analysis!$GW$68:$GW$200</c:f>
              <c:numCache>
                <c:formatCode>0.0E+00</c:formatCode>
                <c:ptCount val="133"/>
                <c:pt idx="0">
                  <c:v>2.5674647421579208E-3</c:v>
                </c:pt>
                <c:pt idx="1">
                  <c:v>1.6598737647416966E-2</c:v>
                </c:pt>
                <c:pt idx="2">
                  <c:v>5.6399128969986792E-2</c:v>
                </c:pt>
                <c:pt idx="3">
                  <c:v>0.14406218163119835</c:v>
                </c:pt>
                <c:pt idx="4">
                  <c:v>0.34753339054317367</c:v>
                </c:pt>
                <c:pt idx="5">
                  <c:v>6.1037756983190698E-3</c:v>
                </c:pt>
              </c:numCache>
            </c:numRef>
          </c:yVal>
          <c:smooth val="0"/>
          <c:extLst>
            <c:ext xmlns:c16="http://schemas.microsoft.com/office/drawing/2014/chart" uri="{C3380CC4-5D6E-409C-BE32-E72D297353CC}">
              <c16:uniqueId val="{00000002-41AE-A84F-BE96-81A3FD59E35D}"/>
            </c:ext>
          </c:extLst>
        </c:ser>
        <c:ser>
          <c:idx val="9"/>
          <c:order val="3"/>
          <c:tx>
            <c:strRef>
              <c:f>analysis!$GX$67</c:f>
              <c:strCache>
                <c:ptCount val="1"/>
                <c:pt idx="0">
                  <c:v>GEStim</c:v>
                </c:pt>
              </c:strCache>
            </c:strRef>
          </c:tx>
          <c:spPr>
            <a:ln w="25400" cap="rnd">
              <a:noFill/>
              <a:round/>
            </a:ln>
            <a:effectLst/>
          </c:spPr>
          <c:marker>
            <c:symbol val="x"/>
            <c:size val="5"/>
            <c:spPr>
              <a:noFill/>
              <a:ln w="9525">
                <a:solidFill>
                  <a:schemeClr val="accent4">
                    <a:lumMod val="60000"/>
                  </a:schemeClr>
                </a:solidFill>
              </a:ln>
              <a:effectLst/>
            </c:spPr>
          </c:marker>
          <c:xVal>
            <c:numRef>
              <c:f>analysis!$GN$68:$GN$200</c:f>
              <c:numCache>
                <c:formatCode>General</c:formatCode>
                <c:ptCount val="133"/>
                <c:pt idx="0">
                  <c:v>13</c:v>
                </c:pt>
                <c:pt idx="1">
                  <c:v>37</c:v>
                </c:pt>
                <c:pt idx="2">
                  <c:v>73</c:v>
                </c:pt>
                <c:pt idx="3">
                  <c:v>121</c:v>
                </c:pt>
                <c:pt idx="4">
                  <c:v>181</c:v>
                </c:pt>
                <c:pt idx="5">
                  <c:v>169</c:v>
                </c:pt>
              </c:numCache>
            </c:numRef>
          </c:xVal>
          <c:yVal>
            <c:numRef>
              <c:f>analysis!$GX$68:$GX$200</c:f>
              <c:numCache>
                <c:formatCode>0.0E+00</c:formatCode>
                <c:ptCount val="133"/>
                <c:pt idx="0">
                  <c:v>1.3426341116428301E-2</c:v>
                </c:pt>
                <c:pt idx="1">
                  <c:v>8.9054532349109594E-2</c:v>
                </c:pt>
                <c:pt idx="2">
                  <c:v>0.32483538985252303</c:v>
                </c:pt>
                <c:pt idx="3">
                  <c:v>0.816923908889293</c:v>
                </c:pt>
                <c:pt idx="4">
                  <c:v>1.8497825190424899</c:v>
                </c:pt>
                <c:pt idx="5">
                  <c:v>2.1516650915145801E-2</c:v>
                </c:pt>
              </c:numCache>
            </c:numRef>
          </c:yVal>
          <c:smooth val="0"/>
          <c:extLst>
            <c:ext xmlns:c16="http://schemas.microsoft.com/office/drawing/2014/chart" uri="{C3380CC4-5D6E-409C-BE32-E72D297353CC}">
              <c16:uniqueId val="{00000003-41AE-A84F-BE96-81A3FD59E35D}"/>
            </c:ext>
          </c:extLst>
        </c:ser>
        <c:ser>
          <c:idx val="10"/>
          <c:order val="4"/>
          <c:tx>
            <c:strRef>
              <c:f>analysis!$GY$67</c:f>
              <c:strCache>
                <c:ptCount val="1"/>
                <c:pt idx="0">
                  <c:v>CCStim</c:v>
                </c:pt>
              </c:strCache>
            </c:strRef>
          </c:tx>
          <c:spPr>
            <a:ln w="254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analysis!$GN$68:$GN$200</c:f>
              <c:numCache>
                <c:formatCode>General</c:formatCode>
                <c:ptCount val="133"/>
                <c:pt idx="0">
                  <c:v>13</c:v>
                </c:pt>
                <c:pt idx="1">
                  <c:v>37</c:v>
                </c:pt>
                <c:pt idx="2">
                  <c:v>73</c:v>
                </c:pt>
                <c:pt idx="3">
                  <c:v>121</c:v>
                </c:pt>
                <c:pt idx="4">
                  <c:v>181</c:v>
                </c:pt>
                <c:pt idx="5">
                  <c:v>169</c:v>
                </c:pt>
              </c:numCache>
            </c:numRef>
          </c:xVal>
          <c:yVal>
            <c:numRef>
              <c:f>analysis!$GY$68:$GY$200</c:f>
              <c:numCache>
                <c:formatCode>0.0E+00</c:formatCode>
                <c:ptCount val="133"/>
                <c:pt idx="0">
                  <c:v>2.6858627796172999E-2</c:v>
                </c:pt>
                <c:pt idx="1">
                  <c:v>0.11056331545114501</c:v>
                </c:pt>
                <c:pt idx="2">
                  <c:v>0.93616759032010999</c:v>
                </c:pt>
                <c:pt idx="3">
                  <c:v>7.0466314703226001</c:v>
                </c:pt>
                <c:pt idx="4">
                  <c:v>37.541667707264402</c:v>
                </c:pt>
                <c:pt idx="5">
                  <c:v>5.2083984017372097E-2</c:v>
                </c:pt>
              </c:numCache>
            </c:numRef>
          </c:yVal>
          <c:smooth val="0"/>
          <c:extLst>
            <c:ext xmlns:c16="http://schemas.microsoft.com/office/drawing/2014/chart" uri="{C3380CC4-5D6E-409C-BE32-E72D297353CC}">
              <c16:uniqueId val="{00000004-41AE-A84F-BE96-81A3FD59E35D}"/>
            </c:ext>
          </c:extLst>
        </c:ser>
        <c:ser>
          <c:idx val="11"/>
          <c:order val="5"/>
          <c:tx>
            <c:strRef>
              <c:f>analysis!$GZ$67</c:f>
              <c:strCache>
                <c:ptCount val="1"/>
                <c:pt idx="0">
                  <c:v>UEStim</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analysis!$GN$68:$GN$200</c:f>
              <c:numCache>
                <c:formatCode>General</c:formatCode>
                <c:ptCount val="133"/>
                <c:pt idx="0">
                  <c:v>13</c:v>
                </c:pt>
                <c:pt idx="1">
                  <c:v>37</c:v>
                </c:pt>
                <c:pt idx="2">
                  <c:v>73</c:v>
                </c:pt>
                <c:pt idx="3">
                  <c:v>121</c:v>
                </c:pt>
                <c:pt idx="4">
                  <c:v>181</c:v>
                </c:pt>
                <c:pt idx="5">
                  <c:v>169</c:v>
                </c:pt>
              </c:numCache>
            </c:numRef>
          </c:xVal>
          <c:yVal>
            <c:numRef>
              <c:f>analysis!$GZ$68:$GZ$200</c:f>
              <c:numCache>
                <c:formatCode>0.0E+00</c:formatCode>
                <c:ptCount val="133"/>
                <c:pt idx="0">
                  <c:v>1.37463770806789E-2</c:v>
                </c:pt>
                <c:pt idx="1">
                  <c:v>5.3862277418375001E-2</c:v>
                </c:pt>
                <c:pt idx="2">
                  <c:v>0.48271091282367701</c:v>
                </c:pt>
                <c:pt idx="3">
                  <c:v>3.6018497012555599</c:v>
                </c:pt>
                <c:pt idx="4">
                  <c:v>19.123071298003151</c:v>
                </c:pt>
                <c:pt idx="5">
                  <c:v>2.66391560435295E-2</c:v>
                </c:pt>
              </c:numCache>
            </c:numRef>
          </c:yVal>
          <c:smooth val="0"/>
          <c:extLst>
            <c:ext xmlns:c16="http://schemas.microsoft.com/office/drawing/2014/chart" uri="{C3380CC4-5D6E-409C-BE32-E72D297353CC}">
              <c16:uniqueId val="{00000005-41AE-A84F-BE96-81A3FD59E35D}"/>
            </c:ext>
          </c:extLst>
        </c:ser>
        <c:dLbls>
          <c:showLegendKey val="0"/>
          <c:showVal val="0"/>
          <c:showCatName val="0"/>
          <c:showSerName val="0"/>
          <c:showPercent val="0"/>
          <c:showBubbleSize val="0"/>
        </c:dLbls>
        <c:axId val="1782197904"/>
        <c:axId val="1782199616"/>
      </c:scatterChart>
      <c:valAx>
        <c:axId val="178219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22428258967629044"/>
          <c:y val="4.1014599737532777E-2"/>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analysis!$HI$67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analysis!$HB$68:$HB$200</c:f>
              <c:numCache>
                <c:formatCode>General</c:formatCode>
                <c:ptCount val="133"/>
                <c:pt idx="0">
                  <c:v>13</c:v>
                </c:pt>
                <c:pt idx="1">
                  <c:v>37</c:v>
                </c:pt>
                <c:pt idx="2">
                  <c:v>73</c:v>
                </c:pt>
                <c:pt idx="3">
                  <c:v>121</c:v>
                </c:pt>
                <c:pt idx="4">
                  <c:v>181</c:v>
                </c:pt>
                <c:pt idx="5">
                  <c:v>169</c:v>
                </c:pt>
              </c:numCache>
            </c:numRef>
          </c:xVal>
          <c:yVal>
            <c:numRef>
              <c:f>analysis!$HI$68:$HI$200</c:f>
              <c:numCache>
                <c:formatCode>0.0%</c:formatCode>
                <c:ptCount val="133"/>
                <c:pt idx="0">
                  <c:v>0.99619999999999997</c:v>
                </c:pt>
                <c:pt idx="1">
                  <c:v>0.9194</c:v>
                </c:pt>
                <c:pt idx="2">
                  <c:v>0.61950000000000005</c:v>
                </c:pt>
                <c:pt idx="3">
                  <c:v>0.26179999999999998</c:v>
                </c:pt>
                <c:pt idx="4">
                  <c:v>7.85E-2</c:v>
                </c:pt>
                <c:pt idx="5">
                  <c:v>0.33229999999999998</c:v>
                </c:pt>
              </c:numCache>
            </c:numRef>
          </c:yVal>
          <c:smooth val="0"/>
          <c:extLst>
            <c:ext xmlns:c16="http://schemas.microsoft.com/office/drawing/2014/chart" uri="{C3380CC4-5D6E-409C-BE32-E72D297353CC}">
              <c16:uniqueId val="{00000000-0797-9847-BDE9-883FD2B311B7}"/>
            </c:ext>
          </c:extLst>
        </c:ser>
        <c:ser>
          <c:idx val="7"/>
          <c:order val="1"/>
          <c:tx>
            <c:strRef>
              <c:f>analysis!$HJ$67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analysis!$HB$68:$HB$200</c:f>
              <c:numCache>
                <c:formatCode>General</c:formatCode>
                <c:ptCount val="133"/>
                <c:pt idx="0">
                  <c:v>13</c:v>
                </c:pt>
                <c:pt idx="1">
                  <c:v>37</c:v>
                </c:pt>
                <c:pt idx="2">
                  <c:v>73</c:v>
                </c:pt>
                <c:pt idx="3">
                  <c:v>121</c:v>
                </c:pt>
                <c:pt idx="4">
                  <c:v>181</c:v>
                </c:pt>
                <c:pt idx="5">
                  <c:v>169</c:v>
                </c:pt>
              </c:numCache>
            </c:numRef>
          </c:xVal>
          <c:yVal>
            <c:numRef>
              <c:f>analysis!$HJ$68:$HJ$200</c:f>
              <c:numCache>
                <c:formatCode>0.0%</c:formatCode>
                <c:ptCount val="133"/>
                <c:pt idx="0">
                  <c:v>1</c:v>
                </c:pt>
                <c:pt idx="1">
                  <c:v>0.999</c:v>
                </c:pt>
                <c:pt idx="2">
                  <c:v>0.91930000000000001</c:v>
                </c:pt>
                <c:pt idx="3">
                  <c:v>0.58650000000000002</c:v>
                </c:pt>
                <c:pt idx="4">
                  <c:v>0.28810000000000002</c:v>
                </c:pt>
                <c:pt idx="5">
                  <c:v>0.97009999999999996</c:v>
                </c:pt>
              </c:numCache>
            </c:numRef>
          </c:yVal>
          <c:smooth val="0"/>
          <c:extLst>
            <c:ext xmlns:c16="http://schemas.microsoft.com/office/drawing/2014/chart" uri="{C3380CC4-5D6E-409C-BE32-E72D297353CC}">
              <c16:uniqueId val="{00000001-0797-9847-BDE9-883FD2B311B7}"/>
            </c:ext>
          </c:extLst>
        </c:ser>
        <c:ser>
          <c:idx val="8"/>
          <c:order val="2"/>
          <c:tx>
            <c:strRef>
              <c:f>analysis!$HK$67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analysis!$HB$68:$HB$200</c:f>
              <c:numCache>
                <c:formatCode>General</c:formatCode>
                <c:ptCount val="133"/>
                <c:pt idx="0">
                  <c:v>13</c:v>
                </c:pt>
                <c:pt idx="1">
                  <c:v>37</c:v>
                </c:pt>
                <c:pt idx="2">
                  <c:v>73</c:v>
                </c:pt>
                <c:pt idx="3">
                  <c:v>121</c:v>
                </c:pt>
                <c:pt idx="4">
                  <c:v>181</c:v>
                </c:pt>
                <c:pt idx="5">
                  <c:v>169</c:v>
                </c:pt>
              </c:numCache>
            </c:numRef>
          </c:xVal>
          <c:yVal>
            <c:numRef>
              <c:f>analysis!$HK$68:$HK$200</c:f>
              <c:numCache>
                <c:formatCode>0.0%</c:formatCode>
                <c:ptCount val="133"/>
                <c:pt idx="0">
                  <c:v>0.98219999999999996</c:v>
                </c:pt>
                <c:pt idx="1">
                  <c:v>0.99960000000000004</c:v>
                </c:pt>
                <c:pt idx="2">
                  <c:v>0.99960000000000004</c:v>
                </c:pt>
                <c:pt idx="3">
                  <c:v>0.99970000000000003</c:v>
                </c:pt>
                <c:pt idx="4">
                  <c:v>0.99980000000000002</c:v>
                </c:pt>
                <c:pt idx="5">
                  <c:v>1</c:v>
                </c:pt>
              </c:numCache>
            </c:numRef>
          </c:yVal>
          <c:smooth val="0"/>
          <c:extLst>
            <c:ext xmlns:c16="http://schemas.microsoft.com/office/drawing/2014/chart" uri="{C3380CC4-5D6E-409C-BE32-E72D297353CC}">
              <c16:uniqueId val="{00000002-0797-9847-BDE9-883FD2B311B7}"/>
            </c:ext>
          </c:extLst>
        </c:ser>
        <c:ser>
          <c:idx val="9"/>
          <c:order val="3"/>
          <c:tx>
            <c:strRef>
              <c:f>analysis!$HL$67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analysis!$HB$68:$HB$200</c:f>
              <c:numCache>
                <c:formatCode>General</c:formatCode>
                <c:ptCount val="133"/>
                <c:pt idx="0">
                  <c:v>13</c:v>
                </c:pt>
                <c:pt idx="1">
                  <c:v>37</c:v>
                </c:pt>
                <c:pt idx="2">
                  <c:v>73</c:v>
                </c:pt>
                <c:pt idx="3">
                  <c:v>121</c:v>
                </c:pt>
                <c:pt idx="4">
                  <c:v>181</c:v>
                </c:pt>
                <c:pt idx="5">
                  <c:v>169</c:v>
                </c:pt>
              </c:numCache>
            </c:numRef>
          </c:xVal>
          <c:yVal>
            <c:numRef>
              <c:f>analysis!$HL$68:$HL$200</c:f>
              <c:numCache>
                <c:formatCode>0.0%</c:formatCode>
                <c:ptCount val="133"/>
                <c:pt idx="0">
                  <c:v>1</c:v>
                </c:pt>
                <c:pt idx="1">
                  <c:v>1</c:v>
                </c:pt>
                <c:pt idx="2">
                  <c:v>1</c:v>
                </c:pt>
                <c:pt idx="3">
                  <c:v>1</c:v>
                </c:pt>
                <c:pt idx="4">
                  <c:v>1</c:v>
                </c:pt>
                <c:pt idx="5">
                  <c:v>1</c:v>
                </c:pt>
              </c:numCache>
            </c:numRef>
          </c:yVal>
          <c:smooth val="0"/>
          <c:extLst>
            <c:ext xmlns:c16="http://schemas.microsoft.com/office/drawing/2014/chart" uri="{C3380CC4-5D6E-409C-BE32-E72D297353CC}">
              <c16:uniqueId val="{00000003-0797-9847-BDE9-883FD2B311B7}"/>
            </c:ext>
          </c:extLst>
        </c:ser>
        <c:ser>
          <c:idx val="10"/>
          <c:order val="4"/>
          <c:tx>
            <c:strRef>
              <c:f>analysis!$HM$67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analysis!$HB$68:$HB$200</c:f>
              <c:numCache>
                <c:formatCode>General</c:formatCode>
                <c:ptCount val="133"/>
                <c:pt idx="0">
                  <c:v>13</c:v>
                </c:pt>
                <c:pt idx="1">
                  <c:v>37</c:v>
                </c:pt>
                <c:pt idx="2">
                  <c:v>73</c:v>
                </c:pt>
                <c:pt idx="3">
                  <c:v>121</c:v>
                </c:pt>
                <c:pt idx="4">
                  <c:v>181</c:v>
                </c:pt>
                <c:pt idx="5">
                  <c:v>169</c:v>
                </c:pt>
              </c:numCache>
            </c:numRef>
          </c:xVal>
          <c:yVal>
            <c:numRef>
              <c:f>analysis!$HM$68:$HM$200</c:f>
              <c:numCache>
                <c:formatCode>0.0%</c:formatCode>
                <c:ptCount val="133"/>
                <c:pt idx="0">
                  <c:v>1</c:v>
                </c:pt>
                <c:pt idx="1">
                  <c:v>1</c:v>
                </c:pt>
                <c:pt idx="2">
                  <c:v>1</c:v>
                </c:pt>
                <c:pt idx="3">
                  <c:v>1</c:v>
                </c:pt>
                <c:pt idx="4">
                  <c:v>1</c:v>
                </c:pt>
                <c:pt idx="5">
                  <c:v>1</c:v>
                </c:pt>
              </c:numCache>
            </c:numRef>
          </c:yVal>
          <c:smooth val="0"/>
          <c:extLst>
            <c:ext xmlns:c16="http://schemas.microsoft.com/office/drawing/2014/chart" uri="{C3380CC4-5D6E-409C-BE32-E72D297353CC}">
              <c16:uniqueId val="{00000004-0797-9847-BDE9-883FD2B311B7}"/>
            </c:ext>
          </c:extLst>
        </c:ser>
        <c:ser>
          <c:idx val="11"/>
          <c:order val="5"/>
          <c:tx>
            <c:strRef>
              <c:f>analysis!$HN$67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analysis!$HB$68:$HB$200</c:f>
              <c:numCache>
                <c:formatCode>General</c:formatCode>
                <c:ptCount val="133"/>
                <c:pt idx="0">
                  <c:v>13</c:v>
                </c:pt>
                <c:pt idx="1">
                  <c:v>37</c:v>
                </c:pt>
                <c:pt idx="2">
                  <c:v>73</c:v>
                </c:pt>
                <c:pt idx="3">
                  <c:v>121</c:v>
                </c:pt>
                <c:pt idx="4">
                  <c:v>181</c:v>
                </c:pt>
                <c:pt idx="5">
                  <c:v>169</c:v>
                </c:pt>
              </c:numCache>
            </c:numRef>
          </c:xVal>
          <c:yVal>
            <c:numRef>
              <c:f>analysis!$HN$68:$HN$200</c:f>
              <c:numCache>
                <c:formatCode>0.0%</c:formatCode>
                <c:ptCount val="133"/>
                <c:pt idx="0">
                  <c:v>1</c:v>
                </c:pt>
                <c:pt idx="1">
                  <c:v>1</c:v>
                </c:pt>
                <c:pt idx="2">
                  <c:v>1</c:v>
                </c:pt>
                <c:pt idx="3">
                  <c:v>1</c:v>
                </c:pt>
                <c:pt idx="4">
                  <c:v>1</c:v>
                </c:pt>
                <c:pt idx="5">
                  <c:v>1</c:v>
                </c:pt>
              </c:numCache>
            </c:numRef>
          </c:yVal>
          <c:smooth val="0"/>
          <c:extLst>
            <c:ext xmlns:c16="http://schemas.microsoft.com/office/drawing/2014/chart" uri="{C3380CC4-5D6E-409C-BE32-E72D297353CC}">
              <c16:uniqueId val="{00000005-0797-9847-BDE9-883FD2B311B7}"/>
            </c:ext>
          </c:extLst>
        </c:ser>
        <c:dLbls>
          <c:showLegendKey val="0"/>
          <c:showVal val="0"/>
          <c:showCatName val="0"/>
          <c:showSerName val="0"/>
          <c:showPercent val="0"/>
          <c:showBubbleSize val="0"/>
        </c:dLbls>
        <c:axId val="924521264"/>
        <c:axId val="924522976"/>
      </c:scatterChart>
      <c:valAx>
        <c:axId val="924521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2976"/>
        <c:crosses val="autoZero"/>
        <c:crossBetween val="midCat"/>
      </c:valAx>
      <c:valAx>
        <c:axId val="92452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Success Rate per Trial</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1264"/>
        <c:crosses val="autoZero"/>
        <c:crossBetween val="midCat"/>
      </c:valAx>
      <c:spPr>
        <a:noFill/>
        <a:ln>
          <a:noFill/>
        </a:ln>
        <a:effectLst/>
      </c:spPr>
    </c:plotArea>
    <c:legend>
      <c:legendPos val="tr"/>
      <c:layout>
        <c:manualLayout>
          <c:xMode val="edge"/>
          <c:yMode val="edge"/>
          <c:x val="0.21112204724409445"/>
          <c:y val="0.46875"/>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analysis!$GG$67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analysis!$FZ$68:$FZ$200</c:f>
              <c:numCache>
                <c:formatCode>General</c:formatCode>
                <c:ptCount val="133"/>
                <c:pt idx="0">
                  <c:v>13</c:v>
                </c:pt>
                <c:pt idx="1">
                  <c:v>37</c:v>
                </c:pt>
                <c:pt idx="2">
                  <c:v>73</c:v>
                </c:pt>
                <c:pt idx="3">
                  <c:v>121</c:v>
                </c:pt>
                <c:pt idx="4">
                  <c:v>181</c:v>
                </c:pt>
                <c:pt idx="5">
                  <c:v>169</c:v>
                </c:pt>
              </c:numCache>
            </c:numRef>
          </c:xVal>
          <c:yVal>
            <c:numRef>
              <c:f>analysis!$GG$68:$GG$200</c:f>
              <c:numCache>
                <c:formatCode>0.00</c:formatCode>
                <c:ptCount val="133"/>
                <c:pt idx="0">
                  <c:v>0</c:v>
                </c:pt>
                <c:pt idx="1">
                  <c:v>0</c:v>
                </c:pt>
                <c:pt idx="2">
                  <c:v>0</c:v>
                </c:pt>
                <c:pt idx="3">
                  <c:v>0</c:v>
                </c:pt>
                <c:pt idx="4">
                  <c:v>0</c:v>
                </c:pt>
                <c:pt idx="5">
                  <c:v>0</c:v>
                </c:pt>
              </c:numCache>
            </c:numRef>
          </c:yVal>
          <c:smooth val="0"/>
          <c:extLst>
            <c:ext xmlns:c16="http://schemas.microsoft.com/office/drawing/2014/chart" uri="{C3380CC4-5D6E-409C-BE32-E72D297353CC}">
              <c16:uniqueId val="{00000000-F82A-A642-BA6B-3BF74ABA4B8B}"/>
            </c:ext>
          </c:extLst>
        </c:ser>
        <c:ser>
          <c:idx val="7"/>
          <c:order val="1"/>
          <c:tx>
            <c:strRef>
              <c:f>analysis!$GH$67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analysis!$FZ$68:$FZ$200</c:f>
              <c:numCache>
                <c:formatCode>General</c:formatCode>
                <c:ptCount val="133"/>
                <c:pt idx="0">
                  <c:v>13</c:v>
                </c:pt>
                <c:pt idx="1">
                  <c:v>37</c:v>
                </c:pt>
                <c:pt idx="2">
                  <c:v>73</c:v>
                </c:pt>
                <c:pt idx="3">
                  <c:v>121</c:v>
                </c:pt>
                <c:pt idx="4">
                  <c:v>181</c:v>
                </c:pt>
                <c:pt idx="5">
                  <c:v>169</c:v>
                </c:pt>
              </c:numCache>
            </c:numRef>
          </c:xVal>
          <c:yVal>
            <c:numRef>
              <c:f>analysis!$GH$68:$GH$200</c:f>
              <c:numCache>
                <c:formatCode>0.00</c:formatCode>
                <c:ptCount val="133"/>
                <c:pt idx="0">
                  <c:v>0</c:v>
                </c:pt>
                <c:pt idx="1">
                  <c:v>0</c:v>
                </c:pt>
                <c:pt idx="2">
                  <c:v>0</c:v>
                </c:pt>
                <c:pt idx="3">
                  <c:v>0</c:v>
                </c:pt>
                <c:pt idx="4">
                  <c:v>0</c:v>
                </c:pt>
                <c:pt idx="5">
                  <c:v>0</c:v>
                </c:pt>
              </c:numCache>
            </c:numRef>
          </c:yVal>
          <c:smooth val="0"/>
          <c:extLst>
            <c:ext xmlns:c16="http://schemas.microsoft.com/office/drawing/2014/chart" uri="{C3380CC4-5D6E-409C-BE32-E72D297353CC}">
              <c16:uniqueId val="{00000001-F82A-A642-BA6B-3BF74ABA4B8B}"/>
            </c:ext>
          </c:extLst>
        </c:ser>
        <c:ser>
          <c:idx val="8"/>
          <c:order val="2"/>
          <c:tx>
            <c:strRef>
              <c:f>analysis!$GI$67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analysis!$FZ$68:$FZ$200</c:f>
              <c:numCache>
                <c:formatCode>General</c:formatCode>
                <c:ptCount val="133"/>
                <c:pt idx="0">
                  <c:v>13</c:v>
                </c:pt>
                <c:pt idx="1">
                  <c:v>37</c:v>
                </c:pt>
                <c:pt idx="2">
                  <c:v>73</c:v>
                </c:pt>
                <c:pt idx="3">
                  <c:v>121</c:v>
                </c:pt>
                <c:pt idx="4">
                  <c:v>181</c:v>
                </c:pt>
                <c:pt idx="5">
                  <c:v>169</c:v>
                </c:pt>
              </c:numCache>
            </c:numRef>
          </c:xVal>
          <c:yVal>
            <c:numRef>
              <c:f>analysis!$GI$68:$GI$200</c:f>
              <c:numCache>
                <c:formatCode>0.00</c:formatCode>
                <c:ptCount val="133"/>
                <c:pt idx="0">
                  <c:v>0</c:v>
                </c:pt>
                <c:pt idx="1">
                  <c:v>0</c:v>
                </c:pt>
                <c:pt idx="2">
                  <c:v>0</c:v>
                </c:pt>
                <c:pt idx="3">
                  <c:v>0</c:v>
                </c:pt>
                <c:pt idx="4">
                  <c:v>0</c:v>
                </c:pt>
                <c:pt idx="5">
                  <c:v>0</c:v>
                </c:pt>
              </c:numCache>
            </c:numRef>
          </c:yVal>
          <c:smooth val="0"/>
          <c:extLst>
            <c:ext xmlns:c16="http://schemas.microsoft.com/office/drawing/2014/chart" uri="{C3380CC4-5D6E-409C-BE32-E72D297353CC}">
              <c16:uniqueId val="{00000002-F82A-A642-BA6B-3BF74ABA4B8B}"/>
            </c:ext>
          </c:extLst>
        </c:ser>
        <c:ser>
          <c:idx val="9"/>
          <c:order val="3"/>
          <c:tx>
            <c:strRef>
              <c:f>analysis!$GJ$67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analysis!$FZ$68:$FZ$200</c:f>
              <c:numCache>
                <c:formatCode>General</c:formatCode>
                <c:ptCount val="133"/>
                <c:pt idx="0">
                  <c:v>13</c:v>
                </c:pt>
                <c:pt idx="1">
                  <c:v>37</c:v>
                </c:pt>
                <c:pt idx="2">
                  <c:v>73</c:v>
                </c:pt>
                <c:pt idx="3">
                  <c:v>121</c:v>
                </c:pt>
                <c:pt idx="4">
                  <c:v>181</c:v>
                </c:pt>
                <c:pt idx="5">
                  <c:v>169</c:v>
                </c:pt>
              </c:numCache>
            </c:numRef>
          </c:xVal>
          <c:yVal>
            <c:numRef>
              <c:f>analysis!$GJ$68:$GJ$200</c:f>
              <c:numCache>
                <c:formatCode>0.00</c:formatCode>
                <c:ptCount val="133"/>
                <c:pt idx="0">
                  <c:v>0</c:v>
                </c:pt>
                <c:pt idx="1">
                  <c:v>0</c:v>
                </c:pt>
                <c:pt idx="2">
                  <c:v>0</c:v>
                </c:pt>
                <c:pt idx="3">
                  <c:v>0</c:v>
                </c:pt>
                <c:pt idx="4">
                  <c:v>0</c:v>
                </c:pt>
                <c:pt idx="5">
                  <c:v>0</c:v>
                </c:pt>
              </c:numCache>
            </c:numRef>
          </c:yVal>
          <c:smooth val="0"/>
          <c:extLst>
            <c:ext xmlns:c16="http://schemas.microsoft.com/office/drawing/2014/chart" uri="{C3380CC4-5D6E-409C-BE32-E72D297353CC}">
              <c16:uniqueId val="{00000003-F82A-A642-BA6B-3BF74ABA4B8B}"/>
            </c:ext>
          </c:extLst>
        </c:ser>
        <c:ser>
          <c:idx val="10"/>
          <c:order val="4"/>
          <c:tx>
            <c:strRef>
              <c:f>analysis!$GK$67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analysis!$FZ$68:$FZ$200</c:f>
              <c:numCache>
                <c:formatCode>General</c:formatCode>
                <c:ptCount val="133"/>
                <c:pt idx="0">
                  <c:v>13</c:v>
                </c:pt>
                <c:pt idx="1">
                  <c:v>37</c:v>
                </c:pt>
                <c:pt idx="2">
                  <c:v>73</c:v>
                </c:pt>
                <c:pt idx="3">
                  <c:v>121</c:v>
                </c:pt>
                <c:pt idx="4">
                  <c:v>181</c:v>
                </c:pt>
                <c:pt idx="5">
                  <c:v>169</c:v>
                </c:pt>
              </c:numCache>
            </c:numRef>
          </c:xVal>
          <c:yVal>
            <c:numRef>
              <c:f>analysis!$GK$68:$GK$200</c:f>
              <c:numCache>
                <c:formatCode>0.00</c:formatCode>
                <c:ptCount val="133"/>
                <c:pt idx="0">
                  <c:v>0</c:v>
                </c:pt>
                <c:pt idx="1">
                  <c:v>0</c:v>
                </c:pt>
                <c:pt idx="2">
                  <c:v>0</c:v>
                </c:pt>
                <c:pt idx="3">
                  <c:v>0</c:v>
                </c:pt>
                <c:pt idx="4">
                  <c:v>0</c:v>
                </c:pt>
                <c:pt idx="5">
                  <c:v>0</c:v>
                </c:pt>
              </c:numCache>
            </c:numRef>
          </c:yVal>
          <c:smooth val="0"/>
          <c:extLst>
            <c:ext xmlns:c16="http://schemas.microsoft.com/office/drawing/2014/chart" uri="{C3380CC4-5D6E-409C-BE32-E72D297353CC}">
              <c16:uniqueId val="{00000004-F82A-A642-BA6B-3BF74ABA4B8B}"/>
            </c:ext>
          </c:extLst>
        </c:ser>
        <c:ser>
          <c:idx val="11"/>
          <c:order val="5"/>
          <c:tx>
            <c:strRef>
              <c:f>analysis!$GL$67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analysis!$FZ$68:$FZ$200</c:f>
              <c:numCache>
                <c:formatCode>General</c:formatCode>
                <c:ptCount val="133"/>
                <c:pt idx="0">
                  <c:v>13</c:v>
                </c:pt>
                <c:pt idx="1">
                  <c:v>37</c:v>
                </c:pt>
                <c:pt idx="2">
                  <c:v>73</c:v>
                </c:pt>
                <c:pt idx="3">
                  <c:v>121</c:v>
                </c:pt>
                <c:pt idx="4">
                  <c:v>181</c:v>
                </c:pt>
                <c:pt idx="5">
                  <c:v>169</c:v>
                </c:pt>
              </c:numCache>
            </c:numRef>
          </c:xVal>
          <c:yVal>
            <c:numRef>
              <c:f>analysis!$GL$68:$GL$200</c:f>
              <c:numCache>
                <c:formatCode>0.00</c:formatCode>
                <c:ptCount val="133"/>
                <c:pt idx="0">
                  <c:v>0</c:v>
                </c:pt>
                <c:pt idx="1">
                  <c:v>0</c:v>
                </c:pt>
                <c:pt idx="2">
                  <c:v>0</c:v>
                </c:pt>
                <c:pt idx="3">
                  <c:v>0</c:v>
                </c:pt>
                <c:pt idx="4">
                  <c:v>0</c:v>
                </c:pt>
                <c:pt idx="5">
                  <c:v>0</c:v>
                </c:pt>
              </c:numCache>
            </c:numRef>
          </c:yVal>
          <c:smooth val="0"/>
          <c:extLst>
            <c:ext xmlns:c16="http://schemas.microsoft.com/office/drawing/2014/chart" uri="{C3380CC4-5D6E-409C-BE32-E72D297353CC}">
              <c16:uniqueId val="{00000005-F82A-A642-BA6B-3BF74ABA4B8B}"/>
            </c:ext>
          </c:extLst>
        </c:ser>
        <c:dLbls>
          <c:showLegendKey val="0"/>
          <c:showVal val="0"/>
          <c:showCatName val="0"/>
          <c:showSerName val="0"/>
          <c:showPercent val="0"/>
          <c:showBubbleSize val="0"/>
        </c:dLbls>
        <c:axId val="923162368"/>
        <c:axId val="923164080"/>
      </c:scatterChart>
      <c:valAx>
        <c:axId val="923162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4080"/>
        <c:crosses val="autoZero"/>
        <c:crossBetween val="midCat"/>
      </c:valAx>
      <c:valAx>
        <c:axId val="92316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Delta</a:t>
                </a:r>
                <a:r>
                  <a:rPr lang="en-GB" sz="1200" baseline="0"/>
                  <a:t> d / d</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2368"/>
        <c:crosses val="autoZero"/>
        <c:crossBetween val="midCat"/>
      </c:valAx>
      <c:spPr>
        <a:noFill/>
        <a:ln>
          <a:noFill/>
        </a:ln>
        <a:effectLst/>
      </c:spPr>
    </c:plotArea>
    <c:legend>
      <c:legendPos val="l"/>
      <c:layout>
        <c:manualLayout>
          <c:xMode val="edge"/>
          <c:yMode val="edge"/>
          <c:x val="0.21884888054473614"/>
          <c:y val="4.2967519685039368E-2"/>
          <c:w val="0.22845854232633733"/>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xdr:colOff>
      <xdr:row>21</xdr:row>
      <xdr:rowOff>50800</xdr:rowOff>
    </xdr:from>
    <xdr:to>
      <xdr:col>2</xdr:col>
      <xdr:colOff>825500</xdr:colOff>
      <xdr:row>39</xdr:row>
      <xdr:rowOff>50800</xdr:rowOff>
    </xdr:to>
    <xdr:graphicFrame macro="">
      <xdr:nvGraphicFramePr>
        <xdr:cNvPr id="2" name="Chart 1">
          <a:extLst>
            <a:ext uri="{FF2B5EF4-FFF2-40B4-BE49-F238E27FC236}">
              <a16:creationId xmlns:a16="http://schemas.microsoft.com/office/drawing/2014/main" id="{139C71D1-EE6A-AF4D-BF00-76B58B912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8</xdr:col>
      <xdr:colOff>228600</xdr:colOff>
      <xdr:row>39</xdr:row>
      <xdr:rowOff>0</xdr:rowOff>
    </xdr:to>
    <xdr:graphicFrame macro="">
      <xdr:nvGraphicFramePr>
        <xdr:cNvPr id="3" name="Chart 2">
          <a:extLst>
            <a:ext uri="{FF2B5EF4-FFF2-40B4-BE49-F238E27FC236}">
              <a16:creationId xmlns:a16="http://schemas.microsoft.com/office/drawing/2014/main" id="{12C729E5-3C92-2B40-86AB-E01D0820F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21</xdr:row>
      <xdr:rowOff>0</xdr:rowOff>
    </xdr:from>
    <xdr:to>
      <xdr:col>13</xdr:col>
      <xdr:colOff>609600</xdr:colOff>
      <xdr:row>39</xdr:row>
      <xdr:rowOff>0</xdr:rowOff>
    </xdr:to>
    <xdr:graphicFrame macro="">
      <xdr:nvGraphicFramePr>
        <xdr:cNvPr id="4" name="Chart 3">
          <a:extLst>
            <a:ext uri="{FF2B5EF4-FFF2-40B4-BE49-F238E27FC236}">
              <a16:creationId xmlns:a16="http://schemas.microsoft.com/office/drawing/2014/main" id="{26D67067-B23B-9C4A-97A3-2F8C1C9D9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21</xdr:row>
      <xdr:rowOff>0</xdr:rowOff>
    </xdr:from>
    <xdr:to>
      <xdr:col>19</xdr:col>
      <xdr:colOff>203200</xdr:colOff>
      <xdr:row>39</xdr:row>
      <xdr:rowOff>0</xdr:rowOff>
    </xdr:to>
    <xdr:graphicFrame macro="">
      <xdr:nvGraphicFramePr>
        <xdr:cNvPr id="5" name="Chart 4">
          <a:extLst>
            <a:ext uri="{FF2B5EF4-FFF2-40B4-BE49-F238E27FC236}">
              <a16:creationId xmlns:a16="http://schemas.microsoft.com/office/drawing/2014/main" id="{6A35277C-6EE3-3F4F-A39D-D6CD496EF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7CD7E-15C0-314F-A04D-9447AF0A3782}">
  <dimension ref="A1:HN190"/>
  <sheetViews>
    <sheetView topLeftCell="A6" zoomScaleNormal="100" workbookViewId="0">
      <selection activeCell="C14" sqref="C14"/>
    </sheetView>
  </sheetViews>
  <sheetFormatPr baseColWidth="10" defaultColWidth="11" defaultRowHeight="16" x14ac:dyDescent="0.2"/>
  <cols>
    <col min="1" max="1" width="27.1640625" bestFit="1" customWidth="1"/>
    <col min="2" max="2" width="10.1640625" bestFit="1" customWidth="1"/>
    <col min="3" max="3" width="12.33203125" bestFit="1" customWidth="1"/>
    <col min="4" max="4" width="9.33203125" bestFit="1" customWidth="1"/>
    <col min="5" max="5" width="14" bestFit="1" customWidth="1"/>
    <col min="6" max="6" width="9" bestFit="1" customWidth="1"/>
    <col min="7" max="7" width="8.6640625" bestFit="1" customWidth="1"/>
    <col min="8" max="8" width="13.33203125" bestFit="1" customWidth="1"/>
    <col min="9" max="9" width="20" customWidth="1"/>
    <col min="10" max="10" width="8.6640625" bestFit="1" customWidth="1"/>
    <col min="11" max="11" width="6.1640625" customWidth="1"/>
    <col min="12" max="12" width="13" bestFit="1" customWidth="1"/>
    <col min="13" max="15" width="12.1640625" bestFit="1" customWidth="1"/>
    <col min="16" max="16" width="11.1640625" bestFit="1" customWidth="1"/>
    <col min="17" max="17" width="11" bestFit="1" customWidth="1"/>
    <col min="18" max="20" width="11" customWidth="1"/>
    <col min="21" max="21" width="9.83203125" customWidth="1"/>
    <col min="22" max="22" width="7" bestFit="1" customWidth="1"/>
    <col min="23" max="23" width="7.6640625" bestFit="1" customWidth="1"/>
    <col min="24" max="24" width="6.1640625" bestFit="1" customWidth="1"/>
    <col min="25" max="25" width="8.5" bestFit="1" customWidth="1"/>
    <col min="26" max="26" width="8.6640625" bestFit="1" customWidth="1"/>
    <col min="27" max="27" width="7.33203125" bestFit="1" customWidth="1"/>
    <col min="28" max="28" width="6.6640625" bestFit="1" customWidth="1"/>
    <col min="29" max="29" width="9" bestFit="1" customWidth="1"/>
    <col min="30" max="30" width="9.33203125" bestFit="1" customWidth="1"/>
    <col min="31" max="31" width="12.33203125" bestFit="1" customWidth="1"/>
    <col min="32" max="32" width="7.1640625" bestFit="1" customWidth="1"/>
    <col min="33" max="34" width="11.5" bestFit="1" customWidth="1"/>
    <col min="35" max="37" width="11.5" customWidth="1"/>
    <col min="39" max="50" width="7.83203125" customWidth="1"/>
    <col min="51" max="51" width="11.5" bestFit="1" customWidth="1"/>
    <col min="52" max="54" width="11.5" customWidth="1"/>
    <col min="55" max="55" width="7.83203125" customWidth="1"/>
    <col min="56" max="56" width="22.1640625" bestFit="1" customWidth="1"/>
    <col min="57" max="57" width="7.6640625" bestFit="1" customWidth="1"/>
    <col min="58" max="58" width="6.1640625" bestFit="1" customWidth="1"/>
    <col min="59" max="59" width="8.5" bestFit="1" customWidth="1"/>
    <col min="60" max="60" width="8.6640625" bestFit="1" customWidth="1"/>
    <col min="61" max="61" width="7.33203125" bestFit="1" customWidth="1"/>
    <col min="62" max="62" width="6.6640625" bestFit="1" customWidth="1"/>
    <col min="63" max="63" width="9" bestFit="1" customWidth="1"/>
    <col min="64" max="64" width="9.33203125" bestFit="1" customWidth="1"/>
    <col min="65" max="65" width="12.33203125" bestFit="1" customWidth="1"/>
    <col min="66" max="66" width="7.1640625" bestFit="1" customWidth="1"/>
    <col min="67" max="68" width="11.5" bestFit="1" customWidth="1"/>
    <col min="69" max="71" width="11.5" customWidth="1"/>
    <col min="73" max="73" width="7" bestFit="1" customWidth="1"/>
    <col min="74" max="74" width="7.6640625" bestFit="1" customWidth="1"/>
    <col min="75" max="75" width="6.1640625" bestFit="1" customWidth="1"/>
    <col min="76" max="76" width="8.5" bestFit="1" customWidth="1"/>
    <col min="77" max="77" width="8.6640625" bestFit="1" customWidth="1"/>
    <col min="78" max="78" width="7.33203125" bestFit="1" customWidth="1"/>
    <col min="79" max="79" width="6.6640625" bestFit="1" customWidth="1"/>
    <col min="80" max="80" width="9" bestFit="1" customWidth="1"/>
    <col min="81" max="81" width="9.33203125" bestFit="1" customWidth="1"/>
    <col min="82" max="82" width="12.33203125" bestFit="1" customWidth="1"/>
    <col min="83" max="83" width="7.1640625" bestFit="1" customWidth="1"/>
    <col min="84" max="85" width="11.5" bestFit="1" customWidth="1"/>
    <col min="86" max="88" width="11.5" customWidth="1"/>
    <col min="90" max="90" width="8.5" bestFit="1" customWidth="1"/>
    <col min="91" max="91" width="7.6640625" bestFit="1" customWidth="1"/>
    <col min="92" max="92" width="6.1640625" bestFit="1" customWidth="1"/>
    <col min="93" max="93" width="8.5" bestFit="1" customWidth="1"/>
    <col min="94" max="94" width="8.6640625" bestFit="1" customWidth="1"/>
    <col min="95" max="95" width="7.33203125" bestFit="1" customWidth="1"/>
    <col min="96" max="96" width="6.6640625" bestFit="1" customWidth="1"/>
    <col min="97" max="97" width="9" bestFit="1" customWidth="1"/>
    <col min="98" max="98" width="9.33203125" bestFit="1" customWidth="1"/>
    <col min="99" max="99" width="12.33203125" bestFit="1" customWidth="1"/>
    <col min="100" max="100" width="7.1640625" bestFit="1" customWidth="1"/>
    <col min="101" max="102" width="11.5" bestFit="1" customWidth="1"/>
    <col min="103" max="105" width="11.5" customWidth="1"/>
    <col min="107" max="107" width="20.6640625" bestFit="1" customWidth="1"/>
    <col min="108" max="108" width="7.6640625" bestFit="1" customWidth="1"/>
    <col min="109" max="111" width="12.1640625" bestFit="1" customWidth="1"/>
    <col min="112" max="112" width="7.33203125" bestFit="1" customWidth="1"/>
    <col min="113" max="115" width="12.1640625" bestFit="1" customWidth="1"/>
    <col min="116" max="116" width="12.33203125" bestFit="1" customWidth="1"/>
    <col min="117" max="119" width="12.1640625" bestFit="1" customWidth="1"/>
    <col min="120" max="122" width="12.1640625" customWidth="1"/>
    <col min="124" max="124" width="20.6640625" bestFit="1" customWidth="1"/>
    <col min="125" max="125" width="7.6640625" bestFit="1" customWidth="1"/>
    <col min="126" max="128" width="12.1640625" bestFit="1" customWidth="1"/>
    <col min="129" max="129" width="7.33203125" bestFit="1" customWidth="1"/>
    <col min="130" max="132" width="12.1640625" bestFit="1" customWidth="1"/>
    <col min="133" max="133" width="12.33203125" bestFit="1" customWidth="1"/>
    <col min="134" max="136" width="12.1640625" bestFit="1" customWidth="1"/>
    <col min="137" max="139" width="12.1640625" customWidth="1"/>
    <col min="141" max="141" width="7" bestFit="1" customWidth="1"/>
    <col min="142" max="142" width="7.6640625" bestFit="1" customWidth="1"/>
    <col min="143" max="143" width="6.1640625" bestFit="1" customWidth="1"/>
    <col min="144" max="144" width="8.5" bestFit="1" customWidth="1"/>
    <col min="145" max="145" width="8.6640625" bestFit="1" customWidth="1"/>
    <col min="146" max="146" width="7.33203125" bestFit="1" customWidth="1"/>
    <col min="147" max="147" width="6.6640625" bestFit="1" customWidth="1"/>
    <col min="148" max="148" width="9" bestFit="1" customWidth="1"/>
    <col min="149" max="149" width="9.33203125" bestFit="1" customWidth="1"/>
    <col min="150" max="150" width="12.33203125" bestFit="1" customWidth="1"/>
    <col min="151" max="151" width="7.1640625" bestFit="1" customWidth="1"/>
    <col min="152" max="153" width="11.5" bestFit="1" customWidth="1"/>
    <col min="154" max="156" width="11.5" customWidth="1"/>
    <col min="158" max="158" width="7" bestFit="1" customWidth="1"/>
    <col min="159" max="159" width="7.6640625" bestFit="1" customWidth="1"/>
    <col min="160" max="160" width="6.1640625" bestFit="1" customWidth="1"/>
    <col min="161" max="161" width="8.5" bestFit="1" customWidth="1"/>
    <col min="162" max="162" width="8.6640625" bestFit="1" customWidth="1"/>
    <col min="163" max="163" width="7.33203125" bestFit="1" customWidth="1"/>
    <col min="164" max="164" width="6.6640625" bestFit="1" customWidth="1"/>
    <col min="165" max="165" width="9" bestFit="1" customWidth="1"/>
    <col min="166" max="166" width="9.33203125" bestFit="1" customWidth="1"/>
    <col min="167" max="167" width="12.33203125" bestFit="1" customWidth="1"/>
    <col min="168" max="168" width="7.1640625" bestFit="1" customWidth="1"/>
    <col min="169" max="170" width="11.5" bestFit="1" customWidth="1"/>
    <col min="171" max="173" width="11.5" customWidth="1"/>
    <col min="176" max="176" width="12.1640625" bestFit="1" customWidth="1"/>
    <col min="182" max="182" width="4.1640625" bestFit="1" customWidth="1"/>
    <col min="183" max="183" width="6.6640625" bestFit="1" customWidth="1"/>
    <col min="184" max="184" width="9" bestFit="1" customWidth="1"/>
    <col min="185" max="185" width="7" bestFit="1" customWidth="1"/>
    <col min="186" max="186" width="8.5" bestFit="1" customWidth="1"/>
    <col min="187" max="187" width="7.5" bestFit="1" customWidth="1"/>
    <col min="188" max="188" width="8.6640625" bestFit="1" customWidth="1"/>
    <col min="189" max="189" width="12.33203125" bestFit="1" customWidth="1"/>
    <col min="190" max="190" width="9.33203125" bestFit="1" customWidth="1"/>
    <col min="191" max="191" width="6.1640625" bestFit="1" customWidth="1"/>
    <col min="192" max="192" width="7.33203125" bestFit="1" customWidth="1"/>
    <col min="193" max="193" width="7.6640625" bestFit="1" customWidth="1"/>
    <col min="194" max="194" width="7.1640625" bestFit="1" customWidth="1"/>
    <col min="195" max="195" width="7.1640625" customWidth="1"/>
    <col min="196" max="196" width="6.6640625" customWidth="1"/>
    <col min="197" max="197" width="7.6640625" bestFit="1" customWidth="1"/>
    <col min="198" max="198" width="9" bestFit="1" customWidth="1"/>
    <col min="199" max="199" width="7.6640625" bestFit="1" customWidth="1"/>
    <col min="200" max="200" width="8.5" bestFit="1" customWidth="1"/>
    <col min="201" max="201" width="7.6640625" bestFit="1" customWidth="1"/>
    <col min="202" max="202" width="8.6640625" bestFit="1" customWidth="1"/>
    <col min="203" max="203" width="12.33203125" bestFit="1" customWidth="1"/>
    <col min="204" max="204" width="9.33203125" bestFit="1" customWidth="1"/>
    <col min="205" max="208" width="7.6640625" bestFit="1" customWidth="1"/>
    <col min="210" max="210" width="4.1640625" bestFit="1" customWidth="1"/>
    <col min="211" max="211" width="7.1640625" bestFit="1" customWidth="1"/>
    <col min="212" max="212" width="9" bestFit="1" customWidth="1"/>
    <col min="213" max="213" width="7.1640625" bestFit="1" customWidth="1"/>
    <col min="214" max="214" width="8.5" bestFit="1" customWidth="1"/>
    <col min="215" max="215" width="7.5" bestFit="1" customWidth="1"/>
    <col min="216" max="216" width="8.6640625" bestFit="1" customWidth="1"/>
    <col min="217" max="217" width="12.33203125" bestFit="1" customWidth="1"/>
    <col min="218" max="218" width="9.33203125" bestFit="1" customWidth="1"/>
    <col min="219" max="219" width="6.1640625" bestFit="1" customWidth="1"/>
    <col min="220" max="220" width="7.33203125" bestFit="1" customWidth="1"/>
    <col min="221" max="221" width="7.6640625" bestFit="1" customWidth="1"/>
    <col min="222" max="222" width="7.1640625" bestFit="1" customWidth="1"/>
  </cols>
  <sheetData>
    <row r="1" spans="1:26" ht="22" x14ac:dyDescent="0.3">
      <c r="A1" s="2" t="str" cm="1">
        <f t="array" aca="1" ref="A1" ca="1">MID(CELL("filename"),SEARCH("[",CELL("filename"))+1,SEARCH("]",CELL("filename"))-SEARCH("[",CELL("filename"))-1)</f>
        <v>10 qc_CC_superdense.xlsx</v>
      </c>
      <c r="B1" s="2"/>
      <c r="U1" s="3"/>
      <c r="V1" s="3"/>
    </row>
    <row r="2" spans="1:26" x14ac:dyDescent="0.2">
      <c r="Y2" s="4"/>
      <c r="Z2" s="5"/>
    </row>
    <row r="3" spans="1:26" x14ac:dyDescent="0.2">
      <c r="A3" s="3" t="s">
        <v>0</v>
      </c>
      <c r="B3" s="18">
        <f ca="1">COUNT(AB:AB)</f>
        <v>6</v>
      </c>
      <c r="C3" s="3" t="s">
        <v>1</v>
      </c>
      <c r="D3" s="18">
        <f ca="1">MAX(B68:B300)</f>
        <v>181</v>
      </c>
      <c r="E3" s="3" t="s">
        <v>2</v>
      </c>
      <c r="F3" s="18">
        <f ca="1">MIN(B68:B300)</f>
        <v>13</v>
      </c>
      <c r="G3" s="6" t="s">
        <v>229</v>
      </c>
      <c r="H3">
        <f ca="1">SUM(C68:C300)</f>
        <v>50</v>
      </c>
      <c r="M3" s="6" t="s">
        <v>3</v>
      </c>
      <c r="N3">
        <f>8*60*60</f>
        <v>28800</v>
      </c>
      <c r="Y3" s="4"/>
      <c r="Z3" s="5"/>
    </row>
    <row r="4" spans="1:26" x14ac:dyDescent="0.2">
      <c r="M4" t="s">
        <v>4</v>
      </c>
      <c r="N4">
        <f ca="1">D3</f>
        <v>181</v>
      </c>
      <c r="O4" t="s">
        <v>5</v>
      </c>
      <c r="P4">
        <f ca="1">COUNTIFS(B68:B195,"&lt;="&amp;$N$4)</f>
        <v>6</v>
      </c>
      <c r="Y4" s="4"/>
      <c r="Z4" s="5"/>
    </row>
    <row r="5" spans="1:26" x14ac:dyDescent="0.2">
      <c r="A5" s="11" t="s">
        <v>6</v>
      </c>
      <c r="M5" s="11" t="s">
        <v>7</v>
      </c>
      <c r="Y5" s="4"/>
      <c r="Z5" s="5"/>
    </row>
    <row r="6" spans="1:26" x14ac:dyDescent="0.2">
      <c r="B6" s="6" t="s">
        <v>8</v>
      </c>
      <c r="C6" s="6" t="s">
        <v>9</v>
      </c>
      <c r="D6" s="6" t="s">
        <v>10</v>
      </c>
      <c r="E6" s="6" t="s">
        <v>11</v>
      </c>
      <c r="F6" s="6" t="s">
        <v>12</v>
      </c>
      <c r="G6" s="6" t="s">
        <v>13</v>
      </c>
      <c r="H6" s="6" t="s">
        <v>14</v>
      </c>
      <c r="I6" s="6"/>
      <c r="N6" s="6" t="s">
        <v>15</v>
      </c>
      <c r="O6" s="6" t="s">
        <v>16</v>
      </c>
      <c r="P6" s="6" t="s">
        <v>17</v>
      </c>
      <c r="Q6" s="6" t="s">
        <v>18</v>
      </c>
      <c r="R6" s="6" t="s">
        <v>19</v>
      </c>
      <c r="S6" s="6"/>
      <c r="T6" s="6"/>
      <c r="U6" s="6"/>
      <c r="Y6" s="4"/>
      <c r="Z6" s="5"/>
    </row>
    <row r="7" spans="1:26" x14ac:dyDescent="0.2">
      <c r="A7" s="6" t="s">
        <v>20</v>
      </c>
      <c r="B7" s="12">
        <f ca="1">SUM(BI:BI)</f>
        <v>6</v>
      </c>
      <c r="C7" s="12">
        <f t="shared" ref="C7:H7" ca="1" si="0">SUM(BJ:BJ)</f>
        <v>6</v>
      </c>
      <c r="D7" s="12">
        <f t="shared" ca="1" si="0"/>
        <v>6</v>
      </c>
      <c r="E7" s="12">
        <f t="shared" ca="1" si="0"/>
        <v>6</v>
      </c>
      <c r="F7" s="12">
        <f t="shared" ca="1" si="0"/>
        <v>6</v>
      </c>
      <c r="G7" s="12">
        <f t="shared" ca="1" si="0"/>
        <v>6</v>
      </c>
      <c r="H7" s="12">
        <f t="shared" ca="1" si="0"/>
        <v>6</v>
      </c>
      <c r="I7" s="12"/>
      <c r="J7" s="14" t="s">
        <v>21</v>
      </c>
      <c r="K7" s="13"/>
      <c r="M7" s="6" t="s">
        <v>20</v>
      </c>
      <c r="N7">
        <f ca="1">SUMIFS(BD:BD,$B:$B,"&lt;="&amp;$N$4)</f>
        <v>6</v>
      </c>
      <c r="O7">
        <f t="shared" ref="O7:R7" ca="1" si="1">SUMIFS(BE:BE,$B:$B,"&lt;="&amp;$N$4)</f>
        <v>6</v>
      </c>
      <c r="P7">
        <f t="shared" ca="1" si="1"/>
        <v>6</v>
      </c>
      <c r="Q7">
        <f t="shared" ca="1" si="1"/>
        <v>4</v>
      </c>
      <c r="R7">
        <f t="shared" ca="1" si="1"/>
        <v>5</v>
      </c>
      <c r="S7" s="14" t="s">
        <v>21</v>
      </c>
      <c r="Y7" s="4"/>
      <c r="Z7" s="5"/>
    </row>
    <row r="8" spans="1:26" x14ac:dyDescent="0.2">
      <c r="A8" s="6" t="s">
        <v>22</v>
      </c>
      <c r="B8" s="19">
        <f ca="1">$B$3-B7</f>
        <v>0</v>
      </c>
      <c r="C8" s="19">
        <f t="shared" ref="C8:H8" ca="1" si="2">$B$3-C7</f>
        <v>0</v>
      </c>
      <c r="D8" s="19">
        <f t="shared" ca="1" si="2"/>
        <v>0</v>
      </c>
      <c r="E8" s="19">
        <f t="shared" ca="1" si="2"/>
        <v>0</v>
      </c>
      <c r="F8" s="19">
        <f t="shared" ca="1" si="2"/>
        <v>0</v>
      </c>
      <c r="G8" s="19">
        <f t="shared" ca="1" si="2"/>
        <v>0</v>
      </c>
      <c r="H8" s="19">
        <f t="shared" ca="1" si="2"/>
        <v>0</v>
      </c>
      <c r="I8" s="19"/>
      <c r="J8" s="14" t="s">
        <v>21</v>
      </c>
      <c r="M8" s="6" t="s">
        <v>23</v>
      </c>
      <c r="N8">
        <f ca="1">SUMIFS(AM:AM,$B:$B,"&lt;="&amp;$N$4)</f>
        <v>4</v>
      </c>
      <c r="O8">
        <f t="shared" ref="O8:R8" ca="1" si="3">SUMIFS(AN:AN,$B:$B,"&lt;="&amp;$N$4)</f>
        <v>4</v>
      </c>
      <c r="P8">
        <f t="shared" ca="1" si="3"/>
        <v>4</v>
      </c>
      <c r="Q8">
        <f t="shared" ca="1" si="3"/>
        <v>4</v>
      </c>
      <c r="R8">
        <f t="shared" ca="1" si="3"/>
        <v>3</v>
      </c>
      <c r="S8" s="14" t="s">
        <v>21</v>
      </c>
      <c r="Y8" s="4"/>
      <c r="Z8" s="5"/>
    </row>
    <row r="9" spans="1:26" x14ac:dyDescent="0.2">
      <c r="A9" s="6" t="s">
        <v>24</v>
      </c>
      <c r="B9" s="7">
        <f ca="1">SUM(CQ:CQ)</f>
        <v>6</v>
      </c>
      <c r="C9" s="7">
        <f t="shared" ref="C9:H9" ca="1" si="4">SUM(CR:CR)</f>
        <v>6</v>
      </c>
      <c r="D9" s="7">
        <f t="shared" ca="1" si="4"/>
        <v>6</v>
      </c>
      <c r="E9" s="7">
        <f t="shared" ca="1" si="4"/>
        <v>6</v>
      </c>
      <c r="F9" s="7">
        <f t="shared" ca="1" si="4"/>
        <v>6</v>
      </c>
      <c r="G9" s="7">
        <f t="shared" ca="1" si="4"/>
        <v>6</v>
      </c>
      <c r="H9" s="7">
        <f t="shared" ca="1" si="4"/>
        <v>6</v>
      </c>
      <c r="I9" s="7"/>
      <c r="J9" s="14" t="s">
        <v>25</v>
      </c>
      <c r="M9" s="6" t="s">
        <v>26</v>
      </c>
      <c r="N9">
        <f ca="1">N7-N8</f>
        <v>2</v>
      </c>
      <c r="O9">
        <f t="shared" ref="O9:R9" ca="1" si="5">O7-O8</f>
        <v>2</v>
      </c>
      <c r="P9">
        <f t="shared" ca="1" si="5"/>
        <v>2</v>
      </c>
      <c r="Q9">
        <f t="shared" ca="1" si="5"/>
        <v>0</v>
      </c>
      <c r="R9">
        <f t="shared" ca="1" si="5"/>
        <v>2</v>
      </c>
      <c r="S9" s="14" t="s">
        <v>21</v>
      </c>
      <c r="Y9" s="4"/>
      <c r="Z9" s="5"/>
    </row>
    <row r="10" spans="1:26" x14ac:dyDescent="0.2">
      <c r="A10" s="6" t="s">
        <v>27</v>
      </c>
      <c r="B10" s="4">
        <f ca="1">B9/$B$3</f>
        <v>1</v>
      </c>
      <c r="C10" s="4">
        <f t="shared" ref="C10:H10" ca="1" si="6">C9/$B$3</f>
        <v>1</v>
      </c>
      <c r="D10" s="4">
        <f t="shared" ca="1" si="6"/>
        <v>1</v>
      </c>
      <c r="E10" s="4">
        <f t="shared" ca="1" si="6"/>
        <v>1</v>
      </c>
      <c r="F10" s="4">
        <f t="shared" ca="1" si="6"/>
        <v>1</v>
      </c>
      <c r="G10" s="4">
        <f t="shared" ca="1" si="6"/>
        <v>1</v>
      </c>
      <c r="H10" s="4">
        <f t="shared" ca="1" si="6"/>
        <v>1</v>
      </c>
      <c r="I10" s="4"/>
      <c r="J10" s="14" t="s">
        <v>28</v>
      </c>
      <c r="M10" s="16" t="s">
        <v>22</v>
      </c>
      <c r="N10" s="19">
        <f ca="1">$P$4-N7</f>
        <v>0</v>
      </c>
      <c r="O10" s="19">
        <f t="shared" ref="O10:R10" ca="1" si="7">$P$4-O7</f>
        <v>0</v>
      </c>
      <c r="P10" s="19">
        <f t="shared" ca="1" si="7"/>
        <v>0</v>
      </c>
      <c r="Q10" s="19">
        <f t="shared" ca="1" si="7"/>
        <v>2</v>
      </c>
      <c r="R10" s="19">
        <f t="shared" ca="1" si="7"/>
        <v>1</v>
      </c>
      <c r="S10" s="14" t="s">
        <v>21</v>
      </c>
      <c r="T10" s="5"/>
      <c r="U10" s="5"/>
      <c r="Y10" s="4"/>
      <c r="Z10" s="5"/>
    </row>
    <row r="11" spans="1:26" x14ac:dyDescent="0.2">
      <c r="A11" s="6" t="s">
        <v>29</v>
      </c>
      <c r="B11" s="5">
        <f ca="1">SUM(DH:DH)</f>
        <v>39.435761264525325</v>
      </c>
      <c r="C11" s="5">
        <f t="shared" ref="C11:H11" ca="1" si="8">SUM(DI:DI)</f>
        <v>1906.3924738708834</v>
      </c>
      <c r="D11" s="5">
        <f t="shared" ca="1" si="8"/>
        <v>1925.8175672814214</v>
      </c>
      <c r="E11" s="5">
        <f t="shared" ca="1" si="8"/>
        <v>5730.770538805974</v>
      </c>
      <c r="F11" s="5">
        <f t="shared" ca="1" si="8"/>
        <v>3.1155393421649897</v>
      </c>
      <c r="G11" s="5">
        <f t="shared" ca="1" si="8"/>
        <v>45.713972695171805</v>
      </c>
      <c r="H11" s="5">
        <f t="shared" ca="1" si="8"/>
        <v>46.603759445249942</v>
      </c>
      <c r="I11" s="5"/>
      <c r="J11" s="15" t="s">
        <v>30</v>
      </c>
      <c r="M11" s="17" t="s">
        <v>24</v>
      </c>
      <c r="N11">
        <f ca="1">SUMIFS(CL:CL,$B:$B,"&lt;="&amp;$N$4)</f>
        <v>6</v>
      </c>
      <c r="O11">
        <f t="shared" ref="O11:R11" ca="1" si="9">SUMIFS(CM:CM,$B:$B,"&lt;="&amp;$N$4)</f>
        <v>6</v>
      </c>
      <c r="P11">
        <f t="shared" ca="1" si="9"/>
        <v>4</v>
      </c>
      <c r="Q11">
        <f t="shared" ca="1" si="9"/>
        <v>4</v>
      </c>
      <c r="R11">
        <f t="shared" ca="1" si="9"/>
        <v>5</v>
      </c>
      <c r="S11" s="14" t="s">
        <v>21</v>
      </c>
      <c r="T11" s="5"/>
      <c r="U11" s="5"/>
      <c r="Y11" s="4"/>
      <c r="Z11" s="5"/>
    </row>
    <row r="12" spans="1:26" x14ac:dyDescent="0.2">
      <c r="A12" s="6" t="s">
        <v>31</v>
      </c>
      <c r="B12" s="7"/>
      <c r="C12" s="7">
        <f t="shared" ref="C12:H12" ca="1" si="10">SUM(FH:FH)</f>
        <v>60000</v>
      </c>
      <c r="D12" s="7">
        <f t="shared" ca="1" si="10"/>
        <v>60000</v>
      </c>
      <c r="E12" s="7">
        <f t="shared" ca="1" si="10"/>
        <v>60000</v>
      </c>
      <c r="F12" s="7">
        <f t="shared" ca="1" si="10"/>
        <v>6</v>
      </c>
      <c r="G12" s="7">
        <f t="shared" ca="1" si="10"/>
        <v>6</v>
      </c>
      <c r="H12" s="7">
        <f t="shared" ca="1" si="10"/>
        <v>12</v>
      </c>
      <c r="I12" s="7"/>
      <c r="J12" s="14" t="s">
        <v>21</v>
      </c>
      <c r="M12" s="6" t="s">
        <v>32</v>
      </c>
      <c r="N12" s="4">
        <f ca="1">N11/$P$4</f>
        <v>1</v>
      </c>
      <c r="O12" s="4">
        <f t="shared" ref="O12:R12" ca="1" si="11">O11/$P$4</f>
        <v>1</v>
      </c>
      <c r="P12" s="4">
        <f t="shared" ca="1" si="11"/>
        <v>0.66666666666666663</v>
      </c>
      <c r="Q12" s="4">
        <f t="shared" ca="1" si="11"/>
        <v>0.66666666666666663</v>
      </c>
      <c r="R12" s="4">
        <f t="shared" ca="1" si="11"/>
        <v>0.83333333333333337</v>
      </c>
      <c r="S12" s="14" t="s">
        <v>28</v>
      </c>
      <c r="Y12" s="4"/>
      <c r="Z12" s="5"/>
    </row>
    <row r="13" spans="1:26" x14ac:dyDescent="0.2">
      <c r="A13" s="6" t="s">
        <v>33</v>
      </c>
      <c r="C13">
        <f ca="1">SUM(DZ:DZ)</f>
        <v>32077</v>
      </c>
      <c r="D13">
        <f ca="1">SUM(EA:EA)</f>
        <v>47630</v>
      </c>
      <c r="E13">
        <f t="shared" ref="E13:H13" ca="1" si="12">SUM(EB:EB)</f>
        <v>59809</v>
      </c>
      <c r="F13">
        <f t="shared" ca="1" si="12"/>
        <v>6</v>
      </c>
      <c r="G13">
        <f t="shared" ca="1" si="12"/>
        <v>6</v>
      </c>
      <c r="H13">
        <f t="shared" ca="1" si="12"/>
        <v>12</v>
      </c>
      <c r="J13" s="14" t="s">
        <v>25</v>
      </c>
      <c r="M13" s="6" t="s">
        <v>34</v>
      </c>
      <c r="N13" s="5">
        <f ca="1">SUMIFS(DC:DC,$B:$B,"&lt;="&amp;$N$4)+N16*$N$3</f>
        <v>59109.671726968954</v>
      </c>
      <c r="O13" s="5">
        <f t="shared" ref="O13:R13" ca="1" si="13">SUMIFS(DD:DD,$B:$B,"&lt;="&amp;$N$4)+O16*$N$3</f>
        <v>68022.792139859739</v>
      </c>
      <c r="P13" s="5">
        <f t="shared" ca="1" si="13"/>
        <v>79718.359271330599</v>
      </c>
      <c r="Q13" s="5">
        <f t="shared" ca="1" si="13"/>
        <v>57654.547618803394</v>
      </c>
      <c r="R13" s="5">
        <f t="shared" ca="1" si="13"/>
        <v>86529.608481498988</v>
      </c>
      <c r="S13" s="15" t="s">
        <v>30</v>
      </c>
      <c r="Y13" s="4"/>
      <c r="Z13" s="5"/>
    </row>
    <row r="14" spans="1:26" x14ac:dyDescent="0.2">
      <c r="A14" s="6" t="s">
        <v>35</v>
      </c>
      <c r="B14" s="4"/>
      <c r="C14" s="4">
        <f t="shared" ref="C14:H14" ca="1" si="14">C13/C12</f>
        <v>0.53461666666666663</v>
      </c>
      <c r="D14" s="4">
        <f t="shared" ca="1" si="14"/>
        <v>0.79383333333333328</v>
      </c>
      <c r="E14" s="4">
        <f t="shared" ca="1" si="14"/>
        <v>0.99681666666666668</v>
      </c>
      <c r="F14" s="4">
        <f t="shared" ca="1" si="14"/>
        <v>1</v>
      </c>
      <c r="G14" s="4">
        <f t="shared" ca="1" si="14"/>
        <v>1</v>
      </c>
      <c r="H14" s="4">
        <f t="shared" ca="1" si="14"/>
        <v>1</v>
      </c>
      <c r="I14" s="4"/>
      <c r="J14" s="14" t="s">
        <v>28</v>
      </c>
      <c r="M14" s="6" t="s">
        <v>36</v>
      </c>
      <c r="N14" s="5">
        <f ca="1">N13/$P$4</f>
        <v>9851.6119544948251</v>
      </c>
      <c r="O14" s="5">
        <f t="shared" ref="O14:R14" ca="1" si="15">O13/$P$4</f>
        <v>11337.132023309956</v>
      </c>
      <c r="P14" s="5">
        <f t="shared" ca="1" si="15"/>
        <v>13286.393211888433</v>
      </c>
      <c r="Q14" s="5">
        <f t="shared" ca="1" si="15"/>
        <v>9609.091269800565</v>
      </c>
      <c r="R14" s="5">
        <f t="shared" ca="1" si="15"/>
        <v>14421.601413583165</v>
      </c>
      <c r="S14" s="15" t="s">
        <v>30</v>
      </c>
      <c r="T14" s="7"/>
      <c r="U14" s="7"/>
      <c r="Y14" s="4"/>
      <c r="Z14" s="5"/>
    </row>
    <row r="15" spans="1:26" x14ac:dyDescent="0.2">
      <c r="A15" s="6" t="s">
        <v>36</v>
      </c>
      <c r="B15" s="20"/>
      <c r="C15" s="20">
        <f t="shared" ref="C15:H15" ca="1" si="16">IF(C12,C11/C12,"")</f>
        <v>3.1773207897848058E-2</v>
      </c>
      <c r="D15" s="20">
        <f t="shared" ca="1" si="16"/>
        <v>3.2096959454690356E-2</v>
      </c>
      <c r="E15" s="20">
        <f t="shared" ca="1" si="16"/>
        <v>9.5512842313432905E-2</v>
      </c>
      <c r="F15" s="20">
        <f t="shared" ca="1" si="16"/>
        <v>0.51925655702749829</v>
      </c>
      <c r="G15" s="20">
        <f t="shared" ca="1" si="16"/>
        <v>7.6189954491953005</v>
      </c>
      <c r="H15" s="20">
        <f t="shared" ca="1" si="16"/>
        <v>3.8836466204374953</v>
      </c>
      <c r="I15" s="20"/>
      <c r="J15" s="15" t="s">
        <v>30</v>
      </c>
      <c r="M15" s="17" t="s">
        <v>37</v>
      </c>
      <c r="N15" s="5">
        <f ca="1">IF(N11,N13/N11,"")</f>
        <v>9851.6119544948251</v>
      </c>
      <c r="O15" s="5">
        <f t="shared" ref="O15:R15" ca="1" si="17">IF(O11,O13/O11,"")</f>
        <v>11337.132023309956</v>
      </c>
      <c r="P15" s="5">
        <f t="shared" ca="1" si="17"/>
        <v>19929.58981783265</v>
      </c>
      <c r="Q15" s="5">
        <f t="shared" ca="1" si="17"/>
        <v>14413.636904700848</v>
      </c>
      <c r="R15" s="5">
        <f t="shared" ca="1" si="17"/>
        <v>17305.921696299796</v>
      </c>
      <c r="S15" s="15" t="s">
        <v>30</v>
      </c>
      <c r="T15" s="4"/>
      <c r="U15" s="4" t="str">
        <f t="shared" ref="U15" si="18">IF(U12,U14/U12,"")</f>
        <v/>
      </c>
      <c r="Y15" s="4"/>
      <c r="Z15" s="5"/>
    </row>
    <row r="16" spans="1:26" x14ac:dyDescent="0.2">
      <c r="A16" s="6" t="s">
        <v>37</v>
      </c>
      <c r="B16" s="5"/>
      <c r="C16" s="5">
        <f t="shared" ref="C16:H16" ca="1" si="19">IF(C13,C11/C13,"")</f>
        <v>5.9431757142840144E-2</v>
      </c>
      <c r="D16" s="5">
        <f t="shared" ca="1" si="19"/>
        <v>4.0432869352958666E-2</v>
      </c>
      <c r="E16" s="5">
        <f t="shared" ca="1" si="19"/>
        <v>9.5817862509086832E-2</v>
      </c>
      <c r="F16" s="5">
        <f t="shared" ca="1" si="19"/>
        <v>0.51925655702749829</v>
      </c>
      <c r="G16" s="5">
        <f t="shared" ca="1" si="19"/>
        <v>7.6189954491953005</v>
      </c>
      <c r="H16" s="5">
        <f t="shared" ca="1" si="19"/>
        <v>3.8836466204374953</v>
      </c>
      <c r="I16" s="5"/>
      <c r="J16" s="15" t="s">
        <v>30</v>
      </c>
      <c r="M16" s="6" t="s">
        <v>38</v>
      </c>
      <c r="N16">
        <f ca="1">COUNTIFS(DC:DC,"=0",$B:$B,"&lt;="&amp;$N$4)</f>
        <v>0</v>
      </c>
      <c r="O16">
        <f t="shared" ref="O16:R16" ca="1" si="20">COUNTIFS(DD:DD,"=0",$B:$B,"&lt;="&amp;$N$4)</f>
        <v>0</v>
      </c>
      <c r="P16">
        <f t="shared" ca="1" si="20"/>
        <v>0</v>
      </c>
      <c r="Q16">
        <f t="shared" ca="1" si="20"/>
        <v>0</v>
      </c>
      <c r="R16">
        <f t="shared" ca="1" si="20"/>
        <v>0</v>
      </c>
      <c r="Y16" s="4"/>
      <c r="Z16" s="5"/>
    </row>
    <row r="17" spans="1:180" x14ac:dyDescent="0.2">
      <c r="A17" s="6" t="s">
        <v>38</v>
      </c>
      <c r="B17">
        <f ca="1">COUNTIFS(DH:DH,"=0")</f>
        <v>0</v>
      </c>
      <c r="C17">
        <f t="shared" ref="C17:H17" ca="1" si="21">COUNTIFS(DI:DI,"=0")</f>
        <v>0</v>
      </c>
      <c r="D17">
        <f t="shared" ca="1" si="21"/>
        <v>0</v>
      </c>
      <c r="E17">
        <f t="shared" ca="1" si="21"/>
        <v>0</v>
      </c>
      <c r="F17">
        <f t="shared" ca="1" si="21"/>
        <v>0</v>
      </c>
      <c r="G17">
        <f t="shared" ca="1" si="21"/>
        <v>0</v>
      </c>
      <c r="H17">
        <f t="shared" ca="1" si="21"/>
        <v>0</v>
      </c>
      <c r="J17" s="14"/>
      <c r="M17" s="6" t="s">
        <v>230</v>
      </c>
      <c r="N17">
        <f ca="1">_xlfn.MAXIFS($B67:$B267,DC67:DC267,"&lt;&gt;0",$B67:$B267,"&lt;="&amp;$N$4)</f>
        <v>181</v>
      </c>
      <c r="O17">
        <f t="shared" ref="O17:R17" ca="1" si="22">_xlfn.MAXIFS($B67:$B267,DD67:DD267,"&lt;&gt;0",$B67:$B267,"&lt;="&amp;$N$4)</f>
        <v>181</v>
      </c>
      <c r="P17">
        <f t="shared" ca="1" si="22"/>
        <v>181</v>
      </c>
      <c r="Q17">
        <f t="shared" ca="1" si="22"/>
        <v>181</v>
      </c>
      <c r="R17">
        <f t="shared" ca="1" si="22"/>
        <v>181</v>
      </c>
      <c r="Y17" s="4"/>
      <c r="Z17" s="5"/>
    </row>
    <row r="18" spans="1:180" x14ac:dyDescent="0.2">
      <c r="A18" s="6" t="s">
        <v>231</v>
      </c>
      <c r="B18" s="22">
        <f ca="1">(SUM(BZ68:BZ300)-$H$3)/$H$3</f>
        <v>0</v>
      </c>
      <c r="C18" s="22">
        <f t="shared" ref="C18:H18" ca="1" si="23">(SUM(CA68:CA300)-$H$3)/$H$3</f>
        <v>0</v>
      </c>
      <c r="D18" s="22">
        <f t="shared" ca="1" si="23"/>
        <v>0</v>
      </c>
      <c r="E18" s="22">
        <f t="shared" ca="1" si="23"/>
        <v>0</v>
      </c>
      <c r="F18" s="22">
        <f t="shared" ca="1" si="23"/>
        <v>0</v>
      </c>
      <c r="G18" s="22">
        <f t="shared" ca="1" si="23"/>
        <v>0</v>
      </c>
      <c r="H18" s="22">
        <f t="shared" ca="1" si="23"/>
        <v>0</v>
      </c>
      <c r="L18" s="5"/>
      <c r="M18" s="5"/>
      <c r="N18" s="5"/>
      <c r="O18" s="5"/>
      <c r="P18" s="5"/>
      <c r="Y18" s="4"/>
      <c r="Z18" s="5"/>
    </row>
    <row r="19" spans="1:180" x14ac:dyDescent="0.2">
      <c r="A19" s="6" t="s">
        <v>39</v>
      </c>
      <c r="B19" s="6" t="s">
        <v>9</v>
      </c>
      <c r="O19" s="5"/>
      <c r="P19" s="5"/>
      <c r="Y19" s="4"/>
      <c r="Z19" s="5"/>
    </row>
    <row r="20" spans="1:180" x14ac:dyDescent="0.2">
      <c r="O20" s="5"/>
      <c r="P20" s="5"/>
      <c r="Y20" s="4"/>
      <c r="Z20" s="5"/>
      <c r="FW20" s="4"/>
      <c r="FX20" s="5"/>
    </row>
    <row r="21" spans="1:180" ht="19" x14ac:dyDescent="0.25">
      <c r="A21" s="8" t="s">
        <v>232</v>
      </c>
      <c r="B21" s="8"/>
      <c r="C21" s="8"/>
      <c r="D21" s="8"/>
      <c r="E21" s="8" t="s">
        <v>233</v>
      </c>
      <c r="F21" s="8"/>
      <c r="G21" s="8"/>
      <c r="H21" s="8"/>
      <c r="I21" s="8"/>
      <c r="J21" s="8" t="s">
        <v>234</v>
      </c>
      <c r="K21" s="8"/>
      <c r="L21" s="8"/>
      <c r="M21" s="8"/>
      <c r="N21" s="8"/>
      <c r="P21" s="8" t="s">
        <v>235</v>
      </c>
      <c r="Q21" s="5"/>
      <c r="Y21" s="4"/>
      <c r="Z21" s="5"/>
      <c r="FW21" s="4"/>
      <c r="FX21" s="5"/>
    </row>
    <row r="22" spans="1:180" x14ac:dyDescent="0.2">
      <c r="P22" s="5"/>
      <c r="Q22" s="5"/>
      <c r="Y22" s="4"/>
      <c r="Z22" s="5"/>
      <c r="FW22" s="4"/>
      <c r="FX22" s="5"/>
    </row>
    <row r="23" spans="1:180" x14ac:dyDescent="0.2">
      <c r="P23" s="5"/>
      <c r="Q23" s="5"/>
      <c r="Y23" s="4"/>
      <c r="Z23" s="5"/>
      <c r="FW23" s="4"/>
      <c r="FX23" s="5"/>
    </row>
    <row r="24" spans="1:180" x14ac:dyDescent="0.2">
      <c r="P24" s="5"/>
      <c r="Q24" s="5"/>
      <c r="Y24" s="4"/>
      <c r="Z24" s="5"/>
      <c r="FW24" s="4"/>
      <c r="FX24" s="5"/>
    </row>
    <row r="25" spans="1:180" x14ac:dyDescent="0.2">
      <c r="P25" s="5"/>
      <c r="Q25" s="5"/>
      <c r="Y25" s="4"/>
      <c r="Z25" s="5"/>
      <c r="FW25" s="4"/>
      <c r="FX25" s="5"/>
    </row>
    <row r="26" spans="1:180" x14ac:dyDescent="0.2">
      <c r="P26" s="5"/>
      <c r="Q26" s="5"/>
      <c r="Y26" s="4"/>
      <c r="Z26" s="5"/>
      <c r="FW26" s="4"/>
      <c r="FX26" s="5"/>
    </row>
    <row r="27" spans="1:180" x14ac:dyDescent="0.2">
      <c r="P27" s="5"/>
      <c r="Q27" s="5"/>
      <c r="Y27" s="4"/>
      <c r="Z27" s="5"/>
      <c r="FW27" s="4"/>
      <c r="FX27" s="5"/>
    </row>
    <row r="28" spans="1:180" x14ac:dyDescent="0.2">
      <c r="P28" s="5"/>
      <c r="Q28" s="5"/>
      <c r="Y28" s="4"/>
      <c r="Z28" s="5"/>
      <c r="FW28" s="4"/>
      <c r="FX28" s="5"/>
    </row>
    <row r="29" spans="1:180" x14ac:dyDescent="0.2">
      <c r="P29" s="5"/>
      <c r="Q29" s="5"/>
      <c r="Y29" s="4"/>
      <c r="Z29" s="5"/>
      <c r="FW29" s="4"/>
      <c r="FX29" s="5"/>
    </row>
    <row r="30" spans="1:180" x14ac:dyDescent="0.2">
      <c r="Y30" s="4"/>
      <c r="Z30" s="5"/>
      <c r="FW30" s="4"/>
      <c r="FX30" s="5"/>
    </row>
    <row r="31" spans="1:180" x14ac:dyDescent="0.2">
      <c r="Y31" s="4"/>
      <c r="Z31" s="5"/>
      <c r="FW31" s="4"/>
      <c r="FX31" s="5"/>
    </row>
    <row r="32" spans="1:180" x14ac:dyDescent="0.2">
      <c r="Y32" s="4"/>
      <c r="Z32" s="5"/>
      <c r="FW32" s="4"/>
      <c r="FX32" s="5"/>
    </row>
    <row r="33" spans="1:180" x14ac:dyDescent="0.2">
      <c r="Y33" s="4"/>
      <c r="Z33" s="5"/>
      <c r="FW33" s="4"/>
      <c r="FX33" s="5"/>
    </row>
    <row r="34" spans="1:180" x14ac:dyDescent="0.2">
      <c r="Y34" s="4"/>
      <c r="Z34" s="5"/>
      <c r="FW34" s="4"/>
      <c r="FX34" s="5" t="str">
        <f t="shared" ref="FX34:FX38" si="24">IF(FU34,FT34/FU34,"")</f>
        <v/>
      </c>
    </row>
    <row r="35" spans="1:180" x14ac:dyDescent="0.2">
      <c r="Y35" s="4"/>
      <c r="Z35" s="5"/>
      <c r="FW35" s="4"/>
      <c r="FX35" s="5" t="str">
        <f t="shared" si="24"/>
        <v/>
      </c>
    </row>
    <row r="36" spans="1:180" x14ac:dyDescent="0.2">
      <c r="Y36" s="4"/>
      <c r="Z36" s="5"/>
      <c r="FW36" s="4"/>
      <c r="FX36" s="5" t="str">
        <f t="shared" si="24"/>
        <v/>
      </c>
    </row>
    <row r="37" spans="1:180" x14ac:dyDescent="0.2">
      <c r="Y37" s="4"/>
      <c r="Z37" s="5"/>
      <c r="FW37" s="4"/>
      <c r="FX37" s="5" t="str">
        <f t="shared" si="24"/>
        <v/>
      </c>
    </row>
    <row r="38" spans="1:180" x14ac:dyDescent="0.2">
      <c r="Y38" s="4"/>
      <c r="Z38" s="5"/>
      <c r="FW38" s="4"/>
      <c r="FX38" s="5" t="str">
        <f t="shared" si="24"/>
        <v/>
      </c>
    </row>
    <row r="39" spans="1:180" x14ac:dyDescent="0.2">
      <c r="Y39" s="4"/>
      <c r="Z39" s="5"/>
      <c r="FW39" s="4"/>
      <c r="FX39" s="5"/>
    </row>
    <row r="40" spans="1:180" x14ac:dyDescent="0.2">
      <c r="Y40" s="4"/>
      <c r="Z40" s="5"/>
      <c r="FW40" s="4"/>
      <c r="FX40" s="5"/>
    </row>
    <row r="41" spans="1:180" x14ac:dyDescent="0.2">
      <c r="Y41" s="4"/>
      <c r="Z41" s="5"/>
      <c r="FW41" s="4"/>
      <c r="FX41" s="5"/>
    </row>
    <row r="43" spans="1:180" x14ac:dyDescent="0.2">
      <c r="A43" t="s">
        <v>41</v>
      </c>
      <c r="M43" t="s">
        <v>41</v>
      </c>
    </row>
    <row r="44" spans="1:180" x14ac:dyDescent="0.2">
      <c r="A44" t="s">
        <v>42</v>
      </c>
      <c r="B44" t="s">
        <v>43</v>
      </c>
      <c r="C44" t="s">
        <v>43</v>
      </c>
      <c r="D44" t="s">
        <v>43</v>
      </c>
      <c r="E44" t="s">
        <v>43</v>
      </c>
      <c r="F44" t="s">
        <v>43</v>
      </c>
      <c r="G44" t="s">
        <v>43</v>
      </c>
      <c r="H44" t="s">
        <v>43</v>
      </c>
      <c r="I44" t="s">
        <v>44</v>
      </c>
      <c r="J44" t="s">
        <v>45</v>
      </c>
      <c r="M44" t="s">
        <v>42</v>
      </c>
      <c r="N44" t="s">
        <v>43</v>
      </c>
      <c r="O44" t="s">
        <v>43</v>
      </c>
      <c r="P44" t="s">
        <v>43</v>
      </c>
      <c r="Q44" t="s">
        <v>43</v>
      </c>
      <c r="R44" t="s">
        <v>43</v>
      </c>
      <c r="S44" t="s">
        <v>44</v>
      </c>
      <c r="T44" t="s">
        <v>45</v>
      </c>
    </row>
    <row r="45" spans="1:180" x14ac:dyDescent="0.2">
      <c r="A45" t="str">
        <f>A2&amp;" &amp;"</f>
        <v xml:space="preserve"> &amp;</v>
      </c>
      <c r="B45" t="str">
        <f>"\textbf{"&amp;B6&amp;"}"&amp;IF(C45="\\",""," &amp;")</f>
        <v>\textbf{m4riRW} &amp;</v>
      </c>
      <c r="C45" t="str">
        <f t="shared" ref="C45:H45" si="25">"\textbf{"&amp;C6&amp;"}"&amp;IF(D45="\\",""," &amp;")</f>
        <v>\textbf{QDistRndMW} &amp;</v>
      </c>
      <c r="D45" t="str">
        <f t="shared" si="25"/>
        <v>\textbf{QDistEvol} &amp;</v>
      </c>
      <c r="E45" t="str">
        <f t="shared" si="25"/>
        <v>\textbf{BP-OSD} &amp;</v>
      </c>
      <c r="F45" t="str">
        <f t="shared" si="25"/>
        <v>\textbf{GEStim} &amp;</v>
      </c>
      <c r="G45" t="str">
        <f t="shared" si="25"/>
        <v>\textbf{CCStim} &amp;</v>
      </c>
      <c r="H45" t="str">
        <f t="shared" si="25"/>
        <v>\textbf{UEStim}</v>
      </c>
      <c r="I45" s="9" t="s">
        <v>46</v>
      </c>
      <c r="J45" t="s">
        <v>45</v>
      </c>
      <c r="M45" t="str">
        <f>M2&amp;" &amp;"</f>
        <v xml:space="preserve"> &amp;</v>
      </c>
      <c r="N45" t="str">
        <f>"\textbf{"&amp;N6&amp;"}"&amp;IF(O45="\\",""," &amp;")</f>
        <v>\textbf{Gurobi} &amp;</v>
      </c>
      <c r="O45" t="str">
        <f t="shared" ref="O45:P45" si="26">"\textbf{"&amp;O6&amp;"}"&amp;IF(P45="\\",""," &amp;")</f>
        <v>\textbf{MIP-SCIP} &amp;</v>
      </c>
      <c r="P45" t="str">
        <f t="shared" si="26"/>
        <v>\textbf{CLISAT} &amp;</v>
      </c>
      <c r="Q45" t="str">
        <f>"\textbf{"&amp;Q6&amp;"}"&amp;IF(R45="\\",""," &amp;")</f>
        <v>\textbf{m4riCC} &amp;</v>
      </c>
      <c r="R45" t="str">
        <f>"\textbf{"&amp;R6&amp;"}"&amp;IF(S45="\\",""," &amp;")</f>
        <v>\textbf{Magma}</v>
      </c>
      <c r="S45" s="9" t="s">
        <v>46</v>
      </c>
      <c r="T45" t="s">
        <v>45</v>
      </c>
      <c r="V45" s="9"/>
    </row>
    <row r="46" spans="1:180" x14ac:dyDescent="0.2">
      <c r="A46" t="str">
        <f t="shared" ref="A46:A55" si="27">"\textbf{"&amp;A7&amp;"} &amp;"</f>
        <v>\textbf{Result Returned} &amp;</v>
      </c>
      <c r="B46" t="str">
        <f t="shared" ref="B46:H55" ca="1" si="28">SUBSTITUTE(TEXT(B7,$J7)&amp;IF(C46="\\",""," &amp;"),"%","\%")</f>
        <v>6 &amp;</v>
      </c>
      <c r="C46" t="str">
        <f t="shared" ca="1" si="28"/>
        <v>6 &amp;</v>
      </c>
      <c r="D46" t="str">
        <f t="shared" ca="1" si="28"/>
        <v>6 &amp;</v>
      </c>
      <c r="E46" t="str">
        <f t="shared" ca="1" si="28"/>
        <v>6 &amp;</v>
      </c>
      <c r="F46" t="str">
        <f t="shared" ca="1" si="28"/>
        <v>6 &amp;</v>
      </c>
      <c r="G46" t="str">
        <f t="shared" ca="1" si="28"/>
        <v>6 &amp;</v>
      </c>
      <c r="H46" t="str">
        <f t="shared" ca="1" si="28"/>
        <v>6</v>
      </c>
      <c r="I46" s="9" t="s">
        <v>46</v>
      </c>
      <c r="M46" t="str">
        <f>"\textbf{"&amp;M7&amp;"} &amp;"</f>
        <v>\textbf{Result Returned} &amp;</v>
      </c>
      <c r="N46" t="str">
        <f t="shared" ref="N46:R54" ca="1" si="29">SUBSTITUTE(TEXT(N7,$S7)&amp;IF(O46="\\",""," &amp;"),"%","\%")</f>
        <v>6 &amp;</v>
      </c>
      <c r="O46" t="str">
        <f t="shared" ca="1" si="29"/>
        <v>6 &amp;</v>
      </c>
      <c r="P46" t="str">
        <f t="shared" ca="1" si="29"/>
        <v>6 &amp;</v>
      </c>
      <c r="Q46" t="str">
        <f t="shared" ca="1" si="29"/>
        <v>4 &amp;</v>
      </c>
      <c r="R46" t="str">
        <f t="shared" ca="1" si="29"/>
        <v>5</v>
      </c>
      <c r="S46" s="9" t="s">
        <v>46</v>
      </c>
      <c r="V46" s="9"/>
    </row>
    <row r="47" spans="1:180" x14ac:dyDescent="0.2">
      <c r="A47" t="str">
        <f t="shared" si="27"/>
        <v>\textbf{No Result} &amp;</v>
      </c>
      <c r="B47" t="str">
        <f t="shared" ca="1" si="28"/>
        <v>0 &amp;</v>
      </c>
      <c r="C47" t="str">
        <f t="shared" ca="1" si="28"/>
        <v>0 &amp;</v>
      </c>
      <c r="D47" t="str">
        <f t="shared" ca="1" si="28"/>
        <v>0 &amp;</v>
      </c>
      <c r="E47" t="str">
        <f t="shared" ca="1" si="28"/>
        <v>0 &amp;</v>
      </c>
      <c r="F47" t="str">
        <f t="shared" ca="1" si="28"/>
        <v>0 &amp;</v>
      </c>
      <c r="G47" t="str">
        <f t="shared" ca="1" si="28"/>
        <v>0 &amp;</v>
      </c>
      <c r="H47" t="str">
        <f t="shared" ca="1" si="28"/>
        <v>0</v>
      </c>
      <c r="I47" s="9" t="s">
        <v>46</v>
      </c>
      <c r="M47" t="str">
        <f t="shared" ref="M47:M54" si="30">"\textbf{"&amp;M8&amp;"} &amp;"</f>
        <v>\textbf{Completed &lt; MaxTime} &amp;</v>
      </c>
      <c r="N47" t="str">
        <f t="shared" ca="1" si="29"/>
        <v>4 &amp;</v>
      </c>
      <c r="O47" t="str">
        <f t="shared" ca="1" si="29"/>
        <v>4 &amp;</v>
      </c>
      <c r="P47" t="str">
        <f t="shared" ca="1" si="29"/>
        <v>4 &amp;</v>
      </c>
      <c r="Q47" t="str">
        <f t="shared" ca="1" si="29"/>
        <v>4 &amp;</v>
      </c>
      <c r="R47" t="str">
        <f t="shared" ca="1" si="29"/>
        <v>3</v>
      </c>
      <c r="S47" s="9" t="s">
        <v>46</v>
      </c>
      <c r="V47" s="9"/>
    </row>
    <row r="48" spans="1:180" x14ac:dyDescent="0.2">
      <c r="A48" t="str">
        <f t="shared" si="27"/>
        <v>\textbf{At lowest distance} &amp;</v>
      </c>
      <c r="B48" t="str">
        <f t="shared" ca="1" si="28"/>
        <v>6 &amp;</v>
      </c>
      <c r="C48" t="str">
        <f t="shared" ca="1" si="28"/>
        <v>6 &amp;</v>
      </c>
      <c r="D48" t="str">
        <f t="shared" ca="1" si="28"/>
        <v>6 &amp;</v>
      </c>
      <c r="E48" t="str">
        <f t="shared" ca="1" si="28"/>
        <v>6 &amp;</v>
      </c>
      <c r="F48" t="str">
        <f t="shared" ca="1" si="28"/>
        <v>6 &amp;</v>
      </c>
      <c r="G48" t="str">
        <f t="shared" ca="1" si="28"/>
        <v>6 &amp;</v>
      </c>
      <c r="H48" t="str">
        <f t="shared" ca="1" si="28"/>
        <v>6</v>
      </c>
      <c r="I48" s="9" t="s">
        <v>46</v>
      </c>
      <c r="M48" t="str">
        <f t="shared" si="30"/>
        <v>\textbf{Completed &gt; MaxTime} &amp;</v>
      </c>
      <c r="N48" t="str">
        <f t="shared" ca="1" si="29"/>
        <v>2 &amp;</v>
      </c>
      <c r="O48" t="str">
        <f t="shared" ca="1" si="29"/>
        <v>2 &amp;</v>
      </c>
      <c r="P48" t="str">
        <f t="shared" ca="1" si="29"/>
        <v>2 &amp;</v>
      </c>
      <c r="Q48" t="str">
        <f t="shared" ca="1" si="29"/>
        <v>0 &amp;</v>
      </c>
      <c r="R48" t="str">
        <f t="shared" ca="1" si="29"/>
        <v>2</v>
      </c>
      <c r="S48" s="9" t="s">
        <v>46</v>
      </c>
      <c r="V48" s="9"/>
    </row>
    <row r="49" spans="1:180" x14ac:dyDescent="0.2">
      <c r="A49" t="str">
        <f t="shared" si="27"/>
        <v>\textbf{Overall Success Rate} &amp;</v>
      </c>
      <c r="B49" t="str">
        <f t="shared" ca="1" si="28"/>
        <v>100.0\% &amp;</v>
      </c>
      <c r="C49" t="str">
        <f t="shared" ca="1" si="28"/>
        <v>100.0\% &amp;</v>
      </c>
      <c r="D49" t="str">
        <f t="shared" ca="1" si="28"/>
        <v>100.0\% &amp;</v>
      </c>
      <c r="E49" t="str">
        <f t="shared" ca="1" si="28"/>
        <v>100.0\% &amp;</v>
      </c>
      <c r="F49" t="str">
        <f t="shared" ca="1" si="28"/>
        <v>100.0\% &amp;</v>
      </c>
      <c r="G49" t="str">
        <f t="shared" ca="1" si="28"/>
        <v>100.0\% &amp;</v>
      </c>
      <c r="H49" t="str">
        <f t="shared" ca="1" si="28"/>
        <v>100.0\%</v>
      </c>
      <c r="I49" s="9" t="s">
        <v>46</v>
      </c>
      <c r="J49" t="s">
        <v>45</v>
      </c>
      <c r="M49" t="str">
        <f t="shared" si="30"/>
        <v>\textbf{No Result} &amp;</v>
      </c>
      <c r="N49" t="str">
        <f t="shared" ca="1" si="29"/>
        <v>0 &amp;</v>
      </c>
      <c r="O49" t="str">
        <f t="shared" ca="1" si="29"/>
        <v>0 &amp;</v>
      </c>
      <c r="P49" t="str">
        <f t="shared" ca="1" si="29"/>
        <v>0 &amp;</v>
      </c>
      <c r="Q49" t="str">
        <f t="shared" ca="1" si="29"/>
        <v>2 &amp;</v>
      </c>
      <c r="R49" t="str">
        <f t="shared" ca="1" si="29"/>
        <v>1</v>
      </c>
      <c r="S49" s="9" t="s">
        <v>46</v>
      </c>
      <c r="V49" s="9"/>
    </row>
    <row r="50" spans="1:180" x14ac:dyDescent="0.2">
      <c r="A50" t="str">
        <f t="shared" si="27"/>
        <v>\textbf{Total Time (s)} &amp;</v>
      </c>
      <c r="B50" t="str">
        <f t="shared" ca="1" si="28"/>
        <v>3.9E+01 &amp;</v>
      </c>
      <c r="C50" t="str">
        <f t="shared" ca="1" si="28"/>
        <v>1.9E+03 &amp;</v>
      </c>
      <c r="D50" t="str">
        <f t="shared" ca="1" si="28"/>
        <v>1.9E+03 &amp;</v>
      </c>
      <c r="E50" t="str">
        <f t="shared" ca="1" si="28"/>
        <v>5.7E+03 &amp;</v>
      </c>
      <c r="F50" t="str">
        <f t="shared" ca="1" si="28"/>
        <v>3.1E+00 &amp;</v>
      </c>
      <c r="G50" t="str">
        <f t="shared" ca="1" si="28"/>
        <v>4.6E+01 &amp;</v>
      </c>
      <c r="H50" t="str">
        <f t="shared" ca="1" si="28"/>
        <v>4.7E+01</v>
      </c>
      <c r="I50" s="9" t="s">
        <v>46</v>
      </c>
      <c r="M50" t="str">
        <f t="shared" si="30"/>
        <v>\textbf{At lowest distance} &amp;</v>
      </c>
      <c r="N50" t="str">
        <f t="shared" ca="1" si="29"/>
        <v>6 &amp;</v>
      </c>
      <c r="O50" t="str">
        <f t="shared" ca="1" si="29"/>
        <v>6 &amp;</v>
      </c>
      <c r="P50" t="str">
        <f t="shared" ca="1" si="29"/>
        <v>4 &amp;</v>
      </c>
      <c r="Q50" t="str">
        <f t="shared" ca="1" si="29"/>
        <v>4 &amp;</v>
      </c>
      <c r="R50" t="str">
        <f t="shared" ca="1" si="29"/>
        <v>5</v>
      </c>
      <c r="S50" s="9" t="s">
        <v>46</v>
      </c>
      <c r="V50" s="9"/>
    </row>
    <row r="51" spans="1:180" x14ac:dyDescent="0.2">
      <c r="A51" t="str">
        <f t="shared" si="27"/>
        <v>\textbf{Trials} &amp;</v>
      </c>
      <c r="B51" t="str">
        <f t="shared" ca="1" si="28"/>
        <v>0 &amp;</v>
      </c>
      <c r="C51" t="str">
        <f t="shared" ca="1" si="28"/>
        <v>60,000 &amp;</v>
      </c>
      <c r="D51" t="str">
        <f t="shared" ca="1" si="28"/>
        <v>60,000 &amp;</v>
      </c>
      <c r="E51" t="str">
        <f t="shared" ca="1" si="28"/>
        <v>60,000 &amp;</v>
      </c>
      <c r="F51" t="str">
        <f t="shared" ca="1" si="28"/>
        <v>6 &amp;</v>
      </c>
      <c r="G51" t="str">
        <f t="shared" ca="1" si="28"/>
        <v>6 &amp;</v>
      </c>
      <c r="H51" t="str">
        <f t="shared" ca="1" si="28"/>
        <v>12</v>
      </c>
      <c r="I51" s="9" t="s">
        <v>46</v>
      </c>
      <c r="M51" t="str">
        <f t="shared" si="30"/>
        <v>\textbf{Overall success rate} &amp;</v>
      </c>
      <c r="N51" t="str">
        <f t="shared" ca="1" si="29"/>
        <v>100.0\% &amp;</v>
      </c>
      <c r="O51" t="str">
        <f t="shared" ca="1" si="29"/>
        <v>100.0\% &amp;</v>
      </c>
      <c r="P51" t="str">
        <f t="shared" ca="1" si="29"/>
        <v>66.7\% &amp;</v>
      </c>
      <c r="Q51" t="str">
        <f t="shared" ca="1" si="29"/>
        <v>66.7\% &amp;</v>
      </c>
      <c r="R51" t="str">
        <f t="shared" ca="1" si="29"/>
        <v>83.3\%</v>
      </c>
      <c r="S51" s="9" t="s">
        <v>46</v>
      </c>
      <c r="T51" t="s">
        <v>45</v>
      </c>
      <c r="V51" s="9"/>
    </row>
    <row r="52" spans="1:180" x14ac:dyDescent="0.2">
      <c r="A52" t="str">
        <f t="shared" si="27"/>
        <v>\textbf{Trials at lowest distance} &amp;</v>
      </c>
      <c r="B52" t="str">
        <f t="shared" ca="1" si="28"/>
        <v xml:space="preserve"> &amp;</v>
      </c>
      <c r="C52" t="str">
        <f t="shared" ca="1" si="28"/>
        <v>32,077 &amp;</v>
      </c>
      <c r="D52" t="str">
        <f t="shared" ca="1" si="28"/>
        <v>47,630 &amp;</v>
      </c>
      <c r="E52" t="str">
        <f t="shared" ca="1" si="28"/>
        <v>59,809 &amp;</v>
      </c>
      <c r="F52" t="str">
        <f t="shared" ca="1" si="28"/>
        <v>6 &amp;</v>
      </c>
      <c r="G52" t="str">
        <f t="shared" ca="1" si="28"/>
        <v>6 &amp;</v>
      </c>
      <c r="H52" t="str">
        <f t="shared" ca="1" si="28"/>
        <v>12</v>
      </c>
      <c r="I52" s="9" t="s">
        <v>46</v>
      </c>
      <c r="M52" t="str">
        <f t="shared" si="30"/>
        <v>\textbf{Total Time} &amp;</v>
      </c>
      <c r="N52" t="str">
        <f t="shared" ca="1" si="29"/>
        <v>5.9E+04 &amp;</v>
      </c>
      <c r="O52" t="str">
        <f t="shared" ca="1" si="29"/>
        <v>6.8E+04 &amp;</v>
      </c>
      <c r="P52" t="str">
        <f t="shared" ca="1" si="29"/>
        <v>8.0E+04 &amp;</v>
      </c>
      <c r="Q52" t="str">
        <f t="shared" ca="1" si="29"/>
        <v>5.8E+04 &amp;</v>
      </c>
      <c r="R52" t="str">
        <f t="shared" ca="1" si="29"/>
        <v>8.7E+04</v>
      </c>
      <c r="S52" s="9" t="s">
        <v>46</v>
      </c>
      <c r="V52" s="9"/>
    </row>
    <row r="53" spans="1:180" x14ac:dyDescent="0.2">
      <c r="A53" t="str">
        <f t="shared" si="27"/>
        <v>\textbf{Trial Success Rate} &amp;</v>
      </c>
      <c r="B53" t="str">
        <f t="shared" ca="1" si="28"/>
        <v xml:space="preserve"> &amp;</v>
      </c>
      <c r="C53" t="str">
        <f t="shared" ca="1" si="28"/>
        <v>53.5\% &amp;</v>
      </c>
      <c r="D53" t="str">
        <f t="shared" ca="1" si="28"/>
        <v>79.4\% &amp;</v>
      </c>
      <c r="E53" t="str">
        <f t="shared" ca="1" si="28"/>
        <v>99.7\% &amp;</v>
      </c>
      <c r="F53" t="str">
        <f t="shared" ca="1" si="28"/>
        <v>100.0\% &amp;</v>
      </c>
      <c r="G53" t="str">
        <f t="shared" ca="1" si="28"/>
        <v>100.0\% &amp;</v>
      </c>
      <c r="H53" t="str">
        <f t="shared" ca="1" si="28"/>
        <v>100.0\%</v>
      </c>
      <c r="I53" s="9" t="s">
        <v>46</v>
      </c>
      <c r="M53" t="str">
        <f t="shared" si="30"/>
        <v>\textbf{Time/Trial} &amp;</v>
      </c>
      <c r="N53" t="str">
        <f t="shared" ca="1" si="29"/>
        <v>9.9E+03 &amp;</v>
      </c>
      <c r="O53" t="str">
        <f t="shared" ca="1" si="29"/>
        <v>1.1E+04 &amp;</v>
      </c>
      <c r="P53" t="str">
        <f t="shared" ca="1" si="29"/>
        <v>1.3E+04 &amp;</v>
      </c>
      <c r="Q53" t="str">
        <f t="shared" ca="1" si="29"/>
        <v>9.6E+03 &amp;</v>
      </c>
      <c r="R53" t="str">
        <f t="shared" ca="1" si="29"/>
        <v>1.4E+04</v>
      </c>
      <c r="S53" s="9" t="s">
        <v>46</v>
      </c>
      <c r="V53" s="9"/>
    </row>
    <row r="54" spans="1:180" x14ac:dyDescent="0.2">
      <c r="A54" t="str">
        <f t="shared" si="27"/>
        <v>\textbf{Time/Trial} &amp;</v>
      </c>
      <c r="B54" t="str">
        <f t="shared" ca="1" si="28"/>
        <v xml:space="preserve"> &amp;</v>
      </c>
      <c r="C54" t="str">
        <f t="shared" ca="1" si="28"/>
        <v>3.2E-02 &amp;</v>
      </c>
      <c r="D54" t="str">
        <f t="shared" ca="1" si="28"/>
        <v>3.2E-02 &amp;</v>
      </c>
      <c r="E54" t="str">
        <f t="shared" ca="1" si="28"/>
        <v>9.6E-02 &amp;</v>
      </c>
      <c r="F54" t="str">
        <f t="shared" ca="1" si="28"/>
        <v>5.2E-01 &amp;</v>
      </c>
      <c r="G54" t="str">
        <f t="shared" ca="1" si="28"/>
        <v>7.6E+00 &amp;</v>
      </c>
      <c r="H54" t="str">
        <f t="shared" ca="1" si="28"/>
        <v>3.9E+00</v>
      </c>
      <c r="I54" s="9" t="s">
        <v>46</v>
      </c>
      <c r="M54" t="str">
        <f t="shared" si="30"/>
        <v>\textbf{Time/Successful Trial} &amp;</v>
      </c>
      <c r="N54" t="str">
        <f ca="1">SUBSTITUTE(TEXT(N15,$S15)&amp;IF(O54="\\",""," &amp;"),"%","\%")</f>
        <v>9.9E+03 &amp;</v>
      </c>
      <c r="O54" t="str">
        <f t="shared" ca="1" si="29"/>
        <v>1.1E+04 &amp;</v>
      </c>
      <c r="P54" t="str">
        <f t="shared" ca="1" si="29"/>
        <v>2.0E+04 &amp;</v>
      </c>
      <c r="Q54" t="str">
        <f t="shared" ca="1" si="29"/>
        <v>1.4E+04 &amp;</v>
      </c>
      <c r="R54" t="str">
        <f t="shared" ca="1" si="29"/>
        <v>1.7E+04</v>
      </c>
      <c r="S54" s="9" t="s">
        <v>46</v>
      </c>
      <c r="T54" t="s">
        <v>45</v>
      </c>
      <c r="V54" s="9"/>
    </row>
    <row r="55" spans="1:180" x14ac:dyDescent="0.2">
      <c r="A55" t="str">
        <f t="shared" si="27"/>
        <v>\textbf{Time/Successful Trial} &amp;</v>
      </c>
      <c r="B55" t="str">
        <f t="shared" ca="1" si="28"/>
        <v xml:space="preserve"> &amp;</v>
      </c>
      <c r="C55" t="str">
        <f t="shared" ca="1" si="28"/>
        <v>5.9E-02 &amp;</v>
      </c>
      <c r="D55" t="str">
        <f t="shared" ca="1" si="28"/>
        <v>4.0E-02 &amp;</v>
      </c>
      <c r="E55" t="str">
        <f t="shared" ca="1" si="28"/>
        <v>9.6E-02 &amp;</v>
      </c>
      <c r="F55" t="str">
        <f t="shared" ca="1" si="28"/>
        <v>5.2E-01 &amp;</v>
      </c>
      <c r="G55" t="str">
        <f t="shared" ca="1" si="28"/>
        <v>7.6E+00 &amp;</v>
      </c>
      <c r="H55" t="str">
        <f t="shared" ca="1" si="28"/>
        <v>3.9E+00</v>
      </c>
      <c r="I55" s="9" t="s">
        <v>46</v>
      </c>
      <c r="J55" t="s">
        <v>45</v>
      </c>
      <c r="M55" t="s">
        <v>47</v>
      </c>
      <c r="V55" s="9"/>
    </row>
    <row r="56" spans="1:180" x14ac:dyDescent="0.2">
      <c r="A56" t="s">
        <v>47</v>
      </c>
      <c r="J56" s="9"/>
      <c r="M56" t="s">
        <v>48</v>
      </c>
      <c r="V56" s="9"/>
    </row>
    <row r="57" spans="1:180" x14ac:dyDescent="0.2">
      <c r="A57" t="s">
        <v>48</v>
      </c>
      <c r="V57" s="9"/>
    </row>
    <row r="59" spans="1:180" x14ac:dyDescent="0.2">
      <c r="V59" s="4"/>
      <c r="W59" s="5"/>
    </row>
    <row r="60" spans="1:180" x14ac:dyDescent="0.2">
      <c r="M60" s="6"/>
      <c r="N60" s="6"/>
      <c r="O60" s="6"/>
      <c r="V60" s="4"/>
      <c r="W60" s="5"/>
    </row>
    <row r="61" spans="1:180" x14ac:dyDescent="0.2">
      <c r="V61" s="4"/>
      <c r="W61" s="5"/>
    </row>
    <row r="62" spans="1:180" x14ac:dyDescent="0.2">
      <c r="E62" s="6"/>
      <c r="F62" s="6"/>
      <c r="G62" s="6"/>
      <c r="H62" s="6"/>
      <c r="I62" s="6"/>
      <c r="J62" s="6"/>
      <c r="K62" s="6"/>
      <c r="L62" s="6"/>
      <c r="M62" s="6"/>
      <c r="N62" s="6"/>
      <c r="O62" s="6"/>
      <c r="Y62" s="4"/>
      <c r="Z62" s="5"/>
      <c r="FW62" s="4"/>
      <c r="FX62" s="5"/>
    </row>
    <row r="63" spans="1:180" x14ac:dyDescent="0.2">
      <c r="Y63" s="4"/>
      <c r="Z63" s="5"/>
      <c r="FW63" s="4"/>
      <c r="FX63" s="5"/>
    </row>
    <row r="64" spans="1:180" x14ac:dyDescent="0.2">
      <c r="A64" t="s">
        <v>49</v>
      </c>
      <c r="B64">
        <f ca="1">MATCH("name",INDIRECT($A$67&amp;"!a:a"),)</f>
        <v>24</v>
      </c>
      <c r="Y64" s="4"/>
      <c r="Z64" s="5"/>
      <c r="FW64" s="4"/>
      <c r="FX64" s="5"/>
    </row>
    <row r="65" spans="1:222" x14ac:dyDescent="0.2">
      <c r="Y65" s="4"/>
      <c r="Z65" s="5"/>
      <c r="FS65" t="s">
        <v>50</v>
      </c>
      <c r="FT65" t="str">
        <f>B19</f>
        <v>QDistRndMW</v>
      </c>
      <c r="FW65" s="4"/>
      <c r="FX65" s="5"/>
    </row>
    <row r="66" spans="1:222" s="6" customFormat="1" x14ac:dyDescent="0.2">
      <c r="E66" s="6" t="s">
        <v>51</v>
      </c>
      <c r="V66" s="6" t="s">
        <v>52</v>
      </c>
      <c r="AM66" s="6" t="s">
        <v>53</v>
      </c>
      <c r="AV66" s="6" t="s">
        <v>163</v>
      </c>
      <c r="BD66" s="6" t="s">
        <v>54</v>
      </c>
      <c r="BU66" s="6" t="s">
        <v>55</v>
      </c>
      <c r="CL66" s="6" t="s">
        <v>56</v>
      </c>
      <c r="DC66" s="6" t="s">
        <v>40</v>
      </c>
      <c r="DT66" s="6" t="s">
        <v>57</v>
      </c>
      <c r="EK66" s="6" t="s">
        <v>58</v>
      </c>
      <c r="FB66" s="6" t="s">
        <v>59</v>
      </c>
      <c r="FS66" s="6" t="s">
        <v>49</v>
      </c>
      <c r="FT66">
        <f>MATCH(B19,E67:Q67,)</f>
        <v>7</v>
      </c>
      <c r="FU66"/>
      <c r="FV66"/>
      <c r="FW66" s="4"/>
      <c r="FX66" s="5"/>
      <c r="FZ66" s="6" t="s">
        <v>231</v>
      </c>
      <c r="GN66" s="6" t="s">
        <v>236</v>
      </c>
      <c r="HB66" s="6" t="s">
        <v>237</v>
      </c>
    </row>
    <row r="67" spans="1:222" s="6" customFormat="1" x14ac:dyDescent="0.2">
      <c r="A67" s="6" t="s">
        <v>60</v>
      </c>
      <c r="B67" s="6" t="s">
        <v>61</v>
      </c>
      <c r="C67" s="6" t="s">
        <v>62</v>
      </c>
      <c r="E67" s="6" t="s">
        <v>15</v>
      </c>
      <c r="F67" s="6" t="s">
        <v>16</v>
      </c>
      <c r="G67" s="6" t="s">
        <v>17</v>
      </c>
      <c r="H67" s="6" t="s">
        <v>63</v>
      </c>
      <c r="I67" s="6" t="s">
        <v>64</v>
      </c>
      <c r="J67" s="6" t="s">
        <v>65</v>
      </c>
      <c r="K67" s="6" t="s">
        <v>9</v>
      </c>
      <c r="L67" s="6" t="s">
        <v>10</v>
      </c>
      <c r="M67" s="6" t="s">
        <v>66</v>
      </c>
      <c r="N67" s="6" t="s">
        <v>12</v>
      </c>
      <c r="O67" s="6" t="s">
        <v>13</v>
      </c>
      <c r="P67" s="6" t="s">
        <v>14</v>
      </c>
      <c r="V67" s="6" t="str">
        <f t="shared" ref="V67:AG67" si="31">E67</f>
        <v>Gurobi</v>
      </c>
      <c r="W67" s="6" t="str">
        <f t="shared" si="31"/>
        <v>MIP-SCIP</v>
      </c>
      <c r="X67" s="6" t="str">
        <f t="shared" si="31"/>
        <v>CLISAT</v>
      </c>
      <c r="Y67" s="6" t="str">
        <f t="shared" si="31"/>
        <v>m4ri_CC</v>
      </c>
      <c r="Z67" s="6" t="str">
        <f t="shared" si="31"/>
        <v>magma</v>
      </c>
      <c r="AA67" s="6" t="str">
        <f t="shared" si="31"/>
        <v>m4ri_RW</v>
      </c>
      <c r="AB67" s="6" t="str">
        <f t="shared" si="31"/>
        <v>QDistRndMW</v>
      </c>
      <c r="AC67" s="6" t="str">
        <f t="shared" si="31"/>
        <v>QDistEvol</v>
      </c>
      <c r="AD67" s="6" t="str">
        <f t="shared" si="31"/>
        <v>bposd</v>
      </c>
      <c r="AE67" s="6" t="str">
        <f t="shared" si="31"/>
        <v>GEStim</v>
      </c>
      <c r="AF67" s="6" t="str">
        <f t="shared" si="31"/>
        <v>CCStim</v>
      </c>
      <c r="AG67" s="6" t="str">
        <f t="shared" si="31"/>
        <v>UEStim</v>
      </c>
      <c r="AM67" s="6" t="str">
        <f t="shared" ref="AM67:AQ67" si="32">E67</f>
        <v>Gurobi</v>
      </c>
      <c r="AN67" s="6" t="str">
        <f t="shared" si="32"/>
        <v>MIP-SCIP</v>
      </c>
      <c r="AO67" s="6" t="str">
        <f t="shared" si="32"/>
        <v>CLISAT</v>
      </c>
      <c r="AP67" s="6" t="str">
        <f t="shared" si="32"/>
        <v>m4ri_CC</v>
      </c>
      <c r="AQ67" s="6" t="str">
        <f t="shared" si="32"/>
        <v>magma</v>
      </c>
      <c r="AV67" s="6" t="str">
        <f>AM67</f>
        <v>Gurobi</v>
      </c>
      <c r="AW67" s="6" t="str">
        <f t="shared" ref="AW67:AZ67" si="33">AN67</f>
        <v>MIP-SCIP</v>
      </c>
      <c r="AX67" s="6" t="str">
        <f t="shared" si="33"/>
        <v>CLISAT</v>
      </c>
      <c r="AY67" s="6" t="str">
        <f t="shared" si="33"/>
        <v>m4ri_CC</v>
      </c>
      <c r="AZ67" s="6" t="str">
        <f t="shared" si="33"/>
        <v>magma</v>
      </c>
      <c r="BD67" s="6" t="str">
        <f t="shared" ref="BD67:BO67" si="34">V67</f>
        <v>Gurobi</v>
      </c>
      <c r="BE67" s="6" t="str">
        <f t="shared" si="34"/>
        <v>MIP-SCIP</v>
      </c>
      <c r="BF67" s="6" t="str">
        <f t="shared" si="34"/>
        <v>CLISAT</v>
      </c>
      <c r="BG67" s="6" t="str">
        <f t="shared" si="34"/>
        <v>m4ri_CC</v>
      </c>
      <c r="BH67" s="6" t="str">
        <f t="shared" si="34"/>
        <v>magma</v>
      </c>
      <c r="BI67" s="6" t="str">
        <f t="shared" si="34"/>
        <v>m4ri_RW</v>
      </c>
      <c r="BJ67" s="6" t="str">
        <f t="shared" si="34"/>
        <v>QDistRndMW</v>
      </c>
      <c r="BK67" s="6" t="str">
        <f t="shared" si="34"/>
        <v>QDistEvol</v>
      </c>
      <c r="BL67" s="6" t="str">
        <f t="shared" si="34"/>
        <v>bposd</v>
      </c>
      <c r="BM67" s="6" t="str">
        <f t="shared" si="34"/>
        <v>GEStim</v>
      </c>
      <c r="BN67" s="6" t="str">
        <f t="shared" si="34"/>
        <v>CCStim</v>
      </c>
      <c r="BO67" s="6" t="str">
        <f t="shared" si="34"/>
        <v>UEStim</v>
      </c>
      <c r="BU67" s="6" t="str">
        <f t="shared" ref="BU67:CF67" si="35">BD67</f>
        <v>Gurobi</v>
      </c>
      <c r="BV67" s="6" t="str">
        <f t="shared" si="35"/>
        <v>MIP-SCIP</v>
      </c>
      <c r="BW67" s="6" t="str">
        <f t="shared" si="35"/>
        <v>CLISAT</v>
      </c>
      <c r="BX67" s="6" t="str">
        <f t="shared" si="35"/>
        <v>m4ri_CC</v>
      </c>
      <c r="BY67" s="6" t="str">
        <f t="shared" si="35"/>
        <v>magma</v>
      </c>
      <c r="BZ67" s="6" t="str">
        <f t="shared" si="35"/>
        <v>m4ri_RW</v>
      </c>
      <c r="CA67" s="6" t="str">
        <f t="shared" si="35"/>
        <v>QDistRndMW</v>
      </c>
      <c r="CB67" s="6" t="str">
        <f t="shared" si="35"/>
        <v>QDistEvol</v>
      </c>
      <c r="CC67" s="6" t="str">
        <f t="shared" si="35"/>
        <v>bposd</v>
      </c>
      <c r="CD67" s="6" t="str">
        <f t="shared" si="35"/>
        <v>GEStim</v>
      </c>
      <c r="CE67" s="6" t="str">
        <f t="shared" si="35"/>
        <v>CCStim</v>
      </c>
      <c r="CF67" s="6" t="str">
        <f t="shared" si="35"/>
        <v>UEStim</v>
      </c>
      <c r="CL67" s="6" t="str">
        <f t="shared" ref="CL67:CW67" si="36">BU67</f>
        <v>Gurobi</v>
      </c>
      <c r="CM67" s="6" t="str">
        <f t="shared" si="36"/>
        <v>MIP-SCIP</v>
      </c>
      <c r="CN67" s="6" t="str">
        <f t="shared" si="36"/>
        <v>CLISAT</v>
      </c>
      <c r="CO67" s="6" t="str">
        <f t="shared" si="36"/>
        <v>m4ri_CC</v>
      </c>
      <c r="CP67" s="6" t="str">
        <f t="shared" si="36"/>
        <v>magma</v>
      </c>
      <c r="CQ67" s="6" t="str">
        <f t="shared" si="36"/>
        <v>m4ri_RW</v>
      </c>
      <c r="CR67" s="6" t="str">
        <f t="shared" si="36"/>
        <v>QDistRndMW</v>
      </c>
      <c r="CS67" s="6" t="str">
        <f t="shared" si="36"/>
        <v>QDistEvol</v>
      </c>
      <c r="CT67" s="6" t="str">
        <f t="shared" si="36"/>
        <v>bposd</v>
      </c>
      <c r="CU67" s="6" t="str">
        <f t="shared" si="36"/>
        <v>GEStim</v>
      </c>
      <c r="CV67" s="6" t="str">
        <f t="shared" si="36"/>
        <v>CCStim</v>
      </c>
      <c r="CW67" s="6" t="str">
        <f t="shared" si="36"/>
        <v>UEStim</v>
      </c>
      <c r="DC67" s="6" t="str">
        <f t="shared" ref="DC67:DN67" si="37">CL67</f>
        <v>Gurobi</v>
      </c>
      <c r="DD67" s="6" t="str">
        <f t="shared" si="37"/>
        <v>MIP-SCIP</v>
      </c>
      <c r="DE67" s="6" t="str">
        <f t="shared" si="37"/>
        <v>CLISAT</v>
      </c>
      <c r="DF67" s="6" t="str">
        <f t="shared" si="37"/>
        <v>m4ri_CC</v>
      </c>
      <c r="DG67" s="6" t="str">
        <f t="shared" si="37"/>
        <v>magma</v>
      </c>
      <c r="DH67" s="6" t="str">
        <f t="shared" si="37"/>
        <v>m4ri_RW</v>
      </c>
      <c r="DI67" s="6" t="str">
        <f t="shared" si="37"/>
        <v>QDistRndMW</v>
      </c>
      <c r="DJ67" s="6" t="str">
        <f t="shared" si="37"/>
        <v>QDistEvol</v>
      </c>
      <c r="DK67" s="6" t="str">
        <f t="shared" si="37"/>
        <v>bposd</v>
      </c>
      <c r="DL67" s="6" t="str">
        <f t="shared" si="37"/>
        <v>GEStim</v>
      </c>
      <c r="DM67" s="6" t="str">
        <f t="shared" si="37"/>
        <v>CCStim</v>
      </c>
      <c r="DN67" s="6" t="str">
        <f t="shared" si="37"/>
        <v>UEStim</v>
      </c>
      <c r="DT67" s="6" t="str">
        <f t="shared" ref="DT67:EE67" si="38">DC67</f>
        <v>Gurobi</v>
      </c>
      <c r="DU67" s="6" t="str">
        <f t="shared" si="38"/>
        <v>MIP-SCIP</v>
      </c>
      <c r="DV67" s="6" t="str">
        <f t="shared" si="38"/>
        <v>CLISAT</v>
      </c>
      <c r="DW67" s="6" t="str">
        <f t="shared" si="38"/>
        <v>m4ri_CC</v>
      </c>
      <c r="DX67" s="6" t="str">
        <f t="shared" si="38"/>
        <v>magma</v>
      </c>
      <c r="DY67" s="6" t="str">
        <f t="shared" si="38"/>
        <v>m4ri_RW</v>
      </c>
      <c r="DZ67" s="6" t="str">
        <f t="shared" si="38"/>
        <v>QDistRndMW</v>
      </c>
      <c r="EA67" s="6" t="str">
        <f t="shared" si="38"/>
        <v>QDistEvol</v>
      </c>
      <c r="EB67" s="6" t="str">
        <f t="shared" si="38"/>
        <v>bposd</v>
      </c>
      <c r="EC67" s="6" t="str">
        <f t="shared" si="38"/>
        <v>GEStim</v>
      </c>
      <c r="ED67" s="6" t="str">
        <f t="shared" si="38"/>
        <v>CCStim</v>
      </c>
      <c r="EE67" s="6" t="str">
        <f t="shared" si="38"/>
        <v>UEStim</v>
      </c>
      <c r="EK67" s="6" t="str">
        <f t="shared" ref="EK67:EV67" si="39">DT67</f>
        <v>Gurobi</v>
      </c>
      <c r="EL67" s="6" t="str">
        <f t="shared" si="39"/>
        <v>MIP-SCIP</v>
      </c>
      <c r="EM67" s="6" t="str">
        <f t="shared" si="39"/>
        <v>CLISAT</v>
      </c>
      <c r="EN67" s="6" t="str">
        <f t="shared" si="39"/>
        <v>m4ri_CC</v>
      </c>
      <c r="EO67" s="6" t="str">
        <f t="shared" si="39"/>
        <v>magma</v>
      </c>
      <c r="EP67" s="6" t="str">
        <f t="shared" si="39"/>
        <v>m4ri_RW</v>
      </c>
      <c r="EQ67" s="6" t="str">
        <f t="shared" si="39"/>
        <v>QDistRndMW</v>
      </c>
      <c r="ER67" s="6" t="str">
        <f t="shared" si="39"/>
        <v>QDistEvol</v>
      </c>
      <c r="ES67" s="6" t="str">
        <f t="shared" si="39"/>
        <v>bposd</v>
      </c>
      <c r="ET67" s="6" t="str">
        <f t="shared" si="39"/>
        <v>GEStim</v>
      </c>
      <c r="EU67" s="6" t="str">
        <f t="shared" si="39"/>
        <v>CCStim</v>
      </c>
      <c r="EV67" s="6" t="str">
        <f t="shared" si="39"/>
        <v>UEStim</v>
      </c>
      <c r="FB67" s="6" t="str">
        <f t="shared" ref="FB67:FM67" si="40">EK67</f>
        <v>Gurobi</v>
      </c>
      <c r="FC67" s="6" t="str">
        <f t="shared" si="40"/>
        <v>MIP-SCIP</v>
      </c>
      <c r="FD67" s="6" t="str">
        <f t="shared" si="40"/>
        <v>CLISAT</v>
      </c>
      <c r="FE67" s="6" t="str">
        <f t="shared" si="40"/>
        <v>m4ri_CC</v>
      </c>
      <c r="FF67" s="6" t="str">
        <f t="shared" si="40"/>
        <v>magma</v>
      </c>
      <c r="FG67" s="6" t="str">
        <f t="shared" si="40"/>
        <v>m4ri_RW</v>
      </c>
      <c r="FH67" s="6" t="str">
        <f t="shared" si="40"/>
        <v>QDistRndMW</v>
      </c>
      <c r="FI67" s="6" t="str">
        <f t="shared" si="40"/>
        <v>QDistEvol</v>
      </c>
      <c r="FJ67" s="6" t="str">
        <f t="shared" si="40"/>
        <v>bposd</v>
      </c>
      <c r="FK67" s="6" t="str">
        <f t="shared" si="40"/>
        <v>GEStim</v>
      </c>
      <c r="FL67" s="6" t="str">
        <f t="shared" si="40"/>
        <v>CCStim</v>
      </c>
      <c r="FM67" s="6" t="str">
        <f t="shared" si="40"/>
        <v>UEStim</v>
      </c>
      <c r="FS67" s="3" t="s">
        <v>61</v>
      </c>
      <c r="FT67" s="3" t="s">
        <v>67</v>
      </c>
      <c r="FU67" t="s">
        <v>58</v>
      </c>
      <c r="FV67" t="s">
        <v>59</v>
      </c>
      <c r="FW67" t="s">
        <v>68</v>
      </c>
      <c r="FX67" t="s">
        <v>69</v>
      </c>
      <c r="FZ67" s="6" t="str">
        <f>GN67</f>
        <v>n</v>
      </c>
      <c r="GA67" s="6" t="s">
        <v>15</v>
      </c>
      <c r="GB67" s="6" t="s">
        <v>16</v>
      </c>
      <c r="GC67" s="6" t="s">
        <v>17</v>
      </c>
      <c r="GD67" s="6" t="s">
        <v>63</v>
      </c>
      <c r="GE67" s="6" t="s">
        <v>64</v>
      </c>
      <c r="GF67" s="6" t="s">
        <v>65</v>
      </c>
      <c r="GG67" s="6" t="s">
        <v>9</v>
      </c>
      <c r="GH67" s="6" t="s">
        <v>10</v>
      </c>
      <c r="GI67" s="6" t="s">
        <v>66</v>
      </c>
      <c r="GJ67" s="6" t="s">
        <v>12</v>
      </c>
      <c r="GK67" s="6" t="s">
        <v>13</v>
      </c>
      <c r="GL67" s="6" t="s">
        <v>14</v>
      </c>
      <c r="GN67" s="6" t="s">
        <v>61</v>
      </c>
      <c r="GO67" s="6" t="str">
        <f>GA67</f>
        <v>Gurobi</v>
      </c>
      <c r="GP67" s="6" t="str">
        <f t="shared" ref="GP67:GZ67" si="41">GB67</f>
        <v>MIP-SCIP</v>
      </c>
      <c r="GQ67" s="6" t="str">
        <f t="shared" si="41"/>
        <v>CLISAT</v>
      </c>
      <c r="GR67" s="6" t="str">
        <f t="shared" si="41"/>
        <v>m4ri_CC</v>
      </c>
      <c r="GS67" s="6" t="str">
        <f t="shared" si="41"/>
        <v>magma</v>
      </c>
      <c r="GT67" s="6" t="str">
        <f t="shared" si="41"/>
        <v>m4ri_RW</v>
      </c>
      <c r="GU67" s="6" t="str">
        <f t="shared" si="41"/>
        <v>QDistRndMW</v>
      </c>
      <c r="GV67" s="6" t="str">
        <f t="shared" si="41"/>
        <v>QDistEvol</v>
      </c>
      <c r="GW67" s="6" t="str">
        <f t="shared" si="41"/>
        <v>bposd</v>
      </c>
      <c r="GX67" s="6" t="str">
        <f t="shared" si="41"/>
        <v>GEStim</v>
      </c>
      <c r="GY67" s="6" t="str">
        <f t="shared" si="41"/>
        <v>CCStim</v>
      </c>
      <c r="GZ67" s="6" t="str">
        <f t="shared" si="41"/>
        <v>UEStim</v>
      </c>
      <c r="HB67" s="6" t="str">
        <f>GN67</f>
        <v>n</v>
      </c>
      <c r="HC67" s="6" t="str">
        <f>GO67</f>
        <v>Gurobi</v>
      </c>
      <c r="HD67" s="6" t="str">
        <f t="shared" ref="HD67:HN67" si="42">GP67</f>
        <v>MIP-SCIP</v>
      </c>
      <c r="HE67" s="6" t="str">
        <f t="shared" si="42"/>
        <v>CLISAT</v>
      </c>
      <c r="HF67" s="6" t="str">
        <f t="shared" si="42"/>
        <v>m4ri_CC</v>
      </c>
      <c r="HG67" s="6" t="str">
        <f t="shared" si="42"/>
        <v>magma</v>
      </c>
      <c r="HH67" s="6" t="str">
        <f t="shared" si="42"/>
        <v>m4ri_RW</v>
      </c>
      <c r="HI67" s="6" t="str">
        <f t="shared" si="42"/>
        <v>QDistRndMW</v>
      </c>
      <c r="HJ67" s="6" t="str">
        <f t="shared" si="42"/>
        <v>QDistEvol</v>
      </c>
      <c r="HK67" s="6" t="str">
        <f t="shared" si="42"/>
        <v>bposd</v>
      </c>
      <c r="HL67" s="6" t="str">
        <f t="shared" si="42"/>
        <v>GEStim</v>
      </c>
      <c r="HM67" s="6" t="str">
        <f t="shared" si="42"/>
        <v>CCStim</v>
      </c>
      <c r="HN67" s="6" t="str">
        <f t="shared" si="42"/>
        <v>UEStim</v>
      </c>
    </row>
    <row r="68" spans="1:222" x14ac:dyDescent="0.2">
      <c r="A68" t="str" cm="1">
        <f t="array" aca="1" ref="A68" ca="1">INDIRECT($A$67&amp;"!A"&amp;ROW(C1)+$B$64)</f>
        <v>01_r=3,d=3,p=0.0005,noise=uniform,c=superdense_color_code_Z,q=13,gates=all.stim</v>
      </c>
      <c r="B68" cm="1">
        <f t="array" aca="1" ref="B68" ca="1">INDIRECT($A$67&amp;"!b"&amp;ROW(D1)+$B$64)</f>
        <v>13</v>
      </c>
      <c r="C68">
        <f ca="1">MIN(INDIRECT($A$67&amp;"!d"&amp;ROW(E1)+$B$64),BU68:CG68)</f>
        <v>3</v>
      </c>
      <c r="E68">
        <f t="shared" ref="E68:P73" ca="1" si="43">MATCH($A68,INDIRECT("'"&amp;E$67&amp;"'!A:A"),)</f>
        <v>30</v>
      </c>
      <c r="F68">
        <f t="shared" ca="1" si="43"/>
        <v>31</v>
      </c>
      <c r="G68">
        <f t="shared" ca="1" si="43"/>
        <v>30</v>
      </c>
      <c r="H68">
        <f t="shared" ca="1" si="43"/>
        <v>25</v>
      </c>
      <c r="I68">
        <f t="shared" ca="1" si="43"/>
        <v>30</v>
      </c>
      <c r="J68">
        <f t="shared" ca="1" si="43"/>
        <v>30</v>
      </c>
      <c r="K68">
        <f t="shared" ca="1" si="43"/>
        <v>32</v>
      </c>
      <c r="L68">
        <f t="shared" ca="1" si="43"/>
        <v>34</v>
      </c>
      <c r="M68">
        <f t="shared" ca="1" si="43"/>
        <v>36</v>
      </c>
      <c r="N68">
        <f t="shared" ca="1" si="43"/>
        <v>30</v>
      </c>
      <c r="O68">
        <f t="shared" ca="1" si="43"/>
        <v>30</v>
      </c>
      <c r="P68">
        <f t="shared" ca="1" si="43"/>
        <v>30</v>
      </c>
      <c r="V68" cm="1">
        <f t="array" aca="1" ref="V68" ca="1">IF(ISNA(E68),$B68,OFFSET(INDIRECT("'"&amp;V$67&amp;"'!d1"),E68-1,))</f>
        <v>3</v>
      </c>
      <c r="W68" cm="1">
        <f t="array" aca="1" ref="W68" ca="1">IF(ISNA(F68),,OFFSET(INDIRECT("'"&amp;W$67&amp;"'!d1"),F68-1,))</f>
        <v>3</v>
      </c>
      <c r="X68" cm="1">
        <f t="array" aca="1" ref="X68" ca="1">IF(ISNA(G68),,OFFSET(INDIRECT("'"&amp;X$67&amp;"'!d1"),G68-1,))</f>
        <v>3</v>
      </c>
      <c r="Y68" cm="1">
        <f t="array" aca="1" ref="Y68" ca="1">IF(ISNA(H68),,OFFSET(INDIRECT("'"&amp;Y$67&amp;"'!d1"),H68-1,))</f>
        <v>3</v>
      </c>
      <c r="Z68" cm="1">
        <f t="array" aca="1" ref="Z68" ca="1">IF(ISNA(I68),,OFFSET(INDIRECT("'"&amp;Z$67&amp;"'!d1"),I68-1,))</f>
        <v>3</v>
      </c>
      <c r="AA68" cm="1">
        <f t="array" aca="1" ref="AA68" ca="1">IF(ISNA(J68),,OFFSET(INDIRECT("'"&amp;AA$67&amp;"'!d1"),J68-1,))</f>
        <v>3</v>
      </c>
      <c r="AB68" cm="1">
        <f t="array" aca="1" ref="AB68" ca="1">IF(ISNA(K68),,OFFSET(INDIRECT("'"&amp;AB$67&amp;"'!d1"),K68-1,))</f>
        <v>3</v>
      </c>
      <c r="AC68" cm="1">
        <f t="array" aca="1" ref="AC68" ca="1">IF(ISNA(L68),,OFFSET(INDIRECT("'"&amp;AC$67&amp;"'!d1"),L68-1,))</f>
        <v>3</v>
      </c>
      <c r="AD68" cm="1">
        <f t="array" aca="1" ref="AD68" ca="1">IF(ISNA(M68),,OFFSET(INDIRECT("'"&amp;AD$67&amp;"'!d1"),M68-1,))</f>
        <v>3</v>
      </c>
      <c r="AE68" cm="1">
        <f t="array" aca="1" ref="AE68" ca="1">IF(ISNA(N68),,OFFSET(INDIRECT("'"&amp;AE$67&amp;"'!d1"),N68-1,))</f>
        <v>3</v>
      </c>
      <c r="AF68" cm="1">
        <f t="array" aca="1" ref="AF68" ca="1">IF(ISNA(O68),,OFFSET(INDIRECT("'"&amp;AF$67&amp;"'!d1"),O68-1,))</f>
        <v>3</v>
      </c>
      <c r="AG68" cm="1">
        <f t="array" aca="1" ref="AG68" ca="1">IF(ISNA(P68),,OFFSET(INDIRECT("'"&amp;AG$67&amp;"'!d1"),P68-1,))</f>
        <v>3</v>
      </c>
      <c r="AM68">
        <f ca="1">IF(DC68&gt;= $N$3,0,BD68)</f>
        <v>1</v>
      </c>
      <c r="AN68">
        <f t="shared" ref="AN68:AP73" ca="1" si="44">IF(DD68&gt;= $N$3,0,BE68)</f>
        <v>1</v>
      </c>
      <c r="AO68">
        <f t="shared" ca="1" si="44"/>
        <v>1</v>
      </c>
      <c r="AP68">
        <f t="shared" ca="1" si="44"/>
        <v>1</v>
      </c>
      <c r="AQ68">
        <f ca="1">IF(DG68*1&gt;= $N$3,0,BH68)</f>
        <v>1</v>
      </c>
      <c r="AV68" t="b">
        <f ca="1">IF(AM68=1,CL68=1,"")</f>
        <v>1</v>
      </c>
      <c r="AW68" t="b">
        <f t="shared" ref="AW68:AZ73" ca="1" si="45">IF(AN68=1,CM68=1,"")</f>
        <v>1</v>
      </c>
      <c r="AX68" t="b">
        <f t="shared" ca="1" si="45"/>
        <v>1</v>
      </c>
      <c r="AY68" t="b">
        <f t="shared" ca="1" si="45"/>
        <v>1</v>
      </c>
      <c r="AZ68" t="b">
        <f t="shared" ca="1" si="45"/>
        <v>1</v>
      </c>
      <c r="BD68">
        <f t="shared" ref="BD68:BO73" ca="1" si="46">IF(AND(V68&gt;0,V68&lt;$B68),1,0)</f>
        <v>1</v>
      </c>
      <c r="BE68">
        <f t="shared" ca="1" si="46"/>
        <v>1</v>
      </c>
      <c r="BF68">
        <f t="shared" ca="1" si="46"/>
        <v>1</v>
      </c>
      <c r="BG68">
        <f t="shared" ca="1" si="46"/>
        <v>1</v>
      </c>
      <c r="BH68">
        <f t="shared" ca="1" si="46"/>
        <v>1</v>
      </c>
      <c r="BI68">
        <f t="shared" ca="1" si="46"/>
        <v>1</v>
      </c>
      <c r="BJ68">
        <f t="shared" ca="1" si="46"/>
        <v>1</v>
      </c>
      <c r="BK68">
        <f t="shared" ca="1" si="46"/>
        <v>1</v>
      </c>
      <c r="BL68">
        <f t="shared" ca="1" si="46"/>
        <v>1</v>
      </c>
      <c r="BM68">
        <f t="shared" ca="1" si="46"/>
        <v>1</v>
      </c>
      <c r="BN68">
        <f t="shared" ca="1" si="46"/>
        <v>1</v>
      </c>
      <c r="BO68">
        <f t="shared" ca="1" si="46"/>
        <v>1</v>
      </c>
      <c r="BU68">
        <f t="shared" ref="BU68:CF73" ca="1" si="47">IF(BD68,V68,$B68)</f>
        <v>3</v>
      </c>
      <c r="BV68">
        <f t="shared" ca="1" si="47"/>
        <v>3</v>
      </c>
      <c r="BW68">
        <f t="shared" ca="1" si="47"/>
        <v>3</v>
      </c>
      <c r="BX68">
        <f t="shared" ca="1" si="47"/>
        <v>3</v>
      </c>
      <c r="BY68">
        <f t="shared" ca="1" si="47"/>
        <v>3</v>
      </c>
      <c r="BZ68">
        <f t="shared" ca="1" si="47"/>
        <v>3</v>
      </c>
      <c r="CA68">
        <f t="shared" ca="1" si="47"/>
        <v>3</v>
      </c>
      <c r="CB68">
        <f t="shared" ca="1" si="47"/>
        <v>3</v>
      </c>
      <c r="CC68">
        <f t="shared" ca="1" si="47"/>
        <v>3</v>
      </c>
      <c r="CD68">
        <f t="shared" ca="1" si="47"/>
        <v>3</v>
      </c>
      <c r="CE68">
        <f t="shared" ca="1" si="47"/>
        <v>3</v>
      </c>
      <c r="CF68">
        <f t="shared" ca="1" si="47"/>
        <v>3</v>
      </c>
      <c r="CL68">
        <f t="shared" ref="CL68:CW73" ca="1" si="48">IF(BU68=$C68,1,0)</f>
        <v>1</v>
      </c>
      <c r="CM68">
        <f t="shared" ca="1" si="48"/>
        <v>1</v>
      </c>
      <c r="CN68">
        <f t="shared" ca="1" si="48"/>
        <v>1</v>
      </c>
      <c r="CO68">
        <f t="shared" ca="1" si="48"/>
        <v>1</v>
      </c>
      <c r="CP68">
        <f t="shared" ca="1" si="48"/>
        <v>1</v>
      </c>
      <c r="CQ68">
        <f t="shared" ca="1" si="48"/>
        <v>1</v>
      </c>
      <c r="CR68">
        <f t="shared" ca="1" si="48"/>
        <v>1</v>
      </c>
      <c r="CS68">
        <f t="shared" ca="1" si="48"/>
        <v>1</v>
      </c>
      <c r="CT68">
        <f t="shared" ca="1" si="48"/>
        <v>1</v>
      </c>
      <c r="CU68">
        <f t="shared" ca="1" si="48"/>
        <v>1</v>
      </c>
      <c r="CV68">
        <f t="shared" ca="1" si="48"/>
        <v>1</v>
      </c>
      <c r="CW68">
        <f t="shared" ca="1" si="48"/>
        <v>1</v>
      </c>
      <c r="DC68" cm="1">
        <f t="array" aca="1" ref="DC68" ca="1">IF(ISNA(E68),,OFFSET(INDIRECT("'"&amp;DT$67&amp;"'!f1"),E68-1,))*1</f>
        <v>5.3923953324556302E-2</v>
      </c>
      <c r="DD68" cm="1">
        <f t="array" aca="1" ref="DD68" ca="1">IF(ISNA(F68),,OFFSET(INDIRECT("'"&amp;DU$67&amp;"'!f1"),F68-1,))*1</f>
        <v>0.17091117240488499</v>
      </c>
      <c r="DE68" cm="1">
        <f t="array" aca="1" ref="DE68" ca="1">IF(ISNA(G68),,OFFSET(INDIRECT("'"&amp;DV$67&amp;"'!f1"),G68-1,))*1</f>
        <v>8.6135800927877398E-2</v>
      </c>
      <c r="DF68" cm="1">
        <f t="array" aca="1" ref="DF68" ca="1">IF(ISNA(H68),,OFFSET(INDIRECT("'"&amp;DW$67&amp;"'!f1"),H68-1,))*1</f>
        <v>3.0640831217169699E-2</v>
      </c>
      <c r="DG68" cm="1">
        <f t="array" aca="1" ref="DG68" ca="1">IF(ISNA(I68),,OFFSET(INDIRECT("'"&amp;DX$67&amp;"'!f1"),I68-1,))*1</f>
        <v>0.104990624997299</v>
      </c>
      <c r="DH68" cm="1">
        <f t="array" aca="1" ref="DH68" ca="1">IF(ISNA(J68),,OFFSET(INDIRECT("'"&amp;DY$67&amp;"'!f1"),J68-1,))*1</f>
        <v>6.3725946471095002E-2</v>
      </c>
      <c r="DI68" cm="1">
        <f t="array" aca="1" ref="DI68" ca="1">IF(ISNA(K68),,OFFSET(INDIRECT("'"&amp;DZ$67&amp;"'!f1"),K68-1,))*1</f>
        <v>1.99557389784604</v>
      </c>
      <c r="DJ68" cm="1">
        <f t="array" aca="1" ref="DJ68" ca="1">IF(ISNA(L68),,OFFSET(INDIRECT("'"&amp;EA$67&amp;"'!f1"),L68-1,))*1</f>
        <v>3.1644997969269699</v>
      </c>
      <c r="DK68" cm="1">
        <f t="array" aca="1" ref="DK68" ca="1">IF(ISNA(M68),,OFFSET(INDIRECT("'"&amp;EB$67&amp;"'!f1"),M68-1,))*1</f>
        <v>25.217638697475099</v>
      </c>
      <c r="DL68" cm="1">
        <f t="array" aca="1" ref="DL68" ca="1">IF(ISNA(N68),,OFFSET(INDIRECT("'"&amp;EC$67&amp;"'!f1"),N68-1,))*1</f>
        <v>1.3426341116428301E-2</v>
      </c>
      <c r="DM68" cm="1">
        <f t="array" aca="1" ref="DM68" ca="1">IF(ISNA(O68),,OFFSET(INDIRECT("'"&amp;ED$67&amp;"'!f1"),O68-1,))*1</f>
        <v>2.6858627796172999E-2</v>
      </c>
      <c r="DN68" cm="1">
        <f t="array" aca="1" ref="DN68" ca="1">IF(ISNA(P68),,OFFSET(INDIRECT("'"&amp;EE$67&amp;"'!f1"),P68-1,))*1</f>
        <v>2.74927541613578E-2</v>
      </c>
      <c r="DT68">
        <f ca="1">IF(CL68,EK68,)</f>
        <v>1</v>
      </c>
      <c r="DU68">
        <f t="shared" ref="DU68:EE73" ca="1" si="49">IF(CM68,EL68,)</f>
        <v>1</v>
      </c>
      <c r="DV68">
        <f t="shared" ca="1" si="49"/>
        <v>1</v>
      </c>
      <c r="DW68">
        <f t="shared" ca="1" si="49"/>
        <v>1</v>
      </c>
      <c r="DX68">
        <f t="shared" ca="1" si="49"/>
        <v>1</v>
      </c>
      <c r="DY68">
        <f t="shared" ca="1" si="49"/>
        <v>1</v>
      </c>
      <c r="DZ68">
        <f t="shared" ca="1" si="49"/>
        <v>9962</v>
      </c>
      <c r="EA68">
        <f t="shared" ca="1" si="49"/>
        <v>10000</v>
      </c>
      <c r="EB68">
        <f t="shared" ca="1" si="49"/>
        <v>9822</v>
      </c>
      <c r="EC68">
        <f t="shared" ca="1" si="49"/>
        <v>1</v>
      </c>
      <c r="ED68">
        <f t="shared" ca="1" si="49"/>
        <v>1</v>
      </c>
      <c r="EE68">
        <f t="shared" ca="1" si="49"/>
        <v>2</v>
      </c>
      <c r="EK68" cm="1">
        <f t="array" aca="1" ref="EK68" ca="1">IF(ISNA(E68),0,OFFSET(INDIRECT("'"&amp;EK$67&amp;"'!g1"),E68-1,)*CL68)</f>
        <v>1</v>
      </c>
      <c r="EL68" cm="1">
        <f t="array" aca="1" ref="EL68" ca="1">IF(ISNA(F68),0,OFFSET(INDIRECT("'"&amp;EL$67&amp;"'!g1"),F68-1,)*CM68)</f>
        <v>1</v>
      </c>
      <c r="EM68" cm="1">
        <f t="array" aca="1" ref="EM68" ca="1">IF(ISNA(G68),0,OFFSET(INDIRECT("'"&amp;EM$67&amp;"'!g1"),G68-1,)*CN68)</f>
        <v>1</v>
      </c>
      <c r="EN68" cm="1">
        <f t="array" aca="1" ref="EN68" ca="1">IF(ISNA(H68),0,OFFSET(INDIRECT("'"&amp;EN$67&amp;"'!g1"),H68-1,)*CO68)</f>
        <v>1</v>
      </c>
      <c r="EO68" cm="1">
        <f t="array" aca="1" ref="EO68" ca="1">IF(ISNA(I68),0,OFFSET(INDIRECT("'"&amp;EO$67&amp;"'!g1"),I68-1,)*CP68)</f>
        <v>1</v>
      </c>
      <c r="EP68" cm="1">
        <f t="array" aca="1" ref="EP68" ca="1">IF(ISNA(J68),0,OFFSET(INDIRECT("'"&amp;EP$67&amp;"'!g1"),J68-1,)*CQ68)</f>
        <v>1</v>
      </c>
      <c r="EQ68" cm="1">
        <f t="array" aca="1" ref="EQ68" ca="1">IF(ISNA(K68),0,OFFSET(INDIRECT("'"&amp;EQ$67&amp;"'!g1"),K68-1,)*CR68)</f>
        <v>9962</v>
      </c>
      <c r="ER68" cm="1">
        <f t="array" aca="1" ref="ER68" ca="1">IF(ISNA(L68),0,OFFSET(INDIRECT("'"&amp;ER$67&amp;"'!g1"),L68-1,)*CS68)</f>
        <v>10000</v>
      </c>
      <c r="ES68" cm="1">
        <f t="array" aca="1" ref="ES68" ca="1">IF(ISNA(M68),0,OFFSET(INDIRECT("'"&amp;ES$67&amp;"'!g1"),M68-1,)*CT68)</f>
        <v>9822</v>
      </c>
      <c r="ET68" cm="1">
        <f t="array" aca="1" ref="ET68" ca="1">IF(ISNA(N68),0,OFFSET(INDIRECT("'"&amp;ET$67&amp;"'!g1"),N68-1,)*CU68)</f>
        <v>1</v>
      </c>
      <c r="EU68" cm="1">
        <f t="array" aca="1" ref="EU68" ca="1">IF(ISNA(O68),0,OFFSET(INDIRECT("'"&amp;EU$67&amp;"'!g1"),O68-1,)*CV68)</f>
        <v>1</v>
      </c>
      <c r="EV68" cm="1">
        <f t="array" aca="1" ref="EV68" ca="1">IF(ISNA(P68),0,OFFSET(INDIRECT("'"&amp;EV$67&amp;"'!g1"),P68-1,)*CW68)</f>
        <v>2</v>
      </c>
      <c r="FB68" s="10" cm="1">
        <f t="array" aca="1" ref="FB68" ca="1">IF(ISNA(E68),0,OFFSET(INDIRECT("'"&amp;EK$67&amp;"'!h1"),E68-1,))</f>
        <v>1</v>
      </c>
      <c r="FC68" s="10" cm="1">
        <f t="array" aca="1" ref="FC68" ca="1">IF(ISNA(F68),0,OFFSET(INDIRECT("'"&amp;EL$67&amp;"'!h1"),F68-1,))</f>
        <v>1</v>
      </c>
      <c r="FD68" s="10" cm="1">
        <f t="array" aca="1" ref="FD68" ca="1">IF(ISNA(G68),0,OFFSET(INDIRECT("'"&amp;EM$67&amp;"'!h1"),G68-1,))</f>
        <v>1</v>
      </c>
      <c r="FE68" s="10" cm="1">
        <f t="array" aca="1" ref="FE68" ca="1">IF(ISNA(H68),0,OFFSET(INDIRECT("'"&amp;EN$67&amp;"'!h1"),H68-1,))</f>
        <v>1</v>
      </c>
      <c r="FF68" s="10" cm="1">
        <f t="array" aca="1" ref="FF68" ca="1">IF(ISNA(I68),0,OFFSET(INDIRECT("'"&amp;EO$67&amp;"'!h1"),I68-1,))</f>
        <v>1</v>
      </c>
      <c r="FG68" s="10" cm="1">
        <f t="array" aca="1" ref="FG68" ca="1">IF(ISNA(J68),0,OFFSET(INDIRECT("'"&amp;EP$67&amp;"'!h1"),J68-1,))</f>
        <v>1</v>
      </c>
      <c r="FH68" s="10" cm="1">
        <f t="array" aca="1" ref="FH68" ca="1">IF(ISNA(K68),0,OFFSET(INDIRECT("'"&amp;EQ$67&amp;"'!h1"),K68-1,))</f>
        <v>10000</v>
      </c>
      <c r="FI68" s="10" cm="1">
        <f t="array" aca="1" ref="FI68" ca="1">IF(ISNA(L68),0,OFFSET(INDIRECT("'"&amp;ER$67&amp;"'!h1"),L68-1,))</f>
        <v>10000</v>
      </c>
      <c r="FJ68" s="10" cm="1">
        <f t="array" aca="1" ref="FJ68" ca="1">IF(ISNA(M68),0,OFFSET(INDIRECT("'"&amp;ES$67&amp;"'!h1"),M68-1,))</f>
        <v>10000</v>
      </c>
      <c r="FK68" s="10" cm="1">
        <f t="array" aca="1" ref="FK68" ca="1">IF(ISNA(N68),0,OFFSET(INDIRECT("'"&amp;ET$67&amp;"'!h1"),N68-1,))</f>
        <v>1</v>
      </c>
      <c r="FL68" s="10" cm="1">
        <f t="array" aca="1" ref="FL68" ca="1">IF(ISNA(O68),0,OFFSET(INDIRECT("'"&amp;EU$67&amp;"'!h1"),O68-1,))</f>
        <v>1</v>
      </c>
      <c r="FM68" s="10" cm="1">
        <f t="array" aca="1" ref="FM68" ca="1">IF(ISNA(P68),0,OFFSET(INDIRECT("'"&amp;EV$67&amp;"'!h1"),P68-1,))</f>
        <v>2</v>
      </c>
      <c r="FN68" s="10"/>
      <c r="FO68" s="10"/>
      <c r="FP68" s="10"/>
      <c r="FQ68" s="10"/>
      <c r="FS68">
        <f ca="1">B68</f>
        <v>13</v>
      </c>
      <c r="FT68">
        <f ca="1">OFFSET($DC68,,$FT$66-1)</f>
        <v>1.99557389784604</v>
      </c>
      <c r="FU68">
        <f ca="1">OFFSET($DT68,,$FT$66-1)</f>
        <v>9962</v>
      </c>
      <c r="FV68">
        <f ca="1">OFFSET($FB68,,$FT$66-1)</f>
        <v>10000</v>
      </c>
      <c r="FW68" s="4">
        <f ca="1">IF(FV68,FU68/FV68,NA())</f>
        <v>0.99619999999999997</v>
      </c>
      <c r="FX68" s="5">
        <f ca="1">IF(FU68,FT68/FU68,NA())</f>
        <v>2.0031860046637622E-4</v>
      </c>
      <c r="FZ68" s="13">
        <f t="shared" ref="FZ68:FZ73" ca="1" si="50">GN68</f>
        <v>13</v>
      </c>
      <c r="GA68" s="22">
        <f ca="1">IF(BD68,(BU68-$C68)/$C68,NA())</f>
        <v>0</v>
      </c>
      <c r="GB68" s="22">
        <f t="shared" ref="GB68:GL73" ca="1" si="51">IF(BE68,(BV68-$C68)/$C68,NA())</f>
        <v>0</v>
      </c>
      <c r="GC68" s="22">
        <f t="shared" ca="1" si="51"/>
        <v>0</v>
      </c>
      <c r="GD68" s="22">
        <f t="shared" ca="1" si="51"/>
        <v>0</v>
      </c>
      <c r="GE68" s="22">
        <f t="shared" ca="1" si="51"/>
        <v>0</v>
      </c>
      <c r="GF68" s="22">
        <f t="shared" ca="1" si="51"/>
        <v>0</v>
      </c>
      <c r="GG68" s="22">
        <f t="shared" ca="1" si="51"/>
        <v>0</v>
      </c>
      <c r="GH68" s="22">
        <f t="shared" ca="1" si="51"/>
        <v>0</v>
      </c>
      <c r="GI68" s="22">
        <f t="shared" ca="1" si="51"/>
        <v>0</v>
      </c>
      <c r="GJ68" s="22">
        <f t="shared" ca="1" si="51"/>
        <v>0</v>
      </c>
      <c r="GK68" s="22">
        <f t="shared" ca="1" si="51"/>
        <v>0</v>
      </c>
      <c r="GL68" s="22">
        <f t="shared" ca="1" si="51"/>
        <v>0</v>
      </c>
      <c r="GM68" s="22"/>
      <c r="GN68">
        <f ca="1">B68</f>
        <v>13</v>
      </c>
      <c r="GO68" s="5">
        <f ca="1">IF(AND(AM68&gt;0,DT68&gt;0),DC68/DT68,NA())</f>
        <v>5.3923953324556302E-2</v>
      </c>
      <c r="GP68" s="5">
        <f t="shared" ref="GP68:GS73" ca="1" si="52">IF(AND(AN68&gt;0,DU68&gt;0),DD68/DU68,NA())</f>
        <v>0.17091117240488499</v>
      </c>
      <c r="GQ68" s="5">
        <f t="shared" ca="1" si="52"/>
        <v>8.6135800927877398E-2</v>
      </c>
      <c r="GR68" s="5">
        <f t="shared" ca="1" si="52"/>
        <v>3.0640831217169699E-2</v>
      </c>
      <c r="GS68" s="5">
        <f t="shared" ca="1" si="52"/>
        <v>0.104990624997299</v>
      </c>
      <c r="GT68" s="5">
        <f ca="1">IF(DY68&gt;0,DH68/DY68,NA())</f>
        <v>6.3725946471095002E-2</v>
      </c>
      <c r="GU68" s="5">
        <f t="shared" ref="GU68:GZ73" ca="1" si="53">IF(DZ68&gt;0,DI68/DZ68,NA())</f>
        <v>2.0031860046637622E-4</v>
      </c>
      <c r="GV68" s="5">
        <f t="shared" ca="1" si="53"/>
        <v>3.1644997969269698E-4</v>
      </c>
      <c r="GW68" s="5">
        <f t="shared" ca="1" si="53"/>
        <v>2.5674647421579208E-3</v>
      </c>
      <c r="GX68" s="5">
        <f t="shared" ca="1" si="53"/>
        <v>1.3426341116428301E-2</v>
      </c>
      <c r="GY68" s="5">
        <f t="shared" ca="1" si="53"/>
        <v>2.6858627796172999E-2</v>
      </c>
      <c r="GZ68" s="5">
        <f t="shared" ca="1" si="53"/>
        <v>1.37463770806789E-2</v>
      </c>
      <c r="HB68" s="13">
        <f t="shared" ref="HB68:HB73" ca="1" si="54">GN68</f>
        <v>13</v>
      </c>
      <c r="HC68" s="4">
        <f ca="1">IF(FB68,DT68/FB68,)</f>
        <v>1</v>
      </c>
      <c r="HD68" s="4">
        <f t="shared" ref="HD68:HN73" ca="1" si="55">IF(FC68,DU68/FC68,)</f>
        <v>1</v>
      </c>
      <c r="HE68" s="4">
        <f t="shared" ca="1" si="55"/>
        <v>1</v>
      </c>
      <c r="HF68" s="4">
        <f t="shared" ca="1" si="55"/>
        <v>1</v>
      </c>
      <c r="HG68" s="4">
        <f t="shared" ca="1" si="55"/>
        <v>1</v>
      </c>
      <c r="HH68" s="4">
        <f t="shared" ca="1" si="55"/>
        <v>1</v>
      </c>
      <c r="HI68" s="4">
        <f t="shared" ca="1" si="55"/>
        <v>0.99619999999999997</v>
      </c>
      <c r="HJ68" s="4">
        <f t="shared" ca="1" si="55"/>
        <v>1</v>
      </c>
      <c r="HK68" s="4">
        <f t="shared" ca="1" si="55"/>
        <v>0.98219999999999996</v>
      </c>
      <c r="HL68" s="4">
        <f t="shared" ca="1" si="55"/>
        <v>1</v>
      </c>
      <c r="HM68" s="4">
        <f t="shared" ca="1" si="55"/>
        <v>1</v>
      </c>
      <c r="HN68" s="4">
        <f t="shared" ca="1" si="55"/>
        <v>1</v>
      </c>
    </row>
    <row r="69" spans="1:222" x14ac:dyDescent="0.2">
      <c r="A69" t="str" cm="1">
        <f t="array" aca="1" ref="A69" ca="1">INDIRECT($A$67&amp;"!A"&amp;ROW(C2)+$B$64)</f>
        <v>02_r=5,d=5,p=0.0005,noise=uniform,c=superdense_color_code_Z,q=37,gates=all.stim</v>
      </c>
      <c r="B69" cm="1">
        <f t="array" aca="1" ref="B69" ca="1">INDIRECT($A$67&amp;"!b"&amp;ROW(D2)+$B$64)</f>
        <v>37</v>
      </c>
      <c r="C69">
        <f t="shared" ref="C69:C73" ca="1" si="56">MIN(INDIRECT($A$67&amp;"!d"&amp;ROW(E2)+$B$64),BU69:CG69)</f>
        <v>5</v>
      </c>
      <c r="E69">
        <f t="shared" ca="1" si="43"/>
        <v>31</v>
      </c>
      <c r="F69">
        <f t="shared" ca="1" si="43"/>
        <v>32</v>
      </c>
      <c r="G69">
        <f t="shared" ca="1" si="43"/>
        <v>31</v>
      </c>
      <c r="H69">
        <f t="shared" ca="1" si="43"/>
        <v>26</v>
      </c>
      <c r="I69">
        <f t="shared" ca="1" si="43"/>
        <v>31</v>
      </c>
      <c r="J69">
        <f t="shared" ca="1" si="43"/>
        <v>31</v>
      </c>
      <c r="K69">
        <f t="shared" ca="1" si="43"/>
        <v>33</v>
      </c>
      <c r="L69">
        <f t="shared" ca="1" si="43"/>
        <v>35</v>
      </c>
      <c r="M69">
        <f t="shared" ca="1" si="43"/>
        <v>37</v>
      </c>
      <c r="N69">
        <f t="shared" ca="1" si="43"/>
        <v>31</v>
      </c>
      <c r="O69">
        <f t="shared" ca="1" si="43"/>
        <v>31</v>
      </c>
      <c r="P69">
        <f t="shared" ca="1" si="43"/>
        <v>31</v>
      </c>
      <c r="V69" cm="1">
        <f t="array" aca="1" ref="V69" ca="1">IF(ISNA(E69),,OFFSET(INDIRECT("'"&amp;V$67&amp;"'!d1"),E69-1,))</f>
        <v>5</v>
      </c>
      <c r="W69" cm="1">
        <f t="array" aca="1" ref="W69" ca="1">IF(ISNA(F69),,OFFSET(INDIRECT("'"&amp;W$67&amp;"'!d1"),F69-1,))</f>
        <v>5</v>
      </c>
      <c r="X69" cm="1">
        <f t="array" aca="1" ref="X69" ca="1">IF(ISNA(G69),,OFFSET(INDIRECT("'"&amp;X$67&amp;"'!d1"),G69-1,))</f>
        <v>5</v>
      </c>
      <c r="Y69" cm="1">
        <f t="array" aca="1" ref="Y69" ca="1">IF(ISNA(H69),,OFFSET(INDIRECT("'"&amp;Y$67&amp;"'!d1"),H69-1,))</f>
        <v>5</v>
      </c>
      <c r="Z69" cm="1">
        <f t="array" aca="1" ref="Z69" ca="1">IF(ISNA(I69),,OFFSET(INDIRECT("'"&amp;Z$67&amp;"'!d1"),I69-1,))</f>
        <v>5</v>
      </c>
      <c r="AA69" cm="1">
        <f t="array" aca="1" ref="AA69" ca="1">IF(ISNA(J69),,OFFSET(INDIRECT("'"&amp;AA$67&amp;"'!d1"),J69-1,))</f>
        <v>5</v>
      </c>
      <c r="AB69" cm="1">
        <f t="array" aca="1" ref="AB69" ca="1">IF(ISNA(K69),,OFFSET(INDIRECT("'"&amp;AB$67&amp;"'!d1"),K69-1,))</f>
        <v>5</v>
      </c>
      <c r="AC69" cm="1">
        <f t="array" aca="1" ref="AC69" ca="1">IF(ISNA(L69),,OFFSET(INDIRECT("'"&amp;AC$67&amp;"'!d1"),L69-1,))</f>
        <v>5</v>
      </c>
      <c r="AD69" cm="1">
        <f t="array" aca="1" ref="AD69" ca="1">IF(ISNA(M69),,OFFSET(INDIRECT("'"&amp;AD$67&amp;"'!d1"),M69-1,))</f>
        <v>5</v>
      </c>
      <c r="AE69" cm="1">
        <f t="array" aca="1" ref="AE69" ca="1">IF(ISNA(N69),,OFFSET(INDIRECT("'"&amp;AE$67&amp;"'!d1"),N69-1,))</f>
        <v>5</v>
      </c>
      <c r="AF69" cm="1">
        <f t="array" aca="1" ref="AF69" ca="1">IF(ISNA(O69),,OFFSET(INDIRECT("'"&amp;AF$67&amp;"'!d1"),O69-1,))</f>
        <v>5</v>
      </c>
      <c r="AG69" cm="1">
        <f t="array" aca="1" ref="AG69" ca="1">IF(ISNA(P69),,OFFSET(INDIRECT("'"&amp;AG$67&amp;"'!d1"),P69-1,))</f>
        <v>5</v>
      </c>
      <c r="AM69">
        <f t="shared" ref="AM69:AM73" ca="1" si="57">IF(DC69&gt;= $N$3,0,BD69)</f>
        <v>1</v>
      </c>
      <c r="AN69">
        <f t="shared" ca="1" si="44"/>
        <v>1</v>
      </c>
      <c r="AO69">
        <f t="shared" ca="1" si="44"/>
        <v>1</v>
      </c>
      <c r="AP69">
        <f t="shared" ca="1" si="44"/>
        <v>1</v>
      </c>
      <c r="AQ69">
        <f t="shared" ref="AQ69:AQ73" ca="1" si="58">IF(DG69*1&gt;= $N$3,0,BH69)</f>
        <v>1</v>
      </c>
      <c r="AV69" t="b">
        <f t="shared" ref="AV69:AV73" ca="1" si="59">IF(AM69=1,CL69=1,"")</f>
        <v>1</v>
      </c>
      <c r="AW69" t="b">
        <f t="shared" ca="1" si="45"/>
        <v>1</v>
      </c>
      <c r="AX69" t="b">
        <f t="shared" ca="1" si="45"/>
        <v>1</v>
      </c>
      <c r="AY69" t="b">
        <f t="shared" ca="1" si="45"/>
        <v>1</v>
      </c>
      <c r="AZ69" t="b">
        <f t="shared" ca="1" si="45"/>
        <v>1</v>
      </c>
      <c r="BD69">
        <f t="shared" ca="1" si="46"/>
        <v>1</v>
      </c>
      <c r="BE69">
        <f t="shared" ca="1" si="46"/>
        <v>1</v>
      </c>
      <c r="BF69">
        <f t="shared" ca="1" si="46"/>
        <v>1</v>
      </c>
      <c r="BG69">
        <f t="shared" ca="1" si="46"/>
        <v>1</v>
      </c>
      <c r="BH69">
        <f t="shared" ca="1" si="46"/>
        <v>1</v>
      </c>
      <c r="BI69">
        <f t="shared" ca="1" si="46"/>
        <v>1</v>
      </c>
      <c r="BJ69">
        <f t="shared" ca="1" si="46"/>
        <v>1</v>
      </c>
      <c r="BK69">
        <f t="shared" ca="1" si="46"/>
        <v>1</v>
      </c>
      <c r="BL69">
        <f t="shared" ca="1" si="46"/>
        <v>1</v>
      </c>
      <c r="BM69">
        <f t="shared" ca="1" si="46"/>
        <v>1</v>
      </c>
      <c r="BN69">
        <f t="shared" ca="1" si="46"/>
        <v>1</v>
      </c>
      <c r="BO69">
        <f t="shared" ca="1" si="46"/>
        <v>1</v>
      </c>
      <c r="BU69">
        <f t="shared" ca="1" si="47"/>
        <v>5</v>
      </c>
      <c r="BV69">
        <f t="shared" ca="1" si="47"/>
        <v>5</v>
      </c>
      <c r="BW69">
        <f t="shared" ca="1" si="47"/>
        <v>5</v>
      </c>
      <c r="BX69">
        <f t="shared" ca="1" si="47"/>
        <v>5</v>
      </c>
      <c r="BY69">
        <f t="shared" ca="1" si="47"/>
        <v>5</v>
      </c>
      <c r="BZ69">
        <f t="shared" ca="1" si="47"/>
        <v>5</v>
      </c>
      <c r="CA69">
        <f t="shared" ca="1" si="47"/>
        <v>5</v>
      </c>
      <c r="CB69">
        <f t="shared" ca="1" si="47"/>
        <v>5</v>
      </c>
      <c r="CC69">
        <f t="shared" ca="1" si="47"/>
        <v>5</v>
      </c>
      <c r="CD69">
        <f t="shared" ca="1" si="47"/>
        <v>5</v>
      </c>
      <c r="CE69">
        <f t="shared" ca="1" si="47"/>
        <v>5</v>
      </c>
      <c r="CF69">
        <f t="shared" ca="1" si="47"/>
        <v>5</v>
      </c>
      <c r="CL69">
        <f t="shared" ca="1" si="48"/>
        <v>1</v>
      </c>
      <c r="CM69">
        <f t="shared" ca="1" si="48"/>
        <v>1</v>
      </c>
      <c r="CN69">
        <f t="shared" ca="1" si="48"/>
        <v>1</v>
      </c>
      <c r="CO69">
        <f t="shared" ca="1" si="48"/>
        <v>1</v>
      </c>
      <c r="CP69">
        <f t="shared" ca="1" si="48"/>
        <v>1</v>
      </c>
      <c r="CQ69">
        <f t="shared" ca="1" si="48"/>
        <v>1</v>
      </c>
      <c r="CR69">
        <f t="shared" ca="1" si="48"/>
        <v>1</v>
      </c>
      <c r="CS69">
        <f t="shared" ca="1" si="48"/>
        <v>1</v>
      </c>
      <c r="CT69">
        <f t="shared" ca="1" si="48"/>
        <v>1</v>
      </c>
      <c r="CU69">
        <f t="shared" ca="1" si="48"/>
        <v>1</v>
      </c>
      <c r="CV69">
        <f t="shared" ca="1" si="48"/>
        <v>1</v>
      </c>
      <c r="CW69">
        <f t="shared" ca="1" si="48"/>
        <v>1</v>
      </c>
      <c r="DC69" cm="1">
        <f t="array" aca="1" ref="DC69" ca="1">IF(ISNA(E69),,OFFSET(INDIRECT("'"&amp;DT$67&amp;"'!f1"),E69-1,))*1</f>
        <v>1.7989246211945999</v>
      </c>
      <c r="DD69" cm="1">
        <f t="array" aca="1" ref="DD69" ca="1">IF(ISNA(F69),,OFFSET(INDIRECT("'"&amp;DU$67&amp;"'!f1"),F69-1,))*1</f>
        <v>14.307818245142601</v>
      </c>
      <c r="DE69" cm="1">
        <f t="array" aca="1" ref="DE69" ca="1">IF(ISNA(G69),,OFFSET(INDIRECT("'"&amp;DV$67&amp;"'!f1"),G69-1,))*1</f>
        <v>14.243915339931799</v>
      </c>
      <c r="DF69" cm="1">
        <f t="array" aca="1" ref="DF69" ca="1">IF(ISNA(H69),,OFFSET(INDIRECT("'"&amp;DW$67&amp;"'!f1"),H69-1,))*1</f>
        <v>0.10804974008351501</v>
      </c>
      <c r="DG69" cm="1">
        <f t="array" aca="1" ref="DG69" ca="1">IF(ISNA(I69),,OFFSET(INDIRECT("'"&amp;DX$67&amp;"'!f1"),I69-1,))*1</f>
        <v>73.5506523330113</v>
      </c>
      <c r="DH69" cm="1">
        <f t="array" aca="1" ref="DH69" ca="1">IF(ISNA(J69),,OFFSET(INDIRECT("'"&amp;DY$67&amp;"'!f1"),J69-1,))*1</f>
        <v>0.52033904287964095</v>
      </c>
      <c r="DI69" cm="1">
        <f t="array" aca="1" ref="DI69" ca="1">IF(ISNA(K69),,OFFSET(INDIRECT("'"&amp;DZ$67&amp;"'!f1"),K69-1,))*1</f>
        <v>14.2598586082458</v>
      </c>
      <c r="DJ69" cm="1">
        <f t="array" aca="1" ref="DJ69" ca="1">IF(ISNA(L69),,OFFSET(INDIRECT("'"&amp;EA$67&amp;"'!f1"),L69-1,))*1</f>
        <v>23.208602895960201</v>
      </c>
      <c r="DK69" cm="1">
        <f t="array" aca="1" ref="DK69" ca="1">IF(ISNA(M69),,OFFSET(INDIRECT("'"&amp;EB$67&amp;"'!f1"),M69-1,))*1</f>
        <v>165.92098152358</v>
      </c>
      <c r="DL69" cm="1">
        <f t="array" aca="1" ref="DL69" ca="1">IF(ISNA(N69),,OFFSET(INDIRECT("'"&amp;EC$67&amp;"'!f1"),N69-1,))*1</f>
        <v>8.9054532349109594E-2</v>
      </c>
      <c r="DM69" cm="1">
        <f t="array" aca="1" ref="DM69" ca="1">IF(ISNA(O69),,OFFSET(INDIRECT("'"&amp;ED$67&amp;"'!f1"),O69-1,))*1</f>
        <v>0.11056331545114501</v>
      </c>
      <c r="DN69" cm="1">
        <f t="array" aca="1" ref="DN69" ca="1">IF(ISNA(P69),,OFFSET(INDIRECT("'"&amp;EE$67&amp;"'!f1"),P69-1,))*1</f>
        <v>0.10772455483675</v>
      </c>
      <c r="DT69">
        <f t="shared" ref="DT69:DT73" ca="1" si="60">IF(CL69,EK69,)</f>
        <v>1</v>
      </c>
      <c r="DU69">
        <f t="shared" ca="1" si="49"/>
        <v>1</v>
      </c>
      <c r="DV69">
        <f t="shared" ca="1" si="49"/>
        <v>1</v>
      </c>
      <c r="DW69">
        <f t="shared" ca="1" si="49"/>
        <v>1</v>
      </c>
      <c r="DX69">
        <f t="shared" ca="1" si="49"/>
        <v>1</v>
      </c>
      <c r="DY69">
        <f t="shared" ca="1" si="49"/>
        <v>1</v>
      </c>
      <c r="DZ69">
        <f t="shared" ca="1" si="49"/>
        <v>9194</v>
      </c>
      <c r="EA69">
        <f t="shared" ca="1" si="49"/>
        <v>9990</v>
      </c>
      <c r="EB69">
        <f t="shared" ca="1" si="49"/>
        <v>9996</v>
      </c>
      <c r="EC69">
        <f t="shared" ca="1" si="49"/>
        <v>1</v>
      </c>
      <c r="ED69">
        <f t="shared" ca="1" si="49"/>
        <v>1</v>
      </c>
      <c r="EE69">
        <f t="shared" ca="1" si="49"/>
        <v>2</v>
      </c>
      <c r="EK69" cm="1">
        <f t="array" aca="1" ref="EK69" ca="1">IF(ISNA(E69),0,OFFSET(INDIRECT("'"&amp;EK$67&amp;"'!g1"),E69-1,)*CL69)</f>
        <v>1</v>
      </c>
      <c r="EL69" cm="1">
        <f t="array" aca="1" ref="EL69" ca="1">IF(ISNA(F69),0,OFFSET(INDIRECT("'"&amp;EL$67&amp;"'!g1"),F69-1,)*CM69)</f>
        <v>1</v>
      </c>
      <c r="EM69" cm="1">
        <f t="array" aca="1" ref="EM69" ca="1">IF(ISNA(G69),0,OFFSET(INDIRECT("'"&amp;EM$67&amp;"'!g1"),G69-1,)*CN69)</f>
        <v>1</v>
      </c>
      <c r="EN69" cm="1">
        <f t="array" aca="1" ref="EN69" ca="1">IF(ISNA(H69),0,OFFSET(INDIRECT("'"&amp;EN$67&amp;"'!g1"),H69-1,)*CO69)</f>
        <v>1</v>
      </c>
      <c r="EO69" cm="1">
        <f t="array" aca="1" ref="EO69" ca="1">IF(ISNA(I69),0,OFFSET(INDIRECT("'"&amp;EO$67&amp;"'!g1"),I69-1,)*CP69)</f>
        <v>1</v>
      </c>
      <c r="EP69" cm="1">
        <f t="array" aca="1" ref="EP69" ca="1">IF(ISNA(J69),0,OFFSET(INDIRECT("'"&amp;EP$67&amp;"'!g1"),J69-1,)*CQ69)</f>
        <v>1</v>
      </c>
      <c r="EQ69" cm="1">
        <f t="array" aca="1" ref="EQ69" ca="1">IF(ISNA(K69),0,OFFSET(INDIRECT("'"&amp;EQ$67&amp;"'!g1"),K69-1,)*CR69)</f>
        <v>9194</v>
      </c>
      <c r="ER69" cm="1">
        <f t="array" aca="1" ref="ER69" ca="1">IF(ISNA(L69),0,OFFSET(INDIRECT("'"&amp;ER$67&amp;"'!g1"),L69-1,)*CS69)</f>
        <v>9990</v>
      </c>
      <c r="ES69" cm="1">
        <f t="array" aca="1" ref="ES69" ca="1">IF(ISNA(M69),0,OFFSET(INDIRECT("'"&amp;ES$67&amp;"'!g1"),M69-1,)*CT69)</f>
        <v>9996</v>
      </c>
      <c r="ET69" cm="1">
        <f t="array" aca="1" ref="ET69" ca="1">IF(ISNA(N69),0,OFFSET(INDIRECT("'"&amp;ET$67&amp;"'!g1"),N69-1,)*CU69)</f>
        <v>1</v>
      </c>
      <c r="EU69" cm="1">
        <f t="array" aca="1" ref="EU69" ca="1">IF(ISNA(O69),0,OFFSET(INDIRECT("'"&amp;EU$67&amp;"'!g1"),O69-1,)*CV69)</f>
        <v>1</v>
      </c>
      <c r="EV69" cm="1">
        <f t="array" aca="1" ref="EV69" ca="1">IF(ISNA(P69),0,OFFSET(INDIRECT("'"&amp;EV$67&amp;"'!g1"),P69-1,)*CW69)</f>
        <v>2</v>
      </c>
      <c r="FB69" s="10" cm="1">
        <f t="array" aca="1" ref="FB69" ca="1">IF(ISNA(E69),0,OFFSET(INDIRECT("'"&amp;EK$67&amp;"'!h1"),E69-1,))</f>
        <v>1</v>
      </c>
      <c r="FC69" s="10" cm="1">
        <f t="array" aca="1" ref="FC69" ca="1">IF(ISNA(F69),0,OFFSET(INDIRECT("'"&amp;EL$67&amp;"'!h1"),F69-1,))</f>
        <v>1</v>
      </c>
      <c r="FD69" s="10" cm="1">
        <f t="array" aca="1" ref="FD69" ca="1">IF(ISNA(G69),0,OFFSET(INDIRECT("'"&amp;EM$67&amp;"'!h1"),G69-1,))</f>
        <v>1</v>
      </c>
      <c r="FE69" s="10" cm="1">
        <f t="array" aca="1" ref="FE69" ca="1">IF(ISNA(H69),0,OFFSET(INDIRECT("'"&amp;EN$67&amp;"'!h1"),H69-1,))</f>
        <v>1</v>
      </c>
      <c r="FF69" s="10" cm="1">
        <f t="array" aca="1" ref="FF69" ca="1">IF(ISNA(I69),0,OFFSET(INDIRECT("'"&amp;EO$67&amp;"'!h1"),I69-1,))</f>
        <v>1</v>
      </c>
      <c r="FG69" s="10" cm="1">
        <f t="array" aca="1" ref="FG69" ca="1">IF(ISNA(J69),0,OFFSET(INDIRECT("'"&amp;EP$67&amp;"'!h1"),J69-1,))</f>
        <v>1</v>
      </c>
      <c r="FH69" s="10" cm="1">
        <f t="array" aca="1" ref="FH69" ca="1">IF(ISNA(K69),0,OFFSET(INDIRECT("'"&amp;EQ$67&amp;"'!h1"),K69-1,))</f>
        <v>10000</v>
      </c>
      <c r="FI69" s="10" cm="1">
        <f t="array" aca="1" ref="FI69" ca="1">IF(ISNA(L69),0,OFFSET(INDIRECT("'"&amp;ER$67&amp;"'!h1"),L69-1,))</f>
        <v>10000</v>
      </c>
      <c r="FJ69" s="10" cm="1">
        <f t="array" aca="1" ref="FJ69" ca="1">IF(ISNA(M69),0,OFFSET(INDIRECT("'"&amp;ES$67&amp;"'!h1"),M69-1,))</f>
        <v>10000</v>
      </c>
      <c r="FK69" s="10" cm="1">
        <f t="array" aca="1" ref="FK69" ca="1">IF(ISNA(N69),0,OFFSET(INDIRECT("'"&amp;ET$67&amp;"'!h1"),N69-1,))</f>
        <v>1</v>
      </c>
      <c r="FL69" s="10" cm="1">
        <f t="array" aca="1" ref="FL69" ca="1">IF(ISNA(O69),0,OFFSET(INDIRECT("'"&amp;EU$67&amp;"'!h1"),O69-1,))</f>
        <v>1</v>
      </c>
      <c r="FM69" s="10" cm="1">
        <f t="array" aca="1" ref="FM69" ca="1">IF(ISNA(P69),0,OFFSET(INDIRECT("'"&amp;EV$67&amp;"'!h1"),P69-1,))</f>
        <v>2</v>
      </c>
      <c r="FN69" s="10"/>
      <c r="FO69" s="10"/>
      <c r="FP69" s="10"/>
      <c r="FQ69" s="10"/>
      <c r="FS69">
        <f t="shared" ref="FS69:FS73" ca="1" si="61">B69</f>
        <v>37</v>
      </c>
      <c r="FT69">
        <f t="shared" ref="FT69:FT73" ca="1" si="62">OFFSET($DC69,,$FT$66-1)</f>
        <v>14.2598586082458</v>
      </c>
      <c r="FU69">
        <f t="shared" ref="FU69:FU73" ca="1" si="63">OFFSET($DT69,,$FT$66-1)</f>
        <v>9194</v>
      </c>
      <c r="FV69">
        <f t="shared" ref="FV69:FV73" ca="1" si="64">OFFSET($FB69,,$FT$66-1)</f>
        <v>10000</v>
      </c>
      <c r="FW69" s="4">
        <f t="shared" ref="FW69:FW73" ca="1" si="65">IF(FV69,FU69/FV69,NA())</f>
        <v>0.9194</v>
      </c>
      <c r="FX69" s="5">
        <f t="shared" ref="FX69:FX73" ca="1" si="66">IF(FU69,FT69/FU69,NA())</f>
        <v>1.550996150559691E-3</v>
      </c>
      <c r="FZ69" s="13">
        <f t="shared" ca="1" si="50"/>
        <v>37</v>
      </c>
      <c r="GA69" s="22">
        <f t="shared" ref="GA69:GA73" ca="1" si="67">IF(BD69,(BU69-$C69)/$C69,NA())</f>
        <v>0</v>
      </c>
      <c r="GB69" s="22">
        <f t="shared" ca="1" si="51"/>
        <v>0</v>
      </c>
      <c r="GC69" s="22">
        <f t="shared" ca="1" si="51"/>
        <v>0</v>
      </c>
      <c r="GD69" s="22">
        <f t="shared" ca="1" si="51"/>
        <v>0</v>
      </c>
      <c r="GE69" s="22">
        <f t="shared" ca="1" si="51"/>
        <v>0</v>
      </c>
      <c r="GF69" s="22">
        <f t="shared" ca="1" si="51"/>
        <v>0</v>
      </c>
      <c r="GG69" s="22">
        <f t="shared" ca="1" si="51"/>
        <v>0</v>
      </c>
      <c r="GH69" s="22">
        <f t="shared" ca="1" si="51"/>
        <v>0</v>
      </c>
      <c r="GI69" s="22">
        <f t="shared" ca="1" si="51"/>
        <v>0</v>
      </c>
      <c r="GJ69" s="22">
        <f t="shared" ca="1" si="51"/>
        <v>0</v>
      </c>
      <c r="GK69" s="22">
        <f t="shared" ca="1" si="51"/>
        <v>0</v>
      </c>
      <c r="GL69" s="22">
        <f t="shared" ca="1" si="51"/>
        <v>0</v>
      </c>
      <c r="GM69" s="22"/>
      <c r="GN69">
        <f t="shared" ref="GN69:GN73" ca="1" si="68">B69</f>
        <v>37</v>
      </c>
      <c r="GO69" s="5">
        <f t="shared" ref="GO69:GO73" ca="1" si="69">IF(AND(AM69&gt;0,DT69&gt;0),DC69/DT69,NA())</f>
        <v>1.7989246211945999</v>
      </c>
      <c r="GP69" s="5">
        <f t="shared" ca="1" si="52"/>
        <v>14.307818245142601</v>
      </c>
      <c r="GQ69" s="5">
        <f t="shared" ca="1" si="52"/>
        <v>14.243915339931799</v>
      </c>
      <c r="GR69" s="5">
        <f t="shared" ca="1" si="52"/>
        <v>0.10804974008351501</v>
      </c>
      <c r="GS69" s="5">
        <f t="shared" ca="1" si="52"/>
        <v>73.5506523330113</v>
      </c>
      <c r="GT69" s="5">
        <f t="shared" ref="GT69:GT73" ca="1" si="70">IF(DY69&gt;0,DH69/DY69,NA())</f>
        <v>0.52033904287964095</v>
      </c>
      <c r="GU69" s="5">
        <f t="shared" ca="1" si="53"/>
        <v>1.550996150559691E-3</v>
      </c>
      <c r="GV69" s="5">
        <f t="shared" ca="1" si="53"/>
        <v>2.323183473069089E-3</v>
      </c>
      <c r="GW69" s="5">
        <f t="shared" ca="1" si="53"/>
        <v>1.6598737647416966E-2</v>
      </c>
      <c r="GX69" s="5">
        <f t="shared" ca="1" si="53"/>
        <v>8.9054532349109594E-2</v>
      </c>
      <c r="GY69" s="5">
        <f t="shared" ca="1" si="53"/>
        <v>0.11056331545114501</v>
      </c>
      <c r="GZ69" s="5">
        <f t="shared" ca="1" si="53"/>
        <v>5.3862277418375001E-2</v>
      </c>
      <c r="HB69" s="13">
        <f t="shared" ca="1" si="54"/>
        <v>37</v>
      </c>
      <c r="HC69" s="4">
        <f t="shared" ref="HC69:HC73" ca="1" si="71">IF(FB69,DT69/FB69,)</f>
        <v>1</v>
      </c>
      <c r="HD69" s="4">
        <f t="shared" ca="1" si="55"/>
        <v>1</v>
      </c>
      <c r="HE69" s="4">
        <f t="shared" ca="1" si="55"/>
        <v>1</v>
      </c>
      <c r="HF69" s="4">
        <f t="shared" ca="1" si="55"/>
        <v>1</v>
      </c>
      <c r="HG69" s="4">
        <f t="shared" ca="1" si="55"/>
        <v>1</v>
      </c>
      <c r="HH69" s="4">
        <f t="shared" ca="1" si="55"/>
        <v>1</v>
      </c>
      <c r="HI69" s="4">
        <f t="shared" ca="1" si="55"/>
        <v>0.9194</v>
      </c>
      <c r="HJ69" s="4">
        <f t="shared" ca="1" si="55"/>
        <v>0.999</v>
      </c>
      <c r="HK69" s="4">
        <f t="shared" ca="1" si="55"/>
        <v>0.99960000000000004</v>
      </c>
      <c r="HL69" s="4">
        <f t="shared" ca="1" si="55"/>
        <v>1</v>
      </c>
      <c r="HM69" s="4">
        <f t="shared" ca="1" si="55"/>
        <v>1</v>
      </c>
      <c r="HN69" s="4">
        <f t="shared" ca="1" si="55"/>
        <v>1</v>
      </c>
    </row>
    <row r="70" spans="1:222" x14ac:dyDescent="0.2">
      <c r="A70" t="str" cm="1">
        <f t="array" aca="1" ref="A70" ca="1">INDIRECT($A$67&amp;"!A"&amp;ROW(C3)+$B$64)</f>
        <v>03_r=7,d=7,p=0.0005,noise=uniform,c=superdense_color_code_Z,q=73,gates=all.stim</v>
      </c>
      <c r="B70" cm="1">
        <f t="array" aca="1" ref="B70" ca="1">INDIRECT($A$67&amp;"!b"&amp;ROW(D3)+$B$64)</f>
        <v>73</v>
      </c>
      <c r="C70">
        <f t="shared" ca="1" si="56"/>
        <v>7</v>
      </c>
      <c r="E70">
        <f t="shared" ca="1" si="43"/>
        <v>32</v>
      </c>
      <c r="F70">
        <f t="shared" ca="1" si="43"/>
        <v>33</v>
      </c>
      <c r="G70">
        <f t="shared" ca="1" si="43"/>
        <v>32</v>
      </c>
      <c r="H70">
        <f t="shared" ca="1" si="43"/>
        <v>27</v>
      </c>
      <c r="I70">
        <f t="shared" ca="1" si="43"/>
        <v>32</v>
      </c>
      <c r="J70">
        <f t="shared" ca="1" si="43"/>
        <v>32</v>
      </c>
      <c r="K70">
        <f t="shared" ca="1" si="43"/>
        <v>34</v>
      </c>
      <c r="L70">
        <f t="shared" ca="1" si="43"/>
        <v>36</v>
      </c>
      <c r="M70">
        <f t="shared" ca="1" si="43"/>
        <v>38</v>
      </c>
      <c r="N70">
        <f t="shared" ca="1" si="43"/>
        <v>32</v>
      </c>
      <c r="O70">
        <f t="shared" ca="1" si="43"/>
        <v>32</v>
      </c>
      <c r="P70">
        <f t="shared" ca="1" si="43"/>
        <v>32</v>
      </c>
      <c r="V70" cm="1">
        <f t="array" aca="1" ref="V70" ca="1">IF(ISNA(E70),,OFFSET(INDIRECT("'"&amp;V$67&amp;"'!d1"),E70-1,))</f>
        <v>7</v>
      </c>
      <c r="W70" cm="1">
        <f t="array" aca="1" ref="W70" ca="1">IF(ISNA(F70),,OFFSET(INDIRECT("'"&amp;W$67&amp;"'!d1"),F70-1,))</f>
        <v>7</v>
      </c>
      <c r="X70" cm="1">
        <f t="array" aca="1" ref="X70" ca="1">IF(ISNA(G70),,OFFSET(INDIRECT("'"&amp;X$67&amp;"'!d1"),G70-1,))</f>
        <v>7</v>
      </c>
      <c r="Y70" cm="1">
        <f t="array" aca="1" ref="Y70" ca="1">IF(ISNA(H70),,OFFSET(INDIRECT("'"&amp;Y$67&amp;"'!d1"),H70-1,))</f>
        <v>7</v>
      </c>
      <c r="Z70" cm="1">
        <f t="array" aca="1" ref="Z70" ca="1">IF(ISNA(I70),,OFFSET(INDIRECT("'"&amp;Z$67&amp;"'!d1"),I70-1,))</f>
        <v>7</v>
      </c>
      <c r="AA70" cm="1">
        <f t="array" aca="1" ref="AA70" ca="1">IF(ISNA(J70),,OFFSET(INDIRECT("'"&amp;AA$67&amp;"'!d1"),J70-1,))</f>
        <v>7</v>
      </c>
      <c r="AB70" cm="1">
        <f t="array" aca="1" ref="AB70" ca="1">IF(ISNA(K70),,OFFSET(INDIRECT("'"&amp;AB$67&amp;"'!d1"),K70-1,))</f>
        <v>7</v>
      </c>
      <c r="AC70" cm="1">
        <f t="array" aca="1" ref="AC70" ca="1">IF(ISNA(L70),,OFFSET(INDIRECT("'"&amp;AC$67&amp;"'!d1"),L70-1,))</f>
        <v>7</v>
      </c>
      <c r="AD70" cm="1">
        <f t="array" aca="1" ref="AD70" ca="1">IF(ISNA(M70),,OFFSET(INDIRECT("'"&amp;AD$67&amp;"'!d1"),M70-1,))</f>
        <v>7</v>
      </c>
      <c r="AE70" cm="1">
        <f t="array" aca="1" ref="AE70" ca="1">IF(ISNA(N70),,OFFSET(INDIRECT("'"&amp;AE$67&amp;"'!d1"),N70-1,))</f>
        <v>7</v>
      </c>
      <c r="AF70" cm="1">
        <f t="array" aca="1" ref="AF70" ca="1">IF(ISNA(O70),,OFFSET(INDIRECT("'"&amp;AF$67&amp;"'!d1"),O70-1,))</f>
        <v>7</v>
      </c>
      <c r="AG70" cm="1">
        <f t="array" aca="1" ref="AG70" ca="1">IF(ISNA(P70),,OFFSET(INDIRECT("'"&amp;AG$67&amp;"'!d1"),P70-1,))</f>
        <v>7</v>
      </c>
      <c r="AM70">
        <f t="shared" ca="1" si="57"/>
        <v>1</v>
      </c>
      <c r="AN70">
        <f t="shared" ca="1" si="44"/>
        <v>1</v>
      </c>
      <c r="AO70">
        <f t="shared" ca="1" si="44"/>
        <v>1</v>
      </c>
      <c r="AP70">
        <f t="shared" ca="1" si="44"/>
        <v>1</v>
      </c>
      <c r="AQ70">
        <f t="shared" ca="1" si="58"/>
        <v>0</v>
      </c>
      <c r="AV70" t="b">
        <f t="shared" ca="1" si="59"/>
        <v>1</v>
      </c>
      <c r="AW70" t="b">
        <f t="shared" ca="1" si="45"/>
        <v>1</v>
      </c>
      <c r="AX70" t="b">
        <f t="shared" ca="1" si="45"/>
        <v>1</v>
      </c>
      <c r="AY70" t="b">
        <f t="shared" ca="1" si="45"/>
        <v>1</v>
      </c>
      <c r="AZ70" t="str">
        <f t="shared" ca="1" si="45"/>
        <v/>
      </c>
      <c r="BD70">
        <f t="shared" ca="1" si="46"/>
        <v>1</v>
      </c>
      <c r="BE70">
        <f t="shared" ca="1" si="46"/>
        <v>1</v>
      </c>
      <c r="BF70">
        <f t="shared" ca="1" si="46"/>
        <v>1</v>
      </c>
      <c r="BG70">
        <f t="shared" ca="1" si="46"/>
        <v>1</v>
      </c>
      <c r="BH70">
        <f t="shared" ca="1" si="46"/>
        <v>1</v>
      </c>
      <c r="BI70">
        <f t="shared" ca="1" si="46"/>
        <v>1</v>
      </c>
      <c r="BJ70">
        <f t="shared" ca="1" si="46"/>
        <v>1</v>
      </c>
      <c r="BK70">
        <f t="shared" ca="1" si="46"/>
        <v>1</v>
      </c>
      <c r="BL70">
        <f t="shared" ca="1" si="46"/>
        <v>1</v>
      </c>
      <c r="BM70">
        <f t="shared" ca="1" si="46"/>
        <v>1</v>
      </c>
      <c r="BN70">
        <f t="shared" ca="1" si="46"/>
        <v>1</v>
      </c>
      <c r="BO70">
        <f t="shared" ca="1" si="46"/>
        <v>1</v>
      </c>
      <c r="BU70">
        <f t="shared" ca="1" si="47"/>
        <v>7</v>
      </c>
      <c r="BV70">
        <f t="shared" ca="1" si="47"/>
        <v>7</v>
      </c>
      <c r="BW70">
        <f t="shared" ca="1" si="47"/>
        <v>7</v>
      </c>
      <c r="BX70">
        <f t="shared" ca="1" si="47"/>
        <v>7</v>
      </c>
      <c r="BY70">
        <f t="shared" ca="1" si="47"/>
        <v>7</v>
      </c>
      <c r="BZ70">
        <f t="shared" ca="1" si="47"/>
        <v>7</v>
      </c>
      <c r="CA70">
        <f t="shared" ca="1" si="47"/>
        <v>7</v>
      </c>
      <c r="CB70">
        <f t="shared" ca="1" si="47"/>
        <v>7</v>
      </c>
      <c r="CC70">
        <f t="shared" ca="1" si="47"/>
        <v>7</v>
      </c>
      <c r="CD70">
        <f t="shared" ca="1" si="47"/>
        <v>7</v>
      </c>
      <c r="CE70">
        <f t="shared" ca="1" si="47"/>
        <v>7</v>
      </c>
      <c r="CF70">
        <f t="shared" ca="1" si="47"/>
        <v>7</v>
      </c>
      <c r="CL70">
        <f t="shared" ca="1" si="48"/>
        <v>1</v>
      </c>
      <c r="CM70">
        <f t="shared" ca="1" si="48"/>
        <v>1</v>
      </c>
      <c r="CN70">
        <f t="shared" ca="1" si="48"/>
        <v>1</v>
      </c>
      <c r="CO70">
        <f t="shared" ca="1" si="48"/>
        <v>1</v>
      </c>
      <c r="CP70">
        <f t="shared" ca="1" si="48"/>
        <v>1</v>
      </c>
      <c r="CQ70">
        <f t="shared" ca="1" si="48"/>
        <v>1</v>
      </c>
      <c r="CR70">
        <f t="shared" ca="1" si="48"/>
        <v>1</v>
      </c>
      <c r="CS70">
        <f t="shared" ca="1" si="48"/>
        <v>1</v>
      </c>
      <c r="CT70">
        <f t="shared" ca="1" si="48"/>
        <v>1</v>
      </c>
      <c r="CU70">
        <f t="shared" ca="1" si="48"/>
        <v>1</v>
      </c>
      <c r="CV70">
        <f t="shared" ca="1" si="48"/>
        <v>1</v>
      </c>
      <c r="CW70">
        <f t="shared" ca="1" si="48"/>
        <v>1</v>
      </c>
      <c r="DC70" cm="1">
        <f t="array" aca="1" ref="DC70" ca="1">IF(ISNA(E70),,OFFSET(INDIRECT("'"&amp;DT$67&amp;"'!f1"),E70-1,))*1</f>
        <v>1321.8638879842999</v>
      </c>
      <c r="DD70" cm="1">
        <f t="array" aca="1" ref="DD70" ca="1">IF(ISNA(F70),,OFFSET(INDIRECT("'"&amp;DU$67&amp;"'!f1"),F70-1,))*1</f>
        <v>9721.5675252312794</v>
      </c>
      <c r="DE70" cm="1">
        <f t="array" aca="1" ref="DE70" ca="1">IF(ISNA(G70),,OFFSET(INDIRECT("'"&amp;DV$67&amp;"'!f1"),G70-1,))*1</f>
        <v>22017.9717851942</v>
      </c>
      <c r="DF70" cm="1">
        <f t="array" aca="1" ref="DF70" ca="1">IF(ISNA(H70),,OFFSET(INDIRECT("'"&amp;DW$67&amp;"'!f1"),H70-1,))*1</f>
        <v>46.176662079989903</v>
      </c>
      <c r="DG70" cm="1">
        <f t="array" aca="1" ref="DG70" ca="1">IF(ISNA(I70),,OFFSET(INDIRECT("'"&amp;DX$67&amp;"'!f1"),I70-1,))*1</f>
        <v>28801.826898374999</v>
      </c>
      <c r="DH70" cm="1">
        <f t="array" aca="1" ref="DH70" ca="1">IF(ISNA(J70),,OFFSET(INDIRECT("'"&amp;DY$67&amp;"'!f1"),J70-1,))*1</f>
        <v>2.4371442422270699</v>
      </c>
      <c r="DI70" cm="1">
        <f t="array" aca="1" ref="DI70" ca="1">IF(ISNA(K70),,OFFSET(INDIRECT("'"&amp;DZ$67&amp;"'!f1"),K70-1,))*1</f>
        <v>75.982809589244397</v>
      </c>
      <c r="DJ70" cm="1">
        <f t="array" aca="1" ref="DJ70" ca="1">IF(ISNA(L70),,OFFSET(INDIRECT("'"&amp;EA$67&amp;"'!f1"),L70-1,))*1</f>
        <v>84.186749727465198</v>
      </c>
      <c r="DK70" cm="1">
        <f t="array" aca="1" ref="DK70" ca="1">IF(ISNA(M70),,OFFSET(INDIRECT("'"&amp;EB$67&amp;"'!f1"),M70-1,))*1</f>
        <v>563.76569318398799</v>
      </c>
      <c r="DL70" cm="1">
        <f t="array" aca="1" ref="DL70" ca="1">IF(ISNA(N70),,OFFSET(INDIRECT("'"&amp;EC$67&amp;"'!f1"),N70-1,))*1</f>
        <v>0.32483538985252303</v>
      </c>
      <c r="DM70" cm="1">
        <f t="array" aca="1" ref="DM70" ca="1">IF(ISNA(O70),,OFFSET(INDIRECT("'"&amp;ED$67&amp;"'!f1"),O70-1,))*1</f>
        <v>0.93616759032010999</v>
      </c>
      <c r="DN70" cm="1">
        <f t="array" aca="1" ref="DN70" ca="1">IF(ISNA(P70),,OFFSET(INDIRECT("'"&amp;EE$67&amp;"'!f1"),P70-1,))*1</f>
        <v>0.96542182564735401</v>
      </c>
      <c r="DT70">
        <f t="shared" ca="1" si="60"/>
        <v>1</v>
      </c>
      <c r="DU70">
        <f t="shared" ca="1" si="49"/>
        <v>1</v>
      </c>
      <c r="DV70">
        <f t="shared" ca="1" si="49"/>
        <v>1</v>
      </c>
      <c r="DW70">
        <f t="shared" ca="1" si="49"/>
        <v>1</v>
      </c>
      <c r="DX70">
        <f t="shared" ca="1" si="49"/>
        <v>1</v>
      </c>
      <c r="DY70">
        <f t="shared" ca="1" si="49"/>
        <v>1</v>
      </c>
      <c r="DZ70">
        <f t="shared" ca="1" si="49"/>
        <v>6195</v>
      </c>
      <c r="EA70">
        <f t="shared" ca="1" si="49"/>
        <v>9193</v>
      </c>
      <c r="EB70">
        <f t="shared" ca="1" si="49"/>
        <v>9996</v>
      </c>
      <c r="EC70">
        <f t="shared" ca="1" si="49"/>
        <v>1</v>
      </c>
      <c r="ED70">
        <f t="shared" ca="1" si="49"/>
        <v>1</v>
      </c>
      <c r="EE70">
        <f t="shared" ca="1" si="49"/>
        <v>2</v>
      </c>
      <c r="EK70" cm="1">
        <f t="array" aca="1" ref="EK70" ca="1">IF(ISNA(E70),0,OFFSET(INDIRECT("'"&amp;EK$67&amp;"'!g1"),E70-1,)*CL70)</f>
        <v>1</v>
      </c>
      <c r="EL70" cm="1">
        <f t="array" aca="1" ref="EL70" ca="1">IF(ISNA(F70),0,OFFSET(INDIRECT("'"&amp;EL$67&amp;"'!g1"),F70-1,)*CM70)</f>
        <v>1</v>
      </c>
      <c r="EM70" cm="1">
        <f t="array" aca="1" ref="EM70" ca="1">IF(ISNA(G70),0,OFFSET(INDIRECT("'"&amp;EM$67&amp;"'!g1"),G70-1,)*CN70)</f>
        <v>1</v>
      </c>
      <c r="EN70" cm="1">
        <f t="array" aca="1" ref="EN70" ca="1">IF(ISNA(H70),0,OFFSET(INDIRECT("'"&amp;EN$67&amp;"'!g1"),H70-1,)*CO70)</f>
        <v>1</v>
      </c>
      <c r="EO70" cm="1">
        <f t="array" aca="1" ref="EO70" ca="1">IF(ISNA(I70),0,OFFSET(INDIRECT("'"&amp;EO$67&amp;"'!g1"),I70-1,)*CP70)</f>
        <v>1</v>
      </c>
      <c r="EP70" cm="1">
        <f t="array" aca="1" ref="EP70" ca="1">IF(ISNA(J70),0,OFFSET(INDIRECT("'"&amp;EP$67&amp;"'!g1"),J70-1,)*CQ70)</f>
        <v>1</v>
      </c>
      <c r="EQ70" cm="1">
        <f t="array" aca="1" ref="EQ70" ca="1">IF(ISNA(K70),0,OFFSET(INDIRECT("'"&amp;EQ$67&amp;"'!g1"),K70-1,)*CR70)</f>
        <v>6195</v>
      </c>
      <c r="ER70" cm="1">
        <f t="array" aca="1" ref="ER70" ca="1">IF(ISNA(L70),0,OFFSET(INDIRECT("'"&amp;ER$67&amp;"'!g1"),L70-1,)*CS70)</f>
        <v>9193</v>
      </c>
      <c r="ES70" cm="1">
        <f t="array" aca="1" ref="ES70" ca="1">IF(ISNA(M70),0,OFFSET(INDIRECT("'"&amp;ES$67&amp;"'!g1"),M70-1,)*CT70)</f>
        <v>9996</v>
      </c>
      <c r="ET70" cm="1">
        <f t="array" aca="1" ref="ET70" ca="1">IF(ISNA(N70),0,OFFSET(INDIRECT("'"&amp;ET$67&amp;"'!g1"),N70-1,)*CU70)</f>
        <v>1</v>
      </c>
      <c r="EU70" cm="1">
        <f t="array" aca="1" ref="EU70" ca="1">IF(ISNA(O70),0,OFFSET(INDIRECT("'"&amp;EU$67&amp;"'!g1"),O70-1,)*CV70)</f>
        <v>1</v>
      </c>
      <c r="EV70" cm="1">
        <f t="array" aca="1" ref="EV70" ca="1">IF(ISNA(P70),0,OFFSET(INDIRECT("'"&amp;EV$67&amp;"'!g1"),P70-1,)*CW70)</f>
        <v>2</v>
      </c>
      <c r="FB70" s="10" cm="1">
        <f t="array" aca="1" ref="FB70" ca="1">IF(ISNA(E70),0,OFFSET(INDIRECT("'"&amp;EK$67&amp;"'!h1"),E70-1,))</f>
        <v>1</v>
      </c>
      <c r="FC70" s="10" cm="1">
        <f t="array" aca="1" ref="FC70" ca="1">IF(ISNA(F70),0,OFFSET(INDIRECT("'"&amp;EL$67&amp;"'!h1"),F70-1,))</f>
        <v>1</v>
      </c>
      <c r="FD70" s="10" cm="1">
        <f t="array" aca="1" ref="FD70" ca="1">IF(ISNA(G70),0,OFFSET(INDIRECT("'"&amp;EM$67&amp;"'!h1"),G70-1,))</f>
        <v>1</v>
      </c>
      <c r="FE70" s="10" cm="1">
        <f t="array" aca="1" ref="FE70" ca="1">IF(ISNA(H70),0,OFFSET(INDIRECT("'"&amp;EN$67&amp;"'!h1"),H70-1,))</f>
        <v>1</v>
      </c>
      <c r="FF70" s="10" cm="1">
        <f t="array" aca="1" ref="FF70" ca="1">IF(ISNA(I70),0,OFFSET(INDIRECT("'"&amp;EO$67&amp;"'!h1"),I70-1,))</f>
        <v>1</v>
      </c>
      <c r="FG70" s="10" cm="1">
        <f t="array" aca="1" ref="FG70" ca="1">IF(ISNA(J70),0,OFFSET(INDIRECT("'"&amp;EP$67&amp;"'!h1"),J70-1,))</f>
        <v>1</v>
      </c>
      <c r="FH70" s="10" cm="1">
        <f t="array" aca="1" ref="FH70" ca="1">IF(ISNA(K70),0,OFFSET(INDIRECT("'"&amp;EQ$67&amp;"'!h1"),K70-1,))</f>
        <v>10000</v>
      </c>
      <c r="FI70" s="10" cm="1">
        <f t="array" aca="1" ref="FI70" ca="1">IF(ISNA(L70),0,OFFSET(INDIRECT("'"&amp;ER$67&amp;"'!h1"),L70-1,))</f>
        <v>10000</v>
      </c>
      <c r="FJ70" s="10" cm="1">
        <f t="array" aca="1" ref="FJ70" ca="1">IF(ISNA(M70),0,OFFSET(INDIRECT("'"&amp;ES$67&amp;"'!h1"),M70-1,))</f>
        <v>10000</v>
      </c>
      <c r="FK70" s="10" cm="1">
        <f t="array" aca="1" ref="FK70" ca="1">IF(ISNA(N70),0,OFFSET(INDIRECT("'"&amp;ET$67&amp;"'!h1"),N70-1,))</f>
        <v>1</v>
      </c>
      <c r="FL70" s="10" cm="1">
        <f t="array" aca="1" ref="FL70" ca="1">IF(ISNA(O70),0,OFFSET(INDIRECT("'"&amp;EU$67&amp;"'!h1"),O70-1,))</f>
        <v>1</v>
      </c>
      <c r="FM70" s="10" cm="1">
        <f t="array" aca="1" ref="FM70" ca="1">IF(ISNA(P70),0,OFFSET(INDIRECT("'"&amp;EV$67&amp;"'!h1"),P70-1,))</f>
        <v>2</v>
      </c>
      <c r="FN70" s="10"/>
      <c r="FO70" s="10"/>
      <c r="FP70" s="10"/>
      <c r="FQ70" s="10"/>
      <c r="FS70">
        <f t="shared" ca="1" si="61"/>
        <v>73</v>
      </c>
      <c r="FT70">
        <f t="shared" ca="1" si="62"/>
        <v>75.982809589244397</v>
      </c>
      <c r="FU70">
        <f t="shared" ca="1" si="63"/>
        <v>6195</v>
      </c>
      <c r="FV70">
        <f t="shared" ca="1" si="64"/>
        <v>10000</v>
      </c>
      <c r="FW70" s="4">
        <f t="shared" ca="1" si="65"/>
        <v>0.61950000000000005</v>
      </c>
      <c r="FX70" s="5">
        <f t="shared" ca="1" si="66"/>
        <v>1.2265183145963582E-2</v>
      </c>
      <c r="FZ70" s="13">
        <f t="shared" ca="1" si="50"/>
        <v>73</v>
      </c>
      <c r="GA70" s="22">
        <f t="shared" ca="1" si="67"/>
        <v>0</v>
      </c>
      <c r="GB70" s="22">
        <f t="shared" ca="1" si="51"/>
        <v>0</v>
      </c>
      <c r="GC70" s="22">
        <f t="shared" ca="1" si="51"/>
        <v>0</v>
      </c>
      <c r="GD70" s="22">
        <f t="shared" ca="1" si="51"/>
        <v>0</v>
      </c>
      <c r="GE70" s="22">
        <f t="shared" ca="1" si="51"/>
        <v>0</v>
      </c>
      <c r="GF70" s="22">
        <f t="shared" ca="1" si="51"/>
        <v>0</v>
      </c>
      <c r="GG70" s="22">
        <f t="shared" ca="1" si="51"/>
        <v>0</v>
      </c>
      <c r="GH70" s="22">
        <f t="shared" ca="1" si="51"/>
        <v>0</v>
      </c>
      <c r="GI70" s="22">
        <f t="shared" ca="1" si="51"/>
        <v>0</v>
      </c>
      <c r="GJ70" s="22">
        <f t="shared" ca="1" si="51"/>
        <v>0</v>
      </c>
      <c r="GK70" s="22">
        <f t="shared" ca="1" si="51"/>
        <v>0</v>
      </c>
      <c r="GL70" s="22">
        <f t="shared" ca="1" si="51"/>
        <v>0</v>
      </c>
      <c r="GM70" s="22"/>
      <c r="GN70">
        <f t="shared" ca="1" si="68"/>
        <v>73</v>
      </c>
      <c r="GO70" s="5">
        <f t="shared" ca="1" si="69"/>
        <v>1321.8638879842999</v>
      </c>
      <c r="GP70" s="5">
        <f t="shared" ca="1" si="52"/>
        <v>9721.5675252312794</v>
      </c>
      <c r="GQ70" s="5">
        <f t="shared" ca="1" si="52"/>
        <v>22017.9717851942</v>
      </c>
      <c r="GR70" s="5">
        <f t="shared" ca="1" si="52"/>
        <v>46.176662079989903</v>
      </c>
      <c r="GS70" s="5" t="e">
        <f t="shared" ca="1" si="52"/>
        <v>#N/A</v>
      </c>
      <c r="GT70" s="5">
        <f t="shared" ca="1" si="70"/>
        <v>2.4371442422270699</v>
      </c>
      <c r="GU70" s="5">
        <f t="shared" ca="1" si="53"/>
        <v>1.2265183145963582E-2</v>
      </c>
      <c r="GV70" s="5">
        <f t="shared" ca="1" si="53"/>
        <v>9.1577014823741101E-3</v>
      </c>
      <c r="GW70" s="5">
        <f t="shared" ca="1" si="53"/>
        <v>5.6399128969986792E-2</v>
      </c>
      <c r="GX70" s="5">
        <f t="shared" ca="1" si="53"/>
        <v>0.32483538985252303</v>
      </c>
      <c r="GY70" s="5">
        <f t="shared" ca="1" si="53"/>
        <v>0.93616759032010999</v>
      </c>
      <c r="GZ70" s="5">
        <f t="shared" ca="1" si="53"/>
        <v>0.48271091282367701</v>
      </c>
      <c r="HB70" s="13">
        <f t="shared" ca="1" si="54"/>
        <v>73</v>
      </c>
      <c r="HC70" s="4">
        <f t="shared" ca="1" si="71"/>
        <v>1</v>
      </c>
      <c r="HD70" s="4">
        <f t="shared" ca="1" si="55"/>
        <v>1</v>
      </c>
      <c r="HE70" s="4">
        <f t="shared" ca="1" si="55"/>
        <v>1</v>
      </c>
      <c r="HF70" s="4">
        <f t="shared" ca="1" si="55"/>
        <v>1</v>
      </c>
      <c r="HG70" s="4">
        <f t="shared" ca="1" si="55"/>
        <v>1</v>
      </c>
      <c r="HH70" s="4">
        <f t="shared" ca="1" si="55"/>
        <v>1</v>
      </c>
      <c r="HI70" s="4">
        <f t="shared" ca="1" si="55"/>
        <v>0.61950000000000005</v>
      </c>
      <c r="HJ70" s="4">
        <f t="shared" ca="1" si="55"/>
        <v>0.91930000000000001</v>
      </c>
      <c r="HK70" s="4">
        <f t="shared" ca="1" si="55"/>
        <v>0.99960000000000004</v>
      </c>
      <c r="HL70" s="4">
        <f t="shared" ca="1" si="55"/>
        <v>1</v>
      </c>
      <c r="HM70" s="4">
        <f t="shared" ca="1" si="55"/>
        <v>1</v>
      </c>
      <c r="HN70" s="4">
        <f t="shared" ca="1" si="55"/>
        <v>1</v>
      </c>
    </row>
    <row r="71" spans="1:222" x14ac:dyDescent="0.2">
      <c r="A71" t="str" cm="1">
        <f t="array" aca="1" ref="A71" ca="1">INDIRECT($A$67&amp;"!A"&amp;ROW(C4)+$B$64)</f>
        <v>04_r=9,d=9,p=0.0005,noise=uniform,c=superdense_color_code_Z,q=121,gates=all.stim</v>
      </c>
      <c r="B71" cm="1">
        <f t="array" aca="1" ref="B71" ca="1">INDIRECT($A$67&amp;"!b"&amp;ROW(D4)+$B$64)</f>
        <v>121</v>
      </c>
      <c r="C71">
        <f t="shared" ca="1" si="56"/>
        <v>9</v>
      </c>
      <c r="E71">
        <f t="shared" ca="1" si="43"/>
        <v>33</v>
      </c>
      <c r="F71">
        <f t="shared" ca="1" si="43"/>
        <v>34</v>
      </c>
      <c r="G71">
        <f t="shared" ca="1" si="43"/>
        <v>33</v>
      </c>
      <c r="H71">
        <f t="shared" ca="1" si="43"/>
        <v>28</v>
      </c>
      <c r="I71">
        <f t="shared" ca="1" si="43"/>
        <v>33</v>
      </c>
      <c r="J71">
        <f t="shared" ca="1" si="43"/>
        <v>33</v>
      </c>
      <c r="K71">
        <f t="shared" ca="1" si="43"/>
        <v>35</v>
      </c>
      <c r="L71">
        <f t="shared" ca="1" si="43"/>
        <v>37</v>
      </c>
      <c r="M71">
        <f t="shared" ca="1" si="43"/>
        <v>39</v>
      </c>
      <c r="N71">
        <f t="shared" ca="1" si="43"/>
        <v>33</v>
      </c>
      <c r="O71">
        <f t="shared" ca="1" si="43"/>
        <v>33</v>
      </c>
      <c r="P71">
        <f t="shared" ca="1" si="43"/>
        <v>33</v>
      </c>
      <c r="V71" cm="1">
        <f t="array" aca="1" ref="V71" ca="1">IF(ISNA(E71),,OFFSET(INDIRECT("'"&amp;V$67&amp;"'!d1"),E71-1,))</f>
        <v>9</v>
      </c>
      <c r="W71" cm="1">
        <f t="array" aca="1" ref="W71" ca="1">IF(ISNA(F71),,OFFSET(INDIRECT("'"&amp;W$67&amp;"'!d1"),F71-1,))</f>
        <v>9</v>
      </c>
      <c r="X71" cm="1">
        <f t="array" aca="1" ref="X71" ca="1">IF(ISNA(G71),,OFFSET(INDIRECT("'"&amp;X$67&amp;"'!d1"),G71-1,))</f>
        <v>11</v>
      </c>
      <c r="Y71" cm="1">
        <f t="array" aca="1" ref="Y71" ca="1">IF(ISNA(H71),,OFFSET(INDIRECT("'"&amp;Y$67&amp;"'!d1"),H71-1,))</f>
        <v>0</v>
      </c>
      <c r="Z71" cm="1">
        <f t="array" aca="1" ref="Z71" ca="1">IF(ISNA(I71),,OFFSET(INDIRECT("'"&amp;Z$67&amp;"'!d1"),I71-1,))</f>
        <v>9</v>
      </c>
      <c r="AA71" cm="1">
        <f t="array" aca="1" ref="AA71" ca="1">IF(ISNA(J71),,OFFSET(INDIRECT("'"&amp;AA$67&amp;"'!d1"),J71-1,))</f>
        <v>9</v>
      </c>
      <c r="AB71" cm="1">
        <f t="array" aca="1" ref="AB71" ca="1">IF(ISNA(K71),,OFFSET(INDIRECT("'"&amp;AB$67&amp;"'!d1"),K71-1,))</f>
        <v>9</v>
      </c>
      <c r="AC71" cm="1">
        <f t="array" aca="1" ref="AC71" ca="1">IF(ISNA(L71),,OFFSET(INDIRECT("'"&amp;AC$67&amp;"'!d1"),L71-1,))</f>
        <v>9</v>
      </c>
      <c r="AD71" cm="1">
        <f t="array" aca="1" ref="AD71" ca="1">IF(ISNA(M71),,OFFSET(INDIRECT("'"&amp;AD$67&amp;"'!d1"),M71-1,))</f>
        <v>9</v>
      </c>
      <c r="AE71" cm="1">
        <f t="array" aca="1" ref="AE71" ca="1">IF(ISNA(N71),,OFFSET(INDIRECT("'"&amp;AE$67&amp;"'!d1"),N71-1,))</f>
        <v>9</v>
      </c>
      <c r="AF71" cm="1">
        <f t="array" aca="1" ref="AF71" ca="1">IF(ISNA(O71),,OFFSET(INDIRECT("'"&amp;AF$67&amp;"'!d1"),O71-1,))</f>
        <v>9</v>
      </c>
      <c r="AG71" cm="1">
        <f t="array" aca="1" ref="AG71" ca="1">IF(ISNA(P71),,OFFSET(INDIRECT("'"&amp;AG$67&amp;"'!d1"),P71-1,))</f>
        <v>9</v>
      </c>
      <c r="AM71">
        <f t="shared" ca="1" si="57"/>
        <v>0</v>
      </c>
      <c r="AN71">
        <f t="shared" ca="1" si="44"/>
        <v>0</v>
      </c>
      <c r="AO71">
        <f t="shared" ca="1" si="44"/>
        <v>0</v>
      </c>
      <c r="AP71">
        <f t="shared" ca="1" si="44"/>
        <v>0</v>
      </c>
      <c r="AQ71">
        <f t="shared" ca="1" si="58"/>
        <v>1</v>
      </c>
      <c r="AV71" t="str">
        <f t="shared" ca="1" si="59"/>
        <v/>
      </c>
      <c r="AW71" t="str">
        <f t="shared" ca="1" si="45"/>
        <v/>
      </c>
      <c r="AX71" t="str">
        <f t="shared" ca="1" si="45"/>
        <v/>
      </c>
      <c r="AY71" t="str">
        <f t="shared" ca="1" si="45"/>
        <v/>
      </c>
      <c r="AZ71" t="b">
        <f t="shared" ca="1" si="45"/>
        <v>1</v>
      </c>
      <c r="BD71">
        <f t="shared" ca="1" si="46"/>
        <v>1</v>
      </c>
      <c r="BE71">
        <f t="shared" ca="1" si="46"/>
        <v>1</v>
      </c>
      <c r="BF71">
        <f t="shared" ca="1" si="46"/>
        <v>1</v>
      </c>
      <c r="BG71">
        <f t="shared" ca="1" si="46"/>
        <v>0</v>
      </c>
      <c r="BH71">
        <f t="shared" ca="1" si="46"/>
        <v>1</v>
      </c>
      <c r="BI71">
        <f t="shared" ca="1" si="46"/>
        <v>1</v>
      </c>
      <c r="BJ71">
        <f t="shared" ca="1" si="46"/>
        <v>1</v>
      </c>
      <c r="BK71">
        <f t="shared" ca="1" si="46"/>
        <v>1</v>
      </c>
      <c r="BL71">
        <f t="shared" ca="1" si="46"/>
        <v>1</v>
      </c>
      <c r="BM71">
        <f t="shared" ca="1" si="46"/>
        <v>1</v>
      </c>
      <c r="BN71">
        <f t="shared" ca="1" si="46"/>
        <v>1</v>
      </c>
      <c r="BO71">
        <f t="shared" ca="1" si="46"/>
        <v>1</v>
      </c>
      <c r="BU71">
        <f t="shared" ca="1" si="47"/>
        <v>9</v>
      </c>
      <c r="BV71">
        <f t="shared" ca="1" si="47"/>
        <v>9</v>
      </c>
      <c r="BW71">
        <f t="shared" ca="1" si="47"/>
        <v>11</v>
      </c>
      <c r="BX71">
        <f t="shared" ca="1" si="47"/>
        <v>121</v>
      </c>
      <c r="BY71">
        <f t="shared" ca="1" si="47"/>
        <v>9</v>
      </c>
      <c r="BZ71">
        <f t="shared" ca="1" si="47"/>
        <v>9</v>
      </c>
      <c r="CA71">
        <f t="shared" ca="1" si="47"/>
        <v>9</v>
      </c>
      <c r="CB71">
        <f t="shared" ca="1" si="47"/>
        <v>9</v>
      </c>
      <c r="CC71">
        <f t="shared" ca="1" si="47"/>
        <v>9</v>
      </c>
      <c r="CD71">
        <f t="shared" ca="1" si="47"/>
        <v>9</v>
      </c>
      <c r="CE71">
        <f t="shared" ca="1" si="47"/>
        <v>9</v>
      </c>
      <c r="CF71">
        <f t="shared" ca="1" si="47"/>
        <v>9</v>
      </c>
      <c r="CL71">
        <f t="shared" ca="1" si="48"/>
        <v>1</v>
      </c>
      <c r="CM71">
        <f t="shared" ca="1" si="48"/>
        <v>1</v>
      </c>
      <c r="CN71">
        <f t="shared" ca="1" si="48"/>
        <v>0</v>
      </c>
      <c r="CO71">
        <f t="shared" ca="1" si="48"/>
        <v>0</v>
      </c>
      <c r="CP71">
        <f t="shared" ca="1" si="48"/>
        <v>1</v>
      </c>
      <c r="CQ71">
        <f t="shared" ca="1" si="48"/>
        <v>1</v>
      </c>
      <c r="CR71">
        <f t="shared" ca="1" si="48"/>
        <v>1</v>
      </c>
      <c r="CS71">
        <f t="shared" ca="1" si="48"/>
        <v>1</v>
      </c>
      <c r="CT71">
        <f t="shared" ca="1" si="48"/>
        <v>1</v>
      </c>
      <c r="CU71">
        <f t="shared" ca="1" si="48"/>
        <v>1</v>
      </c>
      <c r="CV71">
        <f t="shared" ca="1" si="48"/>
        <v>1</v>
      </c>
      <c r="CW71">
        <f t="shared" ca="1" si="48"/>
        <v>1</v>
      </c>
      <c r="DC71" cm="1">
        <f t="array" aca="1" ref="DC71" ca="1">IF(ISNA(E71),,OFFSET(INDIRECT("'"&amp;DT$67&amp;"'!f1"),E71-1,))*1</f>
        <v>28848.7928161257</v>
      </c>
      <c r="DD71" cm="1">
        <f t="array" aca="1" ref="DD71" ca="1">IF(ISNA(F71),,OFFSET(INDIRECT("'"&amp;DU$67&amp;"'!f1"),F71-1,))*1</f>
        <v>28821.199666177799</v>
      </c>
      <c r="DE71" cm="1">
        <f t="array" aca="1" ref="DE71" ca="1">IF(ISNA(G71),,OFFSET(INDIRECT("'"&amp;DV$67&amp;"'!f1"),G71-1,))*1</f>
        <v>28801.380347984799</v>
      </c>
      <c r="DF71" cm="1">
        <f t="array" aca="1" ref="DF71" ca="1">IF(ISNA(H71),,OFFSET(INDIRECT("'"&amp;DW$67&amp;"'!f1"),H71-1,))*1</f>
        <v>28800.643125166102</v>
      </c>
      <c r="DG71" cm="1">
        <f t="array" aca="1" ref="DG71" ca="1">IF(ISNA(I71),,OFFSET(INDIRECT("'"&amp;DX$67&amp;"'!f1"),I71-1,))*1</f>
        <v>28763.986498957998</v>
      </c>
      <c r="DH71" cm="1">
        <f t="array" aca="1" ref="DH71" ca="1">IF(ISNA(J71),,OFFSET(INDIRECT("'"&amp;DY$67&amp;"'!f1"),J71-1,))*1</f>
        <v>8.6766984695568592</v>
      </c>
      <c r="DI71" cm="1">
        <f t="array" aca="1" ref="DI71" ca="1">IF(ISNA(K71),,OFFSET(INDIRECT("'"&amp;DZ$67&amp;"'!f1"),K71-1,))*1</f>
        <v>380.39690893608997</v>
      </c>
      <c r="DJ71" cm="1">
        <f t="array" aca="1" ref="DJ71" ca="1">IF(ISNA(L71),,OFFSET(INDIRECT("'"&amp;EA$67&amp;"'!f1"),L71-1,))*1</f>
        <v>376.87856690771798</v>
      </c>
      <c r="DK71" cm="1">
        <f t="array" aca="1" ref="DK71" ca="1">IF(ISNA(M71),,OFFSET(INDIRECT("'"&amp;EB$67&amp;"'!f1"),M71-1,))*1</f>
        <v>1440.1896297670901</v>
      </c>
      <c r="DL71" cm="1">
        <f t="array" aca="1" ref="DL71" ca="1">IF(ISNA(N71),,OFFSET(INDIRECT("'"&amp;EC$67&amp;"'!f1"),N71-1,))*1</f>
        <v>0.816923908889293</v>
      </c>
      <c r="DM71" cm="1">
        <f t="array" aca="1" ref="DM71" ca="1">IF(ISNA(O71),,OFFSET(INDIRECT("'"&amp;ED$67&amp;"'!f1"),O71-1,))*1</f>
        <v>7.0466314703226001</v>
      </c>
      <c r="DN71" cm="1">
        <f t="array" aca="1" ref="DN71" ca="1">IF(ISNA(P71),,OFFSET(INDIRECT("'"&amp;EE$67&amp;"'!f1"),P71-1,))*1</f>
        <v>7.2036994025111198</v>
      </c>
      <c r="DT71">
        <f t="shared" ca="1" si="60"/>
        <v>1</v>
      </c>
      <c r="DU71">
        <f t="shared" ca="1" si="49"/>
        <v>1</v>
      </c>
      <c r="DV71">
        <f t="shared" ca="1" si="49"/>
        <v>0</v>
      </c>
      <c r="DW71">
        <f t="shared" ca="1" si="49"/>
        <v>0</v>
      </c>
      <c r="DX71">
        <f t="shared" ca="1" si="49"/>
        <v>1</v>
      </c>
      <c r="DY71">
        <f t="shared" ca="1" si="49"/>
        <v>1</v>
      </c>
      <c r="DZ71">
        <f t="shared" ca="1" si="49"/>
        <v>2618</v>
      </c>
      <c r="EA71">
        <f t="shared" ca="1" si="49"/>
        <v>5865</v>
      </c>
      <c r="EB71">
        <f t="shared" ca="1" si="49"/>
        <v>9997</v>
      </c>
      <c r="EC71">
        <f t="shared" ca="1" si="49"/>
        <v>1</v>
      </c>
      <c r="ED71">
        <f t="shared" ca="1" si="49"/>
        <v>1</v>
      </c>
      <c r="EE71">
        <f t="shared" ca="1" si="49"/>
        <v>2</v>
      </c>
      <c r="EK71" cm="1">
        <f t="array" aca="1" ref="EK71" ca="1">IF(ISNA(E71),0,OFFSET(INDIRECT("'"&amp;EK$67&amp;"'!g1"),E71-1,)*CL71)</f>
        <v>1</v>
      </c>
      <c r="EL71" cm="1">
        <f t="array" aca="1" ref="EL71" ca="1">IF(ISNA(F71),0,OFFSET(INDIRECT("'"&amp;EL$67&amp;"'!g1"),F71-1,)*CM71)</f>
        <v>1</v>
      </c>
      <c r="EM71" cm="1">
        <f t="array" aca="1" ref="EM71" ca="1">IF(ISNA(G71),0,OFFSET(INDIRECT("'"&amp;EM$67&amp;"'!g1"),G71-1,)*CN71)</f>
        <v>0</v>
      </c>
      <c r="EN71" cm="1">
        <f t="array" aca="1" ref="EN71" ca="1">IF(ISNA(H71),0,OFFSET(INDIRECT("'"&amp;EN$67&amp;"'!g1"),H71-1,)*CO71)</f>
        <v>0</v>
      </c>
      <c r="EO71" cm="1">
        <f t="array" aca="1" ref="EO71" ca="1">IF(ISNA(I71),0,OFFSET(INDIRECT("'"&amp;EO$67&amp;"'!g1"),I71-1,)*CP71)</f>
        <v>1</v>
      </c>
      <c r="EP71" cm="1">
        <f t="array" aca="1" ref="EP71" ca="1">IF(ISNA(J71),0,OFFSET(INDIRECT("'"&amp;EP$67&amp;"'!g1"),J71-1,)*CQ71)</f>
        <v>1</v>
      </c>
      <c r="EQ71" cm="1">
        <f t="array" aca="1" ref="EQ71" ca="1">IF(ISNA(K71),0,OFFSET(INDIRECT("'"&amp;EQ$67&amp;"'!g1"),K71-1,)*CR71)</f>
        <v>2618</v>
      </c>
      <c r="ER71" cm="1">
        <f t="array" aca="1" ref="ER71" ca="1">IF(ISNA(L71),0,OFFSET(INDIRECT("'"&amp;ER$67&amp;"'!g1"),L71-1,)*CS71)</f>
        <v>5865</v>
      </c>
      <c r="ES71" cm="1">
        <f t="array" aca="1" ref="ES71" ca="1">IF(ISNA(M71),0,OFFSET(INDIRECT("'"&amp;ES$67&amp;"'!g1"),M71-1,)*CT71)</f>
        <v>9997</v>
      </c>
      <c r="ET71" cm="1">
        <f t="array" aca="1" ref="ET71" ca="1">IF(ISNA(N71),0,OFFSET(INDIRECT("'"&amp;ET$67&amp;"'!g1"),N71-1,)*CU71)</f>
        <v>1</v>
      </c>
      <c r="EU71" cm="1">
        <f t="array" aca="1" ref="EU71" ca="1">IF(ISNA(O71),0,OFFSET(INDIRECT("'"&amp;EU$67&amp;"'!g1"),O71-1,)*CV71)</f>
        <v>1</v>
      </c>
      <c r="EV71" cm="1">
        <f t="array" aca="1" ref="EV71" ca="1">IF(ISNA(P71),0,OFFSET(INDIRECT("'"&amp;EV$67&amp;"'!g1"),P71-1,)*CW71)</f>
        <v>2</v>
      </c>
      <c r="FB71" s="10" cm="1">
        <f t="array" aca="1" ref="FB71" ca="1">IF(ISNA(E71),0,OFFSET(INDIRECT("'"&amp;EK$67&amp;"'!h1"),E71-1,))</f>
        <v>1</v>
      </c>
      <c r="FC71" s="10" cm="1">
        <f t="array" aca="1" ref="FC71" ca="1">IF(ISNA(F71),0,OFFSET(INDIRECT("'"&amp;EL$67&amp;"'!h1"),F71-1,))</f>
        <v>1</v>
      </c>
      <c r="FD71" s="10" cm="1">
        <f t="array" aca="1" ref="FD71" ca="1">IF(ISNA(G71),0,OFFSET(INDIRECT("'"&amp;EM$67&amp;"'!h1"),G71-1,))</f>
        <v>1</v>
      </c>
      <c r="FE71" s="10" cm="1">
        <f t="array" aca="1" ref="FE71" ca="1">IF(ISNA(H71),0,OFFSET(INDIRECT("'"&amp;EN$67&amp;"'!h1"),H71-1,))</f>
        <v>1</v>
      </c>
      <c r="FF71" s="10" cm="1">
        <f t="array" aca="1" ref="FF71" ca="1">IF(ISNA(I71),0,OFFSET(INDIRECT("'"&amp;EO$67&amp;"'!h1"),I71-1,))</f>
        <v>1</v>
      </c>
      <c r="FG71" s="10" cm="1">
        <f t="array" aca="1" ref="FG71" ca="1">IF(ISNA(J71),0,OFFSET(INDIRECT("'"&amp;EP$67&amp;"'!h1"),J71-1,))</f>
        <v>1</v>
      </c>
      <c r="FH71" s="10" cm="1">
        <f t="array" aca="1" ref="FH71" ca="1">IF(ISNA(K71),0,OFFSET(INDIRECT("'"&amp;EQ$67&amp;"'!h1"),K71-1,))</f>
        <v>10000</v>
      </c>
      <c r="FI71" s="10" cm="1">
        <f t="array" aca="1" ref="FI71" ca="1">IF(ISNA(L71),0,OFFSET(INDIRECT("'"&amp;ER$67&amp;"'!h1"),L71-1,))</f>
        <v>10000</v>
      </c>
      <c r="FJ71" s="10" cm="1">
        <f t="array" aca="1" ref="FJ71" ca="1">IF(ISNA(M71),0,OFFSET(INDIRECT("'"&amp;ES$67&amp;"'!h1"),M71-1,))</f>
        <v>10000</v>
      </c>
      <c r="FK71" s="10" cm="1">
        <f t="array" aca="1" ref="FK71" ca="1">IF(ISNA(N71),0,OFFSET(INDIRECT("'"&amp;ET$67&amp;"'!h1"),N71-1,))</f>
        <v>1</v>
      </c>
      <c r="FL71" s="10" cm="1">
        <f t="array" aca="1" ref="FL71" ca="1">IF(ISNA(O71),0,OFFSET(INDIRECT("'"&amp;EU$67&amp;"'!h1"),O71-1,))</f>
        <v>1</v>
      </c>
      <c r="FM71" s="10" cm="1">
        <f t="array" aca="1" ref="FM71" ca="1">IF(ISNA(P71),0,OFFSET(INDIRECT("'"&amp;EV$67&amp;"'!h1"),P71-1,))</f>
        <v>2</v>
      </c>
      <c r="FN71" s="10"/>
      <c r="FO71" s="10"/>
      <c r="FP71" s="10"/>
      <c r="FQ71" s="10"/>
      <c r="FS71">
        <f t="shared" ca="1" si="61"/>
        <v>121</v>
      </c>
      <c r="FT71">
        <f t="shared" ca="1" si="62"/>
        <v>380.39690893608997</v>
      </c>
      <c r="FU71">
        <f t="shared" ca="1" si="63"/>
        <v>2618</v>
      </c>
      <c r="FV71">
        <f t="shared" ca="1" si="64"/>
        <v>10000</v>
      </c>
      <c r="FW71" s="4">
        <f t="shared" ca="1" si="65"/>
        <v>0.26179999999999998</v>
      </c>
      <c r="FX71" s="5">
        <f t="shared" ca="1" si="66"/>
        <v>0.14530057636978227</v>
      </c>
      <c r="FZ71" s="13">
        <f t="shared" ca="1" si="50"/>
        <v>121</v>
      </c>
      <c r="GA71" s="22">
        <f t="shared" ca="1" si="67"/>
        <v>0</v>
      </c>
      <c r="GB71" s="22">
        <f t="shared" ca="1" si="51"/>
        <v>0</v>
      </c>
      <c r="GC71" s="22">
        <f t="shared" ca="1" si="51"/>
        <v>0.22222222222222221</v>
      </c>
      <c r="GD71" s="22" t="e">
        <f t="shared" ca="1" si="51"/>
        <v>#N/A</v>
      </c>
      <c r="GE71" s="22">
        <f t="shared" ca="1" si="51"/>
        <v>0</v>
      </c>
      <c r="GF71" s="22">
        <f t="shared" ca="1" si="51"/>
        <v>0</v>
      </c>
      <c r="GG71" s="22">
        <f t="shared" ca="1" si="51"/>
        <v>0</v>
      </c>
      <c r="GH71" s="22">
        <f t="shared" ca="1" si="51"/>
        <v>0</v>
      </c>
      <c r="GI71" s="22">
        <f t="shared" ca="1" si="51"/>
        <v>0</v>
      </c>
      <c r="GJ71" s="22">
        <f t="shared" ca="1" si="51"/>
        <v>0</v>
      </c>
      <c r="GK71" s="22">
        <f t="shared" ca="1" si="51"/>
        <v>0</v>
      </c>
      <c r="GL71" s="22">
        <f t="shared" ca="1" si="51"/>
        <v>0</v>
      </c>
      <c r="GM71" s="22"/>
      <c r="GN71">
        <f t="shared" ca="1" si="68"/>
        <v>121</v>
      </c>
      <c r="GO71" s="5" t="e">
        <f t="shared" ca="1" si="69"/>
        <v>#N/A</v>
      </c>
      <c r="GP71" s="5" t="e">
        <f t="shared" ca="1" si="52"/>
        <v>#N/A</v>
      </c>
      <c r="GQ71" s="5" t="e">
        <f t="shared" ca="1" si="52"/>
        <v>#N/A</v>
      </c>
      <c r="GR71" s="5" t="e">
        <f t="shared" ca="1" si="52"/>
        <v>#N/A</v>
      </c>
      <c r="GS71" s="5">
        <f t="shared" ca="1" si="52"/>
        <v>28763.986498957998</v>
      </c>
      <c r="GT71" s="5">
        <f t="shared" ca="1" si="70"/>
        <v>8.6766984695568592</v>
      </c>
      <c r="GU71" s="5">
        <f t="shared" ca="1" si="53"/>
        <v>0.14530057636978227</v>
      </c>
      <c r="GV71" s="5">
        <f t="shared" ca="1" si="53"/>
        <v>6.4258920188869223E-2</v>
      </c>
      <c r="GW71" s="5">
        <f t="shared" ca="1" si="53"/>
        <v>0.14406218163119835</v>
      </c>
      <c r="GX71" s="5">
        <f t="shared" ca="1" si="53"/>
        <v>0.816923908889293</v>
      </c>
      <c r="GY71" s="5">
        <f t="shared" ca="1" si="53"/>
        <v>7.0466314703226001</v>
      </c>
      <c r="GZ71" s="5">
        <f t="shared" ca="1" si="53"/>
        <v>3.6018497012555599</v>
      </c>
      <c r="HB71" s="13">
        <f t="shared" ca="1" si="54"/>
        <v>121</v>
      </c>
      <c r="HC71" s="4">
        <f t="shared" ca="1" si="71"/>
        <v>1</v>
      </c>
      <c r="HD71" s="4">
        <f t="shared" ca="1" si="55"/>
        <v>1</v>
      </c>
      <c r="HE71" s="4">
        <f t="shared" ca="1" si="55"/>
        <v>0</v>
      </c>
      <c r="HF71" s="4">
        <f t="shared" ca="1" si="55"/>
        <v>0</v>
      </c>
      <c r="HG71" s="4">
        <f t="shared" ca="1" si="55"/>
        <v>1</v>
      </c>
      <c r="HH71" s="4">
        <f t="shared" ca="1" si="55"/>
        <v>1</v>
      </c>
      <c r="HI71" s="4">
        <f t="shared" ca="1" si="55"/>
        <v>0.26179999999999998</v>
      </c>
      <c r="HJ71" s="4">
        <f t="shared" ca="1" si="55"/>
        <v>0.58650000000000002</v>
      </c>
      <c r="HK71" s="4">
        <f t="shared" ca="1" si="55"/>
        <v>0.99970000000000003</v>
      </c>
      <c r="HL71" s="4">
        <f t="shared" ca="1" si="55"/>
        <v>1</v>
      </c>
      <c r="HM71" s="4">
        <f t="shared" ca="1" si="55"/>
        <v>1</v>
      </c>
      <c r="HN71" s="4">
        <f t="shared" ca="1" si="55"/>
        <v>1</v>
      </c>
    </row>
    <row r="72" spans="1:222" x14ac:dyDescent="0.2">
      <c r="A72" t="str" cm="1">
        <f t="array" aca="1" ref="A72" ca="1">INDIRECT($A$67&amp;"!A"&amp;ROW(C5)+$B$64)</f>
        <v>05_r=11,d=11,p=0.0005,noise=uniform,c=superdense_color_code_Z,q=181,gates=all.stim</v>
      </c>
      <c r="B72" cm="1">
        <f t="array" aca="1" ref="B72" ca="1">INDIRECT($A$67&amp;"!b"&amp;ROW(D5)+$B$64)</f>
        <v>181</v>
      </c>
      <c r="C72">
        <f t="shared" ca="1" si="56"/>
        <v>11</v>
      </c>
      <c r="E72">
        <f t="shared" ca="1" si="43"/>
        <v>34</v>
      </c>
      <c r="F72">
        <f t="shared" ca="1" si="43"/>
        <v>35</v>
      </c>
      <c r="G72">
        <f t="shared" ca="1" si="43"/>
        <v>34</v>
      </c>
      <c r="H72">
        <f t="shared" ca="1" si="43"/>
        <v>29</v>
      </c>
      <c r="I72">
        <f t="shared" ca="1" si="43"/>
        <v>35</v>
      </c>
      <c r="J72">
        <f t="shared" ca="1" si="43"/>
        <v>34</v>
      </c>
      <c r="K72">
        <f t="shared" ca="1" si="43"/>
        <v>36</v>
      </c>
      <c r="L72">
        <f t="shared" ca="1" si="43"/>
        <v>38</v>
      </c>
      <c r="M72">
        <f t="shared" ca="1" si="43"/>
        <v>40</v>
      </c>
      <c r="N72">
        <f t="shared" ca="1" si="43"/>
        <v>34</v>
      </c>
      <c r="O72">
        <f t="shared" ca="1" si="43"/>
        <v>34</v>
      </c>
      <c r="P72">
        <f t="shared" ca="1" si="43"/>
        <v>34</v>
      </c>
      <c r="V72" cm="1">
        <f t="array" aca="1" ref="V72" ca="1">IF(ISNA(E72),,OFFSET(INDIRECT("'"&amp;V$67&amp;"'!d1"),E72-1,))</f>
        <v>11</v>
      </c>
      <c r="W72" cm="1">
        <f t="array" aca="1" ref="W72" ca="1">IF(ISNA(F72),,OFFSET(INDIRECT("'"&amp;W$67&amp;"'!d1"),F72-1,))</f>
        <v>11</v>
      </c>
      <c r="X72" cm="1">
        <f t="array" aca="1" ref="X72" ca="1">IF(ISNA(G72),,OFFSET(INDIRECT("'"&amp;X$67&amp;"'!d1"),G72-1,))</f>
        <v>17</v>
      </c>
      <c r="Y72" cm="1">
        <f t="array" aca="1" ref="Y72" ca="1">IF(ISNA(H72),,OFFSET(INDIRECT("'"&amp;Y$67&amp;"'!d1"),H72-1,))</f>
        <v>0</v>
      </c>
      <c r="Z72" cm="1">
        <f t="array" aca="1" ref="Z72" ca="1">IF(ISNA(I72),,OFFSET(INDIRECT("'"&amp;Z$67&amp;"'!d1"),I72-1,))</f>
        <v>0</v>
      </c>
      <c r="AA72" cm="1">
        <f t="array" aca="1" ref="AA72" ca="1">IF(ISNA(J72),,OFFSET(INDIRECT("'"&amp;AA$67&amp;"'!d1"),J72-1,))</f>
        <v>11</v>
      </c>
      <c r="AB72" cm="1">
        <f t="array" aca="1" ref="AB72" ca="1">IF(ISNA(K72),,OFFSET(INDIRECT("'"&amp;AB$67&amp;"'!d1"),K72-1,))</f>
        <v>11</v>
      </c>
      <c r="AC72" cm="1">
        <f t="array" aca="1" ref="AC72" ca="1">IF(ISNA(L72),,OFFSET(INDIRECT("'"&amp;AC$67&amp;"'!d1"),L72-1,))</f>
        <v>11</v>
      </c>
      <c r="AD72" cm="1">
        <f t="array" aca="1" ref="AD72" ca="1">IF(ISNA(M72),,OFFSET(INDIRECT("'"&amp;AD$67&amp;"'!d1"),M72-1,))</f>
        <v>11</v>
      </c>
      <c r="AE72" cm="1">
        <f t="array" aca="1" ref="AE72" ca="1">IF(ISNA(N72),,OFFSET(INDIRECT("'"&amp;AE$67&amp;"'!d1"),N72-1,))</f>
        <v>11</v>
      </c>
      <c r="AF72" cm="1">
        <f t="array" aca="1" ref="AF72" ca="1">IF(ISNA(O72),,OFFSET(INDIRECT("'"&amp;AF$67&amp;"'!d1"),O72-1,))</f>
        <v>11</v>
      </c>
      <c r="AG72" cm="1">
        <f t="array" aca="1" ref="AG72" ca="1">IF(ISNA(P72),,OFFSET(INDIRECT("'"&amp;AG$67&amp;"'!d1"),P72-1,))</f>
        <v>11</v>
      </c>
      <c r="AM72">
        <f t="shared" ca="1" si="57"/>
        <v>0</v>
      </c>
      <c r="AN72">
        <f t="shared" ca="1" si="44"/>
        <v>0</v>
      </c>
      <c r="AO72">
        <f t="shared" ca="1" si="44"/>
        <v>0</v>
      </c>
      <c r="AP72">
        <f t="shared" ca="1" si="44"/>
        <v>0</v>
      </c>
      <c r="AQ72">
        <f t="shared" ca="1" si="58"/>
        <v>0</v>
      </c>
      <c r="AV72" t="str">
        <f t="shared" ca="1" si="59"/>
        <v/>
      </c>
      <c r="AW72" t="str">
        <f t="shared" ca="1" si="45"/>
        <v/>
      </c>
      <c r="AX72" t="str">
        <f t="shared" ca="1" si="45"/>
        <v/>
      </c>
      <c r="AY72" t="str">
        <f t="shared" ca="1" si="45"/>
        <v/>
      </c>
      <c r="AZ72" t="str">
        <f t="shared" ca="1" si="45"/>
        <v/>
      </c>
      <c r="BD72">
        <f t="shared" ca="1" si="46"/>
        <v>1</v>
      </c>
      <c r="BE72">
        <f t="shared" ca="1" si="46"/>
        <v>1</v>
      </c>
      <c r="BF72">
        <f t="shared" ca="1" si="46"/>
        <v>1</v>
      </c>
      <c r="BG72">
        <f t="shared" ca="1" si="46"/>
        <v>0</v>
      </c>
      <c r="BH72">
        <f t="shared" ca="1" si="46"/>
        <v>0</v>
      </c>
      <c r="BI72">
        <f t="shared" ca="1" si="46"/>
        <v>1</v>
      </c>
      <c r="BJ72">
        <f t="shared" ca="1" si="46"/>
        <v>1</v>
      </c>
      <c r="BK72">
        <f t="shared" ca="1" si="46"/>
        <v>1</v>
      </c>
      <c r="BL72">
        <f t="shared" ca="1" si="46"/>
        <v>1</v>
      </c>
      <c r="BM72">
        <f t="shared" ca="1" si="46"/>
        <v>1</v>
      </c>
      <c r="BN72">
        <f t="shared" ca="1" si="46"/>
        <v>1</v>
      </c>
      <c r="BO72">
        <f t="shared" ca="1" si="46"/>
        <v>1</v>
      </c>
      <c r="BU72">
        <f t="shared" ca="1" si="47"/>
        <v>11</v>
      </c>
      <c r="BV72">
        <f t="shared" ca="1" si="47"/>
        <v>11</v>
      </c>
      <c r="BW72">
        <f t="shared" ca="1" si="47"/>
        <v>17</v>
      </c>
      <c r="BX72">
        <f t="shared" ca="1" si="47"/>
        <v>181</v>
      </c>
      <c r="BY72">
        <f t="shared" ca="1" si="47"/>
        <v>181</v>
      </c>
      <c r="BZ72">
        <f t="shared" ca="1" si="47"/>
        <v>11</v>
      </c>
      <c r="CA72">
        <f t="shared" ca="1" si="47"/>
        <v>11</v>
      </c>
      <c r="CB72">
        <f t="shared" ca="1" si="47"/>
        <v>11</v>
      </c>
      <c r="CC72">
        <f t="shared" ca="1" si="47"/>
        <v>11</v>
      </c>
      <c r="CD72">
        <f t="shared" ca="1" si="47"/>
        <v>11</v>
      </c>
      <c r="CE72">
        <f t="shared" ca="1" si="47"/>
        <v>11</v>
      </c>
      <c r="CF72">
        <f t="shared" ca="1" si="47"/>
        <v>11</v>
      </c>
      <c r="CL72">
        <f t="shared" ca="1" si="48"/>
        <v>1</v>
      </c>
      <c r="CM72">
        <f t="shared" ca="1" si="48"/>
        <v>1</v>
      </c>
      <c r="CN72">
        <f t="shared" ca="1" si="48"/>
        <v>0</v>
      </c>
      <c r="CO72">
        <f t="shared" ca="1" si="48"/>
        <v>0</v>
      </c>
      <c r="CP72">
        <f t="shared" ca="1" si="48"/>
        <v>0</v>
      </c>
      <c r="CQ72">
        <f t="shared" ca="1" si="48"/>
        <v>1</v>
      </c>
      <c r="CR72">
        <f t="shared" ca="1" si="48"/>
        <v>1</v>
      </c>
      <c r="CS72">
        <f t="shared" ca="1" si="48"/>
        <v>1</v>
      </c>
      <c r="CT72">
        <f t="shared" ca="1" si="48"/>
        <v>1</v>
      </c>
      <c r="CU72">
        <f t="shared" ca="1" si="48"/>
        <v>1</v>
      </c>
      <c r="CV72">
        <f t="shared" ca="1" si="48"/>
        <v>1</v>
      </c>
      <c r="CW72">
        <f t="shared" ca="1" si="48"/>
        <v>1</v>
      </c>
      <c r="DC72" cm="1">
        <f t="array" aca="1" ref="DC72" ca="1">IF(ISNA(E72),,OFFSET(INDIRECT("'"&amp;DT$67&amp;"'!f1"),E72-1,))*1</f>
        <v>28858.610944423799</v>
      </c>
      <c r="DD72" cm="1">
        <f t="array" aca="1" ref="DD72" ca="1">IF(ISNA(F72),,OFFSET(INDIRECT("'"&amp;DU$67&amp;"'!f1"),F72-1,))*1</f>
        <v>28818.643751746898</v>
      </c>
      <c r="DE72" cm="1">
        <f t="array" aca="1" ref="DE72" ca="1">IF(ISNA(G72),,OFFSET(INDIRECT("'"&amp;DV$67&amp;"'!f1"),G72-1,))*1</f>
        <v>28802.915155595099</v>
      </c>
      <c r="DF72" cm="1">
        <f t="array" aca="1" ref="DF72" ca="1">IF(ISNA(H72),,OFFSET(INDIRECT("'"&amp;DW$67&amp;"'!f1"),H72-1,))*1</f>
        <v>28801.1490237861</v>
      </c>
      <c r="DG72" cm="1">
        <f t="array" aca="1" ref="DG72" ca="1">IF(ISNA(I72),,OFFSET(INDIRECT("'"&amp;DX$67&amp;"'!f1"),I72-1,))*1</f>
        <v>90.058951332990503</v>
      </c>
      <c r="DH72" cm="1">
        <f t="array" aca="1" ref="DH72" ca="1">IF(ISNA(J72),,OFFSET(INDIRECT("'"&amp;DY$67&amp;"'!f1"),J72-1,))*1</f>
        <v>27.095146834850301</v>
      </c>
      <c r="DI72" cm="1">
        <f t="array" aca="1" ref="DI72" ca="1">IF(ISNA(K72),,OFFSET(INDIRECT("'"&amp;DZ$67&amp;"'!f1"),K72-1,))*1</f>
        <v>1429.50509240571</v>
      </c>
      <c r="DJ72" cm="1">
        <f t="array" aca="1" ref="DJ72" ca="1">IF(ISNA(L72),,OFFSET(INDIRECT("'"&amp;EA$67&amp;"'!f1"),L72-1,))*1</f>
        <v>1432.58386635035</v>
      </c>
      <c r="DK72" cm="1">
        <f t="array" aca="1" ref="DK72" ca="1">IF(ISNA(M72),,OFFSET(INDIRECT("'"&amp;EB$67&amp;"'!f1"),M72-1,))*1</f>
        <v>3474.6388386506501</v>
      </c>
      <c r="DL72" cm="1">
        <f t="array" aca="1" ref="DL72" ca="1">IF(ISNA(N72),,OFFSET(INDIRECT("'"&amp;EC$67&amp;"'!f1"),N72-1,))*1</f>
        <v>1.8497825190424899</v>
      </c>
      <c r="DM72" cm="1">
        <f t="array" aca="1" ref="DM72" ca="1">IF(ISNA(O72),,OFFSET(INDIRECT("'"&amp;ED$67&amp;"'!f1"),O72-1,))*1</f>
        <v>37.541667707264402</v>
      </c>
      <c r="DN72" cm="1">
        <f t="array" aca="1" ref="DN72" ca="1">IF(ISNA(P72),,OFFSET(INDIRECT("'"&amp;EE$67&amp;"'!f1"),P72-1,))*1</f>
        <v>38.246142596006301</v>
      </c>
      <c r="DT72">
        <f t="shared" ca="1" si="60"/>
        <v>1</v>
      </c>
      <c r="DU72">
        <f t="shared" ca="1" si="49"/>
        <v>1</v>
      </c>
      <c r="DV72">
        <f t="shared" ca="1" si="49"/>
        <v>0</v>
      </c>
      <c r="DW72">
        <f t="shared" ca="1" si="49"/>
        <v>0</v>
      </c>
      <c r="DX72">
        <f t="shared" ca="1" si="49"/>
        <v>0</v>
      </c>
      <c r="DY72">
        <f t="shared" ca="1" si="49"/>
        <v>1</v>
      </c>
      <c r="DZ72">
        <f t="shared" ca="1" si="49"/>
        <v>785</v>
      </c>
      <c r="EA72">
        <f t="shared" ca="1" si="49"/>
        <v>2881</v>
      </c>
      <c r="EB72">
        <f t="shared" ca="1" si="49"/>
        <v>9998</v>
      </c>
      <c r="EC72">
        <f t="shared" ca="1" si="49"/>
        <v>1</v>
      </c>
      <c r="ED72">
        <f t="shared" ca="1" si="49"/>
        <v>1</v>
      </c>
      <c r="EE72">
        <f t="shared" ca="1" si="49"/>
        <v>2</v>
      </c>
      <c r="EK72" cm="1">
        <f t="array" aca="1" ref="EK72" ca="1">IF(ISNA(E72),0,OFFSET(INDIRECT("'"&amp;EK$67&amp;"'!g1"),E72-1,)*CL72)</f>
        <v>1</v>
      </c>
      <c r="EL72" cm="1">
        <f t="array" aca="1" ref="EL72" ca="1">IF(ISNA(F72),0,OFFSET(INDIRECT("'"&amp;EL$67&amp;"'!g1"),F72-1,)*CM72)</f>
        <v>1</v>
      </c>
      <c r="EM72" cm="1">
        <f t="array" aca="1" ref="EM72" ca="1">IF(ISNA(G72),0,OFFSET(INDIRECT("'"&amp;EM$67&amp;"'!g1"),G72-1,)*CN72)</f>
        <v>0</v>
      </c>
      <c r="EN72" cm="1">
        <f t="array" aca="1" ref="EN72" ca="1">IF(ISNA(H72),0,OFFSET(INDIRECT("'"&amp;EN$67&amp;"'!g1"),H72-1,)*CO72)</f>
        <v>0</v>
      </c>
      <c r="EO72" cm="1">
        <f t="array" aca="1" ref="EO72" ca="1">IF(ISNA(I72),0,OFFSET(INDIRECT("'"&amp;EO$67&amp;"'!g1"),I72-1,)*CP72)</f>
        <v>0</v>
      </c>
      <c r="EP72" cm="1">
        <f t="array" aca="1" ref="EP72" ca="1">IF(ISNA(J72),0,OFFSET(INDIRECT("'"&amp;EP$67&amp;"'!g1"),J72-1,)*CQ72)</f>
        <v>1</v>
      </c>
      <c r="EQ72" cm="1">
        <f t="array" aca="1" ref="EQ72" ca="1">IF(ISNA(K72),0,OFFSET(INDIRECT("'"&amp;EQ$67&amp;"'!g1"),K72-1,)*CR72)</f>
        <v>785</v>
      </c>
      <c r="ER72" cm="1">
        <f t="array" aca="1" ref="ER72" ca="1">IF(ISNA(L72),0,OFFSET(INDIRECT("'"&amp;ER$67&amp;"'!g1"),L72-1,)*CS72)</f>
        <v>2881</v>
      </c>
      <c r="ES72" cm="1">
        <f t="array" aca="1" ref="ES72" ca="1">IF(ISNA(M72),0,OFFSET(INDIRECT("'"&amp;ES$67&amp;"'!g1"),M72-1,)*CT72)</f>
        <v>9998</v>
      </c>
      <c r="ET72" cm="1">
        <f t="array" aca="1" ref="ET72" ca="1">IF(ISNA(N72),0,OFFSET(INDIRECT("'"&amp;ET$67&amp;"'!g1"),N72-1,)*CU72)</f>
        <v>1</v>
      </c>
      <c r="EU72" cm="1">
        <f t="array" aca="1" ref="EU72" ca="1">IF(ISNA(O72),0,OFFSET(INDIRECT("'"&amp;EU$67&amp;"'!g1"),O72-1,)*CV72)</f>
        <v>1</v>
      </c>
      <c r="EV72" cm="1">
        <f t="array" aca="1" ref="EV72" ca="1">IF(ISNA(P72),0,OFFSET(INDIRECT("'"&amp;EV$67&amp;"'!g1"),P72-1,)*CW72)</f>
        <v>2</v>
      </c>
      <c r="FB72" s="10" cm="1">
        <f t="array" aca="1" ref="FB72" ca="1">IF(ISNA(E72),0,OFFSET(INDIRECT("'"&amp;EK$67&amp;"'!h1"),E72-1,))</f>
        <v>1</v>
      </c>
      <c r="FC72" s="10" cm="1">
        <f t="array" aca="1" ref="FC72" ca="1">IF(ISNA(F72),0,OFFSET(INDIRECT("'"&amp;EL$67&amp;"'!h1"),F72-1,))</f>
        <v>1</v>
      </c>
      <c r="FD72" s="10" cm="1">
        <f t="array" aca="1" ref="FD72" ca="1">IF(ISNA(G72),0,OFFSET(INDIRECT("'"&amp;EM$67&amp;"'!h1"),G72-1,))</f>
        <v>1</v>
      </c>
      <c r="FE72" s="10" cm="1">
        <f t="array" aca="1" ref="FE72" ca="1">IF(ISNA(H72),0,OFFSET(INDIRECT("'"&amp;EN$67&amp;"'!h1"),H72-1,))</f>
        <v>1</v>
      </c>
      <c r="FF72" s="10" cm="1">
        <f t="array" aca="1" ref="FF72" ca="1">IF(ISNA(I72),0,OFFSET(INDIRECT("'"&amp;EO$67&amp;"'!h1"),I72-1,))</f>
        <v>1</v>
      </c>
      <c r="FG72" s="10" cm="1">
        <f t="array" aca="1" ref="FG72" ca="1">IF(ISNA(J72),0,OFFSET(INDIRECT("'"&amp;EP$67&amp;"'!h1"),J72-1,))</f>
        <v>1</v>
      </c>
      <c r="FH72" s="10" cm="1">
        <f t="array" aca="1" ref="FH72" ca="1">IF(ISNA(K72),0,OFFSET(INDIRECT("'"&amp;EQ$67&amp;"'!h1"),K72-1,))</f>
        <v>10000</v>
      </c>
      <c r="FI72" s="10" cm="1">
        <f t="array" aca="1" ref="FI72" ca="1">IF(ISNA(L72),0,OFFSET(INDIRECT("'"&amp;ER$67&amp;"'!h1"),L72-1,))</f>
        <v>10000</v>
      </c>
      <c r="FJ72" s="10" cm="1">
        <f t="array" aca="1" ref="FJ72" ca="1">IF(ISNA(M72),0,OFFSET(INDIRECT("'"&amp;ES$67&amp;"'!h1"),M72-1,))</f>
        <v>10000</v>
      </c>
      <c r="FK72" s="10" cm="1">
        <f t="array" aca="1" ref="FK72" ca="1">IF(ISNA(N72),0,OFFSET(INDIRECT("'"&amp;ET$67&amp;"'!h1"),N72-1,))</f>
        <v>1</v>
      </c>
      <c r="FL72" s="10" cm="1">
        <f t="array" aca="1" ref="FL72" ca="1">IF(ISNA(O72),0,OFFSET(INDIRECT("'"&amp;EU$67&amp;"'!h1"),O72-1,))</f>
        <v>1</v>
      </c>
      <c r="FM72" s="10" cm="1">
        <f t="array" aca="1" ref="FM72" ca="1">IF(ISNA(P72),0,OFFSET(INDIRECT("'"&amp;EV$67&amp;"'!h1"),P72-1,))</f>
        <v>2</v>
      </c>
      <c r="FN72" s="10"/>
      <c r="FO72" s="10"/>
      <c r="FP72" s="10"/>
      <c r="FQ72" s="10"/>
      <c r="FS72">
        <f t="shared" ca="1" si="61"/>
        <v>181</v>
      </c>
      <c r="FT72">
        <f t="shared" ca="1" si="62"/>
        <v>1429.50509240571</v>
      </c>
      <c r="FU72">
        <f t="shared" ca="1" si="63"/>
        <v>785</v>
      </c>
      <c r="FV72">
        <f t="shared" ca="1" si="64"/>
        <v>10000</v>
      </c>
      <c r="FW72" s="4">
        <f t="shared" ca="1" si="65"/>
        <v>7.85E-2</v>
      </c>
      <c r="FX72" s="5">
        <f t="shared" ca="1" si="66"/>
        <v>1.8210255954212866</v>
      </c>
      <c r="FZ72" s="13">
        <f t="shared" ca="1" si="50"/>
        <v>181</v>
      </c>
      <c r="GA72" s="22">
        <f t="shared" ca="1" si="67"/>
        <v>0</v>
      </c>
      <c r="GB72" s="22">
        <f t="shared" ca="1" si="51"/>
        <v>0</v>
      </c>
      <c r="GC72" s="22">
        <f t="shared" ca="1" si="51"/>
        <v>0.54545454545454541</v>
      </c>
      <c r="GD72" s="22" t="e">
        <f t="shared" ca="1" si="51"/>
        <v>#N/A</v>
      </c>
      <c r="GE72" s="22" t="e">
        <f t="shared" ca="1" si="51"/>
        <v>#N/A</v>
      </c>
      <c r="GF72" s="22">
        <f t="shared" ca="1" si="51"/>
        <v>0</v>
      </c>
      <c r="GG72" s="22">
        <f t="shared" ca="1" si="51"/>
        <v>0</v>
      </c>
      <c r="GH72" s="22">
        <f t="shared" ca="1" si="51"/>
        <v>0</v>
      </c>
      <c r="GI72" s="22">
        <f t="shared" ca="1" si="51"/>
        <v>0</v>
      </c>
      <c r="GJ72" s="22">
        <f t="shared" ca="1" si="51"/>
        <v>0</v>
      </c>
      <c r="GK72" s="22">
        <f t="shared" ca="1" si="51"/>
        <v>0</v>
      </c>
      <c r="GL72" s="22">
        <f t="shared" ca="1" si="51"/>
        <v>0</v>
      </c>
      <c r="GM72" s="22"/>
      <c r="GN72">
        <f t="shared" ca="1" si="68"/>
        <v>181</v>
      </c>
      <c r="GO72" s="5" t="e">
        <f t="shared" ca="1" si="69"/>
        <v>#N/A</v>
      </c>
      <c r="GP72" s="5" t="e">
        <f t="shared" ca="1" si="52"/>
        <v>#N/A</v>
      </c>
      <c r="GQ72" s="5" t="e">
        <f t="shared" ca="1" si="52"/>
        <v>#N/A</v>
      </c>
      <c r="GR72" s="5" t="e">
        <f t="shared" ca="1" si="52"/>
        <v>#N/A</v>
      </c>
      <c r="GS72" s="5" t="e">
        <f t="shared" ca="1" si="52"/>
        <v>#N/A</v>
      </c>
      <c r="GT72" s="5">
        <f t="shared" ca="1" si="70"/>
        <v>27.095146834850301</v>
      </c>
      <c r="GU72" s="5">
        <f t="shared" ca="1" si="53"/>
        <v>1.8210255954212866</v>
      </c>
      <c r="GV72" s="5">
        <f t="shared" ca="1" si="53"/>
        <v>0.49725229654645958</v>
      </c>
      <c r="GW72" s="5">
        <f t="shared" ca="1" si="53"/>
        <v>0.34753339054317367</v>
      </c>
      <c r="GX72" s="5">
        <f t="shared" ca="1" si="53"/>
        <v>1.8497825190424899</v>
      </c>
      <c r="GY72" s="5">
        <f t="shared" ca="1" si="53"/>
        <v>37.541667707264402</v>
      </c>
      <c r="GZ72" s="5">
        <f t="shared" ca="1" si="53"/>
        <v>19.123071298003151</v>
      </c>
      <c r="HB72" s="13">
        <f t="shared" ca="1" si="54"/>
        <v>181</v>
      </c>
      <c r="HC72" s="4">
        <f t="shared" ca="1" si="71"/>
        <v>1</v>
      </c>
      <c r="HD72" s="4">
        <f t="shared" ca="1" si="55"/>
        <v>1</v>
      </c>
      <c r="HE72" s="4">
        <f t="shared" ca="1" si="55"/>
        <v>0</v>
      </c>
      <c r="HF72" s="4">
        <f t="shared" ca="1" si="55"/>
        <v>0</v>
      </c>
      <c r="HG72" s="4">
        <f t="shared" ca="1" si="55"/>
        <v>0</v>
      </c>
      <c r="HH72" s="4">
        <f t="shared" ca="1" si="55"/>
        <v>1</v>
      </c>
      <c r="HI72" s="4">
        <f t="shared" ca="1" si="55"/>
        <v>7.85E-2</v>
      </c>
      <c r="HJ72" s="4">
        <f t="shared" ca="1" si="55"/>
        <v>0.28810000000000002</v>
      </c>
      <c r="HK72" s="4">
        <f t="shared" ca="1" si="55"/>
        <v>0.99980000000000002</v>
      </c>
      <c r="HL72" s="4">
        <f t="shared" ca="1" si="55"/>
        <v>1</v>
      </c>
      <c r="HM72" s="4">
        <f t="shared" ca="1" si="55"/>
        <v>1</v>
      </c>
      <c r="HN72" s="4">
        <f t="shared" ca="1" si="55"/>
        <v>1</v>
      </c>
    </row>
    <row r="73" spans="1:222" x14ac:dyDescent="0.2">
      <c r="A73" t="str" cm="1">
        <f t="array" aca="1" ref="A73" ca="1">INDIRECT($A$67&amp;"!A"&amp;ROW(C6)+$B$64)</f>
        <v>06_r=1,d=15,p=0.161473,noise=data_qubit_X,c=color_code_mpp,q=169,gates=mpp.stim</v>
      </c>
      <c r="B73" cm="1">
        <f t="array" aca="1" ref="B73" ca="1">INDIRECT($A$67&amp;"!b"&amp;ROW(D6)+$B$64)</f>
        <v>169</v>
      </c>
      <c r="C73">
        <f t="shared" ca="1" si="56"/>
        <v>15</v>
      </c>
      <c r="E73">
        <f t="shared" ca="1" si="43"/>
        <v>35</v>
      </c>
      <c r="F73">
        <f t="shared" ca="1" si="43"/>
        <v>36</v>
      </c>
      <c r="G73">
        <f t="shared" ca="1" si="43"/>
        <v>35</v>
      </c>
      <c r="H73">
        <f t="shared" ca="1" si="43"/>
        <v>30</v>
      </c>
      <c r="I73">
        <f t="shared" ca="1" si="43"/>
        <v>34</v>
      </c>
      <c r="J73">
        <f t="shared" ca="1" si="43"/>
        <v>35</v>
      </c>
      <c r="K73">
        <f t="shared" ca="1" si="43"/>
        <v>37</v>
      </c>
      <c r="L73">
        <f t="shared" ca="1" si="43"/>
        <v>39</v>
      </c>
      <c r="M73">
        <f t="shared" ca="1" si="43"/>
        <v>41</v>
      </c>
      <c r="N73">
        <f t="shared" ca="1" si="43"/>
        <v>35</v>
      </c>
      <c r="O73">
        <f t="shared" ca="1" si="43"/>
        <v>35</v>
      </c>
      <c r="P73">
        <f t="shared" ca="1" si="43"/>
        <v>35</v>
      </c>
      <c r="V73" cm="1">
        <f t="array" aca="1" ref="V73" ca="1">IF(ISNA(E73),,OFFSET(INDIRECT("'"&amp;V$67&amp;"'!d1"),E73-1,))</f>
        <v>15</v>
      </c>
      <c r="W73" cm="1">
        <f t="array" aca="1" ref="W73" ca="1">IF(ISNA(F73),,OFFSET(INDIRECT("'"&amp;W$67&amp;"'!d1"),F73-1,))</f>
        <v>15</v>
      </c>
      <c r="X73" cm="1">
        <f t="array" aca="1" ref="X73" ca="1">IF(ISNA(G73),,OFFSET(INDIRECT("'"&amp;X$67&amp;"'!d1"),G73-1,))</f>
        <v>15</v>
      </c>
      <c r="Y73" cm="1">
        <f t="array" aca="1" ref="Y73" ca="1">IF(ISNA(H73),,OFFSET(INDIRECT("'"&amp;Y$67&amp;"'!d1"),H73-1,))</f>
        <v>15</v>
      </c>
      <c r="Z73" cm="1">
        <f t="array" aca="1" ref="Z73" ca="1">IF(ISNA(I73),,OFFSET(INDIRECT("'"&amp;Z$67&amp;"'!d1"),I73-1,))</f>
        <v>15</v>
      </c>
      <c r="AA73" cm="1">
        <f t="array" aca="1" ref="AA73" ca="1">IF(ISNA(J73),,OFFSET(INDIRECT("'"&amp;AA$67&amp;"'!d1"),J73-1,))</f>
        <v>15</v>
      </c>
      <c r="AB73" cm="1">
        <f t="array" aca="1" ref="AB73" ca="1">IF(ISNA(K73),,OFFSET(INDIRECT("'"&amp;AB$67&amp;"'!d1"),K73-1,))</f>
        <v>15</v>
      </c>
      <c r="AC73" cm="1">
        <f t="array" aca="1" ref="AC73" ca="1">IF(ISNA(L73),,OFFSET(INDIRECT("'"&amp;AC$67&amp;"'!d1"),L73-1,))</f>
        <v>15</v>
      </c>
      <c r="AD73" cm="1">
        <f t="array" aca="1" ref="AD73" ca="1">IF(ISNA(M73),,OFFSET(INDIRECT("'"&amp;AD$67&amp;"'!d1"),M73-1,))</f>
        <v>15</v>
      </c>
      <c r="AE73" cm="1">
        <f t="array" aca="1" ref="AE73" ca="1">IF(ISNA(N73),,OFFSET(INDIRECT("'"&amp;AE$67&amp;"'!d1"),N73-1,))</f>
        <v>15</v>
      </c>
      <c r="AF73" cm="1">
        <f t="array" aca="1" ref="AF73" ca="1">IF(ISNA(O73),,OFFSET(INDIRECT("'"&amp;AF$67&amp;"'!d1"),O73-1,))</f>
        <v>15</v>
      </c>
      <c r="AG73" cm="1">
        <f t="array" aca="1" ref="AG73" ca="1">IF(ISNA(P73),,OFFSET(INDIRECT("'"&amp;AG$67&amp;"'!d1"),P73-1,))</f>
        <v>15</v>
      </c>
      <c r="AM73">
        <f t="shared" ca="1" si="57"/>
        <v>1</v>
      </c>
      <c r="AN73">
        <f t="shared" ca="1" si="44"/>
        <v>1</v>
      </c>
      <c r="AO73">
        <f t="shared" ca="1" si="44"/>
        <v>1</v>
      </c>
      <c r="AP73">
        <f t="shared" ca="1" si="44"/>
        <v>1</v>
      </c>
      <c r="AQ73">
        <f t="shared" ca="1" si="58"/>
        <v>0</v>
      </c>
      <c r="AV73" t="b">
        <f t="shared" ca="1" si="59"/>
        <v>1</v>
      </c>
      <c r="AW73" t="b">
        <f t="shared" ca="1" si="45"/>
        <v>1</v>
      </c>
      <c r="AX73" t="b">
        <f t="shared" ca="1" si="45"/>
        <v>1</v>
      </c>
      <c r="AY73" t="b">
        <f t="shared" ca="1" si="45"/>
        <v>1</v>
      </c>
      <c r="AZ73" t="str">
        <f t="shared" ca="1" si="45"/>
        <v/>
      </c>
      <c r="BD73">
        <f t="shared" ca="1" si="46"/>
        <v>1</v>
      </c>
      <c r="BE73">
        <f t="shared" ca="1" si="46"/>
        <v>1</v>
      </c>
      <c r="BF73">
        <f t="shared" ca="1" si="46"/>
        <v>1</v>
      </c>
      <c r="BG73">
        <f t="shared" ca="1" si="46"/>
        <v>1</v>
      </c>
      <c r="BH73">
        <f t="shared" ca="1" si="46"/>
        <v>1</v>
      </c>
      <c r="BI73">
        <f t="shared" ca="1" si="46"/>
        <v>1</v>
      </c>
      <c r="BJ73">
        <f t="shared" ca="1" si="46"/>
        <v>1</v>
      </c>
      <c r="BK73">
        <f t="shared" ca="1" si="46"/>
        <v>1</v>
      </c>
      <c r="BL73">
        <f t="shared" ca="1" si="46"/>
        <v>1</v>
      </c>
      <c r="BM73">
        <f t="shared" ca="1" si="46"/>
        <v>1</v>
      </c>
      <c r="BN73">
        <f t="shared" ca="1" si="46"/>
        <v>1</v>
      </c>
      <c r="BO73">
        <f t="shared" ca="1" si="46"/>
        <v>1</v>
      </c>
      <c r="BU73">
        <f t="shared" ca="1" si="47"/>
        <v>15</v>
      </c>
      <c r="BV73">
        <f t="shared" ca="1" si="47"/>
        <v>15</v>
      </c>
      <c r="BW73">
        <f t="shared" ca="1" si="47"/>
        <v>15</v>
      </c>
      <c r="BX73">
        <f t="shared" ca="1" si="47"/>
        <v>15</v>
      </c>
      <c r="BY73">
        <f t="shared" ca="1" si="47"/>
        <v>15</v>
      </c>
      <c r="BZ73">
        <f t="shared" ca="1" si="47"/>
        <v>15</v>
      </c>
      <c r="CA73">
        <f t="shared" ca="1" si="47"/>
        <v>15</v>
      </c>
      <c r="CB73">
        <f t="shared" ca="1" si="47"/>
        <v>15</v>
      </c>
      <c r="CC73">
        <f t="shared" ca="1" si="47"/>
        <v>15</v>
      </c>
      <c r="CD73">
        <f t="shared" ca="1" si="47"/>
        <v>15</v>
      </c>
      <c r="CE73">
        <f t="shared" ca="1" si="47"/>
        <v>15</v>
      </c>
      <c r="CF73">
        <f t="shared" ca="1" si="47"/>
        <v>15</v>
      </c>
      <c r="CL73">
        <f t="shared" ca="1" si="48"/>
        <v>1</v>
      </c>
      <c r="CM73">
        <f t="shared" ca="1" si="48"/>
        <v>1</v>
      </c>
      <c r="CN73">
        <f t="shared" ca="1" si="48"/>
        <v>1</v>
      </c>
      <c r="CO73">
        <f t="shared" ca="1" si="48"/>
        <v>1</v>
      </c>
      <c r="CP73">
        <f t="shared" ca="1" si="48"/>
        <v>1</v>
      </c>
      <c r="CQ73">
        <f t="shared" ca="1" si="48"/>
        <v>1</v>
      </c>
      <c r="CR73">
        <f t="shared" ca="1" si="48"/>
        <v>1</v>
      </c>
      <c r="CS73">
        <f t="shared" ca="1" si="48"/>
        <v>1</v>
      </c>
      <c r="CT73">
        <f t="shared" ca="1" si="48"/>
        <v>1</v>
      </c>
      <c r="CU73">
        <f t="shared" ca="1" si="48"/>
        <v>1</v>
      </c>
      <c r="CV73">
        <f t="shared" ca="1" si="48"/>
        <v>1</v>
      </c>
      <c r="CW73">
        <f t="shared" ca="1" si="48"/>
        <v>1</v>
      </c>
      <c r="DC73" cm="1">
        <f t="array" aca="1" ref="DC73" ca="1">IF(ISNA(E73),,OFFSET(INDIRECT("'"&amp;DT$67&amp;"'!f1"),E73-1,))*1</f>
        <v>78.551229860633597</v>
      </c>
      <c r="DD73" cm="1">
        <f t="array" aca="1" ref="DD73" ca="1">IF(ISNA(F73),,OFFSET(INDIRECT("'"&amp;DU$67&amp;"'!f1"),F73-1,))*1</f>
        <v>646.90246728621401</v>
      </c>
      <c r="DE73" cm="1">
        <f t="array" aca="1" ref="DE73" ca="1">IF(ISNA(G73),,OFFSET(INDIRECT("'"&amp;DV$67&amp;"'!f1"),G73-1,))*1</f>
        <v>81.761931415647197</v>
      </c>
      <c r="DF73" cm="1">
        <f t="array" aca="1" ref="DF73" ca="1">IF(ISNA(H73),,OFFSET(INDIRECT("'"&amp;DW$67&amp;"'!f1"),H73-1,))*1</f>
        <v>6.4401171999052096</v>
      </c>
      <c r="DG73" cm="1">
        <f t="array" aca="1" ref="DG73" ca="1">IF(ISNA(I73),,OFFSET(INDIRECT("'"&amp;DX$67&amp;"'!f1"),I73-1,))*1</f>
        <v>28800.080489874999</v>
      </c>
      <c r="DH73" cm="1">
        <f t="array" aca="1" ref="DH73" ca="1">IF(ISNA(J73),,OFFSET(INDIRECT("'"&amp;DY$67&amp;"'!f1"),J73-1,))*1</f>
        <v>0.64270672854036004</v>
      </c>
      <c r="DI73" cm="1">
        <f t="array" aca="1" ref="DI73" ca="1">IF(ISNA(K73),,OFFSET(INDIRECT("'"&amp;DZ$67&amp;"'!f1"),K73-1,))*1</f>
        <v>4.2522304337471697</v>
      </c>
      <c r="DJ73" cm="1">
        <f t="array" aca="1" ref="DJ73" ca="1">IF(ISNA(L73),,OFFSET(INDIRECT("'"&amp;EA$67&amp;"'!f1"),L73-1,))*1</f>
        <v>5.7952816030010501</v>
      </c>
      <c r="DK73" cm="1">
        <f t="array" aca="1" ref="DK73" ca="1">IF(ISNA(M73),,OFFSET(INDIRECT("'"&amp;EB$67&amp;"'!f1"),M73-1,))*1</f>
        <v>61.037756983190697</v>
      </c>
      <c r="DL73" cm="1">
        <f t="array" aca="1" ref="DL73" ca="1">IF(ISNA(N73),,OFFSET(INDIRECT("'"&amp;EC$67&amp;"'!f1"),N73-1,))*1</f>
        <v>2.1516650915145801E-2</v>
      </c>
      <c r="DM73" cm="1">
        <f t="array" aca="1" ref="DM73" ca="1">IF(ISNA(O73),,OFFSET(INDIRECT("'"&amp;ED$67&amp;"'!f1"),O73-1,))*1</f>
        <v>5.2083984017372097E-2</v>
      </c>
      <c r="DN73" cm="1">
        <f t="array" aca="1" ref="DN73" ca="1">IF(ISNA(P73),,OFFSET(INDIRECT("'"&amp;EE$67&amp;"'!f1"),P73-1,))*1</f>
        <v>5.3278312087059E-2</v>
      </c>
      <c r="DT73">
        <f t="shared" ca="1" si="60"/>
        <v>1</v>
      </c>
      <c r="DU73">
        <f t="shared" ca="1" si="49"/>
        <v>1</v>
      </c>
      <c r="DV73">
        <f t="shared" ca="1" si="49"/>
        <v>1</v>
      </c>
      <c r="DW73">
        <f t="shared" ca="1" si="49"/>
        <v>1</v>
      </c>
      <c r="DX73">
        <f t="shared" ca="1" si="49"/>
        <v>1</v>
      </c>
      <c r="DY73">
        <f t="shared" ca="1" si="49"/>
        <v>1</v>
      </c>
      <c r="DZ73">
        <f t="shared" ca="1" si="49"/>
        <v>3323</v>
      </c>
      <c r="EA73">
        <f t="shared" ca="1" si="49"/>
        <v>9701</v>
      </c>
      <c r="EB73">
        <f t="shared" ca="1" si="49"/>
        <v>10000</v>
      </c>
      <c r="EC73">
        <f t="shared" ca="1" si="49"/>
        <v>1</v>
      </c>
      <c r="ED73">
        <f t="shared" ca="1" si="49"/>
        <v>1</v>
      </c>
      <c r="EE73">
        <f t="shared" ca="1" si="49"/>
        <v>2</v>
      </c>
      <c r="EK73" cm="1">
        <f t="array" aca="1" ref="EK73" ca="1">IF(ISNA(E73),0,OFFSET(INDIRECT("'"&amp;EK$67&amp;"'!g1"),E73-1,)*CL73)</f>
        <v>1</v>
      </c>
      <c r="EL73" cm="1">
        <f t="array" aca="1" ref="EL73" ca="1">IF(ISNA(F73),0,OFFSET(INDIRECT("'"&amp;EL$67&amp;"'!g1"),F73-1,)*CM73)</f>
        <v>1</v>
      </c>
      <c r="EM73" cm="1">
        <f t="array" aca="1" ref="EM73" ca="1">IF(ISNA(G73),0,OFFSET(INDIRECT("'"&amp;EM$67&amp;"'!g1"),G73-1,)*CN73)</f>
        <v>1</v>
      </c>
      <c r="EN73" cm="1">
        <f t="array" aca="1" ref="EN73" ca="1">IF(ISNA(H73),0,OFFSET(INDIRECT("'"&amp;EN$67&amp;"'!g1"),H73-1,)*CO73)</f>
        <v>1</v>
      </c>
      <c r="EO73" cm="1">
        <f t="array" aca="1" ref="EO73" ca="1">IF(ISNA(I73),0,OFFSET(INDIRECT("'"&amp;EO$67&amp;"'!g1"),I73-1,)*CP73)</f>
        <v>1</v>
      </c>
      <c r="EP73" cm="1">
        <f t="array" aca="1" ref="EP73" ca="1">IF(ISNA(J73),0,OFFSET(INDIRECT("'"&amp;EP$67&amp;"'!g1"),J73-1,)*CQ73)</f>
        <v>1</v>
      </c>
      <c r="EQ73" cm="1">
        <f t="array" aca="1" ref="EQ73" ca="1">IF(ISNA(K73),0,OFFSET(INDIRECT("'"&amp;EQ$67&amp;"'!g1"),K73-1,)*CR73)</f>
        <v>3323</v>
      </c>
      <c r="ER73" cm="1">
        <f t="array" aca="1" ref="ER73" ca="1">IF(ISNA(L73),0,OFFSET(INDIRECT("'"&amp;ER$67&amp;"'!g1"),L73-1,)*CS73)</f>
        <v>9701</v>
      </c>
      <c r="ES73" cm="1">
        <f t="array" aca="1" ref="ES73" ca="1">IF(ISNA(M73),0,OFFSET(INDIRECT("'"&amp;ES$67&amp;"'!g1"),M73-1,)*CT73)</f>
        <v>10000</v>
      </c>
      <c r="ET73" cm="1">
        <f t="array" aca="1" ref="ET73" ca="1">IF(ISNA(N73),0,OFFSET(INDIRECT("'"&amp;ET$67&amp;"'!g1"),N73-1,)*CU73)</f>
        <v>1</v>
      </c>
      <c r="EU73" cm="1">
        <f t="array" aca="1" ref="EU73" ca="1">IF(ISNA(O73),0,OFFSET(INDIRECT("'"&amp;EU$67&amp;"'!g1"),O73-1,)*CV73)</f>
        <v>1</v>
      </c>
      <c r="EV73" cm="1">
        <f t="array" aca="1" ref="EV73" ca="1">IF(ISNA(P73),0,OFFSET(INDIRECT("'"&amp;EV$67&amp;"'!g1"),P73-1,)*CW73)</f>
        <v>2</v>
      </c>
      <c r="FB73" s="10" cm="1">
        <f t="array" aca="1" ref="FB73" ca="1">IF(ISNA(E73),0,OFFSET(INDIRECT("'"&amp;EK$67&amp;"'!h1"),E73-1,))</f>
        <v>1</v>
      </c>
      <c r="FC73" s="10" cm="1">
        <f t="array" aca="1" ref="FC73" ca="1">IF(ISNA(F73),0,OFFSET(INDIRECT("'"&amp;EL$67&amp;"'!h1"),F73-1,))</f>
        <v>1</v>
      </c>
      <c r="FD73" s="10" cm="1">
        <f t="array" aca="1" ref="FD73" ca="1">IF(ISNA(G73),0,OFFSET(INDIRECT("'"&amp;EM$67&amp;"'!h1"),G73-1,))</f>
        <v>1</v>
      </c>
      <c r="FE73" s="10" cm="1">
        <f t="array" aca="1" ref="FE73" ca="1">IF(ISNA(H73),0,OFFSET(INDIRECT("'"&amp;EN$67&amp;"'!h1"),H73-1,))</f>
        <v>1</v>
      </c>
      <c r="FF73" s="10" cm="1">
        <f t="array" aca="1" ref="FF73" ca="1">IF(ISNA(I73),0,OFFSET(INDIRECT("'"&amp;EO$67&amp;"'!h1"),I73-1,))</f>
        <v>1</v>
      </c>
      <c r="FG73" s="10" cm="1">
        <f t="array" aca="1" ref="FG73" ca="1">IF(ISNA(J73),0,OFFSET(INDIRECT("'"&amp;EP$67&amp;"'!h1"),J73-1,))</f>
        <v>1</v>
      </c>
      <c r="FH73" s="10" cm="1">
        <f t="array" aca="1" ref="FH73" ca="1">IF(ISNA(K73),0,OFFSET(INDIRECT("'"&amp;EQ$67&amp;"'!h1"),K73-1,))</f>
        <v>10000</v>
      </c>
      <c r="FI73" s="10" cm="1">
        <f t="array" aca="1" ref="FI73" ca="1">IF(ISNA(L73),0,OFFSET(INDIRECT("'"&amp;ER$67&amp;"'!h1"),L73-1,))</f>
        <v>10000</v>
      </c>
      <c r="FJ73" s="10" cm="1">
        <f t="array" aca="1" ref="FJ73" ca="1">IF(ISNA(M73),0,OFFSET(INDIRECT("'"&amp;ES$67&amp;"'!h1"),M73-1,))</f>
        <v>10000</v>
      </c>
      <c r="FK73" s="10" cm="1">
        <f t="array" aca="1" ref="FK73" ca="1">IF(ISNA(N73),0,OFFSET(INDIRECT("'"&amp;ET$67&amp;"'!h1"),N73-1,))</f>
        <v>1</v>
      </c>
      <c r="FL73" s="10" cm="1">
        <f t="array" aca="1" ref="FL73" ca="1">IF(ISNA(O73),0,OFFSET(INDIRECT("'"&amp;EU$67&amp;"'!h1"),O73-1,))</f>
        <v>1</v>
      </c>
      <c r="FM73" s="10" cm="1">
        <f t="array" aca="1" ref="FM73" ca="1">IF(ISNA(P73),0,OFFSET(INDIRECT("'"&amp;EV$67&amp;"'!h1"),P73-1,))</f>
        <v>2</v>
      </c>
      <c r="FN73" s="10"/>
      <c r="FO73" s="10"/>
      <c r="FP73" s="10"/>
      <c r="FQ73" s="10"/>
      <c r="FS73">
        <f t="shared" ca="1" si="61"/>
        <v>169</v>
      </c>
      <c r="FT73">
        <f t="shared" ca="1" si="62"/>
        <v>4.2522304337471697</v>
      </c>
      <c r="FU73">
        <f t="shared" ca="1" si="63"/>
        <v>3323</v>
      </c>
      <c r="FV73">
        <f t="shared" ca="1" si="64"/>
        <v>10000</v>
      </c>
      <c r="FW73" s="4">
        <f t="shared" ca="1" si="65"/>
        <v>0.33229999999999998</v>
      </c>
      <c r="FX73" s="5">
        <f t="shared" ca="1" si="66"/>
        <v>1.2796360017295124E-3</v>
      </c>
      <c r="FZ73" s="13">
        <f t="shared" ca="1" si="50"/>
        <v>169</v>
      </c>
      <c r="GA73" s="22">
        <f t="shared" ca="1" si="67"/>
        <v>0</v>
      </c>
      <c r="GB73" s="22">
        <f t="shared" ca="1" si="51"/>
        <v>0</v>
      </c>
      <c r="GC73" s="22">
        <f t="shared" ca="1" si="51"/>
        <v>0</v>
      </c>
      <c r="GD73" s="22">
        <f t="shared" ca="1" si="51"/>
        <v>0</v>
      </c>
      <c r="GE73" s="22">
        <f t="shared" ca="1" si="51"/>
        <v>0</v>
      </c>
      <c r="GF73" s="22">
        <f t="shared" ca="1" si="51"/>
        <v>0</v>
      </c>
      <c r="GG73" s="22">
        <f t="shared" ca="1" si="51"/>
        <v>0</v>
      </c>
      <c r="GH73" s="22">
        <f t="shared" ca="1" si="51"/>
        <v>0</v>
      </c>
      <c r="GI73" s="22">
        <f t="shared" ca="1" si="51"/>
        <v>0</v>
      </c>
      <c r="GJ73" s="22">
        <f t="shared" ca="1" si="51"/>
        <v>0</v>
      </c>
      <c r="GK73" s="22">
        <f t="shared" ca="1" si="51"/>
        <v>0</v>
      </c>
      <c r="GL73" s="22">
        <f t="shared" ca="1" si="51"/>
        <v>0</v>
      </c>
      <c r="GM73" s="22"/>
      <c r="GN73">
        <f t="shared" ca="1" si="68"/>
        <v>169</v>
      </c>
      <c r="GO73" s="5">
        <f t="shared" ca="1" si="69"/>
        <v>78.551229860633597</v>
      </c>
      <c r="GP73" s="5">
        <f t="shared" ca="1" si="52"/>
        <v>646.90246728621401</v>
      </c>
      <c r="GQ73" s="5">
        <f t="shared" ca="1" si="52"/>
        <v>81.761931415647197</v>
      </c>
      <c r="GR73" s="5">
        <f t="shared" ca="1" si="52"/>
        <v>6.4401171999052096</v>
      </c>
      <c r="GS73" s="5" t="e">
        <f t="shared" ca="1" si="52"/>
        <v>#N/A</v>
      </c>
      <c r="GT73" s="5">
        <f t="shared" ca="1" si="70"/>
        <v>0.64270672854036004</v>
      </c>
      <c r="GU73" s="5">
        <f t="shared" ca="1" si="53"/>
        <v>1.2796360017295124E-3</v>
      </c>
      <c r="GV73" s="5">
        <f t="shared" ca="1" si="53"/>
        <v>5.9739012503876401E-4</v>
      </c>
      <c r="GW73" s="5">
        <f t="shared" ca="1" si="53"/>
        <v>6.1037756983190698E-3</v>
      </c>
      <c r="GX73" s="5">
        <f t="shared" ca="1" si="53"/>
        <v>2.1516650915145801E-2</v>
      </c>
      <c r="GY73" s="5">
        <f t="shared" ca="1" si="53"/>
        <v>5.2083984017372097E-2</v>
      </c>
      <c r="GZ73" s="5">
        <f t="shared" ca="1" si="53"/>
        <v>2.66391560435295E-2</v>
      </c>
      <c r="HB73" s="13">
        <f t="shared" ca="1" si="54"/>
        <v>169</v>
      </c>
      <c r="HC73" s="4">
        <f t="shared" ca="1" si="71"/>
        <v>1</v>
      </c>
      <c r="HD73" s="4">
        <f t="shared" ca="1" si="55"/>
        <v>1</v>
      </c>
      <c r="HE73" s="4">
        <f t="shared" ca="1" si="55"/>
        <v>1</v>
      </c>
      <c r="HF73" s="4">
        <f t="shared" ca="1" si="55"/>
        <v>1</v>
      </c>
      <c r="HG73" s="4">
        <f t="shared" ca="1" si="55"/>
        <v>1</v>
      </c>
      <c r="HH73" s="4">
        <f t="shared" ca="1" si="55"/>
        <v>1</v>
      </c>
      <c r="HI73" s="4">
        <f t="shared" ca="1" si="55"/>
        <v>0.33229999999999998</v>
      </c>
      <c r="HJ73" s="4">
        <f t="shared" ca="1" si="55"/>
        <v>0.97009999999999996</v>
      </c>
      <c r="HK73" s="4">
        <f t="shared" ca="1" si="55"/>
        <v>1</v>
      </c>
      <c r="HL73" s="4">
        <f t="shared" ca="1" si="55"/>
        <v>1</v>
      </c>
      <c r="HM73" s="4">
        <f t="shared" ca="1" si="55"/>
        <v>1</v>
      </c>
      <c r="HN73" s="4">
        <f t="shared" ca="1" si="55"/>
        <v>1</v>
      </c>
    </row>
    <row r="74" spans="1:222" x14ac:dyDescent="0.2">
      <c r="FB74" s="10"/>
      <c r="FC74" s="10"/>
      <c r="FD74" s="10"/>
      <c r="FE74" s="10"/>
      <c r="FF74" s="10"/>
      <c r="FG74" s="10"/>
      <c r="FH74" s="10"/>
      <c r="FI74" s="10"/>
      <c r="FJ74" s="10"/>
      <c r="FK74" s="10"/>
      <c r="FL74" s="10"/>
      <c r="FM74" s="10"/>
      <c r="FN74" s="10"/>
      <c r="FO74" s="10"/>
      <c r="FP74" s="10"/>
      <c r="FQ74" s="10"/>
      <c r="FW74" s="4"/>
      <c r="FX74" s="5"/>
      <c r="FZ74" s="13"/>
      <c r="GA74" s="22"/>
      <c r="GB74" s="22"/>
      <c r="GC74" s="22"/>
      <c r="GD74" s="22"/>
      <c r="GE74" s="22"/>
      <c r="GF74" s="22"/>
      <c r="GG74" s="22"/>
      <c r="GH74" s="22"/>
      <c r="GI74" s="22"/>
      <c r="GJ74" s="22"/>
      <c r="GK74" s="22"/>
      <c r="GL74" s="22"/>
      <c r="GM74" s="22"/>
      <c r="GO74" s="5"/>
      <c r="GP74" s="5"/>
      <c r="GQ74" s="5"/>
      <c r="GR74" s="5"/>
      <c r="GS74" s="5"/>
      <c r="GT74" s="5"/>
      <c r="GU74" s="5"/>
      <c r="GV74" s="5"/>
      <c r="GW74" s="5"/>
      <c r="GX74" s="5"/>
      <c r="GY74" s="5"/>
      <c r="GZ74" s="5"/>
      <c r="HB74" s="13"/>
      <c r="HC74" s="4"/>
      <c r="HD74" s="4"/>
      <c r="HE74" s="4"/>
      <c r="HF74" s="4"/>
      <c r="HG74" s="4"/>
      <c r="HH74" s="4"/>
      <c r="HI74" s="4"/>
      <c r="HJ74" s="4"/>
      <c r="HK74" s="4"/>
      <c r="HL74" s="4"/>
      <c r="HM74" s="4"/>
      <c r="HN74" s="4"/>
    </row>
    <row r="75" spans="1:222" x14ac:dyDescent="0.2">
      <c r="FB75" s="10"/>
      <c r="FC75" s="10"/>
      <c r="FD75" s="10"/>
      <c r="FE75" s="10"/>
      <c r="FF75" s="10"/>
      <c r="FG75" s="10"/>
      <c r="FH75" s="10"/>
      <c r="FI75" s="10"/>
      <c r="FJ75" s="10"/>
      <c r="FK75" s="10"/>
      <c r="FL75" s="10"/>
      <c r="FM75" s="10"/>
      <c r="FN75" s="10"/>
      <c r="FO75" s="10"/>
      <c r="FP75" s="10"/>
      <c r="FQ75" s="10"/>
      <c r="FW75" s="4"/>
      <c r="FX75" s="5"/>
      <c r="FZ75" s="13"/>
      <c r="GA75" s="22"/>
      <c r="GB75" s="22"/>
      <c r="GC75" s="22"/>
      <c r="GD75" s="22"/>
      <c r="GE75" s="22"/>
      <c r="GF75" s="22"/>
      <c r="GG75" s="22"/>
      <c r="GH75" s="22"/>
      <c r="GI75" s="22"/>
      <c r="GJ75" s="22"/>
      <c r="GK75" s="22"/>
      <c r="GL75" s="22"/>
      <c r="GM75" s="22"/>
      <c r="GO75" s="5"/>
      <c r="GP75" s="5"/>
      <c r="GQ75" s="5"/>
      <c r="GR75" s="5"/>
      <c r="GS75" s="5"/>
      <c r="GT75" s="5"/>
      <c r="GU75" s="5"/>
      <c r="GV75" s="5"/>
      <c r="GW75" s="5"/>
      <c r="GX75" s="5"/>
      <c r="GY75" s="5"/>
      <c r="GZ75" s="5"/>
      <c r="HB75" s="13"/>
      <c r="HC75" s="4"/>
      <c r="HD75" s="4"/>
      <c r="HE75" s="4"/>
      <c r="HF75" s="4"/>
      <c r="HG75" s="4"/>
      <c r="HH75" s="4"/>
      <c r="HI75" s="4"/>
      <c r="HJ75" s="4"/>
      <c r="HK75" s="4"/>
      <c r="HL75" s="4"/>
      <c r="HM75" s="4"/>
      <c r="HN75" s="4"/>
    </row>
    <row r="76" spans="1:222" x14ac:dyDescent="0.2">
      <c r="FB76" s="10"/>
      <c r="FC76" s="10"/>
      <c r="FD76" s="10"/>
      <c r="FE76" s="10"/>
      <c r="FF76" s="10"/>
      <c r="FG76" s="10"/>
      <c r="FH76" s="10"/>
      <c r="FI76" s="10"/>
      <c r="FJ76" s="10"/>
      <c r="FK76" s="10"/>
      <c r="FL76" s="10"/>
      <c r="FM76" s="10"/>
      <c r="FN76" s="10"/>
      <c r="FO76" s="10"/>
      <c r="FP76" s="10"/>
      <c r="FQ76" s="10"/>
      <c r="FW76" s="4"/>
      <c r="FX76" s="5"/>
      <c r="FZ76" s="13"/>
      <c r="GA76" s="22"/>
      <c r="GB76" s="22"/>
      <c r="GC76" s="22"/>
      <c r="GD76" s="22"/>
      <c r="GE76" s="22"/>
      <c r="GF76" s="22"/>
      <c r="GG76" s="22"/>
      <c r="GH76" s="22"/>
      <c r="GI76" s="22"/>
      <c r="GJ76" s="22"/>
      <c r="GK76" s="22"/>
      <c r="GL76" s="22"/>
      <c r="GM76" s="22"/>
      <c r="GO76" s="5"/>
      <c r="GP76" s="5"/>
      <c r="GQ76" s="5"/>
      <c r="GR76" s="5"/>
      <c r="GS76" s="5"/>
      <c r="GT76" s="5"/>
      <c r="GU76" s="5"/>
      <c r="GV76" s="5"/>
      <c r="GW76" s="5"/>
      <c r="GX76" s="5"/>
      <c r="GY76" s="5"/>
      <c r="GZ76" s="5"/>
      <c r="HB76" s="13"/>
      <c r="HC76" s="4"/>
      <c r="HD76" s="4"/>
      <c r="HE76" s="4"/>
      <c r="HF76" s="4"/>
      <c r="HG76" s="4"/>
      <c r="HH76" s="4"/>
      <c r="HI76" s="4"/>
      <c r="HJ76" s="4"/>
      <c r="HK76" s="4"/>
      <c r="HL76" s="4"/>
      <c r="HM76" s="4"/>
      <c r="HN76" s="4"/>
    </row>
    <row r="77" spans="1:222" x14ac:dyDescent="0.2">
      <c r="FB77" s="10"/>
      <c r="FC77" s="10"/>
      <c r="FD77" s="10"/>
      <c r="FE77" s="10"/>
      <c r="FF77" s="10"/>
      <c r="FG77" s="10"/>
      <c r="FH77" s="10"/>
      <c r="FI77" s="10"/>
      <c r="FJ77" s="10"/>
      <c r="FK77" s="10"/>
      <c r="FL77" s="10"/>
      <c r="FM77" s="10"/>
      <c r="FN77" s="10"/>
      <c r="FO77" s="10"/>
      <c r="FP77" s="10"/>
      <c r="FQ77" s="10"/>
      <c r="FW77" s="4"/>
      <c r="FX77" s="5"/>
      <c r="FZ77" s="13"/>
      <c r="GA77" s="22"/>
      <c r="GB77" s="22"/>
      <c r="GC77" s="22"/>
      <c r="GD77" s="22"/>
      <c r="GE77" s="22"/>
      <c r="GF77" s="22"/>
      <c r="GG77" s="22"/>
      <c r="GH77" s="22"/>
      <c r="GI77" s="22"/>
      <c r="GJ77" s="22"/>
      <c r="GK77" s="22"/>
      <c r="GL77" s="22"/>
      <c r="GM77" s="22"/>
      <c r="GO77" s="5"/>
      <c r="GP77" s="5"/>
      <c r="GQ77" s="5"/>
      <c r="GR77" s="5"/>
      <c r="GS77" s="5"/>
      <c r="GT77" s="5"/>
      <c r="GU77" s="5"/>
      <c r="GV77" s="5"/>
      <c r="GW77" s="5"/>
      <c r="GX77" s="5"/>
      <c r="GY77" s="5"/>
      <c r="GZ77" s="5"/>
      <c r="HB77" s="13"/>
      <c r="HC77" s="4"/>
      <c r="HD77" s="4"/>
      <c r="HE77" s="4"/>
      <c r="HF77" s="4"/>
      <c r="HG77" s="4"/>
      <c r="HH77" s="4"/>
      <c r="HI77" s="4"/>
      <c r="HJ77" s="4"/>
      <c r="HK77" s="4"/>
      <c r="HL77" s="4"/>
      <c r="HM77" s="4"/>
      <c r="HN77" s="4"/>
    </row>
    <row r="78" spans="1:222" x14ac:dyDescent="0.2">
      <c r="FB78" s="10"/>
      <c r="FC78" s="10"/>
      <c r="FD78" s="10"/>
      <c r="FE78" s="10"/>
      <c r="FF78" s="10"/>
      <c r="FG78" s="10"/>
      <c r="FH78" s="10"/>
      <c r="FI78" s="10"/>
      <c r="FJ78" s="10"/>
      <c r="FK78" s="10"/>
      <c r="FL78" s="10"/>
      <c r="FM78" s="10"/>
      <c r="FN78" s="10"/>
      <c r="FO78" s="10"/>
      <c r="FP78" s="10"/>
      <c r="FQ78" s="10"/>
      <c r="FW78" s="4"/>
      <c r="FX78" s="5"/>
      <c r="FZ78" s="13"/>
      <c r="GA78" s="22"/>
      <c r="GB78" s="22"/>
      <c r="GC78" s="22"/>
      <c r="GD78" s="22"/>
      <c r="GE78" s="22"/>
      <c r="GF78" s="22"/>
      <c r="GG78" s="22"/>
      <c r="GH78" s="22"/>
      <c r="GI78" s="22"/>
      <c r="GJ78" s="22"/>
      <c r="GK78" s="22"/>
      <c r="GL78" s="22"/>
      <c r="GM78" s="22"/>
      <c r="GO78" s="5"/>
      <c r="GP78" s="5"/>
      <c r="GQ78" s="5"/>
      <c r="GR78" s="5"/>
      <c r="GS78" s="5"/>
      <c r="GT78" s="5"/>
      <c r="GU78" s="5"/>
      <c r="GV78" s="5"/>
      <c r="GW78" s="5"/>
      <c r="GX78" s="5"/>
      <c r="GY78" s="5"/>
      <c r="GZ78" s="5"/>
      <c r="HB78" s="13"/>
      <c r="HC78" s="4"/>
      <c r="HD78" s="4"/>
      <c r="HE78" s="4"/>
      <c r="HF78" s="4"/>
      <c r="HG78" s="4"/>
      <c r="HH78" s="4"/>
      <c r="HI78" s="4"/>
      <c r="HJ78" s="4"/>
      <c r="HK78" s="4"/>
      <c r="HL78" s="4"/>
      <c r="HM78" s="4"/>
      <c r="HN78" s="4"/>
    </row>
    <row r="79" spans="1:222" x14ac:dyDescent="0.2">
      <c r="FB79" s="10"/>
      <c r="FC79" s="10"/>
      <c r="FD79" s="10"/>
      <c r="FE79" s="10"/>
      <c r="FF79" s="10"/>
      <c r="FG79" s="10"/>
      <c r="FH79" s="10"/>
      <c r="FI79" s="10"/>
      <c r="FJ79" s="10"/>
      <c r="FK79" s="10"/>
      <c r="FL79" s="10"/>
      <c r="FM79" s="10"/>
      <c r="FN79" s="10"/>
      <c r="FO79" s="10"/>
      <c r="FP79" s="10"/>
      <c r="FQ79" s="10"/>
      <c r="FW79" s="4"/>
      <c r="FX79" s="5"/>
      <c r="FZ79" s="13"/>
      <c r="GA79" s="22"/>
      <c r="GB79" s="22"/>
      <c r="GC79" s="22"/>
      <c r="GD79" s="22"/>
      <c r="GE79" s="22"/>
      <c r="GF79" s="22"/>
      <c r="GG79" s="22"/>
      <c r="GH79" s="22"/>
      <c r="GI79" s="22"/>
      <c r="GJ79" s="22"/>
      <c r="GK79" s="22"/>
      <c r="GL79" s="22"/>
      <c r="GM79" s="22"/>
      <c r="GO79" s="5"/>
      <c r="GP79" s="5"/>
      <c r="GQ79" s="5"/>
      <c r="GR79" s="5"/>
      <c r="GS79" s="5"/>
      <c r="GT79" s="5"/>
      <c r="GU79" s="5"/>
      <c r="GV79" s="5"/>
      <c r="GW79" s="5"/>
      <c r="GX79" s="5"/>
      <c r="GY79" s="5"/>
      <c r="GZ79" s="5"/>
      <c r="HB79" s="13"/>
      <c r="HC79" s="4"/>
      <c r="HD79" s="4"/>
      <c r="HE79" s="4"/>
      <c r="HF79" s="4"/>
      <c r="HG79" s="4"/>
      <c r="HH79" s="4"/>
      <c r="HI79" s="4"/>
      <c r="HJ79" s="4"/>
      <c r="HK79" s="4"/>
      <c r="HL79" s="4"/>
      <c r="HM79" s="4"/>
      <c r="HN79" s="4"/>
    </row>
    <row r="80" spans="1:222" x14ac:dyDescent="0.2">
      <c r="FB80" s="10"/>
      <c r="FC80" s="10"/>
      <c r="FD80" s="10"/>
      <c r="FE80" s="10"/>
      <c r="FF80" s="10"/>
      <c r="FG80" s="10"/>
      <c r="FH80" s="10"/>
      <c r="FI80" s="10"/>
      <c r="FJ80" s="10"/>
      <c r="FK80" s="10"/>
      <c r="FL80" s="10"/>
      <c r="FM80" s="10"/>
      <c r="FN80" s="10"/>
      <c r="FO80" s="10"/>
      <c r="FP80" s="10"/>
      <c r="FQ80" s="10"/>
      <c r="FW80" s="4"/>
      <c r="FX80" s="5"/>
      <c r="FZ80" s="13"/>
      <c r="GA80" s="22"/>
      <c r="GB80" s="22"/>
      <c r="GC80" s="22"/>
      <c r="GD80" s="22"/>
      <c r="GE80" s="22"/>
      <c r="GF80" s="22"/>
      <c r="GG80" s="22"/>
      <c r="GH80" s="22"/>
      <c r="GI80" s="22"/>
      <c r="GJ80" s="22"/>
      <c r="GK80" s="22"/>
      <c r="GL80" s="22"/>
      <c r="GM80" s="22"/>
      <c r="GO80" s="5"/>
      <c r="GP80" s="5"/>
      <c r="GQ80" s="5"/>
      <c r="GR80" s="5"/>
      <c r="GS80" s="5"/>
      <c r="GT80" s="5"/>
      <c r="GU80" s="5"/>
      <c r="GV80" s="5"/>
      <c r="GW80" s="5"/>
      <c r="GX80" s="5"/>
      <c r="GY80" s="5"/>
      <c r="GZ80" s="5"/>
      <c r="HB80" s="13"/>
      <c r="HC80" s="4"/>
      <c r="HD80" s="4"/>
      <c r="HE80" s="4"/>
      <c r="HF80" s="4"/>
      <c r="HG80" s="4"/>
      <c r="HH80" s="4"/>
      <c r="HI80" s="4"/>
      <c r="HJ80" s="4"/>
      <c r="HK80" s="4"/>
      <c r="HL80" s="4"/>
      <c r="HM80" s="4"/>
      <c r="HN80" s="4"/>
    </row>
    <row r="81" spans="158:222" x14ac:dyDescent="0.2">
      <c r="FB81" s="10"/>
      <c r="FC81" s="10"/>
      <c r="FD81" s="10"/>
      <c r="FE81" s="10"/>
      <c r="FF81" s="10"/>
      <c r="FG81" s="10"/>
      <c r="FH81" s="10"/>
      <c r="FI81" s="10"/>
      <c r="FJ81" s="10"/>
      <c r="FK81" s="10"/>
      <c r="FL81" s="10"/>
      <c r="FM81" s="10"/>
      <c r="FN81" s="10"/>
      <c r="FO81" s="10"/>
      <c r="FP81" s="10"/>
      <c r="FQ81" s="10"/>
      <c r="FW81" s="4"/>
      <c r="FX81" s="5"/>
      <c r="FZ81" s="13"/>
      <c r="GA81" s="22"/>
      <c r="GB81" s="22"/>
      <c r="GC81" s="22"/>
      <c r="GD81" s="22"/>
      <c r="GE81" s="22"/>
      <c r="GF81" s="22"/>
      <c r="GG81" s="22"/>
      <c r="GH81" s="22"/>
      <c r="GI81" s="22"/>
      <c r="GJ81" s="22"/>
      <c r="GK81" s="22"/>
      <c r="GL81" s="22"/>
      <c r="GM81" s="22"/>
      <c r="GO81" s="5"/>
      <c r="GP81" s="5"/>
      <c r="GQ81" s="5"/>
      <c r="GR81" s="5"/>
      <c r="GS81" s="5"/>
      <c r="GT81" s="5"/>
      <c r="GU81" s="5"/>
      <c r="GV81" s="5"/>
      <c r="GW81" s="5"/>
      <c r="GX81" s="5"/>
      <c r="GY81" s="5"/>
      <c r="GZ81" s="5"/>
      <c r="HB81" s="13"/>
      <c r="HC81" s="4"/>
      <c r="HD81" s="4"/>
      <c r="HE81" s="4"/>
      <c r="HF81" s="4"/>
      <c r="HG81" s="4"/>
      <c r="HH81" s="4"/>
      <c r="HI81" s="4"/>
      <c r="HJ81" s="4"/>
      <c r="HK81" s="4"/>
      <c r="HL81" s="4"/>
      <c r="HM81" s="4"/>
      <c r="HN81" s="4"/>
    </row>
    <row r="82" spans="158:222" x14ac:dyDescent="0.2">
      <c r="FB82" s="10"/>
      <c r="FC82" s="10"/>
      <c r="FD82" s="10"/>
      <c r="FE82" s="10"/>
      <c r="FF82" s="10"/>
      <c r="FG82" s="10"/>
      <c r="FH82" s="10"/>
      <c r="FI82" s="10"/>
      <c r="FJ82" s="10"/>
      <c r="FK82" s="10"/>
      <c r="FL82" s="10"/>
      <c r="FM82" s="10"/>
      <c r="FN82" s="10"/>
      <c r="FO82" s="10"/>
      <c r="FP82" s="10"/>
      <c r="FQ82" s="10"/>
      <c r="FW82" s="4"/>
      <c r="FX82" s="5"/>
      <c r="FZ82" s="13"/>
      <c r="GA82" s="22"/>
      <c r="GB82" s="22"/>
      <c r="GC82" s="22"/>
      <c r="GD82" s="22"/>
      <c r="GE82" s="22"/>
      <c r="GF82" s="22"/>
      <c r="GG82" s="22"/>
      <c r="GH82" s="22"/>
      <c r="GI82" s="22"/>
      <c r="GJ82" s="22"/>
      <c r="GK82" s="22"/>
      <c r="GL82" s="22"/>
      <c r="GM82" s="22"/>
      <c r="GO82" s="5"/>
      <c r="GP82" s="5"/>
      <c r="GQ82" s="5"/>
      <c r="GR82" s="5"/>
      <c r="GS82" s="5"/>
      <c r="GT82" s="5"/>
      <c r="GU82" s="5"/>
      <c r="GV82" s="5"/>
      <c r="GW82" s="5"/>
      <c r="GX82" s="5"/>
      <c r="GY82" s="5"/>
      <c r="GZ82" s="5"/>
      <c r="HB82" s="13"/>
      <c r="HC82" s="4"/>
      <c r="HD82" s="4"/>
      <c r="HE82" s="4"/>
      <c r="HF82" s="4"/>
      <c r="HG82" s="4"/>
      <c r="HH82" s="4"/>
      <c r="HI82" s="4"/>
      <c r="HJ82" s="4"/>
      <c r="HK82" s="4"/>
      <c r="HL82" s="4"/>
      <c r="HM82" s="4"/>
      <c r="HN82" s="4"/>
    </row>
    <row r="83" spans="158:222" x14ac:dyDescent="0.2">
      <c r="FB83" s="10"/>
      <c r="FC83" s="10"/>
      <c r="FD83" s="10"/>
      <c r="FE83" s="10"/>
      <c r="FF83" s="10"/>
      <c r="FG83" s="10"/>
      <c r="FH83" s="10"/>
      <c r="FI83" s="10"/>
      <c r="FJ83" s="10"/>
      <c r="FK83" s="10"/>
      <c r="FL83" s="10"/>
      <c r="FM83" s="10"/>
      <c r="FN83" s="10"/>
      <c r="FO83" s="10"/>
      <c r="FP83" s="10"/>
      <c r="FQ83" s="10"/>
      <c r="FW83" s="4"/>
      <c r="FX83" s="5"/>
      <c r="FZ83" s="13"/>
      <c r="GA83" s="22"/>
      <c r="GB83" s="22"/>
      <c r="GC83" s="22"/>
      <c r="GD83" s="22"/>
      <c r="GE83" s="22"/>
      <c r="GF83" s="22"/>
      <c r="GG83" s="22"/>
      <c r="GH83" s="22"/>
      <c r="GI83" s="22"/>
      <c r="GJ83" s="22"/>
      <c r="GK83" s="22"/>
      <c r="GL83" s="22"/>
      <c r="GM83" s="22"/>
      <c r="GO83" s="5"/>
      <c r="GP83" s="5"/>
      <c r="GQ83" s="5"/>
      <c r="GR83" s="5"/>
      <c r="GS83" s="5"/>
      <c r="GT83" s="5"/>
      <c r="GU83" s="5"/>
      <c r="GV83" s="5"/>
      <c r="GW83" s="5"/>
      <c r="GX83" s="5"/>
      <c r="GY83" s="5"/>
      <c r="GZ83" s="5"/>
      <c r="HB83" s="13"/>
      <c r="HC83" s="4"/>
      <c r="HD83" s="4"/>
      <c r="HE83" s="4"/>
      <c r="HF83" s="4"/>
      <c r="HG83" s="4"/>
      <c r="HH83" s="4"/>
      <c r="HI83" s="4"/>
      <c r="HJ83" s="4"/>
      <c r="HK83" s="4"/>
      <c r="HL83" s="4"/>
      <c r="HM83" s="4"/>
      <c r="HN83" s="4"/>
    </row>
    <row r="84" spans="158:222" x14ac:dyDescent="0.2">
      <c r="FB84" s="10"/>
      <c r="FC84" s="10"/>
      <c r="FD84" s="10"/>
      <c r="FE84" s="10"/>
      <c r="FF84" s="10"/>
      <c r="FG84" s="10"/>
      <c r="FH84" s="10"/>
      <c r="FI84" s="10"/>
      <c r="FJ84" s="10"/>
      <c r="FK84" s="10"/>
      <c r="FL84" s="10"/>
      <c r="FM84" s="10"/>
      <c r="FN84" s="10"/>
      <c r="FO84" s="10"/>
      <c r="FP84" s="10"/>
      <c r="FQ84" s="10"/>
      <c r="FW84" s="4"/>
      <c r="FX84" s="5"/>
      <c r="FZ84" s="13"/>
      <c r="GA84" s="22"/>
      <c r="GB84" s="22"/>
      <c r="GC84" s="22"/>
      <c r="GD84" s="22"/>
      <c r="GE84" s="22"/>
      <c r="GF84" s="22"/>
      <c r="GG84" s="22"/>
      <c r="GH84" s="22"/>
      <c r="GI84" s="22"/>
      <c r="GJ84" s="22"/>
      <c r="GK84" s="22"/>
      <c r="GL84" s="22"/>
      <c r="GM84" s="22"/>
      <c r="GO84" s="5"/>
      <c r="GP84" s="5"/>
      <c r="GQ84" s="5"/>
      <c r="GR84" s="5"/>
      <c r="GS84" s="5"/>
      <c r="GT84" s="5"/>
      <c r="GU84" s="5"/>
      <c r="GV84" s="5"/>
      <c r="GW84" s="5"/>
      <c r="GX84" s="5"/>
      <c r="GY84" s="5"/>
      <c r="GZ84" s="5"/>
      <c r="HB84" s="13"/>
      <c r="HC84" s="4"/>
      <c r="HD84" s="4"/>
      <c r="HE84" s="4"/>
      <c r="HF84" s="4"/>
      <c r="HG84" s="4"/>
      <c r="HH84" s="4"/>
      <c r="HI84" s="4"/>
      <c r="HJ84" s="4"/>
      <c r="HK84" s="4"/>
      <c r="HL84" s="4"/>
      <c r="HM84" s="4"/>
      <c r="HN84" s="4"/>
    </row>
    <row r="85" spans="158:222" x14ac:dyDescent="0.2">
      <c r="FB85" s="10"/>
      <c r="FC85" s="10"/>
      <c r="FD85" s="10"/>
      <c r="FE85" s="10"/>
      <c r="FF85" s="10"/>
      <c r="FG85" s="10"/>
      <c r="FH85" s="10"/>
      <c r="FI85" s="10"/>
      <c r="FJ85" s="10"/>
      <c r="FK85" s="10"/>
      <c r="FL85" s="10"/>
      <c r="FM85" s="10"/>
      <c r="FN85" s="10"/>
      <c r="FO85" s="10"/>
      <c r="FP85" s="10"/>
      <c r="FQ85" s="10"/>
      <c r="FW85" s="4"/>
      <c r="FX85" s="5"/>
      <c r="FZ85" s="13"/>
      <c r="GA85" s="22"/>
      <c r="GB85" s="22"/>
      <c r="GC85" s="22"/>
      <c r="GD85" s="22"/>
      <c r="GE85" s="22"/>
      <c r="GF85" s="22"/>
      <c r="GG85" s="22"/>
      <c r="GH85" s="22"/>
      <c r="GI85" s="22"/>
      <c r="GJ85" s="22"/>
      <c r="GK85" s="22"/>
      <c r="GL85" s="22"/>
      <c r="GM85" s="22"/>
      <c r="GO85" s="5"/>
      <c r="GP85" s="5"/>
      <c r="GQ85" s="5"/>
      <c r="GR85" s="5"/>
      <c r="GS85" s="5"/>
      <c r="GT85" s="5"/>
      <c r="GU85" s="5"/>
      <c r="GV85" s="5"/>
      <c r="GW85" s="5"/>
      <c r="GX85" s="5"/>
      <c r="GY85" s="5"/>
      <c r="GZ85" s="5"/>
      <c r="HB85" s="13"/>
      <c r="HC85" s="4"/>
      <c r="HD85" s="4"/>
      <c r="HE85" s="4"/>
      <c r="HF85" s="4"/>
      <c r="HG85" s="4"/>
      <c r="HH85" s="4"/>
      <c r="HI85" s="4"/>
      <c r="HJ85" s="4"/>
      <c r="HK85" s="4"/>
      <c r="HL85" s="4"/>
      <c r="HM85" s="4"/>
      <c r="HN85" s="4"/>
    </row>
    <row r="86" spans="158:222" x14ac:dyDescent="0.2">
      <c r="FB86" s="10"/>
      <c r="FC86" s="10"/>
      <c r="FD86" s="10"/>
      <c r="FE86" s="10"/>
      <c r="FF86" s="10"/>
      <c r="FG86" s="10"/>
      <c r="FH86" s="10"/>
      <c r="FI86" s="10"/>
      <c r="FJ86" s="10"/>
      <c r="FK86" s="10"/>
      <c r="FL86" s="10"/>
      <c r="FM86" s="10"/>
      <c r="FN86" s="10"/>
      <c r="FO86" s="10"/>
      <c r="FP86" s="10"/>
      <c r="FQ86" s="10"/>
      <c r="FW86" s="4"/>
      <c r="FX86" s="5"/>
      <c r="FZ86" s="13"/>
      <c r="GA86" s="22"/>
      <c r="GB86" s="22"/>
      <c r="GC86" s="22"/>
      <c r="GD86" s="22"/>
      <c r="GE86" s="22"/>
      <c r="GF86" s="22"/>
      <c r="GG86" s="22"/>
      <c r="GH86" s="22"/>
      <c r="GI86" s="22"/>
      <c r="GJ86" s="22"/>
      <c r="GK86" s="22"/>
      <c r="GL86" s="22"/>
      <c r="GM86" s="22"/>
      <c r="GO86" s="5"/>
      <c r="GP86" s="5"/>
      <c r="GQ86" s="5"/>
      <c r="GR86" s="5"/>
      <c r="GS86" s="5"/>
      <c r="GT86" s="5"/>
      <c r="GU86" s="5"/>
      <c r="GV86" s="5"/>
      <c r="GW86" s="5"/>
      <c r="GX86" s="5"/>
      <c r="GY86" s="5"/>
      <c r="GZ86" s="5"/>
      <c r="HB86" s="13"/>
      <c r="HC86" s="4"/>
      <c r="HD86" s="4"/>
      <c r="HE86" s="4"/>
      <c r="HF86" s="4"/>
      <c r="HG86" s="4"/>
      <c r="HH86" s="4"/>
      <c r="HI86" s="4"/>
      <c r="HJ86" s="4"/>
      <c r="HK86" s="4"/>
      <c r="HL86" s="4"/>
      <c r="HM86" s="4"/>
      <c r="HN86" s="4"/>
    </row>
    <row r="87" spans="158:222" x14ac:dyDescent="0.2">
      <c r="FB87" s="10"/>
      <c r="FC87" s="10"/>
      <c r="FD87" s="10"/>
      <c r="FE87" s="10"/>
      <c r="FF87" s="10"/>
      <c r="FG87" s="10"/>
      <c r="FH87" s="10"/>
      <c r="FI87" s="10"/>
      <c r="FJ87" s="10"/>
      <c r="FK87" s="10"/>
      <c r="FL87" s="10"/>
      <c r="FM87" s="10"/>
      <c r="FN87" s="10"/>
      <c r="FO87" s="10"/>
      <c r="FP87" s="10"/>
      <c r="FQ87" s="10"/>
      <c r="FW87" s="4"/>
      <c r="FX87" s="5"/>
      <c r="FZ87" s="13"/>
      <c r="GA87" s="22"/>
      <c r="GB87" s="22"/>
      <c r="GC87" s="22"/>
      <c r="GD87" s="22"/>
      <c r="GE87" s="22"/>
      <c r="GF87" s="22"/>
      <c r="GG87" s="22"/>
      <c r="GH87" s="22"/>
      <c r="GI87" s="22"/>
      <c r="GJ87" s="22"/>
      <c r="GK87" s="22"/>
      <c r="GL87" s="22"/>
      <c r="GM87" s="22"/>
      <c r="GO87" s="5"/>
      <c r="GP87" s="5"/>
      <c r="GQ87" s="5"/>
      <c r="GR87" s="5"/>
      <c r="GS87" s="5"/>
      <c r="GT87" s="5"/>
      <c r="GU87" s="5"/>
      <c r="GV87" s="5"/>
      <c r="GW87" s="5"/>
      <c r="GX87" s="5"/>
      <c r="GY87" s="5"/>
      <c r="GZ87" s="5"/>
      <c r="HB87" s="13"/>
      <c r="HC87" s="4"/>
      <c r="HD87" s="4"/>
      <c r="HE87" s="4"/>
      <c r="HF87" s="4"/>
      <c r="HG87" s="4"/>
      <c r="HH87" s="4"/>
      <c r="HI87" s="4"/>
      <c r="HJ87" s="4"/>
      <c r="HK87" s="4"/>
      <c r="HL87" s="4"/>
      <c r="HM87" s="4"/>
      <c r="HN87" s="4"/>
    </row>
    <row r="88" spans="158:222" x14ac:dyDescent="0.2">
      <c r="FB88" s="10"/>
      <c r="FC88" s="10"/>
      <c r="FD88" s="10"/>
      <c r="FE88" s="10"/>
      <c r="FF88" s="10"/>
      <c r="FG88" s="10"/>
      <c r="FH88" s="10"/>
      <c r="FI88" s="10"/>
      <c r="FJ88" s="10"/>
      <c r="FK88" s="10"/>
      <c r="FL88" s="10"/>
      <c r="FM88" s="10"/>
      <c r="FN88" s="10"/>
      <c r="FO88" s="10"/>
      <c r="FP88" s="10"/>
      <c r="FQ88" s="10"/>
      <c r="FW88" s="4"/>
      <c r="FX88" s="5"/>
      <c r="FZ88" s="13"/>
      <c r="GA88" s="22"/>
      <c r="GB88" s="22"/>
      <c r="GC88" s="22"/>
      <c r="GD88" s="22"/>
      <c r="GE88" s="22"/>
      <c r="GF88" s="22"/>
      <c r="GG88" s="22"/>
      <c r="GH88" s="22"/>
      <c r="GI88" s="22"/>
      <c r="GJ88" s="22"/>
      <c r="GK88" s="22"/>
      <c r="GL88" s="22"/>
      <c r="GM88" s="22"/>
      <c r="GO88" s="5"/>
      <c r="GP88" s="5"/>
      <c r="GQ88" s="5"/>
      <c r="GR88" s="5"/>
      <c r="GS88" s="5"/>
      <c r="GT88" s="5"/>
      <c r="GU88" s="5"/>
      <c r="GV88" s="5"/>
      <c r="GW88" s="5"/>
      <c r="GX88" s="5"/>
      <c r="GY88" s="5"/>
      <c r="GZ88" s="5"/>
      <c r="HB88" s="13"/>
      <c r="HC88" s="4"/>
      <c r="HD88" s="4"/>
      <c r="HE88" s="4"/>
      <c r="HF88" s="4"/>
      <c r="HG88" s="4"/>
      <c r="HH88" s="4"/>
      <c r="HI88" s="4"/>
      <c r="HJ88" s="4"/>
      <c r="HK88" s="4"/>
      <c r="HL88" s="4"/>
      <c r="HM88" s="4"/>
      <c r="HN88" s="4"/>
    </row>
    <row r="89" spans="158:222" x14ac:dyDescent="0.2">
      <c r="FB89" s="10"/>
      <c r="FC89" s="10"/>
      <c r="FD89" s="10"/>
      <c r="FE89" s="10"/>
      <c r="FF89" s="10"/>
      <c r="FG89" s="10"/>
      <c r="FH89" s="10"/>
      <c r="FI89" s="10"/>
      <c r="FJ89" s="10"/>
      <c r="FK89" s="10"/>
      <c r="FL89" s="10"/>
      <c r="FM89" s="10"/>
      <c r="FN89" s="10"/>
      <c r="FO89" s="10"/>
      <c r="FP89" s="10"/>
      <c r="FQ89" s="10"/>
      <c r="FW89" s="4"/>
      <c r="FX89" s="5"/>
      <c r="FZ89" s="13"/>
      <c r="GA89" s="22"/>
      <c r="GB89" s="22"/>
      <c r="GC89" s="22"/>
      <c r="GD89" s="22"/>
      <c r="GE89" s="22"/>
      <c r="GF89" s="22"/>
      <c r="GG89" s="22"/>
      <c r="GH89" s="22"/>
      <c r="GI89" s="22"/>
      <c r="GJ89" s="22"/>
      <c r="GK89" s="22"/>
      <c r="GL89" s="22"/>
      <c r="GM89" s="22"/>
      <c r="GO89" s="5"/>
      <c r="GP89" s="5"/>
      <c r="GQ89" s="5"/>
      <c r="GR89" s="5"/>
      <c r="GS89" s="5"/>
      <c r="GT89" s="5"/>
      <c r="GU89" s="5"/>
      <c r="GV89" s="5"/>
      <c r="GW89" s="5"/>
      <c r="GX89" s="5"/>
      <c r="GY89" s="5"/>
      <c r="GZ89" s="5"/>
      <c r="HB89" s="13"/>
      <c r="HC89" s="4"/>
      <c r="HD89" s="4"/>
      <c r="HE89" s="4"/>
      <c r="HF89" s="4"/>
      <c r="HG89" s="4"/>
      <c r="HH89" s="4"/>
      <c r="HI89" s="4"/>
      <c r="HJ89" s="4"/>
      <c r="HK89" s="4"/>
      <c r="HL89" s="4"/>
      <c r="HM89" s="4"/>
      <c r="HN89" s="4"/>
    </row>
    <row r="90" spans="158:222" x14ac:dyDescent="0.2">
      <c r="FB90" s="10"/>
      <c r="FC90" s="10"/>
      <c r="FD90" s="10"/>
      <c r="FE90" s="10"/>
      <c r="FF90" s="10"/>
      <c r="FG90" s="10"/>
      <c r="FH90" s="10"/>
      <c r="FI90" s="10"/>
      <c r="FJ90" s="10"/>
      <c r="FK90" s="10"/>
      <c r="FL90" s="10"/>
      <c r="FM90" s="10"/>
      <c r="FN90" s="10"/>
      <c r="FO90" s="10"/>
      <c r="FP90" s="10"/>
      <c r="FQ90" s="10"/>
      <c r="FW90" s="4"/>
      <c r="FX90" s="5"/>
      <c r="FZ90" s="13"/>
      <c r="GA90" s="22"/>
      <c r="GB90" s="22"/>
      <c r="GC90" s="22"/>
      <c r="GD90" s="22"/>
      <c r="GE90" s="22"/>
      <c r="GF90" s="22"/>
      <c r="GG90" s="22"/>
      <c r="GH90" s="22"/>
      <c r="GI90" s="22"/>
      <c r="GJ90" s="22"/>
      <c r="GK90" s="22"/>
      <c r="GL90" s="22"/>
      <c r="GM90" s="22"/>
      <c r="GO90" s="5"/>
      <c r="GP90" s="5"/>
      <c r="GQ90" s="5"/>
      <c r="GR90" s="5"/>
      <c r="GS90" s="5"/>
      <c r="GT90" s="5"/>
      <c r="GU90" s="5"/>
      <c r="GV90" s="5"/>
      <c r="GW90" s="5"/>
      <c r="GX90" s="5"/>
      <c r="GY90" s="5"/>
      <c r="GZ90" s="5"/>
      <c r="HB90" s="13"/>
      <c r="HC90" s="4"/>
      <c r="HD90" s="4"/>
      <c r="HE90" s="4"/>
      <c r="HF90" s="4"/>
      <c r="HG90" s="4"/>
      <c r="HH90" s="4"/>
      <c r="HI90" s="4"/>
      <c r="HJ90" s="4"/>
      <c r="HK90" s="4"/>
      <c r="HL90" s="4"/>
      <c r="HM90" s="4"/>
      <c r="HN90" s="4"/>
    </row>
    <row r="91" spans="158:222" x14ac:dyDescent="0.2">
      <c r="FB91" s="10"/>
      <c r="FC91" s="10"/>
      <c r="FD91" s="10"/>
      <c r="FE91" s="10"/>
      <c r="FF91" s="10"/>
      <c r="FG91" s="10"/>
      <c r="FH91" s="10"/>
      <c r="FI91" s="10"/>
      <c r="FJ91" s="10"/>
      <c r="FK91" s="10"/>
      <c r="FL91" s="10"/>
      <c r="FM91" s="10"/>
      <c r="FN91" s="10"/>
      <c r="FO91" s="10"/>
      <c r="FP91" s="10"/>
      <c r="FQ91" s="10"/>
      <c r="FW91" s="4"/>
      <c r="FX91" s="5"/>
      <c r="FZ91" s="13"/>
      <c r="GA91" s="22"/>
      <c r="GB91" s="22"/>
      <c r="GC91" s="22"/>
      <c r="GD91" s="22"/>
      <c r="GE91" s="22"/>
      <c r="GF91" s="22"/>
      <c r="GG91" s="22"/>
      <c r="GH91" s="22"/>
      <c r="GI91" s="22"/>
      <c r="GJ91" s="22"/>
      <c r="GK91" s="22"/>
      <c r="GL91" s="22"/>
      <c r="GM91" s="22"/>
      <c r="GO91" s="5"/>
      <c r="GP91" s="5"/>
      <c r="GQ91" s="5"/>
      <c r="GR91" s="5"/>
      <c r="GS91" s="5"/>
      <c r="GT91" s="5"/>
      <c r="GU91" s="5"/>
      <c r="GV91" s="5"/>
      <c r="GW91" s="5"/>
      <c r="GX91" s="5"/>
      <c r="GY91" s="5"/>
      <c r="GZ91" s="5"/>
      <c r="HB91" s="13"/>
      <c r="HC91" s="4"/>
      <c r="HD91" s="4"/>
      <c r="HE91" s="4"/>
      <c r="HF91" s="4"/>
      <c r="HG91" s="4"/>
      <c r="HH91" s="4"/>
      <c r="HI91" s="4"/>
      <c r="HJ91" s="4"/>
      <c r="HK91" s="4"/>
      <c r="HL91" s="4"/>
      <c r="HM91" s="4"/>
      <c r="HN91" s="4"/>
    </row>
    <row r="92" spans="158:222" x14ac:dyDescent="0.2">
      <c r="FB92" s="10"/>
      <c r="FC92" s="10"/>
      <c r="FD92" s="10"/>
      <c r="FE92" s="10"/>
      <c r="FF92" s="10"/>
      <c r="FG92" s="10"/>
      <c r="FH92" s="10"/>
      <c r="FI92" s="10"/>
      <c r="FJ92" s="10"/>
      <c r="FK92" s="10"/>
      <c r="FL92" s="10"/>
      <c r="FM92" s="10"/>
      <c r="FN92" s="10"/>
      <c r="FO92" s="10"/>
      <c r="FP92" s="10"/>
      <c r="FQ92" s="10"/>
      <c r="FW92" s="4"/>
      <c r="FX92" s="5"/>
      <c r="FZ92" s="13"/>
      <c r="GA92" s="22"/>
      <c r="GB92" s="22"/>
      <c r="GC92" s="22"/>
      <c r="GD92" s="22"/>
      <c r="GE92" s="22"/>
      <c r="GF92" s="22"/>
      <c r="GG92" s="22"/>
      <c r="GH92" s="22"/>
      <c r="GI92" s="22"/>
      <c r="GJ92" s="22"/>
      <c r="GK92" s="22"/>
      <c r="GL92" s="22"/>
      <c r="GM92" s="22"/>
      <c r="GO92" s="5"/>
      <c r="GP92" s="5"/>
      <c r="GQ92" s="5"/>
      <c r="GR92" s="5"/>
      <c r="GS92" s="5"/>
      <c r="GT92" s="5"/>
      <c r="GU92" s="5"/>
      <c r="GV92" s="5"/>
      <c r="GW92" s="5"/>
      <c r="GX92" s="5"/>
      <c r="GY92" s="5"/>
      <c r="GZ92" s="5"/>
      <c r="HB92" s="13"/>
      <c r="HC92" s="4"/>
      <c r="HD92" s="4"/>
      <c r="HE92" s="4"/>
      <c r="HF92" s="4"/>
      <c r="HG92" s="4"/>
      <c r="HH92" s="4"/>
      <c r="HI92" s="4"/>
      <c r="HJ92" s="4"/>
      <c r="HK92" s="4"/>
      <c r="HL92" s="4"/>
      <c r="HM92" s="4"/>
      <c r="HN92" s="4"/>
    </row>
    <row r="93" spans="158:222" x14ac:dyDescent="0.2">
      <c r="FB93" s="10"/>
      <c r="FC93" s="10"/>
      <c r="FD93" s="10"/>
      <c r="FE93" s="10"/>
      <c r="FF93" s="10"/>
      <c r="FG93" s="10"/>
      <c r="FH93" s="10"/>
      <c r="FI93" s="10"/>
      <c r="FJ93" s="10"/>
      <c r="FK93" s="10"/>
      <c r="FL93" s="10"/>
      <c r="FM93" s="10"/>
      <c r="FN93" s="10"/>
      <c r="FO93" s="10"/>
      <c r="FP93" s="10"/>
      <c r="FQ93" s="10"/>
      <c r="FW93" s="4"/>
      <c r="FX93" s="5"/>
      <c r="FZ93" s="13"/>
      <c r="GA93" s="22"/>
      <c r="GB93" s="22"/>
      <c r="GC93" s="22"/>
      <c r="GD93" s="22"/>
      <c r="GE93" s="22"/>
      <c r="GF93" s="22"/>
      <c r="GG93" s="22"/>
      <c r="GH93" s="22"/>
      <c r="GI93" s="22"/>
      <c r="GJ93" s="22"/>
      <c r="GK93" s="22"/>
      <c r="GL93" s="22"/>
      <c r="GM93" s="22"/>
      <c r="GO93" s="5"/>
      <c r="GP93" s="5"/>
      <c r="GQ93" s="5"/>
      <c r="GR93" s="5"/>
      <c r="GS93" s="5"/>
      <c r="GT93" s="5"/>
      <c r="GU93" s="5"/>
      <c r="GV93" s="5"/>
      <c r="GW93" s="5"/>
      <c r="GX93" s="5"/>
      <c r="GY93" s="5"/>
      <c r="GZ93" s="5"/>
      <c r="HB93" s="13"/>
      <c r="HC93" s="4"/>
      <c r="HD93" s="4"/>
      <c r="HE93" s="4"/>
      <c r="HF93" s="4"/>
      <c r="HG93" s="4"/>
      <c r="HH93" s="4"/>
      <c r="HI93" s="4"/>
      <c r="HJ93" s="4"/>
      <c r="HK93" s="4"/>
      <c r="HL93" s="4"/>
      <c r="HM93" s="4"/>
      <c r="HN93" s="4"/>
    </row>
    <row r="94" spans="158:222" x14ac:dyDescent="0.2">
      <c r="FB94" s="10"/>
      <c r="FC94" s="10"/>
      <c r="FD94" s="10"/>
      <c r="FE94" s="10"/>
      <c r="FF94" s="10"/>
      <c r="FG94" s="10"/>
      <c r="FH94" s="10"/>
      <c r="FI94" s="10"/>
      <c r="FJ94" s="10"/>
      <c r="FK94" s="10"/>
      <c r="FL94" s="10"/>
      <c r="FM94" s="10"/>
      <c r="FN94" s="10"/>
      <c r="FO94" s="10"/>
      <c r="FP94" s="10"/>
      <c r="FQ94" s="10"/>
      <c r="FW94" s="4"/>
      <c r="FX94" s="5"/>
      <c r="FZ94" s="13"/>
      <c r="GA94" s="22"/>
      <c r="GB94" s="22"/>
      <c r="GC94" s="22"/>
      <c r="GD94" s="22"/>
      <c r="GE94" s="22"/>
      <c r="GF94" s="22"/>
      <c r="GG94" s="22"/>
      <c r="GH94" s="22"/>
      <c r="GI94" s="22"/>
      <c r="GJ94" s="22"/>
      <c r="GK94" s="22"/>
      <c r="GL94" s="22"/>
      <c r="GM94" s="22"/>
      <c r="GO94" s="5"/>
      <c r="GP94" s="5"/>
      <c r="GQ94" s="5"/>
      <c r="GR94" s="5"/>
      <c r="GS94" s="5"/>
      <c r="GT94" s="5"/>
      <c r="GU94" s="5"/>
      <c r="GV94" s="5"/>
      <c r="GW94" s="5"/>
      <c r="GX94" s="5"/>
      <c r="GY94" s="5"/>
      <c r="GZ94" s="5"/>
      <c r="HB94" s="13"/>
      <c r="HC94" s="4"/>
      <c r="HD94" s="4"/>
      <c r="HE94" s="4"/>
      <c r="HF94" s="4"/>
      <c r="HG94" s="4"/>
      <c r="HH94" s="4"/>
      <c r="HI94" s="4"/>
      <c r="HJ94" s="4"/>
      <c r="HK94" s="4"/>
      <c r="HL94" s="4"/>
      <c r="HM94" s="4"/>
      <c r="HN94" s="4"/>
    </row>
    <row r="95" spans="158:222" x14ac:dyDescent="0.2">
      <c r="FB95" s="10"/>
      <c r="FC95" s="10"/>
      <c r="FD95" s="10"/>
      <c r="FE95" s="10"/>
      <c r="FF95" s="10"/>
      <c r="FG95" s="10"/>
      <c r="FH95" s="10"/>
      <c r="FI95" s="10"/>
      <c r="FJ95" s="10"/>
      <c r="FK95" s="10"/>
      <c r="FL95" s="10"/>
      <c r="FM95" s="10"/>
      <c r="FN95" s="10"/>
      <c r="FO95" s="10"/>
      <c r="FP95" s="10"/>
      <c r="FQ95" s="10"/>
      <c r="FW95" s="4"/>
      <c r="FX95" s="5"/>
      <c r="FZ95" s="13"/>
      <c r="GA95" s="22"/>
      <c r="GB95" s="22"/>
      <c r="GC95" s="22"/>
      <c r="GD95" s="22"/>
      <c r="GE95" s="22"/>
      <c r="GF95" s="22"/>
      <c r="GG95" s="22"/>
      <c r="GH95" s="22"/>
      <c r="GI95" s="22"/>
      <c r="GJ95" s="22"/>
      <c r="GK95" s="22"/>
      <c r="GL95" s="22"/>
      <c r="GM95" s="22"/>
      <c r="GO95" s="5"/>
      <c r="GP95" s="5"/>
      <c r="GQ95" s="5"/>
      <c r="GR95" s="5"/>
      <c r="GS95" s="5"/>
      <c r="GT95" s="5"/>
      <c r="GU95" s="5"/>
      <c r="GV95" s="5"/>
      <c r="GW95" s="5"/>
      <c r="GX95" s="5"/>
      <c r="GY95" s="5"/>
      <c r="GZ95" s="5"/>
      <c r="HB95" s="13"/>
      <c r="HC95" s="4"/>
      <c r="HD95" s="4"/>
      <c r="HE95" s="4"/>
      <c r="HF95" s="4"/>
      <c r="HG95" s="4"/>
      <c r="HH95" s="4"/>
      <c r="HI95" s="4"/>
      <c r="HJ95" s="4"/>
      <c r="HK95" s="4"/>
      <c r="HL95" s="4"/>
      <c r="HM95" s="4"/>
      <c r="HN95" s="4"/>
    </row>
    <row r="96" spans="158:222" x14ac:dyDescent="0.2">
      <c r="FB96" s="10"/>
      <c r="FC96" s="10"/>
      <c r="FD96" s="10"/>
      <c r="FE96" s="10"/>
      <c r="FF96" s="10"/>
      <c r="FG96" s="10"/>
      <c r="FH96" s="10"/>
      <c r="FI96" s="10"/>
      <c r="FJ96" s="10"/>
      <c r="FK96" s="10"/>
      <c r="FL96" s="10"/>
      <c r="FM96" s="10"/>
      <c r="FN96" s="10"/>
      <c r="FO96" s="10"/>
      <c r="FP96" s="10"/>
      <c r="FQ96" s="10"/>
      <c r="FW96" s="4"/>
      <c r="FX96" s="5"/>
      <c r="FZ96" s="13"/>
      <c r="GA96" s="22"/>
      <c r="GB96" s="22"/>
      <c r="GC96" s="22"/>
      <c r="GD96" s="22"/>
      <c r="GE96" s="22"/>
      <c r="GF96" s="22"/>
      <c r="GG96" s="22"/>
      <c r="GH96" s="22"/>
      <c r="GI96" s="22"/>
      <c r="GJ96" s="22"/>
      <c r="GK96" s="22"/>
      <c r="GL96" s="22"/>
      <c r="GM96" s="22"/>
      <c r="GO96" s="5"/>
      <c r="GP96" s="5"/>
      <c r="GQ96" s="5"/>
      <c r="GR96" s="5"/>
      <c r="GS96" s="5"/>
      <c r="GT96" s="5"/>
      <c r="GU96" s="5"/>
      <c r="GV96" s="5"/>
      <c r="GW96" s="5"/>
      <c r="GX96" s="5"/>
      <c r="GY96" s="5"/>
      <c r="GZ96" s="5"/>
      <c r="HB96" s="13"/>
      <c r="HC96" s="4"/>
      <c r="HD96" s="4"/>
      <c r="HE96" s="4"/>
      <c r="HF96" s="4"/>
      <c r="HG96" s="4"/>
      <c r="HH96" s="4"/>
      <c r="HI96" s="4"/>
      <c r="HJ96" s="4"/>
      <c r="HK96" s="4"/>
      <c r="HL96" s="4"/>
      <c r="HM96" s="4"/>
      <c r="HN96" s="4"/>
    </row>
    <row r="97" spans="158:222" x14ac:dyDescent="0.2">
      <c r="FB97" s="10"/>
      <c r="FC97" s="10"/>
      <c r="FD97" s="10"/>
      <c r="FE97" s="10"/>
      <c r="FF97" s="10"/>
      <c r="FG97" s="10"/>
      <c r="FH97" s="10"/>
      <c r="FI97" s="10"/>
      <c r="FJ97" s="10"/>
      <c r="FK97" s="10"/>
      <c r="FL97" s="10"/>
      <c r="FM97" s="10"/>
      <c r="FN97" s="10"/>
      <c r="FO97" s="10"/>
      <c r="FP97" s="10"/>
      <c r="FQ97" s="10"/>
      <c r="FW97" s="4"/>
      <c r="FX97" s="5"/>
      <c r="FZ97" s="13"/>
      <c r="GA97" s="22"/>
      <c r="GB97" s="22"/>
      <c r="GC97" s="22"/>
      <c r="GD97" s="22"/>
      <c r="GE97" s="22"/>
      <c r="GF97" s="22"/>
      <c r="GG97" s="22"/>
      <c r="GH97" s="22"/>
      <c r="GI97" s="22"/>
      <c r="GJ97" s="22"/>
      <c r="GK97" s="22"/>
      <c r="GL97" s="22"/>
      <c r="GM97" s="22"/>
      <c r="GO97" s="5"/>
      <c r="GP97" s="5"/>
      <c r="GQ97" s="5"/>
      <c r="GR97" s="5"/>
      <c r="GS97" s="5"/>
      <c r="GT97" s="5"/>
      <c r="GU97" s="5"/>
      <c r="GV97" s="5"/>
      <c r="GW97" s="5"/>
      <c r="GX97" s="5"/>
      <c r="GY97" s="5"/>
      <c r="GZ97" s="5"/>
      <c r="HB97" s="13"/>
      <c r="HC97" s="4"/>
      <c r="HD97" s="4"/>
      <c r="HE97" s="4"/>
      <c r="HF97" s="4"/>
      <c r="HG97" s="4"/>
      <c r="HH97" s="4"/>
      <c r="HI97" s="4"/>
      <c r="HJ97" s="4"/>
      <c r="HK97" s="4"/>
      <c r="HL97" s="4"/>
      <c r="HM97" s="4"/>
      <c r="HN97" s="4"/>
    </row>
    <row r="98" spans="158:222" x14ac:dyDescent="0.2">
      <c r="FB98" s="10"/>
      <c r="FC98" s="10"/>
      <c r="FD98" s="10"/>
      <c r="FE98" s="10"/>
      <c r="FF98" s="10"/>
      <c r="FG98" s="10"/>
      <c r="FH98" s="10"/>
      <c r="FI98" s="10"/>
      <c r="FJ98" s="10"/>
      <c r="FK98" s="10"/>
      <c r="FL98" s="10"/>
      <c r="FM98" s="10"/>
      <c r="FN98" s="10"/>
      <c r="FO98" s="10"/>
      <c r="FP98" s="10"/>
      <c r="FQ98" s="10"/>
      <c r="FW98" s="4"/>
      <c r="FX98" s="5"/>
      <c r="FZ98" s="13"/>
      <c r="GA98" s="22"/>
      <c r="GB98" s="22"/>
      <c r="GC98" s="22"/>
      <c r="GD98" s="22"/>
      <c r="GE98" s="22"/>
      <c r="GF98" s="22"/>
      <c r="GG98" s="22"/>
      <c r="GH98" s="22"/>
      <c r="GI98" s="22"/>
      <c r="GJ98" s="22"/>
      <c r="GK98" s="22"/>
      <c r="GL98" s="22"/>
      <c r="GM98" s="22"/>
      <c r="GO98" s="5"/>
      <c r="GP98" s="5"/>
      <c r="GQ98" s="5"/>
      <c r="GR98" s="5"/>
      <c r="GS98" s="5"/>
      <c r="GT98" s="5"/>
      <c r="GU98" s="5"/>
      <c r="GV98" s="5"/>
      <c r="GW98" s="5"/>
      <c r="GX98" s="5"/>
      <c r="GY98" s="5"/>
      <c r="GZ98" s="5"/>
      <c r="HB98" s="13"/>
      <c r="HC98" s="4"/>
      <c r="HD98" s="4"/>
      <c r="HE98" s="4"/>
      <c r="HF98" s="4"/>
      <c r="HG98" s="4"/>
      <c r="HH98" s="4"/>
      <c r="HI98" s="4"/>
      <c r="HJ98" s="4"/>
      <c r="HK98" s="4"/>
      <c r="HL98" s="4"/>
      <c r="HM98" s="4"/>
      <c r="HN98" s="4"/>
    </row>
    <row r="99" spans="158:222" x14ac:dyDescent="0.2">
      <c r="FB99" s="10"/>
      <c r="FC99" s="10"/>
      <c r="FD99" s="10"/>
      <c r="FE99" s="10"/>
      <c r="FF99" s="10"/>
      <c r="FG99" s="10"/>
      <c r="FH99" s="10"/>
      <c r="FI99" s="10"/>
      <c r="FJ99" s="10"/>
      <c r="FK99" s="10"/>
      <c r="FL99" s="10"/>
      <c r="FM99" s="10"/>
      <c r="FN99" s="10"/>
      <c r="FO99" s="10"/>
      <c r="FP99" s="10"/>
      <c r="FQ99" s="10"/>
      <c r="FW99" s="4"/>
      <c r="FX99" s="5"/>
      <c r="FZ99" s="13"/>
      <c r="GA99" s="22"/>
      <c r="GB99" s="22"/>
      <c r="GC99" s="22"/>
      <c r="GD99" s="22"/>
      <c r="GE99" s="22"/>
      <c r="GF99" s="22"/>
      <c r="GG99" s="22"/>
      <c r="GH99" s="22"/>
      <c r="GI99" s="22"/>
      <c r="GJ99" s="22"/>
      <c r="GK99" s="22"/>
      <c r="GL99" s="22"/>
      <c r="GM99" s="22"/>
      <c r="GO99" s="5"/>
      <c r="GP99" s="5"/>
      <c r="GQ99" s="5"/>
      <c r="GR99" s="5"/>
      <c r="GS99" s="5"/>
      <c r="GT99" s="5"/>
      <c r="GU99" s="5"/>
      <c r="GV99" s="5"/>
      <c r="GW99" s="5"/>
      <c r="GX99" s="5"/>
      <c r="GY99" s="5"/>
      <c r="GZ99" s="5"/>
      <c r="HB99" s="13"/>
      <c r="HC99" s="4"/>
      <c r="HD99" s="4"/>
      <c r="HE99" s="4"/>
      <c r="HF99" s="4"/>
      <c r="HG99" s="4"/>
      <c r="HH99" s="4"/>
      <c r="HI99" s="4"/>
      <c r="HJ99" s="4"/>
      <c r="HK99" s="4"/>
      <c r="HL99" s="4"/>
      <c r="HM99" s="4"/>
      <c r="HN99" s="4"/>
    </row>
    <row r="100" spans="158:222" x14ac:dyDescent="0.2">
      <c r="FB100" s="10"/>
      <c r="FC100" s="10"/>
      <c r="FD100" s="10"/>
      <c r="FE100" s="10"/>
      <c r="FF100" s="10"/>
      <c r="FG100" s="10"/>
      <c r="FH100" s="10"/>
      <c r="FI100" s="10"/>
      <c r="FJ100" s="10"/>
      <c r="FK100" s="10"/>
      <c r="FL100" s="10"/>
      <c r="FM100" s="10"/>
      <c r="FN100" s="10"/>
      <c r="FO100" s="10"/>
      <c r="FP100" s="10"/>
      <c r="FQ100" s="10"/>
      <c r="FW100" s="4"/>
      <c r="FX100" s="5"/>
      <c r="FZ100" s="13"/>
      <c r="GA100" s="22"/>
      <c r="GB100" s="22"/>
      <c r="GC100" s="22"/>
      <c r="GD100" s="22"/>
      <c r="GE100" s="22"/>
      <c r="GF100" s="22"/>
      <c r="GG100" s="22"/>
      <c r="GH100" s="22"/>
      <c r="GI100" s="22"/>
      <c r="GJ100" s="22"/>
      <c r="GK100" s="22"/>
      <c r="GL100" s="22"/>
      <c r="GM100" s="22"/>
      <c r="GO100" s="5"/>
      <c r="GP100" s="5"/>
      <c r="GQ100" s="5"/>
      <c r="GR100" s="5"/>
      <c r="GS100" s="5"/>
      <c r="GT100" s="5"/>
      <c r="GU100" s="5"/>
      <c r="GV100" s="5"/>
      <c r="GW100" s="5"/>
      <c r="GX100" s="5"/>
      <c r="GY100" s="5"/>
      <c r="GZ100" s="5"/>
      <c r="HB100" s="13"/>
      <c r="HC100" s="4"/>
      <c r="HD100" s="4"/>
      <c r="HE100" s="4"/>
      <c r="HF100" s="4"/>
      <c r="HG100" s="4"/>
      <c r="HH100" s="4"/>
      <c r="HI100" s="4"/>
      <c r="HJ100" s="4"/>
      <c r="HK100" s="4"/>
      <c r="HL100" s="4"/>
      <c r="HM100" s="4"/>
      <c r="HN100" s="4"/>
    </row>
    <row r="101" spans="158:222" x14ac:dyDescent="0.2">
      <c r="FB101" s="10"/>
      <c r="FC101" s="10"/>
      <c r="FD101" s="10"/>
      <c r="FE101" s="10"/>
      <c r="FF101" s="10"/>
      <c r="FG101" s="10"/>
      <c r="FH101" s="10"/>
      <c r="FI101" s="10"/>
      <c r="FJ101" s="10"/>
      <c r="FK101" s="10"/>
      <c r="FL101" s="10"/>
      <c r="FM101" s="10"/>
      <c r="FN101" s="10"/>
      <c r="FO101" s="10"/>
      <c r="FP101" s="10"/>
      <c r="FQ101" s="10"/>
      <c r="FW101" s="4"/>
      <c r="FX101" s="5"/>
      <c r="FZ101" s="13"/>
      <c r="GA101" s="22"/>
      <c r="GB101" s="22"/>
      <c r="GC101" s="22"/>
      <c r="GD101" s="22"/>
      <c r="GE101" s="22"/>
      <c r="GF101" s="22"/>
      <c r="GG101" s="22"/>
      <c r="GH101" s="22"/>
      <c r="GI101" s="22"/>
      <c r="GJ101" s="22"/>
      <c r="GK101" s="22"/>
      <c r="GL101" s="22"/>
      <c r="GM101" s="22"/>
      <c r="GO101" s="5"/>
      <c r="GP101" s="5"/>
      <c r="GQ101" s="5"/>
      <c r="GR101" s="5"/>
      <c r="GS101" s="5"/>
      <c r="GT101" s="5"/>
      <c r="GU101" s="5"/>
      <c r="GV101" s="5"/>
      <c r="GW101" s="5"/>
      <c r="GX101" s="5"/>
      <c r="GY101" s="5"/>
      <c r="GZ101" s="5"/>
      <c r="HB101" s="13"/>
      <c r="HC101" s="4"/>
      <c r="HD101" s="4"/>
      <c r="HE101" s="4"/>
      <c r="HF101" s="4"/>
      <c r="HG101" s="4"/>
      <c r="HH101" s="4"/>
      <c r="HI101" s="4"/>
      <c r="HJ101" s="4"/>
      <c r="HK101" s="4"/>
      <c r="HL101" s="4"/>
      <c r="HM101" s="4"/>
      <c r="HN101" s="4"/>
    </row>
    <row r="102" spans="158:222" x14ac:dyDescent="0.2">
      <c r="FB102" s="10"/>
      <c r="FC102" s="10"/>
      <c r="FD102" s="10"/>
      <c r="FE102" s="10"/>
      <c r="FF102" s="10"/>
      <c r="FG102" s="10"/>
      <c r="FH102" s="10"/>
      <c r="FI102" s="10"/>
      <c r="FJ102" s="10"/>
      <c r="FK102" s="10"/>
      <c r="FL102" s="10"/>
      <c r="FM102" s="10"/>
      <c r="FN102" s="10"/>
      <c r="FO102" s="10"/>
      <c r="FP102" s="10"/>
      <c r="FQ102" s="10"/>
      <c r="FW102" s="4"/>
      <c r="FX102" s="5"/>
      <c r="FZ102" s="13"/>
      <c r="GA102" s="22"/>
      <c r="GB102" s="22"/>
      <c r="GC102" s="22"/>
      <c r="GD102" s="22"/>
      <c r="GE102" s="22"/>
      <c r="GF102" s="22"/>
      <c r="GG102" s="22"/>
      <c r="GH102" s="22"/>
      <c r="GI102" s="22"/>
      <c r="GJ102" s="22"/>
      <c r="GK102" s="22"/>
      <c r="GL102" s="22"/>
      <c r="GM102" s="22"/>
      <c r="GO102" s="5"/>
      <c r="GP102" s="5"/>
      <c r="GQ102" s="5"/>
      <c r="GR102" s="5"/>
      <c r="GS102" s="5"/>
      <c r="GT102" s="5"/>
      <c r="GU102" s="5"/>
      <c r="GV102" s="5"/>
      <c r="GW102" s="5"/>
      <c r="GX102" s="5"/>
      <c r="GY102" s="5"/>
      <c r="GZ102" s="5"/>
      <c r="HB102" s="13"/>
      <c r="HC102" s="4"/>
      <c r="HD102" s="4"/>
      <c r="HE102" s="4"/>
      <c r="HF102" s="4"/>
      <c r="HG102" s="4"/>
      <c r="HH102" s="4"/>
      <c r="HI102" s="4"/>
      <c r="HJ102" s="4"/>
      <c r="HK102" s="4"/>
      <c r="HL102" s="4"/>
      <c r="HM102" s="4"/>
      <c r="HN102" s="4"/>
    </row>
    <row r="103" spans="158:222" x14ac:dyDescent="0.2">
      <c r="FB103" s="10"/>
      <c r="FC103" s="10"/>
      <c r="FD103" s="10"/>
      <c r="FE103" s="10"/>
      <c r="FF103" s="10"/>
      <c r="FG103" s="10"/>
      <c r="FH103" s="10"/>
      <c r="FI103" s="10"/>
      <c r="FJ103" s="10"/>
      <c r="FK103" s="10"/>
      <c r="FL103" s="10"/>
      <c r="FM103" s="10"/>
      <c r="FN103" s="10"/>
      <c r="FO103" s="10"/>
      <c r="FP103" s="10"/>
      <c r="FQ103" s="10"/>
      <c r="FW103" s="4"/>
      <c r="FX103" s="5"/>
      <c r="FZ103" s="13"/>
      <c r="GA103" s="22"/>
      <c r="GB103" s="22"/>
      <c r="GC103" s="22"/>
      <c r="GD103" s="22"/>
      <c r="GE103" s="22"/>
      <c r="GF103" s="22"/>
      <c r="GG103" s="22"/>
      <c r="GH103" s="22"/>
      <c r="GI103" s="22"/>
      <c r="GJ103" s="22"/>
      <c r="GK103" s="22"/>
      <c r="GL103" s="22"/>
      <c r="GM103" s="22"/>
      <c r="GO103" s="5"/>
      <c r="GP103" s="5"/>
      <c r="GQ103" s="5"/>
      <c r="GR103" s="5"/>
      <c r="GS103" s="5"/>
      <c r="GT103" s="5"/>
      <c r="GU103" s="5"/>
      <c r="GV103" s="5"/>
      <c r="GW103" s="5"/>
      <c r="GX103" s="5"/>
      <c r="GY103" s="5"/>
      <c r="GZ103" s="5"/>
      <c r="HB103" s="13"/>
      <c r="HC103" s="4"/>
      <c r="HD103" s="4"/>
      <c r="HE103" s="4"/>
      <c r="HF103" s="4"/>
      <c r="HG103" s="4"/>
      <c r="HH103" s="4"/>
      <c r="HI103" s="4"/>
      <c r="HJ103" s="4"/>
      <c r="HK103" s="4"/>
      <c r="HL103" s="4"/>
      <c r="HM103" s="4"/>
      <c r="HN103" s="4"/>
    </row>
    <row r="104" spans="158:222" x14ac:dyDescent="0.2">
      <c r="FB104" s="10"/>
      <c r="FC104" s="10"/>
      <c r="FD104" s="10"/>
      <c r="FE104" s="10"/>
      <c r="FF104" s="10"/>
      <c r="FG104" s="10"/>
      <c r="FH104" s="10"/>
      <c r="FI104" s="10"/>
      <c r="FJ104" s="10"/>
      <c r="FK104" s="10"/>
      <c r="FL104" s="10"/>
      <c r="FM104" s="10"/>
      <c r="FN104" s="10"/>
      <c r="FO104" s="10"/>
      <c r="FP104" s="10"/>
      <c r="FQ104" s="10"/>
      <c r="FW104" s="4"/>
      <c r="FX104" s="5"/>
      <c r="FZ104" s="13"/>
      <c r="GA104" s="22"/>
      <c r="GB104" s="22"/>
      <c r="GC104" s="22"/>
      <c r="GD104" s="22"/>
      <c r="GE104" s="22"/>
      <c r="GF104" s="22"/>
      <c r="GG104" s="22"/>
      <c r="GH104" s="22"/>
      <c r="GI104" s="22"/>
      <c r="GJ104" s="22"/>
      <c r="GK104" s="22"/>
      <c r="GL104" s="22"/>
      <c r="GM104" s="22"/>
      <c r="GO104" s="5"/>
      <c r="GP104" s="5"/>
      <c r="GQ104" s="5"/>
      <c r="GR104" s="5"/>
      <c r="GS104" s="5"/>
      <c r="GT104" s="5"/>
      <c r="GU104" s="5"/>
      <c r="GV104" s="5"/>
      <c r="GW104" s="5"/>
      <c r="GX104" s="5"/>
      <c r="GY104" s="5"/>
      <c r="GZ104" s="5"/>
      <c r="HB104" s="13"/>
      <c r="HC104" s="4"/>
      <c r="HD104" s="4"/>
      <c r="HE104" s="4"/>
      <c r="HF104" s="4"/>
      <c r="HG104" s="4"/>
      <c r="HH104" s="4"/>
      <c r="HI104" s="4"/>
      <c r="HJ104" s="4"/>
      <c r="HK104" s="4"/>
      <c r="HL104" s="4"/>
      <c r="HM104" s="4"/>
      <c r="HN104" s="4"/>
    </row>
    <row r="105" spans="158:222" x14ac:dyDescent="0.2">
      <c r="FB105" s="10"/>
      <c r="FC105" s="10"/>
      <c r="FD105" s="10"/>
      <c r="FE105" s="10"/>
      <c r="FF105" s="10"/>
      <c r="FG105" s="10"/>
      <c r="FH105" s="10"/>
      <c r="FI105" s="10"/>
      <c r="FJ105" s="10"/>
      <c r="FK105" s="10"/>
      <c r="FL105" s="10"/>
      <c r="FM105" s="10"/>
      <c r="FN105" s="10"/>
      <c r="FO105" s="10"/>
      <c r="FP105" s="10"/>
      <c r="FQ105" s="10"/>
      <c r="FW105" s="4"/>
      <c r="FX105" s="5"/>
      <c r="FZ105" s="13"/>
      <c r="GA105" s="22"/>
      <c r="GB105" s="22"/>
      <c r="GC105" s="22"/>
      <c r="GD105" s="22"/>
      <c r="GE105" s="22"/>
      <c r="GF105" s="22"/>
      <c r="GG105" s="22"/>
      <c r="GH105" s="22"/>
      <c r="GI105" s="22"/>
      <c r="GJ105" s="22"/>
      <c r="GK105" s="22"/>
      <c r="GL105" s="22"/>
      <c r="GM105" s="22"/>
      <c r="GO105" s="5"/>
      <c r="GP105" s="5"/>
      <c r="GQ105" s="5"/>
      <c r="GR105" s="5"/>
      <c r="GS105" s="5"/>
      <c r="GT105" s="5"/>
      <c r="GU105" s="5"/>
      <c r="GV105" s="5"/>
      <c r="GW105" s="5"/>
      <c r="GX105" s="5"/>
      <c r="GY105" s="5"/>
      <c r="GZ105" s="5"/>
      <c r="HB105" s="13"/>
      <c r="HC105" s="4"/>
      <c r="HD105" s="4"/>
      <c r="HE105" s="4"/>
      <c r="HF105" s="4"/>
      <c r="HG105" s="4"/>
      <c r="HH105" s="4"/>
      <c r="HI105" s="4"/>
      <c r="HJ105" s="4"/>
      <c r="HK105" s="4"/>
      <c r="HL105" s="4"/>
      <c r="HM105" s="4"/>
      <c r="HN105" s="4"/>
    </row>
    <row r="106" spans="158:222" x14ac:dyDescent="0.2">
      <c r="FB106" s="10"/>
      <c r="FC106" s="10"/>
      <c r="FD106" s="10"/>
      <c r="FE106" s="10"/>
      <c r="FF106" s="10"/>
      <c r="FG106" s="10"/>
      <c r="FH106" s="10"/>
      <c r="FI106" s="10"/>
      <c r="FJ106" s="10"/>
      <c r="FK106" s="10"/>
      <c r="FL106" s="10"/>
      <c r="FM106" s="10"/>
      <c r="FN106" s="10"/>
      <c r="FO106" s="10"/>
      <c r="FP106" s="10"/>
      <c r="FQ106" s="10"/>
      <c r="FW106" s="4"/>
      <c r="FX106" s="5"/>
      <c r="FZ106" s="13"/>
      <c r="GA106" s="22"/>
      <c r="GB106" s="22"/>
      <c r="GC106" s="22"/>
      <c r="GD106" s="22"/>
      <c r="GE106" s="22"/>
      <c r="GF106" s="22"/>
      <c r="GG106" s="22"/>
      <c r="GH106" s="22"/>
      <c r="GI106" s="22"/>
      <c r="GJ106" s="22"/>
      <c r="GK106" s="22"/>
      <c r="GL106" s="22"/>
      <c r="GM106" s="22"/>
      <c r="GO106" s="5"/>
      <c r="GP106" s="5"/>
      <c r="GQ106" s="5"/>
      <c r="GR106" s="5"/>
      <c r="GS106" s="5"/>
      <c r="GT106" s="5"/>
      <c r="GU106" s="5"/>
      <c r="GV106" s="5"/>
      <c r="GW106" s="5"/>
      <c r="GX106" s="5"/>
      <c r="GY106" s="5"/>
      <c r="GZ106" s="5"/>
      <c r="HB106" s="13"/>
      <c r="HC106" s="4"/>
      <c r="HD106" s="4"/>
      <c r="HE106" s="4"/>
      <c r="HF106" s="4"/>
      <c r="HG106" s="4"/>
      <c r="HH106" s="4"/>
      <c r="HI106" s="4"/>
      <c r="HJ106" s="4"/>
      <c r="HK106" s="4"/>
      <c r="HL106" s="4"/>
      <c r="HM106" s="4"/>
      <c r="HN106" s="4"/>
    </row>
    <row r="107" spans="158:222" x14ac:dyDescent="0.2">
      <c r="FB107" s="10"/>
      <c r="FC107" s="10"/>
      <c r="FD107" s="10"/>
      <c r="FE107" s="10"/>
      <c r="FF107" s="10"/>
      <c r="FG107" s="10"/>
      <c r="FH107" s="10"/>
      <c r="FI107" s="10"/>
      <c r="FJ107" s="10"/>
      <c r="FK107" s="10"/>
      <c r="FL107" s="10"/>
      <c r="FM107" s="10"/>
      <c r="FN107" s="10"/>
      <c r="FO107" s="10"/>
      <c r="FP107" s="10"/>
      <c r="FQ107" s="10"/>
      <c r="FW107" s="4"/>
      <c r="FX107" s="5"/>
      <c r="FZ107" s="13"/>
      <c r="GA107" s="22"/>
      <c r="GB107" s="22"/>
      <c r="GC107" s="22"/>
      <c r="GD107" s="22"/>
      <c r="GE107" s="22"/>
      <c r="GF107" s="22"/>
      <c r="GG107" s="22"/>
      <c r="GH107" s="22"/>
      <c r="GI107" s="22"/>
      <c r="GJ107" s="22"/>
      <c r="GK107" s="22"/>
      <c r="GL107" s="22"/>
      <c r="GM107" s="22"/>
      <c r="GO107" s="5"/>
      <c r="GP107" s="5"/>
      <c r="GQ107" s="5"/>
      <c r="GR107" s="5"/>
      <c r="GS107" s="5"/>
      <c r="GT107" s="5"/>
      <c r="GU107" s="5"/>
      <c r="GV107" s="5"/>
      <c r="GW107" s="5"/>
      <c r="GX107" s="5"/>
      <c r="GY107" s="5"/>
      <c r="GZ107" s="5"/>
      <c r="HB107" s="13"/>
      <c r="HC107" s="4"/>
      <c r="HD107" s="4"/>
      <c r="HE107" s="4"/>
      <c r="HF107" s="4"/>
      <c r="HG107" s="4"/>
      <c r="HH107" s="4"/>
      <c r="HI107" s="4"/>
      <c r="HJ107" s="4"/>
      <c r="HK107" s="4"/>
      <c r="HL107" s="4"/>
      <c r="HM107" s="4"/>
      <c r="HN107" s="4"/>
    </row>
    <row r="108" spans="158:222" x14ac:dyDescent="0.2">
      <c r="FB108" s="10"/>
      <c r="FC108" s="10"/>
      <c r="FD108" s="10"/>
      <c r="FE108" s="10"/>
      <c r="FF108" s="10"/>
      <c r="FG108" s="10"/>
      <c r="FH108" s="10"/>
      <c r="FI108" s="10"/>
      <c r="FJ108" s="10"/>
      <c r="FK108" s="10"/>
      <c r="FL108" s="10"/>
      <c r="FM108" s="10"/>
      <c r="FN108" s="10"/>
      <c r="FO108" s="10"/>
      <c r="FP108" s="10"/>
      <c r="FQ108" s="10"/>
      <c r="FW108" s="4"/>
      <c r="FX108" s="5"/>
      <c r="FZ108" s="13"/>
      <c r="GA108" s="22"/>
      <c r="GB108" s="22"/>
      <c r="GC108" s="22"/>
      <c r="GD108" s="22"/>
      <c r="GE108" s="22"/>
      <c r="GF108" s="22"/>
      <c r="GG108" s="22"/>
      <c r="GH108" s="22"/>
      <c r="GI108" s="22"/>
      <c r="GJ108" s="22"/>
      <c r="GK108" s="22"/>
      <c r="GL108" s="22"/>
      <c r="GM108" s="22"/>
      <c r="GO108" s="5"/>
      <c r="GP108" s="5"/>
      <c r="GQ108" s="5"/>
      <c r="GR108" s="5"/>
      <c r="GS108" s="5"/>
      <c r="GT108" s="5"/>
      <c r="GU108" s="5"/>
      <c r="GV108" s="5"/>
      <c r="GW108" s="5"/>
      <c r="GX108" s="5"/>
      <c r="GY108" s="5"/>
      <c r="GZ108" s="5"/>
      <c r="HB108" s="13"/>
      <c r="HC108" s="4"/>
      <c r="HD108" s="4"/>
      <c r="HE108" s="4"/>
      <c r="HF108" s="4"/>
      <c r="HG108" s="4"/>
      <c r="HH108" s="4"/>
      <c r="HI108" s="4"/>
      <c r="HJ108" s="4"/>
      <c r="HK108" s="4"/>
      <c r="HL108" s="4"/>
      <c r="HM108" s="4"/>
      <c r="HN108" s="4"/>
    </row>
    <row r="109" spans="158:222" x14ac:dyDescent="0.2">
      <c r="FB109" s="10"/>
      <c r="FC109" s="10"/>
      <c r="FD109" s="10"/>
      <c r="FE109" s="10"/>
      <c r="FF109" s="10"/>
      <c r="FG109" s="10"/>
      <c r="FH109" s="10"/>
      <c r="FI109" s="10"/>
      <c r="FJ109" s="10"/>
      <c r="FK109" s="10"/>
      <c r="FL109" s="10"/>
      <c r="FM109" s="10"/>
      <c r="FN109" s="10"/>
      <c r="FO109" s="10"/>
      <c r="FP109" s="10"/>
      <c r="FQ109" s="10"/>
      <c r="FW109" s="4"/>
      <c r="FX109" s="5"/>
      <c r="FZ109" s="13"/>
      <c r="GA109" s="22"/>
      <c r="GB109" s="22"/>
      <c r="GC109" s="22"/>
      <c r="GD109" s="22"/>
      <c r="GE109" s="22"/>
      <c r="GF109" s="22"/>
      <c r="GG109" s="22"/>
      <c r="GH109" s="22"/>
      <c r="GI109" s="22"/>
      <c r="GJ109" s="22"/>
      <c r="GK109" s="22"/>
      <c r="GL109" s="22"/>
      <c r="GM109" s="22"/>
      <c r="GO109" s="5"/>
      <c r="GP109" s="5"/>
      <c r="GQ109" s="5"/>
      <c r="GR109" s="5"/>
      <c r="GS109" s="5"/>
      <c r="GT109" s="5"/>
      <c r="GU109" s="5"/>
      <c r="GV109" s="5"/>
      <c r="GW109" s="5"/>
      <c r="GX109" s="5"/>
      <c r="GY109" s="5"/>
      <c r="GZ109" s="5"/>
      <c r="HB109" s="13"/>
      <c r="HC109" s="4"/>
      <c r="HD109" s="4"/>
      <c r="HE109" s="4"/>
      <c r="HF109" s="4"/>
      <c r="HG109" s="4"/>
      <c r="HH109" s="4"/>
      <c r="HI109" s="4"/>
      <c r="HJ109" s="4"/>
      <c r="HK109" s="4"/>
      <c r="HL109" s="4"/>
      <c r="HM109" s="4"/>
      <c r="HN109" s="4"/>
    </row>
    <row r="110" spans="158:222" x14ac:dyDescent="0.2">
      <c r="FB110" s="10"/>
      <c r="FC110" s="10"/>
      <c r="FD110" s="10"/>
      <c r="FE110" s="10"/>
      <c r="FF110" s="10"/>
      <c r="FG110" s="10"/>
      <c r="FH110" s="10"/>
      <c r="FI110" s="10"/>
      <c r="FJ110" s="10"/>
      <c r="FK110" s="10"/>
      <c r="FL110" s="10"/>
      <c r="FM110" s="10"/>
      <c r="FN110" s="10"/>
      <c r="FO110" s="10"/>
      <c r="FP110" s="10"/>
      <c r="FQ110" s="10"/>
      <c r="FW110" s="4"/>
      <c r="FX110" s="5"/>
      <c r="FZ110" s="13"/>
      <c r="GA110" s="22"/>
      <c r="GB110" s="22"/>
      <c r="GC110" s="22"/>
      <c r="GD110" s="22"/>
      <c r="GE110" s="22"/>
      <c r="GF110" s="22"/>
      <c r="GG110" s="22"/>
      <c r="GH110" s="22"/>
      <c r="GI110" s="22"/>
      <c r="GJ110" s="22"/>
      <c r="GK110" s="22"/>
      <c r="GL110" s="22"/>
      <c r="GM110" s="22"/>
      <c r="GO110" s="5"/>
      <c r="GP110" s="5"/>
      <c r="GQ110" s="5"/>
      <c r="GR110" s="5"/>
      <c r="GS110" s="5"/>
      <c r="GT110" s="5"/>
      <c r="GU110" s="5"/>
      <c r="GV110" s="5"/>
      <c r="GW110" s="5"/>
      <c r="GX110" s="5"/>
      <c r="GY110" s="5"/>
      <c r="GZ110" s="5"/>
      <c r="HB110" s="13"/>
      <c r="HC110" s="4"/>
      <c r="HD110" s="4"/>
      <c r="HE110" s="4"/>
      <c r="HF110" s="4"/>
      <c r="HG110" s="4"/>
      <c r="HH110" s="4"/>
      <c r="HI110" s="4"/>
      <c r="HJ110" s="4"/>
      <c r="HK110" s="4"/>
      <c r="HL110" s="4"/>
      <c r="HM110" s="4"/>
      <c r="HN110" s="4"/>
    </row>
    <row r="111" spans="158:222" x14ac:dyDescent="0.2">
      <c r="FB111" s="10"/>
      <c r="FC111" s="10"/>
      <c r="FD111" s="10"/>
      <c r="FE111" s="10"/>
      <c r="FF111" s="10"/>
      <c r="FG111" s="10"/>
      <c r="FH111" s="10"/>
      <c r="FI111" s="10"/>
      <c r="FJ111" s="10"/>
      <c r="FK111" s="10"/>
      <c r="FL111" s="10"/>
      <c r="FM111" s="10"/>
      <c r="FN111" s="10"/>
      <c r="FO111" s="10"/>
      <c r="FP111" s="10"/>
      <c r="FQ111" s="10"/>
      <c r="FW111" s="4"/>
      <c r="FX111" s="5"/>
      <c r="FZ111" s="13"/>
      <c r="GA111" s="22"/>
      <c r="GB111" s="22"/>
      <c r="GC111" s="22"/>
      <c r="GD111" s="22"/>
      <c r="GE111" s="22"/>
      <c r="GF111" s="22"/>
      <c r="GG111" s="22"/>
      <c r="GH111" s="22"/>
      <c r="GI111" s="22"/>
      <c r="GJ111" s="22"/>
      <c r="GK111" s="22"/>
      <c r="GL111" s="22"/>
      <c r="GM111" s="22"/>
      <c r="GO111" s="5"/>
      <c r="GP111" s="5"/>
      <c r="GQ111" s="5"/>
      <c r="GR111" s="5"/>
      <c r="GS111" s="5"/>
      <c r="GT111" s="5"/>
      <c r="GU111" s="5"/>
      <c r="GV111" s="5"/>
      <c r="GW111" s="5"/>
      <c r="GX111" s="5"/>
      <c r="GY111" s="5"/>
      <c r="GZ111" s="5"/>
      <c r="HB111" s="13"/>
      <c r="HC111" s="4"/>
      <c r="HD111" s="4"/>
      <c r="HE111" s="4"/>
      <c r="HF111" s="4"/>
      <c r="HG111" s="4"/>
      <c r="HH111" s="4"/>
      <c r="HI111" s="4"/>
      <c r="HJ111" s="4"/>
      <c r="HK111" s="4"/>
      <c r="HL111" s="4"/>
      <c r="HM111" s="4"/>
      <c r="HN111" s="4"/>
    </row>
    <row r="112" spans="158:222" x14ac:dyDescent="0.2">
      <c r="FB112" s="10"/>
      <c r="FC112" s="10"/>
      <c r="FD112" s="10"/>
      <c r="FE112" s="10"/>
      <c r="FF112" s="10"/>
      <c r="FG112" s="10"/>
      <c r="FH112" s="10"/>
      <c r="FI112" s="10"/>
      <c r="FJ112" s="10"/>
      <c r="FK112" s="10"/>
      <c r="FL112" s="10"/>
      <c r="FM112" s="10"/>
      <c r="FN112" s="10"/>
      <c r="FO112" s="10"/>
      <c r="FP112" s="10"/>
      <c r="FQ112" s="10"/>
      <c r="FW112" s="4"/>
      <c r="FX112" s="5"/>
      <c r="FZ112" s="13"/>
      <c r="GA112" s="22"/>
      <c r="GB112" s="22"/>
      <c r="GC112" s="22"/>
      <c r="GD112" s="22"/>
      <c r="GE112" s="22"/>
      <c r="GF112" s="22"/>
      <c r="GG112" s="22"/>
      <c r="GH112" s="22"/>
      <c r="GI112" s="22"/>
      <c r="GJ112" s="22"/>
      <c r="GK112" s="22"/>
      <c r="GL112" s="22"/>
      <c r="GM112" s="22"/>
      <c r="GO112" s="5"/>
      <c r="GP112" s="5"/>
      <c r="GQ112" s="5"/>
      <c r="GR112" s="5"/>
      <c r="GS112" s="5"/>
      <c r="GT112" s="5"/>
      <c r="GU112" s="5"/>
      <c r="GV112" s="5"/>
      <c r="GW112" s="5"/>
      <c r="GX112" s="5"/>
      <c r="GY112" s="5"/>
      <c r="GZ112" s="5"/>
      <c r="HB112" s="13"/>
      <c r="HC112" s="4"/>
      <c r="HD112" s="4"/>
      <c r="HE112" s="4"/>
      <c r="HF112" s="4"/>
      <c r="HG112" s="4"/>
      <c r="HH112" s="4"/>
      <c r="HI112" s="4"/>
      <c r="HJ112" s="4"/>
      <c r="HK112" s="4"/>
      <c r="HL112" s="4"/>
      <c r="HM112" s="4"/>
      <c r="HN112" s="4"/>
    </row>
    <row r="113" spans="158:222" x14ac:dyDescent="0.2">
      <c r="FB113" s="10"/>
      <c r="FC113" s="10"/>
      <c r="FD113" s="10"/>
      <c r="FE113" s="10"/>
      <c r="FF113" s="10"/>
      <c r="FG113" s="10"/>
      <c r="FH113" s="10"/>
      <c r="FI113" s="10"/>
      <c r="FJ113" s="10"/>
      <c r="FK113" s="10"/>
      <c r="FL113" s="10"/>
      <c r="FM113" s="10"/>
      <c r="FN113" s="10"/>
      <c r="FO113" s="10"/>
      <c r="FP113" s="10"/>
      <c r="FQ113" s="10"/>
      <c r="FW113" s="4"/>
      <c r="FX113" s="5"/>
      <c r="FZ113" s="13"/>
      <c r="GA113" s="22"/>
      <c r="GB113" s="22"/>
      <c r="GC113" s="22"/>
      <c r="GD113" s="22"/>
      <c r="GE113" s="22"/>
      <c r="GF113" s="22"/>
      <c r="GG113" s="22"/>
      <c r="GH113" s="22"/>
      <c r="GI113" s="22"/>
      <c r="GJ113" s="22"/>
      <c r="GK113" s="22"/>
      <c r="GL113" s="22"/>
      <c r="GM113" s="22"/>
      <c r="GO113" s="5"/>
      <c r="GP113" s="5"/>
      <c r="GQ113" s="5"/>
      <c r="GR113" s="5"/>
      <c r="GS113" s="5"/>
      <c r="GT113" s="5"/>
      <c r="GU113" s="5"/>
      <c r="GV113" s="5"/>
      <c r="GW113" s="5"/>
      <c r="GX113" s="5"/>
      <c r="GY113" s="5"/>
      <c r="GZ113" s="5"/>
      <c r="HB113" s="13"/>
      <c r="HC113" s="4"/>
      <c r="HD113" s="4"/>
      <c r="HE113" s="4"/>
      <c r="HF113" s="4"/>
      <c r="HG113" s="4"/>
      <c r="HH113" s="4"/>
      <c r="HI113" s="4"/>
      <c r="HJ113" s="4"/>
      <c r="HK113" s="4"/>
      <c r="HL113" s="4"/>
      <c r="HM113" s="4"/>
      <c r="HN113" s="4"/>
    </row>
    <row r="114" spans="158:222" x14ac:dyDescent="0.2">
      <c r="FB114" s="10"/>
      <c r="FC114" s="10"/>
      <c r="FD114" s="10"/>
      <c r="FE114" s="10"/>
      <c r="FF114" s="10"/>
      <c r="FG114" s="10"/>
      <c r="FH114" s="10"/>
      <c r="FI114" s="10"/>
      <c r="FJ114" s="10"/>
      <c r="FK114" s="10"/>
      <c r="FL114" s="10"/>
      <c r="FM114" s="10"/>
      <c r="FN114" s="10"/>
      <c r="FO114" s="10"/>
      <c r="FP114" s="10"/>
      <c r="FQ114" s="10"/>
      <c r="FW114" s="4"/>
      <c r="FX114" s="5"/>
      <c r="FZ114" s="13"/>
      <c r="GA114" s="22"/>
      <c r="GB114" s="22"/>
      <c r="GC114" s="22"/>
      <c r="GD114" s="22"/>
      <c r="GE114" s="22"/>
      <c r="GF114" s="22"/>
      <c r="GG114" s="22"/>
      <c r="GH114" s="22"/>
      <c r="GI114" s="22"/>
      <c r="GJ114" s="22"/>
      <c r="GK114" s="22"/>
      <c r="GL114" s="22"/>
      <c r="GM114" s="22"/>
      <c r="GO114" s="5"/>
      <c r="GP114" s="5"/>
      <c r="GQ114" s="5"/>
      <c r="GR114" s="5"/>
      <c r="GS114" s="5"/>
      <c r="GT114" s="5"/>
      <c r="GU114" s="5"/>
      <c r="GV114" s="5"/>
      <c r="GW114" s="5"/>
      <c r="GX114" s="5"/>
      <c r="GY114" s="5"/>
      <c r="GZ114" s="5"/>
      <c r="HB114" s="13"/>
      <c r="HC114" s="4"/>
      <c r="HD114" s="4"/>
      <c r="HE114" s="4"/>
      <c r="HF114" s="4"/>
      <c r="HG114" s="4"/>
      <c r="HH114" s="4"/>
      <c r="HI114" s="4"/>
      <c r="HJ114" s="4"/>
      <c r="HK114" s="4"/>
      <c r="HL114" s="4"/>
      <c r="HM114" s="4"/>
      <c r="HN114" s="4"/>
    </row>
    <row r="115" spans="158:222" x14ac:dyDescent="0.2">
      <c r="FB115" s="10"/>
      <c r="FC115" s="10"/>
      <c r="FD115" s="10"/>
      <c r="FE115" s="10"/>
      <c r="FF115" s="10"/>
      <c r="FG115" s="10"/>
      <c r="FH115" s="10"/>
      <c r="FI115" s="10"/>
      <c r="FJ115" s="10"/>
      <c r="FK115" s="10"/>
      <c r="FL115" s="10"/>
      <c r="FM115" s="10"/>
      <c r="FN115" s="10"/>
      <c r="FO115" s="10"/>
      <c r="FP115" s="10"/>
      <c r="FQ115" s="10"/>
      <c r="FW115" s="4"/>
      <c r="FX115" s="5"/>
      <c r="FZ115" s="13"/>
      <c r="GA115" s="22"/>
      <c r="GB115" s="22"/>
      <c r="GC115" s="22"/>
      <c r="GD115" s="22"/>
      <c r="GE115" s="22"/>
      <c r="GF115" s="22"/>
      <c r="GG115" s="22"/>
      <c r="GH115" s="22"/>
      <c r="GI115" s="22"/>
      <c r="GJ115" s="22"/>
      <c r="GK115" s="22"/>
      <c r="GL115" s="22"/>
      <c r="GM115" s="22"/>
      <c r="GO115" s="5"/>
      <c r="GP115" s="5"/>
      <c r="GQ115" s="5"/>
      <c r="GR115" s="5"/>
      <c r="GS115" s="5"/>
      <c r="GT115" s="5"/>
      <c r="GU115" s="5"/>
      <c r="GV115" s="5"/>
      <c r="GW115" s="5"/>
      <c r="GX115" s="5"/>
      <c r="GY115" s="5"/>
      <c r="GZ115" s="5"/>
      <c r="HB115" s="13"/>
      <c r="HC115" s="4"/>
      <c r="HD115" s="4"/>
      <c r="HE115" s="4"/>
      <c r="HF115" s="4"/>
      <c r="HG115" s="4"/>
      <c r="HH115" s="4"/>
      <c r="HI115" s="4"/>
      <c r="HJ115" s="4"/>
      <c r="HK115" s="4"/>
      <c r="HL115" s="4"/>
      <c r="HM115" s="4"/>
      <c r="HN115" s="4"/>
    </row>
    <row r="116" spans="158:222" x14ac:dyDescent="0.2">
      <c r="FB116" s="10"/>
      <c r="FC116" s="10"/>
      <c r="FD116" s="10"/>
      <c r="FE116" s="10"/>
      <c r="FF116" s="10"/>
      <c r="FG116" s="10"/>
      <c r="FH116" s="10"/>
      <c r="FI116" s="10"/>
      <c r="FJ116" s="10"/>
      <c r="FK116" s="10"/>
      <c r="FL116" s="10"/>
      <c r="FM116" s="10"/>
      <c r="FN116" s="10"/>
      <c r="FO116" s="10"/>
      <c r="FP116" s="10"/>
      <c r="FQ116" s="10"/>
      <c r="FW116" s="4"/>
      <c r="FX116" s="5"/>
      <c r="FZ116" s="13"/>
      <c r="GA116" s="22"/>
      <c r="GB116" s="22"/>
      <c r="GC116" s="22"/>
      <c r="GD116" s="22"/>
      <c r="GE116" s="22"/>
      <c r="GF116" s="22"/>
      <c r="GG116" s="22"/>
      <c r="GH116" s="22"/>
      <c r="GI116" s="22"/>
      <c r="GJ116" s="22"/>
      <c r="GK116" s="22"/>
      <c r="GL116" s="22"/>
      <c r="GM116" s="22"/>
      <c r="GO116" s="5"/>
      <c r="GP116" s="5"/>
      <c r="GQ116" s="5"/>
      <c r="GR116" s="5"/>
      <c r="GS116" s="5"/>
      <c r="GT116" s="5"/>
      <c r="GU116" s="5"/>
      <c r="GV116" s="5"/>
      <c r="GW116" s="5"/>
      <c r="GX116" s="5"/>
      <c r="GY116" s="5"/>
      <c r="GZ116" s="5"/>
      <c r="HB116" s="13"/>
      <c r="HC116" s="4"/>
      <c r="HD116" s="4"/>
      <c r="HE116" s="4"/>
      <c r="HF116" s="4"/>
      <c r="HG116" s="4"/>
      <c r="HH116" s="4"/>
      <c r="HI116" s="4"/>
      <c r="HJ116" s="4"/>
      <c r="HK116" s="4"/>
      <c r="HL116" s="4"/>
      <c r="HM116" s="4"/>
      <c r="HN116" s="4"/>
    </row>
    <row r="117" spans="158:222" x14ac:dyDescent="0.2">
      <c r="FB117" s="10"/>
      <c r="FC117" s="10"/>
      <c r="FD117" s="10"/>
      <c r="FE117" s="10"/>
      <c r="FF117" s="10"/>
      <c r="FG117" s="10"/>
      <c r="FH117" s="10"/>
      <c r="FI117" s="10"/>
      <c r="FJ117" s="10"/>
      <c r="FK117" s="10"/>
      <c r="FL117" s="10"/>
      <c r="FM117" s="10"/>
      <c r="FN117" s="10"/>
      <c r="FO117" s="10"/>
      <c r="FP117" s="10"/>
      <c r="FQ117" s="10"/>
      <c r="FW117" s="4"/>
      <c r="FX117" s="5"/>
      <c r="FZ117" s="13"/>
      <c r="GA117" s="22"/>
      <c r="GB117" s="22"/>
      <c r="GC117" s="22"/>
      <c r="GD117" s="22"/>
      <c r="GE117" s="22"/>
      <c r="GF117" s="22"/>
      <c r="GG117" s="22"/>
      <c r="GH117" s="22"/>
      <c r="GI117" s="22"/>
      <c r="GJ117" s="22"/>
      <c r="GK117" s="22"/>
      <c r="GL117" s="22"/>
      <c r="GM117" s="22"/>
      <c r="GO117" s="5"/>
      <c r="GP117" s="5"/>
      <c r="GQ117" s="5"/>
      <c r="GR117" s="5"/>
      <c r="GS117" s="5"/>
      <c r="GT117" s="5"/>
      <c r="GU117" s="5"/>
      <c r="GV117" s="5"/>
      <c r="GW117" s="5"/>
      <c r="GX117" s="5"/>
      <c r="GY117" s="5"/>
      <c r="GZ117" s="5"/>
      <c r="HB117" s="13"/>
      <c r="HC117" s="4"/>
      <c r="HD117" s="4"/>
      <c r="HE117" s="4"/>
      <c r="HF117" s="4"/>
      <c r="HG117" s="4"/>
      <c r="HH117" s="4"/>
      <c r="HI117" s="4"/>
      <c r="HJ117" s="4"/>
      <c r="HK117" s="4"/>
      <c r="HL117" s="4"/>
      <c r="HM117" s="4"/>
      <c r="HN117" s="4"/>
    </row>
    <row r="118" spans="158:222" x14ac:dyDescent="0.2">
      <c r="FB118" s="10"/>
      <c r="FC118" s="10"/>
      <c r="FD118" s="10"/>
      <c r="FE118" s="10"/>
      <c r="FF118" s="10"/>
      <c r="FG118" s="10"/>
      <c r="FH118" s="10"/>
      <c r="FI118" s="10"/>
      <c r="FJ118" s="10"/>
      <c r="FK118" s="10"/>
      <c r="FL118" s="10"/>
      <c r="FM118" s="10"/>
      <c r="FN118" s="10"/>
      <c r="FO118" s="10"/>
      <c r="FP118" s="10"/>
      <c r="FQ118" s="10"/>
      <c r="FW118" s="4"/>
      <c r="FX118" s="5"/>
      <c r="FZ118" s="13"/>
      <c r="GA118" s="22"/>
      <c r="GB118" s="22"/>
      <c r="GC118" s="22"/>
      <c r="GD118" s="22"/>
      <c r="GE118" s="22"/>
      <c r="GF118" s="22"/>
      <c r="GG118" s="22"/>
      <c r="GH118" s="22"/>
      <c r="GI118" s="22"/>
      <c r="GJ118" s="22"/>
      <c r="GK118" s="22"/>
      <c r="GL118" s="22"/>
      <c r="GM118" s="22"/>
      <c r="GO118" s="5"/>
      <c r="GP118" s="5"/>
      <c r="GQ118" s="5"/>
      <c r="GR118" s="5"/>
      <c r="GS118" s="5"/>
      <c r="GT118" s="5"/>
      <c r="GU118" s="5"/>
      <c r="GV118" s="5"/>
      <c r="GW118" s="5"/>
      <c r="GX118" s="5"/>
      <c r="GY118" s="5"/>
      <c r="GZ118" s="5"/>
      <c r="HB118" s="13"/>
      <c r="HC118" s="4"/>
      <c r="HD118" s="4"/>
      <c r="HE118" s="4"/>
      <c r="HF118" s="4"/>
      <c r="HG118" s="4"/>
      <c r="HH118" s="4"/>
      <c r="HI118" s="4"/>
      <c r="HJ118" s="4"/>
      <c r="HK118" s="4"/>
      <c r="HL118" s="4"/>
      <c r="HM118" s="4"/>
      <c r="HN118" s="4"/>
    </row>
    <row r="119" spans="158:222" x14ac:dyDescent="0.2">
      <c r="FB119" s="10"/>
      <c r="FC119" s="10"/>
      <c r="FD119" s="10"/>
      <c r="FE119" s="10"/>
      <c r="FF119" s="10"/>
      <c r="FG119" s="10"/>
      <c r="FH119" s="10"/>
      <c r="FI119" s="10"/>
      <c r="FJ119" s="10"/>
      <c r="FK119" s="10"/>
      <c r="FL119" s="10"/>
      <c r="FM119" s="10"/>
      <c r="FN119" s="10"/>
      <c r="FO119" s="10"/>
      <c r="FP119" s="10"/>
      <c r="FQ119" s="10"/>
      <c r="FW119" s="4"/>
      <c r="FX119" s="5"/>
      <c r="FZ119" s="13"/>
      <c r="GA119" s="22"/>
      <c r="GB119" s="22"/>
      <c r="GC119" s="22"/>
      <c r="GD119" s="22"/>
      <c r="GE119" s="22"/>
      <c r="GF119" s="22"/>
      <c r="GG119" s="22"/>
      <c r="GH119" s="22"/>
      <c r="GI119" s="22"/>
      <c r="GJ119" s="22"/>
      <c r="GK119" s="22"/>
      <c r="GL119" s="22"/>
      <c r="GM119" s="22"/>
      <c r="GO119" s="5"/>
      <c r="GP119" s="5"/>
      <c r="GQ119" s="5"/>
      <c r="GR119" s="5"/>
      <c r="GS119" s="5"/>
      <c r="GT119" s="5"/>
      <c r="GU119" s="5"/>
      <c r="GV119" s="5"/>
      <c r="GW119" s="5"/>
      <c r="GX119" s="5"/>
      <c r="GY119" s="5"/>
      <c r="GZ119" s="5"/>
      <c r="HB119" s="13"/>
      <c r="HC119" s="4"/>
      <c r="HD119" s="4"/>
      <c r="HE119" s="4"/>
      <c r="HF119" s="4"/>
      <c r="HG119" s="4"/>
      <c r="HH119" s="4"/>
      <c r="HI119" s="4"/>
      <c r="HJ119" s="4"/>
      <c r="HK119" s="4"/>
      <c r="HL119" s="4"/>
      <c r="HM119" s="4"/>
      <c r="HN119" s="4"/>
    </row>
    <row r="120" spans="158:222" x14ac:dyDescent="0.2">
      <c r="FB120" s="10"/>
      <c r="FC120" s="10"/>
      <c r="FD120" s="10"/>
      <c r="FE120" s="10"/>
      <c r="FF120" s="10"/>
      <c r="FG120" s="10"/>
      <c r="FH120" s="10"/>
      <c r="FI120" s="10"/>
      <c r="FJ120" s="10"/>
      <c r="FK120" s="10"/>
      <c r="FL120" s="10"/>
      <c r="FM120" s="10"/>
      <c r="FN120" s="10"/>
      <c r="FO120" s="10"/>
      <c r="FP120" s="10"/>
      <c r="FQ120" s="10"/>
      <c r="FW120" s="4"/>
      <c r="FX120" s="5"/>
      <c r="FZ120" s="13"/>
      <c r="GA120" s="22"/>
      <c r="GB120" s="22"/>
      <c r="GC120" s="22"/>
      <c r="GD120" s="22"/>
      <c r="GE120" s="22"/>
      <c r="GF120" s="22"/>
      <c r="GG120" s="22"/>
      <c r="GH120" s="22"/>
      <c r="GI120" s="22"/>
      <c r="GJ120" s="22"/>
      <c r="GK120" s="22"/>
      <c r="GL120" s="22"/>
      <c r="GM120" s="22"/>
      <c r="GO120" s="5"/>
      <c r="GP120" s="5"/>
      <c r="GQ120" s="5"/>
      <c r="GR120" s="5"/>
      <c r="GS120" s="5"/>
      <c r="GT120" s="5"/>
      <c r="GU120" s="5"/>
      <c r="GV120" s="5"/>
      <c r="GW120" s="5"/>
      <c r="GX120" s="5"/>
      <c r="GY120" s="5"/>
      <c r="GZ120" s="5"/>
      <c r="HB120" s="13"/>
      <c r="HC120" s="4"/>
      <c r="HD120" s="4"/>
      <c r="HE120" s="4"/>
      <c r="HF120" s="4"/>
      <c r="HG120" s="4"/>
      <c r="HH120" s="4"/>
      <c r="HI120" s="4"/>
      <c r="HJ120" s="4"/>
      <c r="HK120" s="4"/>
      <c r="HL120" s="4"/>
      <c r="HM120" s="4"/>
      <c r="HN120" s="4"/>
    </row>
    <row r="121" spans="158:222" x14ac:dyDescent="0.2">
      <c r="FB121" s="10"/>
      <c r="FC121" s="10"/>
      <c r="FD121" s="10"/>
      <c r="FE121" s="10"/>
      <c r="FF121" s="10"/>
      <c r="FG121" s="10"/>
      <c r="FH121" s="10"/>
      <c r="FI121" s="10"/>
      <c r="FJ121" s="10"/>
      <c r="FK121" s="10"/>
      <c r="FL121" s="10"/>
      <c r="FM121" s="10"/>
      <c r="FN121" s="10"/>
      <c r="FO121" s="10"/>
      <c r="FP121" s="10"/>
      <c r="FQ121" s="10"/>
      <c r="FW121" s="4"/>
      <c r="FX121" s="5"/>
      <c r="FZ121" s="13"/>
      <c r="GA121" s="22"/>
      <c r="GB121" s="22"/>
      <c r="GC121" s="22"/>
      <c r="GD121" s="22"/>
      <c r="GE121" s="22"/>
      <c r="GF121" s="22"/>
      <c r="GG121" s="22"/>
      <c r="GH121" s="22"/>
      <c r="GI121" s="22"/>
      <c r="GJ121" s="22"/>
      <c r="GK121" s="22"/>
      <c r="GL121" s="22"/>
      <c r="GM121" s="22"/>
      <c r="GO121" s="5"/>
      <c r="GP121" s="5"/>
      <c r="GQ121" s="5"/>
      <c r="GR121" s="5"/>
      <c r="GS121" s="5"/>
      <c r="GT121" s="5"/>
      <c r="GU121" s="5"/>
      <c r="GV121" s="5"/>
      <c r="GW121" s="5"/>
      <c r="GX121" s="5"/>
      <c r="GY121" s="5"/>
      <c r="GZ121" s="5"/>
      <c r="HB121" s="13"/>
      <c r="HC121" s="4"/>
      <c r="HD121" s="4"/>
      <c r="HE121" s="4"/>
      <c r="HF121" s="4"/>
      <c r="HG121" s="4"/>
      <c r="HH121" s="4"/>
      <c r="HI121" s="4"/>
      <c r="HJ121" s="4"/>
      <c r="HK121" s="4"/>
      <c r="HL121" s="4"/>
      <c r="HM121" s="4"/>
      <c r="HN121" s="4"/>
    </row>
    <row r="122" spans="158:222" x14ac:dyDescent="0.2">
      <c r="FB122" s="10"/>
      <c r="FC122" s="10"/>
      <c r="FD122" s="10"/>
      <c r="FE122" s="10"/>
      <c r="FF122" s="10"/>
      <c r="FG122" s="10"/>
      <c r="FH122" s="10"/>
      <c r="FI122" s="10"/>
      <c r="FJ122" s="10"/>
      <c r="FK122" s="10"/>
      <c r="FL122" s="10"/>
      <c r="FM122" s="10"/>
      <c r="FN122" s="10"/>
      <c r="FO122" s="10"/>
      <c r="FP122" s="10"/>
      <c r="FQ122" s="10"/>
      <c r="FW122" s="4"/>
      <c r="FX122" s="5"/>
      <c r="FZ122" s="13"/>
      <c r="GA122" s="22"/>
      <c r="GB122" s="22"/>
      <c r="GC122" s="22"/>
      <c r="GD122" s="22"/>
      <c r="GE122" s="22"/>
      <c r="GF122" s="22"/>
      <c r="GG122" s="22"/>
      <c r="GH122" s="22"/>
      <c r="GI122" s="22"/>
      <c r="GJ122" s="22"/>
      <c r="GK122" s="22"/>
      <c r="GL122" s="22"/>
      <c r="GM122" s="22"/>
      <c r="GO122" s="5"/>
      <c r="GP122" s="5"/>
      <c r="GQ122" s="5"/>
      <c r="GR122" s="5"/>
      <c r="GS122" s="5"/>
      <c r="GT122" s="5"/>
      <c r="GU122" s="5"/>
      <c r="GV122" s="5"/>
      <c r="GW122" s="5"/>
      <c r="GX122" s="5"/>
      <c r="GY122" s="5"/>
      <c r="GZ122" s="5"/>
      <c r="HB122" s="13"/>
      <c r="HC122" s="4"/>
      <c r="HD122" s="4"/>
      <c r="HE122" s="4"/>
      <c r="HF122" s="4"/>
      <c r="HG122" s="4"/>
      <c r="HH122" s="4"/>
      <c r="HI122" s="4"/>
      <c r="HJ122" s="4"/>
      <c r="HK122" s="4"/>
      <c r="HL122" s="4"/>
      <c r="HM122" s="4"/>
      <c r="HN122" s="4"/>
    </row>
    <row r="123" spans="158:222" x14ac:dyDescent="0.2">
      <c r="FB123" s="10"/>
      <c r="FC123" s="10"/>
      <c r="FD123" s="10"/>
      <c r="FE123" s="10"/>
      <c r="FF123" s="10"/>
      <c r="FG123" s="10"/>
      <c r="FH123" s="10"/>
      <c r="FI123" s="10"/>
      <c r="FJ123" s="10"/>
      <c r="FK123" s="10"/>
      <c r="FL123" s="10"/>
      <c r="FM123" s="10"/>
      <c r="FN123" s="10"/>
      <c r="FO123" s="10"/>
      <c r="FP123" s="10"/>
      <c r="FQ123" s="10"/>
      <c r="FW123" s="4"/>
      <c r="FX123" s="5"/>
      <c r="FZ123" s="13"/>
      <c r="GA123" s="22"/>
      <c r="GB123" s="22"/>
      <c r="GC123" s="22"/>
      <c r="GD123" s="22"/>
      <c r="GE123" s="22"/>
      <c r="GF123" s="22"/>
      <c r="GG123" s="22"/>
      <c r="GH123" s="22"/>
      <c r="GI123" s="22"/>
      <c r="GJ123" s="22"/>
      <c r="GK123" s="22"/>
      <c r="GL123" s="22"/>
      <c r="GM123" s="22"/>
      <c r="GO123" s="5"/>
      <c r="GP123" s="5"/>
      <c r="GQ123" s="5"/>
      <c r="GR123" s="5"/>
      <c r="GS123" s="5"/>
      <c r="GT123" s="5"/>
      <c r="GU123" s="5"/>
      <c r="GV123" s="5"/>
      <c r="GW123" s="5"/>
      <c r="GX123" s="5"/>
      <c r="GY123" s="5"/>
      <c r="GZ123" s="5"/>
      <c r="HB123" s="13"/>
      <c r="HC123" s="4"/>
      <c r="HD123" s="4"/>
      <c r="HE123" s="4"/>
      <c r="HF123" s="4"/>
      <c r="HG123" s="4"/>
      <c r="HH123" s="4"/>
      <c r="HI123" s="4"/>
      <c r="HJ123" s="4"/>
      <c r="HK123" s="4"/>
      <c r="HL123" s="4"/>
      <c r="HM123" s="4"/>
      <c r="HN123" s="4"/>
    </row>
    <row r="124" spans="158:222" x14ac:dyDescent="0.2">
      <c r="FB124" s="10"/>
      <c r="FC124" s="10"/>
      <c r="FD124" s="10"/>
      <c r="FE124" s="10"/>
      <c r="FF124" s="10"/>
      <c r="FG124" s="10"/>
      <c r="FH124" s="10"/>
      <c r="FI124" s="10"/>
      <c r="FJ124" s="10"/>
      <c r="FK124" s="10"/>
      <c r="FL124" s="10"/>
      <c r="FM124" s="10"/>
      <c r="FN124" s="10"/>
      <c r="FO124" s="10"/>
      <c r="FP124" s="10"/>
      <c r="FQ124" s="10"/>
      <c r="FW124" s="4"/>
      <c r="FX124" s="5"/>
      <c r="FZ124" s="13"/>
      <c r="GA124" s="22"/>
      <c r="GB124" s="22"/>
      <c r="GC124" s="22"/>
      <c r="GD124" s="22"/>
      <c r="GE124" s="22"/>
      <c r="GF124" s="22"/>
      <c r="GG124" s="22"/>
      <c r="GH124" s="22"/>
      <c r="GI124" s="22"/>
      <c r="GJ124" s="22"/>
      <c r="GK124" s="22"/>
      <c r="GL124" s="22"/>
      <c r="GM124" s="22"/>
      <c r="GO124" s="5"/>
      <c r="GP124" s="5"/>
      <c r="GQ124" s="5"/>
      <c r="GR124" s="5"/>
      <c r="GS124" s="5"/>
      <c r="GT124" s="5"/>
      <c r="GU124" s="5"/>
      <c r="GV124" s="5"/>
      <c r="GW124" s="5"/>
      <c r="GX124" s="5"/>
      <c r="GY124" s="5"/>
      <c r="GZ124" s="5"/>
      <c r="HB124" s="13"/>
      <c r="HC124" s="4"/>
      <c r="HD124" s="4"/>
      <c r="HE124" s="4"/>
      <c r="HF124" s="4"/>
      <c r="HG124" s="4"/>
      <c r="HH124" s="4"/>
      <c r="HI124" s="4"/>
      <c r="HJ124" s="4"/>
      <c r="HK124" s="4"/>
      <c r="HL124" s="4"/>
      <c r="HM124" s="4"/>
      <c r="HN124" s="4"/>
    </row>
    <row r="125" spans="158:222" x14ac:dyDescent="0.2">
      <c r="FB125" s="10"/>
      <c r="FC125" s="10"/>
      <c r="FD125" s="10"/>
      <c r="FE125" s="10"/>
      <c r="FF125" s="10"/>
      <c r="FG125" s="10"/>
      <c r="FH125" s="10"/>
      <c r="FI125" s="10"/>
      <c r="FJ125" s="10"/>
      <c r="FK125" s="10"/>
      <c r="FL125" s="10"/>
      <c r="FM125" s="10"/>
      <c r="FN125" s="10"/>
      <c r="FO125" s="10"/>
      <c r="FP125" s="10"/>
      <c r="FQ125" s="10"/>
      <c r="FW125" s="4"/>
      <c r="FX125" s="5"/>
      <c r="FZ125" s="13"/>
      <c r="GA125" s="22"/>
      <c r="GB125" s="22"/>
      <c r="GC125" s="22"/>
      <c r="GD125" s="22"/>
      <c r="GE125" s="22"/>
      <c r="GF125" s="22"/>
      <c r="GG125" s="22"/>
      <c r="GH125" s="22"/>
      <c r="GI125" s="22"/>
      <c r="GJ125" s="22"/>
      <c r="GK125" s="22"/>
      <c r="GL125" s="22"/>
      <c r="GM125" s="22"/>
      <c r="GO125" s="5"/>
      <c r="GP125" s="5"/>
      <c r="GQ125" s="5"/>
      <c r="GR125" s="5"/>
      <c r="GS125" s="5"/>
      <c r="GT125" s="5"/>
      <c r="GU125" s="5"/>
      <c r="GV125" s="5"/>
      <c r="GW125" s="5"/>
      <c r="GX125" s="5"/>
      <c r="GY125" s="5"/>
      <c r="GZ125" s="5"/>
      <c r="HB125" s="13"/>
      <c r="HC125" s="4"/>
      <c r="HD125" s="4"/>
      <c r="HE125" s="4"/>
      <c r="HF125" s="4"/>
      <c r="HG125" s="4"/>
      <c r="HH125" s="4"/>
      <c r="HI125" s="4"/>
      <c r="HJ125" s="4"/>
      <c r="HK125" s="4"/>
      <c r="HL125" s="4"/>
      <c r="HM125" s="4"/>
      <c r="HN125" s="4"/>
    </row>
    <row r="126" spans="158:222" x14ac:dyDescent="0.2">
      <c r="FB126" s="10"/>
      <c r="FC126" s="10"/>
      <c r="FD126" s="10"/>
      <c r="FE126" s="10"/>
      <c r="FF126" s="10"/>
      <c r="FG126" s="10"/>
      <c r="FH126" s="10"/>
      <c r="FI126" s="10"/>
      <c r="FJ126" s="10"/>
      <c r="FK126" s="10"/>
      <c r="FL126" s="10"/>
      <c r="FM126" s="10"/>
      <c r="FN126" s="10"/>
      <c r="FO126" s="10"/>
      <c r="FP126" s="10"/>
      <c r="FQ126" s="10"/>
      <c r="FW126" s="4"/>
      <c r="FX126" s="5"/>
      <c r="FZ126" s="13"/>
      <c r="GA126" s="22"/>
      <c r="GB126" s="22"/>
      <c r="GC126" s="22"/>
      <c r="GD126" s="22"/>
      <c r="GE126" s="22"/>
      <c r="GF126" s="22"/>
      <c r="GG126" s="22"/>
      <c r="GH126" s="22"/>
      <c r="GI126" s="22"/>
      <c r="GJ126" s="22"/>
      <c r="GK126" s="22"/>
      <c r="GL126" s="22"/>
      <c r="GM126" s="22"/>
      <c r="GO126" s="5"/>
      <c r="GP126" s="5"/>
      <c r="GQ126" s="5"/>
      <c r="GR126" s="5"/>
      <c r="GS126" s="5"/>
      <c r="GT126" s="5"/>
      <c r="GU126" s="5"/>
      <c r="GV126" s="5"/>
      <c r="GW126" s="5"/>
      <c r="GX126" s="5"/>
      <c r="GY126" s="5"/>
      <c r="GZ126" s="5"/>
      <c r="HB126" s="13"/>
      <c r="HC126" s="4"/>
      <c r="HD126" s="4"/>
      <c r="HE126" s="4"/>
      <c r="HF126" s="4"/>
      <c r="HG126" s="4"/>
      <c r="HH126" s="4"/>
      <c r="HI126" s="4"/>
      <c r="HJ126" s="4"/>
      <c r="HK126" s="4"/>
      <c r="HL126" s="4"/>
      <c r="HM126" s="4"/>
      <c r="HN126" s="4"/>
    </row>
    <row r="127" spans="158:222" x14ac:dyDescent="0.2">
      <c r="FB127" s="10"/>
      <c r="FC127" s="10"/>
      <c r="FD127" s="10"/>
      <c r="FE127" s="10"/>
      <c r="FF127" s="10"/>
      <c r="FG127" s="10"/>
      <c r="FH127" s="10"/>
      <c r="FI127" s="10"/>
      <c r="FJ127" s="10"/>
      <c r="FK127" s="10"/>
      <c r="FL127" s="10"/>
      <c r="FM127" s="10"/>
      <c r="FN127" s="10"/>
      <c r="FO127" s="10"/>
      <c r="FP127" s="10"/>
      <c r="FQ127" s="10"/>
      <c r="FW127" s="4"/>
      <c r="FX127" s="5"/>
      <c r="FZ127" s="13"/>
      <c r="GA127" s="22"/>
      <c r="GB127" s="22"/>
      <c r="GC127" s="22"/>
      <c r="GD127" s="22"/>
      <c r="GE127" s="22"/>
      <c r="GF127" s="22"/>
      <c r="GG127" s="22"/>
      <c r="GH127" s="22"/>
      <c r="GI127" s="22"/>
      <c r="GJ127" s="22"/>
      <c r="GK127" s="22"/>
      <c r="GL127" s="22"/>
      <c r="GM127" s="22"/>
      <c r="GO127" s="5"/>
      <c r="GP127" s="5"/>
      <c r="GQ127" s="5"/>
      <c r="GR127" s="5"/>
      <c r="GS127" s="5"/>
      <c r="GT127" s="5"/>
      <c r="GU127" s="5"/>
      <c r="GV127" s="5"/>
      <c r="GW127" s="5"/>
      <c r="GX127" s="5"/>
      <c r="GY127" s="5"/>
      <c r="GZ127" s="5"/>
      <c r="HB127" s="13"/>
      <c r="HC127" s="4"/>
      <c r="HD127" s="4"/>
      <c r="HE127" s="4"/>
      <c r="HF127" s="4"/>
      <c r="HG127" s="4"/>
      <c r="HH127" s="4"/>
      <c r="HI127" s="4"/>
      <c r="HJ127" s="4"/>
      <c r="HK127" s="4"/>
      <c r="HL127" s="4"/>
      <c r="HM127" s="4"/>
      <c r="HN127" s="4"/>
    </row>
    <row r="128" spans="158:222" x14ac:dyDescent="0.2">
      <c r="FB128" s="10"/>
      <c r="FC128" s="10"/>
      <c r="FD128" s="10"/>
      <c r="FE128" s="10"/>
      <c r="FF128" s="10"/>
      <c r="FG128" s="10"/>
      <c r="FH128" s="10"/>
      <c r="FI128" s="10"/>
      <c r="FJ128" s="10"/>
      <c r="FK128" s="10"/>
      <c r="FL128" s="10"/>
      <c r="FM128" s="10"/>
      <c r="FN128" s="10"/>
      <c r="FO128" s="10"/>
      <c r="FP128" s="10"/>
      <c r="FQ128" s="10"/>
      <c r="FW128" s="4"/>
      <c r="FX128" s="5"/>
      <c r="FZ128" s="13"/>
      <c r="GA128" s="22"/>
      <c r="GB128" s="22"/>
      <c r="GC128" s="22"/>
      <c r="GD128" s="22"/>
      <c r="GE128" s="22"/>
      <c r="GF128" s="22"/>
      <c r="GG128" s="22"/>
      <c r="GH128" s="22"/>
      <c r="GI128" s="22"/>
      <c r="GJ128" s="22"/>
      <c r="GK128" s="22"/>
      <c r="GL128" s="22"/>
      <c r="GM128" s="22"/>
      <c r="GO128" s="5"/>
      <c r="GP128" s="5"/>
      <c r="GQ128" s="5"/>
      <c r="GR128" s="5"/>
      <c r="GS128" s="5"/>
      <c r="GT128" s="5"/>
      <c r="GU128" s="5"/>
      <c r="GV128" s="5"/>
      <c r="GW128" s="5"/>
      <c r="GX128" s="5"/>
      <c r="GY128" s="5"/>
      <c r="GZ128" s="5"/>
      <c r="HB128" s="13"/>
      <c r="HC128" s="4"/>
      <c r="HD128" s="4"/>
      <c r="HE128" s="4"/>
      <c r="HF128" s="4"/>
      <c r="HG128" s="4"/>
      <c r="HH128" s="4"/>
      <c r="HI128" s="4"/>
      <c r="HJ128" s="4"/>
      <c r="HK128" s="4"/>
      <c r="HL128" s="4"/>
      <c r="HM128" s="4"/>
      <c r="HN128" s="4"/>
    </row>
    <row r="129" spans="158:222" x14ac:dyDescent="0.2">
      <c r="FB129" s="10"/>
      <c r="FC129" s="10"/>
      <c r="FD129" s="10"/>
      <c r="FE129" s="10"/>
      <c r="FF129" s="10"/>
      <c r="FG129" s="10"/>
      <c r="FH129" s="10"/>
      <c r="FI129" s="10"/>
      <c r="FJ129" s="10"/>
      <c r="FK129" s="10"/>
      <c r="FL129" s="10"/>
      <c r="FM129" s="10"/>
      <c r="FN129" s="10"/>
      <c r="FO129" s="10"/>
      <c r="FP129" s="10"/>
      <c r="FQ129" s="10"/>
      <c r="FW129" s="4"/>
      <c r="FX129" s="5"/>
      <c r="FZ129" s="13"/>
      <c r="GA129" s="22"/>
      <c r="GB129" s="22"/>
      <c r="GC129" s="22"/>
      <c r="GD129" s="22"/>
      <c r="GE129" s="22"/>
      <c r="GF129" s="22"/>
      <c r="GG129" s="22"/>
      <c r="GH129" s="22"/>
      <c r="GI129" s="22"/>
      <c r="GJ129" s="22"/>
      <c r="GK129" s="22"/>
      <c r="GL129" s="22"/>
      <c r="GM129" s="22"/>
      <c r="GO129" s="5"/>
      <c r="GP129" s="5"/>
      <c r="GQ129" s="5"/>
      <c r="GR129" s="5"/>
      <c r="GS129" s="5"/>
      <c r="GT129" s="5"/>
      <c r="GU129" s="5"/>
      <c r="GV129" s="5"/>
      <c r="GW129" s="5"/>
      <c r="GX129" s="5"/>
      <c r="GY129" s="5"/>
      <c r="GZ129" s="5"/>
      <c r="HB129" s="13"/>
      <c r="HC129" s="4"/>
      <c r="HD129" s="4"/>
      <c r="HE129" s="4"/>
      <c r="HF129" s="4"/>
      <c r="HG129" s="4"/>
      <c r="HH129" s="4"/>
      <c r="HI129" s="4"/>
      <c r="HJ129" s="4"/>
      <c r="HK129" s="4"/>
      <c r="HL129" s="4"/>
      <c r="HM129" s="4"/>
      <c r="HN129" s="4"/>
    </row>
    <row r="130" spans="158:222" x14ac:dyDescent="0.2">
      <c r="FB130" s="10"/>
      <c r="FC130" s="10"/>
      <c r="FD130" s="10"/>
      <c r="FE130" s="10"/>
      <c r="FF130" s="10"/>
      <c r="FG130" s="10"/>
      <c r="FH130" s="10"/>
      <c r="FI130" s="10"/>
      <c r="FJ130" s="10"/>
      <c r="FK130" s="10"/>
      <c r="FL130" s="10"/>
      <c r="FM130" s="10"/>
      <c r="FN130" s="10"/>
      <c r="FO130" s="10"/>
      <c r="FP130" s="10"/>
      <c r="FQ130" s="10"/>
      <c r="FW130" s="4"/>
      <c r="FX130" s="5"/>
      <c r="FZ130" s="13"/>
      <c r="GA130" s="22"/>
      <c r="GB130" s="22"/>
      <c r="GC130" s="22"/>
      <c r="GD130" s="22"/>
      <c r="GE130" s="22"/>
      <c r="GF130" s="22"/>
      <c r="GG130" s="22"/>
      <c r="GH130" s="22"/>
      <c r="GI130" s="22"/>
      <c r="GJ130" s="22"/>
      <c r="GK130" s="22"/>
      <c r="GL130" s="22"/>
      <c r="GM130" s="22"/>
      <c r="GO130" s="5"/>
      <c r="GP130" s="5"/>
      <c r="GQ130" s="5"/>
      <c r="GR130" s="5"/>
      <c r="GS130" s="5"/>
      <c r="GT130" s="5"/>
      <c r="GU130" s="5"/>
      <c r="GV130" s="5"/>
      <c r="GW130" s="5"/>
      <c r="GX130" s="5"/>
      <c r="GY130" s="5"/>
      <c r="GZ130" s="5"/>
      <c r="HB130" s="13"/>
      <c r="HC130" s="4"/>
      <c r="HD130" s="4"/>
      <c r="HE130" s="4"/>
      <c r="HF130" s="4"/>
      <c r="HG130" s="4"/>
      <c r="HH130" s="4"/>
      <c r="HI130" s="4"/>
      <c r="HJ130" s="4"/>
      <c r="HK130" s="4"/>
      <c r="HL130" s="4"/>
      <c r="HM130" s="4"/>
      <c r="HN130" s="4"/>
    </row>
    <row r="131" spans="158:222" x14ac:dyDescent="0.2">
      <c r="FB131" s="10"/>
      <c r="FC131" s="10"/>
      <c r="FD131" s="10"/>
      <c r="FE131" s="10"/>
      <c r="FF131" s="10"/>
      <c r="FG131" s="10"/>
      <c r="FH131" s="10"/>
      <c r="FI131" s="10"/>
      <c r="FJ131" s="10"/>
      <c r="FK131" s="10"/>
      <c r="FL131" s="10"/>
      <c r="FM131" s="10"/>
      <c r="FN131" s="10"/>
      <c r="FO131" s="10"/>
      <c r="FP131" s="10"/>
      <c r="FQ131" s="10"/>
      <c r="FW131" s="4"/>
      <c r="FX131" s="5"/>
      <c r="FZ131" s="13"/>
      <c r="GA131" s="22"/>
      <c r="GB131" s="22"/>
      <c r="GC131" s="22"/>
      <c r="GD131" s="22"/>
      <c r="GE131" s="22"/>
      <c r="GF131" s="22"/>
      <c r="GG131" s="22"/>
      <c r="GH131" s="22"/>
      <c r="GI131" s="22"/>
      <c r="GJ131" s="22"/>
      <c r="GK131" s="22"/>
      <c r="GL131" s="22"/>
      <c r="GM131" s="22"/>
      <c r="GO131" s="5"/>
      <c r="GP131" s="5"/>
      <c r="GQ131" s="5"/>
      <c r="GR131" s="5"/>
      <c r="GS131" s="5"/>
      <c r="GT131" s="5"/>
      <c r="GU131" s="5"/>
      <c r="GV131" s="5"/>
      <c r="GW131" s="5"/>
      <c r="GX131" s="5"/>
      <c r="GY131" s="5"/>
      <c r="GZ131" s="5"/>
      <c r="HB131" s="13"/>
      <c r="HC131" s="4"/>
      <c r="HD131" s="4"/>
      <c r="HE131" s="4"/>
      <c r="HF131" s="4"/>
      <c r="HG131" s="4"/>
      <c r="HH131" s="4"/>
      <c r="HI131" s="4"/>
      <c r="HJ131" s="4"/>
      <c r="HK131" s="4"/>
      <c r="HL131" s="4"/>
      <c r="HM131" s="4"/>
      <c r="HN131" s="4"/>
    </row>
    <row r="132" spans="158:222" x14ac:dyDescent="0.2">
      <c r="FB132" s="10"/>
      <c r="FC132" s="10"/>
      <c r="FD132" s="10"/>
      <c r="FE132" s="10"/>
      <c r="FF132" s="10"/>
      <c r="FG132" s="10"/>
      <c r="FH132" s="10"/>
      <c r="FI132" s="10"/>
      <c r="FJ132" s="10"/>
      <c r="FK132" s="10"/>
      <c r="FL132" s="10"/>
      <c r="FM132" s="10"/>
      <c r="FN132" s="10"/>
      <c r="FO132" s="10"/>
      <c r="FP132" s="10"/>
      <c r="FQ132" s="10"/>
      <c r="FW132" s="4"/>
      <c r="FX132" s="5"/>
      <c r="FZ132" s="13"/>
      <c r="GA132" s="22"/>
      <c r="GB132" s="22"/>
      <c r="GC132" s="22"/>
      <c r="GD132" s="22"/>
      <c r="GE132" s="22"/>
      <c r="GF132" s="22"/>
      <c r="GG132" s="22"/>
      <c r="GH132" s="22"/>
      <c r="GI132" s="22"/>
      <c r="GJ132" s="22"/>
      <c r="GK132" s="22"/>
      <c r="GL132" s="22"/>
      <c r="GM132" s="22"/>
      <c r="GO132" s="5"/>
      <c r="GP132" s="5"/>
      <c r="GQ132" s="5"/>
      <c r="GR132" s="5"/>
      <c r="GS132" s="5"/>
      <c r="GT132" s="5"/>
      <c r="GU132" s="5"/>
      <c r="GV132" s="5"/>
      <c r="GW132" s="5"/>
      <c r="GX132" s="5"/>
      <c r="GY132" s="5"/>
      <c r="GZ132" s="5"/>
      <c r="HB132" s="13"/>
      <c r="HC132" s="4"/>
      <c r="HD132" s="4"/>
      <c r="HE132" s="4"/>
      <c r="HF132" s="4"/>
      <c r="HG132" s="4"/>
      <c r="HH132" s="4"/>
      <c r="HI132" s="4"/>
      <c r="HJ132" s="4"/>
      <c r="HK132" s="4"/>
      <c r="HL132" s="4"/>
      <c r="HM132" s="4"/>
      <c r="HN132" s="4"/>
    </row>
    <row r="133" spans="158:222" x14ac:dyDescent="0.2">
      <c r="FB133" s="10"/>
      <c r="FC133" s="10"/>
      <c r="FD133" s="10"/>
      <c r="FE133" s="10"/>
      <c r="FF133" s="10"/>
      <c r="FG133" s="10"/>
      <c r="FH133" s="10"/>
      <c r="FI133" s="10"/>
      <c r="FJ133" s="10"/>
      <c r="FK133" s="10"/>
      <c r="FL133" s="10"/>
      <c r="FM133" s="10"/>
      <c r="FN133" s="10"/>
      <c r="FO133" s="10"/>
      <c r="FP133" s="10"/>
      <c r="FQ133" s="10"/>
      <c r="FW133" s="4"/>
      <c r="FX133" s="5"/>
      <c r="FZ133" s="13"/>
      <c r="GA133" s="22"/>
      <c r="GB133" s="22"/>
      <c r="GC133" s="22"/>
      <c r="GD133" s="22"/>
      <c r="GE133" s="22"/>
      <c r="GF133" s="22"/>
      <c r="GG133" s="22"/>
      <c r="GH133" s="22"/>
      <c r="GI133" s="22"/>
      <c r="GJ133" s="22"/>
      <c r="GK133" s="22"/>
      <c r="GL133" s="22"/>
      <c r="GM133" s="22"/>
      <c r="GO133" s="5"/>
      <c r="GP133" s="5"/>
      <c r="GQ133" s="5"/>
      <c r="GR133" s="5"/>
      <c r="GS133" s="5"/>
      <c r="GT133" s="5"/>
      <c r="GU133" s="5"/>
      <c r="GV133" s="5"/>
      <c r="GW133" s="5"/>
      <c r="GX133" s="5"/>
      <c r="GY133" s="5"/>
      <c r="GZ133" s="5"/>
      <c r="HB133" s="13"/>
      <c r="HC133" s="4"/>
      <c r="HD133" s="4"/>
      <c r="HE133" s="4"/>
      <c r="HF133" s="4"/>
      <c r="HG133" s="4"/>
      <c r="HH133" s="4"/>
      <c r="HI133" s="4"/>
      <c r="HJ133" s="4"/>
      <c r="HK133" s="4"/>
      <c r="HL133" s="4"/>
      <c r="HM133" s="4"/>
      <c r="HN133" s="4"/>
    </row>
    <row r="134" spans="158:222" x14ac:dyDescent="0.2">
      <c r="FB134" s="10"/>
      <c r="FC134" s="10"/>
      <c r="FD134" s="10"/>
      <c r="FE134" s="10"/>
      <c r="FF134" s="10"/>
      <c r="FG134" s="10"/>
      <c r="FH134" s="10"/>
      <c r="FI134" s="10"/>
      <c r="FJ134" s="10"/>
      <c r="FK134" s="10"/>
      <c r="FL134" s="10"/>
      <c r="FM134" s="10"/>
      <c r="FN134" s="10"/>
      <c r="FO134" s="10"/>
      <c r="FP134" s="10"/>
      <c r="FQ134" s="10"/>
      <c r="FW134" s="4"/>
      <c r="FX134" s="5"/>
      <c r="FZ134" s="13"/>
      <c r="GA134" s="22"/>
      <c r="GB134" s="22"/>
      <c r="GC134" s="22"/>
      <c r="GD134" s="22"/>
      <c r="GE134" s="22"/>
      <c r="GF134" s="22"/>
      <c r="GG134" s="22"/>
      <c r="GH134" s="22"/>
      <c r="GI134" s="22"/>
      <c r="GJ134" s="22"/>
      <c r="GK134" s="22"/>
      <c r="GL134" s="22"/>
      <c r="GM134" s="22"/>
      <c r="GO134" s="5"/>
      <c r="GP134" s="5"/>
      <c r="GQ134" s="5"/>
      <c r="GR134" s="5"/>
      <c r="GS134" s="5"/>
      <c r="GT134" s="5"/>
      <c r="GU134" s="5"/>
      <c r="GV134" s="5"/>
      <c r="GW134" s="5"/>
      <c r="GX134" s="5"/>
      <c r="GY134" s="5"/>
      <c r="GZ134" s="5"/>
      <c r="HB134" s="13"/>
      <c r="HC134" s="4"/>
      <c r="HD134" s="4"/>
      <c r="HE134" s="4"/>
      <c r="HF134" s="4"/>
      <c r="HG134" s="4"/>
      <c r="HH134" s="4"/>
      <c r="HI134" s="4"/>
      <c r="HJ134" s="4"/>
      <c r="HK134" s="4"/>
      <c r="HL134" s="4"/>
      <c r="HM134" s="4"/>
      <c r="HN134" s="4"/>
    </row>
    <row r="135" spans="158:222" x14ac:dyDescent="0.2">
      <c r="FB135" s="10"/>
      <c r="FC135" s="10"/>
      <c r="FD135" s="10"/>
      <c r="FE135" s="10"/>
      <c r="FF135" s="10"/>
      <c r="FG135" s="10"/>
      <c r="FH135" s="10"/>
      <c r="FI135" s="10"/>
      <c r="FJ135" s="10"/>
      <c r="FK135" s="10"/>
      <c r="FL135" s="10"/>
      <c r="FM135" s="10"/>
      <c r="FN135" s="10"/>
      <c r="FO135" s="10"/>
      <c r="FP135" s="10"/>
      <c r="FQ135" s="10"/>
      <c r="FW135" s="4"/>
      <c r="FX135" s="5"/>
      <c r="FZ135" s="13"/>
      <c r="GA135" s="22"/>
      <c r="GB135" s="22"/>
      <c r="GC135" s="22"/>
      <c r="GD135" s="22"/>
      <c r="GE135" s="22"/>
      <c r="GF135" s="22"/>
      <c r="GG135" s="22"/>
      <c r="GH135" s="22"/>
      <c r="GI135" s="22"/>
      <c r="GJ135" s="22"/>
      <c r="GK135" s="22"/>
      <c r="GL135" s="22"/>
      <c r="GM135" s="22"/>
      <c r="GO135" s="5"/>
      <c r="GP135" s="5"/>
      <c r="GQ135" s="5"/>
      <c r="GR135" s="5"/>
      <c r="GS135" s="5"/>
      <c r="GT135" s="5"/>
      <c r="GU135" s="5"/>
      <c r="GV135" s="5"/>
      <c r="GW135" s="5"/>
      <c r="GX135" s="5"/>
      <c r="GY135" s="5"/>
      <c r="GZ135" s="5"/>
      <c r="HB135" s="13"/>
      <c r="HC135" s="4"/>
      <c r="HD135" s="4"/>
      <c r="HE135" s="4"/>
      <c r="HF135" s="4"/>
      <c r="HG135" s="4"/>
      <c r="HH135" s="4"/>
      <c r="HI135" s="4"/>
      <c r="HJ135" s="4"/>
      <c r="HK135" s="4"/>
      <c r="HL135" s="4"/>
      <c r="HM135" s="4"/>
      <c r="HN135" s="4"/>
    </row>
    <row r="136" spans="158:222" x14ac:dyDescent="0.2">
      <c r="FB136" s="10"/>
      <c r="FC136" s="10"/>
      <c r="FD136" s="10"/>
      <c r="FE136" s="10"/>
      <c r="FF136" s="10"/>
      <c r="FG136" s="10"/>
      <c r="FH136" s="10"/>
      <c r="FI136" s="10"/>
      <c r="FJ136" s="10"/>
      <c r="FK136" s="10"/>
      <c r="FL136" s="10"/>
      <c r="FM136" s="10"/>
      <c r="FN136" s="10"/>
      <c r="FO136" s="10"/>
      <c r="FP136" s="10"/>
      <c r="FQ136" s="10"/>
      <c r="FW136" s="4"/>
      <c r="FX136" s="5"/>
      <c r="FZ136" s="13"/>
      <c r="GA136" s="22"/>
      <c r="GB136" s="22"/>
      <c r="GC136" s="22"/>
      <c r="GD136" s="22"/>
      <c r="GE136" s="22"/>
      <c r="GF136" s="22"/>
      <c r="GG136" s="22"/>
      <c r="GH136" s="22"/>
      <c r="GI136" s="22"/>
      <c r="GJ136" s="22"/>
      <c r="GK136" s="22"/>
      <c r="GL136" s="22"/>
      <c r="GM136" s="22"/>
      <c r="GO136" s="5"/>
      <c r="GP136" s="5"/>
      <c r="GQ136" s="5"/>
      <c r="GR136" s="5"/>
      <c r="GS136" s="5"/>
      <c r="GT136" s="5"/>
      <c r="GU136" s="5"/>
      <c r="GV136" s="5"/>
      <c r="GW136" s="5"/>
      <c r="GX136" s="5"/>
      <c r="GY136" s="5"/>
      <c r="GZ136" s="5"/>
      <c r="HB136" s="13"/>
      <c r="HC136" s="4"/>
      <c r="HD136" s="4"/>
      <c r="HE136" s="4"/>
      <c r="HF136" s="4"/>
      <c r="HG136" s="4"/>
      <c r="HH136" s="4"/>
      <c r="HI136" s="4"/>
      <c r="HJ136" s="4"/>
      <c r="HK136" s="4"/>
      <c r="HL136" s="4"/>
      <c r="HM136" s="4"/>
      <c r="HN136" s="4"/>
    </row>
    <row r="137" spans="158:222" x14ac:dyDescent="0.2">
      <c r="FB137" s="10"/>
      <c r="FC137" s="10"/>
      <c r="FD137" s="10"/>
      <c r="FE137" s="10"/>
      <c r="FF137" s="10"/>
      <c r="FG137" s="10"/>
      <c r="FH137" s="10"/>
      <c r="FI137" s="10"/>
      <c r="FJ137" s="10"/>
      <c r="FK137" s="10"/>
      <c r="FL137" s="10"/>
      <c r="FM137" s="10"/>
      <c r="FN137" s="10"/>
      <c r="FO137" s="10"/>
      <c r="FP137" s="10"/>
      <c r="FQ137" s="10"/>
      <c r="FW137" s="4"/>
      <c r="FX137" s="5"/>
      <c r="FZ137" s="13"/>
      <c r="GA137" s="22"/>
      <c r="GB137" s="22"/>
      <c r="GC137" s="22"/>
      <c r="GD137" s="22"/>
      <c r="GE137" s="22"/>
      <c r="GF137" s="22"/>
      <c r="GG137" s="22"/>
      <c r="GH137" s="22"/>
      <c r="GI137" s="22"/>
      <c r="GJ137" s="22"/>
      <c r="GK137" s="22"/>
      <c r="GL137" s="22"/>
      <c r="GM137" s="22"/>
      <c r="GO137" s="5"/>
      <c r="GP137" s="5"/>
      <c r="GQ137" s="5"/>
      <c r="GR137" s="5"/>
      <c r="GS137" s="5"/>
      <c r="GT137" s="5"/>
      <c r="GU137" s="5"/>
      <c r="GV137" s="5"/>
      <c r="GW137" s="5"/>
      <c r="GX137" s="5"/>
      <c r="GY137" s="5"/>
      <c r="GZ137" s="5"/>
      <c r="HB137" s="13"/>
      <c r="HC137" s="4"/>
      <c r="HD137" s="4"/>
      <c r="HE137" s="4"/>
      <c r="HF137" s="4"/>
      <c r="HG137" s="4"/>
      <c r="HH137" s="4"/>
      <c r="HI137" s="4"/>
      <c r="HJ137" s="4"/>
      <c r="HK137" s="4"/>
      <c r="HL137" s="4"/>
      <c r="HM137" s="4"/>
      <c r="HN137" s="4"/>
    </row>
    <row r="138" spans="158:222" x14ac:dyDescent="0.2">
      <c r="FB138" s="10"/>
      <c r="FC138" s="10"/>
      <c r="FD138" s="10"/>
      <c r="FE138" s="10"/>
      <c r="FF138" s="10"/>
      <c r="FG138" s="10"/>
      <c r="FH138" s="10"/>
      <c r="FI138" s="10"/>
      <c r="FJ138" s="10"/>
      <c r="FK138" s="10"/>
      <c r="FL138" s="10"/>
      <c r="FM138" s="10"/>
      <c r="FN138" s="10"/>
      <c r="FO138" s="10"/>
      <c r="FP138" s="10"/>
      <c r="FQ138" s="10"/>
      <c r="FW138" s="4"/>
      <c r="FX138" s="5"/>
      <c r="FZ138" s="13"/>
      <c r="GA138" s="22"/>
      <c r="GB138" s="22"/>
      <c r="GC138" s="22"/>
      <c r="GD138" s="22"/>
      <c r="GE138" s="22"/>
      <c r="GF138" s="22"/>
      <c r="GG138" s="22"/>
      <c r="GH138" s="22"/>
      <c r="GI138" s="22"/>
      <c r="GJ138" s="22"/>
      <c r="GK138" s="22"/>
      <c r="GL138" s="22"/>
      <c r="GM138" s="22"/>
      <c r="GO138" s="5"/>
      <c r="GP138" s="5"/>
      <c r="GQ138" s="5"/>
      <c r="GR138" s="5"/>
      <c r="GS138" s="5"/>
      <c r="GT138" s="5"/>
      <c r="GU138" s="5"/>
      <c r="GV138" s="5"/>
      <c r="GW138" s="5"/>
      <c r="GX138" s="5"/>
      <c r="GY138" s="5"/>
      <c r="GZ138" s="5"/>
      <c r="HB138" s="13"/>
      <c r="HC138" s="4"/>
      <c r="HD138" s="4"/>
      <c r="HE138" s="4"/>
      <c r="HF138" s="4"/>
      <c r="HG138" s="4"/>
      <c r="HH138" s="4"/>
      <c r="HI138" s="4"/>
      <c r="HJ138" s="4"/>
      <c r="HK138" s="4"/>
      <c r="HL138" s="4"/>
      <c r="HM138" s="4"/>
      <c r="HN138" s="4"/>
    </row>
    <row r="139" spans="158:222" x14ac:dyDescent="0.2">
      <c r="FB139" s="10"/>
      <c r="FC139" s="10"/>
      <c r="FD139" s="10"/>
      <c r="FE139" s="10"/>
      <c r="FF139" s="10"/>
      <c r="FG139" s="10"/>
      <c r="FH139" s="10"/>
      <c r="FI139" s="10"/>
      <c r="FJ139" s="10"/>
      <c r="FK139" s="10"/>
      <c r="FL139" s="10"/>
      <c r="FM139" s="10"/>
      <c r="FN139" s="10"/>
      <c r="FO139" s="10"/>
      <c r="FP139" s="10"/>
      <c r="FQ139" s="10"/>
      <c r="FW139" s="4"/>
      <c r="FX139" s="5"/>
      <c r="FZ139" s="13"/>
      <c r="GA139" s="22"/>
      <c r="GB139" s="22"/>
      <c r="GC139" s="22"/>
      <c r="GD139" s="22"/>
      <c r="GE139" s="22"/>
      <c r="GF139" s="22"/>
      <c r="GG139" s="22"/>
      <c r="GH139" s="22"/>
      <c r="GI139" s="22"/>
      <c r="GJ139" s="22"/>
      <c r="GK139" s="22"/>
      <c r="GL139" s="22"/>
      <c r="GM139" s="22"/>
      <c r="GO139" s="5"/>
      <c r="GP139" s="5"/>
      <c r="GQ139" s="5"/>
      <c r="GR139" s="5"/>
      <c r="GS139" s="5"/>
      <c r="GT139" s="5"/>
      <c r="GU139" s="5"/>
      <c r="GV139" s="5"/>
      <c r="GW139" s="5"/>
      <c r="GX139" s="5"/>
      <c r="GY139" s="5"/>
      <c r="GZ139" s="5"/>
      <c r="HB139" s="13"/>
      <c r="HC139" s="4"/>
      <c r="HD139" s="4"/>
      <c r="HE139" s="4"/>
      <c r="HF139" s="4"/>
      <c r="HG139" s="4"/>
      <c r="HH139" s="4"/>
      <c r="HI139" s="4"/>
      <c r="HJ139" s="4"/>
      <c r="HK139" s="4"/>
      <c r="HL139" s="4"/>
      <c r="HM139" s="4"/>
      <c r="HN139" s="4"/>
    </row>
    <row r="140" spans="158:222" x14ac:dyDescent="0.2">
      <c r="FB140" s="10"/>
      <c r="FC140" s="10"/>
      <c r="FD140" s="10"/>
      <c r="FE140" s="10"/>
      <c r="FF140" s="10"/>
      <c r="FG140" s="10"/>
      <c r="FH140" s="10"/>
      <c r="FI140" s="10"/>
      <c r="FJ140" s="10"/>
      <c r="FK140" s="10"/>
      <c r="FL140" s="10"/>
      <c r="FM140" s="10"/>
      <c r="FN140" s="10"/>
      <c r="FO140" s="10"/>
      <c r="FP140" s="10"/>
      <c r="FQ140" s="10"/>
      <c r="FW140" s="4"/>
      <c r="FX140" s="5"/>
      <c r="FZ140" s="13"/>
      <c r="GA140" s="22"/>
      <c r="GB140" s="22"/>
      <c r="GC140" s="22"/>
      <c r="GD140" s="22"/>
      <c r="GE140" s="22"/>
      <c r="GF140" s="22"/>
      <c r="GG140" s="22"/>
      <c r="GH140" s="22"/>
      <c r="GI140" s="22"/>
      <c r="GJ140" s="22"/>
      <c r="GK140" s="22"/>
      <c r="GL140" s="22"/>
      <c r="GM140" s="22"/>
      <c r="GO140" s="5"/>
      <c r="GP140" s="5"/>
      <c r="GQ140" s="5"/>
      <c r="GR140" s="5"/>
      <c r="GS140" s="5"/>
      <c r="GT140" s="5"/>
      <c r="GU140" s="5"/>
      <c r="GV140" s="5"/>
      <c r="GW140" s="5"/>
      <c r="GX140" s="5"/>
      <c r="GY140" s="5"/>
      <c r="GZ140" s="5"/>
      <c r="HB140" s="13"/>
      <c r="HC140" s="4"/>
      <c r="HD140" s="4"/>
      <c r="HE140" s="4"/>
      <c r="HF140" s="4"/>
      <c r="HG140" s="4"/>
      <c r="HH140" s="4"/>
      <c r="HI140" s="4"/>
      <c r="HJ140" s="4"/>
      <c r="HK140" s="4"/>
      <c r="HL140" s="4"/>
      <c r="HM140" s="4"/>
      <c r="HN140" s="4"/>
    </row>
    <row r="141" spans="158:222" x14ac:dyDescent="0.2">
      <c r="FB141" s="10"/>
      <c r="FC141" s="10"/>
      <c r="FD141" s="10"/>
      <c r="FE141" s="10"/>
      <c r="FF141" s="10"/>
      <c r="FG141" s="10"/>
      <c r="FH141" s="10"/>
      <c r="FI141" s="10"/>
      <c r="FJ141" s="10"/>
      <c r="FK141" s="10"/>
      <c r="FL141" s="10"/>
      <c r="FM141" s="10"/>
      <c r="FN141" s="10"/>
      <c r="FO141" s="10"/>
      <c r="FP141" s="10"/>
      <c r="FQ141" s="10"/>
      <c r="FW141" s="4"/>
      <c r="FX141" s="5"/>
      <c r="FZ141" s="13"/>
      <c r="GA141" s="22"/>
      <c r="GB141" s="22"/>
      <c r="GC141" s="22"/>
      <c r="GD141" s="22"/>
      <c r="GE141" s="22"/>
      <c r="GF141" s="22"/>
      <c r="GG141" s="22"/>
      <c r="GH141" s="22"/>
      <c r="GI141" s="22"/>
      <c r="GJ141" s="22"/>
      <c r="GK141" s="22"/>
      <c r="GL141" s="22"/>
      <c r="GM141" s="22"/>
      <c r="GO141" s="5"/>
      <c r="GP141" s="5"/>
      <c r="GQ141" s="5"/>
      <c r="GR141" s="5"/>
      <c r="GS141" s="5"/>
      <c r="GT141" s="5"/>
      <c r="GU141" s="5"/>
      <c r="GV141" s="5"/>
      <c r="GW141" s="5"/>
      <c r="GX141" s="5"/>
      <c r="GY141" s="5"/>
      <c r="GZ141" s="5"/>
      <c r="HB141" s="13"/>
      <c r="HC141" s="4"/>
      <c r="HD141" s="4"/>
      <c r="HE141" s="4"/>
      <c r="HF141" s="4"/>
      <c r="HG141" s="4"/>
      <c r="HH141" s="4"/>
      <c r="HI141" s="4"/>
      <c r="HJ141" s="4"/>
      <c r="HK141" s="4"/>
      <c r="HL141" s="4"/>
      <c r="HM141" s="4"/>
      <c r="HN141" s="4"/>
    </row>
    <row r="142" spans="158:222" x14ac:dyDescent="0.2">
      <c r="FB142" s="10"/>
      <c r="FC142" s="10"/>
      <c r="FD142" s="10"/>
      <c r="FE142" s="10"/>
      <c r="FF142" s="10"/>
      <c r="FG142" s="10"/>
      <c r="FH142" s="10"/>
      <c r="FI142" s="10"/>
      <c r="FJ142" s="10"/>
      <c r="FK142" s="10"/>
      <c r="FL142" s="10"/>
      <c r="FM142" s="10"/>
      <c r="FN142" s="10"/>
      <c r="FO142" s="10"/>
      <c r="FP142" s="10"/>
      <c r="FQ142" s="10"/>
      <c r="FW142" s="4"/>
      <c r="FX142" s="5"/>
      <c r="FZ142" s="13"/>
      <c r="GA142" s="22"/>
      <c r="GB142" s="22"/>
      <c r="GC142" s="22"/>
      <c r="GD142" s="22"/>
      <c r="GE142" s="22"/>
      <c r="GF142" s="22"/>
      <c r="GG142" s="22"/>
      <c r="GH142" s="22"/>
      <c r="GI142" s="22"/>
      <c r="GJ142" s="22"/>
      <c r="GK142" s="22"/>
      <c r="GL142" s="22"/>
      <c r="GM142" s="22"/>
      <c r="GO142" s="5"/>
      <c r="GP142" s="5"/>
      <c r="GQ142" s="5"/>
      <c r="GR142" s="5"/>
      <c r="GS142" s="5"/>
      <c r="GT142" s="5"/>
      <c r="GU142" s="5"/>
      <c r="GV142" s="5"/>
      <c r="GW142" s="5"/>
      <c r="GX142" s="5"/>
      <c r="GY142" s="5"/>
      <c r="GZ142" s="5"/>
      <c r="HB142" s="13"/>
      <c r="HC142" s="4"/>
      <c r="HD142" s="4"/>
      <c r="HE142" s="4"/>
      <c r="HF142" s="4"/>
      <c r="HG142" s="4"/>
      <c r="HH142" s="4"/>
      <c r="HI142" s="4"/>
      <c r="HJ142" s="4"/>
      <c r="HK142" s="4"/>
      <c r="HL142" s="4"/>
      <c r="HM142" s="4"/>
      <c r="HN142" s="4"/>
    </row>
    <row r="143" spans="158:222" x14ac:dyDescent="0.2">
      <c r="FB143" s="10"/>
      <c r="FC143" s="10"/>
      <c r="FD143" s="10"/>
      <c r="FE143" s="10"/>
      <c r="FF143" s="10"/>
      <c r="FG143" s="10"/>
      <c r="FH143" s="10"/>
      <c r="FI143" s="10"/>
      <c r="FJ143" s="10"/>
      <c r="FK143" s="10"/>
      <c r="FL143" s="10"/>
      <c r="FM143" s="10"/>
      <c r="FN143" s="10"/>
      <c r="FO143" s="10"/>
      <c r="FP143" s="10"/>
      <c r="FQ143" s="10"/>
      <c r="FW143" s="4"/>
      <c r="FX143" s="5"/>
      <c r="FZ143" s="13"/>
      <c r="GA143" s="22"/>
      <c r="GB143" s="22"/>
      <c r="GC143" s="22"/>
      <c r="GD143" s="22"/>
      <c r="GE143" s="22"/>
      <c r="GF143" s="22"/>
      <c r="GG143" s="22"/>
      <c r="GH143" s="22"/>
      <c r="GI143" s="22"/>
      <c r="GJ143" s="22"/>
      <c r="GK143" s="22"/>
      <c r="GL143" s="22"/>
      <c r="GM143" s="22"/>
      <c r="GO143" s="5"/>
      <c r="GP143" s="5"/>
      <c r="GQ143" s="5"/>
      <c r="GR143" s="5"/>
      <c r="GS143" s="5"/>
      <c r="GT143" s="5"/>
      <c r="GU143" s="5"/>
      <c r="GV143" s="5"/>
      <c r="GW143" s="5"/>
      <c r="GX143" s="5"/>
      <c r="GY143" s="5"/>
      <c r="GZ143" s="5"/>
      <c r="HB143" s="13"/>
      <c r="HC143" s="4"/>
      <c r="HD143" s="4"/>
      <c r="HE143" s="4"/>
      <c r="HF143" s="4"/>
      <c r="HG143" s="4"/>
      <c r="HH143" s="4"/>
      <c r="HI143" s="4"/>
      <c r="HJ143" s="4"/>
      <c r="HK143" s="4"/>
      <c r="HL143" s="4"/>
      <c r="HM143" s="4"/>
      <c r="HN143" s="4"/>
    </row>
    <row r="144" spans="158:222" x14ac:dyDescent="0.2">
      <c r="FB144" s="10"/>
      <c r="FC144" s="10"/>
      <c r="FD144" s="10"/>
      <c r="FE144" s="10"/>
      <c r="FF144" s="10"/>
      <c r="FG144" s="10"/>
      <c r="FH144" s="10"/>
      <c r="FI144" s="10"/>
      <c r="FJ144" s="10"/>
      <c r="FK144" s="10"/>
      <c r="FL144" s="10"/>
      <c r="FM144" s="10"/>
      <c r="FN144" s="10"/>
      <c r="FO144" s="10"/>
      <c r="FP144" s="10"/>
      <c r="FQ144" s="10"/>
      <c r="FW144" s="4"/>
      <c r="FX144" s="5"/>
      <c r="FZ144" s="13"/>
      <c r="GA144" s="22"/>
      <c r="GB144" s="22"/>
      <c r="GC144" s="22"/>
      <c r="GD144" s="22"/>
      <c r="GE144" s="22"/>
      <c r="GF144" s="22"/>
      <c r="GG144" s="22"/>
      <c r="GH144" s="22"/>
      <c r="GI144" s="22"/>
      <c r="GJ144" s="22"/>
      <c r="GK144" s="22"/>
      <c r="GL144" s="22"/>
      <c r="GM144" s="22"/>
      <c r="GO144" s="5"/>
      <c r="GP144" s="5"/>
      <c r="GQ144" s="5"/>
      <c r="GR144" s="5"/>
      <c r="GS144" s="5"/>
      <c r="GT144" s="5"/>
      <c r="GU144" s="5"/>
      <c r="GV144" s="5"/>
      <c r="GW144" s="5"/>
      <c r="GX144" s="5"/>
      <c r="GY144" s="5"/>
      <c r="GZ144" s="5"/>
      <c r="HB144" s="13"/>
      <c r="HC144" s="4"/>
      <c r="HD144" s="4"/>
      <c r="HE144" s="4"/>
      <c r="HF144" s="4"/>
      <c r="HG144" s="4"/>
      <c r="HH144" s="4"/>
      <c r="HI144" s="4"/>
      <c r="HJ144" s="4"/>
      <c r="HK144" s="4"/>
      <c r="HL144" s="4"/>
      <c r="HM144" s="4"/>
      <c r="HN144" s="4"/>
    </row>
    <row r="145" spans="158:222" x14ac:dyDescent="0.2">
      <c r="FB145" s="10"/>
      <c r="FC145" s="10"/>
      <c r="FD145" s="10"/>
      <c r="FE145" s="10"/>
      <c r="FF145" s="10"/>
      <c r="FG145" s="10"/>
      <c r="FH145" s="10"/>
      <c r="FI145" s="10"/>
      <c r="FJ145" s="10"/>
      <c r="FK145" s="10"/>
      <c r="FL145" s="10"/>
      <c r="FM145" s="10"/>
      <c r="FN145" s="10"/>
      <c r="FO145" s="10"/>
      <c r="FP145" s="10"/>
      <c r="FQ145" s="10"/>
      <c r="FW145" s="4"/>
      <c r="FX145" s="5"/>
      <c r="FZ145" s="13"/>
      <c r="GA145" s="22"/>
      <c r="GB145" s="22"/>
      <c r="GC145" s="22"/>
      <c r="GD145" s="22"/>
      <c r="GE145" s="22"/>
      <c r="GF145" s="22"/>
      <c r="GG145" s="22"/>
      <c r="GH145" s="22"/>
      <c r="GI145" s="22"/>
      <c r="GJ145" s="22"/>
      <c r="GK145" s="22"/>
      <c r="GL145" s="22"/>
      <c r="GM145" s="22"/>
      <c r="GO145" s="5"/>
      <c r="GP145" s="5"/>
      <c r="GQ145" s="5"/>
      <c r="GR145" s="5"/>
      <c r="GS145" s="5"/>
      <c r="GT145" s="5"/>
      <c r="GU145" s="5"/>
      <c r="GV145" s="5"/>
      <c r="GW145" s="5"/>
      <c r="GX145" s="5"/>
      <c r="GY145" s="5"/>
      <c r="GZ145" s="5"/>
      <c r="HB145" s="13"/>
      <c r="HC145" s="4"/>
      <c r="HD145" s="4"/>
      <c r="HE145" s="4"/>
      <c r="HF145" s="4"/>
      <c r="HG145" s="4"/>
      <c r="HH145" s="4"/>
      <c r="HI145" s="4"/>
      <c r="HJ145" s="4"/>
      <c r="HK145" s="4"/>
      <c r="HL145" s="4"/>
      <c r="HM145" s="4"/>
      <c r="HN145" s="4"/>
    </row>
    <row r="146" spans="158:222" x14ac:dyDescent="0.2">
      <c r="FB146" s="10"/>
      <c r="FC146" s="10"/>
      <c r="FD146" s="10"/>
      <c r="FE146" s="10"/>
      <c r="FF146" s="10"/>
      <c r="FG146" s="10"/>
      <c r="FH146" s="10"/>
      <c r="FI146" s="10"/>
      <c r="FJ146" s="10"/>
      <c r="FK146" s="10"/>
      <c r="FL146" s="10"/>
      <c r="FM146" s="10"/>
      <c r="FN146" s="10"/>
      <c r="FO146" s="10"/>
      <c r="FP146" s="10"/>
      <c r="FQ146" s="10"/>
      <c r="FW146" s="4"/>
      <c r="FX146" s="5"/>
      <c r="FZ146" s="13"/>
      <c r="GA146" s="22"/>
      <c r="GB146" s="22"/>
      <c r="GC146" s="22"/>
      <c r="GD146" s="22"/>
      <c r="GE146" s="22"/>
      <c r="GF146" s="22"/>
      <c r="GG146" s="22"/>
      <c r="GH146" s="22"/>
      <c r="GI146" s="22"/>
      <c r="GJ146" s="22"/>
      <c r="GK146" s="22"/>
      <c r="GL146" s="22"/>
      <c r="GM146" s="22"/>
      <c r="GO146" s="5"/>
      <c r="GP146" s="5"/>
      <c r="GQ146" s="5"/>
      <c r="GR146" s="5"/>
      <c r="GS146" s="5"/>
      <c r="GT146" s="5"/>
      <c r="GU146" s="5"/>
      <c r="GV146" s="5"/>
      <c r="GW146" s="5"/>
      <c r="GX146" s="5"/>
      <c r="GY146" s="5"/>
      <c r="GZ146" s="5"/>
      <c r="HB146" s="13"/>
      <c r="HC146" s="4"/>
      <c r="HD146" s="4"/>
      <c r="HE146" s="4"/>
      <c r="HF146" s="4"/>
      <c r="HG146" s="4"/>
      <c r="HH146" s="4"/>
      <c r="HI146" s="4"/>
      <c r="HJ146" s="4"/>
      <c r="HK146" s="4"/>
      <c r="HL146" s="4"/>
      <c r="HM146" s="4"/>
      <c r="HN146" s="4"/>
    </row>
    <row r="147" spans="158:222" x14ac:dyDescent="0.2">
      <c r="FB147" s="10"/>
      <c r="FC147" s="10"/>
      <c r="FD147" s="10"/>
      <c r="FE147" s="10"/>
      <c r="FF147" s="10"/>
      <c r="FG147" s="10"/>
      <c r="FH147" s="10"/>
      <c r="FI147" s="10"/>
      <c r="FJ147" s="10"/>
      <c r="FK147" s="10"/>
      <c r="FL147" s="10"/>
      <c r="FM147" s="10"/>
      <c r="FN147" s="10"/>
      <c r="FO147" s="10"/>
      <c r="FP147" s="10"/>
      <c r="FQ147" s="10"/>
      <c r="FW147" s="4"/>
      <c r="FX147" s="5"/>
      <c r="FZ147" s="13"/>
      <c r="GA147" s="22"/>
      <c r="GB147" s="22"/>
      <c r="GC147" s="22"/>
      <c r="GD147" s="22"/>
      <c r="GE147" s="22"/>
      <c r="GF147" s="22"/>
      <c r="GG147" s="22"/>
      <c r="GH147" s="22"/>
      <c r="GI147" s="22"/>
      <c r="GJ147" s="22"/>
      <c r="GK147" s="22"/>
      <c r="GL147" s="22"/>
      <c r="GM147" s="22"/>
      <c r="GO147" s="5"/>
      <c r="GP147" s="5"/>
      <c r="GQ147" s="5"/>
      <c r="GR147" s="5"/>
      <c r="GS147" s="5"/>
      <c r="GT147" s="5"/>
      <c r="GU147" s="5"/>
      <c r="GV147" s="5"/>
      <c r="GW147" s="5"/>
      <c r="GX147" s="5"/>
      <c r="GY147" s="5"/>
      <c r="GZ147" s="5"/>
      <c r="HB147" s="13"/>
      <c r="HC147" s="4"/>
      <c r="HD147" s="4"/>
      <c r="HE147" s="4"/>
      <c r="HF147" s="4"/>
      <c r="HG147" s="4"/>
      <c r="HH147" s="4"/>
      <c r="HI147" s="4"/>
      <c r="HJ147" s="4"/>
      <c r="HK147" s="4"/>
      <c r="HL147" s="4"/>
      <c r="HM147" s="4"/>
      <c r="HN147" s="4"/>
    </row>
    <row r="148" spans="158:222" x14ac:dyDescent="0.2">
      <c r="FB148" s="10"/>
      <c r="FC148" s="10"/>
      <c r="FD148" s="10"/>
      <c r="FE148" s="10"/>
      <c r="FF148" s="10"/>
      <c r="FG148" s="10"/>
      <c r="FH148" s="10"/>
      <c r="FI148" s="10"/>
      <c r="FJ148" s="10"/>
      <c r="FK148" s="10"/>
      <c r="FL148" s="10"/>
      <c r="FM148" s="10"/>
      <c r="FN148" s="10"/>
      <c r="FO148" s="10"/>
      <c r="FP148" s="10"/>
      <c r="FQ148" s="10"/>
      <c r="FW148" s="4"/>
      <c r="FX148" s="5"/>
      <c r="FZ148" s="13"/>
      <c r="GA148" s="22"/>
      <c r="GB148" s="22"/>
      <c r="GC148" s="22"/>
      <c r="GD148" s="22"/>
      <c r="GE148" s="22"/>
      <c r="GF148" s="22"/>
      <c r="GG148" s="22"/>
      <c r="GH148" s="22"/>
      <c r="GI148" s="22"/>
      <c r="GJ148" s="22"/>
      <c r="GK148" s="22"/>
      <c r="GL148" s="22"/>
      <c r="GM148" s="22"/>
      <c r="GO148" s="5"/>
      <c r="GP148" s="5"/>
      <c r="GQ148" s="5"/>
      <c r="GR148" s="5"/>
      <c r="GS148" s="5"/>
      <c r="GT148" s="5"/>
      <c r="GU148" s="5"/>
      <c r="GV148" s="5"/>
      <c r="GW148" s="5"/>
      <c r="GX148" s="5"/>
      <c r="GY148" s="5"/>
      <c r="GZ148" s="5"/>
      <c r="HB148" s="13"/>
      <c r="HC148" s="4"/>
      <c r="HD148" s="4"/>
      <c r="HE148" s="4"/>
      <c r="HF148" s="4"/>
      <c r="HG148" s="4"/>
      <c r="HH148" s="4"/>
      <c r="HI148" s="4"/>
      <c r="HJ148" s="4"/>
      <c r="HK148" s="4"/>
      <c r="HL148" s="4"/>
      <c r="HM148" s="4"/>
      <c r="HN148" s="4"/>
    </row>
    <row r="149" spans="158:222" x14ac:dyDescent="0.2">
      <c r="FB149" s="10"/>
      <c r="FC149" s="10"/>
      <c r="FD149" s="10"/>
      <c r="FE149" s="10"/>
      <c r="FF149" s="10"/>
      <c r="FG149" s="10"/>
      <c r="FH149" s="10"/>
      <c r="FI149" s="10"/>
      <c r="FJ149" s="10"/>
      <c r="FK149" s="10"/>
      <c r="FL149" s="10"/>
      <c r="FM149" s="10"/>
      <c r="FN149" s="10"/>
      <c r="FO149" s="10"/>
      <c r="FP149" s="10"/>
      <c r="FQ149" s="10"/>
      <c r="FW149" s="4"/>
      <c r="FX149" s="5"/>
      <c r="FZ149" s="13"/>
      <c r="GA149" s="22"/>
      <c r="GB149" s="22"/>
      <c r="GC149" s="22"/>
      <c r="GD149" s="22"/>
      <c r="GE149" s="22"/>
      <c r="GF149" s="22"/>
      <c r="GG149" s="22"/>
      <c r="GH149" s="22"/>
      <c r="GI149" s="22"/>
      <c r="GJ149" s="22"/>
      <c r="GK149" s="22"/>
      <c r="GL149" s="22"/>
      <c r="GM149" s="22"/>
      <c r="GO149" s="5"/>
      <c r="GP149" s="5"/>
      <c r="GQ149" s="5"/>
      <c r="GR149" s="5"/>
      <c r="GS149" s="5"/>
      <c r="GT149" s="5"/>
      <c r="GU149" s="5"/>
      <c r="GV149" s="5"/>
      <c r="GW149" s="5"/>
      <c r="GX149" s="5"/>
      <c r="GY149" s="5"/>
      <c r="GZ149" s="5"/>
      <c r="HB149" s="13"/>
      <c r="HC149" s="4"/>
      <c r="HD149" s="4"/>
      <c r="HE149" s="4"/>
      <c r="HF149" s="4"/>
      <c r="HG149" s="4"/>
      <c r="HH149" s="4"/>
      <c r="HI149" s="4"/>
      <c r="HJ149" s="4"/>
      <c r="HK149" s="4"/>
      <c r="HL149" s="4"/>
      <c r="HM149" s="4"/>
      <c r="HN149" s="4"/>
    </row>
    <row r="150" spans="158:222" x14ac:dyDescent="0.2">
      <c r="FB150" s="10"/>
      <c r="FC150" s="10"/>
      <c r="FD150" s="10"/>
      <c r="FE150" s="10"/>
      <c r="FF150" s="10"/>
      <c r="FG150" s="10"/>
      <c r="FH150" s="10"/>
      <c r="FI150" s="10"/>
      <c r="FJ150" s="10"/>
      <c r="FK150" s="10"/>
      <c r="FL150" s="10"/>
      <c r="FM150" s="10"/>
      <c r="FN150" s="10"/>
      <c r="FO150" s="10"/>
      <c r="FP150" s="10"/>
      <c r="FQ150" s="10"/>
      <c r="FW150" s="4"/>
      <c r="FX150" s="5"/>
      <c r="FZ150" s="13"/>
      <c r="GA150" s="22"/>
      <c r="GB150" s="22"/>
      <c r="GC150" s="22"/>
      <c r="GD150" s="22"/>
      <c r="GE150" s="22"/>
      <c r="GF150" s="22"/>
      <c r="GG150" s="22"/>
      <c r="GH150" s="22"/>
      <c r="GI150" s="22"/>
      <c r="GJ150" s="22"/>
      <c r="GK150" s="22"/>
      <c r="GL150" s="22"/>
      <c r="GM150" s="22"/>
      <c r="GO150" s="5"/>
      <c r="GP150" s="5"/>
      <c r="GQ150" s="5"/>
      <c r="GR150" s="5"/>
      <c r="GS150" s="5"/>
      <c r="GT150" s="5"/>
      <c r="GU150" s="5"/>
      <c r="GV150" s="5"/>
      <c r="GW150" s="5"/>
      <c r="GX150" s="5"/>
      <c r="GY150" s="5"/>
      <c r="GZ150" s="5"/>
      <c r="HB150" s="13"/>
      <c r="HC150" s="4"/>
      <c r="HD150" s="4"/>
      <c r="HE150" s="4"/>
      <c r="HF150" s="4"/>
      <c r="HG150" s="4"/>
      <c r="HH150" s="4"/>
      <c r="HI150" s="4"/>
      <c r="HJ150" s="4"/>
      <c r="HK150" s="4"/>
      <c r="HL150" s="4"/>
      <c r="HM150" s="4"/>
      <c r="HN150" s="4"/>
    </row>
    <row r="151" spans="158:222" x14ac:dyDescent="0.2">
      <c r="FB151" s="10"/>
      <c r="FC151" s="10"/>
      <c r="FD151" s="10"/>
      <c r="FE151" s="10"/>
      <c r="FF151" s="10"/>
      <c r="FG151" s="10"/>
      <c r="FH151" s="10"/>
      <c r="FI151" s="10"/>
      <c r="FJ151" s="10"/>
      <c r="FK151" s="10"/>
      <c r="FL151" s="10"/>
      <c r="FM151" s="10"/>
      <c r="FN151" s="10"/>
      <c r="FO151" s="10"/>
      <c r="FP151" s="10"/>
      <c r="FQ151" s="10"/>
      <c r="FW151" s="4"/>
      <c r="FX151" s="5"/>
      <c r="FZ151" s="13"/>
      <c r="GA151" s="22"/>
      <c r="GB151" s="22"/>
      <c r="GC151" s="22"/>
      <c r="GD151" s="22"/>
      <c r="GE151" s="22"/>
      <c r="GF151" s="22"/>
      <c r="GG151" s="22"/>
      <c r="GH151" s="22"/>
      <c r="GI151" s="22"/>
      <c r="GJ151" s="22"/>
      <c r="GK151" s="22"/>
      <c r="GL151" s="22"/>
      <c r="GM151" s="22"/>
      <c r="GO151" s="5"/>
      <c r="GP151" s="5"/>
      <c r="GQ151" s="5"/>
      <c r="GR151" s="5"/>
      <c r="GS151" s="5"/>
      <c r="GT151" s="5"/>
      <c r="GU151" s="5"/>
      <c r="GV151" s="5"/>
      <c r="GW151" s="5"/>
      <c r="GX151" s="5"/>
      <c r="GY151" s="5"/>
      <c r="GZ151" s="5"/>
      <c r="HB151" s="13"/>
      <c r="HC151" s="4"/>
      <c r="HD151" s="4"/>
      <c r="HE151" s="4"/>
      <c r="HF151" s="4"/>
      <c r="HG151" s="4"/>
      <c r="HH151" s="4"/>
      <c r="HI151" s="4"/>
      <c r="HJ151" s="4"/>
      <c r="HK151" s="4"/>
      <c r="HL151" s="4"/>
      <c r="HM151" s="4"/>
      <c r="HN151" s="4"/>
    </row>
    <row r="152" spans="158:222" x14ac:dyDescent="0.2">
      <c r="FB152" s="10"/>
      <c r="FC152" s="10"/>
      <c r="FD152" s="10"/>
      <c r="FE152" s="10"/>
      <c r="FF152" s="10"/>
      <c r="FG152" s="10"/>
      <c r="FH152" s="10"/>
      <c r="FI152" s="10"/>
      <c r="FJ152" s="10"/>
      <c r="FK152" s="10"/>
      <c r="FL152" s="10"/>
      <c r="FM152" s="10"/>
      <c r="FN152" s="10"/>
      <c r="FO152" s="10"/>
      <c r="FP152" s="10"/>
      <c r="FQ152" s="10"/>
      <c r="FW152" s="4"/>
      <c r="FX152" s="5"/>
      <c r="FZ152" s="13"/>
      <c r="GA152" s="22"/>
      <c r="GB152" s="22"/>
      <c r="GC152" s="22"/>
      <c r="GD152" s="22"/>
      <c r="GE152" s="22"/>
      <c r="GF152" s="22"/>
      <c r="GG152" s="22"/>
      <c r="GH152" s="22"/>
      <c r="GI152" s="22"/>
      <c r="GJ152" s="22"/>
      <c r="GK152" s="22"/>
      <c r="GL152" s="22"/>
      <c r="GM152" s="22"/>
      <c r="GO152" s="5"/>
      <c r="GP152" s="5"/>
      <c r="GQ152" s="5"/>
      <c r="GR152" s="5"/>
      <c r="GS152" s="5"/>
      <c r="GT152" s="5"/>
      <c r="GU152" s="5"/>
      <c r="GV152" s="5"/>
      <c r="GW152" s="5"/>
      <c r="GX152" s="5"/>
      <c r="GY152" s="5"/>
      <c r="GZ152" s="5"/>
      <c r="HB152" s="13"/>
      <c r="HC152" s="4"/>
      <c r="HD152" s="4"/>
      <c r="HE152" s="4"/>
      <c r="HF152" s="4"/>
      <c r="HG152" s="4"/>
      <c r="HH152" s="4"/>
      <c r="HI152" s="4"/>
      <c r="HJ152" s="4"/>
      <c r="HK152" s="4"/>
      <c r="HL152" s="4"/>
      <c r="HM152" s="4"/>
      <c r="HN152" s="4"/>
    </row>
    <row r="153" spans="158:222" x14ac:dyDescent="0.2">
      <c r="FB153" s="10"/>
      <c r="FC153" s="10"/>
      <c r="FD153" s="10"/>
      <c r="FE153" s="10"/>
      <c r="FF153" s="10"/>
      <c r="FG153" s="10"/>
      <c r="FH153" s="10"/>
      <c r="FI153" s="10"/>
      <c r="FJ153" s="10"/>
      <c r="FK153" s="10"/>
      <c r="FL153" s="10"/>
      <c r="FM153" s="10"/>
      <c r="FN153" s="10"/>
      <c r="FO153" s="10"/>
      <c r="FP153" s="10"/>
      <c r="FQ153" s="10"/>
      <c r="FW153" s="4"/>
      <c r="FX153" s="5"/>
      <c r="FZ153" s="13"/>
      <c r="GA153" s="22"/>
      <c r="GB153" s="22"/>
      <c r="GC153" s="22"/>
      <c r="GD153" s="22"/>
      <c r="GE153" s="22"/>
      <c r="GF153" s="22"/>
      <c r="GG153" s="22"/>
      <c r="GH153" s="22"/>
      <c r="GI153" s="22"/>
      <c r="GJ153" s="22"/>
      <c r="GK153" s="22"/>
      <c r="GL153" s="22"/>
      <c r="GM153" s="22"/>
      <c r="GO153" s="5"/>
      <c r="GP153" s="5"/>
      <c r="GQ153" s="5"/>
      <c r="GR153" s="5"/>
      <c r="GS153" s="5"/>
      <c r="GT153" s="5"/>
      <c r="GU153" s="5"/>
      <c r="GV153" s="5"/>
      <c r="GW153" s="5"/>
      <c r="GX153" s="5"/>
      <c r="GY153" s="5"/>
      <c r="GZ153" s="5"/>
      <c r="HB153" s="13"/>
      <c r="HC153" s="4"/>
      <c r="HD153" s="4"/>
      <c r="HE153" s="4"/>
      <c r="HF153" s="4"/>
      <c r="HG153" s="4"/>
      <c r="HH153" s="4"/>
      <c r="HI153" s="4"/>
      <c r="HJ153" s="4"/>
      <c r="HK153" s="4"/>
      <c r="HL153" s="4"/>
      <c r="HM153" s="4"/>
      <c r="HN153" s="4"/>
    </row>
    <row r="154" spans="158:222" x14ac:dyDescent="0.2">
      <c r="FB154" s="10"/>
      <c r="FC154" s="10"/>
      <c r="FD154" s="10"/>
      <c r="FE154" s="10"/>
      <c r="FF154" s="10"/>
      <c r="FG154" s="10"/>
      <c r="FH154" s="10"/>
      <c r="FI154" s="10"/>
      <c r="FJ154" s="10"/>
      <c r="FK154" s="10"/>
      <c r="FL154" s="10"/>
      <c r="FM154" s="10"/>
      <c r="FN154" s="10"/>
      <c r="FO154" s="10"/>
      <c r="FP154" s="10"/>
      <c r="FQ154" s="10"/>
      <c r="FW154" s="4"/>
      <c r="FX154" s="5"/>
      <c r="FZ154" s="13"/>
      <c r="GA154" s="22"/>
      <c r="GB154" s="22"/>
      <c r="GC154" s="22"/>
      <c r="GD154" s="22"/>
      <c r="GE154" s="22"/>
      <c r="GF154" s="22"/>
      <c r="GG154" s="22"/>
      <c r="GH154" s="22"/>
      <c r="GI154" s="22"/>
      <c r="GJ154" s="22"/>
      <c r="GK154" s="22"/>
      <c r="GL154" s="22"/>
      <c r="GM154" s="22"/>
      <c r="GO154" s="5"/>
      <c r="GP154" s="5"/>
      <c r="GQ154" s="5"/>
      <c r="GR154" s="5"/>
      <c r="GS154" s="5"/>
      <c r="GT154" s="5"/>
      <c r="GU154" s="5"/>
      <c r="GV154" s="5"/>
      <c r="GW154" s="5"/>
      <c r="GX154" s="5"/>
      <c r="GY154" s="5"/>
      <c r="GZ154" s="5"/>
      <c r="HB154" s="13"/>
      <c r="HC154" s="4"/>
      <c r="HD154" s="4"/>
      <c r="HE154" s="4"/>
      <c r="HF154" s="4"/>
      <c r="HG154" s="4"/>
      <c r="HH154" s="4"/>
      <c r="HI154" s="4"/>
      <c r="HJ154" s="4"/>
      <c r="HK154" s="4"/>
      <c r="HL154" s="4"/>
      <c r="HM154" s="4"/>
      <c r="HN154" s="4"/>
    </row>
    <row r="155" spans="158:222" x14ac:dyDescent="0.2">
      <c r="FB155" s="10"/>
      <c r="FC155" s="10"/>
      <c r="FD155" s="10"/>
      <c r="FE155" s="10"/>
      <c r="FF155" s="10"/>
      <c r="FG155" s="10"/>
      <c r="FH155" s="10"/>
      <c r="FI155" s="10"/>
      <c r="FJ155" s="10"/>
      <c r="FK155" s="10"/>
      <c r="FL155" s="10"/>
      <c r="FM155" s="10"/>
      <c r="FN155" s="10"/>
      <c r="FO155" s="10"/>
      <c r="FP155" s="10"/>
      <c r="FQ155" s="10"/>
      <c r="FW155" s="4"/>
      <c r="FX155" s="5"/>
      <c r="FZ155" s="13"/>
      <c r="GA155" s="22"/>
      <c r="GB155" s="22"/>
      <c r="GC155" s="22"/>
      <c r="GD155" s="22"/>
      <c r="GE155" s="22"/>
      <c r="GF155" s="22"/>
      <c r="GG155" s="22"/>
      <c r="GH155" s="22"/>
      <c r="GI155" s="22"/>
      <c r="GJ155" s="22"/>
      <c r="GK155" s="22"/>
      <c r="GL155" s="22"/>
      <c r="GM155" s="22"/>
      <c r="GO155" s="5"/>
      <c r="GP155" s="5"/>
      <c r="GQ155" s="5"/>
      <c r="GR155" s="5"/>
      <c r="GS155" s="5"/>
      <c r="GT155" s="5"/>
      <c r="GU155" s="5"/>
      <c r="GV155" s="5"/>
      <c r="GW155" s="5"/>
      <c r="GX155" s="5"/>
      <c r="GY155" s="5"/>
      <c r="GZ155" s="5"/>
      <c r="HB155" s="13"/>
      <c r="HC155" s="4"/>
      <c r="HD155" s="4"/>
      <c r="HE155" s="4"/>
      <c r="HF155" s="4"/>
      <c r="HG155" s="4"/>
      <c r="HH155" s="4"/>
      <c r="HI155" s="4"/>
      <c r="HJ155" s="4"/>
      <c r="HK155" s="4"/>
      <c r="HL155" s="4"/>
      <c r="HM155" s="4"/>
      <c r="HN155" s="4"/>
    </row>
    <row r="156" spans="158:222" x14ac:dyDescent="0.2">
      <c r="FB156" s="10"/>
      <c r="FC156" s="10"/>
      <c r="FD156" s="10"/>
      <c r="FE156" s="10"/>
      <c r="FF156" s="10"/>
      <c r="FG156" s="10"/>
      <c r="FH156" s="10"/>
      <c r="FI156" s="10"/>
      <c r="FJ156" s="10"/>
      <c r="FK156" s="10"/>
      <c r="FL156" s="10"/>
      <c r="FM156" s="10"/>
      <c r="FN156" s="10"/>
      <c r="FO156" s="10"/>
      <c r="FP156" s="10"/>
      <c r="FQ156" s="10"/>
      <c r="FW156" s="4"/>
      <c r="FX156" s="5"/>
      <c r="FZ156" s="13"/>
      <c r="GA156" s="22"/>
      <c r="GB156" s="22"/>
      <c r="GC156" s="22"/>
      <c r="GD156" s="22"/>
      <c r="GE156" s="22"/>
      <c r="GF156" s="22"/>
      <c r="GG156" s="22"/>
      <c r="GH156" s="22"/>
      <c r="GI156" s="22"/>
      <c r="GJ156" s="22"/>
      <c r="GK156" s="22"/>
      <c r="GL156" s="22"/>
      <c r="GM156" s="22"/>
      <c r="GO156" s="5"/>
      <c r="GP156" s="5"/>
      <c r="GQ156" s="5"/>
      <c r="GR156" s="5"/>
      <c r="GS156" s="5"/>
      <c r="GT156" s="5"/>
      <c r="GU156" s="5"/>
      <c r="GV156" s="5"/>
      <c r="GW156" s="5"/>
      <c r="GX156" s="5"/>
      <c r="GY156" s="5"/>
      <c r="GZ156" s="5"/>
      <c r="HB156" s="13"/>
      <c r="HC156" s="4"/>
      <c r="HD156" s="4"/>
      <c r="HE156" s="4"/>
      <c r="HF156" s="4"/>
      <c r="HG156" s="4"/>
      <c r="HH156" s="4"/>
      <c r="HI156" s="4"/>
      <c r="HJ156" s="4"/>
      <c r="HK156" s="4"/>
      <c r="HL156" s="4"/>
      <c r="HM156" s="4"/>
      <c r="HN156" s="4"/>
    </row>
    <row r="157" spans="158:222" x14ac:dyDescent="0.2">
      <c r="FB157" s="10"/>
      <c r="FC157" s="10"/>
      <c r="FD157" s="10"/>
      <c r="FE157" s="10"/>
      <c r="FF157" s="10"/>
      <c r="FG157" s="10"/>
      <c r="FH157" s="10"/>
      <c r="FI157" s="10"/>
      <c r="FJ157" s="10"/>
      <c r="FK157" s="10"/>
      <c r="FL157" s="10"/>
      <c r="FM157" s="10"/>
      <c r="FN157" s="10"/>
      <c r="FO157" s="10"/>
      <c r="FP157" s="10"/>
      <c r="FQ157" s="10"/>
      <c r="FW157" s="4"/>
      <c r="FX157" s="5"/>
      <c r="FZ157" s="13"/>
      <c r="GA157" s="22"/>
      <c r="GB157" s="22"/>
      <c r="GC157" s="22"/>
      <c r="GD157" s="22"/>
      <c r="GE157" s="22"/>
      <c r="GF157" s="22"/>
      <c r="GG157" s="22"/>
      <c r="GH157" s="22"/>
      <c r="GI157" s="22"/>
      <c r="GJ157" s="22"/>
      <c r="GK157" s="22"/>
      <c r="GL157" s="22"/>
      <c r="GM157" s="22"/>
      <c r="GO157" s="5"/>
      <c r="GP157" s="5"/>
      <c r="GQ157" s="5"/>
      <c r="GR157" s="5"/>
      <c r="GS157" s="5"/>
      <c r="GT157" s="5"/>
      <c r="GU157" s="5"/>
      <c r="GV157" s="5"/>
      <c r="GW157" s="5"/>
      <c r="GX157" s="5"/>
      <c r="GY157" s="5"/>
      <c r="GZ157" s="5"/>
      <c r="HB157" s="13"/>
      <c r="HC157" s="4"/>
      <c r="HD157" s="4"/>
      <c r="HE157" s="4"/>
      <c r="HF157" s="4"/>
      <c r="HG157" s="4"/>
      <c r="HH157" s="4"/>
      <c r="HI157" s="4"/>
      <c r="HJ157" s="4"/>
      <c r="HK157" s="4"/>
      <c r="HL157" s="4"/>
      <c r="HM157" s="4"/>
      <c r="HN157" s="4"/>
    </row>
    <row r="158" spans="158:222" x14ac:dyDescent="0.2">
      <c r="FB158" s="10"/>
      <c r="FC158" s="10"/>
      <c r="FD158" s="10"/>
      <c r="FE158" s="10"/>
      <c r="FF158" s="10"/>
      <c r="FG158" s="10"/>
      <c r="FH158" s="10"/>
      <c r="FI158" s="10"/>
      <c r="FJ158" s="10"/>
      <c r="FK158" s="10"/>
      <c r="FL158" s="10"/>
      <c r="FM158" s="10"/>
      <c r="FN158" s="10"/>
      <c r="FO158" s="10"/>
      <c r="FP158" s="10"/>
      <c r="FQ158" s="10"/>
      <c r="FW158" s="4"/>
      <c r="FX158" s="5"/>
      <c r="FZ158" s="13"/>
      <c r="GA158" s="22"/>
      <c r="GB158" s="22"/>
      <c r="GC158" s="22"/>
      <c r="GD158" s="22"/>
      <c r="GE158" s="22"/>
      <c r="GF158" s="22"/>
      <c r="GG158" s="22"/>
      <c r="GH158" s="22"/>
      <c r="GI158" s="22"/>
      <c r="GJ158" s="22"/>
      <c r="GK158" s="22"/>
      <c r="GL158" s="22"/>
      <c r="GM158" s="22"/>
      <c r="GO158" s="5"/>
      <c r="GP158" s="5"/>
      <c r="GQ158" s="5"/>
      <c r="GR158" s="5"/>
      <c r="GS158" s="5"/>
      <c r="GT158" s="5"/>
      <c r="GU158" s="5"/>
      <c r="GV158" s="5"/>
      <c r="GW158" s="5"/>
      <c r="GX158" s="5"/>
      <c r="GY158" s="5"/>
      <c r="GZ158" s="5"/>
      <c r="HB158" s="13"/>
      <c r="HC158" s="4"/>
      <c r="HD158" s="4"/>
      <c r="HE158" s="4"/>
      <c r="HF158" s="4"/>
      <c r="HG158" s="4"/>
      <c r="HH158" s="4"/>
      <c r="HI158" s="4"/>
      <c r="HJ158" s="4"/>
      <c r="HK158" s="4"/>
      <c r="HL158" s="4"/>
      <c r="HM158" s="4"/>
      <c r="HN158" s="4"/>
    </row>
    <row r="159" spans="158:222" x14ac:dyDescent="0.2">
      <c r="FB159" s="10"/>
      <c r="FC159" s="10"/>
      <c r="FD159" s="10"/>
      <c r="FE159" s="10"/>
      <c r="FF159" s="10"/>
      <c r="FG159" s="10"/>
      <c r="FH159" s="10"/>
      <c r="FI159" s="10"/>
      <c r="FJ159" s="10"/>
      <c r="FK159" s="10"/>
      <c r="FL159" s="10"/>
      <c r="FM159" s="10"/>
      <c r="FN159" s="10"/>
      <c r="FO159" s="10"/>
      <c r="FP159" s="10"/>
      <c r="FQ159" s="10"/>
      <c r="FW159" s="4"/>
      <c r="FX159" s="5"/>
      <c r="FZ159" s="13"/>
      <c r="GA159" s="22"/>
      <c r="GB159" s="22"/>
      <c r="GC159" s="22"/>
      <c r="GD159" s="22"/>
      <c r="GE159" s="22"/>
      <c r="GF159" s="22"/>
      <c r="GG159" s="22"/>
      <c r="GH159" s="22"/>
      <c r="GI159" s="22"/>
      <c r="GJ159" s="22"/>
      <c r="GK159" s="22"/>
      <c r="GL159" s="22"/>
      <c r="GM159" s="22"/>
      <c r="GO159" s="5"/>
      <c r="GP159" s="5"/>
      <c r="GQ159" s="5"/>
      <c r="GR159" s="5"/>
      <c r="GS159" s="5"/>
      <c r="GT159" s="5"/>
      <c r="GU159" s="5"/>
      <c r="GV159" s="5"/>
      <c r="GW159" s="5"/>
      <c r="GX159" s="5"/>
      <c r="GY159" s="5"/>
      <c r="GZ159" s="5"/>
      <c r="HB159" s="13"/>
      <c r="HC159" s="4"/>
      <c r="HD159" s="4"/>
      <c r="HE159" s="4"/>
      <c r="HF159" s="4"/>
      <c r="HG159" s="4"/>
      <c r="HH159" s="4"/>
      <c r="HI159" s="4"/>
      <c r="HJ159" s="4"/>
      <c r="HK159" s="4"/>
      <c r="HL159" s="4"/>
      <c r="HM159" s="4"/>
      <c r="HN159" s="4"/>
    </row>
    <row r="160" spans="158:222" x14ac:dyDescent="0.2">
      <c r="FB160" s="10"/>
      <c r="FC160" s="10"/>
      <c r="FD160" s="10"/>
      <c r="FE160" s="10"/>
      <c r="FF160" s="10"/>
      <c r="FG160" s="10"/>
      <c r="FH160" s="10"/>
      <c r="FI160" s="10"/>
      <c r="FJ160" s="10"/>
      <c r="FK160" s="10"/>
      <c r="FL160" s="10"/>
      <c r="FM160" s="10"/>
      <c r="FN160" s="10"/>
      <c r="FO160" s="10"/>
      <c r="FP160" s="10"/>
      <c r="FQ160" s="10"/>
      <c r="FW160" s="4"/>
      <c r="FX160" s="5"/>
      <c r="FZ160" s="13"/>
      <c r="GA160" s="22"/>
      <c r="GB160" s="22"/>
      <c r="GC160" s="22"/>
      <c r="GD160" s="22"/>
      <c r="GE160" s="22"/>
      <c r="GF160" s="22"/>
      <c r="GG160" s="22"/>
      <c r="GH160" s="22"/>
      <c r="GI160" s="22"/>
      <c r="GJ160" s="22"/>
      <c r="GK160" s="22"/>
      <c r="GL160" s="22"/>
      <c r="GM160" s="22"/>
      <c r="GO160" s="5"/>
      <c r="GP160" s="5"/>
      <c r="GQ160" s="5"/>
      <c r="GR160" s="5"/>
      <c r="GS160" s="5"/>
      <c r="GT160" s="5"/>
      <c r="GU160" s="5"/>
      <c r="GV160" s="5"/>
      <c r="GW160" s="5"/>
      <c r="GX160" s="5"/>
      <c r="GY160" s="5"/>
      <c r="GZ160" s="5"/>
      <c r="HB160" s="13"/>
      <c r="HC160" s="4"/>
      <c r="HD160" s="4"/>
      <c r="HE160" s="4"/>
      <c r="HF160" s="4"/>
      <c r="HG160" s="4"/>
      <c r="HH160" s="4"/>
      <c r="HI160" s="4"/>
      <c r="HJ160" s="4"/>
      <c r="HK160" s="4"/>
      <c r="HL160" s="4"/>
      <c r="HM160" s="4"/>
      <c r="HN160" s="4"/>
    </row>
    <row r="161" spans="158:222" x14ac:dyDescent="0.2">
      <c r="FB161" s="10"/>
      <c r="FC161" s="10"/>
      <c r="FD161" s="10"/>
      <c r="FE161" s="10"/>
      <c r="FF161" s="10"/>
      <c r="FG161" s="10"/>
      <c r="FH161" s="10"/>
      <c r="FI161" s="10"/>
      <c r="FJ161" s="10"/>
      <c r="FK161" s="10"/>
      <c r="FL161" s="10"/>
      <c r="FM161" s="10"/>
      <c r="FN161" s="10"/>
      <c r="FO161" s="10"/>
      <c r="FP161" s="10"/>
      <c r="FQ161" s="10"/>
      <c r="FW161" s="4"/>
      <c r="FX161" s="5"/>
      <c r="FZ161" s="13"/>
      <c r="GA161" s="22"/>
      <c r="GB161" s="22"/>
      <c r="GC161" s="22"/>
      <c r="GD161" s="22"/>
      <c r="GE161" s="22"/>
      <c r="GF161" s="22"/>
      <c r="GG161" s="22"/>
      <c r="GH161" s="22"/>
      <c r="GI161" s="22"/>
      <c r="GJ161" s="22"/>
      <c r="GK161" s="22"/>
      <c r="GL161" s="22"/>
      <c r="GM161" s="22"/>
      <c r="GO161" s="5"/>
      <c r="GP161" s="5"/>
      <c r="GQ161" s="5"/>
      <c r="GR161" s="5"/>
      <c r="GS161" s="5"/>
      <c r="GT161" s="5"/>
      <c r="GU161" s="5"/>
      <c r="GV161" s="5"/>
      <c r="GW161" s="5"/>
      <c r="GX161" s="5"/>
      <c r="GY161" s="5"/>
      <c r="GZ161" s="5"/>
      <c r="HB161" s="13"/>
      <c r="HC161" s="4"/>
      <c r="HD161" s="4"/>
      <c r="HE161" s="4"/>
      <c r="HF161" s="4"/>
      <c r="HG161" s="4"/>
      <c r="HH161" s="4"/>
      <c r="HI161" s="4"/>
      <c r="HJ161" s="4"/>
      <c r="HK161" s="4"/>
      <c r="HL161" s="4"/>
      <c r="HM161" s="4"/>
      <c r="HN161" s="4"/>
    </row>
    <row r="162" spans="158:222" x14ac:dyDescent="0.2">
      <c r="FB162" s="10"/>
      <c r="FC162" s="10"/>
      <c r="FD162" s="10"/>
      <c r="FE162" s="10"/>
      <c r="FF162" s="10"/>
      <c r="FG162" s="10"/>
      <c r="FH162" s="10"/>
      <c r="FI162" s="10"/>
      <c r="FJ162" s="10"/>
      <c r="FK162" s="10"/>
      <c r="FL162" s="10"/>
      <c r="FM162" s="10"/>
      <c r="FN162" s="10"/>
      <c r="FO162" s="10"/>
      <c r="FP162" s="10"/>
      <c r="FQ162" s="10"/>
      <c r="FW162" s="4"/>
      <c r="FX162" s="5"/>
      <c r="FZ162" s="13"/>
      <c r="GA162" s="22"/>
      <c r="GB162" s="22"/>
      <c r="GC162" s="22"/>
      <c r="GD162" s="22"/>
      <c r="GE162" s="22"/>
      <c r="GF162" s="22"/>
      <c r="GG162" s="22"/>
      <c r="GH162" s="22"/>
      <c r="GI162" s="22"/>
      <c r="GJ162" s="22"/>
      <c r="GK162" s="22"/>
      <c r="GL162" s="22"/>
      <c r="GM162" s="22"/>
      <c r="GO162" s="5"/>
      <c r="GP162" s="5"/>
      <c r="GQ162" s="5"/>
      <c r="GR162" s="5"/>
      <c r="GS162" s="5"/>
      <c r="GT162" s="5"/>
      <c r="GU162" s="5"/>
      <c r="GV162" s="5"/>
      <c r="GW162" s="5"/>
      <c r="GX162" s="5"/>
      <c r="GY162" s="5"/>
      <c r="GZ162" s="5"/>
      <c r="HB162" s="13"/>
      <c r="HC162" s="4"/>
      <c r="HD162" s="4"/>
      <c r="HE162" s="4"/>
      <c r="HF162" s="4"/>
      <c r="HG162" s="4"/>
      <c r="HH162" s="4"/>
      <c r="HI162" s="4"/>
      <c r="HJ162" s="4"/>
      <c r="HK162" s="4"/>
      <c r="HL162" s="4"/>
      <c r="HM162" s="4"/>
      <c r="HN162" s="4"/>
    </row>
    <row r="163" spans="158:222" x14ac:dyDescent="0.2">
      <c r="FB163" s="10"/>
      <c r="FC163" s="10"/>
      <c r="FD163" s="10"/>
      <c r="FE163" s="10"/>
      <c r="FF163" s="10"/>
      <c r="FG163" s="10"/>
      <c r="FH163" s="10"/>
      <c r="FI163" s="10"/>
      <c r="FJ163" s="10"/>
      <c r="FK163" s="10"/>
      <c r="FL163" s="10"/>
      <c r="FM163" s="10"/>
      <c r="FN163" s="10"/>
      <c r="FO163" s="10"/>
      <c r="FP163" s="10"/>
      <c r="FQ163" s="10"/>
      <c r="FW163" s="4"/>
      <c r="FX163" s="5"/>
      <c r="FZ163" s="13"/>
      <c r="GA163" s="22"/>
      <c r="GB163" s="22"/>
      <c r="GC163" s="22"/>
      <c r="GD163" s="22"/>
      <c r="GE163" s="22"/>
      <c r="GF163" s="22"/>
      <c r="GG163" s="22"/>
      <c r="GH163" s="22"/>
      <c r="GI163" s="22"/>
      <c r="GJ163" s="22"/>
      <c r="GK163" s="22"/>
      <c r="GL163" s="22"/>
      <c r="GM163" s="22"/>
      <c r="GO163" s="5"/>
      <c r="GP163" s="5"/>
      <c r="GQ163" s="5"/>
      <c r="GR163" s="5"/>
      <c r="GS163" s="5"/>
      <c r="GT163" s="5"/>
      <c r="GU163" s="5"/>
      <c r="GV163" s="5"/>
      <c r="GW163" s="5"/>
      <c r="GX163" s="5"/>
      <c r="GY163" s="5"/>
      <c r="GZ163" s="5"/>
      <c r="HB163" s="13"/>
      <c r="HC163" s="4"/>
      <c r="HD163" s="4"/>
      <c r="HE163" s="4"/>
      <c r="HF163" s="4"/>
      <c r="HG163" s="4"/>
      <c r="HH163" s="4"/>
      <c r="HI163" s="4"/>
      <c r="HJ163" s="4"/>
      <c r="HK163" s="4"/>
      <c r="HL163" s="4"/>
      <c r="HM163" s="4"/>
      <c r="HN163" s="4"/>
    </row>
    <row r="164" spans="158:222" x14ac:dyDescent="0.2">
      <c r="FB164" s="10"/>
      <c r="FC164" s="10"/>
      <c r="FD164" s="10"/>
      <c r="FE164" s="10"/>
      <c r="FF164" s="10"/>
      <c r="FG164" s="10"/>
      <c r="FH164" s="10"/>
      <c r="FI164" s="10"/>
      <c r="FJ164" s="10"/>
      <c r="FK164" s="10"/>
      <c r="FL164" s="10"/>
      <c r="FM164" s="10"/>
      <c r="FN164" s="10"/>
      <c r="FO164" s="10"/>
      <c r="FP164" s="10"/>
      <c r="FQ164" s="10"/>
      <c r="FW164" s="4"/>
      <c r="FX164" s="5"/>
      <c r="FZ164" s="13"/>
      <c r="GA164" s="22"/>
      <c r="GB164" s="22"/>
      <c r="GC164" s="22"/>
      <c r="GD164" s="22"/>
      <c r="GE164" s="22"/>
      <c r="GF164" s="22"/>
      <c r="GG164" s="22"/>
      <c r="GH164" s="22"/>
      <c r="GI164" s="22"/>
      <c r="GJ164" s="22"/>
      <c r="GK164" s="22"/>
      <c r="GL164" s="22"/>
      <c r="GM164" s="22"/>
      <c r="GO164" s="5"/>
      <c r="GP164" s="5"/>
      <c r="GQ164" s="5"/>
      <c r="GR164" s="5"/>
      <c r="GS164" s="5"/>
      <c r="GT164" s="5"/>
      <c r="GU164" s="5"/>
      <c r="GV164" s="5"/>
      <c r="GW164" s="5"/>
      <c r="GX164" s="5"/>
      <c r="GY164" s="5"/>
      <c r="GZ164" s="5"/>
      <c r="HB164" s="13"/>
      <c r="HC164" s="4"/>
      <c r="HD164" s="4"/>
      <c r="HE164" s="4"/>
      <c r="HF164" s="4"/>
      <c r="HG164" s="4"/>
      <c r="HH164" s="4"/>
      <c r="HI164" s="4"/>
      <c r="HJ164" s="4"/>
      <c r="HK164" s="4"/>
      <c r="HL164" s="4"/>
      <c r="HM164" s="4"/>
      <c r="HN164" s="4"/>
    </row>
    <row r="165" spans="158:222" x14ac:dyDescent="0.2">
      <c r="FB165" s="10"/>
      <c r="FC165" s="10"/>
      <c r="FD165" s="10"/>
      <c r="FE165" s="10"/>
      <c r="FF165" s="10"/>
      <c r="FG165" s="10"/>
      <c r="FH165" s="10"/>
      <c r="FI165" s="10"/>
      <c r="FJ165" s="10"/>
      <c r="FK165" s="10"/>
      <c r="FL165" s="10"/>
      <c r="FM165" s="10"/>
      <c r="FN165" s="10"/>
      <c r="FO165" s="10"/>
      <c r="FP165" s="10"/>
      <c r="FQ165" s="10"/>
      <c r="FW165" s="4"/>
      <c r="FX165" s="5"/>
      <c r="FZ165" s="13"/>
      <c r="GA165" s="22"/>
      <c r="GB165" s="22"/>
      <c r="GC165" s="22"/>
      <c r="GD165" s="22"/>
      <c r="GE165" s="22"/>
      <c r="GF165" s="22"/>
      <c r="GG165" s="22"/>
      <c r="GH165" s="22"/>
      <c r="GI165" s="22"/>
      <c r="GJ165" s="22"/>
      <c r="GK165" s="22"/>
      <c r="GL165" s="22"/>
      <c r="GM165" s="22"/>
      <c r="GO165" s="5"/>
      <c r="GP165" s="5"/>
      <c r="GQ165" s="5"/>
      <c r="GR165" s="5"/>
      <c r="GS165" s="5"/>
      <c r="GT165" s="5"/>
      <c r="GU165" s="5"/>
      <c r="GV165" s="5"/>
      <c r="GW165" s="5"/>
      <c r="GX165" s="5"/>
      <c r="GY165" s="5"/>
      <c r="GZ165" s="5"/>
      <c r="HB165" s="13"/>
      <c r="HC165" s="4"/>
      <c r="HD165" s="4"/>
      <c r="HE165" s="4"/>
      <c r="HF165" s="4"/>
      <c r="HG165" s="4"/>
      <c r="HH165" s="4"/>
      <c r="HI165" s="4"/>
      <c r="HJ165" s="4"/>
      <c r="HK165" s="4"/>
      <c r="HL165" s="4"/>
      <c r="HM165" s="4"/>
      <c r="HN165" s="4"/>
    </row>
    <row r="166" spans="158:222" x14ac:dyDescent="0.2">
      <c r="FB166" s="10"/>
      <c r="FC166" s="10"/>
      <c r="FD166" s="10"/>
      <c r="FE166" s="10"/>
      <c r="FF166" s="10"/>
      <c r="FG166" s="10"/>
      <c r="FH166" s="10"/>
      <c r="FI166" s="10"/>
      <c r="FJ166" s="10"/>
      <c r="FK166" s="10"/>
      <c r="FL166" s="10"/>
      <c r="FM166" s="10"/>
      <c r="FN166" s="10"/>
      <c r="FO166" s="10"/>
      <c r="FP166" s="10"/>
      <c r="FQ166" s="10"/>
      <c r="FW166" s="4"/>
      <c r="FX166" s="5"/>
      <c r="FZ166" s="13"/>
      <c r="GA166" s="22"/>
      <c r="GB166" s="22"/>
      <c r="GC166" s="22"/>
      <c r="GD166" s="22"/>
      <c r="GE166" s="22"/>
      <c r="GF166" s="22"/>
      <c r="GG166" s="22"/>
      <c r="GH166" s="22"/>
      <c r="GI166" s="22"/>
      <c r="GJ166" s="22"/>
      <c r="GK166" s="22"/>
      <c r="GL166" s="22"/>
      <c r="GM166" s="22"/>
      <c r="GO166" s="5"/>
      <c r="GP166" s="5"/>
      <c r="GQ166" s="5"/>
      <c r="GR166" s="5"/>
      <c r="GS166" s="5"/>
      <c r="GT166" s="5"/>
      <c r="GU166" s="5"/>
      <c r="GV166" s="5"/>
      <c r="GW166" s="5"/>
      <c r="GX166" s="5"/>
      <c r="GY166" s="5"/>
      <c r="GZ166" s="5"/>
      <c r="HB166" s="13"/>
      <c r="HC166" s="4"/>
      <c r="HD166" s="4"/>
      <c r="HE166" s="4"/>
      <c r="HF166" s="4"/>
      <c r="HG166" s="4"/>
      <c r="HH166" s="4"/>
      <c r="HI166" s="4"/>
      <c r="HJ166" s="4"/>
      <c r="HK166" s="4"/>
      <c r="HL166" s="4"/>
      <c r="HM166" s="4"/>
      <c r="HN166" s="4"/>
    </row>
    <row r="167" spans="158:222" x14ac:dyDescent="0.2">
      <c r="FB167" s="10"/>
      <c r="FC167" s="10"/>
      <c r="FD167" s="10"/>
      <c r="FE167" s="10"/>
      <c r="FF167" s="10"/>
      <c r="FG167" s="10"/>
      <c r="FH167" s="10"/>
      <c r="FI167" s="10"/>
      <c r="FJ167" s="10"/>
      <c r="FK167" s="10"/>
      <c r="FL167" s="10"/>
      <c r="FM167" s="10"/>
      <c r="FN167" s="10"/>
      <c r="FO167" s="10"/>
      <c r="FP167" s="10"/>
      <c r="FQ167" s="10"/>
      <c r="FW167" s="4"/>
      <c r="FX167" s="5"/>
      <c r="FZ167" s="13"/>
      <c r="GA167" s="22"/>
      <c r="GB167" s="22"/>
      <c r="GC167" s="22"/>
      <c r="GD167" s="22"/>
      <c r="GE167" s="22"/>
      <c r="GF167" s="22"/>
      <c r="GG167" s="22"/>
      <c r="GH167" s="22"/>
      <c r="GI167" s="22"/>
      <c r="GJ167" s="22"/>
      <c r="GK167" s="22"/>
      <c r="GL167" s="22"/>
      <c r="GM167" s="22"/>
      <c r="GO167" s="5"/>
      <c r="GP167" s="5"/>
      <c r="GQ167" s="5"/>
      <c r="GR167" s="5"/>
      <c r="GS167" s="5"/>
      <c r="GT167" s="5"/>
      <c r="GU167" s="5"/>
      <c r="GV167" s="5"/>
      <c r="GW167" s="5"/>
      <c r="GX167" s="5"/>
      <c r="GY167" s="5"/>
      <c r="GZ167" s="5"/>
      <c r="HB167" s="13"/>
      <c r="HC167" s="4"/>
      <c r="HD167" s="4"/>
      <c r="HE167" s="4"/>
      <c r="HF167" s="4"/>
      <c r="HG167" s="4"/>
      <c r="HH167" s="4"/>
      <c r="HI167" s="4"/>
      <c r="HJ167" s="4"/>
      <c r="HK167" s="4"/>
      <c r="HL167" s="4"/>
      <c r="HM167" s="4"/>
      <c r="HN167" s="4"/>
    </row>
    <row r="168" spans="158:222" x14ac:dyDescent="0.2">
      <c r="FB168" s="10"/>
      <c r="FC168" s="10"/>
      <c r="FD168" s="10"/>
      <c r="FE168" s="10"/>
      <c r="FF168" s="10"/>
      <c r="FG168" s="10"/>
      <c r="FH168" s="10"/>
      <c r="FI168" s="10"/>
      <c r="FJ168" s="10"/>
      <c r="FK168" s="10"/>
      <c r="FL168" s="10"/>
      <c r="FM168" s="10"/>
      <c r="FN168" s="10"/>
      <c r="FO168" s="10"/>
      <c r="FP168" s="10"/>
      <c r="FQ168" s="10"/>
      <c r="FW168" s="4"/>
      <c r="FX168" s="5"/>
      <c r="FZ168" s="13"/>
      <c r="GA168" s="22"/>
      <c r="GB168" s="22"/>
      <c r="GC168" s="22"/>
      <c r="GD168" s="22"/>
      <c r="GE168" s="22"/>
      <c r="GF168" s="22"/>
      <c r="GG168" s="22"/>
      <c r="GH168" s="22"/>
      <c r="GI168" s="22"/>
      <c r="GJ168" s="22"/>
      <c r="GK168" s="22"/>
      <c r="GL168" s="22"/>
      <c r="GM168" s="22"/>
      <c r="GO168" s="5"/>
      <c r="GP168" s="5"/>
      <c r="GQ168" s="5"/>
      <c r="GR168" s="5"/>
      <c r="GS168" s="5"/>
      <c r="GT168" s="5"/>
      <c r="GU168" s="5"/>
      <c r="GV168" s="5"/>
      <c r="GW168" s="5"/>
      <c r="GX168" s="5"/>
      <c r="GY168" s="5"/>
      <c r="GZ168" s="5"/>
      <c r="HB168" s="13"/>
      <c r="HC168" s="4"/>
      <c r="HD168" s="4"/>
      <c r="HE168" s="4"/>
      <c r="HF168" s="4"/>
      <c r="HG168" s="4"/>
      <c r="HH168" s="4"/>
      <c r="HI168" s="4"/>
      <c r="HJ168" s="4"/>
      <c r="HK168" s="4"/>
      <c r="HL168" s="4"/>
      <c r="HM168" s="4"/>
      <c r="HN168" s="4"/>
    </row>
    <row r="169" spans="158:222" x14ac:dyDescent="0.2">
      <c r="FB169" s="10"/>
      <c r="FC169" s="10"/>
      <c r="FD169" s="10"/>
      <c r="FE169" s="10"/>
      <c r="FF169" s="10"/>
      <c r="FG169" s="10"/>
      <c r="FH169" s="10"/>
      <c r="FI169" s="10"/>
      <c r="FJ169" s="10"/>
      <c r="FK169" s="10"/>
      <c r="FL169" s="10"/>
      <c r="FM169" s="10"/>
      <c r="FN169" s="10"/>
      <c r="FO169" s="10"/>
      <c r="FP169" s="10"/>
      <c r="FQ169" s="10"/>
      <c r="FW169" s="4"/>
      <c r="FX169" s="5"/>
      <c r="FZ169" s="13"/>
      <c r="GA169" s="22"/>
      <c r="GB169" s="22"/>
      <c r="GC169" s="22"/>
      <c r="GD169" s="22"/>
      <c r="GE169" s="22"/>
      <c r="GF169" s="22"/>
      <c r="GG169" s="22"/>
      <c r="GH169" s="22"/>
      <c r="GI169" s="22"/>
      <c r="GJ169" s="22"/>
      <c r="GK169" s="22"/>
      <c r="GL169" s="22"/>
      <c r="GM169" s="22"/>
      <c r="GO169" s="5"/>
      <c r="GP169" s="5"/>
      <c r="GQ169" s="5"/>
      <c r="GR169" s="5"/>
      <c r="GS169" s="5"/>
      <c r="GT169" s="5"/>
      <c r="GU169" s="5"/>
      <c r="GV169" s="5"/>
      <c r="GW169" s="5"/>
      <c r="GX169" s="5"/>
      <c r="GY169" s="5"/>
      <c r="GZ169" s="5"/>
      <c r="HB169" s="13"/>
      <c r="HC169" s="4"/>
      <c r="HD169" s="4"/>
      <c r="HE169" s="4"/>
      <c r="HF169" s="4"/>
      <c r="HG169" s="4"/>
      <c r="HH169" s="4"/>
      <c r="HI169" s="4"/>
      <c r="HJ169" s="4"/>
      <c r="HK169" s="4"/>
      <c r="HL169" s="4"/>
      <c r="HM169" s="4"/>
      <c r="HN169" s="4"/>
    </row>
    <row r="170" spans="158:222" x14ac:dyDescent="0.2">
      <c r="FB170" s="10"/>
      <c r="FC170" s="10"/>
      <c r="FD170" s="10"/>
      <c r="FE170" s="10"/>
      <c r="FF170" s="10"/>
      <c r="FG170" s="10"/>
      <c r="FH170" s="10"/>
      <c r="FI170" s="10"/>
      <c r="FJ170" s="10"/>
      <c r="FK170" s="10"/>
      <c r="FL170" s="10"/>
      <c r="FM170" s="10"/>
      <c r="FN170" s="10"/>
      <c r="FO170" s="10"/>
      <c r="FP170" s="10"/>
      <c r="FQ170" s="10"/>
      <c r="FW170" s="4"/>
      <c r="FX170" s="5"/>
      <c r="FZ170" s="13"/>
      <c r="GA170" s="22"/>
      <c r="GB170" s="22"/>
      <c r="GC170" s="22"/>
      <c r="GD170" s="22"/>
      <c r="GE170" s="22"/>
      <c r="GF170" s="22"/>
      <c r="GG170" s="22"/>
      <c r="GH170" s="22"/>
      <c r="GI170" s="22"/>
      <c r="GJ170" s="22"/>
      <c r="GK170" s="22"/>
      <c r="GL170" s="22"/>
      <c r="GM170" s="22"/>
      <c r="GO170" s="5"/>
      <c r="GP170" s="5"/>
      <c r="GQ170" s="5"/>
      <c r="GR170" s="5"/>
      <c r="GS170" s="5"/>
      <c r="GT170" s="5"/>
      <c r="GU170" s="5"/>
      <c r="GV170" s="5"/>
      <c r="GW170" s="5"/>
      <c r="GX170" s="5"/>
      <c r="GY170" s="5"/>
      <c r="GZ170" s="5"/>
      <c r="HB170" s="13"/>
      <c r="HC170" s="4"/>
      <c r="HD170" s="4"/>
      <c r="HE170" s="4"/>
      <c r="HF170" s="4"/>
      <c r="HG170" s="4"/>
      <c r="HH170" s="4"/>
      <c r="HI170" s="4"/>
      <c r="HJ170" s="4"/>
      <c r="HK170" s="4"/>
      <c r="HL170" s="4"/>
      <c r="HM170" s="4"/>
      <c r="HN170" s="4"/>
    </row>
    <row r="171" spans="158:222" x14ac:dyDescent="0.2">
      <c r="FB171" s="10"/>
      <c r="FC171" s="10"/>
      <c r="FD171" s="10"/>
      <c r="FE171" s="10"/>
      <c r="FF171" s="10"/>
      <c r="FG171" s="10"/>
      <c r="FH171" s="10"/>
      <c r="FI171" s="10"/>
      <c r="FJ171" s="10"/>
      <c r="FK171" s="10"/>
      <c r="FL171" s="10"/>
      <c r="FM171" s="10"/>
      <c r="FN171" s="10"/>
      <c r="FO171" s="10"/>
      <c r="FP171" s="10"/>
      <c r="FQ171" s="10"/>
      <c r="FW171" s="4"/>
      <c r="FX171" s="5"/>
      <c r="FZ171" s="13"/>
      <c r="GA171" s="22"/>
      <c r="GB171" s="22"/>
      <c r="GC171" s="22"/>
      <c r="GD171" s="22"/>
      <c r="GE171" s="22"/>
      <c r="GF171" s="22"/>
      <c r="GG171" s="22"/>
      <c r="GH171" s="22"/>
      <c r="GI171" s="22"/>
      <c r="GJ171" s="22"/>
      <c r="GK171" s="22"/>
      <c r="GL171" s="22"/>
      <c r="GM171" s="22"/>
      <c r="GO171" s="5"/>
      <c r="GP171" s="5"/>
      <c r="GQ171" s="5"/>
      <c r="GR171" s="5"/>
      <c r="GS171" s="5"/>
      <c r="GT171" s="5"/>
      <c r="GU171" s="5"/>
      <c r="GV171" s="5"/>
      <c r="GW171" s="5"/>
      <c r="GX171" s="5"/>
      <c r="GY171" s="5"/>
      <c r="GZ171" s="5"/>
      <c r="HB171" s="13"/>
      <c r="HC171" s="4"/>
      <c r="HD171" s="4"/>
      <c r="HE171" s="4"/>
      <c r="HF171" s="4"/>
      <c r="HG171" s="4"/>
      <c r="HH171" s="4"/>
      <c r="HI171" s="4"/>
      <c r="HJ171" s="4"/>
      <c r="HK171" s="4"/>
      <c r="HL171" s="4"/>
      <c r="HM171" s="4"/>
      <c r="HN171" s="4"/>
    </row>
    <row r="172" spans="158:222" x14ac:dyDescent="0.2">
      <c r="FB172" s="10"/>
      <c r="FC172" s="10"/>
      <c r="FD172" s="10"/>
      <c r="FE172" s="10"/>
      <c r="FF172" s="10"/>
      <c r="FG172" s="10"/>
      <c r="FH172" s="10"/>
      <c r="FI172" s="10"/>
      <c r="FJ172" s="10"/>
      <c r="FK172" s="10"/>
      <c r="FL172" s="10"/>
      <c r="FM172" s="10"/>
      <c r="FN172" s="10"/>
      <c r="FO172" s="10"/>
      <c r="FP172" s="10"/>
      <c r="FQ172" s="10"/>
      <c r="FW172" s="4"/>
      <c r="FX172" s="5"/>
      <c r="FZ172" s="13"/>
      <c r="GA172" s="22"/>
      <c r="GB172" s="22"/>
      <c r="GC172" s="22"/>
      <c r="GD172" s="22"/>
      <c r="GE172" s="22"/>
      <c r="GF172" s="22"/>
      <c r="GG172" s="22"/>
      <c r="GH172" s="22"/>
      <c r="GI172" s="22"/>
      <c r="GJ172" s="22"/>
      <c r="GK172" s="22"/>
      <c r="GL172" s="22"/>
      <c r="GM172" s="22"/>
      <c r="GO172" s="5"/>
      <c r="GP172" s="5"/>
      <c r="GQ172" s="5"/>
      <c r="GR172" s="5"/>
      <c r="GS172" s="5"/>
      <c r="GT172" s="5"/>
      <c r="GU172" s="5"/>
      <c r="GV172" s="5"/>
      <c r="GW172" s="5"/>
      <c r="GX172" s="5"/>
      <c r="GY172" s="5"/>
      <c r="GZ172" s="5"/>
      <c r="HB172" s="13"/>
      <c r="HC172" s="4"/>
      <c r="HD172" s="4"/>
      <c r="HE172" s="4"/>
      <c r="HF172" s="4"/>
      <c r="HG172" s="4"/>
      <c r="HH172" s="4"/>
      <c r="HI172" s="4"/>
      <c r="HJ172" s="4"/>
      <c r="HK172" s="4"/>
      <c r="HL172" s="4"/>
      <c r="HM172" s="4"/>
      <c r="HN172" s="4"/>
    </row>
    <row r="173" spans="158:222" x14ac:dyDescent="0.2">
      <c r="FB173" s="10"/>
      <c r="FC173" s="10"/>
      <c r="FD173" s="10"/>
      <c r="FE173" s="10"/>
      <c r="FF173" s="10"/>
      <c r="FG173" s="10"/>
      <c r="FH173" s="10"/>
      <c r="FI173" s="10"/>
      <c r="FJ173" s="10"/>
      <c r="FK173" s="10"/>
      <c r="FL173" s="10"/>
      <c r="FM173" s="10"/>
      <c r="FN173" s="10"/>
      <c r="FO173" s="10"/>
      <c r="FP173" s="10"/>
      <c r="FQ173" s="10"/>
      <c r="FW173" s="4"/>
      <c r="FX173" s="5"/>
      <c r="FZ173" s="13"/>
      <c r="GA173" s="22"/>
      <c r="GB173" s="22"/>
      <c r="GC173" s="22"/>
      <c r="GD173" s="22"/>
      <c r="GE173" s="22"/>
      <c r="GF173" s="22"/>
      <c r="GG173" s="22"/>
      <c r="GH173" s="22"/>
      <c r="GI173" s="22"/>
      <c r="GJ173" s="22"/>
      <c r="GK173" s="22"/>
      <c r="GL173" s="22"/>
      <c r="GM173" s="22"/>
      <c r="GO173" s="5"/>
      <c r="GP173" s="5"/>
      <c r="GQ173" s="5"/>
      <c r="GR173" s="5"/>
      <c r="GS173" s="5"/>
      <c r="GT173" s="5"/>
      <c r="GU173" s="5"/>
      <c r="GV173" s="5"/>
      <c r="GW173" s="5"/>
      <c r="GX173" s="5"/>
      <c r="GY173" s="5"/>
      <c r="GZ173" s="5"/>
      <c r="HB173" s="13"/>
      <c r="HC173" s="4"/>
      <c r="HD173" s="4"/>
      <c r="HE173" s="4"/>
      <c r="HF173" s="4"/>
      <c r="HG173" s="4"/>
      <c r="HH173" s="4"/>
      <c r="HI173" s="4"/>
      <c r="HJ173" s="4"/>
      <c r="HK173" s="4"/>
      <c r="HL173" s="4"/>
      <c r="HM173" s="4"/>
      <c r="HN173" s="4"/>
    </row>
    <row r="174" spans="158:222" x14ac:dyDescent="0.2">
      <c r="FB174" s="10"/>
      <c r="FC174" s="10"/>
      <c r="FD174" s="10"/>
      <c r="FE174" s="10"/>
      <c r="FF174" s="10"/>
      <c r="FG174" s="10"/>
      <c r="FH174" s="10"/>
      <c r="FI174" s="10"/>
      <c r="FJ174" s="10"/>
      <c r="FK174" s="10"/>
      <c r="FL174" s="10"/>
      <c r="FM174" s="10"/>
      <c r="FN174" s="10"/>
      <c r="FO174" s="10"/>
      <c r="FP174" s="10"/>
      <c r="FQ174" s="10"/>
      <c r="FW174" s="4"/>
      <c r="FX174" s="5"/>
      <c r="FZ174" s="13"/>
      <c r="GA174" s="22"/>
      <c r="GB174" s="22"/>
      <c r="GC174" s="22"/>
      <c r="GD174" s="22"/>
      <c r="GE174" s="22"/>
      <c r="GF174" s="22"/>
      <c r="GG174" s="22"/>
      <c r="GH174" s="22"/>
      <c r="GI174" s="22"/>
      <c r="GJ174" s="22"/>
      <c r="GK174" s="22"/>
      <c r="GL174" s="22"/>
      <c r="GM174" s="22"/>
      <c r="GO174" s="5"/>
      <c r="GP174" s="5"/>
      <c r="GQ174" s="5"/>
      <c r="GR174" s="5"/>
      <c r="GS174" s="5"/>
      <c r="GT174" s="5"/>
      <c r="GU174" s="5"/>
      <c r="GV174" s="5"/>
      <c r="GW174" s="5"/>
      <c r="GX174" s="5"/>
      <c r="GY174" s="5"/>
      <c r="GZ174" s="5"/>
      <c r="HB174" s="13"/>
      <c r="HC174" s="4"/>
      <c r="HD174" s="4"/>
      <c r="HE174" s="4"/>
      <c r="HF174" s="4"/>
      <c r="HG174" s="4"/>
      <c r="HH174" s="4"/>
      <c r="HI174" s="4"/>
      <c r="HJ174" s="4"/>
      <c r="HK174" s="4"/>
      <c r="HL174" s="4"/>
      <c r="HM174" s="4"/>
      <c r="HN174" s="4"/>
    </row>
    <row r="175" spans="158:222" x14ac:dyDescent="0.2">
      <c r="FB175" s="10"/>
      <c r="FC175" s="10"/>
      <c r="FD175" s="10"/>
      <c r="FE175" s="10"/>
      <c r="FF175" s="10"/>
      <c r="FG175" s="10"/>
      <c r="FH175" s="10"/>
      <c r="FI175" s="10"/>
      <c r="FJ175" s="10"/>
      <c r="FK175" s="10"/>
      <c r="FL175" s="10"/>
      <c r="FM175" s="10"/>
      <c r="FN175" s="10"/>
      <c r="FO175" s="10"/>
      <c r="FP175" s="10"/>
      <c r="FQ175" s="10"/>
      <c r="FW175" s="4"/>
      <c r="FX175" s="5"/>
      <c r="FZ175" s="13"/>
      <c r="GA175" s="22"/>
      <c r="GB175" s="22"/>
      <c r="GC175" s="22"/>
      <c r="GD175" s="22"/>
      <c r="GE175" s="22"/>
      <c r="GF175" s="22"/>
      <c r="GG175" s="22"/>
      <c r="GH175" s="22"/>
      <c r="GI175" s="22"/>
      <c r="GJ175" s="22"/>
      <c r="GK175" s="22"/>
      <c r="GL175" s="22"/>
      <c r="GM175" s="22"/>
      <c r="GO175" s="5"/>
      <c r="GP175" s="5"/>
      <c r="GQ175" s="5"/>
      <c r="GR175" s="5"/>
      <c r="GS175" s="5"/>
      <c r="GT175" s="5"/>
      <c r="GU175" s="5"/>
      <c r="GV175" s="5"/>
      <c r="GW175" s="5"/>
      <c r="GX175" s="5"/>
      <c r="GY175" s="5"/>
      <c r="GZ175" s="5"/>
      <c r="HB175" s="13"/>
      <c r="HC175" s="4"/>
      <c r="HD175" s="4"/>
      <c r="HE175" s="4"/>
      <c r="HF175" s="4"/>
      <c r="HG175" s="4"/>
      <c r="HH175" s="4"/>
      <c r="HI175" s="4"/>
      <c r="HJ175" s="4"/>
      <c r="HK175" s="4"/>
      <c r="HL175" s="4"/>
      <c r="HM175" s="4"/>
      <c r="HN175" s="4"/>
    </row>
    <row r="176" spans="158:222" x14ac:dyDescent="0.2">
      <c r="FB176" s="10"/>
      <c r="FC176" s="10"/>
      <c r="FD176" s="10"/>
      <c r="FE176" s="10"/>
      <c r="FF176" s="10"/>
      <c r="FG176" s="10"/>
      <c r="FH176" s="10"/>
      <c r="FI176" s="10"/>
      <c r="FJ176" s="10"/>
      <c r="FK176" s="10"/>
      <c r="FL176" s="10"/>
      <c r="FM176" s="10"/>
      <c r="FN176" s="10"/>
      <c r="FO176" s="10"/>
      <c r="FP176" s="10"/>
      <c r="FQ176" s="10"/>
      <c r="FW176" s="4"/>
      <c r="FX176" s="5"/>
      <c r="FZ176" s="13"/>
      <c r="GA176" s="22"/>
      <c r="GB176" s="22"/>
      <c r="GC176" s="22"/>
      <c r="GD176" s="22"/>
      <c r="GE176" s="22"/>
      <c r="GF176" s="22"/>
      <c r="GG176" s="22"/>
      <c r="GH176" s="22"/>
      <c r="GI176" s="22"/>
      <c r="GJ176" s="22"/>
      <c r="GK176" s="22"/>
      <c r="GL176" s="22"/>
      <c r="GM176" s="22"/>
      <c r="GO176" s="5"/>
      <c r="GP176" s="5"/>
      <c r="GQ176" s="5"/>
      <c r="GR176" s="5"/>
      <c r="GS176" s="5"/>
      <c r="GT176" s="5"/>
      <c r="GU176" s="5"/>
      <c r="GV176" s="5"/>
      <c r="GW176" s="5"/>
      <c r="GX176" s="5"/>
      <c r="GY176" s="5"/>
      <c r="GZ176" s="5"/>
      <c r="HB176" s="13"/>
      <c r="HC176" s="4"/>
      <c r="HD176" s="4"/>
      <c r="HE176" s="4"/>
      <c r="HF176" s="4"/>
      <c r="HG176" s="4"/>
      <c r="HH176" s="4"/>
      <c r="HI176" s="4"/>
      <c r="HJ176" s="4"/>
      <c r="HK176" s="4"/>
      <c r="HL176" s="4"/>
      <c r="HM176" s="4"/>
      <c r="HN176" s="4"/>
    </row>
    <row r="177" spans="158:222" x14ac:dyDescent="0.2">
      <c r="FB177" s="10"/>
      <c r="FC177" s="10"/>
      <c r="FD177" s="10"/>
      <c r="FE177" s="10"/>
      <c r="FF177" s="10"/>
      <c r="FG177" s="10"/>
      <c r="FH177" s="10"/>
      <c r="FI177" s="10"/>
      <c r="FJ177" s="10"/>
      <c r="FK177" s="10"/>
      <c r="FL177" s="10"/>
      <c r="FM177" s="10"/>
      <c r="FN177" s="10"/>
      <c r="FO177" s="10"/>
      <c r="FP177" s="10"/>
      <c r="FQ177" s="10"/>
      <c r="FW177" s="4"/>
      <c r="FX177" s="5"/>
      <c r="FZ177" s="13"/>
      <c r="GA177" s="22"/>
      <c r="GB177" s="22"/>
      <c r="GC177" s="22"/>
      <c r="GD177" s="22"/>
      <c r="GE177" s="22"/>
      <c r="GF177" s="22"/>
      <c r="GG177" s="22"/>
      <c r="GH177" s="22"/>
      <c r="GI177" s="22"/>
      <c r="GJ177" s="22"/>
      <c r="GK177" s="22"/>
      <c r="GL177" s="22"/>
      <c r="GM177" s="22"/>
      <c r="GO177" s="5"/>
      <c r="GP177" s="5"/>
      <c r="GQ177" s="5"/>
      <c r="GR177" s="5"/>
      <c r="GS177" s="5"/>
      <c r="GT177" s="5"/>
      <c r="GU177" s="5"/>
      <c r="GV177" s="5"/>
      <c r="GW177" s="5"/>
      <c r="GX177" s="5"/>
      <c r="GY177" s="5"/>
      <c r="GZ177" s="5"/>
      <c r="HB177" s="13"/>
      <c r="HC177" s="4"/>
      <c r="HD177" s="4"/>
      <c r="HE177" s="4"/>
      <c r="HF177" s="4"/>
      <c r="HG177" s="4"/>
      <c r="HH177" s="4"/>
      <c r="HI177" s="4"/>
      <c r="HJ177" s="4"/>
      <c r="HK177" s="4"/>
      <c r="HL177" s="4"/>
      <c r="HM177" s="4"/>
      <c r="HN177" s="4"/>
    </row>
    <row r="178" spans="158:222" x14ac:dyDescent="0.2">
      <c r="FB178" s="10"/>
      <c r="FC178" s="10"/>
      <c r="FD178" s="10"/>
      <c r="FE178" s="10"/>
      <c r="FF178" s="10"/>
      <c r="FG178" s="10"/>
      <c r="FH178" s="10"/>
      <c r="FI178" s="10"/>
      <c r="FJ178" s="10"/>
      <c r="FK178" s="10"/>
      <c r="FL178" s="10"/>
      <c r="FM178" s="10"/>
      <c r="FN178" s="10"/>
      <c r="FO178" s="10"/>
      <c r="FP178" s="10"/>
      <c r="FQ178" s="10"/>
      <c r="FW178" s="4"/>
      <c r="FX178" s="5"/>
      <c r="FZ178" s="13"/>
      <c r="GA178" s="22"/>
      <c r="GB178" s="22"/>
      <c r="GC178" s="22"/>
      <c r="GD178" s="22"/>
      <c r="GE178" s="22"/>
      <c r="GF178" s="22"/>
      <c r="GG178" s="22"/>
      <c r="GH178" s="22"/>
      <c r="GI178" s="22"/>
      <c r="GJ178" s="22"/>
      <c r="GK178" s="22"/>
      <c r="GL178" s="22"/>
      <c r="GM178" s="22"/>
      <c r="GO178" s="5"/>
      <c r="GP178" s="5"/>
      <c r="GQ178" s="5"/>
      <c r="GR178" s="5"/>
      <c r="GS178" s="5"/>
      <c r="GT178" s="5"/>
      <c r="GU178" s="5"/>
      <c r="GV178" s="5"/>
      <c r="GW178" s="5"/>
      <c r="GX178" s="5"/>
      <c r="GY178" s="5"/>
      <c r="GZ178" s="5"/>
      <c r="HB178" s="13"/>
      <c r="HC178" s="4"/>
      <c r="HD178" s="4"/>
      <c r="HE178" s="4"/>
      <c r="HF178" s="4"/>
      <c r="HG178" s="4"/>
      <c r="HH178" s="4"/>
      <c r="HI178" s="4"/>
      <c r="HJ178" s="4"/>
      <c r="HK178" s="4"/>
      <c r="HL178" s="4"/>
      <c r="HM178" s="4"/>
      <c r="HN178" s="4"/>
    </row>
    <row r="179" spans="158:222" x14ac:dyDescent="0.2">
      <c r="FB179" s="10"/>
      <c r="FC179" s="10"/>
      <c r="FD179" s="10"/>
      <c r="FE179" s="10"/>
      <c r="FF179" s="10"/>
      <c r="FG179" s="10"/>
      <c r="FH179" s="10"/>
      <c r="FI179" s="10"/>
      <c r="FJ179" s="10"/>
      <c r="FK179" s="10"/>
      <c r="FL179" s="10"/>
      <c r="FM179" s="10"/>
      <c r="FN179" s="10"/>
      <c r="FO179" s="10"/>
      <c r="FP179" s="10"/>
      <c r="FQ179" s="10"/>
      <c r="FW179" s="4"/>
      <c r="FX179" s="5"/>
      <c r="FZ179" s="13"/>
      <c r="GA179" s="22"/>
      <c r="GB179" s="22"/>
      <c r="GC179" s="22"/>
      <c r="GD179" s="22"/>
      <c r="GE179" s="22"/>
      <c r="GF179" s="22"/>
      <c r="GG179" s="22"/>
      <c r="GH179" s="22"/>
      <c r="GI179" s="22"/>
      <c r="GJ179" s="22"/>
      <c r="GK179" s="22"/>
      <c r="GL179" s="22"/>
      <c r="GM179" s="22"/>
      <c r="GO179" s="5"/>
      <c r="GP179" s="5"/>
      <c r="GQ179" s="5"/>
      <c r="GR179" s="5"/>
      <c r="GS179" s="5"/>
      <c r="GT179" s="5"/>
      <c r="GU179" s="5"/>
      <c r="GV179" s="5"/>
      <c r="GW179" s="5"/>
      <c r="GX179" s="5"/>
      <c r="GY179" s="5"/>
      <c r="GZ179" s="5"/>
      <c r="HB179" s="13"/>
      <c r="HC179" s="4"/>
      <c r="HD179" s="4"/>
      <c r="HE179" s="4"/>
      <c r="HF179" s="4"/>
      <c r="HG179" s="4"/>
      <c r="HH179" s="4"/>
      <c r="HI179" s="4"/>
      <c r="HJ179" s="4"/>
      <c r="HK179" s="4"/>
      <c r="HL179" s="4"/>
      <c r="HM179" s="4"/>
      <c r="HN179" s="4"/>
    </row>
    <row r="180" spans="158:222" x14ac:dyDescent="0.2">
      <c r="FB180" s="10"/>
      <c r="FC180" s="10"/>
      <c r="FD180" s="10"/>
      <c r="FE180" s="10"/>
      <c r="FF180" s="10"/>
      <c r="FG180" s="10"/>
      <c r="FH180" s="10"/>
      <c r="FI180" s="10"/>
      <c r="FJ180" s="10"/>
      <c r="FK180" s="10"/>
      <c r="FL180" s="10"/>
      <c r="FM180" s="10"/>
      <c r="FN180" s="10"/>
      <c r="FO180" s="10"/>
      <c r="FP180" s="10"/>
      <c r="FQ180" s="10"/>
      <c r="FW180" s="4"/>
      <c r="FX180" s="5"/>
      <c r="FZ180" s="13"/>
      <c r="GA180" s="22"/>
      <c r="GB180" s="22"/>
      <c r="GC180" s="22"/>
      <c r="GD180" s="22"/>
      <c r="GE180" s="22"/>
      <c r="GF180" s="22"/>
      <c r="GG180" s="22"/>
      <c r="GH180" s="22"/>
      <c r="GI180" s="22"/>
      <c r="GJ180" s="22"/>
      <c r="GK180" s="22"/>
      <c r="GL180" s="22"/>
      <c r="GM180" s="22"/>
      <c r="GO180" s="5"/>
      <c r="GP180" s="5"/>
      <c r="GQ180" s="5"/>
      <c r="GR180" s="5"/>
      <c r="GS180" s="5"/>
      <c r="GT180" s="5"/>
      <c r="GU180" s="5"/>
      <c r="GV180" s="5"/>
      <c r="GW180" s="5"/>
      <c r="GX180" s="5"/>
      <c r="GY180" s="5"/>
      <c r="GZ180" s="5"/>
      <c r="HB180" s="13"/>
      <c r="HC180" s="4"/>
      <c r="HD180" s="4"/>
      <c r="HE180" s="4"/>
      <c r="HF180" s="4"/>
      <c r="HG180" s="4"/>
      <c r="HH180" s="4"/>
      <c r="HI180" s="4"/>
      <c r="HJ180" s="4"/>
      <c r="HK180" s="4"/>
      <c r="HL180" s="4"/>
      <c r="HM180" s="4"/>
      <c r="HN180" s="4"/>
    </row>
    <row r="181" spans="158:222" x14ac:dyDescent="0.2">
      <c r="FB181" s="10"/>
      <c r="FC181" s="10"/>
      <c r="FD181" s="10"/>
      <c r="FE181" s="10"/>
      <c r="FF181" s="10"/>
      <c r="FG181" s="10"/>
      <c r="FH181" s="10"/>
      <c r="FI181" s="10"/>
      <c r="FJ181" s="10"/>
      <c r="FK181" s="10"/>
      <c r="FL181" s="10"/>
      <c r="FM181" s="10"/>
      <c r="FN181" s="10"/>
      <c r="FO181" s="10"/>
      <c r="FP181" s="10"/>
      <c r="FQ181" s="10"/>
      <c r="FW181" s="4"/>
      <c r="FX181" s="5"/>
      <c r="FZ181" s="13"/>
      <c r="GA181" s="22"/>
      <c r="GB181" s="22"/>
      <c r="GC181" s="22"/>
      <c r="GD181" s="22"/>
      <c r="GE181" s="22"/>
      <c r="GF181" s="22"/>
      <c r="GG181" s="22"/>
      <c r="GH181" s="22"/>
      <c r="GI181" s="22"/>
      <c r="GJ181" s="22"/>
      <c r="GK181" s="22"/>
      <c r="GL181" s="22"/>
      <c r="GM181" s="22"/>
      <c r="GO181" s="5"/>
      <c r="GP181" s="5"/>
      <c r="GQ181" s="5"/>
      <c r="GR181" s="5"/>
      <c r="GS181" s="5"/>
      <c r="GT181" s="5"/>
      <c r="GU181" s="5"/>
      <c r="GV181" s="5"/>
      <c r="GW181" s="5"/>
      <c r="GX181" s="5"/>
      <c r="GY181" s="5"/>
      <c r="GZ181" s="5"/>
      <c r="HB181" s="13"/>
      <c r="HC181" s="4"/>
      <c r="HD181" s="4"/>
      <c r="HE181" s="4"/>
      <c r="HF181" s="4"/>
      <c r="HG181" s="4"/>
      <c r="HH181" s="4"/>
      <c r="HI181" s="4"/>
      <c r="HJ181" s="4"/>
      <c r="HK181" s="4"/>
      <c r="HL181" s="4"/>
      <c r="HM181" s="4"/>
      <c r="HN181" s="4"/>
    </row>
    <row r="182" spans="158:222" x14ac:dyDescent="0.2">
      <c r="FB182" s="10"/>
      <c r="FC182" s="10"/>
      <c r="FD182" s="10"/>
      <c r="FE182" s="10"/>
      <c r="FF182" s="10"/>
      <c r="FG182" s="10"/>
      <c r="FH182" s="10"/>
      <c r="FI182" s="10"/>
      <c r="FJ182" s="10"/>
      <c r="FK182" s="10"/>
      <c r="FL182" s="10"/>
      <c r="FM182" s="10"/>
      <c r="FN182" s="10"/>
      <c r="FO182" s="10"/>
      <c r="FP182" s="10"/>
      <c r="FQ182" s="10"/>
      <c r="FW182" s="4"/>
      <c r="FX182" s="5"/>
      <c r="FZ182" s="13"/>
      <c r="GA182" s="22"/>
      <c r="GB182" s="22"/>
      <c r="GC182" s="22"/>
      <c r="GD182" s="22"/>
      <c r="GE182" s="22"/>
      <c r="GF182" s="22"/>
      <c r="GG182" s="22"/>
      <c r="GH182" s="22"/>
      <c r="GI182" s="22"/>
      <c r="GJ182" s="22"/>
      <c r="GK182" s="22"/>
      <c r="GL182" s="22"/>
      <c r="GM182" s="22"/>
      <c r="GO182" s="5"/>
      <c r="GP182" s="5"/>
      <c r="GQ182" s="5"/>
      <c r="GR182" s="5"/>
      <c r="GS182" s="5"/>
      <c r="GT182" s="5"/>
      <c r="GU182" s="5"/>
      <c r="GV182" s="5"/>
      <c r="GW182" s="5"/>
      <c r="GX182" s="5"/>
      <c r="GY182" s="5"/>
      <c r="GZ182" s="5"/>
      <c r="HB182" s="13"/>
      <c r="HC182" s="4"/>
      <c r="HD182" s="4"/>
      <c r="HE182" s="4"/>
      <c r="HF182" s="4"/>
      <c r="HG182" s="4"/>
      <c r="HH182" s="4"/>
      <c r="HI182" s="4"/>
      <c r="HJ182" s="4"/>
      <c r="HK182" s="4"/>
      <c r="HL182" s="4"/>
      <c r="HM182" s="4"/>
      <c r="HN182" s="4"/>
    </row>
    <row r="183" spans="158:222" x14ac:dyDescent="0.2">
      <c r="FB183" s="10"/>
      <c r="FC183" s="10"/>
      <c r="FD183" s="10"/>
      <c r="FE183" s="10"/>
      <c r="FF183" s="10"/>
      <c r="FG183" s="10"/>
      <c r="FH183" s="10"/>
      <c r="FI183" s="10"/>
      <c r="FJ183" s="10"/>
      <c r="FK183" s="10"/>
      <c r="FL183" s="10"/>
      <c r="FM183" s="10"/>
      <c r="FN183" s="10"/>
      <c r="FO183" s="10"/>
      <c r="FP183" s="10"/>
      <c r="FQ183" s="10"/>
      <c r="FW183" s="4"/>
      <c r="FX183" s="5"/>
      <c r="FZ183" s="13"/>
      <c r="GA183" s="22"/>
      <c r="GB183" s="22"/>
      <c r="GC183" s="22"/>
      <c r="GD183" s="22"/>
      <c r="GE183" s="22"/>
      <c r="GF183" s="22"/>
      <c r="GG183" s="22"/>
      <c r="GH183" s="22"/>
      <c r="GI183" s="22"/>
      <c r="GJ183" s="22"/>
      <c r="GK183" s="22"/>
      <c r="GL183" s="22"/>
      <c r="GM183" s="22"/>
      <c r="GO183" s="5"/>
      <c r="GP183" s="5"/>
      <c r="GQ183" s="5"/>
      <c r="GR183" s="5"/>
      <c r="GS183" s="5"/>
      <c r="GT183" s="5"/>
      <c r="GU183" s="5"/>
      <c r="GV183" s="5"/>
      <c r="GW183" s="5"/>
      <c r="GX183" s="5"/>
      <c r="GY183" s="5"/>
      <c r="GZ183" s="5"/>
      <c r="HB183" s="13"/>
      <c r="HC183" s="4"/>
      <c r="HD183" s="4"/>
      <c r="HE183" s="4"/>
      <c r="HF183" s="4"/>
      <c r="HG183" s="4"/>
      <c r="HH183" s="4"/>
      <c r="HI183" s="4"/>
      <c r="HJ183" s="4"/>
      <c r="HK183" s="4"/>
      <c r="HL183" s="4"/>
      <c r="HM183" s="4"/>
      <c r="HN183" s="4"/>
    </row>
    <row r="184" spans="158:222" x14ac:dyDescent="0.2">
      <c r="FB184" s="10"/>
      <c r="FC184" s="10"/>
      <c r="FD184" s="10"/>
      <c r="FE184" s="10"/>
      <c r="FF184" s="10"/>
      <c r="FG184" s="10"/>
      <c r="FH184" s="10"/>
      <c r="FI184" s="10"/>
      <c r="FJ184" s="10"/>
      <c r="FK184" s="10"/>
      <c r="FL184" s="10"/>
      <c r="FM184" s="10"/>
      <c r="FN184" s="10"/>
      <c r="FO184" s="10"/>
      <c r="FP184" s="10"/>
      <c r="FQ184" s="10"/>
      <c r="FW184" s="4"/>
      <c r="FX184" s="5"/>
      <c r="FZ184" s="13"/>
      <c r="GA184" s="22"/>
      <c r="GB184" s="22"/>
      <c r="GC184" s="22"/>
      <c r="GD184" s="22"/>
      <c r="GE184" s="22"/>
      <c r="GF184" s="22"/>
      <c r="GG184" s="22"/>
      <c r="GH184" s="22"/>
      <c r="GI184" s="22"/>
      <c r="GJ184" s="22"/>
      <c r="GK184" s="22"/>
      <c r="GL184" s="22"/>
      <c r="GM184" s="22"/>
      <c r="GO184" s="5"/>
      <c r="GP184" s="5"/>
      <c r="GQ184" s="5"/>
      <c r="GR184" s="5"/>
      <c r="GS184" s="5"/>
      <c r="GT184" s="5"/>
      <c r="GU184" s="5"/>
      <c r="GV184" s="5"/>
      <c r="GW184" s="5"/>
      <c r="GX184" s="5"/>
      <c r="GY184" s="5"/>
      <c r="GZ184" s="5"/>
      <c r="HB184" s="13"/>
      <c r="HC184" s="4"/>
      <c r="HD184" s="4"/>
      <c r="HE184" s="4"/>
      <c r="HF184" s="4"/>
      <c r="HG184" s="4"/>
      <c r="HH184" s="4"/>
      <c r="HI184" s="4"/>
      <c r="HJ184" s="4"/>
      <c r="HK184" s="4"/>
      <c r="HL184" s="4"/>
      <c r="HM184" s="4"/>
      <c r="HN184" s="4"/>
    </row>
    <row r="185" spans="158:222" x14ac:dyDescent="0.2">
      <c r="FB185" s="10"/>
      <c r="FC185" s="10"/>
      <c r="FD185" s="10"/>
      <c r="FE185" s="10"/>
      <c r="FF185" s="10"/>
      <c r="FG185" s="10"/>
      <c r="FH185" s="10"/>
      <c r="FI185" s="10"/>
      <c r="FJ185" s="10"/>
      <c r="FK185" s="10"/>
      <c r="FL185" s="10"/>
      <c r="FM185" s="10"/>
      <c r="FN185" s="10"/>
      <c r="FO185" s="10"/>
      <c r="FP185" s="10"/>
      <c r="FQ185" s="10"/>
      <c r="FW185" s="4"/>
      <c r="FX185" s="5"/>
      <c r="FZ185" s="13"/>
      <c r="GA185" s="22"/>
      <c r="GB185" s="22"/>
      <c r="GC185" s="22"/>
      <c r="GD185" s="22"/>
      <c r="GE185" s="22"/>
      <c r="GF185" s="22"/>
      <c r="GG185" s="22"/>
      <c r="GH185" s="22"/>
      <c r="GI185" s="22"/>
      <c r="GJ185" s="22"/>
      <c r="GK185" s="22"/>
      <c r="GL185" s="22"/>
      <c r="GM185" s="22"/>
      <c r="GO185" s="5"/>
      <c r="GP185" s="5"/>
      <c r="GQ185" s="5"/>
      <c r="GR185" s="5"/>
      <c r="GS185" s="5"/>
      <c r="GT185" s="5"/>
      <c r="GU185" s="5"/>
      <c r="GV185" s="5"/>
      <c r="GW185" s="5"/>
      <c r="GX185" s="5"/>
      <c r="GY185" s="5"/>
      <c r="GZ185" s="5"/>
      <c r="HB185" s="13"/>
      <c r="HC185" s="4"/>
      <c r="HD185" s="4"/>
      <c r="HE185" s="4"/>
      <c r="HF185" s="4"/>
      <c r="HG185" s="4"/>
      <c r="HH185" s="4"/>
      <c r="HI185" s="4"/>
      <c r="HJ185" s="4"/>
      <c r="HK185" s="4"/>
      <c r="HL185" s="4"/>
      <c r="HM185" s="4"/>
      <c r="HN185" s="4"/>
    </row>
    <row r="186" spans="158:222" x14ac:dyDescent="0.2">
      <c r="FB186" s="10"/>
      <c r="FC186" s="10"/>
      <c r="FD186" s="10"/>
      <c r="FE186" s="10"/>
      <c r="FF186" s="10"/>
      <c r="FG186" s="10"/>
      <c r="FH186" s="10"/>
      <c r="FI186" s="10"/>
      <c r="FJ186" s="10"/>
      <c r="FK186" s="10"/>
      <c r="FL186" s="10"/>
      <c r="FM186" s="10"/>
      <c r="FN186" s="10"/>
      <c r="FO186" s="10"/>
      <c r="FP186" s="10"/>
      <c r="FQ186" s="10"/>
      <c r="FW186" s="4"/>
      <c r="FX186" s="5"/>
      <c r="FZ186" s="13"/>
      <c r="GA186" s="22"/>
      <c r="GB186" s="22"/>
      <c r="GC186" s="22"/>
      <c r="GD186" s="22"/>
      <c r="GE186" s="22"/>
      <c r="GF186" s="22"/>
      <c r="GG186" s="22"/>
      <c r="GH186" s="22"/>
      <c r="GI186" s="22"/>
      <c r="GJ186" s="22"/>
      <c r="GK186" s="22"/>
      <c r="GL186" s="22"/>
      <c r="GM186" s="22"/>
      <c r="GO186" s="5"/>
      <c r="GP186" s="5"/>
      <c r="GQ186" s="5"/>
      <c r="GR186" s="5"/>
      <c r="GS186" s="5"/>
      <c r="GT186" s="5"/>
      <c r="GU186" s="5"/>
      <c r="GV186" s="5"/>
      <c r="GW186" s="5"/>
      <c r="GX186" s="5"/>
      <c r="GY186" s="5"/>
      <c r="GZ186" s="5"/>
      <c r="HB186" s="13"/>
      <c r="HC186" s="4"/>
      <c r="HD186" s="4"/>
      <c r="HE186" s="4"/>
      <c r="HF186" s="4"/>
      <c r="HG186" s="4"/>
      <c r="HH186" s="4"/>
      <c r="HI186" s="4"/>
      <c r="HJ186" s="4"/>
      <c r="HK186" s="4"/>
      <c r="HL186" s="4"/>
      <c r="HM186" s="4"/>
      <c r="HN186" s="4"/>
    </row>
    <row r="187" spans="158:222" x14ac:dyDescent="0.2">
      <c r="FB187" s="10"/>
      <c r="FC187" s="10"/>
      <c r="FD187" s="10"/>
      <c r="FE187" s="10"/>
      <c r="FF187" s="10"/>
      <c r="FG187" s="10"/>
      <c r="FH187" s="10"/>
      <c r="FI187" s="10"/>
      <c r="FJ187" s="10"/>
      <c r="FK187" s="10"/>
      <c r="FL187" s="10"/>
      <c r="FM187" s="10"/>
      <c r="FN187" s="10"/>
      <c r="FO187" s="10"/>
      <c r="FP187" s="10"/>
      <c r="FQ187" s="10"/>
      <c r="FW187" s="4"/>
      <c r="FX187" s="5"/>
      <c r="FZ187" s="13"/>
      <c r="GA187" s="22"/>
      <c r="GB187" s="22"/>
      <c r="GC187" s="22"/>
      <c r="GD187" s="22"/>
      <c r="GE187" s="22"/>
      <c r="GF187" s="22"/>
      <c r="GG187" s="22"/>
      <c r="GH187" s="22"/>
      <c r="GI187" s="22"/>
      <c r="GJ187" s="22"/>
      <c r="GK187" s="22"/>
      <c r="GL187" s="22"/>
      <c r="GM187" s="22"/>
      <c r="GO187" s="5"/>
      <c r="GP187" s="5"/>
      <c r="GQ187" s="5"/>
      <c r="GR187" s="5"/>
      <c r="GS187" s="5"/>
      <c r="GT187" s="5"/>
      <c r="GU187" s="5"/>
      <c r="GV187" s="5"/>
      <c r="GW187" s="5"/>
      <c r="GX187" s="5"/>
      <c r="GY187" s="5"/>
      <c r="GZ187" s="5"/>
      <c r="HB187" s="13"/>
      <c r="HC187" s="4"/>
      <c r="HD187" s="4"/>
      <c r="HE187" s="4"/>
      <c r="HF187" s="4"/>
      <c r="HG187" s="4"/>
      <c r="HH187" s="4"/>
      <c r="HI187" s="4"/>
      <c r="HJ187" s="4"/>
      <c r="HK187" s="4"/>
      <c r="HL187" s="4"/>
      <c r="HM187" s="4"/>
      <c r="HN187" s="4"/>
    </row>
    <row r="188" spans="158:222" x14ac:dyDescent="0.2">
      <c r="FB188" s="10"/>
      <c r="FC188" s="10"/>
      <c r="FD188" s="10"/>
      <c r="FE188" s="10"/>
      <c r="FF188" s="10"/>
      <c r="FG188" s="10"/>
      <c r="FH188" s="10"/>
      <c r="FI188" s="10"/>
      <c r="FJ188" s="10"/>
      <c r="FK188" s="10"/>
      <c r="FL188" s="10"/>
      <c r="FM188" s="10"/>
      <c r="FN188" s="10"/>
      <c r="FO188" s="10"/>
      <c r="FP188" s="10"/>
      <c r="FQ188" s="10"/>
      <c r="FW188" s="4"/>
      <c r="FX188" s="5"/>
      <c r="FZ188" s="13"/>
      <c r="GA188" s="22"/>
      <c r="GB188" s="22"/>
      <c r="GC188" s="22"/>
      <c r="GD188" s="22"/>
      <c r="GE188" s="22"/>
      <c r="GF188" s="22"/>
      <c r="GG188" s="22"/>
      <c r="GH188" s="22"/>
      <c r="GI188" s="22"/>
      <c r="GJ188" s="22"/>
      <c r="GK188" s="22"/>
      <c r="GL188" s="22"/>
      <c r="GM188" s="22"/>
      <c r="GO188" s="5"/>
      <c r="GP188" s="5"/>
      <c r="GQ188" s="5"/>
      <c r="GR188" s="5"/>
      <c r="GS188" s="5"/>
      <c r="GT188" s="5"/>
      <c r="GU188" s="5"/>
      <c r="GV188" s="5"/>
      <c r="GW188" s="5"/>
      <c r="GX188" s="5"/>
      <c r="GY188" s="5"/>
      <c r="GZ188" s="5"/>
      <c r="HB188" s="13"/>
      <c r="HC188" s="4"/>
      <c r="HD188" s="4"/>
      <c r="HE188" s="4"/>
      <c r="HF188" s="4"/>
      <c r="HG188" s="4"/>
      <c r="HH188" s="4"/>
      <c r="HI188" s="4"/>
      <c r="HJ188" s="4"/>
      <c r="HK188" s="4"/>
      <c r="HL188" s="4"/>
      <c r="HM188" s="4"/>
      <c r="HN188" s="4"/>
    </row>
    <row r="189" spans="158:222" x14ac:dyDescent="0.2">
      <c r="FB189" s="10"/>
      <c r="FC189" s="10"/>
      <c r="FD189" s="10"/>
      <c r="FE189" s="10"/>
      <c r="FF189" s="10"/>
      <c r="FG189" s="10"/>
      <c r="FH189" s="10"/>
      <c r="FI189" s="10"/>
      <c r="FJ189" s="10"/>
      <c r="FK189" s="10"/>
      <c r="FL189" s="10"/>
      <c r="FM189" s="10"/>
      <c r="FN189" s="10"/>
      <c r="FO189" s="10"/>
      <c r="FP189" s="10"/>
      <c r="FQ189" s="10"/>
      <c r="FW189" s="4"/>
      <c r="FX189" s="5"/>
      <c r="FZ189" s="13"/>
      <c r="GA189" s="22"/>
      <c r="GB189" s="22"/>
      <c r="GC189" s="22"/>
      <c r="GD189" s="22"/>
      <c r="GE189" s="22"/>
      <c r="GF189" s="22"/>
      <c r="GG189" s="22"/>
      <c r="GH189" s="22"/>
      <c r="GI189" s="22"/>
      <c r="GJ189" s="22"/>
      <c r="GK189" s="22"/>
      <c r="GL189" s="22"/>
      <c r="GM189" s="22"/>
      <c r="GO189" s="5"/>
      <c r="GP189" s="5"/>
      <c r="GQ189" s="5"/>
      <c r="GR189" s="5"/>
      <c r="GS189" s="5"/>
      <c r="GT189" s="5"/>
      <c r="GU189" s="5"/>
      <c r="GV189" s="5"/>
      <c r="GW189" s="5"/>
      <c r="GX189" s="5"/>
      <c r="GY189" s="5"/>
      <c r="GZ189" s="5"/>
      <c r="HB189" s="13"/>
      <c r="HC189" s="4"/>
      <c r="HD189" s="4"/>
      <c r="HE189" s="4"/>
      <c r="HF189" s="4"/>
      <c r="HG189" s="4"/>
      <c r="HH189" s="4"/>
      <c r="HI189" s="4"/>
      <c r="HJ189" s="4"/>
      <c r="HK189" s="4"/>
      <c r="HL189" s="4"/>
      <c r="HM189" s="4"/>
      <c r="HN189" s="4"/>
    </row>
    <row r="190" spans="158:222" x14ac:dyDescent="0.2">
      <c r="FB190" s="10"/>
      <c r="FC190" s="10"/>
      <c r="FD190" s="10"/>
      <c r="FE190" s="10"/>
      <c r="FF190" s="10"/>
      <c r="FG190" s="10"/>
      <c r="FH190" s="10"/>
      <c r="FI190" s="10"/>
      <c r="FJ190" s="10"/>
      <c r="FK190" s="10"/>
      <c r="FL190" s="10"/>
      <c r="FM190" s="10"/>
      <c r="FN190" s="10"/>
      <c r="FO190" s="10"/>
      <c r="FP190" s="10"/>
      <c r="FQ190" s="10"/>
      <c r="FW190" s="4"/>
      <c r="FX190" s="5"/>
      <c r="FZ190" s="13"/>
      <c r="GA190" s="22"/>
      <c r="GB190" s="22"/>
      <c r="GC190" s="22"/>
      <c r="GD190" s="22"/>
      <c r="GE190" s="22"/>
      <c r="GF190" s="22"/>
      <c r="GG190" s="22"/>
      <c r="GH190" s="22"/>
      <c r="GI190" s="22"/>
      <c r="GJ190" s="22"/>
      <c r="GK190" s="22"/>
      <c r="GL190" s="22"/>
      <c r="GM190" s="22"/>
      <c r="GO190" s="5"/>
      <c r="GP190" s="5"/>
      <c r="GQ190" s="5"/>
      <c r="GR190" s="5"/>
      <c r="GS190" s="5"/>
      <c r="GT190" s="5"/>
      <c r="GU190" s="5"/>
      <c r="GV190" s="5"/>
      <c r="GW190" s="5"/>
      <c r="GX190" s="5"/>
      <c r="GY190" s="5"/>
      <c r="GZ190" s="5"/>
      <c r="HB190" s="13"/>
      <c r="HC190" s="4"/>
      <c r="HD190" s="4"/>
      <c r="HE190" s="4"/>
      <c r="HF190" s="4"/>
      <c r="HG190" s="4"/>
      <c r="HH190" s="4"/>
      <c r="HI190" s="4"/>
      <c r="HJ190" s="4"/>
      <c r="HK190" s="4"/>
      <c r="HL190" s="4"/>
      <c r="HM190" s="4"/>
      <c r="HN190"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7D424-9F56-3744-B865-7900676CCB60}">
  <sheetPr codeName="Sheet1"/>
  <dimension ref="A1:I30"/>
  <sheetViews>
    <sheetView workbookViewId="0">
      <selection activeCell="K30" sqref="K30"/>
    </sheetView>
  </sheetViews>
  <sheetFormatPr baseColWidth="10" defaultColWidth="11" defaultRowHeight="16" x14ac:dyDescent="0.2"/>
  <sheetData>
    <row r="1" spans="1:1" x14ac:dyDescent="0.2">
      <c r="A1" t="s">
        <v>70</v>
      </c>
    </row>
    <row r="2" spans="1:1" x14ac:dyDescent="0.2">
      <c r="A2" t="s">
        <v>71</v>
      </c>
    </row>
    <row r="3" spans="1:1" x14ac:dyDescent="0.2">
      <c r="A3" t="s">
        <v>72</v>
      </c>
    </row>
    <row r="4" spans="1:1" x14ac:dyDescent="0.2">
      <c r="A4" t="s">
        <v>73</v>
      </c>
    </row>
    <row r="5" spans="1:1" x14ac:dyDescent="0.2">
      <c r="A5" t="s">
        <v>74</v>
      </c>
    </row>
    <row r="6" spans="1:1" x14ac:dyDescent="0.2">
      <c r="A6" t="s">
        <v>75</v>
      </c>
    </row>
    <row r="7" spans="1:1" x14ac:dyDescent="0.2">
      <c r="A7" t="s">
        <v>76</v>
      </c>
    </row>
    <row r="8" spans="1:1" x14ac:dyDescent="0.2">
      <c r="A8" t="s">
        <v>77</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t="s">
        <v>89</v>
      </c>
    </row>
    <row r="21" spans="1:9" x14ac:dyDescent="0.2">
      <c r="A21" t="s">
        <v>90</v>
      </c>
    </row>
    <row r="22" spans="1:9" x14ac:dyDescent="0.2">
      <c r="A22" t="s">
        <v>91</v>
      </c>
    </row>
    <row r="23" spans="1:9" x14ac:dyDescent="0.2">
      <c r="A23" t="s">
        <v>92</v>
      </c>
    </row>
    <row r="24" spans="1:9" x14ac:dyDescent="0.2">
      <c r="A24" t="s">
        <v>93</v>
      </c>
      <c r="B24" t="s">
        <v>61</v>
      </c>
      <c r="C24" t="s">
        <v>94</v>
      </c>
      <c r="D24" t="s">
        <v>95</v>
      </c>
      <c r="E24" t="s">
        <v>96</v>
      </c>
      <c r="F24" t="s">
        <v>97</v>
      </c>
      <c r="G24" t="s">
        <v>58</v>
      </c>
      <c r="H24" t="s">
        <v>59</v>
      </c>
      <c r="I24" t="s">
        <v>98</v>
      </c>
    </row>
    <row r="25" spans="1:9" x14ac:dyDescent="0.2">
      <c r="A25" t="s">
        <v>99</v>
      </c>
      <c r="B25">
        <v>13</v>
      </c>
      <c r="C25">
        <v>1</v>
      </c>
      <c r="D25">
        <v>3</v>
      </c>
      <c r="E25">
        <v>3</v>
      </c>
      <c r="F25">
        <v>0.32127171700000101</v>
      </c>
      <c r="G25">
        <v>1</v>
      </c>
      <c r="H25">
        <v>1</v>
      </c>
      <c r="I25" t="s">
        <v>100</v>
      </c>
    </row>
    <row r="26" spans="1:9" x14ac:dyDescent="0.2">
      <c r="A26" t="s">
        <v>101</v>
      </c>
      <c r="B26">
        <v>37</v>
      </c>
      <c r="C26">
        <v>1</v>
      </c>
      <c r="D26">
        <v>5</v>
      </c>
      <c r="E26">
        <v>5</v>
      </c>
      <c r="F26">
        <v>0.63797577600001798</v>
      </c>
      <c r="G26">
        <v>1</v>
      </c>
      <c r="H26">
        <v>1</v>
      </c>
      <c r="I26" t="s">
        <v>102</v>
      </c>
    </row>
    <row r="27" spans="1:9" x14ac:dyDescent="0.2">
      <c r="A27" t="s">
        <v>103</v>
      </c>
      <c r="B27">
        <v>73</v>
      </c>
      <c r="C27">
        <v>1</v>
      </c>
      <c r="D27">
        <v>7</v>
      </c>
      <c r="E27">
        <v>7</v>
      </c>
      <c r="F27">
        <v>2.5158276339999701</v>
      </c>
      <c r="G27">
        <v>1</v>
      </c>
      <c r="H27">
        <v>1</v>
      </c>
      <c r="I27" t="s">
        <v>104</v>
      </c>
    </row>
    <row r="28" spans="1:9" x14ac:dyDescent="0.2">
      <c r="A28" t="s">
        <v>105</v>
      </c>
      <c r="B28">
        <v>121</v>
      </c>
      <c r="C28">
        <v>1</v>
      </c>
      <c r="D28">
        <v>9</v>
      </c>
      <c r="E28">
        <v>9</v>
      </c>
      <c r="F28">
        <v>8.4395264940000008</v>
      </c>
      <c r="G28">
        <v>1</v>
      </c>
      <c r="H28">
        <v>1</v>
      </c>
      <c r="I28" t="s">
        <v>106</v>
      </c>
    </row>
    <row r="29" spans="1:9" x14ac:dyDescent="0.2">
      <c r="A29" t="s">
        <v>107</v>
      </c>
      <c r="B29">
        <v>181</v>
      </c>
      <c r="C29">
        <v>1</v>
      </c>
      <c r="D29">
        <v>11</v>
      </c>
      <c r="E29">
        <v>11</v>
      </c>
      <c r="F29">
        <v>27.257466378999901</v>
      </c>
      <c r="G29">
        <v>1</v>
      </c>
      <c r="H29">
        <v>1</v>
      </c>
      <c r="I29" t="s">
        <v>108</v>
      </c>
    </row>
    <row r="30" spans="1:9" x14ac:dyDescent="0.2">
      <c r="A30" t="s">
        <v>109</v>
      </c>
      <c r="B30">
        <v>169</v>
      </c>
      <c r="C30">
        <v>1</v>
      </c>
      <c r="D30">
        <v>15</v>
      </c>
      <c r="E30">
        <v>15</v>
      </c>
      <c r="F30">
        <v>0.53956041300000301</v>
      </c>
      <c r="G30">
        <v>1</v>
      </c>
      <c r="H30">
        <v>1</v>
      </c>
      <c r="I30"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2D301-EC7E-3641-B28C-DFB312A479D3}">
  <dimension ref="A1:I35"/>
  <sheetViews>
    <sheetView workbookViewId="0">
      <selection activeCell="F11" sqref="F11"/>
    </sheetView>
  </sheetViews>
  <sheetFormatPr baseColWidth="10" defaultRowHeight="16" x14ac:dyDescent="0.2"/>
  <sheetData>
    <row r="1" spans="1:1" x14ac:dyDescent="0.2">
      <c r="A1" t="s">
        <v>70</v>
      </c>
    </row>
    <row r="2" spans="1:1" x14ac:dyDescent="0.2">
      <c r="A2" t="s">
        <v>71</v>
      </c>
    </row>
    <row r="3" spans="1:1" x14ac:dyDescent="0.2">
      <c r="A3" t="s">
        <v>157</v>
      </c>
    </row>
    <row r="4" spans="1:1" x14ac:dyDescent="0.2">
      <c r="A4" t="s">
        <v>72</v>
      </c>
    </row>
    <row r="5" spans="1:1" x14ac:dyDescent="0.2">
      <c r="A5" s="6" t="s">
        <v>73</v>
      </c>
    </row>
    <row r="6" spans="1:1" x14ac:dyDescent="0.2">
      <c r="A6" s="6" t="s">
        <v>205</v>
      </c>
    </row>
    <row r="7" spans="1:1" x14ac:dyDescent="0.2">
      <c r="A7" t="s">
        <v>75</v>
      </c>
    </row>
    <row r="8" spans="1:1" x14ac:dyDescent="0.2">
      <c r="A8" t="s">
        <v>112</v>
      </c>
    </row>
    <row r="9" spans="1:1" x14ac:dyDescent="0.2">
      <c r="A9" t="s">
        <v>158</v>
      </c>
    </row>
    <row r="10" spans="1:1" x14ac:dyDescent="0.2">
      <c r="A10" t="s">
        <v>206</v>
      </c>
    </row>
    <row r="11" spans="1:1" x14ac:dyDescent="0.2">
      <c r="A11" t="s">
        <v>77</v>
      </c>
    </row>
    <row r="12" spans="1:1" x14ac:dyDescent="0.2">
      <c r="A12" t="s">
        <v>78</v>
      </c>
    </row>
    <row r="13" spans="1:1" x14ac:dyDescent="0.2">
      <c r="A13" t="s">
        <v>79</v>
      </c>
    </row>
    <row r="14" spans="1:1" x14ac:dyDescent="0.2">
      <c r="A14" t="s">
        <v>80</v>
      </c>
    </row>
    <row r="15" spans="1:1" x14ac:dyDescent="0.2">
      <c r="A15" t="s">
        <v>81</v>
      </c>
    </row>
    <row r="16" spans="1:1" x14ac:dyDescent="0.2">
      <c r="A16" t="s">
        <v>82</v>
      </c>
    </row>
    <row r="17" spans="1:9" x14ac:dyDescent="0.2">
      <c r="A17" t="s">
        <v>83</v>
      </c>
    </row>
    <row r="18" spans="1:9" x14ac:dyDescent="0.2">
      <c r="A18" t="s">
        <v>84</v>
      </c>
    </row>
    <row r="19" spans="1:9" x14ac:dyDescent="0.2">
      <c r="A19" t="s">
        <v>85</v>
      </c>
    </row>
    <row r="20" spans="1:9" x14ac:dyDescent="0.2">
      <c r="A20" t="s">
        <v>86</v>
      </c>
    </row>
    <row r="21" spans="1:9" x14ac:dyDescent="0.2">
      <c r="A21" t="s">
        <v>160</v>
      </c>
    </row>
    <row r="22" spans="1:9" x14ac:dyDescent="0.2">
      <c r="A22" t="s">
        <v>88</v>
      </c>
    </row>
    <row r="23" spans="1:9" x14ac:dyDescent="0.2">
      <c r="A23" t="s">
        <v>161</v>
      </c>
    </row>
    <row r="24" spans="1:9" x14ac:dyDescent="0.2">
      <c r="A24" t="s">
        <v>162</v>
      </c>
    </row>
    <row r="25" spans="1:9" x14ac:dyDescent="0.2">
      <c r="A25" t="s">
        <v>89</v>
      </c>
    </row>
    <row r="26" spans="1:9" x14ac:dyDescent="0.2">
      <c r="A26" t="s">
        <v>90</v>
      </c>
    </row>
    <row r="27" spans="1:9" x14ac:dyDescent="0.2">
      <c r="A27" t="s">
        <v>207</v>
      </c>
    </row>
    <row r="28" spans="1:9" x14ac:dyDescent="0.2">
      <c r="A28" t="s">
        <v>92</v>
      </c>
    </row>
    <row r="29" spans="1:9" x14ac:dyDescent="0.2">
      <c r="A29" t="s">
        <v>93</v>
      </c>
      <c r="B29" t="s">
        <v>61</v>
      </c>
      <c r="C29" t="s">
        <v>94</v>
      </c>
      <c r="D29" t="s">
        <v>95</v>
      </c>
      <c r="E29" t="s">
        <v>96</v>
      </c>
      <c r="F29" t="s">
        <v>97</v>
      </c>
      <c r="G29" t="s">
        <v>58</v>
      </c>
      <c r="H29" t="s">
        <v>59</v>
      </c>
      <c r="I29" t="s">
        <v>98</v>
      </c>
    </row>
    <row r="30" spans="1:9" x14ac:dyDescent="0.2">
      <c r="A30" t="s">
        <v>99</v>
      </c>
      <c r="B30">
        <v>13</v>
      </c>
      <c r="C30">
        <v>1</v>
      </c>
      <c r="D30">
        <v>3</v>
      </c>
      <c r="E30">
        <v>3</v>
      </c>
      <c r="F30" s="14">
        <v>0.104990624997299</v>
      </c>
      <c r="G30">
        <v>1</v>
      </c>
      <c r="H30">
        <v>1</v>
      </c>
      <c r="I30" t="s">
        <v>208</v>
      </c>
    </row>
    <row r="31" spans="1:9" x14ac:dyDescent="0.2">
      <c r="A31" t="s">
        <v>101</v>
      </c>
      <c r="B31">
        <v>37</v>
      </c>
      <c r="C31">
        <v>1</v>
      </c>
      <c r="D31">
        <v>5</v>
      </c>
      <c r="E31">
        <v>5</v>
      </c>
      <c r="F31" s="14">
        <v>73.5506523330113</v>
      </c>
      <c r="G31">
        <v>1</v>
      </c>
      <c r="H31">
        <v>1</v>
      </c>
      <c r="I31" t="s">
        <v>209</v>
      </c>
    </row>
    <row r="32" spans="1:9" x14ac:dyDescent="0.2">
      <c r="A32" t="s">
        <v>103</v>
      </c>
      <c r="B32">
        <v>73</v>
      </c>
      <c r="C32">
        <v>1</v>
      </c>
      <c r="D32">
        <v>7</v>
      </c>
      <c r="E32">
        <v>7</v>
      </c>
      <c r="F32" s="14">
        <v>28801.826898374999</v>
      </c>
      <c r="G32">
        <v>1</v>
      </c>
      <c r="H32">
        <v>1</v>
      </c>
      <c r="I32" t="s">
        <v>210</v>
      </c>
    </row>
    <row r="33" spans="1:9" x14ac:dyDescent="0.2">
      <c r="A33" t="s">
        <v>105</v>
      </c>
      <c r="B33">
        <v>121</v>
      </c>
      <c r="C33">
        <v>1</v>
      </c>
      <c r="D33">
        <v>9</v>
      </c>
      <c r="E33">
        <v>9</v>
      </c>
      <c r="F33" s="14">
        <v>28763.986498957998</v>
      </c>
      <c r="G33">
        <v>1</v>
      </c>
      <c r="H33">
        <v>1</v>
      </c>
      <c r="I33" t="s">
        <v>226</v>
      </c>
    </row>
    <row r="34" spans="1:9" x14ac:dyDescent="0.2">
      <c r="A34" t="s">
        <v>109</v>
      </c>
      <c r="B34">
        <v>169</v>
      </c>
      <c r="C34">
        <v>1</v>
      </c>
      <c r="D34">
        <v>15</v>
      </c>
      <c r="E34">
        <v>15</v>
      </c>
      <c r="F34">
        <v>28800.080489874999</v>
      </c>
      <c r="G34">
        <v>1</v>
      </c>
      <c r="H34">
        <v>1</v>
      </c>
      <c r="I34" t="s">
        <v>227</v>
      </c>
    </row>
    <row r="35" spans="1:9" x14ac:dyDescent="0.2">
      <c r="A35" t="s">
        <v>107</v>
      </c>
      <c r="B35">
        <v>181</v>
      </c>
      <c r="C35">
        <v>1</v>
      </c>
      <c r="D35">
        <v>0</v>
      </c>
      <c r="E35">
        <v>0</v>
      </c>
      <c r="F35">
        <v>90.058951332990503</v>
      </c>
      <c r="G35">
        <v>1</v>
      </c>
      <c r="H35">
        <v>1</v>
      </c>
      <c r="I35" t="s">
        <v>228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D16F6-717B-A64C-B99C-D35D02C614E1}">
  <sheetPr codeName="Sheet3"/>
  <dimension ref="A1:I35"/>
  <sheetViews>
    <sheetView workbookViewId="0">
      <selection activeCell="A27" sqref="A27"/>
    </sheetView>
  </sheetViews>
  <sheetFormatPr baseColWidth="10" defaultColWidth="11" defaultRowHeight="16" x14ac:dyDescent="0.2"/>
  <sheetData>
    <row r="1" spans="1:1" x14ac:dyDescent="0.2">
      <c r="A1" t="s">
        <v>70</v>
      </c>
    </row>
    <row r="2" spans="1:1" x14ac:dyDescent="0.2">
      <c r="A2" t="s">
        <v>71</v>
      </c>
    </row>
    <row r="3" spans="1:1" x14ac:dyDescent="0.2">
      <c r="A3" t="s">
        <v>157</v>
      </c>
    </row>
    <row r="4" spans="1:1" x14ac:dyDescent="0.2">
      <c r="A4" t="s">
        <v>72</v>
      </c>
    </row>
    <row r="5" spans="1:1" x14ac:dyDescent="0.2">
      <c r="A5" s="6" t="s">
        <v>73</v>
      </c>
    </row>
    <row r="6" spans="1:1" x14ac:dyDescent="0.2">
      <c r="A6" s="6" t="s">
        <v>111</v>
      </c>
    </row>
    <row r="7" spans="1:1" x14ac:dyDescent="0.2">
      <c r="A7" t="s">
        <v>75</v>
      </c>
    </row>
    <row r="8" spans="1:1" x14ac:dyDescent="0.2">
      <c r="A8" t="s">
        <v>112</v>
      </c>
    </row>
    <row r="9" spans="1:1" x14ac:dyDescent="0.2">
      <c r="A9" t="s">
        <v>158</v>
      </c>
    </row>
    <row r="10" spans="1:1" x14ac:dyDescent="0.2">
      <c r="A10" t="s">
        <v>159</v>
      </c>
    </row>
    <row r="11" spans="1:1" x14ac:dyDescent="0.2">
      <c r="A11" t="s">
        <v>77</v>
      </c>
    </row>
    <row r="12" spans="1:1" x14ac:dyDescent="0.2">
      <c r="A12" t="s">
        <v>78</v>
      </c>
    </row>
    <row r="13" spans="1:1" x14ac:dyDescent="0.2">
      <c r="A13" t="s">
        <v>79</v>
      </c>
    </row>
    <row r="14" spans="1:1" x14ac:dyDescent="0.2">
      <c r="A14" t="s">
        <v>80</v>
      </c>
    </row>
    <row r="15" spans="1:1" x14ac:dyDescent="0.2">
      <c r="A15" t="s">
        <v>81</v>
      </c>
    </row>
    <row r="16" spans="1:1" x14ac:dyDescent="0.2">
      <c r="A16" s="6" t="s">
        <v>82</v>
      </c>
    </row>
    <row r="17" spans="1:9" x14ac:dyDescent="0.2">
      <c r="A17" t="s">
        <v>83</v>
      </c>
    </row>
    <row r="18" spans="1:9" x14ac:dyDescent="0.2">
      <c r="A18" t="s">
        <v>84</v>
      </c>
    </row>
    <row r="19" spans="1:9" x14ac:dyDescent="0.2">
      <c r="A19" t="s">
        <v>85</v>
      </c>
    </row>
    <row r="20" spans="1:9" x14ac:dyDescent="0.2">
      <c r="A20" t="s">
        <v>86</v>
      </c>
    </row>
    <row r="21" spans="1:9" x14ac:dyDescent="0.2">
      <c r="A21" t="s">
        <v>160</v>
      </c>
    </row>
    <row r="22" spans="1:9" x14ac:dyDescent="0.2">
      <c r="A22" t="s">
        <v>88</v>
      </c>
    </row>
    <row r="23" spans="1:9" x14ac:dyDescent="0.2">
      <c r="A23" t="s">
        <v>161</v>
      </c>
    </row>
    <row r="24" spans="1:9" x14ac:dyDescent="0.2">
      <c r="A24" t="s">
        <v>162</v>
      </c>
    </row>
    <row r="25" spans="1:9" x14ac:dyDescent="0.2">
      <c r="A25" t="s">
        <v>114</v>
      </c>
    </row>
    <row r="26" spans="1:9" x14ac:dyDescent="0.2">
      <c r="A26" t="s">
        <v>90</v>
      </c>
    </row>
    <row r="27" spans="1:9" x14ac:dyDescent="0.2">
      <c r="A27" s="6" t="s">
        <v>164</v>
      </c>
    </row>
    <row r="28" spans="1:9" x14ac:dyDescent="0.2">
      <c r="A28" t="s">
        <v>92</v>
      </c>
    </row>
    <row r="29" spans="1:9" x14ac:dyDescent="0.2">
      <c r="A29" t="s">
        <v>93</v>
      </c>
      <c r="B29" t="s">
        <v>61</v>
      </c>
      <c r="C29" t="s">
        <v>94</v>
      </c>
      <c r="D29" t="s">
        <v>95</v>
      </c>
      <c r="E29" t="s">
        <v>96</v>
      </c>
      <c r="F29" t="s">
        <v>97</v>
      </c>
      <c r="G29" t="s">
        <v>58</v>
      </c>
      <c r="H29" t="s">
        <v>59</v>
      </c>
      <c r="I29" t="s">
        <v>98</v>
      </c>
    </row>
    <row r="30" spans="1:9" x14ac:dyDescent="0.2">
      <c r="A30" t="s">
        <v>99</v>
      </c>
      <c r="B30">
        <v>13</v>
      </c>
      <c r="C30">
        <v>1</v>
      </c>
      <c r="D30">
        <v>3</v>
      </c>
      <c r="E30">
        <v>3</v>
      </c>
      <c r="F30">
        <v>8.6135800927877398E-2</v>
      </c>
      <c r="G30">
        <v>1</v>
      </c>
      <c r="H30">
        <v>1</v>
      </c>
      <c r="I30" t="s">
        <v>165</v>
      </c>
    </row>
    <row r="31" spans="1:9" x14ac:dyDescent="0.2">
      <c r="A31" t="s">
        <v>101</v>
      </c>
      <c r="B31">
        <v>37</v>
      </c>
      <c r="C31">
        <v>1</v>
      </c>
      <c r="D31">
        <v>5</v>
      </c>
      <c r="E31">
        <v>5</v>
      </c>
      <c r="F31">
        <v>14.243915339931799</v>
      </c>
      <c r="G31">
        <v>1</v>
      </c>
      <c r="H31">
        <v>1</v>
      </c>
      <c r="I31" t="s">
        <v>166</v>
      </c>
    </row>
    <row r="32" spans="1:9" x14ac:dyDescent="0.2">
      <c r="A32" t="s">
        <v>103</v>
      </c>
      <c r="B32">
        <v>73</v>
      </c>
      <c r="C32">
        <v>1</v>
      </c>
      <c r="D32">
        <v>7</v>
      </c>
      <c r="E32">
        <v>7</v>
      </c>
      <c r="F32">
        <v>22017.9717851942</v>
      </c>
      <c r="G32">
        <v>1</v>
      </c>
      <c r="H32">
        <v>1</v>
      </c>
      <c r="I32" t="s">
        <v>167</v>
      </c>
    </row>
    <row r="33" spans="1:9" x14ac:dyDescent="0.2">
      <c r="A33" t="s">
        <v>105</v>
      </c>
      <c r="B33">
        <v>121</v>
      </c>
      <c r="C33">
        <v>1</v>
      </c>
      <c r="D33">
        <v>11</v>
      </c>
      <c r="E33">
        <v>11</v>
      </c>
      <c r="F33">
        <v>28801.380347984799</v>
      </c>
      <c r="G33">
        <v>1</v>
      </c>
      <c r="H33">
        <v>1</v>
      </c>
      <c r="I33" t="s">
        <v>168</v>
      </c>
    </row>
    <row r="34" spans="1:9" x14ac:dyDescent="0.2">
      <c r="A34" t="s">
        <v>107</v>
      </c>
      <c r="B34">
        <v>181</v>
      </c>
      <c r="C34">
        <v>1</v>
      </c>
      <c r="D34">
        <v>17</v>
      </c>
      <c r="E34">
        <v>17</v>
      </c>
      <c r="F34">
        <v>28802.915155595099</v>
      </c>
      <c r="G34">
        <v>1</v>
      </c>
      <c r="H34">
        <v>1</v>
      </c>
      <c r="I34" t="s">
        <v>169</v>
      </c>
    </row>
    <row r="35" spans="1:9" x14ac:dyDescent="0.2">
      <c r="A35" t="s">
        <v>109</v>
      </c>
      <c r="B35">
        <v>169</v>
      </c>
      <c r="C35">
        <v>1</v>
      </c>
      <c r="D35">
        <v>15</v>
      </c>
      <c r="E35">
        <v>15</v>
      </c>
      <c r="F35">
        <v>81.761931415647197</v>
      </c>
      <c r="G35">
        <v>1</v>
      </c>
      <c r="H35">
        <v>1</v>
      </c>
      <c r="I35" t="s">
        <v>170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2A071-E236-314F-BEF9-41E2AF719077}">
  <dimension ref="A1:I35"/>
  <sheetViews>
    <sheetView topLeftCell="A8" workbookViewId="0">
      <selection activeCell="D9" sqref="D9"/>
    </sheetView>
  </sheetViews>
  <sheetFormatPr baseColWidth="10" defaultRowHeight="16" x14ac:dyDescent="0.2"/>
  <sheetData>
    <row r="1" spans="1:1" x14ac:dyDescent="0.2">
      <c r="A1" t="s">
        <v>70</v>
      </c>
    </row>
    <row r="2" spans="1:1" x14ac:dyDescent="0.2">
      <c r="A2" t="s">
        <v>71</v>
      </c>
    </row>
    <row r="3" spans="1:1" x14ac:dyDescent="0.2">
      <c r="A3" t="s">
        <v>157</v>
      </c>
    </row>
    <row r="4" spans="1:1" x14ac:dyDescent="0.2">
      <c r="A4" t="s">
        <v>72</v>
      </c>
    </row>
    <row r="5" spans="1:1" x14ac:dyDescent="0.2">
      <c r="A5" t="s">
        <v>73</v>
      </c>
    </row>
    <row r="6" spans="1:1" x14ac:dyDescent="0.2">
      <c r="A6" t="s">
        <v>115</v>
      </c>
    </row>
    <row r="7" spans="1:1" x14ac:dyDescent="0.2">
      <c r="A7" t="s">
        <v>75</v>
      </c>
    </row>
    <row r="8" spans="1:1" x14ac:dyDescent="0.2">
      <c r="A8" t="s">
        <v>112</v>
      </c>
    </row>
    <row r="9" spans="1:1" x14ac:dyDescent="0.2">
      <c r="A9" t="s">
        <v>158</v>
      </c>
    </row>
    <row r="10" spans="1:1" x14ac:dyDescent="0.2">
      <c r="A10" t="s">
        <v>211</v>
      </c>
    </row>
    <row r="11" spans="1:1" x14ac:dyDescent="0.2">
      <c r="A11" t="s">
        <v>113</v>
      </c>
    </row>
    <row r="12" spans="1:1" x14ac:dyDescent="0.2">
      <c r="A12" t="s">
        <v>78</v>
      </c>
    </row>
    <row r="13" spans="1:1" x14ac:dyDescent="0.2">
      <c r="A13" t="s">
        <v>79</v>
      </c>
    </row>
    <row r="14" spans="1:1" x14ac:dyDescent="0.2">
      <c r="A14" t="s">
        <v>80</v>
      </c>
    </row>
    <row r="15" spans="1:1" x14ac:dyDescent="0.2">
      <c r="A15" t="s">
        <v>81</v>
      </c>
    </row>
    <row r="16" spans="1:1" x14ac:dyDescent="0.2">
      <c r="A16" t="s">
        <v>82</v>
      </c>
    </row>
    <row r="17" spans="1:9" x14ac:dyDescent="0.2">
      <c r="A17" t="s">
        <v>83</v>
      </c>
    </row>
    <row r="18" spans="1:9" x14ac:dyDescent="0.2">
      <c r="A18" t="s">
        <v>84</v>
      </c>
    </row>
    <row r="19" spans="1:9" x14ac:dyDescent="0.2">
      <c r="A19" t="s">
        <v>85</v>
      </c>
    </row>
    <row r="20" spans="1:9" x14ac:dyDescent="0.2">
      <c r="A20" t="s">
        <v>86</v>
      </c>
    </row>
    <row r="21" spans="1:9" x14ac:dyDescent="0.2">
      <c r="A21" t="s">
        <v>160</v>
      </c>
    </row>
    <row r="22" spans="1:9" x14ac:dyDescent="0.2">
      <c r="A22" t="s">
        <v>88</v>
      </c>
    </row>
    <row r="23" spans="1:9" x14ac:dyDescent="0.2">
      <c r="A23" t="s">
        <v>161</v>
      </c>
    </row>
    <row r="24" spans="1:9" x14ac:dyDescent="0.2">
      <c r="A24" t="s">
        <v>162</v>
      </c>
    </row>
    <row r="25" spans="1:9" x14ac:dyDescent="0.2">
      <c r="A25" t="s">
        <v>89</v>
      </c>
    </row>
    <row r="26" spans="1:9" x14ac:dyDescent="0.2">
      <c r="A26" t="s">
        <v>90</v>
      </c>
    </row>
    <row r="27" spans="1:9" x14ac:dyDescent="0.2">
      <c r="A27" t="s">
        <v>212</v>
      </c>
    </row>
    <row r="28" spans="1:9" x14ac:dyDescent="0.2">
      <c r="A28" t="s">
        <v>92</v>
      </c>
    </row>
    <row r="29" spans="1:9" x14ac:dyDescent="0.2">
      <c r="A29" t="s">
        <v>93</v>
      </c>
      <c r="B29" t="s">
        <v>61</v>
      </c>
      <c r="C29" t="s">
        <v>94</v>
      </c>
      <c r="D29" t="s">
        <v>95</v>
      </c>
      <c r="E29" t="s">
        <v>96</v>
      </c>
      <c r="F29" t="s">
        <v>97</v>
      </c>
      <c r="G29" t="s">
        <v>58</v>
      </c>
      <c r="H29" t="s">
        <v>59</v>
      </c>
      <c r="I29" t="s">
        <v>98</v>
      </c>
    </row>
    <row r="30" spans="1:9" x14ac:dyDescent="0.2">
      <c r="A30" t="s">
        <v>99</v>
      </c>
      <c r="B30">
        <v>13</v>
      </c>
      <c r="C30">
        <v>1</v>
      </c>
      <c r="D30">
        <v>3</v>
      </c>
      <c r="E30">
        <v>3</v>
      </c>
      <c r="F30">
        <v>2.6858627796172999E-2</v>
      </c>
      <c r="G30">
        <v>1</v>
      </c>
      <c r="H30">
        <v>1</v>
      </c>
      <c r="I30" t="s">
        <v>213</v>
      </c>
    </row>
    <row r="31" spans="1:9" x14ac:dyDescent="0.2">
      <c r="A31" t="s">
        <v>101</v>
      </c>
      <c r="B31">
        <v>37</v>
      </c>
      <c r="C31">
        <v>1</v>
      </c>
      <c r="D31">
        <v>5</v>
      </c>
      <c r="E31">
        <v>5</v>
      </c>
      <c r="F31">
        <v>0.11056331545114501</v>
      </c>
      <c r="G31">
        <v>1</v>
      </c>
      <c r="H31">
        <v>1</v>
      </c>
      <c r="I31" t="s">
        <v>214</v>
      </c>
    </row>
    <row r="32" spans="1:9" x14ac:dyDescent="0.2">
      <c r="A32" t="s">
        <v>103</v>
      </c>
      <c r="B32">
        <v>73</v>
      </c>
      <c r="C32">
        <v>1</v>
      </c>
      <c r="D32">
        <v>7</v>
      </c>
      <c r="E32">
        <v>7</v>
      </c>
      <c r="F32">
        <v>0.93616759032010999</v>
      </c>
      <c r="G32">
        <v>1</v>
      </c>
      <c r="H32">
        <v>1</v>
      </c>
      <c r="I32" t="s">
        <v>215</v>
      </c>
    </row>
    <row r="33" spans="1:9" x14ac:dyDescent="0.2">
      <c r="A33" t="s">
        <v>105</v>
      </c>
      <c r="B33">
        <v>121</v>
      </c>
      <c r="C33">
        <v>1</v>
      </c>
      <c r="D33">
        <v>9</v>
      </c>
      <c r="E33">
        <v>9</v>
      </c>
      <c r="F33">
        <v>7.0466314703226001</v>
      </c>
      <c r="G33">
        <v>1</v>
      </c>
      <c r="H33">
        <v>1</v>
      </c>
      <c r="I33" t="s">
        <v>216</v>
      </c>
    </row>
    <row r="34" spans="1:9" x14ac:dyDescent="0.2">
      <c r="A34" t="s">
        <v>107</v>
      </c>
      <c r="B34">
        <v>181</v>
      </c>
      <c r="C34">
        <v>1</v>
      </c>
      <c r="D34">
        <v>11</v>
      </c>
      <c r="E34">
        <v>11</v>
      </c>
      <c r="F34">
        <v>37.541667707264402</v>
      </c>
      <c r="G34">
        <v>1</v>
      </c>
      <c r="H34">
        <v>1</v>
      </c>
      <c r="I34" t="s">
        <v>217</v>
      </c>
    </row>
    <row r="35" spans="1:9" x14ac:dyDescent="0.2">
      <c r="A35" t="s">
        <v>109</v>
      </c>
      <c r="B35">
        <v>169</v>
      </c>
      <c r="C35">
        <v>1</v>
      </c>
      <c r="D35">
        <v>15</v>
      </c>
      <c r="E35">
        <v>15</v>
      </c>
      <c r="F35">
        <v>5.2083984017372097E-2</v>
      </c>
      <c r="G35">
        <v>1</v>
      </c>
      <c r="H35">
        <v>1</v>
      </c>
      <c r="I35" t="s">
        <v>122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80E6-4678-E04E-A73D-AB43DFA15566}">
  <sheetPr codeName="Sheet4"/>
  <dimension ref="A1:I30"/>
  <sheetViews>
    <sheetView workbookViewId="0">
      <selection activeCell="D9" sqref="D9"/>
    </sheetView>
  </sheetViews>
  <sheetFormatPr baseColWidth="10" defaultColWidth="11" defaultRowHeight="16" x14ac:dyDescent="0.2"/>
  <sheetData>
    <row r="1" spans="1:1" x14ac:dyDescent="0.2">
      <c r="A1" t="s">
        <v>70</v>
      </c>
    </row>
    <row r="2" spans="1:1" x14ac:dyDescent="0.2">
      <c r="A2" t="s">
        <v>71</v>
      </c>
    </row>
    <row r="3" spans="1:1" x14ac:dyDescent="0.2">
      <c r="A3" t="s">
        <v>72</v>
      </c>
    </row>
    <row r="4" spans="1:1" x14ac:dyDescent="0.2">
      <c r="A4" t="s">
        <v>73</v>
      </c>
    </row>
    <row r="5" spans="1:1" x14ac:dyDescent="0.2">
      <c r="A5" s="21" t="s">
        <v>115</v>
      </c>
    </row>
    <row r="6" spans="1:1" x14ac:dyDescent="0.2">
      <c r="A6" s="21" t="s">
        <v>75</v>
      </c>
    </row>
    <row r="7" spans="1:1" x14ac:dyDescent="0.2">
      <c r="A7" t="s">
        <v>76</v>
      </c>
    </row>
    <row r="8" spans="1:1" x14ac:dyDescent="0.2">
      <c r="A8" t="s">
        <v>113</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s="21" t="s">
        <v>85</v>
      </c>
    </row>
    <row r="17" spans="1:9" x14ac:dyDescent="0.2">
      <c r="A17" t="s">
        <v>86</v>
      </c>
    </row>
    <row r="18" spans="1:9" x14ac:dyDescent="0.2">
      <c r="A18" t="s">
        <v>87</v>
      </c>
    </row>
    <row r="19" spans="1:9" x14ac:dyDescent="0.2">
      <c r="A19" t="s">
        <v>88</v>
      </c>
    </row>
    <row r="20" spans="1:9" x14ac:dyDescent="0.2">
      <c r="A20" t="s">
        <v>114</v>
      </c>
    </row>
    <row r="21" spans="1:9" x14ac:dyDescent="0.2">
      <c r="A21" t="s">
        <v>90</v>
      </c>
    </row>
    <row r="22" spans="1:9" x14ac:dyDescent="0.2">
      <c r="A22" t="s">
        <v>116</v>
      </c>
    </row>
    <row r="23" spans="1:9" x14ac:dyDescent="0.2">
      <c r="A23" t="s">
        <v>92</v>
      </c>
    </row>
    <row r="24" spans="1:9" x14ac:dyDescent="0.2">
      <c r="A24" t="s">
        <v>93</v>
      </c>
      <c r="B24" t="s">
        <v>61</v>
      </c>
      <c r="C24" t="s">
        <v>94</v>
      </c>
      <c r="D24" t="s">
        <v>95</v>
      </c>
      <c r="E24" t="s">
        <v>96</v>
      </c>
      <c r="F24" t="s">
        <v>97</v>
      </c>
      <c r="G24" t="s">
        <v>58</v>
      </c>
      <c r="H24" t="s">
        <v>59</v>
      </c>
      <c r="I24" t="s">
        <v>98</v>
      </c>
    </row>
    <row r="25" spans="1:9" x14ac:dyDescent="0.2">
      <c r="A25" t="s">
        <v>99</v>
      </c>
      <c r="B25">
        <v>13</v>
      </c>
      <c r="C25">
        <v>1</v>
      </c>
      <c r="D25">
        <v>3</v>
      </c>
      <c r="E25">
        <v>3</v>
      </c>
      <c r="F25" s="1">
        <v>1.7526175986858999E-2</v>
      </c>
      <c r="G25">
        <v>1</v>
      </c>
      <c r="H25">
        <v>1</v>
      </c>
      <c r="I25" t="s">
        <v>117</v>
      </c>
    </row>
    <row r="26" spans="1:9" x14ac:dyDescent="0.2">
      <c r="A26" t="s">
        <v>101</v>
      </c>
      <c r="B26">
        <v>37</v>
      </c>
      <c r="C26">
        <v>1</v>
      </c>
      <c r="D26">
        <v>5</v>
      </c>
      <c r="E26">
        <v>5</v>
      </c>
      <c r="F26">
        <v>0.64105582100455605</v>
      </c>
      <c r="G26">
        <v>1</v>
      </c>
      <c r="H26">
        <v>1</v>
      </c>
      <c r="I26" t="s">
        <v>118</v>
      </c>
    </row>
    <row r="27" spans="1:9" x14ac:dyDescent="0.2">
      <c r="A27" s="21" t="s">
        <v>103</v>
      </c>
      <c r="B27">
        <v>73</v>
      </c>
      <c r="C27">
        <v>1</v>
      </c>
      <c r="D27">
        <v>7</v>
      </c>
      <c r="E27">
        <v>7</v>
      </c>
      <c r="F27">
        <v>13.3329723619972</v>
      </c>
      <c r="G27">
        <v>1</v>
      </c>
      <c r="H27">
        <v>1</v>
      </c>
      <c r="I27" t="s">
        <v>119</v>
      </c>
    </row>
    <row r="28" spans="1:9" x14ac:dyDescent="0.2">
      <c r="A28" t="s">
        <v>105</v>
      </c>
      <c r="B28">
        <v>121</v>
      </c>
      <c r="C28">
        <v>1</v>
      </c>
      <c r="D28">
        <v>9</v>
      </c>
      <c r="E28">
        <v>9</v>
      </c>
      <c r="F28">
        <v>118.23067121701</v>
      </c>
      <c r="G28">
        <v>1</v>
      </c>
      <c r="H28">
        <v>1</v>
      </c>
      <c r="I28" t="s">
        <v>120</v>
      </c>
    </row>
    <row r="29" spans="1:9" x14ac:dyDescent="0.2">
      <c r="A29" t="s">
        <v>107</v>
      </c>
      <c r="B29">
        <v>181</v>
      </c>
      <c r="C29">
        <v>1</v>
      </c>
      <c r="D29">
        <v>11</v>
      </c>
      <c r="E29">
        <v>11</v>
      </c>
      <c r="F29">
        <v>678.90606581699103</v>
      </c>
      <c r="G29">
        <v>1</v>
      </c>
      <c r="H29">
        <v>1</v>
      </c>
      <c r="I29" t="s">
        <v>121</v>
      </c>
    </row>
    <row r="30" spans="1:9" x14ac:dyDescent="0.2">
      <c r="A30" t="s">
        <v>109</v>
      </c>
      <c r="B30">
        <v>169</v>
      </c>
      <c r="C30">
        <v>1</v>
      </c>
      <c r="D30">
        <v>15</v>
      </c>
      <c r="E30">
        <v>15</v>
      </c>
      <c r="F30">
        <v>5.7401102007133803E-2</v>
      </c>
      <c r="G30">
        <v>1</v>
      </c>
      <c r="H30">
        <v>1</v>
      </c>
      <c r="I30" t="s">
        <v>122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AB6F8-BCA3-0E4D-AD0E-0C9295CAE480}">
  <sheetPr codeName="Sheet7"/>
  <dimension ref="A1:I41"/>
  <sheetViews>
    <sheetView workbookViewId="0">
      <selection activeCell="G24" sqref="G24"/>
    </sheetView>
  </sheetViews>
  <sheetFormatPr baseColWidth="10" defaultColWidth="11" defaultRowHeight="16" x14ac:dyDescent="0.2"/>
  <sheetData>
    <row r="1" spans="1:1" x14ac:dyDescent="0.2">
      <c r="A1" t="s">
        <v>70</v>
      </c>
    </row>
    <row r="2" spans="1:1" x14ac:dyDescent="0.2">
      <c r="A2" t="s">
        <v>71</v>
      </c>
    </row>
    <row r="3" spans="1:1" x14ac:dyDescent="0.2">
      <c r="A3" t="s">
        <v>157</v>
      </c>
    </row>
    <row r="4" spans="1:1" x14ac:dyDescent="0.2">
      <c r="A4" t="s">
        <v>72</v>
      </c>
    </row>
    <row r="5" spans="1:1" x14ac:dyDescent="0.2">
      <c r="A5" s="21" t="s">
        <v>73</v>
      </c>
    </row>
    <row r="6" spans="1:1" x14ac:dyDescent="0.2">
      <c r="A6" s="21" t="s">
        <v>123</v>
      </c>
    </row>
    <row r="7" spans="1:1" x14ac:dyDescent="0.2">
      <c r="A7" t="s">
        <v>75</v>
      </c>
    </row>
    <row r="8" spans="1:1" x14ac:dyDescent="0.2">
      <c r="A8" t="s">
        <v>112</v>
      </c>
    </row>
    <row r="9" spans="1:1" x14ac:dyDescent="0.2">
      <c r="A9" t="s">
        <v>158</v>
      </c>
    </row>
    <row r="10" spans="1:1" x14ac:dyDescent="0.2">
      <c r="A10" t="s">
        <v>159</v>
      </c>
    </row>
    <row r="11" spans="1:1" x14ac:dyDescent="0.2">
      <c r="A11" t="s">
        <v>77</v>
      </c>
    </row>
    <row r="12" spans="1:1" x14ac:dyDescent="0.2">
      <c r="A12" t="s">
        <v>78</v>
      </c>
    </row>
    <row r="13" spans="1:1" x14ac:dyDescent="0.2">
      <c r="A13" t="s">
        <v>79</v>
      </c>
    </row>
    <row r="14" spans="1:1" x14ac:dyDescent="0.2">
      <c r="A14" t="s">
        <v>80</v>
      </c>
    </row>
    <row r="15" spans="1:1" x14ac:dyDescent="0.2">
      <c r="A15" t="s">
        <v>81</v>
      </c>
    </row>
    <row r="16" spans="1:1" x14ac:dyDescent="0.2">
      <c r="A16" s="21" t="s">
        <v>82</v>
      </c>
    </row>
    <row r="17" spans="1:1" x14ac:dyDescent="0.2">
      <c r="A17" t="s">
        <v>83</v>
      </c>
    </row>
    <row r="18" spans="1:1" x14ac:dyDescent="0.2">
      <c r="A18" t="s">
        <v>84</v>
      </c>
    </row>
    <row r="19" spans="1:1" x14ac:dyDescent="0.2">
      <c r="A19" t="s">
        <v>85</v>
      </c>
    </row>
    <row r="20" spans="1:1" x14ac:dyDescent="0.2">
      <c r="A20" t="s">
        <v>86</v>
      </c>
    </row>
    <row r="21" spans="1:1" x14ac:dyDescent="0.2">
      <c r="A21" t="s">
        <v>160</v>
      </c>
    </row>
    <row r="22" spans="1:1" x14ac:dyDescent="0.2">
      <c r="A22" t="s">
        <v>88</v>
      </c>
    </row>
    <row r="23" spans="1:1" x14ac:dyDescent="0.2">
      <c r="A23" t="s">
        <v>161</v>
      </c>
    </row>
    <row r="24" spans="1:1" x14ac:dyDescent="0.2">
      <c r="A24" t="s">
        <v>162</v>
      </c>
    </row>
    <row r="25" spans="1:1" x14ac:dyDescent="0.2">
      <c r="A25" t="s">
        <v>89</v>
      </c>
    </row>
    <row r="26" spans="1:1" x14ac:dyDescent="0.2">
      <c r="A26" t="s">
        <v>124</v>
      </c>
    </row>
    <row r="27" spans="1:1" x14ac:dyDescent="0.2">
      <c r="A27" s="21" t="s">
        <v>90</v>
      </c>
    </row>
    <row r="28" spans="1:1" x14ac:dyDescent="0.2">
      <c r="A28" t="s">
        <v>125</v>
      </c>
    </row>
    <row r="29" spans="1:1" x14ac:dyDescent="0.2">
      <c r="A29" t="s">
        <v>126</v>
      </c>
    </row>
    <row r="30" spans="1:1" x14ac:dyDescent="0.2">
      <c r="A30" t="s">
        <v>129</v>
      </c>
    </row>
    <row r="31" spans="1:1" x14ac:dyDescent="0.2">
      <c r="A31" t="s">
        <v>127</v>
      </c>
    </row>
    <row r="32" spans="1:1" x14ac:dyDescent="0.2">
      <c r="A32" t="s">
        <v>130</v>
      </c>
    </row>
    <row r="33" spans="1:9" x14ac:dyDescent="0.2">
      <c r="A33" s="6" t="s">
        <v>171</v>
      </c>
    </row>
    <row r="34" spans="1:9" x14ac:dyDescent="0.2">
      <c r="A34" t="s">
        <v>92</v>
      </c>
    </row>
    <row r="35" spans="1:9" x14ac:dyDescent="0.2">
      <c r="A35" t="s">
        <v>93</v>
      </c>
      <c r="B35" t="s">
        <v>61</v>
      </c>
      <c r="C35" t="s">
        <v>94</v>
      </c>
      <c r="D35" t="s">
        <v>95</v>
      </c>
      <c r="E35" t="s">
        <v>96</v>
      </c>
      <c r="F35" t="s">
        <v>97</v>
      </c>
      <c r="G35" t="s">
        <v>58</v>
      </c>
      <c r="H35" t="s">
        <v>59</v>
      </c>
      <c r="I35" t="s">
        <v>98</v>
      </c>
    </row>
    <row r="36" spans="1:9" x14ac:dyDescent="0.2">
      <c r="A36" t="s">
        <v>99</v>
      </c>
      <c r="B36">
        <v>13</v>
      </c>
      <c r="C36">
        <v>1</v>
      </c>
      <c r="D36">
        <v>3</v>
      </c>
      <c r="E36">
        <v>3</v>
      </c>
      <c r="F36">
        <v>25.217638697475099</v>
      </c>
      <c r="G36">
        <v>9822</v>
      </c>
      <c r="H36">
        <v>10000</v>
      </c>
      <c r="I36" t="s">
        <v>172</v>
      </c>
    </row>
    <row r="37" spans="1:9" x14ac:dyDescent="0.2">
      <c r="A37" t="s">
        <v>101</v>
      </c>
      <c r="B37">
        <v>37</v>
      </c>
      <c r="C37">
        <v>1</v>
      </c>
      <c r="D37">
        <v>5</v>
      </c>
      <c r="E37">
        <v>5</v>
      </c>
      <c r="F37">
        <v>165.92098152358</v>
      </c>
      <c r="G37">
        <v>9996</v>
      </c>
      <c r="H37">
        <v>10000</v>
      </c>
      <c r="I37" t="s">
        <v>173</v>
      </c>
    </row>
    <row r="38" spans="1:9" x14ac:dyDescent="0.2">
      <c r="A38" t="s">
        <v>103</v>
      </c>
      <c r="B38">
        <v>73</v>
      </c>
      <c r="C38">
        <v>1</v>
      </c>
      <c r="D38">
        <v>7</v>
      </c>
      <c r="E38">
        <v>7</v>
      </c>
      <c r="F38">
        <v>563.76569318398799</v>
      </c>
      <c r="G38">
        <v>9996</v>
      </c>
      <c r="H38">
        <v>10000</v>
      </c>
      <c r="I38" t="s">
        <v>174</v>
      </c>
    </row>
    <row r="39" spans="1:9" x14ac:dyDescent="0.2">
      <c r="A39" t="s">
        <v>105</v>
      </c>
      <c r="B39">
        <v>121</v>
      </c>
      <c r="C39">
        <v>1</v>
      </c>
      <c r="D39">
        <v>9</v>
      </c>
      <c r="E39">
        <v>9</v>
      </c>
      <c r="F39">
        <v>1440.1896297670901</v>
      </c>
      <c r="G39">
        <v>9997</v>
      </c>
      <c r="H39">
        <v>10000</v>
      </c>
      <c r="I39" t="s">
        <v>175</v>
      </c>
    </row>
    <row r="40" spans="1:9" x14ac:dyDescent="0.2">
      <c r="A40" t="s">
        <v>107</v>
      </c>
      <c r="B40">
        <v>181</v>
      </c>
      <c r="C40">
        <v>1</v>
      </c>
      <c r="D40">
        <v>11</v>
      </c>
      <c r="E40">
        <v>11</v>
      </c>
      <c r="F40">
        <v>3474.6388386506501</v>
      </c>
      <c r="G40">
        <v>9998</v>
      </c>
      <c r="H40">
        <v>10000</v>
      </c>
      <c r="I40" t="s">
        <v>176</v>
      </c>
    </row>
    <row r="41" spans="1:9" x14ac:dyDescent="0.2">
      <c r="A41" t="s">
        <v>109</v>
      </c>
      <c r="B41">
        <v>169</v>
      </c>
      <c r="C41">
        <v>1</v>
      </c>
      <c r="D41">
        <v>15</v>
      </c>
      <c r="E41">
        <v>15</v>
      </c>
      <c r="F41">
        <v>61.037756983190697</v>
      </c>
      <c r="G41">
        <v>10000</v>
      </c>
      <c r="H41">
        <v>10000</v>
      </c>
      <c r="I41" t="s">
        <v>128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A621E-3B13-F54E-BFE2-6C2ACA7FE58A}">
  <sheetPr codeName="Sheet9"/>
  <dimension ref="A5:I30"/>
  <sheetViews>
    <sheetView workbookViewId="0">
      <selection activeCell="C17" sqref="C17"/>
    </sheetView>
  </sheetViews>
  <sheetFormatPr baseColWidth="10" defaultColWidth="11" defaultRowHeight="16" x14ac:dyDescent="0.2"/>
  <sheetData>
    <row r="5" spans="1:1" x14ac:dyDescent="0.2">
      <c r="A5" s="21"/>
    </row>
    <row r="6" spans="1:1" x14ac:dyDescent="0.2">
      <c r="A6" s="21"/>
    </row>
    <row r="16" spans="1:1" x14ac:dyDescent="0.2">
      <c r="A16" s="21"/>
    </row>
    <row r="23" spans="1:9" x14ac:dyDescent="0.2">
      <c r="A23" t="s">
        <v>92</v>
      </c>
    </row>
    <row r="24" spans="1:9" x14ac:dyDescent="0.2">
      <c r="A24" t="s">
        <v>93</v>
      </c>
      <c r="B24" t="s">
        <v>61</v>
      </c>
      <c r="C24" t="s">
        <v>94</v>
      </c>
      <c r="D24" t="s">
        <v>95</v>
      </c>
      <c r="E24" t="s">
        <v>96</v>
      </c>
      <c r="F24" t="s">
        <v>97</v>
      </c>
      <c r="G24" t="s">
        <v>58</v>
      </c>
      <c r="H24" t="s">
        <v>59</v>
      </c>
      <c r="I24" t="s">
        <v>98</v>
      </c>
    </row>
    <row r="25" spans="1:9" x14ac:dyDescent="0.2">
      <c r="A25" t="s">
        <v>99</v>
      </c>
      <c r="B25">
        <v>13</v>
      </c>
      <c r="C25">
        <v>1</v>
      </c>
      <c r="D25">
        <v>3</v>
      </c>
      <c r="E25">
        <v>3</v>
      </c>
      <c r="F25">
        <v>3.0640831217169699E-2</v>
      </c>
      <c r="G25">
        <v>1</v>
      </c>
      <c r="H25">
        <v>1</v>
      </c>
      <c r="I25" t="s">
        <v>131</v>
      </c>
    </row>
    <row r="26" spans="1:9" x14ac:dyDescent="0.2">
      <c r="A26" t="s">
        <v>101</v>
      </c>
      <c r="B26">
        <v>37</v>
      </c>
      <c r="C26">
        <v>1</v>
      </c>
      <c r="D26">
        <v>5</v>
      </c>
      <c r="E26">
        <v>5</v>
      </c>
      <c r="F26">
        <v>0.10804974008351501</v>
      </c>
      <c r="G26">
        <v>1</v>
      </c>
      <c r="H26">
        <v>1</v>
      </c>
      <c r="I26" t="s">
        <v>132</v>
      </c>
    </row>
    <row r="27" spans="1:9" x14ac:dyDescent="0.2">
      <c r="A27" s="21" t="s">
        <v>103</v>
      </c>
      <c r="B27">
        <v>73</v>
      </c>
      <c r="C27">
        <v>1</v>
      </c>
      <c r="D27">
        <v>7</v>
      </c>
      <c r="E27">
        <v>7</v>
      </c>
      <c r="F27">
        <v>46.176662079989903</v>
      </c>
      <c r="G27">
        <v>1</v>
      </c>
      <c r="H27">
        <v>1</v>
      </c>
      <c r="I27" t="s">
        <v>133</v>
      </c>
    </row>
    <row r="28" spans="1:9" x14ac:dyDescent="0.2">
      <c r="A28" t="s">
        <v>105</v>
      </c>
      <c r="B28">
        <v>121</v>
      </c>
      <c r="C28">
        <v>1</v>
      </c>
      <c r="D28">
        <v>0</v>
      </c>
      <c r="E28">
        <v>0</v>
      </c>
      <c r="F28">
        <v>28800.643125166102</v>
      </c>
      <c r="G28">
        <v>1</v>
      </c>
      <c r="H28">
        <v>1</v>
      </c>
    </row>
    <row r="29" spans="1:9" x14ac:dyDescent="0.2">
      <c r="A29" t="s">
        <v>107</v>
      </c>
      <c r="B29">
        <v>181</v>
      </c>
      <c r="C29">
        <v>1</v>
      </c>
      <c r="D29">
        <v>0</v>
      </c>
      <c r="E29">
        <v>0</v>
      </c>
      <c r="F29">
        <v>28801.1490237861</v>
      </c>
      <c r="G29">
        <v>1</v>
      </c>
      <c r="H29">
        <v>1</v>
      </c>
    </row>
    <row r="30" spans="1:9" x14ac:dyDescent="0.2">
      <c r="A30" t="s">
        <v>109</v>
      </c>
      <c r="B30">
        <v>169</v>
      </c>
      <c r="C30">
        <v>1</v>
      </c>
      <c r="D30">
        <v>15</v>
      </c>
      <c r="E30">
        <v>15</v>
      </c>
      <c r="F30">
        <v>6.4401171999052096</v>
      </c>
      <c r="G30">
        <v>1</v>
      </c>
      <c r="H30">
        <v>1</v>
      </c>
      <c r="I30"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D81DC-3451-2B41-8549-5889A4B83167}">
  <sheetPr codeName="Sheet11"/>
  <dimension ref="A1:I35"/>
  <sheetViews>
    <sheetView workbookViewId="0">
      <selection activeCell="H17" sqref="H17"/>
    </sheetView>
  </sheetViews>
  <sheetFormatPr baseColWidth="10" defaultColWidth="11" defaultRowHeight="16" x14ac:dyDescent="0.2"/>
  <sheetData>
    <row r="1" spans="1:1" x14ac:dyDescent="0.2">
      <c r="A1" t="s">
        <v>70</v>
      </c>
    </row>
    <row r="2" spans="1:1" x14ac:dyDescent="0.2">
      <c r="A2" t="s">
        <v>71</v>
      </c>
    </row>
    <row r="3" spans="1:1" x14ac:dyDescent="0.2">
      <c r="A3" t="s">
        <v>157</v>
      </c>
    </row>
    <row r="4" spans="1:1" x14ac:dyDescent="0.2">
      <c r="A4" t="s">
        <v>72</v>
      </c>
    </row>
    <row r="5" spans="1:1" x14ac:dyDescent="0.2">
      <c r="A5" s="21" t="s">
        <v>73</v>
      </c>
    </row>
    <row r="6" spans="1:1" x14ac:dyDescent="0.2">
      <c r="A6" s="21" t="s">
        <v>74</v>
      </c>
    </row>
    <row r="7" spans="1:1" x14ac:dyDescent="0.2">
      <c r="A7" t="s">
        <v>75</v>
      </c>
    </row>
    <row r="8" spans="1:1" x14ac:dyDescent="0.2">
      <c r="A8" t="s">
        <v>112</v>
      </c>
    </row>
    <row r="9" spans="1:1" x14ac:dyDescent="0.2">
      <c r="A9" t="s">
        <v>158</v>
      </c>
    </row>
    <row r="10" spans="1:1" x14ac:dyDescent="0.2">
      <c r="A10" t="s">
        <v>159</v>
      </c>
    </row>
    <row r="11" spans="1:1" x14ac:dyDescent="0.2">
      <c r="A11" t="s">
        <v>77</v>
      </c>
    </row>
    <row r="12" spans="1:1" x14ac:dyDescent="0.2">
      <c r="A12" t="s">
        <v>78</v>
      </c>
    </row>
    <row r="13" spans="1:1" x14ac:dyDescent="0.2">
      <c r="A13" t="s">
        <v>79</v>
      </c>
    </row>
    <row r="14" spans="1:1" x14ac:dyDescent="0.2">
      <c r="A14" t="s">
        <v>80</v>
      </c>
    </row>
    <row r="15" spans="1:1" x14ac:dyDescent="0.2">
      <c r="A15" t="s">
        <v>81</v>
      </c>
    </row>
    <row r="16" spans="1:1" x14ac:dyDescent="0.2">
      <c r="A16" s="21" t="s">
        <v>82</v>
      </c>
    </row>
    <row r="17" spans="1:9" x14ac:dyDescent="0.2">
      <c r="A17" t="s">
        <v>83</v>
      </c>
    </row>
    <row r="18" spans="1:9" x14ac:dyDescent="0.2">
      <c r="A18" t="s">
        <v>84</v>
      </c>
    </row>
    <row r="19" spans="1:9" x14ac:dyDescent="0.2">
      <c r="A19" t="s">
        <v>85</v>
      </c>
    </row>
    <row r="20" spans="1:9" x14ac:dyDescent="0.2">
      <c r="A20" t="s">
        <v>86</v>
      </c>
    </row>
    <row r="21" spans="1:9" x14ac:dyDescent="0.2">
      <c r="A21" t="s">
        <v>160</v>
      </c>
    </row>
    <row r="22" spans="1:9" x14ac:dyDescent="0.2">
      <c r="A22" t="s">
        <v>88</v>
      </c>
    </row>
    <row r="23" spans="1:9" x14ac:dyDescent="0.2">
      <c r="A23" t="s">
        <v>161</v>
      </c>
    </row>
    <row r="24" spans="1:9" x14ac:dyDescent="0.2">
      <c r="A24" t="s">
        <v>162</v>
      </c>
    </row>
    <row r="25" spans="1:9" x14ac:dyDescent="0.2">
      <c r="A25" t="s">
        <v>114</v>
      </c>
    </row>
    <row r="26" spans="1:9" x14ac:dyDescent="0.2">
      <c r="A26" t="s">
        <v>90</v>
      </c>
    </row>
    <row r="27" spans="1:9" x14ac:dyDescent="0.2">
      <c r="A27" s="21" t="s">
        <v>177</v>
      </c>
    </row>
    <row r="28" spans="1:9" x14ac:dyDescent="0.2">
      <c r="A28" t="s">
        <v>92</v>
      </c>
    </row>
    <row r="29" spans="1:9" x14ac:dyDescent="0.2">
      <c r="A29" t="s">
        <v>93</v>
      </c>
      <c r="B29" t="s">
        <v>61</v>
      </c>
      <c r="C29" t="s">
        <v>94</v>
      </c>
      <c r="D29" t="s">
        <v>95</v>
      </c>
      <c r="E29" t="s">
        <v>96</v>
      </c>
      <c r="F29" t="s">
        <v>97</v>
      </c>
      <c r="G29" t="s">
        <v>58</v>
      </c>
      <c r="H29" t="s">
        <v>59</v>
      </c>
      <c r="I29" t="s">
        <v>98</v>
      </c>
    </row>
    <row r="30" spans="1:9" x14ac:dyDescent="0.2">
      <c r="A30" t="s">
        <v>99</v>
      </c>
      <c r="B30">
        <v>13</v>
      </c>
      <c r="C30">
        <v>1</v>
      </c>
      <c r="D30">
        <v>3</v>
      </c>
      <c r="E30">
        <v>3</v>
      </c>
      <c r="F30">
        <v>6.3725946471095002E-2</v>
      </c>
      <c r="G30">
        <v>1</v>
      </c>
      <c r="H30">
        <v>1</v>
      </c>
      <c r="I30" t="s">
        <v>178</v>
      </c>
    </row>
    <row r="31" spans="1:9" x14ac:dyDescent="0.2">
      <c r="A31" t="s">
        <v>101</v>
      </c>
      <c r="B31">
        <v>37</v>
      </c>
      <c r="C31">
        <v>1</v>
      </c>
      <c r="D31">
        <v>5</v>
      </c>
      <c r="E31">
        <v>5</v>
      </c>
      <c r="F31">
        <v>0.52033904287964095</v>
      </c>
      <c r="G31">
        <v>1</v>
      </c>
      <c r="H31">
        <v>1</v>
      </c>
      <c r="I31" t="s">
        <v>179</v>
      </c>
    </row>
    <row r="32" spans="1:9" x14ac:dyDescent="0.2">
      <c r="A32" t="s">
        <v>103</v>
      </c>
      <c r="B32">
        <v>73</v>
      </c>
      <c r="C32">
        <v>1</v>
      </c>
      <c r="D32">
        <v>7</v>
      </c>
      <c r="E32">
        <v>7</v>
      </c>
      <c r="F32">
        <v>2.4371442422270699</v>
      </c>
      <c r="G32">
        <v>1</v>
      </c>
      <c r="H32">
        <v>1</v>
      </c>
      <c r="I32" t="s">
        <v>180</v>
      </c>
    </row>
    <row r="33" spans="1:9" x14ac:dyDescent="0.2">
      <c r="A33" t="s">
        <v>105</v>
      </c>
      <c r="B33">
        <v>121</v>
      </c>
      <c r="C33">
        <v>1</v>
      </c>
      <c r="D33">
        <v>9</v>
      </c>
      <c r="E33">
        <v>9</v>
      </c>
      <c r="F33">
        <v>8.6766984695568592</v>
      </c>
      <c r="G33">
        <v>1</v>
      </c>
      <c r="H33">
        <v>1</v>
      </c>
      <c r="I33" t="s">
        <v>181</v>
      </c>
    </row>
    <row r="34" spans="1:9" x14ac:dyDescent="0.2">
      <c r="A34" t="s">
        <v>107</v>
      </c>
      <c r="B34">
        <v>181</v>
      </c>
      <c r="C34">
        <v>1</v>
      </c>
      <c r="D34">
        <v>11</v>
      </c>
      <c r="E34">
        <v>11</v>
      </c>
      <c r="F34">
        <v>27.095146834850301</v>
      </c>
      <c r="G34">
        <v>1</v>
      </c>
      <c r="H34">
        <v>1</v>
      </c>
      <c r="I34" t="s">
        <v>182</v>
      </c>
    </row>
    <row r="35" spans="1:9" x14ac:dyDescent="0.2">
      <c r="A35" t="s">
        <v>109</v>
      </c>
      <c r="B35">
        <v>169</v>
      </c>
      <c r="C35">
        <v>1</v>
      </c>
      <c r="D35">
        <v>15</v>
      </c>
      <c r="E35">
        <v>15</v>
      </c>
      <c r="F35">
        <v>0.64270672854036004</v>
      </c>
      <c r="G35">
        <v>1</v>
      </c>
      <c r="H35">
        <v>1</v>
      </c>
      <c r="I35" t="s">
        <v>183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63A7-BC99-F642-96C8-B8686FAF7CEF}">
  <dimension ref="A1:I35"/>
  <sheetViews>
    <sheetView workbookViewId="0">
      <selection activeCell="H14" sqref="H14"/>
    </sheetView>
  </sheetViews>
  <sheetFormatPr baseColWidth="10" defaultRowHeight="16" x14ac:dyDescent="0.2"/>
  <sheetData>
    <row r="1" spans="1:1" x14ac:dyDescent="0.2">
      <c r="A1" t="s">
        <v>70</v>
      </c>
    </row>
    <row r="2" spans="1:1" x14ac:dyDescent="0.2">
      <c r="A2" t="s">
        <v>71</v>
      </c>
    </row>
    <row r="3" spans="1:1" x14ac:dyDescent="0.2">
      <c r="A3" t="s">
        <v>157</v>
      </c>
    </row>
    <row r="4" spans="1:1" x14ac:dyDescent="0.2">
      <c r="A4" t="s">
        <v>72</v>
      </c>
    </row>
    <row r="5" spans="1:1" x14ac:dyDescent="0.2">
      <c r="A5" t="s">
        <v>73</v>
      </c>
    </row>
    <row r="6" spans="1:1" x14ac:dyDescent="0.2">
      <c r="A6" t="s">
        <v>135</v>
      </c>
    </row>
    <row r="7" spans="1:1" x14ac:dyDescent="0.2">
      <c r="A7" t="s">
        <v>75</v>
      </c>
    </row>
    <row r="8" spans="1:1" x14ac:dyDescent="0.2">
      <c r="A8" t="s">
        <v>112</v>
      </c>
    </row>
    <row r="9" spans="1:1" x14ac:dyDescent="0.2">
      <c r="A9" t="s">
        <v>218</v>
      </c>
    </row>
    <row r="10" spans="1:1" x14ac:dyDescent="0.2">
      <c r="A10" t="s">
        <v>159</v>
      </c>
    </row>
    <row r="11" spans="1:1" x14ac:dyDescent="0.2">
      <c r="A11" t="s">
        <v>113</v>
      </c>
    </row>
    <row r="12" spans="1:1" x14ac:dyDescent="0.2">
      <c r="A12" t="s">
        <v>78</v>
      </c>
    </row>
    <row r="13" spans="1:1" x14ac:dyDescent="0.2">
      <c r="A13" t="s">
        <v>79</v>
      </c>
    </row>
    <row r="14" spans="1:1" x14ac:dyDescent="0.2">
      <c r="A14" t="s">
        <v>80</v>
      </c>
    </row>
    <row r="15" spans="1:1" x14ac:dyDescent="0.2">
      <c r="A15" t="s">
        <v>81</v>
      </c>
    </row>
    <row r="16" spans="1:1" x14ac:dyDescent="0.2">
      <c r="A16" t="s">
        <v>82</v>
      </c>
    </row>
    <row r="17" spans="1:9" x14ac:dyDescent="0.2">
      <c r="A17" t="s">
        <v>83</v>
      </c>
    </row>
    <row r="18" spans="1:9" x14ac:dyDescent="0.2">
      <c r="A18" t="s">
        <v>84</v>
      </c>
    </row>
    <row r="19" spans="1:9" x14ac:dyDescent="0.2">
      <c r="A19" t="s">
        <v>85</v>
      </c>
    </row>
    <row r="20" spans="1:9" x14ac:dyDescent="0.2">
      <c r="A20" t="s">
        <v>86</v>
      </c>
    </row>
    <row r="21" spans="1:9" x14ac:dyDescent="0.2">
      <c r="A21" t="s">
        <v>160</v>
      </c>
    </row>
    <row r="22" spans="1:9" x14ac:dyDescent="0.2">
      <c r="A22" t="s">
        <v>88</v>
      </c>
    </row>
    <row r="23" spans="1:9" x14ac:dyDescent="0.2">
      <c r="A23" t="s">
        <v>161</v>
      </c>
    </row>
    <row r="24" spans="1:9" x14ac:dyDescent="0.2">
      <c r="A24" t="s">
        <v>162</v>
      </c>
    </row>
    <row r="25" spans="1:9" x14ac:dyDescent="0.2">
      <c r="A25" t="s">
        <v>89</v>
      </c>
    </row>
    <row r="26" spans="1:9" x14ac:dyDescent="0.2">
      <c r="A26" t="s">
        <v>90</v>
      </c>
    </row>
    <row r="27" spans="1:9" x14ac:dyDescent="0.2">
      <c r="A27" t="s">
        <v>219</v>
      </c>
    </row>
    <row r="28" spans="1:9" x14ac:dyDescent="0.2">
      <c r="A28" t="s">
        <v>92</v>
      </c>
    </row>
    <row r="29" spans="1:9" x14ac:dyDescent="0.2">
      <c r="A29" t="s">
        <v>93</v>
      </c>
      <c r="B29" t="s">
        <v>61</v>
      </c>
      <c r="C29" t="s">
        <v>94</v>
      </c>
      <c r="D29" t="s">
        <v>95</v>
      </c>
      <c r="E29" t="s">
        <v>96</v>
      </c>
      <c r="F29" t="s">
        <v>97</v>
      </c>
      <c r="G29" t="s">
        <v>58</v>
      </c>
      <c r="H29" t="s">
        <v>59</v>
      </c>
      <c r="I29" t="s">
        <v>98</v>
      </c>
    </row>
    <row r="30" spans="1:9" x14ac:dyDescent="0.2">
      <c r="A30" t="s">
        <v>99</v>
      </c>
      <c r="B30">
        <v>13</v>
      </c>
      <c r="C30">
        <v>1</v>
      </c>
      <c r="D30">
        <v>3</v>
      </c>
      <c r="E30">
        <v>3</v>
      </c>
      <c r="F30">
        <v>1.3426341116428301E-2</v>
      </c>
      <c r="G30">
        <v>1</v>
      </c>
      <c r="H30">
        <v>1</v>
      </c>
      <c r="I30" t="s">
        <v>137</v>
      </c>
    </row>
    <row r="31" spans="1:9" x14ac:dyDescent="0.2">
      <c r="A31" t="s">
        <v>101</v>
      </c>
      <c r="B31">
        <v>37</v>
      </c>
      <c r="C31">
        <v>1</v>
      </c>
      <c r="D31">
        <v>5</v>
      </c>
      <c r="E31">
        <v>5</v>
      </c>
      <c r="F31">
        <v>8.9054532349109594E-2</v>
      </c>
      <c r="G31">
        <v>1</v>
      </c>
      <c r="H31">
        <v>1</v>
      </c>
      <c r="I31" t="s">
        <v>138</v>
      </c>
    </row>
    <row r="32" spans="1:9" x14ac:dyDescent="0.2">
      <c r="A32" t="s">
        <v>103</v>
      </c>
      <c r="B32">
        <v>73</v>
      </c>
      <c r="C32">
        <v>1</v>
      </c>
      <c r="D32">
        <v>7</v>
      </c>
      <c r="E32">
        <v>7</v>
      </c>
      <c r="F32">
        <v>0.32483538985252303</v>
      </c>
      <c r="G32">
        <v>1</v>
      </c>
      <c r="H32">
        <v>1</v>
      </c>
      <c r="I32" t="s">
        <v>139</v>
      </c>
    </row>
    <row r="33" spans="1:9" x14ac:dyDescent="0.2">
      <c r="A33" t="s">
        <v>105</v>
      </c>
      <c r="B33">
        <v>121</v>
      </c>
      <c r="C33">
        <v>1</v>
      </c>
      <c r="D33">
        <v>9</v>
      </c>
      <c r="E33">
        <v>9</v>
      </c>
      <c r="F33">
        <v>0.816923908889293</v>
      </c>
      <c r="G33">
        <v>1</v>
      </c>
      <c r="H33">
        <v>1</v>
      </c>
      <c r="I33" t="s">
        <v>140</v>
      </c>
    </row>
    <row r="34" spans="1:9" x14ac:dyDescent="0.2">
      <c r="A34" t="s">
        <v>107</v>
      </c>
      <c r="B34">
        <v>181</v>
      </c>
      <c r="C34">
        <v>1</v>
      </c>
      <c r="D34">
        <v>11</v>
      </c>
      <c r="E34">
        <v>11</v>
      </c>
      <c r="F34">
        <v>1.8497825190424899</v>
      </c>
      <c r="G34">
        <v>1</v>
      </c>
      <c r="H34">
        <v>1</v>
      </c>
      <c r="I34" t="s">
        <v>141</v>
      </c>
    </row>
    <row r="35" spans="1:9" x14ac:dyDescent="0.2">
      <c r="A35" t="s">
        <v>109</v>
      </c>
      <c r="B35">
        <v>169</v>
      </c>
      <c r="C35">
        <v>1</v>
      </c>
      <c r="D35">
        <v>15</v>
      </c>
      <c r="E35">
        <v>15</v>
      </c>
      <c r="F35">
        <v>2.1516650915145801E-2</v>
      </c>
      <c r="G35">
        <v>1</v>
      </c>
      <c r="H35">
        <v>1</v>
      </c>
      <c r="I35" t="s">
        <v>142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187B-0C55-8248-A316-BB7516FB0397}">
  <sheetPr codeName="Sheet12"/>
  <dimension ref="A1:I30"/>
  <sheetViews>
    <sheetView workbookViewId="0">
      <selection activeCell="H14" sqref="H14"/>
    </sheetView>
  </sheetViews>
  <sheetFormatPr baseColWidth="10" defaultColWidth="11" defaultRowHeight="16" x14ac:dyDescent="0.2"/>
  <sheetData>
    <row r="1" spans="1:1" x14ac:dyDescent="0.2">
      <c r="A1" t="s">
        <v>70</v>
      </c>
    </row>
    <row r="2" spans="1:1" x14ac:dyDescent="0.2">
      <c r="A2" t="s">
        <v>71</v>
      </c>
    </row>
    <row r="3" spans="1:1" x14ac:dyDescent="0.2">
      <c r="A3" t="s">
        <v>72</v>
      </c>
    </row>
    <row r="4" spans="1:1" x14ac:dyDescent="0.2">
      <c r="A4" t="s">
        <v>73</v>
      </c>
    </row>
    <row r="5" spans="1:1" x14ac:dyDescent="0.2">
      <c r="A5" s="21" t="s">
        <v>135</v>
      </c>
    </row>
    <row r="6" spans="1:1" x14ac:dyDescent="0.2">
      <c r="A6" s="21" t="s">
        <v>75</v>
      </c>
    </row>
    <row r="7" spans="1:1" x14ac:dyDescent="0.2">
      <c r="A7" t="s">
        <v>76</v>
      </c>
    </row>
    <row r="8" spans="1:1" x14ac:dyDescent="0.2">
      <c r="A8" t="s">
        <v>113</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s="21" t="s">
        <v>85</v>
      </c>
    </row>
    <row r="17" spans="1:9" x14ac:dyDescent="0.2">
      <c r="A17" t="s">
        <v>86</v>
      </c>
    </row>
    <row r="18" spans="1:9" x14ac:dyDescent="0.2">
      <c r="A18" t="s">
        <v>87</v>
      </c>
    </row>
    <row r="19" spans="1:9" x14ac:dyDescent="0.2">
      <c r="A19" t="s">
        <v>88</v>
      </c>
    </row>
    <row r="20" spans="1:9" x14ac:dyDescent="0.2">
      <c r="A20" t="s">
        <v>114</v>
      </c>
    </row>
    <row r="21" spans="1:9" x14ac:dyDescent="0.2">
      <c r="A21" t="s">
        <v>90</v>
      </c>
    </row>
    <row r="22" spans="1:9" x14ac:dyDescent="0.2">
      <c r="A22" t="s">
        <v>136</v>
      </c>
    </row>
    <row r="23" spans="1:9" x14ac:dyDescent="0.2">
      <c r="A23" t="s">
        <v>92</v>
      </c>
    </row>
    <row r="24" spans="1:9" x14ac:dyDescent="0.2">
      <c r="A24" t="s">
        <v>93</v>
      </c>
      <c r="B24" t="s">
        <v>61</v>
      </c>
      <c r="C24" t="s">
        <v>94</v>
      </c>
      <c r="D24" t="s">
        <v>95</v>
      </c>
      <c r="E24" t="s">
        <v>96</v>
      </c>
      <c r="F24" t="s">
        <v>97</v>
      </c>
      <c r="G24" t="s">
        <v>58</v>
      </c>
      <c r="H24" t="s">
        <v>59</v>
      </c>
      <c r="I24" t="s">
        <v>98</v>
      </c>
    </row>
    <row r="25" spans="1:9" x14ac:dyDescent="0.2">
      <c r="A25" t="s">
        <v>99</v>
      </c>
      <c r="B25">
        <v>13</v>
      </c>
      <c r="C25">
        <v>1</v>
      </c>
      <c r="D25">
        <v>3</v>
      </c>
      <c r="E25">
        <v>3</v>
      </c>
      <c r="F25" s="1">
        <v>1.5957005001837301E-2</v>
      </c>
      <c r="G25">
        <v>1</v>
      </c>
      <c r="H25">
        <v>1</v>
      </c>
      <c r="I25" t="s">
        <v>137</v>
      </c>
    </row>
    <row r="26" spans="1:9" x14ac:dyDescent="0.2">
      <c r="A26" t="s">
        <v>101</v>
      </c>
      <c r="B26">
        <v>37</v>
      </c>
      <c r="C26">
        <v>1</v>
      </c>
      <c r="D26">
        <v>5</v>
      </c>
      <c r="E26">
        <v>5</v>
      </c>
      <c r="F26">
        <v>9.4355738008744E-2</v>
      </c>
      <c r="G26">
        <v>1</v>
      </c>
      <c r="H26">
        <v>1</v>
      </c>
      <c r="I26" t="s">
        <v>138</v>
      </c>
    </row>
    <row r="27" spans="1:9" x14ac:dyDescent="0.2">
      <c r="A27" s="21" t="s">
        <v>103</v>
      </c>
      <c r="B27">
        <v>73</v>
      </c>
      <c r="C27">
        <v>1</v>
      </c>
      <c r="D27">
        <v>7</v>
      </c>
      <c r="E27">
        <v>7</v>
      </c>
      <c r="F27">
        <v>0.39128316499409199</v>
      </c>
      <c r="G27">
        <v>1</v>
      </c>
      <c r="H27">
        <v>1</v>
      </c>
      <c r="I27" t="s">
        <v>139</v>
      </c>
    </row>
    <row r="28" spans="1:9" x14ac:dyDescent="0.2">
      <c r="A28" t="s">
        <v>105</v>
      </c>
      <c r="B28">
        <v>121</v>
      </c>
      <c r="C28">
        <v>1</v>
      </c>
      <c r="D28">
        <v>9</v>
      </c>
      <c r="E28">
        <v>9</v>
      </c>
      <c r="F28">
        <v>1.5670667740050701</v>
      </c>
      <c r="G28">
        <v>1</v>
      </c>
      <c r="H28">
        <v>1</v>
      </c>
      <c r="I28" t="s">
        <v>140</v>
      </c>
    </row>
    <row r="29" spans="1:9" x14ac:dyDescent="0.2">
      <c r="A29" t="s">
        <v>107</v>
      </c>
      <c r="B29">
        <v>181</v>
      </c>
      <c r="C29">
        <v>1</v>
      </c>
      <c r="D29">
        <v>11</v>
      </c>
      <c r="E29">
        <v>11</v>
      </c>
      <c r="F29">
        <v>4.4613156539999101</v>
      </c>
      <c r="G29">
        <v>1</v>
      </c>
      <c r="H29">
        <v>1</v>
      </c>
      <c r="I29" t="s">
        <v>141</v>
      </c>
    </row>
    <row r="30" spans="1:9" x14ac:dyDescent="0.2">
      <c r="A30" t="s">
        <v>109</v>
      </c>
      <c r="B30">
        <v>169</v>
      </c>
      <c r="C30">
        <v>1</v>
      </c>
      <c r="D30">
        <v>15</v>
      </c>
      <c r="E30">
        <v>15</v>
      </c>
      <c r="F30">
        <v>1.9886818990926199E-2</v>
      </c>
      <c r="G30">
        <v>1</v>
      </c>
      <c r="H30">
        <v>1</v>
      </c>
      <c r="I30" t="s">
        <v>142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CD76-2BFC-3F43-9C69-0A117A9561DB}">
  <sheetPr codeName="Sheet13"/>
  <dimension ref="A1:I35"/>
  <sheetViews>
    <sheetView workbookViewId="0">
      <selection activeCell="A27" sqref="A27"/>
    </sheetView>
  </sheetViews>
  <sheetFormatPr baseColWidth="10" defaultColWidth="11" defaultRowHeight="16" x14ac:dyDescent="0.2"/>
  <sheetData>
    <row r="1" spans="1:1" x14ac:dyDescent="0.2">
      <c r="A1" t="s">
        <v>70</v>
      </c>
    </row>
    <row r="2" spans="1:1" x14ac:dyDescent="0.2">
      <c r="A2" t="s">
        <v>71</v>
      </c>
    </row>
    <row r="3" spans="1:1" x14ac:dyDescent="0.2">
      <c r="A3" t="s">
        <v>157</v>
      </c>
    </row>
    <row r="4" spans="1:1" x14ac:dyDescent="0.2">
      <c r="A4" t="s">
        <v>72</v>
      </c>
    </row>
    <row r="5" spans="1:1" x14ac:dyDescent="0.2">
      <c r="A5" s="21" t="s">
        <v>73</v>
      </c>
    </row>
    <row r="6" spans="1:1" x14ac:dyDescent="0.2">
      <c r="A6" s="21" t="s">
        <v>143</v>
      </c>
    </row>
    <row r="7" spans="1:1" x14ac:dyDescent="0.2">
      <c r="A7" t="s">
        <v>75</v>
      </c>
    </row>
    <row r="8" spans="1:1" x14ac:dyDescent="0.2">
      <c r="A8" t="s">
        <v>112</v>
      </c>
    </row>
    <row r="9" spans="1:1" x14ac:dyDescent="0.2">
      <c r="A9" t="s">
        <v>158</v>
      </c>
    </row>
    <row r="10" spans="1:1" x14ac:dyDescent="0.2">
      <c r="A10" t="s">
        <v>159</v>
      </c>
    </row>
    <row r="11" spans="1:1" x14ac:dyDescent="0.2">
      <c r="A11" t="s">
        <v>77</v>
      </c>
    </row>
    <row r="12" spans="1:1" x14ac:dyDescent="0.2">
      <c r="A12" t="s">
        <v>78</v>
      </c>
    </row>
    <row r="13" spans="1:1" x14ac:dyDescent="0.2">
      <c r="A13" t="s">
        <v>79</v>
      </c>
    </row>
    <row r="14" spans="1:1" x14ac:dyDescent="0.2">
      <c r="A14" t="s">
        <v>80</v>
      </c>
    </row>
    <row r="15" spans="1:1" x14ac:dyDescent="0.2">
      <c r="A15" t="s">
        <v>81</v>
      </c>
    </row>
    <row r="16" spans="1:1" x14ac:dyDescent="0.2">
      <c r="A16" s="21" t="s">
        <v>82</v>
      </c>
    </row>
    <row r="17" spans="1:9" x14ac:dyDescent="0.2">
      <c r="A17" t="s">
        <v>83</v>
      </c>
    </row>
    <row r="18" spans="1:9" x14ac:dyDescent="0.2">
      <c r="A18" t="s">
        <v>84</v>
      </c>
    </row>
    <row r="19" spans="1:9" x14ac:dyDescent="0.2">
      <c r="A19" t="s">
        <v>85</v>
      </c>
    </row>
    <row r="20" spans="1:9" x14ac:dyDescent="0.2">
      <c r="A20" t="s">
        <v>86</v>
      </c>
    </row>
    <row r="21" spans="1:9" x14ac:dyDescent="0.2">
      <c r="A21" t="s">
        <v>160</v>
      </c>
    </row>
    <row r="22" spans="1:9" x14ac:dyDescent="0.2">
      <c r="A22" t="s">
        <v>88</v>
      </c>
    </row>
    <row r="23" spans="1:9" x14ac:dyDescent="0.2">
      <c r="A23" t="s">
        <v>161</v>
      </c>
    </row>
    <row r="24" spans="1:9" x14ac:dyDescent="0.2">
      <c r="A24" t="s">
        <v>162</v>
      </c>
    </row>
    <row r="25" spans="1:9" x14ac:dyDescent="0.2">
      <c r="A25" t="s">
        <v>114</v>
      </c>
    </row>
    <row r="26" spans="1:9" x14ac:dyDescent="0.2">
      <c r="A26" t="s">
        <v>90</v>
      </c>
    </row>
    <row r="27" spans="1:9" x14ac:dyDescent="0.2">
      <c r="A27" s="21" t="s">
        <v>184</v>
      </c>
    </row>
    <row r="28" spans="1:9" x14ac:dyDescent="0.2">
      <c r="A28" t="s">
        <v>92</v>
      </c>
    </row>
    <row r="29" spans="1:9" x14ac:dyDescent="0.2">
      <c r="A29" t="s">
        <v>93</v>
      </c>
      <c r="B29" t="s">
        <v>61</v>
      </c>
      <c r="C29" t="s">
        <v>94</v>
      </c>
      <c r="D29" t="s">
        <v>95</v>
      </c>
      <c r="E29" t="s">
        <v>96</v>
      </c>
      <c r="F29" t="s">
        <v>97</v>
      </c>
      <c r="G29" t="s">
        <v>58</v>
      </c>
      <c r="H29" t="s">
        <v>59</v>
      </c>
      <c r="I29" t="s">
        <v>98</v>
      </c>
    </row>
    <row r="30" spans="1:9" x14ac:dyDescent="0.2">
      <c r="A30" t="s">
        <v>99</v>
      </c>
      <c r="B30">
        <v>13</v>
      </c>
      <c r="C30">
        <v>1</v>
      </c>
      <c r="D30">
        <v>3</v>
      </c>
      <c r="E30">
        <v>3</v>
      </c>
      <c r="F30">
        <v>5.3923953324556302E-2</v>
      </c>
      <c r="G30">
        <v>1</v>
      </c>
      <c r="H30">
        <v>1</v>
      </c>
    </row>
    <row r="31" spans="1:9" x14ac:dyDescent="0.2">
      <c r="A31" t="s">
        <v>101</v>
      </c>
      <c r="B31">
        <v>37</v>
      </c>
      <c r="C31">
        <v>1</v>
      </c>
      <c r="D31">
        <v>5</v>
      </c>
      <c r="E31">
        <v>5</v>
      </c>
      <c r="F31">
        <v>1.7989246211945999</v>
      </c>
      <c r="G31">
        <v>1</v>
      </c>
      <c r="H31">
        <v>1</v>
      </c>
    </row>
    <row r="32" spans="1:9" x14ac:dyDescent="0.2">
      <c r="A32" t="s">
        <v>103</v>
      </c>
      <c r="B32">
        <v>73</v>
      </c>
      <c r="C32">
        <v>1</v>
      </c>
      <c r="D32">
        <v>7</v>
      </c>
      <c r="E32">
        <v>7</v>
      </c>
      <c r="F32">
        <v>1321.8638879842999</v>
      </c>
      <c r="G32">
        <v>1</v>
      </c>
      <c r="H32">
        <v>1</v>
      </c>
    </row>
    <row r="33" spans="1:8" x14ac:dyDescent="0.2">
      <c r="A33" t="s">
        <v>105</v>
      </c>
      <c r="B33">
        <v>121</v>
      </c>
      <c r="C33">
        <v>1</v>
      </c>
      <c r="D33">
        <v>9</v>
      </c>
      <c r="E33">
        <v>9</v>
      </c>
      <c r="F33">
        <v>28848.7928161257</v>
      </c>
      <c r="G33">
        <v>1</v>
      </c>
      <c r="H33">
        <v>1</v>
      </c>
    </row>
    <row r="34" spans="1:8" x14ac:dyDescent="0.2">
      <c r="A34" t="s">
        <v>107</v>
      </c>
      <c r="B34">
        <v>181</v>
      </c>
      <c r="C34">
        <v>1</v>
      </c>
      <c r="D34">
        <v>11</v>
      </c>
      <c r="E34">
        <v>11</v>
      </c>
      <c r="F34">
        <v>28858.610944423799</v>
      </c>
      <c r="G34">
        <v>1</v>
      </c>
      <c r="H34">
        <v>1</v>
      </c>
    </row>
    <row r="35" spans="1:8" x14ac:dyDescent="0.2">
      <c r="A35" t="s">
        <v>109</v>
      </c>
      <c r="B35">
        <v>169</v>
      </c>
      <c r="C35">
        <v>1</v>
      </c>
      <c r="D35">
        <v>15</v>
      </c>
      <c r="E35">
        <v>15</v>
      </c>
      <c r="F35">
        <v>78.551229860633597</v>
      </c>
      <c r="G35">
        <v>1</v>
      </c>
      <c r="H35">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9EF3-6ECC-1742-88E4-B042E47C2704}">
  <sheetPr codeName="Sheet14"/>
  <dimension ref="A1:I36"/>
  <sheetViews>
    <sheetView workbookViewId="0">
      <selection activeCell="A27" sqref="A27"/>
    </sheetView>
  </sheetViews>
  <sheetFormatPr baseColWidth="10" defaultColWidth="11" defaultRowHeight="16" x14ac:dyDescent="0.2"/>
  <sheetData>
    <row r="1" spans="1:1" x14ac:dyDescent="0.2">
      <c r="A1" t="s">
        <v>70</v>
      </c>
    </row>
    <row r="2" spans="1:1" x14ac:dyDescent="0.2">
      <c r="A2" t="s">
        <v>71</v>
      </c>
    </row>
    <row r="3" spans="1:1" x14ac:dyDescent="0.2">
      <c r="A3" t="s">
        <v>157</v>
      </c>
    </row>
    <row r="4" spans="1:1" x14ac:dyDescent="0.2">
      <c r="A4" t="s">
        <v>72</v>
      </c>
    </row>
    <row r="5" spans="1:1" x14ac:dyDescent="0.2">
      <c r="A5" s="21" t="s">
        <v>73</v>
      </c>
    </row>
    <row r="6" spans="1:1" x14ac:dyDescent="0.2">
      <c r="A6" s="21" t="s">
        <v>144</v>
      </c>
    </row>
    <row r="7" spans="1:1" x14ac:dyDescent="0.2">
      <c r="A7" t="s">
        <v>75</v>
      </c>
    </row>
    <row r="8" spans="1:1" x14ac:dyDescent="0.2">
      <c r="A8" t="s">
        <v>112</v>
      </c>
    </row>
    <row r="9" spans="1:1" x14ac:dyDescent="0.2">
      <c r="A9" t="s">
        <v>158</v>
      </c>
    </row>
    <row r="10" spans="1:1" x14ac:dyDescent="0.2">
      <c r="A10" t="s">
        <v>159</v>
      </c>
    </row>
    <row r="11" spans="1:1" x14ac:dyDescent="0.2">
      <c r="A11" t="s">
        <v>77</v>
      </c>
    </row>
    <row r="12" spans="1:1" x14ac:dyDescent="0.2">
      <c r="A12" t="s">
        <v>78</v>
      </c>
    </row>
    <row r="13" spans="1:1" x14ac:dyDescent="0.2">
      <c r="A13" t="s">
        <v>79</v>
      </c>
    </row>
    <row r="14" spans="1:1" x14ac:dyDescent="0.2">
      <c r="A14" t="s">
        <v>80</v>
      </c>
    </row>
    <row r="15" spans="1:1" x14ac:dyDescent="0.2">
      <c r="A15" t="s">
        <v>81</v>
      </c>
    </row>
    <row r="16" spans="1:1" x14ac:dyDescent="0.2">
      <c r="A16" s="21" t="s">
        <v>82</v>
      </c>
    </row>
    <row r="17" spans="1:9" x14ac:dyDescent="0.2">
      <c r="A17" t="s">
        <v>83</v>
      </c>
    </row>
    <row r="18" spans="1:9" x14ac:dyDescent="0.2">
      <c r="A18" t="s">
        <v>84</v>
      </c>
    </row>
    <row r="19" spans="1:9" x14ac:dyDescent="0.2">
      <c r="A19" t="s">
        <v>85</v>
      </c>
    </row>
    <row r="20" spans="1:9" x14ac:dyDescent="0.2">
      <c r="A20" t="s">
        <v>86</v>
      </c>
    </row>
    <row r="21" spans="1:9" x14ac:dyDescent="0.2">
      <c r="A21" t="s">
        <v>160</v>
      </c>
    </row>
    <row r="22" spans="1:9" x14ac:dyDescent="0.2">
      <c r="A22" t="s">
        <v>88</v>
      </c>
    </row>
    <row r="23" spans="1:9" x14ac:dyDescent="0.2">
      <c r="A23" t="s">
        <v>161</v>
      </c>
    </row>
    <row r="24" spans="1:9" x14ac:dyDescent="0.2">
      <c r="A24" t="s">
        <v>162</v>
      </c>
    </row>
    <row r="25" spans="1:9" x14ac:dyDescent="0.2">
      <c r="A25" t="s">
        <v>114</v>
      </c>
    </row>
    <row r="26" spans="1:9" x14ac:dyDescent="0.2">
      <c r="A26" t="s">
        <v>145</v>
      </c>
    </row>
    <row r="27" spans="1:9" x14ac:dyDescent="0.2">
      <c r="A27" s="21" t="s">
        <v>90</v>
      </c>
    </row>
    <row r="28" spans="1:9" x14ac:dyDescent="0.2">
      <c r="A28" t="s">
        <v>185</v>
      </c>
    </row>
    <row r="29" spans="1:9" x14ac:dyDescent="0.2">
      <c r="A29" t="s">
        <v>92</v>
      </c>
    </row>
    <row r="30" spans="1:9" x14ac:dyDescent="0.2">
      <c r="A30" t="s">
        <v>93</v>
      </c>
      <c r="B30" t="s">
        <v>61</v>
      </c>
      <c r="C30" t="s">
        <v>94</v>
      </c>
      <c r="D30" t="s">
        <v>95</v>
      </c>
      <c r="E30" t="s">
        <v>96</v>
      </c>
      <c r="F30" t="s">
        <v>97</v>
      </c>
      <c r="G30" t="s">
        <v>58</v>
      </c>
      <c r="H30" t="s">
        <v>59</v>
      </c>
      <c r="I30" t="s">
        <v>98</v>
      </c>
    </row>
    <row r="31" spans="1:9" x14ac:dyDescent="0.2">
      <c r="A31" t="s">
        <v>99</v>
      </c>
      <c r="B31">
        <v>13</v>
      </c>
      <c r="C31">
        <v>1</v>
      </c>
      <c r="D31">
        <v>3</v>
      </c>
      <c r="E31">
        <v>3</v>
      </c>
      <c r="F31">
        <v>0.17091117240488499</v>
      </c>
      <c r="G31">
        <v>1</v>
      </c>
      <c r="H31">
        <v>1</v>
      </c>
      <c r="I31" t="s">
        <v>146</v>
      </c>
    </row>
    <row r="32" spans="1:9" x14ac:dyDescent="0.2">
      <c r="A32" t="s">
        <v>101</v>
      </c>
      <c r="B32">
        <v>37</v>
      </c>
      <c r="C32">
        <v>1</v>
      </c>
      <c r="D32">
        <v>5</v>
      </c>
      <c r="E32">
        <v>5</v>
      </c>
      <c r="F32">
        <v>14.307818245142601</v>
      </c>
      <c r="G32">
        <v>1</v>
      </c>
      <c r="H32">
        <v>1</v>
      </c>
      <c r="I32" t="s">
        <v>186</v>
      </c>
    </row>
    <row r="33" spans="1:9" x14ac:dyDescent="0.2">
      <c r="A33" t="s">
        <v>103</v>
      </c>
      <c r="B33">
        <v>73</v>
      </c>
      <c r="C33">
        <v>1</v>
      </c>
      <c r="D33">
        <v>7</v>
      </c>
      <c r="E33">
        <v>7</v>
      </c>
      <c r="F33">
        <v>9721.5675252312794</v>
      </c>
      <c r="G33">
        <v>1</v>
      </c>
      <c r="H33">
        <v>1</v>
      </c>
      <c r="I33" t="s">
        <v>187</v>
      </c>
    </row>
    <row r="34" spans="1:9" x14ac:dyDescent="0.2">
      <c r="A34" t="s">
        <v>105</v>
      </c>
      <c r="B34">
        <v>121</v>
      </c>
      <c r="C34">
        <v>1</v>
      </c>
      <c r="D34">
        <v>9</v>
      </c>
      <c r="E34">
        <v>9</v>
      </c>
      <c r="F34">
        <v>28821.199666177799</v>
      </c>
      <c r="G34">
        <v>1</v>
      </c>
      <c r="H34">
        <v>1</v>
      </c>
      <c r="I34" t="s">
        <v>188</v>
      </c>
    </row>
    <row r="35" spans="1:9" x14ac:dyDescent="0.2">
      <c r="A35" t="s">
        <v>107</v>
      </c>
      <c r="B35">
        <v>181</v>
      </c>
      <c r="C35">
        <v>1</v>
      </c>
      <c r="D35">
        <v>11</v>
      </c>
      <c r="E35">
        <v>11</v>
      </c>
      <c r="F35">
        <v>28818.643751746898</v>
      </c>
      <c r="G35">
        <v>1</v>
      </c>
      <c r="H35">
        <v>1</v>
      </c>
      <c r="I35" t="s">
        <v>189</v>
      </c>
    </row>
    <row r="36" spans="1:9" x14ac:dyDescent="0.2">
      <c r="A36" t="s">
        <v>109</v>
      </c>
      <c r="B36">
        <v>169</v>
      </c>
      <c r="C36">
        <v>1</v>
      </c>
      <c r="D36">
        <v>15</v>
      </c>
      <c r="E36">
        <v>15</v>
      </c>
      <c r="F36">
        <v>646.90246728621401</v>
      </c>
      <c r="G36">
        <v>1</v>
      </c>
      <c r="H36">
        <v>1</v>
      </c>
      <c r="I36" t="s">
        <v>190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55DCE-A1DB-DB4C-9A0D-0E6E647B244C}">
  <sheetPr codeName="Sheet16"/>
  <dimension ref="A1:I35"/>
  <sheetViews>
    <sheetView topLeftCell="A3" workbookViewId="0">
      <selection activeCell="F30" sqref="F30:F35"/>
    </sheetView>
  </sheetViews>
  <sheetFormatPr baseColWidth="10" defaultColWidth="11" defaultRowHeight="16" x14ac:dyDescent="0.2"/>
  <sheetData>
    <row r="1" spans="1:1" x14ac:dyDescent="0.2">
      <c r="A1" t="s">
        <v>70</v>
      </c>
    </row>
    <row r="2" spans="1:1" x14ac:dyDescent="0.2">
      <c r="A2" t="s">
        <v>71</v>
      </c>
    </row>
    <row r="3" spans="1:1" x14ac:dyDescent="0.2">
      <c r="A3" t="s">
        <v>157</v>
      </c>
    </row>
    <row r="4" spans="1:1" x14ac:dyDescent="0.2">
      <c r="A4" t="s">
        <v>72</v>
      </c>
    </row>
    <row r="5" spans="1:1" x14ac:dyDescent="0.2">
      <c r="A5" s="21" t="s">
        <v>73</v>
      </c>
    </row>
    <row r="6" spans="1:1" x14ac:dyDescent="0.2">
      <c r="A6" s="21" t="s">
        <v>147</v>
      </c>
    </row>
    <row r="7" spans="1:1" x14ac:dyDescent="0.2">
      <c r="A7" t="s">
        <v>75</v>
      </c>
    </row>
    <row r="8" spans="1:1" x14ac:dyDescent="0.2">
      <c r="A8" t="s">
        <v>112</v>
      </c>
    </row>
    <row r="9" spans="1:1" x14ac:dyDescent="0.2">
      <c r="A9" t="s">
        <v>158</v>
      </c>
    </row>
    <row r="10" spans="1:1" x14ac:dyDescent="0.2">
      <c r="A10" t="s">
        <v>159</v>
      </c>
    </row>
    <row r="11" spans="1:1" x14ac:dyDescent="0.2">
      <c r="A11" t="s">
        <v>77</v>
      </c>
    </row>
    <row r="12" spans="1:1" x14ac:dyDescent="0.2">
      <c r="A12" t="s">
        <v>78</v>
      </c>
    </row>
    <row r="13" spans="1:1" x14ac:dyDescent="0.2">
      <c r="A13" t="s">
        <v>79</v>
      </c>
    </row>
    <row r="14" spans="1:1" x14ac:dyDescent="0.2">
      <c r="A14" t="s">
        <v>80</v>
      </c>
    </row>
    <row r="15" spans="1:1" x14ac:dyDescent="0.2">
      <c r="A15" t="s">
        <v>81</v>
      </c>
    </row>
    <row r="16" spans="1:1" x14ac:dyDescent="0.2">
      <c r="A16" s="21" t="s">
        <v>82</v>
      </c>
    </row>
    <row r="17" spans="1:9" x14ac:dyDescent="0.2">
      <c r="A17" t="s">
        <v>83</v>
      </c>
    </row>
    <row r="18" spans="1:9" x14ac:dyDescent="0.2">
      <c r="A18" t="s">
        <v>84</v>
      </c>
    </row>
    <row r="19" spans="1:9" x14ac:dyDescent="0.2">
      <c r="A19" t="s">
        <v>85</v>
      </c>
    </row>
    <row r="20" spans="1:9" x14ac:dyDescent="0.2">
      <c r="A20" t="s">
        <v>86</v>
      </c>
    </row>
    <row r="21" spans="1:9" x14ac:dyDescent="0.2">
      <c r="A21" t="s">
        <v>160</v>
      </c>
    </row>
    <row r="22" spans="1:9" x14ac:dyDescent="0.2">
      <c r="A22" t="s">
        <v>88</v>
      </c>
    </row>
    <row r="23" spans="1:9" x14ac:dyDescent="0.2">
      <c r="A23" t="s">
        <v>161</v>
      </c>
    </row>
    <row r="24" spans="1:9" x14ac:dyDescent="0.2">
      <c r="A24" t="s">
        <v>162</v>
      </c>
    </row>
    <row r="25" spans="1:9" x14ac:dyDescent="0.2">
      <c r="A25" t="s">
        <v>114</v>
      </c>
    </row>
    <row r="26" spans="1:9" x14ac:dyDescent="0.2">
      <c r="A26" t="s">
        <v>90</v>
      </c>
    </row>
    <row r="27" spans="1:9" x14ac:dyDescent="0.2">
      <c r="A27" s="21" t="s">
        <v>191</v>
      </c>
    </row>
    <row r="28" spans="1:9" x14ac:dyDescent="0.2">
      <c r="A28" t="s">
        <v>92</v>
      </c>
    </row>
    <row r="29" spans="1:9" x14ac:dyDescent="0.2">
      <c r="A29" t="s">
        <v>93</v>
      </c>
      <c r="B29" t="s">
        <v>61</v>
      </c>
      <c r="C29" t="s">
        <v>94</v>
      </c>
      <c r="D29" t="s">
        <v>95</v>
      </c>
      <c r="E29" t="s">
        <v>96</v>
      </c>
      <c r="F29" t="s">
        <v>97</v>
      </c>
      <c r="G29" t="s">
        <v>58</v>
      </c>
      <c r="H29" t="s">
        <v>59</v>
      </c>
      <c r="I29" t="s">
        <v>98</v>
      </c>
    </row>
    <row r="30" spans="1:9" x14ac:dyDescent="0.2">
      <c r="A30" t="s">
        <v>99</v>
      </c>
      <c r="B30">
        <v>13</v>
      </c>
      <c r="C30">
        <v>1</v>
      </c>
      <c r="D30">
        <v>3</v>
      </c>
      <c r="E30">
        <v>3</v>
      </c>
      <c r="F30">
        <v>4.6138736922293901</v>
      </c>
      <c r="G30">
        <v>10000</v>
      </c>
      <c r="H30">
        <v>10000</v>
      </c>
      <c r="I30" t="s">
        <v>192</v>
      </c>
    </row>
    <row r="31" spans="1:9" x14ac:dyDescent="0.2">
      <c r="A31" t="s">
        <v>101</v>
      </c>
      <c r="B31">
        <v>37</v>
      </c>
      <c r="C31">
        <v>1</v>
      </c>
      <c r="D31">
        <v>5</v>
      </c>
      <c r="E31">
        <v>5</v>
      </c>
      <c r="F31">
        <v>31.404416573233899</v>
      </c>
      <c r="G31">
        <v>9987</v>
      </c>
      <c r="H31">
        <v>10000</v>
      </c>
      <c r="I31" t="s">
        <v>193</v>
      </c>
    </row>
    <row r="32" spans="1:9" x14ac:dyDescent="0.2">
      <c r="A32" t="s">
        <v>103</v>
      </c>
      <c r="B32">
        <v>73</v>
      </c>
      <c r="C32">
        <v>1</v>
      </c>
      <c r="D32">
        <v>7</v>
      </c>
      <c r="E32">
        <v>7</v>
      </c>
      <c r="F32">
        <v>127.112975912168</v>
      </c>
      <c r="G32">
        <v>9958</v>
      </c>
      <c r="H32">
        <v>10000</v>
      </c>
      <c r="I32" t="s">
        <v>194</v>
      </c>
    </row>
    <row r="33" spans="1:9" x14ac:dyDescent="0.2">
      <c r="A33" t="s">
        <v>105</v>
      </c>
      <c r="B33">
        <v>121</v>
      </c>
      <c r="C33">
        <v>1</v>
      </c>
      <c r="D33">
        <v>9</v>
      </c>
      <c r="E33">
        <v>9</v>
      </c>
      <c r="F33">
        <v>448.08270478062298</v>
      </c>
      <c r="G33">
        <v>9879</v>
      </c>
      <c r="H33">
        <v>10000</v>
      </c>
      <c r="I33" t="s">
        <v>195</v>
      </c>
    </row>
    <row r="34" spans="1:9" x14ac:dyDescent="0.2">
      <c r="A34" t="s">
        <v>107</v>
      </c>
      <c r="B34">
        <v>181</v>
      </c>
      <c r="C34">
        <v>1</v>
      </c>
      <c r="D34">
        <v>11</v>
      </c>
      <c r="E34">
        <v>11</v>
      </c>
      <c r="F34">
        <v>1505.3687665537</v>
      </c>
      <c r="G34">
        <v>9696</v>
      </c>
      <c r="H34">
        <v>10000</v>
      </c>
      <c r="I34" t="s">
        <v>196</v>
      </c>
    </row>
    <row r="35" spans="1:9" x14ac:dyDescent="0.2">
      <c r="A35" t="s">
        <v>109</v>
      </c>
      <c r="B35">
        <v>169</v>
      </c>
      <c r="C35">
        <v>1</v>
      </c>
      <c r="D35">
        <v>15</v>
      </c>
      <c r="E35">
        <v>15</v>
      </c>
      <c r="F35">
        <v>7.8251126883551398</v>
      </c>
      <c r="G35">
        <v>9867</v>
      </c>
      <c r="H35">
        <v>10000</v>
      </c>
      <c r="I35" t="s">
        <v>197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46C8-C087-D040-A773-44BCA48BB500}">
  <dimension ref="A1:I39"/>
  <sheetViews>
    <sheetView tabSelected="1" workbookViewId="0">
      <selection activeCell="E24" sqref="E24"/>
    </sheetView>
  </sheetViews>
  <sheetFormatPr baseColWidth="10" defaultRowHeight="16" x14ac:dyDescent="0.2"/>
  <sheetData>
    <row r="1" spans="1:1" x14ac:dyDescent="0.2">
      <c r="A1" t="s">
        <v>70</v>
      </c>
    </row>
    <row r="2" spans="1:1" x14ac:dyDescent="0.2">
      <c r="A2" t="s">
        <v>71</v>
      </c>
    </row>
    <row r="3" spans="1:1" x14ac:dyDescent="0.2">
      <c r="A3" t="s">
        <v>157</v>
      </c>
    </row>
    <row r="4" spans="1:1" x14ac:dyDescent="0.2">
      <c r="A4" t="s">
        <v>252</v>
      </c>
    </row>
    <row r="5" spans="1:1" x14ac:dyDescent="0.2">
      <c r="A5" t="s">
        <v>72</v>
      </c>
    </row>
    <row r="6" spans="1:1" x14ac:dyDescent="0.2">
      <c r="A6" t="s">
        <v>73</v>
      </c>
    </row>
    <row r="7" spans="1:1" x14ac:dyDescent="0.2">
      <c r="A7" t="s">
        <v>147</v>
      </c>
    </row>
    <row r="8" spans="1:1" x14ac:dyDescent="0.2">
      <c r="A8" t="s">
        <v>75</v>
      </c>
    </row>
    <row r="9" spans="1:1" x14ac:dyDescent="0.2">
      <c r="A9" t="s">
        <v>76</v>
      </c>
    </row>
    <row r="10" spans="1:1" x14ac:dyDescent="0.2">
      <c r="A10" t="s">
        <v>158</v>
      </c>
    </row>
    <row r="11" spans="1:1" x14ac:dyDescent="0.2">
      <c r="A11" t="s">
        <v>159</v>
      </c>
    </row>
    <row r="12" spans="1:1" x14ac:dyDescent="0.2">
      <c r="A12" t="s">
        <v>77</v>
      </c>
    </row>
    <row r="13" spans="1:1" x14ac:dyDescent="0.2">
      <c r="A13" t="s">
        <v>78</v>
      </c>
    </row>
    <row r="14" spans="1:1" x14ac:dyDescent="0.2">
      <c r="A14" t="s">
        <v>79</v>
      </c>
    </row>
    <row r="15" spans="1:1" x14ac:dyDescent="0.2">
      <c r="A15" t="s">
        <v>80</v>
      </c>
    </row>
    <row r="16" spans="1:1" x14ac:dyDescent="0.2">
      <c r="A16" t="s">
        <v>81</v>
      </c>
    </row>
    <row r="17" spans="1:1" x14ac:dyDescent="0.2">
      <c r="A17" t="s">
        <v>238</v>
      </c>
    </row>
    <row r="18" spans="1:1" x14ac:dyDescent="0.2">
      <c r="A18" t="s">
        <v>239</v>
      </c>
    </row>
    <row r="19" spans="1:1" x14ac:dyDescent="0.2">
      <c r="A19" t="s">
        <v>82</v>
      </c>
    </row>
    <row r="20" spans="1:1" x14ac:dyDescent="0.2">
      <c r="A20" t="s">
        <v>86</v>
      </c>
    </row>
    <row r="21" spans="1:1" x14ac:dyDescent="0.2">
      <c r="A21" t="s">
        <v>160</v>
      </c>
    </row>
    <row r="22" spans="1:1" x14ac:dyDescent="0.2">
      <c r="A22" t="s">
        <v>88</v>
      </c>
    </row>
    <row r="23" spans="1:1" x14ac:dyDescent="0.2">
      <c r="A23" t="s">
        <v>161</v>
      </c>
    </row>
    <row r="24" spans="1:1" x14ac:dyDescent="0.2">
      <c r="A24" t="s">
        <v>240</v>
      </c>
    </row>
    <row r="25" spans="1:1" x14ac:dyDescent="0.2">
      <c r="A25" t="s">
        <v>241</v>
      </c>
    </row>
    <row r="26" spans="1:1" x14ac:dyDescent="0.2">
      <c r="A26" t="s">
        <v>242</v>
      </c>
    </row>
    <row r="27" spans="1:1" x14ac:dyDescent="0.2">
      <c r="A27" t="s">
        <v>243</v>
      </c>
    </row>
    <row r="28" spans="1:1" x14ac:dyDescent="0.2">
      <c r="A28" t="s">
        <v>253</v>
      </c>
    </row>
    <row r="29" spans="1:1" x14ac:dyDescent="0.2">
      <c r="A29" t="s">
        <v>89</v>
      </c>
    </row>
    <row r="30" spans="1:1" x14ac:dyDescent="0.2">
      <c r="A30" t="s">
        <v>90</v>
      </c>
    </row>
    <row r="31" spans="1:1" x14ac:dyDescent="0.2">
      <c r="A31" t="s">
        <v>254</v>
      </c>
    </row>
    <row r="32" spans="1:1" x14ac:dyDescent="0.2">
      <c r="A32" t="s">
        <v>92</v>
      </c>
    </row>
    <row r="33" spans="1:9" x14ac:dyDescent="0.2">
      <c r="A33" t="s">
        <v>93</v>
      </c>
      <c r="B33" t="s">
        <v>61</v>
      </c>
      <c r="C33" t="s">
        <v>94</v>
      </c>
      <c r="D33" t="s">
        <v>95</v>
      </c>
      <c r="E33" t="s">
        <v>96</v>
      </c>
      <c r="F33" t="s">
        <v>97</v>
      </c>
      <c r="G33" t="s">
        <v>58</v>
      </c>
      <c r="H33" t="s">
        <v>59</v>
      </c>
      <c r="I33" t="s">
        <v>98</v>
      </c>
    </row>
    <row r="34" spans="1:9" x14ac:dyDescent="0.2">
      <c r="A34" t="s">
        <v>99</v>
      </c>
      <c r="B34">
        <v>13</v>
      </c>
      <c r="C34">
        <v>1</v>
      </c>
      <c r="D34">
        <v>3</v>
      </c>
      <c r="E34">
        <v>3</v>
      </c>
      <c r="F34">
        <v>3.1644997969269699</v>
      </c>
      <c r="G34">
        <v>10000</v>
      </c>
      <c r="H34">
        <v>10000</v>
      </c>
      <c r="I34" t="s">
        <v>192</v>
      </c>
    </row>
    <row r="35" spans="1:9" x14ac:dyDescent="0.2">
      <c r="A35" t="s">
        <v>101</v>
      </c>
      <c r="B35">
        <v>37</v>
      </c>
      <c r="C35">
        <v>1</v>
      </c>
      <c r="D35">
        <v>5</v>
      </c>
      <c r="E35">
        <v>5</v>
      </c>
      <c r="F35">
        <v>23.208602895960201</v>
      </c>
      <c r="G35">
        <v>9990</v>
      </c>
      <c r="H35">
        <v>10000</v>
      </c>
      <c r="I35" t="s">
        <v>255</v>
      </c>
    </row>
    <row r="36" spans="1:9" x14ac:dyDescent="0.2">
      <c r="A36" t="s">
        <v>103</v>
      </c>
      <c r="B36">
        <v>73</v>
      </c>
      <c r="C36">
        <v>1</v>
      </c>
      <c r="D36">
        <v>7</v>
      </c>
      <c r="E36">
        <v>7</v>
      </c>
      <c r="F36">
        <v>84.186749727465198</v>
      </c>
      <c r="G36">
        <v>9193</v>
      </c>
      <c r="H36">
        <v>10000</v>
      </c>
      <c r="I36" t="s">
        <v>256</v>
      </c>
    </row>
    <row r="37" spans="1:9" x14ac:dyDescent="0.2">
      <c r="A37" t="s">
        <v>105</v>
      </c>
      <c r="B37">
        <v>121</v>
      </c>
      <c r="C37">
        <v>1</v>
      </c>
      <c r="D37">
        <v>9</v>
      </c>
      <c r="E37">
        <v>9</v>
      </c>
      <c r="F37">
        <v>376.87856690771798</v>
      </c>
      <c r="G37">
        <v>5865</v>
      </c>
      <c r="H37">
        <v>10000</v>
      </c>
      <c r="I37" t="s">
        <v>257</v>
      </c>
    </row>
    <row r="38" spans="1:9" x14ac:dyDescent="0.2">
      <c r="A38" t="s">
        <v>107</v>
      </c>
      <c r="B38">
        <v>181</v>
      </c>
      <c r="C38">
        <v>1</v>
      </c>
      <c r="D38">
        <v>11</v>
      </c>
      <c r="E38">
        <v>11</v>
      </c>
      <c r="F38">
        <v>1432.58386635035</v>
      </c>
      <c r="G38">
        <v>2881</v>
      </c>
      <c r="H38">
        <v>10000</v>
      </c>
      <c r="I38" t="s">
        <v>258</v>
      </c>
    </row>
    <row r="39" spans="1:9" x14ac:dyDescent="0.2">
      <c r="A39" t="s">
        <v>109</v>
      </c>
      <c r="B39">
        <v>169</v>
      </c>
      <c r="C39">
        <v>1</v>
      </c>
      <c r="D39">
        <v>15</v>
      </c>
      <c r="E39">
        <v>15</v>
      </c>
      <c r="F39">
        <v>5.7952816030010501</v>
      </c>
      <c r="G39">
        <v>9701</v>
      </c>
      <c r="H39">
        <v>10000</v>
      </c>
      <c r="I39" t="s">
        <v>259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922D9-4487-1F4B-9138-D8E40261ED18}">
  <sheetPr codeName="Sheet17"/>
  <dimension ref="A1:I35"/>
  <sheetViews>
    <sheetView workbookViewId="0">
      <selection activeCell="F20" sqref="F20"/>
    </sheetView>
  </sheetViews>
  <sheetFormatPr baseColWidth="10" defaultColWidth="11" defaultRowHeight="16" x14ac:dyDescent="0.2"/>
  <sheetData>
    <row r="1" spans="1:1" x14ac:dyDescent="0.2">
      <c r="A1" t="s">
        <v>70</v>
      </c>
    </row>
    <row r="2" spans="1:1" x14ac:dyDescent="0.2">
      <c r="A2" t="s">
        <v>71</v>
      </c>
    </row>
    <row r="3" spans="1:1" x14ac:dyDescent="0.2">
      <c r="A3" t="s">
        <v>157</v>
      </c>
    </row>
    <row r="4" spans="1:1" x14ac:dyDescent="0.2">
      <c r="A4" t="s">
        <v>72</v>
      </c>
    </row>
    <row r="5" spans="1:1" x14ac:dyDescent="0.2">
      <c r="A5" s="21" t="s">
        <v>73</v>
      </c>
    </row>
    <row r="6" spans="1:1" x14ac:dyDescent="0.2">
      <c r="A6" s="21" t="s">
        <v>148</v>
      </c>
    </row>
    <row r="7" spans="1:1" x14ac:dyDescent="0.2">
      <c r="A7" t="s">
        <v>75</v>
      </c>
    </row>
    <row r="8" spans="1:1" x14ac:dyDescent="0.2">
      <c r="A8" t="s">
        <v>112</v>
      </c>
    </row>
    <row r="9" spans="1:1" x14ac:dyDescent="0.2">
      <c r="A9" t="s">
        <v>158</v>
      </c>
    </row>
    <row r="10" spans="1:1" x14ac:dyDescent="0.2">
      <c r="A10" t="s">
        <v>159</v>
      </c>
    </row>
    <row r="11" spans="1:1" x14ac:dyDescent="0.2">
      <c r="A11" t="s">
        <v>77</v>
      </c>
    </row>
    <row r="12" spans="1:1" x14ac:dyDescent="0.2">
      <c r="A12" t="s">
        <v>78</v>
      </c>
    </row>
    <row r="13" spans="1:1" x14ac:dyDescent="0.2">
      <c r="A13" t="s">
        <v>79</v>
      </c>
    </row>
    <row r="14" spans="1:1" x14ac:dyDescent="0.2">
      <c r="A14" t="s">
        <v>80</v>
      </c>
    </row>
    <row r="15" spans="1:1" x14ac:dyDescent="0.2">
      <c r="A15" t="s">
        <v>81</v>
      </c>
    </row>
    <row r="16" spans="1:1" x14ac:dyDescent="0.2">
      <c r="A16" s="21" t="s">
        <v>82</v>
      </c>
    </row>
    <row r="17" spans="1:9" x14ac:dyDescent="0.2">
      <c r="A17" t="s">
        <v>83</v>
      </c>
    </row>
    <row r="18" spans="1:9" x14ac:dyDescent="0.2">
      <c r="A18" t="s">
        <v>84</v>
      </c>
    </row>
    <row r="19" spans="1:9" x14ac:dyDescent="0.2">
      <c r="A19" t="s">
        <v>85</v>
      </c>
    </row>
    <row r="20" spans="1:9" x14ac:dyDescent="0.2">
      <c r="A20" t="s">
        <v>86</v>
      </c>
    </row>
    <row r="21" spans="1:9" x14ac:dyDescent="0.2">
      <c r="A21" t="s">
        <v>160</v>
      </c>
    </row>
    <row r="22" spans="1:9" x14ac:dyDescent="0.2">
      <c r="A22" t="s">
        <v>88</v>
      </c>
    </row>
    <row r="23" spans="1:9" x14ac:dyDescent="0.2">
      <c r="A23" t="s">
        <v>161</v>
      </c>
    </row>
    <row r="24" spans="1:9" x14ac:dyDescent="0.2">
      <c r="A24" t="s">
        <v>162</v>
      </c>
    </row>
    <row r="25" spans="1:9" x14ac:dyDescent="0.2">
      <c r="A25" t="s">
        <v>114</v>
      </c>
    </row>
    <row r="26" spans="1:9" x14ac:dyDescent="0.2">
      <c r="A26" t="s">
        <v>90</v>
      </c>
    </row>
    <row r="27" spans="1:9" x14ac:dyDescent="0.2">
      <c r="A27" s="21" t="s">
        <v>198</v>
      </c>
    </row>
    <row r="28" spans="1:9" x14ac:dyDescent="0.2">
      <c r="A28" t="s">
        <v>92</v>
      </c>
    </row>
    <row r="29" spans="1:9" x14ac:dyDescent="0.2">
      <c r="A29" t="s">
        <v>93</v>
      </c>
      <c r="B29" t="s">
        <v>61</v>
      </c>
      <c r="C29" t="s">
        <v>94</v>
      </c>
      <c r="D29" t="s">
        <v>95</v>
      </c>
      <c r="E29" t="s">
        <v>96</v>
      </c>
      <c r="F29" t="s">
        <v>97</v>
      </c>
      <c r="G29" t="s">
        <v>58</v>
      </c>
      <c r="H29" t="s">
        <v>59</v>
      </c>
      <c r="I29" t="s">
        <v>98</v>
      </c>
    </row>
    <row r="30" spans="1:9" x14ac:dyDescent="0.2">
      <c r="A30" t="s">
        <v>99</v>
      </c>
      <c r="B30">
        <v>13</v>
      </c>
      <c r="C30">
        <v>1</v>
      </c>
      <c r="D30">
        <v>3</v>
      </c>
      <c r="E30">
        <v>3</v>
      </c>
      <c r="F30">
        <v>2.1046933233737901</v>
      </c>
      <c r="G30">
        <v>9953</v>
      </c>
      <c r="H30">
        <v>10000</v>
      </c>
      <c r="I30" t="s">
        <v>199</v>
      </c>
    </row>
    <row r="31" spans="1:9" x14ac:dyDescent="0.2">
      <c r="A31" t="s">
        <v>101</v>
      </c>
      <c r="B31">
        <v>37</v>
      </c>
      <c r="C31">
        <v>1</v>
      </c>
      <c r="D31">
        <v>5</v>
      </c>
      <c r="E31">
        <v>5</v>
      </c>
      <c r="F31">
        <v>14.2257881630212</v>
      </c>
      <c r="G31">
        <v>9211</v>
      </c>
      <c r="H31">
        <v>10000</v>
      </c>
      <c r="I31" t="s">
        <v>200</v>
      </c>
    </row>
    <row r="32" spans="1:9" x14ac:dyDescent="0.2">
      <c r="A32" t="s">
        <v>103</v>
      </c>
      <c r="B32">
        <v>73</v>
      </c>
      <c r="C32">
        <v>1</v>
      </c>
      <c r="D32">
        <v>7</v>
      </c>
      <c r="E32">
        <v>7</v>
      </c>
      <c r="F32">
        <v>78.795095269568193</v>
      </c>
      <c r="G32">
        <v>6274</v>
      </c>
      <c r="H32">
        <v>10000</v>
      </c>
      <c r="I32" t="s">
        <v>201</v>
      </c>
    </row>
    <row r="33" spans="1:9" x14ac:dyDescent="0.2">
      <c r="A33" t="s">
        <v>105</v>
      </c>
      <c r="B33">
        <v>121</v>
      </c>
      <c r="C33">
        <v>1</v>
      </c>
      <c r="D33">
        <v>9</v>
      </c>
      <c r="E33">
        <v>9</v>
      </c>
      <c r="F33">
        <v>420.67544198688103</v>
      </c>
      <c r="G33">
        <v>2643</v>
      </c>
      <c r="H33">
        <v>10000</v>
      </c>
      <c r="I33" t="s">
        <v>202</v>
      </c>
    </row>
    <row r="34" spans="1:9" x14ac:dyDescent="0.2">
      <c r="A34" t="s">
        <v>107</v>
      </c>
      <c r="B34">
        <v>181</v>
      </c>
      <c r="C34">
        <v>1</v>
      </c>
      <c r="D34">
        <v>11</v>
      </c>
      <c r="E34">
        <v>11</v>
      </c>
      <c r="F34">
        <v>1791.47790314443</v>
      </c>
      <c r="G34">
        <v>761</v>
      </c>
      <c r="H34">
        <v>10000</v>
      </c>
      <c r="I34" t="s">
        <v>203</v>
      </c>
    </row>
    <row r="35" spans="1:9" x14ac:dyDescent="0.2">
      <c r="A35" t="s">
        <v>109</v>
      </c>
      <c r="B35">
        <v>169</v>
      </c>
      <c r="C35">
        <v>1</v>
      </c>
      <c r="D35">
        <v>15</v>
      </c>
      <c r="E35">
        <v>15</v>
      </c>
      <c r="F35">
        <v>4.6160658085718698</v>
      </c>
      <c r="G35">
        <v>3268</v>
      </c>
      <c r="H35">
        <v>10000</v>
      </c>
      <c r="I35" t="s">
        <v>204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C933A-D4CF-6C40-8011-4C502BF55053}">
  <dimension ref="A1:I37"/>
  <sheetViews>
    <sheetView topLeftCell="A7" workbookViewId="0">
      <selection activeCell="F32" sqref="F32:F37"/>
    </sheetView>
  </sheetViews>
  <sheetFormatPr baseColWidth="10" defaultRowHeight="16" x14ac:dyDescent="0.2"/>
  <sheetData>
    <row r="1" spans="1:1" x14ac:dyDescent="0.2">
      <c r="A1" t="s">
        <v>70</v>
      </c>
    </row>
    <row r="2" spans="1:1" x14ac:dyDescent="0.2">
      <c r="A2" t="s">
        <v>71</v>
      </c>
    </row>
    <row r="3" spans="1:1" x14ac:dyDescent="0.2">
      <c r="A3" t="s">
        <v>157</v>
      </c>
    </row>
    <row r="4" spans="1:1" x14ac:dyDescent="0.2">
      <c r="A4" t="s">
        <v>72</v>
      </c>
    </row>
    <row r="5" spans="1:1" x14ac:dyDescent="0.2">
      <c r="A5" t="s">
        <v>73</v>
      </c>
    </row>
    <row r="6" spans="1:1" x14ac:dyDescent="0.2">
      <c r="A6" t="s">
        <v>148</v>
      </c>
    </row>
    <row r="7" spans="1:1" x14ac:dyDescent="0.2">
      <c r="A7" t="s">
        <v>75</v>
      </c>
    </row>
    <row r="8" spans="1:1" x14ac:dyDescent="0.2">
      <c r="A8" t="s">
        <v>76</v>
      </c>
    </row>
    <row r="9" spans="1:1" x14ac:dyDescent="0.2">
      <c r="A9" t="s">
        <v>158</v>
      </c>
    </row>
    <row r="10" spans="1:1" x14ac:dyDescent="0.2">
      <c r="A10" t="s">
        <v>159</v>
      </c>
    </row>
    <row r="11" spans="1:1" x14ac:dyDescent="0.2">
      <c r="A11" t="s">
        <v>77</v>
      </c>
    </row>
    <row r="12" spans="1:1" x14ac:dyDescent="0.2">
      <c r="A12" t="s">
        <v>78</v>
      </c>
    </row>
    <row r="13" spans="1:1" x14ac:dyDescent="0.2">
      <c r="A13" t="s">
        <v>79</v>
      </c>
    </row>
    <row r="14" spans="1:1" x14ac:dyDescent="0.2">
      <c r="A14" t="s">
        <v>80</v>
      </c>
    </row>
    <row r="15" spans="1:1" x14ac:dyDescent="0.2">
      <c r="A15" t="s">
        <v>81</v>
      </c>
    </row>
    <row r="16" spans="1:1" x14ac:dyDescent="0.2">
      <c r="A16" t="s">
        <v>238</v>
      </c>
    </row>
    <row r="17" spans="1:9" x14ac:dyDescent="0.2">
      <c r="A17" t="s">
        <v>239</v>
      </c>
    </row>
    <row r="18" spans="1:9" x14ac:dyDescent="0.2">
      <c r="A18" t="s">
        <v>82</v>
      </c>
    </row>
    <row r="19" spans="1:9" x14ac:dyDescent="0.2">
      <c r="A19" t="s">
        <v>86</v>
      </c>
    </row>
    <row r="20" spans="1:9" x14ac:dyDescent="0.2">
      <c r="A20" t="s">
        <v>160</v>
      </c>
    </row>
    <row r="21" spans="1:9" x14ac:dyDescent="0.2">
      <c r="A21" t="s">
        <v>88</v>
      </c>
    </row>
    <row r="22" spans="1:9" x14ac:dyDescent="0.2">
      <c r="A22" t="s">
        <v>244</v>
      </c>
    </row>
    <row r="23" spans="1:9" x14ac:dyDescent="0.2">
      <c r="A23" t="s">
        <v>240</v>
      </c>
    </row>
    <row r="24" spans="1:9" x14ac:dyDescent="0.2">
      <c r="A24" t="s">
        <v>241</v>
      </c>
    </row>
    <row r="25" spans="1:9" x14ac:dyDescent="0.2">
      <c r="A25" t="s">
        <v>242</v>
      </c>
    </row>
    <row r="26" spans="1:9" x14ac:dyDescent="0.2">
      <c r="A26" t="s">
        <v>243</v>
      </c>
    </row>
    <row r="27" spans="1:9" x14ac:dyDescent="0.2">
      <c r="A27" t="s">
        <v>89</v>
      </c>
    </row>
    <row r="28" spans="1:9" x14ac:dyDescent="0.2">
      <c r="A28" t="s">
        <v>90</v>
      </c>
    </row>
    <row r="29" spans="1:9" x14ac:dyDescent="0.2">
      <c r="A29" t="s">
        <v>245</v>
      </c>
    </row>
    <row r="30" spans="1:9" x14ac:dyDescent="0.2">
      <c r="A30" t="s">
        <v>92</v>
      </c>
    </row>
    <row r="31" spans="1:9" x14ac:dyDescent="0.2">
      <c r="A31" t="s">
        <v>93</v>
      </c>
      <c r="B31" t="s">
        <v>61</v>
      </c>
      <c r="C31" t="s">
        <v>94</v>
      </c>
      <c r="D31" t="s">
        <v>95</v>
      </c>
      <c r="E31" t="s">
        <v>96</v>
      </c>
      <c r="F31" t="s">
        <v>97</v>
      </c>
      <c r="G31" t="s">
        <v>58</v>
      </c>
      <c r="H31" t="s">
        <v>59</v>
      </c>
      <c r="I31" t="s">
        <v>98</v>
      </c>
    </row>
    <row r="32" spans="1:9" x14ac:dyDescent="0.2">
      <c r="A32" t="s">
        <v>99</v>
      </c>
      <c r="B32">
        <v>13</v>
      </c>
      <c r="C32">
        <v>1</v>
      </c>
      <c r="D32">
        <v>3</v>
      </c>
      <c r="E32">
        <v>3</v>
      </c>
      <c r="F32">
        <v>1.99557389784604</v>
      </c>
      <c r="G32">
        <v>9962</v>
      </c>
      <c r="H32">
        <v>10000</v>
      </c>
      <c r="I32" t="s">
        <v>246</v>
      </c>
    </row>
    <row r="33" spans="1:9" x14ac:dyDescent="0.2">
      <c r="A33" t="s">
        <v>101</v>
      </c>
      <c r="B33">
        <v>37</v>
      </c>
      <c r="C33">
        <v>1</v>
      </c>
      <c r="D33">
        <v>5</v>
      </c>
      <c r="E33">
        <v>5</v>
      </c>
      <c r="F33">
        <v>14.2598586082458</v>
      </c>
      <c r="G33">
        <v>9194</v>
      </c>
      <c r="H33">
        <v>10000</v>
      </c>
      <c r="I33" t="s">
        <v>247</v>
      </c>
    </row>
    <row r="34" spans="1:9" x14ac:dyDescent="0.2">
      <c r="A34" t="s">
        <v>103</v>
      </c>
      <c r="B34">
        <v>73</v>
      </c>
      <c r="C34">
        <v>1</v>
      </c>
      <c r="D34">
        <v>7</v>
      </c>
      <c r="E34">
        <v>7</v>
      </c>
      <c r="F34">
        <v>75.982809589244397</v>
      </c>
      <c r="G34">
        <v>6195</v>
      </c>
      <c r="H34">
        <v>10000</v>
      </c>
      <c r="I34" t="s">
        <v>248</v>
      </c>
    </row>
    <row r="35" spans="1:9" x14ac:dyDescent="0.2">
      <c r="A35" t="s">
        <v>105</v>
      </c>
      <c r="B35">
        <v>121</v>
      </c>
      <c r="C35">
        <v>1</v>
      </c>
      <c r="D35">
        <v>9</v>
      </c>
      <c r="E35">
        <v>9</v>
      </c>
      <c r="F35">
        <v>380.39690893608997</v>
      </c>
      <c r="G35">
        <v>2618</v>
      </c>
      <c r="H35">
        <v>10000</v>
      </c>
      <c r="I35" t="s">
        <v>249</v>
      </c>
    </row>
    <row r="36" spans="1:9" x14ac:dyDescent="0.2">
      <c r="A36" t="s">
        <v>107</v>
      </c>
      <c r="B36">
        <v>181</v>
      </c>
      <c r="C36">
        <v>1</v>
      </c>
      <c r="D36">
        <v>11</v>
      </c>
      <c r="E36">
        <v>11</v>
      </c>
      <c r="F36">
        <v>1429.50509240571</v>
      </c>
      <c r="G36">
        <v>785</v>
      </c>
      <c r="H36">
        <v>10000</v>
      </c>
      <c r="I36" t="s">
        <v>250</v>
      </c>
    </row>
    <row r="37" spans="1:9" x14ac:dyDescent="0.2">
      <c r="A37" t="s">
        <v>109</v>
      </c>
      <c r="B37">
        <v>169</v>
      </c>
      <c r="C37">
        <v>1</v>
      </c>
      <c r="D37">
        <v>15</v>
      </c>
      <c r="E37">
        <v>15</v>
      </c>
      <c r="F37">
        <v>4.2522304337471697</v>
      </c>
      <c r="G37">
        <v>3323</v>
      </c>
      <c r="H37">
        <v>10000</v>
      </c>
      <c r="I37" t="s">
        <v>251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5AE3-52BE-C940-9685-9E870C3772EC}">
  <sheetPr codeName="Sheet19"/>
  <dimension ref="A1:I30"/>
  <sheetViews>
    <sheetView workbookViewId="0">
      <selection activeCell="H34" sqref="H34"/>
    </sheetView>
  </sheetViews>
  <sheetFormatPr baseColWidth="10" defaultColWidth="11" defaultRowHeight="16" x14ac:dyDescent="0.2"/>
  <sheetData>
    <row r="1" spans="1:1" x14ac:dyDescent="0.2">
      <c r="A1" t="s">
        <v>70</v>
      </c>
    </row>
    <row r="2" spans="1:1" x14ac:dyDescent="0.2">
      <c r="A2" t="s">
        <v>71</v>
      </c>
    </row>
    <row r="3" spans="1:1" x14ac:dyDescent="0.2">
      <c r="A3" t="s">
        <v>72</v>
      </c>
    </row>
    <row r="4" spans="1:1" x14ac:dyDescent="0.2">
      <c r="A4" t="s">
        <v>73</v>
      </c>
    </row>
    <row r="5" spans="1:1" x14ac:dyDescent="0.2">
      <c r="A5" s="21" t="s">
        <v>149</v>
      </c>
    </row>
    <row r="6" spans="1:1" x14ac:dyDescent="0.2">
      <c r="A6" s="21" t="s">
        <v>75</v>
      </c>
    </row>
    <row r="7" spans="1:1" x14ac:dyDescent="0.2">
      <c r="A7" t="s">
        <v>76</v>
      </c>
    </row>
    <row r="8" spans="1:1" x14ac:dyDescent="0.2">
      <c r="A8" t="s">
        <v>113</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s="21" t="s">
        <v>85</v>
      </c>
    </row>
    <row r="17" spans="1:9" x14ac:dyDescent="0.2">
      <c r="A17" t="s">
        <v>86</v>
      </c>
    </row>
    <row r="18" spans="1:9" x14ac:dyDescent="0.2">
      <c r="A18" t="s">
        <v>87</v>
      </c>
    </row>
    <row r="19" spans="1:9" x14ac:dyDescent="0.2">
      <c r="A19" t="s">
        <v>88</v>
      </c>
    </row>
    <row r="20" spans="1:9" x14ac:dyDescent="0.2">
      <c r="A20" t="s">
        <v>114</v>
      </c>
    </row>
    <row r="21" spans="1:9" x14ac:dyDescent="0.2">
      <c r="A21" t="s">
        <v>90</v>
      </c>
    </row>
    <row r="22" spans="1:9" x14ac:dyDescent="0.2">
      <c r="A22" t="s">
        <v>150</v>
      </c>
    </row>
    <row r="23" spans="1:9" x14ac:dyDescent="0.2">
      <c r="A23" t="s">
        <v>92</v>
      </c>
    </row>
    <row r="24" spans="1:9" x14ac:dyDescent="0.2">
      <c r="A24" t="s">
        <v>93</v>
      </c>
      <c r="B24" t="s">
        <v>61</v>
      </c>
      <c r="C24" t="s">
        <v>94</v>
      </c>
      <c r="D24" t="s">
        <v>95</v>
      </c>
      <c r="E24" t="s">
        <v>96</v>
      </c>
      <c r="F24" t="s">
        <v>97</v>
      </c>
      <c r="G24" t="s">
        <v>58</v>
      </c>
      <c r="H24" t="s">
        <v>59</v>
      </c>
      <c r="I24" t="s">
        <v>98</v>
      </c>
    </row>
    <row r="25" spans="1:9" x14ac:dyDescent="0.2">
      <c r="A25" t="s">
        <v>99</v>
      </c>
      <c r="B25">
        <v>13</v>
      </c>
      <c r="C25">
        <v>1</v>
      </c>
      <c r="D25">
        <v>3</v>
      </c>
      <c r="E25">
        <v>3</v>
      </c>
      <c r="F25" s="1">
        <v>2.17322558164596E-2</v>
      </c>
      <c r="G25">
        <v>2</v>
      </c>
      <c r="H25">
        <v>2</v>
      </c>
      <c r="I25" t="s">
        <v>151</v>
      </c>
    </row>
    <row r="26" spans="1:9" x14ac:dyDescent="0.2">
      <c r="A26" t="s">
        <v>101</v>
      </c>
      <c r="B26">
        <v>37</v>
      </c>
      <c r="C26">
        <v>1</v>
      </c>
      <c r="D26">
        <v>5</v>
      </c>
      <c r="E26">
        <v>5</v>
      </c>
      <c r="F26">
        <v>0.63996790349483401</v>
      </c>
      <c r="G26">
        <v>2</v>
      </c>
      <c r="H26">
        <v>2</v>
      </c>
      <c r="I26" t="s">
        <v>152</v>
      </c>
    </row>
    <row r="27" spans="1:9" x14ac:dyDescent="0.2">
      <c r="A27" s="21" t="s">
        <v>103</v>
      </c>
      <c r="B27">
        <v>73</v>
      </c>
      <c r="C27">
        <v>1</v>
      </c>
      <c r="D27">
        <v>7</v>
      </c>
      <c r="E27">
        <v>7</v>
      </c>
      <c r="F27">
        <v>14.246060363948301</v>
      </c>
      <c r="G27">
        <v>2</v>
      </c>
      <c r="H27">
        <v>2</v>
      </c>
      <c r="I27" t="s">
        <v>153</v>
      </c>
    </row>
    <row r="28" spans="1:9" x14ac:dyDescent="0.2">
      <c r="A28" t="s">
        <v>105</v>
      </c>
      <c r="B28">
        <v>121</v>
      </c>
      <c r="C28">
        <v>1</v>
      </c>
      <c r="D28">
        <v>9</v>
      </c>
      <c r="E28">
        <v>9</v>
      </c>
      <c r="F28">
        <v>131.244107745587</v>
      </c>
      <c r="G28">
        <v>2</v>
      </c>
      <c r="H28">
        <v>2</v>
      </c>
      <c r="I28" t="s">
        <v>154</v>
      </c>
    </row>
    <row r="29" spans="1:9" x14ac:dyDescent="0.2">
      <c r="A29" t="s">
        <v>107</v>
      </c>
      <c r="B29">
        <v>181</v>
      </c>
      <c r="C29">
        <v>1</v>
      </c>
      <c r="D29">
        <v>11</v>
      </c>
      <c r="E29">
        <v>11</v>
      </c>
      <c r="F29">
        <v>739.32987700402703</v>
      </c>
      <c r="G29">
        <v>2</v>
      </c>
      <c r="H29">
        <v>2</v>
      </c>
      <c r="I29" t="s">
        <v>155</v>
      </c>
    </row>
    <row r="30" spans="1:9" x14ac:dyDescent="0.2">
      <c r="A30" t="s">
        <v>109</v>
      </c>
      <c r="B30">
        <v>169</v>
      </c>
      <c r="C30">
        <v>1</v>
      </c>
      <c r="D30">
        <v>15</v>
      </c>
      <c r="E30">
        <v>15</v>
      </c>
      <c r="F30">
        <v>5.9350445866584702E-2</v>
      </c>
      <c r="G30">
        <v>2</v>
      </c>
      <c r="H30">
        <v>2</v>
      </c>
      <c r="I30" t="s">
        <v>156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495A7-2328-2542-B7BF-3D35C60A9193}">
  <dimension ref="A1:I35"/>
  <sheetViews>
    <sheetView topLeftCell="A3" workbookViewId="0">
      <selection activeCell="F14" sqref="F14"/>
    </sheetView>
  </sheetViews>
  <sheetFormatPr baseColWidth="10" defaultRowHeight="16" x14ac:dyDescent="0.2"/>
  <sheetData>
    <row r="1" spans="1:1" x14ac:dyDescent="0.2">
      <c r="A1" t="s">
        <v>70</v>
      </c>
    </row>
    <row r="2" spans="1:1" x14ac:dyDescent="0.2">
      <c r="A2" t="s">
        <v>71</v>
      </c>
    </row>
    <row r="3" spans="1:1" x14ac:dyDescent="0.2">
      <c r="A3" t="s">
        <v>157</v>
      </c>
    </row>
    <row r="4" spans="1:1" x14ac:dyDescent="0.2">
      <c r="A4" t="s">
        <v>72</v>
      </c>
    </row>
    <row r="5" spans="1:1" x14ac:dyDescent="0.2">
      <c r="A5" t="s">
        <v>73</v>
      </c>
    </row>
    <row r="6" spans="1:1" x14ac:dyDescent="0.2">
      <c r="A6" t="s">
        <v>149</v>
      </c>
    </row>
    <row r="7" spans="1:1" x14ac:dyDescent="0.2">
      <c r="A7" t="s">
        <v>75</v>
      </c>
    </row>
    <row r="8" spans="1:1" x14ac:dyDescent="0.2">
      <c r="A8" t="s">
        <v>112</v>
      </c>
    </row>
    <row r="9" spans="1:1" x14ac:dyDescent="0.2">
      <c r="A9" t="s">
        <v>218</v>
      </c>
    </row>
    <row r="10" spans="1:1" x14ac:dyDescent="0.2">
      <c r="A10" t="s">
        <v>159</v>
      </c>
    </row>
    <row r="11" spans="1:1" x14ac:dyDescent="0.2">
      <c r="A11" t="s">
        <v>113</v>
      </c>
    </row>
    <row r="12" spans="1:1" x14ac:dyDescent="0.2">
      <c r="A12" t="s">
        <v>78</v>
      </c>
    </row>
    <row r="13" spans="1:1" x14ac:dyDescent="0.2">
      <c r="A13" t="s">
        <v>79</v>
      </c>
    </row>
    <row r="14" spans="1:1" x14ac:dyDescent="0.2">
      <c r="A14" t="s">
        <v>80</v>
      </c>
    </row>
    <row r="15" spans="1:1" x14ac:dyDescent="0.2">
      <c r="A15" t="s">
        <v>81</v>
      </c>
    </row>
    <row r="16" spans="1:1" x14ac:dyDescent="0.2">
      <c r="A16" t="s">
        <v>82</v>
      </c>
    </row>
    <row r="17" spans="1:9" x14ac:dyDescent="0.2">
      <c r="A17" t="s">
        <v>83</v>
      </c>
    </row>
    <row r="18" spans="1:9" x14ac:dyDescent="0.2">
      <c r="A18" t="s">
        <v>84</v>
      </c>
    </row>
    <row r="19" spans="1:9" x14ac:dyDescent="0.2">
      <c r="A19" t="s">
        <v>85</v>
      </c>
    </row>
    <row r="20" spans="1:9" x14ac:dyDescent="0.2">
      <c r="A20" t="s">
        <v>86</v>
      </c>
    </row>
    <row r="21" spans="1:9" x14ac:dyDescent="0.2">
      <c r="A21" t="s">
        <v>160</v>
      </c>
    </row>
    <row r="22" spans="1:9" x14ac:dyDescent="0.2">
      <c r="A22" t="s">
        <v>88</v>
      </c>
    </row>
    <row r="23" spans="1:9" x14ac:dyDescent="0.2">
      <c r="A23" t="s">
        <v>161</v>
      </c>
    </row>
    <row r="24" spans="1:9" x14ac:dyDescent="0.2">
      <c r="A24" t="s">
        <v>162</v>
      </c>
    </row>
    <row r="25" spans="1:9" x14ac:dyDescent="0.2">
      <c r="A25" t="s">
        <v>89</v>
      </c>
    </row>
    <row r="26" spans="1:9" x14ac:dyDescent="0.2">
      <c r="A26" t="s">
        <v>90</v>
      </c>
    </row>
    <row r="27" spans="1:9" x14ac:dyDescent="0.2">
      <c r="A27" t="s">
        <v>220</v>
      </c>
    </row>
    <row r="28" spans="1:9" x14ac:dyDescent="0.2">
      <c r="A28" t="s">
        <v>92</v>
      </c>
    </row>
    <row r="29" spans="1:9" x14ac:dyDescent="0.2">
      <c r="A29" t="s">
        <v>93</v>
      </c>
      <c r="B29" t="s">
        <v>61</v>
      </c>
      <c r="C29" t="s">
        <v>94</v>
      </c>
      <c r="D29" t="s">
        <v>95</v>
      </c>
      <c r="E29" t="s">
        <v>96</v>
      </c>
      <c r="F29" t="s">
        <v>97</v>
      </c>
      <c r="G29" t="s">
        <v>58</v>
      </c>
      <c r="H29" t="s">
        <v>59</v>
      </c>
      <c r="I29" t="s">
        <v>98</v>
      </c>
    </row>
    <row r="30" spans="1:9" x14ac:dyDescent="0.2">
      <c r="A30" t="s">
        <v>99</v>
      </c>
      <c r="B30">
        <v>13</v>
      </c>
      <c r="C30">
        <v>1</v>
      </c>
      <c r="D30">
        <v>3</v>
      </c>
      <c r="E30">
        <v>3</v>
      </c>
      <c r="F30">
        <v>2.74927541613578E-2</v>
      </c>
      <c r="G30">
        <v>2</v>
      </c>
      <c r="H30">
        <v>2</v>
      </c>
      <c r="I30" t="s">
        <v>221</v>
      </c>
    </row>
    <row r="31" spans="1:9" x14ac:dyDescent="0.2">
      <c r="A31" t="s">
        <v>101</v>
      </c>
      <c r="B31">
        <v>37</v>
      </c>
      <c r="C31">
        <v>1</v>
      </c>
      <c r="D31">
        <v>5</v>
      </c>
      <c r="E31">
        <v>5</v>
      </c>
      <c r="F31">
        <v>0.10772455483675</v>
      </c>
      <c r="G31">
        <v>2</v>
      </c>
      <c r="H31">
        <v>2</v>
      </c>
      <c r="I31" t="s">
        <v>222</v>
      </c>
    </row>
    <row r="32" spans="1:9" x14ac:dyDescent="0.2">
      <c r="A32" t="s">
        <v>103</v>
      </c>
      <c r="B32">
        <v>73</v>
      </c>
      <c r="C32">
        <v>1</v>
      </c>
      <c r="D32">
        <v>7</v>
      </c>
      <c r="E32">
        <v>7</v>
      </c>
      <c r="F32">
        <v>0.96542182564735401</v>
      </c>
      <c r="G32">
        <v>2</v>
      </c>
      <c r="H32">
        <v>2</v>
      </c>
      <c r="I32" t="s">
        <v>223</v>
      </c>
    </row>
    <row r="33" spans="1:9" x14ac:dyDescent="0.2">
      <c r="A33" t="s">
        <v>105</v>
      </c>
      <c r="B33">
        <v>121</v>
      </c>
      <c r="C33">
        <v>1</v>
      </c>
      <c r="D33">
        <v>9</v>
      </c>
      <c r="E33">
        <v>9</v>
      </c>
      <c r="F33">
        <v>7.2036994025111198</v>
      </c>
      <c r="G33">
        <v>2</v>
      </c>
      <c r="H33">
        <v>2</v>
      </c>
      <c r="I33" t="s">
        <v>224</v>
      </c>
    </row>
    <row r="34" spans="1:9" x14ac:dyDescent="0.2">
      <c r="A34" t="s">
        <v>107</v>
      </c>
      <c r="B34">
        <v>181</v>
      </c>
      <c r="C34">
        <v>1</v>
      </c>
      <c r="D34">
        <v>11</v>
      </c>
      <c r="E34">
        <v>11</v>
      </c>
      <c r="F34">
        <v>38.246142596006301</v>
      </c>
      <c r="G34">
        <v>2</v>
      </c>
      <c r="H34">
        <v>2</v>
      </c>
      <c r="I34" t="s">
        <v>225</v>
      </c>
    </row>
    <row r="35" spans="1:9" x14ac:dyDescent="0.2">
      <c r="A35" t="s">
        <v>109</v>
      </c>
      <c r="B35">
        <v>169</v>
      </c>
      <c r="C35">
        <v>1</v>
      </c>
      <c r="D35">
        <v>15</v>
      </c>
      <c r="E35">
        <v>15</v>
      </c>
      <c r="F35">
        <v>5.3278312087059E-2</v>
      </c>
      <c r="G35">
        <v>2</v>
      </c>
      <c r="H35">
        <v>2</v>
      </c>
      <c r="I35"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analysis</vt:lpstr>
      <vt:lpstr>best</vt:lpstr>
      <vt:lpstr>magma</vt:lpstr>
      <vt:lpstr>CLISAT</vt:lpstr>
      <vt:lpstr>CCStim</vt:lpstr>
      <vt:lpstr>CCStim-U</vt:lpstr>
      <vt:lpstr>bposd</vt:lpstr>
      <vt:lpstr>m4ri_CC</vt:lpstr>
      <vt:lpstr>m4ri_RW</vt:lpstr>
      <vt:lpstr>GEStim</vt:lpstr>
      <vt:lpstr>GEStim-U</vt:lpstr>
      <vt:lpstr>Gurobi</vt:lpstr>
      <vt:lpstr>MIP-SCIP</vt:lpstr>
      <vt:lpstr>QDistEvol20260116</vt:lpstr>
      <vt:lpstr>QDistEvol</vt:lpstr>
      <vt:lpstr>QDistRndMW20260116</vt:lpstr>
      <vt:lpstr>QDistRndMW</vt:lpstr>
      <vt:lpstr>UEStim-U</vt:lpstr>
      <vt:lpstr>UEStim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Webster</dc:creator>
  <cp:keywords/>
  <dc:description/>
  <cp:lastModifiedBy>Mark Webster</cp:lastModifiedBy>
  <cp:revision/>
  <dcterms:created xsi:type="dcterms:W3CDTF">2025-12-23T14:15:23Z</dcterms:created>
  <dcterms:modified xsi:type="dcterms:W3CDTF">2026-02-21T07:09:24Z</dcterms:modified>
  <cp:category/>
  <cp:contentStatus/>
</cp:coreProperties>
</file>